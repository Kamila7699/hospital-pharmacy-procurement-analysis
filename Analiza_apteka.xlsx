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B653083-2A49-41DC-885A-9CC340F8FD47}" xr6:coauthVersionLast="47" xr6:coauthVersionMax="47" xr10:uidLastSave="{00000000-0000-0000-0000-000000000000}"/>
  <bookViews>
    <workbookView xWindow="-108" yWindow="-108" windowWidth="23256" windowHeight="12456" activeTab="4" xr2:uid="{113FB9D1-96F8-4B4C-BC9C-5441F8D44B1D}"/>
  </bookViews>
  <sheets>
    <sheet name="Faktury surowe" sheetId="1" r:id="rId1"/>
    <sheet name="Faktury oczyszczone" sheetId="2" r:id="rId2"/>
    <sheet name="Tabele przestawne" sheetId="4" r:id="rId3"/>
    <sheet name="Dashboard" sheetId="5" r:id="rId4"/>
    <sheet name="Wnioski" sheetId="6" r:id="rId5"/>
  </sheets>
  <calcPr calcId="191029"/>
  <pivotCaches>
    <pivotCache cacheId="0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06" i="2" l="1"/>
  <c r="N3006" i="2"/>
  <c r="M3006" i="2"/>
  <c r="L3006" i="2"/>
  <c r="K3006" i="2"/>
  <c r="J3006" i="2"/>
  <c r="I3006" i="2"/>
  <c r="H3006" i="2"/>
  <c r="G3006" i="2"/>
  <c r="F3006" i="2"/>
  <c r="C3006" i="2"/>
  <c r="A3006" i="2"/>
  <c r="O3005" i="2"/>
  <c r="N3005" i="2"/>
  <c r="M3005" i="2"/>
  <c r="L3005" i="2"/>
  <c r="K3005" i="2"/>
  <c r="J3005" i="2"/>
  <c r="I3005" i="2"/>
  <c r="H3005" i="2"/>
  <c r="G3005" i="2"/>
  <c r="F3005" i="2"/>
  <c r="C3005" i="2"/>
  <c r="A3005" i="2"/>
  <c r="O3004" i="2"/>
  <c r="N3004" i="2"/>
  <c r="M3004" i="2"/>
  <c r="L3004" i="2"/>
  <c r="K3004" i="2"/>
  <c r="J3004" i="2"/>
  <c r="I3004" i="2"/>
  <c r="H3004" i="2"/>
  <c r="G3004" i="2"/>
  <c r="F3004" i="2"/>
  <c r="C3004" i="2"/>
  <c r="A3004" i="2"/>
  <c r="O3003" i="2"/>
  <c r="N3003" i="2"/>
  <c r="M3003" i="2"/>
  <c r="L3003" i="2"/>
  <c r="K3003" i="2"/>
  <c r="J3003" i="2"/>
  <c r="I3003" i="2"/>
  <c r="H3003" i="2"/>
  <c r="G3003" i="2"/>
  <c r="F3003" i="2"/>
  <c r="C3003" i="2"/>
  <c r="A3003" i="2"/>
  <c r="O3002" i="2"/>
  <c r="N3002" i="2"/>
  <c r="M3002" i="2"/>
  <c r="L3002" i="2"/>
  <c r="K3002" i="2"/>
  <c r="J3002" i="2"/>
  <c r="I3002" i="2"/>
  <c r="H3002" i="2"/>
  <c r="G3002" i="2"/>
  <c r="F3002" i="2"/>
  <c r="C3002" i="2"/>
  <c r="A3002" i="2"/>
  <c r="O3001" i="2"/>
  <c r="N3001" i="2"/>
  <c r="M3001" i="2"/>
  <c r="L3001" i="2"/>
  <c r="K3001" i="2"/>
  <c r="J3001" i="2"/>
  <c r="I3001" i="2"/>
  <c r="H3001" i="2"/>
  <c r="G3001" i="2"/>
  <c r="F3001" i="2"/>
  <c r="C3001" i="2"/>
  <c r="A3001" i="2"/>
  <c r="O3000" i="2"/>
  <c r="N3000" i="2"/>
  <c r="M3000" i="2"/>
  <c r="L3000" i="2"/>
  <c r="K3000" i="2"/>
  <c r="J3000" i="2"/>
  <c r="I3000" i="2"/>
  <c r="H3000" i="2"/>
  <c r="G3000" i="2"/>
  <c r="F3000" i="2"/>
  <c r="C3000" i="2"/>
  <c r="A3000" i="2"/>
  <c r="O2999" i="2"/>
  <c r="N2999" i="2"/>
  <c r="M2999" i="2"/>
  <c r="L2999" i="2"/>
  <c r="K2999" i="2"/>
  <c r="J2999" i="2"/>
  <c r="I2999" i="2"/>
  <c r="H2999" i="2"/>
  <c r="G2999" i="2"/>
  <c r="F2999" i="2"/>
  <c r="C2999" i="2"/>
  <c r="A2999" i="2"/>
  <c r="O2998" i="2"/>
  <c r="N2998" i="2"/>
  <c r="M2998" i="2"/>
  <c r="L2998" i="2"/>
  <c r="K2998" i="2"/>
  <c r="J2998" i="2"/>
  <c r="I2998" i="2"/>
  <c r="H2998" i="2"/>
  <c r="G2998" i="2"/>
  <c r="F2998" i="2"/>
  <c r="C2998" i="2"/>
  <c r="B2998" i="2"/>
  <c r="A2998" i="2"/>
  <c r="O2997" i="2"/>
  <c r="N2997" i="2"/>
  <c r="M2997" i="2"/>
  <c r="L2997" i="2"/>
  <c r="K2997" i="2"/>
  <c r="J2997" i="2"/>
  <c r="I2997" i="2"/>
  <c r="H2997" i="2"/>
  <c r="G2997" i="2"/>
  <c r="F2997" i="2"/>
  <c r="C2997" i="2"/>
  <c r="B2997" i="2"/>
  <c r="A2997" i="2"/>
  <c r="O2996" i="2"/>
  <c r="N2996" i="2"/>
  <c r="M2996" i="2"/>
  <c r="L2996" i="2"/>
  <c r="K2996" i="2"/>
  <c r="J2996" i="2"/>
  <c r="I2996" i="2"/>
  <c r="H2996" i="2"/>
  <c r="G2996" i="2"/>
  <c r="F2996" i="2"/>
  <c r="C2996" i="2"/>
  <c r="B2996" i="2"/>
  <c r="A2996" i="2"/>
  <c r="O2995" i="2"/>
  <c r="N2995" i="2"/>
  <c r="M2995" i="2"/>
  <c r="L2995" i="2"/>
  <c r="K2995" i="2"/>
  <c r="J2995" i="2"/>
  <c r="I2995" i="2"/>
  <c r="H2995" i="2"/>
  <c r="G2995" i="2"/>
  <c r="F2995" i="2"/>
  <c r="C2995" i="2"/>
  <c r="B2995" i="2"/>
  <c r="A2995" i="2"/>
  <c r="O2994" i="2"/>
  <c r="N2994" i="2"/>
  <c r="M2994" i="2"/>
  <c r="L2994" i="2"/>
  <c r="K2994" i="2"/>
  <c r="J2994" i="2"/>
  <c r="I2994" i="2"/>
  <c r="H2994" i="2"/>
  <c r="G2994" i="2"/>
  <c r="F2994" i="2"/>
  <c r="C2994" i="2"/>
  <c r="B2994" i="2"/>
  <c r="A2994" i="2"/>
  <c r="O2993" i="2"/>
  <c r="N2993" i="2"/>
  <c r="M2993" i="2"/>
  <c r="L2993" i="2"/>
  <c r="K2993" i="2"/>
  <c r="J2993" i="2"/>
  <c r="I2993" i="2"/>
  <c r="H2993" i="2"/>
  <c r="G2993" i="2"/>
  <c r="F2993" i="2"/>
  <c r="C2993" i="2"/>
  <c r="B2993" i="2"/>
  <c r="A2993" i="2"/>
  <c r="O2992" i="2"/>
  <c r="N2992" i="2"/>
  <c r="M2992" i="2"/>
  <c r="L2992" i="2"/>
  <c r="K2992" i="2"/>
  <c r="J2992" i="2"/>
  <c r="I2992" i="2"/>
  <c r="H2992" i="2"/>
  <c r="G2992" i="2"/>
  <c r="F2992" i="2"/>
  <c r="C2992" i="2"/>
  <c r="B2992" i="2"/>
  <c r="A2992" i="2"/>
  <c r="O2991" i="2"/>
  <c r="N2991" i="2"/>
  <c r="M2991" i="2"/>
  <c r="L2991" i="2"/>
  <c r="K2991" i="2"/>
  <c r="J2991" i="2"/>
  <c r="I2991" i="2"/>
  <c r="H2991" i="2"/>
  <c r="G2991" i="2"/>
  <c r="F2991" i="2"/>
  <c r="C2991" i="2"/>
  <c r="B2991" i="2"/>
  <c r="A2991" i="2"/>
  <c r="O2990" i="2"/>
  <c r="N2990" i="2"/>
  <c r="M2990" i="2"/>
  <c r="L2990" i="2"/>
  <c r="K2990" i="2"/>
  <c r="J2990" i="2"/>
  <c r="I2990" i="2"/>
  <c r="H2990" i="2"/>
  <c r="G2990" i="2"/>
  <c r="F2990" i="2"/>
  <c r="C2990" i="2"/>
  <c r="B2990" i="2"/>
  <c r="A2990" i="2"/>
  <c r="O2989" i="2"/>
  <c r="N2989" i="2"/>
  <c r="M2989" i="2"/>
  <c r="L2989" i="2"/>
  <c r="K2989" i="2"/>
  <c r="J2989" i="2"/>
  <c r="I2989" i="2"/>
  <c r="H2989" i="2"/>
  <c r="G2989" i="2"/>
  <c r="F2989" i="2"/>
  <c r="C2989" i="2"/>
  <c r="B2989" i="2"/>
  <c r="A2989" i="2"/>
  <c r="O2988" i="2"/>
  <c r="N2988" i="2"/>
  <c r="M2988" i="2"/>
  <c r="L2988" i="2"/>
  <c r="K2988" i="2"/>
  <c r="J2988" i="2"/>
  <c r="I2988" i="2"/>
  <c r="H2988" i="2"/>
  <c r="G2988" i="2"/>
  <c r="F2988" i="2"/>
  <c r="C2988" i="2"/>
  <c r="B2988" i="2"/>
  <c r="A2988" i="2"/>
  <c r="O2987" i="2"/>
  <c r="N2987" i="2"/>
  <c r="M2987" i="2"/>
  <c r="L2987" i="2"/>
  <c r="K2987" i="2"/>
  <c r="J2987" i="2"/>
  <c r="I2987" i="2"/>
  <c r="H2987" i="2"/>
  <c r="G2987" i="2"/>
  <c r="F2987" i="2"/>
  <c r="C2987" i="2"/>
  <c r="B2987" i="2"/>
  <c r="A2987" i="2"/>
  <c r="O2986" i="2"/>
  <c r="N2986" i="2"/>
  <c r="M2986" i="2"/>
  <c r="L2986" i="2"/>
  <c r="K2986" i="2"/>
  <c r="J2986" i="2"/>
  <c r="I2986" i="2"/>
  <c r="H2986" i="2"/>
  <c r="G2986" i="2"/>
  <c r="F2986" i="2"/>
  <c r="C2986" i="2"/>
  <c r="B2986" i="2"/>
  <c r="A2986" i="2"/>
  <c r="O2985" i="2"/>
  <c r="N2985" i="2"/>
  <c r="M2985" i="2"/>
  <c r="L2985" i="2"/>
  <c r="K2985" i="2"/>
  <c r="J2985" i="2"/>
  <c r="I2985" i="2"/>
  <c r="H2985" i="2"/>
  <c r="G2985" i="2"/>
  <c r="F2985" i="2"/>
  <c r="C2985" i="2"/>
  <c r="B2985" i="2"/>
  <c r="A2985" i="2"/>
  <c r="O2984" i="2"/>
  <c r="N2984" i="2"/>
  <c r="M2984" i="2"/>
  <c r="L2984" i="2"/>
  <c r="K2984" i="2"/>
  <c r="J2984" i="2"/>
  <c r="I2984" i="2"/>
  <c r="H2984" i="2"/>
  <c r="G2984" i="2"/>
  <c r="F2984" i="2"/>
  <c r="C2984" i="2"/>
  <c r="B2984" i="2"/>
  <c r="A2984" i="2"/>
  <c r="O2983" i="2"/>
  <c r="N2983" i="2"/>
  <c r="M2983" i="2"/>
  <c r="L2983" i="2"/>
  <c r="K2983" i="2"/>
  <c r="J2983" i="2"/>
  <c r="I2983" i="2"/>
  <c r="H2983" i="2"/>
  <c r="G2983" i="2"/>
  <c r="F2983" i="2"/>
  <c r="C2983" i="2"/>
  <c r="B2983" i="2"/>
  <c r="A2983" i="2"/>
  <c r="O2982" i="2"/>
  <c r="N2982" i="2"/>
  <c r="M2982" i="2"/>
  <c r="L2982" i="2"/>
  <c r="K2982" i="2"/>
  <c r="J2982" i="2"/>
  <c r="I2982" i="2"/>
  <c r="H2982" i="2"/>
  <c r="G2982" i="2"/>
  <c r="F2982" i="2"/>
  <c r="C2982" i="2"/>
  <c r="B2982" i="2"/>
  <c r="A2982" i="2"/>
  <c r="O2981" i="2"/>
  <c r="N2981" i="2"/>
  <c r="M2981" i="2"/>
  <c r="L2981" i="2"/>
  <c r="K2981" i="2"/>
  <c r="J2981" i="2"/>
  <c r="I2981" i="2"/>
  <c r="H2981" i="2"/>
  <c r="G2981" i="2"/>
  <c r="F2981" i="2"/>
  <c r="C2981" i="2"/>
  <c r="B2981" i="2"/>
  <c r="A2981" i="2"/>
  <c r="O2980" i="2"/>
  <c r="N2980" i="2"/>
  <c r="M2980" i="2"/>
  <c r="L2980" i="2"/>
  <c r="K2980" i="2"/>
  <c r="J2980" i="2"/>
  <c r="I2980" i="2"/>
  <c r="H2980" i="2"/>
  <c r="G2980" i="2"/>
  <c r="F2980" i="2"/>
  <c r="C2980" i="2"/>
  <c r="B2980" i="2"/>
  <c r="A2980" i="2"/>
  <c r="O2979" i="2"/>
  <c r="N2979" i="2"/>
  <c r="M2979" i="2"/>
  <c r="L2979" i="2"/>
  <c r="K2979" i="2"/>
  <c r="J2979" i="2"/>
  <c r="I2979" i="2"/>
  <c r="H2979" i="2"/>
  <c r="G2979" i="2"/>
  <c r="F2979" i="2"/>
  <c r="C2979" i="2"/>
  <c r="B2979" i="2"/>
  <c r="A2979" i="2"/>
  <c r="O2978" i="2"/>
  <c r="N2978" i="2"/>
  <c r="M2978" i="2"/>
  <c r="L2978" i="2"/>
  <c r="K2978" i="2"/>
  <c r="J2978" i="2"/>
  <c r="I2978" i="2"/>
  <c r="H2978" i="2"/>
  <c r="G2978" i="2"/>
  <c r="F2978" i="2"/>
  <c r="C2978" i="2"/>
  <c r="B2978" i="2"/>
  <c r="A2978" i="2"/>
  <c r="O2977" i="2"/>
  <c r="N2977" i="2"/>
  <c r="M2977" i="2"/>
  <c r="L2977" i="2"/>
  <c r="K2977" i="2"/>
  <c r="J2977" i="2"/>
  <c r="I2977" i="2"/>
  <c r="H2977" i="2"/>
  <c r="G2977" i="2"/>
  <c r="F2977" i="2"/>
  <c r="C2977" i="2"/>
  <c r="B2977" i="2"/>
  <c r="A2977" i="2"/>
  <c r="O2976" i="2"/>
  <c r="N2976" i="2"/>
  <c r="M2976" i="2"/>
  <c r="L2976" i="2"/>
  <c r="K2976" i="2"/>
  <c r="J2976" i="2"/>
  <c r="I2976" i="2"/>
  <c r="H2976" i="2"/>
  <c r="G2976" i="2"/>
  <c r="F2976" i="2"/>
  <c r="C2976" i="2"/>
  <c r="B2976" i="2"/>
  <c r="A2976" i="2"/>
  <c r="O2975" i="2"/>
  <c r="N2975" i="2"/>
  <c r="M2975" i="2"/>
  <c r="L2975" i="2"/>
  <c r="K2975" i="2"/>
  <c r="J2975" i="2"/>
  <c r="I2975" i="2"/>
  <c r="H2975" i="2"/>
  <c r="G2975" i="2"/>
  <c r="F2975" i="2"/>
  <c r="C2975" i="2"/>
  <c r="B2975" i="2"/>
  <c r="A2975" i="2"/>
  <c r="O2974" i="2"/>
  <c r="N2974" i="2"/>
  <c r="M2974" i="2"/>
  <c r="L2974" i="2"/>
  <c r="K2974" i="2"/>
  <c r="J2974" i="2"/>
  <c r="I2974" i="2"/>
  <c r="H2974" i="2"/>
  <c r="G2974" i="2"/>
  <c r="F2974" i="2"/>
  <c r="C2974" i="2"/>
  <c r="B2974" i="2"/>
  <c r="A2974" i="2"/>
  <c r="O2973" i="2"/>
  <c r="N2973" i="2"/>
  <c r="M2973" i="2"/>
  <c r="L2973" i="2"/>
  <c r="K2973" i="2"/>
  <c r="J2973" i="2"/>
  <c r="I2973" i="2"/>
  <c r="H2973" i="2"/>
  <c r="G2973" i="2"/>
  <c r="F2973" i="2"/>
  <c r="C2973" i="2"/>
  <c r="B2973" i="2"/>
  <c r="A2973" i="2"/>
  <c r="O2972" i="2"/>
  <c r="N2972" i="2"/>
  <c r="M2972" i="2"/>
  <c r="L2972" i="2"/>
  <c r="K2972" i="2"/>
  <c r="J2972" i="2"/>
  <c r="I2972" i="2"/>
  <c r="H2972" i="2"/>
  <c r="G2972" i="2"/>
  <c r="F2972" i="2"/>
  <c r="C2972" i="2"/>
  <c r="B2972" i="2"/>
  <c r="A2972" i="2"/>
  <c r="O2971" i="2"/>
  <c r="N2971" i="2"/>
  <c r="M2971" i="2"/>
  <c r="L2971" i="2"/>
  <c r="K2971" i="2"/>
  <c r="J2971" i="2"/>
  <c r="I2971" i="2"/>
  <c r="H2971" i="2"/>
  <c r="G2971" i="2"/>
  <c r="F2971" i="2"/>
  <c r="C2971" i="2"/>
  <c r="B2971" i="2"/>
  <c r="A2971" i="2"/>
  <c r="O2970" i="2"/>
  <c r="N2970" i="2"/>
  <c r="M2970" i="2"/>
  <c r="L2970" i="2"/>
  <c r="K2970" i="2"/>
  <c r="J2970" i="2"/>
  <c r="I2970" i="2"/>
  <c r="H2970" i="2"/>
  <c r="G2970" i="2"/>
  <c r="F2970" i="2"/>
  <c r="C2970" i="2"/>
  <c r="B2970" i="2"/>
  <c r="A2970" i="2"/>
  <c r="O2969" i="2"/>
  <c r="N2969" i="2"/>
  <c r="M2969" i="2"/>
  <c r="L2969" i="2"/>
  <c r="K2969" i="2"/>
  <c r="J2969" i="2"/>
  <c r="I2969" i="2"/>
  <c r="H2969" i="2"/>
  <c r="G2969" i="2"/>
  <c r="F2969" i="2"/>
  <c r="C2969" i="2"/>
  <c r="B2969" i="2"/>
  <c r="A2969" i="2"/>
  <c r="O2968" i="2"/>
  <c r="N2968" i="2"/>
  <c r="M2968" i="2"/>
  <c r="L2968" i="2"/>
  <c r="K2968" i="2"/>
  <c r="J2968" i="2"/>
  <c r="I2968" i="2"/>
  <c r="H2968" i="2"/>
  <c r="G2968" i="2"/>
  <c r="F2968" i="2"/>
  <c r="C2968" i="2"/>
  <c r="B2968" i="2"/>
  <c r="A2968" i="2"/>
  <c r="O2967" i="2"/>
  <c r="N2967" i="2"/>
  <c r="M2967" i="2"/>
  <c r="L2967" i="2"/>
  <c r="K2967" i="2"/>
  <c r="J2967" i="2"/>
  <c r="I2967" i="2"/>
  <c r="H2967" i="2"/>
  <c r="G2967" i="2"/>
  <c r="F2967" i="2"/>
  <c r="C2967" i="2"/>
  <c r="B2967" i="2"/>
  <c r="A2967" i="2"/>
  <c r="O2966" i="2"/>
  <c r="N2966" i="2"/>
  <c r="M2966" i="2"/>
  <c r="L2966" i="2"/>
  <c r="K2966" i="2"/>
  <c r="J2966" i="2"/>
  <c r="I2966" i="2"/>
  <c r="H2966" i="2"/>
  <c r="G2966" i="2"/>
  <c r="F2966" i="2"/>
  <c r="C2966" i="2"/>
  <c r="B2966" i="2"/>
  <c r="A2966" i="2"/>
  <c r="O2965" i="2"/>
  <c r="N2965" i="2"/>
  <c r="M2965" i="2"/>
  <c r="L2965" i="2"/>
  <c r="K2965" i="2"/>
  <c r="J2965" i="2"/>
  <c r="I2965" i="2"/>
  <c r="H2965" i="2"/>
  <c r="G2965" i="2"/>
  <c r="F2965" i="2"/>
  <c r="C2965" i="2"/>
  <c r="B2965" i="2"/>
  <c r="A2965" i="2"/>
  <c r="O2964" i="2"/>
  <c r="N2964" i="2"/>
  <c r="M2964" i="2"/>
  <c r="L2964" i="2"/>
  <c r="K2964" i="2"/>
  <c r="J2964" i="2"/>
  <c r="I2964" i="2"/>
  <c r="H2964" i="2"/>
  <c r="G2964" i="2"/>
  <c r="F2964" i="2"/>
  <c r="C2964" i="2"/>
  <c r="B2964" i="2"/>
  <c r="A2964" i="2"/>
  <c r="O2963" i="2"/>
  <c r="N2963" i="2"/>
  <c r="M2963" i="2"/>
  <c r="L2963" i="2"/>
  <c r="K2963" i="2"/>
  <c r="J2963" i="2"/>
  <c r="I2963" i="2"/>
  <c r="H2963" i="2"/>
  <c r="G2963" i="2"/>
  <c r="F2963" i="2"/>
  <c r="C2963" i="2"/>
  <c r="B2963" i="2"/>
  <c r="A2963" i="2"/>
  <c r="O2962" i="2"/>
  <c r="N2962" i="2"/>
  <c r="M2962" i="2"/>
  <c r="L2962" i="2"/>
  <c r="K2962" i="2"/>
  <c r="J2962" i="2"/>
  <c r="I2962" i="2"/>
  <c r="H2962" i="2"/>
  <c r="G2962" i="2"/>
  <c r="F2962" i="2"/>
  <c r="C2962" i="2"/>
  <c r="B2962" i="2"/>
  <c r="A2962" i="2"/>
  <c r="O2961" i="2"/>
  <c r="N2961" i="2"/>
  <c r="M2961" i="2"/>
  <c r="L2961" i="2"/>
  <c r="K2961" i="2"/>
  <c r="J2961" i="2"/>
  <c r="I2961" i="2"/>
  <c r="H2961" i="2"/>
  <c r="G2961" i="2"/>
  <c r="F2961" i="2"/>
  <c r="C2961" i="2"/>
  <c r="B2961" i="2"/>
  <c r="A2961" i="2"/>
  <c r="O2960" i="2"/>
  <c r="N2960" i="2"/>
  <c r="M2960" i="2"/>
  <c r="L2960" i="2"/>
  <c r="K2960" i="2"/>
  <c r="J2960" i="2"/>
  <c r="I2960" i="2"/>
  <c r="H2960" i="2"/>
  <c r="G2960" i="2"/>
  <c r="F2960" i="2"/>
  <c r="C2960" i="2"/>
  <c r="B2960" i="2"/>
  <c r="A2960" i="2"/>
  <c r="O2959" i="2"/>
  <c r="N2959" i="2"/>
  <c r="M2959" i="2"/>
  <c r="L2959" i="2"/>
  <c r="K2959" i="2"/>
  <c r="J2959" i="2"/>
  <c r="I2959" i="2"/>
  <c r="H2959" i="2"/>
  <c r="G2959" i="2"/>
  <c r="F2959" i="2"/>
  <c r="C2959" i="2"/>
  <c r="B2959" i="2"/>
  <c r="A2959" i="2"/>
  <c r="O2958" i="2"/>
  <c r="N2958" i="2"/>
  <c r="M2958" i="2"/>
  <c r="L2958" i="2"/>
  <c r="K2958" i="2"/>
  <c r="J2958" i="2"/>
  <c r="I2958" i="2"/>
  <c r="H2958" i="2"/>
  <c r="G2958" i="2"/>
  <c r="F2958" i="2"/>
  <c r="C2958" i="2"/>
  <c r="B2958" i="2"/>
  <c r="A2958" i="2"/>
  <c r="O2957" i="2"/>
  <c r="N2957" i="2"/>
  <c r="M2957" i="2"/>
  <c r="L2957" i="2"/>
  <c r="K2957" i="2"/>
  <c r="J2957" i="2"/>
  <c r="I2957" i="2"/>
  <c r="H2957" i="2"/>
  <c r="G2957" i="2"/>
  <c r="F2957" i="2"/>
  <c r="C2957" i="2"/>
  <c r="B2957" i="2"/>
  <c r="A2957" i="2"/>
  <c r="O2956" i="2"/>
  <c r="N2956" i="2"/>
  <c r="M2956" i="2"/>
  <c r="L2956" i="2"/>
  <c r="K2956" i="2"/>
  <c r="J2956" i="2"/>
  <c r="I2956" i="2"/>
  <c r="H2956" i="2"/>
  <c r="G2956" i="2"/>
  <c r="F2956" i="2"/>
  <c r="C2956" i="2"/>
  <c r="B2956" i="2"/>
  <c r="A2956" i="2"/>
  <c r="O2955" i="2"/>
  <c r="N2955" i="2"/>
  <c r="M2955" i="2"/>
  <c r="L2955" i="2"/>
  <c r="K2955" i="2"/>
  <c r="J2955" i="2"/>
  <c r="I2955" i="2"/>
  <c r="H2955" i="2"/>
  <c r="G2955" i="2"/>
  <c r="F2955" i="2"/>
  <c r="C2955" i="2"/>
  <c r="B2955" i="2"/>
  <c r="A2955" i="2"/>
  <c r="O2954" i="2"/>
  <c r="N2954" i="2"/>
  <c r="M2954" i="2"/>
  <c r="L2954" i="2"/>
  <c r="K2954" i="2"/>
  <c r="J2954" i="2"/>
  <c r="I2954" i="2"/>
  <c r="H2954" i="2"/>
  <c r="G2954" i="2"/>
  <c r="F2954" i="2"/>
  <c r="C2954" i="2"/>
  <c r="B2954" i="2"/>
  <c r="A2954" i="2"/>
  <c r="O2953" i="2"/>
  <c r="N2953" i="2"/>
  <c r="M2953" i="2"/>
  <c r="L2953" i="2"/>
  <c r="K2953" i="2"/>
  <c r="J2953" i="2"/>
  <c r="I2953" i="2"/>
  <c r="H2953" i="2"/>
  <c r="G2953" i="2"/>
  <c r="F2953" i="2"/>
  <c r="C2953" i="2"/>
  <c r="B2953" i="2"/>
  <c r="A2953" i="2"/>
  <c r="O2952" i="2"/>
  <c r="N2952" i="2"/>
  <c r="M2952" i="2"/>
  <c r="L2952" i="2"/>
  <c r="K2952" i="2"/>
  <c r="J2952" i="2"/>
  <c r="I2952" i="2"/>
  <c r="H2952" i="2"/>
  <c r="G2952" i="2"/>
  <c r="F2952" i="2"/>
  <c r="C2952" i="2"/>
  <c r="B2952" i="2"/>
  <c r="A2952" i="2"/>
  <c r="O2951" i="2"/>
  <c r="N2951" i="2"/>
  <c r="M2951" i="2"/>
  <c r="L2951" i="2"/>
  <c r="K2951" i="2"/>
  <c r="J2951" i="2"/>
  <c r="I2951" i="2"/>
  <c r="H2951" i="2"/>
  <c r="G2951" i="2"/>
  <c r="F2951" i="2"/>
  <c r="C2951" i="2"/>
  <c r="B2951" i="2"/>
  <c r="A2951" i="2"/>
  <c r="O2950" i="2"/>
  <c r="N2950" i="2"/>
  <c r="M2950" i="2"/>
  <c r="L2950" i="2"/>
  <c r="K2950" i="2"/>
  <c r="J2950" i="2"/>
  <c r="I2950" i="2"/>
  <c r="H2950" i="2"/>
  <c r="G2950" i="2"/>
  <c r="F2950" i="2"/>
  <c r="C2950" i="2"/>
  <c r="B2950" i="2"/>
  <c r="A2950" i="2"/>
  <c r="O2949" i="2"/>
  <c r="N2949" i="2"/>
  <c r="M2949" i="2"/>
  <c r="L2949" i="2"/>
  <c r="K2949" i="2"/>
  <c r="J2949" i="2"/>
  <c r="I2949" i="2"/>
  <c r="H2949" i="2"/>
  <c r="G2949" i="2"/>
  <c r="F2949" i="2"/>
  <c r="C2949" i="2"/>
  <c r="B2949" i="2"/>
  <c r="A2949" i="2"/>
  <c r="O2948" i="2"/>
  <c r="N2948" i="2"/>
  <c r="M2948" i="2"/>
  <c r="L2948" i="2"/>
  <c r="K2948" i="2"/>
  <c r="J2948" i="2"/>
  <c r="I2948" i="2"/>
  <c r="H2948" i="2"/>
  <c r="G2948" i="2"/>
  <c r="F2948" i="2"/>
  <c r="C2948" i="2"/>
  <c r="B2948" i="2"/>
  <c r="A2948" i="2"/>
  <c r="O2947" i="2"/>
  <c r="N2947" i="2"/>
  <c r="M2947" i="2"/>
  <c r="L2947" i="2"/>
  <c r="K2947" i="2"/>
  <c r="J2947" i="2"/>
  <c r="I2947" i="2"/>
  <c r="H2947" i="2"/>
  <c r="G2947" i="2"/>
  <c r="F2947" i="2"/>
  <c r="C2947" i="2"/>
  <c r="B2947" i="2"/>
  <c r="A2947" i="2"/>
  <c r="O2946" i="2"/>
  <c r="N2946" i="2"/>
  <c r="M2946" i="2"/>
  <c r="L2946" i="2"/>
  <c r="K2946" i="2"/>
  <c r="J2946" i="2"/>
  <c r="I2946" i="2"/>
  <c r="H2946" i="2"/>
  <c r="G2946" i="2"/>
  <c r="F2946" i="2"/>
  <c r="C2946" i="2"/>
  <c r="B2946" i="2"/>
  <c r="A2946" i="2"/>
  <c r="O2945" i="2"/>
  <c r="N2945" i="2"/>
  <c r="M2945" i="2"/>
  <c r="L2945" i="2"/>
  <c r="K2945" i="2"/>
  <c r="J2945" i="2"/>
  <c r="I2945" i="2"/>
  <c r="H2945" i="2"/>
  <c r="G2945" i="2"/>
  <c r="F2945" i="2"/>
  <c r="C2945" i="2"/>
  <c r="B2945" i="2"/>
  <c r="A2945" i="2"/>
  <c r="O2944" i="2"/>
  <c r="N2944" i="2"/>
  <c r="M2944" i="2"/>
  <c r="L2944" i="2"/>
  <c r="K2944" i="2"/>
  <c r="J2944" i="2"/>
  <c r="I2944" i="2"/>
  <c r="H2944" i="2"/>
  <c r="G2944" i="2"/>
  <c r="F2944" i="2"/>
  <c r="C2944" i="2"/>
  <c r="B2944" i="2"/>
  <c r="A2944" i="2"/>
  <c r="O2943" i="2"/>
  <c r="N2943" i="2"/>
  <c r="M2943" i="2"/>
  <c r="L2943" i="2"/>
  <c r="K2943" i="2"/>
  <c r="J2943" i="2"/>
  <c r="I2943" i="2"/>
  <c r="H2943" i="2"/>
  <c r="G2943" i="2"/>
  <c r="F2943" i="2"/>
  <c r="C2943" i="2"/>
  <c r="B2943" i="2"/>
  <c r="A2943" i="2"/>
  <c r="O2942" i="2"/>
  <c r="N2942" i="2"/>
  <c r="M2942" i="2"/>
  <c r="L2942" i="2"/>
  <c r="K2942" i="2"/>
  <c r="J2942" i="2"/>
  <c r="I2942" i="2"/>
  <c r="H2942" i="2"/>
  <c r="G2942" i="2"/>
  <c r="F2942" i="2"/>
  <c r="C2942" i="2"/>
  <c r="B2942" i="2"/>
  <c r="A2942" i="2"/>
  <c r="O2941" i="2"/>
  <c r="N2941" i="2"/>
  <c r="M2941" i="2"/>
  <c r="L2941" i="2"/>
  <c r="K2941" i="2"/>
  <c r="J2941" i="2"/>
  <c r="I2941" i="2"/>
  <c r="H2941" i="2"/>
  <c r="G2941" i="2"/>
  <c r="F2941" i="2"/>
  <c r="C2941" i="2"/>
  <c r="B2941" i="2"/>
  <c r="A2941" i="2"/>
  <c r="O2940" i="2"/>
  <c r="N2940" i="2"/>
  <c r="M2940" i="2"/>
  <c r="L2940" i="2"/>
  <c r="K2940" i="2"/>
  <c r="J2940" i="2"/>
  <c r="I2940" i="2"/>
  <c r="H2940" i="2"/>
  <c r="G2940" i="2"/>
  <c r="F2940" i="2"/>
  <c r="C2940" i="2"/>
  <c r="B2940" i="2"/>
  <c r="A2940" i="2"/>
  <c r="O2939" i="2"/>
  <c r="N2939" i="2"/>
  <c r="M2939" i="2"/>
  <c r="L2939" i="2"/>
  <c r="K2939" i="2"/>
  <c r="J2939" i="2"/>
  <c r="I2939" i="2"/>
  <c r="H2939" i="2"/>
  <c r="G2939" i="2"/>
  <c r="F2939" i="2"/>
  <c r="C2939" i="2"/>
  <c r="B2939" i="2"/>
  <c r="A2939" i="2"/>
  <c r="O2938" i="2"/>
  <c r="N2938" i="2"/>
  <c r="M2938" i="2"/>
  <c r="L2938" i="2"/>
  <c r="K2938" i="2"/>
  <c r="J2938" i="2"/>
  <c r="I2938" i="2"/>
  <c r="H2938" i="2"/>
  <c r="G2938" i="2"/>
  <c r="F2938" i="2"/>
  <c r="C2938" i="2"/>
  <c r="B2938" i="2"/>
  <c r="A2938" i="2"/>
  <c r="O2937" i="2"/>
  <c r="N2937" i="2"/>
  <c r="M2937" i="2"/>
  <c r="L2937" i="2"/>
  <c r="K2937" i="2"/>
  <c r="J2937" i="2"/>
  <c r="I2937" i="2"/>
  <c r="H2937" i="2"/>
  <c r="G2937" i="2"/>
  <c r="F2937" i="2"/>
  <c r="C2937" i="2"/>
  <c r="B2937" i="2"/>
  <c r="A2937" i="2"/>
  <c r="O2936" i="2"/>
  <c r="N2936" i="2"/>
  <c r="M2936" i="2"/>
  <c r="L2936" i="2"/>
  <c r="K2936" i="2"/>
  <c r="J2936" i="2"/>
  <c r="I2936" i="2"/>
  <c r="H2936" i="2"/>
  <c r="G2936" i="2"/>
  <c r="F2936" i="2"/>
  <c r="C2936" i="2"/>
  <c r="B2936" i="2"/>
  <c r="A2936" i="2"/>
  <c r="O2935" i="2"/>
  <c r="N2935" i="2"/>
  <c r="M2935" i="2"/>
  <c r="L2935" i="2"/>
  <c r="K2935" i="2"/>
  <c r="J2935" i="2"/>
  <c r="I2935" i="2"/>
  <c r="H2935" i="2"/>
  <c r="G2935" i="2"/>
  <c r="F2935" i="2"/>
  <c r="C2935" i="2"/>
  <c r="B2935" i="2"/>
  <c r="A2935" i="2"/>
  <c r="O2934" i="2"/>
  <c r="N2934" i="2"/>
  <c r="M2934" i="2"/>
  <c r="L2934" i="2"/>
  <c r="K2934" i="2"/>
  <c r="J2934" i="2"/>
  <c r="I2934" i="2"/>
  <c r="H2934" i="2"/>
  <c r="G2934" i="2"/>
  <c r="F2934" i="2"/>
  <c r="C2934" i="2"/>
  <c r="B2934" i="2"/>
  <c r="A2934" i="2"/>
  <c r="O2933" i="2"/>
  <c r="N2933" i="2"/>
  <c r="M2933" i="2"/>
  <c r="L2933" i="2"/>
  <c r="K2933" i="2"/>
  <c r="J2933" i="2"/>
  <c r="I2933" i="2"/>
  <c r="H2933" i="2"/>
  <c r="G2933" i="2"/>
  <c r="F2933" i="2"/>
  <c r="C2933" i="2"/>
  <c r="B2933" i="2"/>
  <c r="A2933" i="2"/>
  <c r="O2932" i="2"/>
  <c r="N2932" i="2"/>
  <c r="M2932" i="2"/>
  <c r="L2932" i="2"/>
  <c r="K2932" i="2"/>
  <c r="J2932" i="2"/>
  <c r="I2932" i="2"/>
  <c r="H2932" i="2"/>
  <c r="G2932" i="2"/>
  <c r="F2932" i="2"/>
  <c r="C2932" i="2"/>
  <c r="B2932" i="2"/>
  <c r="A2932" i="2"/>
  <c r="O2931" i="2"/>
  <c r="N2931" i="2"/>
  <c r="M2931" i="2"/>
  <c r="L2931" i="2"/>
  <c r="K2931" i="2"/>
  <c r="J2931" i="2"/>
  <c r="I2931" i="2"/>
  <c r="H2931" i="2"/>
  <c r="G2931" i="2"/>
  <c r="F2931" i="2"/>
  <c r="C2931" i="2"/>
  <c r="B2931" i="2"/>
  <c r="A2931" i="2"/>
  <c r="O2930" i="2"/>
  <c r="N2930" i="2"/>
  <c r="M2930" i="2"/>
  <c r="L2930" i="2"/>
  <c r="K2930" i="2"/>
  <c r="J2930" i="2"/>
  <c r="I2930" i="2"/>
  <c r="H2930" i="2"/>
  <c r="G2930" i="2"/>
  <c r="F2930" i="2"/>
  <c r="C2930" i="2"/>
  <c r="B2930" i="2"/>
  <c r="A2930" i="2"/>
  <c r="O2929" i="2"/>
  <c r="N2929" i="2"/>
  <c r="M2929" i="2"/>
  <c r="L2929" i="2"/>
  <c r="K2929" i="2"/>
  <c r="J2929" i="2"/>
  <c r="I2929" i="2"/>
  <c r="H2929" i="2"/>
  <c r="G2929" i="2"/>
  <c r="F2929" i="2"/>
  <c r="C2929" i="2"/>
  <c r="B2929" i="2"/>
  <c r="A2929" i="2"/>
  <c r="O2928" i="2"/>
  <c r="N2928" i="2"/>
  <c r="M2928" i="2"/>
  <c r="L2928" i="2"/>
  <c r="K2928" i="2"/>
  <c r="J2928" i="2"/>
  <c r="I2928" i="2"/>
  <c r="H2928" i="2"/>
  <c r="G2928" i="2"/>
  <c r="F2928" i="2"/>
  <c r="C2928" i="2"/>
  <c r="B2928" i="2"/>
  <c r="A2928" i="2"/>
  <c r="O2927" i="2"/>
  <c r="N2927" i="2"/>
  <c r="M2927" i="2"/>
  <c r="L2927" i="2"/>
  <c r="K2927" i="2"/>
  <c r="J2927" i="2"/>
  <c r="I2927" i="2"/>
  <c r="H2927" i="2"/>
  <c r="G2927" i="2"/>
  <c r="F2927" i="2"/>
  <c r="C2927" i="2"/>
  <c r="B2927" i="2"/>
  <c r="A2927" i="2"/>
  <c r="O2926" i="2"/>
  <c r="N2926" i="2"/>
  <c r="M2926" i="2"/>
  <c r="L2926" i="2"/>
  <c r="K2926" i="2"/>
  <c r="J2926" i="2"/>
  <c r="I2926" i="2"/>
  <c r="H2926" i="2"/>
  <c r="G2926" i="2"/>
  <c r="F2926" i="2"/>
  <c r="C2926" i="2"/>
  <c r="B2926" i="2"/>
  <c r="A2926" i="2"/>
  <c r="O2925" i="2"/>
  <c r="N2925" i="2"/>
  <c r="M2925" i="2"/>
  <c r="L2925" i="2"/>
  <c r="K2925" i="2"/>
  <c r="J2925" i="2"/>
  <c r="I2925" i="2"/>
  <c r="H2925" i="2"/>
  <c r="G2925" i="2"/>
  <c r="F2925" i="2"/>
  <c r="C2925" i="2"/>
  <c r="B2925" i="2"/>
  <c r="A2925" i="2"/>
  <c r="O2924" i="2"/>
  <c r="N2924" i="2"/>
  <c r="M2924" i="2"/>
  <c r="L2924" i="2"/>
  <c r="K2924" i="2"/>
  <c r="J2924" i="2"/>
  <c r="I2924" i="2"/>
  <c r="H2924" i="2"/>
  <c r="G2924" i="2"/>
  <c r="F2924" i="2"/>
  <c r="C2924" i="2"/>
  <c r="B2924" i="2"/>
  <c r="A2924" i="2"/>
  <c r="O2923" i="2"/>
  <c r="N2923" i="2"/>
  <c r="M2923" i="2"/>
  <c r="L2923" i="2"/>
  <c r="K2923" i="2"/>
  <c r="J2923" i="2"/>
  <c r="I2923" i="2"/>
  <c r="H2923" i="2"/>
  <c r="G2923" i="2"/>
  <c r="F2923" i="2"/>
  <c r="C2923" i="2"/>
  <c r="B2923" i="2"/>
  <c r="A2923" i="2"/>
  <c r="O2922" i="2"/>
  <c r="N2922" i="2"/>
  <c r="M2922" i="2"/>
  <c r="L2922" i="2"/>
  <c r="K2922" i="2"/>
  <c r="J2922" i="2"/>
  <c r="I2922" i="2"/>
  <c r="H2922" i="2"/>
  <c r="G2922" i="2"/>
  <c r="F2922" i="2"/>
  <c r="C2922" i="2"/>
  <c r="B2922" i="2"/>
  <c r="A2922" i="2"/>
  <c r="O2921" i="2"/>
  <c r="N2921" i="2"/>
  <c r="M2921" i="2"/>
  <c r="L2921" i="2"/>
  <c r="K2921" i="2"/>
  <c r="J2921" i="2"/>
  <c r="I2921" i="2"/>
  <c r="H2921" i="2"/>
  <c r="G2921" i="2"/>
  <c r="F2921" i="2"/>
  <c r="C2921" i="2"/>
  <c r="B2921" i="2"/>
  <c r="A2921" i="2"/>
  <c r="O2920" i="2"/>
  <c r="N2920" i="2"/>
  <c r="M2920" i="2"/>
  <c r="L2920" i="2"/>
  <c r="K2920" i="2"/>
  <c r="J2920" i="2"/>
  <c r="I2920" i="2"/>
  <c r="H2920" i="2"/>
  <c r="G2920" i="2"/>
  <c r="F2920" i="2"/>
  <c r="C2920" i="2"/>
  <c r="B2920" i="2"/>
  <c r="A2920" i="2"/>
  <c r="O2919" i="2"/>
  <c r="N2919" i="2"/>
  <c r="M2919" i="2"/>
  <c r="L2919" i="2"/>
  <c r="K2919" i="2"/>
  <c r="J2919" i="2"/>
  <c r="I2919" i="2"/>
  <c r="H2919" i="2"/>
  <c r="G2919" i="2"/>
  <c r="F2919" i="2"/>
  <c r="C2919" i="2"/>
  <c r="B2919" i="2"/>
  <c r="A2919" i="2"/>
  <c r="O2918" i="2"/>
  <c r="N2918" i="2"/>
  <c r="M2918" i="2"/>
  <c r="L2918" i="2"/>
  <c r="K2918" i="2"/>
  <c r="J2918" i="2"/>
  <c r="I2918" i="2"/>
  <c r="H2918" i="2"/>
  <c r="G2918" i="2"/>
  <c r="F2918" i="2"/>
  <c r="C2918" i="2"/>
  <c r="B2918" i="2"/>
  <c r="A2918" i="2"/>
  <c r="O2917" i="2"/>
  <c r="N2917" i="2"/>
  <c r="M2917" i="2"/>
  <c r="L2917" i="2"/>
  <c r="K2917" i="2"/>
  <c r="J2917" i="2"/>
  <c r="I2917" i="2"/>
  <c r="H2917" i="2"/>
  <c r="G2917" i="2"/>
  <c r="F2917" i="2"/>
  <c r="C2917" i="2"/>
  <c r="B2917" i="2"/>
  <c r="A2917" i="2"/>
  <c r="O2916" i="2"/>
  <c r="N2916" i="2"/>
  <c r="M2916" i="2"/>
  <c r="L2916" i="2"/>
  <c r="K2916" i="2"/>
  <c r="J2916" i="2"/>
  <c r="I2916" i="2"/>
  <c r="H2916" i="2"/>
  <c r="G2916" i="2"/>
  <c r="F2916" i="2"/>
  <c r="C2916" i="2"/>
  <c r="B2916" i="2"/>
  <c r="A2916" i="2"/>
  <c r="O2915" i="2"/>
  <c r="N2915" i="2"/>
  <c r="M2915" i="2"/>
  <c r="L2915" i="2"/>
  <c r="K2915" i="2"/>
  <c r="J2915" i="2"/>
  <c r="I2915" i="2"/>
  <c r="H2915" i="2"/>
  <c r="G2915" i="2"/>
  <c r="F2915" i="2"/>
  <c r="C2915" i="2"/>
  <c r="B2915" i="2"/>
  <c r="A2915" i="2"/>
  <c r="O2914" i="2"/>
  <c r="N2914" i="2"/>
  <c r="M2914" i="2"/>
  <c r="L2914" i="2"/>
  <c r="K2914" i="2"/>
  <c r="J2914" i="2"/>
  <c r="I2914" i="2"/>
  <c r="H2914" i="2"/>
  <c r="G2914" i="2"/>
  <c r="F2914" i="2"/>
  <c r="C2914" i="2"/>
  <c r="B2914" i="2"/>
  <c r="A2914" i="2"/>
  <c r="O2913" i="2"/>
  <c r="N2913" i="2"/>
  <c r="M2913" i="2"/>
  <c r="L2913" i="2"/>
  <c r="K2913" i="2"/>
  <c r="J2913" i="2"/>
  <c r="I2913" i="2"/>
  <c r="H2913" i="2"/>
  <c r="G2913" i="2"/>
  <c r="F2913" i="2"/>
  <c r="C2913" i="2"/>
  <c r="B2913" i="2"/>
  <c r="A2913" i="2"/>
  <c r="O2912" i="2"/>
  <c r="N2912" i="2"/>
  <c r="M2912" i="2"/>
  <c r="L2912" i="2"/>
  <c r="K2912" i="2"/>
  <c r="J2912" i="2"/>
  <c r="I2912" i="2"/>
  <c r="H2912" i="2"/>
  <c r="G2912" i="2"/>
  <c r="F2912" i="2"/>
  <c r="C2912" i="2"/>
  <c r="B2912" i="2"/>
  <c r="A2912" i="2"/>
  <c r="O2911" i="2"/>
  <c r="N2911" i="2"/>
  <c r="M2911" i="2"/>
  <c r="L2911" i="2"/>
  <c r="K2911" i="2"/>
  <c r="J2911" i="2"/>
  <c r="I2911" i="2"/>
  <c r="H2911" i="2"/>
  <c r="G2911" i="2"/>
  <c r="F2911" i="2"/>
  <c r="C2911" i="2"/>
  <c r="B2911" i="2"/>
  <c r="A2911" i="2"/>
  <c r="O2910" i="2"/>
  <c r="N2910" i="2"/>
  <c r="M2910" i="2"/>
  <c r="L2910" i="2"/>
  <c r="K2910" i="2"/>
  <c r="J2910" i="2"/>
  <c r="I2910" i="2"/>
  <c r="H2910" i="2"/>
  <c r="G2910" i="2"/>
  <c r="F2910" i="2"/>
  <c r="C2910" i="2"/>
  <c r="B2910" i="2"/>
  <c r="A2910" i="2"/>
  <c r="O2909" i="2"/>
  <c r="N2909" i="2"/>
  <c r="M2909" i="2"/>
  <c r="L2909" i="2"/>
  <c r="K2909" i="2"/>
  <c r="J2909" i="2"/>
  <c r="I2909" i="2"/>
  <c r="H2909" i="2"/>
  <c r="G2909" i="2"/>
  <c r="F2909" i="2"/>
  <c r="C2909" i="2"/>
  <c r="B2909" i="2"/>
  <c r="A2909" i="2"/>
  <c r="O2908" i="2"/>
  <c r="N2908" i="2"/>
  <c r="M2908" i="2"/>
  <c r="L2908" i="2"/>
  <c r="K2908" i="2"/>
  <c r="J2908" i="2"/>
  <c r="I2908" i="2"/>
  <c r="H2908" i="2"/>
  <c r="G2908" i="2"/>
  <c r="F2908" i="2"/>
  <c r="C2908" i="2"/>
  <c r="B2908" i="2"/>
  <c r="A2908" i="2"/>
  <c r="O2907" i="2"/>
  <c r="N2907" i="2"/>
  <c r="M2907" i="2"/>
  <c r="L2907" i="2"/>
  <c r="K2907" i="2"/>
  <c r="J2907" i="2"/>
  <c r="I2907" i="2"/>
  <c r="H2907" i="2"/>
  <c r="G2907" i="2"/>
  <c r="F2907" i="2"/>
  <c r="C2907" i="2"/>
  <c r="B2907" i="2"/>
  <c r="A2907" i="2"/>
  <c r="O2906" i="2"/>
  <c r="N2906" i="2"/>
  <c r="M2906" i="2"/>
  <c r="L2906" i="2"/>
  <c r="K2906" i="2"/>
  <c r="J2906" i="2"/>
  <c r="I2906" i="2"/>
  <c r="H2906" i="2"/>
  <c r="G2906" i="2"/>
  <c r="F2906" i="2"/>
  <c r="C2906" i="2"/>
  <c r="B2906" i="2"/>
  <c r="A2906" i="2"/>
  <c r="O2905" i="2"/>
  <c r="N2905" i="2"/>
  <c r="M2905" i="2"/>
  <c r="L2905" i="2"/>
  <c r="K2905" i="2"/>
  <c r="J2905" i="2"/>
  <c r="I2905" i="2"/>
  <c r="H2905" i="2"/>
  <c r="G2905" i="2"/>
  <c r="F2905" i="2"/>
  <c r="C2905" i="2"/>
  <c r="B2905" i="2"/>
  <c r="A2905" i="2"/>
  <c r="O2904" i="2"/>
  <c r="N2904" i="2"/>
  <c r="M2904" i="2"/>
  <c r="L2904" i="2"/>
  <c r="K2904" i="2"/>
  <c r="J2904" i="2"/>
  <c r="I2904" i="2"/>
  <c r="H2904" i="2"/>
  <c r="G2904" i="2"/>
  <c r="F2904" i="2"/>
  <c r="C2904" i="2"/>
  <c r="B2904" i="2"/>
  <c r="A2904" i="2"/>
  <c r="O2903" i="2"/>
  <c r="N2903" i="2"/>
  <c r="M2903" i="2"/>
  <c r="L2903" i="2"/>
  <c r="K2903" i="2"/>
  <c r="J2903" i="2"/>
  <c r="I2903" i="2"/>
  <c r="H2903" i="2"/>
  <c r="G2903" i="2"/>
  <c r="F2903" i="2"/>
  <c r="C2903" i="2"/>
  <c r="B2903" i="2"/>
  <c r="A2903" i="2"/>
  <c r="O2902" i="2"/>
  <c r="N2902" i="2"/>
  <c r="M2902" i="2"/>
  <c r="L2902" i="2"/>
  <c r="K2902" i="2"/>
  <c r="J2902" i="2"/>
  <c r="I2902" i="2"/>
  <c r="H2902" i="2"/>
  <c r="G2902" i="2"/>
  <c r="F2902" i="2"/>
  <c r="C2902" i="2"/>
  <c r="B2902" i="2"/>
  <c r="A2902" i="2"/>
  <c r="O2901" i="2"/>
  <c r="N2901" i="2"/>
  <c r="M2901" i="2"/>
  <c r="L2901" i="2"/>
  <c r="K2901" i="2"/>
  <c r="J2901" i="2"/>
  <c r="I2901" i="2"/>
  <c r="H2901" i="2"/>
  <c r="G2901" i="2"/>
  <c r="F2901" i="2"/>
  <c r="C2901" i="2"/>
  <c r="B2901" i="2"/>
  <c r="A2901" i="2"/>
  <c r="O2900" i="2"/>
  <c r="N2900" i="2"/>
  <c r="M2900" i="2"/>
  <c r="L2900" i="2"/>
  <c r="K2900" i="2"/>
  <c r="J2900" i="2"/>
  <c r="I2900" i="2"/>
  <c r="H2900" i="2"/>
  <c r="G2900" i="2"/>
  <c r="F2900" i="2"/>
  <c r="C2900" i="2"/>
  <c r="B2900" i="2"/>
  <c r="A2900" i="2"/>
  <c r="O2899" i="2"/>
  <c r="N2899" i="2"/>
  <c r="M2899" i="2"/>
  <c r="L2899" i="2"/>
  <c r="K2899" i="2"/>
  <c r="J2899" i="2"/>
  <c r="I2899" i="2"/>
  <c r="H2899" i="2"/>
  <c r="G2899" i="2"/>
  <c r="F2899" i="2"/>
  <c r="C2899" i="2"/>
  <c r="B2899" i="2"/>
  <c r="A2899" i="2"/>
  <c r="O2898" i="2"/>
  <c r="N2898" i="2"/>
  <c r="M2898" i="2"/>
  <c r="L2898" i="2"/>
  <c r="K2898" i="2"/>
  <c r="J2898" i="2"/>
  <c r="I2898" i="2"/>
  <c r="H2898" i="2"/>
  <c r="G2898" i="2"/>
  <c r="F2898" i="2"/>
  <c r="C2898" i="2"/>
  <c r="B2898" i="2"/>
  <c r="A2898" i="2"/>
  <c r="O2897" i="2"/>
  <c r="N2897" i="2"/>
  <c r="M2897" i="2"/>
  <c r="L2897" i="2"/>
  <c r="K2897" i="2"/>
  <c r="J2897" i="2"/>
  <c r="I2897" i="2"/>
  <c r="H2897" i="2"/>
  <c r="G2897" i="2"/>
  <c r="F2897" i="2"/>
  <c r="C2897" i="2"/>
  <c r="B2897" i="2"/>
  <c r="A2897" i="2"/>
  <c r="O2896" i="2"/>
  <c r="N2896" i="2"/>
  <c r="M2896" i="2"/>
  <c r="L2896" i="2"/>
  <c r="K2896" i="2"/>
  <c r="J2896" i="2"/>
  <c r="I2896" i="2"/>
  <c r="H2896" i="2"/>
  <c r="G2896" i="2"/>
  <c r="F2896" i="2"/>
  <c r="C2896" i="2"/>
  <c r="B2896" i="2"/>
  <c r="A2896" i="2"/>
  <c r="O2895" i="2"/>
  <c r="N2895" i="2"/>
  <c r="M2895" i="2"/>
  <c r="L2895" i="2"/>
  <c r="K2895" i="2"/>
  <c r="J2895" i="2"/>
  <c r="I2895" i="2"/>
  <c r="H2895" i="2"/>
  <c r="G2895" i="2"/>
  <c r="F2895" i="2"/>
  <c r="C2895" i="2"/>
  <c r="B2895" i="2"/>
  <c r="A2895" i="2"/>
  <c r="O2894" i="2"/>
  <c r="N2894" i="2"/>
  <c r="M2894" i="2"/>
  <c r="L2894" i="2"/>
  <c r="K2894" i="2"/>
  <c r="J2894" i="2"/>
  <c r="I2894" i="2"/>
  <c r="H2894" i="2"/>
  <c r="G2894" i="2"/>
  <c r="F2894" i="2"/>
  <c r="C2894" i="2"/>
  <c r="B2894" i="2"/>
  <c r="A2894" i="2"/>
  <c r="O2893" i="2"/>
  <c r="N2893" i="2"/>
  <c r="M2893" i="2"/>
  <c r="L2893" i="2"/>
  <c r="K2893" i="2"/>
  <c r="J2893" i="2"/>
  <c r="I2893" i="2"/>
  <c r="H2893" i="2"/>
  <c r="G2893" i="2"/>
  <c r="F2893" i="2"/>
  <c r="C2893" i="2"/>
  <c r="B2893" i="2"/>
  <c r="A2893" i="2"/>
  <c r="O2892" i="2"/>
  <c r="N2892" i="2"/>
  <c r="M2892" i="2"/>
  <c r="L2892" i="2"/>
  <c r="K2892" i="2"/>
  <c r="J2892" i="2"/>
  <c r="I2892" i="2"/>
  <c r="H2892" i="2"/>
  <c r="G2892" i="2"/>
  <c r="F2892" i="2"/>
  <c r="C2892" i="2"/>
  <c r="B2892" i="2"/>
  <c r="A2892" i="2"/>
  <c r="O2891" i="2"/>
  <c r="N2891" i="2"/>
  <c r="M2891" i="2"/>
  <c r="L2891" i="2"/>
  <c r="K2891" i="2"/>
  <c r="J2891" i="2"/>
  <c r="I2891" i="2"/>
  <c r="H2891" i="2"/>
  <c r="G2891" i="2"/>
  <c r="F2891" i="2"/>
  <c r="C2891" i="2"/>
  <c r="B2891" i="2"/>
  <c r="A2891" i="2"/>
  <c r="O2890" i="2"/>
  <c r="N2890" i="2"/>
  <c r="M2890" i="2"/>
  <c r="L2890" i="2"/>
  <c r="K2890" i="2"/>
  <c r="J2890" i="2"/>
  <c r="I2890" i="2"/>
  <c r="H2890" i="2"/>
  <c r="G2890" i="2"/>
  <c r="F2890" i="2"/>
  <c r="C2890" i="2"/>
  <c r="B2890" i="2"/>
  <c r="A2890" i="2"/>
  <c r="O2889" i="2"/>
  <c r="N2889" i="2"/>
  <c r="M2889" i="2"/>
  <c r="L2889" i="2"/>
  <c r="K2889" i="2"/>
  <c r="J2889" i="2"/>
  <c r="I2889" i="2"/>
  <c r="H2889" i="2"/>
  <c r="G2889" i="2"/>
  <c r="F2889" i="2"/>
  <c r="C2889" i="2"/>
  <c r="B2889" i="2"/>
  <c r="A2889" i="2"/>
  <c r="O2888" i="2"/>
  <c r="N2888" i="2"/>
  <c r="M2888" i="2"/>
  <c r="L2888" i="2"/>
  <c r="K2888" i="2"/>
  <c r="J2888" i="2"/>
  <c r="I2888" i="2"/>
  <c r="H2888" i="2"/>
  <c r="G2888" i="2"/>
  <c r="F2888" i="2"/>
  <c r="C2888" i="2"/>
  <c r="B2888" i="2"/>
  <c r="A2888" i="2"/>
  <c r="O2887" i="2"/>
  <c r="N2887" i="2"/>
  <c r="M2887" i="2"/>
  <c r="L2887" i="2"/>
  <c r="K2887" i="2"/>
  <c r="J2887" i="2"/>
  <c r="I2887" i="2"/>
  <c r="H2887" i="2"/>
  <c r="G2887" i="2"/>
  <c r="F2887" i="2"/>
  <c r="C2887" i="2"/>
  <c r="B2887" i="2"/>
  <c r="A2887" i="2"/>
  <c r="O2886" i="2"/>
  <c r="N2886" i="2"/>
  <c r="M2886" i="2"/>
  <c r="L2886" i="2"/>
  <c r="K2886" i="2"/>
  <c r="J2886" i="2"/>
  <c r="I2886" i="2"/>
  <c r="H2886" i="2"/>
  <c r="G2886" i="2"/>
  <c r="F2886" i="2"/>
  <c r="C2886" i="2"/>
  <c r="B2886" i="2"/>
  <c r="A2886" i="2"/>
  <c r="O2885" i="2"/>
  <c r="N2885" i="2"/>
  <c r="M2885" i="2"/>
  <c r="L2885" i="2"/>
  <c r="K2885" i="2"/>
  <c r="J2885" i="2"/>
  <c r="I2885" i="2"/>
  <c r="H2885" i="2"/>
  <c r="G2885" i="2"/>
  <c r="F2885" i="2"/>
  <c r="C2885" i="2"/>
  <c r="B2885" i="2"/>
  <c r="A2885" i="2"/>
  <c r="O2884" i="2"/>
  <c r="N2884" i="2"/>
  <c r="M2884" i="2"/>
  <c r="L2884" i="2"/>
  <c r="K2884" i="2"/>
  <c r="J2884" i="2"/>
  <c r="I2884" i="2"/>
  <c r="H2884" i="2"/>
  <c r="G2884" i="2"/>
  <c r="F2884" i="2"/>
  <c r="C2884" i="2"/>
  <c r="B2884" i="2"/>
  <c r="A2884" i="2"/>
  <c r="O2883" i="2"/>
  <c r="N2883" i="2"/>
  <c r="M2883" i="2"/>
  <c r="L2883" i="2"/>
  <c r="K2883" i="2"/>
  <c r="J2883" i="2"/>
  <c r="I2883" i="2"/>
  <c r="H2883" i="2"/>
  <c r="G2883" i="2"/>
  <c r="F2883" i="2"/>
  <c r="C2883" i="2"/>
  <c r="B2883" i="2"/>
  <c r="A2883" i="2"/>
  <c r="O2882" i="2"/>
  <c r="N2882" i="2"/>
  <c r="M2882" i="2"/>
  <c r="L2882" i="2"/>
  <c r="K2882" i="2"/>
  <c r="J2882" i="2"/>
  <c r="I2882" i="2"/>
  <c r="H2882" i="2"/>
  <c r="G2882" i="2"/>
  <c r="F2882" i="2"/>
  <c r="C2882" i="2"/>
  <c r="B2882" i="2"/>
  <c r="A2882" i="2"/>
  <c r="O2881" i="2"/>
  <c r="N2881" i="2"/>
  <c r="M2881" i="2"/>
  <c r="L2881" i="2"/>
  <c r="K2881" i="2"/>
  <c r="J2881" i="2"/>
  <c r="I2881" i="2"/>
  <c r="H2881" i="2"/>
  <c r="G2881" i="2"/>
  <c r="F2881" i="2"/>
  <c r="C2881" i="2"/>
  <c r="B2881" i="2"/>
  <c r="A2881" i="2"/>
  <c r="O2880" i="2"/>
  <c r="N2880" i="2"/>
  <c r="M2880" i="2"/>
  <c r="L2880" i="2"/>
  <c r="K2880" i="2"/>
  <c r="J2880" i="2"/>
  <c r="I2880" i="2"/>
  <c r="H2880" i="2"/>
  <c r="G2880" i="2"/>
  <c r="F2880" i="2"/>
  <c r="C2880" i="2"/>
  <c r="B2880" i="2"/>
  <c r="A2880" i="2"/>
  <c r="O2879" i="2"/>
  <c r="N2879" i="2"/>
  <c r="M2879" i="2"/>
  <c r="L2879" i="2"/>
  <c r="K2879" i="2"/>
  <c r="J2879" i="2"/>
  <c r="I2879" i="2"/>
  <c r="H2879" i="2"/>
  <c r="G2879" i="2"/>
  <c r="F2879" i="2"/>
  <c r="C2879" i="2"/>
  <c r="B2879" i="2"/>
  <c r="A2879" i="2"/>
  <c r="O2878" i="2"/>
  <c r="N2878" i="2"/>
  <c r="M2878" i="2"/>
  <c r="L2878" i="2"/>
  <c r="K2878" i="2"/>
  <c r="J2878" i="2"/>
  <c r="I2878" i="2"/>
  <c r="H2878" i="2"/>
  <c r="G2878" i="2"/>
  <c r="F2878" i="2"/>
  <c r="C2878" i="2"/>
  <c r="B2878" i="2"/>
  <c r="A2878" i="2"/>
  <c r="O2877" i="2"/>
  <c r="N2877" i="2"/>
  <c r="M2877" i="2"/>
  <c r="L2877" i="2"/>
  <c r="K2877" i="2"/>
  <c r="J2877" i="2"/>
  <c r="I2877" i="2"/>
  <c r="H2877" i="2"/>
  <c r="G2877" i="2"/>
  <c r="F2877" i="2"/>
  <c r="C2877" i="2"/>
  <c r="B2877" i="2"/>
  <c r="A2877" i="2"/>
  <c r="O2876" i="2"/>
  <c r="N2876" i="2"/>
  <c r="M2876" i="2"/>
  <c r="L2876" i="2"/>
  <c r="K2876" i="2"/>
  <c r="J2876" i="2"/>
  <c r="I2876" i="2"/>
  <c r="H2876" i="2"/>
  <c r="G2876" i="2"/>
  <c r="F2876" i="2"/>
  <c r="C2876" i="2"/>
  <c r="B2876" i="2"/>
  <c r="A2876" i="2"/>
  <c r="O2875" i="2"/>
  <c r="N2875" i="2"/>
  <c r="M2875" i="2"/>
  <c r="L2875" i="2"/>
  <c r="K2875" i="2"/>
  <c r="J2875" i="2"/>
  <c r="I2875" i="2"/>
  <c r="H2875" i="2"/>
  <c r="G2875" i="2"/>
  <c r="F2875" i="2"/>
  <c r="C2875" i="2"/>
  <c r="B2875" i="2"/>
  <c r="A2875" i="2"/>
  <c r="O2874" i="2"/>
  <c r="N2874" i="2"/>
  <c r="M2874" i="2"/>
  <c r="L2874" i="2"/>
  <c r="K2874" i="2"/>
  <c r="J2874" i="2"/>
  <c r="I2874" i="2"/>
  <c r="H2874" i="2"/>
  <c r="G2874" i="2"/>
  <c r="F2874" i="2"/>
  <c r="C2874" i="2"/>
  <c r="B2874" i="2"/>
  <c r="A2874" i="2"/>
  <c r="O2873" i="2"/>
  <c r="N2873" i="2"/>
  <c r="M2873" i="2"/>
  <c r="L2873" i="2"/>
  <c r="K2873" i="2"/>
  <c r="J2873" i="2"/>
  <c r="I2873" i="2"/>
  <c r="H2873" i="2"/>
  <c r="G2873" i="2"/>
  <c r="F2873" i="2"/>
  <c r="C2873" i="2"/>
  <c r="B2873" i="2"/>
  <c r="A2873" i="2"/>
  <c r="O2872" i="2"/>
  <c r="N2872" i="2"/>
  <c r="M2872" i="2"/>
  <c r="L2872" i="2"/>
  <c r="K2872" i="2"/>
  <c r="J2872" i="2"/>
  <c r="I2872" i="2"/>
  <c r="H2872" i="2"/>
  <c r="G2872" i="2"/>
  <c r="F2872" i="2"/>
  <c r="C2872" i="2"/>
  <c r="B2872" i="2"/>
  <c r="A2872" i="2"/>
  <c r="O2871" i="2"/>
  <c r="N2871" i="2"/>
  <c r="M2871" i="2"/>
  <c r="L2871" i="2"/>
  <c r="K2871" i="2"/>
  <c r="J2871" i="2"/>
  <c r="I2871" i="2"/>
  <c r="H2871" i="2"/>
  <c r="G2871" i="2"/>
  <c r="F2871" i="2"/>
  <c r="C2871" i="2"/>
  <c r="B2871" i="2"/>
  <c r="A2871" i="2"/>
  <c r="O2870" i="2"/>
  <c r="N2870" i="2"/>
  <c r="M2870" i="2"/>
  <c r="L2870" i="2"/>
  <c r="K2870" i="2"/>
  <c r="J2870" i="2"/>
  <c r="I2870" i="2"/>
  <c r="H2870" i="2"/>
  <c r="G2870" i="2"/>
  <c r="F2870" i="2"/>
  <c r="C2870" i="2"/>
  <c r="B2870" i="2"/>
  <c r="A2870" i="2"/>
  <c r="O2869" i="2"/>
  <c r="N2869" i="2"/>
  <c r="M2869" i="2"/>
  <c r="L2869" i="2"/>
  <c r="K2869" i="2"/>
  <c r="J2869" i="2"/>
  <c r="I2869" i="2"/>
  <c r="H2869" i="2"/>
  <c r="G2869" i="2"/>
  <c r="F2869" i="2"/>
  <c r="C2869" i="2"/>
  <c r="B2869" i="2"/>
  <c r="A2869" i="2"/>
  <c r="O2868" i="2"/>
  <c r="N2868" i="2"/>
  <c r="M2868" i="2"/>
  <c r="L2868" i="2"/>
  <c r="K2868" i="2"/>
  <c r="J2868" i="2"/>
  <c r="I2868" i="2"/>
  <c r="H2868" i="2"/>
  <c r="G2868" i="2"/>
  <c r="F2868" i="2"/>
  <c r="C2868" i="2"/>
  <c r="B2868" i="2"/>
  <c r="A2868" i="2"/>
  <c r="O2867" i="2"/>
  <c r="N2867" i="2"/>
  <c r="M2867" i="2"/>
  <c r="L2867" i="2"/>
  <c r="K2867" i="2"/>
  <c r="J2867" i="2"/>
  <c r="I2867" i="2"/>
  <c r="H2867" i="2"/>
  <c r="G2867" i="2"/>
  <c r="F2867" i="2"/>
  <c r="C2867" i="2"/>
  <c r="B2867" i="2"/>
  <c r="A2867" i="2"/>
  <c r="O2866" i="2"/>
  <c r="N2866" i="2"/>
  <c r="M2866" i="2"/>
  <c r="L2866" i="2"/>
  <c r="K2866" i="2"/>
  <c r="J2866" i="2"/>
  <c r="I2866" i="2"/>
  <c r="H2866" i="2"/>
  <c r="G2866" i="2"/>
  <c r="F2866" i="2"/>
  <c r="C2866" i="2"/>
  <c r="B2866" i="2"/>
  <c r="A2866" i="2"/>
  <c r="O2865" i="2"/>
  <c r="N2865" i="2"/>
  <c r="M2865" i="2"/>
  <c r="L2865" i="2"/>
  <c r="K2865" i="2"/>
  <c r="J2865" i="2"/>
  <c r="I2865" i="2"/>
  <c r="H2865" i="2"/>
  <c r="G2865" i="2"/>
  <c r="F2865" i="2"/>
  <c r="C2865" i="2"/>
  <c r="B2865" i="2"/>
  <c r="A2865" i="2"/>
  <c r="O2864" i="2"/>
  <c r="N2864" i="2"/>
  <c r="M2864" i="2"/>
  <c r="L2864" i="2"/>
  <c r="K2864" i="2"/>
  <c r="J2864" i="2"/>
  <c r="I2864" i="2"/>
  <c r="H2864" i="2"/>
  <c r="G2864" i="2"/>
  <c r="F2864" i="2"/>
  <c r="C2864" i="2"/>
  <c r="B2864" i="2"/>
  <c r="A2864" i="2"/>
  <c r="O2863" i="2"/>
  <c r="N2863" i="2"/>
  <c r="M2863" i="2"/>
  <c r="L2863" i="2"/>
  <c r="K2863" i="2"/>
  <c r="J2863" i="2"/>
  <c r="I2863" i="2"/>
  <c r="H2863" i="2"/>
  <c r="G2863" i="2"/>
  <c r="F2863" i="2"/>
  <c r="C2863" i="2"/>
  <c r="B2863" i="2"/>
  <c r="A2863" i="2"/>
  <c r="O2862" i="2"/>
  <c r="N2862" i="2"/>
  <c r="M2862" i="2"/>
  <c r="L2862" i="2"/>
  <c r="K2862" i="2"/>
  <c r="J2862" i="2"/>
  <c r="I2862" i="2"/>
  <c r="H2862" i="2"/>
  <c r="G2862" i="2"/>
  <c r="F2862" i="2"/>
  <c r="C2862" i="2"/>
  <c r="B2862" i="2"/>
  <c r="A2862" i="2"/>
  <c r="O2861" i="2"/>
  <c r="N2861" i="2"/>
  <c r="M2861" i="2"/>
  <c r="L2861" i="2"/>
  <c r="K2861" i="2"/>
  <c r="J2861" i="2"/>
  <c r="I2861" i="2"/>
  <c r="H2861" i="2"/>
  <c r="G2861" i="2"/>
  <c r="F2861" i="2"/>
  <c r="C2861" i="2"/>
  <c r="B2861" i="2"/>
  <c r="A2861" i="2"/>
  <c r="O2860" i="2"/>
  <c r="N2860" i="2"/>
  <c r="M2860" i="2"/>
  <c r="L2860" i="2"/>
  <c r="K2860" i="2"/>
  <c r="J2860" i="2"/>
  <c r="I2860" i="2"/>
  <c r="H2860" i="2"/>
  <c r="G2860" i="2"/>
  <c r="F2860" i="2"/>
  <c r="C2860" i="2"/>
  <c r="B2860" i="2"/>
  <c r="A2860" i="2"/>
  <c r="O2859" i="2"/>
  <c r="N2859" i="2"/>
  <c r="M2859" i="2"/>
  <c r="L2859" i="2"/>
  <c r="K2859" i="2"/>
  <c r="J2859" i="2"/>
  <c r="I2859" i="2"/>
  <c r="H2859" i="2"/>
  <c r="G2859" i="2"/>
  <c r="F2859" i="2"/>
  <c r="C2859" i="2"/>
  <c r="B2859" i="2"/>
  <c r="A2859" i="2"/>
  <c r="O2858" i="2"/>
  <c r="N2858" i="2"/>
  <c r="M2858" i="2"/>
  <c r="L2858" i="2"/>
  <c r="K2858" i="2"/>
  <c r="J2858" i="2"/>
  <c r="I2858" i="2"/>
  <c r="H2858" i="2"/>
  <c r="G2858" i="2"/>
  <c r="F2858" i="2"/>
  <c r="C2858" i="2"/>
  <c r="B2858" i="2"/>
  <c r="A2858" i="2"/>
  <c r="O2857" i="2"/>
  <c r="N2857" i="2"/>
  <c r="M2857" i="2"/>
  <c r="L2857" i="2"/>
  <c r="K2857" i="2"/>
  <c r="J2857" i="2"/>
  <c r="I2857" i="2"/>
  <c r="H2857" i="2"/>
  <c r="G2857" i="2"/>
  <c r="F2857" i="2"/>
  <c r="C2857" i="2"/>
  <c r="B2857" i="2"/>
  <c r="A2857" i="2"/>
  <c r="O2856" i="2"/>
  <c r="N2856" i="2"/>
  <c r="M2856" i="2"/>
  <c r="L2856" i="2"/>
  <c r="K2856" i="2"/>
  <c r="J2856" i="2"/>
  <c r="I2856" i="2"/>
  <c r="H2856" i="2"/>
  <c r="G2856" i="2"/>
  <c r="F2856" i="2"/>
  <c r="C2856" i="2"/>
  <c r="B2856" i="2"/>
  <c r="A2856" i="2"/>
  <c r="O2855" i="2"/>
  <c r="N2855" i="2"/>
  <c r="M2855" i="2"/>
  <c r="L2855" i="2"/>
  <c r="K2855" i="2"/>
  <c r="J2855" i="2"/>
  <c r="I2855" i="2"/>
  <c r="H2855" i="2"/>
  <c r="G2855" i="2"/>
  <c r="F2855" i="2"/>
  <c r="C2855" i="2"/>
  <c r="B2855" i="2"/>
  <c r="A2855" i="2"/>
  <c r="O2854" i="2"/>
  <c r="N2854" i="2"/>
  <c r="M2854" i="2"/>
  <c r="L2854" i="2"/>
  <c r="K2854" i="2"/>
  <c r="J2854" i="2"/>
  <c r="I2854" i="2"/>
  <c r="H2854" i="2"/>
  <c r="G2854" i="2"/>
  <c r="F2854" i="2"/>
  <c r="C2854" i="2"/>
  <c r="B2854" i="2"/>
  <c r="A2854" i="2"/>
  <c r="O2853" i="2"/>
  <c r="N2853" i="2"/>
  <c r="M2853" i="2"/>
  <c r="L2853" i="2"/>
  <c r="K2853" i="2"/>
  <c r="J2853" i="2"/>
  <c r="I2853" i="2"/>
  <c r="H2853" i="2"/>
  <c r="G2853" i="2"/>
  <c r="F2853" i="2"/>
  <c r="C2853" i="2"/>
  <c r="B2853" i="2"/>
  <c r="A2853" i="2"/>
  <c r="O2852" i="2"/>
  <c r="N2852" i="2"/>
  <c r="M2852" i="2"/>
  <c r="L2852" i="2"/>
  <c r="K2852" i="2"/>
  <c r="J2852" i="2"/>
  <c r="I2852" i="2"/>
  <c r="H2852" i="2"/>
  <c r="G2852" i="2"/>
  <c r="F2852" i="2"/>
  <c r="C2852" i="2"/>
  <c r="B2852" i="2"/>
  <c r="A2852" i="2"/>
  <c r="O2851" i="2"/>
  <c r="N2851" i="2"/>
  <c r="M2851" i="2"/>
  <c r="L2851" i="2"/>
  <c r="K2851" i="2"/>
  <c r="J2851" i="2"/>
  <c r="I2851" i="2"/>
  <c r="H2851" i="2"/>
  <c r="G2851" i="2"/>
  <c r="F2851" i="2"/>
  <c r="C2851" i="2"/>
  <c r="B2851" i="2"/>
  <c r="A2851" i="2"/>
  <c r="O2850" i="2"/>
  <c r="N2850" i="2"/>
  <c r="M2850" i="2"/>
  <c r="L2850" i="2"/>
  <c r="K2850" i="2"/>
  <c r="J2850" i="2"/>
  <c r="I2850" i="2"/>
  <c r="H2850" i="2"/>
  <c r="G2850" i="2"/>
  <c r="F2850" i="2"/>
  <c r="C2850" i="2"/>
  <c r="B2850" i="2"/>
  <c r="A2850" i="2"/>
  <c r="O2849" i="2"/>
  <c r="N2849" i="2"/>
  <c r="M2849" i="2"/>
  <c r="L2849" i="2"/>
  <c r="K2849" i="2"/>
  <c r="J2849" i="2"/>
  <c r="I2849" i="2"/>
  <c r="H2849" i="2"/>
  <c r="G2849" i="2"/>
  <c r="F2849" i="2"/>
  <c r="C2849" i="2"/>
  <c r="B2849" i="2"/>
  <c r="A2849" i="2"/>
  <c r="O2848" i="2"/>
  <c r="N2848" i="2"/>
  <c r="M2848" i="2"/>
  <c r="L2848" i="2"/>
  <c r="K2848" i="2"/>
  <c r="J2848" i="2"/>
  <c r="I2848" i="2"/>
  <c r="H2848" i="2"/>
  <c r="G2848" i="2"/>
  <c r="F2848" i="2"/>
  <c r="C2848" i="2"/>
  <c r="B2848" i="2"/>
  <c r="A2848" i="2"/>
  <c r="O2847" i="2"/>
  <c r="N2847" i="2"/>
  <c r="M2847" i="2"/>
  <c r="L2847" i="2"/>
  <c r="K2847" i="2"/>
  <c r="J2847" i="2"/>
  <c r="I2847" i="2"/>
  <c r="H2847" i="2"/>
  <c r="G2847" i="2"/>
  <c r="F2847" i="2"/>
  <c r="C2847" i="2"/>
  <c r="B2847" i="2"/>
  <c r="A2847" i="2"/>
  <c r="O2846" i="2"/>
  <c r="N2846" i="2"/>
  <c r="M2846" i="2"/>
  <c r="L2846" i="2"/>
  <c r="K2846" i="2"/>
  <c r="J2846" i="2"/>
  <c r="I2846" i="2"/>
  <c r="H2846" i="2"/>
  <c r="G2846" i="2"/>
  <c r="F2846" i="2"/>
  <c r="C2846" i="2"/>
  <c r="B2846" i="2"/>
  <c r="A2846" i="2"/>
  <c r="O2845" i="2"/>
  <c r="N2845" i="2"/>
  <c r="M2845" i="2"/>
  <c r="L2845" i="2"/>
  <c r="K2845" i="2"/>
  <c r="J2845" i="2"/>
  <c r="I2845" i="2"/>
  <c r="H2845" i="2"/>
  <c r="G2845" i="2"/>
  <c r="F2845" i="2"/>
  <c r="C2845" i="2"/>
  <c r="B2845" i="2"/>
  <c r="A2845" i="2"/>
  <c r="O2844" i="2"/>
  <c r="N2844" i="2"/>
  <c r="M2844" i="2"/>
  <c r="L2844" i="2"/>
  <c r="K2844" i="2"/>
  <c r="J2844" i="2"/>
  <c r="I2844" i="2"/>
  <c r="H2844" i="2"/>
  <c r="G2844" i="2"/>
  <c r="F2844" i="2"/>
  <c r="C2844" i="2"/>
  <c r="B2844" i="2"/>
  <c r="A2844" i="2"/>
  <c r="O2843" i="2"/>
  <c r="N2843" i="2"/>
  <c r="M2843" i="2"/>
  <c r="L2843" i="2"/>
  <c r="K2843" i="2"/>
  <c r="J2843" i="2"/>
  <c r="I2843" i="2"/>
  <c r="H2843" i="2"/>
  <c r="G2843" i="2"/>
  <c r="F2843" i="2"/>
  <c r="C2843" i="2"/>
  <c r="B2843" i="2"/>
  <c r="A2843" i="2"/>
  <c r="O2842" i="2"/>
  <c r="N2842" i="2"/>
  <c r="M2842" i="2"/>
  <c r="L2842" i="2"/>
  <c r="K2842" i="2"/>
  <c r="J2842" i="2"/>
  <c r="I2842" i="2"/>
  <c r="H2842" i="2"/>
  <c r="G2842" i="2"/>
  <c r="F2842" i="2"/>
  <c r="C2842" i="2"/>
  <c r="B2842" i="2"/>
  <c r="A2842" i="2"/>
  <c r="O2841" i="2"/>
  <c r="N2841" i="2"/>
  <c r="M2841" i="2"/>
  <c r="L2841" i="2"/>
  <c r="K2841" i="2"/>
  <c r="J2841" i="2"/>
  <c r="I2841" i="2"/>
  <c r="H2841" i="2"/>
  <c r="G2841" i="2"/>
  <c r="F2841" i="2"/>
  <c r="C2841" i="2"/>
  <c r="B2841" i="2"/>
  <c r="A2841" i="2"/>
  <c r="O2840" i="2"/>
  <c r="N2840" i="2"/>
  <c r="M2840" i="2"/>
  <c r="L2840" i="2"/>
  <c r="K2840" i="2"/>
  <c r="J2840" i="2"/>
  <c r="I2840" i="2"/>
  <c r="H2840" i="2"/>
  <c r="G2840" i="2"/>
  <c r="F2840" i="2"/>
  <c r="C2840" i="2"/>
  <c r="B2840" i="2"/>
  <c r="A2840" i="2"/>
  <c r="O2839" i="2"/>
  <c r="N2839" i="2"/>
  <c r="M2839" i="2"/>
  <c r="L2839" i="2"/>
  <c r="K2839" i="2"/>
  <c r="J2839" i="2"/>
  <c r="I2839" i="2"/>
  <c r="H2839" i="2"/>
  <c r="G2839" i="2"/>
  <c r="F2839" i="2"/>
  <c r="C2839" i="2"/>
  <c r="B2839" i="2"/>
  <c r="A2839" i="2"/>
  <c r="O2838" i="2"/>
  <c r="N2838" i="2"/>
  <c r="M2838" i="2"/>
  <c r="L2838" i="2"/>
  <c r="K2838" i="2"/>
  <c r="J2838" i="2"/>
  <c r="I2838" i="2"/>
  <c r="H2838" i="2"/>
  <c r="G2838" i="2"/>
  <c r="F2838" i="2"/>
  <c r="C2838" i="2"/>
  <c r="B2838" i="2"/>
  <c r="A2838" i="2"/>
  <c r="O2837" i="2"/>
  <c r="N2837" i="2"/>
  <c r="M2837" i="2"/>
  <c r="L2837" i="2"/>
  <c r="K2837" i="2"/>
  <c r="J2837" i="2"/>
  <c r="I2837" i="2"/>
  <c r="H2837" i="2"/>
  <c r="G2837" i="2"/>
  <c r="F2837" i="2"/>
  <c r="C2837" i="2"/>
  <c r="B2837" i="2"/>
  <c r="A2837" i="2"/>
  <c r="O2836" i="2"/>
  <c r="N2836" i="2"/>
  <c r="M2836" i="2"/>
  <c r="L2836" i="2"/>
  <c r="K2836" i="2"/>
  <c r="J2836" i="2"/>
  <c r="I2836" i="2"/>
  <c r="H2836" i="2"/>
  <c r="G2836" i="2"/>
  <c r="F2836" i="2"/>
  <c r="C2836" i="2"/>
  <c r="B2836" i="2"/>
  <c r="A2836" i="2"/>
  <c r="O2835" i="2"/>
  <c r="N2835" i="2"/>
  <c r="M2835" i="2"/>
  <c r="L2835" i="2"/>
  <c r="K2835" i="2"/>
  <c r="J2835" i="2"/>
  <c r="I2835" i="2"/>
  <c r="H2835" i="2"/>
  <c r="G2835" i="2"/>
  <c r="F2835" i="2"/>
  <c r="C2835" i="2"/>
  <c r="B2835" i="2"/>
  <c r="A2835" i="2"/>
  <c r="O2834" i="2"/>
  <c r="N2834" i="2"/>
  <c r="M2834" i="2"/>
  <c r="L2834" i="2"/>
  <c r="K2834" i="2"/>
  <c r="J2834" i="2"/>
  <c r="I2834" i="2"/>
  <c r="H2834" i="2"/>
  <c r="G2834" i="2"/>
  <c r="F2834" i="2"/>
  <c r="C2834" i="2"/>
  <c r="B2834" i="2"/>
  <c r="A2834" i="2"/>
  <c r="O2833" i="2"/>
  <c r="N2833" i="2"/>
  <c r="M2833" i="2"/>
  <c r="L2833" i="2"/>
  <c r="K2833" i="2"/>
  <c r="J2833" i="2"/>
  <c r="I2833" i="2"/>
  <c r="H2833" i="2"/>
  <c r="G2833" i="2"/>
  <c r="F2833" i="2"/>
  <c r="C2833" i="2"/>
  <c r="B2833" i="2"/>
  <c r="A2833" i="2"/>
  <c r="O2832" i="2"/>
  <c r="N2832" i="2"/>
  <c r="M2832" i="2"/>
  <c r="L2832" i="2"/>
  <c r="K2832" i="2"/>
  <c r="J2832" i="2"/>
  <c r="I2832" i="2"/>
  <c r="H2832" i="2"/>
  <c r="G2832" i="2"/>
  <c r="F2832" i="2"/>
  <c r="C2832" i="2"/>
  <c r="B2832" i="2"/>
  <c r="A2832" i="2"/>
  <c r="O2831" i="2"/>
  <c r="N2831" i="2"/>
  <c r="M2831" i="2"/>
  <c r="L2831" i="2"/>
  <c r="K2831" i="2"/>
  <c r="J2831" i="2"/>
  <c r="I2831" i="2"/>
  <c r="H2831" i="2"/>
  <c r="G2831" i="2"/>
  <c r="F2831" i="2"/>
  <c r="C2831" i="2"/>
  <c r="B2831" i="2"/>
  <c r="A2831" i="2"/>
  <c r="O2830" i="2"/>
  <c r="N2830" i="2"/>
  <c r="M2830" i="2"/>
  <c r="L2830" i="2"/>
  <c r="K2830" i="2"/>
  <c r="J2830" i="2"/>
  <c r="I2830" i="2"/>
  <c r="H2830" i="2"/>
  <c r="G2830" i="2"/>
  <c r="F2830" i="2"/>
  <c r="C2830" i="2"/>
  <c r="B2830" i="2"/>
  <c r="A2830" i="2"/>
  <c r="O2829" i="2"/>
  <c r="N2829" i="2"/>
  <c r="M2829" i="2"/>
  <c r="L2829" i="2"/>
  <c r="K2829" i="2"/>
  <c r="J2829" i="2"/>
  <c r="I2829" i="2"/>
  <c r="H2829" i="2"/>
  <c r="G2829" i="2"/>
  <c r="F2829" i="2"/>
  <c r="C2829" i="2"/>
  <c r="B2829" i="2"/>
  <c r="A2829" i="2"/>
  <c r="O2828" i="2"/>
  <c r="N2828" i="2"/>
  <c r="M2828" i="2"/>
  <c r="L2828" i="2"/>
  <c r="K2828" i="2"/>
  <c r="J2828" i="2"/>
  <c r="I2828" i="2"/>
  <c r="H2828" i="2"/>
  <c r="G2828" i="2"/>
  <c r="F2828" i="2"/>
  <c r="C2828" i="2"/>
  <c r="B2828" i="2"/>
  <c r="A2828" i="2"/>
  <c r="O2827" i="2"/>
  <c r="N2827" i="2"/>
  <c r="M2827" i="2"/>
  <c r="L2827" i="2"/>
  <c r="K2827" i="2"/>
  <c r="J2827" i="2"/>
  <c r="I2827" i="2"/>
  <c r="H2827" i="2"/>
  <c r="G2827" i="2"/>
  <c r="F2827" i="2"/>
  <c r="C2827" i="2"/>
  <c r="B2827" i="2"/>
  <c r="A2827" i="2"/>
  <c r="O2826" i="2"/>
  <c r="N2826" i="2"/>
  <c r="M2826" i="2"/>
  <c r="L2826" i="2"/>
  <c r="K2826" i="2"/>
  <c r="J2826" i="2"/>
  <c r="I2826" i="2"/>
  <c r="H2826" i="2"/>
  <c r="G2826" i="2"/>
  <c r="F2826" i="2"/>
  <c r="C2826" i="2"/>
  <c r="B2826" i="2"/>
  <c r="A2826" i="2"/>
  <c r="O2825" i="2"/>
  <c r="N2825" i="2"/>
  <c r="M2825" i="2"/>
  <c r="L2825" i="2"/>
  <c r="K2825" i="2"/>
  <c r="J2825" i="2"/>
  <c r="I2825" i="2"/>
  <c r="H2825" i="2"/>
  <c r="G2825" i="2"/>
  <c r="F2825" i="2"/>
  <c r="C2825" i="2"/>
  <c r="B2825" i="2"/>
  <c r="A2825" i="2"/>
  <c r="O2824" i="2"/>
  <c r="N2824" i="2"/>
  <c r="M2824" i="2"/>
  <c r="L2824" i="2"/>
  <c r="K2824" i="2"/>
  <c r="J2824" i="2"/>
  <c r="I2824" i="2"/>
  <c r="H2824" i="2"/>
  <c r="G2824" i="2"/>
  <c r="F2824" i="2"/>
  <c r="C2824" i="2"/>
  <c r="B2824" i="2"/>
  <c r="A2824" i="2"/>
  <c r="O2823" i="2"/>
  <c r="N2823" i="2"/>
  <c r="M2823" i="2"/>
  <c r="L2823" i="2"/>
  <c r="K2823" i="2"/>
  <c r="J2823" i="2"/>
  <c r="I2823" i="2"/>
  <c r="H2823" i="2"/>
  <c r="G2823" i="2"/>
  <c r="F2823" i="2"/>
  <c r="C2823" i="2"/>
  <c r="B2823" i="2"/>
  <c r="A2823" i="2"/>
  <c r="O2822" i="2"/>
  <c r="N2822" i="2"/>
  <c r="M2822" i="2"/>
  <c r="L2822" i="2"/>
  <c r="K2822" i="2"/>
  <c r="J2822" i="2"/>
  <c r="I2822" i="2"/>
  <c r="H2822" i="2"/>
  <c r="G2822" i="2"/>
  <c r="F2822" i="2"/>
  <c r="C2822" i="2"/>
  <c r="B2822" i="2"/>
  <c r="A2822" i="2"/>
  <c r="O2821" i="2"/>
  <c r="N2821" i="2"/>
  <c r="M2821" i="2"/>
  <c r="L2821" i="2"/>
  <c r="K2821" i="2"/>
  <c r="J2821" i="2"/>
  <c r="I2821" i="2"/>
  <c r="H2821" i="2"/>
  <c r="G2821" i="2"/>
  <c r="F2821" i="2"/>
  <c r="C2821" i="2"/>
  <c r="B2821" i="2"/>
  <c r="A2821" i="2"/>
  <c r="O2820" i="2"/>
  <c r="N2820" i="2"/>
  <c r="M2820" i="2"/>
  <c r="L2820" i="2"/>
  <c r="K2820" i="2"/>
  <c r="J2820" i="2"/>
  <c r="I2820" i="2"/>
  <c r="H2820" i="2"/>
  <c r="G2820" i="2"/>
  <c r="F2820" i="2"/>
  <c r="C2820" i="2"/>
  <c r="B2820" i="2"/>
  <c r="A2820" i="2"/>
  <c r="O2819" i="2"/>
  <c r="N2819" i="2"/>
  <c r="M2819" i="2"/>
  <c r="L2819" i="2"/>
  <c r="K2819" i="2"/>
  <c r="J2819" i="2"/>
  <c r="I2819" i="2"/>
  <c r="H2819" i="2"/>
  <c r="G2819" i="2"/>
  <c r="F2819" i="2"/>
  <c r="C2819" i="2"/>
  <c r="B2819" i="2"/>
  <c r="A2819" i="2"/>
  <c r="O2818" i="2"/>
  <c r="N2818" i="2"/>
  <c r="M2818" i="2"/>
  <c r="L2818" i="2"/>
  <c r="K2818" i="2"/>
  <c r="J2818" i="2"/>
  <c r="I2818" i="2"/>
  <c r="H2818" i="2"/>
  <c r="G2818" i="2"/>
  <c r="F2818" i="2"/>
  <c r="C2818" i="2"/>
  <c r="B2818" i="2"/>
  <c r="A2818" i="2"/>
  <c r="O2817" i="2"/>
  <c r="N2817" i="2"/>
  <c r="M2817" i="2"/>
  <c r="L2817" i="2"/>
  <c r="K2817" i="2"/>
  <c r="J2817" i="2"/>
  <c r="I2817" i="2"/>
  <c r="H2817" i="2"/>
  <c r="G2817" i="2"/>
  <c r="F2817" i="2"/>
  <c r="C2817" i="2"/>
  <c r="B2817" i="2"/>
  <c r="A2817" i="2"/>
  <c r="O2816" i="2"/>
  <c r="N2816" i="2"/>
  <c r="M2816" i="2"/>
  <c r="L2816" i="2"/>
  <c r="K2816" i="2"/>
  <c r="J2816" i="2"/>
  <c r="I2816" i="2"/>
  <c r="H2816" i="2"/>
  <c r="G2816" i="2"/>
  <c r="F2816" i="2"/>
  <c r="C2816" i="2"/>
  <c r="B2816" i="2"/>
  <c r="A2816" i="2"/>
  <c r="O2815" i="2"/>
  <c r="N2815" i="2"/>
  <c r="M2815" i="2"/>
  <c r="L2815" i="2"/>
  <c r="K2815" i="2"/>
  <c r="J2815" i="2"/>
  <c r="I2815" i="2"/>
  <c r="H2815" i="2"/>
  <c r="G2815" i="2"/>
  <c r="F2815" i="2"/>
  <c r="C2815" i="2"/>
  <c r="B2815" i="2"/>
  <c r="A2815" i="2"/>
  <c r="O2814" i="2"/>
  <c r="N2814" i="2"/>
  <c r="M2814" i="2"/>
  <c r="L2814" i="2"/>
  <c r="K2814" i="2"/>
  <c r="J2814" i="2"/>
  <c r="I2814" i="2"/>
  <c r="H2814" i="2"/>
  <c r="G2814" i="2"/>
  <c r="F2814" i="2"/>
  <c r="C2814" i="2"/>
  <c r="B2814" i="2"/>
  <c r="A2814" i="2"/>
  <c r="O2813" i="2"/>
  <c r="N2813" i="2"/>
  <c r="M2813" i="2"/>
  <c r="L2813" i="2"/>
  <c r="K2813" i="2"/>
  <c r="J2813" i="2"/>
  <c r="I2813" i="2"/>
  <c r="H2813" i="2"/>
  <c r="G2813" i="2"/>
  <c r="F2813" i="2"/>
  <c r="C2813" i="2"/>
  <c r="B2813" i="2"/>
  <c r="A2813" i="2"/>
  <c r="O2812" i="2"/>
  <c r="N2812" i="2"/>
  <c r="M2812" i="2"/>
  <c r="L2812" i="2"/>
  <c r="K2812" i="2"/>
  <c r="J2812" i="2"/>
  <c r="I2812" i="2"/>
  <c r="H2812" i="2"/>
  <c r="G2812" i="2"/>
  <c r="F2812" i="2"/>
  <c r="C2812" i="2"/>
  <c r="B2812" i="2"/>
  <c r="A2812" i="2"/>
  <c r="O2811" i="2"/>
  <c r="N2811" i="2"/>
  <c r="M2811" i="2"/>
  <c r="L2811" i="2"/>
  <c r="K2811" i="2"/>
  <c r="J2811" i="2"/>
  <c r="I2811" i="2"/>
  <c r="H2811" i="2"/>
  <c r="G2811" i="2"/>
  <c r="F2811" i="2"/>
  <c r="C2811" i="2"/>
  <c r="B2811" i="2"/>
  <c r="A2811" i="2"/>
  <c r="O2810" i="2"/>
  <c r="N2810" i="2"/>
  <c r="M2810" i="2"/>
  <c r="L2810" i="2"/>
  <c r="K2810" i="2"/>
  <c r="J2810" i="2"/>
  <c r="I2810" i="2"/>
  <c r="H2810" i="2"/>
  <c r="G2810" i="2"/>
  <c r="F2810" i="2"/>
  <c r="C2810" i="2"/>
  <c r="B2810" i="2"/>
  <c r="A2810" i="2"/>
  <c r="O2809" i="2"/>
  <c r="N2809" i="2"/>
  <c r="M2809" i="2"/>
  <c r="L2809" i="2"/>
  <c r="K2809" i="2"/>
  <c r="J2809" i="2"/>
  <c r="I2809" i="2"/>
  <c r="H2809" i="2"/>
  <c r="G2809" i="2"/>
  <c r="F2809" i="2"/>
  <c r="C2809" i="2"/>
  <c r="B2809" i="2"/>
  <c r="A2809" i="2"/>
  <c r="O2808" i="2"/>
  <c r="N2808" i="2"/>
  <c r="M2808" i="2"/>
  <c r="L2808" i="2"/>
  <c r="K2808" i="2"/>
  <c r="J2808" i="2"/>
  <c r="I2808" i="2"/>
  <c r="H2808" i="2"/>
  <c r="G2808" i="2"/>
  <c r="F2808" i="2"/>
  <c r="C2808" i="2"/>
  <c r="B2808" i="2"/>
  <c r="A2808" i="2"/>
  <c r="O2807" i="2"/>
  <c r="N2807" i="2"/>
  <c r="M2807" i="2"/>
  <c r="L2807" i="2"/>
  <c r="K2807" i="2"/>
  <c r="J2807" i="2"/>
  <c r="I2807" i="2"/>
  <c r="H2807" i="2"/>
  <c r="G2807" i="2"/>
  <c r="F2807" i="2"/>
  <c r="C2807" i="2"/>
  <c r="B2807" i="2"/>
  <c r="A2807" i="2"/>
  <c r="O2806" i="2"/>
  <c r="N2806" i="2"/>
  <c r="M2806" i="2"/>
  <c r="L2806" i="2"/>
  <c r="K2806" i="2"/>
  <c r="J2806" i="2"/>
  <c r="I2806" i="2"/>
  <c r="H2806" i="2"/>
  <c r="G2806" i="2"/>
  <c r="F2806" i="2"/>
  <c r="C2806" i="2"/>
  <c r="B2806" i="2"/>
  <c r="A2806" i="2"/>
  <c r="O2805" i="2"/>
  <c r="N2805" i="2"/>
  <c r="M2805" i="2"/>
  <c r="L2805" i="2"/>
  <c r="K2805" i="2"/>
  <c r="J2805" i="2"/>
  <c r="I2805" i="2"/>
  <c r="H2805" i="2"/>
  <c r="G2805" i="2"/>
  <c r="F2805" i="2"/>
  <c r="C2805" i="2"/>
  <c r="B2805" i="2"/>
  <c r="A2805" i="2"/>
  <c r="O2804" i="2"/>
  <c r="N2804" i="2"/>
  <c r="M2804" i="2"/>
  <c r="L2804" i="2"/>
  <c r="K2804" i="2"/>
  <c r="J2804" i="2"/>
  <c r="I2804" i="2"/>
  <c r="H2804" i="2"/>
  <c r="G2804" i="2"/>
  <c r="F2804" i="2"/>
  <c r="C2804" i="2"/>
  <c r="B2804" i="2"/>
  <c r="A2804" i="2"/>
  <c r="O2803" i="2"/>
  <c r="N2803" i="2"/>
  <c r="M2803" i="2"/>
  <c r="L2803" i="2"/>
  <c r="K2803" i="2"/>
  <c r="J2803" i="2"/>
  <c r="I2803" i="2"/>
  <c r="H2803" i="2"/>
  <c r="G2803" i="2"/>
  <c r="F2803" i="2"/>
  <c r="C2803" i="2"/>
  <c r="B2803" i="2"/>
  <c r="A2803" i="2"/>
  <c r="O2802" i="2"/>
  <c r="N2802" i="2"/>
  <c r="M2802" i="2"/>
  <c r="L2802" i="2"/>
  <c r="K2802" i="2"/>
  <c r="J2802" i="2"/>
  <c r="I2802" i="2"/>
  <c r="H2802" i="2"/>
  <c r="G2802" i="2"/>
  <c r="F2802" i="2"/>
  <c r="C2802" i="2"/>
  <c r="B2802" i="2"/>
  <c r="A2802" i="2"/>
  <c r="O2801" i="2"/>
  <c r="N2801" i="2"/>
  <c r="M2801" i="2"/>
  <c r="L2801" i="2"/>
  <c r="K2801" i="2"/>
  <c r="J2801" i="2"/>
  <c r="I2801" i="2"/>
  <c r="H2801" i="2"/>
  <c r="G2801" i="2"/>
  <c r="F2801" i="2"/>
  <c r="C2801" i="2"/>
  <c r="B2801" i="2"/>
  <c r="A2801" i="2"/>
  <c r="O2800" i="2"/>
  <c r="N2800" i="2"/>
  <c r="M2800" i="2"/>
  <c r="L2800" i="2"/>
  <c r="K2800" i="2"/>
  <c r="J2800" i="2"/>
  <c r="I2800" i="2"/>
  <c r="H2800" i="2"/>
  <c r="G2800" i="2"/>
  <c r="F2800" i="2"/>
  <c r="C2800" i="2"/>
  <c r="B2800" i="2"/>
  <c r="A2800" i="2"/>
  <c r="O2799" i="2"/>
  <c r="N2799" i="2"/>
  <c r="M2799" i="2"/>
  <c r="L2799" i="2"/>
  <c r="K2799" i="2"/>
  <c r="J2799" i="2"/>
  <c r="I2799" i="2"/>
  <c r="H2799" i="2"/>
  <c r="G2799" i="2"/>
  <c r="F2799" i="2"/>
  <c r="C2799" i="2"/>
  <c r="B2799" i="2"/>
  <c r="A2799" i="2"/>
  <c r="O2798" i="2"/>
  <c r="N2798" i="2"/>
  <c r="M2798" i="2"/>
  <c r="L2798" i="2"/>
  <c r="K2798" i="2"/>
  <c r="J2798" i="2"/>
  <c r="I2798" i="2"/>
  <c r="H2798" i="2"/>
  <c r="G2798" i="2"/>
  <c r="F2798" i="2"/>
  <c r="C2798" i="2"/>
  <c r="B2798" i="2"/>
  <c r="A2798" i="2"/>
  <c r="O2797" i="2"/>
  <c r="N2797" i="2"/>
  <c r="M2797" i="2"/>
  <c r="L2797" i="2"/>
  <c r="K2797" i="2"/>
  <c r="J2797" i="2"/>
  <c r="I2797" i="2"/>
  <c r="H2797" i="2"/>
  <c r="G2797" i="2"/>
  <c r="F2797" i="2"/>
  <c r="C2797" i="2"/>
  <c r="B2797" i="2"/>
  <c r="A2797" i="2"/>
  <c r="O2796" i="2"/>
  <c r="N2796" i="2"/>
  <c r="M2796" i="2"/>
  <c r="L2796" i="2"/>
  <c r="K2796" i="2"/>
  <c r="J2796" i="2"/>
  <c r="I2796" i="2"/>
  <c r="H2796" i="2"/>
  <c r="G2796" i="2"/>
  <c r="F2796" i="2"/>
  <c r="C2796" i="2"/>
  <c r="B2796" i="2"/>
  <c r="A2796" i="2"/>
  <c r="O2795" i="2"/>
  <c r="N2795" i="2"/>
  <c r="M2795" i="2"/>
  <c r="L2795" i="2"/>
  <c r="K2795" i="2"/>
  <c r="J2795" i="2"/>
  <c r="I2795" i="2"/>
  <c r="H2795" i="2"/>
  <c r="G2795" i="2"/>
  <c r="F2795" i="2"/>
  <c r="C2795" i="2"/>
  <c r="B2795" i="2"/>
  <c r="A2795" i="2"/>
  <c r="O2794" i="2"/>
  <c r="N2794" i="2"/>
  <c r="M2794" i="2"/>
  <c r="L2794" i="2"/>
  <c r="K2794" i="2"/>
  <c r="J2794" i="2"/>
  <c r="I2794" i="2"/>
  <c r="H2794" i="2"/>
  <c r="G2794" i="2"/>
  <c r="F2794" i="2"/>
  <c r="C2794" i="2"/>
  <c r="B2794" i="2"/>
  <c r="A2794" i="2"/>
  <c r="O2793" i="2"/>
  <c r="N2793" i="2"/>
  <c r="M2793" i="2"/>
  <c r="L2793" i="2"/>
  <c r="K2793" i="2"/>
  <c r="J2793" i="2"/>
  <c r="I2793" i="2"/>
  <c r="H2793" i="2"/>
  <c r="G2793" i="2"/>
  <c r="F2793" i="2"/>
  <c r="C2793" i="2"/>
  <c r="B2793" i="2"/>
  <c r="A2793" i="2"/>
  <c r="O2792" i="2"/>
  <c r="N2792" i="2"/>
  <c r="M2792" i="2"/>
  <c r="L2792" i="2"/>
  <c r="K2792" i="2"/>
  <c r="J2792" i="2"/>
  <c r="I2792" i="2"/>
  <c r="H2792" i="2"/>
  <c r="G2792" i="2"/>
  <c r="F2792" i="2"/>
  <c r="C2792" i="2"/>
  <c r="B2792" i="2"/>
  <c r="A2792" i="2"/>
  <c r="O2791" i="2"/>
  <c r="N2791" i="2"/>
  <c r="M2791" i="2"/>
  <c r="L2791" i="2"/>
  <c r="K2791" i="2"/>
  <c r="J2791" i="2"/>
  <c r="I2791" i="2"/>
  <c r="H2791" i="2"/>
  <c r="G2791" i="2"/>
  <c r="F2791" i="2"/>
  <c r="C2791" i="2"/>
  <c r="B2791" i="2"/>
  <c r="A2791" i="2"/>
  <c r="O2790" i="2"/>
  <c r="N2790" i="2"/>
  <c r="M2790" i="2"/>
  <c r="L2790" i="2"/>
  <c r="K2790" i="2"/>
  <c r="J2790" i="2"/>
  <c r="I2790" i="2"/>
  <c r="H2790" i="2"/>
  <c r="G2790" i="2"/>
  <c r="F2790" i="2"/>
  <c r="C2790" i="2"/>
  <c r="B2790" i="2"/>
  <c r="A2790" i="2"/>
  <c r="O2789" i="2"/>
  <c r="N2789" i="2"/>
  <c r="M2789" i="2"/>
  <c r="L2789" i="2"/>
  <c r="K2789" i="2"/>
  <c r="J2789" i="2"/>
  <c r="I2789" i="2"/>
  <c r="H2789" i="2"/>
  <c r="G2789" i="2"/>
  <c r="F2789" i="2"/>
  <c r="C2789" i="2"/>
  <c r="B2789" i="2"/>
  <c r="A2789" i="2"/>
  <c r="O2788" i="2"/>
  <c r="N2788" i="2"/>
  <c r="M2788" i="2"/>
  <c r="L2788" i="2"/>
  <c r="K2788" i="2"/>
  <c r="J2788" i="2"/>
  <c r="I2788" i="2"/>
  <c r="H2788" i="2"/>
  <c r="G2788" i="2"/>
  <c r="F2788" i="2"/>
  <c r="C2788" i="2"/>
  <c r="B2788" i="2"/>
  <c r="A2788" i="2"/>
  <c r="O2787" i="2"/>
  <c r="N2787" i="2"/>
  <c r="M2787" i="2"/>
  <c r="L2787" i="2"/>
  <c r="K2787" i="2"/>
  <c r="J2787" i="2"/>
  <c r="I2787" i="2"/>
  <c r="H2787" i="2"/>
  <c r="G2787" i="2"/>
  <c r="F2787" i="2"/>
  <c r="C2787" i="2"/>
  <c r="B2787" i="2"/>
  <c r="A2787" i="2"/>
  <c r="O2786" i="2"/>
  <c r="N2786" i="2"/>
  <c r="M2786" i="2"/>
  <c r="L2786" i="2"/>
  <c r="K2786" i="2"/>
  <c r="J2786" i="2"/>
  <c r="I2786" i="2"/>
  <c r="H2786" i="2"/>
  <c r="G2786" i="2"/>
  <c r="F2786" i="2"/>
  <c r="C2786" i="2"/>
  <c r="B2786" i="2"/>
  <c r="A2786" i="2"/>
  <c r="O2785" i="2"/>
  <c r="N2785" i="2"/>
  <c r="M2785" i="2"/>
  <c r="L2785" i="2"/>
  <c r="K2785" i="2"/>
  <c r="J2785" i="2"/>
  <c r="I2785" i="2"/>
  <c r="H2785" i="2"/>
  <c r="G2785" i="2"/>
  <c r="F2785" i="2"/>
  <c r="C2785" i="2"/>
  <c r="B2785" i="2"/>
  <c r="A2785" i="2"/>
  <c r="O2784" i="2"/>
  <c r="N2784" i="2"/>
  <c r="M2784" i="2"/>
  <c r="L2784" i="2"/>
  <c r="K2784" i="2"/>
  <c r="J2784" i="2"/>
  <c r="I2784" i="2"/>
  <c r="H2784" i="2"/>
  <c r="G2784" i="2"/>
  <c r="F2784" i="2"/>
  <c r="C2784" i="2"/>
  <c r="B2784" i="2"/>
  <c r="A2784" i="2"/>
  <c r="O2783" i="2"/>
  <c r="N2783" i="2"/>
  <c r="M2783" i="2"/>
  <c r="L2783" i="2"/>
  <c r="K2783" i="2"/>
  <c r="J2783" i="2"/>
  <c r="I2783" i="2"/>
  <c r="H2783" i="2"/>
  <c r="G2783" i="2"/>
  <c r="F2783" i="2"/>
  <c r="C2783" i="2"/>
  <c r="B2783" i="2"/>
  <c r="A2783" i="2"/>
  <c r="O2782" i="2"/>
  <c r="N2782" i="2"/>
  <c r="M2782" i="2"/>
  <c r="L2782" i="2"/>
  <c r="K2782" i="2"/>
  <c r="J2782" i="2"/>
  <c r="I2782" i="2"/>
  <c r="H2782" i="2"/>
  <c r="G2782" i="2"/>
  <c r="F2782" i="2"/>
  <c r="C2782" i="2"/>
  <c r="B2782" i="2"/>
  <c r="A2782" i="2"/>
  <c r="O2781" i="2"/>
  <c r="N2781" i="2"/>
  <c r="M2781" i="2"/>
  <c r="L2781" i="2"/>
  <c r="K2781" i="2"/>
  <c r="J2781" i="2"/>
  <c r="I2781" i="2"/>
  <c r="H2781" i="2"/>
  <c r="G2781" i="2"/>
  <c r="F2781" i="2"/>
  <c r="C2781" i="2"/>
  <c r="B2781" i="2"/>
  <c r="A2781" i="2"/>
  <c r="O2780" i="2"/>
  <c r="N2780" i="2"/>
  <c r="M2780" i="2"/>
  <c r="L2780" i="2"/>
  <c r="K2780" i="2"/>
  <c r="J2780" i="2"/>
  <c r="I2780" i="2"/>
  <c r="H2780" i="2"/>
  <c r="G2780" i="2"/>
  <c r="F2780" i="2"/>
  <c r="C2780" i="2"/>
  <c r="B2780" i="2"/>
  <c r="A2780" i="2"/>
  <c r="O2779" i="2"/>
  <c r="N2779" i="2"/>
  <c r="M2779" i="2"/>
  <c r="L2779" i="2"/>
  <c r="K2779" i="2"/>
  <c r="J2779" i="2"/>
  <c r="I2779" i="2"/>
  <c r="H2779" i="2"/>
  <c r="G2779" i="2"/>
  <c r="F2779" i="2"/>
  <c r="C2779" i="2"/>
  <c r="B2779" i="2"/>
  <c r="A2779" i="2"/>
  <c r="O2778" i="2"/>
  <c r="N2778" i="2"/>
  <c r="M2778" i="2"/>
  <c r="L2778" i="2"/>
  <c r="K2778" i="2"/>
  <c r="J2778" i="2"/>
  <c r="I2778" i="2"/>
  <c r="H2778" i="2"/>
  <c r="G2778" i="2"/>
  <c r="F2778" i="2"/>
  <c r="C2778" i="2"/>
  <c r="B2778" i="2"/>
  <c r="A2778" i="2"/>
  <c r="O2777" i="2"/>
  <c r="N2777" i="2"/>
  <c r="M2777" i="2"/>
  <c r="L2777" i="2"/>
  <c r="K2777" i="2"/>
  <c r="J2777" i="2"/>
  <c r="I2777" i="2"/>
  <c r="H2777" i="2"/>
  <c r="G2777" i="2"/>
  <c r="F2777" i="2"/>
  <c r="C2777" i="2"/>
  <c r="B2777" i="2"/>
  <c r="A2777" i="2"/>
  <c r="O2776" i="2"/>
  <c r="N2776" i="2"/>
  <c r="M2776" i="2"/>
  <c r="L2776" i="2"/>
  <c r="K2776" i="2"/>
  <c r="J2776" i="2"/>
  <c r="I2776" i="2"/>
  <c r="H2776" i="2"/>
  <c r="G2776" i="2"/>
  <c r="F2776" i="2"/>
  <c r="C2776" i="2"/>
  <c r="B2776" i="2"/>
  <c r="A2776" i="2"/>
  <c r="O2775" i="2"/>
  <c r="N2775" i="2"/>
  <c r="M2775" i="2"/>
  <c r="L2775" i="2"/>
  <c r="K2775" i="2"/>
  <c r="J2775" i="2"/>
  <c r="I2775" i="2"/>
  <c r="H2775" i="2"/>
  <c r="G2775" i="2"/>
  <c r="F2775" i="2"/>
  <c r="C2775" i="2"/>
  <c r="B2775" i="2"/>
  <c r="A2775" i="2"/>
  <c r="O2774" i="2"/>
  <c r="N2774" i="2"/>
  <c r="M2774" i="2"/>
  <c r="L2774" i="2"/>
  <c r="K2774" i="2"/>
  <c r="J2774" i="2"/>
  <c r="I2774" i="2"/>
  <c r="H2774" i="2"/>
  <c r="G2774" i="2"/>
  <c r="F2774" i="2"/>
  <c r="C2774" i="2"/>
  <c r="B2774" i="2"/>
  <c r="A2774" i="2"/>
  <c r="O2773" i="2"/>
  <c r="N2773" i="2"/>
  <c r="M2773" i="2"/>
  <c r="L2773" i="2"/>
  <c r="K2773" i="2"/>
  <c r="J2773" i="2"/>
  <c r="I2773" i="2"/>
  <c r="H2773" i="2"/>
  <c r="G2773" i="2"/>
  <c r="F2773" i="2"/>
  <c r="C2773" i="2"/>
  <c r="B2773" i="2"/>
  <c r="A2773" i="2"/>
  <c r="O2772" i="2"/>
  <c r="N2772" i="2"/>
  <c r="M2772" i="2"/>
  <c r="L2772" i="2"/>
  <c r="K2772" i="2"/>
  <c r="J2772" i="2"/>
  <c r="I2772" i="2"/>
  <c r="H2772" i="2"/>
  <c r="G2772" i="2"/>
  <c r="F2772" i="2"/>
  <c r="C2772" i="2"/>
  <c r="B2772" i="2"/>
  <c r="A2772" i="2"/>
  <c r="O2771" i="2"/>
  <c r="N2771" i="2"/>
  <c r="M2771" i="2"/>
  <c r="L2771" i="2"/>
  <c r="K2771" i="2"/>
  <c r="J2771" i="2"/>
  <c r="I2771" i="2"/>
  <c r="H2771" i="2"/>
  <c r="G2771" i="2"/>
  <c r="F2771" i="2"/>
  <c r="C2771" i="2"/>
  <c r="B2771" i="2"/>
  <c r="A2771" i="2"/>
  <c r="O2770" i="2"/>
  <c r="N2770" i="2"/>
  <c r="M2770" i="2"/>
  <c r="L2770" i="2"/>
  <c r="K2770" i="2"/>
  <c r="J2770" i="2"/>
  <c r="I2770" i="2"/>
  <c r="H2770" i="2"/>
  <c r="G2770" i="2"/>
  <c r="F2770" i="2"/>
  <c r="C2770" i="2"/>
  <c r="B2770" i="2"/>
  <c r="A2770" i="2"/>
  <c r="O2769" i="2"/>
  <c r="N2769" i="2"/>
  <c r="M2769" i="2"/>
  <c r="L2769" i="2"/>
  <c r="K2769" i="2"/>
  <c r="J2769" i="2"/>
  <c r="I2769" i="2"/>
  <c r="H2769" i="2"/>
  <c r="G2769" i="2"/>
  <c r="F2769" i="2"/>
  <c r="C2769" i="2"/>
  <c r="B2769" i="2"/>
  <c r="A2769" i="2"/>
  <c r="O2768" i="2"/>
  <c r="N2768" i="2"/>
  <c r="M2768" i="2"/>
  <c r="L2768" i="2"/>
  <c r="K2768" i="2"/>
  <c r="J2768" i="2"/>
  <c r="I2768" i="2"/>
  <c r="H2768" i="2"/>
  <c r="G2768" i="2"/>
  <c r="F2768" i="2"/>
  <c r="C2768" i="2"/>
  <c r="B2768" i="2"/>
  <c r="A2768" i="2"/>
  <c r="O2767" i="2"/>
  <c r="N2767" i="2"/>
  <c r="M2767" i="2"/>
  <c r="L2767" i="2"/>
  <c r="K2767" i="2"/>
  <c r="J2767" i="2"/>
  <c r="I2767" i="2"/>
  <c r="H2767" i="2"/>
  <c r="G2767" i="2"/>
  <c r="F2767" i="2"/>
  <c r="C2767" i="2"/>
  <c r="B2767" i="2"/>
  <c r="A2767" i="2"/>
  <c r="O2766" i="2"/>
  <c r="N2766" i="2"/>
  <c r="M2766" i="2"/>
  <c r="L2766" i="2"/>
  <c r="K2766" i="2"/>
  <c r="J2766" i="2"/>
  <c r="I2766" i="2"/>
  <c r="H2766" i="2"/>
  <c r="G2766" i="2"/>
  <c r="F2766" i="2"/>
  <c r="C2766" i="2"/>
  <c r="B2766" i="2"/>
  <c r="A2766" i="2"/>
  <c r="O2765" i="2"/>
  <c r="N2765" i="2"/>
  <c r="M2765" i="2"/>
  <c r="L2765" i="2"/>
  <c r="K2765" i="2"/>
  <c r="J2765" i="2"/>
  <c r="I2765" i="2"/>
  <c r="H2765" i="2"/>
  <c r="G2765" i="2"/>
  <c r="F2765" i="2"/>
  <c r="C2765" i="2"/>
  <c r="B2765" i="2"/>
  <c r="A2765" i="2"/>
  <c r="O2764" i="2"/>
  <c r="N2764" i="2"/>
  <c r="M2764" i="2"/>
  <c r="L2764" i="2"/>
  <c r="K2764" i="2"/>
  <c r="J2764" i="2"/>
  <c r="I2764" i="2"/>
  <c r="H2764" i="2"/>
  <c r="G2764" i="2"/>
  <c r="F2764" i="2"/>
  <c r="C2764" i="2"/>
  <c r="B2764" i="2"/>
  <c r="A2764" i="2"/>
  <c r="O2763" i="2"/>
  <c r="N2763" i="2"/>
  <c r="M2763" i="2"/>
  <c r="L2763" i="2"/>
  <c r="K2763" i="2"/>
  <c r="J2763" i="2"/>
  <c r="I2763" i="2"/>
  <c r="H2763" i="2"/>
  <c r="G2763" i="2"/>
  <c r="F2763" i="2"/>
  <c r="C2763" i="2"/>
  <c r="B2763" i="2"/>
  <c r="A2763" i="2"/>
  <c r="O2762" i="2"/>
  <c r="N2762" i="2"/>
  <c r="M2762" i="2"/>
  <c r="L2762" i="2"/>
  <c r="K2762" i="2"/>
  <c r="J2762" i="2"/>
  <c r="I2762" i="2"/>
  <c r="H2762" i="2"/>
  <c r="G2762" i="2"/>
  <c r="F2762" i="2"/>
  <c r="C2762" i="2"/>
  <c r="B2762" i="2"/>
  <c r="A2762" i="2"/>
  <c r="O2761" i="2"/>
  <c r="N2761" i="2"/>
  <c r="M2761" i="2"/>
  <c r="L2761" i="2"/>
  <c r="K2761" i="2"/>
  <c r="J2761" i="2"/>
  <c r="I2761" i="2"/>
  <c r="H2761" i="2"/>
  <c r="G2761" i="2"/>
  <c r="F2761" i="2"/>
  <c r="C2761" i="2"/>
  <c r="B2761" i="2"/>
  <c r="A2761" i="2"/>
  <c r="O2760" i="2"/>
  <c r="N2760" i="2"/>
  <c r="M2760" i="2"/>
  <c r="L2760" i="2"/>
  <c r="K2760" i="2"/>
  <c r="J2760" i="2"/>
  <c r="I2760" i="2"/>
  <c r="H2760" i="2"/>
  <c r="G2760" i="2"/>
  <c r="F2760" i="2"/>
  <c r="C2760" i="2"/>
  <c r="B2760" i="2"/>
  <c r="A2760" i="2"/>
  <c r="O2759" i="2"/>
  <c r="N2759" i="2"/>
  <c r="M2759" i="2"/>
  <c r="L2759" i="2"/>
  <c r="K2759" i="2"/>
  <c r="J2759" i="2"/>
  <c r="I2759" i="2"/>
  <c r="H2759" i="2"/>
  <c r="G2759" i="2"/>
  <c r="F2759" i="2"/>
  <c r="C2759" i="2"/>
  <c r="B2759" i="2"/>
  <c r="A2759" i="2"/>
  <c r="O2758" i="2"/>
  <c r="N2758" i="2"/>
  <c r="M2758" i="2"/>
  <c r="L2758" i="2"/>
  <c r="K2758" i="2"/>
  <c r="J2758" i="2"/>
  <c r="I2758" i="2"/>
  <c r="H2758" i="2"/>
  <c r="G2758" i="2"/>
  <c r="F2758" i="2"/>
  <c r="C2758" i="2"/>
  <c r="B2758" i="2"/>
  <c r="A2758" i="2"/>
  <c r="O2757" i="2"/>
  <c r="N2757" i="2"/>
  <c r="M2757" i="2"/>
  <c r="L2757" i="2"/>
  <c r="K2757" i="2"/>
  <c r="J2757" i="2"/>
  <c r="I2757" i="2"/>
  <c r="H2757" i="2"/>
  <c r="G2757" i="2"/>
  <c r="F2757" i="2"/>
  <c r="C2757" i="2"/>
  <c r="B2757" i="2"/>
  <c r="A2757" i="2"/>
  <c r="O2756" i="2"/>
  <c r="N2756" i="2"/>
  <c r="M2756" i="2"/>
  <c r="L2756" i="2"/>
  <c r="K2756" i="2"/>
  <c r="J2756" i="2"/>
  <c r="I2756" i="2"/>
  <c r="H2756" i="2"/>
  <c r="G2756" i="2"/>
  <c r="F2756" i="2"/>
  <c r="C2756" i="2"/>
  <c r="B2756" i="2"/>
  <c r="A2756" i="2"/>
  <c r="O2755" i="2"/>
  <c r="N2755" i="2"/>
  <c r="M2755" i="2"/>
  <c r="L2755" i="2"/>
  <c r="K2755" i="2"/>
  <c r="J2755" i="2"/>
  <c r="I2755" i="2"/>
  <c r="H2755" i="2"/>
  <c r="G2755" i="2"/>
  <c r="F2755" i="2"/>
  <c r="C2755" i="2"/>
  <c r="B2755" i="2"/>
  <c r="A2755" i="2"/>
  <c r="O2754" i="2"/>
  <c r="N2754" i="2"/>
  <c r="M2754" i="2"/>
  <c r="L2754" i="2"/>
  <c r="K2754" i="2"/>
  <c r="J2754" i="2"/>
  <c r="I2754" i="2"/>
  <c r="H2754" i="2"/>
  <c r="G2754" i="2"/>
  <c r="F2754" i="2"/>
  <c r="C2754" i="2"/>
  <c r="B2754" i="2"/>
  <c r="A2754" i="2"/>
  <c r="O2753" i="2"/>
  <c r="N2753" i="2"/>
  <c r="M2753" i="2"/>
  <c r="L2753" i="2"/>
  <c r="K2753" i="2"/>
  <c r="J2753" i="2"/>
  <c r="I2753" i="2"/>
  <c r="H2753" i="2"/>
  <c r="G2753" i="2"/>
  <c r="F2753" i="2"/>
  <c r="C2753" i="2"/>
  <c r="B2753" i="2"/>
  <c r="A2753" i="2"/>
  <c r="O2752" i="2"/>
  <c r="N2752" i="2"/>
  <c r="M2752" i="2"/>
  <c r="L2752" i="2"/>
  <c r="K2752" i="2"/>
  <c r="J2752" i="2"/>
  <c r="I2752" i="2"/>
  <c r="H2752" i="2"/>
  <c r="G2752" i="2"/>
  <c r="F2752" i="2"/>
  <c r="C2752" i="2"/>
  <c r="B2752" i="2"/>
  <c r="A2752" i="2"/>
  <c r="O2751" i="2"/>
  <c r="N2751" i="2"/>
  <c r="M2751" i="2"/>
  <c r="L2751" i="2"/>
  <c r="K2751" i="2"/>
  <c r="J2751" i="2"/>
  <c r="I2751" i="2"/>
  <c r="H2751" i="2"/>
  <c r="G2751" i="2"/>
  <c r="F2751" i="2"/>
  <c r="C2751" i="2"/>
  <c r="B2751" i="2"/>
  <c r="A2751" i="2"/>
  <c r="O2750" i="2"/>
  <c r="N2750" i="2"/>
  <c r="M2750" i="2"/>
  <c r="L2750" i="2"/>
  <c r="K2750" i="2"/>
  <c r="J2750" i="2"/>
  <c r="I2750" i="2"/>
  <c r="H2750" i="2"/>
  <c r="G2750" i="2"/>
  <c r="F2750" i="2"/>
  <c r="C2750" i="2"/>
  <c r="B2750" i="2"/>
  <c r="A2750" i="2"/>
  <c r="O2749" i="2"/>
  <c r="N2749" i="2"/>
  <c r="M2749" i="2"/>
  <c r="L2749" i="2"/>
  <c r="K2749" i="2"/>
  <c r="J2749" i="2"/>
  <c r="I2749" i="2"/>
  <c r="H2749" i="2"/>
  <c r="G2749" i="2"/>
  <c r="F2749" i="2"/>
  <c r="C2749" i="2"/>
  <c r="B2749" i="2"/>
  <c r="A2749" i="2"/>
  <c r="O2748" i="2"/>
  <c r="N2748" i="2"/>
  <c r="M2748" i="2"/>
  <c r="L2748" i="2"/>
  <c r="K2748" i="2"/>
  <c r="J2748" i="2"/>
  <c r="I2748" i="2"/>
  <c r="H2748" i="2"/>
  <c r="G2748" i="2"/>
  <c r="F2748" i="2"/>
  <c r="C2748" i="2"/>
  <c r="B2748" i="2"/>
  <c r="A2748" i="2"/>
  <c r="O2747" i="2"/>
  <c r="N2747" i="2"/>
  <c r="M2747" i="2"/>
  <c r="L2747" i="2"/>
  <c r="K2747" i="2"/>
  <c r="J2747" i="2"/>
  <c r="I2747" i="2"/>
  <c r="H2747" i="2"/>
  <c r="G2747" i="2"/>
  <c r="F2747" i="2"/>
  <c r="C2747" i="2"/>
  <c r="B2747" i="2"/>
  <c r="A2747" i="2"/>
  <c r="O2746" i="2"/>
  <c r="N2746" i="2"/>
  <c r="M2746" i="2"/>
  <c r="L2746" i="2"/>
  <c r="K2746" i="2"/>
  <c r="J2746" i="2"/>
  <c r="I2746" i="2"/>
  <c r="H2746" i="2"/>
  <c r="G2746" i="2"/>
  <c r="F2746" i="2"/>
  <c r="C2746" i="2"/>
  <c r="B2746" i="2"/>
  <c r="A2746" i="2"/>
  <c r="O2745" i="2"/>
  <c r="N2745" i="2"/>
  <c r="M2745" i="2"/>
  <c r="L2745" i="2"/>
  <c r="K2745" i="2"/>
  <c r="J2745" i="2"/>
  <c r="I2745" i="2"/>
  <c r="H2745" i="2"/>
  <c r="G2745" i="2"/>
  <c r="F2745" i="2"/>
  <c r="C2745" i="2"/>
  <c r="B2745" i="2"/>
  <c r="A2745" i="2"/>
  <c r="O2744" i="2"/>
  <c r="N2744" i="2"/>
  <c r="M2744" i="2"/>
  <c r="L2744" i="2"/>
  <c r="K2744" i="2"/>
  <c r="J2744" i="2"/>
  <c r="I2744" i="2"/>
  <c r="H2744" i="2"/>
  <c r="G2744" i="2"/>
  <c r="F2744" i="2"/>
  <c r="C2744" i="2"/>
  <c r="B2744" i="2"/>
  <c r="A2744" i="2"/>
  <c r="O2743" i="2"/>
  <c r="N2743" i="2"/>
  <c r="M2743" i="2"/>
  <c r="L2743" i="2"/>
  <c r="K2743" i="2"/>
  <c r="J2743" i="2"/>
  <c r="I2743" i="2"/>
  <c r="H2743" i="2"/>
  <c r="G2743" i="2"/>
  <c r="F2743" i="2"/>
  <c r="C2743" i="2"/>
  <c r="B2743" i="2"/>
  <c r="A2743" i="2"/>
  <c r="O2742" i="2"/>
  <c r="N2742" i="2"/>
  <c r="M2742" i="2"/>
  <c r="L2742" i="2"/>
  <c r="K2742" i="2"/>
  <c r="J2742" i="2"/>
  <c r="I2742" i="2"/>
  <c r="H2742" i="2"/>
  <c r="G2742" i="2"/>
  <c r="F2742" i="2"/>
  <c r="C2742" i="2"/>
  <c r="B2742" i="2"/>
  <c r="A2742" i="2"/>
  <c r="O2741" i="2"/>
  <c r="N2741" i="2"/>
  <c r="M2741" i="2"/>
  <c r="L2741" i="2"/>
  <c r="K2741" i="2"/>
  <c r="J2741" i="2"/>
  <c r="I2741" i="2"/>
  <c r="H2741" i="2"/>
  <c r="G2741" i="2"/>
  <c r="F2741" i="2"/>
  <c r="C2741" i="2"/>
  <c r="B2741" i="2"/>
  <c r="A2741" i="2"/>
  <c r="O2740" i="2"/>
  <c r="N2740" i="2"/>
  <c r="M2740" i="2"/>
  <c r="L2740" i="2"/>
  <c r="K2740" i="2"/>
  <c r="J2740" i="2"/>
  <c r="I2740" i="2"/>
  <c r="H2740" i="2"/>
  <c r="G2740" i="2"/>
  <c r="F2740" i="2"/>
  <c r="C2740" i="2"/>
  <c r="B2740" i="2"/>
  <c r="A2740" i="2"/>
  <c r="O2739" i="2"/>
  <c r="N2739" i="2"/>
  <c r="M2739" i="2"/>
  <c r="L2739" i="2"/>
  <c r="K2739" i="2"/>
  <c r="J2739" i="2"/>
  <c r="I2739" i="2"/>
  <c r="H2739" i="2"/>
  <c r="G2739" i="2"/>
  <c r="F2739" i="2"/>
  <c r="C2739" i="2"/>
  <c r="B2739" i="2"/>
  <c r="A2739" i="2"/>
  <c r="O2738" i="2"/>
  <c r="N2738" i="2"/>
  <c r="M2738" i="2"/>
  <c r="L2738" i="2"/>
  <c r="K2738" i="2"/>
  <c r="J2738" i="2"/>
  <c r="I2738" i="2"/>
  <c r="H2738" i="2"/>
  <c r="G2738" i="2"/>
  <c r="F2738" i="2"/>
  <c r="C2738" i="2"/>
  <c r="B2738" i="2"/>
  <c r="A2738" i="2"/>
  <c r="O2737" i="2"/>
  <c r="N2737" i="2"/>
  <c r="M2737" i="2"/>
  <c r="L2737" i="2"/>
  <c r="K2737" i="2"/>
  <c r="J2737" i="2"/>
  <c r="I2737" i="2"/>
  <c r="H2737" i="2"/>
  <c r="G2737" i="2"/>
  <c r="F2737" i="2"/>
  <c r="C2737" i="2"/>
  <c r="B2737" i="2"/>
  <c r="A2737" i="2"/>
  <c r="O2736" i="2"/>
  <c r="N2736" i="2"/>
  <c r="M2736" i="2"/>
  <c r="L2736" i="2"/>
  <c r="K2736" i="2"/>
  <c r="J2736" i="2"/>
  <c r="I2736" i="2"/>
  <c r="H2736" i="2"/>
  <c r="G2736" i="2"/>
  <c r="F2736" i="2"/>
  <c r="C2736" i="2"/>
  <c r="B2736" i="2"/>
  <c r="A2736" i="2"/>
  <c r="O2735" i="2"/>
  <c r="N2735" i="2"/>
  <c r="M2735" i="2"/>
  <c r="L2735" i="2"/>
  <c r="K2735" i="2"/>
  <c r="J2735" i="2"/>
  <c r="I2735" i="2"/>
  <c r="H2735" i="2"/>
  <c r="G2735" i="2"/>
  <c r="F2735" i="2"/>
  <c r="C2735" i="2"/>
  <c r="B2735" i="2"/>
  <c r="A2735" i="2"/>
  <c r="O2734" i="2"/>
  <c r="N2734" i="2"/>
  <c r="M2734" i="2"/>
  <c r="L2734" i="2"/>
  <c r="K2734" i="2"/>
  <c r="J2734" i="2"/>
  <c r="I2734" i="2"/>
  <c r="H2734" i="2"/>
  <c r="G2734" i="2"/>
  <c r="F2734" i="2"/>
  <c r="C2734" i="2"/>
  <c r="B2734" i="2"/>
  <c r="A2734" i="2"/>
  <c r="O2733" i="2"/>
  <c r="N2733" i="2"/>
  <c r="M2733" i="2"/>
  <c r="L2733" i="2"/>
  <c r="K2733" i="2"/>
  <c r="J2733" i="2"/>
  <c r="I2733" i="2"/>
  <c r="H2733" i="2"/>
  <c r="G2733" i="2"/>
  <c r="F2733" i="2"/>
  <c r="C2733" i="2"/>
  <c r="B2733" i="2"/>
  <c r="A2733" i="2"/>
  <c r="O2732" i="2"/>
  <c r="N2732" i="2"/>
  <c r="M2732" i="2"/>
  <c r="L2732" i="2"/>
  <c r="K2732" i="2"/>
  <c r="J2732" i="2"/>
  <c r="I2732" i="2"/>
  <c r="H2732" i="2"/>
  <c r="G2732" i="2"/>
  <c r="F2732" i="2"/>
  <c r="C2732" i="2"/>
  <c r="B2732" i="2"/>
  <c r="A2732" i="2"/>
  <c r="O2731" i="2"/>
  <c r="N2731" i="2"/>
  <c r="M2731" i="2"/>
  <c r="L2731" i="2"/>
  <c r="K2731" i="2"/>
  <c r="J2731" i="2"/>
  <c r="I2731" i="2"/>
  <c r="H2731" i="2"/>
  <c r="G2731" i="2"/>
  <c r="F2731" i="2"/>
  <c r="C2731" i="2"/>
  <c r="B2731" i="2"/>
  <c r="A2731" i="2"/>
  <c r="O2730" i="2"/>
  <c r="N2730" i="2"/>
  <c r="M2730" i="2"/>
  <c r="L2730" i="2"/>
  <c r="K2730" i="2"/>
  <c r="J2730" i="2"/>
  <c r="I2730" i="2"/>
  <c r="H2730" i="2"/>
  <c r="G2730" i="2"/>
  <c r="F2730" i="2"/>
  <c r="C2730" i="2"/>
  <c r="B2730" i="2"/>
  <c r="A2730" i="2"/>
  <c r="O2729" i="2"/>
  <c r="N2729" i="2"/>
  <c r="M2729" i="2"/>
  <c r="L2729" i="2"/>
  <c r="K2729" i="2"/>
  <c r="J2729" i="2"/>
  <c r="I2729" i="2"/>
  <c r="H2729" i="2"/>
  <c r="G2729" i="2"/>
  <c r="F2729" i="2"/>
  <c r="C2729" i="2"/>
  <c r="B2729" i="2"/>
  <c r="A2729" i="2"/>
  <c r="O2728" i="2"/>
  <c r="N2728" i="2"/>
  <c r="M2728" i="2"/>
  <c r="L2728" i="2"/>
  <c r="K2728" i="2"/>
  <c r="J2728" i="2"/>
  <c r="I2728" i="2"/>
  <c r="H2728" i="2"/>
  <c r="G2728" i="2"/>
  <c r="F2728" i="2"/>
  <c r="C2728" i="2"/>
  <c r="B2728" i="2"/>
  <c r="A2728" i="2"/>
  <c r="O2727" i="2"/>
  <c r="N2727" i="2"/>
  <c r="M2727" i="2"/>
  <c r="L2727" i="2"/>
  <c r="K2727" i="2"/>
  <c r="J2727" i="2"/>
  <c r="I2727" i="2"/>
  <c r="H2727" i="2"/>
  <c r="G2727" i="2"/>
  <c r="F2727" i="2"/>
  <c r="C2727" i="2"/>
  <c r="B2727" i="2"/>
  <c r="A2727" i="2"/>
  <c r="O2726" i="2"/>
  <c r="N2726" i="2"/>
  <c r="M2726" i="2"/>
  <c r="L2726" i="2"/>
  <c r="K2726" i="2"/>
  <c r="J2726" i="2"/>
  <c r="I2726" i="2"/>
  <c r="H2726" i="2"/>
  <c r="G2726" i="2"/>
  <c r="F2726" i="2"/>
  <c r="C2726" i="2"/>
  <c r="B2726" i="2"/>
  <c r="A2726" i="2"/>
  <c r="O2725" i="2"/>
  <c r="N2725" i="2"/>
  <c r="M2725" i="2"/>
  <c r="L2725" i="2"/>
  <c r="K2725" i="2"/>
  <c r="J2725" i="2"/>
  <c r="I2725" i="2"/>
  <c r="H2725" i="2"/>
  <c r="G2725" i="2"/>
  <c r="F2725" i="2"/>
  <c r="C2725" i="2"/>
  <c r="B2725" i="2"/>
  <c r="A2725" i="2"/>
  <c r="O2724" i="2"/>
  <c r="N2724" i="2"/>
  <c r="M2724" i="2"/>
  <c r="L2724" i="2"/>
  <c r="K2724" i="2"/>
  <c r="J2724" i="2"/>
  <c r="I2724" i="2"/>
  <c r="H2724" i="2"/>
  <c r="G2724" i="2"/>
  <c r="F2724" i="2"/>
  <c r="C2724" i="2"/>
  <c r="B2724" i="2"/>
  <c r="A2724" i="2"/>
  <c r="O2723" i="2"/>
  <c r="N2723" i="2"/>
  <c r="M2723" i="2"/>
  <c r="L2723" i="2"/>
  <c r="K2723" i="2"/>
  <c r="J2723" i="2"/>
  <c r="I2723" i="2"/>
  <c r="H2723" i="2"/>
  <c r="G2723" i="2"/>
  <c r="F2723" i="2"/>
  <c r="C2723" i="2"/>
  <c r="B2723" i="2"/>
  <c r="A2723" i="2"/>
  <c r="O2722" i="2"/>
  <c r="N2722" i="2"/>
  <c r="M2722" i="2"/>
  <c r="L2722" i="2"/>
  <c r="K2722" i="2"/>
  <c r="J2722" i="2"/>
  <c r="I2722" i="2"/>
  <c r="H2722" i="2"/>
  <c r="G2722" i="2"/>
  <c r="F2722" i="2"/>
  <c r="C2722" i="2"/>
  <c r="B2722" i="2"/>
  <c r="A2722" i="2"/>
  <c r="O2721" i="2"/>
  <c r="N2721" i="2"/>
  <c r="M2721" i="2"/>
  <c r="L2721" i="2"/>
  <c r="K2721" i="2"/>
  <c r="J2721" i="2"/>
  <c r="I2721" i="2"/>
  <c r="H2721" i="2"/>
  <c r="G2721" i="2"/>
  <c r="F2721" i="2"/>
  <c r="C2721" i="2"/>
  <c r="B2721" i="2"/>
  <c r="A2721" i="2"/>
  <c r="O2720" i="2"/>
  <c r="N2720" i="2"/>
  <c r="M2720" i="2"/>
  <c r="L2720" i="2"/>
  <c r="K2720" i="2"/>
  <c r="J2720" i="2"/>
  <c r="I2720" i="2"/>
  <c r="H2720" i="2"/>
  <c r="G2720" i="2"/>
  <c r="F2720" i="2"/>
  <c r="C2720" i="2"/>
  <c r="B2720" i="2"/>
  <c r="A2720" i="2"/>
  <c r="O2719" i="2"/>
  <c r="N2719" i="2"/>
  <c r="M2719" i="2"/>
  <c r="L2719" i="2"/>
  <c r="K2719" i="2"/>
  <c r="J2719" i="2"/>
  <c r="I2719" i="2"/>
  <c r="H2719" i="2"/>
  <c r="G2719" i="2"/>
  <c r="F2719" i="2"/>
  <c r="C2719" i="2"/>
  <c r="B2719" i="2"/>
  <c r="A2719" i="2"/>
  <c r="O2718" i="2"/>
  <c r="N2718" i="2"/>
  <c r="M2718" i="2"/>
  <c r="L2718" i="2"/>
  <c r="K2718" i="2"/>
  <c r="J2718" i="2"/>
  <c r="I2718" i="2"/>
  <c r="H2718" i="2"/>
  <c r="G2718" i="2"/>
  <c r="F2718" i="2"/>
  <c r="C2718" i="2"/>
  <c r="B2718" i="2"/>
  <c r="A2718" i="2"/>
  <c r="O2717" i="2"/>
  <c r="N2717" i="2"/>
  <c r="M2717" i="2"/>
  <c r="L2717" i="2"/>
  <c r="K2717" i="2"/>
  <c r="J2717" i="2"/>
  <c r="I2717" i="2"/>
  <c r="H2717" i="2"/>
  <c r="G2717" i="2"/>
  <c r="F2717" i="2"/>
  <c r="C2717" i="2"/>
  <c r="B2717" i="2"/>
  <c r="A2717" i="2"/>
  <c r="O2716" i="2"/>
  <c r="N2716" i="2"/>
  <c r="M2716" i="2"/>
  <c r="L2716" i="2"/>
  <c r="K2716" i="2"/>
  <c r="J2716" i="2"/>
  <c r="I2716" i="2"/>
  <c r="H2716" i="2"/>
  <c r="G2716" i="2"/>
  <c r="F2716" i="2"/>
  <c r="C2716" i="2"/>
  <c r="B2716" i="2"/>
  <c r="A2716" i="2"/>
  <c r="O2715" i="2"/>
  <c r="N2715" i="2"/>
  <c r="M2715" i="2"/>
  <c r="L2715" i="2"/>
  <c r="K2715" i="2"/>
  <c r="J2715" i="2"/>
  <c r="I2715" i="2"/>
  <c r="H2715" i="2"/>
  <c r="G2715" i="2"/>
  <c r="F2715" i="2"/>
  <c r="C2715" i="2"/>
  <c r="B2715" i="2"/>
  <c r="A2715" i="2"/>
  <c r="O2714" i="2"/>
  <c r="N2714" i="2"/>
  <c r="M2714" i="2"/>
  <c r="L2714" i="2"/>
  <c r="K2714" i="2"/>
  <c r="J2714" i="2"/>
  <c r="I2714" i="2"/>
  <c r="H2714" i="2"/>
  <c r="G2714" i="2"/>
  <c r="F2714" i="2"/>
  <c r="C2714" i="2"/>
  <c r="B2714" i="2"/>
  <c r="A2714" i="2"/>
  <c r="O2713" i="2"/>
  <c r="N2713" i="2"/>
  <c r="M2713" i="2"/>
  <c r="L2713" i="2"/>
  <c r="K2713" i="2"/>
  <c r="J2713" i="2"/>
  <c r="I2713" i="2"/>
  <c r="H2713" i="2"/>
  <c r="G2713" i="2"/>
  <c r="F2713" i="2"/>
  <c r="C2713" i="2"/>
  <c r="B2713" i="2"/>
  <c r="A2713" i="2"/>
  <c r="O2712" i="2"/>
  <c r="N2712" i="2"/>
  <c r="M2712" i="2"/>
  <c r="L2712" i="2"/>
  <c r="K2712" i="2"/>
  <c r="J2712" i="2"/>
  <c r="I2712" i="2"/>
  <c r="H2712" i="2"/>
  <c r="G2712" i="2"/>
  <c r="F2712" i="2"/>
  <c r="C2712" i="2"/>
  <c r="B2712" i="2"/>
  <c r="A2712" i="2"/>
  <c r="O2711" i="2"/>
  <c r="N2711" i="2"/>
  <c r="M2711" i="2"/>
  <c r="L2711" i="2"/>
  <c r="K2711" i="2"/>
  <c r="J2711" i="2"/>
  <c r="I2711" i="2"/>
  <c r="H2711" i="2"/>
  <c r="G2711" i="2"/>
  <c r="F2711" i="2"/>
  <c r="C2711" i="2"/>
  <c r="B2711" i="2"/>
  <c r="A2711" i="2"/>
  <c r="O2710" i="2"/>
  <c r="N2710" i="2"/>
  <c r="M2710" i="2"/>
  <c r="L2710" i="2"/>
  <c r="K2710" i="2"/>
  <c r="J2710" i="2"/>
  <c r="I2710" i="2"/>
  <c r="H2710" i="2"/>
  <c r="G2710" i="2"/>
  <c r="F2710" i="2"/>
  <c r="C2710" i="2"/>
  <c r="B2710" i="2"/>
  <c r="A2710" i="2"/>
  <c r="O2709" i="2"/>
  <c r="N2709" i="2"/>
  <c r="M2709" i="2"/>
  <c r="L2709" i="2"/>
  <c r="K2709" i="2"/>
  <c r="J2709" i="2"/>
  <c r="I2709" i="2"/>
  <c r="H2709" i="2"/>
  <c r="G2709" i="2"/>
  <c r="F2709" i="2"/>
  <c r="C2709" i="2"/>
  <c r="B2709" i="2"/>
  <c r="A2709" i="2"/>
  <c r="O2708" i="2"/>
  <c r="N2708" i="2"/>
  <c r="M2708" i="2"/>
  <c r="L2708" i="2"/>
  <c r="K2708" i="2"/>
  <c r="J2708" i="2"/>
  <c r="I2708" i="2"/>
  <c r="H2708" i="2"/>
  <c r="G2708" i="2"/>
  <c r="F2708" i="2"/>
  <c r="C2708" i="2"/>
  <c r="B2708" i="2"/>
  <c r="A2708" i="2"/>
  <c r="O2707" i="2"/>
  <c r="N2707" i="2"/>
  <c r="M2707" i="2"/>
  <c r="L2707" i="2"/>
  <c r="K2707" i="2"/>
  <c r="J2707" i="2"/>
  <c r="I2707" i="2"/>
  <c r="H2707" i="2"/>
  <c r="G2707" i="2"/>
  <c r="F2707" i="2"/>
  <c r="C2707" i="2"/>
  <c r="B2707" i="2"/>
  <c r="A2707" i="2"/>
  <c r="O2706" i="2"/>
  <c r="N2706" i="2"/>
  <c r="M2706" i="2"/>
  <c r="L2706" i="2"/>
  <c r="K2706" i="2"/>
  <c r="J2706" i="2"/>
  <c r="I2706" i="2"/>
  <c r="H2706" i="2"/>
  <c r="G2706" i="2"/>
  <c r="F2706" i="2"/>
  <c r="C2706" i="2"/>
  <c r="B2706" i="2"/>
  <c r="A2706" i="2"/>
  <c r="O2705" i="2"/>
  <c r="N2705" i="2"/>
  <c r="M2705" i="2"/>
  <c r="L2705" i="2"/>
  <c r="K2705" i="2"/>
  <c r="J2705" i="2"/>
  <c r="I2705" i="2"/>
  <c r="H2705" i="2"/>
  <c r="G2705" i="2"/>
  <c r="F2705" i="2"/>
  <c r="C2705" i="2"/>
  <c r="B2705" i="2"/>
  <c r="A2705" i="2"/>
  <c r="O2704" i="2"/>
  <c r="N2704" i="2"/>
  <c r="M2704" i="2"/>
  <c r="L2704" i="2"/>
  <c r="K2704" i="2"/>
  <c r="J2704" i="2"/>
  <c r="I2704" i="2"/>
  <c r="H2704" i="2"/>
  <c r="G2704" i="2"/>
  <c r="F2704" i="2"/>
  <c r="C2704" i="2"/>
  <c r="B2704" i="2"/>
  <c r="A2704" i="2"/>
  <c r="O2703" i="2"/>
  <c r="N2703" i="2"/>
  <c r="M2703" i="2"/>
  <c r="L2703" i="2"/>
  <c r="K2703" i="2"/>
  <c r="J2703" i="2"/>
  <c r="I2703" i="2"/>
  <c r="H2703" i="2"/>
  <c r="G2703" i="2"/>
  <c r="F2703" i="2"/>
  <c r="C2703" i="2"/>
  <c r="B2703" i="2"/>
  <c r="A2703" i="2"/>
  <c r="O2702" i="2"/>
  <c r="N2702" i="2"/>
  <c r="M2702" i="2"/>
  <c r="L2702" i="2"/>
  <c r="K2702" i="2"/>
  <c r="J2702" i="2"/>
  <c r="I2702" i="2"/>
  <c r="H2702" i="2"/>
  <c r="G2702" i="2"/>
  <c r="F2702" i="2"/>
  <c r="C2702" i="2"/>
  <c r="B2702" i="2"/>
  <c r="A2702" i="2"/>
  <c r="O2701" i="2"/>
  <c r="N2701" i="2"/>
  <c r="M2701" i="2"/>
  <c r="L2701" i="2"/>
  <c r="K2701" i="2"/>
  <c r="J2701" i="2"/>
  <c r="I2701" i="2"/>
  <c r="H2701" i="2"/>
  <c r="G2701" i="2"/>
  <c r="F2701" i="2"/>
  <c r="C2701" i="2"/>
  <c r="B2701" i="2"/>
  <c r="A2701" i="2"/>
  <c r="O2700" i="2"/>
  <c r="N2700" i="2"/>
  <c r="M2700" i="2"/>
  <c r="L2700" i="2"/>
  <c r="K2700" i="2"/>
  <c r="J2700" i="2"/>
  <c r="I2700" i="2"/>
  <c r="H2700" i="2"/>
  <c r="G2700" i="2"/>
  <c r="F2700" i="2"/>
  <c r="C2700" i="2"/>
  <c r="B2700" i="2"/>
  <c r="A2700" i="2"/>
  <c r="O2699" i="2"/>
  <c r="N2699" i="2"/>
  <c r="M2699" i="2"/>
  <c r="L2699" i="2"/>
  <c r="K2699" i="2"/>
  <c r="J2699" i="2"/>
  <c r="I2699" i="2"/>
  <c r="H2699" i="2"/>
  <c r="G2699" i="2"/>
  <c r="F2699" i="2"/>
  <c r="C2699" i="2"/>
  <c r="B2699" i="2"/>
  <c r="A2699" i="2"/>
  <c r="O2698" i="2"/>
  <c r="N2698" i="2"/>
  <c r="M2698" i="2"/>
  <c r="L2698" i="2"/>
  <c r="K2698" i="2"/>
  <c r="J2698" i="2"/>
  <c r="I2698" i="2"/>
  <c r="H2698" i="2"/>
  <c r="G2698" i="2"/>
  <c r="F2698" i="2"/>
  <c r="C2698" i="2"/>
  <c r="B2698" i="2"/>
  <c r="A2698" i="2"/>
  <c r="O2697" i="2"/>
  <c r="N2697" i="2"/>
  <c r="M2697" i="2"/>
  <c r="L2697" i="2"/>
  <c r="K2697" i="2"/>
  <c r="J2697" i="2"/>
  <c r="I2697" i="2"/>
  <c r="H2697" i="2"/>
  <c r="G2697" i="2"/>
  <c r="F2697" i="2"/>
  <c r="C2697" i="2"/>
  <c r="B2697" i="2"/>
  <c r="A2697" i="2"/>
  <c r="O2696" i="2"/>
  <c r="N2696" i="2"/>
  <c r="M2696" i="2"/>
  <c r="L2696" i="2"/>
  <c r="K2696" i="2"/>
  <c r="J2696" i="2"/>
  <c r="I2696" i="2"/>
  <c r="H2696" i="2"/>
  <c r="G2696" i="2"/>
  <c r="F2696" i="2"/>
  <c r="C2696" i="2"/>
  <c r="B2696" i="2"/>
  <c r="A2696" i="2"/>
  <c r="O2695" i="2"/>
  <c r="N2695" i="2"/>
  <c r="M2695" i="2"/>
  <c r="L2695" i="2"/>
  <c r="K2695" i="2"/>
  <c r="J2695" i="2"/>
  <c r="I2695" i="2"/>
  <c r="H2695" i="2"/>
  <c r="G2695" i="2"/>
  <c r="F2695" i="2"/>
  <c r="C2695" i="2"/>
  <c r="B2695" i="2"/>
  <c r="A2695" i="2"/>
  <c r="O2694" i="2"/>
  <c r="N2694" i="2"/>
  <c r="M2694" i="2"/>
  <c r="L2694" i="2"/>
  <c r="K2694" i="2"/>
  <c r="J2694" i="2"/>
  <c r="I2694" i="2"/>
  <c r="H2694" i="2"/>
  <c r="G2694" i="2"/>
  <c r="F2694" i="2"/>
  <c r="C2694" i="2"/>
  <c r="B2694" i="2"/>
  <c r="A2694" i="2"/>
  <c r="O2693" i="2"/>
  <c r="N2693" i="2"/>
  <c r="M2693" i="2"/>
  <c r="L2693" i="2"/>
  <c r="K2693" i="2"/>
  <c r="J2693" i="2"/>
  <c r="I2693" i="2"/>
  <c r="H2693" i="2"/>
  <c r="G2693" i="2"/>
  <c r="F2693" i="2"/>
  <c r="C2693" i="2"/>
  <c r="B2693" i="2"/>
  <c r="A2693" i="2"/>
  <c r="O2692" i="2"/>
  <c r="N2692" i="2"/>
  <c r="M2692" i="2"/>
  <c r="L2692" i="2"/>
  <c r="K2692" i="2"/>
  <c r="J2692" i="2"/>
  <c r="I2692" i="2"/>
  <c r="H2692" i="2"/>
  <c r="G2692" i="2"/>
  <c r="F2692" i="2"/>
  <c r="C2692" i="2"/>
  <c r="B2692" i="2"/>
  <c r="A2692" i="2"/>
  <c r="O2691" i="2"/>
  <c r="N2691" i="2"/>
  <c r="M2691" i="2"/>
  <c r="L2691" i="2"/>
  <c r="K2691" i="2"/>
  <c r="J2691" i="2"/>
  <c r="I2691" i="2"/>
  <c r="H2691" i="2"/>
  <c r="G2691" i="2"/>
  <c r="F2691" i="2"/>
  <c r="C2691" i="2"/>
  <c r="B2691" i="2"/>
  <c r="A2691" i="2"/>
  <c r="O2690" i="2"/>
  <c r="N2690" i="2"/>
  <c r="M2690" i="2"/>
  <c r="L2690" i="2"/>
  <c r="K2690" i="2"/>
  <c r="J2690" i="2"/>
  <c r="I2690" i="2"/>
  <c r="H2690" i="2"/>
  <c r="G2690" i="2"/>
  <c r="F2690" i="2"/>
  <c r="C2690" i="2"/>
  <c r="B2690" i="2"/>
  <c r="A2690" i="2"/>
  <c r="O2689" i="2"/>
  <c r="N2689" i="2"/>
  <c r="M2689" i="2"/>
  <c r="L2689" i="2"/>
  <c r="K2689" i="2"/>
  <c r="J2689" i="2"/>
  <c r="I2689" i="2"/>
  <c r="H2689" i="2"/>
  <c r="G2689" i="2"/>
  <c r="F2689" i="2"/>
  <c r="C2689" i="2"/>
  <c r="B2689" i="2"/>
  <c r="A2689" i="2"/>
  <c r="O2688" i="2"/>
  <c r="N2688" i="2"/>
  <c r="M2688" i="2"/>
  <c r="L2688" i="2"/>
  <c r="K2688" i="2"/>
  <c r="J2688" i="2"/>
  <c r="I2688" i="2"/>
  <c r="H2688" i="2"/>
  <c r="G2688" i="2"/>
  <c r="F2688" i="2"/>
  <c r="C2688" i="2"/>
  <c r="B2688" i="2"/>
  <c r="A2688" i="2"/>
  <c r="O2687" i="2"/>
  <c r="N2687" i="2"/>
  <c r="M2687" i="2"/>
  <c r="L2687" i="2"/>
  <c r="K2687" i="2"/>
  <c r="J2687" i="2"/>
  <c r="I2687" i="2"/>
  <c r="H2687" i="2"/>
  <c r="G2687" i="2"/>
  <c r="F2687" i="2"/>
  <c r="C2687" i="2"/>
  <c r="B2687" i="2"/>
  <c r="A2687" i="2"/>
  <c r="O2686" i="2"/>
  <c r="N2686" i="2"/>
  <c r="M2686" i="2"/>
  <c r="L2686" i="2"/>
  <c r="K2686" i="2"/>
  <c r="J2686" i="2"/>
  <c r="I2686" i="2"/>
  <c r="H2686" i="2"/>
  <c r="G2686" i="2"/>
  <c r="F2686" i="2"/>
  <c r="C2686" i="2"/>
  <c r="B2686" i="2"/>
  <c r="A2686" i="2"/>
  <c r="O2685" i="2"/>
  <c r="N2685" i="2"/>
  <c r="M2685" i="2"/>
  <c r="L2685" i="2"/>
  <c r="K2685" i="2"/>
  <c r="J2685" i="2"/>
  <c r="I2685" i="2"/>
  <c r="H2685" i="2"/>
  <c r="G2685" i="2"/>
  <c r="F2685" i="2"/>
  <c r="C2685" i="2"/>
  <c r="B2685" i="2"/>
  <c r="A2685" i="2"/>
  <c r="O2684" i="2"/>
  <c r="N2684" i="2"/>
  <c r="M2684" i="2"/>
  <c r="L2684" i="2"/>
  <c r="K2684" i="2"/>
  <c r="J2684" i="2"/>
  <c r="I2684" i="2"/>
  <c r="H2684" i="2"/>
  <c r="G2684" i="2"/>
  <c r="F2684" i="2"/>
  <c r="C2684" i="2"/>
  <c r="B2684" i="2"/>
  <c r="A2684" i="2"/>
  <c r="O2683" i="2"/>
  <c r="N2683" i="2"/>
  <c r="M2683" i="2"/>
  <c r="L2683" i="2"/>
  <c r="K2683" i="2"/>
  <c r="J2683" i="2"/>
  <c r="I2683" i="2"/>
  <c r="H2683" i="2"/>
  <c r="G2683" i="2"/>
  <c r="F2683" i="2"/>
  <c r="C2683" i="2"/>
  <c r="B2683" i="2"/>
  <c r="A2683" i="2"/>
  <c r="O2682" i="2"/>
  <c r="N2682" i="2"/>
  <c r="M2682" i="2"/>
  <c r="L2682" i="2"/>
  <c r="K2682" i="2"/>
  <c r="J2682" i="2"/>
  <c r="I2682" i="2"/>
  <c r="H2682" i="2"/>
  <c r="G2682" i="2"/>
  <c r="F2682" i="2"/>
  <c r="C2682" i="2"/>
  <c r="B2682" i="2"/>
  <c r="A2682" i="2"/>
  <c r="O2681" i="2"/>
  <c r="N2681" i="2"/>
  <c r="M2681" i="2"/>
  <c r="L2681" i="2"/>
  <c r="K2681" i="2"/>
  <c r="J2681" i="2"/>
  <c r="I2681" i="2"/>
  <c r="H2681" i="2"/>
  <c r="G2681" i="2"/>
  <c r="F2681" i="2"/>
  <c r="C2681" i="2"/>
  <c r="B2681" i="2"/>
  <c r="A2681" i="2"/>
  <c r="O2680" i="2"/>
  <c r="N2680" i="2"/>
  <c r="M2680" i="2"/>
  <c r="L2680" i="2"/>
  <c r="K2680" i="2"/>
  <c r="J2680" i="2"/>
  <c r="I2680" i="2"/>
  <c r="H2680" i="2"/>
  <c r="G2680" i="2"/>
  <c r="F2680" i="2"/>
  <c r="C2680" i="2"/>
  <c r="B2680" i="2"/>
  <c r="A2680" i="2"/>
  <c r="O2679" i="2"/>
  <c r="N2679" i="2"/>
  <c r="M2679" i="2"/>
  <c r="L2679" i="2"/>
  <c r="K2679" i="2"/>
  <c r="J2679" i="2"/>
  <c r="I2679" i="2"/>
  <c r="H2679" i="2"/>
  <c r="G2679" i="2"/>
  <c r="F2679" i="2"/>
  <c r="C2679" i="2"/>
  <c r="B2679" i="2"/>
  <c r="A2679" i="2"/>
  <c r="O2678" i="2"/>
  <c r="N2678" i="2"/>
  <c r="M2678" i="2"/>
  <c r="L2678" i="2"/>
  <c r="K2678" i="2"/>
  <c r="J2678" i="2"/>
  <c r="I2678" i="2"/>
  <c r="H2678" i="2"/>
  <c r="G2678" i="2"/>
  <c r="F2678" i="2"/>
  <c r="C2678" i="2"/>
  <c r="B2678" i="2"/>
  <c r="A2678" i="2"/>
  <c r="O2677" i="2"/>
  <c r="N2677" i="2"/>
  <c r="M2677" i="2"/>
  <c r="L2677" i="2"/>
  <c r="K2677" i="2"/>
  <c r="J2677" i="2"/>
  <c r="I2677" i="2"/>
  <c r="H2677" i="2"/>
  <c r="G2677" i="2"/>
  <c r="F2677" i="2"/>
  <c r="C2677" i="2"/>
  <c r="B2677" i="2"/>
  <c r="A2677" i="2"/>
  <c r="O2676" i="2"/>
  <c r="N2676" i="2"/>
  <c r="M2676" i="2"/>
  <c r="L2676" i="2"/>
  <c r="K2676" i="2"/>
  <c r="J2676" i="2"/>
  <c r="I2676" i="2"/>
  <c r="H2676" i="2"/>
  <c r="G2676" i="2"/>
  <c r="F2676" i="2"/>
  <c r="C2676" i="2"/>
  <c r="B2676" i="2"/>
  <c r="A2676" i="2"/>
  <c r="O2675" i="2"/>
  <c r="N2675" i="2"/>
  <c r="M2675" i="2"/>
  <c r="L2675" i="2"/>
  <c r="K2675" i="2"/>
  <c r="J2675" i="2"/>
  <c r="I2675" i="2"/>
  <c r="H2675" i="2"/>
  <c r="G2675" i="2"/>
  <c r="F2675" i="2"/>
  <c r="C2675" i="2"/>
  <c r="B2675" i="2"/>
  <c r="A2675" i="2"/>
  <c r="O2674" i="2"/>
  <c r="N2674" i="2"/>
  <c r="M2674" i="2"/>
  <c r="L2674" i="2"/>
  <c r="K2674" i="2"/>
  <c r="J2674" i="2"/>
  <c r="I2674" i="2"/>
  <c r="H2674" i="2"/>
  <c r="G2674" i="2"/>
  <c r="F2674" i="2"/>
  <c r="C2674" i="2"/>
  <c r="B2674" i="2"/>
  <c r="A2674" i="2"/>
  <c r="O2673" i="2"/>
  <c r="N2673" i="2"/>
  <c r="M2673" i="2"/>
  <c r="L2673" i="2"/>
  <c r="K2673" i="2"/>
  <c r="J2673" i="2"/>
  <c r="I2673" i="2"/>
  <c r="H2673" i="2"/>
  <c r="G2673" i="2"/>
  <c r="F2673" i="2"/>
  <c r="C2673" i="2"/>
  <c r="B2673" i="2"/>
  <c r="A2673" i="2"/>
  <c r="O2672" i="2"/>
  <c r="N2672" i="2"/>
  <c r="M2672" i="2"/>
  <c r="L2672" i="2"/>
  <c r="K2672" i="2"/>
  <c r="J2672" i="2"/>
  <c r="I2672" i="2"/>
  <c r="H2672" i="2"/>
  <c r="G2672" i="2"/>
  <c r="F2672" i="2"/>
  <c r="C2672" i="2"/>
  <c r="B2672" i="2"/>
  <c r="A2672" i="2"/>
  <c r="O2671" i="2"/>
  <c r="N2671" i="2"/>
  <c r="M2671" i="2"/>
  <c r="L2671" i="2"/>
  <c r="K2671" i="2"/>
  <c r="J2671" i="2"/>
  <c r="I2671" i="2"/>
  <c r="H2671" i="2"/>
  <c r="G2671" i="2"/>
  <c r="F2671" i="2"/>
  <c r="C2671" i="2"/>
  <c r="B2671" i="2"/>
  <c r="A2671" i="2"/>
  <c r="O2670" i="2"/>
  <c r="N2670" i="2"/>
  <c r="M2670" i="2"/>
  <c r="L2670" i="2"/>
  <c r="K2670" i="2"/>
  <c r="J2670" i="2"/>
  <c r="I2670" i="2"/>
  <c r="H2670" i="2"/>
  <c r="G2670" i="2"/>
  <c r="F2670" i="2"/>
  <c r="C2670" i="2"/>
  <c r="B2670" i="2"/>
  <c r="A2670" i="2"/>
  <c r="O2669" i="2"/>
  <c r="N2669" i="2"/>
  <c r="M2669" i="2"/>
  <c r="L2669" i="2"/>
  <c r="K2669" i="2"/>
  <c r="J2669" i="2"/>
  <c r="I2669" i="2"/>
  <c r="H2669" i="2"/>
  <c r="G2669" i="2"/>
  <c r="F2669" i="2"/>
  <c r="C2669" i="2"/>
  <c r="B2669" i="2"/>
  <c r="A2669" i="2"/>
  <c r="O2668" i="2"/>
  <c r="N2668" i="2"/>
  <c r="M2668" i="2"/>
  <c r="L2668" i="2"/>
  <c r="K2668" i="2"/>
  <c r="J2668" i="2"/>
  <c r="I2668" i="2"/>
  <c r="H2668" i="2"/>
  <c r="G2668" i="2"/>
  <c r="F2668" i="2"/>
  <c r="C2668" i="2"/>
  <c r="B2668" i="2"/>
  <c r="A2668" i="2"/>
  <c r="O2667" i="2"/>
  <c r="N2667" i="2"/>
  <c r="M2667" i="2"/>
  <c r="L2667" i="2"/>
  <c r="K2667" i="2"/>
  <c r="J2667" i="2"/>
  <c r="I2667" i="2"/>
  <c r="H2667" i="2"/>
  <c r="G2667" i="2"/>
  <c r="F2667" i="2"/>
  <c r="C2667" i="2"/>
  <c r="B2667" i="2"/>
  <c r="A2667" i="2"/>
  <c r="O2666" i="2"/>
  <c r="N2666" i="2"/>
  <c r="M2666" i="2"/>
  <c r="L2666" i="2"/>
  <c r="K2666" i="2"/>
  <c r="J2666" i="2"/>
  <c r="I2666" i="2"/>
  <c r="H2666" i="2"/>
  <c r="G2666" i="2"/>
  <c r="F2666" i="2"/>
  <c r="C2666" i="2"/>
  <c r="B2666" i="2"/>
  <c r="A2666" i="2"/>
  <c r="O2665" i="2"/>
  <c r="N2665" i="2"/>
  <c r="M2665" i="2"/>
  <c r="L2665" i="2"/>
  <c r="K2665" i="2"/>
  <c r="J2665" i="2"/>
  <c r="I2665" i="2"/>
  <c r="H2665" i="2"/>
  <c r="G2665" i="2"/>
  <c r="F2665" i="2"/>
  <c r="C2665" i="2"/>
  <c r="B2665" i="2"/>
  <c r="A2665" i="2"/>
  <c r="O2664" i="2"/>
  <c r="N2664" i="2"/>
  <c r="M2664" i="2"/>
  <c r="L2664" i="2"/>
  <c r="K2664" i="2"/>
  <c r="J2664" i="2"/>
  <c r="I2664" i="2"/>
  <c r="H2664" i="2"/>
  <c r="G2664" i="2"/>
  <c r="F2664" i="2"/>
  <c r="C2664" i="2"/>
  <c r="B2664" i="2"/>
  <c r="A2664" i="2"/>
  <c r="O2663" i="2"/>
  <c r="N2663" i="2"/>
  <c r="M2663" i="2"/>
  <c r="L2663" i="2"/>
  <c r="K2663" i="2"/>
  <c r="J2663" i="2"/>
  <c r="I2663" i="2"/>
  <c r="H2663" i="2"/>
  <c r="G2663" i="2"/>
  <c r="F2663" i="2"/>
  <c r="C2663" i="2"/>
  <c r="B2663" i="2"/>
  <c r="A2663" i="2"/>
  <c r="O2662" i="2"/>
  <c r="N2662" i="2"/>
  <c r="M2662" i="2"/>
  <c r="L2662" i="2"/>
  <c r="K2662" i="2"/>
  <c r="J2662" i="2"/>
  <c r="I2662" i="2"/>
  <c r="H2662" i="2"/>
  <c r="G2662" i="2"/>
  <c r="F2662" i="2"/>
  <c r="C2662" i="2"/>
  <c r="B2662" i="2"/>
  <c r="A2662" i="2"/>
  <c r="O2661" i="2"/>
  <c r="N2661" i="2"/>
  <c r="M2661" i="2"/>
  <c r="L2661" i="2"/>
  <c r="K2661" i="2"/>
  <c r="J2661" i="2"/>
  <c r="I2661" i="2"/>
  <c r="H2661" i="2"/>
  <c r="G2661" i="2"/>
  <c r="F2661" i="2"/>
  <c r="C2661" i="2"/>
  <c r="B2661" i="2"/>
  <c r="A2661" i="2"/>
  <c r="O2660" i="2"/>
  <c r="N2660" i="2"/>
  <c r="M2660" i="2"/>
  <c r="L2660" i="2"/>
  <c r="K2660" i="2"/>
  <c r="J2660" i="2"/>
  <c r="I2660" i="2"/>
  <c r="H2660" i="2"/>
  <c r="G2660" i="2"/>
  <c r="F2660" i="2"/>
  <c r="C2660" i="2"/>
  <c r="B2660" i="2"/>
  <c r="A2660" i="2"/>
  <c r="O2659" i="2"/>
  <c r="N2659" i="2"/>
  <c r="M2659" i="2"/>
  <c r="L2659" i="2"/>
  <c r="K2659" i="2"/>
  <c r="J2659" i="2"/>
  <c r="I2659" i="2"/>
  <c r="H2659" i="2"/>
  <c r="G2659" i="2"/>
  <c r="F2659" i="2"/>
  <c r="C2659" i="2"/>
  <c r="B2659" i="2"/>
  <c r="A2659" i="2"/>
  <c r="O2658" i="2"/>
  <c r="N2658" i="2"/>
  <c r="M2658" i="2"/>
  <c r="L2658" i="2"/>
  <c r="K2658" i="2"/>
  <c r="J2658" i="2"/>
  <c r="I2658" i="2"/>
  <c r="H2658" i="2"/>
  <c r="G2658" i="2"/>
  <c r="F2658" i="2"/>
  <c r="C2658" i="2"/>
  <c r="B2658" i="2"/>
  <c r="A2658" i="2"/>
  <c r="O2657" i="2"/>
  <c r="N2657" i="2"/>
  <c r="M2657" i="2"/>
  <c r="L2657" i="2"/>
  <c r="K2657" i="2"/>
  <c r="J2657" i="2"/>
  <c r="I2657" i="2"/>
  <c r="H2657" i="2"/>
  <c r="G2657" i="2"/>
  <c r="F2657" i="2"/>
  <c r="C2657" i="2"/>
  <c r="B2657" i="2"/>
  <c r="A2657" i="2"/>
  <c r="O2656" i="2"/>
  <c r="N2656" i="2"/>
  <c r="M2656" i="2"/>
  <c r="L2656" i="2"/>
  <c r="K2656" i="2"/>
  <c r="J2656" i="2"/>
  <c r="I2656" i="2"/>
  <c r="H2656" i="2"/>
  <c r="G2656" i="2"/>
  <c r="F2656" i="2"/>
  <c r="C2656" i="2"/>
  <c r="B2656" i="2"/>
  <c r="A2656" i="2"/>
  <c r="O2655" i="2"/>
  <c r="N2655" i="2"/>
  <c r="M2655" i="2"/>
  <c r="L2655" i="2"/>
  <c r="K2655" i="2"/>
  <c r="J2655" i="2"/>
  <c r="I2655" i="2"/>
  <c r="H2655" i="2"/>
  <c r="G2655" i="2"/>
  <c r="F2655" i="2"/>
  <c r="C2655" i="2"/>
  <c r="B2655" i="2"/>
  <c r="A2655" i="2"/>
  <c r="O2654" i="2"/>
  <c r="N2654" i="2"/>
  <c r="M2654" i="2"/>
  <c r="L2654" i="2"/>
  <c r="K2654" i="2"/>
  <c r="J2654" i="2"/>
  <c r="I2654" i="2"/>
  <c r="H2654" i="2"/>
  <c r="G2654" i="2"/>
  <c r="F2654" i="2"/>
  <c r="C2654" i="2"/>
  <c r="B2654" i="2"/>
  <c r="A2654" i="2"/>
  <c r="O2653" i="2"/>
  <c r="N2653" i="2"/>
  <c r="M2653" i="2"/>
  <c r="L2653" i="2"/>
  <c r="K2653" i="2"/>
  <c r="J2653" i="2"/>
  <c r="I2653" i="2"/>
  <c r="H2653" i="2"/>
  <c r="G2653" i="2"/>
  <c r="F2653" i="2"/>
  <c r="C2653" i="2"/>
  <c r="B2653" i="2"/>
  <c r="A2653" i="2"/>
  <c r="O2652" i="2"/>
  <c r="N2652" i="2"/>
  <c r="M2652" i="2"/>
  <c r="L2652" i="2"/>
  <c r="K2652" i="2"/>
  <c r="J2652" i="2"/>
  <c r="I2652" i="2"/>
  <c r="H2652" i="2"/>
  <c r="G2652" i="2"/>
  <c r="F2652" i="2"/>
  <c r="C2652" i="2"/>
  <c r="B2652" i="2"/>
  <c r="A2652" i="2"/>
  <c r="O2651" i="2"/>
  <c r="N2651" i="2"/>
  <c r="M2651" i="2"/>
  <c r="L2651" i="2"/>
  <c r="K2651" i="2"/>
  <c r="J2651" i="2"/>
  <c r="I2651" i="2"/>
  <c r="H2651" i="2"/>
  <c r="G2651" i="2"/>
  <c r="F2651" i="2"/>
  <c r="C2651" i="2"/>
  <c r="B2651" i="2"/>
  <c r="A2651" i="2"/>
  <c r="O2650" i="2"/>
  <c r="N2650" i="2"/>
  <c r="M2650" i="2"/>
  <c r="L2650" i="2"/>
  <c r="K2650" i="2"/>
  <c r="J2650" i="2"/>
  <c r="I2650" i="2"/>
  <c r="H2650" i="2"/>
  <c r="G2650" i="2"/>
  <c r="F2650" i="2"/>
  <c r="C2650" i="2"/>
  <c r="B2650" i="2"/>
  <c r="A2650" i="2"/>
  <c r="O2649" i="2"/>
  <c r="N2649" i="2"/>
  <c r="M2649" i="2"/>
  <c r="L2649" i="2"/>
  <c r="K2649" i="2"/>
  <c r="J2649" i="2"/>
  <c r="I2649" i="2"/>
  <c r="H2649" i="2"/>
  <c r="G2649" i="2"/>
  <c r="F2649" i="2"/>
  <c r="C2649" i="2"/>
  <c r="B2649" i="2"/>
  <c r="A2649" i="2"/>
  <c r="O2648" i="2"/>
  <c r="N2648" i="2"/>
  <c r="M2648" i="2"/>
  <c r="L2648" i="2"/>
  <c r="K2648" i="2"/>
  <c r="J2648" i="2"/>
  <c r="I2648" i="2"/>
  <c r="H2648" i="2"/>
  <c r="G2648" i="2"/>
  <c r="F2648" i="2"/>
  <c r="C2648" i="2"/>
  <c r="B2648" i="2"/>
  <c r="A2648" i="2"/>
  <c r="O2647" i="2"/>
  <c r="N2647" i="2"/>
  <c r="M2647" i="2"/>
  <c r="L2647" i="2"/>
  <c r="K2647" i="2"/>
  <c r="J2647" i="2"/>
  <c r="I2647" i="2"/>
  <c r="H2647" i="2"/>
  <c r="G2647" i="2"/>
  <c r="F2647" i="2"/>
  <c r="C2647" i="2"/>
  <c r="B2647" i="2"/>
  <c r="A2647" i="2"/>
  <c r="O2646" i="2"/>
  <c r="N2646" i="2"/>
  <c r="M2646" i="2"/>
  <c r="L2646" i="2"/>
  <c r="K2646" i="2"/>
  <c r="J2646" i="2"/>
  <c r="I2646" i="2"/>
  <c r="H2646" i="2"/>
  <c r="G2646" i="2"/>
  <c r="F2646" i="2"/>
  <c r="C2646" i="2"/>
  <c r="B2646" i="2"/>
  <c r="A2646" i="2"/>
  <c r="O2645" i="2"/>
  <c r="N2645" i="2"/>
  <c r="M2645" i="2"/>
  <c r="L2645" i="2"/>
  <c r="K2645" i="2"/>
  <c r="J2645" i="2"/>
  <c r="I2645" i="2"/>
  <c r="H2645" i="2"/>
  <c r="G2645" i="2"/>
  <c r="F2645" i="2"/>
  <c r="C2645" i="2"/>
  <c r="B2645" i="2"/>
  <c r="A2645" i="2"/>
  <c r="O2644" i="2"/>
  <c r="N2644" i="2"/>
  <c r="M2644" i="2"/>
  <c r="L2644" i="2"/>
  <c r="K2644" i="2"/>
  <c r="J2644" i="2"/>
  <c r="I2644" i="2"/>
  <c r="H2644" i="2"/>
  <c r="G2644" i="2"/>
  <c r="F2644" i="2"/>
  <c r="C2644" i="2"/>
  <c r="B2644" i="2"/>
  <c r="A2644" i="2"/>
  <c r="O2643" i="2"/>
  <c r="N2643" i="2"/>
  <c r="M2643" i="2"/>
  <c r="L2643" i="2"/>
  <c r="K2643" i="2"/>
  <c r="J2643" i="2"/>
  <c r="I2643" i="2"/>
  <c r="H2643" i="2"/>
  <c r="G2643" i="2"/>
  <c r="F2643" i="2"/>
  <c r="C2643" i="2"/>
  <c r="B2643" i="2"/>
  <c r="A2643" i="2"/>
  <c r="O2642" i="2"/>
  <c r="N2642" i="2"/>
  <c r="M2642" i="2"/>
  <c r="L2642" i="2"/>
  <c r="K2642" i="2"/>
  <c r="J2642" i="2"/>
  <c r="I2642" i="2"/>
  <c r="H2642" i="2"/>
  <c r="G2642" i="2"/>
  <c r="F2642" i="2"/>
  <c r="C2642" i="2"/>
  <c r="B2642" i="2"/>
  <c r="A2642" i="2"/>
  <c r="O2641" i="2"/>
  <c r="N2641" i="2"/>
  <c r="M2641" i="2"/>
  <c r="L2641" i="2"/>
  <c r="K2641" i="2"/>
  <c r="J2641" i="2"/>
  <c r="I2641" i="2"/>
  <c r="H2641" i="2"/>
  <c r="G2641" i="2"/>
  <c r="F2641" i="2"/>
  <c r="C2641" i="2"/>
  <c r="B2641" i="2"/>
  <c r="A2641" i="2"/>
  <c r="O2640" i="2"/>
  <c r="N2640" i="2"/>
  <c r="M2640" i="2"/>
  <c r="L2640" i="2"/>
  <c r="K2640" i="2"/>
  <c r="J2640" i="2"/>
  <c r="I2640" i="2"/>
  <c r="H2640" i="2"/>
  <c r="G2640" i="2"/>
  <c r="F2640" i="2"/>
  <c r="C2640" i="2"/>
  <c r="B2640" i="2"/>
  <c r="A2640" i="2"/>
  <c r="O2639" i="2"/>
  <c r="N2639" i="2"/>
  <c r="M2639" i="2"/>
  <c r="L2639" i="2"/>
  <c r="K2639" i="2"/>
  <c r="J2639" i="2"/>
  <c r="I2639" i="2"/>
  <c r="H2639" i="2"/>
  <c r="G2639" i="2"/>
  <c r="F2639" i="2"/>
  <c r="C2639" i="2"/>
  <c r="B2639" i="2"/>
  <c r="A2639" i="2"/>
  <c r="O2638" i="2"/>
  <c r="N2638" i="2"/>
  <c r="M2638" i="2"/>
  <c r="L2638" i="2"/>
  <c r="K2638" i="2"/>
  <c r="J2638" i="2"/>
  <c r="I2638" i="2"/>
  <c r="H2638" i="2"/>
  <c r="G2638" i="2"/>
  <c r="F2638" i="2"/>
  <c r="C2638" i="2"/>
  <c r="B2638" i="2"/>
  <c r="A2638" i="2"/>
  <c r="O2637" i="2"/>
  <c r="N2637" i="2"/>
  <c r="M2637" i="2"/>
  <c r="L2637" i="2"/>
  <c r="K2637" i="2"/>
  <c r="J2637" i="2"/>
  <c r="I2637" i="2"/>
  <c r="H2637" i="2"/>
  <c r="G2637" i="2"/>
  <c r="F2637" i="2"/>
  <c r="C2637" i="2"/>
  <c r="B2637" i="2"/>
  <c r="A2637" i="2"/>
  <c r="O2636" i="2"/>
  <c r="N2636" i="2"/>
  <c r="M2636" i="2"/>
  <c r="L2636" i="2"/>
  <c r="K2636" i="2"/>
  <c r="J2636" i="2"/>
  <c r="I2636" i="2"/>
  <c r="H2636" i="2"/>
  <c r="G2636" i="2"/>
  <c r="F2636" i="2"/>
  <c r="C2636" i="2"/>
  <c r="B2636" i="2"/>
  <c r="A2636" i="2"/>
  <c r="O2635" i="2"/>
  <c r="N2635" i="2"/>
  <c r="M2635" i="2"/>
  <c r="L2635" i="2"/>
  <c r="K2635" i="2"/>
  <c r="J2635" i="2"/>
  <c r="I2635" i="2"/>
  <c r="H2635" i="2"/>
  <c r="G2635" i="2"/>
  <c r="F2635" i="2"/>
  <c r="C2635" i="2"/>
  <c r="B2635" i="2"/>
  <c r="A2635" i="2"/>
  <c r="O2634" i="2"/>
  <c r="N2634" i="2"/>
  <c r="M2634" i="2"/>
  <c r="L2634" i="2"/>
  <c r="K2634" i="2"/>
  <c r="J2634" i="2"/>
  <c r="I2634" i="2"/>
  <c r="H2634" i="2"/>
  <c r="G2634" i="2"/>
  <c r="F2634" i="2"/>
  <c r="C2634" i="2"/>
  <c r="B2634" i="2"/>
  <c r="A2634" i="2"/>
  <c r="O2633" i="2"/>
  <c r="N2633" i="2"/>
  <c r="M2633" i="2"/>
  <c r="L2633" i="2"/>
  <c r="K2633" i="2"/>
  <c r="J2633" i="2"/>
  <c r="I2633" i="2"/>
  <c r="H2633" i="2"/>
  <c r="G2633" i="2"/>
  <c r="F2633" i="2"/>
  <c r="C2633" i="2"/>
  <c r="B2633" i="2"/>
  <c r="A2633" i="2"/>
  <c r="O2632" i="2"/>
  <c r="N2632" i="2"/>
  <c r="M2632" i="2"/>
  <c r="L2632" i="2"/>
  <c r="K2632" i="2"/>
  <c r="J2632" i="2"/>
  <c r="I2632" i="2"/>
  <c r="H2632" i="2"/>
  <c r="G2632" i="2"/>
  <c r="F2632" i="2"/>
  <c r="C2632" i="2"/>
  <c r="B2632" i="2"/>
  <c r="A2632" i="2"/>
  <c r="O2631" i="2"/>
  <c r="N2631" i="2"/>
  <c r="M2631" i="2"/>
  <c r="L2631" i="2"/>
  <c r="K2631" i="2"/>
  <c r="J2631" i="2"/>
  <c r="I2631" i="2"/>
  <c r="H2631" i="2"/>
  <c r="G2631" i="2"/>
  <c r="F2631" i="2"/>
  <c r="C2631" i="2"/>
  <c r="B2631" i="2"/>
  <c r="A2631" i="2"/>
  <c r="O2630" i="2"/>
  <c r="N2630" i="2"/>
  <c r="M2630" i="2"/>
  <c r="L2630" i="2"/>
  <c r="K2630" i="2"/>
  <c r="J2630" i="2"/>
  <c r="I2630" i="2"/>
  <c r="H2630" i="2"/>
  <c r="G2630" i="2"/>
  <c r="F2630" i="2"/>
  <c r="C2630" i="2"/>
  <c r="B2630" i="2"/>
  <c r="A2630" i="2"/>
  <c r="O2629" i="2"/>
  <c r="N2629" i="2"/>
  <c r="M2629" i="2"/>
  <c r="L2629" i="2"/>
  <c r="K2629" i="2"/>
  <c r="J2629" i="2"/>
  <c r="I2629" i="2"/>
  <c r="H2629" i="2"/>
  <c r="G2629" i="2"/>
  <c r="F2629" i="2"/>
  <c r="C2629" i="2"/>
  <c r="B2629" i="2"/>
  <c r="A2629" i="2"/>
  <c r="O2628" i="2"/>
  <c r="N2628" i="2"/>
  <c r="M2628" i="2"/>
  <c r="L2628" i="2"/>
  <c r="K2628" i="2"/>
  <c r="J2628" i="2"/>
  <c r="I2628" i="2"/>
  <c r="H2628" i="2"/>
  <c r="G2628" i="2"/>
  <c r="F2628" i="2"/>
  <c r="C2628" i="2"/>
  <c r="B2628" i="2"/>
  <c r="A2628" i="2"/>
  <c r="O2627" i="2"/>
  <c r="N2627" i="2"/>
  <c r="M2627" i="2"/>
  <c r="L2627" i="2"/>
  <c r="K2627" i="2"/>
  <c r="J2627" i="2"/>
  <c r="I2627" i="2"/>
  <c r="H2627" i="2"/>
  <c r="G2627" i="2"/>
  <c r="F2627" i="2"/>
  <c r="C2627" i="2"/>
  <c r="B2627" i="2"/>
  <c r="A2627" i="2"/>
  <c r="O2626" i="2"/>
  <c r="N2626" i="2"/>
  <c r="M2626" i="2"/>
  <c r="L2626" i="2"/>
  <c r="K2626" i="2"/>
  <c r="J2626" i="2"/>
  <c r="I2626" i="2"/>
  <c r="H2626" i="2"/>
  <c r="G2626" i="2"/>
  <c r="F2626" i="2"/>
  <c r="C2626" i="2"/>
  <c r="B2626" i="2"/>
  <c r="A2626" i="2"/>
  <c r="O2625" i="2"/>
  <c r="N2625" i="2"/>
  <c r="M2625" i="2"/>
  <c r="L2625" i="2"/>
  <c r="K2625" i="2"/>
  <c r="J2625" i="2"/>
  <c r="I2625" i="2"/>
  <c r="H2625" i="2"/>
  <c r="G2625" i="2"/>
  <c r="F2625" i="2"/>
  <c r="C2625" i="2"/>
  <c r="B2625" i="2"/>
  <c r="A2625" i="2"/>
  <c r="O2624" i="2"/>
  <c r="N2624" i="2"/>
  <c r="M2624" i="2"/>
  <c r="L2624" i="2"/>
  <c r="K2624" i="2"/>
  <c r="J2624" i="2"/>
  <c r="I2624" i="2"/>
  <c r="H2624" i="2"/>
  <c r="G2624" i="2"/>
  <c r="F2624" i="2"/>
  <c r="C2624" i="2"/>
  <c r="B2624" i="2"/>
  <c r="A2624" i="2"/>
  <c r="O2623" i="2"/>
  <c r="N2623" i="2"/>
  <c r="M2623" i="2"/>
  <c r="L2623" i="2"/>
  <c r="K2623" i="2"/>
  <c r="J2623" i="2"/>
  <c r="I2623" i="2"/>
  <c r="H2623" i="2"/>
  <c r="G2623" i="2"/>
  <c r="F2623" i="2"/>
  <c r="C2623" i="2"/>
  <c r="B2623" i="2"/>
  <c r="A2623" i="2"/>
  <c r="O2622" i="2"/>
  <c r="N2622" i="2"/>
  <c r="M2622" i="2"/>
  <c r="L2622" i="2"/>
  <c r="K2622" i="2"/>
  <c r="J2622" i="2"/>
  <c r="I2622" i="2"/>
  <c r="H2622" i="2"/>
  <c r="G2622" i="2"/>
  <c r="F2622" i="2"/>
  <c r="C2622" i="2"/>
  <c r="B2622" i="2"/>
  <c r="A2622" i="2"/>
  <c r="O2621" i="2"/>
  <c r="N2621" i="2"/>
  <c r="M2621" i="2"/>
  <c r="L2621" i="2"/>
  <c r="K2621" i="2"/>
  <c r="J2621" i="2"/>
  <c r="I2621" i="2"/>
  <c r="H2621" i="2"/>
  <c r="G2621" i="2"/>
  <c r="F2621" i="2"/>
  <c r="C2621" i="2"/>
  <c r="B2621" i="2"/>
  <c r="A2621" i="2"/>
  <c r="O2620" i="2"/>
  <c r="N2620" i="2"/>
  <c r="M2620" i="2"/>
  <c r="L2620" i="2"/>
  <c r="K2620" i="2"/>
  <c r="J2620" i="2"/>
  <c r="I2620" i="2"/>
  <c r="H2620" i="2"/>
  <c r="G2620" i="2"/>
  <c r="F2620" i="2"/>
  <c r="C2620" i="2"/>
  <c r="B2620" i="2"/>
  <c r="A2620" i="2"/>
  <c r="O2619" i="2"/>
  <c r="N2619" i="2"/>
  <c r="M2619" i="2"/>
  <c r="L2619" i="2"/>
  <c r="K2619" i="2"/>
  <c r="J2619" i="2"/>
  <c r="I2619" i="2"/>
  <c r="H2619" i="2"/>
  <c r="G2619" i="2"/>
  <c r="F2619" i="2"/>
  <c r="C2619" i="2"/>
  <c r="B2619" i="2"/>
  <c r="A2619" i="2"/>
  <c r="O2618" i="2"/>
  <c r="N2618" i="2"/>
  <c r="M2618" i="2"/>
  <c r="L2618" i="2"/>
  <c r="K2618" i="2"/>
  <c r="J2618" i="2"/>
  <c r="I2618" i="2"/>
  <c r="H2618" i="2"/>
  <c r="G2618" i="2"/>
  <c r="F2618" i="2"/>
  <c r="C2618" i="2"/>
  <c r="B2618" i="2"/>
  <c r="A2618" i="2"/>
  <c r="O2617" i="2"/>
  <c r="N2617" i="2"/>
  <c r="M2617" i="2"/>
  <c r="L2617" i="2"/>
  <c r="K2617" i="2"/>
  <c r="J2617" i="2"/>
  <c r="I2617" i="2"/>
  <c r="H2617" i="2"/>
  <c r="G2617" i="2"/>
  <c r="F2617" i="2"/>
  <c r="C2617" i="2"/>
  <c r="B2617" i="2"/>
  <c r="A2617" i="2"/>
  <c r="O2616" i="2"/>
  <c r="N2616" i="2"/>
  <c r="M2616" i="2"/>
  <c r="L2616" i="2"/>
  <c r="K2616" i="2"/>
  <c r="J2616" i="2"/>
  <c r="I2616" i="2"/>
  <c r="H2616" i="2"/>
  <c r="G2616" i="2"/>
  <c r="F2616" i="2"/>
  <c r="C2616" i="2"/>
  <c r="B2616" i="2"/>
  <c r="A2616" i="2"/>
  <c r="O2615" i="2"/>
  <c r="N2615" i="2"/>
  <c r="M2615" i="2"/>
  <c r="L2615" i="2"/>
  <c r="K2615" i="2"/>
  <c r="J2615" i="2"/>
  <c r="I2615" i="2"/>
  <c r="H2615" i="2"/>
  <c r="G2615" i="2"/>
  <c r="F2615" i="2"/>
  <c r="C2615" i="2"/>
  <c r="B2615" i="2"/>
  <c r="A2615" i="2"/>
  <c r="O2614" i="2"/>
  <c r="N2614" i="2"/>
  <c r="M2614" i="2"/>
  <c r="L2614" i="2"/>
  <c r="K2614" i="2"/>
  <c r="J2614" i="2"/>
  <c r="I2614" i="2"/>
  <c r="H2614" i="2"/>
  <c r="G2614" i="2"/>
  <c r="F2614" i="2"/>
  <c r="C2614" i="2"/>
  <c r="B2614" i="2"/>
  <c r="A2614" i="2"/>
  <c r="O2613" i="2"/>
  <c r="N2613" i="2"/>
  <c r="M2613" i="2"/>
  <c r="L2613" i="2"/>
  <c r="K2613" i="2"/>
  <c r="J2613" i="2"/>
  <c r="I2613" i="2"/>
  <c r="H2613" i="2"/>
  <c r="G2613" i="2"/>
  <c r="F2613" i="2"/>
  <c r="C2613" i="2"/>
  <c r="B2613" i="2"/>
  <c r="A2613" i="2"/>
  <c r="O2612" i="2"/>
  <c r="N2612" i="2"/>
  <c r="M2612" i="2"/>
  <c r="L2612" i="2"/>
  <c r="K2612" i="2"/>
  <c r="J2612" i="2"/>
  <c r="I2612" i="2"/>
  <c r="H2612" i="2"/>
  <c r="G2612" i="2"/>
  <c r="F2612" i="2"/>
  <c r="C2612" i="2"/>
  <c r="B2612" i="2"/>
  <c r="A2612" i="2"/>
  <c r="O2611" i="2"/>
  <c r="N2611" i="2"/>
  <c r="M2611" i="2"/>
  <c r="L2611" i="2"/>
  <c r="K2611" i="2"/>
  <c r="J2611" i="2"/>
  <c r="I2611" i="2"/>
  <c r="H2611" i="2"/>
  <c r="G2611" i="2"/>
  <c r="F2611" i="2"/>
  <c r="C2611" i="2"/>
  <c r="B2611" i="2"/>
  <c r="A2611" i="2"/>
  <c r="O2610" i="2"/>
  <c r="N2610" i="2"/>
  <c r="M2610" i="2"/>
  <c r="L2610" i="2"/>
  <c r="K2610" i="2"/>
  <c r="J2610" i="2"/>
  <c r="I2610" i="2"/>
  <c r="H2610" i="2"/>
  <c r="G2610" i="2"/>
  <c r="F2610" i="2"/>
  <c r="C2610" i="2"/>
  <c r="B2610" i="2"/>
  <c r="A2610" i="2"/>
  <c r="O2609" i="2"/>
  <c r="N2609" i="2"/>
  <c r="M2609" i="2"/>
  <c r="L2609" i="2"/>
  <c r="K2609" i="2"/>
  <c r="J2609" i="2"/>
  <c r="I2609" i="2"/>
  <c r="H2609" i="2"/>
  <c r="G2609" i="2"/>
  <c r="F2609" i="2"/>
  <c r="C2609" i="2"/>
  <c r="B2609" i="2"/>
  <c r="A2609" i="2"/>
  <c r="O2608" i="2"/>
  <c r="N2608" i="2"/>
  <c r="M2608" i="2"/>
  <c r="L2608" i="2"/>
  <c r="K2608" i="2"/>
  <c r="J2608" i="2"/>
  <c r="I2608" i="2"/>
  <c r="H2608" i="2"/>
  <c r="G2608" i="2"/>
  <c r="F2608" i="2"/>
  <c r="C2608" i="2"/>
  <c r="B2608" i="2"/>
  <c r="A2608" i="2"/>
  <c r="O2607" i="2"/>
  <c r="N2607" i="2"/>
  <c r="M2607" i="2"/>
  <c r="L2607" i="2"/>
  <c r="K2607" i="2"/>
  <c r="J2607" i="2"/>
  <c r="I2607" i="2"/>
  <c r="H2607" i="2"/>
  <c r="G2607" i="2"/>
  <c r="F2607" i="2"/>
  <c r="C2607" i="2"/>
  <c r="B2607" i="2"/>
  <c r="A2607" i="2"/>
  <c r="O2606" i="2"/>
  <c r="N2606" i="2"/>
  <c r="M2606" i="2"/>
  <c r="L2606" i="2"/>
  <c r="K2606" i="2"/>
  <c r="J2606" i="2"/>
  <c r="I2606" i="2"/>
  <c r="H2606" i="2"/>
  <c r="G2606" i="2"/>
  <c r="F2606" i="2"/>
  <c r="C2606" i="2"/>
  <c r="B2606" i="2"/>
  <c r="A2606" i="2"/>
  <c r="O2605" i="2"/>
  <c r="N2605" i="2"/>
  <c r="M2605" i="2"/>
  <c r="L2605" i="2"/>
  <c r="K2605" i="2"/>
  <c r="J2605" i="2"/>
  <c r="I2605" i="2"/>
  <c r="H2605" i="2"/>
  <c r="G2605" i="2"/>
  <c r="F2605" i="2"/>
  <c r="C2605" i="2"/>
  <c r="B2605" i="2"/>
  <c r="A2605" i="2"/>
  <c r="O2604" i="2"/>
  <c r="N2604" i="2"/>
  <c r="M2604" i="2"/>
  <c r="L2604" i="2"/>
  <c r="K2604" i="2"/>
  <c r="J2604" i="2"/>
  <c r="I2604" i="2"/>
  <c r="H2604" i="2"/>
  <c r="G2604" i="2"/>
  <c r="F2604" i="2"/>
  <c r="C2604" i="2"/>
  <c r="B2604" i="2"/>
  <c r="A2604" i="2"/>
  <c r="O2603" i="2"/>
  <c r="N2603" i="2"/>
  <c r="M2603" i="2"/>
  <c r="L2603" i="2"/>
  <c r="K2603" i="2"/>
  <c r="J2603" i="2"/>
  <c r="I2603" i="2"/>
  <c r="H2603" i="2"/>
  <c r="G2603" i="2"/>
  <c r="F2603" i="2"/>
  <c r="C2603" i="2"/>
  <c r="B2603" i="2"/>
  <c r="A2603" i="2"/>
  <c r="O2602" i="2"/>
  <c r="N2602" i="2"/>
  <c r="M2602" i="2"/>
  <c r="L2602" i="2"/>
  <c r="K2602" i="2"/>
  <c r="J2602" i="2"/>
  <c r="I2602" i="2"/>
  <c r="H2602" i="2"/>
  <c r="G2602" i="2"/>
  <c r="F2602" i="2"/>
  <c r="C2602" i="2"/>
  <c r="B2602" i="2"/>
  <c r="A2602" i="2"/>
  <c r="O2601" i="2"/>
  <c r="N2601" i="2"/>
  <c r="M2601" i="2"/>
  <c r="L2601" i="2"/>
  <c r="K2601" i="2"/>
  <c r="J2601" i="2"/>
  <c r="I2601" i="2"/>
  <c r="H2601" i="2"/>
  <c r="G2601" i="2"/>
  <c r="F2601" i="2"/>
  <c r="C2601" i="2"/>
  <c r="B2601" i="2"/>
  <c r="A2601" i="2"/>
  <c r="O2600" i="2"/>
  <c r="N2600" i="2"/>
  <c r="M2600" i="2"/>
  <c r="L2600" i="2"/>
  <c r="K2600" i="2"/>
  <c r="J2600" i="2"/>
  <c r="I2600" i="2"/>
  <c r="H2600" i="2"/>
  <c r="G2600" i="2"/>
  <c r="F2600" i="2"/>
  <c r="C2600" i="2"/>
  <c r="B2600" i="2"/>
  <c r="A2600" i="2"/>
  <c r="O2599" i="2"/>
  <c r="N2599" i="2"/>
  <c r="M2599" i="2"/>
  <c r="L2599" i="2"/>
  <c r="K2599" i="2"/>
  <c r="J2599" i="2"/>
  <c r="I2599" i="2"/>
  <c r="H2599" i="2"/>
  <c r="G2599" i="2"/>
  <c r="F2599" i="2"/>
  <c r="C2599" i="2"/>
  <c r="B2599" i="2"/>
  <c r="A2599" i="2"/>
  <c r="O2598" i="2"/>
  <c r="N2598" i="2"/>
  <c r="M2598" i="2"/>
  <c r="L2598" i="2"/>
  <c r="K2598" i="2"/>
  <c r="J2598" i="2"/>
  <c r="I2598" i="2"/>
  <c r="H2598" i="2"/>
  <c r="G2598" i="2"/>
  <c r="F2598" i="2"/>
  <c r="C2598" i="2"/>
  <c r="B2598" i="2"/>
  <c r="A2598" i="2"/>
  <c r="O2597" i="2"/>
  <c r="N2597" i="2"/>
  <c r="M2597" i="2"/>
  <c r="L2597" i="2"/>
  <c r="K2597" i="2"/>
  <c r="J2597" i="2"/>
  <c r="I2597" i="2"/>
  <c r="H2597" i="2"/>
  <c r="G2597" i="2"/>
  <c r="F2597" i="2"/>
  <c r="C2597" i="2"/>
  <c r="B2597" i="2"/>
  <c r="A2597" i="2"/>
  <c r="O2596" i="2"/>
  <c r="N2596" i="2"/>
  <c r="M2596" i="2"/>
  <c r="L2596" i="2"/>
  <c r="K2596" i="2"/>
  <c r="J2596" i="2"/>
  <c r="I2596" i="2"/>
  <c r="H2596" i="2"/>
  <c r="G2596" i="2"/>
  <c r="F2596" i="2"/>
  <c r="C2596" i="2"/>
  <c r="B2596" i="2"/>
  <c r="A2596" i="2"/>
  <c r="O2595" i="2"/>
  <c r="N2595" i="2"/>
  <c r="M2595" i="2"/>
  <c r="L2595" i="2"/>
  <c r="K2595" i="2"/>
  <c r="J2595" i="2"/>
  <c r="I2595" i="2"/>
  <c r="H2595" i="2"/>
  <c r="G2595" i="2"/>
  <c r="F2595" i="2"/>
  <c r="C2595" i="2"/>
  <c r="B2595" i="2"/>
  <c r="A2595" i="2"/>
  <c r="O2594" i="2"/>
  <c r="N2594" i="2"/>
  <c r="M2594" i="2"/>
  <c r="L2594" i="2"/>
  <c r="K2594" i="2"/>
  <c r="J2594" i="2"/>
  <c r="I2594" i="2"/>
  <c r="H2594" i="2"/>
  <c r="G2594" i="2"/>
  <c r="F2594" i="2"/>
  <c r="C2594" i="2"/>
  <c r="B2594" i="2"/>
  <c r="A2594" i="2"/>
  <c r="O2593" i="2"/>
  <c r="N2593" i="2"/>
  <c r="M2593" i="2"/>
  <c r="L2593" i="2"/>
  <c r="K2593" i="2"/>
  <c r="J2593" i="2"/>
  <c r="I2593" i="2"/>
  <c r="H2593" i="2"/>
  <c r="G2593" i="2"/>
  <c r="F2593" i="2"/>
  <c r="C2593" i="2"/>
  <c r="B2593" i="2"/>
  <c r="A2593" i="2"/>
  <c r="O2592" i="2"/>
  <c r="N2592" i="2"/>
  <c r="M2592" i="2"/>
  <c r="L2592" i="2"/>
  <c r="K2592" i="2"/>
  <c r="J2592" i="2"/>
  <c r="I2592" i="2"/>
  <c r="H2592" i="2"/>
  <c r="G2592" i="2"/>
  <c r="F2592" i="2"/>
  <c r="C2592" i="2"/>
  <c r="B2592" i="2"/>
  <c r="A2592" i="2"/>
  <c r="O2591" i="2"/>
  <c r="N2591" i="2"/>
  <c r="M2591" i="2"/>
  <c r="L2591" i="2"/>
  <c r="K2591" i="2"/>
  <c r="J2591" i="2"/>
  <c r="I2591" i="2"/>
  <c r="H2591" i="2"/>
  <c r="G2591" i="2"/>
  <c r="F2591" i="2"/>
  <c r="C2591" i="2"/>
  <c r="B2591" i="2"/>
  <c r="A2591" i="2"/>
  <c r="O2590" i="2"/>
  <c r="N2590" i="2"/>
  <c r="M2590" i="2"/>
  <c r="L2590" i="2"/>
  <c r="K2590" i="2"/>
  <c r="J2590" i="2"/>
  <c r="I2590" i="2"/>
  <c r="H2590" i="2"/>
  <c r="G2590" i="2"/>
  <c r="F2590" i="2"/>
  <c r="C2590" i="2"/>
  <c r="B2590" i="2"/>
  <c r="A2590" i="2"/>
  <c r="O2589" i="2"/>
  <c r="N2589" i="2"/>
  <c r="M2589" i="2"/>
  <c r="L2589" i="2"/>
  <c r="K2589" i="2"/>
  <c r="J2589" i="2"/>
  <c r="I2589" i="2"/>
  <c r="H2589" i="2"/>
  <c r="G2589" i="2"/>
  <c r="F2589" i="2"/>
  <c r="C2589" i="2"/>
  <c r="B2589" i="2"/>
  <c r="A2589" i="2"/>
  <c r="O2588" i="2"/>
  <c r="N2588" i="2"/>
  <c r="M2588" i="2"/>
  <c r="L2588" i="2"/>
  <c r="K2588" i="2"/>
  <c r="J2588" i="2"/>
  <c r="I2588" i="2"/>
  <c r="H2588" i="2"/>
  <c r="G2588" i="2"/>
  <c r="F2588" i="2"/>
  <c r="C2588" i="2"/>
  <c r="B2588" i="2"/>
  <c r="A2588" i="2"/>
  <c r="O2587" i="2"/>
  <c r="N2587" i="2"/>
  <c r="M2587" i="2"/>
  <c r="L2587" i="2"/>
  <c r="K2587" i="2"/>
  <c r="J2587" i="2"/>
  <c r="I2587" i="2"/>
  <c r="H2587" i="2"/>
  <c r="G2587" i="2"/>
  <c r="F2587" i="2"/>
  <c r="C2587" i="2"/>
  <c r="B2587" i="2"/>
  <c r="A2587" i="2"/>
  <c r="O2586" i="2"/>
  <c r="N2586" i="2"/>
  <c r="M2586" i="2"/>
  <c r="L2586" i="2"/>
  <c r="K2586" i="2"/>
  <c r="J2586" i="2"/>
  <c r="I2586" i="2"/>
  <c r="H2586" i="2"/>
  <c r="G2586" i="2"/>
  <c r="F2586" i="2"/>
  <c r="C2586" i="2"/>
  <c r="B2586" i="2"/>
  <c r="A2586" i="2"/>
  <c r="O2585" i="2"/>
  <c r="N2585" i="2"/>
  <c r="M2585" i="2"/>
  <c r="L2585" i="2"/>
  <c r="K2585" i="2"/>
  <c r="J2585" i="2"/>
  <c r="I2585" i="2"/>
  <c r="H2585" i="2"/>
  <c r="G2585" i="2"/>
  <c r="F2585" i="2"/>
  <c r="C2585" i="2"/>
  <c r="B2585" i="2"/>
  <c r="A2585" i="2"/>
  <c r="O2584" i="2"/>
  <c r="N2584" i="2"/>
  <c r="M2584" i="2"/>
  <c r="L2584" i="2"/>
  <c r="K2584" i="2"/>
  <c r="J2584" i="2"/>
  <c r="I2584" i="2"/>
  <c r="H2584" i="2"/>
  <c r="G2584" i="2"/>
  <c r="F2584" i="2"/>
  <c r="C2584" i="2"/>
  <c r="B2584" i="2"/>
  <c r="A2584" i="2"/>
  <c r="O2583" i="2"/>
  <c r="N2583" i="2"/>
  <c r="M2583" i="2"/>
  <c r="L2583" i="2"/>
  <c r="K2583" i="2"/>
  <c r="J2583" i="2"/>
  <c r="I2583" i="2"/>
  <c r="H2583" i="2"/>
  <c r="G2583" i="2"/>
  <c r="F2583" i="2"/>
  <c r="C2583" i="2"/>
  <c r="B2583" i="2"/>
  <c r="A2583" i="2"/>
  <c r="O2582" i="2"/>
  <c r="N2582" i="2"/>
  <c r="M2582" i="2"/>
  <c r="L2582" i="2"/>
  <c r="K2582" i="2"/>
  <c r="J2582" i="2"/>
  <c r="I2582" i="2"/>
  <c r="H2582" i="2"/>
  <c r="G2582" i="2"/>
  <c r="F2582" i="2"/>
  <c r="C2582" i="2"/>
  <c r="B2582" i="2"/>
  <c r="A2582" i="2"/>
  <c r="O2581" i="2"/>
  <c r="N2581" i="2"/>
  <c r="M2581" i="2"/>
  <c r="L2581" i="2"/>
  <c r="K2581" i="2"/>
  <c r="J2581" i="2"/>
  <c r="I2581" i="2"/>
  <c r="H2581" i="2"/>
  <c r="G2581" i="2"/>
  <c r="F2581" i="2"/>
  <c r="C2581" i="2"/>
  <c r="B2581" i="2"/>
  <c r="A2581" i="2"/>
  <c r="O2580" i="2"/>
  <c r="N2580" i="2"/>
  <c r="M2580" i="2"/>
  <c r="L2580" i="2"/>
  <c r="K2580" i="2"/>
  <c r="J2580" i="2"/>
  <c r="I2580" i="2"/>
  <c r="H2580" i="2"/>
  <c r="G2580" i="2"/>
  <c r="F2580" i="2"/>
  <c r="C2580" i="2"/>
  <c r="B2580" i="2"/>
  <c r="A2580" i="2"/>
  <c r="O2579" i="2"/>
  <c r="N2579" i="2"/>
  <c r="M2579" i="2"/>
  <c r="L2579" i="2"/>
  <c r="K2579" i="2"/>
  <c r="J2579" i="2"/>
  <c r="I2579" i="2"/>
  <c r="H2579" i="2"/>
  <c r="G2579" i="2"/>
  <c r="F2579" i="2"/>
  <c r="C2579" i="2"/>
  <c r="B2579" i="2"/>
  <c r="A2579" i="2"/>
  <c r="O2578" i="2"/>
  <c r="N2578" i="2"/>
  <c r="M2578" i="2"/>
  <c r="L2578" i="2"/>
  <c r="K2578" i="2"/>
  <c r="J2578" i="2"/>
  <c r="I2578" i="2"/>
  <c r="H2578" i="2"/>
  <c r="G2578" i="2"/>
  <c r="F2578" i="2"/>
  <c r="C2578" i="2"/>
  <c r="B2578" i="2"/>
  <c r="A2578" i="2"/>
  <c r="O2577" i="2"/>
  <c r="N2577" i="2"/>
  <c r="M2577" i="2"/>
  <c r="L2577" i="2"/>
  <c r="K2577" i="2"/>
  <c r="J2577" i="2"/>
  <c r="I2577" i="2"/>
  <c r="H2577" i="2"/>
  <c r="G2577" i="2"/>
  <c r="F2577" i="2"/>
  <c r="C2577" i="2"/>
  <c r="B2577" i="2"/>
  <c r="A2577" i="2"/>
  <c r="O2576" i="2"/>
  <c r="N2576" i="2"/>
  <c r="M2576" i="2"/>
  <c r="L2576" i="2"/>
  <c r="K2576" i="2"/>
  <c r="J2576" i="2"/>
  <c r="I2576" i="2"/>
  <c r="H2576" i="2"/>
  <c r="G2576" i="2"/>
  <c r="F2576" i="2"/>
  <c r="C2576" i="2"/>
  <c r="B2576" i="2"/>
  <c r="A2576" i="2"/>
  <c r="O2575" i="2"/>
  <c r="N2575" i="2"/>
  <c r="M2575" i="2"/>
  <c r="L2575" i="2"/>
  <c r="K2575" i="2"/>
  <c r="J2575" i="2"/>
  <c r="I2575" i="2"/>
  <c r="H2575" i="2"/>
  <c r="G2575" i="2"/>
  <c r="F2575" i="2"/>
  <c r="C2575" i="2"/>
  <c r="B2575" i="2"/>
  <c r="A2575" i="2"/>
  <c r="O2574" i="2"/>
  <c r="N2574" i="2"/>
  <c r="M2574" i="2"/>
  <c r="L2574" i="2"/>
  <c r="K2574" i="2"/>
  <c r="J2574" i="2"/>
  <c r="I2574" i="2"/>
  <c r="H2574" i="2"/>
  <c r="G2574" i="2"/>
  <c r="F2574" i="2"/>
  <c r="C2574" i="2"/>
  <c r="B2574" i="2"/>
  <c r="A2574" i="2"/>
  <c r="O2573" i="2"/>
  <c r="N2573" i="2"/>
  <c r="M2573" i="2"/>
  <c r="L2573" i="2"/>
  <c r="K2573" i="2"/>
  <c r="J2573" i="2"/>
  <c r="I2573" i="2"/>
  <c r="H2573" i="2"/>
  <c r="G2573" i="2"/>
  <c r="F2573" i="2"/>
  <c r="C2573" i="2"/>
  <c r="B2573" i="2"/>
  <c r="A2573" i="2"/>
  <c r="O2572" i="2"/>
  <c r="N2572" i="2"/>
  <c r="M2572" i="2"/>
  <c r="L2572" i="2"/>
  <c r="K2572" i="2"/>
  <c r="J2572" i="2"/>
  <c r="I2572" i="2"/>
  <c r="H2572" i="2"/>
  <c r="G2572" i="2"/>
  <c r="F2572" i="2"/>
  <c r="C2572" i="2"/>
  <c r="B2572" i="2"/>
  <c r="A2572" i="2"/>
  <c r="O2571" i="2"/>
  <c r="N2571" i="2"/>
  <c r="M2571" i="2"/>
  <c r="L2571" i="2"/>
  <c r="K2571" i="2"/>
  <c r="J2571" i="2"/>
  <c r="I2571" i="2"/>
  <c r="H2571" i="2"/>
  <c r="G2571" i="2"/>
  <c r="F2571" i="2"/>
  <c r="C2571" i="2"/>
  <c r="B2571" i="2"/>
  <c r="A2571" i="2"/>
  <c r="O2570" i="2"/>
  <c r="N2570" i="2"/>
  <c r="M2570" i="2"/>
  <c r="L2570" i="2"/>
  <c r="K2570" i="2"/>
  <c r="J2570" i="2"/>
  <c r="I2570" i="2"/>
  <c r="H2570" i="2"/>
  <c r="G2570" i="2"/>
  <c r="F2570" i="2"/>
  <c r="C2570" i="2"/>
  <c r="B2570" i="2"/>
  <c r="A2570" i="2"/>
  <c r="O2569" i="2"/>
  <c r="N2569" i="2"/>
  <c r="M2569" i="2"/>
  <c r="L2569" i="2"/>
  <c r="K2569" i="2"/>
  <c r="J2569" i="2"/>
  <c r="I2569" i="2"/>
  <c r="H2569" i="2"/>
  <c r="G2569" i="2"/>
  <c r="F2569" i="2"/>
  <c r="C2569" i="2"/>
  <c r="B2569" i="2"/>
  <c r="A2569" i="2"/>
  <c r="O2568" i="2"/>
  <c r="N2568" i="2"/>
  <c r="M2568" i="2"/>
  <c r="L2568" i="2"/>
  <c r="K2568" i="2"/>
  <c r="J2568" i="2"/>
  <c r="I2568" i="2"/>
  <c r="H2568" i="2"/>
  <c r="G2568" i="2"/>
  <c r="F2568" i="2"/>
  <c r="C2568" i="2"/>
  <c r="B2568" i="2"/>
  <c r="A2568" i="2"/>
  <c r="O2567" i="2"/>
  <c r="N2567" i="2"/>
  <c r="M2567" i="2"/>
  <c r="L2567" i="2"/>
  <c r="K2567" i="2"/>
  <c r="J2567" i="2"/>
  <c r="I2567" i="2"/>
  <c r="H2567" i="2"/>
  <c r="G2567" i="2"/>
  <c r="F2567" i="2"/>
  <c r="C2567" i="2"/>
  <c r="B2567" i="2"/>
  <c r="A2567" i="2"/>
  <c r="O2566" i="2"/>
  <c r="N2566" i="2"/>
  <c r="M2566" i="2"/>
  <c r="L2566" i="2"/>
  <c r="K2566" i="2"/>
  <c r="J2566" i="2"/>
  <c r="I2566" i="2"/>
  <c r="H2566" i="2"/>
  <c r="G2566" i="2"/>
  <c r="F2566" i="2"/>
  <c r="C2566" i="2"/>
  <c r="B2566" i="2"/>
  <c r="A2566" i="2"/>
  <c r="O2565" i="2"/>
  <c r="N2565" i="2"/>
  <c r="M2565" i="2"/>
  <c r="L2565" i="2"/>
  <c r="K2565" i="2"/>
  <c r="J2565" i="2"/>
  <c r="I2565" i="2"/>
  <c r="H2565" i="2"/>
  <c r="G2565" i="2"/>
  <c r="F2565" i="2"/>
  <c r="C2565" i="2"/>
  <c r="B2565" i="2"/>
  <c r="A2565" i="2"/>
  <c r="O2564" i="2"/>
  <c r="N2564" i="2"/>
  <c r="M2564" i="2"/>
  <c r="L2564" i="2"/>
  <c r="K2564" i="2"/>
  <c r="J2564" i="2"/>
  <c r="I2564" i="2"/>
  <c r="H2564" i="2"/>
  <c r="G2564" i="2"/>
  <c r="F2564" i="2"/>
  <c r="C2564" i="2"/>
  <c r="B2564" i="2"/>
  <c r="A2564" i="2"/>
  <c r="O2563" i="2"/>
  <c r="N2563" i="2"/>
  <c r="M2563" i="2"/>
  <c r="L2563" i="2"/>
  <c r="K2563" i="2"/>
  <c r="J2563" i="2"/>
  <c r="I2563" i="2"/>
  <c r="H2563" i="2"/>
  <c r="G2563" i="2"/>
  <c r="F2563" i="2"/>
  <c r="C2563" i="2"/>
  <c r="B2563" i="2"/>
  <c r="A2563" i="2"/>
  <c r="O2562" i="2"/>
  <c r="N2562" i="2"/>
  <c r="M2562" i="2"/>
  <c r="L2562" i="2"/>
  <c r="K2562" i="2"/>
  <c r="J2562" i="2"/>
  <c r="I2562" i="2"/>
  <c r="H2562" i="2"/>
  <c r="G2562" i="2"/>
  <c r="F2562" i="2"/>
  <c r="C2562" i="2"/>
  <c r="B2562" i="2"/>
  <c r="A2562" i="2"/>
  <c r="O2561" i="2"/>
  <c r="N2561" i="2"/>
  <c r="M2561" i="2"/>
  <c r="L2561" i="2"/>
  <c r="K2561" i="2"/>
  <c r="J2561" i="2"/>
  <c r="I2561" i="2"/>
  <c r="H2561" i="2"/>
  <c r="G2561" i="2"/>
  <c r="F2561" i="2"/>
  <c r="C2561" i="2"/>
  <c r="B2561" i="2"/>
  <c r="A2561" i="2"/>
  <c r="O2560" i="2"/>
  <c r="N2560" i="2"/>
  <c r="M2560" i="2"/>
  <c r="L2560" i="2"/>
  <c r="K2560" i="2"/>
  <c r="J2560" i="2"/>
  <c r="I2560" i="2"/>
  <c r="H2560" i="2"/>
  <c r="G2560" i="2"/>
  <c r="F2560" i="2"/>
  <c r="C2560" i="2"/>
  <c r="B2560" i="2"/>
  <c r="A2560" i="2"/>
  <c r="O2559" i="2"/>
  <c r="N2559" i="2"/>
  <c r="M2559" i="2"/>
  <c r="L2559" i="2"/>
  <c r="K2559" i="2"/>
  <c r="J2559" i="2"/>
  <c r="I2559" i="2"/>
  <c r="H2559" i="2"/>
  <c r="G2559" i="2"/>
  <c r="F2559" i="2"/>
  <c r="C2559" i="2"/>
  <c r="B2559" i="2"/>
  <c r="A2559" i="2"/>
  <c r="O2558" i="2"/>
  <c r="N2558" i="2"/>
  <c r="M2558" i="2"/>
  <c r="L2558" i="2"/>
  <c r="K2558" i="2"/>
  <c r="J2558" i="2"/>
  <c r="I2558" i="2"/>
  <c r="H2558" i="2"/>
  <c r="G2558" i="2"/>
  <c r="F2558" i="2"/>
  <c r="C2558" i="2"/>
  <c r="B2558" i="2"/>
  <c r="A2558" i="2"/>
  <c r="O2557" i="2"/>
  <c r="N2557" i="2"/>
  <c r="M2557" i="2"/>
  <c r="L2557" i="2"/>
  <c r="K2557" i="2"/>
  <c r="J2557" i="2"/>
  <c r="I2557" i="2"/>
  <c r="H2557" i="2"/>
  <c r="G2557" i="2"/>
  <c r="F2557" i="2"/>
  <c r="C2557" i="2"/>
  <c r="B2557" i="2"/>
  <c r="A2557" i="2"/>
  <c r="O2556" i="2"/>
  <c r="N2556" i="2"/>
  <c r="M2556" i="2"/>
  <c r="L2556" i="2"/>
  <c r="K2556" i="2"/>
  <c r="J2556" i="2"/>
  <c r="I2556" i="2"/>
  <c r="H2556" i="2"/>
  <c r="G2556" i="2"/>
  <c r="F2556" i="2"/>
  <c r="C2556" i="2"/>
  <c r="B2556" i="2"/>
  <c r="A2556" i="2"/>
  <c r="O2555" i="2"/>
  <c r="N2555" i="2"/>
  <c r="M2555" i="2"/>
  <c r="L2555" i="2"/>
  <c r="K2555" i="2"/>
  <c r="J2555" i="2"/>
  <c r="I2555" i="2"/>
  <c r="H2555" i="2"/>
  <c r="G2555" i="2"/>
  <c r="F2555" i="2"/>
  <c r="C2555" i="2"/>
  <c r="B2555" i="2"/>
  <c r="A2555" i="2"/>
  <c r="O2554" i="2"/>
  <c r="N2554" i="2"/>
  <c r="M2554" i="2"/>
  <c r="L2554" i="2"/>
  <c r="K2554" i="2"/>
  <c r="J2554" i="2"/>
  <c r="I2554" i="2"/>
  <c r="H2554" i="2"/>
  <c r="G2554" i="2"/>
  <c r="F2554" i="2"/>
  <c r="C2554" i="2"/>
  <c r="B2554" i="2"/>
  <c r="A2554" i="2"/>
  <c r="O2553" i="2"/>
  <c r="N2553" i="2"/>
  <c r="M2553" i="2"/>
  <c r="L2553" i="2"/>
  <c r="K2553" i="2"/>
  <c r="J2553" i="2"/>
  <c r="I2553" i="2"/>
  <c r="H2553" i="2"/>
  <c r="G2553" i="2"/>
  <c r="F2553" i="2"/>
  <c r="C2553" i="2"/>
  <c r="B2553" i="2"/>
  <c r="A2553" i="2"/>
  <c r="O2552" i="2"/>
  <c r="N2552" i="2"/>
  <c r="M2552" i="2"/>
  <c r="L2552" i="2"/>
  <c r="K2552" i="2"/>
  <c r="J2552" i="2"/>
  <c r="I2552" i="2"/>
  <c r="H2552" i="2"/>
  <c r="G2552" i="2"/>
  <c r="F2552" i="2"/>
  <c r="C2552" i="2"/>
  <c r="B2552" i="2"/>
  <c r="A2552" i="2"/>
  <c r="O2551" i="2"/>
  <c r="N2551" i="2"/>
  <c r="M2551" i="2"/>
  <c r="L2551" i="2"/>
  <c r="K2551" i="2"/>
  <c r="J2551" i="2"/>
  <c r="I2551" i="2"/>
  <c r="H2551" i="2"/>
  <c r="G2551" i="2"/>
  <c r="F2551" i="2"/>
  <c r="C2551" i="2"/>
  <c r="B2551" i="2"/>
  <c r="A2551" i="2"/>
  <c r="O2550" i="2"/>
  <c r="N2550" i="2"/>
  <c r="M2550" i="2"/>
  <c r="L2550" i="2"/>
  <c r="K2550" i="2"/>
  <c r="J2550" i="2"/>
  <c r="I2550" i="2"/>
  <c r="H2550" i="2"/>
  <c r="G2550" i="2"/>
  <c r="F2550" i="2"/>
  <c r="C2550" i="2"/>
  <c r="B2550" i="2"/>
  <c r="A2550" i="2"/>
  <c r="O2549" i="2"/>
  <c r="N2549" i="2"/>
  <c r="M2549" i="2"/>
  <c r="L2549" i="2"/>
  <c r="K2549" i="2"/>
  <c r="J2549" i="2"/>
  <c r="I2549" i="2"/>
  <c r="H2549" i="2"/>
  <c r="G2549" i="2"/>
  <c r="F2549" i="2"/>
  <c r="C2549" i="2"/>
  <c r="B2549" i="2"/>
  <c r="A2549" i="2"/>
  <c r="O2548" i="2"/>
  <c r="N2548" i="2"/>
  <c r="M2548" i="2"/>
  <c r="L2548" i="2"/>
  <c r="K2548" i="2"/>
  <c r="J2548" i="2"/>
  <c r="I2548" i="2"/>
  <c r="H2548" i="2"/>
  <c r="G2548" i="2"/>
  <c r="F2548" i="2"/>
  <c r="C2548" i="2"/>
  <c r="B2548" i="2"/>
  <c r="A2548" i="2"/>
  <c r="O2547" i="2"/>
  <c r="N2547" i="2"/>
  <c r="M2547" i="2"/>
  <c r="L2547" i="2"/>
  <c r="K2547" i="2"/>
  <c r="J2547" i="2"/>
  <c r="I2547" i="2"/>
  <c r="H2547" i="2"/>
  <c r="G2547" i="2"/>
  <c r="F2547" i="2"/>
  <c r="C2547" i="2"/>
  <c r="B2547" i="2"/>
  <c r="A2547" i="2"/>
  <c r="O2546" i="2"/>
  <c r="N2546" i="2"/>
  <c r="M2546" i="2"/>
  <c r="L2546" i="2"/>
  <c r="K2546" i="2"/>
  <c r="J2546" i="2"/>
  <c r="I2546" i="2"/>
  <c r="H2546" i="2"/>
  <c r="G2546" i="2"/>
  <c r="F2546" i="2"/>
  <c r="C2546" i="2"/>
  <c r="B2546" i="2"/>
  <c r="A2546" i="2"/>
  <c r="O2545" i="2"/>
  <c r="N2545" i="2"/>
  <c r="M2545" i="2"/>
  <c r="L2545" i="2"/>
  <c r="K2545" i="2"/>
  <c r="J2545" i="2"/>
  <c r="I2545" i="2"/>
  <c r="H2545" i="2"/>
  <c r="G2545" i="2"/>
  <c r="F2545" i="2"/>
  <c r="C2545" i="2"/>
  <c r="B2545" i="2"/>
  <c r="A2545" i="2"/>
  <c r="O2544" i="2"/>
  <c r="N2544" i="2"/>
  <c r="M2544" i="2"/>
  <c r="L2544" i="2"/>
  <c r="K2544" i="2"/>
  <c r="J2544" i="2"/>
  <c r="I2544" i="2"/>
  <c r="H2544" i="2"/>
  <c r="G2544" i="2"/>
  <c r="F2544" i="2"/>
  <c r="C2544" i="2"/>
  <c r="B2544" i="2"/>
  <c r="A2544" i="2"/>
  <c r="O2543" i="2"/>
  <c r="N2543" i="2"/>
  <c r="M2543" i="2"/>
  <c r="L2543" i="2"/>
  <c r="K2543" i="2"/>
  <c r="J2543" i="2"/>
  <c r="I2543" i="2"/>
  <c r="H2543" i="2"/>
  <c r="G2543" i="2"/>
  <c r="F2543" i="2"/>
  <c r="C2543" i="2"/>
  <c r="B2543" i="2"/>
  <c r="A2543" i="2"/>
  <c r="O2542" i="2"/>
  <c r="N2542" i="2"/>
  <c r="M2542" i="2"/>
  <c r="L2542" i="2"/>
  <c r="K2542" i="2"/>
  <c r="J2542" i="2"/>
  <c r="I2542" i="2"/>
  <c r="H2542" i="2"/>
  <c r="G2542" i="2"/>
  <c r="F2542" i="2"/>
  <c r="C2542" i="2"/>
  <c r="B2542" i="2"/>
  <c r="A2542" i="2"/>
  <c r="O2541" i="2"/>
  <c r="N2541" i="2"/>
  <c r="M2541" i="2"/>
  <c r="L2541" i="2"/>
  <c r="K2541" i="2"/>
  <c r="J2541" i="2"/>
  <c r="I2541" i="2"/>
  <c r="H2541" i="2"/>
  <c r="G2541" i="2"/>
  <c r="F2541" i="2"/>
  <c r="C2541" i="2"/>
  <c r="B2541" i="2"/>
  <c r="A2541" i="2"/>
  <c r="O2540" i="2"/>
  <c r="N2540" i="2"/>
  <c r="M2540" i="2"/>
  <c r="L2540" i="2"/>
  <c r="K2540" i="2"/>
  <c r="J2540" i="2"/>
  <c r="I2540" i="2"/>
  <c r="H2540" i="2"/>
  <c r="G2540" i="2"/>
  <c r="F2540" i="2"/>
  <c r="C2540" i="2"/>
  <c r="B2540" i="2"/>
  <c r="A2540" i="2"/>
  <c r="O2539" i="2"/>
  <c r="N2539" i="2"/>
  <c r="M2539" i="2"/>
  <c r="L2539" i="2"/>
  <c r="K2539" i="2"/>
  <c r="J2539" i="2"/>
  <c r="I2539" i="2"/>
  <c r="H2539" i="2"/>
  <c r="G2539" i="2"/>
  <c r="F2539" i="2"/>
  <c r="C2539" i="2"/>
  <c r="B2539" i="2"/>
  <c r="A2539" i="2"/>
  <c r="O2538" i="2"/>
  <c r="N2538" i="2"/>
  <c r="M2538" i="2"/>
  <c r="L2538" i="2"/>
  <c r="K2538" i="2"/>
  <c r="J2538" i="2"/>
  <c r="I2538" i="2"/>
  <c r="H2538" i="2"/>
  <c r="G2538" i="2"/>
  <c r="F2538" i="2"/>
  <c r="C2538" i="2"/>
  <c r="B2538" i="2"/>
  <c r="A2538" i="2"/>
  <c r="O2537" i="2"/>
  <c r="N2537" i="2"/>
  <c r="M2537" i="2"/>
  <c r="L2537" i="2"/>
  <c r="K2537" i="2"/>
  <c r="J2537" i="2"/>
  <c r="I2537" i="2"/>
  <c r="H2537" i="2"/>
  <c r="G2537" i="2"/>
  <c r="F2537" i="2"/>
  <c r="C2537" i="2"/>
  <c r="B2537" i="2"/>
  <c r="A2537" i="2"/>
  <c r="O2536" i="2"/>
  <c r="N2536" i="2"/>
  <c r="M2536" i="2"/>
  <c r="L2536" i="2"/>
  <c r="K2536" i="2"/>
  <c r="J2536" i="2"/>
  <c r="I2536" i="2"/>
  <c r="H2536" i="2"/>
  <c r="G2536" i="2"/>
  <c r="F2536" i="2"/>
  <c r="C2536" i="2"/>
  <c r="B2536" i="2"/>
  <c r="A2536" i="2"/>
  <c r="O2535" i="2"/>
  <c r="N2535" i="2"/>
  <c r="M2535" i="2"/>
  <c r="L2535" i="2"/>
  <c r="K2535" i="2"/>
  <c r="J2535" i="2"/>
  <c r="I2535" i="2"/>
  <c r="H2535" i="2"/>
  <c r="G2535" i="2"/>
  <c r="F2535" i="2"/>
  <c r="C2535" i="2"/>
  <c r="B2535" i="2"/>
  <c r="A2535" i="2"/>
  <c r="O2534" i="2"/>
  <c r="N2534" i="2"/>
  <c r="M2534" i="2"/>
  <c r="L2534" i="2"/>
  <c r="K2534" i="2"/>
  <c r="J2534" i="2"/>
  <c r="I2534" i="2"/>
  <c r="H2534" i="2"/>
  <c r="G2534" i="2"/>
  <c r="F2534" i="2"/>
  <c r="C2534" i="2"/>
  <c r="B2534" i="2"/>
  <c r="A2534" i="2"/>
  <c r="O2533" i="2"/>
  <c r="N2533" i="2"/>
  <c r="M2533" i="2"/>
  <c r="L2533" i="2"/>
  <c r="K2533" i="2"/>
  <c r="J2533" i="2"/>
  <c r="I2533" i="2"/>
  <c r="H2533" i="2"/>
  <c r="G2533" i="2"/>
  <c r="F2533" i="2"/>
  <c r="C2533" i="2"/>
  <c r="B2533" i="2"/>
  <c r="A2533" i="2"/>
  <c r="O2532" i="2"/>
  <c r="N2532" i="2"/>
  <c r="M2532" i="2"/>
  <c r="L2532" i="2"/>
  <c r="K2532" i="2"/>
  <c r="J2532" i="2"/>
  <c r="I2532" i="2"/>
  <c r="H2532" i="2"/>
  <c r="G2532" i="2"/>
  <c r="F2532" i="2"/>
  <c r="C2532" i="2"/>
  <c r="B2532" i="2"/>
  <c r="A2532" i="2"/>
  <c r="O2531" i="2"/>
  <c r="N2531" i="2"/>
  <c r="M2531" i="2"/>
  <c r="L2531" i="2"/>
  <c r="K2531" i="2"/>
  <c r="J2531" i="2"/>
  <c r="I2531" i="2"/>
  <c r="H2531" i="2"/>
  <c r="G2531" i="2"/>
  <c r="F2531" i="2"/>
  <c r="C2531" i="2"/>
  <c r="B2531" i="2"/>
  <c r="A2531" i="2"/>
  <c r="O2530" i="2"/>
  <c r="N2530" i="2"/>
  <c r="M2530" i="2"/>
  <c r="L2530" i="2"/>
  <c r="K2530" i="2"/>
  <c r="J2530" i="2"/>
  <c r="I2530" i="2"/>
  <c r="H2530" i="2"/>
  <c r="G2530" i="2"/>
  <c r="F2530" i="2"/>
  <c r="C2530" i="2"/>
  <c r="B2530" i="2"/>
  <c r="A2530" i="2"/>
  <c r="O2529" i="2"/>
  <c r="N2529" i="2"/>
  <c r="M2529" i="2"/>
  <c r="L2529" i="2"/>
  <c r="K2529" i="2"/>
  <c r="J2529" i="2"/>
  <c r="I2529" i="2"/>
  <c r="H2529" i="2"/>
  <c r="G2529" i="2"/>
  <c r="F2529" i="2"/>
  <c r="C2529" i="2"/>
  <c r="B2529" i="2"/>
  <c r="A2529" i="2"/>
  <c r="O2528" i="2"/>
  <c r="N2528" i="2"/>
  <c r="M2528" i="2"/>
  <c r="L2528" i="2"/>
  <c r="K2528" i="2"/>
  <c r="J2528" i="2"/>
  <c r="I2528" i="2"/>
  <c r="H2528" i="2"/>
  <c r="G2528" i="2"/>
  <c r="F2528" i="2"/>
  <c r="C2528" i="2"/>
  <c r="B2528" i="2"/>
  <c r="A2528" i="2"/>
  <c r="O2527" i="2"/>
  <c r="N2527" i="2"/>
  <c r="M2527" i="2"/>
  <c r="L2527" i="2"/>
  <c r="K2527" i="2"/>
  <c r="J2527" i="2"/>
  <c r="I2527" i="2"/>
  <c r="H2527" i="2"/>
  <c r="G2527" i="2"/>
  <c r="F2527" i="2"/>
  <c r="C2527" i="2"/>
  <c r="B2527" i="2"/>
  <c r="A2527" i="2"/>
  <c r="O2526" i="2"/>
  <c r="N2526" i="2"/>
  <c r="M2526" i="2"/>
  <c r="L2526" i="2"/>
  <c r="K2526" i="2"/>
  <c r="J2526" i="2"/>
  <c r="I2526" i="2"/>
  <c r="H2526" i="2"/>
  <c r="G2526" i="2"/>
  <c r="F2526" i="2"/>
  <c r="C2526" i="2"/>
  <c r="B2526" i="2"/>
  <c r="A2526" i="2"/>
  <c r="O2525" i="2"/>
  <c r="N2525" i="2"/>
  <c r="M2525" i="2"/>
  <c r="L2525" i="2"/>
  <c r="K2525" i="2"/>
  <c r="J2525" i="2"/>
  <c r="I2525" i="2"/>
  <c r="H2525" i="2"/>
  <c r="G2525" i="2"/>
  <c r="F2525" i="2"/>
  <c r="C2525" i="2"/>
  <c r="B2525" i="2"/>
  <c r="A2525" i="2"/>
  <c r="O2524" i="2"/>
  <c r="N2524" i="2"/>
  <c r="M2524" i="2"/>
  <c r="L2524" i="2"/>
  <c r="K2524" i="2"/>
  <c r="J2524" i="2"/>
  <c r="I2524" i="2"/>
  <c r="H2524" i="2"/>
  <c r="G2524" i="2"/>
  <c r="F2524" i="2"/>
  <c r="C2524" i="2"/>
  <c r="B2524" i="2"/>
  <c r="A2524" i="2"/>
  <c r="O2523" i="2"/>
  <c r="N2523" i="2"/>
  <c r="M2523" i="2"/>
  <c r="L2523" i="2"/>
  <c r="K2523" i="2"/>
  <c r="J2523" i="2"/>
  <c r="I2523" i="2"/>
  <c r="H2523" i="2"/>
  <c r="G2523" i="2"/>
  <c r="F2523" i="2"/>
  <c r="C2523" i="2"/>
  <c r="B2523" i="2"/>
  <c r="A2523" i="2"/>
  <c r="O2522" i="2"/>
  <c r="N2522" i="2"/>
  <c r="M2522" i="2"/>
  <c r="L2522" i="2"/>
  <c r="K2522" i="2"/>
  <c r="J2522" i="2"/>
  <c r="I2522" i="2"/>
  <c r="H2522" i="2"/>
  <c r="G2522" i="2"/>
  <c r="F2522" i="2"/>
  <c r="C2522" i="2"/>
  <c r="B2522" i="2"/>
  <c r="A2522" i="2"/>
  <c r="O2521" i="2"/>
  <c r="N2521" i="2"/>
  <c r="M2521" i="2"/>
  <c r="L2521" i="2"/>
  <c r="K2521" i="2"/>
  <c r="J2521" i="2"/>
  <c r="I2521" i="2"/>
  <c r="H2521" i="2"/>
  <c r="G2521" i="2"/>
  <c r="F2521" i="2"/>
  <c r="C2521" i="2"/>
  <c r="B2521" i="2"/>
  <c r="A2521" i="2"/>
  <c r="O2520" i="2"/>
  <c r="N2520" i="2"/>
  <c r="M2520" i="2"/>
  <c r="L2520" i="2"/>
  <c r="K2520" i="2"/>
  <c r="J2520" i="2"/>
  <c r="I2520" i="2"/>
  <c r="H2520" i="2"/>
  <c r="G2520" i="2"/>
  <c r="F2520" i="2"/>
  <c r="C2520" i="2"/>
  <c r="B2520" i="2"/>
  <c r="A2520" i="2"/>
  <c r="O2519" i="2"/>
  <c r="N2519" i="2"/>
  <c r="M2519" i="2"/>
  <c r="L2519" i="2"/>
  <c r="K2519" i="2"/>
  <c r="J2519" i="2"/>
  <c r="I2519" i="2"/>
  <c r="H2519" i="2"/>
  <c r="G2519" i="2"/>
  <c r="F2519" i="2"/>
  <c r="C2519" i="2"/>
  <c r="B2519" i="2"/>
  <c r="A2519" i="2"/>
  <c r="O2518" i="2"/>
  <c r="N2518" i="2"/>
  <c r="M2518" i="2"/>
  <c r="L2518" i="2"/>
  <c r="K2518" i="2"/>
  <c r="J2518" i="2"/>
  <c r="I2518" i="2"/>
  <c r="H2518" i="2"/>
  <c r="G2518" i="2"/>
  <c r="F2518" i="2"/>
  <c r="C2518" i="2"/>
  <c r="B2518" i="2"/>
  <c r="A2518" i="2"/>
  <c r="O2517" i="2"/>
  <c r="N2517" i="2"/>
  <c r="M2517" i="2"/>
  <c r="L2517" i="2"/>
  <c r="K2517" i="2"/>
  <c r="J2517" i="2"/>
  <c r="I2517" i="2"/>
  <c r="H2517" i="2"/>
  <c r="G2517" i="2"/>
  <c r="F2517" i="2"/>
  <c r="C2517" i="2"/>
  <c r="B2517" i="2"/>
  <c r="A2517" i="2"/>
  <c r="O2516" i="2"/>
  <c r="N2516" i="2"/>
  <c r="M2516" i="2"/>
  <c r="L2516" i="2"/>
  <c r="K2516" i="2"/>
  <c r="J2516" i="2"/>
  <c r="I2516" i="2"/>
  <c r="H2516" i="2"/>
  <c r="G2516" i="2"/>
  <c r="F2516" i="2"/>
  <c r="C2516" i="2"/>
  <c r="B2516" i="2"/>
  <c r="A2516" i="2"/>
  <c r="O2515" i="2"/>
  <c r="N2515" i="2"/>
  <c r="M2515" i="2"/>
  <c r="L2515" i="2"/>
  <c r="K2515" i="2"/>
  <c r="J2515" i="2"/>
  <c r="I2515" i="2"/>
  <c r="H2515" i="2"/>
  <c r="G2515" i="2"/>
  <c r="F2515" i="2"/>
  <c r="C2515" i="2"/>
  <c r="B2515" i="2"/>
  <c r="A2515" i="2"/>
  <c r="O2514" i="2"/>
  <c r="N2514" i="2"/>
  <c r="M2514" i="2"/>
  <c r="L2514" i="2"/>
  <c r="K2514" i="2"/>
  <c r="J2514" i="2"/>
  <c r="I2514" i="2"/>
  <c r="H2514" i="2"/>
  <c r="G2514" i="2"/>
  <c r="F2514" i="2"/>
  <c r="C2514" i="2"/>
  <c r="B2514" i="2"/>
  <c r="A2514" i="2"/>
  <c r="O2513" i="2"/>
  <c r="N2513" i="2"/>
  <c r="M2513" i="2"/>
  <c r="L2513" i="2"/>
  <c r="K2513" i="2"/>
  <c r="J2513" i="2"/>
  <c r="I2513" i="2"/>
  <c r="H2513" i="2"/>
  <c r="G2513" i="2"/>
  <c r="F2513" i="2"/>
  <c r="C2513" i="2"/>
  <c r="B2513" i="2"/>
  <c r="A2513" i="2"/>
  <c r="O2512" i="2"/>
  <c r="N2512" i="2"/>
  <c r="M2512" i="2"/>
  <c r="L2512" i="2"/>
  <c r="K2512" i="2"/>
  <c r="J2512" i="2"/>
  <c r="I2512" i="2"/>
  <c r="H2512" i="2"/>
  <c r="G2512" i="2"/>
  <c r="F2512" i="2"/>
  <c r="C2512" i="2"/>
  <c r="B2512" i="2"/>
  <c r="A2512" i="2"/>
  <c r="O2511" i="2"/>
  <c r="N2511" i="2"/>
  <c r="M2511" i="2"/>
  <c r="L2511" i="2"/>
  <c r="K2511" i="2"/>
  <c r="J2511" i="2"/>
  <c r="I2511" i="2"/>
  <c r="H2511" i="2"/>
  <c r="G2511" i="2"/>
  <c r="F2511" i="2"/>
  <c r="C2511" i="2"/>
  <c r="B2511" i="2"/>
  <c r="A2511" i="2"/>
  <c r="O2510" i="2"/>
  <c r="N2510" i="2"/>
  <c r="M2510" i="2"/>
  <c r="L2510" i="2"/>
  <c r="K2510" i="2"/>
  <c r="J2510" i="2"/>
  <c r="I2510" i="2"/>
  <c r="H2510" i="2"/>
  <c r="G2510" i="2"/>
  <c r="F2510" i="2"/>
  <c r="C2510" i="2"/>
  <c r="B2510" i="2"/>
  <c r="A2510" i="2"/>
  <c r="O2509" i="2"/>
  <c r="N2509" i="2"/>
  <c r="M2509" i="2"/>
  <c r="L2509" i="2"/>
  <c r="K2509" i="2"/>
  <c r="J2509" i="2"/>
  <c r="I2509" i="2"/>
  <c r="H2509" i="2"/>
  <c r="G2509" i="2"/>
  <c r="F2509" i="2"/>
  <c r="C2509" i="2"/>
  <c r="B2509" i="2"/>
  <c r="A2509" i="2"/>
  <c r="O2508" i="2"/>
  <c r="N2508" i="2"/>
  <c r="M2508" i="2"/>
  <c r="L2508" i="2"/>
  <c r="K2508" i="2"/>
  <c r="J2508" i="2"/>
  <c r="I2508" i="2"/>
  <c r="H2508" i="2"/>
  <c r="G2508" i="2"/>
  <c r="F2508" i="2"/>
  <c r="C2508" i="2"/>
  <c r="B2508" i="2"/>
  <c r="A2508" i="2"/>
  <c r="O2507" i="2"/>
  <c r="N2507" i="2"/>
  <c r="M2507" i="2"/>
  <c r="L2507" i="2"/>
  <c r="K2507" i="2"/>
  <c r="J2507" i="2"/>
  <c r="I2507" i="2"/>
  <c r="H2507" i="2"/>
  <c r="G2507" i="2"/>
  <c r="F2507" i="2"/>
  <c r="C2507" i="2"/>
  <c r="B2507" i="2"/>
  <c r="A2507" i="2"/>
  <c r="O2506" i="2"/>
  <c r="N2506" i="2"/>
  <c r="M2506" i="2"/>
  <c r="L2506" i="2"/>
  <c r="K2506" i="2"/>
  <c r="J2506" i="2"/>
  <c r="I2506" i="2"/>
  <c r="H2506" i="2"/>
  <c r="G2506" i="2"/>
  <c r="F2506" i="2"/>
  <c r="C2506" i="2"/>
  <c r="B2506" i="2"/>
  <c r="A2506" i="2"/>
  <c r="O2505" i="2"/>
  <c r="N2505" i="2"/>
  <c r="M2505" i="2"/>
  <c r="L2505" i="2"/>
  <c r="K2505" i="2"/>
  <c r="J2505" i="2"/>
  <c r="I2505" i="2"/>
  <c r="H2505" i="2"/>
  <c r="G2505" i="2"/>
  <c r="F2505" i="2"/>
  <c r="C2505" i="2"/>
  <c r="B2505" i="2"/>
  <c r="A2505" i="2"/>
  <c r="O2504" i="2"/>
  <c r="N2504" i="2"/>
  <c r="M2504" i="2"/>
  <c r="L2504" i="2"/>
  <c r="K2504" i="2"/>
  <c r="J2504" i="2"/>
  <c r="I2504" i="2"/>
  <c r="H2504" i="2"/>
  <c r="G2504" i="2"/>
  <c r="F2504" i="2"/>
  <c r="C2504" i="2"/>
  <c r="B2504" i="2"/>
  <c r="A2504" i="2"/>
  <c r="O2503" i="2"/>
  <c r="N2503" i="2"/>
  <c r="M2503" i="2"/>
  <c r="L2503" i="2"/>
  <c r="K2503" i="2"/>
  <c r="J2503" i="2"/>
  <c r="I2503" i="2"/>
  <c r="H2503" i="2"/>
  <c r="G2503" i="2"/>
  <c r="F2503" i="2"/>
  <c r="C2503" i="2"/>
  <c r="B2503" i="2"/>
  <c r="A2503" i="2"/>
  <c r="O2502" i="2"/>
  <c r="N2502" i="2"/>
  <c r="M2502" i="2"/>
  <c r="L2502" i="2"/>
  <c r="K2502" i="2"/>
  <c r="J2502" i="2"/>
  <c r="I2502" i="2"/>
  <c r="H2502" i="2"/>
  <c r="G2502" i="2"/>
  <c r="F2502" i="2"/>
  <c r="C2502" i="2"/>
  <c r="B2502" i="2"/>
  <c r="A2502" i="2"/>
  <c r="O2501" i="2"/>
  <c r="N2501" i="2"/>
  <c r="M2501" i="2"/>
  <c r="L2501" i="2"/>
  <c r="K2501" i="2"/>
  <c r="J2501" i="2"/>
  <c r="I2501" i="2"/>
  <c r="H2501" i="2"/>
  <c r="G2501" i="2"/>
  <c r="F2501" i="2"/>
  <c r="C2501" i="2"/>
  <c r="B2501" i="2"/>
  <c r="A2501" i="2"/>
  <c r="O2500" i="2"/>
  <c r="N2500" i="2"/>
  <c r="M2500" i="2"/>
  <c r="L2500" i="2"/>
  <c r="K2500" i="2"/>
  <c r="J2500" i="2"/>
  <c r="I2500" i="2"/>
  <c r="H2500" i="2"/>
  <c r="G2500" i="2"/>
  <c r="F2500" i="2"/>
  <c r="C2500" i="2"/>
  <c r="B2500" i="2"/>
  <c r="A2500" i="2"/>
  <c r="O2499" i="2"/>
  <c r="N2499" i="2"/>
  <c r="M2499" i="2"/>
  <c r="L2499" i="2"/>
  <c r="K2499" i="2"/>
  <c r="J2499" i="2"/>
  <c r="I2499" i="2"/>
  <c r="H2499" i="2"/>
  <c r="G2499" i="2"/>
  <c r="F2499" i="2"/>
  <c r="C2499" i="2"/>
  <c r="B2499" i="2"/>
  <c r="A2499" i="2"/>
  <c r="O2498" i="2"/>
  <c r="N2498" i="2"/>
  <c r="M2498" i="2"/>
  <c r="L2498" i="2"/>
  <c r="K2498" i="2"/>
  <c r="J2498" i="2"/>
  <c r="I2498" i="2"/>
  <c r="H2498" i="2"/>
  <c r="G2498" i="2"/>
  <c r="F2498" i="2"/>
  <c r="C2498" i="2"/>
  <c r="B2498" i="2"/>
  <c r="A2498" i="2"/>
  <c r="O2497" i="2"/>
  <c r="N2497" i="2"/>
  <c r="M2497" i="2"/>
  <c r="L2497" i="2"/>
  <c r="K2497" i="2"/>
  <c r="J2497" i="2"/>
  <c r="I2497" i="2"/>
  <c r="H2497" i="2"/>
  <c r="G2497" i="2"/>
  <c r="F2497" i="2"/>
  <c r="C2497" i="2"/>
  <c r="B2497" i="2"/>
  <c r="A2497" i="2"/>
  <c r="O2496" i="2"/>
  <c r="N2496" i="2"/>
  <c r="M2496" i="2"/>
  <c r="L2496" i="2"/>
  <c r="K2496" i="2"/>
  <c r="J2496" i="2"/>
  <c r="I2496" i="2"/>
  <c r="H2496" i="2"/>
  <c r="G2496" i="2"/>
  <c r="F2496" i="2"/>
  <c r="C2496" i="2"/>
  <c r="B2496" i="2"/>
  <c r="A2496" i="2"/>
  <c r="O2495" i="2"/>
  <c r="N2495" i="2"/>
  <c r="M2495" i="2"/>
  <c r="L2495" i="2"/>
  <c r="K2495" i="2"/>
  <c r="J2495" i="2"/>
  <c r="I2495" i="2"/>
  <c r="H2495" i="2"/>
  <c r="G2495" i="2"/>
  <c r="F2495" i="2"/>
  <c r="C2495" i="2"/>
  <c r="B2495" i="2"/>
  <c r="A2495" i="2"/>
  <c r="O2494" i="2"/>
  <c r="N2494" i="2"/>
  <c r="M2494" i="2"/>
  <c r="L2494" i="2"/>
  <c r="K2494" i="2"/>
  <c r="J2494" i="2"/>
  <c r="I2494" i="2"/>
  <c r="H2494" i="2"/>
  <c r="G2494" i="2"/>
  <c r="F2494" i="2"/>
  <c r="C2494" i="2"/>
  <c r="B2494" i="2"/>
  <c r="A2494" i="2"/>
  <c r="O2493" i="2"/>
  <c r="N2493" i="2"/>
  <c r="M2493" i="2"/>
  <c r="L2493" i="2"/>
  <c r="K2493" i="2"/>
  <c r="J2493" i="2"/>
  <c r="I2493" i="2"/>
  <c r="H2493" i="2"/>
  <c r="G2493" i="2"/>
  <c r="F2493" i="2"/>
  <c r="C2493" i="2"/>
  <c r="B2493" i="2"/>
  <c r="A2493" i="2"/>
  <c r="O2492" i="2"/>
  <c r="N2492" i="2"/>
  <c r="M2492" i="2"/>
  <c r="L2492" i="2"/>
  <c r="K2492" i="2"/>
  <c r="J2492" i="2"/>
  <c r="I2492" i="2"/>
  <c r="H2492" i="2"/>
  <c r="G2492" i="2"/>
  <c r="F2492" i="2"/>
  <c r="C2492" i="2"/>
  <c r="B2492" i="2"/>
  <c r="A2492" i="2"/>
  <c r="O2491" i="2"/>
  <c r="N2491" i="2"/>
  <c r="M2491" i="2"/>
  <c r="L2491" i="2"/>
  <c r="K2491" i="2"/>
  <c r="J2491" i="2"/>
  <c r="I2491" i="2"/>
  <c r="H2491" i="2"/>
  <c r="G2491" i="2"/>
  <c r="F2491" i="2"/>
  <c r="C2491" i="2"/>
  <c r="B2491" i="2"/>
  <c r="A2491" i="2"/>
  <c r="O2490" i="2"/>
  <c r="N2490" i="2"/>
  <c r="M2490" i="2"/>
  <c r="L2490" i="2"/>
  <c r="K2490" i="2"/>
  <c r="J2490" i="2"/>
  <c r="I2490" i="2"/>
  <c r="H2490" i="2"/>
  <c r="G2490" i="2"/>
  <c r="F2490" i="2"/>
  <c r="C2490" i="2"/>
  <c r="B2490" i="2"/>
  <c r="A2490" i="2"/>
  <c r="O2489" i="2"/>
  <c r="N2489" i="2"/>
  <c r="M2489" i="2"/>
  <c r="L2489" i="2"/>
  <c r="K2489" i="2"/>
  <c r="J2489" i="2"/>
  <c r="I2489" i="2"/>
  <c r="H2489" i="2"/>
  <c r="G2489" i="2"/>
  <c r="F2489" i="2"/>
  <c r="C2489" i="2"/>
  <c r="B2489" i="2"/>
  <c r="A2489" i="2"/>
  <c r="O2488" i="2"/>
  <c r="N2488" i="2"/>
  <c r="M2488" i="2"/>
  <c r="L2488" i="2"/>
  <c r="K2488" i="2"/>
  <c r="J2488" i="2"/>
  <c r="I2488" i="2"/>
  <c r="H2488" i="2"/>
  <c r="G2488" i="2"/>
  <c r="F2488" i="2"/>
  <c r="C2488" i="2"/>
  <c r="B2488" i="2"/>
  <c r="A2488" i="2"/>
  <c r="O2487" i="2"/>
  <c r="N2487" i="2"/>
  <c r="M2487" i="2"/>
  <c r="L2487" i="2"/>
  <c r="K2487" i="2"/>
  <c r="J2487" i="2"/>
  <c r="I2487" i="2"/>
  <c r="H2487" i="2"/>
  <c r="G2487" i="2"/>
  <c r="F2487" i="2"/>
  <c r="C2487" i="2"/>
  <c r="B2487" i="2"/>
  <c r="A2487" i="2"/>
  <c r="O2486" i="2"/>
  <c r="N2486" i="2"/>
  <c r="M2486" i="2"/>
  <c r="L2486" i="2"/>
  <c r="K2486" i="2"/>
  <c r="J2486" i="2"/>
  <c r="I2486" i="2"/>
  <c r="H2486" i="2"/>
  <c r="G2486" i="2"/>
  <c r="F2486" i="2"/>
  <c r="C2486" i="2"/>
  <c r="B2486" i="2"/>
  <c r="A2486" i="2"/>
  <c r="O2485" i="2"/>
  <c r="N2485" i="2"/>
  <c r="M2485" i="2"/>
  <c r="L2485" i="2"/>
  <c r="K2485" i="2"/>
  <c r="J2485" i="2"/>
  <c r="I2485" i="2"/>
  <c r="H2485" i="2"/>
  <c r="G2485" i="2"/>
  <c r="F2485" i="2"/>
  <c r="C2485" i="2"/>
  <c r="B2485" i="2"/>
  <c r="A2485" i="2"/>
  <c r="O2484" i="2"/>
  <c r="N2484" i="2"/>
  <c r="M2484" i="2"/>
  <c r="L2484" i="2"/>
  <c r="K2484" i="2"/>
  <c r="J2484" i="2"/>
  <c r="I2484" i="2"/>
  <c r="H2484" i="2"/>
  <c r="G2484" i="2"/>
  <c r="F2484" i="2"/>
  <c r="C2484" i="2"/>
  <c r="B2484" i="2"/>
  <c r="A2484" i="2"/>
  <c r="O2483" i="2"/>
  <c r="N2483" i="2"/>
  <c r="M2483" i="2"/>
  <c r="L2483" i="2"/>
  <c r="K2483" i="2"/>
  <c r="J2483" i="2"/>
  <c r="I2483" i="2"/>
  <c r="H2483" i="2"/>
  <c r="G2483" i="2"/>
  <c r="F2483" i="2"/>
  <c r="C2483" i="2"/>
  <c r="B2483" i="2"/>
  <c r="A2483" i="2"/>
  <c r="O2482" i="2"/>
  <c r="N2482" i="2"/>
  <c r="M2482" i="2"/>
  <c r="L2482" i="2"/>
  <c r="K2482" i="2"/>
  <c r="J2482" i="2"/>
  <c r="I2482" i="2"/>
  <c r="H2482" i="2"/>
  <c r="G2482" i="2"/>
  <c r="F2482" i="2"/>
  <c r="C2482" i="2"/>
  <c r="B2482" i="2"/>
  <c r="A2482" i="2"/>
  <c r="O2481" i="2"/>
  <c r="N2481" i="2"/>
  <c r="M2481" i="2"/>
  <c r="L2481" i="2"/>
  <c r="K2481" i="2"/>
  <c r="J2481" i="2"/>
  <c r="I2481" i="2"/>
  <c r="H2481" i="2"/>
  <c r="G2481" i="2"/>
  <c r="F2481" i="2"/>
  <c r="C2481" i="2"/>
  <c r="B2481" i="2"/>
  <c r="A2481" i="2"/>
  <c r="O2480" i="2"/>
  <c r="N2480" i="2"/>
  <c r="M2480" i="2"/>
  <c r="L2480" i="2"/>
  <c r="K2480" i="2"/>
  <c r="J2480" i="2"/>
  <c r="I2480" i="2"/>
  <c r="H2480" i="2"/>
  <c r="G2480" i="2"/>
  <c r="F2480" i="2"/>
  <c r="C2480" i="2"/>
  <c r="B2480" i="2"/>
  <c r="A2480" i="2"/>
  <c r="O2479" i="2"/>
  <c r="N2479" i="2"/>
  <c r="M2479" i="2"/>
  <c r="L2479" i="2"/>
  <c r="K2479" i="2"/>
  <c r="J2479" i="2"/>
  <c r="I2479" i="2"/>
  <c r="H2479" i="2"/>
  <c r="G2479" i="2"/>
  <c r="F2479" i="2"/>
  <c r="C2479" i="2"/>
  <c r="B2479" i="2"/>
  <c r="A2479" i="2"/>
  <c r="O2478" i="2"/>
  <c r="N2478" i="2"/>
  <c r="M2478" i="2"/>
  <c r="L2478" i="2"/>
  <c r="K2478" i="2"/>
  <c r="J2478" i="2"/>
  <c r="I2478" i="2"/>
  <c r="H2478" i="2"/>
  <c r="G2478" i="2"/>
  <c r="F2478" i="2"/>
  <c r="C2478" i="2"/>
  <c r="B2478" i="2"/>
  <c r="A2478" i="2"/>
  <c r="O2477" i="2"/>
  <c r="N2477" i="2"/>
  <c r="M2477" i="2"/>
  <c r="L2477" i="2"/>
  <c r="K2477" i="2"/>
  <c r="J2477" i="2"/>
  <c r="I2477" i="2"/>
  <c r="H2477" i="2"/>
  <c r="G2477" i="2"/>
  <c r="F2477" i="2"/>
  <c r="C2477" i="2"/>
  <c r="B2477" i="2"/>
  <c r="A2477" i="2"/>
  <c r="O2476" i="2"/>
  <c r="N2476" i="2"/>
  <c r="M2476" i="2"/>
  <c r="L2476" i="2"/>
  <c r="K2476" i="2"/>
  <c r="J2476" i="2"/>
  <c r="I2476" i="2"/>
  <c r="H2476" i="2"/>
  <c r="G2476" i="2"/>
  <c r="F2476" i="2"/>
  <c r="C2476" i="2"/>
  <c r="B2476" i="2"/>
  <c r="A2476" i="2"/>
  <c r="O2475" i="2"/>
  <c r="N2475" i="2"/>
  <c r="M2475" i="2"/>
  <c r="L2475" i="2"/>
  <c r="K2475" i="2"/>
  <c r="J2475" i="2"/>
  <c r="I2475" i="2"/>
  <c r="H2475" i="2"/>
  <c r="G2475" i="2"/>
  <c r="F2475" i="2"/>
  <c r="C2475" i="2"/>
  <c r="B2475" i="2"/>
  <c r="A2475" i="2"/>
  <c r="O2474" i="2"/>
  <c r="N2474" i="2"/>
  <c r="M2474" i="2"/>
  <c r="L2474" i="2"/>
  <c r="K2474" i="2"/>
  <c r="J2474" i="2"/>
  <c r="I2474" i="2"/>
  <c r="H2474" i="2"/>
  <c r="G2474" i="2"/>
  <c r="F2474" i="2"/>
  <c r="C2474" i="2"/>
  <c r="B2474" i="2"/>
  <c r="A2474" i="2"/>
  <c r="O2473" i="2"/>
  <c r="N2473" i="2"/>
  <c r="M2473" i="2"/>
  <c r="L2473" i="2"/>
  <c r="K2473" i="2"/>
  <c r="J2473" i="2"/>
  <c r="I2473" i="2"/>
  <c r="H2473" i="2"/>
  <c r="G2473" i="2"/>
  <c r="F2473" i="2"/>
  <c r="C2473" i="2"/>
  <c r="B2473" i="2"/>
  <c r="A2473" i="2"/>
  <c r="O2472" i="2"/>
  <c r="N2472" i="2"/>
  <c r="M2472" i="2"/>
  <c r="L2472" i="2"/>
  <c r="K2472" i="2"/>
  <c r="J2472" i="2"/>
  <c r="I2472" i="2"/>
  <c r="H2472" i="2"/>
  <c r="G2472" i="2"/>
  <c r="F2472" i="2"/>
  <c r="C2472" i="2"/>
  <c r="B2472" i="2"/>
  <c r="A2472" i="2"/>
  <c r="O2471" i="2"/>
  <c r="N2471" i="2"/>
  <c r="M2471" i="2"/>
  <c r="L2471" i="2"/>
  <c r="K2471" i="2"/>
  <c r="J2471" i="2"/>
  <c r="I2471" i="2"/>
  <c r="H2471" i="2"/>
  <c r="G2471" i="2"/>
  <c r="F2471" i="2"/>
  <c r="C2471" i="2"/>
  <c r="B2471" i="2"/>
  <c r="A2471" i="2"/>
  <c r="O2470" i="2"/>
  <c r="N2470" i="2"/>
  <c r="M2470" i="2"/>
  <c r="L2470" i="2"/>
  <c r="K2470" i="2"/>
  <c r="J2470" i="2"/>
  <c r="I2470" i="2"/>
  <c r="H2470" i="2"/>
  <c r="G2470" i="2"/>
  <c r="F2470" i="2"/>
  <c r="C2470" i="2"/>
  <c r="B2470" i="2"/>
  <c r="A2470" i="2"/>
  <c r="O2469" i="2"/>
  <c r="N2469" i="2"/>
  <c r="M2469" i="2"/>
  <c r="L2469" i="2"/>
  <c r="K2469" i="2"/>
  <c r="J2469" i="2"/>
  <c r="I2469" i="2"/>
  <c r="H2469" i="2"/>
  <c r="G2469" i="2"/>
  <c r="F2469" i="2"/>
  <c r="C2469" i="2"/>
  <c r="B2469" i="2"/>
  <c r="A2469" i="2"/>
  <c r="O2468" i="2"/>
  <c r="N2468" i="2"/>
  <c r="M2468" i="2"/>
  <c r="L2468" i="2"/>
  <c r="K2468" i="2"/>
  <c r="J2468" i="2"/>
  <c r="I2468" i="2"/>
  <c r="H2468" i="2"/>
  <c r="G2468" i="2"/>
  <c r="F2468" i="2"/>
  <c r="C2468" i="2"/>
  <c r="B2468" i="2"/>
  <c r="A2468" i="2"/>
  <c r="O2467" i="2"/>
  <c r="N2467" i="2"/>
  <c r="M2467" i="2"/>
  <c r="L2467" i="2"/>
  <c r="K2467" i="2"/>
  <c r="J2467" i="2"/>
  <c r="I2467" i="2"/>
  <c r="H2467" i="2"/>
  <c r="G2467" i="2"/>
  <c r="F2467" i="2"/>
  <c r="C2467" i="2"/>
  <c r="B2467" i="2"/>
  <c r="A2467" i="2"/>
  <c r="O2466" i="2"/>
  <c r="N2466" i="2"/>
  <c r="M2466" i="2"/>
  <c r="L2466" i="2"/>
  <c r="K2466" i="2"/>
  <c r="J2466" i="2"/>
  <c r="I2466" i="2"/>
  <c r="H2466" i="2"/>
  <c r="G2466" i="2"/>
  <c r="F2466" i="2"/>
  <c r="C2466" i="2"/>
  <c r="B2466" i="2"/>
  <c r="A2466" i="2"/>
  <c r="O2465" i="2"/>
  <c r="N2465" i="2"/>
  <c r="M2465" i="2"/>
  <c r="L2465" i="2"/>
  <c r="K2465" i="2"/>
  <c r="J2465" i="2"/>
  <c r="I2465" i="2"/>
  <c r="H2465" i="2"/>
  <c r="G2465" i="2"/>
  <c r="F2465" i="2"/>
  <c r="C2465" i="2"/>
  <c r="B2465" i="2"/>
  <c r="A2465" i="2"/>
  <c r="O2464" i="2"/>
  <c r="N2464" i="2"/>
  <c r="M2464" i="2"/>
  <c r="L2464" i="2"/>
  <c r="K2464" i="2"/>
  <c r="J2464" i="2"/>
  <c r="I2464" i="2"/>
  <c r="H2464" i="2"/>
  <c r="G2464" i="2"/>
  <c r="F2464" i="2"/>
  <c r="C2464" i="2"/>
  <c r="B2464" i="2"/>
  <c r="A2464" i="2"/>
  <c r="O2463" i="2"/>
  <c r="N2463" i="2"/>
  <c r="M2463" i="2"/>
  <c r="L2463" i="2"/>
  <c r="K2463" i="2"/>
  <c r="J2463" i="2"/>
  <c r="I2463" i="2"/>
  <c r="H2463" i="2"/>
  <c r="G2463" i="2"/>
  <c r="F2463" i="2"/>
  <c r="C2463" i="2"/>
  <c r="B2463" i="2"/>
  <c r="A2463" i="2"/>
  <c r="O2462" i="2"/>
  <c r="N2462" i="2"/>
  <c r="M2462" i="2"/>
  <c r="L2462" i="2"/>
  <c r="K2462" i="2"/>
  <c r="J2462" i="2"/>
  <c r="I2462" i="2"/>
  <c r="H2462" i="2"/>
  <c r="G2462" i="2"/>
  <c r="F2462" i="2"/>
  <c r="C2462" i="2"/>
  <c r="B2462" i="2"/>
  <c r="A2462" i="2"/>
  <c r="O2461" i="2"/>
  <c r="N2461" i="2"/>
  <c r="M2461" i="2"/>
  <c r="L2461" i="2"/>
  <c r="K2461" i="2"/>
  <c r="J2461" i="2"/>
  <c r="I2461" i="2"/>
  <c r="H2461" i="2"/>
  <c r="G2461" i="2"/>
  <c r="F2461" i="2"/>
  <c r="C2461" i="2"/>
  <c r="B2461" i="2"/>
  <c r="A2461" i="2"/>
  <c r="O2460" i="2"/>
  <c r="N2460" i="2"/>
  <c r="M2460" i="2"/>
  <c r="L2460" i="2"/>
  <c r="K2460" i="2"/>
  <c r="J2460" i="2"/>
  <c r="I2460" i="2"/>
  <c r="H2460" i="2"/>
  <c r="G2460" i="2"/>
  <c r="F2460" i="2"/>
  <c r="C2460" i="2"/>
  <c r="B2460" i="2"/>
  <c r="A2460" i="2"/>
  <c r="O2459" i="2"/>
  <c r="N2459" i="2"/>
  <c r="M2459" i="2"/>
  <c r="L2459" i="2"/>
  <c r="K2459" i="2"/>
  <c r="J2459" i="2"/>
  <c r="I2459" i="2"/>
  <c r="H2459" i="2"/>
  <c r="G2459" i="2"/>
  <c r="F2459" i="2"/>
  <c r="C2459" i="2"/>
  <c r="B2459" i="2"/>
  <c r="A2459" i="2"/>
  <c r="O2458" i="2"/>
  <c r="N2458" i="2"/>
  <c r="M2458" i="2"/>
  <c r="L2458" i="2"/>
  <c r="K2458" i="2"/>
  <c r="J2458" i="2"/>
  <c r="I2458" i="2"/>
  <c r="H2458" i="2"/>
  <c r="G2458" i="2"/>
  <c r="F2458" i="2"/>
  <c r="C2458" i="2"/>
  <c r="B2458" i="2"/>
  <c r="A2458" i="2"/>
  <c r="O2457" i="2"/>
  <c r="N2457" i="2"/>
  <c r="M2457" i="2"/>
  <c r="L2457" i="2"/>
  <c r="K2457" i="2"/>
  <c r="J2457" i="2"/>
  <c r="I2457" i="2"/>
  <c r="H2457" i="2"/>
  <c r="G2457" i="2"/>
  <c r="F2457" i="2"/>
  <c r="C2457" i="2"/>
  <c r="B2457" i="2"/>
  <c r="A2457" i="2"/>
  <c r="O2456" i="2"/>
  <c r="N2456" i="2"/>
  <c r="M2456" i="2"/>
  <c r="L2456" i="2"/>
  <c r="K2456" i="2"/>
  <c r="J2456" i="2"/>
  <c r="I2456" i="2"/>
  <c r="H2456" i="2"/>
  <c r="G2456" i="2"/>
  <c r="F2456" i="2"/>
  <c r="C2456" i="2"/>
  <c r="B2456" i="2"/>
  <c r="A2456" i="2"/>
  <c r="O2455" i="2"/>
  <c r="N2455" i="2"/>
  <c r="M2455" i="2"/>
  <c r="L2455" i="2"/>
  <c r="K2455" i="2"/>
  <c r="J2455" i="2"/>
  <c r="I2455" i="2"/>
  <c r="H2455" i="2"/>
  <c r="G2455" i="2"/>
  <c r="F2455" i="2"/>
  <c r="C2455" i="2"/>
  <c r="B2455" i="2"/>
  <c r="A2455" i="2"/>
  <c r="O2454" i="2"/>
  <c r="N2454" i="2"/>
  <c r="M2454" i="2"/>
  <c r="L2454" i="2"/>
  <c r="K2454" i="2"/>
  <c r="J2454" i="2"/>
  <c r="I2454" i="2"/>
  <c r="H2454" i="2"/>
  <c r="G2454" i="2"/>
  <c r="F2454" i="2"/>
  <c r="C2454" i="2"/>
  <c r="B2454" i="2"/>
  <c r="A2454" i="2"/>
  <c r="O2453" i="2"/>
  <c r="N2453" i="2"/>
  <c r="M2453" i="2"/>
  <c r="L2453" i="2"/>
  <c r="K2453" i="2"/>
  <c r="J2453" i="2"/>
  <c r="I2453" i="2"/>
  <c r="H2453" i="2"/>
  <c r="G2453" i="2"/>
  <c r="F2453" i="2"/>
  <c r="C2453" i="2"/>
  <c r="B2453" i="2"/>
  <c r="A2453" i="2"/>
  <c r="O2452" i="2"/>
  <c r="N2452" i="2"/>
  <c r="M2452" i="2"/>
  <c r="L2452" i="2"/>
  <c r="K2452" i="2"/>
  <c r="J2452" i="2"/>
  <c r="I2452" i="2"/>
  <c r="H2452" i="2"/>
  <c r="G2452" i="2"/>
  <c r="F2452" i="2"/>
  <c r="C2452" i="2"/>
  <c r="B2452" i="2"/>
  <c r="A2452" i="2"/>
  <c r="O2451" i="2"/>
  <c r="N2451" i="2"/>
  <c r="M2451" i="2"/>
  <c r="L2451" i="2"/>
  <c r="K2451" i="2"/>
  <c r="J2451" i="2"/>
  <c r="I2451" i="2"/>
  <c r="H2451" i="2"/>
  <c r="G2451" i="2"/>
  <c r="F2451" i="2"/>
  <c r="C2451" i="2"/>
  <c r="B2451" i="2"/>
  <c r="A2451" i="2"/>
  <c r="O2450" i="2"/>
  <c r="N2450" i="2"/>
  <c r="M2450" i="2"/>
  <c r="L2450" i="2"/>
  <c r="K2450" i="2"/>
  <c r="J2450" i="2"/>
  <c r="I2450" i="2"/>
  <c r="H2450" i="2"/>
  <c r="G2450" i="2"/>
  <c r="F2450" i="2"/>
  <c r="C2450" i="2"/>
  <c r="B2450" i="2"/>
  <c r="A2450" i="2"/>
  <c r="O2449" i="2"/>
  <c r="N2449" i="2"/>
  <c r="M2449" i="2"/>
  <c r="L2449" i="2"/>
  <c r="K2449" i="2"/>
  <c r="J2449" i="2"/>
  <c r="I2449" i="2"/>
  <c r="H2449" i="2"/>
  <c r="G2449" i="2"/>
  <c r="F2449" i="2"/>
  <c r="C2449" i="2"/>
  <c r="B2449" i="2"/>
  <c r="A2449" i="2"/>
  <c r="O2448" i="2"/>
  <c r="N2448" i="2"/>
  <c r="M2448" i="2"/>
  <c r="L2448" i="2"/>
  <c r="K2448" i="2"/>
  <c r="J2448" i="2"/>
  <c r="I2448" i="2"/>
  <c r="H2448" i="2"/>
  <c r="G2448" i="2"/>
  <c r="F2448" i="2"/>
  <c r="C2448" i="2"/>
  <c r="B2448" i="2"/>
  <c r="A2448" i="2"/>
  <c r="O2447" i="2"/>
  <c r="N2447" i="2"/>
  <c r="M2447" i="2"/>
  <c r="L2447" i="2"/>
  <c r="K2447" i="2"/>
  <c r="J2447" i="2"/>
  <c r="I2447" i="2"/>
  <c r="H2447" i="2"/>
  <c r="G2447" i="2"/>
  <c r="F2447" i="2"/>
  <c r="C2447" i="2"/>
  <c r="B2447" i="2"/>
  <c r="A2447" i="2"/>
  <c r="O2446" i="2"/>
  <c r="N2446" i="2"/>
  <c r="M2446" i="2"/>
  <c r="L2446" i="2"/>
  <c r="K2446" i="2"/>
  <c r="J2446" i="2"/>
  <c r="I2446" i="2"/>
  <c r="H2446" i="2"/>
  <c r="G2446" i="2"/>
  <c r="F2446" i="2"/>
  <c r="C2446" i="2"/>
  <c r="B2446" i="2"/>
  <c r="A2446" i="2"/>
  <c r="O2445" i="2"/>
  <c r="N2445" i="2"/>
  <c r="M2445" i="2"/>
  <c r="L2445" i="2"/>
  <c r="K2445" i="2"/>
  <c r="J2445" i="2"/>
  <c r="I2445" i="2"/>
  <c r="H2445" i="2"/>
  <c r="G2445" i="2"/>
  <c r="F2445" i="2"/>
  <c r="C2445" i="2"/>
  <c r="B2445" i="2"/>
  <c r="A2445" i="2"/>
  <c r="O2444" i="2"/>
  <c r="N2444" i="2"/>
  <c r="M2444" i="2"/>
  <c r="L2444" i="2"/>
  <c r="K2444" i="2"/>
  <c r="J2444" i="2"/>
  <c r="I2444" i="2"/>
  <c r="H2444" i="2"/>
  <c r="G2444" i="2"/>
  <c r="F2444" i="2"/>
  <c r="C2444" i="2"/>
  <c r="B2444" i="2"/>
  <c r="A2444" i="2"/>
  <c r="O2443" i="2"/>
  <c r="N2443" i="2"/>
  <c r="M2443" i="2"/>
  <c r="L2443" i="2"/>
  <c r="K2443" i="2"/>
  <c r="J2443" i="2"/>
  <c r="I2443" i="2"/>
  <c r="H2443" i="2"/>
  <c r="G2443" i="2"/>
  <c r="F2443" i="2"/>
  <c r="C2443" i="2"/>
  <c r="B2443" i="2"/>
  <c r="A2443" i="2"/>
  <c r="O2442" i="2"/>
  <c r="N2442" i="2"/>
  <c r="M2442" i="2"/>
  <c r="L2442" i="2"/>
  <c r="K2442" i="2"/>
  <c r="J2442" i="2"/>
  <c r="I2442" i="2"/>
  <c r="H2442" i="2"/>
  <c r="G2442" i="2"/>
  <c r="F2442" i="2"/>
  <c r="C2442" i="2"/>
  <c r="B2442" i="2"/>
  <c r="A2442" i="2"/>
  <c r="O2441" i="2"/>
  <c r="N2441" i="2"/>
  <c r="M2441" i="2"/>
  <c r="L2441" i="2"/>
  <c r="K2441" i="2"/>
  <c r="J2441" i="2"/>
  <c r="I2441" i="2"/>
  <c r="H2441" i="2"/>
  <c r="G2441" i="2"/>
  <c r="F2441" i="2"/>
  <c r="C2441" i="2"/>
  <c r="B2441" i="2"/>
  <c r="A2441" i="2"/>
  <c r="O2440" i="2"/>
  <c r="N2440" i="2"/>
  <c r="M2440" i="2"/>
  <c r="L2440" i="2"/>
  <c r="K2440" i="2"/>
  <c r="J2440" i="2"/>
  <c r="I2440" i="2"/>
  <c r="H2440" i="2"/>
  <c r="G2440" i="2"/>
  <c r="F2440" i="2"/>
  <c r="C2440" i="2"/>
  <c r="B2440" i="2"/>
  <c r="A2440" i="2"/>
  <c r="O2439" i="2"/>
  <c r="N2439" i="2"/>
  <c r="M2439" i="2"/>
  <c r="L2439" i="2"/>
  <c r="K2439" i="2"/>
  <c r="J2439" i="2"/>
  <c r="I2439" i="2"/>
  <c r="H2439" i="2"/>
  <c r="G2439" i="2"/>
  <c r="F2439" i="2"/>
  <c r="C2439" i="2"/>
  <c r="B2439" i="2"/>
  <c r="A2439" i="2"/>
  <c r="O2438" i="2"/>
  <c r="N2438" i="2"/>
  <c r="M2438" i="2"/>
  <c r="L2438" i="2"/>
  <c r="K2438" i="2"/>
  <c r="J2438" i="2"/>
  <c r="I2438" i="2"/>
  <c r="H2438" i="2"/>
  <c r="G2438" i="2"/>
  <c r="F2438" i="2"/>
  <c r="C2438" i="2"/>
  <c r="B2438" i="2"/>
  <c r="A2438" i="2"/>
  <c r="O2437" i="2"/>
  <c r="N2437" i="2"/>
  <c r="M2437" i="2"/>
  <c r="L2437" i="2"/>
  <c r="K2437" i="2"/>
  <c r="J2437" i="2"/>
  <c r="I2437" i="2"/>
  <c r="H2437" i="2"/>
  <c r="G2437" i="2"/>
  <c r="F2437" i="2"/>
  <c r="C2437" i="2"/>
  <c r="B2437" i="2"/>
  <c r="A2437" i="2"/>
  <c r="O2436" i="2"/>
  <c r="N2436" i="2"/>
  <c r="M2436" i="2"/>
  <c r="L2436" i="2"/>
  <c r="K2436" i="2"/>
  <c r="J2436" i="2"/>
  <c r="I2436" i="2"/>
  <c r="H2436" i="2"/>
  <c r="G2436" i="2"/>
  <c r="F2436" i="2"/>
  <c r="C2436" i="2"/>
  <c r="B2436" i="2"/>
  <c r="A2436" i="2"/>
  <c r="O2435" i="2"/>
  <c r="N2435" i="2"/>
  <c r="M2435" i="2"/>
  <c r="L2435" i="2"/>
  <c r="K2435" i="2"/>
  <c r="J2435" i="2"/>
  <c r="I2435" i="2"/>
  <c r="H2435" i="2"/>
  <c r="G2435" i="2"/>
  <c r="F2435" i="2"/>
  <c r="C2435" i="2"/>
  <c r="B2435" i="2"/>
  <c r="A2435" i="2"/>
  <c r="O2434" i="2"/>
  <c r="N2434" i="2"/>
  <c r="M2434" i="2"/>
  <c r="L2434" i="2"/>
  <c r="K2434" i="2"/>
  <c r="J2434" i="2"/>
  <c r="I2434" i="2"/>
  <c r="H2434" i="2"/>
  <c r="G2434" i="2"/>
  <c r="F2434" i="2"/>
  <c r="C2434" i="2"/>
  <c r="B2434" i="2"/>
  <c r="A2434" i="2"/>
  <c r="O2433" i="2"/>
  <c r="N2433" i="2"/>
  <c r="M2433" i="2"/>
  <c r="L2433" i="2"/>
  <c r="K2433" i="2"/>
  <c r="J2433" i="2"/>
  <c r="I2433" i="2"/>
  <c r="H2433" i="2"/>
  <c r="G2433" i="2"/>
  <c r="F2433" i="2"/>
  <c r="C2433" i="2"/>
  <c r="B2433" i="2"/>
  <c r="A2433" i="2"/>
  <c r="O2432" i="2"/>
  <c r="N2432" i="2"/>
  <c r="M2432" i="2"/>
  <c r="L2432" i="2"/>
  <c r="K2432" i="2"/>
  <c r="J2432" i="2"/>
  <c r="I2432" i="2"/>
  <c r="H2432" i="2"/>
  <c r="G2432" i="2"/>
  <c r="F2432" i="2"/>
  <c r="C2432" i="2"/>
  <c r="B2432" i="2"/>
  <c r="A2432" i="2"/>
  <c r="O2431" i="2"/>
  <c r="N2431" i="2"/>
  <c r="M2431" i="2"/>
  <c r="L2431" i="2"/>
  <c r="K2431" i="2"/>
  <c r="J2431" i="2"/>
  <c r="I2431" i="2"/>
  <c r="H2431" i="2"/>
  <c r="G2431" i="2"/>
  <c r="F2431" i="2"/>
  <c r="C2431" i="2"/>
  <c r="B2431" i="2"/>
  <c r="A2431" i="2"/>
  <c r="O2430" i="2"/>
  <c r="N2430" i="2"/>
  <c r="M2430" i="2"/>
  <c r="L2430" i="2"/>
  <c r="K2430" i="2"/>
  <c r="J2430" i="2"/>
  <c r="I2430" i="2"/>
  <c r="H2430" i="2"/>
  <c r="G2430" i="2"/>
  <c r="F2430" i="2"/>
  <c r="C2430" i="2"/>
  <c r="B2430" i="2"/>
  <c r="A2430" i="2"/>
  <c r="O2429" i="2"/>
  <c r="N2429" i="2"/>
  <c r="M2429" i="2"/>
  <c r="L2429" i="2"/>
  <c r="K2429" i="2"/>
  <c r="J2429" i="2"/>
  <c r="I2429" i="2"/>
  <c r="H2429" i="2"/>
  <c r="G2429" i="2"/>
  <c r="F2429" i="2"/>
  <c r="C2429" i="2"/>
  <c r="B2429" i="2"/>
  <c r="A2429" i="2"/>
  <c r="O2428" i="2"/>
  <c r="N2428" i="2"/>
  <c r="M2428" i="2"/>
  <c r="L2428" i="2"/>
  <c r="K2428" i="2"/>
  <c r="J2428" i="2"/>
  <c r="I2428" i="2"/>
  <c r="H2428" i="2"/>
  <c r="G2428" i="2"/>
  <c r="F2428" i="2"/>
  <c r="C2428" i="2"/>
  <c r="B2428" i="2"/>
  <c r="A2428" i="2"/>
  <c r="O2427" i="2"/>
  <c r="N2427" i="2"/>
  <c r="M2427" i="2"/>
  <c r="L2427" i="2"/>
  <c r="K2427" i="2"/>
  <c r="J2427" i="2"/>
  <c r="I2427" i="2"/>
  <c r="H2427" i="2"/>
  <c r="G2427" i="2"/>
  <c r="F2427" i="2"/>
  <c r="C2427" i="2"/>
  <c r="B2427" i="2"/>
  <c r="A2427" i="2"/>
  <c r="O2426" i="2"/>
  <c r="N2426" i="2"/>
  <c r="M2426" i="2"/>
  <c r="L2426" i="2"/>
  <c r="K2426" i="2"/>
  <c r="J2426" i="2"/>
  <c r="I2426" i="2"/>
  <c r="H2426" i="2"/>
  <c r="G2426" i="2"/>
  <c r="F2426" i="2"/>
  <c r="C2426" i="2"/>
  <c r="B2426" i="2"/>
  <c r="A2426" i="2"/>
  <c r="O2425" i="2"/>
  <c r="N2425" i="2"/>
  <c r="M2425" i="2"/>
  <c r="L2425" i="2"/>
  <c r="K2425" i="2"/>
  <c r="J2425" i="2"/>
  <c r="I2425" i="2"/>
  <c r="H2425" i="2"/>
  <c r="G2425" i="2"/>
  <c r="F2425" i="2"/>
  <c r="C2425" i="2"/>
  <c r="B2425" i="2"/>
  <c r="A2425" i="2"/>
  <c r="O2424" i="2"/>
  <c r="N2424" i="2"/>
  <c r="M2424" i="2"/>
  <c r="L2424" i="2"/>
  <c r="K2424" i="2"/>
  <c r="J2424" i="2"/>
  <c r="I2424" i="2"/>
  <c r="H2424" i="2"/>
  <c r="G2424" i="2"/>
  <c r="F2424" i="2"/>
  <c r="C2424" i="2"/>
  <c r="B2424" i="2"/>
  <c r="A2424" i="2"/>
  <c r="O2423" i="2"/>
  <c r="N2423" i="2"/>
  <c r="M2423" i="2"/>
  <c r="L2423" i="2"/>
  <c r="K2423" i="2"/>
  <c r="J2423" i="2"/>
  <c r="I2423" i="2"/>
  <c r="H2423" i="2"/>
  <c r="G2423" i="2"/>
  <c r="F2423" i="2"/>
  <c r="C2423" i="2"/>
  <c r="B2423" i="2"/>
  <c r="A2423" i="2"/>
  <c r="O2422" i="2"/>
  <c r="N2422" i="2"/>
  <c r="M2422" i="2"/>
  <c r="L2422" i="2"/>
  <c r="K2422" i="2"/>
  <c r="J2422" i="2"/>
  <c r="I2422" i="2"/>
  <c r="H2422" i="2"/>
  <c r="G2422" i="2"/>
  <c r="F2422" i="2"/>
  <c r="C2422" i="2"/>
  <c r="B2422" i="2"/>
  <c r="A2422" i="2"/>
  <c r="O2421" i="2"/>
  <c r="N2421" i="2"/>
  <c r="M2421" i="2"/>
  <c r="L2421" i="2"/>
  <c r="K2421" i="2"/>
  <c r="J2421" i="2"/>
  <c r="I2421" i="2"/>
  <c r="H2421" i="2"/>
  <c r="G2421" i="2"/>
  <c r="F2421" i="2"/>
  <c r="C2421" i="2"/>
  <c r="B2421" i="2"/>
  <c r="A2421" i="2"/>
  <c r="O2420" i="2"/>
  <c r="N2420" i="2"/>
  <c r="M2420" i="2"/>
  <c r="L2420" i="2"/>
  <c r="K2420" i="2"/>
  <c r="J2420" i="2"/>
  <c r="I2420" i="2"/>
  <c r="H2420" i="2"/>
  <c r="G2420" i="2"/>
  <c r="F2420" i="2"/>
  <c r="C2420" i="2"/>
  <c r="B2420" i="2"/>
  <c r="A2420" i="2"/>
  <c r="O2419" i="2"/>
  <c r="N2419" i="2"/>
  <c r="M2419" i="2"/>
  <c r="L2419" i="2"/>
  <c r="K2419" i="2"/>
  <c r="J2419" i="2"/>
  <c r="I2419" i="2"/>
  <c r="H2419" i="2"/>
  <c r="G2419" i="2"/>
  <c r="F2419" i="2"/>
  <c r="C2419" i="2"/>
  <c r="B2419" i="2"/>
  <c r="A2419" i="2"/>
  <c r="O2418" i="2"/>
  <c r="N2418" i="2"/>
  <c r="M2418" i="2"/>
  <c r="L2418" i="2"/>
  <c r="K2418" i="2"/>
  <c r="J2418" i="2"/>
  <c r="I2418" i="2"/>
  <c r="H2418" i="2"/>
  <c r="G2418" i="2"/>
  <c r="F2418" i="2"/>
  <c r="C2418" i="2"/>
  <c r="B2418" i="2"/>
  <c r="A2418" i="2"/>
  <c r="O2417" i="2"/>
  <c r="N2417" i="2"/>
  <c r="M2417" i="2"/>
  <c r="L2417" i="2"/>
  <c r="K2417" i="2"/>
  <c r="J2417" i="2"/>
  <c r="I2417" i="2"/>
  <c r="H2417" i="2"/>
  <c r="G2417" i="2"/>
  <c r="F2417" i="2"/>
  <c r="C2417" i="2"/>
  <c r="B2417" i="2"/>
  <c r="A2417" i="2"/>
  <c r="O2416" i="2"/>
  <c r="N2416" i="2"/>
  <c r="M2416" i="2"/>
  <c r="L2416" i="2"/>
  <c r="K2416" i="2"/>
  <c r="J2416" i="2"/>
  <c r="I2416" i="2"/>
  <c r="H2416" i="2"/>
  <c r="G2416" i="2"/>
  <c r="F2416" i="2"/>
  <c r="C2416" i="2"/>
  <c r="B2416" i="2"/>
  <c r="A2416" i="2"/>
  <c r="O2415" i="2"/>
  <c r="N2415" i="2"/>
  <c r="M2415" i="2"/>
  <c r="L2415" i="2"/>
  <c r="K2415" i="2"/>
  <c r="J2415" i="2"/>
  <c r="I2415" i="2"/>
  <c r="H2415" i="2"/>
  <c r="G2415" i="2"/>
  <c r="F2415" i="2"/>
  <c r="C2415" i="2"/>
  <c r="B2415" i="2"/>
  <c r="A2415" i="2"/>
  <c r="O2414" i="2"/>
  <c r="N2414" i="2"/>
  <c r="M2414" i="2"/>
  <c r="L2414" i="2"/>
  <c r="K2414" i="2"/>
  <c r="J2414" i="2"/>
  <c r="I2414" i="2"/>
  <c r="H2414" i="2"/>
  <c r="G2414" i="2"/>
  <c r="F2414" i="2"/>
  <c r="C2414" i="2"/>
  <c r="B2414" i="2"/>
  <c r="A2414" i="2"/>
  <c r="O2413" i="2"/>
  <c r="N2413" i="2"/>
  <c r="M2413" i="2"/>
  <c r="L2413" i="2"/>
  <c r="K2413" i="2"/>
  <c r="J2413" i="2"/>
  <c r="I2413" i="2"/>
  <c r="H2413" i="2"/>
  <c r="G2413" i="2"/>
  <c r="F2413" i="2"/>
  <c r="C2413" i="2"/>
  <c r="B2413" i="2"/>
  <c r="A2413" i="2"/>
  <c r="O2412" i="2"/>
  <c r="N2412" i="2"/>
  <c r="M2412" i="2"/>
  <c r="L2412" i="2"/>
  <c r="K2412" i="2"/>
  <c r="J2412" i="2"/>
  <c r="I2412" i="2"/>
  <c r="H2412" i="2"/>
  <c r="G2412" i="2"/>
  <c r="F2412" i="2"/>
  <c r="C2412" i="2"/>
  <c r="B2412" i="2"/>
  <c r="A2412" i="2"/>
  <c r="O2411" i="2"/>
  <c r="N2411" i="2"/>
  <c r="M2411" i="2"/>
  <c r="L2411" i="2"/>
  <c r="K2411" i="2"/>
  <c r="J2411" i="2"/>
  <c r="I2411" i="2"/>
  <c r="H2411" i="2"/>
  <c r="G2411" i="2"/>
  <c r="F2411" i="2"/>
  <c r="C2411" i="2"/>
  <c r="B2411" i="2"/>
  <c r="A2411" i="2"/>
  <c r="O2410" i="2"/>
  <c r="N2410" i="2"/>
  <c r="M2410" i="2"/>
  <c r="L2410" i="2"/>
  <c r="K2410" i="2"/>
  <c r="J2410" i="2"/>
  <c r="I2410" i="2"/>
  <c r="H2410" i="2"/>
  <c r="G2410" i="2"/>
  <c r="F2410" i="2"/>
  <c r="C2410" i="2"/>
  <c r="B2410" i="2"/>
  <c r="A2410" i="2"/>
  <c r="O2409" i="2"/>
  <c r="N2409" i="2"/>
  <c r="M2409" i="2"/>
  <c r="L2409" i="2"/>
  <c r="K2409" i="2"/>
  <c r="J2409" i="2"/>
  <c r="I2409" i="2"/>
  <c r="H2409" i="2"/>
  <c r="G2409" i="2"/>
  <c r="F2409" i="2"/>
  <c r="C2409" i="2"/>
  <c r="B2409" i="2"/>
  <c r="A2409" i="2"/>
  <c r="O2408" i="2"/>
  <c r="N2408" i="2"/>
  <c r="M2408" i="2"/>
  <c r="L2408" i="2"/>
  <c r="K2408" i="2"/>
  <c r="J2408" i="2"/>
  <c r="I2408" i="2"/>
  <c r="H2408" i="2"/>
  <c r="G2408" i="2"/>
  <c r="F2408" i="2"/>
  <c r="C2408" i="2"/>
  <c r="B2408" i="2"/>
  <c r="A2408" i="2"/>
  <c r="O2407" i="2"/>
  <c r="N2407" i="2"/>
  <c r="M2407" i="2"/>
  <c r="L2407" i="2"/>
  <c r="K2407" i="2"/>
  <c r="J2407" i="2"/>
  <c r="I2407" i="2"/>
  <c r="H2407" i="2"/>
  <c r="G2407" i="2"/>
  <c r="F2407" i="2"/>
  <c r="C2407" i="2"/>
  <c r="B2407" i="2"/>
  <c r="A2407" i="2"/>
  <c r="O2406" i="2"/>
  <c r="N2406" i="2"/>
  <c r="M2406" i="2"/>
  <c r="L2406" i="2"/>
  <c r="K2406" i="2"/>
  <c r="J2406" i="2"/>
  <c r="I2406" i="2"/>
  <c r="H2406" i="2"/>
  <c r="G2406" i="2"/>
  <c r="F2406" i="2"/>
  <c r="C2406" i="2"/>
  <c r="B2406" i="2"/>
  <c r="A2406" i="2"/>
  <c r="O2405" i="2"/>
  <c r="N2405" i="2"/>
  <c r="M2405" i="2"/>
  <c r="L2405" i="2"/>
  <c r="K2405" i="2"/>
  <c r="J2405" i="2"/>
  <c r="I2405" i="2"/>
  <c r="H2405" i="2"/>
  <c r="G2405" i="2"/>
  <c r="F2405" i="2"/>
  <c r="C2405" i="2"/>
  <c r="B2405" i="2"/>
  <c r="A2405" i="2"/>
  <c r="O2404" i="2"/>
  <c r="N2404" i="2"/>
  <c r="M2404" i="2"/>
  <c r="L2404" i="2"/>
  <c r="K2404" i="2"/>
  <c r="J2404" i="2"/>
  <c r="I2404" i="2"/>
  <c r="H2404" i="2"/>
  <c r="G2404" i="2"/>
  <c r="F2404" i="2"/>
  <c r="C2404" i="2"/>
  <c r="B2404" i="2"/>
  <c r="A2404" i="2"/>
  <c r="O2403" i="2"/>
  <c r="N2403" i="2"/>
  <c r="M2403" i="2"/>
  <c r="L2403" i="2"/>
  <c r="K2403" i="2"/>
  <c r="J2403" i="2"/>
  <c r="I2403" i="2"/>
  <c r="H2403" i="2"/>
  <c r="G2403" i="2"/>
  <c r="F2403" i="2"/>
  <c r="C2403" i="2"/>
  <c r="B2403" i="2"/>
  <c r="A2403" i="2"/>
  <c r="O2402" i="2"/>
  <c r="N2402" i="2"/>
  <c r="M2402" i="2"/>
  <c r="L2402" i="2"/>
  <c r="K2402" i="2"/>
  <c r="J2402" i="2"/>
  <c r="I2402" i="2"/>
  <c r="H2402" i="2"/>
  <c r="G2402" i="2"/>
  <c r="F2402" i="2"/>
  <c r="C2402" i="2"/>
  <c r="B2402" i="2"/>
  <c r="A2402" i="2"/>
  <c r="O2401" i="2"/>
  <c r="N2401" i="2"/>
  <c r="M2401" i="2"/>
  <c r="L2401" i="2"/>
  <c r="K2401" i="2"/>
  <c r="J2401" i="2"/>
  <c r="I2401" i="2"/>
  <c r="H2401" i="2"/>
  <c r="G2401" i="2"/>
  <c r="F2401" i="2"/>
  <c r="C2401" i="2"/>
  <c r="B2401" i="2"/>
  <c r="A2401" i="2"/>
  <c r="O2400" i="2"/>
  <c r="N2400" i="2"/>
  <c r="M2400" i="2"/>
  <c r="L2400" i="2"/>
  <c r="K2400" i="2"/>
  <c r="J2400" i="2"/>
  <c r="I2400" i="2"/>
  <c r="H2400" i="2"/>
  <c r="G2400" i="2"/>
  <c r="F2400" i="2"/>
  <c r="C2400" i="2"/>
  <c r="B2400" i="2"/>
  <c r="A2400" i="2"/>
  <c r="O2399" i="2"/>
  <c r="N2399" i="2"/>
  <c r="M2399" i="2"/>
  <c r="L2399" i="2"/>
  <c r="K2399" i="2"/>
  <c r="J2399" i="2"/>
  <c r="I2399" i="2"/>
  <c r="H2399" i="2"/>
  <c r="G2399" i="2"/>
  <c r="F2399" i="2"/>
  <c r="C2399" i="2"/>
  <c r="B2399" i="2"/>
  <c r="A2399" i="2"/>
  <c r="O2398" i="2"/>
  <c r="N2398" i="2"/>
  <c r="M2398" i="2"/>
  <c r="L2398" i="2"/>
  <c r="K2398" i="2"/>
  <c r="J2398" i="2"/>
  <c r="I2398" i="2"/>
  <c r="H2398" i="2"/>
  <c r="G2398" i="2"/>
  <c r="F2398" i="2"/>
  <c r="C2398" i="2"/>
  <c r="B2398" i="2"/>
  <c r="A2398" i="2"/>
  <c r="O2397" i="2"/>
  <c r="N2397" i="2"/>
  <c r="M2397" i="2"/>
  <c r="L2397" i="2"/>
  <c r="K2397" i="2"/>
  <c r="J2397" i="2"/>
  <c r="I2397" i="2"/>
  <c r="H2397" i="2"/>
  <c r="G2397" i="2"/>
  <c r="F2397" i="2"/>
  <c r="C2397" i="2"/>
  <c r="B2397" i="2"/>
  <c r="A2397" i="2"/>
  <c r="O2396" i="2"/>
  <c r="N2396" i="2"/>
  <c r="M2396" i="2"/>
  <c r="L2396" i="2"/>
  <c r="K2396" i="2"/>
  <c r="J2396" i="2"/>
  <c r="I2396" i="2"/>
  <c r="H2396" i="2"/>
  <c r="G2396" i="2"/>
  <c r="F2396" i="2"/>
  <c r="C2396" i="2"/>
  <c r="B2396" i="2"/>
  <c r="A2396" i="2"/>
  <c r="O2395" i="2"/>
  <c r="N2395" i="2"/>
  <c r="M2395" i="2"/>
  <c r="L2395" i="2"/>
  <c r="K2395" i="2"/>
  <c r="J2395" i="2"/>
  <c r="I2395" i="2"/>
  <c r="H2395" i="2"/>
  <c r="G2395" i="2"/>
  <c r="F2395" i="2"/>
  <c r="C2395" i="2"/>
  <c r="B2395" i="2"/>
  <c r="A2395" i="2"/>
  <c r="O2394" i="2"/>
  <c r="N2394" i="2"/>
  <c r="M2394" i="2"/>
  <c r="L2394" i="2"/>
  <c r="K2394" i="2"/>
  <c r="J2394" i="2"/>
  <c r="I2394" i="2"/>
  <c r="H2394" i="2"/>
  <c r="G2394" i="2"/>
  <c r="F2394" i="2"/>
  <c r="C2394" i="2"/>
  <c r="B2394" i="2"/>
  <c r="A2394" i="2"/>
  <c r="O2393" i="2"/>
  <c r="N2393" i="2"/>
  <c r="M2393" i="2"/>
  <c r="L2393" i="2"/>
  <c r="K2393" i="2"/>
  <c r="J2393" i="2"/>
  <c r="I2393" i="2"/>
  <c r="H2393" i="2"/>
  <c r="G2393" i="2"/>
  <c r="F2393" i="2"/>
  <c r="C2393" i="2"/>
  <c r="B2393" i="2"/>
  <c r="A2393" i="2"/>
  <c r="O2392" i="2"/>
  <c r="N2392" i="2"/>
  <c r="M2392" i="2"/>
  <c r="L2392" i="2"/>
  <c r="K2392" i="2"/>
  <c r="J2392" i="2"/>
  <c r="I2392" i="2"/>
  <c r="H2392" i="2"/>
  <c r="G2392" i="2"/>
  <c r="F2392" i="2"/>
  <c r="C2392" i="2"/>
  <c r="B2392" i="2"/>
  <c r="A2392" i="2"/>
  <c r="O2391" i="2"/>
  <c r="N2391" i="2"/>
  <c r="M2391" i="2"/>
  <c r="L2391" i="2"/>
  <c r="K2391" i="2"/>
  <c r="J2391" i="2"/>
  <c r="I2391" i="2"/>
  <c r="H2391" i="2"/>
  <c r="G2391" i="2"/>
  <c r="F2391" i="2"/>
  <c r="C2391" i="2"/>
  <c r="B2391" i="2"/>
  <c r="A2391" i="2"/>
  <c r="O2390" i="2"/>
  <c r="N2390" i="2"/>
  <c r="M2390" i="2"/>
  <c r="L2390" i="2"/>
  <c r="K2390" i="2"/>
  <c r="J2390" i="2"/>
  <c r="I2390" i="2"/>
  <c r="H2390" i="2"/>
  <c r="G2390" i="2"/>
  <c r="F2390" i="2"/>
  <c r="C2390" i="2"/>
  <c r="B2390" i="2"/>
  <c r="A2390" i="2"/>
  <c r="O2389" i="2"/>
  <c r="N2389" i="2"/>
  <c r="M2389" i="2"/>
  <c r="L2389" i="2"/>
  <c r="K2389" i="2"/>
  <c r="J2389" i="2"/>
  <c r="I2389" i="2"/>
  <c r="H2389" i="2"/>
  <c r="G2389" i="2"/>
  <c r="F2389" i="2"/>
  <c r="C2389" i="2"/>
  <c r="B2389" i="2"/>
  <c r="A2389" i="2"/>
  <c r="O2388" i="2"/>
  <c r="N2388" i="2"/>
  <c r="M2388" i="2"/>
  <c r="L2388" i="2"/>
  <c r="K2388" i="2"/>
  <c r="J2388" i="2"/>
  <c r="I2388" i="2"/>
  <c r="H2388" i="2"/>
  <c r="G2388" i="2"/>
  <c r="F2388" i="2"/>
  <c r="C2388" i="2"/>
  <c r="B2388" i="2"/>
  <c r="A2388" i="2"/>
  <c r="O2387" i="2"/>
  <c r="N2387" i="2"/>
  <c r="M2387" i="2"/>
  <c r="L2387" i="2"/>
  <c r="K2387" i="2"/>
  <c r="J2387" i="2"/>
  <c r="I2387" i="2"/>
  <c r="H2387" i="2"/>
  <c r="G2387" i="2"/>
  <c r="F2387" i="2"/>
  <c r="C2387" i="2"/>
  <c r="B2387" i="2"/>
  <c r="A2387" i="2"/>
  <c r="O2386" i="2"/>
  <c r="N2386" i="2"/>
  <c r="M2386" i="2"/>
  <c r="L2386" i="2"/>
  <c r="K2386" i="2"/>
  <c r="J2386" i="2"/>
  <c r="I2386" i="2"/>
  <c r="H2386" i="2"/>
  <c r="G2386" i="2"/>
  <c r="F2386" i="2"/>
  <c r="C2386" i="2"/>
  <c r="B2386" i="2"/>
  <c r="A2386" i="2"/>
  <c r="O2385" i="2"/>
  <c r="N2385" i="2"/>
  <c r="M2385" i="2"/>
  <c r="L2385" i="2"/>
  <c r="K2385" i="2"/>
  <c r="J2385" i="2"/>
  <c r="I2385" i="2"/>
  <c r="H2385" i="2"/>
  <c r="G2385" i="2"/>
  <c r="F2385" i="2"/>
  <c r="C2385" i="2"/>
  <c r="B2385" i="2"/>
  <c r="A2385" i="2"/>
  <c r="O2384" i="2"/>
  <c r="N2384" i="2"/>
  <c r="M2384" i="2"/>
  <c r="L2384" i="2"/>
  <c r="K2384" i="2"/>
  <c r="J2384" i="2"/>
  <c r="I2384" i="2"/>
  <c r="H2384" i="2"/>
  <c r="G2384" i="2"/>
  <c r="F2384" i="2"/>
  <c r="C2384" i="2"/>
  <c r="B2384" i="2"/>
  <c r="A2384" i="2"/>
  <c r="O2383" i="2"/>
  <c r="N2383" i="2"/>
  <c r="M2383" i="2"/>
  <c r="L2383" i="2"/>
  <c r="K2383" i="2"/>
  <c r="J2383" i="2"/>
  <c r="I2383" i="2"/>
  <c r="H2383" i="2"/>
  <c r="G2383" i="2"/>
  <c r="F2383" i="2"/>
  <c r="C2383" i="2"/>
  <c r="B2383" i="2"/>
  <c r="A2383" i="2"/>
  <c r="O2382" i="2"/>
  <c r="N2382" i="2"/>
  <c r="M2382" i="2"/>
  <c r="L2382" i="2"/>
  <c r="K2382" i="2"/>
  <c r="J2382" i="2"/>
  <c r="I2382" i="2"/>
  <c r="H2382" i="2"/>
  <c r="G2382" i="2"/>
  <c r="F2382" i="2"/>
  <c r="C2382" i="2"/>
  <c r="B2382" i="2"/>
  <c r="A2382" i="2"/>
  <c r="O2381" i="2"/>
  <c r="N2381" i="2"/>
  <c r="M2381" i="2"/>
  <c r="L2381" i="2"/>
  <c r="K2381" i="2"/>
  <c r="J2381" i="2"/>
  <c r="I2381" i="2"/>
  <c r="H2381" i="2"/>
  <c r="G2381" i="2"/>
  <c r="F2381" i="2"/>
  <c r="C2381" i="2"/>
  <c r="B2381" i="2"/>
  <c r="A2381" i="2"/>
  <c r="O2380" i="2"/>
  <c r="N2380" i="2"/>
  <c r="M2380" i="2"/>
  <c r="L2380" i="2"/>
  <c r="K2380" i="2"/>
  <c r="J2380" i="2"/>
  <c r="I2380" i="2"/>
  <c r="H2380" i="2"/>
  <c r="G2380" i="2"/>
  <c r="F2380" i="2"/>
  <c r="C2380" i="2"/>
  <c r="B2380" i="2"/>
  <c r="A2380" i="2"/>
  <c r="O2379" i="2"/>
  <c r="N2379" i="2"/>
  <c r="M2379" i="2"/>
  <c r="L2379" i="2"/>
  <c r="K2379" i="2"/>
  <c r="J2379" i="2"/>
  <c r="I2379" i="2"/>
  <c r="H2379" i="2"/>
  <c r="G2379" i="2"/>
  <c r="F2379" i="2"/>
  <c r="C2379" i="2"/>
  <c r="B2379" i="2"/>
  <c r="A2379" i="2"/>
  <c r="O2378" i="2"/>
  <c r="N2378" i="2"/>
  <c r="M2378" i="2"/>
  <c r="L2378" i="2"/>
  <c r="K2378" i="2"/>
  <c r="J2378" i="2"/>
  <c r="I2378" i="2"/>
  <c r="H2378" i="2"/>
  <c r="G2378" i="2"/>
  <c r="F2378" i="2"/>
  <c r="C2378" i="2"/>
  <c r="B2378" i="2"/>
  <c r="A2378" i="2"/>
  <c r="O2377" i="2"/>
  <c r="N2377" i="2"/>
  <c r="M2377" i="2"/>
  <c r="L2377" i="2"/>
  <c r="K2377" i="2"/>
  <c r="J2377" i="2"/>
  <c r="I2377" i="2"/>
  <c r="H2377" i="2"/>
  <c r="G2377" i="2"/>
  <c r="F2377" i="2"/>
  <c r="C2377" i="2"/>
  <c r="B2377" i="2"/>
  <c r="A2377" i="2"/>
  <c r="O2376" i="2"/>
  <c r="N2376" i="2"/>
  <c r="M2376" i="2"/>
  <c r="L2376" i="2"/>
  <c r="K2376" i="2"/>
  <c r="J2376" i="2"/>
  <c r="I2376" i="2"/>
  <c r="H2376" i="2"/>
  <c r="G2376" i="2"/>
  <c r="F2376" i="2"/>
  <c r="C2376" i="2"/>
  <c r="B2376" i="2"/>
  <c r="A2376" i="2"/>
  <c r="O2375" i="2"/>
  <c r="N2375" i="2"/>
  <c r="M2375" i="2"/>
  <c r="L2375" i="2"/>
  <c r="K2375" i="2"/>
  <c r="J2375" i="2"/>
  <c r="I2375" i="2"/>
  <c r="H2375" i="2"/>
  <c r="G2375" i="2"/>
  <c r="F2375" i="2"/>
  <c r="C2375" i="2"/>
  <c r="B2375" i="2"/>
  <c r="A2375" i="2"/>
  <c r="O2374" i="2"/>
  <c r="N2374" i="2"/>
  <c r="M2374" i="2"/>
  <c r="L2374" i="2"/>
  <c r="K2374" i="2"/>
  <c r="J2374" i="2"/>
  <c r="I2374" i="2"/>
  <c r="H2374" i="2"/>
  <c r="G2374" i="2"/>
  <c r="F2374" i="2"/>
  <c r="C2374" i="2"/>
  <c r="B2374" i="2"/>
  <c r="A2374" i="2"/>
  <c r="O2373" i="2"/>
  <c r="N2373" i="2"/>
  <c r="M2373" i="2"/>
  <c r="L2373" i="2"/>
  <c r="K2373" i="2"/>
  <c r="J2373" i="2"/>
  <c r="I2373" i="2"/>
  <c r="H2373" i="2"/>
  <c r="G2373" i="2"/>
  <c r="F2373" i="2"/>
  <c r="C2373" i="2"/>
  <c r="B2373" i="2"/>
  <c r="A2373" i="2"/>
  <c r="O2372" i="2"/>
  <c r="N2372" i="2"/>
  <c r="M2372" i="2"/>
  <c r="L2372" i="2"/>
  <c r="K2372" i="2"/>
  <c r="J2372" i="2"/>
  <c r="I2372" i="2"/>
  <c r="H2372" i="2"/>
  <c r="G2372" i="2"/>
  <c r="F2372" i="2"/>
  <c r="C2372" i="2"/>
  <c r="B2372" i="2"/>
  <c r="A2372" i="2"/>
  <c r="O2371" i="2"/>
  <c r="N2371" i="2"/>
  <c r="M2371" i="2"/>
  <c r="L2371" i="2"/>
  <c r="K2371" i="2"/>
  <c r="J2371" i="2"/>
  <c r="I2371" i="2"/>
  <c r="H2371" i="2"/>
  <c r="G2371" i="2"/>
  <c r="F2371" i="2"/>
  <c r="C2371" i="2"/>
  <c r="B2371" i="2"/>
  <c r="A2371" i="2"/>
  <c r="O2370" i="2"/>
  <c r="N2370" i="2"/>
  <c r="M2370" i="2"/>
  <c r="L2370" i="2"/>
  <c r="K2370" i="2"/>
  <c r="J2370" i="2"/>
  <c r="I2370" i="2"/>
  <c r="H2370" i="2"/>
  <c r="G2370" i="2"/>
  <c r="F2370" i="2"/>
  <c r="C2370" i="2"/>
  <c r="B2370" i="2"/>
  <c r="A2370" i="2"/>
  <c r="O2369" i="2"/>
  <c r="N2369" i="2"/>
  <c r="M2369" i="2"/>
  <c r="L2369" i="2"/>
  <c r="K2369" i="2"/>
  <c r="J2369" i="2"/>
  <c r="I2369" i="2"/>
  <c r="H2369" i="2"/>
  <c r="G2369" i="2"/>
  <c r="F2369" i="2"/>
  <c r="C2369" i="2"/>
  <c r="B2369" i="2"/>
  <c r="A2369" i="2"/>
  <c r="O2368" i="2"/>
  <c r="N2368" i="2"/>
  <c r="M2368" i="2"/>
  <c r="L2368" i="2"/>
  <c r="K2368" i="2"/>
  <c r="J2368" i="2"/>
  <c r="I2368" i="2"/>
  <c r="H2368" i="2"/>
  <c r="G2368" i="2"/>
  <c r="F2368" i="2"/>
  <c r="C2368" i="2"/>
  <c r="B2368" i="2"/>
  <c r="A2368" i="2"/>
  <c r="O2367" i="2"/>
  <c r="N2367" i="2"/>
  <c r="M2367" i="2"/>
  <c r="L2367" i="2"/>
  <c r="K2367" i="2"/>
  <c r="J2367" i="2"/>
  <c r="I2367" i="2"/>
  <c r="H2367" i="2"/>
  <c r="G2367" i="2"/>
  <c r="F2367" i="2"/>
  <c r="C2367" i="2"/>
  <c r="B2367" i="2"/>
  <c r="A2367" i="2"/>
  <c r="O2366" i="2"/>
  <c r="N2366" i="2"/>
  <c r="M2366" i="2"/>
  <c r="L2366" i="2"/>
  <c r="K2366" i="2"/>
  <c r="J2366" i="2"/>
  <c r="I2366" i="2"/>
  <c r="H2366" i="2"/>
  <c r="G2366" i="2"/>
  <c r="F2366" i="2"/>
  <c r="C2366" i="2"/>
  <c r="B2366" i="2"/>
  <c r="A2366" i="2"/>
  <c r="O2365" i="2"/>
  <c r="N2365" i="2"/>
  <c r="M2365" i="2"/>
  <c r="L2365" i="2"/>
  <c r="K2365" i="2"/>
  <c r="J2365" i="2"/>
  <c r="I2365" i="2"/>
  <c r="H2365" i="2"/>
  <c r="G2365" i="2"/>
  <c r="F2365" i="2"/>
  <c r="C2365" i="2"/>
  <c r="B2365" i="2"/>
  <c r="A2365" i="2"/>
  <c r="O2364" i="2"/>
  <c r="N2364" i="2"/>
  <c r="M2364" i="2"/>
  <c r="L2364" i="2"/>
  <c r="K2364" i="2"/>
  <c r="J2364" i="2"/>
  <c r="I2364" i="2"/>
  <c r="H2364" i="2"/>
  <c r="G2364" i="2"/>
  <c r="F2364" i="2"/>
  <c r="C2364" i="2"/>
  <c r="B2364" i="2"/>
  <c r="A2364" i="2"/>
  <c r="O2363" i="2"/>
  <c r="N2363" i="2"/>
  <c r="M2363" i="2"/>
  <c r="L2363" i="2"/>
  <c r="K2363" i="2"/>
  <c r="J2363" i="2"/>
  <c r="I2363" i="2"/>
  <c r="H2363" i="2"/>
  <c r="G2363" i="2"/>
  <c r="F2363" i="2"/>
  <c r="C2363" i="2"/>
  <c r="B2363" i="2"/>
  <c r="A2363" i="2"/>
  <c r="O2362" i="2"/>
  <c r="N2362" i="2"/>
  <c r="M2362" i="2"/>
  <c r="L2362" i="2"/>
  <c r="K2362" i="2"/>
  <c r="J2362" i="2"/>
  <c r="I2362" i="2"/>
  <c r="H2362" i="2"/>
  <c r="G2362" i="2"/>
  <c r="F2362" i="2"/>
  <c r="C2362" i="2"/>
  <c r="B2362" i="2"/>
  <c r="A2362" i="2"/>
  <c r="O2361" i="2"/>
  <c r="N2361" i="2"/>
  <c r="M2361" i="2"/>
  <c r="L2361" i="2"/>
  <c r="K2361" i="2"/>
  <c r="J2361" i="2"/>
  <c r="I2361" i="2"/>
  <c r="H2361" i="2"/>
  <c r="G2361" i="2"/>
  <c r="F2361" i="2"/>
  <c r="C2361" i="2"/>
  <c r="B2361" i="2"/>
  <c r="A2361" i="2"/>
  <c r="O2360" i="2"/>
  <c r="N2360" i="2"/>
  <c r="M2360" i="2"/>
  <c r="L2360" i="2"/>
  <c r="K2360" i="2"/>
  <c r="J2360" i="2"/>
  <c r="I2360" i="2"/>
  <c r="H2360" i="2"/>
  <c r="G2360" i="2"/>
  <c r="F2360" i="2"/>
  <c r="C2360" i="2"/>
  <c r="B2360" i="2"/>
  <c r="A2360" i="2"/>
  <c r="O2359" i="2"/>
  <c r="N2359" i="2"/>
  <c r="M2359" i="2"/>
  <c r="L2359" i="2"/>
  <c r="K2359" i="2"/>
  <c r="J2359" i="2"/>
  <c r="I2359" i="2"/>
  <c r="H2359" i="2"/>
  <c r="G2359" i="2"/>
  <c r="F2359" i="2"/>
  <c r="C2359" i="2"/>
  <c r="B2359" i="2"/>
  <c r="A2359" i="2"/>
  <c r="O2358" i="2"/>
  <c r="N2358" i="2"/>
  <c r="M2358" i="2"/>
  <c r="L2358" i="2"/>
  <c r="K2358" i="2"/>
  <c r="J2358" i="2"/>
  <c r="I2358" i="2"/>
  <c r="H2358" i="2"/>
  <c r="G2358" i="2"/>
  <c r="F2358" i="2"/>
  <c r="C2358" i="2"/>
  <c r="B2358" i="2"/>
  <c r="A2358" i="2"/>
  <c r="O2357" i="2"/>
  <c r="N2357" i="2"/>
  <c r="M2357" i="2"/>
  <c r="L2357" i="2"/>
  <c r="K2357" i="2"/>
  <c r="J2357" i="2"/>
  <c r="I2357" i="2"/>
  <c r="H2357" i="2"/>
  <c r="G2357" i="2"/>
  <c r="F2357" i="2"/>
  <c r="C2357" i="2"/>
  <c r="B2357" i="2"/>
  <c r="A2357" i="2"/>
  <c r="O2356" i="2"/>
  <c r="N2356" i="2"/>
  <c r="M2356" i="2"/>
  <c r="L2356" i="2"/>
  <c r="K2356" i="2"/>
  <c r="J2356" i="2"/>
  <c r="I2356" i="2"/>
  <c r="H2356" i="2"/>
  <c r="G2356" i="2"/>
  <c r="F2356" i="2"/>
  <c r="C2356" i="2"/>
  <c r="B2356" i="2"/>
  <c r="A2356" i="2"/>
  <c r="O2355" i="2"/>
  <c r="N2355" i="2"/>
  <c r="M2355" i="2"/>
  <c r="L2355" i="2"/>
  <c r="K2355" i="2"/>
  <c r="J2355" i="2"/>
  <c r="I2355" i="2"/>
  <c r="H2355" i="2"/>
  <c r="G2355" i="2"/>
  <c r="F2355" i="2"/>
  <c r="C2355" i="2"/>
  <c r="B2355" i="2"/>
  <c r="A2355" i="2"/>
  <c r="O2354" i="2"/>
  <c r="N2354" i="2"/>
  <c r="M2354" i="2"/>
  <c r="L2354" i="2"/>
  <c r="K2354" i="2"/>
  <c r="J2354" i="2"/>
  <c r="I2354" i="2"/>
  <c r="H2354" i="2"/>
  <c r="G2354" i="2"/>
  <c r="F2354" i="2"/>
  <c r="C2354" i="2"/>
  <c r="B2354" i="2"/>
  <c r="A2354" i="2"/>
  <c r="O2353" i="2"/>
  <c r="N2353" i="2"/>
  <c r="M2353" i="2"/>
  <c r="L2353" i="2"/>
  <c r="K2353" i="2"/>
  <c r="J2353" i="2"/>
  <c r="I2353" i="2"/>
  <c r="H2353" i="2"/>
  <c r="G2353" i="2"/>
  <c r="F2353" i="2"/>
  <c r="C2353" i="2"/>
  <c r="B2353" i="2"/>
  <c r="A2353" i="2"/>
  <c r="O2352" i="2"/>
  <c r="N2352" i="2"/>
  <c r="M2352" i="2"/>
  <c r="L2352" i="2"/>
  <c r="K2352" i="2"/>
  <c r="J2352" i="2"/>
  <c r="I2352" i="2"/>
  <c r="H2352" i="2"/>
  <c r="G2352" i="2"/>
  <c r="F2352" i="2"/>
  <c r="C2352" i="2"/>
  <c r="B2352" i="2"/>
  <c r="A2352" i="2"/>
  <c r="O2351" i="2"/>
  <c r="N2351" i="2"/>
  <c r="M2351" i="2"/>
  <c r="L2351" i="2"/>
  <c r="K2351" i="2"/>
  <c r="J2351" i="2"/>
  <c r="I2351" i="2"/>
  <c r="H2351" i="2"/>
  <c r="G2351" i="2"/>
  <c r="F2351" i="2"/>
  <c r="C2351" i="2"/>
  <c r="B2351" i="2"/>
  <c r="A2351" i="2"/>
  <c r="O2350" i="2"/>
  <c r="N2350" i="2"/>
  <c r="M2350" i="2"/>
  <c r="L2350" i="2"/>
  <c r="K2350" i="2"/>
  <c r="J2350" i="2"/>
  <c r="I2350" i="2"/>
  <c r="H2350" i="2"/>
  <c r="G2350" i="2"/>
  <c r="F2350" i="2"/>
  <c r="C2350" i="2"/>
  <c r="B2350" i="2"/>
  <c r="A2350" i="2"/>
  <c r="O2349" i="2"/>
  <c r="N2349" i="2"/>
  <c r="M2349" i="2"/>
  <c r="L2349" i="2"/>
  <c r="K2349" i="2"/>
  <c r="J2349" i="2"/>
  <c r="I2349" i="2"/>
  <c r="H2349" i="2"/>
  <c r="G2349" i="2"/>
  <c r="F2349" i="2"/>
  <c r="C2349" i="2"/>
  <c r="B2349" i="2"/>
  <c r="A2349" i="2"/>
  <c r="O2348" i="2"/>
  <c r="N2348" i="2"/>
  <c r="M2348" i="2"/>
  <c r="L2348" i="2"/>
  <c r="K2348" i="2"/>
  <c r="J2348" i="2"/>
  <c r="I2348" i="2"/>
  <c r="H2348" i="2"/>
  <c r="G2348" i="2"/>
  <c r="F2348" i="2"/>
  <c r="C2348" i="2"/>
  <c r="B2348" i="2"/>
  <c r="A2348" i="2"/>
  <c r="O2347" i="2"/>
  <c r="N2347" i="2"/>
  <c r="M2347" i="2"/>
  <c r="L2347" i="2"/>
  <c r="K2347" i="2"/>
  <c r="J2347" i="2"/>
  <c r="I2347" i="2"/>
  <c r="H2347" i="2"/>
  <c r="G2347" i="2"/>
  <c r="F2347" i="2"/>
  <c r="C2347" i="2"/>
  <c r="B2347" i="2"/>
  <c r="A2347" i="2"/>
  <c r="O2346" i="2"/>
  <c r="N2346" i="2"/>
  <c r="M2346" i="2"/>
  <c r="L2346" i="2"/>
  <c r="K2346" i="2"/>
  <c r="J2346" i="2"/>
  <c r="I2346" i="2"/>
  <c r="H2346" i="2"/>
  <c r="G2346" i="2"/>
  <c r="F2346" i="2"/>
  <c r="C2346" i="2"/>
  <c r="B2346" i="2"/>
  <c r="A2346" i="2"/>
  <c r="O2345" i="2"/>
  <c r="N2345" i="2"/>
  <c r="M2345" i="2"/>
  <c r="L2345" i="2"/>
  <c r="K2345" i="2"/>
  <c r="J2345" i="2"/>
  <c r="I2345" i="2"/>
  <c r="H2345" i="2"/>
  <c r="G2345" i="2"/>
  <c r="F2345" i="2"/>
  <c r="C2345" i="2"/>
  <c r="B2345" i="2"/>
  <c r="A2345" i="2"/>
  <c r="O2344" i="2"/>
  <c r="N2344" i="2"/>
  <c r="M2344" i="2"/>
  <c r="L2344" i="2"/>
  <c r="K2344" i="2"/>
  <c r="J2344" i="2"/>
  <c r="I2344" i="2"/>
  <c r="H2344" i="2"/>
  <c r="G2344" i="2"/>
  <c r="F2344" i="2"/>
  <c r="C2344" i="2"/>
  <c r="B2344" i="2"/>
  <c r="A2344" i="2"/>
  <c r="O2343" i="2"/>
  <c r="N2343" i="2"/>
  <c r="M2343" i="2"/>
  <c r="L2343" i="2"/>
  <c r="K2343" i="2"/>
  <c r="J2343" i="2"/>
  <c r="I2343" i="2"/>
  <c r="H2343" i="2"/>
  <c r="G2343" i="2"/>
  <c r="F2343" i="2"/>
  <c r="C2343" i="2"/>
  <c r="B2343" i="2"/>
  <c r="A2343" i="2"/>
  <c r="O2342" i="2"/>
  <c r="N2342" i="2"/>
  <c r="M2342" i="2"/>
  <c r="L2342" i="2"/>
  <c r="K2342" i="2"/>
  <c r="J2342" i="2"/>
  <c r="I2342" i="2"/>
  <c r="H2342" i="2"/>
  <c r="G2342" i="2"/>
  <c r="F2342" i="2"/>
  <c r="C2342" i="2"/>
  <c r="B2342" i="2"/>
  <c r="A2342" i="2"/>
  <c r="O2341" i="2"/>
  <c r="N2341" i="2"/>
  <c r="M2341" i="2"/>
  <c r="L2341" i="2"/>
  <c r="K2341" i="2"/>
  <c r="J2341" i="2"/>
  <c r="I2341" i="2"/>
  <c r="H2341" i="2"/>
  <c r="G2341" i="2"/>
  <c r="F2341" i="2"/>
  <c r="C2341" i="2"/>
  <c r="B2341" i="2"/>
  <c r="A2341" i="2"/>
  <c r="O2340" i="2"/>
  <c r="N2340" i="2"/>
  <c r="M2340" i="2"/>
  <c r="L2340" i="2"/>
  <c r="K2340" i="2"/>
  <c r="J2340" i="2"/>
  <c r="I2340" i="2"/>
  <c r="H2340" i="2"/>
  <c r="G2340" i="2"/>
  <c r="F2340" i="2"/>
  <c r="C2340" i="2"/>
  <c r="B2340" i="2"/>
  <c r="A2340" i="2"/>
  <c r="O2339" i="2"/>
  <c r="N2339" i="2"/>
  <c r="M2339" i="2"/>
  <c r="L2339" i="2"/>
  <c r="K2339" i="2"/>
  <c r="J2339" i="2"/>
  <c r="I2339" i="2"/>
  <c r="H2339" i="2"/>
  <c r="G2339" i="2"/>
  <c r="F2339" i="2"/>
  <c r="C2339" i="2"/>
  <c r="B2339" i="2"/>
  <c r="A2339" i="2"/>
  <c r="O2338" i="2"/>
  <c r="N2338" i="2"/>
  <c r="M2338" i="2"/>
  <c r="L2338" i="2"/>
  <c r="K2338" i="2"/>
  <c r="J2338" i="2"/>
  <c r="I2338" i="2"/>
  <c r="H2338" i="2"/>
  <c r="G2338" i="2"/>
  <c r="F2338" i="2"/>
  <c r="C2338" i="2"/>
  <c r="B2338" i="2"/>
  <c r="A2338" i="2"/>
  <c r="O2337" i="2"/>
  <c r="N2337" i="2"/>
  <c r="M2337" i="2"/>
  <c r="L2337" i="2"/>
  <c r="K2337" i="2"/>
  <c r="J2337" i="2"/>
  <c r="I2337" i="2"/>
  <c r="H2337" i="2"/>
  <c r="G2337" i="2"/>
  <c r="F2337" i="2"/>
  <c r="C2337" i="2"/>
  <c r="B2337" i="2"/>
  <c r="A2337" i="2"/>
  <c r="O2336" i="2"/>
  <c r="N2336" i="2"/>
  <c r="M2336" i="2"/>
  <c r="L2336" i="2"/>
  <c r="K2336" i="2"/>
  <c r="J2336" i="2"/>
  <c r="I2336" i="2"/>
  <c r="H2336" i="2"/>
  <c r="G2336" i="2"/>
  <c r="F2336" i="2"/>
  <c r="C2336" i="2"/>
  <c r="B2336" i="2"/>
  <c r="A2336" i="2"/>
  <c r="O2335" i="2"/>
  <c r="N2335" i="2"/>
  <c r="M2335" i="2"/>
  <c r="L2335" i="2"/>
  <c r="K2335" i="2"/>
  <c r="J2335" i="2"/>
  <c r="I2335" i="2"/>
  <c r="H2335" i="2"/>
  <c r="G2335" i="2"/>
  <c r="F2335" i="2"/>
  <c r="C2335" i="2"/>
  <c r="B2335" i="2"/>
  <c r="A2335" i="2"/>
  <c r="O2334" i="2"/>
  <c r="N2334" i="2"/>
  <c r="M2334" i="2"/>
  <c r="L2334" i="2"/>
  <c r="K2334" i="2"/>
  <c r="J2334" i="2"/>
  <c r="I2334" i="2"/>
  <c r="H2334" i="2"/>
  <c r="G2334" i="2"/>
  <c r="F2334" i="2"/>
  <c r="C2334" i="2"/>
  <c r="B2334" i="2"/>
  <c r="A2334" i="2"/>
  <c r="O2333" i="2"/>
  <c r="N2333" i="2"/>
  <c r="M2333" i="2"/>
  <c r="L2333" i="2"/>
  <c r="K2333" i="2"/>
  <c r="J2333" i="2"/>
  <c r="I2333" i="2"/>
  <c r="H2333" i="2"/>
  <c r="G2333" i="2"/>
  <c r="F2333" i="2"/>
  <c r="C2333" i="2"/>
  <c r="B2333" i="2"/>
  <c r="A2333" i="2"/>
  <c r="O2332" i="2"/>
  <c r="N2332" i="2"/>
  <c r="M2332" i="2"/>
  <c r="L2332" i="2"/>
  <c r="K2332" i="2"/>
  <c r="J2332" i="2"/>
  <c r="I2332" i="2"/>
  <c r="H2332" i="2"/>
  <c r="G2332" i="2"/>
  <c r="F2332" i="2"/>
  <c r="C2332" i="2"/>
  <c r="B2332" i="2"/>
  <c r="A2332" i="2"/>
  <c r="O2331" i="2"/>
  <c r="N2331" i="2"/>
  <c r="M2331" i="2"/>
  <c r="L2331" i="2"/>
  <c r="K2331" i="2"/>
  <c r="J2331" i="2"/>
  <c r="I2331" i="2"/>
  <c r="H2331" i="2"/>
  <c r="G2331" i="2"/>
  <c r="F2331" i="2"/>
  <c r="C2331" i="2"/>
  <c r="B2331" i="2"/>
  <c r="A2331" i="2"/>
  <c r="O2330" i="2"/>
  <c r="N2330" i="2"/>
  <c r="M2330" i="2"/>
  <c r="L2330" i="2"/>
  <c r="K2330" i="2"/>
  <c r="J2330" i="2"/>
  <c r="I2330" i="2"/>
  <c r="H2330" i="2"/>
  <c r="G2330" i="2"/>
  <c r="F2330" i="2"/>
  <c r="C2330" i="2"/>
  <c r="B2330" i="2"/>
  <c r="A2330" i="2"/>
  <c r="O2329" i="2"/>
  <c r="N2329" i="2"/>
  <c r="M2329" i="2"/>
  <c r="L2329" i="2"/>
  <c r="K2329" i="2"/>
  <c r="J2329" i="2"/>
  <c r="I2329" i="2"/>
  <c r="H2329" i="2"/>
  <c r="G2329" i="2"/>
  <c r="F2329" i="2"/>
  <c r="C2329" i="2"/>
  <c r="B2329" i="2"/>
  <c r="A2329" i="2"/>
  <c r="O2328" i="2"/>
  <c r="N2328" i="2"/>
  <c r="M2328" i="2"/>
  <c r="L2328" i="2"/>
  <c r="K2328" i="2"/>
  <c r="J2328" i="2"/>
  <c r="I2328" i="2"/>
  <c r="H2328" i="2"/>
  <c r="G2328" i="2"/>
  <c r="F2328" i="2"/>
  <c r="C2328" i="2"/>
  <c r="B2328" i="2"/>
  <c r="A2328" i="2"/>
  <c r="O2327" i="2"/>
  <c r="N2327" i="2"/>
  <c r="M2327" i="2"/>
  <c r="L2327" i="2"/>
  <c r="K2327" i="2"/>
  <c r="J2327" i="2"/>
  <c r="I2327" i="2"/>
  <c r="H2327" i="2"/>
  <c r="G2327" i="2"/>
  <c r="F2327" i="2"/>
  <c r="C2327" i="2"/>
  <c r="B2327" i="2"/>
  <c r="A2327" i="2"/>
  <c r="O2326" i="2"/>
  <c r="N2326" i="2"/>
  <c r="M2326" i="2"/>
  <c r="L2326" i="2"/>
  <c r="K2326" i="2"/>
  <c r="J2326" i="2"/>
  <c r="I2326" i="2"/>
  <c r="H2326" i="2"/>
  <c r="G2326" i="2"/>
  <c r="F2326" i="2"/>
  <c r="C2326" i="2"/>
  <c r="B2326" i="2"/>
  <c r="A2326" i="2"/>
  <c r="O2325" i="2"/>
  <c r="N2325" i="2"/>
  <c r="M2325" i="2"/>
  <c r="L2325" i="2"/>
  <c r="K2325" i="2"/>
  <c r="J2325" i="2"/>
  <c r="I2325" i="2"/>
  <c r="H2325" i="2"/>
  <c r="G2325" i="2"/>
  <c r="F2325" i="2"/>
  <c r="C2325" i="2"/>
  <c r="B2325" i="2"/>
  <c r="A2325" i="2"/>
  <c r="O2324" i="2"/>
  <c r="N2324" i="2"/>
  <c r="M2324" i="2"/>
  <c r="L2324" i="2"/>
  <c r="K2324" i="2"/>
  <c r="J2324" i="2"/>
  <c r="I2324" i="2"/>
  <c r="H2324" i="2"/>
  <c r="G2324" i="2"/>
  <c r="F2324" i="2"/>
  <c r="C2324" i="2"/>
  <c r="B2324" i="2"/>
  <c r="A2324" i="2"/>
  <c r="O2323" i="2"/>
  <c r="N2323" i="2"/>
  <c r="M2323" i="2"/>
  <c r="L2323" i="2"/>
  <c r="K2323" i="2"/>
  <c r="J2323" i="2"/>
  <c r="I2323" i="2"/>
  <c r="H2323" i="2"/>
  <c r="G2323" i="2"/>
  <c r="F2323" i="2"/>
  <c r="C2323" i="2"/>
  <c r="B2323" i="2"/>
  <c r="A2323" i="2"/>
  <c r="O2322" i="2"/>
  <c r="N2322" i="2"/>
  <c r="M2322" i="2"/>
  <c r="L2322" i="2"/>
  <c r="K2322" i="2"/>
  <c r="J2322" i="2"/>
  <c r="I2322" i="2"/>
  <c r="H2322" i="2"/>
  <c r="G2322" i="2"/>
  <c r="F2322" i="2"/>
  <c r="C2322" i="2"/>
  <c r="B2322" i="2"/>
  <c r="A2322" i="2"/>
  <c r="O2321" i="2"/>
  <c r="N2321" i="2"/>
  <c r="M2321" i="2"/>
  <c r="L2321" i="2"/>
  <c r="K2321" i="2"/>
  <c r="J2321" i="2"/>
  <c r="I2321" i="2"/>
  <c r="H2321" i="2"/>
  <c r="G2321" i="2"/>
  <c r="F2321" i="2"/>
  <c r="C2321" i="2"/>
  <c r="B2321" i="2"/>
  <c r="A2321" i="2"/>
  <c r="O2320" i="2"/>
  <c r="N2320" i="2"/>
  <c r="M2320" i="2"/>
  <c r="L2320" i="2"/>
  <c r="K2320" i="2"/>
  <c r="J2320" i="2"/>
  <c r="I2320" i="2"/>
  <c r="H2320" i="2"/>
  <c r="G2320" i="2"/>
  <c r="F2320" i="2"/>
  <c r="C2320" i="2"/>
  <c r="B2320" i="2"/>
  <c r="A2320" i="2"/>
  <c r="O2319" i="2"/>
  <c r="N2319" i="2"/>
  <c r="M2319" i="2"/>
  <c r="L2319" i="2"/>
  <c r="K2319" i="2"/>
  <c r="J2319" i="2"/>
  <c r="I2319" i="2"/>
  <c r="H2319" i="2"/>
  <c r="G2319" i="2"/>
  <c r="F2319" i="2"/>
  <c r="C2319" i="2"/>
  <c r="B2319" i="2"/>
  <c r="A2319" i="2"/>
  <c r="O2318" i="2"/>
  <c r="N2318" i="2"/>
  <c r="M2318" i="2"/>
  <c r="L2318" i="2"/>
  <c r="K2318" i="2"/>
  <c r="J2318" i="2"/>
  <c r="I2318" i="2"/>
  <c r="H2318" i="2"/>
  <c r="G2318" i="2"/>
  <c r="F2318" i="2"/>
  <c r="C2318" i="2"/>
  <c r="B2318" i="2"/>
  <c r="A2318" i="2"/>
  <c r="O2317" i="2"/>
  <c r="N2317" i="2"/>
  <c r="M2317" i="2"/>
  <c r="L2317" i="2"/>
  <c r="K2317" i="2"/>
  <c r="J2317" i="2"/>
  <c r="I2317" i="2"/>
  <c r="H2317" i="2"/>
  <c r="G2317" i="2"/>
  <c r="F2317" i="2"/>
  <c r="C2317" i="2"/>
  <c r="B2317" i="2"/>
  <c r="A2317" i="2"/>
  <c r="O2316" i="2"/>
  <c r="N2316" i="2"/>
  <c r="M2316" i="2"/>
  <c r="L2316" i="2"/>
  <c r="K2316" i="2"/>
  <c r="J2316" i="2"/>
  <c r="I2316" i="2"/>
  <c r="H2316" i="2"/>
  <c r="G2316" i="2"/>
  <c r="F2316" i="2"/>
  <c r="C2316" i="2"/>
  <c r="B2316" i="2"/>
  <c r="A2316" i="2"/>
  <c r="O2315" i="2"/>
  <c r="N2315" i="2"/>
  <c r="M2315" i="2"/>
  <c r="L2315" i="2"/>
  <c r="K2315" i="2"/>
  <c r="J2315" i="2"/>
  <c r="I2315" i="2"/>
  <c r="H2315" i="2"/>
  <c r="G2315" i="2"/>
  <c r="F2315" i="2"/>
  <c r="C2315" i="2"/>
  <c r="B2315" i="2"/>
  <c r="A2315" i="2"/>
  <c r="O2314" i="2"/>
  <c r="N2314" i="2"/>
  <c r="M2314" i="2"/>
  <c r="L2314" i="2"/>
  <c r="K2314" i="2"/>
  <c r="J2314" i="2"/>
  <c r="I2314" i="2"/>
  <c r="H2314" i="2"/>
  <c r="G2314" i="2"/>
  <c r="F2314" i="2"/>
  <c r="C2314" i="2"/>
  <c r="B2314" i="2"/>
  <c r="A2314" i="2"/>
  <c r="O2313" i="2"/>
  <c r="N2313" i="2"/>
  <c r="M2313" i="2"/>
  <c r="L2313" i="2"/>
  <c r="K2313" i="2"/>
  <c r="J2313" i="2"/>
  <c r="I2313" i="2"/>
  <c r="H2313" i="2"/>
  <c r="G2313" i="2"/>
  <c r="F2313" i="2"/>
  <c r="C2313" i="2"/>
  <c r="B2313" i="2"/>
  <c r="A2313" i="2"/>
  <c r="O2312" i="2"/>
  <c r="N2312" i="2"/>
  <c r="M2312" i="2"/>
  <c r="L2312" i="2"/>
  <c r="K2312" i="2"/>
  <c r="J2312" i="2"/>
  <c r="I2312" i="2"/>
  <c r="H2312" i="2"/>
  <c r="G2312" i="2"/>
  <c r="F2312" i="2"/>
  <c r="C2312" i="2"/>
  <c r="B2312" i="2"/>
  <c r="A2312" i="2"/>
  <c r="O2311" i="2"/>
  <c r="N2311" i="2"/>
  <c r="M2311" i="2"/>
  <c r="L2311" i="2"/>
  <c r="K2311" i="2"/>
  <c r="J2311" i="2"/>
  <c r="I2311" i="2"/>
  <c r="H2311" i="2"/>
  <c r="G2311" i="2"/>
  <c r="F2311" i="2"/>
  <c r="C2311" i="2"/>
  <c r="B2311" i="2"/>
  <c r="A2311" i="2"/>
  <c r="O2310" i="2"/>
  <c r="N2310" i="2"/>
  <c r="M2310" i="2"/>
  <c r="L2310" i="2"/>
  <c r="K2310" i="2"/>
  <c r="J2310" i="2"/>
  <c r="I2310" i="2"/>
  <c r="H2310" i="2"/>
  <c r="G2310" i="2"/>
  <c r="F2310" i="2"/>
  <c r="C2310" i="2"/>
  <c r="B2310" i="2"/>
  <c r="A2310" i="2"/>
  <c r="O2309" i="2"/>
  <c r="N2309" i="2"/>
  <c r="M2309" i="2"/>
  <c r="L2309" i="2"/>
  <c r="K2309" i="2"/>
  <c r="J2309" i="2"/>
  <c r="I2309" i="2"/>
  <c r="H2309" i="2"/>
  <c r="G2309" i="2"/>
  <c r="F2309" i="2"/>
  <c r="C2309" i="2"/>
  <c r="B2309" i="2"/>
  <c r="A2309" i="2"/>
  <c r="O2308" i="2"/>
  <c r="N2308" i="2"/>
  <c r="M2308" i="2"/>
  <c r="L2308" i="2"/>
  <c r="K2308" i="2"/>
  <c r="J2308" i="2"/>
  <c r="I2308" i="2"/>
  <c r="H2308" i="2"/>
  <c r="G2308" i="2"/>
  <c r="F2308" i="2"/>
  <c r="C2308" i="2"/>
  <c r="B2308" i="2"/>
  <c r="A2308" i="2"/>
  <c r="O2307" i="2"/>
  <c r="N2307" i="2"/>
  <c r="M2307" i="2"/>
  <c r="L2307" i="2"/>
  <c r="K2307" i="2"/>
  <c r="J2307" i="2"/>
  <c r="I2307" i="2"/>
  <c r="H2307" i="2"/>
  <c r="G2307" i="2"/>
  <c r="F2307" i="2"/>
  <c r="C2307" i="2"/>
  <c r="B2307" i="2"/>
  <c r="A2307" i="2"/>
  <c r="O2306" i="2"/>
  <c r="N2306" i="2"/>
  <c r="M2306" i="2"/>
  <c r="L2306" i="2"/>
  <c r="K2306" i="2"/>
  <c r="J2306" i="2"/>
  <c r="I2306" i="2"/>
  <c r="H2306" i="2"/>
  <c r="G2306" i="2"/>
  <c r="F2306" i="2"/>
  <c r="C2306" i="2"/>
  <c r="B2306" i="2"/>
  <c r="A2306" i="2"/>
  <c r="O2305" i="2"/>
  <c r="N2305" i="2"/>
  <c r="M2305" i="2"/>
  <c r="L2305" i="2"/>
  <c r="K2305" i="2"/>
  <c r="J2305" i="2"/>
  <c r="I2305" i="2"/>
  <c r="H2305" i="2"/>
  <c r="G2305" i="2"/>
  <c r="F2305" i="2"/>
  <c r="C2305" i="2"/>
  <c r="B2305" i="2"/>
  <c r="A2305" i="2"/>
  <c r="O2304" i="2"/>
  <c r="N2304" i="2"/>
  <c r="M2304" i="2"/>
  <c r="L2304" i="2"/>
  <c r="K2304" i="2"/>
  <c r="J2304" i="2"/>
  <c r="I2304" i="2"/>
  <c r="H2304" i="2"/>
  <c r="G2304" i="2"/>
  <c r="F2304" i="2"/>
  <c r="C2304" i="2"/>
  <c r="B2304" i="2"/>
  <c r="A2304" i="2"/>
  <c r="O2303" i="2"/>
  <c r="N2303" i="2"/>
  <c r="M2303" i="2"/>
  <c r="L2303" i="2"/>
  <c r="K2303" i="2"/>
  <c r="J2303" i="2"/>
  <c r="I2303" i="2"/>
  <c r="H2303" i="2"/>
  <c r="G2303" i="2"/>
  <c r="F2303" i="2"/>
  <c r="C2303" i="2"/>
  <c r="B2303" i="2"/>
  <c r="A2303" i="2"/>
  <c r="O2302" i="2"/>
  <c r="N2302" i="2"/>
  <c r="M2302" i="2"/>
  <c r="L2302" i="2"/>
  <c r="K2302" i="2"/>
  <c r="J2302" i="2"/>
  <c r="I2302" i="2"/>
  <c r="H2302" i="2"/>
  <c r="G2302" i="2"/>
  <c r="F2302" i="2"/>
  <c r="C2302" i="2"/>
  <c r="B2302" i="2"/>
  <c r="A2302" i="2"/>
  <c r="O2301" i="2"/>
  <c r="N2301" i="2"/>
  <c r="M2301" i="2"/>
  <c r="L2301" i="2"/>
  <c r="K2301" i="2"/>
  <c r="J2301" i="2"/>
  <c r="I2301" i="2"/>
  <c r="H2301" i="2"/>
  <c r="G2301" i="2"/>
  <c r="F2301" i="2"/>
  <c r="C2301" i="2"/>
  <c r="B2301" i="2"/>
  <c r="A2301" i="2"/>
  <c r="O2300" i="2"/>
  <c r="N2300" i="2"/>
  <c r="M2300" i="2"/>
  <c r="L2300" i="2"/>
  <c r="K2300" i="2"/>
  <c r="J2300" i="2"/>
  <c r="I2300" i="2"/>
  <c r="H2300" i="2"/>
  <c r="G2300" i="2"/>
  <c r="F2300" i="2"/>
  <c r="C2300" i="2"/>
  <c r="B2300" i="2"/>
  <c r="A2300" i="2"/>
  <c r="O2299" i="2"/>
  <c r="N2299" i="2"/>
  <c r="M2299" i="2"/>
  <c r="L2299" i="2"/>
  <c r="K2299" i="2"/>
  <c r="J2299" i="2"/>
  <c r="I2299" i="2"/>
  <c r="H2299" i="2"/>
  <c r="G2299" i="2"/>
  <c r="F2299" i="2"/>
  <c r="C2299" i="2"/>
  <c r="B2299" i="2"/>
  <c r="A2299" i="2"/>
  <c r="O2298" i="2"/>
  <c r="N2298" i="2"/>
  <c r="M2298" i="2"/>
  <c r="L2298" i="2"/>
  <c r="K2298" i="2"/>
  <c r="J2298" i="2"/>
  <c r="I2298" i="2"/>
  <c r="H2298" i="2"/>
  <c r="G2298" i="2"/>
  <c r="F2298" i="2"/>
  <c r="C2298" i="2"/>
  <c r="B2298" i="2"/>
  <c r="A2298" i="2"/>
  <c r="O2297" i="2"/>
  <c r="N2297" i="2"/>
  <c r="M2297" i="2"/>
  <c r="L2297" i="2"/>
  <c r="K2297" i="2"/>
  <c r="J2297" i="2"/>
  <c r="I2297" i="2"/>
  <c r="H2297" i="2"/>
  <c r="G2297" i="2"/>
  <c r="F2297" i="2"/>
  <c r="C2297" i="2"/>
  <c r="B2297" i="2"/>
  <c r="A2297" i="2"/>
  <c r="O2296" i="2"/>
  <c r="N2296" i="2"/>
  <c r="M2296" i="2"/>
  <c r="L2296" i="2"/>
  <c r="K2296" i="2"/>
  <c r="J2296" i="2"/>
  <c r="I2296" i="2"/>
  <c r="H2296" i="2"/>
  <c r="G2296" i="2"/>
  <c r="F2296" i="2"/>
  <c r="C2296" i="2"/>
  <c r="B2296" i="2"/>
  <c r="A2296" i="2"/>
  <c r="O2295" i="2"/>
  <c r="N2295" i="2"/>
  <c r="M2295" i="2"/>
  <c r="L2295" i="2"/>
  <c r="K2295" i="2"/>
  <c r="J2295" i="2"/>
  <c r="I2295" i="2"/>
  <c r="H2295" i="2"/>
  <c r="G2295" i="2"/>
  <c r="F2295" i="2"/>
  <c r="C2295" i="2"/>
  <c r="B2295" i="2"/>
  <c r="A2295" i="2"/>
  <c r="O2294" i="2"/>
  <c r="N2294" i="2"/>
  <c r="M2294" i="2"/>
  <c r="L2294" i="2"/>
  <c r="K2294" i="2"/>
  <c r="J2294" i="2"/>
  <c r="I2294" i="2"/>
  <c r="H2294" i="2"/>
  <c r="G2294" i="2"/>
  <c r="F2294" i="2"/>
  <c r="C2294" i="2"/>
  <c r="B2294" i="2"/>
  <c r="A2294" i="2"/>
  <c r="O2293" i="2"/>
  <c r="N2293" i="2"/>
  <c r="M2293" i="2"/>
  <c r="L2293" i="2"/>
  <c r="K2293" i="2"/>
  <c r="J2293" i="2"/>
  <c r="I2293" i="2"/>
  <c r="H2293" i="2"/>
  <c r="G2293" i="2"/>
  <c r="F2293" i="2"/>
  <c r="C2293" i="2"/>
  <c r="B2293" i="2"/>
  <c r="A2293" i="2"/>
  <c r="O2292" i="2"/>
  <c r="N2292" i="2"/>
  <c r="M2292" i="2"/>
  <c r="L2292" i="2"/>
  <c r="K2292" i="2"/>
  <c r="J2292" i="2"/>
  <c r="I2292" i="2"/>
  <c r="H2292" i="2"/>
  <c r="G2292" i="2"/>
  <c r="F2292" i="2"/>
  <c r="C2292" i="2"/>
  <c r="B2292" i="2"/>
  <c r="A2292" i="2"/>
  <c r="O2291" i="2"/>
  <c r="N2291" i="2"/>
  <c r="M2291" i="2"/>
  <c r="L2291" i="2"/>
  <c r="K2291" i="2"/>
  <c r="J2291" i="2"/>
  <c r="I2291" i="2"/>
  <c r="H2291" i="2"/>
  <c r="G2291" i="2"/>
  <c r="F2291" i="2"/>
  <c r="C2291" i="2"/>
  <c r="B2291" i="2"/>
  <c r="A2291" i="2"/>
  <c r="O2290" i="2"/>
  <c r="N2290" i="2"/>
  <c r="M2290" i="2"/>
  <c r="L2290" i="2"/>
  <c r="K2290" i="2"/>
  <c r="J2290" i="2"/>
  <c r="I2290" i="2"/>
  <c r="H2290" i="2"/>
  <c r="G2290" i="2"/>
  <c r="F2290" i="2"/>
  <c r="C2290" i="2"/>
  <c r="B2290" i="2"/>
  <c r="A2290" i="2"/>
  <c r="O2289" i="2"/>
  <c r="N2289" i="2"/>
  <c r="M2289" i="2"/>
  <c r="L2289" i="2"/>
  <c r="K2289" i="2"/>
  <c r="J2289" i="2"/>
  <c r="I2289" i="2"/>
  <c r="H2289" i="2"/>
  <c r="G2289" i="2"/>
  <c r="F2289" i="2"/>
  <c r="C2289" i="2"/>
  <c r="B2289" i="2"/>
  <c r="A2289" i="2"/>
  <c r="O2288" i="2"/>
  <c r="N2288" i="2"/>
  <c r="M2288" i="2"/>
  <c r="L2288" i="2"/>
  <c r="K2288" i="2"/>
  <c r="J2288" i="2"/>
  <c r="I2288" i="2"/>
  <c r="H2288" i="2"/>
  <c r="G2288" i="2"/>
  <c r="F2288" i="2"/>
  <c r="C2288" i="2"/>
  <c r="B2288" i="2"/>
  <c r="A2288" i="2"/>
  <c r="O2287" i="2"/>
  <c r="N2287" i="2"/>
  <c r="M2287" i="2"/>
  <c r="L2287" i="2"/>
  <c r="K2287" i="2"/>
  <c r="J2287" i="2"/>
  <c r="I2287" i="2"/>
  <c r="H2287" i="2"/>
  <c r="G2287" i="2"/>
  <c r="F2287" i="2"/>
  <c r="C2287" i="2"/>
  <c r="B2287" i="2"/>
  <c r="A2287" i="2"/>
  <c r="O2286" i="2"/>
  <c r="N2286" i="2"/>
  <c r="M2286" i="2"/>
  <c r="L2286" i="2"/>
  <c r="K2286" i="2"/>
  <c r="J2286" i="2"/>
  <c r="I2286" i="2"/>
  <c r="H2286" i="2"/>
  <c r="G2286" i="2"/>
  <c r="F2286" i="2"/>
  <c r="C2286" i="2"/>
  <c r="B2286" i="2"/>
  <c r="A2286" i="2"/>
  <c r="O2285" i="2"/>
  <c r="N2285" i="2"/>
  <c r="M2285" i="2"/>
  <c r="L2285" i="2"/>
  <c r="K2285" i="2"/>
  <c r="J2285" i="2"/>
  <c r="I2285" i="2"/>
  <c r="H2285" i="2"/>
  <c r="G2285" i="2"/>
  <c r="F2285" i="2"/>
  <c r="C2285" i="2"/>
  <c r="B2285" i="2"/>
  <c r="A2285" i="2"/>
  <c r="O2284" i="2"/>
  <c r="N2284" i="2"/>
  <c r="M2284" i="2"/>
  <c r="L2284" i="2"/>
  <c r="K2284" i="2"/>
  <c r="J2284" i="2"/>
  <c r="I2284" i="2"/>
  <c r="H2284" i="2"/>
  <c r="G2284" i="2"/>
  <c r="F2284" i="2"/>
  <c r="C2284" i="2"/>
  <c r="B2284" i="2"/>
  <c r="A2284" i="2"/>
  <c r="O2283" i="2"/>
  <c r="N2283" i="2"/>
  <c r="M2283" i="2"/>
  <c r="L2283" i="2"/>
  <c r="K2283" i="2"/>
  <c r="J2283" i="2"/>
  <c r="I2283" i="2"/>
  <c r="H2283" i="2"/>
  <c r="G2283" i="2"/>
  <c r="F2283" i="2"/>
  <c r="C2283" i="2"/>
  <c r="B2283" i="2"/>
  <c r="A2283" i="2"/>
  <c r="O2282" i="2"/>
  <c r="N2282" i="2"/>
  <c r="M2282" i="2"/>
  <c r="L2282" i="2"/>
  <c r="K2282" i="2"/>
  <c r="J2282" i="2"/>
  <c r="I2282" i="2"/>
  <c r="H2282" i="2"/>
  <c r="G2282" i="2"/>
  <c r="F2282" i="2"/>
  <c r="C2282" i="2"/>
  <c r="B2282" i="2"/>
  <c r="A2282" i="2"/>
  <c r="O2281" i="2"/>
  <c r="N2281" i="2"/>
  <c r="M2281" i="2"/>
  <c r="L2281" i="2"/>
  <c r="K2281" i="2"/>
  <c r="J2281" i="2"/>
  <c r="I2281" i="2"/>
  <c r="H2281" i="2"/>
  <c r="G2281" i="2"/>
  <c r="F2281" i="2"/>
  <c r="C2281" i="2"/>
  <c r="B2281" i="2"/>
  <c r="A2281" i="2"/>
  <c r="O2280" i="2"/>
  <c r="N2280" i="2"/>
  <c r="M2280" i="2"/>
  <c r="L2280" i="2"/>
  <c r="K2280" i="2"/>
  <c r="J2280" i="2"/>
  <c r="I2280" i="2"/>
  <c r="H2280" i="2"/>
  <c r="G2280" i="2"/>
  <c r="F2280" i="2"/>
  <c r="C2280" i="2"/>
  <c r="B2280" i="2"/>
  <c r="A2280" i="2"/>
  <c r="O2279" i="2"/>
  <c r="N2279" i="2"/>
  <c r="M2279" i="2"/>
  <c r="L2279" i="2"/>
  <c r="K2279" i="2"/>
  <c r="J2279" i="2"/>
  <c r="I2279" i="2"/>
  <c r="H2279" i="2"/>
  <c r="G2279" i="2"/>
  <c r="F2279" i="2"/>
  <c r="C2279" i="2"/>
  <c r="B2279" i="2"/>
  <c r="A2279" i="2"/>
  <c r="O2278" i="2"/>
  <c r="N2278" i="2"/>
  <c r="M2278" i="2"/>
  <c r="L2278" i="2"/>
  <c r="K2278" i="2"/>
  <c r="J2278" i="2"/>
  <c r="I2278" i="2"/>
  <c r="H2278" i="2"/>
  <c r="G2278" i="2"/>
  <c r="F2278" i="2"/>
  <c r="C2278" i="2"/>
  <c r="B2278" i="2"/>
  <c r="A2278" i="2"/>
  <c r="O2277" i="2"/>
  <c r="N2277" i="2"/>
  <c r="M2277" i="2"/>
  <c r="L2277" i="2"/>
  <c r="K2277" i="2"/>
  <c r="J2277" i="2"/>
  <c r="I2277" i="2"/>
  <c r="H2277" i="2"/>
  <c r="G2277" i="2"/>
  <c r="F2277" i="2"/>
  <c r="C2277" i="2"/>
  <c r="B2277" i="2"/>
  <c r="A2277" i="2"/>
  <c r="O2276" i="2"/>
  <c r="N2276" i="2"/>
  <c r="M2276" i="2"/>
  <c r="L2276" i="2"/>
  <c r="K2276" i="2"/>
  <c r="J2276" i="2"/>
  <c r="I2276" i="2"/>
  <c r="H2276" i="2"/>
  <c r="G2276" i="2"/>
  <c r="F2276" i="2"/>
  <c r="C2276" i="2"/>
  <c r="B2276" i="2"/>
  <c r="A2276" i="2"/>
  <c r="O2275" i="2"/>
  <c r="N2275" i="2"/>
  <c r="M2275" i="2"/>
  <c r="L2275" i="2"/>
  <c r="K2275" i="2"/>
  <c r="J2275" i="2"/>
  <c r="I2275" i="2"/>
  <c r="H2275" i="2"/>
  <c r="G2275" i="2"/>
  <c r="F2275" i="2"/>
  <c r="C2275" i="2"/>
  <c r="B2275" i="2"/>
  <c r="A2275" i="2"/>
  <c r="O2274" i="2"/>
  <c r="N2274" i="2"/>
  <c r="M2274" i="2"/>
  <c r="L2274" i="2"/>
  <c r="K2274" i="2"/>
  <c r="J2274" i="2"/>
  <c r="I2274" i="2"/>
  <c r="H2274" i="2"/>
  <c r="G2274" i="2"/>
  <c r="F2274" i="2"/>
  <c r="C2274" i="2"/>
  <c r="B2274" i="2"/>
  <c r="A2274" i="2"/>
  <c r="O2273" i="2"/>
  <c r="N2273" i="2"/>
  <c r="M2273" i="2"/>
  <c r="L2273" i="2"/>
  <c r="K2273" i="2"/>
  <c r="J2273" i="2"/>
  <c r="I2273" i="2"/>
  <c r="H2273" i="2"/>
  <c r="G2273" i="2"/>
  <c r="F2273" i="2"/>
  <c r="C2273" i="2"/>
  <c r="B2273" i="2"/>
  <c r="A2273" i="2"/>
  <c r="O2272" i="2"/>
  <c r="N2272" i="2"/>
  <c r="M2272" i="2"/>
  <c r="L2272" i="2"/>
  <c r="K2272" i="2"/>
  <c r="J2272" i="2"/>
  <c r="I2272" i="2"/>
  <c r="H2272" i="2"/>
  <c r="G2272" i="2"/>
  <c r="F2272" i="2"/>
  <c r="C2272" i="2"/>
  <c r="B2272" i="2"/>
  <c r="A2272" i="2"/>
  <c r="O2271" i="2"/>
  <c r="N2271" i="2"/>
  <c r="M2271" i="2"/>
  <c r="L2271" i="2"/>
  <c r="K2271" i="2"/>
  <c r="J2271" i="2"/>
  <c r="I2271" i="2"/>
  <c r="H2271" i="2"/>
  <c r="G2271" i="2"/>
  <c r="F2271" i="2"/>
  <c r="C2271" i="2"/>
  <c r="B2271" i="2"/>
  <c r="A2271" i="2"/>
  <c r="O2270" i="2"/>
  <c r="N2270" i="2"/>
  <c r="M2270" i="2"/>
  <c r="L2270" i="2"/>
  <c r="K2270" i="2"/>
  <c r="J2270" i="2"/>
  <c r="I2270" i="2"/>
  <c r="H2270" i="2"/>
  <c r="G2270" i="2"/>
  <c r="F2270" i="2"/>
  <c r="C2270" i="2"/>
  <c r="B2270" i="2"/>
  <c r="A2270" i="2"/>
  <c r="O2269" i="2"/>
  <c r="N2269" i="2"/>
  <c r="M2269" i="2"/>
  <c r="L2269" i="2"/>
  <c r="K2269" i="2"/>
  <c r="J2269" i="2"/>
  <c r="I2269" i="2"/>
  <c r="H2269" i="2"/>
  <c r="G2269" i="2"/>
  <c r="F2269" i="2"/>
  <c r="C2269" i="2"/>
  <c r="B2269" i="2"/>
  <c r="A2269" i="2"/>
  <c r="O2268" i="2"/>
  <c r="N2268" i="2"/>
  <c r="M2268" i="2"/>
  <c r="L2268" i="2"/>
  <c r="K2268" i="2"/>
  <c r="J2268" i="2"/>
  <c r="I2268" i="2"/>
  <c r="H2268" i="2"/>
  <c r="G2268" i="2"/>
  <c r="F2268" i="2"/>
  <c r="C2268" i="2"/>
  <c r="B2268" i="2"/>
  <c r="A2268" i="2"/>
  <c r="O2267" i="2"/>
  <c r="N2267" i="2"/>
  <c r="M2267" i="2"/>
  <c r="L2267" i="2"/>
  <c r="K2267" i="2"/>
  <c r="J2267" i="2"/>
  <c r="I2267" i="2"/>
  <c r="H2267" i="2"/>
  <c r="G2267" i="2"/>
  <c r="F2267" i="2"/>
  <c r="C2267" i="2"/>
  <c r="B2267" i="2"/>
  <c r="A2267" i="2"/>
  <c r="O2266" i="2"/>
  <c r="N2266" i="2"/>
  <c r="M2266" i="2"/>
  <c r="L2266" i="2"/>
  <c r="K2266" i="2"/>
  <c r="J2266" i="2"/>
  <c r="I2266" i="2"/>
  <c r="H2266" i="2"/>
  <c r="G2266" i="2"/>
  <c r="F2266" i="2"/>
  <c r="C2266" i="2"/>
  <c r="B2266" i="2"/>
  <c r="A2266" i="2"/>
  <c r="O2265" i="2"/>
  <c r="N2265" i="2"/>
  <c r="M2265" i="2"/>
  <c r="L2265" i="2"/>
  <c r="K2265" i="2"/>
  <c r="J2265" i="2"/>
  <c r="I2265" i="2"/>
  <c r="H2265" i="2"/>
  <c r="G2265" i="2"/>
  <c r="F2265" i="2"/>
  <c r="C2265" i="2"/>
  <c r="B2265" i="2"/>
  <c r="A2265" i="2"/>
  <c r="O2264" i="2"/>
  <c r="N2264" i="2"/>
  <c r="M2264" i="2"/>
  <c r="L2264" i="2"/>
  <c r="K2264" i="2"/>
  <c r="J2264" i="2"/>
  <c r="I2264" i="2"/>
  <c r="H2264" i="2"/>
  <c r="G2264" i="2"/>
  <c r="F2264" i="2"/>
  <c r="C2264" i="2"/>
  <c r="B2264" i="2"/>
  <c r="A2264" i="2"/>
  <c r="O2263" i="2"/>
  <c r="N2263" i="2"/>
  <c r="M2263" i="2"/>
  <c r="L2263" i="2"/>
  <c r="K2263" i="2"/>
  <c r="J2263" i="2"/>
  <c r="I2263" i="2"/>
  <c r="H2263" i="2"/>
  <c r="G2263" i="2"/>
  <c r="F2263" i="2"/>
  <c r="C2263" i="2"/>
  <c r="B2263" i="2"/>
  <c r="A2263" i="2"/>
  <c r="O2262" i="2"/>
  <c r="N2262" i="2"/>
  <c r="M2262" i="2"/>
  <c r="L2262" i="2"/>
  <c r="K2262" i="2"/>
  <c r="J2262" i="2"/>
  <c r="I2262" i="2"/>
  <c r="H2262" i="2"/>
  <c r="G2262" i="2"/>
  <c r="F2262" i="2"/>
  <c r="C2262" i="2"/>
  <c r="B2262" i="2"/>
  <c r="A2262" i="2"/>
  <c r="O2261" i="2"/>
  <c r="N2261" i="2"/>
  <c r="M2261" i="2"/>
  <c r="L2261" i="2"/>
  <c r="K2261" i="2"/>
  <c r="J2261" i="2"/>
  <c r="I2261" i="2"/>
  <c r="H2261" i="2"/>
  <c r="G2261" i="2"/>
  <c r="F2261" i="2"/>
  <c r="C2261" i="2"/>
  <c r="B2261" i="2"/>
  <c r="A2261" i="2"/>
  <c r="O2260" i="2"/>
  <c r="N2260" i="2"/>
  <c r="M2260" i="2"/>
  <c r="L2260" i="2"/>
  <c r="K2260" i="2"/>
  <c r="J2260" i="2"/>
  <c r="I2260" i="2"/>
  <c r="H2260" i="2"/>
  <c r="G2260" i="2"/>
  <c r="F2260" i="2"/>
  <c r="C2260" i="2"/>
  <c r="B2260" i="2"/>
  <c r="A2260" i="2"/>
  <c r="O2259" i="2"/>
  <c r="N2259" i="2"/>
  <c r="M2259" i="2"/>
  <c r="L2259" i="2"/>
  <c r="K2259" i="2"/>
  <c r="J2259" i="2"/>
  <c r="I2259" i="2"/>
  <c r="H2259" i="2"/>
  <c r="G2259" i="2"/>
  <c r="F2259" i="2"/>
  <c r="C2259" i="2"/>
  <c r="B2259" i="2"/>
  <c r="A2259" i="2"/>
  <c r="O2258" i="2"/>
  <c r="N2258" i="2"/>
  <c r="M2258" i="2"/>
  <c r="L2258" i="2"/>
  <c r="K2258" i="2"/>
  <c r="J2258" i="2"/>
  <c r="I2258" i="2"/>
  <c r="H2258" i="2"/>
  <c r="G2258" i="2"/>
  <c r="F2258" i="2"/>
  <c r="C2258" i="2"/>
  <c r="B2258" i="2"/>
  <c r="A2258" i="2"/>
  <c r="O2257" i="2"/>
  <c r="N2257" i="2"/>
  <c r="M2257" i="2"/>
  <c r="L2257" i="2"/>
  <c r="K2257" i="2"/>
  <c r="J2257" i="2"/>
  <c r="I2257" i="2"/>
  <c r="H2257" i="2"/>
  <c r="G2257" i="2"/>
  <c r="F2257" i="2"/>
  <c r="C2257" i="2"/>
  <c r="B2257" i="2"/>
  <c r="A2257" i="2"/>
  <c r="O2256" i="2"/>
  <c r="N2256" i="2"/>
  <c r="M2256" i="2"/>
  <c r="L2256" i="2"/>
  <c r="K2256" i="2"/>
  <c r="J2256" i="2"/>
  <c r="I2256" i="2"/>
  <c r="H2256" i="2"/>
  <c r="G2256" i="2"/>
  <c r="F2256" i="2"/>
  <c r="C2256" i="2"/>
  <c r="B2256" i="2"/>
  <c r="A2256" i="2"/>
  <c r="O2255" i="2"/>
  <c r="N2255" i="2"/>
  <c r="M2255" i="2"/>
  <c r="L2255" i="2"/>
  <c r="K2255" i="2"/>
  <c r="J2255" i="2"/>
  <c r="I2255" i="2"/>
  <c r="H2255" i="2"/>
  <c r="G2255" i="2"/>
  <c r="F2255" i="2"/>
  <c r="C2255" i="2"/>
  <c r="B2255" i="2"/>
  <c r="A2255" i="2"/>
  <c r="O2254" i="2"/>
  <c r="N2254" i="2"/>
  <c r="M2254" i="2"/>
  <c r="L2254" i="2"/>
  <c r="K2254" i="2"/>
  <c r="J2254" i="2"/>
  <c r="I2254" i="2"/>
  <c r="H2254" i="2"/>
  <c r="G2254" i="2"/>
  <c r="F2254" i="2"/>
  <c r="C2254" i="2"/>
  <c r="B2254" i="2"/>
  <c r="A2254" i="2"/>
  <c r="O2253" i="2"/>
  <c r="N2253" i="2"/>
  <c r="M2253" i="2"/>
  <c r="L2253" i="2"/>
  <c r="K2253" i="2"/>
  <c r="J2253" i="2"/>
  <c r="I2253" i="2"/>
  <c r="H2253" i="2"/>
  <c r="G2253" i="2"/>
  <c r="F2253" i="2"/>
  <c r="C2253" i="2"/>
  <c r="B2253" i="2"/>
  <c r="A2253" i="2"/>
  <c r="O2252" i="2"/>
  <c r="N2252" i="2"/>
  <c r="M2252" i="2"/>
  <c r="L2252" i="2"/>
  <c r="K2252" i="2"/>
  <c r="J2252" i="2"/>
  <c r="I2252" i="2"/>
  <c r="H2252" i="2"/>
  <c r="G2252" i="2"/>
  <c r="F2252" i="2"/>
  <c r="C2252" i="2"/>
  <c r="B2252" i="2"/>
  <c r="A2252" i="2"/>
  <c r="O2251" i="2"/>
  <c r="N2251" i="2"/>
  <c r="M2251" i="2"/>
  <c r="L2251" i="2"/>
  <c r="K2251" i="2"/>
  <c r="J2251" i="2"/>
  <c r="I2251" i="2"/>
  <c r="H2251" i="2"/>
  <c r="G2251" i="2"/>
  <c r="F2251" i="2"/>
  <c r="C2251" i="2"/>
  <c r="B2251" i="2"/>
  <c r="A2251" i="2"/>
  <c r="O2250" i="2"/>
  <c r="N2250" i="2"/>
  <c r="M2250" i="2"/>
  <c r="L2250" i="2"/>
  <c r="K2250" i="2"/>
  <c r="J2250" i="2"/>
  <c r="I2250" i="2"/>
  <c r="H2250" i="2"/>
  <c r="G2250" i="2"/>
  <c r="F2250" i="2"/>
  <c r="C2250" i="2"/>
  <c r="B2250" i="2"/>
  <c r="A2250" i="2"/>
  <c r="O2249" i="2"/>
  <c r="N2249" i="2"/>
  <c r="M2249" i="2"/>
  <c r="L2249" i="2"/>
  <c r="K2249" i="2"/>
  <c r="J2249" i="2"/>
  <c r="I2249" i="2"/>
  <c r="H2249" i="2"/>
  <c r="G2249" i="2"/>
  <c r="F2249" i="2"/>
  <c r="C2249" i="2"/>
  <c r="B2249" i="2"/>
  <c r="A2249" i="2"/>
  <c r="O2248" i="2"/>
  <c r="N2248" i="2"/>
  <c r="M2248" i="2"/>
  <c r="L2248" i="2"/>
  <c r="K2248" i="2"/>
  <c r="J2248" i="2"/>
  <c r="I2248" i="2"/>
  <c r="H2248" i="2"/>
  <c r="G2248" i="2"/>
  <c r="F2248" i="2"/>
  <c r="C2248" i="2"/>
  <c r="B2248" i="2"/>
  <c r="A2248" i="2"/>
  <c r="O2247" i="2"/>
  <c r="N2247" i="2"/>
  <c r="M2247" i="2"/>
  <c r="L2247" i="2"/>
  <c r="K2247" i="2"/>
  <c r="J2247" i="2"/>
  <c r="I2247" i="2"/>
  <c r="H2247" i="2"/>
  <c r="G2247" i="2"/>
  <c r="F2247" i="2"/>
  <c r="C2247" i="2"/>
  <c r="B2247" i="2"/>
  <c r="A2247" i="2"/>
  <c r="O2246" i="2"/>
  <c r="N2246" i="2"/>
  <c r="M2246" i="2"/>
  <c r="L2246" i="2"/>
  <c r="K2246" i="2"/>
  <c r="J2246" i="2"/>
  <c r="I2246" i="2"/>
  <c r="H2246" i="2"/>
  <c r="G2246" i="2"/>
  <c r="F2246" i="2"/>
  <c r="C2246" i="2"/>
  <c r="B2246" i="2"/>
  <c r="A2246" i="2"/>
  <c r="O2245" i="2"/>
  <c r="N2245" i="2"/>
  <c r="M2245" i="2"/>
  <c r="L2245" i="2"/>
  <c r="K2245" i="2"/>
  <c r="J2245" i="2"/>
  <c r="I2245" i="2"/>
  <c r="H2245" i="2"/>
  <c r="G2245" i="2"/>
  <c r="F2245" i="2"/>
  <c r="C2245" i="2"/>
  <c r="B2245" i="2"/>
  <c r="A2245" i="2"/>
  <c r="O2244" i="2"/>
  <c r="N2244" i="2"/>
  <c r="M2244" i="2"/>
  <c r="L2244" i="2"/>
  <c r="K2244" i="2"/>
  <c r="J2244" i="2"/>
  <c r="I2244" i="2"/>
  <c r="H2244" i="2"/>
  <c r="G2244" i="2"/>
  <c r="F2244" i="2"/>
  <c r="C2244" i="2"/>
  <c r="B2244" i="2"/>
  <c r="A2244" i="2"/>
  <c r="O2243" i="2"/>
  <c r="N2243" i="2"/>
  <c r="M2243" i="2"/>
  <c r="L2243" i="2"/>
  <c r="K2243" i="2"/>
  <c r="J2243" i="2"/>
  <c r="I2243" i="2"/>
  <c r="H2243" i="2"/>
  <c r="G2243" i="2"/>
  <c r="F2243" i="2"/>
  <c r="C2243" i="2"/>
  <c r="B2243" i="2"/>
  <c r="A2243" i="2"/>
  <c r="O2242" i="2"/>
  <c r="N2242" i="2"/>
  <c r="M2242" i="2"/>
  <c r="L2242" i="2"/>
  <c r="K2242" i="2"/>
  <c r="J2242" i="2"/>
  <c r="I2242" i="2"/>
  <c r="H2242" i="2"/>
  <c r="G2242" i="2"/>
  <c r="F2242" i="2"/>
  <c r="C2242" i="2"/>
  <c r="B2242" i="2"/>
  <c r="A2242" i="2"/>
  <c r="O2241" i="2"/>
  <c r="N2241" i="2"/>
  <c r="M2241" i="2"/>
  <c r="L2241" i="2"/>
  <c r="K2241" i="2"/>
  <c r="J2241" i="2"/>
  <c r="I2241" i="2"/>
  <c r="H2241" i="2"/>
  <c r="G2241" i="2"/>
  <c r="F2241" i="2"/>
  <c r="C2241" i="2"/>
  <c r="B2241" i="2"/>
  <c r="A2241" i="2"/>
  <c r="O2240" i="2"/>
  <c r="N2240" i="2"/>
  <c r="M2240" i="2"/>
  <c r="L2240" i="2"/>
  <c r="K2240" i="2"/>
  <c r="J2240" i="2"/>
  <c r="I2240" i="2"/>
  <c r="H2240" i="2"/>
  <c r="G2240" i="2"/>
  <c r="F2240" i="2"/>
  <c r="C2240" i="2"/>
  <c r="B2240" i="2"/>
  <c r="A2240" i="2"/>
  <c r="O2239" i="2"/>
  <c r="N2239" i="2"/>
  <c r="M2239" i="2"/>
  <c r="L2239" i="2"/>
  <c r="K2239" i="2"/>
  <c r="J2239" i="2"/>
  <c r="I2239" i="2"/>
  <c r="H2239" i="2"/>
  <c r="G2239" i="2"/>
  <c r="F2239" i="2"/>
  <c r="C2239" i="2"/>
  <c r="B2239" i="2"/>
  <c r="A2239" i="2"/>
  <c r="O2238" i="2"/>
  <c r="N2238" i="2"/>
  <c r="M2238" i="2"/>
  <c r="L2238" i="2"/>
  <c r="K2238" i="2"/>
  <c r="J2238" i="2"/>
  <c r="I2238" i="2"/>
  <c r="H2238" i="2"/>
  <c r="G2238" i="2"/>
  <c r="F2238" i="2"/>
  <c r="C2238" i="2"/>
  <c r="B2238" i="2"/>
  <c r="A2238" i="2"/>
  <c r="O2237" i="2"/>
  <c r="N2237" i="2"/>
  <c r="M2237" i="2"/>
  <c r="L2237" i="2"/>
  <c r="K2237" i="2"/>
  <c r="J2237" i="2"/>
  <c r="I2237" i="2"/>
  <c r="H2237" i="2"/>
  <c r="G2237" i="2"/>
  <c r="F2237" i="2"/>
  <c r="C2237" i="2"/>
  <c r="B2237" i="2"/>
  <c r="A2237" i="2"/>
  <c r="O2236" i="2"/>
  <c r="N2236" i="2"/>
  <c r="M2236" i="2"/>
  <c r="L2236" i="2"/>
  <c r="K2236" i="2"/>
  <c r="J2236" i="2"/>
  <c r="I2236" i="2"/>
  <c r="H2236" i="2"/>
  <c r="G2236" i="2"/>
  <c r="F2236" i="2"/>
  <c r="C2236" i="2"/>
  <c r="B2236" i="2"/>
  <c r="A2236" i="2"/>
  <c r="O2235" i="2"/>
  <c r="N2235" i="2"/>
  <c r="M2235" i="2"/>
  <c r="L2235" i="2"/>
  <c r="K2235" i="2"/>
  <c r="J2235" i="2"/>
  <c r="I2235" i="2"/>
  <c r="H2235" i="2"/>
  <c r="G2235" i="2"/>
  <c r="F2235" i="2"/>
  <c r="C2235" i="2"/>
  <c r="B2235" i="2"/>
  <c r="A2235" i="2"/>
  <c r="O2234" i="2"/>
  <c r="N2234" i="2"/>
  <c r="M2234" i="2"/>
  <c r="L2234" i="2"/>
  <c r="K2234" i="2"/>
  <c r="J2234" i="2"/>
  <c r="I2234" i="2"/>
  <c r="H2234" i="2"/>
  <c r="G2234" i="2"/>
  <c r="F2234" i="2"/>
  <c r="C2234" i="2"/>
  <c r="B2234" i="2"/>
  <c r="A2234" i="2"/>
  <c r="O2233" i="2"/>
  <c r="N2233" i="2"/>
  <c r="M2233" i="2"/>
  <c r="L2233" i="2"/>
  <c r="K2233" i="2"/>
  <c r="J2233" i="2"/>
  <c r="I2233" i="2"/>
  <c r="H2233" i="2"/>
  <c r="G2233" i="2"/>
  <c r="F2233" i="2"/>
  <c r="C2233" i="2"/>
  <c r="B2233" i="2"/>
  <c r="A2233" i="2"/>
  <c r="O2232" i="2"/>
  <c r="N2232" i="2"/>
  <c r="M2232" i="2"/>
  <c r="L2232" i="2"/>
  <c r="K2232" i="2"/>
  <c r="J2232" i="2"/>
  <c r="I2232" i="2"/>
  <c r="H2232" i="2"/>
  <c r="G2232" i="2"/>
  <c r="F2232" i="2"/>
  <c r="C2232" i="2"/>
  <c r="B2232" i="2"/>
  <c r="A2232" i="2"/>
  <c r="O2231" i="2"/>
  <c r="N2231" i="2"/>
  <c r="M2231" i="2"/>
  <c r="L2231" i="2"/>
  <c r="K2231" i="2"/>
  <c r="J2231" i="2"/>
  <c r="I2231" i="2"/>
  <c r="H2231" i="2"/>
  <c r="G2231" i="2"/>
  <c r="F2231" i="2"/>
  <c r="C2231" i="2"/>
  <c r="B2231" i="2"/>
  <c r="A2231" i="2"/>
  <c r="O2230" i="2"/>
  <c r="N2230" i="2"/>
  <c r="M2230" i="2"/>
  <c r="L2230" i="2"/>
  <c r="K2230" i="2"/>
  <c r="J2230" i="2"/>
  <c r="I2230" i="2"/>
  <c r="H2230" i="2"/>
  <c r="G2230" i="2"/>
  <c r="F2230" i="2"/>
  <c r="C2230" i="2"/>
  <c r="B2230" i="2"/>
  <c r="A2230" i="2"/>
  <c r="O2229" i="2"/>
  <c r="N2229" i="2"/>
  <c r="M2229" i="2"/>
  <c r="L2229" i="2"/>
  <c r="K2229" i="2"/>
  <c r="J2229" i="2"/>
  <c r="I2229" i="2"/>
  <c r="H2229" i="2"/>
  <c r="G2229" i="2"/>
  <c r="F2229" i="2"/>
  <c r="C2229" i="2"/>
  <c r="B2229" i="2"/>
  <c r="A2229" i="2"/>
  <c r="O2228" i="2"/>
  <c r="N2228" i="2"/>
  <c r="M2228" i="2"/>
  <c r="L2228" i="2"/>
  <c r="K2228" i="2"/>
  <c r="J2228" i="2"/>
  <c r="I2228" i="2"/>
  <c r="H2228" i="2"/>
  <c r="G2228" i="2"/>
  <c r="F2228" i="2"/>
  <c r="C2228" i="2"/>
  <c r="B2228" i="2"/>
  <c r="A2228" i="2"/>
  <c r="O2227" i="2"/>
  <c r="N2227" i="2"/>
  <c r="M2227" i="2"/>
  <c r="L2227" i="2"/>
  <c r="K2227" i="2"/>
  <c r="J2227" i="2"/>
  <c r="I2227" i="2"/>
  <c r="H2227" i="2"/>
  <c r="G2227" i="2"/>
  <c r="F2227" i="2"/>
  <c r="C2227" i="2"/>
  <c r="B2227" i="2"/>
  <c r="A2227" i="2"/>
  <c r="O2226" i="2"/>
  <c r="N2226" i="2"/>
  <c r="M2226" i="2"/>
  <c r="L2226" i="2"/>
  <c r="K2226" i="2"/>
  <c r="J2226" i="2"/>
  <c r="I2226" i="2"/>
  <c r="H2226" i="2"/>
  <c r="G2226" i="2"/>
  <c r="F2226" i="2"/>
  <c r="C2226" i="2"/>
  <c r="B2226" i="2"/>
  <c r="A2226" i="2"/>
  <c r="O2225" i="2"/>
  <c r="N2225" i="2"/>
  <c r="M2225" i="2"/>
  <c r="L2225" i="2"/>
  <c r="K2225" i="2"/>
  <c r="J2225" i="2"/>
  <c r="I2225" i="2"/>
  <c r="H2225" i="2"/>
  <c r="G2225" i="2"/>
  <c r="F2225" i="2"/>
  <c r="C2225" i="2"/>
  <c r="B2225" i="2"/>
  <c r="A2225" i="2"/>
  <c r="O2224" i="2"/>
  <c r="N2224" i="2"/>
  <c r="M2224" i="2"/>
  <c r="L2224" i="2"/>
  <c r="K2224" i="2"/>
  <c r="J2224" i="2"/>
  <c r="I2224" i="2"/>
  <c r="H2224" i="2"/>
  <c r="G2224" i="2"/>
  <c r="F2224" i="2"/>
  <c r="C2224" i="2"/>
  <c r="B2224" i="2"/>
  <c r="A2224" i="2"/>
  <c r="O2223" i="2"/>
  <c r="N2223" i="2"/>
  <c r="M2223" i="2"/>
  <c r="L2223" i="2"/>
  <c r="K2223" i="2"/>
  <c r="J2223" i="2"/>
  <c r="I2223" i="2"/>
  <c r="H2223" i="2"/>
  <c r="G2223" i="2"/>
  <c r="F2223" i="2"/>
  <c r="C2223" i="2"/>
  <c r="B2223" i="2"/>
  <c r="A2223" i="2"/>
  <c r="O2222" i="2"/>
  <c r="N2222" i="2"/>
  <c r="M2222" i="2"/>
  <c r="L2222" i="2"/>
  <c r="K2222" i="2"/>
  <c r="J2222" i="2"/>
  <c r="I2222" i="2"/>
  <c r="H2222" i="2"/>
  <c r="G2222" i="2"/>
  <c r="F2222" i="2"/>
  <c r="C2222" i="2"/>
  <c r="B2222" i="2"/>
  <c r="A2222" i="2"/>
  <c r="O2221" i="2"/>
  <c r="N2221" i="2"/>
  <c r="M2221" i="2"/>
  <c r="L2221" i="2"/>
  <c r="K2221" i="2"/>
  <c r="J2221" i="2"/>
  <c r="I2221" i="2"/>
  <c r="H2221" i="2"/>
  <c r="G2221" i="2"/>
  <c r="F2221" i="2"/>
  <c r="C2221" i="2"/>
  <c r="B2221" i="2"/>
  <c r="A2221" i="2"/>
  <c r="O2220" i="2"/>
  <c r="N2220" i="2"/>
  <c r="M2220" i="2"/>
  <c r="L2220" i="2"/>
  <c r="K2220" i="2"/>
  <c r="J2220" i="2"/>
  <c r="I2220" i="2"/>
  <c r="H2220" i="2"/>
  <c r="G2220" i="2"/>
  <c r="F2220" i="2"/>
  <c r="C2220" i="2"/>
  <c r="B2220" i="2"/>
  <c r="A2220" i="2"/>
  <c r="O2219" i="2"/>
  <c r="N2219" i="2"/>
  <c r="M2219" i="2"/>
  <c r="L2219" i="2"/>
  <c r="K2219" i="2"/>
  <c r="J2219" i="2"/>
  <c r="I2219" i="2"/>
  <c r="H2219" i="2"/>
  <c r="G2219" i="2"/>
  <c r="F2219" i="2"/>
  <c r="C2219" i="2"/>
  <c r="B2219" i="2"/>
  <c r="A2219" i="2"/>
  <c r="O2218" i="2"/>
  <c r="N2218" i="2"/>
  <c r="M2218" i="2"/>
  <c r="L2218" i="2"/>
  <c r="K2218" i="2"/>
  <c r="J2218" i="2"/>
  <c r="I2218" i="2"/>
  <c r="H2218" i="2"/>
  <c r="G2218" i="2"/>
  <c r="F2218" i="2"/>
  <c r="C2218" i="2"/>
  <c r="B2218" i="2"/>
  <c r="A2218" i="2"/>
  <c r="O2217" i="2"/>
  <c r="N2217" i="2"/>
  <c r="M2217" i="2"/>
  <c r="L2217" i="2"/>
  <c r="K2217" i="2"/>
  <c r="J2217" i="2"/>
  <c r="I2217" i="2"/>
  <c r="H2217" i="2"/>
  <c r="G2217" i="2"/>
  <c r="F2217" i="2"/>
  <c r="C2217" i="2"/>
  <c r="B2217" i="2"/>
  <c r="A2217" i="2"/>
  <c r="O2216" i="2"/>
  <c r="N2216" i="2"/>
  <c r="M2216" i="2"/>
  <c r="L2216" i="2"/>
  <c r="K2216" i="2"/>
  <c r="J2216" i="2"/>
  <c r="I2216" i="2"/>
  <c r="H2216" i="2"/>
  <c r="G2216" i="2"/>
  <c r="F2216" i="2"/>
  <c r="C2216" i="2"/>
  <c r="B2216" i="2"/>
  <c r="A2216" i="2"/>
  <c r="O2215" i="2"/>
  <c r="N2215" i="2"/>
  <c r="M2215" i="2"/>
  <c r="L2215" i="2"/>
  <c r="K2215" i="2"/>
  <c r="J2215" i="2"/>
  <c r="I2215" i="2"/>
  <c r="H2215" i="2"/>
  <c r="G2215" i="2"/>
  <c r="F2215" i="2"/>
  <c r="C2215" i="2"/>
  <c r="B2215" i="2"/>
  <c r="A2215" i="2"/>
  <c r="O2214" i="2"/>
  <c r="N2214" i="2"/>
  <c r="M2214" i="2"/>
  <c r="L2214" i="2"/>
  <c r="K2214" i="2"/>
  <c r="J2214" i="2"/>
  <c r="I2214" i="2"/>
  <c r="H2214" i="2"/>
  <c r="G2214" i="2"/>
  <c r="F2214" i="2"/>
  <c r="C2214" i="2"/>
  <c r="B2214" i="2"/>
  <c r="A2214" i="2"/>
  <c r="O2213" i="2"/>
  <c r="N2213" i="2"/>
  <c r="M2213" i="2"/>
  <c r="L2213" i="2"/>
  <c r="K2213" i="2"/>
  <c r="J2213" i="2"/>
  <c r="I2213" i="2"/>
  <c r="H2213" i="2"/>
  <c r="G2213" i="2"/>
  <c r="F2213" i="2"/>
  <c r="C2213" i="2"/>
  <c r="B2213" i="2"/>
  <c r="A2213" i="2"/>
  <c r="O2212" i="2"/>
  <c r="N2212" i="2"/>
  <c r="M2212" i="2"/>
  <c r="L2212" i="2"/>
  <c r="K2212" i="2"/>
  <c r="J2212" i="2"/>
  <c r="I2212" i="2"/>
  <c r="H2212" i="2"/>
  <c r="G2212" i="2"/>
  <c r="F2212" i="2"/>
  <c r="C2212" i="2"/>
  <c r="B2212" i="2"/>
  <c r="A2212" i="2"/>
  <c r="O2211" i="2"/>
  <c r="N2211" i="2"/>
  <c r="M2211" i="2"/>
  <c r="L2211" i="2"/>
  <c r="K2211" i="2"/>
  <c r="J2211" i="2"/>
  <c r="I2211" i="2"/>
  <c r="H2211" i="2"/>
  <c r="G2211" i="2"/>
  <c r="F2211" i="2"/>
  <c r="C2211" i="2"/>
  <c r="B2211" i="2"/>
  <c r="A2211" i="2"/>
  <c r="O2210" i="2"/>
  <c r="N2210" i="2"/>
  <c r="M2210" i="2"/>
  <c r="L2210" i="2"/>
  <c r="K2210" i="2"/>
  <c r="J2210" i="2"/>
  <c r="I2210" i="2"/>
  <c r="H2210" i="2"/>
  <c r="G2210" i="2"/>
  <c r="F2210" i="2"/>
  <c r="C2210" i="2"/>
  <c r="B2210" i="2"/>
  <c r="A2210" i="2"/>
  <c r="O2209" i="2"/>
  <c r="N2209" i="2"/>
  <c r="M2209" i="2"/>
  <c r="L2209" i="2"/>
  <c r="K2209" i="2"/>
  <c r="J2209" i="2"/>
  <c r="I2209" i="2"/>
  <c r="H2209" i="2"/>
  <c r="G2209" i="2"/>
  <c r="F2209" i="2"/>
  <c r="C2209" i="2"/>
  <c r="B2209" i="2"/>
  <c r="A2209" i="2"/>
  <c r="O2208" i="2"/>
  <c r="N2208" i="2"/>
  <c r="M2208" i="2"/>
  <c r="L2208" i="2"/>
  <c r="K2208" i="2"/>
  <c r="J2208" i="2"/>
  <c r="I2208" i="2"/>
  <c r="H2208" i="2"/>
  <c r="G2208" i="2"/>
  <c r="F2208" i="2"/>
  <c r="C2208" i="2"/>
  <c r="B2208" i="2"/>
  <c r="A2208" i="2"/>
  <c r="O2207" i="2"/>
  <c r="N2207" i="2"/>
  <c r="M2207" i="2"/>
  <c r="L2207" i="2"/>
  <c r="K2207" i="2"/>
  <c r="J2207" i="2"/>
  <c r="I2207" i="2"/>
  <c r="H2207" i="2"/>
  <c r="G2207" i="2"/>
  <c r="F2207" i="2"/>
  <c r="C2207" i="2"/>
  <c r="B2207" i="2"/>
  <c r="A2207" i="2"/>
  <c r="O2206" i="2"/>
  <c r="N2206" i="2"/>
  <c r="M2206" i="2"/>
  <c r="L2206" i="2"/>
  <c r="K2206" i="2"/>
  <c r="J2206" i="2"/>
  <c r="I2206" i="2"/>
  <c r="H2206" i="2"/>
  <c r="G2206" i="2"/>
  <c r="F2206" i="2"/>
  <c r="C2206" i="2"/>
  <c r="B2206" i="2"/>
  <c r="A2206" i="2"/>
  <c r="O2205" i="2"/>
  <c r="N2205" i="2"/>
  <c r="M2205" i="2"/>
  <c r="L2205" i="2"/>
  <c r="K2205" i="2"/>
  <c r="J2205" i="2"/>
  <c r="I2205" i="2"/>
  <c r="H2205" i="2"/>
  <c r="G2205" i="2"/>
  <c r="F2205" i="2"/>
  <c r="C2205" i="2"/>
  <c r="B2205" i="2"/>
  <c r="A2205" i="2"/>
  <c r="O2204" i="2"/>
  <c r="N2204" i="2"/>
  <c r="M2204" i="2"/>
  <c r="L2204" i="2"/>
  <c r="K2204" i="2"/>
  <c r="J2204" i="2"/>
  <c r="I2204" i="2"/>
  <c r="H2204" i="2"/>
  <c r="G2204" i="2"/>
  <c r="F2204" i="2"/>
  <c r="C2204" i="2"/>
  <c r="B2204" i="2"/>
  <c r="A2204" i="2"/>
  <c r="O2203" i="2"/>
  <c r="N2203" i="2"/>
  <c r="M2203" i="2"/>
  <c r="L2203" i="2"/>
  <c r="K2203" i="2"/>
  <c r="J2203" i="2"/>
  <c r="I2203" i="2"/>
  <c r="H2203" i="2"/>
  <c r="G2203" i="2"/>
  <c r="F2203" i="2"/>
  <c r="C2203" i="2"/>
  <c r="B2203" i="2"/>
  <c r="A2203" i="2"/>
  <c r="O2202" i="2"/>
  <c r="N2202" i="2"/>
  <c r="M2202" i="2"/>
  <c r="L2202" i="2"/>
  <c r="K2202" i="2"/>
  <c r="J2202" i="2"/>
  <c r="I2202" i="2"/>
  <c r="H2202" i="2"/>
  <c r="G2202" i="2"/>
  <c r="F2202" i="2"/>
  <c r="C2202" i="2"/>
  <c r="B2202" i="2"/>
  <c r="A2202" i="2"/>
  <c r="O2201" i="2"/>
  <c r="N2201" i="2"/>
  <c r="M2201" i="2"/>
  <c r="L2201" i="2"/>
  <c r="K2201" i="2"/>
  <c r="J2201" i="2"/>
  <c r="I2201" i="2"/>
  <c r="H2201" i="2"/>
  <c r="G2201" i="2"/>
  <c r="F2201" i="2"/>
  <c r="C2201" i="2"/>
  <c r="B2201" i="2"/>
  <c r="A2201" i="2"/>
  <c r="O2200" i="2"/>
  <c r="N2200" i="2"/>
  <c r="M2200" i="2"/>
  <c r="L2200" i="2"/>
  <c r="K2200" i="2"/>
  <c r="J2200" i="2"/>
  <c r="I2200" i="2"/>
  <c r="H2200" i="2"/>
  <c r="G2200" i="2"/>
  <c r="F2200" i="2"/>
  <c r="C2200" i="2"/>
  <c r="B2200" i="2"/>
  <c r="A2200" i="2"/>
  <c r="O2199" i="2"/>
  <c r="N2199" i="2"/>
  <c r="M2199" i="2"/>
  <c r="L2199" i="2"/>
  <c r="K2199" i="2"/>
  <c r="J2199" i="2"/>
  <c r="I2199" i="2"/>
  <c r="H2199" i="2"/>
  <c r="G2199" i="2"/>
  <c r="F2199" i="2"/>
  <c r="C2199" i="2"/>
  <c r="B2199" i="2"/>
  <c r="A2199" i="2"/>
  <c r="O2198" i="2"/>
  <c r="N2198" i="2"/>
  <c r="M2198" i="2"/>
  <c r="L2198" i="2"/>
  <c r="K2198" i="2"/>
  <c r="J2198" i="2"/>
  <c r="I2198" i="2"/>
  <c r="H2198" i="2"/>
  <c r="G2198" i="2"/>
  <c r="F2198" i="2"/>
  <c r="C2198" i="2"/>
  <c r="B2198" i="2"/>
  <c r="A2198" i="2"/>
  <c r="O2197" i="2"/>
  <c r="N2197" i="2"/>
  <c r="M2197" i="2"/>
  <c r="L2197" i="2"/>
  <c r="K2197" i="2"/>
  <c r="J2197" i="2"/>
  <c r="I2197" i="2"/>
  <c r="H2197" i="2"/>
  <c r="G2197" i="2"/>
  <c r="F2197" i="2"/>
  <c r="C2197" i="2"/>
  <c r="B2197" i="2"/>
  <c r="A2197" i="2"/>
  <c r="O2196" i="2"/>
  <c r="N2196" i="2"/>
  <c r="M2196" i="2"/>
  <c r="L2196" i="2"/>
  <c r="K2196" i="2"/>
  <c r="J2196" i="2"/>
  <c r="I2196" i="2"/>
  <c r="H2196" i="2"/>
  <c r="G2196" i="2"/>
  <c r="F2196" i="2"/>
  <c r="C2196" i="2"/>
  <c r="B2196" i="2"/>
  <c r="A2196" i="2"/>
  <c r="O2195" i="2"/>
  <c r="N2195" i="2"/>
  <c r="M2195" i="2"/>
  <c r="L2195" i="2"/>
  <c r="K2195" i="2"/>
  <c r="J2195" i="2"/>
  <c r="I2195" i="2"/>
  <c r="H2195" i="2"/>
  <c r="G2195" i="2"/>
  <c r="F2195" i="2"/>
  <c r="C2195" i="2"/>
  <c r="B2195" i="2"/>
  <c r="A2195" i="2"/>
  <c r="O2194" i="2"/>
  <c r="N2194" i="2"/>
  <c r="M2194" i="2"/>
  <c r="L2194" i="2"/>
  <c r="K2194" i="2"/>
  <c r="J2194" i="2"/>
  <c r="I2194" i="2"/>
  <c r="H2194" i="2"/>
  <c r="G2194" i="2"/>
  <c r="F2194" i="2"/>
  <c r="C2194" i="2"/>
  <c r="B2194" i="2"/>
  <c r="A2194" i="2"/>
  <c r="O2193" i="2"/>
  <c r="N2193" i="2"/>
  <c r="M2193" i="2"/>
  <c r="L2193" i="2"/>
  <c r="K2193" i="2"/>
  <c r="J2193" i="2"/>
  <c r="I2193" i="2"/>
  <c r="H2193" i="2"/>
  <c r="G2193" i="2"/>
  <c r="F2193" i="2"/>
  <c r="C2193" i="2"/>
  <c r="B2193" i="2"/>
  <c r="A2193" i="2"/>
  <c r="O2192" i="2"/>
  <c r="N2192" i="2"/>
  <c r="M2192" i="2"/>
  <c r="L2192" i="2"/>
  <c r="K2192" i="2"/>
  <c r="J2192" i="2"/>
  <c r="I2192" i="2"/>
  <c r="H2192" i="2"/>
  <c r="G2192" i="2"/>
  <c r="F2192" i="2"/>
  <c r="C2192" i="2"/>
  <c r="B2192" i="2"/>
  <c r="A2192" i="2"/>
  <c r="O2191" i="2"/>
  <c r="N2191" i="2"/>
  <c r="M2191" i="2"/>
  <c r="L2191" i="2"/>
  <c r="K2191" i="2"/>
  <c r="J2191" i="2"/>
  <c r="I2191" i="2"/>
  <c r="H2191" i="2"/>
  <c r="G2191" i="2"/>
  <c r="F2191" i="2"/>
  <c r="C2191" i="2"/>
  <c r="B2191" i="2"/>
  <c r="A2191" i="2"/>
  <c r="O2190" i="2"/>
  <c r="N2190" i="2"/>
  <c r="M2190" i="2"/>
  <c r="L2190" i="2"/>
  <c r="K2190" i="2"/>
  <c r="J2190" i="2"/>
  <c r="I2190" i="2"/>
  <c r="H2190" i="2"/>
  <c r="G2190" i="2"/>
  <c r="F2190" i="2"/>
  <c r="C2190" i="2"/>
  <c r="B2190" i="2"/>
  <c r="A2190" i="2"/>
  <c r="O2189" i="2"/>
  <c r="N2189" i="2"/>
  <c r="M2189" i="2"/>
  <c r="L2189" i="2"/>
  <c r="K2189" i="2"/>
  <c r="J2189" i="2"/>
  <c r="I2189" i="2"/>
  <c r="H2189" i="2"/>
  <c r="G2189" i="2"/>
  <c r="F2189" i="2"/>
  <c r="C2189" i="2"/>
  <c r="B2189" i="2"/>
  <c r="A2189" i="2"/>
  <c r="O2188" i="2"/>
  <c r="N2188" i="2"/>
  <c r="M2188" i="2"/>
  <c r="L2188" i="2"/>
  <c r="K2188" i="2"/>
  <c r="J2188" i="2"/>
  <c r="I2188" i="2"/>
  <c r="H2188" i="2"/>
  <c r="G2188" i="2"/>
  <c r="F2188" i="2"/>
  <c r="C2188" i="2"/>
  <c r="B2188" i="2"/>
  <c r="A2188" i="2"/>
  <c r="O2187" i="2"/>
  <c r="N2187" i="2"/>
  <c r="M2187" i="2"/>
  <c r="L2187" i="2"/>
  <c r="K2187" i="2"/>
  <c r="J2187" i="2"/>
  <c r="I2187" i="2"/>
  <c r="H2187" i="2"/>
  <c r="G2187" i="2"/>
  <c r="F2187" i="2"/>
  <c r="C2187" i="2"/>
  <c r="B2187" i="2"/>
  <c r="A2187" i="2"/>
  <c r="O2186" i="2"/>
  <c r="N2186" i="2"/>
  <c r="M2186" i="2"/>
  <c r="L2186" i="2"/>
  <c r="K2186" i="2"/>
  <c r="J2186" i="2"/>
  <c r="I2186" i="2"/>
  <c r="H2186" i="2"/>
  <c r="G2186" i="2"/>
  <c r="F2186" i="2"/>
  <c r="C2186" i="2"/>
  <c r="B2186" i="2"/>
  <c r="A2186" i="2"/>
  <c r="O2185" i="2"/>
  <c r="N2185" i="2"/>
  <c r="M2185" i="2"/>
  <c r="L2185" i="2"/>
  <c r="K2185" i="2"/>
  <c r="J2185" i="2"/>
  <c r="I2185" i="2"/>
  <c r="H2185" i="2"/>
  <c r="G2185" i="2"/>
  <c r="F2185" i="2"/>
  <c r="C2185" i="2"/>
  <c r="B2185" i="2"/>
  <c r="A2185" i="2"/>
  <c r="O2184" i="2"/>
  <c r="N2184" i="2"/>
  <c r="M2184" i="2"/>
  <c r="L2184" i="2"/>
  <c r="K2184" i="2"/>
  <c r="J2184" i="2"/>
  <c r="I2184" i="2"/>
  <c r="H2184" i="2"/>
  <c r="G2184" i="2"/>
  <c r="F2184" i="2"/>
  <c r="C2184" i="2"/>
  <c r="B2184" i="2"/>
  <c r="A2184" i="2"/>
  <c r="O2183" i="2"/>
  <c r="N2183" i="2"/>
  <c r="M2183" i="2"/>
  <c r="L2183" i="2"/>
  <c r="K2183" i="2"/>
  <c r="J2183" i="2"/>
  <c r="I2183" i="2"/>
  <c r="H2183" i="2"/>
  <c r="G2183" i="2"/>
  <c r="F2183" i="2"/>
  <c r="C2183" i="2"/>
  <c r="B2183" i="2"/>
  <c r="A2183" i="2"/>
  <c r="O2182" i="2"/>
  <c r="N2182" i="2"/>
  <c r="M2182" i="2"/>
  <c r="L2182" i="2"/>
  <c r="K2182" i="2"/>
  <c r="J2182" i="2"/>
  <c r="I2182" i="2"/>
  <c r="H2182" i="2"/>
  <c r="G2182" i="2"/>
  <c r="F2182" i="2"/>
  <c r="C2182" i="2"/>
  <c r="B2182" i="2"/>
  <c r="A2182" i="2"/>
  <c r="O2181" i="2"/>
  <c r="N2181" i="2"/>
  <c r="M2181" i="2"/>
  <c r="L2181" i="2"/>
  <c r="K2181" i="2"/>
  <c r="J2181" i="2"/>
  <c r="I2181" i="2"/>
  <c r="H2181" i="2"/>
  <c r="G2181" i="2"/>
  <c r="F2181" i="2"/>
  <c r="C2181" i="2"/>
  <c r="B2181" i="2"/>
  <c r="A2181" i="2"/>
  <c r="O2180" i="2"/>
  <c r="N2180" i="2"/>
  <c r="M2180" i="2"/>
  <c r="L2180" i="2"/>
  <c r="K2180" i="2"/>
  <c r="J2180" i="2"/>
  <c r="I2180" i="2"/>
  <c r="H2180" i="2"/>
  <c r="G2180" i="2"/>
  <c r="F2180" i="2"/>
  <c r="C2180" i="2"/>
  <c r="B2180" i="2"/>
  <c r="A2180" i="2"/>
  <c r="O2179" i="2"/>
  <c r="N2179" i="2"/>
  <c r="M2179" i="2"/>
  <c r="L2179" i="2"/>
  <c r="K2179" i="2"/>
  <c r="J2179" i="2"/>
  <c r="I2179" i="2"/>
  <c r="H2179" i="2"/>
  <c r="G2179" i="2"/>
  <c r="F2179" i="2"/>
  <c r="C2179" i="2"/>
  <c r="B2179" i="2"/>
  <c r="A2179" i="2"/>
  <c r="O2178" i="2"/>
  <c r="N2178" i="2"/>
  <c r="M2178" i="2"/>
  <c r="L2178" i="2"/>
  <c r="K2178" i="2"/>
  <c r="J2178" i="2"/>
  <c r="I2178" i="2"/>
  <c r="H2178" i="2"/>
  <c r="G2178" i="2"/>
  <c r="F2178" i="2"/>
  <c r="C2178" i="2"/>
  <c r="B2178" i="2"/>
  <c r="A2178" i="2"/>
  <c r="O2177" i="2"/>
  <c r="N2177" i="2"/>
  <c r="M2177" i="2"/>
  <c r="L2177" i="2"/>
  <c r="K2177" i="2"/>
  <c r="J2177" i="2"/>
  <c r="I2177" i="2"/>
  <c r="H2177" i="2"/>
  <c r="G2177" i="2"/>
  <c r="F2177" i="2"/>
  <c r="C2177" i="2"/>
  <c r="B2177" i="2"/>
  <c r="A2177" i="2"/>
  <c r="O2176" i="2"/>
  <c r="N2176" i="2"/>
  <c r="M2176" i="2"/>
  <c r="L2176" i="2"/>
  <c r="K2176" i="2"/>
  <c r="J2176" i="2"/>
  <c r="I2176" i="2"/>
  <c r="H2176" i="2"/>
  <c r="G2176" i="2"/>
  <c r="F2176" i="2"/>
  <c r="C2176" i="2"/>
  <c r="B2176" i="2"/>
  <c r="A2176" i="2"/>
  <c r="O2175" i="2"/>
  <c r="N2175" i="2"/>
  <c r="M2175" i="2"/>
  <c r="L2175" i="2"/>
  <c r="K2175" i="2"/>
  <c r="J2175" i="2"/>
  <c r="I2175" i="2"/>
  <c r="H2175" i="2"/>
  <c r="G2175" i="2"/>
  <c r="F2175" i="2"/>
  <c r="C2175" i="2"/>
  <c r="B2175" i="2"/>
  <c r="A2175" i="2"/>
  <c r="O2174" i="2"/>
  <c r="N2174" i="2"/>
  <c r="M2174" i="2"/>
  <c r="L2174" i="2"/>
  <c r="K2174" i="2"/>
  <c r="J2174" i="2"/>
  <c r="I2174" i="2"/>
  <c r="H2174" i="2"/>
  <c r="G2174" i="2"/>
  <c r="F2174" i="2"/>
  <c r="C2174" i="2"/>
  <c r="B2174" i="2"/>
  <c r="A2174" i="2"/>
  <c r="O2173" i="2"/>
  <c r="N2173" i="2"/>
  <c r="M2173" i="2"/>
  <c r="L2173" i="2"/>
  <c r="K2173" i="2"/>
  <c r="J2173" i="2"/>
  <c r="I2173" i="2"/>
  <c r="H2173" i="2"/>
  <c r="G2173" i="2"/>
  <c r="F2173" i="2"/>
  <c r="C2173" i="2"/>
  <c r="B2173" i="2"/>
  <c r="A2173" i="2"/>
  <c r="O2172" i="2"/>
  <c r="N2172" i="2"/>
  <c r="M2172" i="2"/>
  <c r="L2172" i="2"/>
  <c r="K2172" i="2"/>
  <c r="J2172" i="2"/>
  <c r="I2172" i="2"/>
  <c r="H2172" i="2"/>
  <c r="G2172" i="2"/>
  <c r="F2172" i="2"/>
  <c r="C2172" i="2"/>
  <c r="B2172" i="2"/>
  <c r="A2172" i="2"/>
  <c r="O2171" i="2"/>
  <c r="N2171" i="2"/>
  <c r="M2171" i="2"/>
  <c r="L2171" i="2"/>
  <c r="K2171" i="2"/>
  <c r="J2171" i="2"/>
  <c r="I2171" i="2"/>
  <c r="H2171" i="2"/>
  <c r="G2171" i="2"/>
  <c r="F2171" i="2"/>
  <c r="C2171" i="2"/>
  <c r="B2171" i="2"/>
  <c r="A2171" i="2"/>
  <c r="O2170" i="2"/>
  <c r="N2170" i="2"/>
  <c r="M2170" i="2"/>
  <c r="L2170" i="2"/>
  <c r="K2170" i="2"/>
  <c r="J2170" i="2"/>
  <c r="I2170" i="2"/>
  <c r="H2170" i="2"/>
  <c r="G2170" i="2"/>
  <c r="F2170" i="2"/>
  <c r="C2170" i="2"/>
  <c r="B2170" i="2"/>
  <c r="A2170" i="2"/>
  <c r="O2169" i="2"/>
  <c r="N2169" i="2"/>
  <c r="M2169" i="2"/>
  <c r="L2169" i="2"/>
  <c r="K2169" i="2"/>
  <c r="J2169" i="2"/>
  <c r="I2169" i="2"/>
  <c r="H2169" i="2"/>
  <c r="G2169" i="2"/>
  <c r="F2169" i="2"/>
  <c r="C2169" i="2"/>
  <c r="B2169" i="2"/>
  <c r="A2169" i="2"/>
  <c r="O2168" i="2"/>
  <c r="N2168" i="2"/>
  <c r="M2168" i="2"/>
  <c r="L2168" i="2"/>
  <c r="K2168" i="2"/>
  <c r="J2168" i="2"/>
  <c r="I2168" i="2"/>
  <c r="H2168" i="2"/>
  <c r="G2168" i="2"/>
  <c r="F2168" i="2"/>
  <c r="C2168" i="2"/>
  <c r="B2168" i="2"/>
  <c r="A2168" i="2"/>
  <c r="O2167" i="2"/>
  <c r="N2167" i="2"/>
  <c r="M2167" i="2"/>
  <c r="L2167" i="2"/>
  <c r="K2167" i="2"/>
  <c r="J2167" i="2"/>
  <c r="I2167" i="2"/>
  <c r="H2167" i="2"/>
  <c r="G2167" i="2"/>
  <c r="F2167" i="2"/>
  <c r="C2167" i="2"/>
  <c r="B2167" i="2"/>
  <c r="A2167" i="2"/>
  <c r="O2166" i="2"/>
  <c r="N2166" i="2"/>
  <c r="M2166" i="2"/>
  <c r="L2166" i="2"/>
  <c r="K2166" i="2"/>
  <c r="J2166" i="2"/>
  <c r="I2166" i="2"/>
  <c r="H2166" i="2"/>
  <c r="G2166" i="2"/>
  <c r="F2166" i="2"/>
  <c r="C2166" i="2"/>
  <c r="B2166" i="2"/>
  <c r="A2166" i="2"/>
  <c r="O2165" i="2"/>
  <c r="N2165" i="2"/>
  <c r="M2165" i="2"/>
  <c r="L2165" i="2"/>
  <c r="K2165" i="2"/>
  <c r="J2165" i="2"/>
  <c r="I2165" i="2"/>
  <c r="H2165" i="2"/>
  <c r="G2165" i="2"/>
  <c r="F2165" i="2"/>
  <c r="C2165" i="2"/>
  <c r="B2165" i="2"/>
  <c r="A2165" i="2"/>
  <c r="O2164" i="2"/>
  <c r="N2164" i="2"/>
  <c r="M2164" i="2"/>
  <c r="L2164" i="2"/>
  <c r="K2164" i="2"/>
  <c r="J2164" i="2"/>
  <c r="I2164" i="2"/>
  <c r="H2164" i="2"/>
  <c r="G2164" i="2"/>
  <c r="F2164" i="2"/>
  <c r="C2164" i="2"/>
  <c r="B2164" i="2"/>
  <c r="A2164" i="2"/>
  <c r="O2163" i="2"/>
  <c r="N2163" i="2"/>
  <c r="M2163" i="2"/>
  <c r="L2163" i="2"/>
  <c r="K2163" i="2"/>
  <c r="J2163" i="2"/>
  <c r="I2163" i="2"/>
  <c r="H2163" i="2"/>
  <c r="G2163" i="2"/>
  <c r="F2163" i="2"/>
  <c r="C2163" i="2"/>
  <c r="B2163" i="2"/>
  <c r="A2163" i="2"/>
  <c r="O2162" i="2"/>
  <c r="N2162" i="2"/>
  <c r="M2162" i="2"/>
  <c r="L2162" i="2"/>
  <c r="K2162" i="2"/>
  <c r="J2162" i="2"/>
  <c r="I2162" i="2"/>
  <c r="H2162" i="2"/>
  <c r="G2162" i="2"/>
  <c r="F2162" i="2"/>
  <c r="C2162" i="2"/>
  <c r="B2162" i="2"/>
  <c r="A2162" i="2"/>
  <c r="O2161" i="2"/>
  <c r="N2161" i="2"/>
  <c r="M2161" i="2"/>
  <c r="L2161" i="2"/>
  <c r="K2161" i="2"/>
  <c r="J2161" i="2"/>
  <c r="I2161" i="2"/>
  <c r="H2161" i="2"/>
  <c r="G2161" i="2"/>
  <c r="F2161" i="2"/>
  <c r="C2161" i="2"/>
  <c r="B2161" i="2"/>
  <c r="A2161" i="2"/>
  <c r="O2160" i="2"/>
  <c r="N2160" i="2"/>
  <c r="M2160" i="2"/>
  <c r="L2160" i="2"/>
  <c r="K2160" i="2"/>
  <c r="J2160" i="2"/>
  <c r="I2160" i="2"/>
  <c r="H2160" i="2"/>
  <c r="G2160" i="2"/>
  <c r="F2160" i="2"/>
  <c r="C2160" i="2"/>
  <c r="B2160" i="2"/>
  <c r="A2160" i="2"/>
  <c r="O2159" i="2"/>
  <c r="N2159" i="2"/>
  <c r="M2159" i="2"/>
  <c r="L2159" i="2"/>
  <c r="K2159" i="2"/>
  <c r="J2159" i="2"/>
  <c r="I2159" i="2"/>
  <c r="H2159" i="2"/>
  <c r="G2159" i="2"/>
  <c r="F2159" i="2"/>
  <c r="C2159" i="2"/>
  <c r="B2159" i="2"/>
  <c r="A2159" i="2"/>
  <c r="O2158" i="2"/>
  <c r="N2158" i="2"/>
  <c r="M2158" i="2"/>
  <c r="L2158" i="2"/>
  <c r="K2158" i="2"/>
  <c r="J2158" i="2"/>
  <c r="I2158" i="2"/>
  <c r="H2158" i="2"/>
  <c r="G2158" i="2"/>
  <c r="F2158" i="2"/>
  <c r="C2158" i="2"/>
  <c r="B2158" i="2"/>
  <c r="A2158" i="2"/>
  <c r="O2157" i="2"/>
  <c r="N2157" i="2"/>
  <c r="M2157" i="2"/>
  <c r="L2157" i="2"/>
  <c r="K2157" i="2"/>
  <c r="J2157" i="2"/>
  <c r="I2157" i="2"/>
  <c r="H2157" i="2"/>
  <c r="G2157" i="2"/>
  <c r="F2157" i="2"/>
  <c r="C2157" i="2"/>
  <c r="B2157" i="2"/>
  <c r="A2157" i="2"/>
  <c r="O2156" i="2"/>
  <c r="N2156" i="2"/>
  <c r="M2156" i="2"/>
  <c r="L2156" i="2"/>
  <c r="K2156" i="2"/>
  <c r="J2156" i="2"/>
  <c r="I2156" i="2"/>
  <c r="H2156" i="2"/>
  <c r="G2156" i="2"/>
  <c r="F2156" i="2"/>
  <c r="C2156" i="2"/>
  <c r="B2156" i="2"/>
  <c r="A2156" i="2"/>
  <c r="O2155" i="2"/>
  <c r="N2155" i="2"/>
  <c r="M2155" i="2"/>
  <c r="L2155" i="2"/>
  <c r="K2155" i="2"/>
  <c r="J2155" i="2"/>
  <c r="I2155" i="2"/>
  <c r="H2155" i="2"/>
  <c r="G2155" i="2"/>
  <c r="F2155" i="2"/>
  <c r="C2155" i="2"/>
  <c r="B2155" i="2"/>
  <c r="A2155" i="2"/>
  <c r="O2154" i="2"/>
  <c r="N2154" i="2"/>
  <c r="M2154" i="2"/>
  <c r="L2154" i="2"/>
  <c r="K2154" i="2"/>
  <c r="J2154" i="2"/>
  <c r="I2154" i="2"/>
  <c r="H2154" i="2"/>
  <c r="G2154" i="2"/>
  <c r="F2154" i="2"/>
  <c r="C2154" i="2"/>
  <c r="B2154" i="2"/>
  <c r="A2154" i="2"/>
  <c r="O2153" i="2"/>
  <c r="N2153" i="2"/>
  <c r="M2153" i="2"/>
  <c r="L2153" i="2"/>
  <c r="K2153" i="2"/>
  <c r="J2153" i="2"/>
  <c r="I2153" i="2"/>
  <c r="H2153" i="2"/>
  <c r="G2153" i="2"/>
  <c r="F2153" i="2"/>
  <c r="C2153" i="2"/>
  <c r="B2153" i="2"/>
  <c r="A2153" i="2"/>
  <c r="O2152" i="2"/>
  <c r="N2152" i="2"/>
  <c r="M2152" i="2"/>
  <c r="L2152" i="2"/>
  <c r="K2152" i="2"/>
  <c r="J2152" i="2"/>
  <c r="I2152" i="2"/>
  <c r="H2152" i="2"/>
  <c r="G2152" i="2"/>
  <c r="F2152" i="2"/>
  <c r="C2152" i="2"/>
  <c r="B2152" i="2"/>
  <c r="A2152" i="2"/>
  <c r="O2151" i="2"/>
  <c r="N2151" i="2"/>
  <c r="M2151" i="2"/>
  <c r="L2151" i="2"/>
  <c r="K2151" i="2"/>
  <c r="J2151" i="2"/>
  <c r="I2151" i="2"/>
  <c r="H2151" i="2"/>
  <c r="G2151" i="2"/>
  <c r="F2151" i="2"/>
  <c r="C2151" i="2"/>
  <c r="B2151" i="2"/>
  <c r="A2151" i="2"/>
  <c r="O2150" i="2"/>
  <c r="N2150" i="2"/>
  <c r="M2150" i="2"/>
  <c r="L2150" i="2"/>
  <c r="K2150" i="2"/>
  <c r="J2150" i="2"/>
  <c r="I2150" i="2"/>
  <c r="H2150" i="2"/>
  <c r="G2150" i="2"/>
  <c r="F2150" i="2"/>
  <c r="C2150" i="2"/>
  <c r="B2150" i="2"/>
  <c r="A2150" i="2"/>
  <c r="O2149" i="2"/>
  <c r="N2149" i="2"/>
  <c r="M2149" i="2"/>
  <c r="L2149" i="2"/>
  <c r="K2149" i="2"/>
  <c r="J2149" i="2"/>
  <c r="I2149" i="2"/>
  <c r="H2149" i="2"/>
  <c r="G2149" i="2"/>
  <c r="F2149" i="2"/>
  <c r="C2149" i="2"/>
  <c r="B2149" i="2"/>
  <c r="A2149" i="2"/>
  <c r="O2148" i="2"/>
  <c r="N2148" i="2"/>
  <c r="M2148" i="2"/>
  <c r="L2148" i="2"/>
  <c r="K2148" i="2"/>
  <c r="J2148" i="2"/>
  <c r="I2148" i="2"/>
  <c r="H2148" i="2"/>
  <c r="G2148" i="2"/>
  <c r="F2148" i="2"/>
  <c r="C2148" i="2"/>
  <c r="B2148" i="2"/>
  <c r="A2148" i="2"/>
  <c r="O2147" i="2"/>
  <c r="N2147" i="2"/>
  <c r="M2147" i="2"/>
  <c r="L2147" i="2"/>
  <c r="K2147" i="2"/>
  <c r="J2147" i="2"/>
  <c r="I2147" i="2"/>
  <c r="H2147" i="2"/>
  <c r="G2147" i="2"/>
  <c r="F2147" i="2"/>
  <c r="C2147" i="2"/>
  <c r="B2147" i="2"/>
  <c r="A2147" i="2"/>
  <c r="O2146" i="2"/>
  <c r="N2146" i="2"/>
  <c r="M2146" i="2"/>
  <c r="L2146" i="2"/>
  <c r="K2146" i="2"/>
  <c r="J2146" i="2"/>
  <c r="I2146" i="2"/>
  <c r="H2146" i="2"/>
  <c r="G2146" i="2"/>
  <c r="F2146" i="2"/>
  <c r="C2146" i="2"/>
  <c r="B2146" i="2"/>
  <c r="A2146" i="2"/>
  <c r="O2145" i="2"/>
  <c r="N2145" i="2"/>
  <c r="M2145" i="2"/>
  <c r="L2145" i="2"/>
  <c r="K2145" i="2"/>
  <c r="J2145" i="2"/>
  <c r="I2145" i="2"/>
  <c r="H2145" i="2"/>
  <c r="G2145" i="2"/>
  <c r="F2145" i="2"/>
  <c r="C2145" i="2"/>
  <c r="B2145" i="2"/>
  <c r="A2145" i="2"/>
  <c r="O2144" i="2"/>
  <c r="N2144" i="2"/>
  <c r="M2144" i="2"/>
  <c r="L2144" i="2"/>
  <c r="K2144" i="2"/>
  <c r="J2144" i="2"/>
  <c r="I2144" i="2"/>
  <c r="H2144" i="2"/>
  <c r="G2144" i="2"/>
  <c r="F2144" i="2"/>
  <c r="C2144" i="2"/>
  <c r="B2144" i="2"/>
  <c r="A2144" i="2"/>
  <c r="O2143" i="2"/>
  <c r="N2143" i="2"/>
  <c r="M2143" i="2"/>
  <c r="L2143" i="2"/>
  <c r="K2143" i="2"/>
  <c r="J2143" i="2"/>
  <c r="I2143" i="2"/>
  <c r="H2143" i="2"/>
  <c r="G2143" i="2"/>
  <c r="F2143" i="2"/>
  <c r="C2143" i="2"/>
  <c r="B2143" i="2"/>
  <c r="A2143" i="2"/>
  <c r="O2142" i="2"/>
  <c r="N2142" i="2"/>
  <c r="M2142" i="2"/>
  <c r="L2142" i="2"/>
  <c r="K2142" i="2"/>
  <c r="J2142" i="2"/>
  <c r="I2142" i="2"/>
  <c r="H2142" i="2"/>
  <c r="G2142" i="2"/>
  <c r="F2142" i="2"/>
  <c r="C2142" i="2"/>
  <c r="B2142" i="2"/>
  <c r="A2142" i="2"/>
  <c r="O2141" i="2"/>
  <c r="N2141" i="2"/>
  <c r="M2141" i="2"/>
  <c r="L2141" i="2"/>
  <c r="K2141" i="2"/>
  <c r="J2141" i="2"/>
  <c r="I2141" i="2"/>
  <c r="H2141" i="2"/>
  <c r="G2141" i="2"/>
  <c r="F2141" i="2"/>
  <c r="C2141" i="2"/>
  <c r="B2141" i="2"/>
  <c r="A2141" i="2"/>
  <c r="O2140" i="2"/>
  <c r="N2140" i="2"/>
  <c r="M2140" i="2"/>
  <c r="L2140" i="2"/>
  <c r="K2140" i="2"/>
  <c r="J2140" i="2"/>
  <c r="I2140" i="2"/>
  <c r="H2140" i="2"/>
  <c r="G2140" i="2"/>
  <c r="F2140" i="2"/>
  <c r="C2140" i="2"/>
  <c r="B2140" i="2"/>
  <c r="A2140" i="2"/>
  <c r="O2139" i="2"/>
  <c r="N2139" i="2"/>
  <c r="M2139" i="2"/>
  <c r="L2139" i="2"/>
  <c r="K2139" i="2"/>
  <c r="J2139" i="2"/>
  <c r="I2139" i="2"/>
  <c r="H2139" i="2"/>
  <c r="G2139" i="2"/>
  <c r="F2139" i="2"/>
  <c r="C2139" i="2"/>
  <c r="B2139" i="2"/>
  <c r="A2139" i="2"/>
  <c r="O2138" i="2"/>
  <c r="N2138" i="2"/>
  <c r="M2138" i="2"/>
  <c r="L2138" i="2"/>
  <c r="K2138" i="2"/>
  <c r="J2138" i="2"/>
  <c r="I2138" i="2"/>
  <c r="H2138" i="2"/>
  <c r="G2138" i="2"/>
  <c r="F2138" i="2"/>
  <c r="C2138" i="2"/>
  <c r="B2138" i="2"/>
  <c r="A2138" i="2"/>
  <c r="O2137" i="2"/>
  <c r="N2137" i="2"/>
  <c r="M2137" i="2"/>
  <c r="L2137" i="2"/>
  <c r="K2137" i="2"/>
  <c r="J2137" i="2"/>
  <c r="I2137" i="2"/>
  <c r="H2137" i="2"/>
  <c r="G2137" i="2"/>
  <c r="F2137" i="2"/>
  <c r="C2137" i="2"/>
  <c r="B2137" i="2"/>
  <c r="A2137" i="2"/>
  <c r="O2136" i="2"/>
  <c r="N2136" i="2"/>
  <c r="M2136" i="2"/>
  <c r="L2136" i="2"/>
  <c r="K2136" i="2"/>
  <c r="J2136" i="2"/>
  <c r="I2136" i="2"/>
  <c r="H2136" i="2"/>
  <c r="G2136" i="2"/>
  <c r="F2136" i="2"/>
  <c r="C2136" i="2"/>
  <c r="B2136" i="2"/>
  <c r="A2136" i="2"/>
  <c r="O2135" i="2"/>
  <c r="N2135" i="2"/>
  <c r="M2135" i="2"/>
  <c r="L2135" i="2"/>
  <c r="K2135" i="2"/>
  <c r="J2135" i="2"/>
  <c r="I2135" i="2"/>
  <c r="H2135" i="2"/>
  <c r="G2135" i="2"/>
  <c r="F2135" i="2"/>
  <c r="C2135" i="2"/>
  <c r="B2135" i="2"/>
  <c r="A2135" i="2"/>
  <c r="O2134" i="2"/>
  <c r="N2134" i="2"/>
  <c r="M2134" i="2"/>
  <c r="L2134" i="2"/>
  <c r="K2134" i="2"/>
  <c r="J2134" i="2"/>
  <c r="I2134" i="2"/>
  <c r="H2134" i="2"/>
  <c r="G2134" i="2"/>
  <c r="F2134" i="2"/>
  <c r="C2134" i="2"/>
  <c r="B2134" i="2"/>
  <c r="A2134" i="2"/>
  <c r="O2133" i="2"/>
  <c r="N2133" i="2"/>
  <c r="M2133" i="2"/>
  <c r="L2133" i="2"/>
  <c r="K2133" i="2"/>
  <c r="J2133" i="2"/>
  <c r="I2133" i="2"/>
  <c r="H2133" i="2"/>
  <c r="G2133" i="2"/>
  <c r="F2133" i="2"/>
  <c r="C2133" i="2"/>
  <c r="B2133" i="2"/>
  <c r="A2133" i="2"/>
  <c r="O2132" i="2"/>
  <c r="N2132" i="2"/>
  <c r="M2132" i="2"/>
  <c r="L2132" i="2"/>
  <c r="K2132" i="2"/>
  <c r="J2132" i="2"/>
  <c r="I2132" i="2"/>
  <c r="H2132" i="2"/>
  <c r="G2132" i="2"/>
  <c r="F2132" i="2"/>
  <c r="C2132" i="2"/>
  <c r="B2132" i="2"/>
  <c r="A2132" i="2"/>
  <c r="O2131" i="2"/>
  <c r="N2131" i="2"/>
  <c r="M2131" i="2"/>
  <c r="L2131" i="2"/>
  <c r="K2131" i="2"/>
  <c r="J2131" i="2"/>
  <c r="I2131" i="2"/>
  <c r="H2131" i="2"/>
  <c r="G2131" i="2"/>
  <c r="F2131" i="2"/>
  <c r="C2131" i="2"/>
  <c r="B2131" i="2"/>
  <c r="A2131" i="2"/>
  <c r="O2130" i="2"/>
  <c r="N2130" i="2"/>
  <c r="M2130" i="2"/>
  <c r="L2130" i="2"/>
  <c r="K2130" i="2"/>
  <c r="J2130" i="2"/>
  <c r="I2130" i="2"/>
  <c r="H2130" i="2"/>
  <c r="G2130" i="2"/>
  <c r="F2130" i="2"/>
  <c r="C2130" i="2"/>
  <c r="B2130" i="2"/>
  <c r="A2130" i="2"/>
  <c r="O2129" i="2"/>
  <c r="N2129" i="2"/>
  <c r="M2129" i="2"/>
  <c r="L2129" i="2"/>
  <c r="K2129" i="2"/>
  <c r="J2129" i="2"/>
  <c r="I2129" i="2"/>
  <c r="H2129" i="2"/>
  <c r="G2129" i="2"/>
  <c r="F2129" i="2"/>
  <c r="C2129" i="2"/>
  <c r="B2129" i="2"/>
  <c r="A2129" i="2"/>
  <c r="O2128" i="2"/>
  <c r="N2128" i="2"/>
  <c r="M2128" i="2"/>
  <c r="L2128" i="2"/>
  <c r="K2128" i="2"/>
  <c r="J2128" i="2"/>
  <c r="I2128" i="2"/>
  <c r="H2128" i="2"/>
  <c r="G2128" i="2"/>
  <c r="F2128" i="2"/>
  <c r="C2128" i="2"/>
  <c r="B2128" i="2"/>
  <c r="A2128" i="2"/>
  <c r="O2127" i="2"/>
  <c r="N2127" i="2"/>
  <c r="M2127" i="2"/>
  <c r="L2127" i="2"/>
  <c r="K2127" i="2"/>
  <c r="J2127" i="2"/>
  <c r="I2127" i="2"/>
  <c r="H2127" i="2"/>
  <c r="G2127" i="2"/>
  <c r="F2127" i="2"/>
  <c r="C2127" i="2"/>
  <c r="B2127" i="2"/>
  <c r="A2127" i="2"/>
  <c r="O2126" i="2"/>
  <c r="N2126" i="2"/>
  <c r="M2126" i="2"/>
  <c r="L2126" i="2"/>
  <c r="K2126" i="2"/>
  <c r="J2126" i="2"/>
  <c r="I2126" i="2"/>
  <c r="H2126" i="2"/>
  <c r="G2126" i="2"/>
  <c r="F2126" i="2"/>
  <c r="C2126" i="2"/>
  <c r="B2126" i="2"/>
  <c r="A2126" i="2"/>
  <c r="O2125" i="2"/>
  <c r="N2125" i="2"/>
  <c r="M2125" i="2"/>
  <c r="L2125" i="2"/>
  <c r="K2125" i="2"/>
  <c r="J2125" i="2"/>
  <c r="I2125" i="2"/>
  <c r="H2125" i="2"/>
  <c r="G2125" i="2"/>
  <c r="F2125" i="2"/>
  <c r="C2125" i="2"/>
  <c r="B2125" i="2"/>
  <c r="A2125" i="2"/>
  <c r="O2124" i="2"/>
  <c r="N2124" i="2"/>
  <c r="M2124" i="2"/>
  <c r="L2124" i="2"/>
  <c r="K2124" i="2"/>
  <c r="J2124" i="2"/>
  <c r="I2124" i="2"/>
  <c r="H2124" i="2"/>
  <c r="G2124" i="2"/>
  <c r="F2124" i="2"/>
  <c r="C2124" i="2"/>
  <c r="B2124" i="2"/>
  <c r="A2124" i="2"/>
  <c r="O2123" i="2"/>
  <c r="N2123" i="2"/>
  <c r="M2123" i="2"/>
  <c r="L2123" i="2"/>
  <c r="K2123" i="2"/>
  <c r="J2123" i="2"/>
  <c r="I2123" i="2"/>
  <c r="H2123" i="2"/>
  <c r="G2123" i="2"/>
  <c r="F2123" i="2"/>
  <c r="C2123" i="2"/>
  <c r="B2123" i="2"/>
  <c r="A2123" i="2"/>
  <c r="O2122" i="2"/>
  <c r="N2122" i="2"/>
  <c r="M2122" i="2"/>
  <c r="L2122" i="2"/>
  <c r="K2122" i="2"/>
  <c r="J2122" i="2"/>
  <c r="I2122" i="2"/>
  <c r="H2122" i="2"/>
  <c r="G2122" i="2"/>
  <c r="F2122" i="2"/>
  <c r="C2122" i="2"/>
  <c r="B2122" i="2"/>
  <c r="A2122" i="2"/>
  <c r="O2121" i="2"/>
  <c r="N2121" i="2"/>
  <c r="M2121" i="2"/>
  <c r="L2121" i="2"/>
  <c r="K2121" i="2"/>
  <c r="J2121" i="2"/>
  <c r="I2121" i="2"/>
  <c r="H2121" i="2"/>
  <c r="G2121" i="2"/>
  <c r="F2121" i="2"/>
  <c r="C2121" i="2"/>
  <c r="B2121" i="2"/>
  <c r="A2121" i="2"/>
  <c r="O2120" i="2"/>
  <c r="N2120" i="2"/>
  <c r="M2120" i="2"/>
  <c r="L2120" i="2"/>
  <c r="K2120" i="2"/>
  <c r="J2120" i="2"/>
  <c r="I2120" i="2"/>
  <c r="H2120" i="2"/>
  <c r="G2120" i="2"/>
  <c r="F2120" i="2"/>
  <c r="C2120" i="2"/>
  <c r="B2120" i="2"/>
  <c r="A2120" i="2"/>
  <c r="O2119" i="2"/>
  <c r="N2119" i="2"/>
  <c r="M2119" i="2"/>
  <c r="L2119" i="2"/>
  <c r="K2119" i="2"/>
  <c r="J2119" i="2"/>
  <c r="I2119" i="2"/>
  <c r="H2119" i="2"/>
  <c r="G2119" i="2"/>
  <c r="F2119" i="2"/>
  <c r="C2119" i="2"/>
  <c r="B2119" i="2"/>
  <c r="A2119" i="2"/>
  <c r="O2118" i="2"/>
  <c r="N2118" i="2"/>
  <c r="M2118" i="2"/>
  <c r="L2118" i="2"/>
  <c r="K2118" i="2"/>
  <c r="J2118" i="2"/>
  <c r="I2118" i="2"/>
  <c r="H2118" i="2"/>
  <c r="G2118" i="2"/>
  <c r="F2118" i="2"/>
  <c r="C2118" i="2"/>
  <c r="B2118" i="2"/>
  <c r="A2118" i="2"/>
  <c r="O2117" i="2"/>
  <c r="N2117" i="2"/>
  <c r="M2117" i="2"/>
  <c r="L2117" i="2"/>
  <c r="K2117" i="2"/>
  <c r="J2117" i="2"/>
  <c r="I2117" i="2"/>
  <c r="H2117" i="2"/>
  <c r="G2117" i="2"/>
  <c r="F2117" i="2"/>
  <c r="C2117" i="2"/>
  <c r="B2117" i="2"/>
  <c r="A2117" i="2"/>
  <c r="O2116" i="2"/>
  <c r="N2116" i="2"/>
  <c r="M2116" i="2"/>
  <c r="L2116" i="2"/>
  <c r="K2116" i="2"/>
  <c r="J2116" i="2"/>
  <c r="I2116" i="2"/>
  <c r="H2116" i="2"/>
  <c r="G2116" i="2"/>
  <c r="F2116" i="2"/>
  <c r="C2116" i="2"/>
  <c r="B2116" i="2"/>
  <c r="A2116" i="2"/>
  <c r="O2115" i="2"/>
  <c r="N2115" i="2"/>
  <c r="M2115" i="2"/>
  <c r="L2115" i="2"/>
  <c r="K2115" i="2"/>
  <c r="J2115" i="2"/>
  <c r="I2115" i="2"/>
  <c r="H2115" i="2"/>
  <c r="G2115" i="2"/>
  <c r="F2115" i="2"/>
  <c r="C2115" i="2"/>
  <c r="B2115" i="2"/>
  <c r="A2115" i="2"/>
  <c r="O2114" i="2"/>
  <c r="N2114" i="2"/>
  <c r="M2114" i="2"/>
  <c r="L2114" i="2"/>
  <c r="K2114" i="2"/>
  <c r="J2114" i="2"/>
  <c r="I2114" i="2"/>
  <c r="H2114" i="2"/>
  <c r="G2114" i="2"/>
  <c r="F2114" i="2"/>
  <c r="C2114" i="2"/>
  <c r="B2114" i="2"/>
  <c r="A2114" i="2"/>
  <c r="O2113" i="2"/>
  <c r="N2113" i="2"/>
  <c r="M2113" i="2"/>
  <c r="L2113" i="2"/>
  <c r="K2113" i="2"/>
  <c r="J2113" i="2"/>
  <c r="I2113" i="2"/>
  <c r="H2113" i="2"/>
  <c r="G2113" i="2"/>
  <c r="F2113" i="2"/>
  <c r="C2113" i="2"/>
  <c r="B2113" i="2"/>
  <c r="A2113" i="2"/>
  <c r="O2112" i="2"/>
  <c r="N2112" i="2"/>
  <c r="M2112" i="2"/>
  <c r="L2112" i="2"/>
  <c r="K2112" i="2"/>
  <c r="J2112" i="2"/>
  <c r="I2112" i="2"/>
  <c r="H2112" i="2"/>
  <c r="G2112" i="2"/>
  <c r="F2112" i="2"/>
  <c r="C2112" i="2"/>
  <c r="B2112" i="2"/>
  <c r="A2112" i="2"/>
  <c r="O2111" i="2"/>
  <c r="N2111" i="2"/>
  <c r="M2111" i="2"/>
  <c r="L2111" i="2"/>
  <c r="K2111" i="2"/>
  <c r="J2111" i="2"/>
  <c r="I2111" i="2"/>
  <c r="H2111" i="2"/>
  <c r="G2111" i="2"/>
  <c r="F2111" i="2"/>
  <c r="C2111" i="2"/>
  <c r="B2111" i="2"/>
  <c r="A2111" i="2"/>
  <c r="O2110" i="2"/>
  <c r="N2110" i="2"/>
  <c r="M2110" i="2"/>
  <c r="L2110" i="2"/>
  <c r="K2110" i="2"/>
  <c r="J2110" i="2"/>
  <c r="I2110" i="2"/>
  <c r="H2110" i="2"/>
  <c r="G2110" i="2"/>
  <c r="F2110" i="2"/>
  <c r="C2110" i="2"/>
  <c r="B2110" i="2"/>
  <c r="A2110" i="2"/>
  <c r="O2109" i="2"/>
  <c r="N2109" i="2"/>
  <c r="M2109" i="2"/>
  <c r="L2109" i="2"/>
  <c r="K2109" i="2"/>
  <c r="J2109" i="2"/>
  <c r="I2109" i="2"/>
  <c r="H2109" i="2"/>
  <c r="G2109" i="2"/>
  <c r="F2109" i="2"/>
  <c r="C2109" i="2"/>
  <c r="B2109" i="2"/>
  <c r="A2109" i="2"/>
  <c r="O2108" i="2"/>
  <c r="N2108" i="2"/>
  <c r="M2108" i="2"/>
  <c r="L2108" i="2"/>
  <c r="K2108" i="2"/>
  <c r="J2108" i="2"/>
  <c r="I2108" i="2"/>
  <c r="H2108" i="2"/>
  <c r="G2108" i="2"/>
  <c r="F2108" i="2"/>
  <c r="C2108" i="2"/>
  <c r="B2108" i="2"/>
  <c r="A2108" i="2"/>
  <c r="O2107" i="2"/>
  <c r="N2107" i="2"/>
  <c r="M2107" i="2"/>
  <c r="L2107" i="2"/>
  <c r="K2107" i="2"/>
  <c r="J2107" i="2"/>
  <c r="I2107" i="2"/>
  <c r="H2107" i="2"/>
  <c r="G2107" i="2"/>
  <c r="F2107" i="2"/>
  <c r="C2107" i="2"/>
  <c r="B2107" i="2"/>
  <c r="A2107" i="2"/>
  <c r="O2106" i="2"/>
  <c r="N2106" i="2"/>
  <c r="M2106" i="2"/>
  <c r="L2106" i="2"/>
  <c r="K2106" i="2"/>
  <c r="J2106" i="2"/>
  <c r="I2106" i="2"/>
  <c r="H2106" i="2"/>
  <c r="G2106" i="2"/>
  <c r="F2106" i="2"/>
  <c r="C2106" i="2"/>
  <c r="B2106" i="2"/>
  <c r="A2106" i="2"/>
  <c r="O2105" i="2"/>
  <c r="N2105" i="2"/>
  <c r="M2105" i="2"/>
  <c r="L2105" i="2"/>
  <c r="K2105" i="2"/>
  <c r="J2105" i="2"/>
  <c r="I2105" i="2"/>
  <c r="H2105" i="2"/>
  <c r="G2105" i="2"/>
  <c r="F2105" i="2"/>
  <c r="C2105" i="2"/>
  <c r="B2105" i="2"/>
  <c r="A2105" i="2"/>
  <c r="O2104" i="2"/>
  <c r="N2104" i="2"/>
  <c r="M2104" i="2"/>
  <c r="L2104" i="2"/>
  <c r="K2104" i="2"/>
  <c r="J2104" i="2"/>
  <c r="I2104" i="2"/>
  <c r="H2104" i="2"/>
  <c r="G2104" i="2"/>
  <c r="F2104" i="2"/>
  <c r="C2104" i="2"/>
  <c r="B2104" i="2"/>
  <c r="A2104" i="2"/>
  <c r="O2103" i="2"/>
  <c r="N2103" i="2"/>
  <c r="M2103" i="2"/>
  <c r="L2103" i="2"/>
  <c r="K2103" i="2"/>
  <c r="J2103" i="2"/>
  <c r="I2103" i="2"/>
  <c r="H2103" i="2"/>
  <c r="G2103" i="2"/>
  <c r="F2103" i="2"/>
  <c r="C2103" i="2"/>
  <c r="B2103" i="2"/>
  <c r="A2103" i="2"/>
  <c r="O2102" i="2"/>
  <c r="N2102" i="2"/>
  <c r="M2102" i="2"/>
  <c r="L2102" i="2"/>
  <c r="K2102" i="2"/>
  <c r="J2102" i="2"/>
  <c r="I2102" i="2"/>
  <c r="H2102" i="2"/>
  <c r="G2102" i="2"/>
  <c r="F2102" i="2"/>
  <c r="C2102" i="2"/>
  <c r="B2102" i="2"/>
  <c r="A2102" i="2"/>
  <c r="O2101" i="2"/>
  <c r="N2101" i="2"/>
  <c r="M2101" i="2"/>
  <c r="L2101" i="2"/>
  <c r="K2101" i="2"/>
  <c r="J2101" i="2"/>
  <c r="I2101" i="2"/>
  <c r="H2101" i="2"/>
  <c r="G2101" i="2"/>
  <c r="F2101" i="2"/>
  <c r="C2101" i="2"/>
  <c r="B2101" i="2"/>
  <c r="A2101" i="2"/>
  <c r="O2100" i="2"/>
  <c r="N2100" i="2"/>
  <c r="M2100" i="2"/>
  <c r="L2100" i="2"/>
  <c r="K2100" i="2"/>
  <c r="J2100" i="2"/>
  <c r="I2100" i="2"/>
  <c r="H2100" i="2"/>
  <c r="G2100" i="2"/>
  <c r="F2100" i="2"/>
  <c r="C2100" i="2"/>
  <c r="B2100" i="2"/>
  <c r="A2100" i="2"/>
  <c r="O2099" i="2"/>
  <c r="N2099" i="2"/>
  <c r="M2099" i="2"/>
  <c r="L2099" i="2"/>
  <c r="K2099" i="2"/>
  <c r="J2099" i="2"/>
  <c r="I2099" i="2"/>
  <c r="H2099" i="2"/>
  <c r="G2099" i="2"/>
  <c r="F2099" i="2"/>
  <c r="C2099" i="2"/>
  <c r="B2099" i="2"/>
  <c r="A2099" i="2"/>
  <c r="O2098" i="2"/>
  <c r="N2098" i="2"/>
  <c r="M2098" i="2"/>
  <c r="L2098" i="2"/>
  <c r="K2098" i="2"/>
  <c r="J2098" i="2"/>
  <c r="I2098" i="2"/>
  <c r="H2098" i="2"/>
  <c r="G2098" i="2"/>
  <c r="F2098" i="2"/>
  <c r="C2098" i="2"/>
  <c r="B2098" i="2"/>
  <c r="A2098" i="2"/>
  <c r="O2097" i="2"/>
  <c r="N2097" i="2"/>
  <c r="M2097" i="2"/>
  <c r="L2097" i="2"/>
  <c r="K2097" i="2"/>
  <c r="J2097" i="2"/>
  <c r="I2097" i="2"/>
  <c r="H2097" i="2"/>
  <c r="G2097" i="2"/>
  <c r="F2097" i="2"/>
  <c r="C2097" i="2"/>
  <c r="B2097" i="2"/>
  <c r="A2097" i="2"/>
  <c r="O2096" i="2"/>
  <c r="N2096" i="2"/>
  <c r="M2096" i="2"/>
  <c r="L2096" i="2"/>
  <c r="K2096" i="2"/>
  <c r="J2096" i="2"/>
  <c r="I2096" i="2"/>
  <c r="H2096" i="2"/>
  <c r="G2096" i="2"/>
  <c r="F2096" i="2"/>
  <c r="C2096" i="2"/>
  <c r="B2096" i="2"/>
  <c r="A2096" i="2"/>
  <c r="O2095" i="2"/>
  <c r="N2095" i="2"/>
  <c r="M2095" i="2"/>
  <c r="L2095" i="2"/>
  <c r="K2095" i="2"/>
  <c r="J2095" i="2"/>
  <c r="I2095" i="2"/>
  <c r="H2095" i="2"/>
  <c r="G2095" i="2"/>
  <c r="F2095" i="2"/>
  <c r="C2095" i="2"/>
  <c r="B2095" i="2"/>
  <c r="A2095" i="2"/>
  <c r="O2094" i="2"/>
  <c r="N2094" i="2"/>
  <c r="M2094" i="2"/>
  <c r="L2094" i="2"/>
  <c r="K2094" i="2"/>
  <c r="J2094" i="2"/>
  <c r="I2094" i="2"/>
  <c r="H2094" i="2"/>
  <c r="G2094" i="2"/>
  <c r="F2094" i="2"/>
  <c r="C2094" i="2"/>
  <c r="B2094" i="2"/>
  <c r="A2094" i="2"/>
  <c r="O2093" i="2"/>
  <c r="N2093" i="2"/>
  <c r="M2093" i="2"/>
  <c r="L2093" i="2"/>
  <c r="K2093" i="2"/>
  <c r="J2093" i="2"/>
  <c r="I2093" i="2"/>
  <c r="H2093" i="2"/>
  <c r="G2093" i="2"/>
  <c r="F2093" i="2"/>
  <c r="C2093" i="2"/>
  <c r="B2093" i="2"/>
  <c r="A2093" i="2"/>
  <c r="O2092" i="2"/>
  <c r="N2092" i="2"/>
  <c r="M2092" i="2"/>
  <c r="L2092" i="2"/>
  <c r="K2092" i="2"/>
  <c r="J2092" i="2"/>
  <c r="I2092" i="2"/>
  <c r="H2092" i="2"/>
  <c r="G2092" i="2"/>
  <c r="F2092" i="2"/>
  <c r="C2092" i="2"/>
  <c r="B2092" i="2"/>
  <c r="A2092" i="2"/>
  <c r="O2091" i="2"/>
  <c r="N2091" i="2"/>
  <c r="M2091" i="2"/>
  <c r="L2091" i="2"/>
  <c r="K2091" i="2"/>
  <c r="J2091" i="2"/>
  <c r="I2091" i="2"/>
  <c r="H2091" i="2"/>
  <c r="G2091" i="2"/>
  <c r="F2091" i="2"/>
  <c r="C2091" i="2"/>
  <c r="B2091" i="2"/>
  <c r="A2091" i="2"/>
  <c r="O2090" i="2"/>
  <c r="N2090" i="2"/>
  <c r="M2090" i="2"/>
  <c r="L2090" i="2"/>
  <c r="K2090" i="2"/>
  <c r="J2090" i="2"/>
  <c r="I2090" i="2"/>
  <c r="H2090" i="2"/>
  <c r="G2090" i="2"/>
  <c r="F2090" i="2"/>
  <c r="C2090" i="2"/>
  <c r="B2090" i="2"/>
  <c r="A2090" i="2"/>
  <c r="O2089" i="2"/>
  <c r="N2089" i="2"/>
  <c r="M2089" i="2"/>
  <c r="L2089" i="2"/>
  <c r="K2089" i="2"/>
  <c r="J2089" i="2"/>
  <c r="I2089" i="2"/>
  <c r="H2089" i="2"/>
  <c r="G2089" i="2"/>
  <c r="F2089" i="2"/>
  <c r="C2089" i="2"/>
  <c r="B2089" i="2"/>
  <c r="A2089" i="2"/>
  <c r="O2088" i="2"/>
  <c r="N2088" i="2"/>
  <c r="M2088" i="2"/>
  <c r="L2088" i="2"/>
  <c r="K2088" i="2"/>
  <c r="J2088" i="2"/>
  <c r="I2088" i="2"/>
  <c r="H2088" i="2"/>
  <c r="G2088" i="2"/>
  <c r="F2088" i="2"/>
  <c r="C2088" i="2"/>
  <c r="B2088" i="2"/>
  <c r="A2088" i="2"/>
  <c r="O2087" i="2"/>
  <c r="N2087" i="2"/>
  <c r="M2087" i="2"/>
  <c r="L2087" i="2"/>
  <c r="K2087" i="2"/>
  <c r="J2087" i="2"/>
  <c r="I2087" i="2"/>
  <c r="H2087" i="2"/>
  <c r="G2087" i="2"/>
  <c r="F2087" i="2"/>
  <c r="C2087" i="2"/>
  <c r="B2087" i="2"/>
  <c r="A2087" i="2"/>
  <c r="O2086" i="2"/>
  <c r="N2086" i="2"/>
  <c r="M2086" i="2"/>
  <c r="L2086" i="2"/>
  <c r="K2086" i="2"/>
  <c r="J2086" i="2"/>
  <c r="I2086" i="2"/>
  <c r="H2086" i="2"/>
  <c r="G2086" i="2"/>
  <c r="F2086" i="2"/>
  <c r="C2086" i="2"/>
  <c r="B2086" i="2"/>
  <c r="A2086" i="2"/>
  <c r="O2085" i="2"/>
  <c r="N2085" i="2"/>
  <c r="M2085" i="2"/>
  <c r="L2085" i="2"/>
  <c r="K2085" i="2"/>
  <c r="J2085" i="2"/>
  <c r="I2085" i="2"/>
  <c r="H2085" i="2"/>
  <c r="G2085" i="2"/>
  <c r="F2085" i="2"/>
  <c r="C2085" i="2"/>
  <c r="B2085" i="2"/>
  <c r="A2085" i="2"/>
  <c r="O2084" i="2"/>
  <c r="N2084" i="2"/>
  <c r="M2084" i="2"/>
  <c r="L2084" i="2"/>
  <c r="K2084" i="2"/>
  <c r="J2084" i="2"/>
  <c r="I2084" i="2"/>
  <c r="H2084" i="2"/>
  <c r="G2084" i="2"/>
  <c r="F2084" i="2"/>
  <c r="C2084" i="2"/>
  <c r="B2084" i="2"/>
  <c r="A2084" i="2"/>
  <c r="O2083" i="2"/>
  <c r="N2083" i="2"/>
  <c r="M2083" i="2"/>
  <c r="L2083" i="2"/>
  <c r="K2083" i="2"/>
  <c r="J2083" i="2"/>
  <c r="I2083" i="2"/>
  <c r="H2083" i="2"/>
  <c r="G2083" i="2"/>
  <c r="F2083" i="2"/>
  <c r="C2083" i="2"/>
  <c r="B2083" i="2"/>
  <c r="A2083" i="2"/>
  <c r="O2082" i="2"/>
  <c r="N2082" i="2"/>
  <c r="M2082" i="2"/>
  <c r="L2082" i="2"/>
  <c r="K2082" i="2"/>
  <c r="J2082" i="2"/>
  <c r="I2082" i="2"/>
  <c r="H2082" i="2"/>
  <c r="G2082" i="2"/>
  <c r="F2082" i="2"/>
  <c r="C2082" i="2"/>
  <c r="B2082" i="2"/>
  <c r="A2082" i="2"/>
  <c r="O2081" i="2"/>
  <c r="N2081" i="2"/>
  <c r="M2081" i="2"/>
  <c r="L2081" i="2"/>
  <c r="K2081" i="2"/>
  <c r="J2081" i="2"/>
  <c r="I2081" i="2"/>
  <c r="H2081" i="2"/>
  <c r="G2081" i="2"/>
  <c r="F2081" i="2"/>
  <c r="C2081" i="2"/>
  <c r="B2081" i="2"/>
  <c r="A2081" i="2"/>
  <c r="O2080" i="2"/>
  <c r="N2080" i="2"/>
  <c r="M2080" i="2"/>
  <c r="L2080" i="2"/>
  <c r="K2080" i="2"/>
  <c r="J2080" i="2"/>
  <c r="I2080" i="2"/>
  <c r="H2080" i="2"/>
  <c r="G2080" i="2"/>
  <c r="F2080" i="2"/>
  <c r="C2080" i="2"/>
  <c r="B2080" i="2"/>
  <c r="A2080" i="2"/>
  <c r="O2079" i="2"/>
  <c r="N2079" i="2"/>
  <c r="M2079" i="2"/>
  <c r="L2079" i="2"/>
  <c r="K2079" i="2"/>
  <c r="J2079" i="2"/>
  <c r="I2079" i="2"/>
  <c r="H2079" i="2"/>
  <c r="G2079" i="2"/>
  <c r="F2079" i="2"/>
  <c r="C2079" i="2"/>
  <c r="B2079" i="2"/>
  <c r="A2079" i="2"/>
  <c r="O2078" i="2"/>
  <c r="N2078" i="2"/>
  <c r="M2078" i="2"/>
  <c r="L2078" i="2"/>
  <c r="K2078" i="2"/>
  <c r="J2078" i="2"/>
  <c r="I2078" i="2"/>
  <c r="H2078" i="2"/>
  <c r="G2078" i="2"/>
  <c r="F2078" i="2"/>
  <c r="C2078" i="2"/>
  <c r="B2078" i="2"/>
  <c r="A2078" i="2"/>
  <c r="O2077" i="2"/>
  <c r="N2077" i="2"/>
  <c r="M2077" i="2"/>
  <c r="L2077" i="2"/>
  <c r="K2077" i="2"/>
  <c r="J2077" i="2"/>
  <c r="I2077" i="2"/>
  <c r="H2077" i="2"/>
  <c r="G2077" i="2"/>
  <c r="F2077" i="2"/>
  <c r="C2077" i="2"/>
  <c r="B2077" i="2"/>
  <c r="A2077" i="2"/>
  <c r="O2076" i="2"/>
  <c r="N2076" i="2"/>
  <c r="M2076" i="2"/>
  <c r="L2076" i="2"/>
  <c r="K2076" i="2"/>
  <c r="J2076" i="2"/>
  <c r="I2076" i="2"/>
  <c r="H2076" i="2"/>
  <c r="G2076" i="2"/>
  <c r="F2076" i="2"/>
  <c r="C2076" i="2"/>
  <c r="B2076" i="2"/>
  <c r="A2076" i="2"/>
  <c r="O2075" i="2"/>
  <c r="N2075" i="2"/>
  <c r="M2075" i="2"/>
  <c r="L2075" i="2"/>
  <c r="K2075" i="2"/>
  <c r="J2075" i="2"/>
  <c r="I2075" i="2"/>
  <c r="H2075" i="2"/>
  <c r="G2075" i="2"/>
  <c r="F2075" i="2"/>
  <c r="C2075" i="2"/>
  <c r="B2075" i="2"/>
  <c r="A2075" i="2"/>
  <c r="O2074" i="2"/>
  <c r="N2074" i="2"/>
  <c r="M2074" i="2"/>
  <c r="L2074" i="2"/>
  <c r="K2074" i="2"/>
  <c r="J2074" i="2"/>
  <c r="I2074" i="2"/>
  <c r="H2074" i="2"/>
  <c r="G2074" i="2"/>
  <c r="F2074" i="2"/>
  <c r="C2074" i="2"/>
  <c r="B2074" i="2"/>
  <c r="A2074" i="2"/>
  <c r="O2073" i="2"/>
  <c r="N2073" i="2"/>
  <c r="M2073" i="2"/>
  <c r="L2073" i="2"/>
  <c r="K2073" i="2"/>
  <c r="J2073" i="2"/>
  <c r="I2073" i="2"/>
  <c r="H2073" i="2"/>
  <c r="G2073" i="2"/>
  <c r="F2073" i="2"/>
  <c r="C2073" i="2"/>
  <c r="B2073" i="2"/>
  <c r="A2073" i="2"/>
  <c r="O2072" i="2"/>
  <c r="N2072" i="2"/>
  <c r="M2072" i="2"/>
  <c r="L2072" i="2"/>
  <c r="K2072" i="2"/>
  <c r="J2072" i="2"/>
  <c r="I2072" i="2"/>
  <c r="H2072" i="2"/>
  <c r="G2072" i="2"/>
  <c r="F2072" i="2"/>
  <c r="C2072" i="2"/>
  <c r="B2072" i="2"/>
  <c r="A2072" i="2"/>
  <c r="O2071" i="2"/>
  <c r="N2071" i="2"/>
  <c r="M2071" i="2"/>
  <c r="L2071" i="2"/>
  <c r="K2071" i="2"/>
  <c r="J2071" i="2"/>
  <c r="I2071" i="2"/>
  <c r="H2071" i="2"/>
  <c r="G2071" i="2"/>
  <c r="F2071" i="2"/>
  <c r="C2071" i="2"/>
  <c r="B2071" i="2"/>
  <c r="A2071" i="2"/>
  <c r="O2070" i="2"/>
  <c r="N2070" i="2"/>
  <c r="M2070" i="2"/>
  <c r="L2070" i="2"/>
  <c r="K2070" i="2"/>
  <c r="J2070" i="2"/>
  <c r="I2070" i="2"/>
  <c r="H2070" i="2"/>
  <c r="G2070" i="2"/>
  <c r="F2070" i="2"/>
  <c r="C2070" i="2"/>
  <c r="B2070" i="2"/>
  <c r="A2070" i="2"/>
  <c r="O2069" i="2"/>
  <c r="N2069" i="2"/>
  <c r="M2069" i="2"/>
  <c r="L2069" i="2"/>
  <c r="K2069" i="2"/>
  <c r="J2069" i="2"/>
  <c r="I2069" i="2"/>
  <c r="H2069" i="2"/>
  <c r="G2069" i="2"/>
  <c r="F2069" i="2"/>
  <c r="C2069" i="2"/>
  <c r="B2069" i="2"/>
  <c r="A2069" i="2"/>
  <c r="O2068" i="2"/>
  <c r="N2068" i="2"/>
  <c r="M2068" i="2"/>
  <c r="L2068" i="2"/>
  <c r="K2068" i="2"/>
  <c r="J2068" i="2"/>
  <c r="I2068" i="2"/>
  <c r="H2068" i="2"/>
  <c r="G2068" i="2"/>
  <c r="F2068" i="2"/>
  <c r="C2068" i="2"/>
  <c r="B2068" i="2"/>
  <c r="A2068" i="2"/>
  <c r="O2067" i="2"/>
  <c r="N2067" i="2"/>
  <c r="M2067" i="2"/>
  <c r="L2067" i="2"/>
  <c r="K2067" i="2"/>
  <c r="J2067" i="2"/>
  <c r="I2067" i="2"/>
  <c r="H2067" i="2"/>
  <c r="G2067" i="2"/>
  <c r="F2067" i="2"/>
  <c r="C2067" i="2"/>
  <c r="B2067" i="2"/>
  <c r="A2067" i="2"/>
  <c r="O2066" i="2"/>
  <c r="N2066" i="2"/>
  <c r="M2066" i="2"/>
  <c r="L2066" i="2"/>
  <c r="K2066" i="2"/>
  <c r="J2066" i="2"/>
  <c r="I2066" i="2"/>
  <c r="H2066" i="2"/>
  <c r="G2066" i="2"/>
  <c r="F2066" i="2"/>
  <c r="C2066" i="2"/>
  <c r="B2066" i="2"/>
  <c r="A2066" i="2"/>
  <c r="O2065" i="2"/>
  <c r="N2065" i="2"/>
  <c r="M2065" i="2"/>
  <c r="L2065" i="2"/>
  <c r="K2065" i="2"/>
  <c r="J2065" i="2"/>
  <c r="I2065" i="2"/>
  <c r="H2065" i="2"/>
  <c r="G2065" i="2"/>
  <c r="F2065" i="2"/>
  <c r="C2065" i="2"/>
  <c r="B2065" i="2"/>
  <c r="A2065" i="2"/>
  <c r="O2064" i="2"/>
  <c r="N2064" i="2"/>
  <c r="M2064" i="2"/>
  <c r="L2064" i="2"/>
  <c r="K2064" i="2"/>
  <c r="J2064" i="2"/>
  <c r="I2064" i="2"/>
  <c r="H2064" i="2"/>
  <c r="G2064" i="2"/>
  <c r="F2064" i="2"/>
  <c r="C2064" i="2"/>
  <c r="B2064" i="2"/>
  <c r="A2064" i="2"/>
  <c r="O2063" i="2"/>
  <c r="N2063" i="2"/>
  <c r="M2063" i="2"/>
  <c r="L2063" i="2"/>
  <c r="K2063" i="2"/>
  <c r="J2063" i="2"/>
  <c r="I2063" i="2"/>
  <c r="H2063" i="2"/>
  <c r="G2063" i="2"/>
  <c r="F2063" i="2"/>
  <c r="C2063" i="2"/>
  <c r="B2063" i="2"/>
  <c r="A2063" i="2"/>
  <c r="O2062" i="2"/>
  <c r="N2062" i="2"/>
  <c r="M2062" i="2"/>
  <c r="L2062" i="2"/>
  <c r="K2062" i="2"/>
  <c r="J2062" i="2"/>
  <c r="I2062" i="2"/>
  <c r="H2062" i="2"/>
  <c r="G2062" i="2"/>
  <c r="F2062" i="2"/>
  <c r="C2062" i="2"/>
  <c r="B2062" i="2"/>
  <c r="A2062" i="2"/>
  <c r="O2061" i="2"/>
  <c r="N2061" i="2"/>
  <c r="M2061" i="2"/>
  <c r="L2061" i="2"/>
  <c r="K2061" i="2"/>
  <c r="J2061" i="2"/>
  <c r="I2061" i="2"/>
  <c r="H2061" i="2"/>
  <c r="G2061" i="2"/>
  <c r="F2061" i="2"/>
  <c r="C2061" i="2"/>
  <c r="B2061" i="2"/>
  <c r="A2061" i="2"/>
  <c r="O2060" i="2"/>
  <c r="N2060" i="2"/>
  <c r="M2060" i="2"/>
  <c r="L2060" i="2"/>
  <c r="K2060" i="2"/>
  <c r="J2060" i="2"/>
  <c r="I2060" i="2"/>
  <c r="H2060" i="2"/>
  <c r="G2060" i="2"/>
  <c r="F2060" i="2"/>
  <c r="C2060" i="2"/>
  <c r="B2060" i="2"/>
  <c r="A2060" i="2"/>
  <c r="O2059" i="2"/>
  <c r="N2059" i="2"/>
  <c r="M2059" i="2"/>
  <c r="L2059" i="2"/>
  <c r="K2059" i="2"/>
  <c r="J2059" i="2"/>
  <c r="I2059" i="2"/>
  <c r="H2059" i="2"/>
  <c r="G2059" i="2"/>
  <c r="F2059" i="2"/>
  <c r="C2059" i="2"/>
  <c r="B2059" i="2"/>
  <c r="A2059" i="2"/>
  <c r="O2058" i="2"/>
  <c r="N2058" i="2"/>
  <c r="M2058" i="2"/>
  <c r="L2058" i="2"/>
  <c r="K2058" i="2"/>
  <c r="J2058" i="2"/>
  <c r="I2058" i="2"/>
  <c r="H2058" i="2"/>
  <c r="G2058" i="2"/>
  <c r="F2058" i="2"/>
  <c r="C2058" i="2"/>
  <c r="B2058" i="2"/>
  <c r="A2058" i="2"/>
  <c r="O2057" i="2"/>
  <c r="N2057" i="2"/>
  <c r="M2057" i="2"/>
  <c r="L2057" i="2"/>
  <c r="K2057" i="2"/>
  <c r="J2057" i="2"/>
  <c r="I2057" i="2"/>
  <c r="H2057" i="2"/>
  <c r="G2057" i="2"/>
  <c r="F2057" i="2"/>
  <c r="C2057" i="2"/>
  <c r="B2057" i="2"/>
  <c r="A2057" i="2"/>
  <c r="O2056" i="2"/>
  <c r="N2056" i="2"/>
  <c r="M2056" i="2"/>
  <c r="L2056" i="2"/>
  <c r="K2056" i="2"/>
  <c r="J2056" i="2"/>
  <c r="I2056" i="2"/>
  <c r="H2056" i="2"/>
  <c r="G2056" i="2"/>
  <c r="F2056" i="2"/>
  <c r="C2056" i="2"/>
  <c r="B2056" i="2"/>
  <c r="A2056" i="2"/>
  <c r="O2055" i="2"/>
  <c r="N2055" i="2"/>
  <c r="M2055" i="2"/>
  <c r="L2055" i="2"/>
  <c r="K2055" i="2"/>
  <c r="J2055" i="2"/>
  <c r="I2055" i="2"/>
  <c r="H2055" i="2"/>
  <c r="G2055" i="2"/>
  <c r="F2055" i="2"/>
  <c r="C2055" i="2"/>
  <c r="B2055" i="2"/>
  <c r="A2055" i="2"/>
  <c r="O2054" i="2"/>
  <c r="N2054" i="2"/>
  <c r="M2054" i="2"/>
  <c r="L2054" i="2"/>
  <c r="K2054" i="2"/>
  <c r="J2054" i="2"/>
  <c r="I2054" i="2"/>
  <c r="H2054" i="2"/>
  <c r="G2054" i="2"/>
  <c r="F2054" i="2"/>
  <c r="C2054" i="2"/>
  <c r="B2054" i="2"/>
  <c r="A2054" i="2"/>
  <c r="O2053" i="2"/>
  <c r="N2053" i="2"/>
  <c r="M2053" i="2"/>
  <c r="L2053" i="2"/>
  <c r="K2053" i="2"/>
  <c r="J2053" i="2"/>
  <c r="I2053" i="2"/>
  <c r="H2053" i="2"/>
  <c r="G2053" i="2"/>
  <c r="F2053" i="2"/>
  <c r="C2053" i="2"/>
  <c r="B2053" i="2"/>
  <c r="A2053" i="2"/>
  <c r="O2052" i="2"/>
  <c r="N2052" i="2"/>
  <c r="M2052" i="2"/>
  <c r="L2052" i="2"/>
  <c r="K2052" i="2"/>
  <c r="J2052" i="2"/>
  <c r="I2052" i="2"/>
  <c r="H2052" i="2"/>
  <c r="G2052" i="2"/>
  <c r="F2052" i="2"/>
  <c r="C2052" i="2"/>
  <c r="B2052" i="2"/>
  <c r="A2052" i="2"/>
  <c r="O2051" i="2"/>
  <c r="N2051" i="2"/>
  <c r="M2051" i="2"/>
  <c r="L2051" i="2"/>
  <c r="K2051" i="2"/>
  <c r="J2051" i="2"/>
  <c r="I2051" i="2"/>
  <c r="H2051" i="2"/>
  <c r="G2051" i="2"/>
  <c r="F2051" i="2"/>
  <c r="C2051" i="2"/>
  <c r="B2051" i="2"/>
  <c r="A2051" i="2"/>
  <c r="O2050" i="2"/>
  <c r="N2050" i="2"/>
  <c r="M2050" i="2"/>
  <c r="L2050" i="2"/>
  <c r="K2050" i="2"/>
  <c r="J2050" i="2"/>
  <c r="I2050" i="2"/>
  <c r="H2050" i="2"/>
  <c r="G2050" i="2"/>
  <c r="F2050" i="2"/>
  <c r="C2050" i="2"/>
  <c r="B2050" i="2"/>
  <c r="A2050" i="2"/>
  <c r="O2049" i="2"/>
  <c r="N2049" i="2"/>
  <c r="M2049" i="2"/>
  <c r="L2049" i="2"/>
  <c r="K2049" i="2"/>
  <c r="J2049" i="2"/>
  <c r="I2049" i="2"/>
  <c r="H2049" i="2"/>
  <c r="G2049" i="2"/>
  <c r="F2049" i="2"/>
  <c r="C2049" i="2"/>
  <c r="B2049" i="2"/>
  <c r="A2049" i="2"/>
  <c r="O2048" i="2"/>
  <c r="N2048" i="2"/>
  <c r="M2048" i="2"/>
  <c r="L2048" i="2"/>
  <c r="K2048" i="2"/>
  <c r="J2048" i="2"/>
  <c r="I2048" i="2"/>
  <c r="H2048" i="2"/>
  <c r="G2048" i="2"/>
  <c r="F2048" i="2"/>
  <c r="C2048" i="2"/>
  <c r="B2048" i="2"/>
  <c r="A2048" i="2"/>
  <c r="O2047" i="2"/>
  <c r="N2047" i="2"/>
  <c r="M2047" i="2"/>
  <c r="L2047" i="2"/>
  <c r="K2047" i="2"/>
  <c r="J2047" i="2"/>
  <c r="I2047" i="2"/>
  <c r="H2047" i="2"/>
  <c r="G2047" i="2"/>
  <c r="F2047" i="2"/>
  <c r="C2047" i="2"/>
  <c r="B2047" i="2"/>
  <c r="A2047" i="2"/>
  <c r="O2046" i="2"/>
  <c r="N2046" i="2"/>
  <c r="M2046" i="2"/>
  <c r="L2046" i="2"/>
  <c r="K2046" i="2"/>
  <c r="J2046" i="2"/>
  <c r="I2046" i="2"/>
  <c r="H2046" i="2"/>
  <c r="G2046" i="2"/>
  <c r="F2046" i="2"/>
  <c r="C2046" i="2"/>
  <c r="B2046" i="2"/>
  <c r="A2046" i="2"/>
  <c r="O2045" i="2"/>
  <c r="N2045" i="2"/>
  <c r="M2045" i="2"/>
  <c r="L2045" i="2"/>
  <c r="K2045" i="2"/>
  <c r="J2045" i="2"/>
  <c r="I2045" i="2"/>
  <c r="H2045" i="2"/>
  <c r="G2045" i="2"/>
  <c r="F2045" i="2"/>
  <c r="C2045" i="2"/>
  <c r="B2045" i="2"/>
  <c r="A2045" i="2"/>
  <c r="O2044" i="2"/>
  <c r="N2044" i="2"/>
  <c r="M2044" i="2"/>
  <c r="L2044" i="2"/>
  <c r="K2044" i="2"/>
  <c r="J2044" i="2"/>
  <c r="I2044" i="2"/>
  <c r="H2044" i="2"/>
  <c r="G2044" i="2"/>
  <c r="F2044" i="2"/>
  <c r="C2044" i="2"/>
  <c r="B2044" i="2"/>
  <c r="A2044" i="2"/>
  <c r="O2043" i="2"/>
  <c r="N2043" i="2"/>
  <c r="M2043" i="2"/>
  <c r="L2043" i="2"/>
  <c r="K2043" i="2"/>
  <c r="J2043" i="2"/>
  <c r="I2043" i="2"/>
  <c r="H2043" i="2"/>
  <c r="G2043" i="2"/>
  <c r="F2043" i="2"/>
  <c r="C2043" i="2"/>
  <c r="B2043" i="2"/>
  <c r="A2043" i="2"/>
  <c r="O2042" i="2"/>
  <c r="N2042" i="2"/>
  <c r="M2042" i="2"/>
  <c r="L2042" i="2"/>
  <c r="K2042" i="2"/>
  <c r="J2042" i="2"/>
  <c r="I2042" i="2"/>
  <c r="H2042" i="2"/>
  <c r="G2042" i="2"/>
  <c r="F2042" i="2"/>
  <c r="C2042" i="2"/>
  <c r="B2042" i="2"/>
  <c r="A2042" i="2"/>
  <c r="O2041" i="2"/>
  <c r="N2041" i="2"/>
  <c r="M2041" i="2"/>
  <c r="L2041" i="2"/>
  <c r="K2041" i="2"/>
  <c r="J2041" i="2"/>
  <c r="I2041" i="2"/>
  <c r="H2041" i="2"/>
  <c r="G2041" i="2"/>
  <c r="F2041" i="2"/>
  <c r="C2041" i="2"/>
  <c r="B2041" i="2"/>
  <c r="A2041" i="2"/>
  <c r="O2040" i="2"/>
  <c r="N2040" i="2"/>
  <c r="M2040" i="2"/>
  <c r="L2040" i="2"/>
  <c r="K2040" i="2"/>
  <c r="J2040" i="2"/>
  <c r="I2040" i="2"/>
  <c r="H2040" i="2"/>
  <c r="G2040" i="2"/>
  <c r="F2040" i="2"/>
  <c r="C2040" i="2"/>
  <c r="B2040" i="2"/>
  <c r="A2040" i="2"/>
  <c r="O2039" i="2"/>
  <c r="N2039" i="2"/>
  <c r="M2039" i="2"/>
  <c r="L2039" i="2"/>
  <c r="K2039" i="2"/>
  <c r="J2039" i="2"/>
  <c r="I2039" i="2"/>
  <c r="H2039" i="2"/>
  <c r="G2039" i="2"/>
  <c r="F2039" i="2"/>
  <c r="C2039" i="2"/>
  <c r="B2039" i="2"/>
  <c r="A2039" i="2"/>
  <c r="O2038" i="2"/>
  <c r="N2038" i="2"/>
  <c r="M2038" i="2"/>
  <c r="L2038" i="2"/>
  <c r="K2038" i="2"/>
  <c r="J2038" i="2"/>
  <c r="I2038" i="2"/>
  <c r="H2038" i="2"/>
  <c r="G2038" i="2"/>
  <c r="F2038" i="2"/>
  <c r="C2038" i="2"/>
  <c r="B2038" i="2"/>
  <c r="A2038" i="2"/>
  <c r="O2037" i="2"/>
  <c r="N2037" i="2"/>
  <c r="M2037" i="2"/>
  <c r="L2037" i="2"/>
  <c r="K2037" i="2"/>
  <c r="J2037" i="2"/>
  <c r="I2037" i="2"/>
  <c r="H2037" i="2"/>
  <c r="G2037" i="2"/>
  <c r="F2037" i="2"/>
  <c r="C2037" i="2"/>
  <c r="B2037" i="2"/>
  <c r="A2037" i="2"/>
  <c r="O2036" i="2"/>
  <c r="N2036" i="2"/>
  <c r="M2036" i="2"/>
  <c r="L2036" i="2"/>
  <c r="K2036" i="2"/>
  <c r="J2036" i="2"/>
  <c r="I2036" i="2"/>
  <c r="H2036" i="2"/>
  <c r="G2036" i="2"/>
  <c r="F2036" i="2"/>
  <c r="C2036" i="2"/>
  <c r="B2036" i="2"/>
  <c r="A2036" i="2"/>
  <c r="O2035" i="2"/>
  <c r="N2035" i="2"/>
  <c r="M2035" i="2"/>
  <c r="L2035" i="2"/>
  <c r="K2035" i="2"/>
  <c r="J2035" i="2"/>
  <c r="I2035" i="2"/>
  <c r="H2035" i="2"/>
  <c r="G2035" i="2"/>
  <c r="F2035" i="2"/>
  <c r="C2035" i="2"/>
  <c r="B2035" i="2"/>
  <c r="A2035" i="2"/>
  <c r="O2034" i="2"/>
  <c r="N2034" i="2"/>
  <c r="M2034" i="2"/>
  <c r="L2034" i="2"/>
  <c r="K2034" i="2"/>
  <c r="J2034" i="2"/>
  <c r="I2034" i="2"/>
  <c r="H2034" i="2"/>
  <c r="G2034" i="2"/>
  <c r="F2034" i="2"/>
  <c r="C2034" i="2"/>
  <c r="B2034" i="2"/>
  <c r="A2034" i="2"/>
  <c r="O2033" i="2"/>
  <c r="N2033" i="2"/>
  <c r="M2033" i="2"/>
  <c r="L2033" i="2"/>
  <c r="K2033" i="2"/>
  <c r="J2033" i="2"/>
  <c r="I2033" i="2"/>
  <c r="H2033" i="2"/>
  <c r="G2033" i="2"/>
  <c r="F2033" i="2"/>
  <c r="C2033" i="2"/>
  <c r="B2033" i="2"/>
  <c r="A2033" i="2"/>
  <c r="O2032" i="2"/>
  <c r="N2032" i="2"/>
  <c r="M2032" i="2"/>
  <c r="L2032" i="2"/>
  <c r="K2032" i="2"/>
  <c r="J2032" i="2"/>
  <c r="I2032" i="2"/>
  <c r="H2032" i="2"/>
  <c r="G2032" i="2"/>
  <c r="F2032" i="2"/>
  <c r="C2032" i="2"/>
  <c r="B2032" i="2"/>
  <c r="A2032" i="2"/>
  <c r="O2031" i="2"/>
  <c r="N2031" i="2"/>
  <c r="M2031" i="2"/>
  <c r="L2031" i="2"/>
  <c r="K2031" i="2"/>
  <c r="J2031" i="2"/>
  <c r="I2031" i="2"/>
  <c r="H2031" i="2"/>
  <c r="G2031" i="2"/>
  <c r="F2031" i="2"/>
  <c r="C2031" i="2"/>
  <c r="B2031" i="2"/>
  <c r="A2031" i="2"/>
  <c r="O2030" i="2"/>
  <c r="N2030" i="2"/>
  <c r="M2030" i="2"/>
  <c r="L2030" i="2"/>
  <c r="K2030" i="2"/>
  <c r="J2030" i="2"/>
  <c r="I2030" i="2"/>
  <c r="H2030" i="2"/>
  <c r="G2030" i="2"/>
  <c r="F2030" i="2"/>
  <c r="C2030" i="2"/>
  <c r="B2030" i="2"/>
  <c r="A2030" i="2"/>
  <c r="O2029" i="2"/>
  <c r="N2029" i="2"/>
  <c r="M2029" i="2"/>
  <c r="L2029" i="2"/>
  <c r="K2029" i="2"/>
  <c r="J2029" i="2"/>
  <c r="I2029" i="2"/>
  <c r="H2029" i="2"/>
  <c r="G2029" i="2"/>
  <c r="F2029" i="2"/>
  <c r="C2029" i="2"/>
  <c r="B2029" i="2"/>
  <c r="A2029" i="2"/>
  <c r="O2028" i="2"/>
  <c r="N2028" i="2"/>
  <c r="M2028" i="2"/>
  <c r="L2028" i="2"/>
  <c r="K2028" i="2"/>
  <c r="J2028" i="2"/>
  <c r="I2028" i="2"/>
  <c r="H2028" i="2"/>
  <c r="G2028" i="2"/>
  <c r="F2028" i="2"/>
  <c r="C2028" i="2"/>
  <c r="B2028" i="2"/>
  <c r="A2028" i="2"/>
  <c r="O2027" i="2"/>
  <c r="N2027" i="2"/>
  <c r="M2027" i="2"/>
  <c r="L2027" i="2"/>
  <c r="K2027" i="2"/>
  <c r="J2027" i="2"/>
  <c r="I2027" i="2"/>
  <c r="H2027" i="2"/>
  <c r="G2027" i="2"/>
  <c r="F2027" i="2"/>
  <c r="C2027" i="2"/>
  <c r="B2027" i="2"/>
  <c r="A2027" i="2"/>
  <c r="O2026" i="2"/>
  <c r="N2026" i="2"/>
  <c r="M2026" i="2"/>
  <c r="L2026" i="2"/>
  <c r="K2026" i="2"/>
  <c r="J2026" i="2"/>
  <c r="I2026" i="2"/>
  <c r="H2026" i="2"/>
  <c r="G2026" i="2"/>
  <c r="F2026" i="2"/>
  <c r="C2026" i="2"/>
  <c r="B2026" i="2"/>
  <c r="A2026" i="2"/>
  <c r="O2025" i="2"/>
  <c r="N2025" i="2"/>
  <c r="M2025" i="2"/>
  <c r="L2025" i="2"/>
  <c r="K2025" i="2"/>
  <c r="J2025" i="2"/>
  <c r="I2025" i="2"/>
  <c r="H2025" i="2"/>
  <c r="G2025" i="2"/>
  <c r="F2025" i="2"/>
  <c r="C2025" i="2"/>
  <c r="B2025" i="2"/>
  <c r="A2025" i="2"/>
  <c r="O2024" i="2"/>
  <c r="N2024" i="2"/>
  <c r="M2024" i="2"/>
  <c r="L2024" i="2"/>
  <c r="K2024" i="2"/>
  <c r="J2024" i="2"/>
  <c r="I2024" i="2"/>
  <c r="H2024" i="2"/>
  <c r="G2024" i="2"/>
  <c r="F2024" i="2"/>
  <c r="C2024" i="2"/>
  <c r="B2024" i="2"/>
  <c r="A2024" i="2"/>
  <c r="O2023" i="2"/>
  <c r="N2023" i="2"/>
  <c r="M2023" i="2"/>
  <c r="L2023" i="2"/>
  <c r="K2023" i="2"/>
  <c r="J2023" i="2"/>
  <c r="I2023" i="2"/>
  <c r="H2023" i="2"/>
  <c r="G2023" i="2"/>
  <c r="F2023" i="2"/>
  <c r="C2023" i="2"/>
  <c r="B2023" i="2"/>
  <c r="A2023" i="2"/>
  <c r="O2022" i="2"/>
  <c r="N2022" i="2"/>
  <c r="M2022" i="2"/>
  <c r="L2022" i="2"/>
  <c r="K2022" i="2"/>
  <c r="J2022" i="2"/>
  <c r="I2022" i="2"/>
  <c r="H2022" i="2"/>
  <c r="G2022" i="2"/>
  <c r="F2022" i="2"/>
  <c r="C2022" i="2"/>
  <c r="B2022" i="2"/>
  <c r="A2022" i="2"/>
  <c r="O2021" i="2"/>
  <c r="N2021" i="2"/>
  <c r="M2021" i="2"/>
  <c r="L2021" i="2"/>
  <c r="K2021" i="2"/>
  <c r="J2021" i="2"/>
  <c r="I2021" i="2"/>
  <c r="H2021" i="2"/>
  <c r="G2021" i="2"/>
  <c r="F2021" i="2"/>
  <c r="C2021" i="2"/>
  <c r="B2021" i="2"/>
  <c r="A2021" i="2"/>
  <c r="O2020" i="2"/>
  <c r="N2020" i="2"/>
  <c r="M2020" i="2"/>
  <c r="L2020" i="2"/>
  <c r="K2020" i="2"/>
  <c r="J2020" i="2"/>
  <c r="I2020" i="2"/>
  <c r="H2020" i="2"/>
  <c r="G2020" i="2"/>
  <c r="F2020" i="2"/>
  <c r="C2020" i="2"/>
  <c r="B2020" i="2"/>
  <c r="A2020" i="2"/>
  <c r="O2019" i="2"/>
  <c r="N2019" i="2"/>
  <c r="M2019" i="2"/>
  <c r="L2019" i="2"/>
  <c r="K2019" i="2"/>
  <c r="J2019" i="2"/>
  <c r="I2019" i="2"/>
  <c r="H2019" i="2"/>
  <c r="G2019" i="2"/>
  <c r="F2019" i="2"/>
  <c r="C2019" i="2"/>
  <c r="B2019" i="2"/>
  <c r="A2019" i="2"/>
  <c r="O2018" i="2"/>
  <c r="N2018" i="2"/>
  <c r="M2018" i="2"/>
  <c r="L2018" i="2"/>
  <c r="K2018" i="2"/>
  <c r="J2018" i="2"/>
  <c r="I2018" i="2"/>
  <c r="H2018" i="2"/>
  <c r="G2018" i="2"/>
  <c r="F2018" i="2"/>
  <c r="C2018" i="2"/>
  <c r="B2018" i="2"/>
  <c r="A2018" i="2"/>
  <c r="O2017" i="2"/>
  <c r="N2017" i="2"/>
  <c r="M2017" i="2"/>
  <c r="L2017" i="2"/>
  <c r="K2017" i="2"/>
  <c r="J2017" i="2"/>
  <c r="I2017" i="2"/>
  <c r="H2017" i="2"/>
  <c r="G2017" i="2"/>
  <c r="F2017" i="2"/>
  <c r="C2017" i="2"/>
  <c r="B2017" i="2"/>
  <c r="A2017" i="2"/>
  <c r="O2016" i="2"/>
  <c r="N2016" i="2"/>
  <c r="M2016" i="2"/>
  <c r="L2016" i="2"/>
  <c r="K2016" i="2"/>
  <c r="J2016" i="2"/>
  <c r="I2016" i="2"/>
  <c r="H2016" i="2"/>
  <c r="G2016" i="2"/>
  <c r="F2016" i="2"/>
  <c r="C2016" i="2"/>
  <c r="B2016" i="2"/>
  <c r="A2016" i="2"/>
  <c r="O2015" i="2"/>
  <c r="N2015" i="2"/>
  <c r="M2015" i="2"/>
  <c r="L2015" i="2"/>
  <c r="K2015" i="2"/>
  <c r="J2015" i="2"/>
  <c r="I2015" i="2"/>
  <c r="H2015" i="2"/>
  <c r="G2015" i="2"/>
  <c r="F2015" i="2"/>
  <c r="C2015" i="2"/>
  <c r="B2015" i="2"/>
  <c r="A2015" i="2"/>
  <c r="O2014" i="2"/>
  <c r="N2014" i="2"/>
  <c r="M2014" i="2"/>
  <c r="L2014" i="2"/>
  <c r="K2014" i="2"/>
  <c r="J2014" i="2"/>
  <c r="I2014" i="2"/>
  <c r="H2014" i="2"/>
  <c r="G2014" i="2"/>
  <c r="F2014" i="2"/>
  <c r="C2014" i="2"/>
  <c r="B2014" i="2"/>
  <c r="A2014" i="2"/>
  <c r="O2013" i="2"/>
  <c r="N2013" i="2"/>
  <c r="M2013" i="2"/>
  <c r="L2013" i="2"/>
  <c r="K2013" i="2"/>
  <c r="J2013" i="2"/>
  <c r="I2013" i="2"/>
  <c r="H2013" i="2"/>
  <c r="G2013" i="2"/>
  <c r="F2013" i="2"/>
  <c r="C2013" i="2"/>
  <c r="B2013" i="2"/>
  <c r="A2013" i="2"/>
  <c r="O2012" i="2"/>
  <c r="N2012" i="2"/>
  <c r="M2012" i="2"/>
  <c r="L2012" i="2"/>
  <c r="K2012" i="2"/>
  <c r="J2012" i="2"/>
  <c r="I2012" i="2"/>
  <c r="H2012" i="2"/>
  <c r="G2012" i="2"/>
  <c r="F2012" i="2"/>
  <c r="C2012" i="2"/>
  <c r="B2012" i="2"/>
  <c r="A2012" i="2"/>
  <c r="O2011" i="2"/>
  <c r="N2011" i="2"/>
  <c r="M2011" i="2"/>
  <c r="L2011" i="2"/>
  <c r="K2011" i="2"/>
  <c r="J2011" i="2"/>
  <c r="I2011" i="2"/>
  <c r="H2011" i="2"/>
  <c r="G2011" i="2"/>
  <c r="F2011" i="2"/>
  <c r="C2011" i="2"/>
  <c r="B2011" i="2"/>
  <c r="A2011" i="2"/>
  <c r="O2010" i="2"/>
  <c r="N2010" i="2"/>
  <c r="M2010" i="2"/>
  <c r="L2010" i="2"/>
  <c r="K2010" i="2"/>
  <c r="J2010" i="2"/>
  <c r="I2010" i="2"/>
  <c r="H2010" i="2"/>
  <c r="G2010" i="2"/>
  <c r="F2010" i="2"/>
  <c r="C2010" i="2"/>
  <c r="B2010" i="2"/>
  <c r="A2010" i="2"/>
  <c r="O2009" i="2"/>
  <c r="N2009" i="2"/>
  <c r="M2009" i="2"/>
  <c r="L2009" i="2"/>
  <c r="K2009" i="2"/>
  <c r="J2009" i="2"/>
  <c r="I2009" i="2"/>
  <c r="H2009" i="2"/>
  <c r="G2009" i="2"/>
  <c r="F2009" i="2"/>
  <c r="C2009" i="2"/>
  <c r="B2009" i="2"/>
  <c r="A2009" i="2"/>
  <c r="O2008" i="2"/>
  <c r="N2008" i="2"/>
  <c r="M2008" i="2"/>
  <c r="L2008" i="2"/>
  <c r="K2008" i="2"/>
  <c r="J2008" i="2"/>
  <c r="I2008" i="2"/>
  <c r="H2008" i="2"/>
  <c r="G2008" i="2"/>
  <c r="F2008" i="2"/>
  <c r="C2008" i="2"/>
  <c r="B2008" i="2"/>
  <c r="A2008" i="2"/>
  <c r="O2007" i="2"/>
  <c r="N2007" i="2"/>
  <c r="M2007" i="2"/>
  <c r="L2007" i="2"/>
  <c r="K2007" i="2"/>
  <c r="J2007" i="2"/>
  <c r="I2007" i="2"/>
  <c r="H2007" i="2"/>
  <c r="G2007" i="2"/>
  <c r="F2007" i="2"/>
  <c r="C2007" i="2"/>
  <c r="B2007" i="2"/>
  <c r="A2007" i="2"/>
  <c r="O2006" i="2"/>
  <c r="N2006" i="2"/>
  <c r="M2006" i="2"/>
  <c r="L2006" i="2"/>
  <c r="K2006" i="2"/>
  <c r="J2006" i="2"/>
  <c r="I2006" i="2"/>
  <c r="H2006" i="2"/>
  <c r="G2006" i="2"/>
  <c r="F2006" i="2"/>
  <c r="C2006" i="2"/>
  <c r="B2006" i="2"/>
  <c r="A2006" i="2"/>
  <c r="O2005" i="2"/>
  <c r="N2005" i="2"/>
  <c r="M2005" i="2"/>
  <c r="L2005" i="2"/>
  <c r="K2005" i="2"/>
  <c r="J2005" i="2"/>
  <c r="I2005" i="2"/>
  <c r="H2005" i="2"/>
  <c r="G2005" i="2"/>
  <c r="F2005" i="2"/>
  <c r="C2005" i="2"/>
  <c r="B2005" i="2"/>
  <c r="A2005" i="2"/>
  <c r="O2004" i="2"/>
  <c r="N2004" i="2"/>
  <c r="M2004" i="2"/>
  <c r="L2004" i="2"/>
  <c r="K2004" i="2"/>
  <c r="J2004" i="2"/>
  <c r="I2004" i="2"/>
  <c r="H2004" i="2"/>
  <c r="G2004" i="2"/>
  <c r="F2004" i="2"/>
  <c r="C2004" i="2"/>
  <c r="B2004" i="2"/>
  <c r="A2004" i="2"/>
  <c r="O2003" i="2"/>
  <c r="N2003" i="2"/>
  <c r="M2003" i="2"/>
  <c r="L2003" i="2"/>
  <c r="K2003" i="2"/>
  <c r="J2003" i="2"/>
  <c r="I2003" i="2"/>
  <c r="H2003" i="2"/>
  <c r="G2003" i="2"/>
  <c r="F2003" i="2"/>
  <c r="C2003" i="2"/>
  <c r="B2003" i="2"/>
  <c r="A2003" i="2"/>
  <c r="O2002" i="2"/>
  <c r="N2002" i="2"/>
  <c r="M2002" i="2"/>
  <c r="L2002" i="2"/>
  <c r="K2002" i="2"/>
  <c r="J2002" i="2"/>
  <c r="I2002" i="2"/>
  <c r="H2002" i="2"/>
  <c r="G2002" i="2"/>
  <c r="F2002" i="2"/>
  <c r="C2002" i="2"/>
  <c r="B2002" i="2"/>
  <c r="A2002" i="2"/>
  <c r="O2001" i="2"/>
  <c r="N2001" i="2"/>
  <c r="M2001" i="2"/>
  <c r="L2001" i="2"/>
  <c r="K2001" i="2"/>
  <c r="J2001" i="2"/>
  <c r="I2001" i="2"/>
  <c r="H2001" i="2"/>
  <c r="G2001" i="2"/>
  <c r="F2001" i="2"/>
  <c r="C2001" i="2"/>
  <c r="B2001" i="2"/>
  <c r="A2001" i="2"/>
  <c r="O2000" i="2"/>
  <c r="N2000" i="2"/>
  <c r="M2000" i="2"/>
  <c r="L2000" i="2"/>
  <c r="K2000" i="2"/>
  <c r="J2000" i="2"/>
  <c r="I2000" i="2"/>
  <c r="H2000" i="2"/>
  <c r="G2000" i="2"/>
  <c r="F2000" i="2"/>
  <c r="C2000" i="2"/>
  <c r="B2000" i="2"/>
  <c r="A2000" i="2"/>
  <c r="O1999" i="2"/>
  <c r="N1999" i="2"/>
  <c r="M1999" i="2"/>
  <c r="L1999" i="2"/>
  <c r="K1999" i="2"/>
  <c r="J1999" i="2"/>
  <c r="I1999" i="2"/>
  <c r="H1999" i="2"/>
  <c r="G1999" i="2"/>
  <c r="F1999" i="2"/>
  <c r="C1999" i="2"/>
  <c r="B1999" i="2"/>
  <c r="A1999" i="2"/>
  <c r="O1998" i="2"/>
  <c r="N1998" i="2"/>
  <c r="M1998" i="2"/>
  <c r="L1998" i="2"/>
  <c r="K1998" i="2"/>
  <c r="J1998" i="2"/>
  <c r="I1998" i="2"/>
  <c r="H1998" i="2"/>
  <c r="G1998" i="2"/>
  <c r="F1998" i="2"/>
  <c r="C1998" i="2"/>
  <c r="B1998" i="2"/>
  <c r="A1998" i="2"/>
  <c r="O1997" i="2"/>
  <c r="N1997" i="2"/>
  <c r="M1997" i="2"/>
  <c r="L1997" i="2"/>
  <c r="K1997" i="2"/>
  <c r="J1997" i="2"/>
  <c r="I1997" i="2"/>
  <c r="H1997" i="2"/>
  <c r="G1997" i="2"/>
  <c r="F1997" i="2"/>
  <c r="C1997" i="2"/>
  <c r="B1997" i="2"/>
  <c r="A1997" i="2"/>
  <c r="O1996" i="2"/>
  <c r="N1996" i="2"/>
  <c r="M1996" i="2"/>
  <c r="L1996" i="2"/>
  <c r="K1996" i="2"/>
  <c r="J1996" i="2"/>
  <c r="I1996" i="2"/>
  <c r="H1996" i="2"/>
  <c r="G1996" i="2"/>
  <c r="F1996" i="2"/>
  <c r="C1996" i="2"/>
  <c r="B1996" i="2"/>
  <c r="A1996" i="2"/>
  <c r="O1995" i="2"/>
  <c r="N1995" i="2"/>
  <c r="M1995" i="2"/>
  <c r="L1995" i="2"/>
  <c r="K1995" i="2"/>
  <c r="J1995" i="2"/>
  <c r="I1995" i="2"/>
  <c r="H1995" i="2"/>
  <c r="G1995" i="2"/>
  <c r="F1995" i="2"/>
  <c r="C1995" i="2"/>
  <c r="B1995" i="2"/>
  <c r="A1995" i="2"/>
  <c r="O1994" i="2"/>
  <c r="N1994" i="2"/>
  <c r="M1994" i="2"/>
  <c r="L1994" i="2"/>
  <c r="K1994" i="2"/>
  <c r="J1994" i="2"/>
  <c r="I1994" i="2"/>
  <c r="H1994" i="2"/>
  <c r="G1994" i="2"/>
  <c r="F1994" i="2"/>
  <c r="C1994" i="2"/>
  <c r="B1994" i="2"/>
  <c r="A1994" i="2"/>
  <c r="O1993" i="2"/>
  <c r="N1993" i="2"/>
  <c r="M1993" i="2"/>
  <c r="L1993" i="2"/>
  <c r="K1993" i="2"/>
  <c r="J1993" i="2"/>
  <c r="I1993" i="2"/>
  <c r="H1993" i="2"/>
  <c r="G1993" i="2"/>
  <c r="F1993" i="2"/>
  <c r="C1993" i="2"/>
  <c r="B1993" i="2"/>
  <c r="A1993" i="2"/>
  <c r="O1992" i="2"/>
  <c r="N1992" i="2"/>
  <c r="M1992" i="2"/>
  <c r="L1992" i="2"/>
  <c r="K1992" i="2"/>
  <c r="J1992" i="2"/>
  <c r="I1992" i="2"/>
  <c r="H1992" i="2"/>
  <c r="G1992" i="2"/>
  <c r="F1992" i="2"/>
  <c r="C1992" i="2"/>
  <c r="B1992" i="2"/>
  <c r="A1992" i="2"/>
  <c r="O1991" i="2"/>
  <c r="N1991" i="2"/>
  <c r="M1991" i="2"/>
  <c r="L1991" i="2"/>
  <c r="K1991" i="2"/>
  <c r="J1991" i="2"/>
  <c r="I1991" i="2"/>
  <c r="H1991" i="2"/>
  <c r="G1991" i="2"/>
  <c r="F1991" i="2"/>
  <c r="C1991" i="2"/>
  <c r="B1991" i="2"/>
  <c r="A1991" i="2"/>
  <c r="O1990" i="2"/>
  <c r="N1990" i="2"/>
  <c r="M1990" i="2"/>
  <c r="L1990" i="2"/>
  <c r="K1990" i="2"/>
  <c r="J1990" i="2"/>
  <c r="I1990" i="2"/>
  <c r="H1990" i="2"/>
  <c r="G1990" i="2"/>
  <c r="F1990" i="2"/>
  <c r="C1990" i="2"/>
  <c r="B1990" i="2"/>
  <c r="A1990" i="2"/>
  <c r="O1989" i="2"/>
  <c r="N1989" i="2"/>
  <c r="M1989" i="2"/>
  <c r="L1989" i="2"/>
  <c r="K1989" i="2"/>
  <c r="J1989" i="2"/>
  <c r="I1989" i="2"/>
  <c r="H1989" i="2"/>
  <c r="G1989" i="2"/>
  <c r="F1989" i="2"/>
  <c r="C1989" i="2"/>
  <c r="B1989" i="2"/>
  <c r="A1989" i="2"/>
  <c r="O1988" i="2"/>
  <c r="N1988" i="2"/>
  <c r="M1988" i="2"/>
  <c r="L1988" i="2"/>
  <c r="K1988" i="2"/>
  <c r="J1988" i="2"/>
  <c r="I1988" i="2"/>
  <c r="H1988" i="2"/>
  <c r="G1988" i="2"/>
  <c r="F1988" i="2"/>
  <c r="C1988" i="2"/>
  <c r="B1988" i="2"/>
  <c r="A1988" i="2"/>
  <c r="O1987" i="2"/>
  <c r="N1987" i="2"/>
  <c r="M1987" i="2"/>
  <c r="L1987" i="2"/>
  <c r="K1987" i="2"/>
  <c r="J1987" i="2"/>
  <c r="I1987" i="2"/>
  <c r="H1987" i="2"/>
  <c r="G1987" i="2"/>
  <c r="F1987" i="2"/>
  <c r="C1987" i="2"/>
  <c r="B1987" i="2"/>
  <c r="A1987" i="2"/>
  <c r="O1986" i="2"/>
  <c r="N1986" i="2"/>
  <c r="M1986" i="2"/>
  <c r="L1986" i="2"/>
  <c r="K1986" i="2"/>
  <c r="J1986" i="2"/>
  <c r="I1986" i="2"/>
  <c r="H1986" i="2"/>
  <c r="G1986" i="2"/>
  <c r="F1986" i="2"/>
  <c r="C1986" i="2"/>
  <c r="B1986" i="2"/>
  <c r="A1986" i="2"/>
  <c r="O1985" i="2"/>
  <c r="N1985" i="2"/>
  <c r="M1985" i="2"/>
  <c r="L1985" i="2"/>
  <c r="K1985" i="2"/>
  <c r="J1985" i="2"/>
  <c r="I1985" i="2"/>
  <c r="H1985" i="2"/>
  <c r="G1985" i="2"/>
  <c r="F1985" i="2"/>
  <c r="C1985" i="2"/>
  <c r="B1985" i="2"/>
  <c r="A1985" i="2"/>
  <c r="O1984" i="2"/>
  <c r="N1984" i="2"/>
  <c r="M1984" i="2"/>
  <c r="L1984" i="2"/>
  <c r="K1984" i="2"/>
  <c r="J1984" i="2"/>
  <c r="I1984" i="2"/>
  <c r="H1984" i="2"/>
  <c r="G1984" i="2"/>
  <c r="F1984" i="2"/>
  <c r="C1984" i="2"/>
  <c r="B1984" i="2"/>
  <c r="A1984" i="2"/>
  <c r="O1983" i="2"/>
  <c r="N1983" i="2"/>
  <c r="M1983" i="2"/>
  <c r="L1983" i="2"/>
  <c r="K1983" i="2"/>
  <c r="J1983" i="2"/>
  <c r="I1983" i="2"/>
  <c r="H1983" i="2"/>
  <c r="G1983" i="2"/>
  <c r="F1983" i="2"/>
  <c r="C1983" i="2"/>
  <c r="B1983" i="2"/>
  <c r="A1983" i="2"/>
  <c r="O1982" i="2"/>
  <c r="N1982" i="2"/>
  <c r="M1982" i="2"/>
  <c r="L1982" i="2"/>
  <c r="K1982" i="2"/>
  <c r="J1982" i="2"/>
  <c r="I1982" i="2"/>
  <c r="H1982" i="2"/>
  <c r="G1982" i="2"/>
  <c r="F1982" i="2"/>
  <c r="C1982" i="2"/>
  <c r="B1982" i="2"/>
  <c r="A1982" i="2"/>
  <c r="O1981" i="2"/>
  <c r="N1981" i="2"/>
  <c r="M1981" i="2"/>
  <c r="L1981" i="2"/>
  <c r="K1981" i="2"/>
  <c r="J1981" i="2"/>
  <c r="I1981" i="2"/>
  <c r="H1981" i="2"/>
  <c r="G1981" i="2"/>
  <c r="F1981" i="2"/>
  <c r="C1981" i="2"/>
  <c r="B1981" i="2"/>
  <c r="A1981" i="2"/>
  <c r="O1980" i="2"/>
  <c r="N1980" i="2"/>
  <c r="M1980" i="2"/>
  <c r="L1980" i="2"/>
  <c r="K1980" i="2"/>
  <c r="J1980" i="2"/>
  <c r="I1980" i="2"/>
  <c r="H1980" i="2"/>
  <c r="G1980" i="2"/>
  <c r="F1980" i="2"/>
  <c r="C1980" i="2"/>
  <c r="B1980" i="2"/>
  <c r="A1980" i="2"/>
  <c r="O1979" i="2"/>
  <c r="N1979" i="2"/>
  <c r="M1979" i="2"/>
  <c r="L1979" i="2"/>
  <c r="K1979" i="2"/>
  <c r="J1979" i="2"/>
  <c r="I1979" i="2"/>
  <c r="H1979" i="2"/>
  <c r="G1979" i="2"/>
  <c r="F1979" i="2"/>
  <c r="C1979" i="2"/>
  <c r="B1979" i="2"/>
  <c r="A1979" i="2"/>
  <c r="O1978" i="2"/>
  <c r="N1978" i="2"/>
  <c r="M1978" i="2"/>
  <c r="L1978" i="2"/>
  <c r="K1978" i="2"/>
  <c r="J1978" i="2"/>
  <c r="I1978" i="2"/>
  <c r="H1978" i="2"/>
  <c r="G1978" i="2"/>
  <c r="F1978" i="2"/>
  <c r="C1978" i="2"/>
  <c r="B1978" i="2"/>
  <c r="A1978" i="2"/>
  <c r="O1977" i="2"/>
  <c r="N1977" i="2"/>
  <c r="M1977" i="2"/>
  <c r="L1977" i="2"/>
  <c r="K1977" i="2"/>
  <c r="J1977" i="2"/>
  <c r="I1977" i="2"/>
  <c r="H1977" i="2"/>
  <c r="G1977" i="2"/>
  <c r="F1977" i="2"/>
  <c r="C1977" i="2"/>
  <c r="B1977" i="2"/>
  <c r="A1977" i="2"/>
  <c r="O1976" i="2"/>
  <c r="N1976" i="2"/>
  <c r="M1976" i="2"/>
  <c r="L1976" i="2"/>
  <c r="K1976" i="2"/>
  <c r="J1976" i="2"/>
  <c r="I1976" i="2"/>
  <c r="H1976" i="2"/>
  <c r="G1976" i="2"/>
  <c r="F1976" i="2"/>
  <c r="C1976" i="2"/>
  <c r="B1976" i="2"/>
  <c r="A1976" i="2"/>
  <c r="O1975" i="2"/>
  <c r="N1975" i="2"/>
  <c r="M1975" i="2"/>
  <c r="L1975" i="2"/>
  <c r="K1975" i="2"/>
  <c r="J1975" i="2"/>
  <c r="I1975" i="2"/>
  <c r="H1975" i="2"/>
  <c r="G1975" i="2"/>
  <c r="F1975" i="2"/>
  <c r="C1975" i="2"/>
  <c r="B1975" i="2"/>
  <c r="A1975" i="2"/>
  <c r="O1974" i="2"/>
  <c r="N1974" i="2"/>
  <c r="M1974" i="2"/>
  <c r="L1974" i="2"/>
  <c r="K1974" i="2"/>
  <c r="J1974" i="2"/>
  <c r="I1974" i="2"/>
  <c r="H1974" i="2"/>
  <c r="G1974" i="2"/>
  <c r="F1974" i="2"/>
  <c r="C1974" i="2"/>
  <c r="B1974" i="2"/>
  <c r="A1974" i="2"/>
  <c r="O1973" i="2"/>
  <c r="N1973" i="2"/>
  <c r="M1973" i="2"/>
  <c r="L1973" i="2"/>
  <c r="K1973" i="2"/>
  <c r="J1973" i="2"/>
  <c r="I1973" i="2"/>
  <c r="H1973" i="2"/>
  <c r="G1973" i="2"/>
  <c r="F1973" i="2"/>
  <c r="C1973" i="2"/>
  <c r="B1973" i="2"/>
  <c r="A1973" i="2"/>
  <c r="O1972" i="2"/>
  <c r="N1972" i="2"/>
  <c r="M1972" i="2"/>
  <c r="L1972" i="2"/>
  <c r="K1972" i="2"/>
  <c r="J1972" i="2"/>
  <c r="I1972" i="2"/>
  <c r="H1972" i="2"/>
  <c r="G1972" i="2"/>
  <c r="F1972" i="2"/>
  <c r="C1972" i="2"/>
  <c r="B1972" i="2"/>
  <c r="A1972" i="2"/>
  <c r="O1971" i="2"/>
  <c r="N1971" i="2"/>
  <c r="M1971" i="2"/>
  <c r="L1971" i="2"/>
  <c r="K1971" i="2"/>
  <c r="J1971" i="2"/>
  <c r="I1971" i="2"/>
  <c r="H1971" i="2"/>
  <c r="G1971" i="2"/>
  <c r="F1971" i="2"/>
  <c r="C1971" i="2"/>
  <c r="B1971" i="2"/>
  <c r="A1971" i="2"/>
  <c r="O1970" i="2"/>
  <c r="N1970" i="2"/>
  <c r="M1970" i="2"/>
  <c r="L1970" i="2"/>
  <c r="K1970" i="2"/>
  <c r="J1970" i="2"/>
  <c r="I1970" i="2"/>
  <c r="H1970" i="2"/>
  <c r="G1970" i="2"/>
  <c r="F1970" i="2"/>
  <c r="C1970" i="2"/>
  <c r="B1970" i="2"/>
  <c r="A1970" i="2"/>
  <c r="O1969" i="2"/>
  <c r="N1969" i="2"/>
  <c r="M1969" i="2"/>
  <c r="L1969" i="2"/>
  <c r="K1969" i="2"/>
  <c r="J1969" i="2"/>
  <c r="I1969" i="2"/>
  <c r="H1969" i="2"/>
  <c r="G1969" i="2"/>
  <c r="F1969" i="2"/>
  <c r="C1969" i="2"/>
  <c r="B1969" i="2"/>
  <c r="A1969" i="2"/>
  <c r="O1968" i="2"/>
  <c r="N1968" i="2"/>
  <c r="M1968" i="2"/>
  <c r="L1968" i="2"/>
  <c r="K1968" i="2"/>
  <c r="J1968" i="2"/>
  <c r="I1968" i="2"/>
  <c r="H1968" i="2"/>
  <c r="G1968" i="2"/>
  <c r="F1968" i="2"/>
  <c r="C1968" i="2"/>
  <c r="B1968" i="2"/>
  <c r="A1968" i="2"/>
  <c r="O1967" i="2"/>
  <c r="N1967" i="2"/>
  <c r="M1967" i="2"/>
  <c r="L1967" i="2"/>
  <c r="K1967" i="2"/>
  <c r="J1967" i="2"/>
  <c r="I1967" i="2"/>
  <c r="H1967" i="2"/>
  <c r="G1967" i="2"/>
  <c r="F1967" i="2"/>
  <c r="C1967" i="2"/>
  <c r="B1967" i="2"/>
  <c r="A1967" i="2"/>
  <c r="O1966" i="2"/>
  <c r="N1966" i="2"/>
  <c r="M1966" i="2"/>
  <c r="L1966" i="2"/>
  <c r="K1966" i="2"/>
  <c r="J1966" i="2"/>
  <c r="I1966" i="2"/>
  <c r="H1966" i="2"/>
  <c r="G1966" i="2"/>
  <c r="F1966" i="2"/>
  <c r="C1966" i="2"/>
  <c r="B1966" i="2"/>
  <c r="A1966" i="2"/>
  <c r="O1965" i="2"/>
  <c r="N1965" i="2"/>
  <c r="M1965" i="2"/>
  <c r="L1965" i="2"/>
  <c r="K1965" i="2"/>
  <c r="J1965" i="2"/>
  <c r="I1965" i="2"/>
  <c r="H1965" i="2"/>
  <c r="G1965" i="2"/>
  <c r="F1965" i="2"/>
  <c r="C1965" i="2"/>
  <c r="B1965" i="2"/>
  <c r="A1965" i="2"/>
  <c r="O1964" i="2"/>
  <c r="N1964" i="2"/>
  <c r="M1964" i="2"/>
  <c r="L1964" i="2"/>
  <c r="K1964" i="2"/>
  <c r="J1964" i="2"/>
  <c r="I1964" i="2"/>
  <c r="H1964" i="2"/>
  <c r="G1964" i="2"/>
  <c r="F1964" i="2"/>
  <c r="C1964" i="2"/>
  <c r="B1964" i="2"/>
  <c r="A1964" i="2"/>
  <c r="O1963" i="2"/>
  <c r="N1963" i="2"/>
  <c r="M1963" i="2"/>
  <c r="L1963" i="2"/>
  <c r="K1963" i="2"/>
  <c r="J1963" i="2"/>
  <c r="I1963" i="2"/>
  <c r="H1963" i="2"/>
  <c r="G1963" i="2"/>
  <c r="F1963" i="2"/>
  <c r="C1963" i="2"/>
  <c r="B1963" i="2"/>
  <c r="A1963" i="2"/>
  <c r="O1962" i="2"/>
  <c r="N1962" i="2"/>
  <c r="M1962" i="2"/>
  <c r="L1962" i="2"/>
  <c r="K1962" i="2"/>
  <c r="J1962" i="2"/>
  <c r="I1962" i="2"/>
  <c r="H1962" i="2"/>
  <c r="G1962" i="2"/>
  <c r="F1962" i="2"/>
  <c r="C1962" i="2"/>
  <c r="B1962" i="2"/>
  <c r="A1962" i="2"/>
  <c r="O1961" i="2"/>
  <c r="N1961" i="2"/>
  <c r="M1961" i="2"/>
  <c r="L1961" i="2"/>
  <c r="K1961" i="2"/>
  <c r="J1961" i="2"/>
  <c r="I1961" i="2"/>
  <c r="H1961" i="2"/>
  <c r="G1961" i="2"/>
  <c r="F1961" i="2"/>
  <c r="C1961" i="2"/>
  <c r="B1961" i="2"/>
  <c r="A1961" i="2"/>
  <c r="O1960" i="2"/>
  <c r="N1960" i="2"/>
  <c r="M1960" i="2"/>
  <c r="L1960" i="2"/>
  <c r="K1960" i="2"/>
  <c r="J1960" i="2"/>
  <c r="I1960" i="2"/>
  <c r="H1960" i="2"/>
  <c r="G1960" i="2"/>
  <c r="F1960" i="2"/>
  <c r="C1960" i="2"/>
  <c r="B1960" i="2"/>
  <c r="A1960" i="2"/>
  <c r="O1959" i="2"/>
  <c r="N1959" i="2"/>
  <c r="M1959" i="2"/>
  <c r="L1959" i="2"/>
  <c r="K1959" i="2"/>
  <c r="J1959" i="2"/>
  <c r="I1959" i="2"/>
  <c r="H1959" i="2"/>
  <c r="G1959" i="2"/>
  <c r="F1959" i="2"/>
  <c r="C1959" i="2"/>
  <c r="B1959" i="2"/>
  <c r="A1959" i="2"/>
  <c r="O1958" i="2"/>
  <c r="N1958" i="2"/>
  <c r="M1958" i="2"/>
  <c r="L1958" i="2"/>
  <c r="K1958" i="2"/>
  <c r="J1958" i="2"/>
  <c r="I1958" i="2"/>
  <c r="H1958" i="2"/>
  <c r="G1958" i="2"/>
  <c r="F1958" i="2"/>
  <c r="C1958" i="2"/>
  <c r="B1958" i="2"/>
  <c r="A1958" i="2"/>
  <c r="O1957" i="2"/>
  <c r="N1957" i="2"/>
  <c r="M1957" i="2"/>
  <c r="L1957" i="2"/>
  <c r="K1957" i="2"/>
  <c r="J1957" i="2"/>
  <c r="I1957" i="2"/>
  <c r="H1957" i="2"/>
  <c r="G1957" i="2"/>
  <c r="F1957" i="2"/>
  <c r="C1957" i="2"/>
  <c r="B1957" i="2"/>
  <c r="A1957" i="2"/>
  <c r="O1956" i="2"/>
  <c r="N1956" i="2"/>
  <c r="M1956" i="2"/>
  <c r="L1956" i="2"/>
  <c r="K1956" i="2"/>
  <c r="J1956" i="2"/>
  <c r="I1956" i="2"/>
  <c r="H1956" i="2"/>
  <c r="G1956" i="2"/>
  <c r="F1956" i="2"/>
  <c r="C1956" i="2"/>
  <c r="B1956" i="2"/>
  <c r="A1956" i="2"/>
  <c r="O1955" i="2"/>
  <c r="N1955" i="2"/>
  <c r="M1955" i="2"/>
  <c r="L1955" i="2"/>
  <c r="K1955" i="2"/>
  <c r="J1955" i="2"/>
  <c r="I1955" i="2"/>
  <c r="H1955" i="2"/>
  <c r="G1955" i="2"/>
  <c r="F1955" i="2"/>
  <c r="C1955" i="2"/>
  <c r="B1955" i="2"/>
  <c r="A1955" i="2"/>
  <c r="O1954" i="2"/>
  <c r="N1954" i="2"/>
  <c r="M1954" i="2"/>
  <c r="L1954" i="2"/>
  <c r="K1954" i="2"/>
  <c r="J1954" i="2"/>
  <c r="I1954" i="2"/>
  <c r="H1954" i="2"/>
  <c r="G1954" i="2"/>
  <c r="F1954" i="2"/>
  <c r="C1954" i="2"/>
  <c r="B1954" i="2"/>
  <c r="A1954" i="2"/>
  <c r="O1953" i="2"/>
  <c r="N1953" i="2"/>
  <c r="M1953" i="2"/>
  <c r="L1953" i="2"/>
  <c r="K1953" i="2"/>
  <c r="J1953" i="2"/>
  <c r="I1953" i="2"/>
  <c r="H1953" i="2"/>
  <c r="G1953" i="2"/>
  <c r="F1953" i="2"/>
  <c r="C1953" i="2"/>
  <c r="B1953" i="2"/>
  <c r="A1953" i="2"/>
  <c r="O1952" i="2"/>
  <c r="N1952" i="2"/>
  <c r="M1952" i="2"/>
  <c r="L1952" i="2"/>
  <c r="K1952" i="2"/>
  <c r="J1952" i="2"/>
  <c r="I1952" i="2"/>
  <c r="H1952" i="2"/>
  <c r="G1952" i="2"/>
  <c r="F1952" i="2"/>
  <c r="C1952" i="2"/>
  <c r="B1952" i="2"/>
  <c r="A1952" i="2"/>
  <c r="O1951" i="2"/>
  <c r="N1951" i="2"/>
  <c r="M1951" i="2"/>
  <c r="L1951" i="2"/>
  <c r="K1951" i="2"/>
  <c r="J1951" i="2"/>
  <c r="I1951" i="2"/>
  <c r="H1951" i="2"/>
  <c r="G1951" i="2"/>
  <c r="F1951" i="2"/>
  <c r="C1951" i="2"/>
  <c r="B1951" i="2"/>
  <c r="A1951" i="2"/>
  <c r="O1950" i="2"/>
  <c r="N1950" i="2"/>
  <c r="M1950" i="2"/>
  <c r="L1950" i="2"/>
  <c r="K1950" i="2"/>
  <c r="J1950" i="2"/>
  <c r="I1950" i="2"/>
  <c r="H1950" i="2"/>
  <c r="G1950" i="2"/>
  <c r="F1950" i="2"/>
  <c r="C1950" i="2"/>
  <c r="B1950" i="2"/>
  <c r="A1950" i="2"/>
  <c r="O1949" i="2"/>
  <c r="N1949" i="2"/>
  <c r="M1949" i="2"/>
  <c r="L1949" i="2"/>
  <c r="K1949" i="2"/>
  <c r="J1949" i="2"/>
  <c r="I1949" i="2"/>
  <c r="H1949" i="2"/>
  <c r="G1949" i="2"/>
  <c r="F1949" i="2"/>
  <c r="C1949" i="2"/>
  <c r="B1949" i="2"/>
  <c r="A1949" i="2"/>
  <c r="O1948" i="2"/>
  <c r="N1948" i="2"/>
  <c r="M1948" i="2"/>
  <c r="L1948" i="2"/>
  <c r="K1948" i="2"/>
  <c r="J1948" i="2"/>
  <c r="I1948" i="2"/>
  <c r="H1948" i="2"/>
  <c r="G1948" i="2"/>
  <c r="F1948" i="2"/>
  <c r="C1948" i="2"/>
  <c r="B1948" i="2"/>
  <c r="A1948" i="2"/>
  <c r="O1947" i="2"/>
  <c r="N1947" i="2"/>
  <c r="M1947" i="2"/>
  <c r="L1947" i="2"/>
  <c r="K1947" i="2"/>
  <c r="J1947" i="2"/>
  <c r="I1947" i="2"/>
  <c r="H1947" i="2"/>
  <c r="G1947" i="2"/>
  <c r="F1947" i="2"/>
  <c r="C1947" i="2"/>
  <c r="B1947" i="2"/>
  <c r="A1947" i="2"/>
  <c r="O1946" i="2"/>
  <c r="N1946" i="2"/>
  <c r="M1946" i="2"/>
  <c r="L1946" i="2"/>
  <c r="K1946" i="2"/>
  <c r="J1946" i="2"/>
  <c r="I1946" i="2"/>
  <c r="H1946" i="2"/>
  <c r="G1946" i="2"/>
  <c r="F1946" i="2"/>
  <c r="C1946" i="2"/>
  <c r="B1946" i="2"/>
  <c r="A1946" i="2"/>
  <c r="O1945" i="2"/>
  <c r="N1945" i="2"/>
  <c r="M1945" i="2"/>
  <c r="L1945" i="2"/>
  <c r="K1945" i="2"/>
  <c r="J1945" i="2"/>
  <c r="I1945" i="2"/>
  <c r="H1945" i="2"/>
  <c r="G1945" i="2"/>
  <c r="F1945" i="2"/>
  <c r="C1945" i="2"/>
  <c r="B1945" i="2"/>
  <c r="A1945" i="2"/>
  <c r="O1944" i="2"/>
  <c r="N1944" i="2"/>
  <c r="M1944" i="2"/>
  <c r="L1944" i="2"/>
  <c r="K1944" i="2"/>
  <c r="J1944" i="2"/>
  <c r="I1944" i="2"/>
  <c r="H1944" i="2"/>
  <c r="G1944" i="2"/>
  <c r="F1944" i="2"/>
  <c r="C1944" i="2"/>
  <c r="B1944" i="2"/>
  <c r="A1944" i="2"/>
  <c r="O1943" i="2"/>
  <c r="N1943" i="2"/>
  <c r="M1943" i="2"/>
  <c r="L1943" i="2"/>
  <c r="K1943" i="2"/>
  <c r="J1943" i="2"/>
  <c r="I1943" i="2"/>
  <c r="H1943" i="2"/>
  <c r="G1943" i="2"/>
  <c r="F1943" i="2"/>
  <c r="C1943" i="2"/>
  <c r="B1943" i="2"/>
  <c r="A1943" i="2"/>
  <c r="O1942" i="2"/>
  <c r="N1942" i="2"/>
  <c r="M1942" i="2"/>
  <c r="L1942" i="2"/>
  <c r="K1942" i="2"/>
  <c r="J1942" i="2"/>
  <c r="I1942" i="2"/>
  <c r="H1942" i="2"/>
  <c r="G1942" i="2"/>
  <c r="F1942" i="2"/>
  <c r="C1942" i="2"/>
  <c r="B1942" i="2"/>
  <c r="A1942" i="2"/>
  <c r="O1941" i="2"/>
  <c r="N1941" i="2"/>
  <c r="M1941" i="2"/>
  <c r="L1941" i="2"/>
  <c r="K1941" i="2"/>
  <c r="J1941" i="2"/>
  <c r="I1941" i="2"/>
  <c r="H1941" i="2"/>
  <c r="G1941" i="2"/>
  <c r="F1941" i="2"/>
  <c r="C1941" i="2"/>
  <c r="B1941" i="2"/>
  <c r="A1941" i="2"/>
  <c r="O1940" i="2"/>
  <c r="N1940" i="2"/>
  <c r="M1940" i="2"/>
  <c r="L1940" i="2"/>
  <c r="K1940" i="2"/>
  <c r="J1940" i="2"/>
  <c r="I1940" i="2"/>
  <c r="H1940" i="2"/>
  <c r="G1940" i="2"/>
  <c r="F1940" i="2"/>
  <c r="C1940" i="2"/>
  <c r="B1940" i="2"/>
  <c r="A1940" i="2"/>
  <c r="O1939" i="2"/>
  <c r="N1939" i="2"/>
  <c r="M1939" i="2"/>
  <c r="L1939" i="2"/>
  <c r="K1939" i="2"/>
  <c r="J1939" i="2"/>
  <c r="I1939" i="2"/>
  <c r="H1939" i="2"/>
  <c r="G1939" i="2"/>
  <c r="F1939" i="2"/>
  <c r="C1939" i="2"/>
  <c r="B1939" i="2"/>
  <c r="A1939" i="2"/>
  <c r="O1938" i="2"/>
  <c r="N1938" i="2"/>
  <c r="M1938" i="2"/>
  <c r="L1938" i="2"/>
  <c r="K1938" i="2"/>
  <c r="J1938" i="2"/>
  <c r="I1938" i="2"/>
  <c r="H1938" i="2"/>
  <c r="G1938" i="2"/>
  <c r="F1938" i="2"/>
  <c r="C1938" i="2"/>
  <c r="B1938" i="2"/>
  <c r="A1938" i="2"/>
  <c r="O1937" i="2"/>
  <c r="N1937" i="2"/>
  <c r="M1937" i="2"/>
  <c r="L1937" i="2"/>
  <c r="K1937" i="2"/>
  <c r="J1937" i="2"/>
  <c r="I1937" i="2"/>
  <c r="H1937" i="2"/>
  <c r="G1937" i="2"/>
  <c r="F1937" i="2"/>
  <c r="C1937" i="2"/>
  <c r="B1937" i="2"/>
  <c r="A1937" i="2"/>
  <c r="O1936" i="2"/>
  <c r="N1936" i="2"/>
  <c r="M1936" i="2"/>
  <c r="L1936" i="2"/>
  <c r="K1936" i="2"/>
  <c r="J1936" i="2"/>
  <c r="I1936" i="2"/>
  <c r="H1936" i="2"/>
  <c r="G1936" i="2"/>
  <c r="F1936" i="2"/>
  <c r="C1936" i="2"/>
  <c r="B1936" i="2"/>
  <c r="A1936" i="2"/>
  <c r="O1935" i="2"/>
  <c r="N1935" i="2"/>
  <c r="M1935" i="2"/>
  <c r="L1935" i="2"/>
  <c r="K1935" i="2"/>
  <c r="J1935" i="2"/>
  <c r="I1935" i="2"/>
  <c r="H1935" i="2"/>
  <c r="G1935" i="2"/>
  <c r="F1935" i="2"/>
  <c r="C1935" i="2"/>
  <c r="B1935" i="2"/>
  <c r="A1935" i="2"/>
  <c r="O1934" i="2"/>
  <c r="N1934" i="2"/>
  <c r="M1934" i="2"/>
  <c r="L1934" i="2"/>
  <c r="K1934" i="2"/>
  <c r="J1934" i="2"/>
  <c r="I1934" i="2"/>
  <c r="H1934" i="2"/>
  <c r="G1934" i="2"/>
  <c r="F1934" i="2"/>
  <c r="C1934" i="2"/>
  <c r="B1934" i="2"/>
  <c r="A1934" i="2"/>
  <c r="O1933" i="2"/>
  <c r="N1933" i="2"/>
  <c r="M1933" i="2"/>
  <c r="L1933" i="2"/>
  <c r="K1933" i="2"/>
  <c r="J1933" i="2"/>
  <c r="I1933" i="2"/>
  <c r="H1933" i="2"/>
  <c r="G1933" i="2"/>
  <c r="F1933" i="2"/>
  <c r="C1933" i="2"/>
  <c r="B1933" i="2"/>
  <c r="A1933" i="2"/>
  <c r="O1932" i="2"/>
  <c r="N1932" i="2"/>
  <c r="M1932" i="2"/>
  <c r="L1932" i="2"/>
  <c r="K1932" i="2"/>
  <c r="J1932" i="2"/>
  <c r="I1932" i="2"/>
  <c r="H1932" i="2"/>
  <c r="G1932" i="2"/>
  <c r="F1932" i="2"/>
  <c r="C1932" i="2"/>
  <c r="B1932" i="2"/>
  <c r="A1932" i="2"/>
  <c r="O1931" i="2"/>
  <c r="N1931" i="2"/>
  <c r="M1931" i="2"/>
  <c r="L1931" i="2"/>
  <c r="K1931" i="2"/>
  <c r="J1931" i="2"/>
  <c r="I1931" i="2"/>
  <c r="H1931" i="2"/>
  <c r="G1931" i="2"/>
  <c r="F1931" i="2"/>
  <c r="C1931" i="2"/>
  <c r="B1931" i="2"/>
  <c r="A1931" i="2"/>
  <c r="O1930" i="2"/>
  <c r="N1930" i="2"/>
  <c r="M1930" i="2"/>
  <c r="L1930" i="2"/>
  <c r="K1930" i="2"/>
  <c r="J1930" i="2"/>
  <c r="I1930" i="2"/>
  <c r="H1930" i="2"/>
  <c r="G1930" i="2"/>
  <c r="F1930" i="2"/>
  <c r="C1930" i="2"/>
  <c r="B1930" i="2"/>
  <c r="A1930" i="2"/>
  <c r="O1929" i="2"/>
  <c r="N1929" i="2"/>
  <c r="M1929" i="2"/>
  <c r="L1929" i="2"/>
  <c r="K1929" i="2"/>
  <c r="J1929" i="2"/>
  <c r="I1929" i="2"/>
  <c r="H1929" i="2"/>
  <c r="G1929" i="2"/>
  <c r="F1929" i="2"/>
  <c r="C1929" i="2"/>
  <c r="B1929" i="2"/>
  <c r="A1929" i="2"/>
  <c r="O1928" i="2"/>
  <c r="N1928" i="2"/>
  <c r="M1928" i="2"/>
  <c r="L1928" i="2"/>
  <c r="K1928" i="2"/>
  <c r="J1928" i="2"/>
  <c r="I1928" i="2"/>
  <c r="H1928" i="2"/>
  <c r="G1928" i="2"/>
  <c r="F1928" i="2"/>
  <c r="C1928" i="2"/>
  <c r="B1928" i="2"/>
  <c r="A1928" i="2"/>
  <c r="O1927" i="2"/>
  <c r="N1927" i="2"/>
  <c r="M1927" i="2"/>
  <c r="L1927" i="2"/>
  <c r="K1927" i="2"/>
  <c r="J1927" i="2"/>
  <c r="I1927" i="2"/>
  <c r="H1927" i="2"/>
  <c r="G1927" i="2"/>
  <c r="F1927" i="2"/>
  <c r="C1927" i="2"/>
  <c r="B1927" i="2"/>
  <c r="A1927" i="2"/>
  <c r="O1926" i="2"/>
  <c r="N1926" i="2"/>
  <c r="M1926" i="2"/>
  <c r="L1926" i="2"/>
  <c r="K1926" i="2"/>
  <c r="J1926" i="2"/>
  <c r="I1926" i="2"/>
  <c r="H1926" i="2"/>
  <c r="G1926" i="2"/>
  <c r="F1926" i="2"/>
  <c r="C1926" i="2"/>
  <c r="B1926" i="2"/>
  <c r="A1926" i="2"/>
  <c r="O1925" i="2"/>
  <c r="N1925" i="2"/>
  <c r="M1925" i="2"/>
  <c r="L1925" i="2"/>
  <c r="K1925" i="2"/>
  <c r="J1925" i="2"/>
  <c r="I1925" i="2"/>
  <c r="H1925" i="2"/>
  <c r="G1925" i="2"/>
  <c r="F1925" i="2"/>
  <c r="C1925" i="2"/>
  <c r="B1925" i="2"/>
  <c r="A1925" i="2"/>
  <c r="O1924" i="2"/>
  <c r="N1924" i="2"/>
  <c r="M1924" i="2"/>
  <c r="L1924" i="2"/>
  <c r="K1924" i="2"/>
  <c r="J1924" i="2"/>
  <c r="I1924" i="2"/>
  <c r="H1924" i="2"/>
  <c r="G1924" i="2"/>
  <c r="F1924" i="2"/>
  <c r="C1924" i="2"/>
  <c r="B1924" i="2"/>
  <c r="A1924" i="2"/>
  <c r="O1923" i="2"/>
  <c r="N1923" i="2"/>
  <c r="M1923" i="2"/>
  <c r="L1923" i="2"/>
  <c r="K1923" i="2"/>
  <c r="J1923" i="2"/>
  <c r="I1923" i="2"/>
  <c r="H1923" i="2"/>
  <c r="G1923" i="2"/>
  <c r="F1923" i="2"/>
  <c r="C1923" i="2"/>
  <c r="B1923" i="2"/>
  <c r="A1923" i="2"/>
  <c r="O1922" i="2"/>
  <c r="N1922" i="2"/>
  <c r="M1922" i="2"/>
  <c r="L1922" i="2"/>
  <c r="K1922" i="2"/>
  <c r="J1922" i="2"/>
  <c r="I1922" i="2"/>
  <c r="H1922" i="2"/>
  <c r="G1922" i="2"/>
  <c r="F1922" i="2"/>
  <c r="C1922" i="2"/>
  <c r="B1922" i="2"/>
  <c r="A1922" i="2"/>
  <c r="O1921" i="2"/>
  <c r="N1921" i="2"/>
  <c r="M1921" i="2"/>
  <c r="L1921" i="2"/>
  <c r="K1921" i="2"/>
  <c r="J1921" i="2"/>
  <c r="I1921" i="2"/>
  <c r="H1921" i="2"/>
  <c r="G1921" i="2"/>
  <c r="F1921" i="2"/>
  <c r="C1921" i="2"/>
  <c r="B1921" i="2"/>
  <c r="A1921" i="2"/>
  <c r="O1920" i="2"/>
  <c r="N1920" i="2"/>
  <c r="M1920" i="2"/>
  <c r="L1920" i="2"/>
  <c r="K1920" i="2"/>
  <c r="J1920" i="2"/>
  <c r="I1920" i="2"/>
  <c r="H1920" i="2"/>
  <c r="G1920" i="2"/>
  <c r="F1920" i="2"/>
  <c r="C1920" i="2"/>
  <c r="B1920" i="2"/>
  <c r="A1920" i="2"/>
  <c r="O1919" i="2"/>
  <c r="N1919" i="2"/>
  <c r="M1919" i="2"/>
  <c r="L1919" i="2"/>
  <c r="K1919" i="2"/>
  <c r="J1919" i="2"/>
  <c r="I1919" i="2"/>
  <c r="H1919" i="2"/>
  <c r="G1919" i="2"/>
  <c r="F1919" i="2"/>
  <c r="C1919" i="2"/>
  <c r="B1919" i="2"/>
  <c r="A1919" i="2"/>
  <c r="O1918" i="2"/>
  <c r="N1918" i="2"/>
  <c r="M1918" i="2"/>
  <c r="L1918" i="2"/>
  <c r="K1918" i="2"/>
  <c r="J1918" i="2"/>
  <c r="I1918" i="2"/>
  <c r="H1918" i="2"/>
  <c r="G1918" i="2"/>
  <c r="F1918" i="2"/>
  <c r="C1918" i="2"/>
  <c r="B1918" i="2"/>
  <c r="A1918" i="2"/>
  <c r="O1917" i="2"/>
  <c r="N1917" i="2"/>
  <c r="M1917" i="2"/>
  <c r="L1917" i="2"/>
  <c r="K1917" i="2"/>
  <c r="J1917" i="2"/>
  <c r="I1917" i="2"/>
  <c r="H1917" i="2"/>
  <c r="G1917" i="2"/>
  <c r="F1917" i="2"/>
  <c r="C1917" i="2"/>
  <c r="B1917" i="2"/>
  <c r="A1917" i="2"/>
  <c r="O1916" i="2"/>
  <c r="N1916" i="2"/>
  <c r="M1916" i="2"/>
  <c r="L1916" i="2"/>
  <c r="K1916" i="2"/>
  <c r="J1916" i="2"/>
  <c r="I1916" i="2"/>
  <c r="H1916" i="2"/>
  <c r="G1916" i="2"/>
  <c r="F1916" i="2"/>
  <c r="C1916" i="2"/>
  <c r="B1916" i="2"/>
  <c r="A1916" i="2"/>
  <c r="O1915" i="2"/>
  <c r="N1915" i="2"/>
  <c r="M1915" i="2"/>
  <c r="L1915" i="2"/>
  <c r="K1915" i="2"/>
  <c r="J1915" i="2"/>
  <c r="I1915" i="2"/>
  <c r="H1915" i="2"/>
  <c r="G1915" i="2"/>
  <c r="F1915" i="2"/>
  <c r="C1915" i="2"/>
  <c r="B1915" i="2"/>
  <c r="A1915" i="2"/>
  <c r="O1914" i="2"/>
  <c r="N1914" i="2"/>
  <c r="M1914" i="2"/>
  <c r="L1914" i="2"/>
  <c r="K1914" i="2"/>
  <c r="J1914" i="2"/>
  <c r="I1914" i="2"/>
  <c r="H1914" i="2"/>
  <c r="G1914" i="2"/>
  <c r="F1914" i="2"/>
  <c r="C1914" i="2"/>
  <c r="B1914" i="2"/>
  <c r="A1914" i="2"/>
  <c r="O1913" i="2"/>
  <c r="N1913" i="2"/>
  <c r="M1913" i="2"/>
  <c r="L1913" i="2"/>
  <c r="K1913" i="2"/>
  <c r="J1913" i="2"/>
  <c r="I1913" i="2"/>
  <c r="H1913" i="2"/>
  <c r="G1913" i="2"/>
  <c r="F1913" i="2"/>
  <c r="C1913" i="2"/>
  <c r="B1913" i="2"/>
  <c r="A1913" i="2"/>
  <c r="O1912" i="2"/>
  <c r="N1912" i="2"/>
  <c r="M1912" i="2"/>
  <c r="L1912" i="2"/>
  <c r="K1912" i="2"/>
  <c r="J1912" i="2"/>
  <c r="I1912" i="2"/>
  <c r="H1912" i="2"/>
  <c r="G1912" i="2"/>
  <c r="F1912" i="2"/>
  <c r="C1912" i="2"/>
  <c r="B1912" i="2"/>
  <c r="A1912" i="2"/>
  <c r="O1911" i="2"/>
  <c r="N1911" i="2"/>
  <c r="M1911" i="2"/>
  <c r="L1911" i="2"/>
  <c r="K1911" i="2"/>
  <c r="J1911" i="2"/>
  <c r="I1911" i="2"/>
  <c r="H1911" i="2"/>
  <c r="G1911" i="2"/>
  <c r="F1911" i="2"/>
  <c r="C1911" i="2"/>
  <c r="B1911" i="2"/>
  <c r="A1911" i="2"/>
  <c r="O1910" i="2"/>
  <c r="N1910" i="2"/>
  <c r="M1910" i="2"/>
  <c r="L1910" i="2"/>
  <c r="K1910" i="2"/>
  <c r="J1910" i="2"/>
  <c r="I1910" i="2"/>
  <c r="H1910" i="2"/>
  <c r="G1910" i="2"/>
  <c r="F1910" i="2"/>
  <c r="C1910" i="2"/>
  <c r="B1910" i="2"/>
  <c r="A1910" i="2"/>
  <c r="O1909" i="2"/>
  <c r="N1909" i="2"/>
  <c r="M1909" i="2"/>
  <c r="L1909" i="2"/>
  <c r="K1909" i="2"/>
  <c r="J1909" i="2"/>
  <c r="I1909" i="2"/>
  <c r="H1909" i="2"/>
  <c r="G1909" i="2"/>
  <c r="F1909" i="2"/>
  <c r="C1909" i="2"/>
  <c r="B1909" i="2"/>
  <c r="A1909" i="2"/>
  <c r="O1908" i="2"/>
  <c r="N1908" i="2"/>
  <c r="M1908" i="2"/>
  <c r="L1908" i="2"/>
  <c r="K1908" i="2"/>
  <c r="J1908" i="2"/>
  <c r="I1908" i="2"/>
  <c r="H1908" i="2"/>
  <c r="G1908" i="2"/>
  <c r="F1908" i="2"/>
  <c r="C1908" i="2"/>
  <c r="B1908" i="2"/>
  <c r="A1908" i="2"/>
  <c r="O1907" i="2"/>
  <c r="N1907" i="2"/>
  <c r="M1907" i="2"/>
  <c r="L1907" i="2"/>
  <c r="K1907" i="2"/>
  <c r="J1907" i="2"/>
  <c r="I1907" i="2"/>
  <c r="H1907" i="2"/>
  <c r="G1907" i="2"/>
  <c r="F1907" i="2"/>
  <c r="C1907" i="2"/>
  <c r="B1907" i="2"/>
  <c r="A1907" i="2"/>
  <c r="O1906" i="2"/>
  <c r="N1906" i="2"/>
  <c r="M1906" i="2"/>
  <c r="L1906" i="2"/>
  <c r="K1906" i="2"/>
  <c r="J1906" i="2"/>
  <c r="I1906" i="2"/>
  <c r="H1906" i="2"/>
  <c r="G1906" i="2"/>
  <c r="F1906" i="2"/>
  <c r="C1906" i="2"/>
  <c r="B1906" i="2"/>
  <c r="A1906" i="2"/>
  <c r="O1905" i="2"/>
  <c r="N1905" i="2"/>
  <c r="M1905" i="2"/>
  <c r="L1905" i="2"/>
  <c r="K1905" i="2"/>
  <c r="J1905" i="2"/>
  <c r="I1905" i="2"/>
  <c r="H1905" i="2"/>
  <c r="G1905" i="2"/>
  <c r="F1905" i="2"/>
  <c r="C1905" i="2"/>
  <c r="B1905" i="2"/>
  <c r="A1905" i="2"/>
  <c r="O1904" i="2"/>
  <c r="N1904" i="2"/>
  <c r="M1904" i="2"/>
  <c r="L1904" i="2"/>
  <c r="K1904" i="2"/>
  <c r="J1904" i="2"/>
  <c r="I1904" i="2"/>
  <c r="H1904" i="2"/>
  <c r="G1904" i="2"/>
  <c r="F1904" i="2"/>
  <c r="C1904" i="2"/>
  <c r="B1904" i="2"/>
  <c r="A1904" i="2"/>
  <c r="O1903" i="2"/>
  <c r="N1903" i="2"/>
  <c r="M1903" i="2"/>
  <c r="L1903" i="2"/>
  <c r="K1903" i="2"/>
  <c r="J1903" i="2"/>
  <c r="I1903" i="2"/>
  <c r="H1903" i="2"/>
  <c r="G1903" i="2"/>
  <c r="F1903" i="2"/>
  <c r="C1903" i="2"/>
  <c r="B1903" i="2"/>
  <c r="A1903" i="2"/>
  <c r="O1902" i="2"/>
  <c r="N1902" i="2"/>
  <c r="M1902" i="2"/>
  <c r="L1902" i="2"/>
  <c r="K1902" i="2"/>
  <c r="J1902" i="2"/>
  <c r="I1902" i="2"/>
  <c r="H1902" i="2"/>
  <c r="G1902" i="2"/>
  <c r="F1902" i="2"/>
  <c r="C1902" i="2"/>
  <c r="B1902" i="2"/>
  <c r="A1902" i="2"/>
  <c r="O1901" i="2"/>
  <c r="N1901" i="2"/>
  <c r="M1901" i="2"/>
  <c r="L1901" i="2"/>
  <c r="K1901" i="2"/>
  <c r="J1901" i="2"/>
  <c r="I1901" i="2"/>
  <c r="H1901" i="2"/>
  <c r="G1901" i="2"/>
  <c r="F1901" i="2"/>
  <c r="C1901" i="2"/>
  <c r="B1901" i="2"/>
  <c r="A1901" i="2"/>
  <c r="O1900" i="2"/>
  <c r="N1900" i="2"/>
  <c r="M1900" i="2"/>
  <c r="L1900" i="2"/>
  <c r="K1900" i="2"/>
  <c r="J1900" i="2"/>
  <c r="I1900" i="2"/>
  <c r="H1900" i="2"/>
  <c r="G1900" i="2"/>
  <c r="F1900" i="2"/>
  <c r="C1900" i="2"/>
  <c r="B1900" i="2"/>
  <c r="A1900" i="2"/>
  <c r="O1899" i="2"/>
  <c r="N1899" i="2"/>
  <c r="M1899" i="2"/>
  <c r="L1899" i="2"/>
  <c r="K1899" i="2"/>
  <c r="J1899" i="2"/>
  <c r="I1899" i="2"/>
  <c r="H1899" i="2"/>
  <c r="G1899" i="2"/>
  <c r="F1899" i="2"/>
  <c r="C1899" i="2"/>
  <c r="B1899" i="2"/>
  <c r="A1899" i="2"/>
  <c r="O1898" i="2"/>
  <c r="N1898" i="2"/>
  <c r="M1898" i="2"/>
  <c r="L1898" i="2"/>
  <c r="K1898" i="2"/>
  <c r="J1898" i="2"/>
  <c r="I1898" i="2"/>
  <c r="H1898" i="2"/>
  <c r="G1898" i="2"/>
  <c r="F1898" i="2"/>
  <c r="C1898" i="2"/>
  <c r="B1898" i="2"/>
  <c r="A1898" i="2"/>
  <c r="O1897" i="2"/>
  <c r="N1897" i="2"/>
  <c r="M1897" i="2"/>
  <c r="L1897" i="2"/>
  <c r="K1897" i="2"/>
  <c r="J1897" i="2"/>
  <c r="I1897" i="2"/>
  <c r="H1897" i="2"/>
  <c r="G1897" i="2"/>
  <c r="F1897" i="2"/>
  <c r="C1897" i="2"/>
  <c r="B1897" i="2"/>
  <c r="A1897" i="2"/>
  <c r="O1896" i="2"/>
  <c r="N1896" i="2"/>
  <c r="M1896" i="2"/>
  <c r="L1896" i="2"/>
  <c r="K1896" i="2"/>
  <c r="J1896" i="2"/>
  <c r="I1896" i="2"/>
  <c r="H1896" i="2"/>
  <c r="G1896" i="2"/>
  <c r="F1896" i="2"/>
  <c r="C1896" i="2"/>
  <c r="B1896" i="2"/>
  <c r="A1896" i="2"/>
  <c r="O1895" i="2"/>
  <c r="N1895" i="2"/>
  <c r="M1895" i="2"/>
  <c r="L1895" i="2"/>
  <c r="K1895" i="2"/>
  <c r="J1895" i="2"/>
  <c r="I1895" i="2"/>
  <c r="H1895" i="2"/>
  <c r="G1895" i="2"/>
  <c r="F1895" i="2"/>
  <c r="C1895" i="2"/>
  <c r="B1895" i="2"/>
  <c r="A1895" i="2"/>
  <c r="O1894" i="2"/>
  <c r="N1894" i="2"/>
  <c r="M1894" i="2"/>
  <c r="L1894" i="2"/>
  <c r="K1894" i="2"/>
  <c r="J1894" i="2"/>
  <c r="I1894" i="2"/>
  <c r="H1894" i="2"/>
  <c r="G1894" i="2"/>
  <c r="F1894" i="2"/>
  <c r="C1894" i="2"/>
  <c r="B1894" i="2"/>
  <c r="A1894" i="2"/>
  <c r="O1893" i="2"/>
  <c r="N1893" i="2"/>
  <c r="M1893" i="2"/>
  <c r="L1893" i="2"/>
  <c r="K1893" i="2"/>
  <c r="J1893" i="2"/>
  <c r="I1893" i="2"/>
  <c r="H1893" i="2"/>
  <c r="G1893" i="2"/>
  <c r="F1893" i="2"/>
  <c r="C1893" i="2"/>
  <c r="B1893" i="2"/>
  <c r="A1893" i="2"/>
  <c r="O1892" i="2"/>
  <c r="N1892" i="2"/>
  <c r="M1892" i="2"/>
  <c r="L1892" i="2"/>
  <c r="K1892" i="2"/>
  <c r="J1892" i="2"/>
  <c r="I1892" i="2"/>
  <c r="H1892" i="2"/>
  <c r="G1892" i="2"/>
  <c r="F1892" i="2"/>
  <c r="C1892" i="2"/>
  <c r="B1892" i="2"/>
  <c r="A1892" i="2"/>
  <c r="O1891" i="2"/>
  <c r="N1891" i="2"/>
  <c r="M1891" i="2"/>
  <c r="L1891" i="2"/>
  <c r="K1891" i="2"/>
  <c r="J1891" i="2"/>
  <c r="I1891" i="2"/>
  <c r="H1891" i="2"/>
  <c r="G1891" i="2"/>
  <c r="F1891" i="2"/>
  <c r="C1891" i="2"/>
  <c r="B1891" i="2"/>
  <c r="A1891" i="2"/>
  <c r="O1890" i="2"/>
  <c r="N1890" i="2"/>
  <c r="M1890" i="2"/>
  <c r="L1890" i="2"/>
  <c r="K1890" i="2"/>
  <c r="J1890" i="2"/>
  <c r="I1890" i="2"/>
  <c r="H1890" i="2"/>
  <c r="G1890" i="2"/>
  <c r="F1890" i="2"/>
  <c r="C1890" i="2"/>
  <c r="B1890" i="2"/>
  <c r="A1890" i="2"/>
  <c r="O1889" i="2"/>
  <c r="N1889" i="2"/>
  <c r="M1889" i="2"/>
  <c r="L1889" i="2"/>
  <c r="K1889" i="2"/>
  <c r="J1889" i="2"/>
  <c r="I1889" i="2"/>
  <c r="H1889" i="2"/>
  <c r="G1889" i="2"/>
  <c r="F1889" i="2"/>
  <c r="C1889" i="2"/>
  <c r="B1889" i="2"/>
  <c r="A1889" i="2"/>
  <c r="O1888" i="2"/>
  <c r="N1888" i="2"/>
  <c r="M1888" i="2"/>
  <c r="L1888" i="2"/>
  <c r="K1888" i="2"/>
  <c r="J1888" i="2"/>
  <c r="I1888" i="2"/>
  <c r="H1888" i="2"/>
  <c r="G1888" i="2"/>
  <c r="F1888" i="2"/>
  <c r="C1888" i="2"/>
  <c r="B1888" i="2"/>
  <c r="A1888" i="2"/>
  <c r="O1887" i="2"/>
  <c r="N1887" i="2"/>
  <c r="M1887" i="2"/>
  <c r="L1887" i="2"/>
  <c r="K1887" i="2"/>
  <c r="J1887" i="2"/>
  <c r="I1887" i="2"/>
  <c r="H1887" i="2"/>
  <c r="G1887" i="2"/>
  <c r="F1887" i="2"/>
  <c r="C1887" i="2"/>
  <c r="B1887" i="2"/>
  <c r="A1887" i="2"/>
  <c r="O1886" i="2"/>
  <c r="N1886" i="2"/>
  <c r="M1886" i="2"/>
  <c r="L1886" i="2"/>
  <c r="K1886" i="2"/>
  <c r="J1886" i="2"/>
  <c r="I1886" i="2"/>
  <c r="H1886" i="2"/>
  <c r="G1886" i="2"/>
  <c r="F1886" i="2"/>
  <c r="C1886" i="2"/>
  <c r="B1886" i="2"/>
  <c r="A1886" i="2"/>
  <c r="O1885" i="2"/>
  <c r="N1885" i="2"/>
  <c r="M1885" i="2"/>
  <c r="L1885" i="2"/>
  <c r="K1885" i="2"/>
  <c r="J1885" i="2"/>
  <c r="I1885" i="2"/>
  <c r="H1885" i="2"/>
  <c r="G1885" i="2"/>
  <c r="F1885" i="2"/>
  <c r="C1885" i="2"/>
  <c r="B1885" i="2"/>
  <c r="A1885" i="2"/>
  <c r="O1884" i="2"/>
  <c r="N1884" i="2"/>
  <c r="M1884" i="2"/>
  <c r="L1884" i="2"/>
  <c r="K1884" i="2"/>
  <c r="J1884" i="2"/>
  <c r="I1884" i="2"/>
  <c r="H1884" i="2"/>
  <c r="G1884" i="2"/>
  <c r="F1884" i="2"/>
  <c r="C1884" i="2"/>
  <c r="B1884" i="2"/>
  <c r="A1884" i="2"/>
  <c r="O1883" i="2"/>
  <c r="N1883" i="2"/>
  <c r="M1883" i="2"/>
  <c r="L1883" i="2"/>
  <c r="K1883" i="2"/>
  <c r="J1883" i="2"/>
  <c r="I1883" i="2"/>
  <c r="H1883" i="2"/>
  <c r="G1883" i="2"/>
  <c r="F1883" i="2"/>
  <c r="C1883" i="2"/>
  <c r="B1883" i="2"/>
  <c r="A1883" i="2"/>
  <c r="O1882" i="2"/>
  <c r="N1882" i="2"/>
  <c r="M1882" i="2"/>
  <c r="L1882" i="2"/>
  <c r="K1882" i="2"/>
  <c r="J1882" i="2"/>
  <c r="I1882" i="2"/>
  <c r="H1882" i="2"/>
  <c r="G1882" i="2"/>
  <c r="F1882" i="2"/>
  <c r="C1882" i="2"/>
  <c r="B1882" i="2"/>
  <c r="A1882" i="2"/>
  <c r="O1881" i="2"/>
  <c r="N1881" i="2"/>
  <c r="M1881" i="2"/>
  <c r="L1881" i="2"/>
  <c r="K1881" i="2"/>
  <c r="J1881" i="2"/>
  <c r="I1881" i="2"/>
  <c r="H1881" i="2"/>
  <c r="G1881" i="2"/>
  <c r="F1881" i="2"/>
  <c r="C1881" i="2"/>
  <c r="B1881" i="2"/>
  <c r="A1881" i="2"/>
  <c r="O1880" i="2"/>
  <c r="N1880" i="2"/>
  <c r="M1880" i="2"/>
  <c r="L1880" i="2"/>
  <c r="K1880" i="2"/>
  <c r="J1880" i="2"/>
  <c r="I1880" i="2"/>
  <c r="H1880" i="2"/>
  <c r="G1880" i="2"/>
  <c r="F1880" i="2"/>
  <c r="C1880" i="2"/>
  <c r="B1880" i="2"/>
  <c r="A1880" i="2"/>
  <c r="O1879" i="2"/>
  <c r="N1879" i="2"/>
  <c r="M1879" i="2"/>
  <c r="L1879" i="2"/>
  <c r="K1879" i="2"/>
  <c r="J1879" i="2"/>
  <c r="I1879" i="2"/>
  <c r="H1879" i="2"/>
  <c r="G1879" i="2"/>
  <c r="F1879" i="2"/>
  <c r="C1879" i="2"/>
  <c r="B1879" i="2"/>
  <c r="A1879" i="2"/>
  <c r="O1878" i="2"/>
  <c r="N1878" i="2"/>
  <c r="M1878" i="2"/>
  <c r="L1878" i="2"/>
  <c r="K1878" i="2"/>
  <c r="J1878" i="2"/>
  <c r="I1878" i="2"/>
  <c r="H1878" i="2"/>
  <c r="G1878" i="2"/>
  <c r="F1878" i="2"/>
  <c r="C1878" i="2"/>
  <c r="B1878" i="2"/>
  <c r="A1878" i="2"/>
  <c r="O1877" i="2"/>
  <c r="N1877" i="2"/>
  <c r="M1877" i="2"/>
  <c r="L1877" i="2"/>
  <c r="K1877" i="2"/>
  <c r="J1877" i="2"/>
  <c r="I1877" i="2"/>
  <c r="H1877" i="2"/>
  <c r="G1877" i="2"/>
  <c r="F1877" i="2"/>
  <c r="C1877" i="2"/>
  <c r="B1877" i="2"/>
  <c r="A1877" i="2"/>
  <c r="O1876" i="2"/>
  <c r="N1876" i="2"/>
  <c r="M1876" i="2"/>
  <c r="L1876" i="2"/>
  <c r="K1876" i="2"/>
  <c r="J1876" i="2"/>
  <c r="I1876" i="2"/>
  <c r="H1876" i="2"/>
  <c r="G1876" i="2"/>
  <c r="F1876" i="2"/>
  <c r="C1876" i="2"/>
  <c r="B1876" i="2"/>
  <c r="A1876" i="2"/>
  <c r="O1875" i="2"/>
  <c r="N1875" i="2"/>
  <c r="M1875" i="2"/>
  <c r="L1875" i="2"/>
  <c r="K1875" i="2"/>
  <c r="J1875" i="2"/>
  <c r="I1875" i="2"/>
  <c r="H1875" i="2"/>
  <c r="G1875" i="2"/>
  <c r="F1875" i="2"/>
  <c r="C1875" i="2"/>
  <c r="B1875" i="2"/>
  <c r="A1875" i="2"/>
  <c r="O1874" i="2"/>
  <c r="N1874" i="2"/>
  <c r="M1874" i="2"/>
  <c r="L1874" i="2"/>
  <c r="K1874" i="2"/>
  <c r="J1874" i="2"/>
  <c r="I1874" i="2"/>
  <c r="H1874" i="2"/>
  <c r="G1874" i="2"/>
  <c r="F1874" i="2"/>
  <c r="C1874" i="2"/>
  <c r="B1874" i="2"/>
  <c r="A1874" i="2"/>
  <c r="O1873" i="2"/>
  <c r="N1873" i="2"/>
  <c r="M1873" i="2"/>
  <c r="L1873" i="2"/>
  <c r="K1873" i="2"/>
  <c r="J1873" i="2"/>
  <c r="I1873" i="2"/>
  <c r="H1873" i="2"/>
  <c r="G1873" i="2"/>
  <c r="F1873" i="2"/>
  <c r="C1873" i="2"/>
  <c r="B1873" i="2"/>
  <c r="A1873" i="2"/>
  <c r="O1872" i="2"/>
  <c r="N1872" i="2"/>
  <c r="M1872" i="2"/>
  <c r="L1872" i="2"/>
  <c r="K1872" i="2"/>
  <c r="J1872" i="2"/>
  <c r="I1872" i="2"/>
  <c r="H1872" i="2"/>
  <c r="G1872" i="2"/>
  <c r="F1872" i="2"/>
  <c r="C1872" i="2"/>
  <c r="B1872" i="2"/>
  <c r="A1872" i="2"/>
  <c r="O1871" i="2"/>
  <c r="N1871" i="2"/>
  <c r="M1871" i="2"/>
  <c r="L1871" i="2"/>
  <c r="K1871" i="2"/>
  <c r="J1871" i="2"/>
  <c r="I1871" i="2"/>
  <c r="H1871" i="2"/>
  <c r="G1871" i="2"/>
  <c r="F1871" i="2"/>
  <c r="C1871" i="2"/>
  <c r="B1871" i="2"/>
  <c r="A1871" i="2"/>
  <c r="O1870" i="2"/>
  <c r="N1870" i="2"/>
  <c r="M1870" i="2"/>
  <c r="L1870" i="2"/>
  <c r="K1870" i="2"/>
  <c r="J1870" i="2"/>
  <c r="I1870" i="2"/>
  <c r="H1870" i="2"/>
  <c r="G1870" i="2"/>
  <c r="F1870" i="2"/>
  <c r="C1870" i="2"/>
  <c r="B1870" i="2"/>
  <c r="A1870" i="2"/>
  <c r="O1869" i="2"/>
  <c r="N1869" i="2"/>
  <c r="M1869" i="2"/>
  <c r="L1869" i="2"/>
  <c r="K1869" i="2"/>
  <c r="J1869" i="2"/>
  <c r="I1869" i="2"/>
  <c r="H1869" i="2"/>
  <c r="G1869" i="2"/>
  <c r="F1869" i="2"/>
  <c r="C1869" i="2"/>
  <c r="B1869" i="2"/>
  <c r="A1869" i="2"/>
  <c r="O1868" i="2"/>
  <c r="N1868" i="2"/>
  <c r="M1868" i="2"/>
  <c r="L1868" i="2"/>
  <c r="K1868" i="2"/>
  <c r="J1868" i="2"/>
  <c r="I1868" i="2"/>
  <c r="H1868" i="2"/>
  <c r="G1868" i="2"/>
  <c r="F1868" i="2"/>
  <c r="C1868" i="2"/>
  <c r="B1868" i="2"/>
  <c r="A1868" i="2"/>
  <c r="O1867" i="2"/>
  <c r="N1867" i="2"/>
  <c r="M1867" i="2"/>
  <c r="L1867" i="2"/>
  <c r="K1867" i="2"/>
  <c r="J1867" i="2"/>
  <c r="I1867" i="2"/>
  <c r="H1867" i="2"/>
  <c r="G1867" i="2"/>
  <c r="F1867" i="2"/>
  <c r="C1867" i="2"/>
  <c r="B1867" i="2"/>
  <c r="A1867" i="2"/>
  <c r="O1866" i="2"/>
  <c r="N1866" i="2"/>
  <c r="M1866" i="2"/>
  <c r="L1866" i="2"/>
  <c r="K1866" i="2"/>
  <c r="J1866" i="2"/>
  <c r="I1866" i="2"/>
  <c r="H1866" i="2"/>
  <c r="G1866" i="2"/>
  <c r="F1866" i="2"/>
  <c r="C1866" i="2"/>
  <c r="B1866" i="2"/>
  <c r="A1866" i="2"/>
  <c r="O1865" i="2"/>
  <c r="N1865" i="2"/>
  <c r="M1865" i="2"/>
  <c r="L1865" i="2"/>
  <c r="K1865" i="2"/>
  <c r="J1865" i="2"/>
  <c r="I1865" i="2"/>
  <c r="H1865" i="2"/>
  <c r="G1865" i="2"/>
  <c r="F1865" i="2"/>
  <c r="C1865" i="2"/>
  <c r="B1865" i="2"/>
  <c r="A1865" i="2"/>
  <c r="O1864" i="2"/>
  <c r="N1864" i="2"/>
  <c r="M1864" i="2"/>
  <c r="L1864" i="2"/>
  <c r="K1864" i="2"/>
  <c r="J1864" i="2"/>
  <c r="I1864" i="2"/>
  <c r="H1864" i="2"/>
  <c r="G1864" i="2"/>
  <c r="F1864" i="2"/>
  <c r="C1864" i="2"/>
  <c r="B1864" i="2"/>
  <c r="A1864" i="2"/>
  <c r="O1863" i="2"/>
  <c r="N1863" i="2"/>
  <c r="M1863" i="2"/>
  <c r="L1863" i="2"/>
  <c r="K1863" i="2"/>
  <c r="J1863" i="2"/>
  <c r="I1863" i="2"/>
  <c r="H1863" i="2"/>
  <c r="G1863" i="2"/>
  <c r="F1863" i="2"/>
  <c r="C1863" i="2"/>
  <c r="B1863" i="2"/>
  <c r="A1863" i="2"/>
  <c r="O1862" i="2"/>
  <c r="N1862" i="2"/>
  <c r="M1862" i="2"/>
  <c r="L1862" i="2"/>
  <c r="K1862" i="2"/>
  <c r="J1862" i="2"/>
  <c r="I1862" i="2"/>
  <c r="H1862" i="2"/>
  <c r="G1862" i="2"/>
  <c r="F1862" i="2"/>
  <c r="C1862" i="2"/>
  <c r="B1862" i="2"/>
  <c r="A1862" i="2"/>
  <c r="O1861" i="2"/>
  <c r="N1861" i="2"/>
  <c r="M1861" i="2"/>
  <c r="L1861" i="2"/>
  <c r="K1861" i="2"/>
  <c r="J1861" i="2"/>
  <c r="I1861" i="2"/>
  <c r="H1861" i="2"/>
  <c r="G1861" i="2"/>
  <c r="F1861" i="2"/>
  <c r="C1861" i="2"/>
  <c r="B1861" i="2"/>
  <c r="A1861" i="2"/>
  <c r="O1860" i="2"/>
  <c r="N1860" i="2"/>
  <c r="M1860" i="2"/>
  <c r="L1860" i="2"/>
  <c r="K1860" i="2"/>
  <c r="J1860" i="2"/>
  <c r="I1860" i="2"/>
  <c r="H1860" i="2"/>
  <c r="G1860" i="2"/>
  <c r="F1860" i="2"/>
  <c r="C1860" i="2"/>
  <c r="B1860" i="2"/>
  <c r="A1860" i="2"/>
  <c r="O1859" i="2"/>
  <c r="N1859" i="2"/>
  <c r="M1859" i="2"/>
  <c r="L1859" i="2"/>
  <c r="K1859" i="2"/>
  <c r="J1859" i="2"/>
  <c r="I1859" i="2"/>
  <c r="H1859" i="2"/>
  <c r="G1859" i="2"/>
  <c r="F1859" i="2"/>
  <c r="C1859" i="2"/>
  <c r="B1859" i="2"/>
  <c r="A1859" i="2"/>
  <c r="O1858" i="2"/>
  <c r="N1858" i="2"/>
  <c r="M1858" i="2"/>
  <c r="L1858" i="2"/>
  <c r="K1858" i="2"/>
  <c r="J1858" i="2"/>
  <c r="I1858" i="2"/>
  <c r="H1858" i="2"/>
  <c r="G1858" i="2"/>
  <c r="F1858" i="2"/>
  <c r="C1858" i="2"/>
  <c r="B1858" i="2"/>
  <c r="A1858" i="2"/>
  <c r="O1857" i="2"/>
  <c r="N1857" i="2"/>
  <c r="M1857" i="2"/>
  <c r="L1857" i="2"/>
  <c r="K1857" i="2"/>
  <c r="J1857" i="2"/>
  <c r="I1857" i="2"/>
  <c r="H1857" i="2"/>
  <c r="G1857" i="2"/>
  <c r="F1857" i="2"/>
  <c r="C1857" i="2"/>
  <c r="B1857" i="2"/>
  <c r="A1857" i="2"/>
  <c r="O1856" i="2"/>
  <c r="N1856" i="2"/>
  <c r="M1856" i="2"/>
  <c r="L1856" i="2"/>
  <c r="K1856" i="2"/>
  <c r="J1856" i="2"/>
  <c r="I1856" i="2"/>
  <c r="H1856" i="2"/>
  <c r="G1856" i="2"/>
  <c r="F1856" i="2"/>
  <c r="C1856" i="2"/>
  <c r="B1856" i="2"/>
  <c r="A1856" i="2"/>
  <c r="O1855" i="2"/>
  <c r="N1855" i="2"/>
  <c r="M1855" i="2"/>
  <c r="L1855" i="2"/>
  <c r="K1855" i="2"/>
  <c r="J1855" i="2"/>
  <c r="I1855" i="2"/>
  <c r="H1855" i="2"/>
  <c r="G1855" i="2"/>
  <c r="F1855" i="2"/>
  <c r="C1855" i="2"/>
  <c r="B1855" i="2"/>
  <c r="A1855" i="2"/>
  <c r="O1854" i="2"/>
  <c r="N1854" i="2"/>
  <c r="M1854" i="2"/>
  <c r="L1854" i="2"/>
  <c r="K1854" i="2"/>
  <c r="J1854" i="2"/>
  <c r="I1854" i="2"/>
  <c r="H1854" i="2"/>
  <c r="G1854" i="2"/>
  <c r="F1854" i="2"/>
  <c r="C1854" i="2"/>
  <c r="B1854" i="2"/>
  <c r="A1854" i="2"/>
  <c r="O1853" i="2"/>
  <c r="N1853" i="2"/>
  <c r="M1853" i="2"/>
  <c r="L1853" i="2"/>
  <c r="K1853" i="2"/>
  <c r="J1853" i="2"/>
  <c r="I1853" i="2"/>
  <c r="H1853" i="2"/>
  <c r="G1853" i="2"/>
  <c r="F1853" i="2"/>
  <c r="C1853" i="2"/>
  <c r="B1853" i="2"/>
  <c r="A1853" i="2"/>
  <c r="O1852" i="2"/>
  <c r="N1852" i="2"/>
  <c r="M1852" i="2"/>
  <c r="L1852" i="2"/>
  <c r="K1852" i="2"/>
  <c r="J1852" i="2"/>
  <c r="I1852" i="2"/>
  <c r="H1852" i="2"/>
  <c r="G1852" i="2"/>
  <c r="F1852" i="2"/>
  <c r="C1852" i="2"/>
  <c r="B1852" i="2"/>
  <c r="A1852" i="2"/>
  <c r="O1851" i="2"/>
  <c r="N1851" i="2"/>
  <c r="M1851" i="2"/>
  <c r="L1851" i="2"/>
  <c r="K1851" i="2"/>
  <c r="J1851" i="2"/>
  <c r="I1851" i="2"/>
  <c r="H1851" i="2"/>
  <c r="G1851" i="2"/>
  <c r="F1851" i="2"/>
  <c r="C1851" i="2"/>
  <c r="B1851" i="2"/>
  <c r="A1851" i="2"/>
  <c r="O1850" i="2"/>
  <c r="N1850" i="2"/>
  <c r="M1850" i="2"/>
  <c r="L1850" i="2"/>
  <c r="K1850" i="2"/>
  <c r="J1850" i="2"/>
  <c r="I1850" i="2"/>
  <c r="H1850" i="2"/>
  <c r="G1850" i="2"/>
  <c r="F1850" i="2"/>
  <c r="C1850" i="2"/>
  <c r="B1850" i="2"/>
  <c r="A1850" i="2"/>
  <c r="O1849" i="2"/>
  <c r="N1849" i="2"/>
  <c r="M1849" i="2"/>
  <c r="L1849" i="2"/>
  <c r="K1849" i="2"/>
  <c r="J1849" i="2"/>
  <c r="I1849" i="2"/>
  <c r="H1849" i="2"/>
  <c r="G1849" i="2"/>
  <c r="F1849" i="2"/>
  <c r="C1849" i="2"/>
  <c r="B1849" i="2"/>
  <c r="A1849" i="2"/>
  <c r="O1848" i="2"/>
  <c r="N1848" i="2"/>
  <c r="M1848" i="2"/>
  <c r="L1848" i="2"/>
  <c r="K1848" i="2"/>
  <c r="J1848" i="2"/>
  <c r="I1848" i="2"/>
  <c r="H1848" i="2"/>
  <c r="G1848" i="2"/>
  <c r="F1848" i="2"/>
  <c r="C1848" i="2"/>
  <c r="B1848" i="2"/>
  <c r="A1848" i="2"/>
  <c r="O1847" i="2"/>
  <c r="N1847" i="2"/>
  <c r="M1847" i="2"/>
  <c r="L1847" i="2"/>
  <c r="K1847" i="2"/>
  <c r="J1847" i="2"/>
  <c r="I1847" i="2"/>
  <c r="H1847" i="2"/>
  <c r="G1847" i="2"/>
  <c r="F1847" i="2"/>
  <c r="C1847" i="2"/>
  <c r="B1847" i="2"/>
  <c r="A1847" i="2"/>
  <c r="O1846" i="2"/>
  <c r="N1846" i="2"/>
  <c r="M1846" i="2"/>
  <c r="L1846" i="2"/>
  <c r="K1846" i="2"/>
  <c r="J1846" i="2"/>
  <c r="I1846" i="2"/>
  <c r="H1846" i="2"/>
  <c r="G1846" i="2"/>
  <c r="F1846" i="2"/>
  <c r="C1846" i="2"/>
  <c r="B1846" i="2"/>
  <c r="A1846" i="2"/>
  <c r="O1845" i="2"/>
  <c r="N1845" i="2"/>
  <c r="M1845" i="2"/>
  <c r="L1845" i="2"/>
  <c r="K1845" i="2"/>
  <c r="J1845" i="2"/>
  <c r="I1845" i="2"/>
  <c r="H1845" i="2"/>
  <c r="G1845" i="2"/>
  <c r="F1845" i="2"/>
  <c r="C1845" i="2"/>
  <c r="B1845" i="2"/>
  <c r="A1845" i="2"/>
  <c r="O1844" i="2"/>
  <c r="N1844" i="2"/>
  <c r="M1844" i="2"/>
  <c r="L1844" i="2"/>
  <c r="K1844" i="2"/>
  <c r="J1844" i="2"/>
  <c r="I1844" i="2"/>
  <c r="H1844" i="2"/>
  <c r="G1844" i="2"/>
  <c r="F1844" i="2"/>
  <c r="C1844" i="2"/>
  <c r="B1844" i="2"/>
  <c r="A1844" i="2"/>
  <c r="O1843" i="2"/>
  <c r="N1843" i="2"/>
  <c r="M1843" i="2"/>
  <c r="L1843" i="2"/>
  <c r="K1843" i="2"/>
  <c r="J1843" i="2"/>
  <c r="I1843" i="2"/>
  <c r="H1843" i="2"/>
  <c r="G1843" i="2"/>
  <c r="F1843" i="2"/>
  <c r="C1843" i="2"/>
  <c r="B1843" i="2"/>
  <c r="A1843" i="2"/>
  <c r="O1842" i="2"/>
  <c r="N1842" i="2"/>
  <c r="M1842" i="2"/>
  <c r="L1842" i="2"/>
  <c r="K1842" i="2"/>
  <c r="J1842" i="2"/>
  <c r="I1842" i="2"/>
  <c r="H1842" i="2"/>
  <c r="G1842" i="2"/>
  <c r="F1842" i="2"/>
  <c r="C1842" i="2"/>
  <c r="B1842" i="2"/>
  <c r="A1842" i="2"/>
  <c r="O1841" i="2"/>
  <c r="N1841" i="2"/>
  <c r="M1841" i="2"/>
  <c r="L1841" i="2"/>
  <c r="K1841" i="2"/>
  <c r="J1841" i="2"/>
  <c r="I1841" i="2"/>
  <c r="H1841" i="2"/>
  <c r="G1841" i="2"/>
  <c r="F1841" i="2"/>
  <c r="C1841" i="2"/>
  <c r="B1841" i="2"/>
  <c r="A1841" i="2"/>
  <c r="O1840" i="2"/>
  <c r="N1840" i="2"/>
  <c r="M1840" i="2"/>
  <c r="L1840" i="2"/>
  <c r="K1840" i="2"/>
  <c r="J1840" i="2"/>
  <c r="I1840" i="2"/>
  <c r="H1840" i="2"/>
  <c r="G1840" i="2"/>
  <c r="F1840" i="2"/>
  <c r="C1840" i="2"/>
  <c r="B1840" i="2"/>
  <c r="A1840" i="2"/>
  <c r="O1839" i="2"/>
  <c r="N1839" i="2"/>
  <c r="M1839" i="2"/>
  <c r="L1839" i="2"/>
  <c r="K1839" i="2"/>
  <c r="J1839" i="2"/>
  <c r="I1839" i="2"/>
  <c r="H1839" i="2"/>
  <c r="G1839" i="2"/>
  <c r="F1839" i="2"/>
  <c r="C1839" i="2"/>
  <c r="B1839" i="2"/>
  <c r="A1839" i="2"/>
  <c r="O1838" i="2"/>
  <c r="N1838" i="2"/>
  <c r="M1838" i="2"/>
  <c r="L1838" i="2"/>
  <c r="K1838" i="2"/>
  <c r="J1838" i="2"/>
  <c r="I1838" i="2"/>
  <c r="H1838" i="2"/>
  <c r="G1838" i="2"/>
  <c r="F1838" i="2"/>
  <c r="C1838" i="2"/>
  <c r="B1838" i="2"/>
  <c r="A1838" i="2"/>
  <c r="O1837" i="2"/>
  <c r="N1837" i="2"/>
  <c r="M1837" i="2"/>
  <c r="L1837" i="2"/>
  <c r="K1837" i="2"/>
  <c r="J1837" i="2"/>
  <c r="I1837" i="2"/>
  <c r="H1837" i="2"/>
  <c r="G1837" i="2"/>
  <c r="F1837" i="2"/>
  <c r="C1837" i="2"/>
  <c r="B1837" i="2"/>
  <c r="A1837" i="2"/>
  <c r="O1836" i="2"/>
  <c r="N1836" i="2"/>
  <c r="M1836" i="2"/>
  <c r="L1836" i="2"/>
  <c r="K1836" i="2"/>
  <c r="J1836" i="2"/>
  <c r="I1836" i="2"/>
  <c r="H1836" i="2"/>
  <c r="G1836" i="2"/>
  <c r="F1836" i="2"/>
  <c r="C1836" i="2"/>
  <c r="B1836" i="2"/>
  <c r="A1836" i="2"/>
  <c r="O1835" i="2"/>
  <c r="N1835" i="2"/>
  <c r="M1835" i="2"/>
  <c r="L1835" i="2"/>
  <c r="K1835" i="2"/>
  <c r="J1835" i="2"/>
  <c r="I1835" i="2"/>
  <c r="H1835" i="2"/>
  <c r="G1835" i="2"/>
  <c r="F1835" i="2"/>
  <c r="C1835" i="2"/>
  <c r="B1835" i="2"/>
  <c r="A1835" i="2"/>
  <c r="O1834" i="2"/>
  <c r="N1834" i="2"/>
  <c r="M1834" i="2"/>
  <c r="L1834" i="2"/>
  <c r="K1834" i="2"/>
  <c r="J1834" i="2"/>
  <c r="I1834" i="2"/>
  <c r="H1834" i="2"/>
  <c r="G1834" i="2"/>
  <c r="F1834" i="2"/>
  <c r="C1834" i="2"/>
  <c r="B1834" i="2"/>
  <c r="A1834" i="2"/>
  <c r="O1833" i="2"/>
  <c r="N1833" i="2"/>
  <c r="M1833" i="2"/>
  <c r="L1833" i="2"/>
  <c r="K1833" i="2"/>
  <c r="J1833" i="2"/>
  <c r="I1833" i="2"/>
  <c r="H1833" i="2"/>
  <c r="G1833" i="2"/>
  <c r="F1833" i="2"/>
  <c r="C1833" i="2"/>
  <c r="B1833" i="2"/>
  <c r="A1833" i="2"/>
  <c r="O1832" i="2"/>
  <c r="N1832" i="2"/>
  <c r="M1832" i="2"/>
  <c r="L1832" i="2"/>
  <c r="K1832" i="2"/>
  <c r="J1832" i="2"/>
  <c r="I1832" i="2"/>
  <c r="H1832" i="2"/>
  <c r="G1832" i="2"/>
  <c r="F1832" i="2"/>
  <c r="C1832" i="2"/>
  <c r="B1832" i="2"/>
  <c r="A1832" i="2"/>
  <c r="O1831" i="2"/>
  <c r="N1831" i="2"/>
  <c r="M1831" i="2"/>
  <c r="L1831" i="2"/>
  <c r="K1831" i="2"/>
  <c r="J1831" i="2"/>
  <c r="I1831" i="2"/>
  <c r="H1831" i="2"/>
  <c r="G1831" i="2"/>
  <c r="F1831" i="2"/>
  <c r="C1831" i="2"/>
  <c r="B1831" i="2"/>
  <c r="A1831" i="2"/>
  <c r="O1830" i="2"/>
  <c r="N1830" i="2"/>
  <c r="M1830" i="2"/>
  <c r="L1830" i="2"/>
  <c r="K1830" i="2"/>
  <c r="J1830" i="2"/>
  <c r="I1830" i="2"/>
  <c r="H1830" i="2"/>
  <c r="G1830" i="2"/>
  <c r="F1830" i="2"/>
  <c r="C1830" i="2"/>
  <c r="B1830" i="2"/>
  <c r="A1830" i="2"/>
  <c r="O1829" i="2"/>
  <c r="N1829" i="2"/>
  <c r="M1829" i="2"/>
  <c r="L1829" i="2"/>
  <c r="K1829" i="2"/>
  <c r="J1829" i="2"/>
  <c r="I1829" i="2"/>
  <c r="H1829" i="2"/>
  <c r="G1829" i="2"/>
  <c r="F1829" i="2"/>
  <c r="C1829" i="2"/>
  <c r="B1829" i="2"/>
  <c r="A1829" i="2"/>
  <c r="O1828" i="2"/>
  <c r="N1828" i="2"/>
  <c r="M1828" i="2"/>
  <c r="L1828" i="2"/>
  <c r="K1828" i="2"/>
  <c r="J1828" i="2"/>
  <c r="I1828" i="2"/>
  <c r="H1828" i="2"/>
  <c r="G1828" i="2"/>
  <c r="F1828" i="2"/>
  <c r="C1828" i="2"/>
  <c r="B1828" i="2"/>
  <c r="A1828" i="2"/>
  <c r="O1827" i="2"/>
  <c r="N1827" i="2"/>
  <c r="M1827" i="2"/>
  <c r="L1827" i="2"/>
  <c r="K1827" i="2"/>
  <c r="J1827" i="2"/>
  <c r="I1827" i="2"/>
  <c r="H1827" i="2"/>
  <c r="G1827" i="2"/>
  <c r="F1827" i="2"/>
  <c r="C1827" i="2"/>
  <c r="B1827" i="2"/>
  <c r="A1827" i="2"/>
  <c r="O1826" i="2"/>
  <c r="N1826" i="2"/>
  <c r="M1826" i="2"/>
  <c r="L1826" i="2"/>
  <c r="K1826" i="2"/>
  <c r="J1826" i="2"/>
  <c r="I1826" i="2"/>
  <c r="H1826" i="2"/>
  <c r="G1826" i="2"/>
  <c r="F1826" i="2"/>
  <c r="C1826" i="2"/>
  <c r="B1826" i="2"/>
  <c r="A1826" i="2"/>
  <c r="O1825" i="2"/>
  <c r="N1825" i="2"/>
  <c r="M1825" i="2"/>
  <c r="L1825" i="2"/>
  <c r="K1825" i="2"/>
  <c r="J1825" i="2"/>
  <c r="I1825" i="2"/>
  <c r="H1825" i="2"/>
  <c r="G1825" i="2"/>
  <c r="F1825" i="2"/>
  <c r="C1825" i="2"/>
  <c r="B1825" i="2"/>
  <c r="A1825" i="2"/>
  <c r="O1824" i="2"/>
  <c r="N1824" i="2"/>
  <c r="M1824" i="2"/>
  <c r="L1824" i="2"/>
  <c r="K1824" i="2"/>
  <c r="J1824" i="2"/>
  <c r="I1824" i="2"/>
  <c r="H1824" i="2"/>
  <c r="G1824" i="2"/>
  <c r="F1824" i="2"/>
  <c r="C1824" i="2"/>
  <c r="B1824" i="2"/>
  <c r="A1824" i="2"/>
  <c r="O1823" i="2"/>
  <c r="N1823" i="2"/>
  <c r="M1823" i="2"/>
  <c r="L1823" i="2"/>
  <c r="K1823" i="2"/>
  <c r="J1823" i="2"/>
  <c r="I1823" i="2"/>
  <c r="H1823" i="2"/>
  <c r="G1823" i="2"/>
  <c r="F1823" i="2"/>
  <c r="C1823" i="2"/>
  <c r="B1823" i="2"/>
  <c r="A1823" i="2"/>
  <c r="O1822" i="2"/>
  <c r="N1822" i="2"/>
  <c r="M1822" i="2"/>
  <c r="L1822" i="2"/>
  <c r="K1822" i="2"/>
  <c r="J1822" i="2"/>
  <c r="I1822" i="2"/>
  <c r="H1822" i="2"/>
  <c r="G1822" i="2"/>
  <c r="F1822" i="2"/>
  <c r="C1822" i="2"/>
  <c r="B1822" i="2"/>
  <c r="A1822" i="2"/>
  <c r="O1821" i="2"/>
  <c r="N1821" i="2"/>
  <c r="M1821" i="2"/>
  <c r="L1821" i="2"/>
  <c r="K1821" i="2"/>
  <c r="J1821" i="2"/>
  <c r="I1821" i="2"/>
  <c r="H1821" i="2"/>
  <c r="G1821" i="2"/>
  <c r="F1821" i="2"/>
  <c r="C1821" i="2"/>
  <c r="B1821" i="2"/>
  <c r="A1821" i="2"/>
  <c r="O1820" i="2"/>
  <c r="N1820" i="2"/>
  <c r="M1820" i="2"/>
  <c r="L1820" i="2"/>
  <c r="K1820" i="2"/>
  <c r="J1820" i="2"/>
  <c r="I1820" i="2"/>
  <c r="H1820" i="2"/>
  <c r="G1820" i="2"/>
  <c r="F1820" i="2"/>
  <c r="C1820" i="2"/>
  <c r="B1820" i="2"/>
  <c r="A1820" i="2"/>
  <c r="O1819" i="2"/>
  <c r="N1819" i="2"/>
  <c r="M1819" i="2"/>
  <c r="L1819" i="2"/>
  <c r="K1819" i="2"/>
  <c r="J1819" i="2"/>
  <c r="I1819" i="2"/>
  <c r="H1819" i="2"/>
  <c r="G1819" i="2"/>
  <c r="F1819" i="2"/>
  <c r="C1819" i="2"/>
  <c r="B1819" i="2"/>
  <c r="A1819" i="2"/>
  <c r="O1818" i="2"/>
  <c r="N1818" i="2"/>
  <c r="M1818" i="2"/>
  <c r="L1818" i="2"/>
  <c r="K1818" i="2"/>
  <c r="J1818" i="2"/>
  <c r="I1818" i="2"/>
  <c r="H1818" i="2"/>
  <c r="G1818" i="2"/>
  <c r="F1818" i="2"/>
  <c r="C1818" i="2"/>
  <c r="B1818" i="2"/>
  <c r="A1818" i="2"/>
  <c r="O1817" i="2"/>
  <c r="N1817" i="2"/>
  <c r="M1817" i="2"/>
  <c r="L1817" i="2"/>
  <c r="K1817" i="2"/>
  <c r="J1817" i="2"/>
  <c r="I1817" i="2"/>
  <c r="H1817" i="2"/>
  <c r="G1817" i="2"/>
  <c r="F1817" i="2"/>
  <c r="C1817" i="2"/>
  <c r="B1817" i="2"/>
  <c r="A1817" i="2"/>
  <c r="O1816" i="2"/>
  <c r="N1816" i="2"/>
  <c r="M1816" i="2"/>
  <c r="L1816" i="2"/>
  <c r="K1816" i="2"/>
  <c r="J1816" i="2"/>
  <c r="I1816" i="2"/>
  <c r="H1816" i="2"/>
  <c r="G1816" i="2"/>
  <c r="F1816" i="2"/>
  <c r="C1816" i="2"/>
  <c r="B1816" i="2"/>
  <c r="A1816" i="2"/>
  <c r="O1815" i="2"/>
  <c r="N1815" i="2"/>
  <c r="M1815" i="2"/>
  <c r="L1815" i="2"/>
  <c r="K1815" i="2"/>
  <c r="J1815" i="2"/>
  <c r="I1815" i="2"/>
  <c r="H1815" i="2"/>
  <c r="G1815" i="2"/>
  <c r="F1815" i="2"/>
  <c r="C1815" i="2"/>
  <c r="B1815" i="2"/>
  <c r="A1815" i="2"/>
  <c r="O1814" i="2"/>
  <c r="N1814" i="2"/>
  <c r="M1814" i="2"/>
  <c r="L1814" i="2"/>
  <c r="K1814" i="2"/>
  <c r="J1814" i="2"/>
  <c r="I1814" i="2"/>
  <c r="H1814" i="2"/>
  <c r="G1814" i="2"/>
  <c r="F1814" i="2"/>
  <c r="C1814" i="2"/>
  <c r="B1814" i="2"/>
  <c r="A1814" i="2"/>
  <c r="O1813" i="2"/>
  <c r="N1813" i="2"/>
  <c r="M1813" i="2"/>
  <c r="L1813" i="2"/>
  <c r="K1813" i="2"/>
  <c r="J1813" i="2"/>
  <c r="I1813" i="2"/>
  <c r="H1813" i="2"/>
  <c r="G1813" i="2"/>
  <c r="F1813" i="2"/>
  <c r="C1813" i="2"/>
  <c r="B1813" i="2"/>
  <c r="A1813" i="2"/>
  <c r="O1812" i="2"/>
  <c r="N1812" i="2"/>
  <c r="M1812" i="2"/>
  <c r="L1812" i="2"/>
  <c r="K1812" i="2"/>
  <c r="J1812" i="2"/>
  <c r="I1812" i="2"/>
  <c r="H1812" i="2"/>
  <c r="G1812" i="2"/>
  <c r="F1812" i="2"/>
  <c r="C1812" i="2"/>
  <c r="B1812" i="2"/>
  <c r="A1812" i="2"/>
  <c r="O1811" i="2"/>
  <c r="N1811" i="2"/>
  <c r="M1811" i="2"/>
  <c r="L1811" i="2"/>
  <c r="K1811" i="2"/>
  <c r="J1811" i="2"/>
  <c r="I1811" i="2"/>
  <c r="H1811" i="2"/>
  <c r="G1811" i="2"/>
  <c r="F1811" i="2"/>
  <c r="C1811" i="2"/>
  <c r="B1811" i="2"/>
  <c r="A1811" i="2"/>
  <c r="O1810" i="2"/>
  <c r="N1810" i="2"/>
  <c r="M1810" i="2"/>
  <c r="L1810" i="2"/>
  <c r="K1810" i="2"/>
  <c r="J1810" i="2"/>
  <c r="I1810" i="2"/>
  <c r="H1810" i="2"/>
  <c r="G1810" i="2"/>
  <c r="F1810" i="2"/>
  <c r="C1810" i="2"/>
  <c r="B1810" i="2"/>
  <c r="A1810" i="2"/>
  <c r="O1809" i="2"/>
  <c r="N1809" i="2"/>
  <c r="M1809" i="2"/>
  <c r="L1809" i="2"/>
  <c r="K1809" i="2"/>
  <c r="J1809" i="2"/>
  <c r="I1809" i="2"/>
  <c r="H1809" i="2"/>
  <c r="G1809" i="2"/>
  <c r="F1809" i="2"/>
  <c r="C1809" i="2"/>
  <c r="B1809" i="2"/>
  <c r="A1809" i="2"/>
  <c r="O1808" i="2"/>
  <c r="N1808" i="2"/>
  <c r="M1808" i="2"/>
  <c r="L1808" i="2"/>
  <c r="K1808" i="2"/>
  <c r="J1808" i="2"/>
  <c r="I1808" i="2"/>
  <c r="H1808" i="2"/>
  <c r="G1808" i="2"/>
  <c r="F1808" i="2"/>
  <c r="C1808" i="2"/>
  <c r="B1808" i="2"/>
  <c r="A1808" i="2"/>
  <c r="O1807" i="2"/>
  <c r="N1807" i="2"/>
  <c r="M1807" i="2"/>
  <c r="L1807" i="2"/>
  <c r="K1807" i="2"/>
  <c r="J1807" i="2"/>
  <c r="I1807" i="2"/>
  <c r="H1807" i="2"/>
  <c r="G1807" i="2"/>
  <c r="F1807" i="2"/>
  <c r="C1807" i="2"/>
  <c r="B1807" i="2"/>
  <c r="A1807" i="2"/>
  <c r="O1806" i="2"/>
  <c r="N1806" i="2"/>
  <c r="M1806" i="2"/>
  <c r="L1806" i="2"/>
  <c r="K1806" i="2"/>
  <c r="J1806" i="2"/>
  <c r="I1806" i="2"/>
  <c r="H1806" i="2"/>
  <c r="G1806" i="2"/>
  <c r="F1806" i="2"/>
  <c r="C1806" i="2"/>
  <c r="B1806" i="2"/>
  <c r="A1806" i="2"/>
  <c r="O1805" i="2"/>
  <c r="N1805" i="2"/>
  <c r="M1805" i="2"/>
  <c r="L1805" i="2"/>
  <c r="K1805" i="2"/>
  <c r="J1805" i="2"/>
  <c r="I1805" i="2"/>
  <c r="H1805" i="2"/>
  <c r="G1805" i="2"/>
  <c r="F1805" i="2"/>
  <c r="C1805" i="2"/>
  <c r="B1805" i="2"/>
  <c r="A1805" i="2"/>
  <c r="O1804" i="2"/>
  <c r="N1804" i="2"/>
  <c r="M1804" i="2"/>
  <c r="L1804" i="2"/>
  <c r="K1804" i="2"/>
  <c r="J1804" i="2"/>
  <c r="I1804" i="2"/>
  <c r="H1804" i="2"/>
  <c r="G1804" i="2"/>
  <c r="F1804" i="2"/>
  <c r="C1804" i="2"/>
  <c r="B1804" i="2"/>
  <c r="A1804" i="2"/>
  <c r="O1803" i="2"/>
  <c r="N1803" i="2"/>
  <c r="M1803" i="2"/>
  <c r="L1803" i="2"/>
  <c r="K1803" i="2"/>
  <c r="J1803" i="2"/>
  <c r="I1803" i="2"/>
  <c r="H1803" i="2"/>
  <c r="G1803" i="2"/>
  <c r="F1803" i="2"/>
  <c r="C1803" i="2"/>
  <c r="B1803" i="2"/>
  <c r="A1803" i="2"/>
  <c r="O1802" i="2"/>
  <c r="N1802" i="2"/>
  <c r="M1802" i="2"/>
  <c r="L1802" i="2"/>
  <c r="K1802" i="2"/>
  <c r="J1802" i="2"/>
  <c r="I1802" i="2"/>
  <c r="H1802" i="2"/>
  <c r="G1802" i="2"/>
  <c r="F1802" i="2"/>
  <c r="C1802" i="2"/>
  <c r="B1802" i="2"/>
  <c r="A1802" i="2"/>
  <c r="O1801" i="2"/>
  <c r="N1801" i="2"/>
  <c r="M1801" i="2"/>
  <c r="L1801" i="2"/>
  <c r="K1801" i="2"/>
  <c r="J1801" i="2"/>
  <c r="I1801" i="2"/>
  <c r="H1801" i="2"/>
  <c r="G1801" i="2"/>
  <c r="F1801" i="2"/>
  <c r="C1801" i="2"/>
  <c r="B1801" i="2"/>
  <c r="A1801" i="2"/>
  <c r="O1800" i="2"/>
  <c r="N1800" i="2"/>
  <c r="M1800" i="2"/>
  <c r="L1800" i="2"/>
  <c r="K1800" i="2"/>
  <c r="J1800" i="2"/>
  <c r="I1800" i="2"/>
  <c r="H1800" i="2"/>
  <c r="G1800" i="2"/>
  <c r="F1800" i="2"/>
  <c r="C1800" i="2"/>
  <c r="B1800" i="2"/>
  <c r="A1800" i="2"/>
  <c r="O1799" i="2"/>
  <c r="N1799" i="2"/>
  <c r="M1799" i="2"/>
  <c r="L1799" i="2"/>
  <c r="K1799" i="2"/>
  <c r="J1799" i="2"/>
  <c r="I1799" i="2"/>
  <c r="H1799" i="2"/>
  <c r="G1799" i="2"/>
  <c r="F1799" i="2"/>
  <c r="C1799" i="2"/>
  <c r="B1799" i="2"/>
  <c r="A1799" i="2"/>
  <c r="O1798" i="2"/>
  <c r="N1798" i="2"/>
  <c r="M1798" i="2"/>
  <c r="L1798" i="2"/>
  <c r="K1798" i="2"/>
  <c r="J1798" i="2"/>
  <c r="I1798" i="2"/>
  <c r="H1798" i="2"/>
  <c r="G1798" i="2"/>
  <c r="F1798" i="2"/>
  <c r="C1798" i="2"/>
  <c r="B1798" i="2"/>
  <c r="A1798" i="2"/>
  <c r="O1797" i="2"/>
  <c r="N1797" i="2"/>
  <c r="M1797" i="2"/>
  <c r="L1797" i="2"/>
  <c r="K1797" i="2"/>
  <c r="J1797" i="2"/>
  <c r="I1797" i="2"/>
  <c r="H1797" i="2"/>
  <c r="G1797" i="2"/>
  <c r="F1797" i="2"/>
  <c r="C1797" i="2"/>
  <c r="B1797" i="2"/>
  <c r="A1797" i="2"/>
  <c r="O1796" i="2"/>
  <c r="N1796" i="2"/>
  <c r="M1796" i="2"/>
  <c r="L1796" i="2"/>
  <c r="K1796" i="2"/>
  <c r="J1796" i="2"/>
  <c r="I1796" i="2"/>
  <c r="H1796" i="2"/>
  <c r="G1796" i="2"/>
  <c r="F1796" i="2"/>
  <c r="C1796" i="2"/>
  <c r="B1796" i="2"/>
  <c r="A1796" i="2"/>
  <c r="O1795" i="2"/>
  <c r="N1795" i="2"/>
  <c r="M1795" i="2"/>
  <c r="L1795" i="2"/>
  <c r="K1795" i="2"/>
  <c r="J1795" i="2"/>
  <c r="I1795" i="2"/>
  <c r="H1795" i="2"/>
  <c r="G1795" i="2"/>
  <c r="F1795" i="2"/>
  <c r="C1795" i="2"/>
  <c r="B1795" i="2"/>
  <c r="A1795" i="2"/>
  <c r="O1794" i="2"/>
  <c r="N1794" i="2"/>
  <c r="M1794" i="2"/>
  <c r="L1794" i="2"/>
  <c r="K1794" i="2"/>
  <c r="J1794" i="2"/>
  <c r="I1794" i="2"/>
  <c r="H1794" i="2"/>
  <c r="G1794" i="2"/>
  <c r="F1794" i="2"/>
  <c r="C1794" i="2"/>
  <c r="B1794" i="2"/>
  <c r="A1794" i="2"/>
  <c r="O1793" i="2"/>
  <c r="N1793" i="2"/>
  <c r="M1793" i="2"/>
  <c r="L1793" i="2"/>
  <c r="K1793" i="2"/>
  <c r="J1793" i="2"/>
  <c r="I1793" i="2"/>
  <c r="H1793" i="2"/>
  <c r="G1793" i="2"/>
  <c r="F1793" i="2"/>
  <c r="C1793" i="2"/>
  <c r="B1793" i="2"/>
  <c r="A1793" i="2"/>
  <c r="O1792" i="2"/>
  <c r="N1792" i="2"/>
  <c r="M1792" i="2"/>
  <c r="L1792" i="2"/>
  <c r="K1792" i="2"/>
  <c r="J1792" i="2"/>
  <c r="I1792" i="2"/>
  <c r="H1792" i="2"/>
  <c r="G1792" i="2"/>
  <c r="F1792" i="2"/>
  <c r="C1792" i="2"/>
  <c r="B1792" i="2"/>
  <c r="A1792" i="2"/>
  <c r="O1791" i="2"/>
  <c r="N1791" i="2"/>
  <c r="M1791" i="2"/>
  <c r="L1791" i="2"/>
  <c r="K1791" i="2"/>
  <c r="J1791" i="2"/>
  <c r="I1791" i="2"/>
  <c r="H1791" i="2"/>
  <c r="G1791" i="2"/>
  <c r="F1791" i="2"/>
  <c r="C1791" i="2"/>
  <c r="B1791" i="2"/>
  <c r="A1791" i="2"/>
  <c r="O1790" i="2"/>
  <c r="N1790" i="2"/>
  <c r="M1790" i="2"/>
  <c r="L1790" i="2"/>
  <c r="K1790" i="2"/>
  <c r="J1790" i="2"/>
  <c r="I1790" i="2"/>
  <c r="H1790" i="2"/>
  <c r="G1790" i="2"/>
  <c r="F1790" i="2"/>
  <c r="C1790" i="2"/>
  <c r="B1790" i="2"/>
  <c r="A1790" i="2"/>
  <c r="O1789" i="2"/>
  <c r="N1789" i="2"/>
  <c r="M1789" i="2"/>
  <c r="L1789" i="2"/>
  <c r="K1789" i="2"/>
  <c r="J1789" i="2"/>
  <c r="I1789" i="2"/>
  <c r="H1789" i="2"/>
  <c r="G1789" i="2"/>
  <c r="F1789" i="2"/>
  <c r="C1789" i="2"/>
  <c r="B1789" i="2"/>
  <c r="A1789" i="2"/>
  <c r="O1788" i="2"/>
  <c r="N1788" i="2"/>
  <c r="M1788" i="2"/>
  <c r="L1788" i="2"/>
  <c r="K1788" i="2"/>
  <c r="J1788" i="2"/>
  <c r="I1788" i="2"/>
  <c r="H1788" i="2"/>
  <c r="G1788" i="2"/>
  <c r="F1788" i="2"/>
  <c r="C1788" i="2"/>
  <c r="B1788" i="2"/>
  <c r="A1788" i="2"/>
  <c r="O1787" i="2"/>
  <c r="N1787" i="2"/>
  <c r="M1787" i="2"/>
  <c r="L1787" i="2"/>
  <c r="K1787" i="2"/>
  <c r="J1787" i="2"/>
  <c r="I1787" i="2"/>
  <c r="H1787" i="2"/>
  <c r="G1787" i="2"/>
  <c r="F1787" i="2"/>
  <c r="C1787" i="2"/>
  <c r="B1787" i="2"/>
  <c r="A1787" i="2"/>
  <c r="O1786" i="2"/>
  <c r="N1786" i="2"/>
  <c r="M1786" i="2"/>
  <c r="L1786" i="2"/>
  <c r="K1786" i="2"/>
  <c r="J1786" i="2"/>
  <c r="I1786" i="2"/>
  <c r="H1786" i="2"/>
  <c r="G1786" i="2"/>
  <c r="F1786" i="2"/>
  <c r="C1786" i="2"/>
  <c r="B1786" i="2"/>
  <c r="A1786" i="2"/>
  <c r="O1785" i="2"/>
  <c r="N1785" i="2"/>
  <c r="M1785" i="2"/>
  <c r="L1785" i="2"/>
  <c r="K1785" i="2"/>
  <c r="J1785" i="2"/>
  <c r="I1785" i="2"/>
  <c r="H1785" i="2"/>
  <c r="G1785" i="2"/>
  <c r="F1785" i="2"/>
  <c r="C1785" i="2"/>
  <c r="B1785" i="2"/>
  <c r="A1785" i="2"/>
  <c r="O1784" i="2"/>
  <c r="N1784" i="2"/>
  <c r="M1784" i="2"/>
  <c r="L1784" i="2"/>
  <c r="K1784" i="2"/>
  <c r="J1784" i="2"/>
  <c r="I1784" i="2"/>
  <c r="H1784" i="2"/>
  <c r="G1784" i="2"/>
  <c r="F1784" i="2"/>
  <c r="C1784" i="2"/>
  <c r="B1784" i="2"/>
  <c r="A1784" i="2"/>
  <c r="O1783" i="2"/>
  <c r="N1783" i="2"/>
  <c r="M1783" i="2"/>
  <c r="L1783" i="2"/>
  <c r="K1783" i="2"/>
  <c r="J1783" i="2"/>
  <c r="I1783" i="2"/>
  <c r="H1783" i="2"/>
  <c r="G1783" i="2"/>
  <c r="F1783" i="2"/>
  <c r="C1783" i="2"/>
  <c r="B1783" i="2"/>
  <c r="A1783" i="2"/>
  <c r="O1782" i="2"/>
  <c r="N1782" i="2"/>
  <c r="M1782" i="2"/>
  <c r="L1782" i="2"/>
  <c r="K1782" i="2"/>
  <c r="J1782" i="2"/>
  <c r="I1782" i="2"/>
  <c r="H1782" i="2"/>
  <c r="G1782" i="2"/>
  <c r="F1782" i="2"/>
  <c r="C1782" i="2"/>
  <c r="B1782" i="2"/>
  <c r="A1782" i="2"/>
  <c r="O1781" i="2"/>
  <c r="N1781" i="2"/>
  <c r="M1781" i="2"/>
  <c r="L1781" i="2"/>
  <c r="K1781" i="2"/>
  <c r="J1781" i="2"/>
  <c r="I1781" i="2"/>
  <c r="H1781" i="2"/>
  <c r="G1781" i="2"/>
  <c r="F1781" i="2"/>
  <c r="C1781" i="2"/>
  <c r="B1781" i="2"/>
  <c r="A1781" i="2"/>
  <c r="O1780" i="2"/>
  <c r="N1780" i="2"/>
  <c r="M1780" i="2"/>
  <c r="L1780" i="2"/>
  <c r="K1780" i="2"/>
  <c r="J1780" i="2"/>
  <c r="I1780" i="2"/>
  <c r="H1780" i="2"/>
  <c r="G1780" i="2"/>
  <c r="F1780" i="2"/>
  <c r="C1780" i="2"/>
  <c r="B1780" i="2"/>
  <c r="A1780" i="2"/>
  <c r="O1779" i="2"/>
  <c r="N1779" i="2"/>
  <c r="M1779" i="2"/>
  <c r="L1779" i="2"/>
  <c r="K1779" i="2"/>
  <c r="J1779" i="2"/>
  <c r="I1779" i="2"/>
  <c r="H1779" i="2"/>
  <c r="G1779" i="2"/>
  <c r="F1779" i="2"/>
  <c r="C1779" i="2"/>
  <c r="B1779" i="2"/>
  <c r="A1779" i="2"/>
  <c r="O1778" i="2"/>
  <c r="N1778" i="2"/>
  <c r="M1778" i="2"/>
  <c r="L1778" i="2"/>
  <c r="K1778" i="2"/>
  <c r="J1778" i="2"/>
  <c r="I1778" i="2"/>
  <c r="H1778" i="2"/>
  <c r="G1778" i="2"/>
  <c r="F1778" i="2"/>
  <c r="C1778" i="2"/>
  <c r="B1778" i="2"/>
  <c r="A1778" i="2"/>
  <c r="O1777" i="2"/>
  <c r="N1777" i="2"/>
  <c r="M1777" i="2"/>
  <c r="L1777" i="2"/>
  <c r="K1777" i="2"/>
  <c r="J1777" i="2"/>
  <c r="I1777" i="2"/>
  <c r="H1777" i="2"/>
  <c r="G1777" i="2"/>
  <c r="F1777" i="2"/>
  <c r="C1777" i="2"/>
  <c r="B1777" i="2"/>
  <c r="A1777" i="2"/>
  <c r="O1776" i="2"/>
  <c r="N1776" i="2"/>
  <c r="M1776" i="2"/>
  <c r="L1776" i="2"/>
  <c r="K1776" i="2"/>
  <c r="J1776" i="2"/>
  <c r="I1776" i="2"/>
  <c r="H1776" i="2"/>
  <c r="G1776" i="2"/>
  <c r="F1776" i="2"/>
  <c r="C1776" i="2"/>
  <c r="B1776" i="2"/>
  <c r="A1776" i="2"/>
  <c r="O1775" i="2"/>
  <c r="N1775" i="2"/>
  <c r="M1775" i="2"/>
  <c r="L1775" i="2"/>
  <c r="K1775" i="2"/>
  <c r="J1775" i="2"/>
  <c r="I1775" i="2"/>
  <c r="H1775" i="2"/>
  <c r="G1775" i="2"/>
  <c r="F1775" i="2"/>
  <c r="C1775" i="2"/>
  <c r="B1775" i="2"/>
  <c r="A1775" i="2"/>
  <c r="O1774" i="2"/>
  <c r="N1774" i="2"/>
  <c r="M1774" i="2"/>
  <c r="L1774" i="2"/>
  <c r="K1774" i="2"/>
  <c r="J1774" i="2"/>
  <c r="I1774" i="2"/>
  <c r="H1774" i="2"/>
  <c r="G1774" i="2"/>
  <c r="F1774" i="2"/>
  <c r="C1774" i="2"/>
  <c r="B1774" i="2"/>
  <c r="A1774" i="2"/>
  <c r="O1773" i="2"/>
  <c r="N1773" i="2"/>
  <c r="M1773" i="2"/>
  <c r="L1773" i="2"/>
  <c r="K1773" i="2"/>
  <c r="J1773" i="2"/>
  <c r="I1773" i="2"/>
  <c r="H1773" i="2"/>
  <c r="G1773" i="2"/>
  <c r="F1773" i="2"/>
  <c r="C1773" i="2"/>
  <c r="B1773" i="2"/>
  <c r="A1773" i="2"/>
  <c r="O1772" i="2"/>
  <c r="N1772" i="2"/>
  <c r="M1772" i="2"/>
  <c r="L1772" i="2"/>
  <c r="K1772" i="2"/>
  <c r="J1772" i="2"/>
  <c r="I1772" i="2"/>
  <c r="H1772" i="2"/>
  <c r="G1772" i="2"/>
  <c r="F1772" i="2"/>
  <c r="C1772" i="2"/>
  <c r="B1772" i="2"/>
  <c r="A1772" i="2"/>
  <c r="O1771" i="2"/>
  <c r="N1771" i="2"/>
  <c r="M1771" i="2"/>
  <c r="L1771" i="2"/>
  <c r="K1771" i="2"/>
  <c r="J1771" i="2"/>
  <c r="I1771" i="2"/>
  <c r="H1771" i="2"/>
  <c r="G1771" i="2"/>
  <c r="F1771" i="2"/>
  <c r="C1771" i="2"/>
  <c r="B1771" i="2"/>
  <c r="A1771" i="2"/>
  <c r="O1770" i="2"/>
  <c r="N1770" i="2"/>
  <c r="M1770" i="2"/>
  <c r="L1770" i="2"/>
  <c r="K1770" i="2"/>
  <c r="J1770" i="2"/>
  <c r="I1770" i="2"/>
  <c r="H1770" i="2"/>
  <c r="G1770" i="2"/>
  <c r="F1770" i="2"/>
  <c r="C1770" i="2"/>
  <c r="B1770" i="2"/>
  <c r="A1770" i="2"/>
  <c r="O1769" i="2"/>
  <c r="N1769" i="2"/>
  <c r="M1769" i="2"/>
  <c r="L1769" i="2"/>
  <c r="K1769" i="2"/>
  <c r="J1769" i="2"/>
  <c r="I1769" i="2"/>
  <c r="H1769" i="2"/>
  <c r="G1769" i="2"/>
  <c r="F1769" i="2"/>
  <c r="C1769" i="2"/>
  <c r="B1769" i="2"/>
  <c r="A1769" i="2"/>
  <c r="O1768" i="2"/>
  <c r="N1768" i="2"/>
  <c r="M1768" i="2"/>
  <c r="L1768" i="2"/>
  <c r="K1768" i="2"/>
  <c r="J1768" i="2"/>
  <c r="I1768" i="2"/>
  <c r="H1768" i="2"/>
  <c r="G1768" i="2"/>
  <c r="F1768" i="2"/>
  <c r="C1768" i="2"/>
  <c r="B1768" i="2"/>
  <c r="A1768" i="2"/>
  <c r="O1767" i="2"/>
  <c r="N1767" i="2"/>
  <c r="M1767" i="2"/>
  <c r="L1767" i="2"/>
  <c r="K1767" i="2"/>
  <c r="J1767" i="2"/>
  <c r="I1767" i="2"/>
  <c r="H1767" i="2"/>
  <c r="G1767" i="2"/>
  <c r="F1767" i="2"/>
  <c r="C1767" i="2"/>
  <c r="B1767" i="2"/>
  <c r="A1767" i="2"/>
  <c r="O1766" i="2"/>
  <c r="N1766" i="2"/>
  <c r="M1766" i="2"/>
  <c r="L1766" i="2"/>
  <c r="K1766" i="2"/>
  <c r="J1766" i="2"/>
  <c r="I1766" i="2"/>
  <c r="H1766" i="2"/>
  <c r="G1766" i="2"/>
  <c r="F1766" i="2"/>
  <c r="C1766" i="2"/>
  <c r="B1766" i="2"/>
  <c r="A1766" i="2"/>
  <c r="O1765" i="2"/>
  <c r="N1765" i="2"/>
  <c r="M1765" i="2"/>
  <c r="L1765" i="2"/>
  <c r="K1765" i="2"/>
  <c r="J1765" i="2"/>
  <c r="I1765" i="2"/>
  <c r="H1765" i="2"/>
  <c r="G1765" i="2"/>
  <c r="F1765" i="2"/>
  <c r="C1765" i="2"/>
  <c r="B1765" i="2"/>
  <c r="A1765" i="2"/>
  <c r="O1764" i="2"/>
  <c r="N1764" i="2"/>
  <c r="M1764" i="2"/>
  <c r="L1764" i="2"/>
  <c r="K1764" i="2"/>
  <c r="J1764" i="2"/>
  <c r="I1764" i="2"/>
  <c r="H1764" i="2"/>
  <c r="G1764" i="2"/>
  <c r="F1764" i="2"/>
  <c r="C1764" i="2"/>
  <c r="B1764" i="2"/>
  <c r="A1764" i="2"/>
  <c r="O1763" i="2"/>
  <c r="N1763" i="2"/>
  <c r="M1763" i="2"/>
  <c r="L1763" i="2"/>
  <c r="K1763" i="2"/>
  <c r="J1763" i="2"/>
  <c r="I1763" i="2"/>
  <c r="H1763" i="2"/>
  <c r="G1763" i="2"/>
  <c r="F1763" i="2"/>
  <c r="C1763" i="2"/>
  <c r="B1763" i="2"/>
  <c r="A1763" i="2"/>
  <c r="O1762" i="2"/>
  <c r="N1762" i="2"/>
  <c r="M1762" i="2"/>
  <c r="L1762" i="2"/>
  <c r="K1762" i="2"/>
  <c r="J1762" i="2"/>
  <c r="I1762" i="2"/>
  <c r="H1762" i="2"/>
  <c r="G1762" i="2"/>
  <c r="F1762" i="2"/>
  <c r="C1762" i="2"/>
  <c r="B1762" i="2"/>
  <c r="A1762" i="2"/>
  <c r="O1761" i="2"/>
  <c r="N1761" i="2"/>
  <c r="M1761" i="2"/>
  <c r="L1761" i="2"/>
  <c r="K1761" i="2"/>
  <c r="J1761" i="2"/>
  <c r="I1761" i="2"/>
  <c r="H1761" i="2"/>
  <c r="G1761" i="2"/>
  <c r="F1761" i="2"/>
  <c r="C1761" i="2"/>
  <c r="B1761" i="2"/>
  <c r="A1761" i="2"/>
  <c r="O1760" i="2"/>
  <c r="N1760" i="2"/>
  <c r="M1760" i="2"/>
  <c r="L1760" i="2"/>
  <c r="K1760" i="2"/>
  <c r="J1760" i="2"/>
  <c r="I1760" i="2"/>
  <c r="H1760" i="2"/>
  <c r="G1760" i="2"/>
  <c r="F1760" i="2"/>
  <c r="C1760" i="2"/>
  <c r="B1760" i="2"/>
  <c r="A1760" i="2"/>
  <c r="O1759" i="2"/>
  <c r="N1759" i="2"/>
  <c r="M1759" i="2"/>
  <c r="L1759" i="2"/>
  <c r="K1759" i="2"/>
  <c r="J1759" i="2"/>
  <c r="I1759" i="2"/>
  <c r="H1759" i="2"/>
  <c r="G1759" i="2"/>
  <c r="F1759" i="2"/>
  <c r="C1759" i="2"/>
  <c r="B1759" i="2"/>
  <c r="A1759" i="2"/>
  <c r="O1758" i="2"/>
  <c r="N1758" i="2"/>
  <c r="M1758" i="2"/>
  <c r="L1758" i="2"/>
  <c r="K1758" i="2"/>
  <c r="J1758" i="2"/>
  <c r="I1758" i="2"/>
  <c r="H1758" i="2"/>
  <c r="G1758" i="2"/>
  <c r="F1758" i="2"/>
  <c r="C1758" i="2"/>
  <c r="B1758" i="2"/>
  <c r="A1758" i="2"/>
  <c r="O1757" i="2"/>
  <c r="N1757" i="2"/>
  <c r="M1757" i="2"/>
  <c r="L1757" i="2"/>
  <c r="K1757" i="2"/>
  <c r="J1757" i="2"/>
  <c r="I1757" i="2"/>
  <c r="H1757" i="2"/>
  <c r="G1757" i="2"/>
  <c r="F1757" i="2"/>
  <c r="C1757" i="2"/>
  <c r="B1757" i="2"/>
  <c r="A1757" i="2"/>
  <c r="O1756" i="2"/>
  <c r="N1756" i="2"/>
  <c r="M1756" i="2"/>
  <c r="L1756" i="2"/>
  <c r="K1756" i="2"/>
  <c r="J1756" i="2"/>
  <c r="I1756" i="2"/>
  <c r="H1756" i="2"/>
  <c r="G1756" i="2"/>
  <c r="F1756" i="2"/>
  <c r="C1756" i="2"/>
  <c r="B1756" i="2"/>
  <c r="A1756" i="2"/>
  <c r="O1755" i="2"/>
  <c r="N1755" i="2"/>
  <c r="M1755" i="2"/>
  <c r="L1755" i="2"/>
  <c r="K1755" i="2"/>
  <c r="J1755" i="2"/>
  <c r="I1755" i="2"/>
  <c r="H1755" i="2"/>
  <c r="G1755" i="2"/>
  <c r="F1755" i="2"/>
  <c r="C1755" i="2"/>
  <c r="B1755" i="2"/>
  <c r="A1755" i="2"/>
  <c r="O1754" i="2"/>
  <c r="N1754" i="2"/>
  <c r="M1754" i="2"/>
  <c r="L1754" i="2"/>
  <c r="K1754" i="2"/>
  <c r="J1754" i="2"/>
  <c r="I1754" i="2"/>
  <c r="H1754" i="2"/>
  <c r="G1754" i="2"/>
  <c r="F1754" i="2"/>
  <c r="C1754" i="2"/>
  <c r="B1754" i="2"/>
  <c r="A1754" i="2"/>
  <c r="O1753" i="2"/>
  <c r="N1753" i="2"/>
  <c r="M1753" i="2"/>
  <c r="L1753" i="2"/>
  <c r="K1753" i="2"/>
  <c r="J1753" i="2"/>
  <c r="I1753" i="2"/>
  <c r="H1753" i="2"/>
  <c r="G1753" i="2"/>
  <c r="F1753" i="2"/>
  <c r="C1753" i="2"/>
  <c r="B1753" i="2"/>
  <c r="A1753" i="2"/>
  <c r="O1752" i="2"/>
  <c r="N1752" i="2"/>
  <c r="M1752" i="2"/>
  <c r="L1752" i="2"/>
  <c r="K1752" i="2"/>
  <c r="J1752" i="2"/>
  <c r="I1752" i="2"/>
  <c r="H1752" i="2"/>
  <c r="G1752" i="2"/>
  <c r="F1752" i="2"/>
  <c r="C1752" i="2"/>
  <c r="B1752" i="2"/>
  <c r="A1752" i="2"/>
  <c r="O1751" i="2"/>
  <c r="N1751" i="2"/>
  <c r="M1751" i="2"/>
  <c r="L1751" i="2"/>
  <c r="K1751" i="2"/>
  <c r="J1751" i="2"/>
  <c r="I1751" i="2"/>
  <c r="H1751" i="2"/>
  <c r="G1751" i="2"/>
  <c r="F1751" i="2"/>
  <c r="C1751" i="2"/>
  <c r="B1751" i="2"/>
  <c r="A1751" i="2"/>
  <c r="O1750" i="2"/>
  <c r="N1750" i="2"/>
  <c r="M1750" i="2"/>
  <c r="L1750" i="2"/>
  <c r="K1750" i="2"/>
  <c r="J1750" i="2"/>
  <c r="I1750" i="2"/>
  <c r="H1750" i="2"/>
  <c r="G1750" i="2"/>
  <c r="F1750" i="2"/>
  <c r="C1750" i="2"/>
  <c r="B1750" i="2"/>
  <c r="A1750" i="2"/>
  <c r="O1749" i="2"/>
  <c r="N1749" i="2"/>
  <c r="M1749" i="2"/>
  <c r="L1749" i="2"/>
  <c r="K1749" i="2"/>
  <c r="J1749" i="2"/>
  <c r="I1749" i="2"/>
  <c r="H1749" i="2"/>
  <c r="G1749" i="2"/>
  <c r="F1749" i="2"/>
  <c r="C1749" i="2"/>
  <c r="B1749" i="2"/>
  <c r="A1749" i="2"/>
  <c r="O1748" i="2"/>
  <c r="N1748" i="2"/>
  <c r="M1748" i="2"/>
  <c r="L1748" i="2"/>
  <c r="K1748" i="2"/>
  <c r="J1748" i="2"/>
  <c r="I1748" i="2"/>
  <c r="H1748" i="2"/>
  <c r="G1748" i="2"/>
  <c r="F1748" i="2"/>
  <c r="C1748" i="2"/>
  <c r="B1748" i="2"/>
  <c r="A1748" i="2"/>
  <c r="O1747" i="2"/>
  <c r="N1747" i="2"/>
  <c r="M1747" i="2"/>
  <c r="L1747" i="2"/>
  <c r="K1747" i="2"/>
  <c r="J1747" i="2"/>
  <c r="I1747" i="2"/>
  <c r="H1747" i="2"/>
  <c r="G1747" i="2"/>
  <c r="F1747" i="2"/>
  <c r="C1747" i="2"/>
  <c r="B1747" i="2"/>
  <c r="A1747" i="2"/>
  <c r="O1746" i="2"/>
  <c r="N1746" i="2"/>
  <c r="M1746" i="2"/>
  <c r="L1746" i="2"/>
  <c r="K1746" i="2"/>
  <c r="J1746" i="2"/>
  <c r="I1746" i="2"/>
  <c r="H1746" i="2"/>
  <c r="G1746" i="2"/>
  <c r="F1746" i="2"/>
  <c r="C1746" i="2"/>
  <c r="B1746" i="2"/>
  <c r="A1746" i="2"/>
  <c r="O1745" i="2"/>
  <c r="N1745" i="2"/>
  <c r="M1745" i="2"/>
  <c r="L1745" i="2"/>
  <c r="K1745" i="2"/>
  <c r="J1745" i="2"/>
  <c r="I1745" i="2"/>
  <c r="H1745" i="2"/>
  <c r="G1745" i="2"/>
  <c r="F1745" i="2"/>
  <c r="C1745" i="2"/>
  <c r="B1745" i="2"/>
  <c r="A1745" i="2"/>
  <c r="O1744" i="2"/>
  <c r="N1744" i="2"/>
  <c r="M1744" i="2"/>
  <c r="L1744" i="2"/>
  <c r="K1744" i="2"/>
  <c r="J1744" i="2"/>
  <c r="I1744" i="2"/>
  <c r="H1744" i="2"/>
  <c r="G1744" i="2"/>
  <c r="F1744" i="2"/>
  <c r="C1744" i="2"/>
  <c r="B1744" i="2"/>
  <c r="A1744" i="2"/>
  <c r="O1743" i="2"/>
  <c r="N1743" i="2"/>
  <c r="M1743" i="2"/>
  <c r="L1743" i="2"/>
  <c r="K1743" i="2"/>
  <c r="J1743" i="2"/>
  <c r="I1743" i="2"/>
  <c r="H1743" i="2"/>
  <c r="G1743" i="2"/>
  <c r="F1743" i="2"/>
  <c r="C1743" i="2"/>
  <c r="B1743" i="2"/>
  <c r="A1743" i="2"/>
  <c r="O1742" i="2"/>
  <c r="N1742" i="2"/>
  <c r="M1742" i="2"/>
  <c r="L1742" i="2"/>
  <c r="K1742" i="2"/>
  <c r="J1742" i="2"/>
  <c r="I1742" i="2"/>
  <c r="H1742" i="2"/>
  <c r="G1742" i="2"/>
  <c r="F1742" i="2"/>
  <c r="C1742" i="2"/>
  <c r="B1742" i="2"/>
  <c r="A1742" i="2"/>
  <c r="O1741" i="2"/>
  <c r="N1741" i="2"/>
  <c r="M1741" i="2"/>
  <c r="L1741" i="2"/>
  <c r="K1741" i="2"/>
  <c r="J1741" i="2"/>
  <c r="I1741" i="2"/>
  <c r="H1741" i="2"/>
  <c r="G1741" i="2"/>
  <c r="F1741" i="2"/>
  <c r="C1741" i="2"/>
  <c r="B1741" i="2"/>
  <c r="A1741" i="2"/>
  <c r="O1740" i="2"/>
  <c r="N1740" i="2"/>
  <c r="M1740" i="2"/>
  <c r="L1740" i="2"/>
  <c r="K1740" i="2"/>
  <c r="J1740" i="2"/>
  <c r="I1740" i="2"/>
  <c r="H1740" i="2"/>
  <c r="G1740" i="2"/>
  <c r="F1740" i="2"/>
  <c r="C1740" i="2"/>
  <c r="B1740" i="2"/>
  <c r="A1740" i="2"/>
  <c r="O1739" i="2"/>
  <c r="N1739" i="2"/>
  <c r="M1739" i="2"/>
  <c r="L1739" i="2"/>
  <c r="K1739" i="2"/>
  <c r="J1739" i="2"/>
  <c r="I1739" i="2"/>
  <c r="H1739" i="2"/>
  <c r="G1739" i="2"/>
  <c r="F1739" i="2"/>
  <c r="C1739" i="2"/>
  <c r="B1739" i="2"/>
  <c r="A1739" i="2"/>
  <c r="O1738" i="2"/>
  <c r="N1738" i="2"/>
  <c r="M1738" i="2"/>
  <c r="L1738" i="2"/>
  <c r="K1738" i="2"/>
  <c r="J1738" i="2"/>
  <c r="I1738" i="2"/>
  <c r="H1738" i="2"/>
  <c r="G1738" i="2"/>
  <c r="F1738" i="2"/>
  <c r="C1738" i="2"/>
  <c r="B1738" i="2"/>
  <c r="A1738" i="2"/>
  <c r="O1737" i="2"/>
  <c r="N1737" i="2"/>
  <c r="M1737" i="2"/>
  <c r="L1737" i="2"/>
  <c r="K1737" i="2"/>
  <c r="J1737" i="2"/>
  <c r="I1737" i="2"/>
  <c r="H1737" i="2"/>
  <c r="G1737" i="2"/>
  <c r="F1737" i="2"/>
  <c r="C1737" i="2"/>
  <c r="B1737" i="2"/>
  <c r="A1737" i="2"/>
  <c r="O1736" i="2"/>
  <c r="N1736" i="2"/>
  <c r="M1736" i="2"/>
  <c r="L1736" i="2"/>
  <c r="K1736" i="2"/>
  <c r="J1736" i="2"/>
  <c r="I1736" i="2"/>
  <c r="H1736" i="2"/>
  <c r="G1736" i="2"/>
  <c r="F1736" i="2"/>
  <c r="C1736" i="2"/>
  <c r="B1736" i="2"/>
  <c r="A1736" i="2"/>
  <c r="O1735" i="2"/>
  <c r="N1735" i="2"/>
  <c r="M1735" i="2"/>
  <c r="L1735" i="2"/>
  <c r="K1735" i="2"/>
  <c r="J1735" i="2"/>
  <c r="I1735" i="2"/>
  <c r="H1735" i="2"/>
  <c r="G1735" i="2"/>
  <c r="F1735" i="2"/>
  <c r="C1735" i="2"/>
  <c r="B1735" i="2"/>
  <c r="A1735" i="2"/>
  <c r="O1734" i="2"/>
  <c r="N1734" i="2"/>
  <c r="M1734" i="2"/>
  <c r="L1734" i="2"/>
  <c r="K1734" i="2"/>
  <c r="J1734" i="2"/>
  <c r="I1734" i="2"/>
  <c r="H1734" i="2"/>
  <c r="G1734" i="2"/>
  <c r="F1734" i="2"/>
  <c r="C1734" i="2"/>
  <c r="B1734" i="2"/>
  <c r="A1734" i="2"/>
  <c r="O1733" i="2"/>
  <c r="N1733" i="2"/>
  <c r="M1733" i="2"/>
  <c r="L1733" i="2"/>
  <c r="K1733" i="2"/>
  <c r="J1733" i="2"/>
  <c r="I1733" i="2"/>
  <c r="H1733" i="2"/>
  <c r="G1733" i="2"/>
  <c r="F1733" i="2"/>
  <c r="C1733" i="2"/>
  <c r="B1733" i="2"/>
  <c r="A1733" i="2"/>
  <c r="O1732" i="2"/>
  <c r="N1732" i="2"/>
  <c r="M1732" i="2"/>
  <c r="L1732" i="2"/>
  <c r="K1732" i="2"/>
  <c r="J1732" i="2"/>
  <c r="I1732" i="2"/>
  <c r="H1732" i="2"/>
  <c r="G1732" i="2"/>
  <c r="F1732" i="2"/>
  <c r="C1732" i="2"/>
  <c r="B1732" i="2"/>
  <c r="A1732" i="2"/>
  <c r="O1731" i="2"/>
  <c r="N1731" i="2"/>
  <c r="M1731" i="2"/>
  <c r="L1731" i="2"/>
  <c r="K1731" i="2"/>
  <c r="J1731" i="2"/>
  <c r="I1731" i="2"/>
  <c r="H1731" i="2"/>
  <c r="G1731" i="2"/>
  <c r="F1731" i="2"/>
  <c r="C1731" i="2"/>
  <c r="B1731" i="2"/>
  <c r="A1731" i="2"/>
  <c r="O1730" i="2"/>
  <c r="N1730" i="2"/>
  <c r="M1730" i="2"/>
  <c r="L1730" i="2"/>
  <c r="K1730" i="2"/>
  <c r="J1730" i="2"/>
  <c r="I1730" i="2"/>
  <c r="H1730" i="2"/>
  <c r="G1730" i="2"/>
  <c r="F1730" i="2"/>
  <c r="C1730" i="2"/>
  <c r="B1730" i="2"/>
  <c r="A1730" i="2"/>
  <c r="O1729" i="2"/>
  <c r="N1729" i="2"/>
  <c r="M1729" i="2"/>
  <c r="L1729" i="2"/>
  <c r="K1729" i="2"/>
  <c r="J1729" i="2"/>
  <c r="I1729" i="2"/>
  <c r="H1729" i="2"/>
  <c r="G1729" i="2"/>
  <c r="F1729" i="2"/>
  <c r="C1729" i="2"/>
  <c r="B1729" i="2"/>
  <c r="A1729" i="2"/>
  <c r="O1728" i="2"/>
  <c r="N1728" i="2"/>
  <c r="M1728" i="2"/>
  <c r="L1728" i="2"/>
  <c r="K1728" i="2"/>
  <c r="J1728" i="2"/>
  <c r="I1728" i="2"/>
  <c r="H1728" i="2"/>
  <c r="G1728" i="2"/>
  <c r="F1728" i="2"/>
  <c r="C1728" i="2"/>
  <c r="B1728" i="2"/>
  <c r="A1728" i="2"/>
  <c r="O1727" i="2"/>
  <c r="N1727" i="2"/>
  <c r="M1727" i="2"/>
  <c r="L1727" i="2"/>
  <c r="K1727" i="2"/>
  <c r="J1727" i="2"/>
  <c r="I1727" i="2"/>
  <c r="H1727" i="2"/>
  <c r="G1727" i="2"/>
  <c r="F1727" i="2"/>
  <c r="C1727" i="2"/>
  <c r="B1727" i="2"/>
  <c r="A1727" i="2"/>
  <c r="O1726" i="2"/>
  <c r="N1726" i="2"/>
  <c r="M1726" i="2"/>
  <c r="L1726" i="2"/>
  <c r="K1726" i="2"/>
  <c r="J1726" i="2"/>
  <c r="I1726" i="2"/>
  <c r="H1726" i="2"/>
  <c r="G1726" i="2"/>
  <c r="F1726" i="2"/>
  <c r="C1726" i="2"/>
  <c r="B1726" i="2"/>
  <c r="A1726" i="2"/>
  <c r="O1725" i="2"/>
  <c r="N1725" i="2"/>
  <c r="M1725" i="2"/>
  <c r="L1725" i="2"/>
  <c r="K1725" i="2"/>
  <c r="J1725" i="2"/>
  <c r="I1725" i="2"/>
  <c r="H1725" i="2"/>
  <c r="G1725" i="2"/>
  <c r="F1725" i="2"/>
  <c r="C1725" i="2"/>
  <c r="B1725" i="2"/>
  <c r="A1725" i="2"/>
  <c r="O1724" i="2"/>
  <c r="N1724" i="2"/>
  <c r="M1724" i="2"/>
  <c r="L1724" i="2"/>
  <c r="K1724" i="2"/>
  <c r="J1724" i="2"/>
  <c r="I1724" i="2"/>
  <c r="H1724" i="2"/>
  <c r="G1724" i="2"/>
  <c r="F1724" i="2"/>
  <c r="C1724" i="2"/>
  <c r="B1724" i="2"/>
  <c r="A1724" i="2"/>
  <c r="O1723" i="2"/>
  <c r="N1723" i="2"/>
  <c r="M1723" i="2"/>
  <c r="L1723" i="2"/>
  <c r="K1723" i="2"/>
  <c r="J1723" i="2"/>
  <c r="I1723" i="2"/>
  <c r="H1723" i="2"/>
  <c r="G1723" i="2"/>
  <c r="F1723" i="2"/>
  <c r="C1723" i="2"/>
  <c r="B1723" i="2"/>
  <c r="A1723" i="2"/>
  <c r="O1722" i="2"/>
  <c r="N1722" i="2"/>
  <c r="M1722" i="2"/>
  <c r="L1722" i="2"/>
  <c r="K1722" i="2"/>
  <c r="J1722" i="2"/>
  <c r="I1722" i="2"/>
  <c r="H1722" i="2"/>
  <c r="G1722" i="2"/>
  <c r="F1722" i="2"/>
  <c r="C1722" i="2"/>
  <c r="B1722" i="2"/>
  <c r="A1722" i="2"/>
  <c r="O1721" i="2"/>
  <c r="N1721" i="2"/>
  <c r="M1721" i="2"/>
  <c r="L1721" i="2"/>
  <c r="K1721" i="2"/>
  <c r="J1721" i="2"/>
  <c r="I1721" i="2"/>
  <c r="H1721" i="2"/>
  <c r="G1721" i="2"/>
  <c r="F1721" i="2"/>
  <c r="C1721" i="2"/>
  <c r="B1721" i="2"/>
  <c r="A1721" i="2"/>
  <c r="O1720" i="2"/>
  <c r="N1720" i="2"/>
  <c r="M1720" i="2"/>
  <c r="L1720" i="2"/>
  <c r="K1720" i="2"/>
  <c r="J1720" i="2"/>
  <c r="I1720" i="2"/>
  <c r="H1720" i="2"/>
  <c r="G1720" i="2"/>
  <c r="F1720" i="2"/>
  <c r="C1720" i="2"/>
  <c r="B1720" i="2"/>
  <c r="A1720" i="2"/>
  <c r="O1719" i="2"/>
  <c r="N1719" i="2"/>
  <c r="M1719" i="2"/>
  <c r="L1719" i="2"/>
  <c r="K1719" i="2"/>
  <c r="J1719" i="2"/>
  <c r="I1719" i="2"/>
  <c r="H1719" i="2"/>
  <c r="G1719" i="2"/>
  <c r="F1719" i="2"/>
  <c r="C1719" i="2"/>
  <c r="B1719" i="2"/>
  <c r="A1719" i="2"/>
  <c r="O1718" i="2"/>
  <c r="N1718" i="2"/>
  <c r="M1718" i="2"/>
  <c r="L1718" i="2"/>
  <c r="K1718" i="2"/>
  <c r="J1718" i="2"/>
  <c r="I1718" i="2"/>
  <c r="H1718" i="2"/>
  <c r="G1718" i="2"/>
  <c r="F1718" i="2"/>
  <c r="C1718" i="2"/>
  <c r="B1718" i="2"/>
  <c r="A1718" i="2"/>
  <c r="O1717" i="2"/>
  <c r="N1717" i="2"/>
  <c r="M1717" i="2"/>
  <c r="L1717" i="2"/>
  <c r="K1717" i="2"/>
  <c r="J1717" i="2"/>
  <c r="I1717" i="2"/>
  <c r="H1717" i="2"/>
  <c r="G1717" i="2"/>
  <c r="F1717" i="2"/>
  <c r="C1717" i="2"/>
  <c r="B1717" i="2"/>
  <c r="A1717" i="2"/>
  <c r="O1716" i="2"/>
  <c r="N1716" i="2"/>
  <c r="M1716" i="2"/>
  <c r="L1716" i="2"/>
  <c r="K1716" i="2"/>
  <c r="J1716" i="2"/>
  <c r="I1716" i="2"/>
  <c r="H1716" i="2"/>
  <c r="G1716" i="2"/>
  <c r="F1716" i="2"/>
  <c r="C1716" i="2"/>
  <c r="B1716" i="2"/>
  <c r="A1716" i="2"/>
  <c r="O1715" i="2"/>
  <c r="N1715" i="2"/>
  <c r="M1715" i="2"/>
  <c r="L1715" i="2"/>
  <c r="K1715" i="2"/>
  <c r="J1715" i="2"/>
  <c r="I1715" i="2"/>
  <c r="H1715" i="2"/>
  <c r="G1715" i="2"/>
  <c r="F1715" i="2"/>
  <c r="C1715" i="2"/>
  <c r="B1715" i="2"/>
  <c r="A1715" i="2"/>
  <c r="O1714" i="2"/>
  <c r="N1714" i="2"/>
  <c r="M1714" i="2"/>
  <c r="L1714" i="2"/>
  <c r="K1714" i="2"/>
  <c r="J1714" i="2"/>
  <c r="I1714" i="2"/>
  <c r="H1714" i="2"/>
  <c r="G1714" i="2"/>
  <c r="F1714" i="2"/>
  <c r="C1714" i="2"/>
  <c r="B1714" i="2"/>
  <c r="A1714" i="2"/>
  <c r="O1713" i="2"/>
  <c r="N1713" i="2"/>
  <c r="M1713" i="2"/>
  <c r="L1713" i="2"/>
  <c r="K1713" i="2"/>
  <c r="J1713" i="2"/>
  <c r="I1713" i="2"/>
  <c r="H1713" i="2"/>
  <c r="G1713" i="2"/>
  <c r="F1713" i="2"/>
  <c r="C1713" i="2"/>
  <c r="B1713" i="2"/>
  <c r="A1713" i="2"/>
  <c r="O1712" i="2"/>
  <c r="N1712" i="2"/>
  <c r="M1712" i="2"/>
  <c r="L1712" i="2"/>
  <c r="K1712" i="2"/>
  <c r="J1712" i="2"/>
  <c r="I1712" i="2"/>
  <c r="H1712" i="2"/>
  <c r="G1712" i="2"/>
  <c r="F1712" i="2"/>
  <c r="C1712" i="2"/>
  <c r="B1712" i="2"/>
  <c r="A1712" i="2"/>
  <c r="O1711" i="2"/>
  <c r="N1711" i="2"/>
  <c r="M1711" i="2"/>
  <c r="L1711" i="2"/>
  <c r="K1711" i="2"/>
  <c r="J1711" i="2"/>
  <c r="I1711" i="2"/>
  <c r="H1711" i="2"/>
  <c r="G1711" i="2"/>
  <c r="F1711" i="2"/>
  <c r="C1711" i="2"/>
  <c r="B1711" i="2"/>
  <c r="A1711" i="2"/>
  <c r="O1710" i="2"/>
  <c r="N1710" i="2"/>
  <c r="M1710" i="2"/>
  <c r="L1710" i="2"/>
  <c r="K1710" i="2"/>
  <c r="J1710" i="2"/>
  <c r="I1710" i="2"/>
  <c r="H1710" i="2"/>
  <c r="G1710" i="2"/>
  <c r="F1710" i="2"/>
  <c r="C1710" i="2"/>
  <c r="B1710" i="2"/>
  <c r="A1710" i="2"/>
  <c r="O1709" i="2"/>
  <c r="N1709" i="2"/>
  <c r="M1709" i="2"/>
  <c r="L1709" i="2"/>
  <c r="K1709" i="2"/>
  <c r="J1709" i="2"/>
  <c r="I1709" i="2"/>
  <c r="H1709" i="2"/>
  <c r="G1709" i="2"/>
  <c r="F1709" i="2"/>
  <c r="C1709" i="2"/>
  <c r="B1709" i="2"/>
  <c r="A1709" i="2"/>
  <c r="O1708" i="2"/>
  <c r="N1708" i="2"/>
  <c r="M1708" i="2"/>
  <c r="L1708" i="2"/>
  <c r="K1708" i="2"/>
  <c r="J1708" i="2"/>
  <c r="I1708" i="2"/>
  <c r="H1708" i="2"/>
  <c r="G1708" i="2"/>
  <c r="F1708" i="2"/>
  <c r="C1708" i="2"/>
  <c r="B1708" i="2"/>
  <c r="A1708" i="2"/>
  <c r="O1707" i="2"/>
  <c r="N1707" i="2"/>
  <c r="M1707" i="2"/>
  <c r="L1707" i="2"/>
  <c r="K1707" i="2"/>
  <c r="J1707" i="2"/>
  <c r="I1707" i="2"/>
  <c r="H1707" i="2"/>
  <c r="G1707" i="2"/>
  <c r="F1707" i="2"/>
  <c r="C1707" i="2"/>
  <c r="B1707" i="2"/>
  <c r="A1707" i="2"/>
  <c r="O1706" i="2"/>
  <c r="N1706" i="2"/>
  <c r="M1706" i="2"/>
  <c r="L1706" i="2"/>
  <c r="K1706" i="2"/>
  <c r="J1706" i="2"/>
  <c r="I1706" i="2"/>
  <c r="H1706" i="2"/>
  <c r="G1706" i="2"/>
  <c r="F1706" i="2"/>
  <c r="C1706" i="2"/>
  <c r="B1706" i="2"/>
  <c r="A1706" i="2"/>
  <c r="O1705" i="2"/>
  <c r="N1705" i="2"/>
  <c r="M1705" i="2"/>
  <c r="L1705" i="2"/>
  <c r="K1705" i="2"/>
  <c r="J1705" i="2"/>
  <c r="I1705" i="2"/>
  <c r="H1705" i="2"/>
  <c r="G1705" i="2"/>
  <c r="F1705" i="2"/>
  <c r="C1705" i="2"/>
  <c r="B1705" i="2"/>
  <c r="A1705" i="2"/>
  <c r="O1704" i="2"/>
  <c r="N1704" i="2"/>
  <c r="M1704" i="2"/>
  <c r="L1704" i="2"/>
  <c r="K1704" i="2"/>
  <c r="J1704" i="2"/>
  <c r="I1704" i="2"/>
  <c r="H1704" i="2"/>
  <c r="G1704" i="2"/>
  <c r="F1704" i="2"/>
  <c r="C1704" i="2"/>
  <c r="B1704" i="2"/>
  <c r="A1704" i="2"/>
  <c r="O1703" i="2"/>
  <c r="N1703" i="2"/>
  <c r="M1703" i="2"/>
  <c r="L1703" i="2"/>
  <c r="K1703" i="2"/>
  <c r="J1703" i="2"/>
  <c r="I1703" i="2"/>
  <c r="H1703" i="2"/>
  <c r="G1703" i="2"/>
  <c r="F1703" i="2"/>
  <c r="C1703" i="2"/>
  <c r="B1703" i="2"/>
  <c r="A1703" i="2"/>
  <c r="O1702" i="2"/>
  <c r="N1702" i="2"/>
  <c r="M1702" i="2"/>
  <c r="L1702" i="2"/>
  <c r="K1702" i="2"/>
  <c r="J1702" i="2"/>
  <c r="I1702" i="2"/>
  <c r="H1702" i="2"/>
  <c r="G1702" i="2"/>
  <c r="F1702" i="2"/>
  <c r="C1702" i="2"/>
  <c r="B1702" i="2"/>
  <c r="A1702" i="2"/>
  <c r="O1701" i="2"/>
  <c r="N1701" i="2"/>
  <c r="M1701" i="2"/>
  <c r="L1701" i="2"/>
  <c r="K1701" i="2"/>
  <c r="J1701" i="2"/>
  <c r="I1701" i="2"/>
  <c r="H1701" i="2"/>
  <c r="G1701" i="2"/>
  <c r="F1701" i="2"/>
  <c r="C1701" i="2"/>
  <c r="B1701" i="2"/>
  <c r="A1701" i="2"/>
  <c r="O1700" i="2"/>
  <c r="N1700" i="2"/>
  <c r="M1700" i="2"/>
  <c r="L1700" i="2"/>
  <c r="K1700" i="2"/>
  <c r="J1700" i="2"/>
  <c r="I1700" i="2"/>
  <c r="H1700" i="2"/>
  <c r="G1700" i="2"/>
  <c r="F1700" i="2"/>
  <c r="C1700" i="2"/>
  <c r="B1700" i="2"/>
  <c r="A1700" i="2"/>
  <c r="O1699" i="2"/>
  <c r="N1699" i="2"/>
  <c r="M1699" i="2"/>
  <c r="L1699" i="2"/>
  <c r="K1699" i="2"/>
  <c r="J1699" i="2"/>
  <c r="I1699" i="2"/>
  <c r="H1699" i="2"/>
  <c r="G1699" i="2"/>
  <c r="F1699" i="2"/>
  <c r="C1699" i="2"/>
  <c r="B1699" i="2"/>
  <c r="A1699" i="2"/>
  <c r="O1698" i="2"/>
  <c r="N1698" i="2"/>
  <c r="M1698" i="2"/>
  <c r="L1698" i="2"/>
  <c r="K1698" i="2"/>
  <c r="J1698" i="2"/>
  <c r="I1698" i="2"/>
  <c r="H1698" i="2"/>
  <c r="G1698" i="2"/>
  <c r="F1698" i="2"/>
  <c r="C1698" i="2"/>
  <c r="B1698" i="2"/>
  <c r="A1698" i="2"/>
  <c r="O1697" i="2"/>
  <c r="N1697" i="2"/>
  <c r="M1697" i="2"/>
  <c r="L1697" i="2"/>
  <c r="K1697" i="2"/>
  <c r="J1697" i="2"/>
  <c r="I1697" i="2"/>
  <c r="H1697" i="2"/>
  <c r="G1697" i="2"/>
  <c r="F1697" i="2"/>
  <c r="C1697" i="2"/>
  <c r="B1697" i="2"/>
  <c r="A1697" i="2"/>
  <c r="O1696" i="2"/>
  <c r="N1696" i="2"/>
  <c r="M1696" i="2"/>
  <c r="L1696" i="2"/>
  <c r="K1696" i="2"/>
  <c r="J1696" i="2"/>
  <c r="I1696" i="2"/>
  <c r="H1696" i="2"/>
  <c r="G1696" i="2"/>
  <c r="F1696" i="2"/>
  <c r="C1696" i="2"/>
  <c r="B1696" i="2"/>
  <c r="A1696" i="2"/>
  <c r="O1695" i="2"/>
  <c r="N1695" i="2"/>
  <c r="M1695" i="2"/>
  <c r="L1695" i="2"/>
  <c r="K1695" i="2"/>
  <c r="J1695" i="2"/>
  <c r="I1695" i="2"/>
  <c r="H1695" i="2"/>
  <c r="G1695" i="2"/>
  <c r="F1695" i="2"/>
  <c r="C1695" i="2"/>
  <c r="B1695" i="2"/>
  <c r="A1695" i="2"/>
  <c r="O1694" i="2"/>
  <c r="N1694" i="2"/>
  <c r="M1694" i="2"/>
  <c r="L1694" i="2"/>
  <c r="K1694" i="2"/>
  <c r="J1694" i="2"/>
  <c r="I1694" i="2"/>
  <c r="H1694" i="2"/>
  <c r="G1694" i="2"/>
  <c r="F1694" i="2"/>
  <c r="C1694" i="2"/>
  <c r="B1694" i="2"/>
  <c r="A1694" i="2"/>
  <c r="O1693" i="2"/>
  <c r="N1693" i="2"/>
  <c r="M1693" i="2"/>
  <c r="L1693" i="2"/>
  <c r="K1693" i="2"/>
  <c r="J1693" i="2"/>
  <c r="I1693" i="2"/>
  <c r="H1693" i="2"/>
  <c r="G1693" i="2"/>
  <c r="F1693" i="2"/>
  <c r="C1693" i="2"/>
  <c r="B1693" i="2"/>
  <c r="A1693" i="2"/>
  <c r="O1692" i="2"/>
  <c r="N1692" i="2"/>
  <c r="M1692" i="2"/>
  <c r="L1692" i="2"/>
  <c r="K1692" i="2"/>
  <c r="J1692" i="2"/>
  <c r="I1692" i="2"/>
  <c r="H1692" i="2"/>
  <c r="G1692" i="2"/>
  <c r="F1692" i="2"/>
  <c r="C1692" i="2"/>
  <c r="B1692" i="2"/>
  <c r="A1692" i="2"/>
  <c r="O1691" i="2"/>
  <c r="N1691" i="2"/>
  <c r="M1691" i="2"/>
  <c r="L1691" i="2"/>
  <c r="K1691" i="2"/>
  <c r="J1691" i="2"/>
  <c r="I1691" i="2"/>
  <c r="H1691" i="2"/>
  <c r="G1691" i="2"/>
  <c r="F1691" i="2"/>
  <c r="C1691" i="2"/>
  <c r="B1691" i="2"/>
  <c r="A1691" i="2"/>
  <c r="O1690" i="2"/>
  <c r="N1690" i="2"/>
  <c r="M1690" i="2"/>
  <c r="L1690" i="2"/>
  <c r="K1690" i="2"/>
  <c r="J1690" i="2"/>
  <c r="I1690" i="2"/>
  <c r="H1690" i="2"/>
  <c r="G1690" i="2"/>
  <c r="F1690" i="2"/>
  <c r="C1690" i="2"/>
  <c r="B1690" i="2"/>
  <c r="A1690" i="2"/>
  <c r="O1689" i="2"/>
  <c r="N1689" i="2"/>
  <c r="M1689" i="2"/>
  <c r="L1689" i="2"/>
  <c r="K1689" i="2"/>
  <c r="J1689" i="2"/>
  <c r="I1689" i="2"/>
  <c r="H1689" i="2"/>
  <c r="G1689" i="2"/>
  <c r="F1689" i="2"/>
  <c r="C1689" i="2"/>
  <c r="B1689" i="2"/>
  <c r="A1689" i="2"/>
  <c r="O1688" i="2"/>
  <c r="N1688" i="2"/>
  <c r="M1688" i="2"/>
  <c r="L1688" i="2"/>
  <c r="K1688" i="2"/>
  <c r="J1688" i="2"/>
  <c r="I1688" i="2"/>
  <c r="H1688" i="2"/>
  <c r="G1688" i="2"/>
  <c r="F1688" i="2"/>
  <c r="C1688" i="2"/>
  <c r="B1688" i="2"/>
  <c r="A1688" i="2"/>
  <c r="O1687" i="2"/>
  <c r="N1687" i="2"/>
  <c r="M1687" i="2"/>
  <c r="L1687" i="2"/>
  <c r="K1687" i="2"/>
  <c r="J1687" i="2"/>
  <c r="I1687" i="2"/>
  <c r="H1687" i="2"/>
  <c r="G1687" i="2"/>
  <c r="F1687" i="2"/>
  <c r="C1687" i="2"/>
  <c r="B1687" i="2"/>
  <c r="A1687" i="2"/>
  <c r="O1686" i="2"/>
  <c r="N1686" i="2"/>
  <c r="M1686" i="2"/>
  <c r="L1686" i="2"/>
  <c r="K1686" i="2"/>
  <c r="J1686" i="2"/>
  <c r="I1686" i="2"/>
  <c r="H1686" i="2"/>
  <c r="G1686" i="2"/>
  <c r="F1686" i="2"/>
  <c r="C1686" i="2"/>
  <c r="B1686" i="2"/>
  <c r="A1686" i="2"/>
  <c r="O1685" i="2"/>
  <c r="N1685" i="2"/>
  <c r="M1685" i="2"/>
  <c r="L1685" i="2"/>
  <c r="K1685" i="2"/>
  <c r="J1685" i="2"/>
  <c r="I1685" i="2"/>
  <c r="H1685" i="2"/>
  <c r="G1685" i="2"/>
  <c r="F1685" i="2"/>
  <c r="C1685" i="2"/>
  <c r="B1685" i="2"/>
  <c r="A1685" i="2"/>
  <c r="O1684" i="2"/>
  <c r="N1684" i="2"/>
  <c r="M1684" i="2"/>
  <c r="L1684" i="2"/>
  <c r="K1684" i="2"/>
  <c r="J1684" i="2"/>
  <c r="I1684" i="2"/>
  <c r="H1684" i="2"/>
  <c r="G1684" i="2"/>
  <c r="F1684" i="2"/>
  <c r="C1684" i="2"/>
  <c r="B1684" i="2"/>
  <c r="A1684" i="2"/>
  <c r="O1683" i="2"/>
  <c r="N1683" i="2"/>
  <c r="M1683" i="2"/>
  <c r="L1683" i="2"/>
  <c r="K1683" i="2"/>
  <c r="J1683" i="2"/>
  <c r="I1683" i="2"/>
  <c r="H1683" i="2"/>
  <c r="G1683" i="2"/>
  <c r="F1683" i="2"/>
  <c r="C1683" i="2"/>
  <c r="B1683" i="2"/>
  <c r="A1683" i="2"/>
  <c r="O1682" i="2"/>
  <c r="N1682" i="2"/>
  <c r="M1682" i="2"/>
  <c r="L1682" i="2"/>
  <c r="K1682" i="2"/>
  <c r="J1682" i="2"/>
  <c r="I1682" i="2"/>
  <c r="H1682" i="2"/>
  <c r="G1682" i="2"/>
  <c r="F1682" i="2"/>
  <c r="C1682" i="2"/>
  <c r="B1682" i="2"/>
  <c r="A1682" i="2"/>
  <c r="O1681" i="2"/>
  <c r="N1681" i="2"/>
  <c r="M1681" i="2"/>
  <c r="L1681" i="2"/>
  <c r="K1681" i="2"/>
  <c r="J1681" i="2"/>
  <c r="I1681" i="2"/>
  <c r="H1681" i="2"/>
  <c r="G1681" i="2"/>
  <c r="F1681" i="2"/>
  <c r="C1681" i="2"/>
  <c r="B1681" i="2"/>
  <c r="A1681" i="2"/>
  <c r="O1680" i="2"/>
  <c r="N1680" i="2"/>
  <c r="M1680" i="2"/>
  <c r="L1680" i="2"/>
  <c r="K1680" i="2"/>
  <c r="J1680" i="2"/>
  <c r="I1680" i="2"/>
  <c r="H1680" i="2"/>
  <c r="G1680" i="2"/>
  <c r="F1680" i="2"/>
  <c r="C1680" i="2"/>
  <c r="B1680" i="2"/>
  <c r="A1680" i="2"/>
  <c r="O1679" i="2"/>
  <c r="N1679" i="2"/>
  <c r="M1679" i="2"/>
  <c r="L1679" i="2"/>
  <c r="K1679" i="2"/>
  <c r="J1679" i="2"/>
  <c r="I1679" i="2"/>
  <c r="H1679" i="2"/>
  <c r="G1679" i="2"/>
  <c r="F1679" i="2"/>
  <c r="C1679" i="2"/>
  <c r="B1679" i="2"/>
  <c r="A1679" i="2"/>
  <c r="O1678" i="2"/>
  <c r="N1678" i="2"/>
  <c r="M1678" i="2"/>
  <c r="L1678" i="2"/>
  <c r="K1678" i="2"/>
  <c r="J1678" i="2"/>
  <c r="I1678" i="2"/>
  <c r="H1678" i="2"/>
  <c r="G1678" i="2"/>
  <c r="F1678" i="2"/>
  <c r="C1678" i="2"/>
  <c r="B1678" i="2"/>
  <c r="A1678" i="2"/>
  <c r="O1677" i="2"/>
  <c r="N1677" i="2"/>
  <c r="M1677" i="2"/>
  <c r="L1677" i="2"/>
  <c r="K1677" i="2"/>
  <c r="J1677" i="2"/>
  <c r="I1677" i="2"/>
  <c r="H1677" i="2"/>
  <c r="G1677" i="2"/>
  <c r="F1677" i="2"/>
  <c r="C1677" i="2"/>
  <c r="B1677" i="2"/>
  <c r="A1677" i="2"/>
  <c r="O1676" i="2"/>
  <c r="N1676" i="2"/>
  <c r="M1676" i="2"/>
  <c r="L1676" i="2"/>
  <c r="K1676" i="2"/>
  <c r="J1676" i="2"/>
  <c r="I1676" i="2"/>
  <c r="H1676" i="2"/>
  <c r="G1676" i="2"/>
  <c r="F1676" i="2"/>
  <c r="C1676" i="2"/>
  <c r="B1676" i="2"/>
  <c r="A1676" i="2"/>
  <c r="O1675" i="2"/>
  <c r="N1675" i="2"/>
  <c r="M1675" i="2"/>
  <c r="L1675" i="2"/>
  <c r="K1675" i="2"/>
  <c r="J1675" i="2"/>
  <c r="I1675" i="2"/>
  <c r="H1675" i="2"/>
  <c r="G1675" i="2"/>
  <c r="F1675" i="2"/>
  <c r="C1675" i="2"/>
  <c r="B1675" i="2"/>
  <c r="A1675" i="2"/>
  <c r="O1674" i="2"/>
  <c r="N1674" i="2"/>
  <c r="M1674" i="2"/>
  <c r="L1674" i="2"/>
  <c r="K1674" i="2"/>
  <c r="J1674" i="2"/>
  <c r="I1674" i="2"/>
  <c r="H1674" i="2"/>
  <c r="G1674" i="2"/>
  <c r="F1674" i="2"/>
  <c r="C1674" i="2"/>
  <c r="B1674" i="2"/>
  <c r="A1674" i="2"/>
  <c r="O1673" i="2"/>
  <c r="N1673" i="2"/>
  <c r="M1673" i="2"/>
  <c r="L1673" i="2"/>
  <c r="K1673" i="2"/>
  <c r="J1673" i="2"/>
  <c r="I1673" i="2"/>
  <c r="H1673" i="2"/>
  <c r="G1673" i="2"/>
  <c r="F1673" i="2"/>
  <c r="C1673" i="2"/>
  <c r="B1673" i="2"/>
  <c r="A1673" i="2"/>
  <c r="O1672" i="2"/>
  <c r="N1672" i="2"/>
  <c r="M1672" i="2"/>
  <c r="L1672" i="2"/>
  <c r="K1672" i="2"/>
  <c r="J1672" i="2"/>
  <c r="I1672" i="2"/>
  <c r="H1672" i="2"/>
  <c r="G1672" i="2"/>
  <c r="F1672" i="2"/>
  <c r="C1672" i="2"/>
  <c r="B1672" i="2"/>
  <c r="A1672" i="2"/>
  <c r="O1671" i="2"/>
  <c r="N1671" i="2"/>
  <c r="M1671" i="2"/>
  <c r="L1671" i="2"/>
  <c r="K1671" i="2"/>
  <c r="J1671" i="2"/>
  <c r="I1671" i="2"/>
  <c r="H1671" i="2"/>
  <c r="G1671" i="2"/>
  <c r="F1671" i="2"/>
  <c r="C1671" i="2"/>
  <c r="B1671" i="2"/>
  <c r="A1671" i="2"/>
  <c r="O1670" i="2"/>
  <c r="N1670" i="2"/>
  <c r="M1670" i="2"/>
  <c r="L1670" i="2"/>
  <c r="K1670" i="2"/>
  <c r="J1670" i="2"/>
  <c r="I1670" i="2"/>
  <c r="H1670" i="2"/>
  <c r="G1670" i="2"/>
  <c r="F1670" i="2"/>
  <c r="C1670" i="2"/>
  <c r="B1670" i="2"/>
  <c r="A1670" i="2"/>
  <c r="O1669" i="2"/>
  <c r="N1669" i="2"/>
  <c r="M1669" i="2"/>
  <c r="L1669" i="2"/>
  <c r="K1669" i="2"/>
  <c r="J1669" i="2"/>
  <c r="I1669" i="2"/>
  <c r="H1669" i="2"/>
  <c r="G1669" i="2"/>
  <c r="F1669" i="2"/>
  <c r="C1669" i="2"/>
  <c r="B1669" i="2"/>
  <c r="A1669" i="2"/>
  <c r="O1668" i="2"/>
  <c r="N1668" i="2"/>
  <c r="M1668" i="2"/>
  <c r="L1668" i="2"/>
  <c r="K1668" i="2"/>
  <c r="J1668" i="2"/>
  <c r="I1668" i="2"/>
  <c r="H1668" i="2"/>
  <c r="G1668" i="2"/>
  <c r="F1668" i="2"/>
  <c r="C1668" i="2"/>
  <c r="B1668" i="2"/>
  <c r="A1668" i="2"/>
  <c r="O1667" i="2"/>
  <c r="N1667" i="2"/>
  <c r="M1667" i="2"/>
  <c r="L1667" i="2"/>
  <c r="K1667" i="2"/>
  <c r="J1667" i="2"/>
  <c r="I1667" i="2"/>
  <c r="H1667" i="2"/>
  <c r="G1667" i="2"/>
  <c r="F1667" i="2"/>
  <c r="C1667" i="2"/>
  <c r="B1667" i="2"/>
  <c r="A1667" i="2"/>
  <c r="O1666" i="2"/>
  <c r="N1666" i="2"/>
  <c r="M1666" i="2"/>
  <c r="L1666" i="2"/>
  <c r="K1666" i="2"/>
  <c r="J1666" i="2"/>
  <c r="I1666" i="2"/>
  <c r="H1666" i="2"/>
  <c r="G1666" i="2"/>
  <c r="F1666" i="2"/>
  <c r="C1666" i="2"/>
  <c r="B1666" i="2"/>
  <c r="A1666" i="2"/>
  <c r="O1665" i="2"/>
  <c r="N1665" i="2"/>
  <c r="M1665" i="2"/>
  <c r="L1665" i="2"/>
  <c r="K1665" i="2"/>
  <c r="J1665" i="2"/>
  <c r="I1665" i="2"/>
  <c r="H1665" i="2"/>
  <c r="G1665" i="2"/>
  <c r="F1665" i="2"/>
  <c r="C1665" i="2"/>
  <c r="B1665" i="2"/>
  <c r="A1665" i="2"/>
  <c r="O1664" i="2"/>
  <c r="N1664" i="2"/>
  <c r="M1664" i="2"/>
  <c r="L1664" i="2"/>
  <c r="K1664" i="2"/>
  <c r="J1664" i="2"/>
  <c r="I1664" i="2"/>
  <c r="H1664" i="2"/>
  <c r="G1664" i="2"/>
  <c r="F1664" i="2"/>
  <c r="C1664" i="2"/>
  <c r="B1664" i="2"/>
  <c r="A1664" i="2"/>
  <c r="O1663" i="2"/>
  <c r="N1663" i="2"/>
  <c r="M1663" i="2"/>
  <c r="L1663" i="2"/>
  <c r="K1663" i="2"/>
  <c r="J1663" i="2"/>
  <c r="I1663" i="2"/>
  <c r="H1663" i="2"/>
  <c r="G1663" i="2"/>
  <c r="F1663" i="2"/>
  <c r="C1663" i="2"/>
  <c r="B1663" i="2"/>
  <c r="A1663" i="2"/>
  <c r="O1662" i="2"/>
  <c r="N1662" i="2"/>
  <c r="M1662" i="2"/>
  <c r="L1662" i="2"/>
  <c r="K1662" i="2"/>
  <c r="J1662" i="2"/>
  <c r="I1662" i="2"/>
  <c r="H1662" i="2"/>
  <c r="G1662" i="2"/>
  <c r="F1662" i="2"/>
  <c r="C1662" i="2"/>
  <c r="B1662" i="2"/>
  <c r="A1662" i="2"/>
  <c r="O1661" i="2"/>
  <c r="N1661" i="2"/>
  <c r="M1661" i="2"/>
  <c r="L1661" i="2"/>
  <c r="K1661" i="2"/>
  <c r="J1661" i="2"/>
  <c r="I1661" i="2"/>
  <c r="H1661" i="2"/>
  <c r="G1661" i="2"/>
  <c r="F1661" i="2"/>
  <c r="C1661" i="2"/>
  <c r="B1661" i="2"/>
  <c r="A1661" i="2"/>
  <c r="O1660" i="2"/>
  <c r="N1660" i="2"/>
  <c r="M1660" i="2"/>
  <c r="L1660" i="2"/>
  <c r="K1660" i="2"/>
  <c r="J1660" i="2"/>
  <c r="I1660" i="2"/>
  <c r="H1660" i="2"/>
  <c r="G1660" i="2"/>
  <c r="F1660" i="2"/>
  <c r="C1660" i="2"/>
  <c r="B1660" i="2"/>
  <c r="A1660" i="2"/>
  <c r="O1659" i="2"/>
  <c r="N1659" i="2"/>
  <c r="M1659" i="2"/>
  <c r="L1659" i="2"/>
  <c r="K1659" i="2"/>
  <c r="J1659" i="2"/>
  <c r="I1659" i="2"/>
  <c r="H1659" i="2"/>
  <c r="G1659" i="2"/>
  <c r="F1659" i="2"/>
  <c r="C1659" i="2"/>
  <c r="B1659" i="2"/>
  <c r="A1659" i="2"/>
  <c r="O1658" i="2"/>
  <c r="N1658" i="2"/>
  <c r="M1658" i="2"/>
  <c r="L1658" i="2"/>
  <c r="K1658" i="2"/>
  <c r="J1658" i="2"/>
  <c r="I1658" i="2"/>
  <c r="H1658" i="2"/>
  <c r="G1658" i="2"/>
  <c r="F1658" i="2"/>
  <c r="C1658" i="2"/>
  <c r="B1658" i="2"/>
  <c r="A1658" i="2"/>
  <c r="O1657" i="2"/>
  <c r="N1657" i="2"/>
  <c r="M1657" i="2"/>
  <c r="L1657" i="2"/>
  <c r="K1657" i="2"/>
  <c r="J1657" i="2"/>
  <c r="I1657" i="2"/>
  <c r="H1657" i="2"/>
  <c r="G1657" i="2"/>
  <c r="F1657" i="2"/>
  <c r="C1657" i="2"/>
  <c r="B1657" i="2"/>
  <c r="A1657" i="2"/>
  <c r="O1656" i="2"/>
  <c r="N1656" i="2"/>
  <c r="M1656" i="2"/>
  <c r="L1656" i="2"/>
  <c r="K1656" i="2"/>
  <c r="J1656" i="2"/>
  <c r="I1656" i="2"/>
  <c r="H1656" i="2"/>
  <c r="G1656" i="2"/>
  <c r="F1656" i="2"/>
  <c r="C1656" i="2"/>
  <c r="B1656" i="2"/>
  <c r="A1656" i="2"/>
  <c r="O1655" i="2"/>
  <c r="N1655" i="2"/>
  <c r="M1655" i="2"/>
  <c r="L1655" i="2"/>
  <c r="K1655" i="2"/>
  <c r="J1655" i="2"/>
  <c r="I1655" i="2"/>
  <c r="H1655" i="2"/>
  <c r="G1655" i="2"/>
  <c r="F1655" i="2"/>
  <c r="C1655" i="2"/>
  <c r="B1655" i="2"/>
  <c r="A1655" i="2"/>
  <c r="O1654" i="2"/>
  <c r="N1654" i="2"/>
  <c r="M1654" i="2"/>
  <c r="L1654" i="2"/>
  <c r="K1654" i="2"/>
  <c r="J1654" i="2"/>
  <c r="I1654" i="2"/>
  <c r="H1654" i="2"/>
  <c r="G1654" i="2"/>
  <c r="F1654" i="2"/>
  <c r="C1654" i="2"/>
  <c r="B1654" i="2"/>
  <c r="A1654" i="2"/>
  <c r="O1653" i="2"/>
  <c r="N1653" i="2"/>
  <c r="M1653" i="2"/>
  <c r="L1653" i="2"/>
  <c r="K1653" i="2"/>
  <c r="J1653" i="2"/>
  <c r="I1653" i="2"/>
  <c r="H1653" i="2"/>
  <c r="G1653" i="2"/>
  <c r="F1653" i="2"/>
  <c r="C1653" i="2"/>
  <c r="B1653" i="2"/>
  <c r="A1653" i="2"/>
  <c r="O1652" i="2"/>
  <c r="N1652" i="2"/>
  <c r="M1652" i="2"/>
  <c r="L1652" i="2"/>
  <c r="K1652" i="2"/>
  <c r="J1652" i="2"/>
  <c r="I1652" i="2"/>
  <c r="H1652" i="2"/>
  <c r="G1652" i="2"/>
  <c r="F1652" i="2"/>
  <c r="C1652" i="2"/>
  <c r="B1652" i="2"/>
  <c r="A1652" i="2"/>
  <c r="O1651" i="2"/>
  <c r="N1651" i="2"/>
  <c r="M1651" i="2"/>
  <c r="L1651" i="2"/>
  <c r="K1651" i="2"/>
  <c r="J1651" i="2"/>
  <c r="I1651" i="2"/>
  <c r="H1651" i="2"/>
  <c r="G1651" i="2"/>
  <c r="F1651" i="2"/>
  <c r="C1651" i="2"/>
  <c r="B1651" i="2"/>
  <c r="A1651" i="2"/>
  <c r="O1650" i="2"/>
  <c r="N1650" i="2"/>
  <c r="M1650" i="2"/>
  <c r="L1650" i="2"/>
  <c r="K1650" i="2"/>
  <c r="J1650" i="2"/>
  <c r="I1650" i="2"/>
  <c r="H1650" i="2"/>
  <c r="G1650" i="2"/>
  <c r="F1650" i="2"/>
  <c r="C1650" i="2"/>
  <c r="B1650" i="2"/>
  <c r="A1650" i="2"/>
  <c r="O1649" i="2"/>
  <c r="N1649" i="2"/>
  <c r="M1649" i="2"/>
  <c r="L1649" i="2"/>
  <c r="K1649" i="2"/>
  <c r="J1649" i="2"/>
  <c r="I1649" i="2"/>
  <c r="H1649" i="2"/>
  <c r="G1649" i="2"/>
  <c r="F1649" i="2"/>
  <c r="C1649" i="2"/>
  <c r="B1649" i="2"/>
  <c r="A1649" i="2"/>
  <c r="O1648" i="2"/>
  <c r="N1648" i="2"/>
  <c r="M1648" i="2"/>
  <c r="L1648" i="2"/>
  <c r="K1648" i="2"/>
  <c r="J1648" i="2"/>
  <c r="I1648" i="2"/>
  <c r="H1648" i="2"/>
  <c r="G1648" i="2"/>
  <c r="F1648" i="2"/>
  <c r="C1648" i="2"/>
  <c r="B1648" i="2"/>
  <c r="A1648" i="2"/>
  <c r="O1647" i="2"/>
  <c r="N1647" i="2"/>
  <c r="M1647" i="2"/>
  <c r="L1647" i="2"/>
  <c r="K1647" i="2"/>
  <c r="J1647" i="2"/>
  <c r="I1647" i="2"/>
  <c r="H1647" i="2"/>
  <c r="G1647" i="2"/>
  <c r="F1647" i="2"/>
  <c r="C1647" i="2"/>
  <c r="B1647" i="2"/>
  <c r="A1647" i="2"/>
  <c r="O1646" i="2"/>
  <c r="N1646" i="2"/>
  <c r="M1646" i="2"/>
  <c r="L1646" i="2"/>
  <c r="K1646" i="2"/>
  <c r="J1646" i="2"/>
  <c r="I1646" i="2"/>
  <c r="H1646" i="2"/>
  <c r="G1646" i="2"/>
  <c r="F1646" i="2"/>
  <c r="C1646" i="2"/>
  <c r="B1646" i="2"/>
  <c r="A1646" i="2"/>
  <c r="O1645" i="2"/>
  <c r="N1645" i="2"/>
  <c r="M1645" i="2"/>
  <c r="L1645" i="2"/>
  <c r="K1645" i="2"/>
  <c r="J1645" i="2"/>
  <c r="I1645" i="2"/>
  <c r="H1645" i="2"/>
  <c r="G1645" i="2"/>
  <c r="F1645" i="2"/>
  <c r="C1645" i="2"/>
  <c r="B1645" i="2"/>
  <c r="A1645" i="2"/>
  <c r="O1644" i="2"/>
  <c r="N1644" i="2"/>
  <c r="M1644" i="2"/>
  <c r="L1644" i="2"/>
  <c r="K1644" i="2"/>
  <c r="J1644" i="2"/>
  <c r="I1644" i="2"/>
  <c r="H1644" i="2"/>
  <c r="G1644" i="2"/>
  <c r="F1644" i="2"/>
  <c r="C1644" i="2"/>
  <c r="B1644" i="2"/>
  <c r="A1644" i="2"/>
  <c r="O1643" i="2"/>
  <c r="N1643" i="2"/>
  <c r="M1643" i="2"/>
  <c r="L1643" i="2"/>
  <c r="K1643" i="2"/>
  <c r="J1643" i="2"/>
  <c r="I1643" i="2"/>
  <c r="H1643" i="2"/>
  <c r="G1643" i="2"/>
  <c r="F1643" i="2"/>
  <c r="C1643" i="2"/>
  <c r="B1643" i="2"/>
  <c r="A1643" i="2"/>
  <c r="O1642" i="2"/>
  <c r="N1642" i="2"/>
  <c r="M1642" i="2"/>
  <c r="L1642" i="2"/>
  <c r="K1642" i="2"/>
  <c r="J1642" i="2"/>
  <c r="I1642" i="2"/>
  <c r="H1642" i="2"/>
  <c r="G1642" i="2"/>
  <c r="F1642" i="2"/>
  <c r="C1642" i="2"/>
  <c r="B1642" i="2"/>
  <c r="A1642" i="2"/>
  <c r="O1641" i="2"/>
  <c r="N1641" i="2"/>
  <c r="M1641" i="2"/>
  <c r="L1641" i="2"/>
  <c r="K1641" i="2"/>
  <c r="J1641" i="2"/>
  <c r="I1641" i="2"/>
  <c r="H1641" i="2"/>
  <c r="G1641" i="2"/>
  <c r="F1641" i="2"/>
  <c r="C1641" i="2"/>
  <c r="B1641" i="2"/>
  <c r="A1641" i="2"/>
  <c r="O1640" i="2"/>
  <c r="N1640" i="2"/>
  <c r="M1640" i="2"/>
  <c r="L1640" i="2"/>
  <c r="K1640" i="2"/>
  <c r="J1640" i="2"/>
  <c r="I1640" i="2"/>
  <c r="H1640" i="2"/>
  <c r="G1640" i="2"/>
  <c r="F1640" i="2"/>
  <c r="C1640" i="2"/>
  <c r="B1640" i="2"/>
  <c r="A1640" i="2"/>
  <c r="O1639" i="2"/>
  <c r="N1639" i="2"/>
  <c r="M1639" i="2"/>
  <c r="L1639" i="2"/>
  <c r="K1639" i="2"/>
  <c r="J1639" i="2"/>
  <c r="I1639" i="2"/>
  <c r="H1639" i="2"/>
  <c r="G1639" i="2"/>
  <c r="F1639" i="2"/>
  <c r="C1639" i="2"/>
  <c r="B1639" i="2"/>
  <c r="A1639" i="2"/>
  <c r="O1638" i="2"/>
  <c r="N1638" i="2"/>
  <c r="M1638" i="2"/>
  <c r="L1638" i="2"/>
  <c r="K1638" i="2"/>
  <c r="J1638" i="2"/>
  <c r="I1638" i="2"/>
  <c r="H1638" i="2"/>
  <c r="G1638" i="2"/>
  <c r="F1638" i="2"/>
  <c r="C1638" i="2"/>
  <c r="B1638" i="2"/>
  <c r="A1638" i="2"/>
  <c r="O1637" i="2"/>
  <c r="N1637" i="2"/>
  <c r="M1637" i="2"/>
  <c r="L1637" i="2"/>
  <c r="K1637" i="2"/>
  <c r="J1637" i="2"/>
  <c r="I1637" i="2"/>
  <c r="H1637" i="2"/>
  <c r="G1637" i="2"/>
  <c r="F1637" i="2"/>
  <c r="C1637" i="2"/>
  <c r="B1637" i="2"/>
  <c r="A1637" i="2"/>
  <c r="O1636" i="2"/>
  <c r="N1636" i="2"/>
  <c r="M1636" i="2"/>
  <c r="L1636" i="2"/>
  <c r="K1636" i="2"/>
  <c r="J1636" i="2"/>
  <c r="I1636" i="2"/>
  <c r="H1636" i="2"/>
  <c r="G1636" i="2"/>
  <c r="F1636" i="2"/>
  <c r="C1636" i="2"/>
  <c r="B1636" i="2"/>
  <c r="A1636" i="2"/>
  <c r="O1635" i="2"/>
  <c r="N1635" i="2"/>
  <c r="M1635" i="2"/>
  <c r="L1635" i="2"/>
  <c r="K1635" i="2"/>
  <c r="J1635" i="2"/>
  <c r="I1635" i="2"/>
  <c r="H1635" i="2"/>
  <c r="G1635" i="2"/>
  <c r="F1635" i="2"/>
  <c r="C1635" i="2"/>
  <c r="B1635" i="2"/>
  <c r="A1635" i="2"/>
  <c r="O1634" i="2"/>
  <c r="N1634" i="2"/>
  <c r="M1634" i="2"/>
  <c r="L1634" i="2"/>
  <c r="K1634" i="2"/>
  <c r="J1634" i="2"/>
  <c r="I1634" i="2"/>
  <c r="H1634" i="2"/>
  <c r="G1634" i="2"/>
  <c r="F1634" i="2"/>
  <c r="C1634" i="2"/>
  <c r="B1634" i="2"/>
  <c r="A1634" i="2"/>
  <c r="O1633" i="2"/>
  <c r="N1633" i="2"/>
  <c r="M1633" i="2"/>
  <c r="L1633" i="2"/>
  <c r="K1633" i="2"/>
  <c r="J1633" i="2"/>
  <c r="I1633" i="2"/>
  <c r="H1633" i="2"/>
  <c r="G1633" i="2"/>
  <c r="F1633" i="2"/>
  <c r="C1633" i="2"/>
  <c r="B1633" i="2"/>
  <c r="A1633" i="2"/>
  <c r="O1632" i="2"/>
  <c r="N1632" i="2"/>
  <c r="M1632" i="2"/>
  <c r="L1632" i="2"/>
  <c r="K1632" i="2"/>
  <c r="J1632" i="2"/>
  <c r="I1632" i="2"/>
  <c r="H1632" i="2"/>
  <c r="G1632" i="2"/>
  <c r="F1632" i="2"/>
  <c r="C1632" i="2"/>
  <c r="B1632" i="2"/>
  <c r="A1632" i="2"/>
  <c r="O1631" i="2"/>
  <c r="N1631" i="2"/>
  <c r="M1631" i="2"/>
  <c r="L1631" i="2"/>
  <c r="K1631" i="2"/>
  <c r="J1631" i="2"/>
  <c r="I1631" i="2"/>
  <c r="H1631" i="2"/>
  <c r="G1631" i="2"/>
  <c r="F1631" i="2"/>
  <c r="C1631" i="2"/>
  <c r="B1631" i="2"/>
  <c r="A1631" i="2"/>
  <c r="O1630" i="2"/>
  <c r="N1630" i="2"/>
  <c r="M1630" i="2"/>
  <c r="L1630" i="2"/>
  <c r="K1630" i="2"/>
  <c r="J1630" i="2"/>
  <c r="I1630" i="2"/>
  <c r="H1630" i="2"/>
  <c r="G1630" i="2"/>
  <c r="F1630" i="2"/>
  <c r="C1630" i="2"/>
  <c r="B1630" i="2"/>
  <c r="A1630" i="2"/>
  <c r="O1629" i="2"/>
  <c r="N1629" i="2"/>
  <c r="M1629" i="2"/>
  <c r="L1629" i="2"/>
  <c r="K1629" i="2"/>
  <c r="J1629" i="2"/>
  <c r="I1629" i="2"/>
  <c r="H1629" i="2"/>
  <c r="G1629" i="2"/>
  <c r="F1629" i="2"/>
  <c r="C1629" i="2"/>
  <c r="B1629" i="2"/>
  <c r="A1629" i="2"/>
  <c r="O1628" i="2"/>
  <c r="N1628" i="2"/>
  <c r="M1628" i="2"/>
  <c r="L1628" i="2"/>
  <c r="K1628" i="2"/>
  <c r="J1628" i="2"/>
  <c r="I1628" i="2"/>
  <c r="H1628" i="2"/>
  <c r="G1628" i="2"/>
  <c r="F1628" i="2"/>
  <c r="C1628" i="2"/>
  <c r="B1628" i="2"/>
  <c r="A1628" i="2"/>
  <c r="O1627" i="2"/>
  <c r="N1627" i="2"/>
  <c r="M1627" i="2"/>
  <c r="L1627" i="2"/>
  <c r="K1627" i="2"/>
  <c r="J1627" i="2"/>
  <c r="I1627" i="2"/>
  <c r="H1627" i="2"/>
  <c r="G1627" i="2"/>
  <c r="F1627" i="2"/>
  <c r="C1627" i="2"/>
  <c r="B1627" i="2"/>
  <c r="A1627" i="2"/>
  <c r="O1626" i="2"/>
  <c r="N1626" i="2"/>
  <c r="M1626" i="2"/>
  <c r="L1626" i="2"/>
  <c r="K1626" i="2"/>
  <c r="J1626" i="2"/>
  <c r="I1626" i="2"/>
  <c r="H1626" i="2"/>
  <c r="G1626" i="2"/>
  <c r="F1626" i="2"/>
  <c r="C1626" i="2"/>
  <c r="B1626" i="2"/>
  <c r="A1626" i="2"/>
  <c r="O1625" i="2"/>
  <c r="N1625" i="2"/>
  <c r="M1625" i="2"/>
  <c r="L1625" i="2"/>
  <c r="K1625" i="2"/>
  <c r="J1625" i="2"/>
  <c r="I1625" i="2"/>
  <c r="H1625" i="2"/>
  <c r="G1625" i="2"/>
  <c r="F1625" i="2"/>
  <c r="C1625" i="2"/>
  <c r="B1625" i="2"/>
  <c r="A1625" i="2"/>
  <c r="O1624" i="2"/>
  <c r="N1624" i="2"/>
  <c r="M1624" i="2"/>
  <c r="L1624" i="2"/>
  <c r="K1624" i="2"/>
  <c r="J1624" i="2"/>
  <c r="I1624" i="2"/>
  <c r="H1624" i="2"/>
  <c r="G1624" i="2"/>
  <c r="F1624" i="2"/>
  <c r="C1624" i="2"/>
  <c r="B1624" i="2"/>
  <c r="A1624" i="2"/>
  <c r="O1623" i="2"/>
  <c r="N1623" i="2"/>
  <c r="M1623" i="2"/>
  <c r="L1623" i="2"/>
  <c r="K1623" i="2"/>
  <c r="J1623" i="2"/>
  <c r="I1623" i="2"/>
  <c r="H1623" i="2"/>
  <c r="G1623" i="2"/>
  <c r="F1623" i="2"/>
  <c r="C1623" i="2"/>
  <c r="B1623" i="2"/>
  <c r="A1623" i="2"/>
  <c r="O1622" i="2"/>
  <c r="N1622" i="2"/>
  <c r="M1622" i="2"/>
  <c r="L1622" i="2"/>
  <c r="K1622" i="2"/>
  <c r="J1622" i="2"/>
  <c r="I1622" i="2"/>
  <c r="H1622" i="2"/>
  <c r="G1622" i="2"/>
  <c r="F1622" i="2"/>
  <c r="C1622" i="2"/>
  <c r="B1622" i="2"/>
  <c r="A1622" i="2"/>
  <c r="O1621" i="2"/>
  <c r="N1621" i="2"/>
  <c r="M1621" i="2"/>
  <c r="L1621" i="2"/>
  <c r="K1621" i="2"/>
  <c r="J1621" i="2"/>
  <c r="I1621" i="2"/>
  <c r="H1621" i="2"/>
  <c r="G1621" i="2"/>
  <c r="F1621" i="2"/>
  <c r="C1621" i="2"/>
  <c r="B1621" i="2"/>
  <c r="A1621" i="2"/>
  <c r="O1620" i="2"/>
  <c r="N1620" i="2"/>
  <c r="M1620" i="2"/>
  <c r="L1620" i="2"/>
  <c r="K1620" i="2"/>
  <c r="J1620" i="2"/>
  <c r="I1620" i="2"/>
  <c r="H1620" i="2"/>
  <c r="G1620" i="2"/>
  <c r="F1620" i="2"/>
  <c r="C1620" i="2"/>
  <c r="B1620" i="2"/>
  <c r="A1620" i="2"/>
  <c r="O1619" i="2"/>
  <c r="N1619" i="2"/>
  <c r="M1619" i="2"/>
  <c r="L1619" i="2"/>
  <c r="K1619" i="2"/>
  <c r="J1619" i="2"/>
  <c r="I1619" i="2"/>
  <c r="H1619" i="2"/>
  <c r="G1619" i="2"/>
  <c r="F1619" i="2"/>
  <c r="C1619" i="2"/>
  <c r="B1619" i="2"/>
  <c r="A1619" i="2"/>
  <c r="O1618" i="2"/>
  <c r="N1618" i="2"/>
  <c r="M1618" i="2"/>
  <c r="L1618" i="2"/>
  <c r="K1618" i="2"/>
  <c r="J1618" i="2"/>
  <c r="I1618" i="2"/>
  <c r="H1618" i="2"/>
  <c r="G1618" i="2"/>
  <c r="F1618" i="2"/>
  <c r="C1618" i="2"/>
  <c r="B1618" i="2"/>
  <c r="A1618" i="2"/>
  <c r="O1617" i="2"/>
  <c r="N1617" i="2"/>
  <c r="M1617" i="2"/>
  <c r="L1617" i="2"/>
  <c r="K1617" i="2"/>
  <c r="J1617" i="2"/>
  <c r="I1617" i="2"/>
  <c r="H1617" i="2"/>
  <c r="G1617" i="2"/>
  <c r="F1617" i="2"/>
  <c r="C1617" i="2"/>
  <c r="B1617" i="2"/>
  <c r="A1617" i="2"/>
  <c r="O1616" i="2"/>
  <c r="N1616" i="2"/>
  <c r="M1616" i="2"/>
  <c r="L1616" i="2"/>
  <c r="K1616" i="2"/>
  <c r="J1616" i="2"/>
  <c r="I1616" i="2"/>
  <c r="H1616" i="2"/>
  <c r="G1616" i="2"/>
  <c r="F1616" i="2"/>
  <c r="C1616" i="2"/>
  <c r="B1616" i="2"/>
  <c r="A1616" i="2"/>
  <c r="O1615" i="2"/>
  <c r="N1615" i="2"/>
  <c r="M1615" i="2"/>
  <c r="L1615" i="2"/>
  <c r="K1615" i="2"/>
  <c r="J1615" i="2"/>
  <c r="I1615" i="2"/>
  <c r="H1615" i="2"/>
  <c r="G1615" i="2"/>
  <c r="F1615" i="2"/>
  <c r="C1615" i="2"/>
  <c r="B1615" i="2"/>
  <c r="A1615" i="2"/>
  <c r="O1614" i="2"/>
  <c r="N1614" i="2"/>
  <c r="M1614" i="2"/>
  <c r="L1614" i="2"/>
  <c r="K1614" i="2"/>
  <c r="J1614" i="2"/>
  <c r="I1614" i="2"/>
  <c r="H1614" i="2"/>
  <c r="G1614" i="2"/>
  <c r="F1614" i="2"/>
  <c r="C1614" i="2"/>
  <c r="B1614" i="2"/>
  <c r="A1614" i="2"/>
  <c r="O1613" i="2"/>
  <c r="N1613" i="2"/>
  <c r="M1613" i="2"/>
  <c r="L1613" i="2"/>
  <c r="K1613" i="2"/>
  <c r="J1613" i="2"/>
  <c r="I1613" i="2"/>
  <c r="H1613" i="2"/>
  <c r="G1613" i="2"/>
  <c r="F1613" i="2"/>
  <c r="C1613" i="2"/>
  <c r="B1613" i="2"/>
  <c r="A1613" i="2"/>
  <c r="O1612" i="2"/>
  <c r="N1612" i="2"/>
  <c r="M1612" i="2"/>
  <c r="L1612" i="2"/>
  <c r="K1612" i="2"/>
  <c r="J1612" i="2"/>
  <c r="I1612" i="2"/>
  <c r="H1612" i="2"/>
  <c r="G1612" i="2"/>
  <c r="F1612" i="2"/>
  <c r="C1612" i="2"/>
  <c r="B1612" i="2"/>
  <c r="A1612" i="2"/>
  <c r="O1611" i="2"/>
  <c r="N1611" i="2"/>
  <c r="M1611" i="2"/>
  <c r="L1611" i="2"/>
  <c r="K1611" i="2"/>
  <c r="J1611" i="2"/>
  <c r="I1611" i="2"/>
  <c r="H1611" i="2"/>
  <c r="G1611" i="2"/>
  <c r="F1611" i="2"/>
  <c r="C1611" i="2"/>
  <c r="B1611" i="2"/>
  <c r="A1611" i="2"/>
  <c r="O1610" i="2"/>
  <c r="N1610" i="2"/>
  <c r="M1610" i="2"/>
  <c r="L1610" i="2"/>
  <c r="K1610" i="2"/>
  <c r="J1610" i="2"/>
  <c r="I1610" i="2"/>
  <c r="H1610" i="2"/>
  <c r="G1610" i="2"/>
  <c r="F1610" i="2"/>
  <c r="C1610" i="2"/>
  <c r="B1610" i="2"/>
  <c r="A1610" i="2"/>
  <c r="O1609" i="2"/>
  <c r="N1609" i="2"/>
  <c r="M1609" i="2"/>
  <c r="L1609" i="2"/>
  <c r="K1609" i="2"/>
  <c r="J1609" i="2"/>
  <c r="I1609" i="2"/>
  <c r="H1609" i="2"/>
  <c r="G1609" i="2"/>
  <c r="F1609" i="2"/>
  <c r="C1609" i="2"/>
  <c r="B1609" i="2"/>
  <c r="A1609" i="2"/>
  <c r="O1608" i="2"/>
  <c r="N1608" i="2"/>
  <c r="M1608" i="2"/>
  <c r="L1608" i="2"/>
  <c r="K1608" i="2"/>
  <c r="J1608" i="2"/>
  <c r="I1608" i="2"/>
  <c r="H1608" i="2"/>
  <c r="G1608" i="2"/>
  <c r="F1608" i="2"/>
  <c r="C1608" i="2"/>
  <c r="B1608" i="2"/>
  <c r="A1608" i="2"/>
  <c r="O1607" i="2"/>
  <c r="N1607" i="2"/>
  <c r="M1607" i="2"/>
  <c r="L1607" i="2"/>
  <c r="K1607" i="2"/>
  <c r="J1607" i="2"/>
  <c r="I1607" i="2"/>
  <c r="H1607" i="2"/>
  <c r="G1607" i="2"/>
  <c r="F1607" i="2"/>
  <c r="C1607" i="2"/>
  <c r="B1607" i="2"/>
  <c r="A1607" i="2"/>
  <c r="O1606" i="2"/>
  <c r="N1606" i="2"/>
  <c r="M1606" i="2"/>
  <c r="L1606" i="2"/>
  <c r="K1606" i="2"/>
  <c r="J1606" i="2"/>
  <c r="I1606" i="2"/>
  <c r="H1606" i="2"/>
  <c r="G1606" i="2"/>
  <c r="F1606" i="2"/>
  <c r="C1606" i="2"/>
  <c r="B1606" i="2"/>
  <c r="A1606" i="2"/>
  <c r="O1605" i="2"/>
  <c r="N1605" i="2"/>
  <c r="M1605" i="2"/>
  <c r="L1605" i="2"/>
  <c r="K1605" i="2"/>
  <c r="J1605" i="2"/>
  <c r="I1605" i="2"/>
  <c r="H1605" i="2"/>
  <c r="G1605" i="2"/>
  <c r="F1605" i="2"/>
  <c r="C1605" i="2"/>
  <c r="B1605" i="2"/>
  <c r="A1605" i="2"/>
  <c r="O1604" i="2"/>
  <c r="N1604" i="2"/>
  <c r="M1604" i="2"/>
  <c r="L1604" i="2"/>
  <c r="K1604" i="2"/>
  <c r="J1604" i="2"/>
  <c r="I1604" i="2"/>
  <c r="H1604" i="2"/>
  <c r="G1604" i="2"/>
  <c r="F1604" i="2"/>
  <c r="C1604" i="2"/>
  <c r="B1604" i="2"/>
  <c r="A1604" i="2"/>
  <c r="O1603" i="2"/>
  <c r="N1603" i="2"/>
  <c r="M1603" i="2"/>
  <c r="L1603" i="2"/>
  <c r="K1603" i="2"/>
  <c r="J1603" i="2"/>
  <c r="I1603" i="2"/>
  <c r="H1603" i="2"/>
  <c r="G1603" i="2"/>
  <c r="F1603" i="2"/>
  <c r="C1603" i="2"/>
  <c r="B1603" i="2"/>
  <c r="A1603" i="2"/>
  <c r="O1602" i="2"/>
  <c r="N1602" i="2"/>
  <c r="M1602" i="2"/>
  <c r="L1602" i="2"/>
  <c r="K1602" i="2"/>
  <c r="J1602" i="2"/>
  <c r="I1602" i="2"/>
  <c r="H1602" i="2"/>
  <c r="G1602" i="2"/>
  <c r="F1602" i="2"/>
  <c r="C1602" i="2"/>
  <c r="B1602" i="2"/>
  <c r="A1602" i="2"/>
  <c r="O1601" i="2"/>
  <c r="N1601" i="2"/>
  <c r="M1601" i="2"/>
  <c r="L1601" i="2"/>
  <c r="K1601" i="2"/>
  <c r="J1601" i="2"/>
  <c r="I1601" i="2"/>
  <c r="H1601" i="2"/>
  <c r="G1601" i="2"/>
  <c r="F1601" i="2"/>
  <c r="C1601" i="2"/>
  <c r="B1601" i="2"/>
  <c r="A1601" i="2"/>
  <c r="O1600" i="2"/>
  <c r="N1600" i="2"/>
  <c r="M1600" i="2"/>
  <c r="L1600" i="2"/>
  <c r="K1600" i="2"/>
  <c r="J1600" i="2"/>
  <c r="I1600" i="2"/>
  <c r="H1600" i="2"/>
  <c r="G1600" i="2"/>
  <c r="F1600" i="2"/>
  <c r="C1600" i="2"/>
  <c r="B1600" i="2"/>
  <c r="A1600" i="2"/>
  <c r="O1599" i="2"/>
  <c r="N1599" i="2"/>
  <c r="M1599" i="2"/>
  <c r="L1599" i="2"/>
  <c r="K1599" i="2"/>
  <c r="J1599" i="2"/>
  <c r="I1599" i="2"/>
  <c r="H1599" i="2"/>
  <c r="G1599" i="2"/>
  <c r="F1599" i="2"/>
  <c r="C1599" i="2"/>
  <c r="B1599" i="2"/>
  <c r="A1599" i="2"/>
  <c r="O1598" i="2"/>
  <c r="N1598" i="2"/>
  <c r="M1598" i="2"/>
  <c r="L1598" i="2"/>
  <c r="K1598" i="2"/>
  <c r="J1598" i="2"/>
  <c r="I1598" i="2"/>
  <c r="H1598" i="2"/>
  <c r="G1598" i="2"/>
  <c r="F1598" i="2"/>
  <c r="C1598" i="2"/>
  <c r="B1598" i="2"/>
  <c r="A1598" i="2"/>
  <c r="O1597" i="2"/>
  <c r="N1597" i="2"/>
  <c r="M1597" i="2"/>
  <c r="L1597" i="2"/>
  <c r="K1597" i="2"/>
  <c r="J1597" i="2"/>
  <c r="I1597" i="2"/>
  <c r="H1597" i="2"/>
  <c r="G1597" i="2"/>
  <c r="F1597" i="2"/>
  <c r="C1597" i="2"/>
  <c r="B1597" i="2"/>
  <c r="A1597" i="2"/>
  <c r="O1596" i="2"/>
  <c r="N1596" i="2"/>
  <c r="M1596" i="2"/>
  <c r="L1596" i="2"/>
  <c r="K1596" i="2"/>
  <c r="J1596" i="2"/>
  <c r="I1596" i="2"/>
  <c r="H1596" i="2"/>
  <c r="G1596" i="2"/>
  <c r="F1596" i="2"/>
  <c r="C1596" i="2"/>
  <c r="B1596" i="2"/>
  <c r="A1596" i="2"/>
  <c r="O1595" i="2"/>
  <c r="N1595" i="2"/>
  <c r="M1595" i="2"/>
  <c r="L1595" i="2"/>
  <c r="K1595" i="2"/>
  <c r="J1595" i="2"/>
  <c r="I1595" i="2"/>
  <c r="H1595" i="2"/>
  <c r="G1595" i="2"/>
  <c r="F1595" i="2"/>
  <c r="C1595" i="2"/>
  <c r="B1595" i="2"/>
  <c r="A1595" i="2"/>
  <c r="O1594" i="2"/>
  <c r="N1594" i="2"/>
  <c r="M1594" i="2"/>
  <c r="L1594" i="2"/>
  <c r="K1594" i="2"/>
  <c r="J1594" i="2"/>
  <c r="I1594" i="2"/>
  <c r="H1594" i="2"/>
  <c r="G1594" i="2"/>
  <c r="F1594" i="2"/>
  <c r="C1594" i="2"/>
  <c r="B1594" i="2"/>
  <c r="A1594" i="2"/>
  <c r="O1593" i="2"/>
  <c r="N1593" i="2"/>
  <c r="M1593" i="2"/>
  <c r="L1593" i="2"/>
  <c r="K1593" i="2"/>
  <c r="J1593" i="2"/>
  <c r="I1593" i="2"/>
  <c r="H1593" i="2"/>
  <c r="G1593" i="2"/>
  <c r="F1593" i="2"/>
  <c r="C1593" i="2"/>
  <c r="B1593" i="2"/>
  <c r="A1593" i="2"/>
  <c r="O1592" i="2"/>
  <c r="N1592" i="2"/>
  <c r="M1592" i="2"/>
  <c r="L1592" i="2"/>
  <c r="K1592" i="2"/>
  <c r="J1592" i="2"/>
  <c r="I1592" i="2"/>
  <c r="H1592" i="2"/>
  <c r="G1592" i="2"/>
  <c r="F1592" i="2"/>
  <c r="C1592" i="2"/>
  <c r="B1592" i="2"/>
  <c r="A1592" i="2"/>
  <c r="O1591" i="2"/>
  <c r="N1591" i="2"/>
  <c r="M1591" i="2"/>
  <c r="L1591" i="2"/>
  <c r="K1591" i="2"/>
  <c r="J1591" i="2"/>
  <c r="I1591" i="2"/>
  <c r="H1591" i="2"/>
  <c r="G1591" i="2"/>
  <c r="F1591" i="2"/>
  <c r="C1591" i="2"/>
  <c r="B1591" i="2"/>
  <c r="A1591" i="2"/>
  <c r="O1590" i="2"/>
  <c r="N1590" i="2"/>
  <c r="M1590" i="2"/>
  <c r="L1590" i="2"/>
  <c r="K1590" i="2"/>
  <c r="J1590" i="2"/>
  <c r="I1590" i="2"/>
  <c r="H1590" i="2"/>
  <c r="G1590" i="2"/>
  <c r="F1590" i="2"/>
  <c r="C1590" i="2"/>
  <c r="B1590" i="2"/>
  <c r="A1590" i="2"/>
  <c r="O1589" i="2"/>
  <c r="N1589" i="2"/>
  <c r="M1589" i="2"/>
  <c r="L1589" i="2"/>
  <c r="K1589" i="2"/>
  <c r="J1589" i="2"/>
  <c r="I1589" i="2"/>
  <c r="H1589" i="2"/>
  <c r="G1589" i="2"/>
  <c r="F1589" i="2"/>
  <c r="C1589" i="2"/>
  <c r="B1589" i="2"/>
  <c r="A1589" i="2"/>
  <c r="O1588" i="2"/>
  <c r="N1588" i="2"/>
  <c r="M1588" i="2"/>
  <c r="L1588" i="2"/>
  <c r="K1588" i="2"/>
  <c r="J1588" i="2"/>
  <c r="I1588" i="2"/>
  <c r="H1588" i="2"/>
  <c r="G1588" i="2"/>
  <c r="F1588" i="2"/>
  <c r="C1588" i="2"/>
  <c r="B1588" i="2"/>
  <c r="A1588" i="2"/>
  <c r="O1587" i="2"/>
  <c r="N1587" i="2"/>
  <c r="M1587" i="2"/>
  <c r="L1587" i="2"/>
  <c r="K1587" i="2"/>
  <c r="J1587" i="2"/>
  <c r="I1587" i="2"/>
  <c r="H1587" i="2"/>
  <c r="G1587" i="2"/>
  <c r="F1587" i="2"/>
  <c r="C1587" i="2"/>
  <c r="B1587" i="2"/>
  <c r="A1587" i="2"/>
  <c r="O1586" i="2"/>
  <c r="N1586" i="2"/>
  <c r="M1586" i="2"/>
  <c r="L1586" i="2"/>
  <c r="K1586" i="2"/>
  <c r="J1586" i="2"/>
  <c r="I1586" i="2"/>
  <c r="H1586" i="2"/>
  <c r="G1586" i="2"/>
  <c r="F1586" i="2"/>
  <c r="C1586" i="2"/>
  <c r="B1586" i="2"/>
  <c r="A1586" i="2"/>
  <c r="O1585" i="2"/>
  <c r="N1585" i="2"/>
  <c r="M1585" i="2"/>
  <c r="L1585" i="2"/>
  <c r="K1585" i="2"/>
  <c r="J1585" i="2"/>
  <c r="I1585" i="2"/>
  <c r="H1585" i="2"/>
  <c r="G1585" i="2"/>
  <c r="F1585" i="2"/>
  <c r="C1585" i="2"/>
  <c r="B1585" i="2"/>
  <c r="A1585" i="2"/>
  <c r="O1584" i="2"/>
  <c r="N1584" i="2"/>
  <c r="M1584" i="2"/>
  <c r="L1584" i="2"/>
  <c r="K1584" i="2"/>
  <c r="J1584" i="2"/>
  <c r="I1584" i="2"/>
  <c r="H1584" i="2"/>
  <c r="G1584" i="2"/>
  <c r="F1584" i="2"/>
  <c r="C1584" i="2"/>
  <c r="B1584" i="2"/>
  <c r="A1584" i="2"/>
  <c r="O1583" i="2"/>
  <c r="N1583" i="2"/>
  <c r="M1583" i="2"/>
  <c r="L1583" i="2"/>
  <c r="K1583" i="2"/>
  <c r="J1583" i="2"/>
  <c r="I1583" i="2"/>
  <c r="H1583" i="2"/>
  <c r="G1583" i="2"/>
  <c r="F1583" i="2"/>
  <c r="C1583" i="2"/>
  <c r="B1583" i="2"/>
  <c r="A1583" i="2"/>
  <c r="O1582" i="2"/>
  <c r="N1582" i="2"/>
  <c r="M1582" i="2"/>
  <c r="L1582" i="2"/>
  <c r="K1582" i="2"/>
  <c r="J1582" i="2"/>
  <c r="I1582" i="2"/>
  <c r="H1582" i="2"/>
  <c r="G1582" i="2"/>
  <c r="F1582" i="2"/>
  <c r="C1582" i="2"/>
  <c r="B1582" i="2"/>
  <c r="A1582" i="2"/>
  <c r="O1581" i="2"/>
  <c r="N1581" i="2"/>
  <c r="M1581" i="2"/>
  <c r="L1581" i="2"/>
  <c r="K1581" i="2"/>
  <c r="J1581" i="2"/>
  <c r="I1581" i="2"/>
  <c r="H1581" i="2"/>
  <c r="G1581" i="2"/>
  <c r="F1581" i="2"/>
  <c r="C1581" i="2"/>
  <c r="B1581" i="2"/>
  <c r="A1581" i="2"/>
  <c r="O1580" i="2"/>
  <c r="N1580" i="2"/>
  <c r="M1580" i="2"/>
  <c r="L1580" i="2"/>
  <c r="K1580" i="2"/>
  <c r="J1580" i="2"/>
  <c r="I1580" i="2"/>
  <c r="H1580" i="2"/>
  <c r="G1580" i="2"/>
  <c r="F1580" i="2"/>
  <c r="C1580" i="2"/>
  <c r="B1580" i="2"/>
  <c r="A1580" i="2"/>
  <c r="O1579" i="2"/>
  <c r="N1579" i="2"/>
  <c r="M1579" i="2"/>
  <c r="L1579" i="2"/>
  <c r="K1579" i="2"/>
  <c r="J1579" i="2"/>
  <c r="I1579" i="2"/>
  <c r="H1579" i="2"/>
  <c r="G1579" i="2"/>
  <c r="F1579" i="2"/>
  <c r="C1579" i="2"/>
  <c r="B1579" i="2"/>
  <c r="A1579" i="2"/>
  <c r="O1578" i="2"/>
  <c r="N1578" i="2"/>
  <c r="M1578" i="2"/>
  <c r="L1578" i="2"/>
  <c r="K1578" i="2"/>
  <c r="J1578" i="2"/>
  <c r="I1578" i="2"/>
  <c r="H1578" i="2"/>
  <c r="G1578" i="2"/>
  <c r="F1578" i="2"/>
  <c r="C1578" i="2"/>
  <c r="B1578" i="2"/>
  <c r="A1578" i="2"/>
  <c r="O1577" i="2"/>
  <c r="N1577" i="2"/>
  <c r="M1577" i="2"/>
  <c r="L1577" i="2"/>
  <c r="K1577" i="2"/>
  <c r="J1577" i="2"/>
  <c r="I1577" i="2"/>
  <c r="H1577" i="2"/>
  <c r="G1577" i="2"/>
  <c r="F1577" i="2"/>
  <c r="C1577" i="2"/>
  <c r="B1577" i="2"/>
  <c r="A1577" i="2"/>
  <c r="O1576" i="2"/>
  <c r="N1576" i="2"/>
  <c r="M1576" i="2"/>
  <c r="L1576" i="2"/>
  <c r="K1576" i="2"/>
  <c r="J1576" i="2"/>
  <c r="I1576" i="2"/>
  <c r="H1576" i="2"/>
  <c r="G1576" i="2"/>
  <c r="F1576" i="2"/>
  <c r="C1576" i="2"/>
  <c r="B1576" i="2"/>
  <c r="A1576" i="2"/>
  <c r="O1575" i="2"/>
  <c r="N1575" i="2"/>
  <c r="M1575" i="2"/>
  <c r="L1575" i="2"/>
  <c r="K1575" i="2"/>
  <c r="J1575" i="2"/>
  <c r="I1575" i="2"/>
  <c r="H1575" i="2"/>
  <c r="G1575" i="2"/>
  <c r="F1575" i="2"/>
  <c r="C1575" i="2"/>
  <c r="B1575" i="2"/>
  <c r="A1575" i="2"/>
  <c r="O1574" i="2"/>
  <c r="N1574" i="2"/>
  <c r="M1574" i="2"/>
  <c r="L1574" i="2"/>
  <c r="K1574" i="2"/>
  <c r="J1574" i="2"/>
  <c r="I1574" i="2"/>
  <c r="H1574" i="2"/>
  <c r="G1574" i="2"/>
  <c r="F1574" i="2"/>
  <c r="C1574" i="2"/>
  <c r="B1574" i="2"/>
  <c r="A1574" i="2"/>
  <c r="O1573" i="2"/>
  <c r="N1573" i="2"/>
  <c r="M1573" i="2"/>
  <c r="L1573" i="2"/>
  <c r="K1573" i="2"/>
  <c r="J1573" i="2"/>
  <c r="I1573" i="2"/>
  <c r="H1573" i="2"/>
  <c r="G1573" i="2"/>
  <c r="F1573" i="2"/>
  <c r="C1573" i="2"/>
  <c r="B1573" i="2"/>
  <c r="A1573" i="2"/>
  <c r="O1572" i="2"/>
  <c r="N1572" i="2"/>
  <c r="M1572" i="2"/>
  <c r="L1572" i="2"/>
  <c r="K1572" i="2"/>
  <c r="J1572" i="2"/>
  <c r="I1572" i="2"/>
  <c r="H1572" i="2"/>
  <c r="G1572" i="2"/>
  <c r="F1572" i="2"/>
  <c r="C1572" i="2"/>
  <c r="B1572" i="2"/>
  <c r="A1572" i="2"/>
  <c r="O1571" i="2"/>
  <c r="N1571" i="2"/>
  <c r="M1571" i="2"/>
  <c r="L1571" i="2"/>
  <c r="K1571" i="2"/>
  <c r="J1571" i="2"/>
  <c r="I1571" i="2"/>
  <c r="H1571" i="2"/>
  <c r="G1571" i="2"/>
  <c r="F1571" i="2"/>
  <c r="C1571" i="2"/>
  <c r="B1571" i="2"/>
  <c r="A1571" i="2"/>
  <c r="O1570" i="2"/>
  <c r="N1570" i="2"/>
  <c r="M1570" i="2"/>
  <c r="L1570" i="2"/>
  <c r="K1570" i="2"/>
  <c r="J1570" i="2"/>
  <c r="I1570" i="2"/>
  <c r="H1570" i="2"/>
  <c r="G1570" i="2"/>
  <c r="F1570" i="2"/>
  <c r="C1570" i="2"/>
  <c r="B1570" i="2"/>
  <c r="A1570" i="2"/>
  <c r="O1569" i="2"/>
  <c r="N1569" i="2"/>
  <c r="M1569" i="2"/>
  <c r="L1569" i="2"/>
  <c r="K1569" i="2"/>
  <c r="J1569" i="2"/>
  <c r="I1569" i="2"/>
  <c r="H1569" i="2"/>
  <c r="G1569" i="2"/>
  <c r="F1569" i="2"/>
  <c r="C1569" i="2"/>
  <c r="B1569" i="2"/>
  <c r="A1569" i="2"/>
  <c r="O1568" i="2"/>
  <c r="N1568" i="2"/>
  <c r="M1568" i="2"/>
  <c r="L1568" i="2"/>
  <c r="K1568" i="2"/>
  <c r="J1568" i="2"/>
  <c r="I1568" i="2"/>
  <c r="H1568" i="2"/>
  <c r="G1568" i="2"/>
  <c r="F1568" i="2"/>
  <c r="C1568" i="2"/>
  <c r="B1568" i="2"/>
  <c r="A1568" i="2"/>
  <c r="O1567" i="2"/>
  <c r="N1567" i="2"/>
  <c r="M1567" i="2"/>
  <c r="L1567" i="2"/>
  <c r="K1567" i="2"/>
  <c r="J1567" i="2"/>
  <c r="I1567" i="2"/>
  <c r="H1567" i="2"/>
  <c r="G1567" i="2"/>
  <c r="F1567" i="2"/>
  <c r="C1567" i="2"/>
  <c r="B1567" i="2"/>
  <c r="A1567" i="2"/>
  <c r="O1566" i="2"/>
  <c r="N1566" i="2"/>
  <c r="M1566" i="2"/>
  <c r="L1566" i="2"/>
  <c r="K1566" i="2"/>
  <c r="J1566" i="2"/>
  <c r="I1566" i="2"/>
  <c r="H1566" i="2"/>
  <c r="G1566" i="2"/>
  <c r="F1566" i="2"/>
  <c r="C1566" i="2"/>
  <c r="B1566" i="2"/>
  <c r="A1566" i="2"/>
  <c r="O1565" i="2"/>
  <c r="N1565" i="2"/>
  <c r="M1565" i="2"/>
  <c r="L1565" i="2"/>
  <c r="K1565" i="2"/>
  <c r="J1565" i="2"/>
  <c r="I1565" i="2"/>
  <c r="H1565" i="2"/>
  <c r="G1565" i="2"/>
  <c r="F1565" i="2"/>
  <c r="C1565" i="2"/>
  <c r="B1565" i="2"/>
  <c r="A1565" i="2"/>
  <c r="O1564" i="2"/>
  <c r="N1564" i="2"/>
  <c r="M1564" i="2"/>
  <c r="L1564" i="2"/>
  <c r="K1564" i="2"/>
  <c r="J1564" i="2"/>
  <c r="I1564" i="2"/>
  <c r="H1564" i="2"/>
  <c r="G1564" i="2"/>
  <c r="F1564" i="2"/>
  <c r="C1564" i="2"/>
  <c r="B1564" i="2"/>
  <c r="A1564" i="2"/>
  <c r="O1563" i="2"/>
  <c r="N1563" i="2"/>
  <c r="M1563" i="2"/>
  <c r="L1563" i="2"/>
  <c r="K1563" i="2"/>
  <c r="J1563" i="2"/>
  <c r="I1563" i="2"/>
  <c r="H1563" i="2"/>
  <c r="G1563" i="2"/>
  <c r="F1563" i="2"/>
  <c r="C1563" i="2"/>
  <c r="B1563" i="2"/>
  <c r="A1563" i="2"/>
  <c r="O1562" i="2"/>
  <c r="N1562" i="2"/>
  <c r="M1562" i="2"/>
  <c r="L1562" i="2"/>
  <c r="K1562" i="2"/>
  <c r="J1562" i="2"/>
  <c r="I1562" i="2"/>
  <c r="H1562" i="2"/>
  <c r="G1562" i="2"/>
  <c r="F1562" i="2"/>
  <c r="C1562" i="2"/>
  <c r="B1562" i="2"/>
  <c r="A1562" i="2"/>
  <c r="O1561" i="2"/>
  <c r="N1561" i="2"/>
  <c r="M1561" i="2"/>
  <c r="L1561" i="2"/>
  <c r="K1561" i="2"/>
  <c r="J1561" i="2"/>
  <c r="I1561" i="2"/>
  <c r="H1561" i="2"/>
  <c r="G1561" i="2"/>
  <c r="F1561" i="2"/>
  <c r="C1561" i="2"/>
  <c r="B1561" i="2"/>
  <c r="A1561" i="2"/>
  <c r="O1560" i="2"/>
  <c r="N1560" i="2"/>
  <c r="M1560" i="2"/>
  <c r="L1560" i="2"/>
  <c r="K1560" i="2"/>
  <c r="J1560" i="2"/>
  <c r="I1560" i="2"/>
  <c r="H1560" i="2"/>
  <c r="G1560" i="2"/>
  <c r="F1560" i="2"/>
  <c r="C1560" i="2"/>
  <c r="B1560" i="2"/>
  <c r="A1560" i="2"/>
  <c r="O1559" i="2"/>
  <c r="N1559" i="2"/>
  <c r="M1559" i="2"/>
  <c r="L1559" i="2"/>
  <c r="K1559" i="2"/>
  <c r="J1559" i="2"/>
  <c r="I1559" i="2"/>
  <c r="H1559" i="2"/>
  <c r="G1559" i="2"/>
  <c r="F1559" i="2"/>
  <c r="C1559" i="2"/>
  <c r="B1559" i="2"/>
  <c r="A1559" i="2"/>
  <c r="O1558" i="2"/>
  <c r="N1558" i="2"/>
  <c r="M1558" i="2"/>
  <c r="L1558" i="2"/>
  <c r="K1558" i="2"/>
  <c r="J1558" i="2"/>
  <c r="I1558" i="2"/>
  <c r="H1558" i="2"/>
  <c r="G1558" i="2"/>
  <c r="F1558" i="2"/>
  <c r="C1558" i="2"/>
  <c r="B1558" i="2"/>
  <c r="A1558" i="2"/>
  <c r="O1557" i="2"/>
  <c r="N1557" i="2"/>
  <c r="M1557" i="2"/>
  <c r="L1557" i="2"/>
  <c r="K1557" i="2"/>
  <c r="J1557" i="2"/>
  <c r="I1557" i="2"/>
  <c r="H1557" i="2"/>
  <c r="G1557" i="2"/>
  <c r="F1557" i="2"/>
  <c r="C1557" i="2"/>
  <c r="B1557" i="2"/>
  <c r="A1557" i="2"/>
  <c r="O1556" i="2"/>
  <c r="N1556" i="2"/>
  <c r="M1556" i="2"/>
  <c r="L1556" i="2"/>
  <c r="K1556" i="2"/>
  <c r="J1556" i="2"/>
  <c r="I1556" i="2"/>
  <c r="H1556" i="2"/>
  <c r="G1556" i="2"/>
  <c r="F1556" i="2"/>
  <c r="C1556" i="2"/>
  <c r="B1556" i="2"/>
  <c r="A1556" i="2"/>
  <c r="O1555" i="2"/>
  <c r="N1555" i="2"/>
  <c r="M1555" i="2"/>
  <c r="L1555" i="2"/>
  <c r="K1555" i="2"/>
  <c r="J1555" i="2"/>
  <c r="I1555" i="2"/>
  <c r="H1555" i="2"/>
  <c r="G1555" i="2"/>
  <c r="F1555" i="2"/>
  <c r="C1555" i="2"/>
  <c r="B1555" i="2"/>
  <c r="A1555" i="2"/>
  <c r="O1554" i="2"/>
  <c r="N1554" i="2"/>
  <c r="M1554" i="2"/>
  <c r="L1554" i="2"/>
  <c r="K1554" i="2"/>
  <c r="J1554" i="2"/>
  <c r="I1554" i="2"/>
  <c r="H1554" i="2"/>
  <c r="G1554" i="2"/>
  <c r="F1554" i="2"/>
  <c r="C1554" i="2"/>
  <c r="B1554" i="2"/>
  <c r="A1554" i="2"/>
  <c r="O1553" i="2"/>
  <c r="N1553" i="2"/>
  <c r="M1553" i="2"/>
  <c r="L1553" i="2"/>
  <c r="K1553" i="2"/>
  <c r="J1553" i="2"/>
  <c r="I1553" i="2"/>
  <c r="H1553" i="2"/>
  <c r="G1553" i="2"/>
  <c r="F1553" i="2"/>
  <c r="C1553" i="2"/>
  <c r="B1553" i="2"/>
  <c r="A1553" i="2"/>
  <c r="O1552" i="2"/>
  <c r="N1552" i="2"/>
  <c r="M1552" i="2"/>
  <c r="L1552" i="2"/>
  <c r="K1552" i="2"/>
  <c r="J1552" i="2"/>
  <c r="I1552" i="2"/>
  <c r="H1552" i="2"/>
  <c r="G1552" i="2"/>
  <c r="F1552" i="2"/>
  <c r="C1552" i="2"/>
  <c r="B1552" i="2"/>
  <c r="A1552" i="2"/>
  <c r="O1551" i="2"/>
  <c r="N1551" i="2"/>
  <c r="M1551" i="2"/>
  <c r="L1551" i="2"/>
  <c r="K1551" i="2"/>
  <c r="J1551" i="2"/>
  <c r="I1551" i="2"/>
  <c r="H1551" i="2"/>
  <c r="G1551" i="2"/>
  <c r="F1551" i="2"/>
  <c r="C1551" i="2"/>
  <c r="B1551" i="2"/>
  <c r="A1551" i="2"/>
  <c r="O1550" i="2"/>
  <c r="N1550" i="2"/>
  <c r="M1550" i="2"/>
  <c r="L1550" i="2"/>
  <c r="K1550" i="2"/>
  <c r="J1550" i="2"/>
  <c r="I1550" i="2"/>
  <c r="H1550" i="2"/>
  <c r="G1550" i="2"/>
  <c r="F1550" i="2"/>
  <c r="C1550" i="2"/>
  <c r="B1550" i="2"/>
  <c r="A1550" i="2"/>
  <c r="O1549" i="2"/>
  <c r="N1549" i="2"/>
  <c r="M1549" i="2"/>
  <c r="L1549" i="2"/>
  <c r="K1549" i="2"/>
  <c r="J1549" i="2"/>
  <c r="I1549" i="2"/>
  <c r="H1549" i="2"/>
  <c r="G1549" i="2"/>
  <c r="F1549" i="2"/>
  <c r="C1549" i="2"/>
  <c r="B1549" i="2"/>
  <c r="A1549" i="2"/>
  <c r="O1548" i="2"/>
  <c r="N1548" i="2"/>
  <c r="M1548" i="2"/>
  <c r="L1548" i="2"/>
  <c r="K1548" i="2"/>
  <c r="J1548" i="2"/>
  <c r="I1548" i="2"/>
  <c r="H1548" i="2"/>
  <c r="G1548" i="2"/>
  <c r="F1548" i="2"/>
  <c r="C1548" i="2"/>
  <c r="B1548" i="2"/>
  <c r="A1548" i="2"/>
  <c r="O1547" i="2"/>
  <c r="N1547" i="2"/>
  <c r="M1547" i="2"/>
  <c r="L1547" i="2"/>
  <c r="K1547" i="2"/>
  <c r="J1547" i="2"/>
  <c r="I1547" i="2"/>
  <c r="H1547" i="2"/>
  <c r="G1547" i="2"/>
  <c r="F1547" i="2"/>
  <c r="C1547" i="2"/>
  <c r="B1547" i="2"/>
  <c r="A1547" i="2"/>
  <c r="O1546" i="2"/>
  <c r="N1546" i="2"/>
  <c r="M1546" i="2"/>
  <c r="L1546" i="2"/>
  <c r="K1546" i="2"/>
  <c r="J1546" i="2"/>
  <c r="I1546" i="2"/>
  <c r="H1546" i="2"/>
  <c r="G1546" i="2"/>
  <c r="F1546" i="2"/>
  <c r="C1546" i="2"/>
  <c r="B1546" i="2"/>
  <c r="A1546" i="2"/>
  <c r="O1545" i="2"/>
  <c r="N1545" i="2"/>
  <c r="M1545" i="2"/>
  <c r="L1545" i="2"/>
  <c r="K1545" i="2"/>
  <c r="J1545" i="2"/>
  <c r="I1545" i="2"/>
  <c r="H1545" i="2"/>
  <c r="G1545" i="2"/>
  <c r="F1545" i="2"/>
  <c r="C1545" i="2"/>
  <c r="B1545" i="2"/>
  <c r="A1545" i="2"/>
  <c r="O1544" i="2"/>
  <c r="N1544" i="2"/>
  <c r="M1544" i="2"/>
  <c r="L1544" i="2"/>
  <c r="K1544" i="2"/>
  <c r="J1544" i="2"/>
  <c r="I1544" i="2"/>
  <c r="H1544" i="2"/>
  <c r="G1544" i="2"/>
  <c r="F1544" i="2"/>
  <c r="C1544" i="2"/>
  <c r="B1544" i="2"/>
  <c r="A1544" i="2"/>
  <c r="O1543" i="2"/>
  <c r="N1543" i="2"/>
  <c r="M1543" i="2"/>
  <c r="L1543" i="2"/>
  <c r="K1543" i="2"/>
  <c r="J1543" i="2"/>
  <c r="I1543" i="2"/>
  <c r="H1543" i="2"/>
  <c r="G1543" i="2"/>
  <c r="F1543" i="2"/>
  <c r="C1543" i="2"/>
  <c r="B1543" i="2"/>
  <c r="A1543" i="2"/>
  <c r="O1542" i="2"/>
  <c r="N1542" i="2"/>
  <c r="M1542" i="2"/>
  <c r="L1542" i="2"/>
  <c r="K1542" i="2"/>
  <c r="J1542" i="2"/>
  <c r="I1542" i="2"/>
  <c r="H1542" i="2"/>
  <c r="G1542" i="2"/>
  <c r="F1542" i="2"/>
  <c r="C1542" i="2"/>
  <c r="B1542" i="2"/>
  <c r="A1542" i="2"/>
  <c r="O1541" i="2"/>
  <c r="N1541" i="2"/>
  <c r="M1541" i="2"/>
  <c r="L1541" i="2"/>
  <c r="K1541" i="2"/>
  <c r="J1541" i="2"/>
  <c r="I1541" i="2"/>
  <c r="H1541" i="2"/>
  <c r="G1541" i="2"/>
  <c r="F1541" i="2"/>
  <c r="C1541" i="2"/>
  <c r="B1541" i="2"/>
  <c r="A1541" i="2"/>
  <c r="O1540" i="2"/>
  <c r="N1540" i="2"/>
  <c r="M1540" i="2"/>
  <c r="L1540" i="2"/>
  <c r="K1540" i="2"/>
  <c r="J1540" i="2"/>
  <c r="I1540" i="2"/>
  <c r="H1540" i="2"/>
  <c r="G1540" i="2"/>
  <c r="F1540" i="2"/>
  <c r="C1540" i="2"/>
  <c r="B1540" i="2"/>
  <c r="A1540" i="2"/>
  <c r="O1539" i="2"/>
  <c r="N1539" i="2"/>
  <c r="M1539" i="2"/>
  <c r="L1539" i="2"/>
  <c r="K1539" i="2"/>
  <c r="J1539" i="2"/>
  <c r="I1539" i="2"/>
  <c r="H1539" i="2"/>
  <c r="G1539" i="2"/>
  <c r="F1539" i="2"/>
  <c r="C1539" i="2"/>
  <c r="B1539" i="2"/>
  <c r="A1539" i="2"/>
  <c r="O1538" i="2"/>
  <c r="N1538" i="2"/>
  <c r="M1538" i="2"/>
  <c r="L1538" i="2"/>
  <c r="K1538" i="2"/>
  <c r="J1538" i="2"/>
  <c r="I1538" i="2"/>
  <c r="H1538" i="2"/>
  <c r="G1538" i="2"/>
  <c r="F1538" i="2"/>
  <c r="C1538" i="2"/>
  <c r="B1538" i="2"/>
  <c r="A1538" i="2"/>
  <c r="O1537" i="2"/>
  <c r="N1537" i="2"/>
  <c r="M1537" i="2"/>
  <c r="L1537" i="2"/>
  <c r="K1537" i="2"/>
  <c r="J1537" i="2"/>
  <c r="I1537" i="2"/>
  <c r="H1537" i="2"/>
  <c r="G1537" i="2"/>
  <c r="F1537" i="2"/>
  <c r="C1537" i="2"/>
  <c r="B1537" i="2"/>
  <c r="A1537" i="2"/>
  <c r="O1536" i="2"/>
  <c r="N1536" i="2"/>
  <c r="M1536" i="2"/>
  <c r="L1536" i="2"/>
  <c r="K1536" i="2"/>
  <c r="J1536" i="2"/>
  <c r="I1536" i="2"/>
  <c r="H1536" i="2"/>
  <c r="G1536" i="2"/>
  <c r="F1536" i="2"/>
  <c r="C1536" i="2"/>
  <c r="B1536" i="2"/>
  <c r="A1536" i="2"/>
  <c r="O1535" i="2"/>
  <c r="N1535" i="2"/>
  <c r="M1535" i="2"/>
  <c r="L1535" i="2"/>
  <c r="K1535" i="2"/>
  <c r="J1535" i="2"/>
  <c r="I1535" i="2"/>
  <c r="H1535" i="2"/>
  <c r="G1535" i="2"/>
  <c r="F1535" i="2"/>
  <c r="C1535" i="2"/>
  <c r="B1535" i="2"/>
  <c r="A1535" i="2"/>
  <c r="O1534" i="2"/>
  <c r="N1534" i="2"/>
  <c r="M1534" i="2"/>
  <c r="L1534" i="2"/>
  <c r="K1534" i="2"/>
  <c r="J1534" i="2"/>
  <c r="I1534" i="2"/>
  <c r="H1534" i="2"/>
  <c r="G1534" i="2"/>
  <c r="F1534" i="2"/>
  <c r="C1534" i="2"/>
  <c r="B1534" i="2"/>
  <c r="A1534" i="2"/>
  <c r="O1533" i="2"/>
  <c r="N1533" i="2"/>
  <c r="M1533" i="2"/>
  <c r="L1533" i="2"/>
  <c r="K1533" i="2"/>
  <c r="J1533" i="2"/>
  <c r="I1533" i="2"/>
  <c r="H1533" i="2"/>
  <c r="G1533" i="2"/>
  <c r="F1533" i="2"/>
  <c r="C1533" i="2"/>
  <c r="B1533" i="2"/>
  <c r="A1533" i="2"/>
  <c r="O1532" i="2"/>
  <c r="N1532" i="2"/>
  <c r="M1532" i="2"/>
  <c r="L1532" i="2"/>
  <c r="K1532" i="2"/>
  <c r="J1532" i="2"/>
  <c r="I1532" i="2"/>
  <c r="H1532" i="2"/>
  <c r="G1532" i="2"/>
  <c r="F1532" i="2"/>
  <c r="C1532" i="2"/>
  <c r="B1532" i="2"/>
  <c r="A1532" i="2"/>
  <c r="O1531" i="2"/>
  <c r="N1531" i="2"/>
  <c r="M1531" i="2"/>
  <c r="L1531" i="2"/>
  <c r="K1531" i="2"/>
  <c r="J1531" i="2"/>
  <c r="I1531" i="2"/>
  <c r="H1531" i="2"/>
  <c r="G1531" i="2"/>
  <c r="F1531" i="2"/>
  <c r="C1531" i="2"/>
  <c r="B1531" i="2"/>
  <c r="A1531" i="2"/>
  <c r="O1530" i="2"/>
  <c r="N1530" i="2"/>
  <c r="M1530" i="2"/>
  <c r="L1530" i="2"/>
  <c r="K1530" i="2"/>
  <c r="J1530" i="2"/>
  <c r="I1530" i="2"/>
  <c r="H1530" i="2"/>
  <c r="G1530" i="2"/>
  <c r="F1530" i="2"/>
  <c r="C1530" i="2"/>
  <c r="B1530" i="2"/>
  <c r="A1530" i="2"/>
  <c r="O1529" i="2"/>
  <c r="N1529" i="2"/>
  <c r="M1529" i="2"/>
  <c r="L1529" i="2"/>
  <c r="K1529" i="2"/>
  <c r="J1529" i="2"/>
  <c r="I1529" i="2"/>
  <c r="H1529" i="2"/>
  <c r="G1529" i="2"/>
  <c r="F1529" i="2"/>
  <c r="C1529" i="2"/>
  <c r="B1529" i="2"/>
  <c r="A1529" i="2"/>
  <c r="O1528" i="2"/>
  <c r="N1528" i="2"/>
  <c r="M1528" i="2"/>
  <c r="L1528" i="2"/>
  <c r="K1528" i="2"/>
  <c r="J1528" i="2"/>
  <c r="I1528" i="2"/>
  <c r="H1528" i="2"/>
  <c r="G1528" i="2"/>
  <c r="F1528" i="2"/>
  <c r="C1528" i="2"/>
  <c r="B1528" i="2"/>
  <c r="A1528" i="2"/>
  <c r="O1527" i="2"/>
  <c r="N1527" i="2"/>
  <c r="M1527" i="2"/>
  <c r="L1527" i="2"/>
  <c r="K1527" i="2"/>
  <c r="J1527" i="2"/>
  <c r="I1527" i="2"/>
  <c r="H1527" i="2"/>
  <c r="G1527" i="2"/>
  <c r="F1527" i="2"/>
  <c r="C1527" i="2"/>
  <c r="B1527" i="2"/>
  <c r="A1527" i="2"/>
  <c r="O1526" i="2"/>
  <c r="N1526" i="2"/>
  <c r="M1526" i="2"/>
  <c r="L1526" i="2"/>
  <c r="K1526" i="2"/>
  <c r="J1526" i="2"/>
  <c r="I1526" i="2"/>
  <c r="H1526" i="2"/>
  <c r="G1526" i="2"/>
  <c r="F1526" i="2"/>
  <c r="C1526" i="2"/>
  <c r="B1526" i="2"/>
  <c r="A1526" i="2"/>
  <c r="O1525" i="2"/>
  <c r="N1525" i="2"/>
  <c r="M1525" i="2"/>
  <c r="L1525" i="2"/>
  <c r="K1525" i="2"/>
  <c r="J1525" i="2"/>
  <c r="I1525" i="2"/>
  <c r="H1525" i="2"/>
  <c r="G1525" i="2"/>
  <c r="F1525" i="2"/>
  <c r="C1525" i="2"/>
  <c r="B1525" i="2"/>
  <c r="A1525" i="2"/>
  <c r="O1524" i="2"/>
  <c r="N1524" i="2"/>
  <c r="M1524" i="2"/>
  <c r="L1524" i="2"/>
  <c r="K1524" i="2"/>
  <c r="J1524" i="2"/>
  <c r="I1524" i="2"/>
  <c r="H1524" i="2"/>
  <c r="G1524" i="2"/>
  <c r="F1524" i="2"/>
  <c r="C1524" i="2"/>
  <c r="B1524" i="2"/>
  <c r="A1524" i="2"/>
  <c r="O1523" i="2"/>
  <c r="N1523" i="2"/>
  <c r="M1523" i="2"/>
  <c r="L1523" i="2"/>
  <c r="K1523" i="2"/>
  <c r="J1523" i="2"/>
  <c r="I1523" i="2"/>
  <c r="H1523" i="2"/>
  <c r="G1523" i="2"/>
  <c r="F1523" i="2"/>
  <c r="C1523" i="2"/>
  <c r="B1523" i="2"/>
  <c r="A1523" i="2"/>
  <c r="O1522" i="2"/>
  <c r="N1522" i="2"/>
  <c r="M1522" i="2"/>
  <c r="L1522" i="2"/>
  <c r="K1522" i="2"/>
  <c r="J1522" i="2"/>
  <c r="I1522" i="2"/>
  <c r="H1522" i="2"/>
  <c r="G1522" i="2"/>
  <c r="F1522" i="2"/>
  <c r="C1522" i="2"/>
  <c r="B1522" i="2"/>
  <c r="A1522" i="2"/>
  <c r="O1521" i="2"/>
  <c r="N1521" i="2"/>
  <c r="M1521" i="2"/>
  <c r="L1521" i="2"/>
  <c r="K1521" i="2"/>
  <c r="J1521" i="2"/>
  <c r="I1521" i="2"/>
  <c r="H1521" i="2"/>
  <c r="G1521" i="2"/>
  <c r="F1521" i="2"/>
  <c r="C1521" i="2"/>
  <c r="B1521" i="2"/>
  <c r="A1521" i="2"/>
  <c r="O1520" i="2"/>
  <c r="N1520" i="2"/>
  <c r="M1520" i="2"/>
  <c r="L1520" i="2"/>
  <c r="K1520" i="2"/>
  <c r="J1520" i="2"/>
  <c r="I1520" i="2"/>
  <c r="H1520" i="2"/>
  <c r="G1520" i="2"/>
  <c r="F1520" i="2"/>
  <c r="C1520" i="2"/>
  <c r="B1520" i="2"/>
  <c r="A1520" i="2"/>
  <c r="O1519" i="2"/>
  <c r="N1519" i="2"/>
  <c r="M1519" i="2"/>
  <c r="L1519" i="2"/>
  <c r="K1519" i="2"/>
  <c r="J1519" i="2"/>
  <c r="I1519" i="2"/>
  <c r="H1519" i="2"/>
  <c r="G1519" i="2"/>
  <c r="F1519" i="2"/>
  <c r="C1519" i="2"/>
  <c r="B1519" i="2"/>
  <c r="A1519" i="2"/>
  <c r="O1518" i="2"/>
  <c r="N1518" i="2"/>
  <c r="M1518" i="2"/>
  <c r="L1518" i="2"/>
  <c r="K1518" i="2"/>
  <c r="J1518" i="2"/>
  <c r="I1518" i="2"/>
  <c r="H1518" i="2"/>
  <c r="G1518" i="2"/>
  <c r="F1518" i="2"/>
  <c r="C1518" i="2"/>
  <c r="B1518" i="2"/>
  <c r="A1518" i="2"/>
  <c r="O1517" i="2"/>
  <c r="N1517" i="2"/>
  <c r="M1517" i="2"/>
  <c r="L1517" i="2"/>
  <c r="K1517" i="2"/>
  <c r="J1517" i="2"/>
  <c r="I1517" i="2"/>
  <c r="H1517" i="2"/>
  <c r="G1517" i="2"/>
  <c r="F1517" i="2"/>
  <c r="C1517" i="2"/>
  <c r="B1517" i="2"/>
  <c r="A1517" i="2"/>
  <c r="O1516" i="2"/>
  <c r="N1516" i="2"/>
  <c r="M1516" i="2"/>
  <c r="L1516" i="2"/>
  <c r="K1516" i="2"/>
  <c r="J1516" i="2"/>
  <c r="I1516" i="2"/>
  <c r="H1516" i="2"/>
  <c r="G1516" i="2"/>
  <c r="F1516" i="2"/>
  <c r="C1516" i="2"/>
  <c r="B1516" i="2"/>
  <c r="A1516" i="2"/>
  <c r="O1515" i="2"/>
  <c r="N1515" i="2"/>
  <c r="M1515" i="2"/>
  <c r="L1515" i="2"/>
  <c r="K1515" i="2"/>
  <c r="J1515" i="2"/>
  <c r="I1515" i="2"/>
  <c r="H1515" i="2"/>
  <c r="G1515" i="2"/>
  <c r="F1515" i="2"/>
  <c r="C1515" i="2"/>
  <c r="B1515" i="2"/>
  <c r="A1515" i="2"/>
  <c r="O1514" i="2"/>
  <c r="N1514" i="2"/>
  <c r="M1514" i="2"/>
  <c r="L1514" i="2"/>
  <c r="K1514" i="2"/>
  <c r="J1514" i="2"/>
  <c r="I1514" i="2"/>
  <c r="H1514" i="2"/>
  <c r="G1514" i="2"/>
  <c r="F1514" i="2"/>
  <c r="C1514" i="2"/>
  <c r="B1514" i="2"/>
  <c r="A1514" i="2"/>
  <c r="O1513" i="2"/>
  <c r="N1513" i="2"/>
  <c r="M1513" i="2"/>
  <c r="L1513" i="2"/>
  <c r="K1513" i="2"/>
  <c r="J1513" i="2"/>
  <c r="I1513" i="2"/>
  <c r="H1513" i="2"/>
  <c r="G1513" i="2"/>
  <c r="F1513" i="2"/>
  <c r="C1513" i="2"/>
  <c r="B1513" i="2"/>
  <c r="A1513" i="2"/>
  <c r="O1512" i="2"/>
  <c r="N1512" i="2"/>
  <c r="M1512" i="2"/>
  <c r="L1512" i="2"/>
  <c r="K1512" i="2"/>
  <c r="J1512" i="2"/>
  <c r="I1512" i="2"/>
  <c r="H1512" i="2"/>
  <c r="G1512" i="2"/>
  <c r="F1512" i="2"/>
  <c r="C1512" i="2"/>
  <c r="B1512" i="2"/>
  <c r="A1512" i="2"/>
  <c r="O1511" i="2"/>
  <c r="N1511" i="2"/>
  <c r="M1511" i="2"/>
  <c r="L1511" i="2"/>
  <c r="K1511" i="2"/>
  <c r="J1511" i="2"/>
  <c r="I1511" i="2"/>
  <c r="H1511" i="2"/>
  <c r="G1511" i="2"/>
  <c r="F1511" i="2"/>
  <c r="C1511" i="2"/>
  <c r="B1511" i="2"/>
  <c r="A1511" i="2"/>
  <c r="O1510" i="2"/>
  <c r="N1510" i="2"/>
  <c r="M1510" i="2"/>
  <c r="L1510" i="2"/>
  <c r="K1510" i="2"/>
  <c r="J1510" i="2"/>
  <c r="I1510" i="2"/>
  <c r="H1510" i="2"/>
  <c r="G1510" i="2"/>
  <c r="F1510" i="2"/>
  <c r="C1510" i="2"/>
  <c r="B1510" i="2"/>
  <c r="A1510" i="2"/>
  <c r="O1509" i="2"/>
  <c r="N1509" i="2"/>
  <c r="M1509" i="2"/>
  <c r="L1509" i="2"/>
  <c r="K1509" i="2"/>
  <c r="J1509" i="2"/>
  <c r="I1509" i="2"/>
  <c r="H1509" i="2"/>
  <c r="G1509" i="2"/>
  <c r="F1509" i="2"/>
  <c r="C1509" i="2"/>
  <c r="B1509" i="2"/>
  <c r="A1509" i="2"/>
  <c r="O1508" i="2"/>
  <c r="N1508" i="2"/>
  <c r="M1508" i="2"/>
  <c r="L1508" i="2"/>
  <c r="K1508" i="2"/>
  <c r="J1508" i="2"/>
  <c r="I1508" i="2"/>
  <c r="H1508" i="2"/>
  <c r="G1508" i="2"/>
  <c r="F1508" i="2"/>
  <c r="C1508" i="2"/>
  <c r="B1508" i="2"/>
  <c r="A1508" i="2"/>
  <c r="O1507" i="2"/>
  <c r="N1507" i="2"/>
  <c r="M1507" i="2"/>
  <c r="L1507" i="2"/>
  <c r="K1507" i="2"/>
  <c r="J1507" i="2"/>
  <c r="I1507" i="2"/>
  <c r="H1507" i="2"/>
  <c r="G1507" i="2"/>
  <c r="F1507" i="2"/>
  <c r="C1507" i="2"/>
  <c r="B1507" i="2"/>
  <c r="A1507" i="2"/>
  <c r="O1506" i="2"/>
  <c r="N1506" i="2"/>
  <c r="M1506" i="2"/>
  <c r="L1506" i="2"/>
  <c r="K1506" i="2"/>
  <c r="J1506" i="2"/>
  <c r="I1506" i="2"/>
  <c r="H1506" i="2"/>
  <c r="G1506" i="2"/>
  <c r="F1506" i="2"/>
  <c r="C1506" i="2"/>
  <c r="B1506" i="2"/>
  <c r="A1506" i="2"/>
  <c r="O1505" i="2"/>
  <c r="N1505" i="2"/>
  <c r="M1505" i="2"/>
  <c r="L1505" i="2"/>
  <c r="K1505" i="2"/>
  <c r="J1505" i="2"/>
  <c r="I1505" i="2"/>
  <c r="H1505" i="2"/>
  <c r="G1505" i="2"/>
  <c r="F1505" i="2"/>
  <c r="C1505" i="2"/>
  <c r="B1505" i="2"/>
  <c r="A1505" i="2"/>
  <c r="O1504" i="2"/>
  <c r="N1504" i="2"/>
  <c r="M1504" i="2"/>
  <c r="L1504" i="2"/>
  <c r="K1504" i="2"/>
  <c r="J1504" i="2"/>
  <c r="I1504" i="2"/>
  <c r="H1504" i="2"/>
  <c r="G1504" i="2"/>
  <c r="F1504" i="2"/>
  <c r="C1504" i="2"/>
  <c r="B1504" i="2"/>
  <c r="A1504" i="2"/>
  <c r="O1503" i="2"/>
  <c r="N1503" i="2"/>
  <c r="M1503" i="2"/>
  <c r="L1503" i="2"/>
  <c r="K1503" i="2"/>
  <c r="J1503" i="2"/>
  <c r="I1503" i="2"/>
  <c r="H1503" i="2"/>
  <c r="G1503" i="2"/>
  <c r="F1503" i="2"/>
  <c r="C1503" i="2"/>
  <c r="B1503" i="2"/>
  <c r="A1503" i="2"/>
  <c r="O1502" i="2"/>
  <c r="N1502" i="2"/>
  <c r="M1502" i="2"/>
  <c r="L1502" i="2"/>
  <c r="K1502" i="2"/>
  <c r="J1502" i="2"/>
  <c r="I1502" i="2"/>
  <c r="H1502" i="2"/>
  <c r="G1502" i="2"/>
  <c r="F1502" i="2"/>
  <c r="C1502" i="2"/>
  <c r="B1502" i="2"/>
  <c r="A1502" i="2"/>
  <c r="O1501" i="2"/>
  <c r="N1501" i="2"/>
  <c r="M1501" i="2"/>
  <c r="L1501" i="2"/>
  <c r="K1501" i="2"/>
  <c r="J1501" i="2"/>
  <c r="I1501" i="2"/>
  <c r="H1501" i="2"/>
  <c r="G1501" i="2"/>
  <c r="F1501" i="2"/>
  <c r="C1501" i="2"/>
  <c r="B1501" i="2"/>
  <c r="A1501" i="2"/>
  <c r="O1500" i="2"/>
  <c r="N1500" i="2"/>
  <c r="M1500" i="2"/>
  <c r="L1500" i="2"/>
  <c r="K1500" i="2"/>
  <c r="J1500" i="2"/>
  <c r="I1500" i="2"/>
  <c r="H1500" i="2"/>
  <c r="G1500" i="2"/>
  <c r="F1500" i="2"/>
  <c r="C1500" i="2"/>
  <c r="B1500" i="2"/>
  <c r="A1500" i="2"/>
  <c r="O1499" i="2"/>
  <c r="N1499" i="2"/>
  <c r="M1499" i="2"/>
  <c r="L1499" i="2"/>
  <c r="K1499" i="2"/>
  <c r="J1499" i="2"/>
  <c r="I1499" i="2"/>
  <c r="H1499" i="2"/>
  <c r="G1499" i="2"/>
  <c r="F1499" i="2"/>
  <c r="C1499" i="2"/>
  <c r="B1499" i="2"/>
  <c r="A1499" i="2"/>
  <c r="O1498" i="2"/>
  <c r="N1498" i="2"/>
  <c r="M1498" i="2"/>
  <c r="L1498" i="2"/>
  <c r="K1498" i="2"/>
  <c r="J1498" i="2"/>
  <c r="I1498" i="2"/>
  <c r="H1498" i="2"/>
  <c r="G1498" i="2"/>
  <c r="F1498" i="2"/>
  <c r="C1498" i="2"/>
  <c r="B1498" i="2"/>
  <c r="A1498" i="2"/>
  <c r="O1497" i="2"/>
  <c r="N1497" i="2"/>
  <c r="M1497" i="2"/>
  <c r="L1497" i="2"/>
  <c r="K1497" i="2"/>
  <c r="J1497" i="2"/>
  <c r="I1497" i="2"/>
  <c r="H1497" i="2"/>
  <c r="G1497" i="2"/>
  <c r="F1497" i="2"/>
  <c r="C1497" i="2"/>
  <c r="B1497" i="2"/>
  <c r="A1497" i="2"/>
  <c r="O1496" i="2"/>
  <c r="N1496" i="2"/>
  <c r="M1496" i="2"/>
  <c r="L1496" i="2"/>
  <c r="K1496" i="2"/>
  <c r="J1496" i="2"/>
  <c r="I1496" i="2"/>
  <c r="H1496" i="2"/>
  <c r="G1496" i="2"/>
  <c r="F1496" i="2"/>
  <c r="C1496" i="2"/>
  <c r="B1496" i="2"/>
  <c r="A1496" i="2"/>
  <c r="O1495" i="2"/>
  <c r="N1495" i="2"/>
  <c r="M1495" i="2"/>
  <c r="L1495" i="2"/>
  <c r="K1495" i="2"/>
  <c r="J1495" i="2"/>
  <c r="I1495" i="2"/>
  <c r="H1495" i="2"/>
  <c r="G1495" i="2"/>
  <c r="F1495" i="2"/>
  <c r="C1495" i="2"/>
  <c r="B1495" i="2"/>
  <c r="A1495" i="2"/>
  <c r="O1494" i="2"/>
  <c r="N1494" i="2"/>
  <c r="M1494" i="2"/>
  <c r="L1494" i="2"/>
  <c r="K1494" i="2"/>
  <c r="J1494" i="2"/>
  <c r="I1494" i="2"/>
  <c r="H1494" i="2"/>
  <c r="G1494" i="2"/>
  <c r="F1494" i="2"/>
  <c r="C1494" i="2"/>
  <c r="B1494" i="2"/>
  <c r="A1494" i="2"/>
  <c r="O1493" i="2"/>
  <c r="N1493" i="2"/>
  <c r="M1493" i="2"/>
  <c r="L1493" i="2"/>
  <c r="K1493" i="2"/>
  <c r="J1493" i="2"/>
  <c r="I1493" i="2"/>
  <c r="H1493" i="2"/>
  <c r="G1493" i="2"/>
  <c r="F1493" i="2"/>
  <c r="C1493" i="2"/>
  <c r="B1493" i="2"/>
  <c r="A1493" i="2"/>
  <c r="O1492" i="2"/>
  <c r="N1492" i="2"/>
  <c r="M1492" i="2"/>
  <c r="L1492" i="2"/>
  <c r="K1492" i="2"/>
  <c r="J1492" i="2"/>
  <c r="I1492" i="2"/>
  <c r="H1492" i="2"/>
  <c r="G1492" i="2"/>
  <c r="F1492" i="2"/>
  <c r="C1492" i="2"/>
  <c r="B1492" i="2"/>
  <c r="A1492" i="2"/>
  <c r="O1491" i="2"/>
  <c r="N1491" i="2"/>
  <c r="M1491" i="2"/>
  <c r="L1491" i="2"/>
  <c r="K1491" i="2"/>
  <c r="J1491" i="2"/>
  <c r="I1491" i="2"/>
  <c r="H1491" i="2"/>
  <c r="G1491" i="2"/>
  <c r="F1491" i="2"/>
  <c r="C1491" i="2"/>
  <c r="B1491" i="2"/>
  <c r="A1491" i="2"/>
  <c r="O1490" i="2"/>
  <c r="N1490" i="2"/>
  <c r="M1490" i="2"/>
  <c r="L1490" i="2"/>
  <c r="K1490" i="2"/>
  <c r="J1490" i="2"/>
  <c r="I1490" i="2"/>
  <c r="H1490" i="2"/>
  <c r="G1490" i="2"/>
  <c r="F1490" i="2"/>
  <c r="C1490" i="2"/>
  <c r="B1490" i="2"/>
  <c r="A1490" i="2"/>
  <c r="O1489" i="2"/>
  <c r="N1489" i="2"/>
  <c r="M1489" i="2"/>
  <c r="L1489" i="2"/>
  <c r="K1489" i="2"/>
  <c r="J1489" i="2"/>
  <c r="I1489" i="2"/>
  <c r="H1489" i="2"/>
  <c r="G1489" i="2"/>
  <c r="F1489" i="2"/>
  <c r="C1489" i="2"/>
  <c r="B1489" i="2"/>
  <c r="A1489" i="2"/>
  <c r="O1488" i="2"/>
  <c r="N1488" i="2"/>
  <c r="M1488" i="2"/>
  <c r="L1488" i="2"/>
  <c r="K1488" i="2"/>
  <c r="J1488" i="2"/>
  <c r="I1488" i="2"/>
  <c r="H1488" i="2"/>
  <c r="G1488" i="2"/>
  <c r="F1488" i="2"/>
  <c r="C1488" i="2"/>
  <c r="B1488" i="2"/>
  <c r="A1488" i="2"/>
  <c r="O1487" i="2"/>
  <c r="N1487" i="2"/>
  <c r="M1487" i="2"/>
  <c r="L1487" i="2"/>
  <c r="K1487" i="2"/>
  <c r="J1487" i="2"/>
  <c r="I1487" i="2"/>
  <c r="H1487" i="2"/>
  <c r="G1487" i="2"/>
  <c r="F1487" i="2"/>
  <c r="C1487" i="2"/>
  <c r="B1487" i="2"/>
  <c r="A1487" i="2"/>
  <c r="O1486" i="2"/>
  <c r="N1486" i="2"/>
  <c r="M1486" i="2"/>
  <c r="L1486" i="2"/>
  <c r="K1486" i="2"/>
  <c r="J1486" i="2"/>
  <c r="I1486" i="2"/>
  <c r="H1486" i="2"/>
  <c r="G1486" i="2"/>
  <c r="F1486" i="2"/>
  <c r="C1486" i="2"/>
  <c r="B1486" i="2"/>
  <c r="A1486" i="2"/>
  <c r="O1485" i="2"/>
  <c r="N1485" i="2"/>
  <c r="M1485" i="2"/>
  <c r="L1485" i="2"/>
  <c r="K1485" i="2"/>
  <c r="J1485" i="2"/>
  <c r="I1485" i="2"/>
  <c r="H1485" i="2"/>
  <c r="G1485" i="2"/>
  <c r="F1485" i="2"/>
  <c r="C1485" i="2"/>
  <c r="B1485" i="2"/>
  <c r="A1485" i="2"/>
  <c r="O1484" i="2"/>
  <c r="N1484" i="2"/>
  <c r="M1484" i="2"/>
  <c r="L1484" i="2"/>
  <c r="K1484" i="2"/>
  <c r="J1484" i="2"/>
  <c r="I1484" i="2"/>
  <c r="H1484" i="2"/>
  <c r="G1484" i="2"/>
  <c r="F1484" i="2"/>
  <c r="C1484" i="2"/>
  <c r="B1484" i="2"/>
  <c r="A1484" i="2"/>
  <c r="O1483" i="2"/>
  <c r="N1483" i="2"/>
  <c r="M1483" i="2"/>
  <c r="L1483" i="2"/>
  <c r="K1483" i="2"/>
  <c r="J1483" i="2"/>
  <c r="I1483" i="2"/>
  <c r="H1483" i="2"/>
  <c r="G1483" i="2"/>
  <c r="F1483" i="2"/>
  <c r="C1483" i="2"/>
  <c r="B1483" i="2"/>
  <c r="A1483" i="2"/>
  <c r="O1482" i="2"/>
  <c r="N1482" i="2"/>
  <c r="M1482" i="2"/>
  <c r="L1482" i="2"/>
  <c r="K1482" i="2"/>
  <c r="J1482" i="2"/>
  <c r="I1482" i="2"/>
  <c r="H1482" i="2"/>
  <c r="G1482" i="2"/>
  <c r="F1482" i="2"/>
  <c r="C1482" i="2"/>
  <c r="B1482" i="2"/>
  <c r="A1482" i="2"/>
  <c r="O1481" i="2"/>
  <c r="N1481" i="2"/>
  <c r="M1481" i="2"/>
  <c r="L1481" i="2"/>
  <c r="K1481" i="2"/>
  <c r="J1481" i="2"/>
  <c r="I1481" i="2"/>
  <c r="H1481" i="2"/>
  <c r="G1481" i="2"/>
  <c r="F1481" i="2"/>
  <c r="C1481" i="2"/>
  <c r="B1481" i="2"/>
  <c r="A1481" i="2"/>
  <c r="O1480" i="2"/>
  <c r="N1480" i="2"/>
  <c r="M1480" i="2"/>
  <c r="L1480" i="2"/>
  <c r="K1480" i="2"/>
  <c r="J1480" i="2"/>
  <c r="I1480" i="2"/>
  <c r="H1480" i="2"/>
  <c r="G1480" i="2"/>
  <c r="F1480" i="2"/>
  <c r="C1480" i="2"/>
  <c r="B1480" i="2"/>
  <c r="A1480" i="2"/>
  <c r="O1479" i="2"/>
  <c r="N1479" i="2"/>
  <c r="M1479" i="2"/>
  <c r="L1479" i="2"/>
  <c r="K1479" i="2"/>
  <c r="J1479" i="2"/>
  <c r="I1479" i="2"/>
  <c r="H1479" i="2"/>
  <c r="G1479" i="2"/>
  <c r="F1479" i="2"/>
  <c r="C1479" i="2"/>
  <c r="B1479" i="2"/>
  <c r="A1479" i="2"/>
  <c r="O1478" i="2"/>
  <c r="N1478" i="2"/>
  <c r="M1478" i="2"/>
  <c r="L1478" i="2"/>
  <c r="K1478" i="2"/>
  <c r="J1478" i="2"/>
  <c r="I1478" i="2"/>
  <c r="H1478" i="2"/>
  <c r="G1478" i="2"/>
  <c r="F1478" i="2"/>
  <c r="C1478" i="2"/>
  <c r="B1478" i="2"/>
  <c r="A1478" i="2"/>
  <c r="O1477" i="2"/>
  <c r="N1477" i="2"/>
  <c r="M1477" i="2"/>
  <c r="L1477" i="2"/>
  <c r="K1477" i="2"/>
  <c r="J1477" i="2"/>
  <c r="I1477" i="2"/>
  <c r="H1477" i="2"/>
  <c r="G1477" i="2"/>
  <c r="F1477" i="2"/>
  <c r="C1477" i="2"/>
  <c r="B1477" i="2"/>
  <c r="A1477" i="2"/>
  <c r="O1476" i="2"/>
  <c r="N1476" i="2"/>
  <c r="M1476" i="2"/>
  <c r="L1476" i="2"/>
  <c r="K1476" i="2"/>
  <c r="J1476" i="2"/>
  <c r="I1476" i="2"/>
  <c r="H1476" i="2"/>
  <c r="G1476" i="2"/>
  <c r="F1476" i="2"/>
  <c r="C1476" i="2"/>
  <c r="B1476" i="2"/>
  <c r="A1476" i="2"/>
  <c r="O1475" i="2"/>
  <c r="N1475" i="2"/>
  <c r="M1475" i="2"/>
  <c r="L1475" i="2"/>
  <c r="K1475" i="2"/>
  <c r="J1475" i="2"/>
  <c r="I1475" i="2"/>
  <c r="H1475" i="2"/>
  <c r="G1475" i="2"/>
  <c r="F1475" i="2"/>
  <c r="C1475" i="2"/>
  <c r="B1475" i="2"/>
  <c r="A1475" i="2"/>
  <c r="O1474" i="2"/>
  <c r="N1474" i="2"/>
  <c r="M1474" i="2"/>
  <c r="L1474" i="2"/>
  <c r="K1474" i="2"/>
  <c r="J1474" i="2"/>
  <c r="I1474" i="2"/>
  <c r="H1474" i="2"/>
  <c r="G1474" i="2"/>
  <c r="F1474" i="2"/>
  <c r="C1474" i="2"/>
  <c r="B1474" i="2"/>
  <c r="A1474" i="2"/>
  <c r="O1473" i="2"/>
  <c r="N1473" i="2"/>
  <c r="M1473" i="2"/>
  <c r="L1473" i="2"/>
  <c r="K1473" i="2"/>
  <c r="J1473" i="2"/>
  <c r="I1473" i="2"/>
  <c r="H1473" i="2"/>
  <c r="G1473" i="2"/>
  <c r="F1473" i="2"/>
  <c r="C1473" i="2"/>
  <c r="B1473" i="2"/>
  <c r="A1473" i="2"/>
  <c r="O1472" i="2"/>
  <c r="N1472" i="2"/>
  <c r="M1472" i="2"/>
  <c r="L1472" i="2"/>
  <c r="K1472" i="2"/>
  <c r="J1472" i="2"/>
  <c r="I1472" i="2"/>
  <c r="H1472" i="2"/>
  <c r="G1472" i="2"/>
  <c r="F1472" i="2"/>
  <c r="C1472" i="2"/>
  <c r="B1472" i="2"/>
  <c r="A1472" i="2"/>
  <c r="O1471" i="2"/>
  <c r="N1471" i="2"/>
  <c r="M1471" i="2"/>
  <c r="L1471" i="2"/>
  <c r="K1471" i="2"/>
  <c r="J1471" i="2"/>
  <c r="I1471" i="2"/>
  <c r="H1471" i="2"/>
  <c r="G1471" i="2"/>
  <c r="F1471" i="2"/>
  <c r="C1471" i="2"/>
  <c r="B1471" i="2"/>
  <c r="A1471" i="2"/>
  <c r="O1470" i="2"/>
  <c r="N1470" i="2"/>
  <c r="M1470" i="2"/>
  <c r="L1470" i="2"/>
  <c r="K1470" i="2"/>
  <c r="J1470" i="2"/>
  <c r="I1470" i="2"/>
  <c r="H1470" i="2"/>
  <c r="G1470" i="2"/>
  <c r="F1470" i="2"/>
  <c r="C1470" i="2"/>
  <c r="B1470" i="2"/>
  <c r="A1470" i="2"/>
  <c r="O1469" i="2"/>
  <c r="N1469" i="2"/>
  <c r="M1469" i="2"/>
  <c r="L1469" i="2"/>
  <c r="K1469" i="2"/>
  <c r="J1469" i="2"/>
  <c r="I1469" i="2"/>
  <c r="H1469" i="2"/>
  <c r="G1469" i="2"/>
  <c r="F1469" i="2"/>
  <c r="C1469" i="2"/>
  <c r="B1469" i="2"/>
  <c r="A1469" i="2"/>
  <c r="O1468" i="2"/>
  <c r="N1468" i="2"/>
  <c r="M1468" i="2"/>
  <c r="L1468" i="2"/>
  <c r="K1468" i="2"/>
  <c r="J1468" i="2"/>
  <c r="I1468" i="2"/>
  <c r="H1468" i="2"/>
  <c r="G1468" i="2"/>
  <c r="F1468" i="2"/>
  <c r="C1468" i="2"/>
  <c r="B1468" i="2"/>
  <c r="A1468" i="2"/>
  <c r="O1467" i="2"/>
  <c r="N1467" i="2"/>
  <c r="M1467" i="2"/>
  <c r="L1467" i="2"/>
  <c r="K1467" i="2"/>
  <c r="J1467" i="2"/>
  <c r="I1467" i="2"/>
  <c r="H1467" i="2"/>
  <c r="G1467" i="2"/>
  <c r="F1467" i="2"/>
  <c r="C1467" i="2"/>
  <c r="B1467" i="2"/>
  <c r="A1467" i="2"/>
  <c r="O1466" i="2"/>
  <c r="N1466" i="2"/>
  <c r="M1466" i="2"/>
  <c r="L1466" i="2"/>
  <c r="K1466" i="2"/>
  <c r="J1466" i="2"/>
  <c r="I1466" i="2"/>
  <c r="H1466" i="2"/>
  <c r="G1466" i="2"/>
  <c r="F1466" i="2"/>
  <c r="C1466" i="2"/>
  <c r="B1466" i="2"/>
  <c r="A1466" i="2"/>
  <c r="O1465" i="2"/>
  <c r="N1465" i="2"/>
  <c r="M1465" i="2"/>
  <c r="L1465" i="2"/>
  <c r="K1465" i="2"/>
  <c r="J1465" i="2"/>
  <c r="I1465" i="2"/>
  <c r="H1465" i="2"/>
  <c r="G1465" i="2"/>
  <c r="F1465" i="2"/>
  <c r="C1465" i="2"/>
  <c r="B1465" i="2"/>
  <c r="A1465" i="2"/>
  <c r="O1464" i="2"/>
  <c r="N1464" i="2"/>
  <c r="M1464" i="2"/>
  <c r="L1464" i="2"/>
  <c r="K1464" i="2"/>
  <c r="J1464" i="2"/>
  <c r="I1464" i="2"/>
  <c r="H1464" i="2"/>
  <c r="G1464" i="2"/>
  <c r="F1464" i="2"/>
  <c r="C1464" i="2"/>
  <c r="B1464" i="2"/>
  <c r="A1464" i="2"/>
  <c r="O1463" i="2"/>
  <c r="N1463" i="2"/>
  <c r="M1463" i="2"/>
  <c r="L1463" i="2"/>
  <c r="K1463" i="2"/>
  <c r="J1463" i="2"/>
  <c r="I1463" i="2"/>
  <c r="H1463" i="2"/>
  <c r="G1463" i="2"/>
  <c r="F1463" i="2"/>
  <c r="C1463" i="2"/>
  <c r="B1463" i="2"/>
  <c r="A1463" i="2"/>
  <c r="O1462" i="2"/>
  <c r="N1462" i="2"/>
  <c r="M1462" i="2"/>
  <c r="L1462" i="2"/>
  <c r="K1462" i="2"/>
  <c r="J1462" i="2"/>
  <c r="I1462" i="2"/>
  <c r="H1462" i="2"/>
  <c r="G1462" i="2"/>
  <c r="F1462" i="2"/>
  <c r="C1462" i="2"/>
  <c r="B1462" i="2"/>
  <c r="A1462" i="2"/>
  <c r="O1461" i="2"/>
  <c r="N1461" i="2"/>
  <c r="M1461" i="2"/>
  <c r="L1461" i="2"/>
  <c r="K1461" i="2"/>
  <c r="J1461" i="2"/>
  <c r="I1461" i="2"/>
  <c r="H1461" i="2"/>
  <c r="G1461" i="2"/>
  <c r="F1461" i="2"/>
  <c r="C1461" i="2"/>
  <c r="B1461" i="2"/>
  <c r="A1461" i="2"/>
  <c r="O1460" i="2"/>
  <c r="N1460" i="2"/>
  <c r="M1460" i="2"/>
  <c r="L1460" i="2"/>
  <c r="K1460" i="2"/>
  <c r="J1460" i="2"/>
  <c r="I1460" i="2"/>
  <c r="H1460" i="2"/>
  <c r="G1460" i="2"/>
  <c r="F1460" i="2"/>
  <c r="C1460" i="2"/>
  <c r="B1460" i="2"/>
  <c r="A1460" i="2"/>
  <c r="O1459" i="2"/>
  <c r="N1459" i="2"/>
  <c r="M1459" i="2"/>
  <c r="L1459" i="2"/>
  <c r="K1459" i="2"/>
  <c r="J1459" i="2"/>
  <c r="I1459" i="2"/>
  <c r="H1459" i="2"/>
  <c r="G1459" i="2"/>
  <c r="F1459" i="2"/>
  <c r="C1459" i="2"/>
  <c r="B1459" i="2"/>
  <c r="A1459" i="2"/>
  <c r="O1458" i="2"/>
  <c r="N1458" i="2"/>
  <c r="M1458" i="2"/>
  <c r="L1458" i="2"/>
  <c r="K1458" i="2"/>
  <c r="J1458" i="2"/>
  <c r="I1458" i="2"/>
  <c r="H1458" i="2"/>
  <c r="G1458" i="2"/>
  <c r="F1458" i="2"/>
  <c r="C1458" i="2"/>
  <c r="B1458" i="2"/>
  <c r="A1458" i="2"/>
  <c r="O1457" i="2"/>
  <c r="N1457" i="2"/>
  <c r="M1457" i="2"/>
  <c r="L1457" i="2"/>
  <c r="K1457" i="2"/>
  <c r="J1457" i="2"/>
  <c r="I1457" i="2"/>
  <c r="H1457" i="2"/>
  <c r="G1457" i="2"/>
  <c r="F1457" i="2"/>
  <c r="C1457" i="2"/>
  <c r="B1457" i="2"/>
  <c r="A1457" i="2"/>
  <c r="O1456" i="2"/>
  <c r="N1456" i="2"/>
  <c r="M1456" i="2"/>
  <c r="L1456" i="2"/>
  <c r="K1456" i="2"/>
  <c r="J1456" i="2"/>
  <c r="I1456" i="2"/>
  <c r="H1456" i="2"/>
  <c r="G1456" i="2"/>
  <c r="F1456" i="2"/>
  <c r="C1456" i="2"/>
  <c r="B1456" i="2"/>
  <c r="A1456" i="2"/>
  <c r="O1455" i="2"/>
  <c r="N1455" i="2"/>
  <c r="M1455" i="2"/>
  <c r="L1455" i="2"/>
  <c r="K1455" i="2"/>
  <c r="J1455" i="2"/>
  <c r="I1455" i="2"/>
  <c r="H1455" i="2"/>
  <c r="G1455" i="2"/>
  <c r="F1455" i="2"/>
  <c r="C1455" i="2"/>
  <c r="B1455" i="2"/>
  <c r="A1455" i="2"/>
  <c r="O1454" i="2"/>
  <c r="N1454" i="2"/>
  <c r="M1454" i="2"/>
  <c r="L1454" i="2"/>
  <c r="K1454" i="2"/>
  <c r="J1454" i="2"/>
  <c r="I1454" i="2"/>
  <c r="H1454" i="2"/>
  <c r="G1454" i="2"/>
  <c r="F1454" i="2"/>
  <c r="C1454" i="2"/>
  <c r="B1454" i="2"/>
  <c r="A1454" i="2"/>
  <c r="O1453" i="2"/>
  <c r="N1453" i="2"/>
  <c r="M1453" i="2"/>
  <c r="L1453" i="2"/>
  <c r="K1453" i="2"/>
  <c r="J1453" i="2"/>
  <c r="I1453" i="2"/>
  <c r="H1453" i="2"/>
  <c r="G1453" i="2"/>
  <c r="F1453" i="2"/>
  <c r="C1453" i="2"/>
  <c r="B1453" i="2"/>
  <c r="A1453" i="2"/>
  <c r="O1452" i="2"/>
  <c r="N1452" i="2"/>
  <c r="M1452" i="2"/>
  <c r="L1452" i="2"/>
  <c r="K1452" i="2"/>
  <c r="J1452" i="2"/>
  <c r="I1452" i="2"/>
  <c r="H1452" i="2"/>
  <c r="G1452" i="2"/>
  <c r="F1452" i="2"/>
  <c r="C1452" i="2"/>
  <c r="B1452" i="2"/>
  <c r="A1452" i="2"/>
  <c r="O1451" i="2"/>
  <c r="N1451" i="2"/>
  <c r="M1451" i="2"/>
  <c r="L1451" i="2"/>
  <c r="K1451" i="2"/>
  <c r="J1451" i="2"/>
  <c r="I1451" i="2"/>
  <c r="H1451" i="2"/>
  <c r="G1451" i="2"/>
  <c r="F1451" i="2"/>
  <c r="C1451" i="2"/>
  <c r="B1451" i="2"/>
  <c r="A1451" i="2"/>
  <c r="O1450" i="2"/>
  <c r="N1450" i="2"/>
  <c r="M1450" i="2"/>
  <c r="L1450" i="2"/>
  <c r="K1450" i="2"/>
  <c r="J1450" i="2"/>
  <c r="I1450" i="2"/>
  <c r="H1450" i="2"/>
  <c r="G1450" i="2"/>
  <c r="F1450" i="2"/>
  <c r="C1450" i="2"/>
  <c r="B1450" i="2"/>
  <c r="A1450" i="2"/>
  <c r="O1449" i="2"/>
  <c r="N1449" i="2"/>
  <c r="M1449" i="2"/>
  <c r="L1449" i="2"/>
  <c r="K1449" i="2"/>
  <c r="J1449" i="2"/>
  <c r="I1449" i="2"/>
  <c r="H1449" i="2"/>
  <c r="G1449" i="2"/>
  <c r="F1449" i="2"/>
  <c r="C1449" i="2"/>
  <c r="B1449" i="2"/>
  <c r="A1449" i="2"/>
  <c r="O1448" i="2"/>
  <c r="N1448" i="2"/>
  <c r="M1448" i="2"/>
  <c r="L1448" i="2"/>
  <c r="K1448" i="2"/>
  <c r="J1448" i="2"/>
  <c r="I1448" i="2"/>
  <c r="H1448" i="2"/>
  <c r="G1448" i="2"/>
  <c r="F1448" i="2"/>
  <c r="C1448" i="2"/>
  <c r="B1448" i="2"/>
  <c r="A1448" i="2"/>
  <c r="O1447" i="2"/>
  <c r="N1447" i="2"/>
  <c r="M1447" i="2"/>
  <c r="L1447" i="2"/>
  <c r="K1447" i="2"/>
  <c r="J1447" i="2"/>
  <c r="I1447" i="2"/>
  <c r="H1447" i="2"/>
  <c r="G1447" i="2"/>
  <c r="F1447" i="2"/>
  <c r="C1447" i="2"/>
  <c r="B1447" i="2"/>
  <c r="A1447" i="2"/>
  <c r="O1446" i="2"/>
  <c r="N1446" i="2"/>
  <c r="M1446" i="2"/>
  <c r="L1446" i="2"/>
  <c r="K1446" i="2"/>
  <c r="J1446" i="2"/>
  <c r="I1446" i="2"/>
  <c r="H1446" i="2"/>
  <c r="G1446" i="2"/>
  <c r="F1446" i="2"/>
  <c r="C1446" i="2"/>
  <c r="B1446" i="2"/>
  <c r="A1446" i="2"/>
  <c r="O1445" i="2"/>
  <c r="N1445" i="2"/>
  <c r="M1445" i="2"/>
  <c r="L1445" i="2"/>
  <c r="K1445" i="2"/>
  <c r="J1445" i="2"/>
  <c r="I1445" i="2"/>
  <c r="H1445" i="2"/>
  <c r="G1445" i="2"/>
  <c r="F1445" i="2"/>
  <c r="C1445" i="2"/>
  <c r="B1445" i="2"/>
  <c r="A1445" i="2"/>
  <c r="O1444" i="2"/>
  <c r="N1444" i="2"/>
  <c r="M1444" i="2"/>
  <c r="L1444" i="2"/>
  <c r="K1444" i="2"/>
  <c r="J1444" i="2"/>
  <c r="I1444" i="2"/>
  <c r="H1444" i="2"/>
  <c r="G1444" i="2"/>
  <c r="F1444" i="2"/>
  <c r="C1444" i="2"/>
  <c r="B1444" i="2"/>
  <c r="A1444" i="2"/>
  <c r="O1443" i="2"/>
  <c r="N1443" i="2"/>
  <c r="M1443" i="2"/>
  <c r="L1443" i="2"/>
  <c r="K1443" i="2"/>
  <c r="J1443" i="2"/>
  <c r="I1443" i="2"/>
  <c r="H1443" i="2"/>
  <c r="G1443" i="2"/>
  <c r="F1443" i="2"/>
  <c r="C1443" i="2"/>
  <c r="B1443" i="2"/>
  <c r="A1443" i="2"/>
  <c r="O1442" i="2"/>
  <c r="N1442" i="2"/>
  <c r="M1442" i="2"/>
  <c r="L1442" i="2"/>
  <c r="K1442" i="2"/>
  <c r="J1442" i="2"/>
  <c r="I1442" i="2"/>
  <c r="H1442" i="2"/>
  <c r="G1442" i="2"/>
  <c r="F1442" i="2"/>
  <c r="C1442" i="2"/>
  <c r="B1442" i="2"/>
  <c r="A1442" i="2"/>
  <c r="O1441" i="2"/>
  <c r="N1441" i="2"/>
  <c r="M1441" i="2"/>
  <c r="L1441" i="2"/>
  <c r="K1441" i="2"/>
  <c r="J1441" i="2"/>
  <c r="I1441" i="2"/>
  <c r="H1441" i="2"/>
  <c r="G1441" i="2"/>
  <c r="F1441" i="2"/>
  <c r="C1441" i="2"/>
  <c r="B1441" i="2"/>
  <c r="A1441" i="2"/>
  <c r="O1440" i="2"/>
  <c r="N1440" i="2"/>
  <c r="M1440" i="2"/>
  <c r="L1440" i="2"/>
  <c r="K1440" i="2"/>
  <c r="J1440" i="2"/>
  <c r="I1440" i="2"/>
  <c r="H1440" i="2"/>
  <c r="G1440" i="2"/>
  <c r="F1440" i="2"/>
  <c r="C1440" i="2"/>
  <c r="B1440" i="2"/>
  <c r="A1440" i="2"/>
  <c r="O1439" i="2"/>
  <c r="N1439" i="2"/>
  <c r="M1439" i="2"/>
  <c r="L1439" i="2"/>
  <c r="K1439" i="2"/>
  <c r="J1439" i="2"/>
  <c r="I1439" i="2"/>
  <c r="H1439" i="2"/>
  <c r="G1439" i="2"/>
  <c r="F1439" i="2"/>
  <c r="C1439" i="2"/>
  <c r="B1439" i="2"/>
  <c r="A1439" i="2"/>
  <c r="O1438" i="2"/>
  <c r="N1438" i="2"/>
  <c r="M1438" i="2"/>
  <c r="L1438" i="2"/>
  <c r="K1438" i="2"/>
  <c r="J1438" i="2"/>
  <c r="I1438" i="2"/>
  <c r="H1438" i="2"/>
  <c r="G1438" i="2"/>
  <c r="F1438" i="2"/>
  <c r="C1438" i="2"/>
  <c r="B1438" i="2"/>
  <c r="A1438" i="2"/>
  <c r="O1437" i="2"/>
  <c r="N1437" i="2"/>
  <c r="M1437" i="2"/>
  <c r="L1437" i="2"/>
  <c r="K1437" i="2"/>
  <c r="J1437" i="2"/>
  <c r="I1437" i="2"/>
  <c r="H1437" i="2"/>
  <c r="G1437" i="2"/>
  <c r="F1437" i="2"/>
  <c r="C1437" i="2"/>
  <c r="B1437" i="2"/>
  <c r="A1437" i="2"/>
  <c r="O1436" i="2"/>
  <c r="N1436" i="2"/>
  <c r="M1436" i="2"/>
  <c r="L1436" i="2"/>
  <c r="K1436" i="2"/>
  <c r="J1436" i="2"/>
  <c r="I1436" i="2"/>
  <c r="H1436" i="2"/>
  <c r="G1436" i="2"/>
  <c r="F1436" i="2"/>
  <c r="C1436" i="2"/>
  <c r="B1436" i="2"/>
  <c r="A1436" i="2"/>
  <c r="O1435" i="2"/>
  <c r="N1435" i="2"/>
  <c r="M1435" i="2"/>
  <c r="L1435" i="2"/>
  <c r="K1435" i="2"/>
  <c r="J1435" i="2"/>
  <c r="I1435" i="2"/>
  <c r="H1435" i="2"/>
  <c r="G1435" i="2"/>
  <c r="F1435" i="2"/>
  <c r="C1435" i="2"/>
  <c r="B1435" i="2"/>
  <c r="A1435" i="2"/>
  <c r="O1434" i="2"/>
  <c r="N1434" i="2"/>
  <c r="M1434" i="2"/>
  <c r="L1434" i="2"/>
  <c r="K1434" i="2"/>
  <c r="J1434" i="2"/>
  <c r="I1434" i="2"/>
  <c r="H1434" i="2"/>
  <c r="G1434" i="2"/>
  <c r="F1434" i="2"/>
  <c r="C1434" i="2"/>
  <c r="B1434" i="2"/>
  <c r="A1434" i="2"/>
  <c r="O1433" i="2"/>
  <c r="N1433" i="2"/>
  <c r="M1433" i="2"/>
  <c r="L1433" i="2"/>
  <c r="K1433" i="2"/>
  <c r="J1433" i="2"/>
  <c r="I1433" i="2"/>
  <c r="H1433" i="2"/>
  <c r="G1433" i="2"/>
  <c r="F1433" i="2"/>
  <c r="C1433" i="2"/>
  <c r="B1433" i="2"/>
  <c r="A1433" i="2"/>
  <c r="O1432" i="2"/>
  <c r="N1432" i="2"/>
  <c r="M1432" i="2"/>
  <c r="L1432" i="2"/>
  <c r="K1432" i="2"/>
  <c r="J1432" i="2"/>
  <c r="I1432" i="2"/>
  <c r="H1432" i="2"/>
  <c r="G1432" i="2"/>
  <c r="F1432" i="2"/>
  <c r="C1432" i="2"/>
  <c r="B1432" i="2"/>
  <c r="A1432" i="2"/>
  <c r="O1431" i="2"/>
  <c r="N1431" i="2"/>
  <c r="M1431" i="2"/>
  <c r="L1431" i="2"/>
  <c r="K1431" i="2"/>
  <c r="J1431" i="2"/>
  <c r="I1431" i="2"/>
  <c r="H1431" i="2"/>
  <c r="G1431" i="2"/>
  <c r="F1431" i="2"/>
  <c r="C1431" i="2"/>
  <c r="B1431" i="2"/>
  <c r="A1431" i="2"/>
  <c r="O1430" i="2"/>
  <c r="N1430" i="2"/>
  <c r="M1430" i="2"/>
  <c r="L1430" i="2"/>
  <c r="K1430" i="2"/>
  <c r="J1430" i="2"/>
  <c r="I1430" i="2"/>
  <c r="H1430" i="2"/>
  <c r="G1430" i="2"/>
  <c r="F1430" i="2"/>
  <c r="C1430" i="2"/>
  <c r="B1430" i="2"/>
  <c r="A1430" i="2"/>
  <c r="O1429" i="2"/>
  <c r="N1429" i="2"/>
  <c r="M1429" i="2"/>
  <c r="L1429" i="2"/>
  <c r="K1429" i="2"/>
  <c r="J1429" i="2"/>
  <c r="I1429" i="2"/>
  <c r="H1429" i="2"/>
  <c r="G1429" i="2"/>
  <c r="F1429" i="2"/>
  <c r="C1429" i="2"/>
  <c r="B1429" i="2"/>
  <c r="A1429" i="2"/>
  <c r="O1428" i="2"/>
  <c r="N1428" i="2"/>
  <c r="M1428" i="2"/>
  <c r="L1428" i="2"/>
  <c r="K1428" i="2"/>
  <c r="J1428" i="2"/>
  <c r="I1428" i="2"/>
  <c r="H1428" i="2"/>
  <c r="G1428" i="2"/>
  <c r="F1428" i="2"/>
  <c r="C1428" i="2"/>
  <c r="B1428" i="2"/>
  <c r="A1428" i="2"/>
  <c r="O1427" i="2"/>
  <c r="N1427" i="2"/>
  <c r="M1427" i="2"/>
  <c r="L1427" i="2"/>
  <c r="K1427" i="2"/>
  <c r="J1427" i="2"/>
  <c r="I1427" i="2"/>
  <c r="H1427" i="2"/>
  <c r="G1427" i="2"/>
  <c r="F1427" i="2"/>
  <c r="C1427" i="2"/>
  <c r="B1427" i="2"/>
  <c r="A1427" i="2"/>
  <c r="O1426" i="2"/>
  <c r="N1426" i="2"/>
  <c r="M1426" i="2"/>
  <c r="L1426" i="2"/>
  <c r="K1426" i="2"/>
  <c r="J1426" i="2"/>
  <c r="I1426" i="2"/>
  <c r="H1426" i="2"/>
  <c r="G1426" i="2"/>
  <c r="F1426" i="2"/>
  <c r="C1426" i="2"/>
  <c r="B1426" i="2"/>
  <c r="A1426" i="2"/>
  <c r="O1425" i="2"/>
  <c r="N1425" i="2"/>
  <c r="M1425" i="2"/>
  <c r="L1425" i="2"/>
  <c r="K1425" i="2"/>
  <c r="J1425" i="2"/>
  <c r="I1425" i="2"/>
  <c r="H1425" i="2"/>
  <c r="G1425" i="2"/>
  <c r="F1425" i="2"/>
  <c r="C1425" i="2"/>
  <c r="B1425" i="2"/>
  <c r="A1425" i="2"/>
  <c r="O1424" i="2"/>
  <c r="N1424" i="2"/>
  <c r="M1424" i="2"/>
  <c r="L1424" i="2"/>
  <c r="K1424" i="2"/>
  <c r="J1424" i="2"/>
  <c r="I1424" i="2"/>
  <c r="H1424" i="2"/>
  <c r="G1424" i="2"/>
  <c r="F1424" i="2"/>
  <c r="C1424" i="2"/>
  <c r="B1424" i="2"/>
  <c r="A1424" i="2"/>
  <c r="O1423" i="2"/>
  <c r="N1423" i="2"/>
  <c r="M1423" i="2"/>
  <c r="L1423" i="2"/>
  <c r="K1423" i="2"/>
  <c r="J1423" i="2"/>
  <c r="I1423" i="2"/>
  <c r="H1423" i="2"/>
  <c r="G1423" i="2"/>
  <c r="F1423" i="2"/>
  <c r="C1423" i="2"/>
  <c r="B1423" i="2"/>
  <c r="A1423" i="2"/>
  <c r="O1422" i="2"/>
  <c r="N1422" i="2"/>
  <c r="M1422" i="2"/>
  <c r="L1422" i="2"/>
  <c r="K1422" i="2"/>
  <c r="J1422" i="2"/>
  <c r="I1422" i="2"/>
  <c r="H1422" i="2"/>
  <c r="G1422" i="2"/>
  <c r="F1422" i="2"/>
  <c r="C1422" i="2"/>
  <c r="B1422" i="2"/>
  <c r="A1422" i="2"/>
  <c r="O1421" i="2"/>
  <c r="N1421" i="2"/>
  <c r="M1421" i="2"/>
  <c r="L1421" i="2"/>
  <c r="K1421" i="2"/>
  <c r="J1421" i="2"/>
  <c r="I1421" i="2"/>
  <c r="H1421" i="2"/>
  <c r="G1421" i="2"/>
  <c r="F1421" i="2"/>
  <c r="C1421" i="2"/>
  <c r="B1421" i="2"/>
  <c r="A1421" i="2"/>
  <c r="O1420" i="2"/>
  <c r="N1420" i="2"/>
  <c r="M1420" i="2"/>
  <c r="L1420" i="2"/>
  <c r="K1420" i="2"/>
  <c r="J1420" i="2"/>
  <c r="I1420" i="2"/>
  <c r="H1420" i="2"/>
  <c r="G1420" i="2"/>
  <c r="F1420" i="2"/>
  <c r="C1420" i="2"/>
  <c r="B1420" i="2"/>
  <c r="A1420" i="2"/>
  <c r="O1419" i="2"/>
  <c r="N1419" i="2"/>
  <c r="M1419" i="2"/>
  <c r="L1419" i="2"/>
  <c r="K1419" i="2"/>
  <c r="J1419" i="2"/>
  <c r="I1419" i="2"/>
  <c r="H1419" i="2"/>
  <c r="G1419" i="2"/>
  <c r="F1419" i="2"/>
  <c r="C1419" i="2"/>
  <c r="B1419" i="2"/>
  <c r="A1419" i="2"/>
  <c r="O1418" i="2"/>
  <c r="N1418" i="2"/>
  <c r="M1418" i="2"/>
  <c r="L1418" i="2"/>
  <c r="K1418" i="2"/>
  <c r="J1418" i="2"/>
  <c r="I1418" i="2"/>
  <c r="H1418" i="2"/>
  <c r="G1418" i="2"/>
  <c r="F1418" i="2"/>
  <c r="C1418" i="2"/>
  <c r="B1418" i="2"/>
  <c r="A1418" i="2"/>
  <c r="O1417" i="2"/>
  <c r="N1417" i="2"/>
  <c r="M1417" i="2"/>
  <c r="L1417" i="2"/>
  <c r="K1417" i="2"/>
  <c r="J1417" i="2"/>
  <c r="I1417" i="2"/>
  <c r="H1417" i="2"/>
  <c r="G1417" i="2"/>
  <c r="F1417" i="2"/>
  <c r="C1417" i="2"/>
  <c r="B1417" i="2"/>
  <c r="A1417" i="2"/>
  <c r="O1416" i="2"/>
  <c r="N1416" i="2"/>
  <c r="M1416" i="2"/>
  <c r="L1416" i="2"/>
  <c r="K1416" i="2"/>
  <c r="J1416" i="2"/>
  <c r="I1416" i="2"/>
  <c r="H1416" i="2"/>
  <c r="G1416" i="2"/>
  <c r="F1416" i="2"/>
  <c r="C1416" i="2"/>
  <c r="B1416" i="2"/>
  <c r="A1416" i="2"/>
  <c r="O1415" i="2"/>
  <c r="N1415" i="2"/>
  <c r="M1415" i="2"/>
  <c r="L1415" i="2"/>
  <c r="K1415" i="2"/>
  <c r="J1415" i="2"/>
  <c r="I1415" i="2"/>
  <c r="H1415" i="2"/>
  <c r="G1415" i="2"/>
  <c r="F1415" i="2"/>
  <c r="C1415" i="2"/>
  <c r="B1415" i="2"/>
  <c r="A1415" i="2"/>
  <c r="O1414" i="2"/>
  <c r="N1414" i="2"/>
  <c r="M1414" i="2"/>
  <c r="L1414" i="2"/>
  <c r="K1414" i="2"/>
  <c r="J1414" i="2"/>
  <c r="I1414" i="2"/>
  <c r="H1414" i="2"/>
  <c r="G1414" i="2"/>
  <c r="F1414" i="2"/>
  <c r="C1414" i="2"/>
  <c r="B1414" i="2"/>
  <c r="A1414" i="2"/>
  <c r="O1413" i="2"/>
  <c r="N1413" i="2"/>
  <c r="M1413" i="2"/>
  <c r="L1413" i="2"/>
  <c r="K1413" i="2"/>
  <c r="J1413" i="2"/>
  <c r="I1413" i="2"/>
  <c r="H1413" i="2"/>
  <c r="G1413" i="2"/>
  <c r="F1413" i="2"/>
  <c r="C1413" i="2"/>
  <c r="B1413" i="2"/>
  <c r="A1413" i="2"/>
  <c r="O1412" i="2"/>
  <c r="N1412" i="2"/>
  <c r="M1412" i="2"/>
  <c r="L1412" i="2"/>
  <c r="K1412" i="2"/>
  <c r="J1412" i="2"/>
  <c r="I1412" i="2"/>
  <c r="H1412" i="2"/>
  <c r="G1412" i="2"/>
  <c r="F1412" i="2"/>
  <c r="C1412" i="2"/>
  <c r="B1412" i="2"/>
  <c r="A1412" i="2"/>
  <c r="O1411" i="2"/>
  <c r="N1411" i="2"/>
  <c r="M1411" i="2"/>
  <c r="L1411" i="2"/>
  <c r="K1411" i="2"/>
  <c r="J1411" i="2"/>
  <c r="I1411" i="2"/>
  <c r="H1411" i="2"/>
  <c r="G1411" i="2"/>
  <c r="F1411" i="2"/>
  <c r="C1411" i="2"/>
  <c r="B1411" i="2"/>
  <c r="A1411" i="2"/>
  <c r="O1410" i="2"/>
  <c r="N1410" i="2"/>
  <c r="M1410" i="2"/>
  <c r="L1410" i="2"/>
  <c r="K1410" i="2"/>
  <c r="J1410" i="2"/>
  <c r="I1410" i="2"/>
  <c r="H1410" i="2"/>
  <c r="G1410" i="2"/>
  <c r="F1410" i="2"/>
  <c r="C1410" i="2"/>
  <c r="B1410" i="2"/>
  <c r="A1410" i="2"/>
  <c r="O1409" i="2"/>
  <c r="N1409" i="2"/>
  <c r="M1409" i="2"/>
  <c r="L1409" i="2"/>
  <c r="K1409" i="2"/>
  <c r="J1409" i="2"/>
  <c r="I1409" i="2"/>
  <c r="H1409" i="2"/>
  <c r="G1409" i="2"/>
  <c r="F1409" i="2"/>
  <c r="C1409" i="2"/>
  <c r="B1409" i="2"/>
  <c r="A1409" i="2"/>
  <c r="O1408" i="2"/>
  <c r="N1408" i="2"/>
  <c r="M1408" i="2"/>
  <c r="L1408" i="2"/>
  <c r="K1408" i="2"/>
  <c r="J1408" i="2"/>
  <c r="I1408" i="2"/>
  <c r="H1408" i="2"/>
  <c r="G1408" i="2"/>
  <c r="F1408" i="2"/>
  <c r="C1408" i="2"/>
  <c r="B1408" i="2"/>
  <c r="A1408" i="2"/>
  <c r="O1407" i="2"/>
  <c r="N1407" i="2"/>
  <c r="M1407" i="2"/>
  <c r="L1407" i="2"/>
  <c r="K1407" i="2"/>
  <c r="J1407" i="2"/>
  <c r="I1407" i="2"/>
  <c r="H1407" i="2"/>
  <c r="G1407" i="2"/>
  <c r="F1407" i="2"/>
  <c r="C1407" i="2"/>
  <c r="B1407" i="2"/>
  <c r="A1407" i="2"/>
  <c r="O1406" i="2"/>
  <c r="N1406" i="2"/>
  <c r="M1406" i="2"/>
  <c r="L1406" i="2"/>
  <c r="K1406" i="2"/>
  <c r="J1406" i="2"/>
  <c r="I1406" i="2"/>
  <c r="H1406" i="2"/>
  <c r="G1406" i="2"/>
  <c r="F1406" i="2"/>
  <c r="C1406" i="2"/>
  <c r="B1406" i="2"/>
  <c r="A1406" i="2"/>
  <c r="O1405" i="2"/>
  <c r="N1405" i="2"/>
  <c r="M1405" i="2"/>
  <c r="L1405" i="2"/>
  <c r="K1405" i="2"/>
  <c r="J1405" i="2"/>
  <c r="I1405" i="2"/>
  <c r="H1405" i="2"/>
  <c r="G1405" i="2"/>
  <c r="F1405" i="2"/>
  <c r="C1405" i="2"/>
  <c r="B1405" i="2"/>
  <c r="A1405" i="2"/>
  <c r="O1404" i="2"/>
  <c r="N1404" i="2"/>
  <c r="M1404" i="2"/>
  <c r="L1404" i="2"/>
  <c r="K1404" i="2"/>
  <c r="J1404" i="2"/>
  <c r="I1404" i="2"/>
  <c r="H1404" i="2"/>
  <c r="G1404" i="2"/>
  <c r="F1404" i="2"/>
  <c r="C1404" i="2"/>
  <c r="B1404" i="2"/>
  <c r="A1404" i="2"/>
  <c r="O1403" i="2"/>
  <c r="N1403" i="2"/>
  <c r="M1403" i="2"/>
  <c r="L1403" i="2"/>
  <c r="K1403" i="2"/>
  <c r="J1403" i="2"/>
  <c r="I1403" i="2"/>
  <c r="H1403" i="2"/>
  <c r="G1403" i="2"/>
  <c r="F1403" i="2"/>
  <c r="C1403" i="2"/>
  <c r="B1403" i="2"/>
  <c r="A1403" i="2"/>
  <c r="O1402" i="2"/>
  <c r="N1402" i="2"/>
  <c r="M1402" i="2"/>
  <c r="L1402" i="2"/>
  <c r="K1402" i="2"/>
  <c r="J1402" i="2"/>
  <c r="I1402" i="2"/>
  <c r="H1402" i="2"/>
  <c r="G1402" i="2"/>
  <c r="F1402" i="2"/>
  <c r="C1402" i="2"/>
  <c r="B1402" i="2"/>
  <c r="A1402" i="2"/>
  <c r="O1401" i="2"/>
  <c r="N1401" i="2"/>
  <c r="M1401" i="2"/>
  <c r="L1401" i="2"/>
  <c r="K1401" i="2"/>
  <c r="J1401" i="2"/>
  <c r="I1401" i="2"/>
  <c r="H1401" i="2"/>
  <c r="G1401" i="2"/>
  <c r="F1401" i="2"/>
  <c r="C1401" i="2"/>
  <c r="B1401" i="2"/>
  <c r="A1401" i="2"/>
  <c r="O1400" i="2"/>
  <c r="N1400" i="2"/>
  <c r="M1400" i="2"/>
  <c r="L1400" i="2"/>
  <c r="K1400" i="2"/>
  <c r="J1400" i="2"/>
  <c r="I1400" i="2"/>
  <c r="H1400" i="2"/>
  <c r="G1400" i="2"/>
  <c r="F1400" i="2"/>
  <c r="C1400" i="2"/>
  <c r="B1400" i="2"/>
  <c r="A1400" i="2"/>
  <c r="O1399" i="2"/>
  <c r="N1399" i="2"/>
  <c r="M1399" i="2"/>
  <c r="L1399" i="2"/>
  <c r="K1399" i="2"/>
  <c r="J1399" i="2"/>
  <c r="I1399" i="2"/>
  <c r="H1399" i="2"/>
  <c r="G1399" i="2"/>
  <c r="F1399" i="2"/>
  <c r="C1399" i="2"/>
  <c r="B1399" i="2"/>
  <c r="A1399" i="2"/>
  <c r="O1398" i="2"/>
  <c r="N1398" i="2"/>
  <c r="M1398" i="2"/>
  <c r="L1398" i="2"/>
  <c r="K1398" i="2"/>
  <c r="J1398" i="2"/>
  <c r="I1398" i="2"/>
  <c r="H1398" i="2"/>
  <c r="G1398" i="2"/>
  <c r="F1398" i="2"/>
  <c r="C1398" i="2"/>
  <c r="B1398" i="2"/>
  <c r="A1398" i="2"/>
  <c r="O1397" i="2"/>
  <c r="N1397" i="2"/>
  <c r="M1397" i="2"/>
  <c r="L1397" i="2"/>
  <c r="K1397" i="2"/>
  <c r="J1397" i="2"/>
  <c r="I1397" i="2"/>
  <c r="H1397" i="2"/>
  <c r="G1397" i="2"/>
  <c r="F1397" i="2"/>
  <c r="C1397" i="2"/>
  <c r="B1397" i="2"/>
  <c r="A1397" i="2"/>
  <c r="O1396" i="2"/>
  <c r="N1396" i="2"/>
  <c r="M1396" i="2"/>
  <c r="L1396" i="2"/>
  <c r="K1396" i="2"/>
  <c r="J1396" i="2"/>
  <c r="I1396" i="2"/>
  <c r="H1396" i="2"/>
  <c r="G1396" i="2"/>
  <c r="F1396" i="2"/>
  <c r="C1396" i="2"/>
  <c r="B1396" i="2"/>
  <c r="A1396" i="2"/>
  <c r="O1395" i="2"/>
  <c r="N1395" i="2"/>
  <c r="M1395" i="2"/>
  <c r="L1395" i="2"/>
  <c r="K1395" i="2"/>
  <c r="J1395" i="2"/>
  <c r="I1395" i="2"/>
  <c r="H1395" i="2"/>
  <c r="G1395" i="2"/>
  <c r="F1395" i="2"/>
  <c r="C1395" i="2"/>
  <c r="B1395" i="2"/>
  <c r="A1395" i="2"/>
  <c r="O1394" i="2"/>
  <c r="N1394" i="2"/>
  <c r="M1394" i="2"/>
  <c r="L1394" i="2"/>
  <c r="K1394" i="2"/>
  <c r="J1394" i="2"/>
  <c r="I1394" i="2"/>
  <c r="H1394" i="2"/>
  <c r="G1394" i="2"/>
  <c r="F1394" i="2"/>
  <c r="C1394" i="2"/>
  <c r="B1394" i="2"/>
  <c r="A1394" i="2"/>
  <c r="O1393" i="2"/>
  <c r="N1393" i="2"/>
  <c r="M1393" i="2"/>
  <c r="L1393" i="2"/>
  <c r="K1393" i="2"/>
  <c r="J1393" i="2"/>
  <c r="I1393" i="2"/>
  <c r="H1393" i="2"/>
  <c r="G1393" i="2"/>
  <c r="F1393" i="2"/>
  <c r="C1393" i="2"/>
  <c r="B1393" i="2"/>
  <c r="A1393" i="2"/>
  <c r="O1392" i="2"/>
  <c r="N1392" i="2"/>
  <c r="M1392" i="2"/>
  <c r="L1392" i="2"/>
  <c r="K1392" i="2"/>
  <c r="J1392" i="2"/>
  <c r="I1392" i="2"/>
  <c r="H1392" i="2"/>
  <c r="G1392" i="2"/>
  <c r="F1392" i="2"/>
  <c r="C1392" i="2"/>
  <c r="B1392" i="2"/>
  <c r="A1392" i="2"/>
  <c r="O1391" i="2"/>
  <c r="N1391" i="2"/>
  <c r="M1391" i="2"/>
  <c r="L1391" i="2"/>
  <c r="K1391" i="2"/>
  <c r="J1391" i="2"/>
  <c r="I1391" i="2"/>
  <c r="H1391" i="2"/>
  <c r="G1391" i="2"/>
  <c r="F1391" i="2"/>
  <c r="C1391" i="2"/>
  <c r="B1391" i="2"/>
  <c r="A1391" i="2"/>
  <c r="O1390" i="2"/>
  <c r="N1390" i="2"/>
  <c r="M1390" i="2"/>
  <c r="L1390" i="2"/>
  <c r="K1390" i="2"/>
  <c r="J1390" i="2"/>
  <c r="I1390" i="2"/>
  <c r="H1390" i="2"/>
  <c r="G1390" i="2"/>
  <c r="F1390" i="2"/>
  <c r="C1390" i="2"/>
  <c r="B1390" i="2"/>
  <c r="A1390" i="2"/>
  <c r="O1389" i="2"/>
  <c r="N1389" i="2"/>
  <c r="M1389" i="2"/>
  <c r="L1389" i="2"/>
  <c r="K1389" i="2"/>
  <c r="J1389" i="2"/>
  <c r="I1389" i="2"/>
  <c r="H1389" i="2"/>
  <c r="G1389" i="2"/>
  <c r="F1389" i="2"/>
  <c r="C1389" i="2"/>
  <c r="B1389" i="2"/>
  <c r="A1389" i="2"/>
  <c r="O1388" i="2"/>
  <c r="N1388" i="2"/>
  <c r="M1388" i="2"/>
  <c r="L1388" i="2"/>
  <c r="K1388" i="2"/>
  <c r="J1388" i="2"/>
  <c r="I1388" i="2"/>
  <c r="H1388" i="2"/>
  <c r="G1388" i="2"/>
  <c r="F1388" i="2"/>
  <c r="C1388" i="2"/>
  <c r="B1388" i="2"/>
  <c r="A1388" i="2"/>
  <c r="O1387" i="2"/>
  <c r="N1387" i="2"/>
  <c r="M1387" i="2"/>
  <c r="L1387" i="2"/>
  <c r="K1387" i="2"/>
  <c r="J1387" i="2"/>
  <c r="I1387" i="2"/>
  <c r="H1387" i="2"/>
  <c r="G1387" i="2"/>
  <c r="F1387" i="2"/>
  <c r="C1387" i="2"/>
  <c r="B1387" i="2"/>
  <c r="A1387" i="2"/>
  <c r="O1386" i="2"/>
  <c r="N1386" i="2"/>
  <c r="M1386" i="2"/>
  <c r="L1386" i="2"/>
  <c r="K1386" i="2"/>
  <c r="J1386" i="2"/>
  <c r="I1386" i="2"/>
  <c r="H1386" i="2"/>
  <c r="G1386" i="2"/>
  <c r="F1386" i="2"/>
  <c r="C1386" i="2"/>
  <c r="B1386" i="2"/>
  <c r="A1386" i="2"/>
  <c r="O1385" i="2"/>
  <c r="N1385" i="2"/>
  <c r="M1385" i="2"/>
  <c r="L1385" i="2"/>
  <c r="K1385" i="2"/>
  <c r="J1385" i="2"/>
  <c r="I1385" i="2"/>
  <c r="H1385" i="2"/>
  <c r="G1385" i="2"/>
  <c r="F1385" i="2"/>
  <c r="C1385" i="2"/>
  <c r="B1385" i="2"/>
  <c r="A1385" i="2"/>
  <c r="O1384" i="2"/>
  <c r="N1384" i="2"/>
  <c r="M1384" i="2"/>
  <c r="L1384" i="2"/>
  <c r="K1384" i="2"/>
  <c r="J1384" i="2"/>
  <c r="I1384" i="2"/>
  <c r="H1384" i="2"/>
  <c r="G1384" i="2"/>
  <c r="F1384" i="2"/>
  <c r="C1384" i="2"/>
  <c r="B1384" i="2"/>
  <c r="A1384" i="2"/>
  <c r="O1383" i="2"/>
  <c r="N1383" i="2"/>
  <c r="M1383" i="2"/>
  <c r="L1383" i="2"/>
  <c r="K1383" i="2"/>
  <c r="J1383" i="2"/>
  <c r="I1383" i="2"/>
  <c r="H1383" i="2"/>
  <c r="G1383" i="2"/>
  <c r="F1383" i="2"/>
  <c r="C1383" i="2"/>
  <c r="B1383" i="2"/>
  <c r="A1383" i="2"/>
  <c r="O1382" i="2"/>
  <c r="N1382" i="2"/>
  <c r="M1382" i="2"/>
  <c r="L1382" i="2"/>
  <c r="K1382" i="2"/>
  <c r="J1382" i="2"/>
  <c r="I1382" i="2"/>
  <c r="H1382" i="2"/>
  <c r="G1382" i="2"/>
  <c r="F1382" i="2"/>
  <c r="C1382" i="2"/>
  <c r="B1382" i="2"/>
  <c r="A1382" i="2"/>
  <c r="O1381" i="2"/>
  <c r="N1381" i="2"/>
  <c r="M1381" i="2"/>
  <c r="L1381" i="2"/>
  <c r="K1381" i="2"/>
  <c r="J1381" i="2"/>
  <c r="I1381" i="2"/>
  <c r="H1381" i="2"/>
  <c r="G1381" i="2"/>
  <c r="F1381" i="2"/>
  <c r="C1381" i="2"/>
  <c r="B1381" i="2"/>
  <c r="A1381" i="2"/>
  <c r="O1380" i="2"/>
  <c r="N1380" i="2"/>
  <c r="M1380" i="2"/>
  <c r="L1380" i="2"/>
  <c r="K1380" i="2"/>
  <c r="J1380" i="2"/>
  <c r="I1380" i="2"/>
  <c r="H1380" i="2"/>
  <c r="G1380" i="2"/>
  <c r="F1380" i="2"/>
  <c r="C1380" i="2"/>
  <c r="B1380" i="2"/>
  <c r="A1380" i="2"/>
  <c r="O1379" i="2"/>
  <c r="N1379" i="2"/>
  <c r="M1379" i="2"/>
  <c r="L1379" i="2"/>
  <c r="K1379" i="2"/>
  <c r="J1379" i="2"/>
  <c r="I1379" i="2"/>
  <c r="H1379" i="2"/>
  <c r="G1379" i="2"/>
  <c r="F1379" i="2"/>
  <c r="C1379" i="2"/>
  <c r="B1379" i="2"/>
  <c r="A1379" i="2"/>
  <c r="O1378" i="2"/>
  <c r="N1378" i="2"/>
  <c r="M1378" i="2"/>
  <c r="L1378" i="2"/>
  <c r="K1378" i="2"/>
  <c r="J1378" i="2"/>
  <c r="I1378" i="2"/>
  <c r="H1378" i="2"/>
  <c r="G1378" i="2"/>
  <c r="F1378" i="2"/>
  <c r="C1378" i="2"/>
  <c r="B1378" i="2"/>
  <c r="A1378" i="2"/>
  <c r="O1377" i="2"/>
  <c r="N1377" i="2"/>
  <c r="M1377" i="2"/>
  <c r="L1377" i="2"/>
  <c r="K1377" i="2"/>
  <c r="J1377" i="2"/>
  <c r="I1377" i="2"/>
  <c r="H1377" i="2"/>
  <c r="G1377" i="2"/>
  <c r="F1377" i="2"/>
  <c r="C1377" i="2"/>
  <c r="B1377" i="2"/>
  <c r="A1377" i="2"/>
  <c r="O1376" i="2"/>
  <c r="N1376" i="2"/>
  <c r="M1376" i="2"/>
  <c r="L1376" i="2"/>
  <c r="K1376" i="2"/>
  <c r="J1376" i="2"/>
  <c r="I1376" i="2"/>
  <c r="H1376" i="2"/>
  <c r="G1376" i="2"/>
  <c r="F1376" i="2"/>
  <c r="C1376" i="2"/>
  <c r="B1376" i="2"/>
  <c r="A1376" i="2"/>
  <c r="O1375" i="2"/>
  <c r="N1375" i="2"/>
  <c r="M1375" i="2"/>
  <c r="L1375" i="2"/>
  <c r="K1375" i="2"/>
  <c r="J1375" i="2"/>
  <c r="I1375" i="2"/>
  <c r="H1375" i="2"/>
  <c r="G1375" i="2"/>
  <c r="F1375" i="2"/>
  <c r="C1375" i="2"/>
  <c r="B1375" i="2"/>
  <c r="A1375" i="2"/>
  <c r="O1374" i="2"/>
  <c r="N1374" i="2"/>
  <c r="M1374" i="2"/>
  <c r="L1374" i="2"/>
  <c r="K1374" i="2"/>
  <c r="J1374" i="2"/>
  <c r="I1374" i="2"/>
  <c r="H1374" i="2"/>
  <c r="G1374" i="2"/>
  <c r="F1374" i="2"/>
  <c r="C1374" i="2"/>
  <c r="B1374" i="2"/>
  <c r="A1374" i="2"/>
  <c r="O1373" i="2"/>
  <c r="N1373" i="2"/>
  <c r="M1373" i="2"/>
  <c r="L1373" i="2"/>
  <c r="K1373" i="2"/>
  <c r="J1373" i="2"/>
  <c r="I1373" i="2"/>
  <c r="H1373" i="2"/>
  <c r="G1373" i="2"/>
  <c r="F1373" i="2"/>
  <c r="C1373" i="2"/>
  <c r="B1373" i="2"/>
  <c r="A1373" i="2"/>
  <c r="O1372" i="2"/>
  <c r="N1372" i="2"/>
  <c r="M1372" i="2"/>
  <c r="L1372" i="2"/>
  <c r="K1372" i="2"/>
  <c r="J1372" i="2"/>
  <c r="I1372" i="2"/>
  <c r="H1372" i="2"/>
  <c r="G1372" i="2"/>
  <c r="F1372" i="2"/>
  <c r="C1372" i="2"/>
  <c r="B1372" i="2"/>
  <c r="A1372" i="2"/>
  <c r="O1371" i="2"/>
  <c r="N1371" i="2"/>
  <c r="M1371" i="2"/>
  <c r="L1371" i="2"/>
  <c r="K1371" i="2"/>
  <c r="J1371" i="2"/>
  <c r="I1371" i="2"/>
  <c r="H1371" i="2"/>
  <c r="G1371" i="2"/>
  <c r="F1371" i="2"/>
  <c r="C1371" i="2"/>
  <c r="B1371" i="2"/>
  <c r="A1371" i="2"/>
  <c r="O1370" i="2"/>
  <c r="N1370" i="2"/>
  <c r="M1370" i="2"/>
  <c r="L1370" i="2"/>
  <c r="K1370" i="2"/>
  <c r="J1370" i="2"/>
  <c r="I1370" i="2"/>
  <c r="H1370" i="2"/>
  <c r="G1370" i="2"/>
  <c r="F1370" i="2"/>
  <c r="C1370" i="2"/>
  <c r="B1370" i="2"/>
  <c r="A1370" i="2"/>
  <c r="O1369" i="2"/>
  <c r="N1369" i="2"/>
  <c r="M1369" i="2"/>
  <c r="L1369" i="2"/>
  <c r="K1369" i="2"/>
  <c r="J1369" i="2"/>
  <c r="I1369" i="2"/>
  <c r="H1369" i="2"/>
  <c r="G1369" i="2"/>
  <c r="F1369" i="2"/>
  <c r="C1369" i="2"/>
  <c r="B1369" i="2"/>
  <c r="A1369" i="2"/>
  <c r="O1368" i="2"/>
  <c r="N1368" i="2"/>
  <c r="M1368" i="2"/>
  <c r="L1368" i="2"/>
  <c r="K1368" i="2"/>
  <c r="J1368" i="2"/>
  <c r="I1368" i="2"/>
  <c r="H1368" i="2"/>
  <c r="G1368" i="2"/>
  <c r="F1368" i="2"/>
  <c r="C1368" i="2"/>
  <c r="B1368" i="2"/>
  <c r="A1368" i="2"/>
  <c r="O1367" i="2"/>
  <c r="N1367" i="2"/>
  <c r="M1367" i="2"/>
  <c r="L1367" i="2"/>
  <c r="K1367" i="2"/>
  <c r="J1367" i="2"/>
  <c r="I1367" i="2"/>
  <c r="H1367" i="2"/>
  <c r="G1367" i="2"/>
  <c r="F1367" i="2"/>
  <c r="C1367" i="2"/>
  <c r="B1367" i="2"/>
  <c r="A1367" i="2"/>
  <c r="O1366" i="2"/>
  <c r="N1366" i="2"/>
  <c r="M1366" i="2"/>
  <c r="L1366" i="2"/>
  <c r="K1366" i="2"/>
  <c r="J1366" i="2"/>
  <c r="I1366" i="2"/>
  <c r="H1366" i="2"/>
  <c r="G1366" i="2"/>
  <c r="F1366" i="2"/>
  <c r="C1366" i="2"/>
  <c r="B1366" i="2"/>
  <c r="A1366" i="2"/>
  <c r="O1365" i="2"/>
  <c r="N1365" i="2"/>
  <c r="M1365" i="2"/>
  <c r="L1365" i="2"/>
  <c r="K1365" i="2"/>
  <c r="J1365" i="2"/>
  <c r="I1365" i="2"/>
  <c r="H1365" i="2"/>
  <c r="G1365" i="2"/>
  <c r="F1365" i="2"/>
  <c r="C1365" i="2"/>
  <c r="B1365" i="2"/>
  <c r="A1365" i="2"/>
  <c r="O1364" i="2"/>
  <c r="N1364" i="2"/>
  <c r="M1364" i="2"/>
  <c r="L1364" i="2"/>
  <c r="K1364" i="2"/>
  <c r="J1364" i="2"/>
  <c r="I1364" i="2"/>
  <c r="H1364" i="2"/>
  <c r="G1364" i="2"/>
  <c r="F1364" i="2"/>
  <c r="C1364" i="2"/>
  <c r="B1364" i="2"/>
  <c r="A1364" i="2"/>
  <c r="O1363" i="2"/>
  <c r="N1363" i="2"/>
  <c r="M1363" i="2"/>
  <c r="L1363" i="2"/>
  <c r="K1363" i="2"/>
  <c r="J1363" i="2"/>
  <c r="I1363" i="2"/>
  <c r="H1363" i="2"/>
  <c r="G1363" i="2"/>
  <c r="F1363" i="2"/>
  <c r="C1363" i="2"/>
  <c r="B1363" i="2"/>
  <c r="A1363" i="2"/>
  <c r="O1362" i="2"/>
  <c r="N1362" i="2"/>
  <c r="M1362" i="2"/>
  <c r="L1362" i="2"/>
  <c r="K1362" i="2"/>
  <c r="J1362" i="2"/>
  <c r="I1362" i="2"/>
  <c r="H1362" i="2"/>
  <c r="G1362" i="2"/>
  <c r="F1362" i="2"/>
  <c r="C1362" i="2"/>
  <c r="B1362" i="2"/>
  <c r="A1362" i="2"/>
  <c r="O1361" i="2"/>
  <c r="N1361" i="2"/>
  <c r="M1361" i="2"/>
  <c r="L1361" i="2"/>
  <c r="K1361" i="2"/>
  <c r="J1361" i="2"/>
  <c r="I1361" i="2"/>
  <c r="H1361" i="2"/>
  <c r="G1361" i="2"/>
  <c r="F1361" i="2"/>
  <c r="C1361" i="2"/>
  <c r="B1361" i="2"/>
  <c r="A1361" i="2"/>
  <c r="O1360" i="2"/>
  <c r="N1360" i="2"/>
  <c r="M1360" i="2"/>
  <c r="L1360" i="2"/>
  <c r="K1360" i="2"/>
  <c r="J1360" i="2"/>
  <c r="I1360" i="2"/>
  <c r="H1360" i="2"/>
  <c r="G1360" i="2"/>
  <c r="F1360" i="2"/>
  <c r="C1360" i="2"/>
  <c r="B1360" i="2"/>
  <c r="A1360" i="2"/>
  <c r="O1359" i="2"/>
  <c r="N1359" i="2"/>
  <c r="M1359" i="2"/>
  <c r="L1359" i="2"/>
  <c r="K1359" i="2"/>
  <c r="J1359" i="2"/>
  <c r="I1359" i="2"/>
  <c r="H1359" i="2"/>
  <c r="G1359" i="2"/>
  <c r="F1359" i="2"/>
  <c r="C1359" i="2"/>
  <c r="B1359" i="2"/>
  <c r="A1359" i="2"/>
  <c r="O1358" i="2"/>
  <c r="N1358" i="2"/>
  <c r="M1358" i="2"/>
  <c r="L1358" i="2"/>
  <c r="K1358" i="2"/>
  <c r="J1358" i="2"/>
  <c r="I1358" i="2"/>
  <c r="H1358" i="2"/>
  <c r="G1358" i="2"/>
  <c r="F1358" i="2"/>
  <c r="C1358" i="2"/>
  <c r="B1358" i="2"/>
  <c r="A1358" i="2"/>
  <c r="O1357" i="2"/>
  <c r="N1357" i="2"/>
  <c r="M1357" i="2"/>
  <c r="L1357" i="2"/>
  <c r="K1357" i="2"/>
  <c r="J1357" i="2"/>
  <c r="I1357" i="2"/>
  <c r="H1357" i="2"/>
  <c r="G1357" i="2"/>
  <c r="F1357" i="2"/>
  <c r="C1357" i="2"/>
  <c r="B1357" i="2"/>
  <c r="A1357" i="2"/>
  <c r="O1356" i="2"/>
  <c r="N1356" i="2"/>
  <c r="M1356" i="2"/>
  <c r="L1356" i="2"/>
  <c r="K1356" i="2"/>
  <c r="J1356" i="2"/>
  <c r="I1356" i="2"/>
  <c r="H1356" i="2"/>
  <c r="G1356" i="2"/>
  <c r="F1356" i="2"/>
  <c r="C1356" i="2"/>
  <c r="B1356" i="2"/>
  <c r="A1356" i="2"/>
  <c r="O1355" i="2"/>
  <c r="N1355" i="2"/>
  <c r="M1355" i="2"/>
  <c r="L1355" i="2"/>
  <c r="K1355" i="2"/>
  <c r="J1355" i="2"/>
  <c r="I1355" i="2"/>
  <c r="H1355" i="2"/>
  <c r="G1355" i="2"/>
  <c r="F1355" i="2"/>
  <c r="C1355" i="2"/>
  <c r="B1355" i="2"/>
  <c r="A1355" i="2"/>
  <c r="O1354" i="2"/>
  <c r="N1354" i="2"/>
  <c r="M1354" i="2"/>
  <c r="L1354" i="2"/>
  <c r="K1354" i="2"/>
  <c r="J1354" i="2"/>
  <c r="I1354" i="2"/>
  <c r="H1354" i="2"/>
  <c r="G1354" i="2"/>
  <c r="F1354" i="2"/>
  <c r="C1354" i="2"/>
  <c r="B1354" i="2"/>
  <c r="A1354" i="2"/>
  <c r="O1353" i="2"/>
  <c r="N1353" i="2"/>
  <c r="M1353" i="2"/>
  <c r="L1353" i="2"/>
  <c r="K1353" i="2"/>
  <c r="J1353" i="2"/>
  <c r="I1353" i="2"/>
  <c r="H1353" i="2"/>
  <c r="G1353" i="2"/>
  <c r="F1353" i="2"/>
  <c r="C1353" i="2"/>
  <c r="B1353" i="2"/>
  <c r="A1353" i="2"/>
  <c r="O1352" i="2"/>
  <c r="N1352" i="2"/>
  <c r="M1352" i="2"/>
  <c r="L1352" i="2"/>
  <c r="K1352" i="2"/>
  <c r="J1352" i="2"/>
  <c r="I1352" i="2"/>
  <c r="H1352" i="2"/>
  <c r="G1352" i="2"/>
  <c r="F1352" i="2"/>
  <c r="C1352" i="2"/>
  <c r="B1352" i="2"/>
  <c r="A1352" i="2"/>
  <c r="O1351" i="2"/>
  <c r="N1351" i="2"/>
  <c r="M1351" i="2"/>
  <c r="L1351" i="2"/>
  <c r="K1351" i="2"/>
  <c r="J1351" i="2"/>
  <c r="I1351" i="2"/>
  <c r="H1351" i="2"/>
  <c r="G1351" i="2"/>
  <c r="F1351" i="2"/>
  <c r="C1351" i="2"/>
  <c r="B1351" i="2"/>
  <c r="A1351" i="2"/>
  <c r="O1350" i="2"/>
  <c r="N1350" i="2"/>
  <c r="M1350" i="2"/>
  <c r="L1350" i="2"/>
  <c r="K1350" i="2"/>
  <c r="J1350" i="2"/>
  <c r="I1350" i="2"/>
  <c r="H1350" i="2"/>
  <c r="G1350" i="2"/>
  <c r="F1350" i="2"/>
  <c r="C1350" i="2"/>
  <c r="B1350" i="2"/>
  <c r="A1350" i="2"/>
  <c r="O1349" i="2"/>
  <c r="N1349" i="2"/>
  <c r="M1349" i="2"/>
  <c r="L1349" i="2"/>
  <c r="K1349" i="2"/>
  <c r="J1349" i="2"/>
  <c r="I1349" i="2"/>
  <c r="H1349" i="2"/>
  <c r="G1349" i="2"/>
  <c r="F1349" i="2"/>
  <c r="C1349" i="2"/>
  <c r="B1349" i="2"/>
  <c r="A1349" i="2"/>
  <c r="O1348" i="2"/>
  <c r="N1348" i="2"/>
  <c r="M1348" i="2"/>
  <c r="L1348" i="2"/>
  <c r="K1348" i="2"/>
  <c r="J1348" i="2"/>
  <c r="I1348" i="2"/>
  <c r="H1348" i="2"/>
  <c r="G1348" i="2"/>
  <c r="F1348" i="2"/>
  <c r="C1348" i="2"/>
  <c r="B1348" i="2"/>
  <c r="A1348" i="2"/>
  <c r="O1347" i="2"/>
  <c r="N1347" i="2"/>
  <c r="M1347" i="2"/>
  <c r="L1347" i="2"/>
  <c r="K1347" i="2"/>
  <c r="J1347" i="2"/>
  <c r="I1347" i="2"/>
  <c r="H1347" i="2"/>
  <c r="G1347" i="2"/>
  <c r="F1347" i="2"/>
  <c r="C1347" i="2"/>
  <c r="B1347" i="2"/>
  <c r="A1347" i="2"/>
  <c r="O1346" i="2"/>
  <c r="N1346" i="2"/>
  <c r="M1346" i="2"/>
  <c r="L1346" i="2"/>
  <c r="K1346" i="2"/>
  <c r="J1346" i="2"/>
  <c r="I1346" i="2"/>
  <c r="H1346" i="2"/>
  <c r="G1346" i="2"/>
  <c r="F1346" i="2"/>
  <c r="C1346" i="2"/>
  <c r="B1346" i="2"/>
  <c r="A1346" i="2"/>
  <c r="O1345" i="2"/>
  <c r="N1345" i="2"/>
  <c r="M1345" i="2"/>
  <c r="L1345" i="2"/>
  <c r="K1345" i="2"/>
  <c r="J1345" i="2"/>
  <c r="I1345" i="2"/>
  <c r="H1345" i="2"/>
  <c r="G1345" i="2"/>
  <c r="F1345" i="2"/>
  <c r="C1345" i="2"/>
  <c r="B1345" i="2"/>
  <c r="A1345" i="2"/>
  <c r="O1344" i="2"/>
  <c r="N1344" i="2"/>
  <c r="M1344" i="2"/>
  <c r="L1344" i="2"/>
  <c r="K1344" i="2"/>
  <c r="J1344" i="2"/>
  <c r="I1344" i="2"/>
  <c r="H1344" i="2"/>
  <c r="G1344" i="2"/>
  <c r="F1344" i="2"/>
  <c r="C1344" i="2"/>
  <c r="B1344" i="2"/>
  <c r="A1344" i="2"/>
  <c r="O1343" i="2"/>
  <c r="N1343" i="2"/>
  <c r="M1343" i="2"/>
  <c r="L1343" i="2"/>
  <c r="K1343" i="2"/>
  <c r="J1343" i="2"/>
  <c r="I1343" i="2"/>
  <c r="H1343" i="2"/>
  <c r="G1343" i="2"/>
  <c r="F1343" i="2"/>
  <c r="C1343" i="2"/>
  <c r="B1343" i="2"/>
  <c r="A1343" i="2"/>
  <c r="O1342" i="2"/>
  <c r="N1342" i="2"/>
  <c r="M1342" i="2"/>
  <c r="L1342" i="2"/>
  <c r="K1342" i="2"/>
  <c r="J1342" i="2"/>
  <c r="I1342" i="2"/>
  <c r="H1342" i="2"/>
  <c r="G1342" i="2"/>
  <c r="F1342" i="2"/>
  <c r="C1342" i="2"/>
  <c r="B1342" i="2"/>
  <c r="A1342" i="2"/>
  <c r="O1341" i="2"/>
  <c r="N1341" i="2"/>
  <c r="M1341" i="2"/>
  <c r="L1341" i="2"/>
  <c r="K1341" i="2"/>
  <c r="J1341" i="2"/>
  <c r="I1341" i="2"/>
  <c r="H1341" i="2"/>
  <c r="G1341" i="2"/>
  <c r="F1341" i="2"/>
  <c r="C1341" i="2"/>
  <c r="B1341" i="2"/>
  <c r="A1341" i="2"/>
  <c r="O1340" i="2"/>
  <c r="N1340" i="2"/>
  <c r="M1340" i="2"/>
  <c r="L1340" i="2"/>
  <c r="K1340" i="2"/>
  <c r="J1340" i="2"/>
  <c r="I1340" i="2"/>
  <c r="H1340" i="2"/>
  <c r="G1340" i="2"/>
  <c r="F1340" i="2"/>
  <c r="C1340" i="2"/>
  <c r="B1340" i="2"/>
  <c r="A1340" i="2"/>
  <c r="O1339" i="2"/>
  <c r="N1339" i="2"/>
  <c r="M1339" i="2"/>
  <c r="L1339" i="2"/>
  <c r="K1339" i="2"/>
  <c r="J1339" i="2"/>
  <c r="I1339" i="2"/>
  <c r="H1339" i="2"/>
  <c r="G1339" i="2"/>
  <c r="F1339" i="2"/>
  <c r="C1339" i="2"/>
  <c r="B1339" i="2"/>
  <c r="A1339" i="2"/>
  <c r="O1338" i="2"/>
  <c r="N1338" i="2"/>
  <c r="M1338" i="2"/>
  <c r="L1338" i="2"/>
  <c r="K1338" i="2"/>
  <c r="J1338" i="2"/>
  <c r="I1338" i="2"/>
  <c r="H1338" i="2"/>
  <c r="G1338" i="2"/>
  <c r="F1338" i="2"/>
  <c r="C1338" i="2"/>
  <c r="B1338" i="2"/>
  <c r="A1338" i="2"/>
  <c r="O1337" i="2"/>
  <c r="N1337" i="2"/>
  <c r="M1337" i="2"/>
  <c r="L1337" i="2"/>
  <c r="K1337" i="2"/>
  <c r="J1337" i="2"/>
  <c r="I1337" i="2"/>
  <c r="H1337" i="2"/>
  <c r="G1337" i="2"/>
  <c r="F1337" i="2"/>
  <c r="C1337" i="2"/>
  <c r="B1337" i="2"/>
  <c r="A1337" i="2"/>
  <c r="O1336" i="2"/>
  <c r="N1336" i="2"/>
  <c r="M1336" i="2"/>
  <c r="L1336" i="2"/>
  <c r="K1336" i="2"/>
  <c r="J1336" i="2"/>
  <c r="I1336" i="2"/>
  <c r="H1336" i="2"/>
  <c r="G1336" i="2"/>
  <c r="F1336" i="2"/>
  <c r="C1336" i="2"/>
  <c r="B1336" i="2"/>
  <c r="A1336" i="2"/>
  <c r="O1335" i="2"/>
  <c r="N1335" i="2"/>
  <c r="M1335" i="2"/>
  <c r="L1335" i="2"/>
  <c r="K1335" i="2"/>
  <c r="J1335" i="2"/>
  <c r="I1335" i="2"/>
  <c r="H1335" i="2"/>
  <c r="G1335" i="2"/>
  <c r="F1335" i="2"/>
  <c r="C1335" i="2"/>
  <c r="B1335" i="2"/>
  <c r="A1335" i="2"/>
  <c r="O1334" i="2"/>
  <c r="N1334" i="2"/>
  <c r="M1334" i="2"/>
  <c r="L1334" i="2"/>
  <c r="K1334" i="2"/>
  <c r="J1334" i="2"/>
  <c r="I1334" i="2"/>
  <c r="H1334" i="2"/>
  <c r="G1334" i="2"/>
  <c r="F1334" i="2"/>
  <c r="C1334" i="2"/>
  <c r="B1334" i="2"/>
  <c r="A1334" i="2"/>
  <c r="O1333" i="2"/>
  <c r="N1333" i="2"/>
  <c r="M1333" i="2"/>
  <c r="L1333" i="2"/>
  <c r="K1333" i="2"/>
  <c r="J1333" i="2"/>
  <c r="I1333" i="2"/>
  <c r="H1333" i="2"/>
  <c r="G1333" i="2"/>
  <c r="F1333" i="2"/>
  <c r="C1333" i="2"/>
  <c r="B1333" i="2"/>
  <c r="A1333" i="2"/>
  <c r="O1332" i="2"/>
  <c r="N1332" i="2"/>
  <c r="M1332" i="2"/>
  <c r="L1332" i="2"/>
  <c r="K1332" i="2"/>
  <c r="J1332" i="2"/>
  <c r="I1332" i="2"/>
  <c r="H1332" i="2"/>
  <c r="G1332" i="2"/>
  <c r="F1332" i="2"/>
  <c r="C1332" i="2"/>
  <c r="B1332" i="2"/>
  <c r="A1332" i="2"/>
  <c r="O1331" i="2"/>
  <c r="N1331" i="2"/>
  <c r="M1331" i="2"/>
  <c r="L1331" i="2"/>
  <c r="K1331" i="2"/>
  <c r="J1331" i="2"/>
  <c r="I1331" i="2"/>
  <c r="H1331" i="2"/>
  <c r="G1331" i="2"/>
  <c r="F1331" i="2"/>
  <c r="C1331" i="2"/>
  <c r="B1331" i="2"/>
  <c r="A1331" i="2"/>
  <c r="O1330" i="2"/>
  <c r="N1330" i="2"/>
  <c r="M1330" i="2"/>
  <c r="L1330" i="2"/>
  <c r="K1330" i="2"/>
  <c r="J1330" i="2"/>
  <c r="I1330" i="2"/>
  <c r="H1330" i="2"/>
  <c r="G1330" i="2"/>
  <c r="F1330" i="2"/>
  <c r="C1330" i="2"/>
  <c r="B1330" i="2"/>
  <c r="A1330" i="2"/>
  <c r="O1329" i="2"/>
  <c r="N1329" i="2"/>
  <c r="M1329" i="2"/>
  <c r="L1329" i="2"/>
  <c r="K1329" i="2"/>
  <c r="J1329" i="2"/>
  <c r="I1329" i="2"/>
  <c r="H1329" i="2"/>
  <c r="G1329" i="2"/>
  <c r="F1329" i="2"/>
  <c r="C1329" i="2"/>
  <c r="B1329" i="2"/>
  <c r="A1329" i="2"/>
  <c r="O1328" i="2"/>
  <c r="N1328" i="2"/>
  <c r="M1328" i="2"/>
  <c r="L1328" i="2"/>
  <c r="K1328" i="2"/>
  <c r="J1328" i="2"/>
  <c r="I1328" i="2"/>
  <c r="H1328" i="2"/>
  <c r="G1328" i="2"/>
  <c r="F1328" i="2"/>
  <c r="C1328" i="2"/>
  <c r="B1328" i="2"/>
  <c r="A1328" i="2"/>
  <c r="O1327" i="2"/>
  <c r="N1327" i="2"/>
  <c r="M1327" i="2"/>
  <c r="L1327" i="2"/>
  <c r="K1327" i="2"/>
  <c r="J1327" i="2"/>
  <c r="I1327" i="2"/>
  <c r="H1327" i="2"/>
  <c r="G1327" i="2"/>
  <c r="F1327" i="2"/>
  <c r="C1327" i="2"/>
  <c r="B1327" i="2"/>
  <c r="A1327" i="2"/>
  <c r="O1326" i="2"/>
  <c r="N1326" i="2"/>
  <c r="M1326" i="2"/>
  <c r="L1326" i="2"/>
  <c r="K1326" i="2"/>
  <c r="J1326" i="2"/>
  <c r="I1326" i="2"/>
  <c r="H1326" i="2"/>
  <c r="G1326" i="2"/>
  <c r="F1326" i="2"/>
  <c r="C1326" i="2"/>
  <c r="B1326" i="2"/>
  <c r="A1326" i="2"/>
  <c r="O1325" i="2"/>
  <c r="N1325" i="2"/>
  <c r="M1325" i="2"/>
  <c r="L1325" i="2"/>
  <c r="K1325" i="2"/>
  <c r="J1325" i="2"/>
  <c r="I1325" i="2"/>
  <c r="H1325" i="2"/>
  <c r="G1325" i="2"/>
  <c r="F1325" i="2"/>
  <c r="C1325" i="2"/>
  <c r="B1325" i="2"/>
  <c r="A1325" i="2"/>
  <c r="O1324" i="2"/>
  <c r="N1324" i="2"/>
  <c r="M1324" i="2"/>
  <c r="L1324" i="2"/>
  <c r="K1324" i="2"/>
  <c r="J1324" i="2"/>
  <c r="I1324" i="2"/>
  <c r="H1324" i="2"/>
  <c r="G1324" i="2"/>
  <c r="F1324" i="2"/>
  <c r="C1324" i="2"/>
  <c r="B1324" i="2"/>
  <c r="A1324" i="2"/>
  <c r="O1323" i="2"/>
  <c r="N1323" i="2"/>
  <c r="M1323" i="2"/>
  <c r="L1323" i="2"/>
  <c r="K1323" i="2"/>
  <c r="J1323" i="2"/>
  <c r="I1323" i="2"/>
  <c r="H1323" i="2"/>
  <c r="G1323" i="2"/>
  <c r="F1323" i="2"/>
  <c r="C1323" i="2"/>
  <c r="B1323" i="2"/>
  <c r="A1323" i="2"/>
  <c r="O1322" i="2"/>
  <c r="N1322" i="2"/>
  <c r="M1322" i="2"/>
  <c r="L1322" i="2"/>
  <c r="K1322" i="2"/>
  <c r="J1322" i="2"/>
  <c r="I1322" i="2"/>
  <c r="H1322" i="2"/>
  <c r="G1322" i="2"/>
  <c r="F1322" i="2"/>
  <c r="C1322" i="2"/>
  <c r="B1322" i="2"/>
  <c r="A1322" i="2"/>
  <c r="O1321" i="2"/>
  <c r="N1321" i="2"/>
  <c r="M1321" i="2"/>
  <c r="L1321" i="2"/>
  <c r="K1321" i="2"/>
  <c r="J1321" i="2"/>
  <c r="I1321" i="2"/>
  <c r="H1321" i="2"/>
  <c r="G1321" i="2"/>
  <c r="F1321" i="2"/>
  <c r="C1321" i="2"/>
  <c r="B1321" i="2"/>
  <c r="A1321" i="2"/>
  <c r="O1320" i="2"/>
  <c r="N1320" i="2"/>
  <c r="M1320" i="2"/>
  <c r="L1320" i="2"/>
  <c r="K1320" i="2"/>
  <c r="J1320" i="2"/>
  <c r="I1320" i="2"/>
  <c r="H1320" i="2"/>
  <c r="G1320" i="2"/>
  <c r="F1320" i="2"/>
  <c r="C1320" i="2"/>
  <c r="B1320" i="2"/>
  <c r="A1320" i="2"/>
  <c r="O1319" i="2"/>
  <c r="N1319" i="2"/>
  <c r="M1319" i="2"/>
  <c r="L1319" i="2"/>
  <c r="K1319" i="2"/>
  <c r="J1319" i="2"/>
  <c r="I1319" i="2"/>
  <c r="H1319" i="2"/>
  <c r="G1319" i="2"/>
  <c r="F1319" i="2"/>
  <c r="C1319" i="2"/>
  <c r="B1319" i="2"/>
  <c r="A1319" i="2"/>
  <c r="O1318" i="2"/>
  <c r="N1318" i="2"/>
  <c r="M1318" i="2"/>
  <c r="L1318" i="2"/>
  <c r="K1318" i="2"/>
  <c r="J1318" i="2"/>
  <c r="I1318" i="2"/>
  <c r="H1318" i="2"/>
  <c r="G1318" i="2"/>
  <c r="F1318" i="2"/>
  <c r="C1318" i="2"/>
  <c r="B1318" i="2"/>
  <c r="A1318" i="2"/>
  <c r="O1317" i="2"/>
  <c r="N1317" i="2"/>
  <c r="M1317" i="2"/>
  <c r="L1317" i="2"/>
  <c r="K1317" i="2"/>
  <c r="J1317" i="2"/>
  <c r="I1317" i="2"/>
  <c r="H1317" i="2"/>
  <c r="G1317" i="2"/>
  <c r="F1317" i="2"/>
  <c r="C1317" i="2"/>
  <c r="B1317" i="2"/>
  <c r="A1317" i="2"/>
  <c r="O1316" i="2"/>
  <c r="N1316" i="2"/>
  <c r="M1316" i="2"/>
  <c r="L1316" i="2"/>
  <c r="K1316" i="2"/>
  <c r="J1316" i="2"/>
  <c r="I1316" i="2"/>
  <c r="H1316" i="2"/>
  <c r="G1316" i="2"/>
  <c r="F1316" i="2"/>
  <c r="C1316" i="2"/>
  <c r="B1316" i="2"/>
  <c r="A1316" i="2"/>
  <c r="O1315" i="2"/>
  <c r="N1315" i="2"/>
  <c r="M1315" i="2"/>
  <c r="L1315" i="2"/>
  <c r="K1315" i="2"/>
  <c r="J1315" i="2"/>
  <c r="I1315" i="2"/>
  <c r="H1315" i="2"/>
  <c r="G1315" i="2"/>
  <c r="F1315" i="2"/>
  <c r="C1315" i="2"/>
  <c r="B1315" i="2"/>
  <c r="A1315" i="2"/>
  <c r="O1314" i="2"/>
  <c r="N1314" i="2"/>
  <c r="M1314" i="2"/>
  <c r="L1314" i="2"/>
  <c r="K1314" i="2"/>
  <c r="J1314" i="2"/>
  <c r="I1314" i="2"/>
  <c r="H1314" i="2"/>
  <c r="G1314" i="2"/>
  <c r="F1314" i="2"/>
  <c r="C1314" i="2"/>
  <c r="B1314" i="2"/>
  <c r="A1314" i="2"/>
  <c r="O1313" i="2"/>
  <c r="N1313" i="2"/>
  <c r="M1313" i="2"/>
  <c r="L1313" i="2"/>
  <c r="K1313" i="2"/>
  <c r="J1313" i="2"/>
  <c r="I1313" i="2"/>
  <c r="H1313" i="2"/>
  <c r="G1313" i="2"/>
  <c r="F1313" i="2"/>
  <c r="C1313" i="2"/>
  <c r="B1313" i="2"/>
  <c r="A1313" i="2"/>
  <c r="O1312" i="2"/>
  <c r="N1312" i="2"/>
  <c r="M1312" i="2"/>
  <c r="L1312" i="2"/>
  <c r="K1312" i="2"/>
  <c r="J1312" i="2"/>
  <c r="I1312" i="2"/>
  <c r="H1312" i="2"/>
  <c r="G1312" i="2"/>
  <c r="F1312" i="2"/>
  <c r="C1312" i="2"/>
  <c r="B1312" i="2"/>
  <c r="A1312" i="2"/>
  <c r="O1311" i="2"/>
  <c r="N1311" i="2"/>
  <c r="M1311" i="2"/>
  <c r="L1311" i="2"/>
  <c r="K1311" i="2"/>
  <c r="J1311" i="2"/>
  <c r="I1311" i="2"/>
  <c r="H1311" i="2"/>
  <c r="G1311" i="2"/>
  <c r="F1311" i="2"/>
  <c r="C1311" i="2"/>
  <c r="B1311" i="2"/>
  <c r="A1311" i="2"/>
  <c r="O1310" i="2"/>
  <c r="N1310" i="2"/>
  <c r="M1310" i="2"/>
  <c r="L1310" i="2"/>
  <c r="K1310" i="2"/>
  <c r="J1310" i="2"/>
  <c r="I1310" i="2"/>
  <c r="H1310" i="2"/>
  <c r="G1310" i="2"/>
  <c r="F1310" i="2"/>
  <c r="C1310" i="2"/>
  <c r="B1310" i="2"/>
  <c r="A1310" i="2"/>
  <c r="O1309" i="2"/>
  <c r="N1309" i="2"/>
  <c r="M1309" i="2"/>
  <c r="L1309" i="2"/>
  <c r="K1309" i="2"/>
  <c r="J1309" i="2"/>
  <c r="I1309" i="2"/>
  <c r="H1309" i="2"/>
  <c r="G1309" i="2"/>
  <c r="F1309" i="2"/>
  <c r="C1309" i="2"/>
  <c r="B1309" i="2"/>
  <c r="A1309" i="2"/>
  <c r="O1308" i="2"/>
  <c r="N1308" i="2"/>
  <c r="M1308" i="2"/>
  <c r="L1308" i="2"/>
  <c r="K1308" i="2"/>
  <c r="J1308" i="2"/>
  <c r="I1308" i="2"/>
  <c r="H1308" i="2"/>
  <c r="G1308" i="2"/>
  <c r="F1308" i="2"/>
  <c r="C1308" i="2"/>
  <c r="B1308" i="2"/>
  <c r="A1308" i="2"/>
  <c r="O1307" i="2"/>
  <c r="N1307" i="2"/>
  <c r="M1307" i="2"/>
  <c r="L1307" i="2"/>
  <c r="K1307" i="2"/>
  <c r="J1307" i="2"/>
  <c r="I1307" i="2"/>
  <c r="H1307" i="2"/>
  <c r="G1307" i="2"/>
  <c r="F1307" i="2"/>
  <c r="C1307" i="2"/>
  <c r="B1307" i="2"/>
  <c r="A1307" i="2"/>
  <c r="O1306" i="2"/>
  <c r="N1306" i="2"/>
  <c r="M1306" i="2"/>
  <c r="L1306" i="2"/>
  <c r="K1306" i="2"/>
  <c r="J1306" i="2"/>
  <c r="I1306" i="2"/>
  <c r="H1306" i="2"/>
  <c r="G1306" i="2"/>
  <c r="F1306" i="2"/>
  <c r="C1306" i="2"/>
  <c r="B1306" i="2"/>
  <c r="A1306" i="2"/>
  <c r="O1305" i="2"/>
  <c r="N1305" i="2"/>
  <c r="M1305" i="2"/>
  <c r="L1305" i="2"/>
  <c r="K1305" i="2"/>
  <c r="J1305" i="2"/>
  <c r="I1305" i="2"/>
  <c r="H1305" i="2"/>
  <c r="G1305" i="2"/>
  <c r="F1305" i="2"/>
  <c r="C1305" i="2"/>
  <c r="B1305" i="2"/>
  <c r="A1305" i="2"/>
  <c r="O1304" i="2"/>
  <c r="N1304" i="2"/>
  <c r="M1304" i="2"/>
  <c r="L1304" i="2"/>
  <c r="K1304" i="2"/>
  <c r="J1304" i="2"/>
  <c r="I1304" i="2"/>
  <c r="H1304" i="2"/>
  <c r="G1304" i="2"/>
  <c r="F1304" i="2"/>
  <c r="C1304" i="2"/>
  <c r="B1304" i="2"/>
  <c r="A1304" i="2"/>
  <c r="O1303" i="2"/>
  <c r="N1303" i="2"/>
  <c r="M1303" i="2"/>
  <c r="L1303" i="2"/>
  <c r="K1303" i="2"/>
  <c r="J1303" i="2"/>
  <c r="I1303" i="2"/>
  <c r="H1303" i="2"/>
  <c r="G1303" i="2"/>
  <c r="F1303" i="2"/>
  <c r="C1303" i="2"/>
  <c r="B1303" i="2"/>
  <c r="A1303" i="2"/>
  <c r="O1302" i="2"/>
  <c r="N1302" i="2"/>
  <c r="M1302" i="2"/>
  <c r="L1302" i="2"/>
  <c r="K1302" i="2"/>
  <c r="J1302" i="2"/>
  <c r="I1302" i="2"/>
  <c r="H1302" i="2"/>
  <c r="G1302" i="2"/>
  <c r="F1302" i="2"/>
  <c r="C1302" i="2"/>
  <c r="B1302" i="2"/>
  <c r="A1302" i="2"/>
  <c r="O1301" i="2"/>
  <c r="N1301" i="2"/>
  <c r="M1301" i="2"/>
  <c r="L1301" i="2"/>
  <c r="K1301" i="2"/>
  <c r="J1301" i="2"/>
  <c r="I1301" i="2"/>
  <c r="H1301" i="2"/>
  <c r="G1301" i="2"/>
  <c r="F1301" i="2"/>
  <c r="C1301" i="2"/>
  <c r="B1301" i="2"/>
  <c r="A1301" i="2"/>
  <c r="O1300" i="2"/>
  <c r="N1300" i="2"/>
  <c r="M1300" i="2"/>
  <c r="L1300" i="2"/>
  <c r="K1300" i="2"/>
  <c r="J1300" i="2"/>
  <c r="I1300" i="2"/>
  <c r="H1300" i="2"/>
  <c r="G1300" i="2"/>
  <c r="F1300" i="2"/>
  <c r="C1300" i="2"/>
  <c r="B1300" i="2"/>
  <c r="A1300" i="2"/>
  <c r="O1299" i="2"/>
  <c r="N1299" i="2"/>
  <c r="M1299" i="2"/>
  <c r="L1299" i="2"/>
  <c r="K1299" i="2"/>
  <c r="J1299" i="2"/>
  <c r="I1299" i="2"/>
  <c r="H1299" i="2"/>
  <c r="G1299" i="2"/>
  <c r="F1299" i="2"/>
  <c r="C1299" i="2"/>
  <c r="B1299" i="2"/>
  <c r="A1299" i="2"/>
  <c r="O1298" i="2"/>
  <c r="N1298" i="2"/>
  <c r="M1298" i="2"/>
  <c r="L1298" i="2"/>
  <c r="K1298" i="2"/>
  <c r="J1298" i="2"/>
  <c r="I1298" i="2"/>
  <c r="H1298" i="2"/>
  <c r="G1298" i="2"/>
  <c r="F1298" i="2"/>
  <c r="C1298" i="2"/>
  <c r="B1298" i="2"/>
  <c r="A1298" i="2"/>
  <c r="O1297" i="2"/>
  <c r="N1297" i="2"/>
  <c r="M1297" i="2"/>
  <c r="L1297" i="2"/>
  <c r="K1297" i="2"/>
  <c r="J1297" i="2"/>
  <c r="I1297" i="2"/>
  <c r="H1297" i="2"/>
  <c r="G1297" i="2"/>
  <c r="F1297" i="2"/>
  <c r="C1297" i="2"/>
  <c r="B1297" i="2"/>
  <c r="A1297" i="2"/>
  <c r="O1296" i="2"/>
  <c r="N1296" i="2"/>
  <c r="M1296" i="2"/>
  <c r="L1296" i="2"/>
  <c r="K1296" i="2"/>
  <c r="J1296" i="2"/>
  <c r="I1296" i="2"/>
  <c r="H1296" i="2"/>
  <c r="G1296" i="2"/>
  <c r="F1296" i="2"/>
  <c r="C1296" i="2"/>
  <c r="B1296" i="2"/>
  <c r="A1296" i="2"/>
  <c r="O1295" i="2"/>
  <c r="N1295" i="2"/>
  <c r="M1295" i="2"/>
  <c r="L1295" i="2"/>
  <c r="K1295" i="2"/>
  <c r="J1295" i="2"/>
  <c r="I1295" i="2"/>
  <c r="H1295" i="2"/>
  <c r="G1295" i="2"/>
  <c r="F1295" i="2"/>
  <c r="C1295" i="2"/>
  <c r="B1295" i="2"/>
  <c r="A1295" i="2"/>
  <c r="O1294" i="2"/>
  <c r="N1294" i="2"/>
  <c r="M1294" i="2"/>
  <c r="L1294" i="2"/>
  <c r="K1294" i="2"/>
  <c r="J1294" i="2"/>
  <c r="I1294" i="2"/>
  <c r="H1294" i="2"/>
  <c r="G1294" i="2"/>
  <c r="F1294" i="2"/>
  <c r="C1294" i="2"/>
  <c r="B1294" i="2"/>
  <c r="A1294" i="2"/>
  <c r="O1293" i="2"/>
  <c r="N1293" i="2"/>
  <c r="M1293" i="2"/>
  <c r="L1293" i="2"/>
  <c r="K1293" i="2"/>
  <c r="J1293" i="2"/>
  <c r="I1293" i="2"/>
  <c r="H1293" i="2"/>
  <c r="G1293" i="2"/>
  <c r="F1293" i="2"/>
  <c r="C1293" i="2"/>
  <c r="B1293" i="2"/>
  <c r="A1293" i="2"/>
  <c r="O1292" i="2"/>
  <c r="N1292" i="2"/>
  <c r="M1292" i="2"/>
  <c r="L1292" i="2"/>
  <c r="K1292" i="2"/>
  <c r="J1292" i="2"/>
  <c r="I1292" i="2"/>
  <c r="H1292" i="2"/>
  <c r="G1292" i="2"/>
  <c r="F1292" i="2"/>
  <c r="C1292" i="2"/>
  <c r="B1292" i="2"/>
  <c r="A1292" i="2"/>
  <c r="O1291" i="2"/>
  <c r="N1291" i="2"/>
  <c r="M1291" i="2"/>
  <c r="L1291" i="2"/>
  <c r="K1291" i="2"/>
  <c r="J1291" i="2"/>
  <c r="I1291" i="2"/>
  <c r="H1291" i="2"/>
  <c r="G1291" i="2"/>
  <c r="F1291" i="2"/>
  <c r="C1291" i="2"/>
  <c r="B1291" i="2"/>
  <c r="A1291" i="2"/>
  <c r="O1290" i="2"/>
  <c r="N1290" i="2"/>
  <c r="M1290" i="2"/>
  <c r="L1290" i="2"/>
  <c r="K1290" i="2"/>
  <c r="J1290" i="2"/>
  <c r="I1290" i="2"/>
  <c r="H1290" i="2"/>
  <c r="G1290" i="2"/>
  <c r="F1290" i="2"/>
  <c r="C1290" i="2"/>
  <c r="B1290" i="2"/>
  <c r="A1290" i="2"/>
  <c r="O1289" i="2"/>
  <c r="N1289" i="2"/>
  <c r="M1289" i="2"/>
  <c r="L1289" i="2"/>
  <c r="K1289" i="2"/>
  <c r="J1289" i="2"/>
  <c r="I1289" i="2"/>
  <c r="H1289" i="2"/>
  <c r="G1289" i="2"/>
  <c r="F1289" i="2"/>
  <c r="C1289" i="2"/>
  <c r="B1289" i="2"/>
  <c r="A1289" i="2"/>
  <c r="O1288" i="2"/>
  <c r="N1288" i="2"/>
  <c r="M1288" i="2"/>
  <c r="L1288" i="2"/>
  <c r="K1288" i="2"/>
  <c r="J1288" i="2"/>
  <c r="I1288" i="2"/>
  <c r="H1288" i="2"/>
  <c r="G1288" i="2"/>
  <c r="F1288" i="2"/>
  <c r="C1288" i="2"/>
  <c r="B1288" i="2"/>
  <c r="A1288" i="2"/>
  <c r="O1287" i="2"/>
  <c r="N1287" i="2"/>
  <c r="M1287" i="2"/>
  <c r="L1287" i="2"/>
  <c r="K1287" i="2"/>
  <c r="J1287" i="2"/>
  <c r="I1287" i="2"/>
  <c r="H1287" i="2"/>
  <c r="G1287" i="2"/>
  <c r="F1287" i="2"/>
  <c r="C1287" i="2"/>
  <c r="B1287" i="2"/>
  <c r="A1287" i="2"/>
  <c r="O1286" i="2"/>
  <c r="N1286" i="2"/>
  <c r="M1286" i="2"/>
  <c r="L1286" i="2"/>
  <c r="K1286" i="2"/>
  <c r="J1286" i="2"/>
  <c r="I1286" i="2"/>
  <c r="H1286" i="2"/>
  <c r="G1286" i="2"/>
  <c r="F1286" i="2"/>
  <c r="C1286" i="2"/>
  <c r="B1286" i="2"/>
  <c r="A1286" i="2"/>
  <c r="O1285" i="2"/>
  <c r="N1285" i="2"/>
  <c r="M1285" i="2"/>
  <c r="L1285" i="2"/>
  <c r="K1285" i="2"/>
  <c r="J1285" i="2"/>
  <c r="I1285" i="2"/>
  <c r="H1285" i="2"/>
  <c r="G1285" i="2"/>
  <c r="F1285" i="2"/>
  <c r="C1285" i="2"/>
  <c r="B1285" i="2"/>
  <c r="A1285" i="2"/>
  <c r="O1284" i="2"/>
  <c r="N1284" i="2"/>
  <c r="M1284" i="2"/>
  <c r="L1284" i="2"/>
  <c r="K1284" i="2"/>
  <c r="J1284" i="2"/>
  <c r="I1284" i="2"/>
  <c r="H1284" i="2"/>
  <c r="G1284" i="2"/>
  <c r="F1284" i="2"/>
  <c r="C1284" i="2"/>
  <c r="B1284" i="2"/>
  <c r="A1284" i="2"/>
  <c r="O1283" i="2"/>
  <c r="N1283" i="2"/>
  <c r="M1283" i="2"/>
  <c r="L1283" i="2"/>
  <c r="K1283" i="2"/>
  <c r="J1283" i="2"/>
  <c r="I1283" i="2"/>
  <c r="H1283" i="2"/>
  <c r="G1283" i="2"/>
  <c r="F1283" i="2"/>
  <c r="C1283" i="2"/>
  <c r="B1283" i="2"/>
  <c r="A1283" i="2"/>
  <c r="O1282" i="2"/>
  <c r="N1282" i="2"/>
  <c r="M1282" i="2"/>
  <c r="L1282" i="2"/>
  <c r="K1282" i="2"/>
  <c r="J1282" i="2"/>
  <c r="I1282" i="2"/>
  <c r="H1282" i="2"/>
  <c r="G1282" i="2"/>
  <c r="F1282" i="2"/>
  <c r="C1282" i="2"/>
  <c r="B1282" i="2"/>
  <c r="A1282" i="2"/>
  <c r="O1281" i="2"/>
  <c r="N1281" i="2"/>
  <c r="M1281" i="2"/>
  <c r="L1281" i="2"/>
  <c r="K1281" i="2"/>
  <c r="J1281" i="2"/>
  <c r="I1281" i="2"/>
  <c r="H1281" i="2"/>
  <c r="G1281" i="2"/>
  <c r="F1281" i="2"/>
  <c r="C1281" i="2"/>
  <c r="B1281" i="2"/>
  <c r="A1281" i="2"/>
  <c r="O1280" i="2"/>
  <c r="N1280" i="2"/>
  <c r="M1280" i="2"/>
  <c r="L1280" i="2"/>
  <c r="K1280" i="2"/>
  <c r="J1280" i="2"/>
  <c r="I1280" i="2"/>
  <c r="H1280" i="2"/>
  <c r="G1280" i="2"/>
  <c r="F1280" i="2"/>
  <c r="C1280" i="2"/>
  <c r="B1280" i="2"/>
  <c r="A1280" i="2"/>
  <c r="O1279" i="2"/>
  <c r="N1279" i="2"/>
  <c r="M1279" i="2"/>
  <c r="L1279" i="2"/>
  <c r="K1279" i="2"/>
  <c r="J1279" i="2"/>
  <c r="I1279" i="2"/>
  <c r="H1279" i="2"/>
  <c r="G1279" i="2"/>
  <c r="F1279" i="2"/>
  <c r="C1279" i="2"/>
  <c r="B1279" i="2"/>
  <c r="A1279" i="2"/>
  <c r="O1278" i="2"/>
  <c r="N1278" i="2"/>
  <c r="M1278" i="2"/>
  <c r="L1278" i="2"/>
  <c r="K1278" i="2"/>
  <c r="J1278" i="2"/>
  <c r="I1278" i="2"/>
  <c r="H1278" i="2"/>
  <c r="G1278" i="2"/>
  <c r="F1278" i="2"/>
  <c r="C1278" i="2"/>
  <c r="B1278" i="2"/>
  <c r="A1278" i="2"/>
  <c r="O1277" i="2"/>
  <c r="N1277" i="2"/>
  <c r="M1277" i="2"/>
  <c r="L1277" i="2"/>
  <c r="K1277" i="2"/>
  <c r="J1277" i="2"/>
  <c r="I1277" i="2"/>
  <c r="H1277" i="2"/>
  <c r="G1277" i="2"/>
  <c r="F1277" i="2"/>
  <c r="C1277" i="2"/>
  <c r="B1277" i="2"/>
  <c r="A1277" i="2"/>
  <c r="O1276" i="2"/>
  <c r="N1276" i="2"/>
  <c r="M1276" i="2"/>
  <c r="L1276" i="2"/>
  <c r="K1276" i="2"/>
  <c r="J1276" i="2"/>
  <c r="I1276" i="2"/>
  <c r="H1276" i="2"/>
  <c r="G1276" i="2"/>
  <c r="F1276" i="2"/>
  <c r="C1276" i="2"/>
  <c r="B1276" i="2"/>
  <c r="A1276" i="2"/>
  <c r="O1275" i="2"/>
  <c r="N1275" i="2"/>
  <c r="M1275" i="2"/>
  <c r="L1275" i="2"/>
  <c r="K1275" i="2"/>
  <c r="J1275" i="2"/>
  <c r="I1275" i="2"/>
  <c r="H1275" i="2"/>
  <c r="G1275" i="2"/>
  <c r="F1275" i="2"/>
  <c r="C1275" i="2"/>
  <c r="B1275" i="2"/>
  <c r="A1275" i="2"/>
  <c r="O1274" i="2"/>
  <c r="N1274" i="2"/>
  <c r="M1274" i="2"/>
  <c r="L1274" i="2"/>
  <c r="K1274" i="2"/>
  <c r="J1274" i="2"/>
  <c r="I1274" i="2"/>
  <c r="H1274" i="2"/>
  <c r="G1274" i="2"/>
  <c r="F1274" i="2"/>
  <c r="C1274" i="2"/>
  <c r="B1274" i="2"/>
  <c r="A1274" i="2"/>
  <c r="O1273" i="2"/>
  <c r="N1273" i="2"/>
  <c r="M1273" i="2"/>
  <c r="L1273" i="2"/>
  <c r="K1273" i="2"/>
  <c r="J1273" i="2"/>
  <c r="I1273" i="2"/>
  <c r="H1273" i="2"/>
  <c r="G1273" i="2"/>
  <c r="F1273" i="2"/>
  <c r="C1273" i="2"/>
  <c r="B1273" i="2"/>
  <c r="A1273" i="2"/>
  <c r="O1272" i="2"/>
  <c r="N1272" i="2"/>
  <c r="M1272" i="2"/>
  <c r="L1272" i="2"/>
  <c r="K1272" i="2"/>
  <c r="J1272" i="2"/>
  <c r="I1272" i="2"/>
  <c r="H1272" i="2"/>
  <c r="G1272" i="2"/>
  <c r="F1272" i="2"/>
  <c r="C1272" i="2"/>
  <c r="B1272" i="2"/>
  <c r="A1272" i="2"/>
  <c r="O1271" i="2"/>
  <c r="N1271" i="2"/>
  <c r="M1271" i="2"/>
  <c r="L1271" i="2"/>
  <c r="K1271" i="2"/>
  <c r="J1271" i="2"/>
  <c r="I1271" i="2"/>
  <c r="H1271" i="2"/>
  <c r="G1271" i="2"/>
  <c r="F1271" i="2"/>
  <c r="C1271" i="2"/>
  <c r="B1271" i="2"/>
  <c r="A1271" i="2"/>
  <c r="O1270" i="2"/>
  <c r="N1270" i="2"/>
  <c r="M1270" i="2"/>
  <c r="L1270" i="2"/>
  <c r="K1270" i="2"/>
  <c r="J1270" i="2"/>
  <c r="I1270" i="2"/>
  <c r="H1270" i="2"/>
  <c r="G1270" i="2"/>
  <c r="F1270" i="2"/>
  <c r="C1270" i="2"/>
  <c r="B1270" i="2"/>
  <c r="A1270" i="2"/>
  <c r="O1269" i="2"/>
  <c r="N1269" i="2"/>
  <c r="M1269" i="2"/>
  <c r="L1269" i="2"/>
  <c r="K1269" i="2"/>
  <c r="J1269" i="2"/>
  <c r="I1269" i="2"/>
  <c r="H1269" i="2"/>
  <c r="G1269" i="2"/>
  <c r="F1269" i="2"/>
  <c r="C1269" i="2"/>
  <c r="B1269" i="2"/>
  <c r="A1269" i="2"/>
  <c r="O1268" i="2"/>
  <c r="N1268" i="2"/>
  <c r="M1268" i="2"/>
  <c r="L1268" i="2"/>
  <c r="K1268" i="2"/>
  <c r="J1268" i="2"/>
  <c r="I1268" i="2"/>
  <c r="H1268" i="2"/>
  <c r="G1268" i="2"/>
  <c r="F1268" i="2"/>
  <c r="C1268" i="2"/>
  <c r="B1268" i="2"/>
  <c r="A1268" i="2"/>
  <c r="O1267" i="2"/>
  <c r="N1267" i="2"/>
  <c r="M1267" i="2"/>
  <c r="L1267" i="2"/>
  <c r="K1267" i="2"/>
  <c r="J1267" i="2"/>
  <c r="I1267" i="2"/>
  <c r="H1267" i="2"/>
  <c r="G1267" i="2"/>
  <c r="F1267" i="2"/>
  <c r="C1267" i="2"/>
  <c r="B1267" i="2"/>
  <c r="A1267" i="2"/>
  <c r="O1266" i="2"/>
  <c r="N1266" i="2"/>
  <c r="M1266" i="2"/>
  <c r="L1266" i="2"/>
  <c r="K1266" i="2"/>
  <c r="J1266" i="2"/>
  <c r="I1266" i="2"/>
  <c r="H1266" i="2"/>
  <c r="G1266" i="2"/>
  <c r="F1266" i="2"/>
  <c r="C1266" i="2"/>
  <c r="B1266" i="2"/>
  <c r="A1266" i="2"/>
  <c r="O1265" i="2"/>
  <c r="N1265" i="2"/>
  <c r="M1265" i="2"/>
  <c r="L1265" i="2"/>
  <c r="K1265" i="2"/>
  <c r="J1265" i="2"/>
  <c r="I1265" i="2"/>
  <c r="H1265" i="2"/>
  <c r="G1265" i="2"/>
  <c r="F1265" i="2"/>
  <c r="C1265" i="2"/>
  <c r="B1265" i="2"/>
  <c r="A1265" i="2"/>
  <c r="O1264" i="2"/>
  <c r="N1264" i="2"/>
  <c r="M1264" i="2"/>
  <c r="L1264" i="2"/>
  <c r="K1264" i="2"/>
  <c r="J1264" i="2"/>
  <c r="I1264" i="2"/>
  <c r="H1264" i="2"/>
  <c r="G1264" i="2"/>
  <c r="F1264" i="2"/>
  <c r="C1264" i="2"/>
  <c r="B1264" i="2"/>
  <c r="A1264" i="2"/>
  <c r="O1263" i="2"/>
  <c r="N1263" i="2"/>
  <c r="M1263" i="2"/>
  <c r="L1263" i="2"/>
  <c r="K1263" i="2"/>
  <c r="J1263" i="2"/>
  <c r="I1263" i="2"/>
  <c r="H1263" i="2"/>
  <c r="G1263" i="2"/>
  <c r="F1263" i="2"/>
  <c r="C1263" i="2"/>
  <c r="B1263" i="2"/>
  <c r="A1263" i="2"/>
  <c r="O1262" i="2"/>
  <c r="N1262" i="2"/>
  <c r="M1262" i="2"/>
  <c r="L1262" i="2"/>
  <c r="K1262" i="2"/>
  <c r="J1262" i="2"/>
  <c r="I1262" i="2"/>
  <c r="H1262" i="2"/>
  <c r="G1262" i="2"/>
  <c r="F1262" i="2"/>
  <c r="C1262" i="2"/>
  <c r="B1262" i="2"/>
  <c r="A1262" i="2"/>
  <c r="O1261" i="2"/>
  <c r="N1261" i="2"/>
  <c r="M1261" i="2"/>
  <c r="L1261" i="2"/>
  <c r="K1261" i="2"/>
  <c r="J1261" i="2"/>
  <c r="I1261" i="2"/>
  <c r="H1261" i="2"/>
  <c r="G1261" i="2"/>
  <c r="F1261" i="2"/>
  <c r="C1261" i="2"/>
  <c r="B1261" i="2"/>
  <c r="A1261" i="2"/>
  <c r="O1260" i="2"/>
  <c r="N1260" i="2"/>
  <c r="M1260" i="2"/>
  <c r="L1260" i="2"/>
  <c r="K1260" i="2"/>
  <c r="J1260" i="2"/>
  <c r="I1260" i="2"/>
  <c r="H1260" i="2"/>
  <c r="G1260" i="2"/>
  <c r="F1260" i="2"/>
  <c r="C1260" i="2"/>
  <c r="B1260" i="2"/>
  <c r="A1260" i="2"/>
  <c r="O1259" i="2"/>
  <c r="N1259" i="2"/>
  <c r="M1259" i="2"/>
  <c r="L1259" i="2"/>
  <c r="K1259" i="2"/>
  <c r="J1259" i="2"/>
  <c r="I1259" i="2"/>
  <c r="H1259" i="2"/>
  <c r="G1259" i="2"/>
  <c r="F1259" i="2"/>
  <c r="C1259" i="2"/>
  <c r="B1259" i="2"/>
  <c r="A1259" i="2"/>
  <c r="O1258" i="2"/>
  <c r="N1258" i="2"/>
  <c r="M1258" i="2"/>
  <c r="L1258" i="2"/>
  <c r="K1258" i="2"/>
  <c r="J1258" i="2"/>
  <c r="I1258" i="2"/>
  <c r="H1258" i="2"/>
  <c r="G1258" i="2"/>
  <c r="F1258" i="2"/>
  <c r="C1258" i="2"/>
  <c r="B1258" i="2"/>
  <c r="A1258" i="2"/>
  <c r="O1257" i="2"/>
  <c r="N1257" i="2"/>
  <c r="M1257" i="2"/>
  <c r="L1257" i="2"/>
  <c r="K1257" i="2"/>
  <c r="J1257" i="2"/>
  <c r="I1257" i="2"/>
  <c r="H1257" i="2"/>
  <c r="G1257" i="2"/>
  <c r="F1257" i="2"/>
  <c r="C1257" i="2"/>
  <c r="B1257" i="2"/>
  <c r="A1257" i="2"/>
  <c r="O1256" i="2"/>
  <c r="N1256" i="2"/>
  <c r="M1256" i="2"/>
  <c r="L1256" i="2"/>
  <c r="K1256" i="2"/>
  <c r="J1256" i="2"/>
  <c r="I1256" i="2"/>
  <c r="H1256" i="2"/>
  <c r="G1256" i="2"/>
  <c r="F1256" i="2"/>
  <c r="C1256" i="2"/>
  <c r="B1256" i="2"/>
  <c r="A1256" i="2"/>
  <c r="O1255" i="2"/>
  <c r="N1255" i="2"/>
  <c r="M1255" i="2"/>
  <c r="L1255" i="2"/>
  <c r="K1255" i="2"/>
  <c r="J1255" i="2"/>
  <c r="I1255" i="2"/>
  <c r="H1255" i="2"/>
  <c r="G1255" i="2"/>
  <c r="F1255" i="2"/>
  <c r="C1255" i="2"/>
  <c r="B1255" i="2"/>
  <c r="A1255" i="2"/>
  <c r="O1254" i="2"/>
  <c r="N1254" i="2"/>
  <c r="M1254" i="2"/>
  <c r="L1254" i="2"/>
  <c r="K1254" i="2"/>
  <c r="J1254" i="2"/>
  <c r="I1254" i="2"/>
  <c r="H1254" i="2"/>
  <c r="G1254" i="2"/>
  <c r="F1254" i="2"/>
  <c r="C1254" i="2"/>
  <c r="B1254" i="2"/>
  <c r="A1254" i="2"/>
  <c r="O1253" i="2"/>
  <c r="N1253" i="2"/>
  <c r="M1253" i="2"/>
  <c r="L1253" i="2"/>
  <c r="K1253" i="2"/>
  <c r="J1253" i="2"/>
  <c r="I1253" i="2"/>
  <c r="H1253" i="2"/>
  <c r="G1253" i="2"/>
  <c r="F1253" i="2"/>
  <c r="C1253" i="2"/>
  <c r="B1253" i="2"/>
  <c r="A1253" i="2"/>
  <c r="O1252" i="2"/>
  <c r="N1252" i="2"/>
  <c r="M1252" i="2"/>
  <c r="L1252" i="2"/>
  <c r="K1252" i="2"/>
  <c r="J1252" i="2"/>
  <c r="I1252" i="2"/>
  <c r="H1252" i="2"/>
  <c r="G1252" i="2"/>
  <c r="F1252" i="2"/>
  <c r="C1252" i="2"/>
  <c r="B1252" i="2"/>
  <c r="A1252" i="2"/>
  <c r="O1251" i="2"/>
  <c r="N1251" i="2"/>
  <c r="M1251" i="2"/>
  <c r="L1251" i="2"/>
  <c r="K1251" i="2"/>
  <c r="J1251" i="2"/>
  <c r="I1251" i="2"/>
  <c r="H1251" i="2"/>
  <c r="G1251" i="2"/>
  <c r="F1251" i="2"/>
  <c r="C1251" i="2"/>
  <c r="B1251" i="2"/>
  <c r="A1251" i="2"/>
  <c r="O1250" i="2"/>
  <c r="N1250" i="2"/>
  <c r="M1250" i="2"/>
  <c r="L1250" i="2"/>
  <c r="K1250" i="2"/>
  <c r="J1250" i="2"/>
  <c r="I1250" i="2"/>
  <c r="H1250" i="2"/>
  <c r="G1250" i="2"/>
  <c r="F1250" i="2"/>
  <c r="C1250" i="2"/>
  <c r="B1250" i="2"/>
  <c r="A1250" i="2"/>
  <c r="O1249" i="2"/>
  <c r="N1249" i="2"/>
  <c r="M1249" i="2"/>
  <c r="L1249" i="2"/>
  <c r="K1249" i="2"/>
  <c r="J1249" i="2"/>
  <c r="I1249" i="2"/>
  <c r="H1249" i="2"/>
  <c r="G1249" i="2"/>
  <c r="F1249" i="2"/>
  <c r="C1249" i="2"/>
  <c r="B1249" i="2"/>
  <c r="A1249" i="2"/>
  <c r="O1248" i="2"/>
  <c r="N1248" i="2"/>
  <c r="M1248" i="2"/>
  <c r="L1248" i="2"/>
  <c r="K1248" i="2"/>
  <c r="J1248" i="2"/>
  <c r="I1248" i="2"/>
  <c r="H1248" i="2"/>
  <c r="G1248" i="2"/>
  <c r="F1248" i="2"/>
  <c r="C1248" i="2"/>
  <c r="B1248" i="2"/>
  <c r="A1248" i="2"/>
  <c r="O1247" i="2"/>
  <c r="N1247" i="2"/>
  <c r="M1247" i="2"/>
  <c r="L1247" i="2"/>
  <c r="K1247" i="2"/>
  <c r="J1247" i="2"/>
  <c r="I1247" i="2"/>
  <c r="H1247" i="2"/>
  <c r="G1247" i="2"/>
  <c r="F1247" i="2"/>
  <c r="C1247" i="2"/>
  <c r="B1247" i="2"/>
  <c r="A1247" i="2"/>
  <c r="O1246" i="2"/>
  <c r="N1246" i="2"/>
  <c r="M1246" i="2"/>
  <c r="L1246" i="2"/>
  <c r="K1246" i="2"/>
  <c r="J1246" i="2"/>
  <c r="I1246" i="2"/>
  <c r="H1246" i="2"/>
  <c r="G1246" i="2"/>
  <c r="F1246" i="2"/>
  <c r="C1246" i="2"/>
  <c r="B1246" i="2"/>
  <c r="A1246" i="2"/>
  <c r="O1245" i="2"/>
  <c r="N1245" i="2"/>
  <c r="M1245" i="2"/>
  <c r="L1245" i="2"/>
  <c r="K1245" i="2"/>
  <c r="J1245" i="2"/>
  <c r="I1245" i="2"/>
  <c r="H1245" i="2"/>
  <c r="G1245" i="2"/>
  <c r="F1245" i="2"/>
  <c r="C1245" i="2"/>
  <c r="B1245" i="2"/>
  <c r="A1245" i="2"/>
  <c r="O1244" i="2"/>
  <c r="N1244" i="2"/>
  <c r="M1244" i="2"/>
  <c r="L1244" i="2"/>
  <c r="K1244" i="2"/>
  <c r="J1244" i="2"/>
  <c r="I1244" i="2"/>
  <c r="H1244" i="2"/>
  <c r="G1244" i="2"/>
  <c r="F1244" i="2"/>
  <c r="C1244" i="2"/>
  <c r="B1244" i="2"/>
  <c r="A1244" i="2"/>
  <c r="O1243" i="2"/>
  <c r="N1243" i="2"/>
  <c r="M1243" i="2"/>
  <c r="L1243" i="2"/>
  <c r="K1243" i="2"/>
  <c r="J1243" i="2"/>
  <c r="I1243" i="2"/>
  <c r="H1243" i="2"/>
  <c r="G1243" i="2"/>
  <c r="F1243" i="2"/>
  <c r="C1243" i="2"/>
  <c r="B1243" i="2"/>
  <c r="A1243" i="2"/>
  <c r="O1242" i="2"/>
  <c r="N1242" i="2"/>
  <c r="M1242" i="2"/>
  <c r="L1242" i="2"/>
  <c r="K1242" i="2"/>
  <c r="J1242" i="2"/>
  <c r="I1242" i="2"/>
  <c r="H1242" i="2"/>
  <c r="G1242" i="2"/>
  <c r="F1242" i="2"/>
  <c r="C1242" i="2"/>
  <c r="B1242" i="2"/>
  <c r="A1242" i="2"/>
  <c r="O1241" i="2"/>
  <c r="N1241" i="2"/>
  <c r="M1241" i="2"/>
  <c r="L1241" i="2"/>
  <c r="K1241" i="2"/>
  <c r="J1241" i="2"/>
  <c r="I1241" i="2"/>
  <c r="H1241" i="2"/>
  <c r="G1241" i="2"/>
  <c r="F1241" i="2"/>
  <c r="C1241" i="2"/>
  <c r="B1241" i="2"/>
  <c r="A1241" i="2"/>
  <c r="O1240" i="2"/>
  <c r="N1240" i="2"/>
  <c r="M1240" i="2"/>
  <c r="L1240" i="2"/>
  <c r="K1240" i="2"/>
  <c r="J1240" i="2"/>
  <c r="I1240" i="2"/>
  <c r="H1240" i="2"/>
  <c r="G1240" i="2"/>
  <c r="F1240" i="2"/>
  <c r="C1240" i="2"/>
  <c r="B1240" i="2"/>
  <c r="A1240" i="2"/>
  <c r="O1239" i="2"/>
  <c r="N1239" i="2"/>
  <c r="M1239" i="2"/>
  <c r="L1239" i="2"/>
  <c r="K1239" i="2"/>
  <c r="J1239" i="2"/>
  <c r="I1239" i="2"/>
  <c r="H1239" i="2"/>
  <c r="G1239" i="2"/>
  <c r="F1239" i="2"/>
  <c r="C1239" i="2"/>
  <c r="B1239" i="2"/>
  <c r="A1239" i="2"/>
  <c r="O1238" i="2"/>
  <c r="N1238" i="2"/>
  <c r="M1238" i="2"/>
  <c r="L1238" i="2"/>
  <c r="K1238" i="2"/>
  <c r="J1238" i="2"/>
  <c r="I1238" i="2"/>
  <c r="H1238" i="2"/>
  <c r="G1238" i="2"/>
  <c r="F1238" i="2"/>
  <c r="C1238" i="2"/>
  <c r="B1238" i="2"/>
  <c r="A1238" i="2"/>
  <c r="O1237" i="2"/>
  <c r="N1237" i="2"/>
  <c r="M1237" i="2"/>
  <c r="L1237" i="2"/>
  <c r="K1237" i="2"/>
  <c r="J1237" i="2"/>
  <c r="I1237" i="2"/>
  <c r="H1237" i="2"/>
  <c r="G1237" i="2"/>
  <c r="F1237" i="2"/>
  <c r="C1237" i="2"/>
  <c r="B1237" i="2"/>
  <c r="A1237" i="2"/>
  <c r="O1236" i="2"/>
  <c r="N1236" i="2"/>
  <c r="M1236" i="2"/>
  <c r="L1236" i="2"/>
  <c r="K1236" i="2"/>
  <c r="J1236" i="2"/>
  <c r="I1236" i="2"/>
  <c r="H1236" i="2"/>
  <c r="G1236" i="2"/>
  <c r="F1236" i="2"/>
  <c r="C1236" i="2"/>
  <c r="B1236" i="2"/>
  <c r="A1236" i="2"/>
  <c r="O1235" i="2"/>
  <c r="N1235" i="2"/>
  <c r="M1235" i="2"/>
  <c r="L1235" i="2"/>
  <c r="K1235" i="2"/>
  <c r="J1235" i="2"/>
  <c r="I1235" i="2"/>
  <c r="H1235" i="2"/>
  <c r="G1235" i="2"/>
  <c r="F1235" i="2"/>
  <c r="C1235" i="2"/>
  <c r="B1235" i="2"/>
  <c r="A1235" i="2"/>
  <c r="O1234" i="2"/>
  <c r="N1234" i="2"/>
  <c r="M1234" i="2"/>
  <c r="L1234" i="2"/>
  <c r="K1234" i="2"/>
  <c r="J1234" i="2"/>
  <c r="I1234" i="2"/>
  <c r="H1234" i="2"/>
  <c r="G1234" i="2"/>
  <c r="F1234" i="2"/>
  <c r="C1234" i="2"/>
  <c r="B1234" i="2"/>
  <c r="A1234" i="2"/>
  <c r="O1233" i="2"/>
  <c r="N1233" i="2"/>
  <c r="M1233" i="2"/>
  <c r="L1233" i="2"/>
  <c r="K1233" i="2"/>
  <c r="J1233" i="2"/>
  <c r="I1233" i="2"/>
  <c r="H1233" i="2"/>
  <c r="G1233" i="2"/>
  <c r="F1233" i="2"/>
  <c r="C1233" i="2"/>
  <c r="B1233" i="2"/>
  <c r="A1233" i="2"/>
  <c r="O1232" i="2"/>
  <c r="N1232" i="2"/>
  <c r="M1232" i="2"/>
  <c r="L1232" i="2"/>
  <c r="K1232" i="2"/>
  <c r="J1232" i="2"/>
  <c r="I1232" i="2"/>
  <c r="H1232" i="2"/>
  <c r="G1232" i="2"/>
  <c r="F1232" i="2"/>
  <c r="C1232" i="2"/>
  <c r="B1232" i="2"/>
  <c r="A1232" i="2"/>
  <c r="O1231" i="2"/>
  <c r="N1231" i="2"/>
  <c r="M1231" i="2"/>
  <c r="L1231" i="2"/>
  <c r="K1231" i="2"/>
  <c r="J1231" i="2"/>
  <c r="I1231" i="2"/>
  <c r="H1231" i="2"/>
  <c r="G1231" i="2"/>
  <c r="F1231" i="2"/>
  <c r="C1231" i="2"/>
  <c r="B1231" i="2"/>
  <c r="A1231" i="2"/>
  <c r="O1230" i="2"/>
  <c r="N1230" i="2"/>
  <c r="M1230" i="2"/>
  <c r="L1230" i="2"/>
  <c r="K1230" i="2"/>
  <c r="J1230" i="2"/>
  <c r="I1230" i="2"/>
  <c r="H1230" i="2"/>
  <c r="G1230" i="2"/>
  <c r="F1230" i="2"/>
  <c r="C1230" i="2"/>
  <c r="B1230" i="2"/>
  <c r="A1230" i="2"/>
  <c r="O1229" i="2"/>
  <c r="N1229" i="2"/>
  <c r="M1229" i="2"/>
  <c r="L1229" i="2"/>
  <c r="K1229" i="2"/>
  <c r="J1229" i="2"/>
  <c r="I1229" i="2"/>
  <c r="H1229" i="2"/>
  <c r="G1229" i="2"/>
  <c r="F1229" i="2"/>
  <c r="C1229" i="2"/>
  <c r="B1229" i="2"/>
  <c r="A1229" i="2"/>
  <c r="O1228" i="2"/>
  <c r="N1228" i="2"/>
  <c r="M1228" i="2"/>
  <c r="L1228" i="2"/>
  <c r="K1228" i="2"/>
  <c r="J1228" i="2"/>
  <c r="I1228" i="2"/>
  <c r="H1228" i="2"/>
  <c r="G1228" i="2"/>
  <c r="F1228" i="2"/>
  <c r="C1228" i="2"/>
  <c r="B1228" i="2"/>
  <c r="A1228" i="2"/>
  <c r="O1227" i="2"/>
  <c r="N1227" i="2"/>
  <c r="M1227" i="2"/>
  <c r="L1227" i="2"/>
  <c r="K1227" i="2"/>
  <c r="J1227" i="2"/>
  <c r="I1227" i="2"/>
  <c r="H1227" i="2"/>
  <c r="G1227" i="2"/>
  <c r="F1227" i="2"/>
  <c r="C1227" i="2"/>
  <c r="B1227" i="2"/>
  <c r="A1227" i="2"/>
  <c r="O1226" i="2"/>
  <c r="N1226" i="2"/>
  <c r="M1226" i="2"/>
  <c r="L1226" i="2"/>
  <c r="K1226" i="2"/>
  <c r="J1226" i="2"/>
  <c r="I1226" i="2"/>
  <c r="H1226" i="2"/>
  <c r="G1226" i="2"/>
  <c r="F1226" i="2"/>
  <c r="C1226" i="2"/>
  <c r="B1226" i="2"/>
  <c r="A1226" i="2"/>
  <c r="O1225" i="2"/>
  <c r="N1225" i="2"/>
  <c r="M1225" i="2"/>
  <c r="L1225" i="2"/>
  <c r="K1225" i="2"/>
  <c r="J1225" i="2"/>
  <c r="I1225" i="2"/>
  <c r="H1225" i="2"/>
  <c r="G1225" i="2"/>
  <c r="F1225" i="2"/>
  <c r="C1225" i="2"/>
  <c r="B1225" i="2"/>
  <c r="A1225" i="2"/>
  <c r="O1224" i="2"/>
  <c r="N1224" i="2"/>
  <c r="M1224" i="2"/>
  <c r="L1224" i="2"/>
  <c r="K1224" i="2"/>
  <c r="J1224" i="2"/>
  <c r="I1224" i="2"/>
  <c r="H1224" i="2"/>
  <c r="G1224" i="2"/>
  <c r="F1224" i="2"/>
  <c r="C1224" i="2"/>
  <c r="B1224" i="2"/>
  <c r="A1224" i="2"/>
  <c r="O1223" i="2"/>
  <c r="N1223" i="2"/>
  <c r="M1223" i="2"/>
  <c r="L1223" i="2"/>
  <c r="K1223" i="2"/>
  <c r="J1223" i="2"/>
  <c r="I1223" i="2"/>
  <c r="H1223" i="2"/>
  <c r="G1223" i="2"/>
  <c r="F1223" i="2"/>
  <c r="C1223" i="2"/>
  <c r="B1223" i="2"/>
  <c r="A1223" i="2"/>
  <c r="O1222" i="2"/>
  <c r="N1222" i="2"/>
  <c r="M1222" i="2"/>
  <c r="L1222" i="2"/>
  <c r="K1222" i="2"/>
  <c r="J1222" i="2"/>
  <c r="I1222" i="2"/>
  <c r="H1222" i="2"/>
  <c r="G1222" i="2"/>
  <c r="F1222" i="2"/>
  <c r="C1222" i="2"/>
  <c r="B1222" i="2"/>
  <c r="A1222" i="2"/>
  <c r="O1221" i="2"/>
  <c r="N1221" i="2"/>
  <c r="M1221" i="2"/>
  <c r="L1221" i="2"/>
  <c r="K1221" i="2"/>
  <c r="J1221" i="2"/>
  <c r="I1221" i="2"/>
  <c r="H1221" i="2"/>
  <c r="G1221" i="2"/>
  <c r="F1221" i="2"/>
  <c r="C1221" i="2"/>
  <c r="B1221" i="2"/>
  <c r="A1221" i="2"/>
  <c r="O1220" i="2"/>
  <c r="N1220" i="2"/>
  <c r="M1220" i="2"/>
  <c r="L1220" i="2"/>
  <c r="K1220" i="2"/>
  <c r="J1220" i="2"/>
  <c r="I1220" i="2"/>
  <c r="H1220" i="2"/>
  <c r="G1220" i="2"/>
  <c r="F1220" i="2"/>
  <c r="C1220" i="2"/>
  <c r="B1220" i="2"/>
  <c r="A1220" i="2"/>
  <c r="O1219" i="2"/>
  <c r="N1219" i="2"/>
  <c r="M1219" i="2"/>
  <c r="L1219" i="2"/>
  <c r="K1219" i="2"/>
  <c r="J1219" i="2"/>
  <c r="I1219" i="2"/>
  <c r="H1219" i="2"/>
  <c r="G1219" i="2"/>
  <c r="F1219" i="2"/>
  <c r="C1219" i="2"/>
  <c r="B1219" i="2"/>
  <c r="A1219" i="2"/>
  <c r="O1218" i="2"/>
  <c r="N1218" i="2"/>
  <c r="M1218" i="2"/>
  <c r="L1218" i="2"/>
  <c r="K1218" i="2"/>
  <c r="J1218" i="2"/>
  <c r="I1218" i="2"/>
  <c r="H1218" i="2"/>
  <c r="G1218" i="2"/>
  <c r="F1218" i="2"/>
  <c r="C1218" i="2"/>
  <c r="B1218" i="2"/>
  <c r="A1218" i="2"/>
  <c r="O1217" i="2"/>
  <c r="N1217" i="2"/>
  <c r="M1217" i="2"/>
  <c r="L1217" i="2"/>
  <c r="K1217" i="2"/>
  <c r="J1217" i="2"/>
  <c r="I1217" i="2"/>
  <c r="H1217" i="2"/>
  <c r="G1217" i="2"/>
  <c r="F1217" i="2"/>
  <c r="C1217" i="2"/>
  <c r="B1217" i="2"/>
  <c r="A1217" i="2"/>
  <c r="O1216" i="2"/>
  <c r="N1216" i="2"/>
  <c r="M1216" i="2"/>
  <c r="L1216" i="2"/>
  <c r="K1216" i="2"/>
  <c r="J1216" i="2"/>
  <c r="I1216" i="2"/>
  <c r="H1216" i="2"/>
  <c r="G1216" i="2"/>
  <c r="F1216" i="2"/>
  <c r="C1216" i="2"/>
  <c r="B1216" i="2"/>
  <c r="A1216" i="2"/>
  <c r="O1215" i="2"/>
  <c r="N1215" i="2"/>
  <c r="M1215" i="2"/>
  <c r="L1215" i="2"/>
  <c r="K1215" i="2"/>
  <c r="J1215" i="2"/>
  <c r="I1215" i="2"/>
  <c r="H1215" i="2"/>
  <c r="G1215" i="2"/>
  <c r="F1215" i="2"/>
  <c r="C1215" i="2"/>
  <c r="B1215" i="2"/>
  <c r="A1215" i="2"/>
  <c r="O1214" i="2"/>
  <c r="N1214" i="2"/>
  <c r="M1214" i="2"/>
  <c r="L1214" i="2"/>
  <c r="K1214" i="2"/>
  <c r="J1214" i="2"/>
  <c r="I1214" i="2"/>
  <c r="H1214" i="2"/>
  <c r="G1214" i="2"/>
  <c r="F1214" i="2"/>
  <c r="C1214" i="2"/>
  <c r="B1214" i="2"/>
  <c r="A1214" i="2"/>
  <c r="O1213" i="2"/>
  <c r="N1213" i="2"/>
  <c r="M1213" i="2"/>
  <c r="L1213" i="2"/>
  <c r="K1213" i="2"/>
  <c r="J1213" i="2"/>
  <c r="I1213" i="2"/>
  <c r="H1213" i="2"/>
  <c r="G1213" i="2"/>
  <c r="F1213" i="2"/>
  <c r="C1213" i="2"/>
  <c r="B1213" i="2"/>
  <c r="A1213" i="2"/>
  <c r="O1212" i="2"/>
  <c r="N1212" i="2"/>
  <c r="M1212" i="2"/>
  <c r="L1212" i="2"/>
  <c r="K1212" i="2"/>
  <c r="J1212" i="2"/>
  <c r="I1212" i="2"/>
  <c r="H1212" i="2"/>
  <c r="G1212" i="2"/>
  <c r="F1212" i="2"/>
  <c r="C1212" i="2"/>
  <c r="B1212" i="2"/>
  <c r="A1212" i="2"/>
  <c r="O1211" i="2"/>
  <c r="N1211" i="2"/>
  <c r="M1211" i="2"/>
  <c r="L1211" i="2"/>
  <c r="K1211" i="2"/>
  <c r="J1211" i="2"/>
  <c r="I1211" i="2"/>
  <c r="H1211" i="2"/>
  <c r="G1211" i="2"/>
  <c r="F1211" i="2"/>
  <c r="C1211" i="2"/>
  <c r="B1211" i="2"/>
  <c r="A1211" i="2"/>
  <c r="O1210" i="2"/>
  <c r="N1210" i="2"/>
  <c r="M1210" i="2"/>
  <c r="L1210" i="2"/>
  <c r="K1210" i="2"/>
  <c r="J1210" i="2"/>
  <c r="I1210" i="2"/>
  <c r="H1210" i="2"/>
  <c r="G1210" i="2"/>
  <c r="F1210" i="2"/>
  <c r="C1210" i="2"/>
  <c r="B1210" i="2"/>
  <c r="A1210" i="2"/>
  <c r="O1209" i="2"/>
  <c r="N1209" i="2"/>
  <c r="M1209" i="2"/>
  <c r="L1209" i="2"/>
  <c r="K1209" i="2"/>
  <c r="J1209" i="2"/>
  <c r="I1209" i="2"/>
  <c r="H1209" i="2"/>
  <c r="G1209" i="2"/>
  <c r="F1209" i="2"/>
  <c r="C1209" i="2"/>
  <c r="B1209" i="2"/>
  <c r="A1209" i="2"/>
  <c r="O1208" i="2"/>
  <c r="N1208" i="2"/>
  <c r="M1208" i="2"/>
  <c r="L1208" i="2"/>
  <c r="K1208" i="2"/>
  <c r="J1208" i="2"/>
  <c r="I1208" i="2"/>
  <c r="H1208" i="2"/>
  <c r="G1208" i="2"/>
  <c r="F1208" i="2"/>
  <c r="C1208" i="2"/>
  <c r="B1208" i="2"/>
  <c r="A1208" i="2"/>
  <c r="O1207" i="2"/>
  <c r="N1207" i="2"/>
  <c r="M1207" i="2"/>
  <c r="L1207" i="2"/>
  <c r="K1207" i="2"/>
  <c r="J1207" i="2"/>
  <c r="I1207" i="2"/>
  <c r="H1207" i="2"/>
  <c r="G1207" i="2"/>
  <c r="F1207" i="2"/>
  <c r="C1207" i="2"/>
  <c r="B1207" i="2"/>
  <c r="A1207" i="2"/>
  <c r="O1206" i="2"/>
  <c r="N1206" i="2"/>
  <c r="M1206" i="2"/>
  <c r="L1206" i="2"/>
  <c r="K1206" i="2"/>
  <c r="J1206" i="2"/>
  <c r="I1206" i="2"/>
  <c r="H1206" i="2"/>
  <c r="G1206" i="2"/>
  <c r="F1206" i="2"/>
  <c r="C1206" i="2"/>
  <c r="B1206" i="2"/>
  <c r="A1206" i="2"/>
  <c r="O1205" i="2"/>
  <c r="N1205" i="2"/>
  <c r="M1205" i="2"/>
  <c r="L1205" i="2"/>
  <c r="K1205" i="2"/>
  <c r="J1205" i="2"/>
  <c r="I1205" i="2"/>
  <c r="H1205" i="2"/>
  <c r="G1205" i="2"/>
  <c r="F1205" i="2"/>
  <c r="C1205" i="2"/>
  <c r="B1205" i="2"/>
  <c r="A1205" i="2"/>
  <c r="O1204" i="2"/>
  <c r="N1204" i="2"/>
  <c r="M1204" i="2"/>
  <c r="L1204" i="2"/>
  <c r="K1204" i="2"/>
  <c r="J1204" i="2"/>
  <c r="I1204" i="2"/>
  <c r="H1204" i="2"/>
  <c r="G1204" i="2"/>
  <c r="F1204" i="2"/>
  <c r="C1204" i="2"/>
  <c r="B1204" i="2"/>
  <c r="A1204" i="2"/>
  <c r="O1203" i="2"/>
  <c r="N1203" i="2"/>
  <c r="M1203" i="2"/>
  <c r="L1203" i="2"/>
  <c r="K1203" i="2"/>
  <c r="J1203" i="2"/>
  <c r="I1203" i="2"/>
  <c r="H1203" i="2"/>
  <c r="G1203" i="2"/>
  <c r="F1203" i="2"/>
  <c r="C1203" i="2"/>
  <c r="B1203" i="2"/>
  <c r="A1203" i="2"/>
  <c r="O1202" i="2"/>
  <c r="N1202" i="2"/>
  <c r="M1202" i="2"/>
  <c r="L1202" i="2"/>
  <c r="K1202" i="2"/>
  <c r="J1202" i="2"/>
  <c r="I1202" i="2"/>
  <c r="H1202" i="2"/>
  <c r="G1202" i="2"/>
  <c r="F1202" i="2"/>
  <c r="C1202" i="2"/>
  <c r="B1202" i="2"/>
  <c r="A1202" i="2"/>
  <c r="O1201" i="2"/>
  <c r="N1201" i="2"/>
  <c r="M1201" i="2"/>
  <c r="L1201" i="2"/>
  <c r="K1201" i="2"/>
  <c r="J1201" i="2"/>
  <c r="I1201" i="2"/>
  <c r="H1201" i="2"/>
  <c r="G1201" i="2"/>
  <c r="F1201" i="2"/>
  <c r="C1201" i="2"/>
  <c r="B1201" i="2"/>
  <c r="A1201" i="2"/>
  <c r="O1200" i="2"/>
  <c r="N1200" i="2"/>
  <c r="M1200" i="2"/>
  <c r="L1200" i="2"/>
  <c r="K1200" i="2"/>
  <c r="J1200" i="2"/>
  <c r="I1200" i="2"/>
  <c r="H1200" i="2"/>
  <c r="G1200" i="2"/>
  <c r="F1200" i="2"/>
  <c r="C1200" i="2"/>
  <c r="B1200" i="2"/>
  <c r="A1200" i="2"/>
  <c r="O1199" i="2"/>
  <c r="N1199" i="2"/>
  <c r="M1199" i="2"/>
  <c r="L1199" i="2"/>
  <c r="K1199" i="2"/>
  <c r="J1199" i="2"/>
  <c r="I1199" i="2"/>
  <c r="H1199" i="2"/>
  <c r="G1199" i="2"/>
  <c r="F1199" i="2"/>
  <c r="C1199" i="2"/>
  <c r="B1199" i="2"/>
  <c r="A1199" i="2"/>
  <c r="O1198" i="2"/>
  <c r="N1198" i="2"/>
  <c r="M1198" i="2"/>
  <c r="L1198" i="2"/>
  <c r="K1198" i="2"/>
  <c r="J1198" i="2"/>
  <c r="I1198" i="2"/>
  <c r="H1198" i="2"/>
  <c r="G1198" i="2"/>
  <c r="F1198" i="2"/>
  <c r="C1198" i="2"/>
  <c r="B1198" i="2"/>
  <c r="A1198" i="2"/>
  <c r="O1197" i="2"/>
  <c r="N1197" i="2"/>
  <c r="M1197" i="2"/>
  <c r="L1197" i="2"/>
  <c r="K1197" i="2"/>
  <c r="J1197" i="2"/>
  <c r="I1197" i="2"/>
  <c r="H1197" i="2"/>
  <c r="G1197" i="2"/>
  <c r="F1197" i="2"/>
  <c r="C1197" i="2"/>
  <c r="B1197" i="2"/>
  <c r="A1197" i="2"/>
  <c r="O1196" i="2"/>
  <c r="N1196" i="2"/>
  <c r="M1196" i="2"/>
  <c r="L1196" i="2"/>
  <c r="K1196" i="2"/>
  <c r="J1196" i="2"/>
  <c r="I1196" i="2"/>
  <c r="H1196" i="2"/>
  <c r="G1196" i="2"/>
  <c r="F1196" i="2"/>
  <c r="C1196" i="2"/>
  <c r="B1196" i="2"/>
  <c r="A1196" i="2"/>
  <c r="O1195" i="2"/>
  <c r="N1195" i="2"/>
  <c r="M1195" i="2"/>
  <c r="L1195" i="2"/>
  <c r="K1195" i="2"/>
  <c r="J1195" i="2"/>
  <c r="I1195" i="2"/>
  <c r="H1195" i="2"/>
  <c r="G1195" i="2"/>
  <c r="F1195" i="2"/>
  <c r="C1195" i="2"/>
  <c r="B1195" i="2"/>
  <c r="A1195" i="2"/>
  <c r="O1194" i="2"/>
  <c r="N1194" i="2"/>
  <c r="M1194" i="2"/>
  <c r="L1194" i="2"/>
  <c r="K1194" i="2"/>
  <c r="J1194" i="2"/>
  <c r="I1194" i="2"/>
  <c r="H1194" i="2"/>
  <c r="G1194" i="2"/>
  <c r="F1194" i="2"/>
  <c r="C1194" i="2"/>
  <c r="B1194" i="2"/>
  <c r="A1194" i="2"/>
  <c r="O1193" i="2"/>
  <c r="N1193" i="2"/>
  <c r="M1193" i="2"/>
  <c r="L1193" i="2"/>
  <c r="K1193" i="2"/>
  <c r="J1193" i="2"/>
  <c r="I1193" i="2"/>
  <c r="H1193" i="2"/>
  <c r="G1193" i="2"/>
  <c r="F1193" i="2"/>
  <c r="C1193" i="2"/>
  <c r="B1193" i="2"/>
  <c r="A1193" i="2"/>
  <c r="O1192" i="2"/>
  <c r="N1192" i="2"/>
  <c r="M1192" i="2"/>
  <c r="L1192" i="2"/>
  <c r="K1192" i="2"/>
  <c r="J1192" i="2"/>
  <c r="I1192" i="2"/>
  <c r="H1192" i="2"/>
  <c r="G1192" i="2"/>
  <c r="F1192" i="2"/>
  <c r="C1192" i="2"/>
  <c r="B1192" i="2"/>
  <c r="A1192" i="2"/>
  <c r="O1191" i="2"/>
  <c r="N1191" i="2"/>
  <c r="M1191" i="2"/>
  <c r="L1191" i="2"/>
  <c r="K1191" i="2"/>
  <c r="J1191" i="2"/>
  <c r="I1191" i="2"/>
  <c r="H1191" i="2"/>
  <c r="G1191" i="2"/>
  <c r="F1191" i="2"/>
  <c r="C1191" i="2"/>
  <c r="B1191" i="2"/>
  <c r="A1191" i="2"/>
  <c r="O1190" i="2"/>
  <c r="N1190" i="2"/>
  <c r="M1190" i="2"/>
  <c r="L1190" i="2"/>
  <c r="K1190" i="2"/>
  <c r="J1190" i="2"/>
  <c r="I1190" i="2"/>
  <c r="H1190" i="2"/>
  <c r="G1190" i="2"/>
  <c r="F1190" i="2"/>
  <c r="C1190" i="2"/>
  <c r="B1190" i="2"/>
  <c r="A1190" i="2"/>
  <c r="O1189" i="2"/>
  <c r="N1189" i="2"/>
  <c r="M1189" i="2"/>
  <c r="L1189" i="2"/>
  <c r="K1189" i="2"/>
  <c r="J1189" i="2"/>
  <c r="I1189" i="2"/>
  <c r="H1189" i="2"/>
  <c r="G1189" i="2"/>
  <c r="F1189" i="2"/>
  <c r="C1189" i="2"/>
  <c r="B1189" i="2"/>
  <c r="A1189" i="2"/>
  <c r="O1188" i="2"/>
  <c r="N1188" i="2"/>
  <c r="M1188" i="2"/>
  <c r="L1188" i="2"/>
  <c r="K1188" i="2"/>
  <c r="J1188" i="2"/>
  <c r="I1188" i="2"/>
  <c r="H1188" i="2"/>
  <c r="G1188" i="2"/>
  <c r="F1188" i="2"/>
  <c r="C1188" i="2"/>
  <c r="B1188" i="2"/>
  <c r="A1188" i="2"/>
  <c r="O1187" i="2"/>
  <c r="N1187" i="2"/>
  <c r="M1187" i="2"/>
  <c r="L1187" i="2"/>
  <c r="K1187" i="2"/>
  <c r="J1187" i="2"/>
  <c r="I1187" i="2"/>
  <c r="H1187" i="2"/>
  <c r="G1187" i="2"/>
  <c r="F1187" i="2"/>
  <c r="C1187" i="2"/>
  <c r="B1187" i="2"/>
  <c r="A1187" i="2"/>
  <c r="O1186" i="2"/>
  <c r="N1186" i="2"/>
  <c r="M1186" i="2"/>
  <c r="L1186" i="2"/>
  <c r="K1186" i="2"/>
  <c r="J1186" i="2"/>
  <c r="I1186" i="2"/>
  <c r="H1186" i="2"/>
  <c r="G1186" i="2"/>
  <c r="F1186" i="2"/>
  <c r="C1186" i="2"/>
  <c r="B1186" i="2"/>
  <c r="A1186" i="2"/>
  <c r="O1185" i="2"/>
  <c r="N1185" i="2"/>
  <c r="M1185" i="2"/>
  <c r="L1185" i="2"/>
  <c r="K1185" i="2"/>
  <c r="J1185" i="2"/>
  <c r="I1185" i="2"/>
  <c r="H1185" i="2"/>
  <c r="G1185" i="2"/>
  <c r="F1185" i="2"/>
  <c r="C1185" i="2"/>
  <c r="B1185" i="2"/>
  <c r="A1185" i="2"/>
  <c r="O1184" i="2"/>
  <c r="N1184" i="2"/>
  <c r="M1184" i="2"/>
  <c r="L1184" i="2"/>
  <c r="K1184" i="2"/>
  <c r="J1184" i="2"/>
  <c r="I1184" i="2"/>
  <c r="H1184" i="2"/>
  <c r="G1184" i="2"/>
  <c r="F1184" i="2"/>
  <c r="C1184" i="2"/>
  <c r="B1184" i="2"/>
  <c r="A1184" i="2"/>
  <c r="O1183" i="2"/>
  <c r="N1183" i="2"/>
  <c r="M1183" i="2"/>
  <c r="L1183" i="2"/>
  <c r="K1183" i="2"/>
  <c r="J1183" i="2"/>
  <c r="I1183" i="2"/>
  <c r="H1183" i="2"/>
  <c r="G1183" i="2"/>
  <c r="F1183" i="2"/>
  <c r="C1183" i="2"/>
  <c r="B1183" i="2"/>
  <c r="A1183" i="2"/>
  <c r="O1182" i="2"/>
  <c r="N1182" i="2"/>
  <c r="M1182" i="2"/>
  <c r="L1182" i="2"/>
  <c r="K1182" i="2"/>
  <c r="J1182" i="2"/>
  <c r="I1182" i="2"/>
  <c r="H1182" i="2"/>
  <c r="G1182" i="2"/>
  <c r="F1182" i="2"/>
  <c r="C1182" i="2"/>
  <c r="B1182" i="2"/>
  <c r="A1182" i="2"/>
  <c r="O1181" i="2"/>
  <c r="N1181" i="2"/>
  <c r="M1181" i="2"/>
  <c r="L1181" i="2"/>
  <c r="K1181" i="2"/>
  <c r="J1181" i="2"/>
  <c r="I1181" i="2"/>
  <c r="H1181" i="2"/>
  <c r="G1181" i="2"/>
  <c r="F1181" i="2"/>
  <c r="C1181" i="2"/>
  <c r="B1181" i="2"/>
  <c r="A1181" i="2"/>
  <c r="O1180" i="2"/>
  <c r="N1180" i="2"/>
  <c r="M1180" i="2"/>
  <c r="L1180" i="2"/>
  <c r="K1180" i="2"/>
  <c r="J1180" i="2"/>
  <c r="I1180" i="2"/>
  <c r="H1180" i="2"/>
  <c r="G1180" i="2"/>
  <c r="F1180" i="2"/>
  <c r="C1180" i="2"/>
  <c r="B1180" i="2"/>
  <c r="A1180" i="2"/>
  <c r="O1179" i="2"/>
  <c r="N1179" i="2"/>
  <c r="M1179" i="2"/>
  <c r="L1179" i="2"/>
  <c r="K1179" i="2"/>
  <c r="J1179" i="2"/>
  <c r="I1179" i="2"/>
  <c r="H1179" i="2"/>
  <c r="G1179" i="2"/>
  <c r="F1179" i="2"/>
  <c r="C1179" i="2"/>
  <c r="B1179" i="2"/>
  <c r="A1179" i="2"/>
  <c r="O1178" i="2"/>
  <c r="N1178" i="2"/>
  <c r="M1178" i="2"/>
  <c r="L1178" i="2"/>
  <c r="K1178" i="2"/>
  <c r="J1178" i="2"/>
  <c r="I1178" i="2"/>
  <c r="H1178" i="2"/>
  <c r="G1178" i="2"/>
  <c r="F1178" i="2"/>
  <c r="C1178" i="2"/>
  <c r="B1178" i="2"/>
  <c r="A1178" i="2"/>
  <c r="O1177" i="2"/>
  <c r="N1177" i="2"/>
  <c r="M1177" i="2"/>
  <c r="L1177" i="2"/>
  <c r="K1177" i="2"/>
  <c r="J1177" i="2"/>
  <c r="I1177" i="2"/>
  <c r="H1177" i="2"/>
  <c r="G1177" i="2"/>
  <c r="F1177" i="2"/>
  <c r="C1177" i="2"/>
  <c r="B1177" i="2"/>
  <c r="A1177" i="2"/>
  <c r="O1176" i="2"/>
  <c r="N1176" i="2"/>
  <c r="M1176" i="2"/>
  <c r="L1176" i="2"/>
  <c r="K1176" i="2"/>
  <c r="J1176" i="2"/>
  <c r="I1176" i="2"/>
  <c r="H1176" i="2"/>
  <c r="G1176" i="2"/>
  <c r="F1176" i="2"/>
  <c r="C1176" i="2"/>
  <c r="B1176" i="2"/>
  <c r="A1176" i="2"/>
  <c r="O1175" i="2"/>
  <c r="N1175" i="2"/>
  <c r="M1175" i="2"/>
  <c r="L1175" i="2"/>
  <c r="K1175" i="2"/>
  <c r="J1175" i="2"/>
  <c r="I1175" i="2"/>
  <c r="H1175" i="2"/>
  <c r="G1175" i="2"/>
  <c r="F1175" i="2"/>
  <c r="C1175" i="2"/>
  <c r="B1175" i="2"/>
  <c r="A1175" i="2"/>
  <c r="O1174" i="2"/>
  <c r="N1174" i="2"/>
  <c r="M1174" i="2"/>
  <c r="L1174" i="2"/>
  <c r="K1174" i="2"/>
  <c r="J1174" i="2"/>
  <c r="I1174" i="2"/>
  <c r="H1174" i="2"/>
  <c r="G1174" i="2"/>
  <c r="F1174" i="2"/>
  <c r="C1174" i="2"/>
  <c r="B1174" i="2"/>
  <c r="A1174" i="2"/>
  <c r="O1173" i="2"/>
  <c r="N1173" i="2"/>
  <c r="M1173" i="2"/>
  <c r="L1173" i="2"/>
  <c r="K1173" i="2"/>
  <c r="J1173" i="2"/>
  <c r="I1173" i="2"/>
  <c r="H1173" i="2"/>
  <c r="G1173" i="2"/>
  <c r="F1173" i="2"/>
  <c r="C1173" i="2"/>
  <c r="B1173" i="2"/>
  <c r="A1173" i="2"/>
  <c r="O1172" i="2"/>
  <c r="N1172" i="2"/>
  <c r="M1172" i="2"/>
  <c r="L1172" i="2"/>
  <c r="K1172" i="2"/>
  <c r="J1172" i="2"/>
  <c r="I1172" i="2"/>
  <c r="H1172" i="2"/>
  <c r="G1172" i="2"/>
  <c r="F1172" i="2"/>
  <c r="C1172" i="2"/>
  <c r="B1172" i="2"/>
  <c r="A1172" i="2"/>
  <c r="O1171" i="2"/>
  <c r="N1171" i="2"/>
  <c r="M1171" i="2"/>
  <c r="L1171" i="2"/>
  <c r="K1171" i="2"/>
  <c r="J1171" i="2"/>
  <c r="I1171" i="2"/>
  <c r="H1171" i="2"/>
  <c r="G1171" i="2"/>
  <c r="F1171" i="2"/>
  <c r="C1171" i="2"/>
  <c r="B1171" i="2"/>
  <c r="A1171" i="2"/>
  <c r="O1170" i="2"/>
  <c r="N1170" i="2"/>
  <c r="M1170" i="2"/>
  <c r="L1170" i="2"/>
  <c r="K1170" i="2"/>
  <c r="J1170" i="2"/>
  <c r="I1170" i="2"/>
  <c r="H1170" i="2"/>
  <c r="G1170" i="2"/>
  <c r="F1170" i="2"/>
  <c r="C1170" i="2"/>
  <c r="B1170" i="2"/>
  <c r="A1170" i="2"/>
  <c r="O1169" i="2"/>
  <c r="N1169" i="2"/>
  <c r="M1169" i="2"/>
  <c r="L1169" i="2"/>
  <c r="K1169" i="2"/>
  <c r="J1169" i="2"/>
  <c r="I1169" i="2"/>
  <c r="H1169" i="2"/>
  <c r="G1169" i="2"/>
  <c r="F1169" i="2"/>
  <c r="C1169" i="2"/>
  <c r="B1169" i="2"/>
  <c r="A1169" i="2"/>
  <c r="O1168" i="2"/>
  <c r="N1168" i="2"/>
  <c r="M1168" i="2"/>
  <c r="L1168" i="2"/>
  <c r="K1168" i="2"/>
  <c r="J1168" i="2"/>
  <c r="I1168" i="2"/>
  <c r="H1168" i="2"/>
  <c r="G1168" i="2"/>
  <c r="F1168" i="2"/>
  <c r="C1168" i="2"/>
  <c r="B1168" i="2"/>
  <c r="A1168" i="2"/>
  <c r="O1167" i="2"/>
  <c r="N1167" i="2"/>
  <c r="M1167" i="2"/>
  <c r="L1167" i="2"/>
  <c r="K1167" i="2"/>
  <c r="J1167" i="2"/>
  <c r="I1167" i="2"/>
  <c r="H1167" i="2"/>
  <c r="G1167" i="2"/>
  <c r="F1167" i="2"/>
  <c r="C1167" i="2"/>
  <c r="B1167" i="2"/>
  <c r="A1167" i="2"/>
  <c r="O1166" i="2"/>
  <c r="N1166" i="2"/>
  <c r="M1166" i="2"/>
  <c r="L1166" i="2"/>
  <c r="K1166" i="2"/>
  <c r="J1166" i="2"/>
  <c r="I1166" i="2"/>
  <c r="H1166" i="2"/>
  <c r="G1166" i="2"/>
  <c r="F1166" i="2"/>
  <c r="C1166" i="2"/>
  <c r="B1166" i="2"/>
  <c r="A1166" i="2"/>
  <c r="O1165" i="2"/>
  <c r="N1165" i="2"/>
  <c r="M1165" i="2"/>
  <c r="L1165" i="2"/>
  <c r="K1165" i="2"/>
  <c r="J1165" i="2"/>
  <c r="I1165" i="2"/>
  <c r="H1165" i="2"/>
  <c r="G1165" i="2"/>
  <c r="F1165" i="2"/>
  <c r="C1165" i="2"/>
  <c r="B1165" i="2"/>
  <c r="A1165" i="2"/>
  <c r="O1164" i="2"/>
  <c r="N1164" i="2"/>
  <c r="M1164" i="2"/>
  <c r="L1164" i="2"/>
  <c r="K1164" i="2"/>
  <c r="J1164" i="2"/>
  <c r="I1164" i="2"/>
  <c r="H1164" i="2"/>
  <c r="G1164" i="2"/>
  <c r="F1164" i="2"/>
  <c r="C1164" i="2"/>
  <c r="B1164" i="2"/>
  <c r="A1164" i="2"/>
  <c r="O1163" i="2"/>
  <c r="N1163" i="2"/>
  <c r="M1163" i="2"/>
  <c r="L1163" i="2"/>
  <c r="K1163" i="2"/>
  <c r="J1163" i="2"/>
  <c r="I1163" i="2"/>
  <c r="H1163" i="2"/>
  <c r="G1163" i="2"/>
  <c r="F1163" i="2"/>
  <c r="C1163" i="2"/>
  <c r="B1163" i="2"/>
  <c r="A1163" i="2"/>
  <c r="O1162" i="2"/>
  <c r="N1162" i="2"/>
  <c r="M1162" i="2"/>
  <c r="L1162" i="2"/>
  <c r="K1162" i="2"/>
  <c r="J1162" i="2"/>
  <c r="I1162" i="2"/>
  <c r="H1162" i="2"/>
  <c r="G1162" i="2"/>
  <c r="F1162" i="2"/>
  <c r="C1162" i="2"/>
  <c r="B1162" i="2"/>
  <c r="A1162" i="2"/>
  <c r="O1161" i="2"/>
  <c r="N1161" i="2"/>
  <c r="M1161" i="2"/>
  <c r="L1161" i="2"/>
  <c r="K1161" i="2"/>
  <c r="J1161" i="2"/>
  <c r="I1161" i="2"/>
  <c r="H1161" i="2"/>
  <c r="G1161" i="2"/>
  <c r="F1161" i="2"/>
  <c r="C1161" i="2"/>
  <c r="B1161" i="2"/>
  <c r="A1161" i="2"/>
  <c r="O1160" i="2"/>
  <c r="N1160" i="2"/>
  <c r="M1160" i="2"/>
  <c r="L1160" i="2"/>
  <c r="K1160" i="2"/>
  <c r="J1160" i="2"/>
  <c r="I1160" i="2"/>
  <c r="H1160" i="2"/>
  <c r="G1160" i="2"/>
  <c r="F1160" i="2"/>
  <c r="C1160" i="2"/>
  <c r="B1160" i="2"/>
  <c r="A1160" i="2"/>
  <c r="O1159" i="2"/>
  <c r="N1159" i="2"/>
  <c r="M1159" i="2"/>
  <c r="L1159" i="2"/>
  <c r="K1159" i="2"/>
  <c r="J1159" i="2"/>
  <c r="I1159" i="2"/>
  <c r="H1159" i="2"/>
  <c r="G1159" i="2"/>
  <c r="F1159" i="2"/>
  <c r="C1159" i="2"/>
  <c r="B1159" i="2"/>
  <c r="A1159" i="2"/>
  <c r="O1158" i="2"/>
  <c r="N1158" i="2"/>
  <c r="M1158" i="2"/>
  <c r="L1158" i="2"/>
  <c r="K1158" i="2"/>
  <c r="J1158" i="2"/>
  <c r="I1158" i="2"/>
  <c r="H1158" i="2"/>
  <c r="G1158" i="2"/>
  <c r="F1158" i="2"/>
  <c r="C1158" i="2"/>
  <c r="B1158" i="2"/>
  <c r="A1158" i="2"/>
  <c r="O1157" i="2"/>
  <c r="N1157" i="2"/>
  <c r="M1157" i="2"/>
  <c r="L1157" i="2"/>
  <c r="K1157" i="2"/>
  <c r="J1157" i="2"/>
  <c r="I1157" i="2"/>
  <c r="H1157" i="2"/>
  <c r="G1157" i="2"/>
  <c r="F1157" i="2"/>
  <c r="C1157" i="2"/>
  <c r="B1157" i="2"/>
  <c r="A1157" i="2"/>
  <c r="O1156" i="2"/>
  <c r="N1156" i="2"/>
  <c r="M1156" i="2"/>
  <c r="L1156" i="2"/>
  <c r="K1156" i="2"/>
  <c r="J1156" i="2"/>
  <c r="I1156" i="2"/>
  <c r="H1156" i="2"/>
  <c r="G1156" i="2"/>
  <c r="F1156" i="2"/>
  <c r="C1156" i="2"/>
  <c r="B1156" i="2"/>
  <c r="A1156" i="2"/>
  <c r="O1155" i="2"/>
  <c r="N1155" i="2"/>
  <c r="M1155" i="2"/>
  <c r="L1155" i="2"/>
  <c r="K1155" i="2"/>
  <c r="J1155" i="2"/>
  <c r="I1155" i="2"/>
  <c r="H1155" i="2"/>
  <c r="G1155" i="2"/>
  <c r="F1155" i="2"/>
  <c r="C1155" i="2"/>
  <c r="B1155" i="2"/>
  <c r="A1155" i="2"/>
  <c r="O1154" i="2"/>
  <c r="N1154" i="2"/>
  <c r="M1154" i="2"/>
  <c r="L1154" i="2"/>
  <c r="K1154" i="2"/>
  <c r="J1154" i="2"/>
  <c r="I1154" i="2"/>
  <c r="H1154" i="2"/>
  <c r="G1154" i="2"/>
  <c r="F1154" i="2"/>
  <c r="C1154" i="2"/>
  <c r="B1154" i="2"/>
  <c r="A1154" i="2"/>
  <c r="O1153" i="2"/>
  <c r="N1153" i="2"/>
  <c r="M1153" i="2"/>
  <c r="L1153" i="2"/>
  <c r="K1153" i="2"/>
  <c r="J1153" i="2"/>
  <c r="I1153" i="2"/>
  <c r="H1153" i="2"/>
  <c r="G1153" i="2"/>
  <c r="F1153" i="2"/>
  <c r="C1153" i="2"/>
  <c r="B1153" i="2"/>
  <c r="A1153" i="2"/>
  <c r="O1152" i="2"/>
  <c r="N1152" i="2"/>
  <c r="M1152" i="2"/>
  <c r="L1152" i="2"/>
  <c r="K1152" i="2"/>
  <c r="J1152" i="2"/>
  <c r="I1152" i="2"/>
  <c r="H1152" i="2"/>
  <c r="G1152" i="2"/>
  <c r="F1152" i="2"/>
  <c r="C1152" i="2"/>
  <c r="B1152" i="2"/>
  <c r="A1152" i="2"/>
  <c r="O1151" i="2"/>
  <c r="N1151" i="2"/>
  <c r="M1151" i="2"/>
  <c r="L1151" i="2"/>
  <c r="K1151" i="2"/>
  <c r="J1151" i="2"/>
  <c r="I1151" i="2"/>
  <c r="H1151" i="2"/>
  <c r="G1151" i="2"/>
  <c r="F1151" i="2"/>
  <c r="C1151" i="2"/>
  <c r="B1151" i="2"/>
  <c r="A1151" i="2"/>
  <c r="O1150" i="2"/>
  <c r="N1150" i="2"/>
  <c r="M1150" i="2"/>
  <c r="L1150" i="2"/>
  <c r="K1150" i="2"/>
  <c r="J1150" i="2"/>
  <c r="I1150" i="2"/>
  <c r="H1150" i="2"/>
  <c r="G1150" i="2"/>
  <c r="F1150" i="2"/>
  <c r="C1150" i="2"/>
  <c r="B1150" i="2"/>
  <c r="A1150" i="2"/>
  <c r="O1149" i="2"/>
  <c r="N1149" i="2"/>
  <c r="M1149" i="2"/>
  <c r="L1149" i="2"/>
  <c r="K1149" i="2"/>
  <c r="J1149" i="2"/>
  <c r="I1149" i="2"/>
  <c r="H1149" i="2"/>
  <c r="G1149" i="2"/>
  <c r="F1149" i="2"/>
  <c r="C1149" i="2"/>
  <c r="B1149" i="2"/>
  <c r="A1149" i="2"/>
  <c r="O1148" i="2"/>
  <c r="N1148" i="2"/>
  <c r="M1148" i="2"/>
  <c r="L1148" i="2"/>
  <c r="K1148" i="2"/>
  <c r="J1148" i="2"/>
  <c r="I1148" i="2"/>
  <c r="H1148" i="2"/>
  <c r="G1148" i="2"/>
  <c r="F1148" i="2"/>
  <c r="C1148" i="2"/>
  <c r="B1148" i="2"/>
  <c r="A1148" i="2"/>
  <c r="O1147" i="2"/>
  <c r="N1147" i="2"/>
  <c r="M1147" i="2"/>
  <c r="L1147" i="2"/>
  <c r="K1147" i="2"/>
  <c r="J1147" i="2"/>
  <c r="I1147" i="2"/>
  <c r="H1147" i="2"/>
  <c r="G1147" i="2"/>
  <c r="F1147" i="2"/>
  <c r="C1147" i="2"/>
  <c r="B1147" i="2"/>
  <c r="A1147" i="2"/>
  <c r="O1146" i="2"/>
  <c r="N1146" i="2"/>
  <c r="M1146" i="2"/>
  <c r="L1146" i="2"/>
  <c r="K1146" i="2"/>
  <c r="J1146" i="2"/>
  <c r="I1146" i="2"/>
  <c r="H1146" i="2"/>
  <c r="G1146" i="2"/>
  <c r="F1146" i="2"/>
  <c r="C1146" i="2"/>
  <c r="B1146" i="2"/>
  <c r="A1146" i="2"/>
  <c r="O1145" i="2"/>
  <c r="N1145" i="2"/>
  <c r="M1145" i="2"/>
  <c r="L1145" i="2"/>
  <c r="K1145" i="2"/>
  <c r="J1145" i="2"/>
  <c r="I1145" i="2"/>
  <c r="H1145" i="2"/>
  <c r="G1145" i="2"/>
  <c r="F1145" i="2"/>
  <c r="C1145" i="2"/>
  <c r="B1145" i="2"/>
  <c r="A1145" i="2"/>
  <c r="O1144" i="2"/>
  <c r="N1144" i="2"/>
  <c r="M1144" i="2"/>
  <c r="L1144" i="2"/>
  <c r="K1144" i="2"/>
  <c r="J1144" i="2"/>
  <c r="I1144" i="2"/>
  <c r="H1144" i="2"/>
  <c r="G1144" i="2"/>
  <c r="F1144" i="2"/>
  <c r="C1144" i="2"/>
  <c r="B1144" i="2"/>
  <c r="A1144" i="2"/>
  <c r="O1143" i="2"/>
  <c r="N1143" i="2"/>
  <c r="M1143" i="2"/>
  <c r="L1143" i="2"/>
  <c r="K1143" i="2"/>
  <c r="J1143" i="2"/>
  <c r="I1143" i="2"/>
  <c r="H1143" i="2"/>
  <c r="G1143" i="2"/>
  <c r="F1143" i="2"/>
  <c r="C1143" i="2"/>
  <c r="B1143" i="2"/>
  <c r="A1143" i="2"/>
  <c r="O1142" i="2"/>
  <c r="N1142" i="2"/>
  <c r="M1142" i="2"/>
  <c r="L1142" i="2"/>
  <c r="K1142" i="2"/>
  <c r="J1142" i="2"/>
  <c r="I1142" i="2"/>
  <c r="H1142" i="2"/>
  <c r="G1142" i="2"/>
  <c r="F1142" i="2"/>
  <c r="C1142" i="2"/>
  <c r="B1142" i="2"/>
  <c r="A1142" i="2"/>
  <c r="O1141" i="2"/>
  <c r="N1141" i="2"/>
  <c r="M1141" i="2"/>
  <c r="L1141" i="2"/>
  <c r="K1141" i="2"/>
  <c r="J1141" i="2"/>
  <c r="I1141" i="2"/>
  <c r="H1141" i="2"/>
  <c r="G1141" i="2"/>
  <c r="F1141" i="2"/>
  <c r="C1141" i="2"/>
  <c r="B1141" i="2"/>
  <c r="A1141" i="2"/>
  <c r="O1140" i="2"/>
  <c r="N1140" i="2"/>
  <c r="M1140" i="2"/>
  <c r="L1140" i="2"/>
  <c r="K1140" i="2"/>
  <c r="J1140" i="2"/>
  <c r="I1140" i="2"/>
  <c r="H1140" i="2"/>
  <c r="G1140" i="2"/>
  <c r="F1140" i="2"/>
  <c r="C1140" i="2"/>
  <c r="B1140" i="2"/>
  <c r="A1140" i="2"/>
  <c r="O1139" i="2"/>
  <c r="N1139" i="2"/>
  <c r="M1139" i="2"/>
  <c r="L1139" i="2"/>
  <c r="K1139" i="2"/>
  <c r="J1139" i="2"/>
  <c r="I1139" i="2"/>
  <c r="H1139" i="2"/>
  <c r="G1139" i="2"/>
  <c r="F1139" i="2"/>
  <c r="C1139" i="2"/>
  <c r="B1139" i="2"/>
  <c r="A1139" i="2"/>
  <c r="O1138" i="2"/>
  <c r="N1138" i="2"/>
  <c r="M1138" i="2"/>
  <c r="L1138" i="2"/>
  <c r="K1138" i="2"/>
  <c r="J1138" i="2"/>
  <c r="I1138" i="2"/>
  <c r="H1138" i="2"/>
  <c r="G1138" i="2"/>
  <c r="F1138" i="2"/>
  <c r="C1138" i="2"/>
  <c r="B1138" i="2"/>
  <c r="A1138" i="2"/>
  <c r="O1137" i="2"/>
  <c r="N1137" i="2"/>
  <c r="M1137" i="2"/>
  <c r="L1137" i="2"/>
  <c r="K1137" i="2"/>
  <c r="J1137" i="2"/>
  <c r="I1137" i="2"/>
  <c r="H1137" i="2"/>
  <c r="G1137" i="2"/>
  <c r="F1137" i="2"/>
  <c r="C1137" i="2"/>
  <c r="B1137" i="2"/>
  <c r="A1137" i="2"/>
  <c r="O1136" i="2"/>
  <c r="N1136" i="2"/>
  <c r="M1136" i="2"/>
  <c r="L1136" i="2"/>
  <c r="K1136" i="2"/>
  <c r="J1136" i="2"/>
  <c r="I1136" i="2"/>
  <c r="H1136" i="2"/>
  <c r="G1136" i="2"/>
  <c r="F1136" i="2"/>
  <c r="C1136" i="2"/>
  <c r="B1136" i="2"/>
  <c r="A1136" i="2"/>
  <c r="O1135" i="2"/>
  <c r="N1135" i="2"/>
  <c r="M1135" i="2"/>
  <c r="L1135" i="2"/>
  <c r="K1135" i="2"/>
  <c r="J1135" i="2"/>
  <c r="I1135" i="2"/>
  <c r="H1135" i="2"/>
  <c r="G1135" i="2"/>
  <c r="F1135" i="2"/>
  <c r="C1135" i="2"/>
  <c r="B1135" i="2"/>
  <c r="A1135" i="2"/>
  <c r="O1134" i="2"/>
  <c r="N1134" i="2"/>
  <c r="M1134" i="2"/>
  <c r="L1134" i="2"/>
  <c r="K1134" i="2"/>
  <c r="J1134" i="2"/>
  <c r="I1134" i="2"/>
  <c r="H1134" i="2"/>
  <c r="G1134" i="2"/>
  <c r="F1134" i="2"/>
  <c r="C1134" i="2"/>
  <c r="B1134" i="2"/>
  <c r="A1134" i="2"/>
  <c r="O1133" i="2"/>
  <c r="N1133" i="2"/>
  <c r="M1133" i="2"/>
  <c r="L1133" i="2"/>
  <c r="K1133" i="2"/>
  <c r="J1133" i="2"/>
  <c r="I1133" i="2"/>
  <c r="H1133" i="2"/>
  <c r="G1133" i="2"/>
  <c r="F1133" i="2"/>
  <c r="C1133" i="2"/>
  <c r="B1133" i="2"/>
  <c r="A1133" i="2"/>
  <c r="O1132" i="2"/>
  <c r="N1132" i="2"/>
  <c r="M1132" i="2"/>
  <c r="L1132" i="2"/>
  <c r="K1132" i="2"/>
  <c r="J1132" i="2"/>
  <c r="I1132" i="2"/>
  <c r="H1132" i="2"/>
  <c r="G1132" i="2"/>
  <c r="F1132" i="2"/>
  <c r="C1132" i="2"/>
  <c r="B1132" i="2"/>
  <c r="A1132" i="2"/>
  <c r="O1131" i="2"/>
  <c r="N1131" i="2"/>
  <c r="M1131" i="2"/>
  <c r="L1131" i="2"/>
  <c r="K1131" i="2"/>
  <c r="J1131" i="2"/>
  <c r="I1131" i="2"/>
  <c r="H1131" i="2"/>
  <c r="G1131" i="2"/>
  <c r="F1131" i="2"/>
  <c r="C1131" i="2"/>
  <c r="B1131" i="2"/>
  <c r="A1131" i="2"/>
  <c r="O1130" i="2"/>
  <c r="N1130" i="2"/>
  <c r="M1130" i="2"/>
  <c r="L1130" i="2"/>
  <c r="K1130" i="2"/>
  <c r="J1130" i="2"/>
  <c r="I1130" i="2"/>
  <c r="H1130" i="2"/>
  <c r="G1130" i="2"/>
  <c r="F1130" i="2"/>
  <c r="C1130" i="2"/>
  <c r="B1130" i="2"/>
  <c r="A1130" i="2"/>
  <c r="O1129" i="2"/>
  <c r="N1129" i="2"/>
  <c r="M1129" i="2"/>
  <c r="L1129" i="2"/>
  <c r="K1129" i="2"/>
  <c r="J1129" i="2"/>
  <c r="I1129" i="2"/>
  <c r="H1129" i="2"/>
  <c r="G1129" i="2"/>
  <c r="F1129" i="2"/>
  <c r="C1129" i="2"/>
  <c r="B1129" i="2"/>
  <c r="A1129" i="2"/>
  <c r="O1128" i="2"/>
  <c r="N1128" i="2"/>
  <c r="M1128" i="2"/>
  <c r="L1128" i="2"/>
  <c r="K1128" i="2"/>
  <c r="J1128" i="2"/>
  <c r="I1128" i="2"/>
  <c r="H1128" i="2"/>
  <c r="G1128" i="2"/>
  <c r="F1128" i="2"/>
  <c r="C1128" i="2"/>
  <c r="B1128" i="2"/>
  <c r="A1128" i="2"/>
  <c r="O1127" i="2"/>
  <c r="N1127" i="2"/>
  <c r="M1127" i="2"/>
  <c r="L1127" i="2"/>
  <c r="K1127" i="2"/>
  <c r="J1127" i="2"/>
  <c r="I1127" i="2"/>
  <c r="H1127" i="2"/>
  <c r="G1127" i="2"/>
  <c r="F1127" i="2"/>
  <c r="C1127" i="2"/>
  <c r="B1127" i="2"/>
  <c r="A1127" i="2"/>
  <c r="O1126" i="2"/>
  <c r="N1126" i="2"/>
  <c r="M1126" i="2"/>
  <c r="L1126" i="2"/>
  <c r="K1126" i="2"/>
  <c r="J1126" i="2"/>
  <c r="I1126" i="2"/>
  <c r="H1126" i="2"/>
  <c r="G1126" i="2"/>
  <c r="F1126" i="2"/>
  <c r="C1126" i="2"/>
  <c r="B1126" i="2"/>
  <c r="A1126" i="2"/>
  <c r="O1125" i="2"/>
  <c r="N1125" i="2"/>
  <c r="M1125" i="2"/>
  <c r="L1125" i="2"/>
  <c r="K1125" i="2"/>
  <c r="J1125" i="2"/>
  <c r="I1125" i="2"/>
  <c r="H1125" i="2"/>
  <c r="G1125" i="2"/>
  <c r="F1125" i="2"/>
  <c r="C1125" i="2"/>
  <c r="B1125" i="2"/>
  <c r="A1125" i="2"/>
  <c r="O1124" i="2"/>
  <c r="N1124" i="2"/>
  <c r="M1124" i="2"/>
  <c r="L1124" i="2"/>
  <c r="K1124" i="2"/>
  <c r="J1124" i="2"/>
  <c r="I1124" i="2"/>
  <c r="H1124" i="2"/>
  <c r="G1124" i="2"/>
  <c r="F1124" i="2"/>
  <c r="C1124" i="2"/>
  <c r="B1124" i="2"/>
  <c r="A1124" i="2"/>
  <c r="O1123" i="2"/>
  <c r="N1123" i="2"/>
  <c r="M1123" i="2"/>
  <c r="L1123" i="2"/>
  <c r="K1123" i="2"/>
  <c r="J1123" i="2"/>
  <c r="I1123" i="2"/>
  <c r="H1123" i="2"/>
  <c r="G1123" i="2"/>
  <c r="F1123" i="2"/>
  <c r="C1123" i="2"/>
  <c r="B1123" i="2"/>
  <c r="A1123" i="2"/>
  <c r="O1122" i="2"/>
  <c r="N1122" i="2"/>
  <c r="M1122" i="2"/>
  <c r="L1122" i="2"/>
  <c r="K1122" i="2"/>
  <c r="J1122" i="2"/>
  <c r="I1122" i="2"/>
  <c r="H1122" i="2"/>
  <c r="G1122" i="2"/>
  <c r="F1122" i="2"/>
  <c r="C1122" i="2"/>
  <c r="B1122" i="2"/>
  <c r="A1122" i="2"/>
  <c r="O1121" i="2"/>
  <c r="N1121" i="2"/>
  <c r="M1121" i="2"/>
  <c r="L1121" i="2"/>
  <c r="K1121" i="2"/>
  <c r="J1121" i="2"/>
  <c r="I1121" i="2"/>
  <c r="H1121" i="2"/>
  <c r="G1121" i="2"/>
  <c r="F1121" i="2"/>
  <c r="C1121" i="2"/>
  <c r="B1121" i="2"/>
  <c r="A1121" i="2"/>
  <c r="O1120" i="2"/>
  <c r="N1120" i="2"/>
  <c r="M1120" i="2"/>
  <c r="L1120" i="2"/>
  <c r="K1120" i="2"/>
  <c r="J1120" i="2"/>
  <c r="I1120" i="2"/>
  <c r="H1120" i="2"/>
  <c r="G1120" i="2"/>
  <c r="F1120" i="2"/>
  <c r="C1120" i="2"/>
  <c r="B1120" i="2"/>
  <c r="A1120" i="2"/>
  <c r="O1119" i="2"/>
  <c r="N1119" i="2"/>
  <c r="M1119" i="2"/>
  <c r="L1119" i="2"/>
  <c r="K1119" i="2"/>
  <c r="J1119" i="2"/>
  <c r="I1119" i="2"/>
  <c r="H1119" i="2"/>
  <c r="G1119" i="2"/>
  <c r="F1119" i="2"/>
  <c r="C1119" i="2"/>
  <c r="B1119" i="2"/>
  <c r="A1119" i="2"/>
  <c r="O1118" i="2"/>
  <c r="N1118" i="2"/>
  <c r="M1118" i="2"/>
  <c r="L1118" i="2"/>
  <c r="K1118" i="2"/>
  <c r="J1118" i="2"/>
  <c r="I1118" i="2"/>
  <c r="H1118" i="2"/>
  <c r="G1118" i="2"/>
  <c r="F1118" i="2"/>
  <c r="C1118" i="2"/>
  <c r="B1118" i="2"/>
  <c r="A1118" i="2"/>
  <c r="O1117" i="2"/>
  <c r="N1117" i="2"/>
  <c r="M1117" i="2"/>
  <c r="L1117" i="2"/>
  <c r="K1117" i="2"/>
  <c r="J1117" i="2"/>
  <c r="I1117" i="2"/>
  <c r="H1117" i="2"/>
  <c r="G1117" i="2"/>
  <c r="F1117" i="2"/>
  <c r="C1117" i="2"/>
  <c r="B1117" i="2"/>
  <c r="A1117" i="2"/>
  <c r="O1116" i="2"/>
  <c r="N1116" i="2"/>
  <c r="M1116" i="2"/>
  <c r="L1116" i="2"/>
  <c r="K1116" i="2"/>
  <c r="J1116" i="2"/>
  <c r="I1116" i="2"/>
  <c r="H1116" i="2"/>
  <c r="G1116" i="2"/>
  <c r="F1116" i="2"/>
  <c r="C1116" i="2"/>
  <c r="B1116" i="2"/>
  <c r="A1116" i="2"/>
  <c r="O1115" i="2"/>
  <c r="N1115" i="2"/>
  <c r="M1115" i="2"/>
  <c r="L1115" i="2"/>
  <c r="K1115" i="2"/>
  <c r="J1115" i="2"/>
  <c r="I1115" i="2"/>
  <c r="H1115" i="2"/>
  <c r="G1115" i="2"/>
  <c r="F1115" i="2"/>
  <c r="C1115" i="2"/>
  <c r="B1115" i="2"/>
  <c r="A1115" i="2"/>
  <c r="O1114" i="2"/>
  <c r="N1114" i="2"/>
  <c r="M1114" i="2"/>
  <c r="L1114" i="2"/>
  <c r="K1114" i="2"/>
  <c r="J1114" i="2"/>
  <c r="I1114" i="2"/>
  <c r="H1114" i="2"/>
  <c r="G1114" i="2"/>
  <c r="F1114" i="2"/>
  <c r="C1114" i="2"/>
  <c r="B1114" i="2"/>
  <c r="A1114" i="2"/>
  <c r="O1113" i="2"/>
  <c r="N1113" i="2"/>
  <c r="M1113" i="2"/>
  <c r="L1113" i="2"/>
  <c r="K1113" i="2"/>
  <c r="J1113" i="2"/>
  <c r="I1113" i="2"/>
  <c r="H1113" i="2"/>
  <c r="G1113" i="2"/>
  <c r="F1113" i="2"/>
  <c r="C1113" i="2"/>
  <c r="B1113" i="2"/>
  <c r="A1113" i="2"/>
  <c r="O1112" i="2"/>
  <c r="N1112" i="2"/>
  <c r="M1112" i="2"/>
  <c r="L1112" i="2"/>
  <c r="K1112" i="2"/>
  <c r="J1112" i="2"/>
  <c r="I1112" i="2"/>
  <c r="H1112" i="2"/>
  <c r="G1112" i="2"/>
  <c r="F1112" i="2"/>
  <c r="C1112" i="2"/>
  <c r="B1112" i="2"/>
  <c r="A1112" i="2"/>
  <c r="O1111" i="2"/>
  <c r="N1111" i="2"/>
  <c r="M1111" i="2"/>
  <c r="L1111" i="2"/>
  <c r="K1111" i="2"/>
  <c r="J1111" i="2"/>
  <c r="I1111" i="2"/>
  <c r="H1111" i="2"/>
  <c r="G1111" i="2"/>
  <c r="F1111" i="2"/>
  <c r="C1111" i="2"/>
  <c r="B1111" i="2"/>
  <c r="A1111" i="2"/>
  <c r="O1110" i="2"/>
  <c r="N1110" i="2"/>
  <c r="M1110" i="2"/>
  <c r="L1110" i="2"/>
  <c r="K1110" i="2"/>
  <c r="J1110" i="2"/>
  <c r="I1110" i="2"/>
  <c r="H1110" i="2"/>
  <c r="G1110" i="2"/>
  <c r="F1110" i="2"/>
  <c r="C1110" i="2"/>
  <c r="B1110" i="2"/>
  <c r="A1110" i="2"/>
  <c r="O1109" i="2"/>
  <c r="N1109" i="2"/>
  <c r="M1109" i="2"/>
  <c r="L1109" i="2"/>
  <c r="K1109" i="2"/>
  <c r="J1109" i="2"/>
  <c r="I1109" i="2"/>
  <c r="H1109" i="2"/>
  <c r="G1109" i="2"/>
  <c r="F1109" i="2"/>
  <c r="C1109" i="2"/>
  <c r="B1109" i="2"/>
  <c r="A1109" i="2"/>
  <c r="O1108" i="2"/>
  <c r="N1108" i="2"/>
  <c r="M1108" i="2"/>
  <c r="L1108" i="2"/>
  <c r="K1108" i="2"/>
  <c r="J1108" i="2"/>
  <c r="I1108" i="2"/>
  <c r="H1108" i="2"/>
  <c r="G1108" i="2"/>
  <c r="F1108" i="2"/>
  <c r="C1108" i="2"/>
  <c r="B1108" i="2"/>
  <c r="A1108" i="2"/>
  <c r="O1107" i="2"/>
  <c r="N1107" i="2"/>
  <c r="M1107" i="2"/>
  <c r="L1107" i="2"/>
  <c r="K1107" i="2"/>
  <c r="J1107" i="2"/>
  <c r="I1107" i="2"/>
  <c r="H1107" i="2"/>
  <c r="G1107" i="2"/>
  <c r="F1107" i="2"/>
  <c r="C1107" i="2"/>
  <c r="B1107" i="2"/>
  <c r="A1107" i="2"/>
  <c r="O1106" i="2"/>
  <c r="N1106" i="2"/>
  <c r="M1106" i="2"/>
  <c r="L1106" i="2"/>
  <c r="K1106" i="2"/>
  <c r="J1106" i="2"/>
  <c r="I1106" i="2"/>
  <c r="H1106" i="2"/>
  <c r="G1106" i="2"/>
  <c r="F1106" i="2"/>
  <c r="C1106" i="2"/>
  <c r="B1106" i="2"/>
  <c r="A1106" i="2"/>
  <c r="O1105" i="2"/>
  <c r="N1105" i="2"/>
  <c r="M1105" i="2"/>
  <c r="L1105" i="2"/>
  <c r="K1105" i="2"/>
  <c r="J1105" i="2"/>
  <c r="I1105" i="2"/>
  <c r="H1105" i="2"/>
  <c r="G1105" i="2"/>
  <c r="F1105" i="2"/>
  <c r="C1105" i="2"/>
  <c r="B1105" i="2"/>
  <c r="A1105" i="2"/>
  <c r="O1104" i="2"/>
  <c r="N1104" i="2"/>
  <c r="M1104" i="2"/>
  <c r="L1104" i="2"/>
  <c r="K1104" i="2"/>
  <c r="J1104" i="2"/>
  <c r="I1104" i="2"/>
  <c r="H1104" i="2"/>
  <c r="G1104" i="2"/>
  <c r="F1104" i="2"/>
  <c r="C1104" i="2"/>
  <c r="B1104" i="2"/>
  <c r="A1104" i="2"/>
  <c r="O1103" i="2"/>
  <c r="N1103" i="2"/>
  <c r="M1103" i="2"/>
  <c r="L1103" i="2"/>
  <c r="K1103" i="2"/>
  <c r="J1103" i="2"/>
  <c r="I1103" i="2"/>
  <c r="H1103" i="2"/>
  <c r="G1103" i="2"/>
  <c r="F1103" i="2"/>
  <c r="C1103" i="2"/>
  <c r="B1103" i="2"/>
  <c r="A1103" i="2"/>
  <c r="O1102" i="2"/>
  <c r="N1102" i="2"/>
  <c r="M1102" i="2"/>
  <c r="L1102" i="2"/>
  <c r="K1102" i="2"/>
  <c r="J1102" i="2"/>
  <c r="I1102" i="2"/>
  <c r="H1102" i="2"/>
  <c r="G1102" i="2"/>
  <c r="F1102" i="2"/>
  <c r="C1102" i="2"/>
  <c r="B1102" i="2"/>
  <c r="A1102" i="2"/>
  <c r="O1101" i="2"/>
  <c r="N1101" i="2"/>
  <c r="M1101" i="2"/>
  <c r="L1101" i="2"/>
  <c r="K1101" i="2"/>
  <c r="J1101" i="2"/>
  <c r="I1101" i="2"/>
  <c r="H1101" i="2"/>
  <c r="G1101" i="2"/>
  <c r="F1101" i="2"/>
  <c r="C1101" i="2"/>
  <c r="B1101" i="2"/>
  <c r="A1101" i="2"/>
  <c r="O1100" i="2"/>
  <c r="N1100" i="2"/>
  <c r="M1100" i="2"/>
  <c r="L1100" i="2"/>
  <c r="K1100" i="2"/>
  <c r="J1100" i="2"/>
  <c r="I1100" i="2"/>
  <c r="H1100" i="2"/>
  <c r="G1100" i="2"/>
  <c r="F1100" i="2"/>
  <c r="C1100" i="2"/>
  <c r="B1100" i="2"/>
  <c r="A1100" i="2"/>
  <c r="O1099" i="2"/>
  <c r="N1099" i="2"/>
  <c r="M1099" i="2"/>
  <c r="L1099" i="2"/>
  <c r="K1099" i="2"/>
  <c r="J1099" i="2"/>
  <c r="I1099" i="2"/>
  <c r="H1099" i="2"/>
  <c r="G1099" i="2"/>
  <c r="F1099" i="2"/>
  <c r="C1099" i="2"/>
  <c r="B1099" i="2"/>
  <c r="A1099" i="2"/>
  <c r="O1098" i="2"/>
  <c r="N1098" i="2"/>
  <c r="M1098" i="2"/>
  <c r="L1098" i="2"/>
  <c r="K1098" i="2"/>
  <c r="J1098" i="2"/>
  <c r="I1098" i="2"/>
  <c r="H1098" i="2"/>
  <c r="G1098" i="2"/>
  <c r="F1098" i="2"/>
  <c r="C1098" i="2"/>
  <c r="B1098" i="2"/>
  <c r="A1098" i="2"/>
  <c r="O1097" i="2"/>
  <c r="N1097" i="2"/>
  <c r="M1097" i="2"/>
  <c r="L1097" i="2"/>
  <c r="K1097" i="2"/>
  <c r="J1097" i="2"/>
  <c r="I1097" i="2"/>
  <c r="H1097" i="2"/>
  <c r="G1097" i="2"/>
  <c r="F1097" i="2"/>
  <c r="C1097" i="2"/>
  <c r="B1097" i="2"/>
  <c r="A1097" i="2"/>
  <c r="O1096" i="2"/>
  <c r="N1096" i="2"/>
  <c r="M1096" i="2"/>
  <c r="L1096" i="2"/>
  <c r="K1096" i="2"/>
  <c r="J1096" i="2"/>
  <c r="I1096" i="2"/>
  <c r="H1096" i="2"/>
  <c r="G1096" i="2"/>
  <c r="F1096" i="2"/>
  <c r="C1096" i="2"/>
  <c r="B1096" i="2"/>
  <c r="A1096" i="2"/>
  <c r="O1095" i="2"/>
  <c r="N1095" i="2"/>
  <c r="M1095" i="2"/>
  <c r="L1095" i="2"/>
  <c r="K1095" i="2"/>
  <c r="J1095" i="2"/>
  <c r="I1095" i="2"/>
  <c r="H1095" i="2"/>
  <c r="G1095" i="2"/>
  <c r="F1095" i="2"/>
  <c r="C1095" i="2"/>
  <c r="B1095" i="2"/>
  <c r="A1095" i="2"/>
  <c r="O1094" i="2"/>
  <c r="N1094" i="2"/>
  <c r="M1094" i="2"/>
  <c r="L1094" i="2"/>
  <c r="K1094" i="2"/>
  <c r="J1094" i="2"/>
  <c r="I1094" i="2"/>
  <c r="H1094" i="2"/>
  <c r="G1094" i="2"/>
  <c r="F1094" i="2"/>
  <c r="C1094" i="2"/>
  <c r="B1094" i="2"/>
  <c r="A1094" i="2"/>
  <c r="O1093" i="2"/>
  <c r="N1093" i="2"/>
  <c r="M1093" i="2"/>
  <c r="L1093" i="2"/>
  <c r="K1093" i="2"/>
  <c r="J1093" i="2"/>
  <c r="I1093" i="2"/>
  <c r="H1093" i="2"/>
  <c r="G1093" i="2"/>
  <c r="F1093" i="2"/>
  <c r="C1093" i="2"/>
  <c r="B1093" i="2"/>
  <c r="A1093" i="2"/>
  <c r="O1092" i="2"/>
  <c r="N1092" i="2"/>
  <c r="M1092" i="2"/>
  <c r="L1092" i="2"/>
  <c r="K1092" i="2"/>
  <c r="J1092" i="2"/>
  <c r="I1092" i="2"/>
  <c r="H1092" i="2"/>
  <c r="G1092" i="2"/>
  <c r="F1092" i="2"/>
  <c r="C1092" i="2"/>
  <c r="B1092" i="2"/>
  <c r="A1092" i="2"/>
  <c r="O1091" i="2"/>
  <c r="N1091" i="2"/>
  <c r="M1091" i="2"/>
  <c r="L1091" i="2"/>
  <c r="K1091" i="2"/>
  <c r="J1091" i="2"/>
  <c r="I1091" i="2"/>
  <c r="H1091" i="2"/>
  <c r="G1091" i="2"/>
  <c r="F1091" i="2"/>
  <c r="C1091" i="2"/>
  <c r="B1091" i="2"/>
  <c r="A1091" i="2"/>
  <c r="O1090" i="2"/>
  <c r="N1090" i="2"/>
  <c r="M1090" i="2"/>
  <c r="L1090" i="2"/>
  <c r="K1090" i="2"/>
  <c r="J1090" i="2"/>
  <c r="I1090" i="2"/>
  <c r="H1090" i="2"/>
  <c r="G1090" i="2"/>
  <c r="F1090" i="2"/>
  <c r="C1090" i="2"/>
  <c r="B1090" i="2"/>
  <c r="A1090" i="2"/>
  <c r="O1089" i="2"/>
  <c r="N1089" i="2"/>
  <c r="M1089" i="2"/>
  <c r="L1089" i="2"/>
  <c r="K1089" i="2"/>
  <c r="J1089" i="2"/>
  <c r="I1089" i="2"/>
  <c r="H1089" i="2"/>
  <c r="G1089" i="2"/>
  <c r="F1089" i="2"/>
  <c r="C1089" i="2"/>
  <c r="B1089" i="2"/>
  <c r="A1089" i="2"/>
  <c r="O1088" i="2"/>
  <c r="N1088" i="2"/>
  <c r="M1088" i="2"/>
  <c r="L1088" i="2"/>
  <c r="K1088" i="2"/>
  <c r="J1088" i="2"/>
  <c r="I1088" i="2"/>
  <c r="H1088" i="2"/>
  <c r="G1088" i="2"/>
  <c r="F1088" i="2"/>
  <c r="C1088" i="2"/>
  <c r="B1088" i="2"/>
  <c r="A1088" i="2"/>
  <c r="O1087" i="2"/>
  <c r="N1087" i="2"/>
  <c r="M1087" i="2"/>
  <c r="L1087" i="2"/>
  <c r="K1087" i="2"/>
  <c r="J1087" i="2"/>
  <c r="I1087" i="2"/>
  <c r="H1087" i="2"/>
  <c r="G1087" i="2"/>
  <c r="F1087" i="2"/>
  <c r="C1087" i="2"/>
  <c r="B1087" i="2"/>
  <c r="A1087" i="2"/>
  <c r="O1086" i="2"/>
  <c r="N1086" i="2"/>
  <c r="M1086" i="2"/>
  <c r="L1086" i="2"/>
  <c r="K1086" i="2"/>
  <c r="J1086" i="2"/>
  <c r="I1086" i="2"/>
  <c r="H1086" i="2"/>
  <c r="G1086" i="2"/>
  <c r="F1086" i="2"/>
  <c r="C1086" i="2"/>
  <c r="B1086" i="2"/>
  <c r="A1086" i="2"/>
  <c r="O1085" i="2"/>
  <c r="N1085" i="2"/>
  <c r="M1085" i="2"/>
  <c r="L1085" i="2"/>
  <c r="K1085" i="2"/>
  <c r="J1085" i="2"/>
  <c r="I1085" i="2"/>
  <c r="H1085" i="2"/>
  <c r="G1085" i="2"/>
  <c r="F1085" i="2"/>
  <c r="C1085" i="2"/>
  <c r="B1085" i="2"/>
  <c r="A1085" i="2"/>
  <c r="O1084" i="2"/>
  <c r="N1084" i="2"/>
  <c r="M1084" i="2"/>
  <c r="L1084" i="2"/>
  <c r="K1084" i="2"/>
  <c r="J1084" i="2"/>
  <c r="I1084" i="2"/>
  <c r="H1084" i="2"/>
  <c r="G1084" i="2"/>
  <c r="F1084" i="2"/>
  <c r="C1084" i="2"/>
  <c r="B1084" i="2"/>
  <c r="A1084" i="2"/>
  <c r="O1083" i="2"/>
  <c r="N1083" i="2"/>
  <c r="M1083" i="2"/>
  <c r="L1083" i="2"/>
  <c r="K1083" i="2"/>
  <c r="J1083" i="2"/>
  <c r="I1083" i="2"/>
  <c r="H1083" i="2"/>
  <c r="G1083" i="2"/>
  <c r="F1083" i="2"/>
  <c r="C1083" i="2"/>
  <c r="B1083" i="2"/>
  <c r="A1083" i="2"/>
  <c r="O1082" i="2"/>
  <c r="N1082" i="2"/>
  <c r="M1082" i="2"/>
  <c r="L1082" i="2"/>
  <c r="K1082" i="2"/>
  <c r="J1082" i="2"/>
  <c r="I1082" i="2"/>
  <c r="H1082" i="2"/>
  <c r="G1082" i="2"/>
  <c r="F1082" i="2"/>
  <c r="C1082" i="2"/>
  <c r="B1082" i="2"/>
  <c r="A1082" i="2"/>
  <c r="O1081" i="2"/>
  <c r="N1081" i="2"/>
  <c r="M1081" i="2"/>
  <c r="L1081" i="2"/>
  <c r="K1081" i="2"/>
  <c r="J1081" i="2"/>
  <c r="I1081" i="2"/>
  <c r="H1081" i="2"/>
  <c r="G1081" i="2"/>
  <c r="F1081" i="2"/>
  <c r="C1081" i="2"/>
  <c r="B1081" i="2"/>
  <c r="A1081" i="2"/>
  <c r="O1080" i="2"/>
  <c r="N1080" i="2"/>
  <c r="M1080" i="2"/>
  <c r="L1080" i="2"/>
  <c r="K1080" i="2"/>
  <c r="J1080" i="2"/>
  <c r="I1080" i="2"/>
  <c r="H1080" i="2"/>
  <c r="G1080" i="2"/>
  <c r="F1080" i="2"/>
  <c r="C1080" i="2"/>
  <c r="B1080" i="2"/>
  <c r="A1080" i="2"/>
  <c r="O1079" i="2"/>
  <c r="N1079" i="2"/>
  <c r="M1079" i="2"/>
  <c r="L1079" i="2"/>
  <c r="K1079" i="2"/>
  <c r="J1079" i="2"/>
  <c r="I1079" i="2"/>
  <c r="H1079" i="2"/>
  <c r="G1079" i="2"/>
  <c r="F1079" i="2"/>
  <c r="C1079" i="2"/>
  <c r="B1079" i="2"/>
  <c r="A1079" i="2"/>
  <c r="O1078" i="2"/>
  <c r="N1078" i="2"/>
  <c r="M1078" i="2"/>
  <c r="L1078" i="2"/>
  <c r="K1078" i="2"/>
  <c r="J1078" i="2"/>
  <c r="I1078" i="2"/>
  <c r="H1078" i="2"/>
  <c r="G1078" i="2"/>
  <c r="F1078" i="2"/>
  <c r="C1078" i="2"/>
  <c r="B1078" i="2"/>
  <c r="A1078" i="2"/>
  <c r="O1077" i="2"/>
  <c r="N1077" i="2"/>
  <c r="M1077" i="2"/>
  <c r="L1077" i="2"/>
  <c r="K1077" i="2"/>
  <c r="J1077" i="2"/>
  <c r="I1077" i="2"/>
  <c r="H1077" i="2"/>
  <c r="G1077" i="2"/>
  <c r="F1077" i="2"/>
  <c r="C1077" i="2"/>
  <c r="B1077" i="2"/>
  <c r="A1077" i="2"/>
  <c r="O1076" i="2"/>
  <c r="N1076" i="2"/>
  <c r="M1076" i="2"/>
  <c r="L1076" i="2"/>
  <c r="K1076" i="2"/>
  <c r="J1076" i="2"/>
  <c r="I1076" i="2"/>
  <c r="H1076" i="2"/>
  <c r="G1076" i="2"/>
  <c r="F1076" i="2"/>
  <c r="C1076" i="2"/>
  <c r="B1076" i="2"/>
  <c r="A1076" i="2"/>
  <c r="O1075" i="2"/>
  <c r="N1075" i="2"/>
  <c r="M1075" i="2"/>
  <c r="L1075" i="2"/>
  <c r="K1075" i="2"/>
  <c r="J1075" i="2"/>
  <c r="I1075" i="2"/>
  <c r="H1075" i="2"/>
  <c r="G1075" i="2"/>
  <c r="F1075" i="2"/>
  <c r="C1075" i="2"/>
  <c r="B1075" i="2"/>
  <c r="A1075" i="2"/>
  <c r="O1074" i="2"/>
  <c r="N1074" i="2"/>
  <c r="M1074" i="2"/>
  <c r="L1074" i="2"/>
  <c r="K1074" i="2"/>
  <c r="J1074" i="2"/>
  <c r="I1074" i="2"/>
  <c r="H1074" i="2"/>
  <c r="G1074" i="2"/>
  <c r="F1074" i="2"/>
  <c r="C1074" i="2"/>
  <c r="B1074" i="2"/>
  <c r="A1074" i="2"/>
  <c r="O1073" i="2"/>
  <c r="N1073" i="2"/>
  <c r="M1073" i="2"/>
  <c r="L1073" i="2"/>
  <c r="K1073" i="2"/>
  <c r="J1073" i="2"/>
  <c r="I1073" i="2"/>
  <c r="H1073" i="2"/>
  <c r="G1073" i="2"/>
  <c r="F1073" i="2"/>
  <c r="C1073" i="2"/>
  <c r="B1073" i="2"/>
  <c r="A1073" i="2"/>
  <c r="O1072" i="2"/>
  <c r="N1072" i="2"/>
  <c r="M1072" i="2"/>
  <c r="L1072" i="2"/>
  <c r="K1072" i="2"/>
  <c r="J1072" i="2"/>
  <c r="I1072" i="2"/>
  <c r="H1072" i="2"/>
  <c r="G1072" i="2"/>
  <c r="F1072" i="2"/>
  <c r="C1072" i="2"/>
  <c r="B1072" i="2"/>
  <c r="A1072" i="2"/>
  <c r="O1071" i="2"/>
  <c r="N1071" i="2"/>
  <c r="M1071" i="2"/>
  <c r="L1071" i="2"/>
  <c r="K1071" i="2"/>
  <c r="J1071" i="2"/>
  <c r="I1071" i="2"/>
  <c r="H1071" i="2"/>
  <c r="G1071" i="2"/>
  <c r="F1071" i="2"/>
  <c r="C1071" i="2"/>
  <c r="B1071" i="2"/>
  <c r="A1071" i="2"/>
  <c r="O1070" i="2"/>
  <c r="N1070" i="2"/>
  <c r="M1070" i="2"/>
  <c r="L1070" i="2"/>
  <c r="K1070" i="2"/>
  <c r="J1070" i="2"/>
  <c r="I1070" i="2"/>
  <c r="H1070" i="2"/>
  <c r="G1070" i="2"/>
  <c r="F1070" i="2"/>
  <c r="C1070" i="2"/>
  <c r="B1070" i="2"/>
  <c r="A1070" i="2"/>
  <c r="O1069" i="2"/>
  <c r="N1069" i="2"/>
  <c r="M1069" i="2"/>
  <c r="L1069" i="2"/>
  <c r="K1069" i="2"/>
  <c r="J1069" i="2"/>
  <c r="I1069" i="2"/>
  <c r="H1069" i="2"/>
  <c r="G1069" i="2"/>
  <c r="F1069" i="2"/>
  <c r="C1069" i="2"/>
  <c r="B1069" i="2"/>
  <c r="A1069" i="2"/>
  <c r="O1068" i="2"/>
  <c r="N1068" i="2"/>
  <c r="M1068" i="2"/>
  <c r="L1068" i="2"/>
  <c r="K1068" i="2"/>
  <c r="J1068" i="2"/>
  <c r="I1068" i="2"/>
  <c r="H1068" i="2"/>
  <c r="G1068" i="2"/>
  <c r="F1068" i="2"/>
  <c r="C1068" i="2"/>
  <c r="B1068" i="2"/>
  <c r="A1068" i="2"/>
  <c r="O1067" i="2"/>
  <c r="N1067" i="2"/>
  <c r="M1067" i="2"/>
  <c r="L1067" i="2"/>
  <c r="K1067" i="2"/>
  <c r="J1067" i="2"/>
  <c r="I1067" i="2"/>
  <c r="H1067" i="2"/>
  <c r="G1067" i="2"/>
  <c r="F1067" i="2"/>
  <c r="C1067" i="2"/>
  <c r="B1067" i="2"/>
  <c r="A1067" i="2"/>
  <c r="O1066" i="2"/>
  <c r="N1066" i="2"/>
  <c r="M1066" i="2"/>
  <c r="L1066" i="2"/>
  <c r="K1066" i="2"/>
  <c r="J1066" i="2"/>
  <c r="I1066" i="2"/>
  <c r="H1066" i="2"/>
  <c r="G1066" i="2"/>
  <c r="F1066" i="2"/>
  <c r="C1066" i="2"/>
  <c r="B1066" i="2"/>
  <c r="A1066" i="2"/>
  <c r="O1065" i="2"/>
  <c r="N1065" i="2"/>
  <c r="M1065" i="2"/>
  <c r="L1065" i="2"/>
  <c r="K1065" i="2"/>
  <c r="J1065" i="2"/>
  <c r="I1065" i="2"/>
  <c r="H1065" i="2"/>
  <c r="G1065" i="2"/>
  <c r="F1065" i="2"/>
  <c r="C1065" i="2"/>
  <c r="B1065" i="2"/>
  <c r="A1065" i="2"/>
  <c r="O1064" i="2"/>
  <c r="N1064" i="2"/>
  <c r="M1064" i="2"/>
  <c r="L1064" i="2"/>
  <c r="K1064" i="2"/>
  <c r="J1064" i="2"/>
  <c r="I1064" i="2"/>
  <c r="H1064" i="2"/>
  <c r="G1064" i="2"/>
  <c r="F1064" i="2"/>
  <c r="C1064" i="2"/>
  <c r="B1064" i="2"/>
  <c r="A1064" i="2"/>
  <c r="O1063" i="2"/>
  <c r="N1063" i="2"/>
  <c r="M1063" i="2"/>
  <c r="L1063" i="2"/>
  <c r="K1063" i="2"/>
  <c r="J1063" i="2"/>
  <c r="I1063" i="2"/>
  <c r="H1063" i="2"/>
  <c r="G1063" i="2"/>
  <c r="F1063" i="2"/>
  <c r="C1063" i="2"/>
  <c r="B1063" i="2"/>
  <c r="A1063" i="2"/>
  <c r="O1062" i="2"/>
  <c r="N1062" i="2"/>
  <c r="M1062" i="2"/>
  <c r="L1062" i="2"/>
  <c r="K1062" i="2"/>
  <c r="J1062" i="2"/>
  <c r="I1062" i="2"/>
  <c r="H1062" i="2"/>
  <c r="G1062" i="2"/>
  <c r="F1062" i="2"/>
  <c r="C1062" i="2"/>
  <c r="B1062" i="2"/>
  <c r="A1062" i="2"/>
  <c r="O1061" i="2"/>
  <c r="N1061" i="2"/>
  <c r="M1061" i="2"/>
  <c r="L1061" i="2"/>
  <c r="K1061" i="2"/>
  <c r="J1061" i="2"/>
  <c r="I1061" i="2"/>
  <c r="H1061" i="2"/>
  <c r="G1061" i="2"/>
  <c r="F1061" i="2"/>
  <c r="C1061" i="2"/>
  <c r="B1061" i="2"/>
  <c r="A1061" i="2"/>
  <c r="O1060" i="2"/>
  <c r="N1060" i="2"/>
  <c r="M1060" i="2"/>
  <c r="L1060" i="2"/>
  <c r="K1060" i="2"/>
  <c r="J1060" i="2"/>
  <c r="I1060" i="2"/>
  <c r="H1060" i="2"/>
  <c r="G1060" i="2"/>
  <c r="F1060" i="2"/>
  <c r="C1060" i="2"/>
  <c r="B1060" i="2"/>
  <c r="A1060" i="2"/>
  <c r="O1059" i="2"/>
  <c r="N1059" i="2"/>
  <c r="M1059" i="2"/>
  <c r="L1059" i="2"/>
  <c r="K1059" i="2"/>
  <c r="J1059" i="2"/>
  <c r="I1059" i="2"/>
  <c r="H1059" i="2"/>
  <c r="G1059" i="2"/>
  <c r="F1059" i="2"/>
  <c r="C1059" i="2"/>
  <c r="B1059" i="2"/>
  <c r="A1059" i="2"/>
  <c r="O1058" i="2"/>
  <c r="N1058" i="2"/>
  <c r="M1058" i="2"/>
  <c r="L1058" i="2"/>
  <c r="K1058" i="2"/>
  <c r="J1058" i="2"/>
  <c r="I1058" i="2"/>
  <c r="H1058" i="2"/>
  <c r="G1058" i="2"/>
  <c r="F1058" i="2"/>
  <c r="C1058" i="2"/>
  <c r="B1058" i="2"/>
  <c r="A1058" i="2"/>
  <c r="O1057" i="2"/>
  <c r="N1057" i="2"/>
  <c r="M1057" i="2"/>
  <c r="L1057" i="2"/>
  <c r="K1057" i="2"/>
  <c r="J1057" i="2"/>
  <c r="I1057" i="2"/>
  <c r="H1057" i="2"/>
  <c r="G1057" i="2"/>
  <c r="F1057" i="2"/>
  <c r="C1057" i="2"/>
  <c r="B1057" i="2"/>
  <c r="A1057" i="2"/>
  <c r="O1056" i="2"/>
  <c r="N1056" i="2"/>
  <c r="M1056" i="2"/>
  <c r="L1056" i="2"/>
  <c r="K1056" i="2"/>
  <c r="J1056" i="2"/>
  <c r="I1056" i="2"/>
  <c r="H1056" i="2"/>
  <c r="G1056" i="2"/>
  <c r="F1056" i="2"/>
  <c r="C1056" i="2"/>
  <c r="B1056" i="2"/>
  <c r="A1056" i="2"/>
  <c r="O1055" i="2"/>
  <c r="N1055" i="2"/>
  <c r="M1055" i="2"/>
  <c r="L1055" i="2"/>
  <c r="K1055" i="2"/>
  <c r="J1055" i="2"/>
  <c r="I1055" i="2"/>
  <c r="H1055" i="2"/>
  <c r="G1055" i="2"/>
  <c r="F1055" i="2"/>
  <c r="C1055" i="2"/>
  <c r="B1055" i="2"/>
  <c r="A1055" i="2"/>
  <c r="O1054" i="2"/>
  <c r="N1054" i="2"/>
  <c r="M1054" i="2"/>
  <c r="L1054" i="2"/>
  <c r="K1054" i="2"/>
  <c r="J1054" i="2"/>
  <c r="I1054" i="2"/>
  <c r="H1054" i="2"/>
  <c r="G1054" i="2"/>
  <c r="F1054" i="2"/>
  <c r="C1054" i="2"/>
  <c r="B1054" i="2"/>
  <c r="A1054" i="2"/>
  <c r="O1053" i="2"/>
  <c r="N1053" i="2"/>
  <c r="M1053" i="2"/>
  <c r="L1053" i="2"/>
  <c r="K1053" i="2"/>
  <c r="J1053" i="2"/>
  <c r="I1053" i="2"/>
  <c r="H1053" i="2"/>
  <c r="G1053" i="2"/>
  <c r="F1053" i="2"/>
  <c r="C1053" i="2"/>
  <c r="B1053" i="2"/>
  <c r="A1053" i="2"/>
  <c r="O1052" i="2"/>
  <c r="N1052" i="2"/>
  <c r="M1052" i="2"/>
  <c r="L1052" i="2"/>
  <c r="K1052" i="2"/>
  <c r="J1052" i="2"/>
  <c r="I1052" i="2"/>
  <c r="H1052" i="2"/>
  <c r="G1052" i="2"/>
  <c r="F1052" i="2"/>
  <c r="C1052" i="2"/>
  <c r="B1052" i="2"/>
  <c r="A1052" i="2"/>
  <c r="O1051" i="2"/>
  <c r="N1051" i="2"/>
  <c r="M1051" i="2"/>
  <c r="L1051" i="2"/>
  <c r="K1051" i="2"/>
  <c r="J1051" i="2"/>
  <c r="I1051" i="2"/>
  <c r="H1051" i="2"/>
  <c r="G1051" i="2"/>
  <c r="F1051" i="2"/>
  <c r="C1051" i="2"/>
  <c r="B1051" i="2"/>
  <c r="A1051" i="2"/>
  <c r="O1050" i="2"/>
  <c r="N1050" i="2"/>
  <c r="M1050" i="2"/>
  <c r="L1050" i="2"/>
  <c r="K1050" i="2"/>
  <c r="J1050" i="2"/>
  <c r="I1050" i="2"/>
  <c r="H1050" i="2"/>
  <c r="G1050" i="2"/>
  <c r="F1050" i="2"/>
  <c r="C1050" i="2"/>
  <c r="B1050" i="2"/>
  <c r="A1050" i="2"/>
  <c r="O1049" i="2"/>
  <c r="N1049" i="2"/>
  <c r="M1049" i="2"/>
  <c r="L1049" i="2"/>
  <c r="K1049" i="2"/>
  <c r="J1049" i="2"/>
  <c r="I1049" i="2"/>
  <c r="H1049" i="2"/>
  <c r="G1049" i="2"/>
  <c r="F1049" i="2"/>
  <c r="C1049" i="2"/>
  <c r="B1049" i="2"/>
  <c r="A1049" i="2"/>
  <c r="O1048" i="2"/>
  <c r="N1048" i="2"/>
  <c r="M1048" i="2"/>
  <c r="L1048" i="2"/>
  <c r="K1048" i="2"/>
  <c r="J1048" i="2"/>
  <c r="I1048" i="2"/>
  <c r="H1048" i="2"/>
  <c r="G1048" i="2"/>
  <c r="F1048" i="2"/>
  <c r="C1048" i="2"/>
  <c r="B1048" i="2"/>
  <c r="A1048" i="2"/>
  <c r="O1047" i="2"/>
  <c r="N1047" i="2"/>
  <c r="M1047" i="2"/>
  <c r="L1047" i="2"/>
  <c r="K1047" i="2"/>
  <c r="J1047" i="2"/>
  <c r="I1047" i="2"/>
  <c r="H1047" i="2"/>
  <c r="G1047" i="2"/>
  <c r="F1047" i="2"/>
  <c r="C1047" i="2"/>
  <c r="B1047" i="2"/>
  <c r="A1047" i="2"/>
  <c r="O1046" i="2"/>
  <c r="N1046" i="2"/>
  <c r="M1046" i="2"/>
  <c r="L1046" i="2"/>
  <c r="K1046" i="2"/>
  <c r="J1046" i="2"/>
  <c r="I1046" i="2"/>
  <c r="H1046" i="2"/>
  <c r="G1046" i="2"/>
  <c r="F1046" i="2"/>
  <c r="C1046" i="2"/>
  <c r="B1046" i="2"/>
  <c r="A1046" i="2"/>
  <c r="O1045" i="2"/>
  <c r="N1045" i="2"/>
  <c r="M1045" i="2"/>
  <c r="L1045" i="2"/>
  <c r="K1045" i="2"/>
  <c r="J1045" i="2"/>
  <c r="I1045" i="2"/>
  <c r="H1045" i="2"/>
  <c r="G1045" i="2"/>
  <c r="F1045" i="2"/>
  <c r="C1045" i="2"/>
  <c r="B1045" i="2"/>
  <c r="A1045" i="2"/>
  <c r="O1044" i="2"/>
  <c r="N1044" i="2"/>
  <c r="M1044" i="2"/>
  <c r="L1044" i="2"/>
  <c r="K1044" i="2"/>
  <c r="J1044" i="2"/>
  <c r="I1044" i="2"/>
  <c r="H1044" i="2"/>
  <c r="G1044" i="2"/>
  <c r="F1044" i="2"/>
  <c r="C1044" i="2"/>
  <c r="B1044" i="2"/>
  <c r="A1044" i="2"/>
  <c r="O1043" i="2"/>
  <c r="N1043" i="2"/>
  <c r="M1043" i="2"/>
  <c r="L1043" i="2"/>
  <c r="K1043" i="2"/>
  <c r="J1043" i="2"/>
  <c r="I1043" i="2"/>
  <c r="H1043" i="2"/>
  <c r="G1043" i="2"/>
  <c r="F1043" i="2"/>
  <c r="C1043" i="2"/>
  <c r="B1043" i="2"/>
  <c r="A1043" i="2"/>
  <c r="O1042" i="2"/>
  <c r="N1042" i="2"/>
  <c r="M1042" i="2"/>
  <c r="L1042" i="2"/>
  <c r="K1042" i="2"/>
  <c r="J1042" i="2"/>
  <c r="I1042" i="2"/>
  <c r="H1042" i="2"/>
  <c r="G1042" i="2"/>
  <c r="F1042" i="2"/>
  <c r="C1042" i="2"/>
  <c r="B1042" i="2"/>
  <c r="A1042" i="2"/>
  <c r="O1041" i="2"/>
  <c r="N1041" i="2"/>
  <c r="M1041" i="2"/>
  <c r="L1041" i="2"/>
  <c r="K1041" i="2"/>
  <c r="J1041" i="2"/>
  <c r="I1041" i="2"/>
  <c r="H1041" i="2"/>
  <c r="G1041" i="2"/>
  <c r="F1041" i="2"/>
  <c r="C1041" i="2"/>
  <c r="B1041" i="2"/>
  <c r="A1041" i="2"/>
  <c r="O1040" i="2"/>
  <c r="N1040" i="2"/>
  <c r="M1040" i="2"/>
  <c r="L1040" i="2"/>
  <c r="K1040" i="2"/>
  <c r="J1040" i="2"/>
  <c r="I1040" i="2"/>
  <c r="H1040" i="2"/>
  <c r="G1040" i="2"/>
  <c r="F1040" i="2"/>
  <c r="C1040" i="2"/>
  <c r="B1040" i="2"/>
  <c r="A1040" i="2"/>
  <c r="O1039" i="2"/>
  <c r="N1039" i="2"/>
  <c r="M1039" i="2"/>
  <c r="L1039" i="2"/>
  <c r="K1039" i="2"/>
  <c r="J1039" i="2"/>
  <c r="I1039" i="2"/>
  <c r="H1039" i="2"/>
  <c r="G1039" i="2"/>
  <c r="F1039" i="2"/>
  <c r="C1039" i="2"/>
  <c r="B1039" i="2"/>
  <c r="A1039" i="2"/>
  <c r="O1038" i="2"/>
  <c r="N1038" i="2"/>
  <c r="M1038" i="2"/>
  <c r="L1038" i="2"/>
  <c r="K1038" i="2"/>
  <c r="J1038" i="2"/>
  <c r="I1038" i="2"/>
  <c r="H1038" i="2"/>
  <c r="G1038" i="2"/>
  <c r="F1038" i="2"/>
  <c r="C1038" i="2"/>
  <c r="B1038" i="2"/>
  <c r="A1038" i="2"/>
  <c r="O1037" i="2"/>
  <c r="N1037" i="2"/>
  <c r="M1037" i="2"/>
  <c r="L1037" i="2"/>
  <c r="K1037" i="2"/>
  <c r="J1037" i="2"/>
  <c r="I1037" i="2"/>
  <c r="H1037" i="2"/>
  <c r="G1037" i="2"/>
  <c r="F1037" i="2"/>
  <c r="C1037" i="2"/>
  <c r="B1037" i="2"/>
  <c r="A1037" i="2"/>
  <c r="O1036" i="2"/>
  <c r="N1036" i="2"/>
  <c r="M1036" i="2"/>
  <c r="L1036" i="2"/>
  <c r="K1036" i="2"/>
  <c r="J1036" i="2"/>
  <c r="I1036" i="2"/>
  <c r="H1036" i="2"/>
  <c r="G1036" i="2"/>
  <c r="F1036" i="2"/>
  <c r="C1036" i="2"/>
  <c r="B1036" i="2"/>
  <c r="A1036" i="2"/>
  <c r="O1035" i="2"/>
  <c r="N1035" i="2"/>
  <c r="M1035" i="2"/>
  <c r="L1035" i="2"/>
  <c r="K1035" i="2"/>
  <c r="J1035" i="2"/>
  <c r="I1035" i="2"/>
  <c r="H1035" i="2"/>
  <c r="G1035" i="2"/>
  <c r="F1035" i="2"/>
  <c r="C1035" i="2"/>
  <c r="B1035" i="2"/>
  <c r="A1035" i="2"/>
  <c r="O1034" i="2"/>
  <c r="N1034" i="2"/>
  <c r="M1034" i="2"/>
  <c r="L1034" i="2"/>
  <c r="K1034" i="2"/>
  <c r="J1034" i="2"/>
  <c r="I1034" i="2"/>
  <c r="H1034" i="2"/>
  <c r="G1034" i="2"/>
  <c r="F1034" i="2"/>
  <c r="C1034" i="2"/>
  <c r="B1034" i="2"/>
  <c r="A1034" i="2"/>
  <c r="O1033" i="2"/>
  <c r="N1033" i="2"/>
  <c r="M1033" i="2"/>
  <c r="L1033" i="2"/>
  <c r="K1033" i="2"/>
  <c r="J1033" i="2"/>
  <c r="I1033" i="2"/>
  <c r="H1033" i="2"/>
  <c r="G1033" i="2"/>
  <c r="F1033" i="2"/>
  <c r="C1033" i="2"/>
  <c r="B1033" i="2"/>
  <c r="A1033" i="2"/>
  <c r="O1032" i="2"/>
  <c r="N1032" i="2"/>
  <c r="M1032" i="2"/>
  <c r="L1032" i="2"/>
  <c r="K1032" i="2"/>
  <c r="J1032" i="2"/>
  <c r="I1032" i="2"/>
  <c r="H1032" i="2"/>
  <c r="G1032" i="2"/>
  <c r="F1032" i="2"/>
  <c r="C1032" i="2"/>
  <c r="B1032" i="2"/>
  <c r="A1032" i="2"/>
  <c r="O1031" i="2"/>
  <c r="N1031" i="2"/>
  <c r="M1031" i="2"/>
  <c r="L1031" i="2"/>
  <c r="K1031" i="2"/>
  <c r="J1031" i="2"/>
  <c r="I1031" i="2"/>
  <c r="H1031" i="2"/>
  <c r="G1031" i="2"/>
  <c r="F1031" i="2"/>
  <c r="C1031" i="2"/>
  <c r="B1031" i="2"/>
  <c r="A1031" i="2"/>
  <c r="O1030" i="2"/>
  <c r="N1030" i="2"/>
  <c r="M1030" i="2"/>
  <c r="L1030" i="2"/>
  <c r="K1030" i="2"/>
  <c r="J1030" i="2"/>
  <c r="I1030" i="2"/>
  <c r="H1030" i="2"/>
  <c r="G1030" i="2"/>
  <c r="F1030" i="2"/>
  <c r="C1030" i="2"/>
  <c r="B1030" i="2"/>
  <c r="A1030" i="2"/>
  <c r="O1029" i="2"/>
  <c r="N1029" i="2"/>
  <c r="M1029" i="2"/>
  <c r="L1029" i="2"/>
  <c r="K1029" i="2"/>
  <c r="J1029" i="2"/>
  <c r="I1029" i="2"/>
  <c r="H1029" i="2"/>
  <c r="G1029" i="2"/>
  <c r="F1029" i="2"/>
  <c r="C1029" i="2"/>
  <c r="B1029" i="2"/>
  <c r="A1029" i="2"/>
  <c r="O1028" i="2"/>
  <c r="N1028" i="2"/>
  <c r="M1028" i="2"/>
  <c r="L1028" i="2"/>
  <c r="K1028" i="2"/>
  <c r="J1028" i="2"/>
  <c r="I1028" i="2"/>
  <c r="H1028" i="2"/>
  <c r="G1028" i="2"/>
  <c r="F1028" i="2"/>
  <c r="C1028" i="2"/>
  <c r="B1028" i="2"/>
  <c r="A1028" i="2"/>
  <c r="O1027" i="2"/>
  <c r="N1027" i="2"/>
  <c r="M1027" i="2"/>
  <c r="L1027" i="2"/>
  <c r="K1027" i="2"/>
  <c r="J1027" i="2"/>
  <c r="I1027" i="2"/>
  <c r="H1027" i="2"/>
  <c r="G1027" i="2"/>
  <c r="F1027" i="2"/>
  <c r="C1027" i="2"/>
  <c r="B1027" i="2"/>
  <c r="A1027" i="2"/>
  <c r="O1026" i="2"/>
  <c r="N1026" i="2"/>
  <c r="M1026" i="2"/>
  <c r="L1026" i="2"/>
  <c r="K1026" i="2"/>
  <c r="J1026" i="2"/>
  <c r="I1026" i="2"/>
  <c r="H1026" i="2"/>
  <c r="G1026" i="2"/>
  <c r="F1026" i="2"/>
  <c r="C1026" i="2"/>
  <c r="B1026" i="2"/>
  <c r="A1026" i="2"/>
  <c r="O1025" i="2"/>
  <c r="N1025" i="2"/>
  <c r="M1025" i="2"/>
  <c r="L1025" i="2"/>
  <c r="K1025" i="2"/>
  <c r="J1025" i="2"/>
  <c r="I1025" i="2"/>
  <c r="H1025" i="2"/>
  <c r="G1025" i="2"/>
  <c r="F1025" i="2"/>
  <c r="C1025" i="2"/>
  <c r="B1025" i="2"/>
  <c r="A1025" i="2"/>
  <c r="O1024" i="2"/>
  <c r="N1024" i="2"/>
  <c r="M1024" i="2"/>
  <c r="L1024" i="2"/>
  <c r="K1024" i="2"/>
  <c r="J1024" i="2"/>
  <c r="I1024" i="2"/>
  <c r="H1024" i="2"/>
  <c r="G1024" i="2"/>
  <c r="F1024" i="2"/>
  <c r="C1024" i="2"/>
  <c r="B1024" i="2"/>
  <c r="A1024" i="2"/>
  <c r="O1023" i="2"/>
  <c r="N1023" i="2"/>
  <c r="M1023" i="2"/>
  <c r="L1023" i="2"/>
  <c r="K1023" i="2"/>
  <c r="J1023" i="2"/>
  <c r="I1023" i="2"/>
  <c r="H1023" i="2"/>
  <c r="G1023" i="2"/>
  <c r="F1023" i="2"/>
  <c r="C1023" i="2"/>
  <c r="B1023" i="2"/>
  <c r="A1023" i="2"/>
  <c r="O1022" i="2"/>
  <c r="N1022" i="2"/>
  <c r="M1022" i="2"/>
  <c r="L1022" i="2"/>
  <c r="K1022" i="2"/>
  <c r="J1022" i="2"/>
  <c r="I1022" i="2"/>
  <c r="H1022" i="2"/>
  <c r="G1022" i="2"/>
  <c r="F1022" i="2"/>
  <c r="C1022" i="2"/>
  <c r="B1022" i="2"/>
  <c r="A1022" i="2"/>
  <c r="O1021" i="2"/>
  <c r="N1021" i="2"/>
  <c r="M1021" i="2"/>
  <c r="L1021" i="2"/>
  <c r="K1021" i="2"/>
  <c r="J1021" i="2"/>
  <c r="I1021" i="2"/>
  <c r="H1021" i="2"/>
  <c r="G1021" i="2"/>
  <c r="F1021" i="2"/>
  <c r="C1021" i="2"/>
  <c r="B1021" i="2"/>
  <c r="A1021" i="2"/>
  <c r="O1020" i="2"/>
  <c r="N1020" i="2"/>
  <c r="M1020" i="2"/>
  <c r="L1020" i="2"/>
  <c r="K1020" i="2"/>
  <c r="J1020" i="2"/>
  <c r="I1020" i="2"/>
  <c r="H1020" i="2"/>
  <c r="G1020" i="2"/>
  <c r="F1020" i="2"/>
  <c r="C1020" i="2"/>
  <c r="B1020" i="2"/>
  <c r="A1020" i="2"/>
  <c r="O1019" i="2"/>
  <c r="N1019" i="2"/>
  <c r="M1019" i="2"/>
  <c r="L1019" i="2"/>
  <c r="K1019" i="2"/>
  <c r="J1019" i="2"/>
  <c r="I1019" i="2"/>
  <c r="H1019" i="2"/>
  <c r="G1019" i="2"/>
  <c r="F1019" i="2"/>
  <c r="C1019" i="2"/>
  <c r="B1019" i="2"/>
  <c r="A1019" i="2"/>
  <c r="O1018" i="2"/>
  <c r="N1018" i="2"/>
  <c r="M1018" i="2"/>
  <c r="L1018" i="2"/>
  <c r="K1018" i="2"/>
  <c r="J1018" i="2"/>
  <c r="I1018" i="2"/>
  <c r="H1018" i="2"/>
  <c r="G1018" i="2"/>
  <c r="F1018" i="2"/>
  <c r="C1018" i="2"/>
  <c r="B1018" i="2"/>
  <c r="A1018" i="2"/>
  <c r="O1017" i="2"/>
  <c r="N1017" i="2"/>
  <c r="M1017" i="2"/>
  <c r="L1017" i="2"/>
  <c r="K1017" i="2"/>
  <c r="J1017" i="2"/>
  <c r="I1017" i="2"/>
  <c r="H1017" i="2"/>
  <c r="G1017" i="2"/>
  <c r="F1017" i="2"/>
  <c r="C1017" i="2"/>
  <c r="B1017" i="2"/>
  <c r="A1017" i="2"/>
  <c r="O1016" i="2"/>
  <c r="N1016" i="2"/>
  <c r="M1016" i="2"/>
  <c r="L1016" i="2"/>
  <c r="K1016" i="2"/>
  <c r="J1016" i="2"/>
  <c r="I1016" i="2"/>
  <c r="H1016" i="2"/>
  <c r="G1016" i="2"/>
  <c r="F1016" i="2"/>
  <c r="C1016" i="2"/>
  <c r="B1016" i="2"/>
  <c r="A1016" i="2"/>
  <c r="O1015" i="2"/>
  <c r="N1015" i="2"/>
  <c r="M1015" i="2"/>
  <c r="L1015" i="2"/>
  <c r="K1015" i="2"/>
  <c r="J1015" i="2"/>
  <c r="I1015" i="2"/>
  <c r="H1015" i="2"/>
  <c r="G1015" i="2"/>
  <c r="F1015" i="2"/>
  <c r="C1015" i="2"/>
  <c r="B1015" i="2"/>
  <c r="A1015" i="2"/>
  <c r="O1014" i="2"/>
  <c r="N1014" i="2"/>
  <c r="M1014" i="2"/>
  <c r="L1014" i="2"/>
  <c r="K1014" i="2"/>
  <c r="J1014" i="2"/>
  <c r="I1014" i="2"/>
  <c r="H1014" i="2"/>
  <c r="G1014" i="2"/>
  <c r="F1014" i="2"/>
  <c r="C1014" i="2"/>
  <c r="B1014" i="2"/>
  <c r="A1014" i="2"/>
  <c r="O1013" i="2"/>
  <c r="N1013" i="2"/>
  <c r="M1013" i="2"/>
  <c r="L1013" i="2"/>
  <c r="K1013" i="2"/>
  <c r="J1013" i="2"/>
  <c r="I1013" i="2"/>
  <c r="H1013" i="2"/>
  <c r="G1013" i="2"/>
  <c r="F1013" i="2"/>
  <c r="C1013" i="2"/>
  <c r="B1013" i="2"/>
  <c r="A1013" i="2"/>
  <c r="O1012" i="2"/>
  <c r="N1012" i="2"/>
  <c r="M1012" i="2"/>
  <c r="L1012" i="2"/>
  <c r="K1012" i="2"/>
  <c r="J1012" i="2"/>
  <c r="I1012" i="2"/>
  <c r="H1012" i="2"/>
  <c r="G1012" i="2"/>
  <c r="F1012" i="2"/>
  <c r="C1012" i="2"/>
  <c r="B1012" i="2"/>
  <c r="A1012" i="2"/>
  <c r="O1011" i="2"/>
  <c r="N1011" i="2"/>
  <c r="M1011" i="2"/>
  <c r="L1011" i="2"/>
  <c r="K1011" i="2"/>
  <c r="J1011" i="2"/>
  <c r="I1011" i="2"/>
  <c r="H1011" i="2"/>
  <c r="G1011" i="2"/>
  <c r="F1011" i="2"/>
  <c r="C1011" i="2"/>
  <c r="B1011" i="2"/>
  <c r="A1011" i="2"/>
  <c r="O1010" i="2"/>
  <c r="N1010" i="2"/>
  <c r="M1010" i="2"/>
  <c r="L1010" i="2"/>
  <c r="K1010" i="2"/>
  <c r="J1010" i="2"/>
  <c r="I1010" i="2"/>
  <c r="H1010" i="2"/>
  <c r="G1010" i="2"/>
  <c r="F1010" i="2"/>
  <c r="C1010" i="2"/>
  <c r="B1010" i="2"/>
  <c r="A1010" i="2"/>
  <c r="O1009" i="2"/>
  <c r="N1009" i="2"/>
  <c r="M1009" i="2"/>
  <c r="L1009" i="2"/>
  <c r="K1009" i="2"/>
  <c r="J1009" i="2"/>
  <c r="I1009" i="2"/>
  <c r="H1009" i="2"/>
  <c r="G1009" i="2"/>
  <c r="F1009" i="2"/>
  <c r="C1009" i="2"/>
  <c r="B1009" i="2"/>
  <c r="A1009" i="2"/>
  <c r="O1008" i="2"/>
  <c r="N1008" i="2"/>
  <c r="M1008" i="2"/>
  <c r="L1008" i="2"/>
  <c r="K1008" i="2"/>
  <c r="J1008" i="2"/>
  <c r="I1008" i="2"/>
  <c r="H1008" i="2"/>
  <c r="G1008" i="2"/>
  <c r="F1008" i="2"/>
  <c r="C1008" i="2"/>
  <c r="B1008" i="2"/>
  <c r="A1008" i="2"/>
  <c r="O1007" i="2"/>
  <c r="N1007" i="2"/>
  <c r="M1007" i="2"/>
  <c r="L1007" i="2"/>
  <c r="K1007" i="2"/>
  <c r="J1007" i="2"/>
  <c r="I1007" i="2"/>
  <c r="H1007" i="2"/>
  <c r="G1007" i="2"/>
  <c r="F1007" i="2"/>
  <c r="C1007" i="2"/>
  <c r="B1007" i="2"/>
  <c r="A1007" i="2"/>
  <c r="O1006" i="2"/>
  <c r="N1006" i="2"/>
  <c r="M1006" i="2"/>
  <c r="L1006" i="2"/>
  <c r="K1006" i="2"/>
  <c r="J1006" i="2"/>
  <c r="I1006" i="2"/>
  <c r="H1006" i="2"/>
  <c r="G1006" i="2"/>
  <c r="F1006" i="2"/>
  <c r="C1006" i="2"/>
  <c r="B1006" i="2"/>
  <c r="A1006" i="2"/>
  <c r="O1005" i="2"/>
  <c r="N1005" i="2"/>
  <c r="M1005" i="2"/>
  <c r="L1005" i="2"/>
  <c r="K1005" i="2"/>
  <c r="J1005" i="2"/>
  <c r="I1005" i="2"/>
  <c r="H1005" i="2"/>
  <c r="G1005" i="2"/>
  <c r="F1005" i="2"/>
  <c r="C1005" i="2"/>
  <c r="B1005" i="2"/>
  <c r="A1005" i="2"/>
  <c r="O1004" i="2"/>
  <c r="N1004" i="2"/>
  <c r="M1004" i="2"/>
  <c r="L1004" i="2"/>
  <c r="K1004" i="2"/>
  <c r="J1004" i="2"/>
  <c r="I1004" i="2"/>
  <c r="H1004" i="2"/>
  <c r="G1004" i="2"/>
  <c r="F1004" i="2"/>
  <c r="C1004" i="2"/>
  <c r="B1004" i="2"/>
  <c r="A1004" i="2"/>
  <c r="O1003" i="2"/>
  <c r="N1003" i="2"/>
  <c r="M1003" i="2"/>
  <c r="L1003" i="2"/>
  <c r="K1003" i="2"/>
  <c r="J1003" i="2"/>
  <c r="I1003" i="2"/>
  <c r="H1003" i="2"/>
  <c r="G1003" i="2"/>
  <c r="F1003" i="2"/>
  <c r="C1003" i="2"/>
  <c r="B1003" i="2"/>
  <c r="A1003" i="2"/>
  <c r="O1002" i="2"/>
  <c r="N1002" i="2"/>
  <c r="M1002" i="2"/>
  <c r="L1002" i="2"/>
  <c r="K1002" i="2"/>
  <c r="J1002" i="2"/>
  <c r="I1002" i="2"/>
  <c r="H1002" i="2"/>
  <c r="G1002" i="2"/>
  <c r="F1002" i="2"/>
  <c r="C1002" i="2"/>
  <c r="B1002" i="2"/>
  <c r="A1002" i="2"/>
  <c r="O1001" i="2"/>
  <c r="N1001" i="2"/>
  <c r="M1001" i="2"/>
  <c r="L1001" i="2"/>
  <c r="K1001" i="2"/>
  <c r="J1001" i="2"/>
  <c r="I1001" i="2"/>
  <c r="H1001" i="2"/>
  <c r="G1001" i="2"/>
  <c r="F1001" i="2"/>
  <c r="C1001" i="2"/>
  <c r="B1001" i="2"/>
  <c r="A1001" i="2"/>
  <c r="O1000" i="2"/>
  <c r="N1000" i="2"/>
  <c r="M1000" i="2"/>
  <c r="L1000" i="2"/>
  <c r="K1000" i="2"/>
  <c r="J1000" i="2"/>
  <c r="I1000" i="2"/>
  <c r="H1000" i="2"/>
  <c r="G1000" i="2"/>
  <c r="F1000" i="2"/>
  <c r="C1000" i="2"/>
  <c r="B1000" i="2"/>
  <c r="A1000" i="2"/>
  <c r="O999" i="2"/>
  <c r="N999" i="2"/>
  <c r="M999" i="2"/>
  <c r="L999" i="2"/>
  <c r="K999" i="2"/>
  <c r="J999" i="2"/>
  <c r="I999" i="2"/>
  <c r="H999" i="2"/>
  <c r="G999" i="2"/>
  <c r="F999" i="2"/>
  <c r="C999" i="2"/>
  <c r="B999" i="2"/>
  <c r="A999" i="2"/>
  <c r="O998" i="2"/>
  <c r="N998" i="2"/>
  <c r="M998" i="2"/>
  <c r="L998" i="2"/>
  <c r="K998" i="2"/>
  <c r="J998" i="2"/>
  <c r="I998" i="2"/>
  <c r="H998" i="2"/>
  <c r="G998" i="2"/>
  <c r="F998" i="2"/>
  <c r="C998" i="2"/>
  <c r="B998" i="2"/>
  <c r="A998" i="2"/>
  <c r="O997" i="2"/>
  <c r="N997" i="2"/>
  <c r="M997" i="2"/>
  <c r="L997" i="2"/>
  <c r="K997" i="2"/>
  <c r="J997" i="2"/>
  <c r="I997" i="2"/>
  <c r="H997" i="2"/>
  <c r="G997" i="2"/>
  <c r="F997" i="2"/>
  <c r="C997" i="2"/>
  <c r="B997" i="2"/>
  <c r="A997" i="2"/>
  <c r="O996" i="2"/>
  <c r="N996" i="2"/>
  <c r="M996" i="2"/>
  <c r="L996" i="2"/>
  <c r="K996" i="2"/>
  <c r="J996" i="2"/>
  <c r="I996" i="2"/>
  <c r="H996" i="2"/>
  <c r="G996" i="2"/>
  <c r="F996" i="2"/>
  <c r="C996" i="2"/>
  <c r="B996" i="2"/>
  <c r="A996" i="2"/>
  <c r="O995" i="2"/>
  <c r="N995" i="2"/>
  <c r="M995" i="2"/>
  <c r="L995" i="2"/>
  <c r="K995" i="2"/>
  <c r="J995" i="2"/>
  <c r="I995" i="2"/>
  <c r="H995" i="2"/>
  <c r="G995" i="2"/>
  <c r="F995" i="2"/>
  <c r="C995" i="2"/>
  <c r="B995" i="2"/>
  <c r="A995" i="2"/>
  <c r="O994" i="2"/>
  <c r="N994" i="2"/>
  <c r="M994" i="2"/>
  <c r="L994" i="2"/>
  <c r="K994" i="2"/>
  <c r="J994" i="2"/>
  <c r="I994" i="2"/>
  <c r="H994" i="2"/>
  <c r="G994" i="2"/>
  <c r="F994" i="2"/>
  <c r="C994" i="2"/>
  <c r="B994" i="2"/>
  <c r="A994" i="2"/>
  <c r="O993" i="2"/>
  <c r="N993" i="2"/>
  <c r="M993" i="2"/>
  <c r="L993" i="2"/>
  <c r="K993" i="2"/>
  <c r="J993" i="2"/>
  <c r="I993" i="2"/>
  <c r="H993" i="2"/>
  <c r="G993" i="2"/>
  <c r="F993" i="2"/>
  <c r="C993" i="2"/>
  <c r="B993" i="2"/>
  <c r="A993" i="2"/>
  <c r="O992" i="2"/>
  <c r="N992" i="2"/>
  <c r="M992" i="2"/>
  <c r="L992" i="2"/>
  <c r="K992" i="2"/>
  <c r="J992" i="2"/>
  <c r="I992" i="2"/>
  <c r="H992" i="2"/>
  <c r="G992" i="2"/>
  <c r="F992" i="2"/>
  <c r="C992" i="2"/>
  <c r="B992" i="2"/>
  <c r="A992" i="2"/>
  <c r="O991" i="2"/>
  <c r="N991" i="2"/>
  <c r="M991" i="2"/>
  <c r="L991" i="2"/>
  <c r="K991" i="2"/>
  <c r="J991" i="2"/>
  <c r="I991" i="2"/>
  <c r="H991" i="2"/>
  <c r="G991" i="2"/>
  <c r="F991" i="2"/>
  <c r="C991" i="2"/>
  <c r="B991" i="2"/>
  <c r="A991" i="2"/>
  <c r="O990" i="2"/>
  <c r="N990" i="2"/>
  <c r="M990" i="2"/>
  <c r="L990" i="2"/>
  <c r="K990" i="2"/>
  <c r="J990" i="2"/>
  <c r="I990" i="2"/>
  <c r="H990" i="2"/>
  <c r="G990" i="2"/>
  <c r="F990" i="2"/>
  <c r="C990" i="2"/>
  <c r="B990" i="2"/>
  <c r="A990" i="2"/>
  <c r="O989" i="2"/>
  <c r="N989" i="2"/>
  <c r="M989" i="2"/>
  <c r="L989" i="2"/>
  <c r="K989" i="2"/>
  <c r="J989" i="2"/>
  <c r="I989" i="2"/>
  <c r="H989" i="2"/>
  <c r="G989" i="2"/>
  <c r="F989" i="2"/>
  <c r="C989" i="2"/>
  <c r="B989" i="2"/>
  <c r="A989" i="2"/>
  <c r="O988" i="2"/>
  <c r="N988" i="2"/>
  <c r="M988" i="2"/>
  <c r="L988" i="2"/>
  <c r="K988" i="2"/>
  <c r="J988" i="2"/>
  <c r="I988" i="2"/>
  <c r="H988" i="2"/>
  <c r="G988" i="2"/>
  <c r="F988" i="2"/>
  <c r="C988" i="2"/>
  <c r="B988" i="2"/>
  <c r="A988" i="2"/>
  <c r="O987" i="2"/>
  <c r="N987" i="2"/>
  <c r="M987" i="2"/>
  <c r="L987" i="2"/>
  <c r="K987" i="2"/>
  <c r="J987" i="2"/>
  <c r="I987" i="2"/>
  <c r="H987" i="2"/>
  <c r="G987" i="2"/>
  <c r="F987" i="2"/>
  <c r="C987" i="2"/>
  <c r="B987" i="2"/>
  <c r="A987" i="2"/>
  <c r="O986" i="2"/>
  <c r="N986" i="2"/>
  <c r="M986" i="2"/>
  <c r="L986" i="2"/>
  <c r="K986" i="2"/>
  <c r="J986" i="2"/>
  <c r="I986" i="2"/>
  <c r="H986" i="2"/>
  <c r="G986" i="2"/>
  <c r="F986" i="2"/>
  <c r="C986" i="2"/>
  <c r="B986" i="2"/>
  <c r="A986" i="2"/>
  <c r="O985" i="2"/>
  <c r="N985" i="2"/>
  <c r="M985" i="2"/>
  <c r="L985" i="2"/>
  <c r="K985" i="2"/>
  <c r="J985" i="2"/>
  <c r="I985" i="2"/>
  <c r="H985" i="2"/>
  <c r="G985" i="2"/>
  <c r="F985" i="2"/>
  <c r="C985" i="2"/>
  <c r="B985" i="2"/>
  <c r="A985" i="2"/>
  <c r="O984" i="2"/>
  <c r="N984" i="2"/>
  <c r="M984" i="2"/>
  <c r="L984" i="2"/>
  <c r="K984" i="2"/>
  <c r="J984" i="2"/>
  <c r="I984" i="2"/>
  <c r="H984" i="2"/>
  <c r="G984" i="2"/>
  <c r="F984" i="2"/>
  <c r="C984" i="2"/>
  <c r="B984" i="2"/>
  <c r="A984" i="2"/>
  <c r="O983" i="2"/>
  <c r="N983" i="2"/>
  <c r="M983" i="2"/>
  <c r="L983" i="2"/>
  <c r="K983" i="2"/>
  <c r="J983" i="2"/>
  <c r="I983" i="2"/>
  <c r="H983" i="2"/>
  <c r="G983" i="2"/>
  <c r="F983" i="2"/>
  <c r="C983" i="2"/>
  <c r="B983" i="2"/>
  <c r="A983" i="2"/>
  <c r="O982" i="2"/>
  <c r="N982" i="2"/>
  <c r="M982" i="2"/>
  <c r="L982" i="2"/>
  <c r="K982" i="2"/>
  <c r="J982" i="2"/>
  <c r="I982" i="2"/>
  <c r="H982" i="2"/>
  <c r="G982" i="2"/>
  <c r="F982" i="2"/>
  <c r="C982" i="2"/>
  <c r="B982" i="2"/>
  <c r="A982" i="2"/>
  <c r="O981" i="2"/>
  <c r="N981" i="2"/>
  <c r="M981" i="2"/>
  <c r="L981" i="2"/>
  <c r="K981" i="2"/>
  <c r="J981" i="2"/>
  <c r="I981" i="2"/>
  <c r="H981" i="2"/>
  <c r="G981" i="2"/>
  <c r="F981" i="2"/>
  <c r="C981" i="2"/>
  <c r="B981" i="2"/>
  <c r="A981" i="2"/>
  <c r="O980" i="2"/>
  <c r="N980" i="2"/>
  <c r="M980" i="2"/>
  <c r="L980" i="2"/>
  <c r="K980" i="2"/>
  <c r="J980" i="2"/>
  <c r="I980" i="2"/>
  <c r="H980" i="2"/>
  <c r="G980" i="2"/>
  <c r="F980" i="2"/>
  <c r="C980" i="2"/>
  <c r="B980" i="2"/>
  <c r="A980" i="2"/>
  <c r="O979" i="2"/>
  <c r="N979" i="2"/>
  <c r="M979" i="2"/>
  <c r="L979" i="2"/>
  <c r="K979" i="2"/>
  <c r="J979" i="2"/>
  <c r="I979" i="2"/>
  <c r="H979" i="2"/>
  <c r="G979" i="2"/>
  <c r="F979" i="2"/>
  <c r="C979" i="2"/>
  <c r="B979" i="2"/>
  <c r="A979" i="2"/>
  <c r="O978" i="2"/>
  <c r="N978" i="2"/>
  <c r="M978" i="2"/>
  <c r="L978" i="2"/>
  <c r="K978" i="2"/>
  <c r="J978" i="2"/>
  <c r="I978" i="2"/>
  <c r="H978" i="2"/>
  <c r="G978" i="2"/>
  <c r="F978" i="2"/>
  <c r="C978" i="2"/>
  <c r="B978" i="2"/>
  <c r="A978" i="2"/>
  <c r="O977" i="2"/>
  <c r="N977" i="2"/>
  <c r="M977" i="2"/>
  <c r="L977" i="2"/>
  <c r="K977" i="2"/>
  <c r="J977" i="2"/>
  <c r="I977" i="2"/>
  <c r="H977" i="2"/>
  <c r="G977" i="2"/>
  <c r="F977" i="2"/>
  <c r="C977" i="2"/>
  <c r="B977" i="2"/>
  <c r="A977" i="2"/>
  <c r="O976" i="2"/>
  <c r="N976" i="2"/>
  <c r="M976" i="2"/>
  <c r="L976" i="2"/>
  <c r="K976" i="2"/>
  <c r="J976" i="2"/>
  <c r="I976" i="2"/>
  <c r="H976" i="2"/>
  <c r="G976" i="2"/>
  <c r="F976" i="2"/>
  <c r="C976" i="2"/>
  <c r="B976" i="2"/>
  <c r="A976" i="2"/>
  <c r="O975" i="2"/>
  <c r="N975" i="2"/>
  <c r="M975" i="2"/>
  <c r="L975" i="2"/>
  <c r="K975" i="2"/>
  <c r="J975" i="2"/>
  <c r="I975" i="2"/>
  <c r="H975" i="2"/>
  <c r="G975" i="2"/>
  <c r="F975" i="2"/>
  <c r="C975" i="2"/>
  <c r="B975" i="2"/>
  <c r="A975" i="2"/>
  <c r="O974" i="2"/>
  <c r="N974" i="2"/>
  <c r="M974" i="2"/>
  <c r="L974" i="2"/>
  <c r="K974" i="2"/>
  <c r="J974" i="2"/>
  <c r="I974" i="2"/>
  <c r="H974" i="2"/>
  <c r="G974" i="2"/>
  <c r="F974" i="2"/>
  <c r="C974" i="2"/>
  <c r="B974" i="2"/>
  <c r="A974" i="2"/>
  <c r="O973" i="2"/>
  <c r="N973" i="2"/>
  <c r="M973" i="2"/>
  <c r="L973" i="2"/>
  <c r="K973" i="2"/>
  <c r="J973" i="2"/>
  <c r="I973" i="2"/>
  <c r="H973" i="2"/>
  <c r="G973" i="2"/>
  <c r="F973" i="2"/>
  <c r="C973" i="2"/>
  <c r="B973" i="2"/>
  <c r="A973" i="2"/>
  <c r="O972" i="2"/>
  <c r="N972" i="2"/>
  <c r="M972" i="2"/>
  <c r="L972" i="2"/>
  <c r="K972" i="2"/>
  <c r="J972" i="2"/>
  <c r="I972" i="2"/>
  <c r="H972" i="2"/>
  <c r="G972" i="2"/>
  <c r="F972" i="2"/>
  <c r="C972" i="2"/>
  <c r="B972" i="2"/>
  <c r="A972" i="2"/>
  <c r="O971" i="2"/>
  <c r="N971" i="2"/>
  <c r="M971" i="2"/>
  <c r="L971" i="2"/>
  <c r="K971" i="2"/>
  <c r="J971" i="2"/>
  <c r="I971" i="2"/>
  <c r="H971" i="2"/>
  <c r="G971" i="2"/>
  <c r="F971" i="2"/>
  <c r="C971" i="2"/>
  <c r="B971" i="2"/>
  <c r="A971" i="2"/>
  <c r="O970" i="2"/>
  <c r="N970" i="2"/>
  <c r="M970" i="2"/>
  <c r="L970" i="2"/>
  <c r="K970" i="2"/>
  <c r="J970" i="2"/>
  <c r="I970" i="2"/>
  <c r="H970" i="2"/>
  <c r="G970" i="2"/>
  <c r="F970" i="2"/>
  <c r="C970" i="2"/>
  <c r="B970" i="2"/>
  <c r="A970" i="2"/>
  <c r="O969" i="2"/>
  <c r="N969" i="2"/>
  <c r="M969" i="2"/>
  <c r="L969" i="2"/>
  <c r="K969" i="2"/>
  <c r="J969" i="2"/>
  <c r="I969" i="2"/>
  <c r="H969" i="2"/>
  <c r="G969" i="2"/>
  <c r="F969" i="2"/>
  <c r="C969" i="2"/>
  <c r="B969" i="2"/>
  <c r="A969" i="2"/>
  <c r="O968" i="2"/>
  <c r="N968" i="2"/>
  <c r="M968" i="2"/>
  <c r="L968" i="2"/>
  <c r="K968" i="2"/>
  <c r="J968" i="2"/>
  <c r="I968" i="2"/>
  <c r="H968" i="2"/>
  <c r="G968" i="2"/>
  <c r="F968" i="2"/>
  <c r="C968" i="2"/>
  <c r="B968" i="2"/>
  <c r="A968" i="2"/>
  <c r="O967" i="2"/>
  <c r="N967" i="2"/>
  <c r="M967" i="2"/>
  <c r="L967" i="2"/>
  <c r="K967" i="2"/>
  <c r="J967" i="2"/>
  <c r="I967" i="2"/>
  <c r="H967" i="2"/>
  <c r="G967" i="2"/>
  <c r="F967" i="2"/>
  <c r="C967" i="2"/>
  <c r="B967" i="2"/>
  <c r="A967" i="2"/>
  <c r="O966" i="2"/>
  <c r="N966" i="2"/>
  <c r="M966" i="2"/>
  <c r="L966" i="2"/>
  <c r="K966" i="2"/>
  <c r="J966" i="2"/>
  <c r="I966" i="2"/>
  <c r="H966" i="2"/>
  <c r="G966" i="2"/>
  <c r="F966" i="2"/>
  <c r="C966" i="2"/>
  <c r="B966" i="2"/>
  <c r="A966" i="2"/>
  <c r="O965" i="2"/>
  <c r="N965" i="2"/>
  <c r="M965" i="2"/>
  <c r="L965" i="2"/>
  <c r="K965" i="2"/>
  <c r="J965" i="2"/>
  <c r="I965" i="2"/>
  <c r="H965" i="2"/>
  <c r="G965" i="2"/>
  <c r="F965" i="2"/>
  <c r="C965" i="2"/>
  <c r="B965" i="2"/>
  <c r="A965" i="2"/>
  <c r="O964" i="2"/>
  <c r="N964" i="2"/>
  <c r="M964" i="2"/>
  <c r="L964" i="2"/>
  <c r="K964" i="2"/>
  <c r="J964" i="2"/>
  <c r="I964" i="2"/>
  <c r="H964" i="2"/>
  <c r="G964" i="2"/>
  <c r="F964" i="2"/>
  <c r="C964" i="2"/>
  <c r="B964" i="2"/>
  <c r="A964" i="2"/>
  <c r="O963" i="2"/>
  <c r="N963" i="2"/>
  <c r="M963" i="2"/>
  <c r="L963" i="2"/>
  <c r="K963" i="2"/>
  <c r="J963" i="2"/>
  <c r="I963" i="2"/>
  <c r="H963" i="2"/>
  <c r="G963" i="2"/>
  <c r="F963" i="2"/>
  <c r="C963" i="2"/>
  <c r="B963" i="2"/>
  <c r="A963" i="2"/>
  <c r="O962" i="2"/>
  <c r="N962" i="2"/>
  <c r="M962" i="2"/>
  <c r="L962" i="2"/>
  <c r="K962" i="2"/>
  <c r="J962" i="2"/>
  <c r="I962" i="2"/>
  <c r="H962" i="2"/>
  <c r="G962" i="2"/>
  <c r="F962" i="2"/>
  <c r="C962" i="2"/>
  <c r="B962" i="2"/>
  <c r="A962" i="2"/>
  <c r="O961" i="2"/>
  <c r="N961" i="2"/>
  <c r="M961" i="2"/>
  <c r="L961" i="2"/>
  <c r="K961" i="2"/>
  <c r="J961" i="2"/>
  <c r="I961" i="2"/>
  <c r="H961" i="2"/>
  <c r="G961" i="2"/>
  <c r="F961" i="2"/>
  <c r="C961" i="2"/>
  <c r="B961" i="2"/>
  <c r="A961" i="2"/>
  <c r="O960" i="2"/>
  <c r="N960" i="2"/>
  <c r="M960" i="2"/>
  <c r="L960" i="2"/>
  <c r="K960" i="2"/>
  <c r="J960" i="2"/>
  <c r="I960" i="2"/>
  <c r="H960" i="2"/>
  <c r="G960" i="2"/>
  <c r="F960" i="2"/>
  <c r="C960" i="2"/>
  <c r="B960" i="2"/>
  <c r="A960" i="2"/>
  <c r="O959" i="2"/>
  <c r="N959" i="2"/>
  <c r="M959" i="2"/>
  <c r="L959" i="2"/>
  <c r="K959" i="2"/>
  <c r="J959" i="2"/>
  <c r="I959" i="2"/>
  <c r="H959" i="2"/>
  <c r="G959" i="2"/>
  <c r="F959" i="2"/>
  <c r="C959" i="2"/>
  <c r="B959" i="2"/>
  <c r="A959" i="2"/>
  <c r="O958" i="2"/>
  <c r="N958" i="2"/>
  <c r="M958" i="2"/>
  <c r="L958" i="2"/>
  <c r="K958" i="2"/>
  <c r="J958" i="2"/>
  <c r="I958" i="2"/>
  <c r="H958" i="2"/>
  <c r="G958" i="2"/>
  <c r="F958" i="2"/>
  <c r="C958" i="2"/>
  <c r="B958" i="2"/>
  <c r="A958" i="2"/>
  <c r="O957" i="2"/>
  <c r="N957" i="2"/>
  <c r="M957" i="2"/>
  <c r="L957" i="2"/>
  <c r="K957" i="2"/>
  <c r="J957" i="2"/>
  <c r="I957" i="2"/>
  <c r="H957" i="2"/>
  <c r="G957" i="2"/>
  <c r="F957" i="2"/>
  <c r="C957" i="2"/>
  <c r="B957" i="2"/>
  <c r="A957" i="2"/>
  <c r="O956" i="2"/>
  <c r="N956" i="2"/>
  <c r="M956" i="2"/>
  <c r="L956" i="2"/>
  <c r="K956" i="2"/>
  <c r="J956" i="2"/>
  <c r="I956" i="2"/>
  <c r="H956" i="2"/>
  <c r="G956" i="2"/>
  <c r="F956" i="2"/>
  <c r="C956" i="2"/>
  <c r="B956" i="2"/>
  <c r="A956" i="2"/>
  <c r="O955" i="2"/>
  <c r="N955" i="2"/>
  <c r="M955" i="2"/>
  <c r="L955" i="2"/>
  <c r="K955" i="2"/>
  <c r="J955" i="2"/>
  <c r="I955" i="2"/>
  <c r="H955" i="2"/>
  <c r="G955" i="2"/>
  <c r="F955" i="2"/>
  <c r="C955" i="2"/>
  <c r="B955" i="2"/>
  <c r="A955" i="2"/>
  <c r="O954" i="2"/>
  <c r="N954" i="2"/>
  <c r="M954" i="2"/>
  <c r="L954" i="2"/>
  <c r="K954" i="2"/>
  <c r="J954" i="2"/>
  <c r="I954" i="2"/>
  <c r="H954" i="2"/>
  <c r="G954" i="2"/>
  <c r="F954" i="2"/>
  <c r="C954" i="2"/>
  <c r="B954" i="2"/>
  <c r="A954" i="2"/>
  <c r="O953" i="2"/>
  <c r="N953" i="2"/>
  <c r="M953" i="2"/>
  <c r="L953" i="2"/>
  <c r="K953" i="2"/>
  <c r="J953" i="2"/>
  <c r="I953" i="2"/>
  <c r="H953" i="2"/>
  <c r="G953" i="2"/>
  <c r="F953" i="2"/>
  <c r="C953" i="2"/>
  <c r="B953" i="2"/>
  <c r="A953" i="2"/>
  <c r="O952" i="2"/>
  <c r="N952" i="2"/>
  <c r="M952" i="2"/>
  <c r="L952" i="2"/>
  <c r="K952" i="2"/>
  <c r="J952" i="2"/>
  <c r="I952" i="2"/>
  <c r="H952" i="2"/>
  <c r="G952" i="2"/>
  <c r="F952" i="2"/>
  <c r="C952" i="2"/>
  <c r="B952" i="2"/>
  <c r="A952" i="2"/>
  <c r="O951" i="2"/>
  <c r="N951" i="2"/>
  <c r="M951" i="2"/>
  <c r="L951" i="2"/>
  <c r="K951" i="2"/>
  <c r="J951" i="2"/>
  <c r="I951" i="2"/>
  <c r="H951" i="2"/>
  <c r="G951" i="2"/>
  <c r="F951" i="2"/>
  <c r="C951" i="2"/>
  <c r="B951" i="2"/>
  <c r="A951" i="2"/>
  <c r="O950" i="2"/>
  <c r="N950" i="2"/>
  <c r="M950" i="2"/>
  <c r="L950" i="2"/>
  <c r="K950" i="2"/>
  <c r="J950" i="2"/>
  <c r="I950" i="2"/>
  <c r="H950" i="2"/>
  <c r="G950" i="2"/>
  <c r="F950" i="2"/>
  <c r="C950" i="2"/>
  <c r="B950" i="2"/>
  <c r="A950" i="2"/>
  <c r="O949" i="2"/>
  <c r="N949" i="2"/>
  <c r="M949" i="2"/>
  <c r="L949" i="2"/>
  <c r="K949" i="2"/>
  <c r="J949" i="2"/>
  <c r="I949" i="2"/>
  <c r="H949" i="2"/>
  <c r="G949" i="2"/>
  <c r="F949" i="2"/>
  <c r="C949" i="2"/>
  <c r="B949" i="2"/>
  <c r="A949" i="2"/>
  <c r="O948" i="2"/>
  <c r="N948" i="2"/>
  <c r="M948" i="2"/>
  <c r="L948" i="2"/>
  <c r="K948" i="2"/>
  <c r="J948" i="2"/>
  <c r="I948" i="2"/>
  <c r="H948" i="2"/>
  <c r="G948" i="2"/>
  <c r="F948" i="2"/>
  <c r="C948" i="2"/>
  <c r="B948" i="2"/>
  <c r="A948" i="2"/>
  <c r="O947" i="2"/>
  <c r="N947" i="2"/>
  <c r="M947" i="2"/>
  <c r="L947" i="2"/>
  <c r="K947" i="2"/>
  <c r="J947" i="2"/>
  <c r="I947" i="2"/>
  <c r="H947" i="2"/>
  <c r="G947" i="2"/>
  <c r="F947" i="2"/>
  <c r="C947" i="2"/>
  <c r="B947" i="2"/>
  <c r="A947" i="2"/>
  <c r="O946" i="2"/>
  <c r="N946" i="2"/>
  <c r="M946" i="2"/>
  <c r="L946" i="2"/>
  <c r="K946" i="2"/>
  <c r="J946" i="2"/>
  <c r="I946" i="2"/>
  <c r="H946" i="2"/>
  <c r="G946" i="2"/>
  <c r="F946" i="2"/>
  <c r="C946" i="2"/>
  <c r="B946" i="2"/>
  <c r="A946" i="2"/>
  <c r="O945" i="2"/>
  <c r="N945" i="2"/>
  <c r="M945" i="2"/>
  <c r="L945" i="2"/>
  <c r="K945" i="2"/>
  <c r="J945" i="2"/>
  <c r="I945" i="2"/>
  <c r="H945" i="2"/>
  <c r="G945" i="2"/>
  <c r="F945" i="2"/>
  <c r="C945" i="2"/>
  <c r="B945" i="2"/>
  <c r="A945" i="2"/>
  <c r="O944" i="2"/>
  <c r="N944" i="2"/>
  <c r="M944" i="2"/>
  <c r="L944" i="2"/>
  <c r="K944" i="2"/>
  <c r="J944" i="2"/>
  <c r="I944" i="2"/>
  <c r="H944" i="2"/>
  <c r="G944" i="2"/>
  <c r="F944" i="2"/>
  <c r="C944" i="2"/>
  <c r="B944" i="2"/>
  <c r="A944" i="2"/>
  <c r="O943" i="2"/>
  <c r="N943" i="2"/>
  <c r="M943" i="2"/>
  <c r="L943" i="2"/>
  <c r="K943" i="2"/>
  <c r="J943" i="2"/>
  <c r="I943" i="2"/>
  <c r="H943" i="2"/>
  <c r="G943" i="2"/>
  <c r="F943" i="2"/>
  <c r="C943" i="2"/>
  <c r="B943" i="2"/>
  <c r="A943" i="2"/>
  <c r="O942" i="2"/>
  <c r="N942" i="2"/>
  <c r="M942" i="2"/>
  <c r="L942" i="2"/>
  <c r="K942" i="2"/>
  <c r="J942" i="2"/>
  <c r="I942" i="2"/>
  <c r="H942" i="2"/>
  <c r="G942" i="2"/>
  <c r="F942" i="2"/>
  <c r="C942" i="2"/>
  <c r="B942" i="2"/>
  <c r="A942" i="2"/>
  <c r="O941" i="2"/>
  <c r="N941" i="2"/>
  <c r="M941" i="2"/>
  <c r="L941" i="2"/>
  <c r="K941" i="2"/>
  <c r="J941" i="2"/>
  <c r="I941" i="2"/>
  <c r="H941" i="2"/>
  <c r="G941" i="2"/>
  <c r="F941" i="2"/>
  <c r="C941" i="2"/>
  <c r="B941" i="2"/>
  <c r="A941" i="2"/>
  <c r="O940" i="2"/>
  <c r="N940" i="2"/>
  <c r="M940" i="2"/>
  <c r="L940" i="2"/>
  <c r="K940" i="2"/>
  <c r="J940" i="2"/>
  <c r="I940" i="2"/>
  <c r="H940" i="2"/>
  <c r="G940" i="2"/>
  <c r="F940" i="2"/>
  <c r="C940" i="2"/>
  <c r="B940" i="2"/>
  <c r="A940" i="2"/>
  <c r="O939" i="2"/>
  <c r="N939" i="2"/>
  <c r="M939" i="2"/>
  <c r="L939" i="2"/>
  <c r="K939" i="2"/>
  <c r="J939" i="2"/>
  <c r="I939" i="2"/>
  <c r="H939" i="2"/>
  <c r="G939" i="2"/>
  <c r="F939" i="2"/>
  <c r="C939" i="2"/>
  <c r="B939" i="2"/>
  <c r="A939" i="2"/>
  <c r="O938" i="2"/>
  <c r="N938" i="2"/>
  <c r="M938" i="2"/>
  <c r="L938" i="2"/>
  <c r="K938" i="2"/>
  <c r="J938" i="2"/>
  <c r="I938" i="2"/>
  <c r="H938" i="2"/>
  <c r="G938" i="2"/>
  <c r="F938" i="2"/>
  <c r="C938" i="2"/>
  <c r="B938" i="2"/>
  <c r="A938" i="2"/>
  <c r="O937" i="2"/>
  <c r="N937" i="2"/>
  <c r="M937" i="2"/>
  <c r="L937" i="2"/>
  <c r="K937" i="2"/>
  <c r="J937" i="2"/>
  <c r="I937" i="2"/>
  <c r="H937" i="2"/>
  <c r="G937" i="2"/>
  <c r="F937" i="2"/>
  <c r="C937" i="2"/>
  <c r="B937" i="2"/>
  <c r="A937" i="2"/>
  <c r="O936" i="2"/>
  <c r="N936" i="2"/>
  <c r="M936" i="2"/>
  <c r="L936" i="2"/>
  <c r="K936" i="2"/>
  <c r="J936" i="2"/>
  <c r="I936" i="2"/>
  <c r="H936" i="2"/>
  <c r="G936" i="2"/>
  <c r="F936" i="2"/>
  <c r="C936" i="2"/>
  <c r="B936" i="2"/>
  <c r="A936" i="2"/>
  <c r="O935" i="2"/>
  <c r="N935" i="2"/>
  <c r="M935" i="2"/>
  <c r="L935" i="2"/>
  <c r="K935" i="2"/>
  <c r="J935" i="2"/>
  <c r="I935" i="2"/>
  <c r="H935" i="2"/>
  <c r="G935" i="2"/>
  <c r="F935" i="2"/>
  <c r="C935" i="2"/>
  <c r="B935" i="2"/>
  <c r="A935" i="2"/>
  <c r="O934" i="2"/>
  <c r="N934" i="2"/>
  <c r="M934" i="2"/>
  <c r="L934" i="2"/>
  <c r="K934" i="2"/>
  <c r="J934" i="2"/>
  <c r="I934" i="2"/>
  <c r="H934" i="2"/>
  <c r="G934" i="2"/>
  <c r="F934" i="2"/>
  <c r="C934" i="2"/>
  <c r="B934" i="2"/>
  <c r="A934" i="2"/>
  <c r="O933" i="2"/>
  <c r="N933" i="2"/>
  <c r="M933" i="2"/>
  <c r="L933" i="2"/>
  <c r="K933" i="2"/>
  <c r="J933" i="2"/>
  <c r="I933" i="2"/>
  <c r="H933" i="2"/>
  <c r="G933" i="2"/>
  <c r="F933" i="2"/>
  <c r="C933" i="2"/>
  <c r="B933" i="2"/>
  <c r="A933" i="2"/>
  <c r="O932" i="2"/>
  <c r="N932" i="2"/>
  <c r="M932" i="2"/>
  <c r="L932" i="2"/>
  <c r="K932" i="2"/>
  <c r="J932" i="2"/>
  <c r="I932" i="2"/>
  <c r="H932" i="2"/>
  <c r="G932" i="2"/>
  <c r="F932" i="2"/>
  <c r="C932" i="2"/>
  <c r="B932" i="2"/>
  <c r="A932" i="2"/>
  <c r="O931" i="2"/>
  <c r="N931" i="2"/>
  <c r="M931" i="2"/>
  <c r="L931" i="2"/>
  <c r="K931" i="2"/>
  <c r="J931" i="2"/>
  <c r="I931" i="2"/>
  <c r="H931" i="2"/>
  <c r="G931" i="2"/>
  <c r="F931" i="2"/>
  <c r="C931" i="2"/>
  <c r="B931" i="2"/>
  <c r="A931" i="2"/>
  <c r="O930" i="2"/>
  <c r="N930" i="2"/>
  <c r="M930" i="2"/>
  <c r="L930" i="2"/>
  <c r="K930" i="2"/>
  <c r="J930" i="2"/>
  <c r="I930" i="2"/>
  <c r="H930" i="2"/>
  <c r="G930" i="2"/>
  <c r="F930" i="2"/>
  <c r="C930" i="2"/>
  <c r="B930" i="2"/>
  <c r="A930" i="2"/>
  <c r="O929" i="2"/>
  <c r="N929" i="2"/>
  <c r="M929" i="2"/>
  <c r="L929" i="2"/>
  <c r="K929" i="2"/>
  <c r="J929" i="2"/>
  <c r="I929" i="2"/>
  <c r="H929" i="2"/>
  <c r="G929" i="2"/>
  <c r="F929" i="2"/>
  <c r="C929" i="2"/>
  <c r="B929" i="2"/>
  <c r="A929" i="2"/>
  <c r="O928" i="2"/>
  <c r="N928" i="2"/>
  <c r="M928" i="2"/>
  <c r="L928" i="2"/>
  <c r="K928" i="2"/>
  <c r="J928" i="2"/>
  <c r="I928" i="2"/>
  <c r="H928" i="2"/>
  <c r="G928" i="2"/>
  <c r="F928" i="2"/>
  <c r="C928" i="2"/>
  <c r="B928" i="2"/>
  <c r="A928" i="2"/>
  <c r="O927" i="2"/>
  <c r="N927" i="2"/>
  <c r="M927" i="2"/>
  <c r="L927" i="2"/>
  <c r="K927" i="2"/>
  <c r="J927" i="2"/>
  <c r="I927" i="2"/>
  <c r="H927" i="2"/>
  <c r="G927" i="2"/>
  <c r="F927" i="2"/>
  <c r="C927" i="2"/>
  <c r="B927" i="2"/>
  <c r="A927" i="2"/>
  <c r="O926" i="2"/>
  <c r="N926" i="2"/>
  <c r="M926" i="2"/>
  <c r="L926" i="2"/>
  <c r="K926" i="2"/>
  <c r="J926" i="2"/>
  <c r="I926" i="2"/>
  <c r="H926" i="2"/>
  <c r="G926" i="2"/>
  <c r="F926" i="2"/>
  <c r="C926" i="2"/>
  <c r="B926" i="2"/>
  <c r="A926" i="2"/>
  <c r="O925" i="2"/>
  <c r="N925" i="2"/>
  <c r="M925" i="2"/>
  <c r="L925" i="2"/>
  <c r="K925" i="2"/>
  <c r="J925" i="2"/>
  <c r="I925" i="2"/>
  <c r="H925" i="2"/>
  <c r="G925" i="2"/>
  <c r="F925" i="2"/>
  <c r="C925" i="2"/>
  <c r="B925" i="2"/>
  <c r="A925" i="2"/>
  <c r="O924" i="2"/>
  <c r="N924" i="2"/>
  <c r="M924" i="2"/>
  <c r="L924" i="2"/>
  <c r="K924" i="2"/>
  <c r="J924" i="2"/>
  <c r="I924" i="2"/>
  <c r="H924" i="2"/>
  <c r="G924" i="2"/>
  <c r="F924" i="2"/>
  <c r="C924" i="2"/>
  <c r="B924" i="2"/>
  <c r="A924" i="2"/>
  <c r="O923" i="2"/>
  <c r="N923" i="2"/>
  <c r="M923" i="2"/>
  <c r="L923" i="2"/>
  <c r="K923" i="2"/>
  <c r="J923" i="2"/>
  <c r="I923" i="2"/>
  <c r="H923" i="2"/>
  <c r="G923" i="2"/>
  <c r="F923" i="2"/>
  <c r="C923" i="2"/>
  <c r="B923" i="2"/>
  <c r="A923" i="2"/>
  <c r="O922" i="2"/>
  <c r="N922" i="2"/>
  <c r="M922" i="2"/>
  <c r="L922" i="2"/>
  <c r="K922" i="2"/>
  <c r="J922" i="2"/>
  <c r="I922" i="2"/>
  <c r="H922" i="2"/>
  <c r="G922" i="2"/>
  <c r="F922" i="2"/>
  <c r="C922" i="2"/>
  <c r="B922" i="2"/>
  <c r="A922" i="2"/>
  <c r="O921" i="2"/>
  <c r="N921" i="2"/>
  <c r="M921" i="2"/>
  <c r="L921" i="2"/>
  <c r="K921" i="2"/>
  <c r="J921" i="2"/>
  <c r="I921" i="2"/>
  <c r="H921" i="2"/>
  <c r="G921" i="2"/>
  <c r="F921" i="2"/>
  <c r="C921" i="2"/>
  <c r="B921" i="2"/>
  <c r="A921" i="2"/>
  <c r="O920" i="2"/>
  <c r="N920" i="2"/>
  <c r="M920" i="2"/>
  <c r="L920" i="2"/>
  <c r="K920" i="2"/>
  <c r="J920" i="2"/>
  <c r="I920" i="2"/>
  <c r="H920" i="2"/>
  <c r="G920" i="2"/>
  <c r="F920" i="2"/>
  <c r="C920" i="2"/>
  <c r="B920" i="2"/>
  <c r="A920" i="2"/>
  <c r="O919" i="2"/>
  <c r="N919" i="2"/>
  <c r="M919" i="2"/>
  <c r="L919" i="2"/>
  <c r="K919" i="2"/>
  <c r="J919" i="2"/>
  <c r="I919" i="2"/>
  <c r="H919" i="2"/>
  <c r="G919" i="2"/>
  <c r="F919" i="2"/>
  <c r="C919" i="2"/>
  <c r="B919" i="2"/>
  <c r="A919" i="2"/>
  <c r="O918" i="2"/>
  <c r="N918" i="2"/>
  <c r="M918" i="2"/>
  <c r="L918" i="2"/>
  <c r="K918" i="2"/>
  <c r="J918" i="2"/>
  <c r="I918" i="2"/>
  <c r="H918" i="2"/>
  <c r="G918" i="2"/>
  <c r="F918" i="2"/>
  <c r="C918" i="2"/>
  <c r="B918" i="2"/>
  <c r="A918" i="2"/>
  <c r="O917" i="2"/>
  <c r="N917" i="2"/>
  <c r="M917" i="2"/>
  <c r="L917" i="2"/>
  <c r="K917" i="2"/>
  <c r="J917" i="2"/>
  <c r="I917" i="2"/>
  <c r="H917" i="2"/>
  <c r="G917" i="2"/>
  <c r="F917" i="2"/>
  <c r="C917" i="2"/>
  <c r="B917" i="2"/>
  <c r="A917" i="2"/>
  <c r="O916" i="2"/>
  <c r="N916" i="2"/>
  <c r="M916" i="2"/>
  <c r="L916" i="2"/>
  <c r="K916" i="2"/>
  <c r="J916" i="2"/>
  <c r="I916" i="2"/>
  <c r="H916" i="2"/>
  <c r="G916" i="2"/>
  <c r="F916" i="2"/>
  <c r="C916" i="2"/>
  <c r="B916" i="2"/>
  <c r="A916" i="2"/>
  <c r="O915" i="2"/>
  <c r="N915" i="2"/>
  <c r="M915" i="2"/>
  <c r="L915" i="2"/>
  <c r="K915" i="2"/>
  <c r="J915" i="2"/>
  <c r="I915" i="2"/>
  <c r="H915" i="2"/>
  <c r="G915" i="2"/>
  <c r="F915" i="2"/>
  <c r="C915" i="2"/>
  <c r="B915" i="2"/>
  <c r="A915" i="2"/>
  <c r="O914" i="2"/>
  <c r="N914" i="2"/>
  <c r="M914" i="2"/>
  <c r="L914" i="2"/>
  <c r="K914" i="2"/>
  <c r="J914" i="2"/>
  <c r="I914" i="2"/>
  <c r="H914" i="2"/>
  <c r="G914" i="2"/>
  <c r="F914" i="2"/>
  <c r="C914" i="2"/>
  <c r="B914" i="2"/>
  <c r="A914" i="2"/>
  <c r="O913" i="2"/>
  <c r="N913" i="2"/>
  <c r="M913" i="2"/>
  <c r="L913" i="2"/>
  <c r="K913" i="2"/>
  <c r="J913" i="2"/>
  <c r="I913" i="2"/>
  <c r="H913" i="2"/>
  <c r="G913" i="2"/>
  <c r="F913" i="2"/>
  <c r="C913" i="2"/>
  <c r="B913" i="2"/>
  <c r="A913" i="2"/>
  <c r="O912" i="2"/>
  <c r="N912" i="2"/>
  <c r="M912" i="2"/>
  <c r="L912" i="2"/>
  <c r="K912" i="2"/>
  <c r="J912" i="2"/>
  <c r="I912" i="2"/>
  <c r="H912" i="2"/>
  <c r="G912" i="2"/>
  <c r="F912" i="2"/>
  <c r="C912" i="2"/>
  <c r="B912" i="2"/>
  <c r="A912" i="2"/>
  <c r="O911" i="2"/>
  <c r="N911" i="2"/>
  <c r="M911" i="2"/>
  <c r="L911" i="2"/>
  <c r="K911" i="2"/>
  <c r="J911" i="2"/>
  <c r="I911" i="2"/>
  <c r="H911" i="2"/>
  <c r="G911" i="2"/>
  <c r="F911" i="2"/>
  <c r="C911" i="2"/>
  <c r="B911" i="2"/>
  <c r="A911" i="2"/>
  <c r="O910" i="2"/>
  <c r="N910" i="2"/>
  <c r="M910" i="2"/>
  <c r="L910" i="2"/>
  <c r="K910" i="2"/>
  <c r="J910" i="2"/>
  <c r="I910" i="2"/>
  <c r="H910" i="2"/>
  <c r="G910" i="2"/>
  <c r="F910" i="2"/>
  <c r="C910" i="2"/>
  <c r="B910" i="2"/>
  <c r="A910" i="2"/>
  <c r="O909" i="2"/>
  <c r="N909" i="2"/>
  <c r="M909" i="2"/>
  <c r="L909" i="2"/>
  <c r="K909" i="2"/>
  <c r="J909" i="2"/>
  <c r="I909" i="2"/>
  <c r="H909" i="2"/>
  <c r="G909" i="2"/>
  <c r="F909" i="2"/>
  <c r="C909" i="2"/>
  <c r="B909" i="2"/>
  <c r="A909" i="2"/>
  <c r="O908" i="2"/>
  <c r="N908" i="2"/>
  <c r="M908" i="2"/>
  <c r="L908" i="2"/>
  <c r="K908" i="2"/>
  <c r="J908" i="2"/>
  <c r="I908" i="2"/>
  <c r="H908" i="2"/>
  <c r="G908" i="2"/>
  <c r="F908" i="2"/>
  <c r="C908" i="2"/>
  <c r="B908" i="2"/>
  <c r="A908" i="2"/>
  <c r="O907" i="2"/>
  <c r="N907" i="2"/>
  <c r="M907" i="2"/>
  <c r="L907" i="2"/>
  <c r="K907" i="2"/>
  <c r="J907" i="2"/>
  <c r="I907" i="2"/>
  <c r="H907" i="2"/>
  <c r="G907" i="2"/>
  <c r="F907" i="2"/>
  <c r="C907" i="2"/>
  <c r="B907" i="2"/>
  <c r="A907" i="2"/>
  <c r="O906" i="2"/>
  <c r="N906" i="2"/>
  <c r="M906" i="2"/>
  <c r="L906" i="2"/>
  <c r="K906" i="2"/>
  <c r="J906" i="2"/>
  <c r="I906" i="2"/>
  <c r="H906" i="2"/>
  <c r="G906" i="2"/>
  <c r="F906" i="2"/>
  <c r="C906" i="2"/>
  <c r="B906" i="2"/>
  <c r="A906" i="2"/>
  <c r="O905" i="2"/>
  <c r="N905" i="2"/>
  <c r="M905" i="2"/>
  <c r="L905" i="2"/>
  <c r="K905" i="2"/>
  <c r="J905" i="2"/>
  <c r="I905" i="2"/>
  <c r="H905" i="2"/>
  <c r="G905" i="2"/>
  <c r="F905" i="2"/>
  <c r="C905" i="2"/>
  <c r="B905" i="2"/>
  <c r="A905" i="2"/>
  <c r="O904" i="2"/>
  <c r="N904" i="2"/>
  <c r="M904" i="2"/>
  <c r="L904" i="2"/>
  <c r="K904" i="2"/>
  <c r="J904" i="2"/>
  <c r="I904" i="2"/>
  <c r="H904" i="2"/>
  <c r="G904" i="2"/>
  <c r="F904" i="2"/>
  <c r="C904" i="2"/>
  <c r="B904" i="2"/>
  <c r="A904" i="2"/>
  <c r="O903" i="2"/>
  <c r="N903" i="2"/>
  <c r="M903" i="2"/>
  <c r="L903" i="2"/>
  <c r="K903" i="2"/>
  <c r="J903" i="2"/>
  <c r="I903" i="2"/>
  <c r="H903" i="2"/>
  <c r="G903" i="2"/>
  <c r="F903" i="2"/>
  <c r="C903" i="2"/>
  <c r="B903" i="2"/>
  <c r="A903" i="2"/>
  <c r="O902" i="2"/>
  <c r="N902" i="2"/>
  <c r="M902" i="2"/>
  <c r="L902" i="2"/>
  <c r="K902" i="2"/>
  <c r="J902" i="2"/>
  <c r="I902" i="2"/>
  <c r="H902" i="2"/>
  <c r="G902" i="2"/>
  <c r="F902" i="2"/>
  <c r="C902" i="2"/>
  <c r="B902" i="2"/>
  <c r="A902" i="2"/>
  <c r="O901" i="2"/>
  <c r="N901" i="2"/>
  <c r="M901" i="2"/>
  <c r="L901" i="2"/>
  <c r="K901" i="2"/>
  <c r="J901" i="2"/>
  <c r="I901" i="2"/>
  <c r="H901" i="2"/>
  <c r="G901" i="2"/>
  <c r="F901" i="2"/>
  <c r="C901" i="2"/>
  <c r="B901" i="2"/>
  <c r="A901" i="2"/>
  <c r="O900" i="2"/>
  <c r="N900" i="2"/>
  <c r="M900" i="2"/>
  <c r="L900" i="2"/>
  <c r="K900" i="2"/>
  <c r="J900" i="2"/>
  <c r="I900" i="2"/>
  <c r="H900" i="2"/>
  <c r="G900" i="2"/>
  <c r="F900" i="2"/>
  <c r="C900" i="2"/>
  <c r="B900" i="2"/>
  <c r="A900" i="2"/>
  <c r="O899" i="2"/>
  <c r="N899" i="2"/>
  <c r="M899" i="2"/>
  <c r="L899" i="2"/>
  <c r="K899" i="2"/>
  <c r="J899" i="2"/>
  <c r="I899" i="2"/>
  <c r="H899" i="2"/>
  <c r="G899" i="2"/>
  <c r="F899" i="2"/>
  <c r="C899" i="2"/>
  <c r="B899" i="2"/>
  <c r="A899" i="2"/>
  <c r="O898" i="2"/>
  <c r="N898" i="2"/>
  <c r="M898" i="2"/>
  <c r="L898" i="2"/>
  <c r="K898" i="2"/>
  <c r="J898" i="2"/>
  <c r="I898" i="2"/>
  <c r="H898" i="2"/>
  <c r="G898" i="2"/>
  <c r="F898" i="2"/>
  <c r="C898" i="2"/>
  <c r="B898" i="2"/>
  <c r="A898" i="2"/>
  <c r="O897" i="2"/>
  <c r="N897" i="2"/>
  <c r="M897" i="2"/>
  <c r="L897" i="2"/>
  <c r="K897" i="2"/>
  <c r="J897" i="2"/>
  <c r="I897" i="2"/>
  <c r="H897" i="2"/>
  <c r="G897" i="2"/>
  <c r="F897" i="2"/>
  <c r="C897" i="2"/>
  <c r="B897" i="2"/>
  <c r="A897" i="2"/>
  <c r="O896" i="2"/>
  <c r="N896" i="2"/>
  <c r="M896" i="2"/>
  <c r="L896" i="2"/>
  <c r="K896" i="2"/>
  <c r="J896" i="2"/>
  <c r="I896" i="2"/>
  <c r="H896" i="2"/>
  <c r="G896" i="2"/>
  <c r="F896" i="2"/>
  <c r="C896" i="2"/>
  <c r="B896" i="2"/>
  <c r="A896" i="2"/>
  <c r="O895" i="2"/>
  <c r="N895" i="2"/>
  <c r="M895" i="2"/>
  <c r="L895" i="2"/>
  <c r="K895" i="2"/>
  <c r="J895" i="2"/>
  <c r="I895" i="2"/>
  <c r="H895" i="2"/>
  <c r="G895" i="2"/>
  <c r="F895" i="2"/>
  <c r="C895" i="2"/>
  <c r="B895" i="2"/>
  <c r="A895" i="2"/>
  <c r="O894" i="2"/>
  <c r="N894" i="2"/>
  <c r="M894" i="2"/>
  <c r="L894" i="2"/>
  <c r="K894" i="2"/>
  <c r="J894" i="2"/>
  <c r="I894" i="2"/>
  <c r="H894" i="2"/>
  <c r="G894" i="2"/>
  <c r="F894" i="2"/>
  <c r="C894" i="2"/>
  <c r="B894" i="2"/>
  <c r="A894" i="2"/>
  <c r="O893" i="2"/>
  <c r="N893" i="2"/>
  <c r="M893" i="2"/>
  <c r="L893" i="2"/>
  <c r="K893" i="2"/>
  <c r="J893" i="2"/>
  <c r="I893" i="2"/>
  <c r="H893" i="2"/>
  <c r="G893" i="2"/>
  <c r="F893" i="2"/>
  <c r="C893" i="2"/>
  <c r="B893" i="2"/>
  <c r="A893" i="2"/>
  <c r="O892" i="2"/>
  <c r="N892" i="2"/>
  <c r="M892" i="2"/>
  <c r="L892" i="2"/>
  <c r="K892" i="2"/>
  <c r="J892" i="2"/>
  <c r="I892" i="2"/>
  <c r="H892" i="2"/>
  <c r="G892" i="2"/>
  <c r="F892" i="2"/>
  <c r="C892" i="2"/>
  <c r="B892" i="2"/>
  <c r="A892" i="2"/>
  <c r="O891" i="2"/>
  <c r="N891" i="2"/>
  <c r="M891" i="2"/>
  <c r="L891" i="2"/>
  <c r="K891" i="2"/>
  <c r="J891" i="2"/>
  <c r="I891" i="2"/>
  <c r="H891" i="2"/>
  <c r="G891" i="2"/>
  <c r="F891" i="2"/>
  <c r="C891" i="2"/>
  <c r="B891" i="2"/>
  <c r="A891" i="2"/>
  <c r="O890" i="2"/>
  <c r="N890" i="2"/>
  <c r="M890" i="2"/>
  <c r="L890" i="2"/>
  <c r="K890" i="2"/>
  <c r="J890" i="2"/>
  <c r="I890" i="2"/>
  <c r="H890" i="2"/>
  <c r="G890" i="2"/>
  <c r="F890" i="2"/>
  <c r="C890" i="2"/>
  <c r="B890" i="2"/>
  <c r="A890" i="2"/>
  <c r="O889" i="2"/>
  <c r="N889" i="2"/>
  <c r="M889" i="2"/>
  <c r="L889" i="2"/>
  <c r="K889" i="2"/>
  <c r="J889" i="2"/>
  <c r="I889" i="2"/>
  <c r="H889" i="2"/>
  <c r="G889" i="2"/>
  <c r="F889" i="2"/>
  <c r="C889" i="2"/>
  <c r="B889" i="2"/>
  <c r="A889" i="2"/>
  <c r="O888" i="2"/>
  <c r="N888" i="2"/>
  <c r="M888" i="2"/>
  <c r="L888" i="2"/>
  <c r="K888" i="2"/>
  <c r="J888" i="2"/>
  <c r="I888" i="2"/>
  <c r="H888" i="2"/>
  <c r="G888" i="2"/>
  <c r="F888" i="2"/>
  <c r="C888" i="2"/>
  <c r="B888" i="2"/>
  <c r="A888" i="2"/>
  <c r="O887" i="2"/>
  <c r="N887" i="2"/>
  <c r="M887" i="2"/>
  <c r="L887" i="2"/>
  <c r="K887" i="2"/>
  <c r="J887" i="2"/>
  <c r="I887" i="2"/>
  <c r="H887" i="2"/>
  <c r="G887" i="2"/>
  <c r="F887" i="2"/>
  <c r="C887" i="2"/>
  <c r="B887" i="2"/>
  <c r="A887" i="2"/>
  <c r="O886" i="2"/>
  <c r="N886" i="2"/>
  <c r="M886" i="2"/>
  <c r="L886" i="2"/>
  <c r="K886" i="2"/>
  <c r="J886" i="2"/>
  <c r="I886" i="2"/>
  <c r="H886" i="2"/>
  <c r="G886" i="2"/>
  <c r="F886" i="2"/>
  <c r="C886" i="2"/>
  <c r="B886" i="2"/>
  <c r="A886" i="2"/>
  <c r="O885" i="2"/>
  <c r="N885" i="2"/>
  <c r="M885" i="2"/>
  <c r="L885" i="2"/>
  <c r="K885" i="2"/>
  <c r="J885" i="2"/>
  <c r="I885" i="2"/>
  <c r="H885" i="2"/>
  <c r="G885" i="2"/>
  <c r="F885" i="2"/>
  <c r="C885" i="2"/>
  <c r="B885" i="2"/>
  <c r="A885" i="2"/>
  <c r="O884" i="2"/>
  <c r="N884" i="2"/>
  <c r="M884" i="2"/>
  <c r="L884" i="2"/>
  <c r="K884" i="2"/>
  <c r="J884" i="2"/>
  <c r="I884" i="2"/>
  <c r="H884" i="2"/>
  <c r="G884" i="2"/>
  <c r="F884" i="2"/>
  <c r="C884" i="2"/>
  <c r="B884" i="2"/>
  <c r="A884" i="2"/>
  <c r="O883" i="2"/>
  <c r="N883" i="2"/>
  <c r="M883" i="2"/>
  <c r="L883" i="2"/>
  <c r="K883" i="2"/>
  <c r="J883" i="2"/>
  <c r="I883" i="2"/>
  <c r="H883" i="2"/>
  <c r="G883" i="2"/>
  <c r="F883" i="2"/>
  <c r="C883" i="2"/>
  <c r="B883" i="2"/>
  <c r="A883" i="2"/>
  <c r="O882" i="2"/>
  <c r="N882" i="2"/>
  <c r="M882" i="2"/>
  <c r="L882" i="2"/>
  <c r="K882" i="2"/>
  <c r="J882" i="2"/>
  <c r="I882" i="2"/>
  <c r="H882" i="2"/>
  <c r="G882" i="2"/>
  <c r="F882" i="2"/>
  <c r="C882" i="2"/>
  <c r="B882" i="2"/>
  <c r="A882" i="2"/>
  <c r="O881" i="2"/>
  <c r="N881" i="2"/>
  <c r="M881" i="2"/>
  <c r="L881" i="2"/>
  <c r="K881" i="2"/>
  <c r="J881" i="2"/>
  <c r="I881" i="2"/>
  <c r="H881" i="2"/>
  <c r="G881" i="2"/>
  <c r="F881" i="2"/>
  <c r="C881" i="2"/>
  <c r="B881" i="2"/>
  <c r="A881" i="2"/>
  <c r="O880" i="2"/>
  <c r="N880" i="2"/>
  <c r="M880" i="2"/>
  <c r="L880" i="2"/>
  <c r="K880" i="2"/>
  <c r="J880" i="2"/>
  <c r="I880" i="2"/>
  <c r="H880" i="2"/>
  <c r="G880" i="2"/>
  <c r="F880" i="2"/>
  <c r="C880" i="2"/>
  <c r="B880" i="2"/>
  <c r="A880" i="2"/>
  <c r="O879" i="2"/>
  <c r="N879" i="2"/>
  <c r="M879" i="2"/>
  <c r="L879" i="2"/>
  <c r="K879" i="2"/>
  <c r="J879" i="2"/>
  <c r="I879" i="2"/>
  <c r="H879" i="2"/>
  <c r="G879" i="2"/>
  <c r="F879" i="2"/>
  <c r="C879" i="2"/>
  <c r="B879" i="2"/>
  <c r="A879" i="2"/>
  <c r="O878" i="2"/>
  <c r="N878" i="2"/>
  <c r="M878" i="2"/>
  <c r="L878" i="2"/>
  <c r="K878" i="2"/>
  <c r="J878" i="2"/>
  <c r="I878" i="2"/>
  <c r="H878" i="2"/>
  <c r="G878" i="2"/>
  <c r="F878" i="2"/>
  <c r="C878" i="2"/>
  <c r="B878" i="2"/>
  <c r="A878" i="2"/>
  <c r="O877" i="2"/>
  <c r="N877" i="2"/>
  <c r="M877" i="2"/>
  <c r="L877" i="2"/>
  <c r="K877" i="2"/>
  <c r="J877" i="2"/>
  <c r="I877" i="2"/>
  <c r="H877" i="2"/>
  <c r="G877" i="2"/>
  <c r="F877" i="2"/>
  <c r="C877" i="2"/>
  <c r="B877" i="2"/>
  <c r="A877" i="2"/>
  <c r="O876" i="2"/>
  <c r="N876" i="2"/>
  <c r="M876" i="2"/>
  <c r="L876" i="2"/>
  <c r="K876" i="2"/>
  <c r="J876" i="2"/>
  <c r="I876" i="2"/>
  <c r="H876" i="2"/>
  <c r="G876" i="2"/>
  <c r="F876" i="2"/>
  <c r="C876" i="2"/>
  <c r="B876" i="2"/>
  <c r="A876" i="2"/>
  <c r="O875" i="2"/>
  <c r="N875" i="2"/>
  <c r="M875" i="2"/>
  <c r="L875" i="2"/>
  <c r="K875" i="2"/>
  <c r="J875" i="2"/>
  <c r="I875" i="2"/>
  <c r="H875" i="2"/>
  <c r="G875" i="2"/>
  <c r="F875" i="2"/>
  <c r="C875" i="2"/>
  <c r="B875" i="2"/>
  <c r="A875" i="2"/>
  <c r="O874" i="2"/>
  <c r="N874" i="2"/>
  <c r="M874" i="2"/>
  <c r="L874" i="2"/>
  <c r="K874" i="2"/>
  <c r="J874" i="2"/>
  <c r="I874" i="2"/>
  <c r="H874" i="2"/>
  <c r="G874" i="2"/>
  <c r="F874" i="2"/>
  <c r="C874" i="2"/>
  <c r="B874" i="2"/>
  <c r="A874" i="2"/>
  <c r="O873" i="2"/>
  <c r="N873" i="2"/>
  <c r="M873" i="2"/>
  <c r="L873" i="2"/>
  <c r="K873" i="2"/>
  <c r="J873" i="2"/>
  <c r="I873" i="2"/>
  <c r="H873" i="2"/>
  <c r="G873" i="2"/>
  <c r="F873" i="2"/>
  <c r="C873" i="2"/>
  <c r="B873" i="2"/>
  <c r="A873" i="2"/>
  <c r="O872" i="2"/>
  <c r="N872" i="2"/>
  <c r="M872" i="2"/>
  <c r="L872" i="2"/>
  <c r="K872" i="2"/>
  <c r="J872" i="2"/>
  <c r="I872" i="2"/>
  <c r="H872" i="2"/>
  <c r="G872" i="2"/>
  <c r="F872" i="2"/>
  <c r="C872" i="2"/>
  <c r="B872" i="2"/>
  <c r="A872" i="2"/>
  <c r="O871" i="2"/>
  <c r="N871" i="2"/>
  <c r="M871" i="2"/>
  <c r="L871" i="2"/>
  <c r="K871" i="2"/>
  <c r="J871" i="2"/>
  <c r="I871" i="2"/>
  <c r="H871" i="2"/>
  <c r="G871" i="2"/>
  <c r="F871" i="2"/>
  <c r="C871" i="2"/>
  <c r="B871" i="2"/>
  <c r="A871" i="2"/>
  <c r="O870" i="2"/>
  <c r="N870" i="2"/>
  <c r="M870" i="2"/>
  <c r="L870" i="2"/>
  <c r="K870" i="2"/>
  <c r="J870" i="2"/>
  <c r="I870" i="2"/>
  <c r="H870" i="2"/>
  <c r="G870" i="2"/>
  <c r="F870" i="2"/>
  <c r="C870" i="2"/>
  <c r="B870" i="2"/>
  <c r="A870" i="2"/>
  <c r="O869" i="2"/>
  <c r="N869" i="2"/>
  <c r="M869" i="2"/>
  <c r="L869" i="2"/>
  <c r="K869" i="2"/>
  <c r="J869" i="2"/>
  <c r="I869" i="2"/>
  <c r="H869" i="2"/>
  <c r="G869" i="2"/>
  <c r="F869" i="2"/>
  <c r="C869" i="2"/>
  <c r="B869" i="2"/>
  <c r="A869" i="2"/>
  <c r="O868" i="2"/>
  <c r="N868" i="2"/>
  <c r="M868" i="2"/>
  <c r="L868" i="2"/>
  <c r="K868" i="2"/>
  <c r="J868" i="2"/>
  <c r="I868" i="2"/>
  <c r="H868" i="2"/>
  <c r="G868" i="2"/>
  <c r="F868" i="2"/>
  <c r="C868" i="2"/>
  <c r="B868" i="2"/>
  <c r="A868" i="2"/>
  <c r="O867" i="2"/>
  <c r="N867" i="2"/>
  <c r="M867" i="2"/>
  <c r="L867" i="2"/>
  <c r="K867" i="2"/>
  <c r="J867" i="2"/>
  <c r="I867" i="2"/>
  <c r="H867" i="2"/>
  <c r="G867" i="2"/>
  <c r="F867" i="2"/>
  <c r="C867" i="2"/>
  <c r="B867" i="2"/>
  <c r="A867" i="2"/>
  <c r="O866" i="2"/>
  <c r="N866" i="2"/>
  <c r="M866" i="2"/>
  <c r="L866" i="2"/>
  <c r="K866" i="2"/>
  <c r="J866" i="2"/>
  <c r="I866" i="2"/>
  <c r="H866" i="2"/>
  <c r="G866" i="2"/>
  <c r="F866" i="2"/>
  <c r="C866" i="2"/>
  <c r="B866" i="2"/>
  <c r="A866" i="2"/>
  <c r="O865" i="2"/>
  <c r="N865" i="2"/>
  <c r="M865" i="2"/>
  <c r="L865" i="2"/>
  <c r="K865" i="2"/>
  <c r="J865" i="2"/>
  <c r="I865" i="2"/>
  <c r="H865" i="2"/>
  <c r="G865" i="2"/>
  <c r="F865" i="2"/>
  <c r="C865" i="2"/>
  <c r="B865" i="2"/>
  <c r="A865" i="2"/>
  <c r="O864" i="2"/>
  <c r="N864" i="2"/>
  <c r="M864" i="2"/>
  <c r="L864" i="2"/>
  <c r="K864" i="2"/>
  <c r="J864" i="2"/>
  <c r="I864" i="2"/>
  <c r="H864" i="2"/>
  <c r="G864" i="2"/>
  <c r="F864" i="2"/>
  <c r="C864" i="2"/>
  <c r="B864" i="2"/>
  <c r="A864" i="2"/>
  <c r="O863" i="2"/>
  <c r="N863" i="2"/>
  <c r="M863" i="2"/>
  <c r="L863" i="2"/>
  <c r="K863" i="2"/>
  <c r="J863" i="2"/>
  <c r="I863" i="2"/>
  <c r="H863" i="2"/>
  <c r="G863" i="2"/>
  <c r="F863" i="2"/>
  <c r="C863" i="2"/>
  <c r="B863" i="2"/>
  <c r="A863" i="2"/>
  <c r="O862" i="2"/>
  <c r="N862" i="2"/>
  <c r="M862" i="2"/>
  <c r="L862" i="2"/>
  <c r="K862" i="2"/>
  <c r="J862" i="2"/>
  <c r="I862" i="2"/>
  <c r="H862" i="2"/>
  <c r="G862" i="2"/>
  <c r="F862" i="2"/>
  <c r="C862" i="2"/>
  <c r="B862" i="2"/>
  <c r="A862" i="2"/>
  <c r="O861" i="2"/>
  <c r="N861" i="2"/>
  <c r="M861" i="2"/>
  <c r="L861" i="2"/>
  <c r="K861" i="2"/>
  <c r="J861" i="2"/>
  <c r="I861" i="2"/>
  <c r="H861" i="2"/>
  <c r="G861" i="2"/>
  <c r="F861" i="2"/>
  <c r="C861" i="2"/>
  <c r="B861" i="2"/>
  <c r="A861" i="2"/>
  <c r="O860" i="2"/>
  <c r="N860" i="2"/>
  <c r="M860" i="2"/>
  <c r="L860" i="2"/>
  <c r="K860" i="2"/>
  <c r="J860" i="2"/>
  <c r="I860" i="2"/>
  <c r="H860" i="2"/>
  <c r="G860" i="2"/>
  <c r="F860" i="2"/>
  <c r="C860" i="2"/>
  <c r="B860" i="2"/>
  <c r="A860" i="2"/>
  <c r="O859" i="2"/>
  <c r="N859" i="2"/>
  <c r="M859" i="2"/>
  <c r="L859" i="2"/>
  <c r="K859" i="2"/>
  <c r="J859" i="2"/>
  <c r="I859" i="2"/>
  <c r="H859" i="2"/>
  <c r="G859" i="2"/>
  <c r="F859" i="2"/>
  <c r="C859" i="2"/>
  <c r="B859" i="2"/>
  <c r="A859" i="2"/>
  <c r="O858" i="2"/>
  <c r="N858" i="2"/>
  <c r="M858" i="2"/>
  <c r="L858" i="2"/>
  <c r="K858" i="2"/>
  <c r="J858" i="2"/>
  <c r="I858" i="2"/>
  <c r="H858" i="2"/>
  <c r="G858" i="2"/>
  <c r="F858" i="2"/>
  <c r="C858" i="2"/>
  <c r="B858" i="2"/>
  <c r="A858" i="2"/>
  <c r="O857" i="2"/>
  <c r="N857" i="2"/>
  <c r="M857" i="2"/>
  <c r="L857" i="2"/>
  <c r="K857" i="2"/>
  <c r="J857" i="2"/>
  <c r="I857" i="2"/>
  <c r="H857" i="2"/>
  <c r="G857" i="2"/>
  <c r="F857" i="2"/>
  <c r="C857" i="2"/>
  <c r="B857" i="2"/>
  <c r="A857" i="2"/>
  <c r="O856" i="2"/>
  <c r="N856" i="2"/>
  <c r="M856" i="2"/>
  <c r="L856" i="2"/>
  <c r="K856" i="2"/>
  <c r="J856" i="2"/>
  <c r="I856" i="2"/>
  <c r="H856" i="2"/>
  <c r="G856" i="2"/>
  <c r="F856" i="2"/>
  <c r="C856" i="2"/>
  <c r="B856" i="2"/>
  <c r="A856" i="2"/>
  <c r="O855" i="2"/>
  <c r="N855" i="2"/>
  <c r="M855" i="2"/>
  <c r="L855" i="2"/>
  <c r="K855" i="2"/>
  <c r="J855" i="2"/>
  <c r="I855" i="2"/>
  <c r="H855" i="2"/>
  <c r="G855" i="2"/>
  <c r="F855" i="2"/>
  <c r="C855" i="2"/>
  <c r="B855" i="2"/>
  <c r="A855" i="2"/>
  <c r="O854" i="2"/>
  <c r="N854" i="2"/>
  <c r="M854" i="2"/>
  <c r="L854" i="2"/>
  <c r="K854" i="2"/>
  <c r="J854" i="2"/>
  <c r="I854" i="2"/>
  <c r="H854" i="2"/>
  <c r="G854" i="2"/>
  <c r="F854" i="2"/>
  <c r="C854" i="2"/>
  <c r="B854" i="2"/>
  <c r="A854" i="2"/>
  <c r="O853" i="2"/>
  <c r="N853" i="2"/>
  <c r="M853" i="2"/>
  <c r="L853" i="2"/>
  <c r="K853" i="2"/>
  <c r="J853" i="2"/>
  <c r="I853" i="2"/>
  <c r="H853" i="2"/>
  <c r="G853" i="2"/>
  <c r="F853" i="2"/>
  <c r="C853" i="2"/>
  <c r="B853" i="2"/>
  <c r="A853" i="2"/>
  <c r="O852" i="2"/>
  <c r="N852" i="2"/>
  <c r="M852" i="2"/>
  <c r="L852" i="2"/>
  <c r="K852" i="2"/>
  <c r="J852" i="2"/>
  <c r="I852" i="2"/>
  <c r="H852" i="2"/>
  <c r="G852" i="2"/>
  <c r="F852" i="2"/>
  <c r="C852" i="2"/>
  <c r="B852" i="2"/>
  <c r="A852" i="2"/>
  <c r="O851" i="2"/>
  <c r="N851" i="2"/>
  <c r="M851" i="2"/>
  <c r="L851" i="2"/>
  <c r="K851" i="2"/>
  <c r="J851" i="2"/>
  <c r="I851" i="2"/>
  <c r="H851" i="2"/>
  <c r="G851" i="2"/>
  <c r="F851" i="2"/>
  <c r="C851" i="2"/>
  <c r="B851" i="2"/>
  <c r="A851" i="2"/>
  <c r="O850" i="2"/>
  <c r="N850" i="2"/>
  <c r="M850" i="2"/>
  <c r="L850" i="2"/>
  <c r="K850" i="2"/>
  <c r="J850" i="2"/>
  <c r="I850" i="2"/>
  <c r="H850" i="2"/>
  <c r="G850" i="2"/>
  <c r="F850" i="2"/>
  <c r="C850" i="2"/>
  <c r="B850" i="2"/>
  <c r="A850" i="2"/>
  <c r="O849" i="2"/>
  <c r="N849" i="2"/>
  <c r="M849" i="2"/>
  <c r="L849" i="2"/>
  <c r="K849" i="2"/>
  <c r="J849" i="2"/>
  <c r="I849" i="2"/>
  <c r="H849" i="2"/>
  <c r="G849" i="2"/>
  <c r="F849" i="2"/>
  <c r="C849" i="2"/>
  <c r="B849" i="2"/>
  <c r="A849" i="2"/>
  <c r="O848" i="2"/>
  <c r="N848" i="2"/>
  <c r="M848" i="2"/>
  <c r="L848" i="2"/>
  <c r="K848" i="2"/>
  <c r="J848" i="2"/>
  <c r="I848" i="2"/>
  <c r="H848" i="2"/>
  <c r="G848" i="2"/>
  <c r="F848" i="2"/>
  <c r="C848" i="2"/>
  <c r="B848" i="2"/>
  <c r="A848" i="2"/>
  <c r="O847" i="2"/>
  <c r="N847" i="2"/>
  <c r="M847" i="2"/>
  <c r="L847" i="2"/>
  <c r="K847" i="2"/>
  <c r="J847" i="2"/>
  <c r="I847" i="2"/>
  <c r="H847" i="2"/>
  <c r="G847" i="2"/>
  <c r="F847" i="2"/>
  <c r="C847" i="2"/>
  <c r="B847" i="2"/>
  <c r="A847" i="2"/>
  <c r="O846" i="2"/>
  <c r="N846" i="2"/>
  <c r="M846" i="2"/>
  <c r="L846" i="2"/>
  <c r="K846" i="2"/>
  <c r="J846" i="2"/>
  <c r="I846" i="2"/>
  <c r="H846" i="2"/>
  <c r="G846" i="2"/>
  <c r="F846" i="2"/>
  <c r="C846" i="2"/>
  <c r="B846" i="2"/>
  <c r="A846" i="2"/>
  <c r="O845" i="2"/>
  <c r="N845" i="2"/>
  <c r="M845" i="2"/>
  <c r="L845" i="2"/>
  <c r="K845" i="2"/>
  <c r="J845" i="2"/>
  <c r="I845" i="2"/>
  <c r="H845" i="2"/>
  <c r="G845" i="2"/>
  <c r="F845" i="2"/>
  <c r="C845" i="2"/>
  <c r="B845" i="2"/>
  <c r="A845" i="2"/>
  <c r="O844" i="2"/>
  <c r="N844" i="2"/>
  <c r="M844" i="2"/>
  <c r="L844" i="2"/>
  <c r="K844" i="2"/>
  <c r="J844" i="2"/>
  <c r="I844" i="2"/>
  <c r="H844" i="2"/>
  <c r="G844" i="2"/>
  <c r="F844" i="2"/>
  <c r="C844" i="2"/>
  <c r="B844" i="2"/>
  <c r="A844" i="2"/>
  <c r="O843" i="2"/>
  <c r="N843" i="2"/>
  <c r="M843" i="2"/>
  <c r="L843" i="2"/>
  <c r="K843" i="2"/>
  <c r="J843" i="2"/>
  <c r="I843" i="2"/>
  <c r="H843" i="2"/>
  <c r="G843" i="2"/>
  <c r="F843" i="2"/>
  <c r="C843" i="2"/>
  <c r="B843" i="2"/>
  <c r="A843" i="2"/>
  <c r="O842" i="2"/>
  <c r="N842" i="2"/>
  <c r="M842" i="2"/>
  <c r="L842" i="2"/>
  <c r="K842" i="2"/>
  <c r="J842" i="2"/>
  <c r="I842" i="2"/>
  <c r="H842" i="2"/>
  <c r="G842" i="2"/>
  <c r="F842" i="2"/>
  <c r="C842" i="2"/>
  <c r="B842" i="2"/>
  <c r="A842" i="2"/>
  <c r="O841" i="2"/>
  <c r="N841" i="2"/>
  <c r="M841" i="2"/>
  <c r="L841" i="2"/>
  <c r="K841" i="2"/>
  <c r="J841" i="2"/>
  <c r="I841" i="2"/>
  <c r="H841" i="2"/>
  <c r="G841" i="2"/>
  <c r="F841" i="2"/>
  <c r="C841" i="2"/>
  <c r="B841" i="2"/>
  <c r="A841" i="2"/>
  <c r="O840" i="2"/>
  <c r="N840" i="2"/>
  <c r="M840" i="2"/>
  <c r="L840" i="2"/>
  <c r="K840" i="2"/>
  <c r="J840" i="2"/>
  <c r="I840" i="2"/>
  <c r="H840" i="2"/>
  <c r="G840" i="2"/>
  <c r="F840" i="2"/>
  <c r="C840" i="2"/>
  <c r="B840" i="2"/>
  <c r="A840" i="2"/>
  <c r="O839" i="2"/>
  <c r="N839" i="2"/>
  <c r="M839" i="2"/>
  <c r="L839" i="2"/>
  <c r="K839" i="2"/>
  <c r="J839" i="2"/>
  <c r="I839" i="2"/>
  <c r="H839" i="2"/>
  <c r="G839" i="2"/>
  <c r="F839" i="2"/>
  <c r="C839" i="2"/>
  <c r="B839" i="2"/>
  <c r="A839" i="2"/>
  <c r="O838" i="2"/>
  <c r="N838" i="2"/>
  <c r="M838" i="2"/>
  <c r="L838" i="2"/>
  <c r="K838" i="2"/>
  <c r="J838" i="2"/>
  <c r="I838" i="2"/>
  <c r="H838" i="2"/>
  <c r="G838" i="2"/>
  <c r="F838" i="2"/>
  <c r="C838" i="2"/>
  <c r="B838" i="2"/>
  <c r="A838" i="2"/>
  <c r="O837" i="2"/>
  <c r="N837" i="2"/>
  <c r="M837" i="2"/>
  <c r="L837" i="2"/>
  <c r="K837" i="2"/>
  <c r="J837" i="2"/>
  <c r="I837" i="2"/>
  <c r="H837" i="2"/>
  <c r="G837" i="2"/>
  <c r="F837" i="2"/>
  <c r="C837" i="2"/>
  <c r="B837" i="2"/>
  <c r="A837" i="2"/>
  <c r="O836" i="2"/>
  <c r="N836" i="2"/>
  <c r="M836" i="2"/>
  <c r="L836" i="2"/>
  <c r="K836" i="2"/>
  <c r="J836" i="2"/>
  <c r="I836" i="2"/>
  <c r="H836" i="2"/>
  <c r="G836" i="2"/>
  <c r="F836" i="2"/>
  <c r="C836" i="2"/>
  <c r="B836" i="2"/>
  <c r="A836" i="2"/>
  <c r="O835" i="2"/>
  <c r="N835" i="2"/>
  <c r="M835" i="2"/>
  <c r="L835" i="2"/>
  <c r="K835" i="2"/>
  <c r="J835" i="2"/>
  <c r="I835" i="2"/>
  <c r="H835" i="2"/>
  <c r="G835" i="2"/>
  <c r="F835" i="2"/>
  <c r="C835" i="2"/>
  <c r="B835" i="2"/>
  <c r="A835" i="2"/>
  <c r="O834" i="2"/>
  <c r="N834" i="2"/>
  <c r="M834" i="2"/>
  <c r="L834" i="2"/>
  <c r="K834" i="2"/>
  <c r="J834" i="2"/>
  <c r="I834" i="2"/>
  <c r="H834" i="2"/>
  <c r="G834" i="2"/>
  <c r="F834" i="2"/>
  <c r="C834" i="2"/>
  <c r="B834" i="2"/>
  <c r="A834" i="2"/>
  <c r="O833" i="2"/>
  <c r="N833" i="2"/>
  <c r="M833" i="2"/>
  <c r="L833" i="2"/>
  <c r="K833" i="2"/>
  <c r="J833" i="2"/>
  <c r="I833" i="2"/>
  <c r="H833" i="2"/>
  <c r="G833" i="2"/>
  <c r="F833" i="2"/>
  <c r="C833" i="2"/>
  <c r="B833" i="2"/>
  <c r="A833" i="2"/>
  <c r="O832" i="2"/>
  <c r="N832" i="2"/>
  <c r="M832" i="2"/>
  <c r="L832" i="2"/>
  <c r="K832" i="2"/>
  <c r="J832" i="2"/>
  <c r="I832" i="2"/>
  <c r="H832" i="2"/>
  <c r="G832" i="2"/>
  <c r="F832" i="2"/>
  <c r="C832" i="2"/>
  <c r="B832" i="2"/>
  <c r="A832" i="2"/>
  <c r="O831" i="2"/>
  <c r="N831" i="2"/>
  <c r="M831" i="2"/>
  <c r="L831" i="2"/>
  <c r="K831" i="2"/>
  <c r="J831" i="2"/>
  <c r="I831" i="2"/>
  <c r="H831" i="2"/>
  <c r="G831" i="2"/>
  <c r="F831" i="2"/>
  <c r="C831" i="2"/>
  <c r="B831" i="2"/>
  <c r="A831" i="2"/>
  <c r="O830" i="2"/>
  <c r="N830" i="2"/>
  <c r="M830" i="2"/>
  <c r="L830" i="2"/>
  <c r="K830" i="2"/>
  <c r="J830" i="2"/>
  <c r="I830" i="2"/>
  <c r="H830" i="2"/>
  <c r="G830" i="2"/>
  <c r="F830" i="2"/>
  <c r="C830" i="2"/>
  <c r="B830" i="2"/>
  <c r="A830" i="2"/>
  <c r="O829" i="2"/>
  <c r="N829" i="2"/>
  <c r="M829" i="2"/>
  <c r="L829" i="2"/>
  <c r="K829" i="2"/>
  <c r="J829" i="2"/>
  <c r="I829" i="2"/>
  <c r="H829" i="2"/>
  <c r="G829" i="2"/>
  <c r="F829" i="2"/>
  <c r="C829" i="2"/>
  <c r="B829" i="2"/>
  <c r="A829" i="2"/>
  <c r="O828" i="2"/>
  <c r="N828" i="2"/>
  <c r="M828" i="2"/>
  <c r="L828" i="2"/>
  <c r="K828" i="2"/>
  <c r="J828" i="2"/>
  <c r="I828" i="2"/>
  <c r="H828" i="2"/>
  <c r="G828" i="2"/>
  <c r="F828" i="2"/>
  <c r="C828" i="2"/>
  <c r="B828" i="2"/>
  <c r="A828" i="2"/>
  <c r="O827" i="2"/>
  <c r="N827" i="2"/>
  <c r="M827" i="2"/>
  <c r="L827" i="2"/>
  <c r="K827" i="2"/>
  <c r="J827" i="2"/>
  <c r="I827" i="2"/>
  <c r="H827" i="2"/>
  <c r="G827" i="2"/>
  <c r="F827" i="2"/>
  <c r="C827" i="2"/>
  <c r="B827" i="2"/>
  <c r="A827" i="2"/>
  <c r="O826" i="2"/>
  <c r="N826" i="2"/>
  <c r="M826" i="2"/>
  <c r="L826" i="2"/>
  <c r="K826" i="2"/>
  <c r="J826" i="2"/>
  <c r="I826" i="2"/>
  <c r="H826" i="2"/>
  <c r="G826" i="2"/>
  <c r="F826" i="2"/>
  <c r="C826" i="2"/>
  <c r="B826" i="2"/>
  <c r="A826" i="2"/>
  <c r="O825" i="2"/>
  <c r="N825" i="2"/>
  <c r="M825" i="2"/>
  <c r="L825" i="2"/>
  <c r="K825" i="2"/>
  <c r="J825" i="2"/>
  <c r="I825" i="2"/>
  <c r="H825" i="2"/>
  <c r="G825" i="2"/>
  <c r="F825" i="2"/>
  <c r="C825" i="2"/>
  <c r="B825" i="2"/>
  <c r="A825" i="2"/>
  <c r="O824" i="2"/>
  <c r="N824" i="2"/>
  <c r="M824" i="2"/>
  <c r="L824" i="2"/>
  <c r="K824" i="2"/>
  <c r="J824" i="2"/>
  <c r="I824" i="2"/>
  <c r="H824" i="2"/>
  <c r="G824" i="2"/>
  <c r="F824" i="2"/>
  <c r="C824" i="2"/>
  <c r="B824" i="2"/>
  <c r="A824" i="2"/>
  <c r="O823" i="2"/>
  <c r="N823" i="2"/>
  <c r="M823" i="2"/>
  <c r="L823" i="2"/>
  <c r="K823" i="2"/>
  <c r="J823" i="2"/>
  <c r="I823" i="2"/>
  <c r="H823" i="2"/>
  <c r="G823" i="2"/>
  <c r="F823" i="2"/>
  <c r="C823" i="2"/>
  <c r="B823" i="2"/>
  <c r="A823" i="2"/>
  <c r="O822" i="2"/>
  <c r="N822" i="2"/>
  <c r="M822" i="2"/>
  <c r="L822" i="2"/>
  <c r="K822" i="2"/>
  <c r="J822" i="2"/>
  <c r="I822" i="2"/>
  <c r="H822" i="2"/>
  <c r="G822" i="2"/>
  <c r="F822" i="2"/>
  <c r="C822" i="2"/>
  <c r="B822" i="2"/>
  <c r="A822" i="2"/>
  <c r="O821" i="2"/>
  <c r="N821" i="2"/>
  <c r="M821" i="2"/>
  <c r="L821" i="2"/>
  <c r="K821" i="2"/>
  <c r="J821" i="2"/>
  <c r="I821" i="2"/>
  <c r="H821" i="2"/>
  <c r="G821" i="2"/>
  <c r="F821" i="2"/>
  <c r="C821" i="2"/>
  <c r="B821" i="2"/>
  <c r="A821" i="2"/>
  <c r="O820" i="2"/>
  <c r="N820" i="2"/>
  <c r="M820" i="2"/>
  <c r="L820" i="2"/>
  <c r="K820" i="2"/>
  <c r="J820" i="2"/>
  <c r="I820" i="2"/>
  <c r="H820" i="2"/>
  <c r="G820" i="2"/>
  <c r="F820" i="2"/>
  <c r="C820" i="2"/>
  <c r="B820" i="2"/>
  <c r="A820" i="2"/>
  <c r="O819" i="2"/>
  <c r="N819" i="2"/>
  <c r="M819" i="2"/>
  <c r="L819" i="2"/>
  <c r="K819" i="2"/>
  <c r="J819" i="2"/>
  <c r="I819" i="2"/>
  <c r="H819" i="2"/>
  <c r="G819" i="2"/>
  <c r="F819" i="2"/>
  <c r="C819" i="2"/>
  <c r="B819" i="2"/>
  <c r="A819" i="2"/>
  <c r="O818" i="2"/>
  <c r="N818" i="2"/>
  <c r="M818" i="2"/>
  <c r="L818" i="2"/>
  <c r="K818" i="2"/>
  <c r="J818" i="2"/>
  <c r="I818" i="2"/>
  <c r="H818" i="2"/>
  <c r="G818" i="2"/>
  <c r="F818" i="2"/>
  <c r="C818" i="2"/>
  <c r="B818" i="2"/>
  <c r="A818" i="2"/>
  <c r="O817" i="2"/>
  <c r="N817" i="2"/>
  <c r="M817" i="2"/>
  <c r="L817" i="2"/>
  <c r="K817" i="2"/>
  <c r="J817" i="2"/>
  <c r="I817" i="2"/>
  <c r="H817" i="2"/>
  <c r="G817" i="2"/>
  <c r="F817" i="2"/>
  <c r="C817" i="2"/>
  <c r="B817" i="2"/>
  <c r="A817" i="2"/>
  <c r="O816" i="2"/>
  <c r="N816" i="2"/>
  <c r="M816" i="2"/>
  <c r="L816" i="2"/>
  <c r="K816" i="2"/>
  <c r="J816" i="2"/>
  <c r="I816" i="2"/>
  <c r="H816" i="2"/>
  <c r="G816" i="2"/>
  <c r="F816" i="2"/>
  <c r="C816" i="2"/>
  <c r="B816" i="2"/>
  <c r="A816" i="2"/>
  <c r="O815" i="2"/>
  <c r="N815" i="2"/>
  <c r="M815" i="2"/>
  <c r="L815" i="2"/>
  <c r="K815" i="2"/>
  <c r="J815" i="2"/>
  <c r="I815" i="2"/>
  <c r="H815" i="2"/>
  <c r="G815" i="2"/>
  <c r="F815" i="2"/>
  <c r="C815" i="2"/>
  <c r="B815" i="2"/>
  <c r="A815" i="2"/>
  <c r="O814" i="2"/>
  <c r="N814" i="2"/>
  <c r="M814" i="2"/>
  <c r="L814" i="2"/>
  <c r="K814" i="2"/>
  <c r="J814" i="2"/>
  <c r="I814" i="2"/>
  <c r="H814" i="2"/>
  <c r="G814" i="2"/>
  <c r="F814" i="2"/>
  <c r="C814" i="2"/>
  <c r="B814" i="2"/>
  <c r="A814" i="2"/>
  <c r="O813" i="2"/>
  <c r="N813" i="2"/>
  <c r="M813" i="2"/>
  <c r="L813" i="2"/>
  <c r="K813" i="2"/>
  <c r="J813" i="2"/>
  <c r="I813" i="2"/>
  <c r="H813" i="2"/>
  <c r="G813" i="2"/>
  <c r="F813" i="2"/>
  <c r="C813" i="2"/>
  <c r="B813" i="2"/>
  <c r="A813" i="2"/>
  <c r="O812" i="2"/>
  <c r="N812" i="2"/>
  <c r="M812" i="2"/>
  <c r="L812" i="2"/>
  <c r="K812" i="2"/>
  <c r="J812" i="2"/>
  <c r="I812" i="2"/>
  <c r="H812" i="2"/>
  <c r="G812" i="2"/>
  <c r="F812" i="2"/>
  <c r="C812" i="2"/>
  <c r="B812" i="2"/>
  <c r="A812" i="2"/>
  <c r="O811" i="2"/>
  <c r="N811" i="2"/>
  <c r="M811" i="2"/>
  <c r="L811" i="2"/>
  <c r="K811" i="2"/>
  <c r="J811" i="2"/>
  <c r="I811" i="2"/>
  <c r="H811" i="2"/>
  <c r="G811" i="2"/>
  <c r="F811" i="2"/>
  <c r="C811" i="2"/>
  <c r="B811" i="2"/>
  <c r="A811" i="2"/>
  <c r="O810" i="2"/>
  <c r="N810" i="2"/>
  <c r="M810" i="2"/>
  <c r="L810" i="2"/>
  <c r="K810" i="2"/>
  <c r="J810" i="2"/>
  <c r="I810" i="2"/>
  <c r="H810" i="2"/>
  <c r="G810" i="2"/>
  <c r="F810" i="2"/>
  <c r="C810" i="2"/>
  <c r="B810" i="2"/>
  <c r="A810" i="2"/>
  <c r="O809" i="2"/>
  <c r="N809" i="2"/>
  <c r="M809" i="2"/>
  <c r="L809" i="2"/>
  <c r="K809" i="2"/>
  <c r="J809" i="2"/>
  <c r="I809" i="2"/>
  <c r="H809" i="2"/>
  <c r="G809" i="2"/>
  <c r="F809" i="2"/>
  <c r="C809" i="2"/>
  <c r="B809" i="2"/>
  <c r="A809" i="2"/>
  <c r="O808" i="2"/>
  <c r="N808" i="2"/>
  <c r="M808" i="2"/>
  <c r="L808" i="2"/>
  <c r="K808" i="2"/>
  <c r="J808" i="2"/>
  <c r="I808" i="2"/>
  <c r="H808" i="2"/>
  <c r="G808" i="2"/>
  <c r="F808" i="2"/>
  <c r="C808" i="2"/>
  <c r="B808" i="2"/>
  <c r="A808" i="2"/>
  <c r="O807" i="2"/>
  <c r="N807" i="2"/>
  <c r="M807" i="2"/>
  <c r="L807" i="2"/>
  <c r="K807" i="2"/>
  <c r="J807" i="2"/>
  <c r="I807" i="2"/>
  <c r="H807" i="2"/>
  <c r="G807" i="2"/>
  <c r="F807" i="2"/>
  <c r="C807" i="2"/>
  <c r="B807" i="2"/>
  <c r="A807" i="2"/>
  <c r="O806" i="2"/>
  <c r="N806" i="2"/>
  <c r="M806" i="2"/>
  <c r="L806" i="2"/>
  <c r="K806" i="2"/>
  <c r="J806" i="2"/>
  <c r="I806" i="2"/>
  <c r="H806" i="2"/>
  <c r="G806" i="2"/>
  <c r="F806" i="2"/>
  <c r="C806" i="2"/>
  <c r="B806" i="2"/>
  <c r="A806" i="2"/>
  <c r="O805" i="2"/>
  <c r="N805" i="2"/>
  <c r="M805" i="2"/>
  <c r="L805" i="2"/>
  <c r="K805" i="2"/>
  <c r="J805" i="2"/>
  <c r="I805" i="2"/>
  <c r="H805" i="2"/>
  <c r="G805" i="2"/>
  <c r="F805" i="2"/>
  <c r="C805" i="2"/>
  <c r="B805" i="2"/>
  <c r="A805" i="2"/>
  <c r="O804" i="2"/>
  <c r="N804" i="2"/>
  <c r="M804" i="2"/>
  <c r="L804" i="2"/>
  <c r="K804" i="2"/>
  <c r="J804" i="2"/>
  <c r="I804" i="2"/>
  <c r="H804" i="2"/>
  <c r="G804" i="2"/>
  <c r="F804" i="2"/>
  <c r="C804" i="2"/>
  <c r="B804" i="2"/>
  <c r="A804" i="2"/>
  <c r="O803" i="2"/>
  <c r="N803" i="2"/>
  <c r="M803" i="2"/>
  <c r="L803" i="2"/>
  <c r="K803" i="2"/>
  <c r="J803" i="2"/>
  <c r="I803" i="2"/>
  <c r="H803" i="2"/>
  <c r="G803" i="2"/>
  <c r="F803" i="2"/>
  <c r="C803" i="2"/>
  <c r="B803" i="2"/>
  <c r="A803" i="2"/>
  <c r="O802" i="2"/>
  <c r="N802" i="2"/>
  <c r="M802" i="2"/>
  <c r="L802" i="2"/>
  <c r="K802" i="2"/>
  <c r="J802" i="2"/>
  <c r="I802" i="2"/>
  <c r="H802" i="2"/>
  <c r="G802" i="2"/>
  <c r="F802" i="2"/>
  <c r="C802" i="2"/>
  <c r="B802" i="2"/>
  <c r="A802" i="2"/>
  <c r="O801" i="2"/>
  <c r="N801" i="2"/>
  <c r="M801" i="2"/>
  <c r="L801" i="2"/>
  <c r="K801" i="2"/>
  <c r="J801" i="2"/>
  <c r="I801" i="2"/>
  <c r="H801" i="2"/>
  <c r="G801" i="2"/>
  <c r="F801" i="2"/>
  <c r="C801" i="2"/>
  <c r="B801" i="2"/>
  <c r="A801" i="2"/>
  <c r="O800" i="2"/>
  <c r="N800" i="2"/>
  <c r="M800" i="2"/>
  <c r="L800" i="2"/>
  <c r="K800" i="2"/>
  <c r="J800" i="2"/>
  <c r="I800" i="2"/>
  <c r="H800" i="2"/>
  <c r="G800" i="2"/>
  <c r="F800" i="2"/>
  <c r="C800" i="2"/>
  <c r="B800" i="2"/>
  <c r="A800" i="2"/>
  <c r="O799" i="2"/>
  <c r="N799" i="2"/>
  <c r="M799" i="2"/>
  <c r="L799" i="2"/>
  <c r="K799" i="2"/>
  <c r="J799" i="2"/>
  <c r="I799" i="2"/>
  <c r="H799" i="2"/>
  <c r="G799" i="2"/>
  <c r="F799" i="2"/>
  <c r="C799" i="2"/>
  <c r="B799" i="2"/>
  <c r="A799" i="2"/>
  <c r="O798" i="2"/>
  <c r="N798" i="2"/>
  <c r="M798" i="2"/>
  <c r="L798" i="2"/>
  <c r="K798" i="2"/>
  <c r="J798" i="2"/>
  <c r="I798" i="2"/>
  <c r="H798" i="2"/>
  <c r="G798" i="2"/>
  <c r="F798" i="2"/>
  <c r="C798" i="2"/>
  <c r="B798" i="2"/>
  <c r="A798" i="2"/>
  <c r="O797" i="2"/>
  <c r="N797" i="2"/>
  <c r="M797" i="2"/>
  <c r="L797" i="2"/>
  <c r="K797" i="2"/>
  <c r="J797" i="2"/>
  <c r="I797" i="2"/>
  <c r="H797" i="2"/>
  <c r="G797" i="2"/>
  <c r="F797" i="2"/>
  <c r="C797" i="2"/>
  <c r="B797" i="2"/>
  <c r="A797" i="2"/>
  <c r="O796" i="2"/>
  <c r="N796" i="2"/>
  <c r="M796" i="2"/>
  <c r="L796" i="2"/>
  <c r="K796" i="2"/>
  <c r="J796" i="2"/>
  <c r="I796" i="2"/>
  <c r="H796" i="2"/>
  <c r="G796" i="2"/>
  <c r="F796" i="2"/>
  <c r="C796" i="2"/>
  <c r="B796" i="2"/>
  <c r="A796" i="2"/>
  <c r="O795" i="2"/>
  <c r="N795" i="2"/>
  <c r="M795" i="2"/>
  <c r="L795" i="2"/>
  <c r="K795" i="2"/>
  <c r="J795" i="2"/>
  <c r="I795" i="2"/>
  <c r="H795" i="2"/>
  <c r="G795" i="2"/>
  <c r="F795" i="2"/>
  <c r="C795" i="2"/>
  <c r="B795" i="2"/>
  <c r="A795" i="2"/>
  <c r="O794" i="2"/>
  <c r="N794" i="2"/>
  <c r="M794" i="2"/>
  <c r="L794" i="2"/>
  <c r="K794" i="2"/>
  <c r="J794" i="2"/>
  <c r="I794" i="2"/>
  <c r="H794" i="2"/>
  <c r="G794" i="2"/>
  <c r="F794" i="2"/>
  <c r="C794" i="2"/>
  <c r="B794" i="2"/>
  <c r="A794" i="2"/>
  <c r="O793" i="2"/>
  <c r="N793" i="2"/>
  <c r="M793" i="2"/>
  <c r="L793" i="2"/>
  <c r="K793" i="2"/>
  <c r="J793" i="2"/>
  <c r="I793" i="2"/>
  <c r="H793" i="2"/>
  <c r="G793" i="2"/>
  <c r="F793" i="2"/>
  <c r="C793" i="2"/>
  <c r="B793" i="2"/>
  <c r="A793" i="2"/>
  <c r="O792" i="2"/>
  <c r="N792" i="2"/>
  <c r="M792" i="2"/>
  <c r="L792" i="2"/>
  <c r="K792" i="2"/>
  <c r="J792" i="2"/>
  <c r="I792" i="2"/>
  <c r="H792" i="2"/>
  <c r="G792" i="2"/>
  <c r="F792" i="2"/>
  <c r="C792" i="2"/>
  <c r="B792" i="2"/>
  <c r="A792" i="2"/>
  <c r="O791" i="2"/>
  <c r="N791" i="2"/>
  <c r="M791" i="2"/>
  <c r="L791" i="2"/>
  <c r="K791" i="2"/>
  <c r="J791" i="2"/>
  <c r="I791" i="2"/>
  <c r="H791" i="2"/>
  <c r="G791" i="2"/>
  <c r="F791" i="2"/>
  <c r="C791" i="2"/>
  <c r="B791" i="2"/>
  <c r="A791" i="2"/>
  <c r="O790" i="2"/>
  <c r="N790" i="2"/>
  <c r="M790" i="2"/>
  <c r="L790" i="2"/>
  <c r="K790" i="2"/>
  <c r="J790" i="2"/>
  <c r="I790" i="2"/>
  <c r="H790" i="2"/>
  <c r="G790" i="2"/>
  <c r="F790" i="2"/>
  <c r="C790" i="2"/>
  <c r="B790" i="2"/>
  <c r="A790" i="2"/>
  <c r="O789" i="2"/>
  <c r="N789" i="2"/>
  <c r="M789" i="2"/>
  <c r="L789" i="2"/>
  <c r="K789" i="2"/>
  <c r="J789" i="2"/>
  <c r="I789" i="2"/>
  <c r="H789" i="2"/>
  <c r="G789" i="2"/>
  <c r="F789" i="2"/>
  <c r="C789" i="2"/>
  <c r="B789" i="2"/>
  <c r="A789" i="2"/>
  <c r="O788" i="2"/>
  <c r="N788" i="2"/>
  <c r="M788" i="2"/>
  <c r="L788" i="2"/>
  <c r="K788" i="2"/>
  <c r="J788" i="2"/>
  <c r="I788" i="2"/>
  <c r="H788" i="2"/>
  <c r="G788" i="2"/>
  <c r="F788" i="2"/>
  <c r="C788" i="2"/>
  <c r="B788" i="2"/>
  <c r="A788" i="2"/>
  <c r="O787" i="2"/>
  <c r="N787" i="2"/>
  <c r="M787" i="2"/>
  <c r="L787" i="2"/>
  <c r="K787" i="2"/>
  <c r="J787" i="2"/>
  <c r="I787" i="2"/>
  <c r="H787" i="2"/>
  <c r="G787" i="2"/>
  <c r="F787" i="2"/>
  <c r="C787" i="2"/>
  <c r="B787" i="2"/>
  <c r="A787" i="2"/>
  <c r="O786" i="2"/>
  <c r="N786" i="2"/>
  <c r="M786" i="2"/>
  <c r="L786" i="2"/>
  <c r="K786" i="2"/>
  <c r="J786" i="2"/>
  <c r="I786" i="2"/>
  <c r="H786" i="2"/>
  <c r="G786" i="2"/>
  <c r="F786" i="2"/>
  <c r="C786" i="2"/>
  <c r="B786" i="2"/>
  <c r="A786" i="2"/>
  <c r="O785" i="2"/>
  <c r="N785" i="2"/>
  <c r="M785" i="2"/>
  <c r="L785" i="2"/>
  <c r="K785" i="2"/>
  <c r="J785" i="2"/>
  <c r="I785" i="2"/>
  <c r="H785" i="2"/>
  <c r="G785" i="2"/>
  <c r="F785" i="2"/>
  <c r="C785" i="2"/>
  <c r="B785" i="2"/>
  <c r="A785" i="2"/>
  <c r="O784" i="2"/>
  <c r="N784" i="2"/>
  <c r="M784" i="2"/>
  <c r="L784" i="2"/>
  <c r="K784" i="2"/>
  <c r="J784" i="2"/>
  <c r="I784" i="2"/>
  <c r="H784" i="2"/>
  <c r="G784" i="2"/>
  <c r="F784" i="2"/>
  <c r="C784" i="2"/>
  <c r="B784" i="2"/>
  <c r="A784" i="2"/>
  <c r="O783" i="2"/>
  <c r="N783" i="2"/>
  <c r="M783" i="2"/>
  <c r="L783" i="2"/>
  <c r="K783" i="2"/>
  <c r="J783" i="2"/>
  <c r="I783" i="2"/>
  <c r="H783" i="2"/>
  <c r="G783" i="2"/>
  <c r="F783" i="2"/>
  <c r="C783" i="2"/>
  <c r="B783" i="2"/>
  <c r="A783" i="2"/>
  <c r="O782" i="2"/>
  <c r="N782" i="2"/>
  <c r="M782" i="2"/>
  <c r="L782" i="2"/>
  <c r="K782" i="2"/>
  <c r="J782" i="2"/>
  <c r="I782" i="2"/>
  <c r="H782" i="2"/>
  <c r="G782" i="2"/>
  <c r="F782" i="2"/>
  <c r="C782" i="2"/>
  <c r="B782" i="2"/>
  <c r="A782" i="2"/>
  <c r="O781" i="2"/>
  <c r="N781" i="2"/>
  <c r="M781" i="2"/>
  <c r="L781" i="2"/>
  <c r="K781" i="2"/>
  <c r="J781" i="2"/>
  <c r="I781" i="2"/>
  <c r="H781" i="2"/>
  <c r="G781" i="2"/>
  <c r="F781" i="2"/>
  <c r="C781" i="2"/>
  <c r="B781" i="2"/>
  <c r="A781" i="2"/>
  <c r="O780" i="2"/>
  <c r="N780" i="2"/>
  <c r="M780" i="2"/>
  <c r="L780" i="2"/>
  <c r="K780" i="2"/>
  <c r="J780" i="2"/>
  <c r="I780" i="2"/>
  <c r="H780" i="2"/>
  <c r="G780" i="2"/>
  <c r="F780" i="2"/>
  <c r="C780" i="2"/>
  <c r="B780" i="2"/>
  <c r="A780" i="2"/>
  <c r="O779" i="2"/>
  <c r="N779" i="2"/>
  <c r="M779" i="2"/>
  <c r="L779" i="2"/>
  <c r="K779" i="2"/>
  <c r="J779" i="2"/>
  <c r="I779" i="2"/>
  <c r="H779" i="2"/>
  <c r="G779" i="2"/>
  <c r="F779" i="2"/>
  <c r="C779" i="2"/>
  <c r="B779" i="2"/>
  <c r="A779" i="2"/>
  <c r="O778" i="2"/>
  <c r="N778" i="2"/>
  <c r="M778" i="2"/>
  <c r="L778" i="2"/>
  <c r="K778" i="2"/>
  <c r="J778" i="2"/>
  <c r="I778" i="2"/>
  <c r="H778" i="2"/>
  <c r="G778" i="2"/>
  <c r="F778" i="2"/>
  <c r="C778" i="2"/>
  <c r="B778" i="2"/>
  <c r="A778" i="2"/>
  <c r="O777" i="2"/>
  <c r="N777" i="2"/>
  <c r="M777" i="2"/>
  <c r="L777" i="2"/>
  <c r="K777" i="2"/>
  <c r="J777" i="2"/>
  <c r="I777" i="2"/>
  <c r="H777" i="2"/>
  <c r="G777" i="2"/>
  <c r="F777" i="2"/>
  <c r="C777" i="2"/>
  <c r="B777" i="2"/>
  <c r="A777" i="2"/>
  <c r="O776" i="2"/>
  <c r="N776" i="2"/>
  <c r="M776" i="2"/>
  <c r="L776" i="2"/>
  <c r="K776" i="2"/>
  <c r="J776" i="2"/>
  <c r="I776" i="2"/>
  <c r="H776" i="2"/>
  <c r="G776" i="2"/>
  <c r="F776" i="2"/>
  <c r="C776" i="2"/>
  <c r="B776" i="2"/>
  <c r="A776" i="2"/>
  <c r="O775" i="2"/>
  <c r="N775" i="2"/>
  <c r="M775" i="2"/>
  <c r="L775" i="2"/>
  <c r="K775" i="2"/>
  <c r="J775" i="2"/>
  <c r="I775" i="2"/>
  <c r="H775" i="2"/>
  <c r="G775" i="2"/>
  <c r="F775" i="2"/>
  <c r="C775" i="2"/>
  <c r="B775" i="2"/>
  <c r="A775" i="2"/>
  <c r="O774" i="2"/>
  <c r="N774" i="2"/>
  <c r="M774" i="2"/>
  <c r="L774" i="2"/>
  <c r="K774" i="2"/>
  <c r="J774" i="2"/>
  <c r="I774" i="2"/>
  <c r="H774" i="2"/>
  <c r="G774" i="2"/>
  <c r="F774" i="2"/>
  <c r="C774" i="2"/>
  <c r="B774" i="2"/>
  <c r="A774" i="2"/>
  <c r="O773" i="2"/>
  <c r="N773" i="2"/>
  <c r="M773" i="2"/>
  <c r="L773" i="2"/>
  <c r="K773" i="2"/>
  <c r="J773" i="2"/>
  <c r="I773" i="2"/>
  <c r="H773" i="2"/>
  <c r="G773" i="2"/>
  <c r="F773" i="2"/>
  <c r="C773" i="2"/>
  <c r="B773" i="2"/>
  <c r="A773" i="2"/>
  <c r="O772" i="2"/>
  <c r="N772" i="2"/>
  <c r="M772" i="2"/>
  <c r="L772" i="2"/>
  <c r="K772" i="2"/>
  <c r="J772" i="2"/>
  <c r="I772" i="2"/>
  <c r="H772" i="2"/>
  <c r="G772" i="2"/>
  <c r="F772" i="2"/>
  <c r="C772" i="2"/>
  <c r="B772" i="2"/>
  <c r="A772" i="2"/>
  <c r="O771" i="2"/>
  <c r="N771" i="2"/>
  <c r="M771" i="2"/>
  <c r="L771" i="2"/>
  <c r="K771" i="2"/>
  <c r="J771" i="2"/>
  <c r="I771" i="2"/>
  <c r="H771" i="2"/>
  <c r="G771" i="2"/>
  <c r="F771" i="2"/>
  <c r="C771" i="2"/>
  <c r="B771" i="2"/>
  <c r="A771" i="2"/>
  <c r="O770" i="2"/>
  <c r="N770" i="2"/>
  <c r="M770" i="2"/>
  <c r="L770" i="2"/>
  <c r="K770" i="2"/>
  <c r="J770" i="2"/>
  <c r="I770" i="2"/>
  <c r="H770" i="2"/>
  <c r="G770" i="2"/>
  <c r="F770" i="2"/>
  <c r="C770" i="2"/>
  <c r="B770" i="2"/>
  <c r="A770" i="2"/>
  <c r="O769" i="2"/>
  <c r="N769" i="2"/>
  <c r="M769" i="2"/>
  <c r="L769" i="2"/>
  <c r="K769" i="2"/>
  <c r="J769" i="2"/>
  <c r="I769" i="2"/>
  <c r="H769" i="2"/>
  <c r="G769" i="2"/>
  <c r="F769" i="2"/>
  <c r="C769" i="2"/>
  <c r="B769" i="2"/>
  <c r="A769" i="2"/>
  <c r="O768" i="2"/>
  <c r="N768" i="2"/>
  <c r="M768" i="2"/>
  <c r="L768" i="2"/>
  <c r="K768" i="2"/>
  <c r="J768" i="2"/>
  <c r="I768" i="2"/>
  <c r="H768" i="2"/>
  <c r="G768" i="2"/>
  <c r="F768" i="2"/>
  <c r="C768" i="2"/>
  <c r="B768" i="2"/>
  <c r="A768" i="2"/>
  <c r="O767" i="2"/>
  <c r="N767" i="2"/>
  <c r="M767" i="2"/>
  <c r="L767" i="2"/>
  <c r="K767" i="2"/>
  <c r="J767" i="2"/>
  <c r="I767" i="2"/>
  <c r="H767" i="2"/>
  <c r="G767" i="2"/>
  <c r="F767" i="2"/>
  <c r="C767" i="2"/>
  <c r="B767" i="2"/>
  <c r="A767" i="2"/>
  <c r="O766" i="2"/>
  <c r="N766" i="2"/>
  <c r="M766" i="2"/>
  <c r="L766" i="2"/>
  <c r="K766" i="2"/>
  <c r="J766" i="2"/>
  <c r="I766" i="2"/>
  <c r="H766" i="2"/>
  <c r="G766" i="2"/>
  <c r="F766" i="2"/>
  <c r="C766" i="2"/>
  <c r="B766" i="2"/>
  <c r="A766" i="2"/>
  <c r="O765" i="2"/>
  <c r="N765" i="2"/>
  <c r="M765" i="2"/>
  <c r="L765" i="2"/>
  <c r="K765" i="2"/>
  <c r="J765" i="2"/>
  <c r="I765" i="2"/>
  <c r="H765" i="2"/>
  <c r="G765" i="2"/>
  <c r="F765" i="2"/>
  <c r="C765" i="2"/>
  <c r="B765" i="2"/>
  <c r="A765" i="2"/>
  <c r="O764" i="2"/>
  <c r="N764" i="2"/>
  <c r="M764" i="2"/>
  <c r="L764" i="2"/>
  <c r="K764" i="2"/>
  <c r="J764" i="2"/>
  <c r="I764" i="2"/>
  <c r="H764" i="2"/>
  <c r="G764" i="2"/>
  <c r="F764" i="2"/>
  <c r="C764" i="2"/>
  <c r="B764" i="2"/>
  <c r="A764" i="2"/>
  <c r="O763" i="2"/>
  <c r="N763" i="2"/>
  <c r="M763" i="2"/>
  <c r="L763" i="2"/>
  <c r="K763" i="2"/>
  <c r="J763" i="2"/>
  <c r="I763" i="2"/>
  <c r="H763" i="2"/>
  <c r="G763" i="2"/>
  <c r="F763" i="2"/>
  <c r="C763" i="2"/>
  <c r="B763" i="2"/>
  <c r="A763" i="2"/>
  <c r="O762" i="2"/>
  <c r="N762" i="2"/>
  <c r="M762" i="2"/>
  <c r="L762" i="2"/>
  <c r="K762" i="2"/>
  <c r="J762" i="2"/>
  <c r="I762" i="2"/>
  <c r="H762" i="2"/>
  <c r="G762" i="2"/>
  <c r="F762" i="2"/>
  <c r="C762" i="2"/>
  <c r="B762" i="2"/>
  <c r="A762" i="2"/>
  <c r="O761" i="2"/>
  <c r="N761" i="2"/>
  <c r="M761" i="2"/>
  <c r="L761" i="2"/>
  <c r="K761" i="2"/>
  <c r="J761" i="2"/>
  <c r="I761" i="2"/>
  <c r="H761" i="2"/>
  <c r="G761" i="2"/>
  <c r="F761" i="2"/>
  <c r="C761" i="2"/>
  <c r="B761" i="2"/>
  <c r="A761" i="2"/>
  <c r="O760" i="2"/>
  <c r="N760" i="2"/>
  <c r="M760" i="2"/>
  <c r="L760" i="2"/>
  <c r="K760" i="2"/>
  <c r="J760" i="2"/>
  <c r="I760" i="2"/>
  <c r="H760" i="2"/>
  <c r="G760" i="2"/>
  <c r="F760" i="2"/>
  <c r="C760" i="2"/>
  <c r="B760" i="2"/>
  <c r="A760" i="2"/>
  <c r="O759" i="2"/>
  <c r="N759" i="2"/>
  <c r="M759" i="2"/>
  <c r="L759" i="2"/>
  <c r="K759" i="2"/>
  <c r="J759" i="2"/>
  <c r="I759" i="2"/>
  <c r="H759" i="2"/>
  <c r="G759" i="2"/>
  <c r="F759" i="2"/>
  <c r="C759" i="2"/>
  <c r="B759" i="2"/>
  <c r="A759" i="2"/>
  <c r="O758" i="2"/>
  <c r="N758" i="2"/>
  <c r="M758" i="2"/>
  <c r="L758" i="2"/>
  <c r="K758" i="2"/>
  <c r="J758" i="2"/>
  <c r="I758" i="2"/>
  <c r="H758" i="2"/>
  <c r="G758" i="2"/>
  <c r="F758" i="2"/>
  <c r="C758" i="2"/>
  <c r="B758" i="2"/>
  <c r="A758" i="2"/>
  <c r="O757" i="2"/>
  <c r="N757" i="2"/>
  <c r="M757" i="2"/>
  <c r="L757" i="2"/>
  <c r="K757" i="2"/>
  <c r="J757" i="2"/>
  <c r="I757" i="2"/>
  <c r="H757" i="2"/>
  <c r="G757" i="2"/>
  <c r="F757" i="2"/>
  <c r="C757" i="2"/>
  <c r="B757" i="2"/>
  <c r="A757" i="2"/>
  <c r="O756" i="2"/>
  <c r="N756" i="2"/>
  <c r="M756" i="2"/>
  <c r="L756" i="2"/>
  <c r="K756" i="2"/>
  <c r="J756" i="2"/>
  <c r="I756" i="2"/>
  <c r="H756" i="2"/>
  <c r="G756" i="2"/>
  <c r="F756" i="2"/>
  <c r="C756" i="2"/>
  <c r="B756" i="2"/>
  <c r="A756" i="2"/>
  <c r="O755" i="2"/>
  <c r="N755" i="2"/>
  <c r="M755" i="2"/>
  <c r="L755" i="2"/>
  <c r="K755" i="2"/>
  <c r="J755" i="2"/>
  <c r="I755" i="2"/>
  <c r="H755" i="2"/>
  <c r="G755" i="2"/>
  <c r="F755" i="2"/>
  <c r="C755" i="2"/>
  <c r="B755" i="2"/>
  <c r="A755" i="2"/>
  <c r="O754" i="2"/>
  <c r="N754" i="2"/>
  <c r="M754" i="2"/>
  <c r="L754" i="2"/>
  <c r="K754" i="2"/>
  <c r="J754" i="2"/>
  <c r="I754" i="2"/>
  <c r="H754" i="2"/>
  <c r="G754" i="2"/>
  <c r="F754" i="2"/>
  <c r="C754" i="2"/>
  <c r="B754" i="2"/>
  <c r="A754" i="2"/>
  <c r="O753" i="2"/>
  <c r="N753" i="2"/>
  <c r="M753" i="2"/>
  <c r="L753" i="2"/>
  <c r="K753" i="2"/>
  <c r="J753" i="2"/>
  <c r="I753" i="2"/>
  <c r="H753" i="2"/>
  <c r="G753" i="2"/>
  <c r="F753" i="2"/>
  <c r="C753" i="2"/>
  <c r="B753" i="2"/>
  <c r="A753" i="2"/>
  <c r="O752" i="2"/>
  <c r="N752" i="2"/>
  <c r="M752" i="2"/>
  <c r="L752" i="2"/>
  <c r="K752" i="2"/>
  <c r="J752" i="2"/>
  <c r="I752" i="2"/>
  <c r="H752" i="2"/>
  <c r="G752" i="2"/>
  <c r="F752" i="2"/>
  <c r="C752" i="2"/>
  <c r="B752" i="2"/>
  <c r="A752" i="2"/>
  <c r="O751" i="2"/>
  <c r="N751" i="2"/>
  <c r="M751" i="2"/>
  <c r="L751" i="2"/>
  <c r="K751" i="2"/>
  <c r="J751" i="2"/>
  <c r="I751" i="2"/>
  <c r="H751" i="2"/>
  <c r="G751" i="2"/>
  <c r="F751" i="2"/>
  <c r="C751" i="2"/>
  <c r="B751" i="2"/>
  <c r="A751" i="2"/>
  <c r="O750" i="2"/>
  <c r="N750" i="2"/>
  <c r="M750" i="2"/>
  <c r="L750" i="2"/>
  <c r="K750" i="2"/>
  <c r="J750" i="2"/>
  <c r="I750" i="2"/>
  <c r="H750" i="2"/>
  <c r="G750" i="2"/>
  <c r="F750" i="2"/>
  <c r="C750" i="2"/>
  <c r="B750" i="2"/>
  <c r="A750" i="2"/>
  <c r="O749" i="2"/>
  <c r="N749" i="2"/>
  <c r="M749" i="2"/>
  <c r="L749" i="2"/>
  <c r="K749" i="2"/>
  <c r="J749" i="2"/>
  <c r="I749" i="2"/>
  <c r="H749" i="2"/>
  <c r="G749" i="2"/>
  <c r="F749" i="2"/>
  <c r="C749" i="2"/>
  <c r="B749" i="2"/>
  <c r="A749" i="2"/>
  <c r="O748" i="2"/>
  <c r="N748" i="2"/>
  <c r="M748" i="2"/>
  <c r="L748" i="2"/>
  <c r="K748" i="2"/>
  <c r="J748" i="2"/>
  <c r="I748" i="2"/>
  <c r="H748" i="2"/>
  <c r="G748" i="2"/>
  <c r="F748" i="2"/>
  <c r="C748" i="2"/>
  <c r="B748" i="2"/>
  <c r="A748" i="2"/>
  <c r="O747" i="2"/>
  <c r="N747" i="2"/>
  <c r="M747" i="2"/>
  <c r="L747" i="2"/>
  <c r="K747" i="2"/>
  <c r="J747" i="2"/>
  <c r="I747" i="2"/>
  <c r="H747" i="2"/>
  <c r="G747" i="2"/>
  <c r="F747" i="2"/>
  <c r="C747" i="2"/>
  <c r="B747" i="2"/>
  <c r="A747" i="2"/>
  <c r="O746" i="2"/>
  <c r="N746" i="2"/>
  <c r="M746" i="2"/>
  <c r="L746" i="2"/>
  <c r="K746" i="2"/>
  <c r="J746" i="2"/>
  <c r="I746" i="2"/>
  <c r="H746" i="2"/>
  <c r="G746" i="2"/>
  <c r="F746" i="2"/>
  <c r="C746" i="2"/>
  <c r="B746" i="2"/>
  <c r="A746" i="2"/>
  <c r="O745" i="2"/>
  <c r="N745" i="2"/>
  <c r="M745" i="2"/>
  <c r="L745" i="2"/>
  <c r="K745" i="2"/>
  <c r="J745" i="2"/>
  <c r="I745" i="2"/>
  <c r="H745" i="2"/>
  <c r="G745" i="2"/>
  <c r="F745" i="2"/>
  <c r="C745" i="2"/>
  <c r="B745" i="2"/>
  <c r="A745" i="2"/>
  <c r="O744" i="2"/>
  <c r="N744" i="2"/>
  <c r="M744" i="2"/>
  <c r="L744" i="2"/>
  <c r="K744" i="2"/>
  <c r="J744" i="2"/>
  <c r="I744" i="2"/>
  <c r="H744" i="2"/>
  <c r="G744" i="2"/>
  <c r="F744" i="2"/>
  <c r="C744" i="2"/>
  <c r="B744" i="2"/>
  <c r="A744" i="2"/>
  <c r="O743" i="2"/>
  <c r="N743" i="2"/>
  <c r="M743" i="2"/>
  <c r="L743" i="2"/>
  <c r="K743" i="2"/>
  <c r="J743" i="2"/>
  <c r="I743" i="2"/>
  <c r="H743" i="2"/>
  <c r="G743" i="2"/>
  <c r="F743" i="2"/>
  <c r="C743" i="2"/>
  <c r="B743" i="2"/>
  <c r="A743" i="2"/>
  <c r="O742" i="2"/>
  <c r="N742" i="2"/>
  <c r="M742" i="2"/>
  <c r="L742" i="2"/>
  <c r="K742" i="2"/>
  <c r="J742" i="2"/>
  <c r="I742" i="2"/>
  <c r="H742" i="2"/>
  <c r="G742" i="2"/>
  <c r="F742" i="2"/>
  <c r="C742" i="2"/>
  <c r="B742" i="2"/>
  <c r="A742" i="2"/>
  <c r="O741" i="2"/>
  <c r="N741" i="2"/>
  <c r="M741" i="2"/>
  <c r="L741" i="2"/>
  <c r="K741" i="2"/>
  <c r="J741" i="2"/>
  <c r="I741" i="2"/>
  <c r="H741" i="2"/>
  <c r="G741" i="2"/>
  <c r="F741" i="2"/>
  <c r="C741" i="2"/>
  <c r="B741" i="2"/>
  <c r="A741" i="2"/>
  <c r="O740" i="2"/>
  <c r="N740" i="2"/>
  <c r="M740" i="2"/>
  <c r="L740" i="2"/>
  <c r="K740" i="2"/>
  <c r="J740" i="2"/>
  <c r="I740" i="2"/>
  <c r="H740" i="2"/>
  <c r="G740" i="2"/>
  <c r="F740" i="2"/>
  <c r="C740" i="2"/>
  <c r="B740" i="2"/>
  <c r="A740" i="2"/>
  <c r="O739" i="2"/>
  <c r="N739" i="2"/>
  <c r="M739" i="2"/>
  <c r="L739" i="2"/>
  <c r="K739" i="2"/>
  <c r="J739" i="2"/>
  <c r="I739" i="2"/>
  <c r="H739" i="2"/>
  <c r="G739" i="2"/>
  <c r="F739" i="2"/>
  <c r="C739" i="2"/>
  <c r="B739" i="2"/>
  <c r="A739" i="2"/>
  <c r="O738" i="2"/>
  <c r="N738" i="2"/>
  <c r="M738" i="2"/>
  <c r="L738" i="2"/>
  <c r="K738" i="2"/>
  <c r="J738" i="2"/>
  <c r="I738" i="2"/>
  <c r="H738" i="2"/>
  <c r="G738" i="2"/>
  <c r="F738" i="2"/>
  <c r="C738" i="2"/>
  <c r="B738" i="2"/>
  <c r="A738" i="2"/>
  <c r="O737" i="2"/>
  <c r="N737" i="2"/>
  <c r="M737" i="2"/>
  <c r="L737" i="2"/>
  <c r="K737" i="2"/>
  <c r="J737" i="2"/>
  <c r="I737" i="2"/>
  <c r="H737" i="2"/>
  <c r="G737" i="2"/>
  <c r="F737" i="2"/>
  <c r="C737" i="2"/>
  <c r="B737" i="2"/>
  <c r="A737" i="2"/>
  <c r="O736" i="2"/>
  <c r="N736" i="2"/>
  <c r="M736" i="2"/>
  <c r="L736" i="2"/>
  <c r="K736" i="2"/>
  <c r="J736" i="2"/>
  <c r="I736" i="2"/>
  <c r="H736" i="2"/>
  <c r="G736" i="2"/>
  <c r="F736" i="2"/>
  <c r="C736" i="2"/>
  <c r="B736" i="2"/>
  <c r="A736" i="2"/>
  <c r="O735" i="2"/>
  <c r="N735" i="2"/>
  <c r="M735" i="2"/>
  <c r="L735" i="2"/>
  <c r="K735" i="2"/>
  <c r="J735" i="2"/>
  <c r="I735" i="2"/>
  <c r="H735" i="2"/>
  <c r="G735" i="2"/>
  <c r="F735" i="2"/>
  <c r="C735" i="2"/>
  <c r="B735" i="2"/>
  <c r="A735" i="2"/>
  <c r="O734" i="2"/>
  <c r="N734" i="2"/>
  <c r="M734" i="2"/>
  <c r="L734" i="2"/>
  <c r="K734" i="2"/>
  <c r="J734" i="2"/>
  <c r="I734" i="2"/>
  <c r="H734" i="2"/>
  <c r="G734" i="2"/>
  <c r="F734" i="2"/>
  <c r="C734" i="2"/>
  <c r="B734" i="2"/>
  <c r="A734" i="2"/>
  <c r="O733" i="2"/>
  <c r="N733" i="2"/>
  <c r="M733" i="2"/>
  <c r="L733" i="2"/>
  <c r="K733" i="2"/>
  <c r="J733" i="2"/>
  <c r="I733" i="2"/>
  <c r="H733" i="2"/>
  <c r="G733" i="2"/>
  <c r="F733" i="2"/>
  <c r="C733" i="2"/>
  <c r="B733" i="2"/>
  <c r="A733" i="2"/>
  <c r="O732" i="2"/>
  <c r="N732" i="2"/>
  <c r="M732" i="2"/>
  <c r="L732" i="2"/>
  <c r="K732" i="2"/>
  <c r="J732" i="2"/>
  <c r="I732" i="2"/>
  <c r="H732" i="2"/>
  <c r="G732" i="2"/>
  <c r="F732" i="2"/>
  <c r="C732" i="2"/>
  <c r="B732" i="2"/>
  <c r="A732" i="2"/>
  <c r="O731" i="2"/>
  <c r="N731" i="2"/>
  <c r="M731" i="2"/>
  <c r="L731" i="2"/>
  <c r="K731" i="2"/>
  <c r="J731" i="2"/>
  <c r="I731" i="2"/>
  <c r="H731" i="2"/>
  <c r="G731" i="2"/>
  <c r="F731" i="2"/>
  <c r="C731" i="2"/>
  <c r="B731" i="2"/>
  <c r="A731" i="2"/>
  <c r="O730" i="2"/>
  <c r="N730" i="2"/>
  <c r="M730" i="2"/>
  <c r="L730" i="2"/>
  <c r="K730" i="2"/>
  <c r="J730" i="2"/>
  <c r="I730" i="2"/>
  <c r="H730" i="2"/>
  <c r="G730" i="2"/>
  <c r="F730" i="2"/>
  <c r="C730" i="2"/>
  <c r="B730" i="2"/>
  <c r="A730" i="2"/>
  <c r="O729" i="2"/>
  <c r="N729" i="2"/>
  <c r="M729" i="2"/>
  <c r="L729" i="2"/>
  <c r="K729" i="2"/>
  <c r="J729" i="2"/>
  <c r="I729" i="2"/>
  <c r="H729" i="2"/>
  <c r="G729" i="2"/>
  <c r="F729" i="2"/>
  <c r="C729" i="2"/>
  <c r="B729" i="2"/>
  <c r="A729" i="2"/>
  <c r="O728" i="2"/>
  <c r="N728" i="2"/>
  <c r="M728" i="2"/>
  <c r="L728" i="2"/>
  <c r="K728" i="2"/>
  <c r="J728" i="2"/>
  <c r="I728" i="2"/>
  <c r="H728" i="2"/>
  <c r="G728" i="2"/>
  <c r="F728" i="2"/>
  <c r="C728" i="2"/>
  <c r="B728" i="2"/>
  <c r="A728" i="2"/>
  <c r="O727" i="2"/>
  <c r="N727" i="2"/>
  <c r="M727" i="2"/>
  <c r="L727" i="2"/>
  <c r="K727" i="2"/>
  <c r="J727" i="2"/>
  <c r="I727" i="2"/>
  <c r="H727" i="2"/>
  <c r="G727" i="2"/>
  <c r="F727" i="2"/>
  <c r="C727" i="2"/>
  <c r="B727" i="2"/>
  <c r="A727" i="2"/>
  <c r="O726" i="2"/>
  <c r="N726" i="2"/>
  <c r="M726" i="2"/>
  <c r="L726" i="2"/>
  <c r="K726" i="2"/>
  <c r="J726" i="2"/>
  <c r="I726" i="2"/>
  <c r="H726" i="2"/>
  <c r="G726" i="2"/>
  <c r="F726" i="2"/>
  <c r="C726" i="2"/>
  <c r="B726" i="2"/>
  <c r="A726" i="2"/>
  <c r="O725" i="2"/>
  <c r="N725" i="2"/>
  <c r="M725" i="2"/>
  <c r="L725" i="2"/>
  <c r="K725" i="2"/>
  <c r="J725" i="2"/>
  <c r="I725" i="2"/>
  <c r="H725" i="2"/>
  <c r="G725" i="2"/>
  <c r="F725" i="2"/>
  <c r="C725" i="2"/>
  <c r="B725" i="2"/>
  <c r="A725" i="2"/>
  <c r="O724" i="2"/>
  <c r="N724" i="2"/>
  <c r="M724" i="2"/>
  <c r="L724" i="2"/>
  <c r="K724" i="2"/>
  <c r="J724" i="2"/>
  <c r="I724" i="2"/>
  <c r="H724" i="2"/>
  <c r="G724" i="2"/>
  <c r="F724" i="2"/>
  <c r="C724" i="2"/>
  <c r="B724" i="2"/>
  <c r="A724" i="2"/>
  <c r="O723" i="2"/>
  <c r="N723" i="2"/>
  <c r="M723" i="2"/>
  <c r="L723" i="2"/>
  <c r="K723" i="2"/>
  <c r="J723" i="2"/>
  <c r="I723" i="2"/>
  <c r="H723" i="2"/>
  <c r="G723" i="2"/>
  <c r="F723" i="2"/>
  <c r="C723" i="2"/>
  <c r="B723" i="2"/>
  <c r="A723" i="2"/>
  <c r="O722" i="2"/>
  <c r="N722" i="2"/>
  <c r="M722" i="2"/>
  <c r="L722" i="2"/>
  <c r="K722" i="2"/>
  <c r="J722" i="2"/>
  <c r="I722" i="2"/>
  <c r="H722" i="2"/>
  <c r="G722" i="2"/>
  <c r="F722" i="2"/>
  <c r="C722" i="2"/>
  <c r="B722" i="2"/>
  <c r="A722" i="2"/>
  <c r="O721" i="2"/>
  <c r="N721" i="2"/>
  <c r="M721" i="2"/>
  <c r="L721" i="2"/>
  <c r="K721" i="2"/>
  <c r="J721" i="2"/>
  <c r="I721" i="2"/>
  <c r="H721" i="2"/>
  <c r="G721" i="2"/>
  <c r="F721" i="2"/>
  <c r="C721" i="2"/>
  <c r="B721" i="2"/>
  <c r="A721" i="2"/>
  <c r="O720" i="2"/>
  <c r="N720" i="2"/>
  <c r="M720" i="2"/>
  <c r="L720" i="2"/>
  <c r="K720" i="2"/>
  <c r="J720" i="2"/>
  <c r="I720" i="2"/>
  <c r="H720" i="2"/>
  <c r="G720" i="2"/>
  <c r="F720" i="2"/>
  <c r="C720" i="2"/>
  <c r="B720" i="2"/>
  <c r="A720" i="2"/>
  <c r="O719" i="2"/>
  <c r="N719" i="2"/>
  <c r="M719" i="2"/>
  <c r="L719" i="2"/>
  <c r="K719" i="2"/>
  <c r="J719" i="2"/>
  <c r="I719" i="2"/>
  <c r="H719" i="2"/>
  <c r="G719" i="2"/>
  <c r="F719" i="2"/>
  <c r="C719" i="2"/>
  <c r="B719" i="2"/>
  <c r="A719" i="2"/>
  <c r="O718" i="2"/>
  <c r="N718" i="2"/>
  <c r="M718" i="2"/>
  <c r="L718" i="2"/>
  <c r="K718" i="2"/>
  <c r="J718" i="2"/>
  <c r="I718" i="2"/>
  <c r="H718" i="2"/>
  <c r="G718" i="2"/>
  <c r="F718" i="2"/>
  <c r="C718" i="2"/>
  <c r="B718" i="2"/>
  <c r="A718" i="2"/>
  <c r="O717" i="2"/>
  <c r="N717" i="2"/>
  <c r="M717" i="2"/>
  <c r="L717" i="2"/>
  <c r="K717" i="2"/>
  <c r="J717" i="2"/>
  <c r="I717" i="2"/>
  <c r="H717" i="2"/>
  <c r="G717" i="2"/>
  <c r="F717" i="2"/>
  <c r="C717" i="2"/>
  <c r="B717" i="2"/>
  <c r="A717" i="2"/>
  <c r="O716" i="2"/>
  <c r="N716" i="2"/>
  <c r="M716" i="2"/>
  <c r="L716" i="2"/>
  <c r="K716" i="2"/>
  <c r="J716" i="2"/>
  <c r="I716" i="2"/>
  <c r="H716" i="2"/>
  <c r="G716" i="2"/>
  <c r="F716" i="2"/>
  <c r="C716" i="2"/>
  <c r="B716" i="2"/>
  <c r="A716" i="2"/>
  <c r="O715" i="2"/>
  <c r="N715" i="2"/>
  <c r="M715" i="2"/>
  <c r="L715" i="2"/>
  <c r="K715" i="2"/>
  <c r="J715" i="2"/>
  <c r="I715" i="2"/>
  <c r="H715" i="2"/>
  <c r="G715" i="2"/>
  <c r="F715" i="2"/>
  <c r="C715" i="2"/>
  <c r="B715" i="2"/>
  <c r="A715" i="2"/>
  <c r="O714" i="2"/>
  <c r="N714" i="2"/>
  <c r="M714" i="2"/>
  <c r="L714" i="2"/>
  <c r="K714" i="2"/>
  <c r="J714" i="2"/>
  <c r="I714" i="2"/>
  <c r="H714" i="2"/>
  <c r="G714" i="2"/>
  <c r="F714" i="2"/>
  <c r="C714" i="2"/>
  <c r="B714" i="2"/>
  <c r="A714" i="2"/>
  <c r="O713" i="2"/>
  <c r="N713" i="2"/>
  <c r="M713" i="2"/>
  <c r="L713" i="2"/>
  <c r="K713" i="2"/>
  <c r="J713" i="2"/>
  <c r="I713" i="2"/>
  <c r="H713" i="2"/>
  <c r="G713" i="2"/>
  <c r="F713" i="2"/>
  <c r="C713" i="2"/>
  <c r="B713" i="2"/>
  <c r="A713" i="2"/>
  <c r="O712" i="2"/>
  <c r="N712" i="2"/>
  <c r="M712" i="2"/>
  <c r="L712" i="2"/>
  <c r="K712" i="2"/>
  <c r="J712" i="2"/>
  <c r="I712" i="2"/>
  <c r="H712" i="2"/>
  <c r="G712" i="2"/>
  <c r="F712" i="2"/>
  <c r="C712" i="2"/>
  <c r="B712" i="2"/>
  <c r="A712" i="2"/>
  <c r="O711" i="2"/>
  <c r="N711" i="2"/>
  <c r="M711" i="2"/>
  <c r="L711" i="2"/>
  <c r="K711" i="2"/>
  <c r="J711" i="2"/>
  <c r="I711" i="2"/>
  <c r="H711" i="2"/>
  <c r="G711" i="2"/>
  <c r="F711" i="2"/>
  <c r="C711" i="2"/>
  <c r="B711" i="2"/>
  <c r="A711" i="2"/>
  <c r="O710" i="2"/>
  <c r="N710" i="2"/>
  <c r="M710" i="2"/>
  <c r="L710" i="2"/>
  <c r="K710" i="2"/>
  <c r="J710" i="2"/>
  <c r="I710" i="2"/>
  <c r="H710" i="2"/>
  <c r="G710" i="2"/>
  <c r="F710" i="2"/>
  <c r="C710" i="2"/>
  <c r="B710" i="2"/>
  <c r="A710" i="2"/>
  <c r="O709" i="2"/>
  <c r="N709" i="2"/>
  <c r="M709" i="2"/>
  <c r="L709" i="2"/>
  <c r="K709" i="2"/>
  <c r="J709" i="2"/>
  <c r="I709" i="2"/>
  <c r="H709" i="2"/>
  <c r="G709" i="2"/>
  <c r="F709" i="2"/>
  <c r="C709" i="2"/>
  <c r="B709" i="2"/>
  <c r="A709" i="2"/>
  <c r="O708" i="2"/>
  <c r="N708" i="2"/>
  <c r="M708" i="2"/>
  <c r="L708" i="2"/>
  <c r="K708" i="2"/>
  <c r="J708" i="2"/>
  <c r="I708" i="2"/>
  <c r="H708" i="2"/>
  <c r="G708" i="2"/>
  <c r="F708" i="2"/>
  <c r="C708" i="2"/>
  <c r="B708" i="2"/>
  <c r="A708" i="2"/>
  <c r="O707" i="2"/>
  <c r="N707" i="2"/>
  <c r="M707" i="2"/>
  <c r="L707" i="2"/>
  <c r="K707" i="2"/>
  <c r="J707" i="2"/>
  <c r="I707" i="2"/>
  <c r="H707" i="2"/>
  <c r="G707" i="2"/>
  <c r="F707" i="2"/>
  <c r="C707" i="2"/>
  <c r="B707" i="2"/>
  <c r="A707" i="2"/>
  <c r="O706" i="2"/>
  <c r="N706" i="2"/>
  <c r="M706" i="2"/>
  <c r="L706" i="2"/>
  <c r="K706" i="2"/>
  <c r="J706" i="2"/>
  <c r="I706" i="2"/>
  <c r="H706" i="2"/>
  <c r="G706" i="2"/>
  <c r="F706" i="2"/>
  <c r="C706" i="2"/>
  <c r="B706" i="2"/>
  <c r="A706" i="2"/>
  <c r="O705" i="2"/>
  <c r="N705" i="2"/>
  <c r="M705" i="2"/>
  <c r="L705" i="2"/>
  <c r="K705" i="2"/>
  <c r="J705" i="2"/>
  <c r="I705" i="2"/>
  <c r="H705" i="2"/>
  <c r="G705" i="2"/>
  <c r="F705" i="2"/>
  <c r="C705" i="2"/>
  <c r="B705" i="2"/>
  <c r="A705" i="2"/>
  <c r="O704" i="2"/>
  <c r="N704" i="2"/>
  <c r="M704" i="2"/>
  <c r="L704" i="2"/>
  <c r="K704" i="2"/>
  <c r="J704" i="2"/>
  <c r="I704" i="2"/>
  <c r="H704" i="2"/>
  <c r="G704" i="2"/>
  <c r="F704" i="2"/>
  <c r="C704" i="2"/>
  <c r="B704" i="2"/>
  <c r="A704" i="2"/>
  <c r="O703" i="2"/>
  <c r="N703" i="2"/>
  <c r="M703" i="2"/>
  <c r="L703" i="2"/>
  <c r="K703" i="2"/>
  <c r="J703" i="2"/>
  <c r="I703" i="2"/>
  <c r="H703" i="2"/>
  <c r="G703" i="2"/>
  <c r="F703" i="2"/>
  <c r="C703" i="2"/>
  <c r="B703" i="2"/>
  <c r="A703" i="2"/>
  <c r="O702" i="2"/>
  <c r="N702" i="2"/>
  <c r="M702" i="2"/>
  <c r="L702" i="2"/>
  <c r="K702" i="2"/>
  <c r="J702" i="2"/>
  <c r="I702" i="2"/>
  <c r="H702" i="2"/>
  <c r="G702" i="2"/>
  <c r="F702" i="2"/>
  <c r="C702" i="2"/>
  <c r="B702" i="2"/>
  <c r="A702" i="2"/>
  <c r="O701" i="2"/>
  <c r="N701" i="2"/>
  <c r="M701" i="2"/>
  <c r="L701" i="2"/>
  <c r="K701" i="2"/>
  <c r="J701" i="2"/>
  <c r="I701" i="2"/>
  <c r="H701" i="2"/>
  <c r="G701" i="2"/>
  <c r="F701" i="2"/>
  <c r="C701" i="2"/>
  <c r="B701" i="2"/>
  <c r="A701" i="2"/>
  <c r="O700" i="2"/>
  <c r="N700" i="2"/>
  <c r="M700" i="2"/>
  <c r="L700" i="2"/>
  <c r="K700" i="2"/>
  <c r="J700" i="2"/>
  <c r="I700" i="2"/>
  <c r="H700" i="2"/>
  <c r="G700" i="2"/>
  <c r="F700" i="2"/>
  <c r="C700" i="2"/>
  <c r="B700" i="2"/>
  <c r="A700" i="2"/>
  <c r="O699" i="2"/>
  <c r="N699" i="2"/>
  <c r="M699" i="2"/>
  <c r="L699" i="2"/>
  <c r="K699" i="2"/>
  <c r="J699" i="2"/>
  <c r="I699" i="2"/>
  <c r="H699" i="2"/>
  <c r="G699" i="2"/>
  <c r="F699" i="2"/>
  <c r="C699" i="2"/>
  <c r="B699" i="2"/>
  <c r="A699" i="2"/>
  <c r="O698" i="2"/>
  <c r="N698" i="2"/>
  <c r="M698" i="2"/>
  <c r="L698" i="2"/>
  <c r="K698" i="2"/>
  <c r="J698" i="2"/>
  <c r="I698" i="2"/>
  <c r="H698" i="2"/>
  <c r="G698" i="2"/>
  <c r="F698" i="2"/>
  <c r="C698" i="2"/>
  <c r="B698" i="2"/>
  <c r="A698" i="2"/>
  <c r="O697" i="2"/>
  <c r="N697" i="2"/>
  <c r="M697" i="2"/>
  <c r="L697" i="2"/>
  <c r="K697" i="2"/>
  <c r="J697" i="2"/>
  <c r="I697" i="2"/>
  <c r="H697" i="2"/>
  <c r="G697" i="2"/>
  <c r="F697" i="2"/>
  <c r="C697" i="2"/>
  <c r="B697" i="2"/>
  <c r="A697" i="2"/>
  <c r="O696" i="2"/>
  <c r="N696" i="2"/>
  <c r="M696" i="2"/>
  <c r="L696" i="2"/>
  <c r="K696" i="2"/>
  <c r="J696" i="2"/>
  <c r="I696" i="2"/>
  <c r="H696" i="2"/>
  <c r="G696" i="2"/>
  <c r="F696" i="2"/>
  <c r="C696" i="2"/>
  <c r="B696" i="2"/>
  <c r="A696" i="2"/>
  <c r="O695" i="2"/>
  <c r="N695" i="2"/>
  <c r="M695" i="2"/>
  <c r="L695" i="2"/>
  <c r="K695" i="2"/>
  <c r="J695" i="2"/>
  <c r="I695" i="2"/>
  <c r="H695" i="2"/>
  <c r="G695" i="2"/>
  <c r="F695" i="2"/>
  <c r="C695" i="2"/>
  <c r="B695" i="2"/>
  <c r="A695" i="2"/>
  <c r="O694" i="2"/>
  <c r="N694" i="2"/>
  <c r="M694" i="2"/>
  <c r="L694" i="2"/>
  <c r="K694" i="2"/>
  <c r="J694" i="2"/>
  <c r="I694" i="2"/>
  <c r="H694" i="2"/>
  <c r="G694" i="2"/>
  <c r="F694" i="2"/>
  <c r="C694" i="2"/>
  <c r="B694" i="2"/>
  <c r="A694" i="2"/>
  <c r="O693" i="2"/>
  <c r="N693" i="2"/>
  <c r="M693" i="2"/>
  <c r="L693" i="2"/>
  <c r="K693" i="2"/>
  <c r="J693" i="2"/>
  <c r="I693" i="2"/>
  <c r="H693" i="2"/>
  <c r="G693" i="2"/>
  <c r="F693" i="2"/>
  <c r="C693" i="2"/>
  <c r="B693" i="2"/>
  <c r="A693" i="2"/>
  <c r="O692" i="2"/>
  <c r="N692" i="2"/>
  <c r="M692" i="2"/>
  <c r="L692" i="2"/>
  <c r="K692" i="2"/>
  <c r="J692" i="2"/>
  <c r="I692" i="2"/>
  <c r="H692" i="2"/>
  <c r="G692" i="2"/>
  <c r="F692" i="2"/>
  <c r="C692" i="2"/>
  <c r="B692" i="2"/>
  <c r="A692" i="2"/>
  <c r="O691" i="2"/>
  <c r="N691" i="2"/>
  <c r="M691" i="2"/>
  <c r="L691" i="2"/>
  <c r="K691" i="2"/>
  <c r="J691" i="2"/>
  <c r="I691" i="2"/>
  <c r="H691" i="2"/>
  <c r="G691" i="2"/>
  <c r="F691" i="2"/>
  <c r="C691" i="2"/>
  <c r="B691" i="2"/>
  <c r="A691" i="2"/>
  <c r="O690" i="2"/>
  <c r="N690" i="2"/>
  <c r="M690" i="2"/>
  <c r="L690" i="2"/>
  <c r="K690" i="2"/>
  <c r="J690" i="2"/>
  <c r="I690" i="2"/>
  <c r="H690" i="2"/>
  <c r="G690" i="2"/>
  <c r="F690" i="2"/>
  <c r="C690" i="2"/>
  <c r="B690" i="2"/>
  <c r="A690" i="2"/>
  <c r="O689" i="2"/>
  <c r="N689" i="2"/>
  <c r="M689" i="2"/>
  <c r="L689" i="2"/>
  <c r="K689" i="2"/>
  <c r="J689" i="2"/>
  <c r="I689" i="2"/>
  <c r="H689" i="2"/>
  <c r="G689" i="2"/>
  <c r="F689" i="2"/>
  <c r="C689" i="2"/>
  <c r="B689" i="2"/>
  <c r="A689" i="2"/>
  <c r="O688" i="2"/>
  <c r="N688" i="2"/>
  <c r="M688" i="2"/>
  <c r="L688" i="2"/>
  <c r="K688" i="2"/>
  <c r="J688" i="2"/>
  <c r="I688" i="2"/>
  <c r="H688" i="2"/>
  <c r="G688" i="2"/>
  <c r="F688" i="2"/>
  <c r="C688" i="2"/>
  <c r="B688" i="2"/>
  <c r="A688" i="2"/>
  <c r="O687" i="2"/>
  <c r="N687" i="2"/>
  <c r="M687" i="2"/>
  <c r="L687" i="2"/>
  <c r="K687" i="2"/>
  <c r="J687" i="2"/>
  <c r="I687" i="2"/>
  <c r="H687" i="2"/>
  <c r="G687" i="2"/>
  <c r="F687" i="2"/>
  <c r="C687" i="2"/>
  <c r="B687" i="2"/>
  <c r="A687" i="2"/>
  <c r="O686" i="2"/>
  <c r="N686" i="2"/>
  <c r="M686" i="2"/>
  <c r="L686" i="2"/>
  <c r="K686" i="2"/>
  <c r="J686" i="2"/>
  <c r="I686" i="2"/>
  <c r="H686" i="2"/>
  <c r="G686" i="2"/>
  <c r="F686" i="2"/>
  <c r="C686" i="2"/>
  <c r="B686" i="2"/>
  <c r="A686" i="2"/>
  <c r="O685" i="2"/>
  <c r="N685" i="2"/>
  <c r="M685" i="2"/>
  <c r="L685" i="2"/>
  <c r="K685" i="2"/>
  <c r="J685" i="2"/>
  <c r="I685" i="2"/>
  <c r="H685" i="2"/>
  <c r="G685" i="2"/>
  <c r="F685" i="2"/>
  <c r="C685" i="2"/>
  <c r="B685" i="2"/>
  <c r="A685" i="2"/>
  <c r="O684" i="2"/>
  <c r="N684" i="2"/>
  <c r="M684" i="2"/>
  <c r="L684" i="2"/>
  <c r="K684" i="2"/>
  <c r="J684" i="2"/>
  <c r="I684" i="2"/>
  <c r="H684" i="2"/>
  <c r="G684" i="2"/>
  <c r="F684" i="2"/>
  <c r="C684" i="2"/>
  <c r="B684" i="2"/>
  <c r="A684" i="2"/>
  <c r="O683" i="2"/>
  <c r="N683" i="2"/>
  <c r="M683" i="2"/>
  <c r="L683" i="2"/>
  <c r="K683" i="2"/>
  <c r="J683" i="2"/>
  <c r="I683" i="2"/>
  <c r="H683" i="2"/>
  <c r="G683" i="2"/>
  <c r="F683" i="2"/>
  <c r="C683" i="2"/>
  <c r="B683" i="2"/>
  <c r="A683" i="2"/>
  <c r="O682" i="2"/>
  <c r="N682" i="2"/>
  <c r="M682" i="2"/>
  <c r="L682" i="2"/>
  <c r="K682" i="2"/>
  <c r="J682" i="2"/>
  <c r="I682" i="2"/>
  <c r="H682" i="2"/>
  <c r="G682" i="2"/>
  <c r="F682" i="2"/>
  <c r="C682" i="2"/>
  <c r="B682" i="2"/>
  <c r="A682" i="2"/>
  <c r="O681" i="2"/>
  <c r="N681" i="2"/>
  <c r="M681" i="2"/>
  <c r="L681" i="2"/>
  <c r="K681" i="2"/>
  <c r="J681" i="2"/>
  <c r="I681" i="2"/>
  <c r="H681" i="2"/>
  <c r="G681" i="2"/>
  <c r="F681" i="2"/>
  <c r="C681" i="2"/>
  <c r="B681" i="2"/>
  <c r="A681" i="2"/>
  <c r="O680" i="2"/>
  <c r="N680" i="2"/>
  <c r="M680" i="2"/>
  <c r="L680" i="2"/>
  <c r="K680" i="2"/>
  <c r="J680" i="2"/>
  <c r="I680" i="2"/>
  <c r="H680" i="2"/>
  <c r="G680" i="2"/>
  <c r="F680" i="2"/>
  <c r="C680" i="2"/>
  <c r="B680" i="2"/>
  <c r="A680" i="2"/>
  <c r="O679" i="2"/>
  <c r="N679" i="2"/>
  <c r="M679" i="2"/>
  <c r="L679" i="2"/>
  <c r="K679" i="2"/>
  <c r="J679" i="2"/>
  <c r="I679" i="2"/>
  <c r="H679" i="2"/>
  <c r="G679" i="2"/>
  <c r="F679" i="2"/>
  <c r="C679" i="2"/>
  <c r="B679" i="2"/>
  <c r="A679" i="2"/>
  <c r="O678" i="2"/>
  <c r="N678" i="2"/>
  <c r="M678" i="2"/>
  <c r="L678" i="2"/>
  <c r="K678" i="2"/>
  <c r="J678" i="2"/>
  <c r="I678" i="2"/>
  <c r="H678" i="2"/>
  <c r="G678" i="2"/>
  <c r="F678" i="2"/>
  <c r="C678" i="2"/>
  <c r="B678" i="2"/>
  <c r="A678" i="2"/>
  <c r="O677" i="2"/>
  <c r="N677" i="2"/>
  <c r="M677" i="2"/>
  <c r="L677" i="2"/>
  <c r="K677" i="2"/>
  <c r="J677" i="2"/>
  <c r="I677" i="2"/>
  <c r="H677" i="2"/>
  <c r="G677" i="2"/>
  <c r="F677" i="2"/>
  <c r="C677" i="2"/>
  <c r="B677" i="2"/>
  <c r="A677" i="2"/>
  <c r="O676" i="2"/>
  <c r="N676" i="2"/>
  <c r="M676" i="2"/>
  <c r="L676" i="2"/>
  <c r="K676" i="2"/>
  <c r="J676" i="2"/>
  <c r="I676" i="2"/>
  <c r="H676" i="2"/>
  <c r="G676" i="2"/>
  <c r="F676" i="2"/>
  <c r="C676" i="2"/>
  <c r="B676" i="2"/>
  <c r="A676" i="2"/>
  <c r="O675" i="2"/>
  <c r="N675" i="2"/>
  <c r="M675" i="2"/>
  <c r="L675" i="2"/>
  <c r="K675" i="2"/>
  <c r="J675" i="2"/>
  <c r="I675" i="2"/>
  <c r="H675" i="2"/>
  <c r="G675" i="2"/>
  <c r="F675" i="2"/>
  <c r="C675" i="2"/>
  <c r="B675" i="2"/>
  <c r="A675" i="2"/>
  <c r="O674" i="2"/>
  <c r="N674" i="2"/>
  <c r="M674" i="2"/>
  <c r="L674" i="2"/>
  <c r="K674" i="2"/>
  <c r="J674" i="2"/>
  <c r="I674" i="2"/>
  <c r="H674" i="2"/>
  <c r="G674" i="2"/>
  <c r="F674" i="2"/>
  <c r="C674" i="2"/>
  <c r="B674" i="2"/>
  <c r="A674" i="2"/>
  <c r="O673" i="2"/>
  <c r="N673" i="2"/>
  <c r="M673" i="2"/>
  <c r="L673" i="2"/>
  <c r="K673" i="2"/>
  <c r="J673" i="2"/>
  <c r="I673" i="2"/>
  <c r="H673" i="2"/>
  <c r="G673" i="2"/>
  <c r="F673" i="2"/>
  <c r="C673" i="2"/>
  <c r="B673" i="2"/>
  <c r="A673" i="2"/>
  <c r="O672" i="2"/>
  <c r="N672" i="2"/>
  <c r="M672" i="2"/>
  <c r="L672" i="2"/>
  <c r="K672" i="2"/>
  <c r="J672" i="2"/>
  <c r="I672" i="2"/>
  <c r="H672" i="2"/>
  <c r="G672" i="2"/>
  <c r="F672" i="2"/>
  <c r="C672" i="2"/>
  <c r="B672" i="2"/>
  <c r="A672" i="2"/>
  <c r="O671" i="2"/>
  <c r="N671" i="2"/>
  <c r="M671" i="2"/>
  <c r="L671" i="2"/>
  <c r="K671" i="2"/>
  <c r="J671" i="2"/>
  <c r="I671" i="2"/>
  <c r="H671" i="2"/>
  <c r="G671" i="2"/>
  <c r="F671" i="2"/>
  <c r="C671" i="2"/>
  <c r="B671" i="2"/>
  <c r="A671" i="2"/>
  <c r="O670" i="2"/>
  <c r="N670" i="2"/>
  <c r="M670" i="2"/>
  <c r="L670" i="2"/>
  <c r="K670" i="2"/>
  <c r="J670" i="2"/>
  <c r="I670" i="2"/>
  <c r="H670" i="2"/>
  <c r="G670" i="2"/>
  <c r="F670" i="2"/>
  <c r="C670" i="2"/>
  <c r="B670" i="2"/>
  <c r="A670" i="2"/>
  <c r="O669" i="2"/>
  <c r="N669" i="2"/>
  <c r="M669" i="2"/>
  <c r="L669" i="2"/>
  <c r="K669" i="2"/>
  <c r="J669" i="2"/>
  <c r="I669" i="2"/>
  <c r="H669" i="2"/>
  <c r="G669" i="2"/>
  <c r="F669" i="2"/>
  <c r="C669" i="2"/>
  <c r="B669" i="2"/>
  <c r="A669" i="2"/>
  <c r="O668" i="2"/>
  <c r="N668" i="2"/>
  <c r="M668" i="2"/>
  <c r="L668" i="2"/>
  <c r="K668" i="2"/>
  <c r="J668" i="2"/>
  <c r="I668" i="2"/>
  <c r="H668" i="2"/>
  <c r="G668" i="2"/>
  <c r="F668" i="2"/>
  <c r="C668" i="2"/>
  <c r="B668" i="2"/>
  <c r="A668" i="2"/>
  <c r="O667" i="2"/>
  <c r="N667" i="2"/>
  <c r="M667" i="2"/>
  <c r="L667" i="2"/>
  <c r="K667" i="2"/>
  <c r="J667" i="2"/>
  <c r="I667" i="2"/>
  <c r="H667" i="2"/>
  <c r="G667" i="2"/>
  <c r="F667" i="2"/>
  <c r="C667" i="2"/>
  <c r="B667" i="2"/>
  <c r="A667" i="2"/>
  <c r="O666" i="2"/>
  <c r="N666" i="2"/>
  <c r="M666" i="2"/>
  <c r="L666" i="2"/>
  <c r="K666" i="2"/>
  <c r="J666" i="2"/>
  <c r="I666" i="2"/>
  <c r="H666" i="2"/>
  <c r="G666" i="2"/>
  <c r="F666" i="2"/>
  <c r="C666" i="2"/>
  <c r="B666" i="2"/>
  <c r="A666" i="2"/>
  <c r="O665" i="2"/>
  <c r="N665" i="2"/>
  <c r="M665" i="2"/>
  <c r="L665" i="2"/>
  <c r="K665" i="2"/>
  <c r="J665" i="2"/>
  <c r="I665" i="2"/>
  <c r="H665" i="2"/>
  <c r="G665" i="2"/>
  <c r="F665" i="2"/>
  <c r="C665" i="2"/>
  <c r="B665" i="2"/>
  <c r="A665" i="2"/>
  <c r="O664" i="2"/>
  <c r="N664" i="2"/>
  <c r="M664" i="2"/>
  <c r="L664" i="2"/>
  <c r="K664" i="2"/>
  <c r="J664" i="2"/>
  <c r="I664" i="2"/>
  <c r="H664" i="2"/>
  <c r="G664" i="2"/>
  <c r="F664" i="2"/>
  <c r="C664" i="2"/>
  <c r="B664" i="2"/>
  <c r="A664" i="2"/>
  <c r="O663" i="2"/>
  <c r="N663" i="2"/>
  <c r="M663" i="2"/>
  <c r="L663" i="2"/>
  <c r="K663" i="2"/>
  <c r="J663" i="2"/>
  <c r="I663" i="2"/>
  <c r="H663" i="2"/>
  <c r="G663" i="2"/>
  <c r="F663" i="2"/>
  <c r="C663" i="2"/>
  <c r="B663" i="2"/>
  <c r="A663" i="2"/>
  <c r="O662" i="2"/>
  <c r="N662" i="2"/>
  <c r="M662" i="2"/>
  <c r="L662" i="2"/>
  <c r="K662" i="2"/>
  <c r="J662" i="2"/>
  <c r="I662" i="2"/>
  <c r="H662" i="2"/>
  <c r="G662" i="2"/>
  <c r="F662" i="2"/>
  <c r="C662" i="2"/>
  <c r="B662" i="2"/>
  <c r="A662" i="2"/>
  <c r="O661" i="2"/>
  <c r="N661" i="2"/>
  <c r="M661" i="2"/>
  <c r="L661" i="2"/>
  <c r="K661" i="2"/>
  <c r="J661" i="2"/>
  <c r="I661" i="2"/>
  <c r="H661" i="2"/>
  <c r="G661" i="2"/>
  <c r="F661" i="2"/>
  <c r="C661" i="2"/>
  <c r="B661" i="2"/>
  <c r="A661" i="2"/>
  <c r="O660" i="2"/>
  <c r="N660" i="2"/>
  <c r="M660" i="2"/>
  <c r="L660" i="2"/>
  <c r="K660" i="2"/>
  <c r="J660" i="2"/>
  <c r="I660" i="2"/>
  <c r="H660" i="2"/>
  <c r="G660" i="2"/>
  <c r="F660" i="2"/>
  <c r="C660" i="2"/>
  <c r="B660" i="2"/>
  <c r="A660" i="2"/>
  <c r="O659" i="2"/>
  <c r="N659" i="2"/>
  <c r="M659" i="2"/>
  <c r="L659" i="2"/>
  <c r="K659" i="2"/>
  <c r="J659" i="2"/>
  <c r="I659" i="2"/>
  <c r="H659" i="2"/>
  <c r="G659" i="2"/>
  <c r="F659" i="2"/>
  <c r="C659" i="2"/>
  <c r="B659" i="2"/>
  <c r="A659" i="2"/>
  <c r="O658" i="2"/>
  <c r="N658" i="2"/>
  <c r="M658" i="2"/>
  <c r="L658" i="2"/>
  <c r="K658" i="2"/>
  <c r="J658" i="2"/>
  <c r="I658" i="2"/>
  <c r="H658" i="2"/>
  <c r="G658" i="2"/>
  <c r="F658" i="2"/>
  <c r="C658" i="2"/>
  <c r="B658" i="2"/>
  <c r="A658" i="2"/>
  <c r="O657" i="2"/>
  <c r="N657" i="2"/>
  <c r="M657" i="2"/>
  <c r="L657" i="2"/>
  <c r="K657" i="2"/>
  <c r="J657" i="2"/>
  <c r="I657" i="2"/>
  <c r="H657" i="2"/>
  <c r="G657" i="2"/>
  <c r="F657" i="2"/>
  <c r="C657" i="2"/>
  <c r="B657" i="2"/>
  <c r="A657" i="2"/>
  <c r="O656" i="2"/>
  <c r="N656" i="2"/>
  <c r="M656" i="2"/>
  <c r="L656" i="2"/>
  <c r="K656" i="2"/>
  <c r="J656" i="2"/>
  <c r="I656" i="2"/>
  <c r="H656" i="2"/>
  <c r="G656" i="2"/>
  <c r="F656" i="2"/>
  <c r="C656" i="2"/>
  <c r="B656" i="2"/>
  <c r="A656" i="2"/>
  <c r="O655" i="2"/>
  <c r="N655" i="2"/>
  <c r="M655" i="2"/>
  <c r="L655" i="2"/>
  <c r="K655" i="2"/>
  <c r="J655" i="2"/>
  <c r="I655" i="2"/>
  <c r="H655" i="2"/>
  <c r="G655" i="2"/>
  <c r="F655" i="2"/>
  <c r="C655" i="2"/>
  <c r="B655" i="2"/>
  <c r="A655" i="2"/>
  <c r="O654" i="2"/>
  <c r="N654" i="2"/>
  <c r="M654" i="2"/>
  <c r="L654" i="2"/>
  <c r="K654" i="2"/>
  <c r="J654" i="2"/>
  <c r="I654" i="2"/>
  <c r="H654" i="2"/>
  <c r="G654" i="2"/>
  <c r="F654" i="2"/>
  <c r="C654" i="2"/>
  <c r="B654" i="2"/>
  <c r="A654" i="2"/>
  <c r="O653" i="2"/>
  <c r="N653" i="2"/>
  <c r="M653" i="2"/>
  <c r="L653" i="2"/>
  <c r="K653" i="2"/>
  <c r="J653" i="2"/>
  <c r="I653" i="2"/>
  <c r="H653" i="2"/>
  <c r="G653" i="2"/>
  <c r="F653" i="2"/>
  <c r="C653" i="2"/>
  <c r="B653" i="2"/>
  <c r="A653" i="2"/>
  <c r="O652" i="2"/>
  <c r="N652" i="2"/>
  <c r="M652" i="2"/>
  <c r="L652" i="2"/>
  <c r="K652" i="2"/>
  <c r="J652" i="2"/>
  <c r="I652" i="2"/>
  <c r="H652" i="2"/>
  <c r="G652" i="2"/>
  <c r="F652" i="2"/>
  <c r="C652" i="2"/>
  <c r="B652" i="2"/>
  <c r="A652" i="2"/>
  <c r="O651" i="2"/>
  <c r="N651" i="2"/>
  <c r="M651" i="2"/>
  <c r="L651" i="2"/>
  <c r="K651" i="2"/>
  <c r="J651" i="2"/>
  <c r="I651" i="2"/>
  <c r="H651" i="2"/>
  <c r="G651" i="2"/>
  <c r="F651" i="2"/>
  <c r="C651" i="2"/>
  <c r="B651" i="2"/>
  <c r="A651" i="2"/>
  <c r="O650" i="2"/>
  <c r="N650" i="2"/>
  <c r="M650" i="2"/>
  <c r="L650" i="2"/>
  <c r="K650" i="2"/>
  <c r="J650" i="2"/>
  <c r="I650" i="2"/>
  <c r="H650" i="2"/>
  <c r="G650" i="2"/>
  <c r="F650" i="2"/>
  <c r="C650" i="2"/>
  <c r="B650" i="2"/>
  <c r="A650" i="2"/>
  <c r="O649" i="2"/>
  <c r="N649" i="2"/>
  <c r="M649" i="2"/>
  <c r="L649" i="2"/>
  <c r="K649" i="2"/>
  <c r="J649" i="2"/>
  <c r="I649" i="2"/>
  <c r="H649" i="2"/>
  <c r="G649" i="2"/>
  <c r="F649" i="2"/>
  <c r="C649" i="2"/>
  <c r="B649" i="2"/>
  <c r="A649" i="2"/>
  <c r="O648" i="2"/>
  <c r="N648" i="2"/>
  <c r="M648" i="2"/>
  <c r="L648" i="2"/>
  <c r="K648" i="2"/>
  <c r="J648" i="2"/>
  <c r="I648" i="2"/>
  <c r="H648" i="2"/>
  <c r="G648" i="2"/>
  <c r="F648" i="2"/>
  <c r="C648" i="2"/>
  <c r="B648" i="2"/>
  <c r="A648" i="2"/>
  <c r="O647" i="2"/>
  <c r="N647" i="2"/>
  <c r="M647" i="2"/>
  <c r="L647" i="2"/>
  <c r="K647" i="2"/>
  <c r="J647" i="2"/>
  <c r="I647" i="2"/>
  <c r="H647" i="2"/>
  <c r="G647" i="2"/>
  <c r="F647" i="2"/>
  <c r="C647" i="2"/>
  <c r="B647" i="2"/>
  <c r="A647" i="2"/>
  <c r="O646" i="2"/>
  <c r="N646" i="2"/>
  <c r="M646" i="2"/>
  <c r="L646" i="2"/>
  <c r="K646" i="2"/>
  <c r="J646" i="2"/>
  <c r="I646" i="2"/>
  <c r="H646" i="2"/>
  <c r="G646" i="2"/>
  <c r="F646" i="2"/>
  <c r="C646" i="2"/>
  <c r="B646" i="2"/>
  <c r="A646" i="2"/>
  <c r="O645" i="2"/>
  <c r="N645" i="2"/>
  <c r="M645" i="2"/>
  <c r="L645" i="2"/>
  <c r="K645" i="2"/>
  <c r="J645" i="2"/>
  <c r="I645" i="2"/>
  <c r="H645" i="2"/>
  <c r="G645" i="2"/>
  <c r="F645" i="2"/>
  <c r="C645" i="2"/>
  <c r="B645" i="2"/>
  <c r="A645" i="2"/>
  <c r="O644" i="2"/>
  <c r="N644" i="2"/>
  <c r="M644" i="2"/>
  <c r="L644" i="2"/>
  <c r="K644" i="2"/>
  <c r="J644" i="2"/>
  <c r="I644" i="2"/>
  <c r="H644" i="2"/>
  <c r="G644" i="2"/>
  <c r="F644" i="2"/>
  <c r="C644" i="2"/>
  <c r="B644" i="2"/>
  <c r="A644" i="2"/>
  <c r="O643" i="2"/>
  <c r="N643" i="2"/>
  <c r="M643" i="2"/>
  <c r="L643" i="2"/>
  <c r="K643" i="2"/>
  <c r="J643" i="2"/>
  <c r="I643" i="2"/>
  <c r="H643" i="2"/>
  <c r="G643" i="2"/>
  <c r="F643" i="2"/>
  <c r="C643" i="2"/>
  <c r="B643" i="2"/>
  <c r="A643" i="2"/>
  <c r="O642" i="2"/>
  <c r="N642" i="2"/>
  <c r="M642" i="2"/>
  <c r="L642" i="2"/>
  <c r="K642" i="2"/>
  <c r="J642" i="2"/>
  <c r="I642" i="2"/>
  <c r="H642" i="2"/>
  <c r="G642" i="2"/>
  <c r="F642" i="2"/>
  <c r="C642" i="2"/>
  <c r="B642" i="2"/>
  <c r="A642" i="2"/>
  <c r="O641" i="2"/>
  <c r="N641" i="2"/>
  <c r="M641" i="2"/>
  <c r="L641" i="2"/>
  <c r="K641" i="2"/>
  <c r="J641" i="2"/>
  <c r="I641" i="2"/>
  <c r="H641" i="2"/>
  <c r="G641" i="2"/>
  <c r="F641" i="2"/>
  <c r="C641" i="2"/>
  <c r="B641" i="2"/>
  <c r="A641" i="2"/>
  <c r="O640" i="2"/>
  <c r="N640" i="2"/>
  <c r="M640" i="2"/>
  <c r="L640" i="2"/>
  <c r="K640" i="2"/>
  <c r="J640" i="2"/>
  <c r="I640" i="2"/>
  <c r="H640" i="2"/>
  <c r="G640" i="2"/>
  <c r="F640" i="2"/>
  <c r="C640" i="2"/>
  <c r="B640" i="2"/>
  <c r="A640" i="2"/>
  <c r="O639" i="2"/>
  <c r="N639" i="2"/>
  <c r="M639" i="2"/>
  <c r="L639" i="2"/>
  <c r="K639" i="2"/>
  <c r="J639" i="2"/>
  <c r="I639" i="2"/>
  <c r="H639" i="2"/>
  <c r="G639" i="2"/>
  <c r="F639" i="2"/>
  <c r="C639" i="2"/>
  <c r="B639" i="2"/>
  <c r="A639" i="2"/>
  <c r="O638" i="2"/>
  <c r="N638" i="2"/>
  <c r="M638" i="2"/>
  <c r="L638" i="2"/>
  <c r="K638" i="2"/>
  <c r="J638" i="2"/>
  <c r="I638" i="2"/>
  <c r="H638" i="2"/>
  <c r="G638" i="2"/>
  <c r="F638" i="2"/>
  <c r="C638" i="2"/>
  <c r="B638" i="2"/>
  <c r="A638" i="2"/>
  <c r="O637" i="2"/>
  <c r="N637" i="2"/>
  <c r="M637" i="2"/>
  <c r="L637" i="2"/>
  <c r="K637" i="2"/>
  <c r="J637" i="2"/>
  <c r="I637" i="2"/>
  <c r="H637" i="2"/>
  <c r="G637" i="2"/>
  <c r="F637" i="2"/>
  <c r="C637" i="2"/>
  <c r="B637" i="2"/>
  <c r="A637" i="2"/>
  <c r="O636" i="2"/>
  <c r="N636" i="2"/>
  <c r="M636" i="2"/>
  <c r="L636" i="2"/>
  <c r="K636" i="2"/>
  <c r="J636" i="2"/>
  <c r="I636" i="2"/>
  <c r="H636" i="2"/>
  <c r="G636" i="2"/>
  <c r="F636" i="2"/>
  <c r="C636" i="2"/>
  <c r="B636" i="2"/>
  <c r="A636" i="2"/>
  <c r="O635" i="2"/>
  <c r="N635" i="2"/>
  <c r="M635" i="2"/>
  <c r="L635" i="2"/>
  <c r="K635" i="2"/>
  <c r="J635" i="2"/>
  <c r="I635" i="2"/>
  <c r="H635" i="2"/>
  <c r="G635" i="2"/>
  <c r="F635" i="2"/>
  <c r="C635" i="2"/>
  <c r="B635" i="2"/>
  <c r="A635" i="2"/>
  <c r="O634" i="2"/>
  <c r="N634" i="2"/>
  <c r="M634" i="2"/>
  <c r="L634" i="2"/>
  <c r="K634" i="2"/>
  <c r="J634" i="2"/>
  <c r="I634" i="2"/>
  <c r="H634" i="2"/>
  <c r="G634" i="2"/>
  <c r="F634" i="2"/>
  <c r="C634" i="2"/>
  <c r="B634" i="2"/>
  <c r="A634" i="2"/>
  <c r="O633" i="2"/>
  <c r="N633" i="2"/>
  <c r="M633" i="2"/>
  <c r="L633" i="2"/>
  <c r="K633" i="2"/>
  <c r="J633" i="2"/>
  <c r="I633" i="2"/>
  <c r="H633" i="2"/>
  <c r="G633" i="2"/>
  <c r="F633" i="2"/>
  <c r="C633" i="2"/>
  <c r="B633" i="2"/>
  <c r="A633" i="2"/>
  <c r="O632" i="2"/>
  <c r="N632" i="2"/>
  <c r="M632" i="2"/>
  <c r="L632" i="2"/>
  <c r="K632" i="2"/>
  <c r="J632" i="2"/>
  <c r="I632" i="2"/>
  <c r="H632" i="2"/>
  <c r="G632" i="2"/>
  <c r="F632" i="2"/>
  <c r="C632" i="2"/>
  <c r="B632" i="2"/>
  <c r="A632" i="2"/>
  <c r="O631" i="2"/>
  <c r="N631" i="2"/>
  <c r="M631" i="2"/>
  <c r="L631" i="2"/>
  <c r="K631" i="2"/>
  <c r="J631" i="2"/>
  <c r="I631" i="2"/>
  <c r="H631" i="2"/>
  <c r="G631" i="2"/>
  <c r="F631" i="2"/>
  <c r="C631" i="2"/>
  <c r="B631" i="2"/>
  <c r="A631" i="2"/>
  <c r="O630" i="2"/>
  <c r="N630" i="2"/>
  <c r="M630" i="2"/>
  <c r="L630" i="2"/>
  <c r="K630" i="2"/>
  <c r="J630" i="2"/>
  <c r="I630" i="2"/>
  <c r="H630" i="2"/>
  <c r="G630" i="2"/>
  <c r="F630" i="2"/>
  <c r="C630" i="2"/>
  <c r="B630" i="2"/>
  <c r="A630" i="2"/>
  <c r="O629" i="2"/>
  <c r="N629" i="2"/>
  <c r="M629" i="2"/>
  <c r="L629" i="2"/>
  <c r="K629" i="2"/>
  <c r="J629" i="2"/>
  <c r="I629" i="2"/>
  <c r="H629" i="2"/>
  <c r="G629" i="2"/>
  <c r="F629" i="2"/>
  <c r="C629" i="2"/>
  <c r="B629" i="2"/>
  <c r="A629" i="2"/>
  <c r="O628" i="2"/>
  <c r="N628" i="2"/>
  <c r="M628" i="2"/>
  <c r="L628" i="2"/>
  <c r="K628" i="2"/>
  <c r="J628" i="2"/>
  <c r="I628" i="2"/>
  <c r="H628" i="2"/>
  <c r="G628" i="2"/>
  <c r="F628" i="2"/>
  <c r="C628" i="2"/>
  <c r="B628" i="2"/>
  <c r="A628" i="2"/>
  <c r="O627" i="2"/>
  <c r="N627" i="2"/>
  <c r="M627" i="2"/>
  <c r="L627" i="2"/>
  <c r="K627" i="2"/>
  <c r="J627" i="2"/>
  <c r="I627" i="2"/>
  <c r="H627" i="2"/>
  <c r="G627" i="2"/>
  <c r="F627" i="2"/>
  <c r="C627" i="2"/>
  <c r="B627" i="2"/>
  <c r="A627" i="2"/>
  <c r="O626" i="2"/>
  <c r="N626" i="2"/>
  <c r="M626" i="2"/>
  <c r="L626" i="2"/>
  <c r="K626" i="2"/>
  <c r="J626" i="2"/>
  <c r="I626" i="2"/>
  <c r="H626" i="2"/>
  <c r="G626" i="2"/>
  <c r="F626" i="2"/>
  <c r="C626" i="2"/>
  <c r="B626" i="2"/>
  <c r="A626" i="2"/>
  <c r="O625" i="2"/>
  <c r="N625" i="2"/>
  <c r="M625" i="2"/>
  <c r="L625" i="2"/>
  <c r="K625" i="2"/>
  <c r="J625" i="2"/>
  <c r="I625" i="2"/>
  <c r="H625" i="2"/>
  <c r="G625" i="2"/>
  <c r="F625" i="2"/>
  <c r="C625" i="2"/>
  <c r="B625" i="2"/>
  <c r="A625" i="2"/>
  <c r="O624" i="2"/>
  <c r="N624" i="2"/>
  <c r="M624" i="2"/>
  <c r="L624" i="2"/>
  <c r="K624" i="2"/>
  <c r="J624" i="2"/>
  <c r="I624" i="2"/>
  <c r="H624" i="2"/>
  <c r="G624" i="2"/>
  <c r="F624" i="2"/>
  <c r="C624" i="2"/>
  <c r="B624" i="2"/>
  <c r="A624" i="2"/>
  <c r="O623" i="2"/>
  <c r="N623" i="2"/>
  <c r="M623" i="2"/>
  <c r="L623" i="2"/>
  <c r="K623" i="2"/>
  <c r="J623" i="2"/>
  <c r="I623" i="2"/>
  <c r="H623" i="2"/>
  <c r="G623" i="2"/>
  <c r="F623" i="2"/>
  <c r="C623" i="2"/>
  <c r="B623" i="2"/>
  <c r="A623" i="2"/>
  <c r="O622" i="2"/>
  <c r="N622" i="2"/>
  <c r="M622" i="2"/>
  <c r="L622" i="2"/>
  <c r="K622" i="2"/>
  <c r="J622" i="2"/>
  <c r="I622" i="2"/>
  <c r="H622" i="2"/>
  <c r="G622" i="2"/>
  <c r="F622" i="2"/>
  <c r="C622" i="2"/>
  <c r="B622" i="2"/>
  <c r="A622" i="2"/>
  <c r="O621" i="2"/>
  <c r="N621" i="2"/>
  <c r="M621" i="2"/>
  <c r="L621" i="2"/>
  <c r="K621" i="2"/>
  <c r="J621" i="2"/>
  <c r="I621" i="2"/>
  <c r="H621" i="2"/>
  <c r="G621" i="2"/>
  <c r="F621" i="2"/>
  <c r="C621" i="2"/>
  <c r="B621" i="2"/>
  <c r="A621" i="2"/>
  <c r="O620" i="2"/>
  <c r="N620" i="2"/>
  <c r="M620" i="2"/>
  <c r="L620" i="2"/>
  <c r="K620" i="2"/>
  <c r="J620" i="2"/>
  <c r="I620" i="2"/>
  <c r="H620" i="2"/>
  <c r="G620" i="2"/>
  <c r="F620" i="2"/>
  <c r="C620" i="2"/>
  <c r="B620" i="2"/>
  <c r="A620" i="2"/>
  <c r="O619" i="2"/>
  <c r="N619" i="2"/>
  <c r="M619" i="2"/>
  <c r="L619" i="2"/>
  <c r="K619" i="2"/>
  <c r="J619" i="2"/>
  <c r="I619" i="2"/>
  <c r="H619" i="2"/>
  <c r="G619" i="2"/>
  <c r="F619" i="2"/>
  <c r="C619" i="2"/>
  <c r="B619" i="2"/>
  <c r="A619" i="2"/>
  <c r="O618" i="2"/>
  <c r="N618" i="2"/>
  <c r="M618" i="2"/>
  <c r="L618" i="2"/>
  <c r="K618" i="2"/>
  <c r="J618" i="2"/>
  <c r="I618" i="2"/>
  <c r="H618" i="2"/>
  <c r="G618" i="2"/>
  <c r="F618" i="2"/>
  <c r="C618" i="2"/>
  <c r="B618" i="2"/>
  <c r="A618" i="2"/>
  <c r="O617" i="2"/>
  <c r="N617" i="2"/>
  <c r="M617" i="2"/>
  <c r="L617" i="2"/>
  <c r="K617" i="2"/>
  <c r="J617" i="2"/>
  <c r="I617" i="2"/>
  <c r="H617" i="2"/>
  <c r="G617" i="2"/>
  <c r="F617" i="2"/>
  <c r="C617" i="2"/>
  <c r="B617" i="2"/>
  <c r="A617" i="2"/>
  <c r="O616" i="2"/>
  <c r="N616" i="2"/>
  <c r="M616" i="2"/>
  <c r="L616" i="2"/>
  <c r="K616" i="2"/>
  <c r="J616" i="2"/>
  <c r="I616" i="2"/>
  <c r="H616" i="2"/>
  <c r="G616" i="2"/>
  <c r="F616" i="2"/>
  <c r="C616" i="2"/>
  <c r="B616" i="2"/>
  <c r="A616" i="2"/>
  <c r="O615" i="2"/>
  <c r="N615" i="2"/>
  <c r="M615" i="2"/>
  <c r="L615" i="2"/>
  <c r="K615" i="2"/>
  <c r="J615" i="2"/>
  <c r="I615" i="2"/>
  <c r="H615" i="2"/>
  <c r="G615" i="2"/>
  <c r="F615" i="2"/>
  <c r="C615" i="2"/>
  <c r="B615" i="2"/>
  <c r="A615" i="2"/>
  <c r="O614" i="2"/>
  <c r="N614" i="2"/>
  <c r="M614" i="2"/>
  <c r="L614" i="2"/>
  <c r="K614" i="2"/>
  <c r="J614" i="2"/>
  <c r="I614" i="2"/>
  <c r="H614" i="2"/>
  <c r="G614" i="2"/>
  <c r="F614" i="2"/>
  <c r="C614" i="2"/>
  <c r="B614" i="2"/>
  <c r="A614" i="2"/>
  <c r="O613" i="2"/>
  <c r="N613" i="2"/>
  <c r="M613" i="2"/>
  <c r="L613" i="2"/>
  <c r="K613" i="2"/>
  <c r="J613" i="2"/>
  <c r="I613" i="2"/>
  <c r="H613" i="2"/>
  <c r="G613" i="2"/>
  <c r="F613" i="2"/>
  <c r="C613" i="2"/>
  <c r="B613" i="2"/>
  <c r="A613" i="2"/>
  <c r="O612" i="2"/>
  <c r="N612" i="2"/>
  <c r="M612" i="2"/>
  <c r="L612" i="2"/>
  <c r="K612" i="2"/>
  <c r="J612" i="2"/>
  <c r="I612" i="2"/>
  <c r="H612" i="2"/>
  <c r="G612" i="2"/>
  <c r="F612" i="2"/>
  <c r="C612" i="2"/>
  <c r="B612" i="2"/>
  <c r="A612" i="2"/>
  <c r="O611" i="2"/>
  <c r="N611" i="2"/>
  <c r="M611" i="2"/>
  <c r="L611" i="2"/>
  <c r="K611" i="2"/>
  <c r="J611" i="2"/>
  <c r="I611" i="2"/>
  <c r="H611" i="2"/>
  <c r="G611" i="2"/>
  <c r="F611" i="2"/>
  <c r="C611" i="2"/>
  <c r="B611" i="2"/>
  <c r="A611" i="2"/>
  <c r="O610" i="2"/>
  <c r="N610" i="2"/>
  <c r="M610" i="2"/>
  <c r="L610" i="2"/>
  <c r="K610" i="2"/>
  <c r="J610" i="2"/>
  <c r="I610" i="2"/>
  <c r="H610" i="2"/>
  <c r="G610" i="2"/>
  <c r="F610" i="2"/>
  <c r="C610" i="2"/>
  <c r="B610" i="2"/>
  <c r="A610" i="2"/>
  <c r="O609" i="2"/>
  <c r="N609" i="2"/>
  <c r="M609" i="2"/>
  <c r="L609" i="2"/>
  <c r="K609" i="2"/>
  <c r="J609" i="2"/>
  <c r="I609" i="2"/>
  <c r="H609" i="2"/>
  <c r="G609" i="2"/>
  <c r="F609" i="2"/>
  <c r="C609" i="2"/>
  <c r="B609" i="2"/>
  <c r="A609" i="2"/>
  <c r="O608" i="2"/>
  <c r="N608" i="2"/>
  <c r="M608" i="2"/>
  <c r="L608" i="2"/>
  <c r="K608" i="2"/>
  <c r="J608" i="2"/>
  <c r="I608" i="2"/>
  <c r="H608" i="2"/>
  <c r="G608" i="2"/>
  <c r="F608" i="2"/>
  <c r="C608" i="2"/>
  <c r="B608" i="2"/>
  <c r="A608" i="2"/>
  <c r="O607" i="2"/>
  <c r="N607" i="2"/>
  <c r="M607" i="2"/>
  <c r="L607" i="2"/>
  <c r="K607" i="2"/>
  <c r="J607" i="2"/>
  <c r="I607" i="2"/>
  <c r="H607" i="2"/>
  <c r="G607" i="2"/>
  <c r="F607" i="2"/>
  <c r="C607" i="2"/>
  <c r="B607" i="2"/>
  <c r="A607" i="2"/>
  <c r="O606" i="2"/>
  <c r="N606" i="2"/>
  <c r="M606" i="2"/>
  <c r="L606" i="2"/>
  <c r="K606" i="2"/>
  <c r="J606" i="2"/>
  <c r="I606" i="2"/>
  <c r="H606" i="2"/>
  <c r="G606" i="2"/>
  <c r="F606" i="2"/>
  <c r="C606" i="2"/>
  <c r="B606" i="2"/>
  <c r="A606" i="2"/>
  <c r="O605" i="2"/>
  <c r="N605" i="2"/>
  <c r="M605" i="2"/>
  <c r="L605" i="2"/>
  <c r="K605" i="2"/>
  <c r="J605" i="2"/>
  <c r="I605" i="2"/>
  <c r="H605" i="2"/>
  <c r="G605" i="2"/>
  <c r="F605" i="2"/>
  <c r="C605" i="2"/>
  <c r="B605" i="2"/>
  <c r="A605" i="2"/>
  <c r="O604" i="2"/>
  <c r="N604" i="2"/>
  <c r="M604" i="2"/>
  <c r="L604" i="2"/>
  <c r="K604" i="2"/>
  <c r="J604" i="2"/>
  <c r="I604" i="2"/>
  <c r="H604" i="2"/>
  <c r="G604" i="2"/>
  <c r="F604" i="2"/>
  <c r="C604" i="2"/>
  <c r="B604" i="2"/>
  <c r="A604" i="2"/>
  <c r="O603" i="2"/>
  <c r="N603" i="2"/>
  <c r="M603" i="2"/>
  <c r="L603" i="2"/>
  <c r="K603" i="2"/>
  <c r="J603" i="2"/>
  <c r="I603" i="2"/>
  <c r="H603" i="2"/>
  <c r="G603" i="2"/>
  <c r="F603" i="2"/>
  <c r="C603" i="2"/>
  <c r="B603" i="2"/>
  <c r="A603" i="2"/>
  <c r="O602" i="2"/>
  <c r="N602" i="2"/>
  <c r="M602" i="2"/>
  <c r="L602" i="2"/>
  <c r="K602" i="2"/>
  <c r="J602" i="2"/>
  <c r="I602" i="2"/>
  <c r="H602" i="2"/>
  <c r="G602" i="2"/>
  <c r="F602" i="2"/>
  <c r="C602" i="2"/>
  <c r="B602" i="2"/>
  <c r="A602" i="2"/>
  <c r="O601" i="2"/>
  <c r="N601" i="2"/>
  <c r="M601" i="2"/>
  <c r="L601" i="2"/>
  <c r="K601" i="2"/>
  <c r="J601" i="2"/>
  <c r="I601" i="2"/>
  <c r="H601" i="2"/>
  <c r="G601" i="2"/>
  <c r="F601" i="2"/>
  <c r="C601" i="2"/>
  <c r="B601" i="2"/>
  <c r="A601" i="2"/>
  <c r="O600" i="2"/>
  <c r="N600" i="2"/>
  <c r="M600" i="2"/>
  <c r="L600" i="2"/>
  <c r="K600" i="2"/>
  <c r="J600" i="2"/>
  <c r="I600" i="2"/>
  <c r="H600" i="2"/>
  <c r="G600" i="2"/>
  <c r="F600" i="2"/>
  <c r="C600" i="2"/>
  <c r="B600" i="2"/>
  <c r="A600" i="2"/>
  <c r="O599" i="2"/>
  <c r="N599" i="2"/>
  <c r="M599" i="2"/>
  <c r="L599" i="2"/>
  <c r="K599" i="2"/>
  <c r="J599" i="2"/>
  <c r="I599" i="2"/>
  <c r="H599" i="2"/>
  <c r="G599" i="2"/>
  <c r="F599" i="2"/>
  <c r="C599" i="2"/>
  <c r="B599" i="2"/>
  <c r="A599" i="2"/>
  <c r="O598" i="2"/>
  <c r="N598" i="2"/>
  <c r="M598" i="2"/>
  <c r="L598" i="2"/>
  <c r="K598" i="2"/>
  <c r="J598" i="2"/>
  <c r="I598" i="2"/>
  <c r="H598" i="2"/>
  <c r="G598" i="2"/>
  <c r="F598" i="2"/>
  <c r="C598" i="2"/>
  <c r="B598" i="2"/>
  <c r="A598" i="2"/>
  <c r="O597" i="2"/>
  <c r="N597" i="2"/>
  <c r="M597" i="2"/>
  <c r="L597" i="2"/>
  <c r="K597" i="2"/>
  <c r="J597" i="2"/>
  <c r="I597" i="2"/>
  <c r="H597" i="2"/>
  <c r="G597" i="2"/>
  <c r="F597" i="2"/>
  <c r="C597" i="2"/>
  <c r="B597" i="2"/>
  <c r="A597" i="2"/>
  <c r="O596" i="2"/>
  <c r="N596" i="2"/>
  <c r="M596" i="2"/>
  <c r="L596" i="2"/>
  <c r="K596" i="2"/>
  <c r="J596" i="2"/>
  <c r="I596" i="2"/>
  <c r="H596" i="2"/>
  <c r="G596" i="2"/>
  <c r="F596" i="2"/>
  <c r="C596" i="2"/>
  <c r="B596" i="2"/>
  <c r="A596" i="2"/>
  <c r="O595" i="2"/>
  <c r="N595" i="2"/>
  <c r="M595" i="2"/>
  <c r="L595" i="2"/>
  <c r="K595" i="2"/>
  <c r="J595" i="2"/>
  <c r="I595" i="2"/>
  <c r="H595" i="2"/>
  <c r="G595" i="2"/>
  <c r="F595" i="2"/>
  <c r="C595" i="2"/>
  <c r="B595" i="2"/>
  <c r="A595" i="2"/>
  <c r="O594" i="2"/>
  <c r="N594" i="2"/>
  <c r="M594" i="2"/>
  <c r="L594" i="2"/>
  <c r="K594" i="2"/>
  <c r="J594" i="2"/>
  <c r="I594" i="2"/>
  <c r="H594" i="2"/>
  <c r="G594" i="2"/>
  <c r="F594" i="2"/>
  <c r="C594" i="2"/>
  <c r="B594" i="2"/>
  <c r="A594" i="2"/>
  <c r="O593" i="2"/>
  <c r="N593" i="2"/>
  <c r="M593" i="2"/>
  <c r="L593" i="2"/>
  <c r="K593" i="2"/>
  <c r="J593" i="2"/>
  <c r="I593" i="2"/>
  <c r="H593" i="2"/>
  <c r="G593" i="2"/>
  <c r="F593" i="2"/>
  <c r="C593" i="2"/>
  <c r="B593" i="2"/>
  <c r="A593" i="2"/>
  <c r="O592" i="2"/>
  <c r="N592" i="2"/>
  <c r="M592" i="2"/>
  <c r="L592" i="2"/>
  <c r="K592" i="2"/>
  <c r="J592" i="2"/>
  <c r="I592" i="2"/>
  <c r="H592" i="2"/>
  <c r="G592" i="2"/>
  <c r="F592" i="2"/>
  <c r="C592" i="2"/>
  <c r="B592" i="2"/>
  <c r="A592" i="2"/>
  <c r="O591" i="2"/>
  <c r="N591" i="2"/>
  <c r="M591" i="2"/>
  <c r="L591" i="2"/>
  <c r="K591" i="2"/>
  <c r="J591" i="2"/>
  <c r="I591" i="2"/>
  <c r="H591" i="2"/>
  <c r="G591" i="2"/>
  <c r="F591" i="2"/>
  <c r="C591" i="2"/>
  <c r="B591" i="2"/>
  <c r="A591" i="2"/>
  <c r="O590" i="2"/>
  <c r="N590" i="2"/>
  <c r="M590" i="2"/>
  <c r="L590" i="2"/>
  <c r="K590" i="2"/>
  <c r="J590" i="2"/>
  <c r="I590" i="2"/>
  <c r="H590" i="2"/>
  <c r="G590" i="2"/>
  <c r="F590" i="2"/>
  <c r="C590" i="2"/>
  <c r="B590" i="2"/>
  <c r="A590" i="2"/>
  <c r="O589" i="2"/>
  <c r="N589" i="2"/>
  <c r="M589" i="2"/>
  <c r="L589" i="2"/>
  <c r="K589" i="2"/>
  <c r="J589" i="2"/>
  <c r="I589" i="2"/>
  <c r="H589" i="2"/>
  <c r="G589" i="2"/>
  <c r="F589" i="2"/>
  <c r="C589" i="2"/>
  <c r="B589" i="2"/>
  <c r="A589" i="2"/>
  <c r="O588" i="2"/>
  <c r="N588" i="2"/>
  <c r="M588" i="2"/>
  <c r="L588" i="2"/>
  <c r="K588" i="2"/>
  <c r="J588" i="2"/>
  <c r="I588" i="2"/>
  <c r="H588" i="2"/>
  <c r="G588" i="2"/>
  <c r="F588" i="2"/>
  <c r="C588" i="2"/>
  <c r="B588" i="2"/>
  <c r="A588" i="2"/>
  <c r="O587" i="2"/>
  <c r="N587" i="2"/>
  <c r="M587" i="2"/>
  <c r="L587" i="2"/>
  <c r="K587" i="2"/>
  <c r="J587" i="2"/>
  <c r="I587" i="2"/>
  <c r="H587" i="2"/>
  <c r="G587" i="2"/>
  <c r="F587" i="2"/>
  <c r="C587" i="2"/>
  <c r="B587" i="2"/>
  <c r="A587" i="2"/>
  <c r="O586" i="2"/>
  <c r="N586" i="2"/>
  <c r="M586" i="2"/>
  <c r="L586" i="2"/>
  <c r="K586" i="2"/>
  <c r="J586" i="2"/>
  <c r="I586" i="2"/>
  <c r="H586" i="2"/>
  <c r="G586" i="2"/>
  <c r="F586" i="2"/>
  <c r="C586" i="2"/>
  <c r="B586" i="2"/>
  <c r="A586" i="2"/>
  <c r="O585" i="2"/>
  <c r="N585" i="2"/>
  <c r="M585" i="2"/>
  <c r="L585" i="2"/>
  <c r="K585" i="2"/>
  <c r="J585" i="2"/>
  <c r="I585" i="2"/>
  <c r="H585" i="2"/>
  <c r="G585" i="2"/>
  <c r="F585" i="2"/>
  <c r="C585" i="2"/>
  <c r="B585" i="2"/>
  <c r="A585" i="2"/>
  <c r="O584" i="2"/>
  <c r="N584" i="2"/>
  <c r="M584" i="2"/>
  <c r="L584" i="2"/>
  <c r="K584" i="2"/>
  <c r="J584" i="2"/>
  <c r="I584" i="2"/>
  <c r="H584" i="2"/>
  <c r="G584" i="2"/>
  <c r="F584" i="2"/>
  <c r="C584" i="2"/>
  <c r="B584" i="2"/>
  <c r="A584" i="2"/>
  <c r="O583" i="2"/>
  <c r="N583" i="2"/>
  <c r="M583" i="2"/>
  <c r="L583" i="2"/>
  <c r="K583" i="2"/>
  <c r="J583" i="2"/>
  <c r="I583" i="2"/>
  <c r="H583" i="2"/>
  <c r="G583" i="2"/>
  <c r="F583" i="2"/>
  <c r="C583" i="2"/>
  <c r="B583" i="2"/>
  <c r="A583" i="2"/>
  <c r="O582" i="2"/>
  <c r="N582" i="2"/>
  <c r="M582" i="2"/>
  <c r="L582" i="2"/>
  <c r="K582" i="2"/>
  <c r="J582" i="2"/>
  <c r="I582" i="2"/>
  <c r="H582" i="2"/>
  <c r="G582" i="2"/>
  <c r="F582" i="2"/>
  <c r="C582" i="2"/>
  <c r="B582" i="2"/>
  <c r="A582" i="2"/>
  <c r="O581" i="2"/>
  <c r="N581" i="2"/>
  <c r="M581" i="2"/>
  <c r="L581" i="2"/>
  <c r="K581" i="2"/>
  <c r="J581" i="2"/>
  <c r="I581" i="2"/>
  <c r="H581" i="2"/>
  <c r="G581" i="2"/>
  <c r="F581" i="2"/>
  <c r="C581" i="2"/>
  <c r="B581" i="2"/>
  <c r="A581" i="2"/>
  <c r="O580" i="2"/>
  <c r="N580" i="2"/>
  <c r="M580" i="2"/>
  <c r="L580" i="2"/>
  <c r="K580" i="2"/>
  <c r="J580" i="2"/>
  <c r="I580" i="2"/>
  <c r="H580" i="2"/>
  <c r="G580" i="2"/>
  <c r="F580" i="2"/>
  <c r="C580" i="2"/>
  <c r="B580" i="2"/>
  <c r="A580" i="2"/>
  <c r="O579" i="2"/>
  <c r="N579" i="2"/>
  <c r="M579" i="2"/>
  <c r="L579" i="2"/>
  <c r="K579" i="2"/>
  <c r="J579" i="2"/>
  <c r="I579" i="2"/>
  <c r="H579" i="2"/>
  <c r="G579" i="2"/>
  <c r="F579" i="2"/>
  <c r="C579" i="2"/>
  <c r="B579" i="2"/>
  <c r="A579" i="2"/>
  <c r="O578" i="2"/>
  <c r="N578" i="2"/>
  <c r="M578" i="2"/>
  <c r="L578" i="2"/>
  <c r="K578" i="2"/>
  <c r="J578" i="2"/>
  <c r="I578" i="2"/>
  <c r="H578" i="2"/>
  <c r="G578" i="2"/>
  <c r="F578" i="2"/>
  <c r="C578" i="2"/>
  <c r="B578" i="2"/>
  <c r="A578" i="2"/>
  <c r="O577" i="2"/>
  <c r="N577" i="2"/>
  <c r="M577" i="2"/>
  <c r="L577" i="2"/>
  <c r="K577" i="2"/>
  <c r="J577" i="2"/>
  <c r="I577" i="2"/>
  <c r="H577" i="2"/>
  <c r="G577" i="2"/>
  <c r="F577" i="2"/>
  <c r="C577" i="2"/>
  <c r="B577" i="2"/>
  <c r="A577" i="2"/>
  <c r="O576" i="2"/>
  <c r="N576" i="2"/>
  <c r="M576" i="2"/>
  <c r="L576" i="2"/>
  <c r="K576" i="2"/>
  <c r="J576" i="2"/>
  <c r="I576" i="2"/>
  <c r="H576" i="2"/>
  <c r="G576" i="2"/>
  <c r="F576" i="2"/>
  <c r="C576" i="2"/>
  <c r="B576" i="2"/>
  <c r="A576" i="2"/>
  <c r="O575" i="2"/>
  <c r="N575" i="2"/>
  <c r="M575" i="2"/>
  <c r="L575" i="2"/>
  <c r="K575" i="2"/>
  <c r="J575" i="2"/>
  <c r="I575" i="2"/>
  <c r="H575" i="2"/>
  <c r="G575" i="2"/>
  <c r="F575" i="2"/>
  <c r="C575" i="2"/>
  <c r="B575" i="2"/>
  <c r="A575" i="2"/>
  <c r="O574" i="2"/>
  <c r="N574" i="2"/>
  <c r="M574" i="2"/>
  <c r="L574" i="2"/>
  <c r="K574" i="2"/>
  <c r="J574" i="2"/>
  <c r="I574" i="2"/>
  <c r="H574" i="2"/>
  <c r="G574" i="2"/>
  <c r="F574" i="2"/>
  <c r="C574" i="2"/>
  <c r="B574" i="2"/>
  <c r="A574" i="2"/>
  <c r="O573" i="2"/>
  <c r="N573" i="2"/>
  <c r="M573" i="2"/>
  <c r="L573" i="2"/>
  <c r="K573" i="2"/>
  <c r="J573" i="2"/>
  <c r="I573" i="2"/>
  <c r="H573" i="2"/>
  <c r="G573" i="2"/>
  <c r="F573" i="2"/>
  <c r="C573" i="2"/>
  <c r="B573" i="2"/>
  <c r="A573" i="2"/>
  <c r="O572" i="2"/>
  <c r="N572" i="2"/>
  <c r="M572" i="2"/>
  <c r="L572" i="2"/>
  <c r="K572" i="2"/>
  <c r="J572" i="2"/>
  <c r="I572" i="2"/>
  <c r="H572" i="2"/>
  <c r="G572" i="2"/>
  <c r="F572" i="2"/>
  <c r="C572" i="2"/>
  <c r="B572" i="2"/>
  <c r="A572" i="2"/>
  <c r="O571" i="2"/>
  <c r="N571" i="2"/>
  <c r="M571" i="2"/>
  <c r="L571" i="2"/>
  <c r="K571" i="2"/>
  <c r="J571" i="2"/>
  <c r="I571" i="2"/>
  <c r="H571" i="2"/>
  <c r="G571" i="2"/>
  <c r="F571" i="2"/>
  <c r="C571" i="2"/>
  <c r="B571" i="2"/>
  <c r="A571" i="2"/>
  <c r="O570" i="2"/>
  <c r="N570" i="2"/>
  <c r="M570" i="2"/>
  <c r="L570" i="2"/>
  <c r="K570" i="2"/>
  <c r="J570" i="2"/>
  <c r="I570" i="2"/>
  <c r="H570" i="2"/>
  <c r="G570" i="2"/>
  <c r="F570" i="2"/>
  <c r="C570" i="2"/>
  <c r="B570" i="2"/>
  <c r="A570" i="2"/>
  <c r="O569" i="2"/>
  <c r="N569" i="2"/>
  <c r="M569" i="2"/>
  <c r="L569" i="2"/>
  <c r="K569" i="2"/>
  <c r="J569" i="2"/>
  <c r="I569" i="2"/>
  <c r="H569" i="2"/>
  <c r="G569" i="2"/>
  <c r="F569" i="2"/>
  <c r="C569" i="2"/>
  <c r="B569" i="2"/>
  <c r="A569" i="2"/>
  <c r="O568" i="2"/>
  <c r="N568" i="2"/>
  <c r="M568" i="2"/>
  <c r="L568" i="2"/>
  <c r="K568" i="2"/>
  <c r="J568" i="2"/>
  <c r="I568" i="2"/>
  <c r="H568" i="2"/>
  <c r="G568" i="2"/>
  <c r="F568" i="2"/>
  <c r="C568" i="2"/>
  <c r="B568" i="2"/>
  <c r="A568" i="2"/>
  <c r="O567" i="2"/>
  <c r="N567" i="2"/>
  <c r="M567" i="2"/>
  <c r="L567" i="2"/>
  <c r="K567" i="2"/>
  <c r="J567" i="2"/>
  <c r="I567" i="2"/>
  <c r="H567" i="2"/>
  <c r="G567" i="2"/>
  <c r="F567" i="2"/>
  <c r="C567" i="2"/>
  <c r="B567" i="2"/>
  <c r="A567" i="2"/>
  <c r="O566" i="2"/>
  <c r="N566" i="2"/>
  <c r="M566" i="2"/>
  <c r="L566" i="2"/>
  <c r="K566" i="2"/>
  <c r="J566" i="2"/>
  <c r="I566" i="2"/>
  <c r="H566" i="2"/>
  <c r="G566" i="2"/>
  <c r="F566" i="2"/>
  <c r="C566" i="2"/>
  <c r="B566" i="2"/>
  <c r="A566" i="2"/>
  <c r="O565" i="2"/>
  <c r="N565" i="2"/>
  <c r="M565" i="2"/>
  <c r="L565" i="2"/>
  <c r="K565" i="2"/>
  <c r="J565" i="2"/>
  <c r="I565" i="2"/>
  <c r="H565" i="2"/>
  <c r="G565" i="2"/>
  <c r="F565" i="2"/>
  <c r="C565" i="2"/>
  <c r="B565" i="2"/>
  <c r="A565" i="2"/>
  <c r="O564" i="2"/>
  <c r="N564" i="2"/>
  <c r="M564" i="2"/>
  <c r="L564" i="2"/>
  <c r="K564" i="2"/>
  <c r="J564" i="2"/>
  <c r="I564" i="2"/>
  <c r="H564" i="2"/>
  <c r="G564" i="2"/>
  <c r="F564" i="2"/>
  <c r="C564" i="2"/>
  <c r="B564" i="2"/>
  <c r="A564" i="2"/>
  <c r="O563" i="2"/>
  <c r="N563" i="2"/>
  <c r="M563" i="2"/>
  <c r="L563" i="2"/>
  <c r="K563" i="2"/>
  <c r="J563" i="2"/>
  <c r="I563" i="2"/>
  <c r="H563" i="2"/>
  <c r="G563" i="2"/>
  <c r="F563" i="2"/>
  <c r="C563" i="2"/>
  <c r="B563" i="2"/>
  <c r="A563" i="2"/>
  <c r="O562" i="2"/>
  <c r="N562" i="2"/>
  <c r="M562" i="2"/>
  <c r="L562" i="2"/>
  <c r="K562" i="2"/>
  <c r="J562" i="2"/>
  <c r="I562" i="2"/>
  <c r="H562" i="2"/>
  <c r="G562" i="2"/>
  <c r="F562" i="2"/>
  <c r="C562" i="2"/>
  <c r="B562" i="2"/>
  <c r="A562" i="2"/>
  <c r="O561" i="2"/>
  <c r="N561" i="2"/>
  <c r="M561" i="2"/>
  <c r="L561" i="2"/>
  <c r="K561" i="2"/>
  <c r="J561" i="2"/>
  <c r="I561" i="2"/>
  <c r="H561" i="2"/>
  <c r="G561" i="2"/>
  <c r="F561" i="2"/>
  <c r="C561" i="2"/>
  <c r="B561" i="2"/>
  <c r="A561" i="2"/>
  <c r="O560" i="2"/>
  <c r="N560" i="2"/>
  <c r="M560" i="2"/>
  <c r="L560" i="2"/>
  <c r="K560" i="2"/>
  <c r="J560" i="2"/>
  <c r="I560" i="2"/>
  <c r="H560" i="2"/>
  <c r="G560" i="2"/>
  <c r="F560" i="2"/>
  <c r="C560" i="2"/>
  <c r="B560" i="2"/>
  <c r="A560" i="2"/>
  <c r="O559" i="2"/>
  <c r="N559" i="2"/>
  <c r="M559" i="2"/>
  <c r="L559" i="2"/>
  <c r="K559" i="2"/>
  <c r="J559" i="2"/>
  <c r="I559" i="2"/>
  <c r="H559" i="2"/>
  <c r="G559" i="2"/>
  <c r="F559" i="2"/>
  <c r="C559" i="2"/>
  <c r="B559" i="2"/>
  <c r="A559" i="2"/>
  <c r="O558" i="2"/>
  <c r="N558" i="2"/>
  <c r="M558" i="2"/>
  <c r="L558" i="2"/>
  <c r="K558" i="2"/>
  <c r="J558" i="2"/>
  <c r="I558" i="2"/>
  <c r="H558" i="2"/>
  <c r="G558" i="2"/>
  <c r="F558" i="2"/>
  <c r="C558" i="2"/>
  <c r="B558" i="2"/>
  <c r="A558" i="2"/>
  <c r="O557" i="2"/>
  <c r="N557" i="2"/>
  <c r="M557" i="2"/>
  <c r="L557" i="2"/>
  <c r="K557" i="2"/>
  <c r="J557" i="2"/>
  <c r="I557" i="2"/>
  <c r="H557" i="2"/>
  <c r="G557" i="2"/>
  <c r="F557" i="2"/>
  <c r="C557" i="2"/>
  <c r="B557" i="2"/>
  <c r="A557" i="2"/>
  <c r="O556" i="2"/>
  <c r="N556" i="2"/>
  <c r="M556" i="2"/>
  <c r="L556" i="2"/>
  <c r="K556" i="2"/>
  <c r="J556" i="2"/>
  <c r="I556" i="2"/>
  <c r="H556" i="2"/>
  <c r="G556" i="2"/>
  <c r="F556" i="2"/>
  <c r="C556" i="2"/>
  <c r="B556" i="2"/>
  <c r="A556" i="2"/>
  <c r="O555" i="2"/>
  <c r="N555" i="2"/>
  <c r="M555" i="2"/>
  <c r="L555" i="2"/>
  <c r="K555" i="2"/>
  <c r="J555" i="2"/>
  <c r="I555" i="2"/>
  <c r="H555" i="2"/>
  <c r="G555" i="2"/>
  <c r="F555" i="2"/>
  <c r="C555" i="2"/>
  <c r="B555" i="2"/>
  <c r="A555" i="2"/>
  <c r="O554" i="2"/>
  <c r="N554" i="2"/>
  <c r="M554" i="2"/>
  <c r="L554" i="2"/>
  <c r="K554" i="2"/>
  <c r="J554" i="2"/>
  <c r="I554" i="2"/>
  <c r="H554" i="2"/>
  <c r="G554" i="2"/>
  <c r="F554" i="2"/>
  <c r="C554" i="2"/>
  <c r="B554" i="2"/>
  <c r="A554" i="2"/>
  <c r="O553" i="2"/>
  <c r="N553" i="2"/>
  <c r="M553" i="2"/>
  <c r="L553" i="2"/>
  <c r="K553" i="2"/>
  <c r="J553" i="2"/>
  <c r="I553" i="2"/>
  <c r="H553" i="2"/>
  <c r="G553" i="2"/>
  <c r="F553" i="2"/>
  <c r="C553" i="2"/>
  <c r="B553" i="2"/>
  <c r="A553" i="2"/>
  <c r="O552" i="2"/>
  <c r="N552" i="2"/>
  <c r="M552" i="2"/>
  <c r="L552" i="2"/>
  <c r="K552" i="2"/>
  <c r="J552" i="2"/>
  <c r="I552" i="2"/>
  <c r="H552" i="2"/>
  <c r="G552" i="2"/>
  <c r="F552" i="2"/>
  <c r="C552" i="2"/>
  <c r="B552" i="2"/>
  <c r="A552" i="2"/>
  <c r="O551" i="2"/>
  <c r="N551" i="2"/>
  <c r="M551" i="2"/>
  <c r="L551" i="2"/>
  <c r="K551" i="2"/>
  <c r="J551" i="2"/>
  <c r="I551" i="2"/>
  <c r="H551" i="2"/>
  <c r="G551" i="2"/>
  <c r="F551" i="2"/>
  <c r="C551" i="2"/>
  <c r="B551" i="2"/>
  <c r="A551" i="2"/>
  <c r="O550" i="2"/>
  <c r="N550" i="2"/>
  <c r="M550" i="2"/>
  <c r="L550" i="2"/>
  <c r="K550" i="2"/>
  <c r="J550" i="2"/>
  <c r="I550" i="2"/>
  <c r="H550" i="2"/>
  <c r="G550" i="2"/>
  <c r="F550" i="2"/>
  <c r="C550" i="2"/>
  <c r="B550" i="2"/>
  <c r="A550" i="2"/>
  <c r="O549" i="2"/>
  <c r="N549" i="2"/>
  <c r="M549" i="2"/>
  <c r="L549" i="2"/>
  <c r="K549" i="2"/>
  <c r="J549" i="2"/>
  <c r="I549" i="2"/>
  <c r="H549" i="2"/>
  <c r="G549" i="2"/>
  <c r="F549" i="2"/>
  <c r="C549" i="2"/>
  <c r="B549" i="2"/>
  <c r="A549" i="2"/>
  <c r="O548" i="2"/>
  <c r="N548" i="2"/>
  <c r="M548" i="2"/>
  <c r="L548" i="2"/>
  <c r="K548" i="2"/>
  <c r="J548" i="2"/>
  <c r="I548" i="2"/>
  <c r="H548" i="2"/>
  <c r="G548" i="2"/>
  <c r="F548" i="2"/>
  <c r="C548" i="2"/>
  <c r="B548" i="2"/>
  <c r="A548" i="2"/>
  <c r="O547" i="2"/>
  <c r="N547" i="2"/>
  <c r="M547" i="2"/>
  <c r="L547" i="2"/>
  <c r="K547" i="2"/>
  <c r="J547" i="2"/>
  <c r="I547" i="2"/>
  <c r="H547" i="2"/>
  <c r="G547" i="2"/>
  <c r="F547" i="2"/>
  <c r="C547" i="2"/>
  <c r="B547" i="2"/>
  <c r="A547" i="2"/>
  <c r="O546" i="2"/>
  <c r="N546" i="2"/>
  <c r="M546" i="2"/>
  <c r="L546" i="2"/>
  <c r="K546" i="2"/>
  <c r="J546" i="2"/>
  <c r="I546" i="2"/>
  <c r="H546" i="2"/>
  <c r="G546" i="2"/>
  <c r="F546" i="2"/>
  <c r="C546" i="2"/>
  <c r="B546" i="2"/>
  <c r="A546" i="2"/>
  <c r="O545" i="2"/>
  <c r="N545" i="2"/>
  <c r="M545" i="2"/>
  <c r="L545" i="2"/>
  <c r="K545" i="2"/>
  <c r="J545" i="2"/>
  <c r="I545" i="2"/>
  <c r="H545" i="2"/>
  <c r="G545" i="2"/>
  <c r="F545" i="2"/>
  <c r="C545" i="2"/>
  <c r="B545" i="2"/>
  <c r="A545" i="2"/>
  <c r="O544" i="2"/>
  <c r="N544" i="2"/>
  <c r="M544" i="2"/>
  <c r="L544" i="2"/>
  <c r="K544" i="2"/>
  <c r="J544" i="2"/>
  <c r="I544" i="2"/>
  <c r="H544" i="2"/>
  <c r="G544" i="2"/>
  <c r="F544" i="2"/>
  <c r="C544" i="2"/>
  <c r="B544" i="2"/>
  <c r="A544" i="2"/>
  <c r="O543" i="2"/>
  <c r="N543" i="2"/>
  <c r="M543" i="2"/>
  <c r="L543" i="2"/>
  <c r="K543" i="2"/>
  <c r="J543" i="2"/>
  <c r="I543" i="2"/>
  <c r="H543" i="2"/>
  <c r="G543" i="2"/>
  <c r="F543" i="2"/>
  <c r="C543" i="2"/>
  <c r="B543" i="2"/>
  <c r="A543" i="2"/>
  <c r="O542" i="2"/>
  <c r="N542" i="2"/>
  <c r="M542" i="2"/>
  <c r="L542" i="2"/>
  <c r="K542" i="2"/>
  <c r="J542" i="2"/>
  <c r="I542" i="2"/>
  <c r="H542" i="2"/>
  <c r="G542" i="2"/>
  <c r="F542" i="2"/>
  <c r="C542" i="2"/>
  <c r="B542" i="2"/>
  <c r="A542" i="2"/>
  <c r="O541" i="2"/>
  <c r="N541" i="2"/>
  <c r="M541" i="2"/>
  <c r="L541" i="2"/>
  <c r="K541" i="2"/>
  <c r="J541" i="2"/>
  <c r="I541" i="2"/>
  <c r="H541" i="2"/>
  <c r="G541" i="2"/>
  <c r="F541" i="2"/>
  <c r="C541" i="2"/>
  <c r="B541" i="2"/>
  <c r="A541" i="2"/>
  <c r="O540" i="2"/>
  <c r="N540" i="2"/>
  <c r="M540" i="2"/>
  <c r="L540" i="2"/>
  <c r="K540" i="2"/>
  <c r="J540" i="2"/>
  <c r="I540" i="2"/>
  <c r="H540" i="2"/>
  <c r="G540" i="2"/>
  <c r="F540" i="2"/>
  <c r="C540" i="2"/>
  <c r="B540" i="2"/>
  <c r="A540" i="2"/>
  <c r="O539" i="2"/>
  <c r="N539" i="2"/>
  <c r="M539" i="2"/>
  <c r="L539" i="2"/>
  <c r="K539" i="2"/>
  <c r="J539" i="2"/>
  <c r="I539" i="2"/>
  <c r="H539" i="2"/>
  <c r="G539" i="2"/>
  <c r="F539" i="2"/>
  <c r="C539" i="2"/>
  <c r="B539" i="2"/>
  <c r="A539" i="2"/>
  <c r="O538" i="2"/>
  <c r="N538" i="2"/>
  <c r="M538" i="2"/>
  <c r="L538" i="2"/>
  <c r="K538" i="2"/>
  <c r="J538" i="2"/>
  <c r="I538" i="2"/>
  <c r="H538" i="2"/>
  <c r="G538" i="2"/>
  <c r="F538" i="2"/>
  <c r="C538" i="2"/>
  <c r="B538" i="2"/>
  <c r="A538" i="2"/>
  <c r="O537" i="2"/>
  <c r="N537" i="2"/>
  <c r="M537" i="2"/>
  <c r="L537" i="2"/>
  <c r="K537" i="2"/>
  <c r="J537" i="2"/>
  <c r="I537" i="2"/>
  <c r="H537" i="2"/>
  <c r="G537" i="2"/>
  <c r="F537" i="2"/>
  <c r="C537" i="2"/>
  <c r="B537" i="2"/>
  <c r="A537" i="2"/>
  <c r="O536" i="2"/>
  <c r="N536" i="2"/>
  <c r="M536" i="2"/>
  <c r="L536" i="2"/>
  <c r="K536" i="2"/>
  <c r="J536" i="2"/>
  <c r="I536" i="2"/>
  <c r="H536" i="2"/>
  <c r="G536" i="2"/>
  <c r="F536" i="2"/>
  <c r="C536" i="2"/>
  <c r="B536" i="2"/>
  <c r="A536" i="2"/>
  <c r="O535" i="2"/>
  <c r="N535" i="2"/>
  <c r="M535" i="2"/>
  <c r="L535" i="2"/>
  <c r="K535" i="2"/>
  <c r="J535" i="2"/>
  <c r="I535" i="2"/>
  <c r="H535" i="2"/>
  <c r="G535" i="2"/>
  <c r="F535" i="2"/>
  <c r="C535" i="2"/>
  <c r="B535" i="2"/>
  <c r="A535" i="2"/>
  <c r="O534" i="2"/>
  <c r="N534" i="2"/>
  <c r="M534" i="2"/>
  <c r="L534" i="2"/>
  <c r="K534" i="2"/>
  <c r="J534" i="2"/>
  <c r="I534" i="2"/>
  <c r="H534" i="2"/>
  <c r="G534" i="2"/>
  <c r="F534" i="2"/>
  <c r="C534" i="2"/>
  <c r="B534" i="2"/>
  <c r="A534" i="2"/>
  <c r="O533" i="2"/>
  <c r="N533" i="2"/>
  <c r="M533" i="2"/>
  <c r="L533" i="2"/>
  <c r="K533" i="2"/>
  <c r="J533" i="2"/>
  <c r="I533" i="2"/>
  <c r="H533" i="2"/>
  <c r="G533" i="2"/>
  <c r="F533" i="2"/>
  <c r="C533" i="2"/>
  <c r="B533" i="2"/>
  <c r="A533" i="2"/>
  <c r="O532" i="2"/>
  <c r="N532" i="2"/>
  <c r="M532" i="2"/>
  <c r="L532" i="2"/>
  <c r="K532" i="2"/>
  <c r="J532" i="2"/>
  <c r="I532" i="2"/>
  <c r="H532" i="2"/>
  <c r="G532" i="2"/>
  <c r="F532" i="2"/>
  <c r="C532" i="2"/>
  <c r="B532" i="2"/>
  <c r="A532" i="2"/>
  <c r="O531" i="2"/>
  <c r="N531" i="2"/>
  <c r="M531" i="2"/>
  <c r="L531" i="2"/>
  <c r="K531" i="2"/>
  <c r="J531" i="2"/>
  <c r="I531" i="2"/>
  <c r="H531" i="2"/>
  <c r="G531" i="2"/>
  <c r="F531" i="2"/>
  <c r="C531" i="2"/>
  <c r="B531" i="2"/>
  <c r="A531" i="2"/>
  <c r="O530" i="2"/>
  <c r="N530" i="2"/>
  <c r="M530" i="2"/>
  <c r="L530" i="2"/>
  <c r="K530" i="2"/>
  <c r="J530" i="2"/>
  <c r="I530" i="2"/>
  <c r="H530" i="2"/>
  <c r="G530" i="2"/>
  <c r="F530" i="2"/>
  <c r="C530" i="2"/>
  <c r="B530" i="2"/>
  <c r="A530" i="2"/>
  <c r="O529" i="2"/>
  <c r="N529" i="2"/>
  <c r="M529" i="2"/>
  <c r="L529" i="2"/>
  <c r="K529" i="2"/>
  <c r="J529" i="2"/>
  <c r="I529" i="2"/>
  <c r="H529" i="2"/>
  <c r="G529" i="2"/>
  <c r="F529" i="2"/>
  <c r="C529" i="2"/>
  <c r="B529" i="2"/>
  <c r="A529" i="2"/>
  <c r="O528" i="2"/>
  <c r="N528" i="2"/>
  <c r="M528" i="2"/>
  <c r="L528" i="2"/>
  <c r="K528" i="2"/>
  <c r="J528" i="2"/>
  <c r="I528" i="2"/>
  <c r="H528" i="2"/>
  <c r="G528" i="2"/>
  <c r="F528" i="2"/>
  <c r="C528" i="2"/>
  <c r="B528" i="2"/>
  <c r="A528" i="2"/>
  <c r="O527" i="2"/>
  <c r="N527" i="2"/>
  <c r="M527" i="2"/>
  <c r="L527" i="2"/>
  <c r="K527" i="2"/>
  <c r="J527" i="2"/>
  <c r="I527" i="2"/>
  <c r="H527" i="2"/>
  <c r="G527" i="2"/>
  <c r="F527" i="2"/>
  <c r="C527" i="2"/>
  <c r="B527" i="2"/>
  <c r="A527" i="2"/>
  <c r="O526" i="2"/>
  <c r="N526" i="2"/>
  <c r="M526" i="2"/>
  <c r="L526" i="2"/>
  <c r="K526" i="2"/>
  <c r="J526" i="2"/>
  <c r="I526" i="2"/>
  <c r="H526" i="2"/>
  <c r="G526" i="2"/>
  <c r="F526" i="2"/>
  <c r="C526" i="2"/>
  <c r="B526" i="2"/>
  <c r="A526" i="2"/>
  <c r="O525" i="2"/>
  <c r="N525" i="2"/>
  <c r="M525" i="2"/>
  <c r="L525" i="2"/>
  <c r="K525" i="2"/>
  <c r="J525" i="2"/>
  <c r="I525" i="2"/>
  <c r="H525" i="2"/>
  <c r="G525" i="2"/>
  <c r="F525" i="2"/>
  <c r="C525" i="2"/>
  <c r="B525" i="2"/>
  <c r="A525" i="2"/>
  <c r="O524" i="2"/>
  <c r="N524" i="2"/>
  <c r="M524" i="2"/>
  <c r="L524" i="2"/>
  <c r="K524" i="2"/>
  <c r="J524" i="2"/>
  <c r="I524" i="2"/>
  <c r="H524" i="2"/>
  <c r="G524" i="2"/>
  <c r="F524" i="2"/>
  <c r="C524" i="2"/>
  <c r="B524" i="2"/>
  <c r="A524" i="2"/>
  <c r="O523" i="2"/>
  <c r="N523" i="2"/>
  <c r="M523" i="2"/>
  <c r="L523" i="2"/>
  <c r="K523" i="2"/>
  <c r="J523" i="2"/>
  <c r="I523" i="2"/>
  <c r="H523" i="2"/>
  <c r="G523" i="2"/>
  <c r="F523" i="2"/>
  <c r="C523" i="2"/>
  <c r="B523" i="2"/>
  <c r="A523" i="2"/>
  <c r="O522" i="2"/>
  <c r="N522" i="2"/>
  <c r="M522" i="2"/>
  <c r="L522" i="2"/>
  <c r="K522" i="2"/>
  <c r="J522" i="2"/>
  <c r="I522" i="2"/>
  <c r="H522" i="2"/>
  <c r="G522" i="2"/>
  <c r="F522" i="2"/>
  <c r="C522" i="2"/>
  <c r="B522" i="2"/>
  <c r="A522" i="2"/>
  <c r="O521" i="2"/>
  <c r="N521" i="2"/>
  <c r="M521" i="2"/>
  <c r="L521" i="2"/>
  <c r="K521" i="2"/>
  <c r="J521" i="2"/>
  <c r="I521" i="2"/>
  <c r="H521" i="2"/>
  <c r="G521" i="2"/>
  <c r="F521" i="2"/>
  <c r="C521" i="2"/>
  <c r="B521" i="2"/>
  <c r="A521" i="2"/>
  <c r="O520" i="2"/>
  <c r="N520" i="2"/>
  <c r="M520" i="2"/>
  <c r="L520" i="2"/>
  <c r="K520" i="2"/>
  <c r="J520" i="2"/>
  <c r="I520" i="2"/>
  <c r="H520" i="2"/>
  <c r="G520" i="2"/>
  <c r="F520" i="2"/>
  <c r="C520" i="2"/>
  <c r="B520" i="2"/>
  <c r="A520" i="2"/>
  <c r="O519" i="2"/>
  <c r="N519" i="2"/>
  <c r="M519" i="2"/>
  <c r="L519" i="2"/>
  <c r="K519" i="2"/>
  <c r="J519" i="2"/>
  <c r="I519" i="2"/>
  <c r="H519" i="2"/>
  <c r="G519" i="2"/>
  <c r="F519" i="2"/>
  <c r="C519" i="2"/>
  <c r="B519" i="2"/>
  <c r="A519" i="2"/>
  <c r="O518" i="2"/>
  <c r="N518" i="2"/>
  <c r="M518" i="2"/>
  <c r="L518" i="2"/>
  <c r="K518" i="2"/>
  <c r="J518" i="2"/>
  <c r="I518" i="2"/>
  <c r="H518" i="2"/>
  <c r="G518" i="2"/>
  <c r="F518" i="2"/>
  <c r="C518" i="2"/>
  <c r="B518" i="2"/>
  <c r="A518" i="2"/>
  <c r="O517" i="2"/>
  <c r="N517" i="2"/>
  <c r="M517" i="2"/>
  <c r="L517" i="2"/>
  <c r="K517" i="2"/>
  <c r="J517" i="2"/>
  <c r="I517" i="2"/>
  <c r="H517" i="2"/>
  <c r="G517" i="2"/>
  <c r="F517" i="2"/>
  <c r="C517" i="2"/>
  <c r="B517" i="2"/>
  <c r="A517" i="2"/>
  <c r="O516" i="2"/>
  <c r="N516" i="2"/>
  <c r="M516" i="2"/>
  <c r="L516" i="2"/>
  <c r="K516" i="2"/>
  <c r="J516" i="2"/>
  <c r="I516" i="2"/>
  <c r="H516" i="2"/>
  <c r="G516" i="2"/>
  <c r="F516" i="2"/>
  <c r="C516" i="2"/>
  <c r="B516" i="2"/>
  <c r="A516" i="2"/>
  <c r="O515" i="2"/>
  <c r="N515" i="2"/>
  <c r="M515" i="2"/>
  <c r="L515" i="2"/>
  <c r="K515" i="2"/>
  <c r="J515" i="2"/>
  <c r="I515" i="2"/>
  <c r="H515" i="2"/>
  <c r="G515" i="2"/>
  <c r="F515" i="2"/>
  <c r="C515" i="2"/>
  <c r="B515" i="2"/>
  <c r="A515" i="2"/>
  <c r="O514" i="2"/>
  <c r="N514" i="2"/>
  <c r="M514" i="2"/>
  <c r="L514" i="2"/>
  <c r="K514" i="2"/>
  <c r="J514" i="2"/>
  <c r="I514" i="2"/>
  <c r="H514" i="2"/>
  <c r="G514" i="2"/>
  <c r="F514" i="2"/>
  <c r="C514" i="2"/>
  <c r="B514" i="2"/>
  <c r="A514" i="2"/>
  <c r="O513" i="2"/>
  <c r="N513" i="2"/>
  <c r="M513" i="2"/>
  <c r="L513" i="2"/>
  <c r="K513" i="2"/>
  <c r="J513" i="2"/>
  <c r="I513" i="2"/>
  <c r="H513" i="2"/>
  <c r="G513" i="2"/>
  <c r="F513" i="2"/>
  <c r="C513" i="2"/>
  <c r="B513" i="2"/>
  <c r="A513" i="2"/>
  <c r="O512" i="2"/>
  <c r="N512" i="2"/>
  <c r="M512" i="2"/>
  <c r="L512" i="2"/>
  <c r="K512" i="2"/>
  <c r="J512" i="2"/>
  <c r="I512" i="2"/>
  <c r="H512" i="2"/>
  <c r="G512" i="2"/>
  <c r="F512" i="2"/>
  <c r="C512" i="2"/>
  <c r="B512" i="2"/>
  <c r="A512" i="2"/>
  <c r="O511" i="2"/>
  <c r="N511" i="2"/>
  <c r="M511" i="2"/>
  <c r="L511" i="2"/>
  <c r="K511" i="2"/>
  <c r="J511" i="2"/>
  <c r="I511" i="2"/>
  <c r="H511" i="2"/>
  <c r="G511" i="2"/>
  <c r="F511" i="2"/>
  <c r="C511" i="2"/>
  <c r="B511" i="2"/>
  <c r="A511" i="2"/>
  <c r="O510" i="2"/>
  <c r="N510" i="2"/>
  <c r="M510" i="2"/>
  <c r="L510" i="2"/>
  <c r="K510" i="2"/>
  <c r="J510" i="2"/>
  <c r="I510" i="2"/>
  <c r="H510" i="2"/>
  <c r="G510" i="2"/>
  <c r="F510" i="2"/>
  <c r="C510" i="2"/>
  <c r="B510" i="2"/>
  <c r="A510" i="2"/>
  <c r="O509" i="2"/>
  <c r="N509" i="2"/>
  <c r="M509" i="2"/>
  <c r="L509" i="2"/>
  <c r="K509" i="2"/>
  <c r="J509" i="2"/>
  <c r="I509" i="2"/>
  <c r="H509" i="2"/>
  <c r="G509" i="2"/>
  <c r="F509" i="2"/>
  <c r="C509" i="2"/>
  <c r="B509" i="2"/>
  <c r="A509" i="2"/>
  <c r="O508" i="2"/>
  <c r="N508" i="2"/>
  <c r="M508" i="2"/>
  <c r="L508" i="2"/>
  <c r="K508" i="2"/>
  <c r="J508" i="2"/>
  <c r="I508" i="2"/>
  <c r="H508" i="2"/>
  <c r="G508" i="2"/>
  <c r="F508" i="2"/>
  <c r="C508" i="2"/>
  <c r="B508" i="2"/>
  <c r="A508" i="2"/>
  <c r="O507" i="2"/>
  <c r="N507" i="2"/>
  <c r="M507" i="2"/>
  <c r="L507" i="2"/>
  <c r="K507" i="2"/>
  <c r="J507" i="2"/>
  <c r="I507" i="2"/>
  <c r="H507" i="2"/>
  <c r="G507" i="2"/>
  <c r="F507" i="2"/>
  <c r="C507" i="2"/>
  <c r="B507" i="2"/>
  <c r="A507" i="2"/>
  <c r="O506" i="2"/>
  <c r="N506" i="2"/>
  <c r="M506" i="2"/>
  <c r="L506" i="2"/>
  <c r="K506" i="2"/>
  <c r="J506" i="2"/>
  <c r="I506" i="2"/>
  <c r="H506" i="2"/>
  <c r="G506" i="2"/>
  <c r="F506" i="2"/>
  <c r="C506" i="2"/>
  <c r="B506" i="2"/>
  <c r="A506" i="2"/>
  <c r="O505" i="2"/>
  <c r="N505" i="2"/>
  <c r="M505" i="2"/>
  <c r="L505" i="2"/>
  <c r="K505" i="2"/>
  <c r="J505" i="2"/>
  <c r="I505" i="2"/>
  <c r="H505" i="2"/>
  <c r="G505" i="2"/>
  <c r="F505" i="2"/>
  <c r="C505" i="2"/>
  <c r="B505" i="2"/>
  <c r="A505" i="2"/>
  <c r="O504" i="2"/>
  <c r="N504" i="2"/>
  <c r="M504" i="2"/>
  <c r="L504" i="2"/>
  <c r="K504" i="2"/>
  <c r="J504" i="2"/>
  <c r="I504" i="2"/>
  <c r="H504" i="2"/>
  <c r="G504" i="2"/>
  <c r="F504" i="2"/>
  <c r="C504" i="2"/>
  <c r="B504" i="2"/>
  <c r="A504" i="2"/>
  <c r="O503" i="2"/>
  <c r="N503" i="2"/>
  <c r="M503" i="2"/>
  <c r="L503" i="2"/>
  <c r="K503" i="2"/>
  <c r="J503" i="2"/>
  <c r="I503" i="2"/>
  <c r="H503" i="2"/>
  <c r="G503" i="2"/>
  <c r="F503" i="2"/>
  <c r="C503" i="2"/>
  <c r="B503" i="2"/>
  <c r="A503" i="2"/>
  <c r="O502" i="2"/>
  <c r="N502" i="2"/>
  <c r="M502" i="2"/>
  <c r="L502" i="2"/>
  <c r="K502" i="2"/>
  <c r="J502" i="2"/>
  <c r="I502" i="2"/>
  <c r="H502" i="2"/>
  <c r="G502" i="2"/>
  <c r="F502" i="2"/>
  <c r="C502" i="2"/>
  <c r="B502" i="2"/>
  <c r="A502" i="2"/>
  <c r="O501" i="2"/>
  <c r="N501" i="2"/>
  <c r="M501" i="2"/>
  <c r="L501" i="2"/>
  <c r="K501" i="2"/>
  <c r="J501" i="2"/>
  <c r="I501" i="2"/>
  <c r="H501" i="2"/>
  <c r="G501" i="2"/>
  <c r="F501" i="2"/>
  <c r="C501" i="2"/>
  <c r="B501" i="2"/>
  <c r="A501" i="2"/>
  <c r="O500" i="2"/>
  <c r="N500" i="2"/>
  <c r="M500" i="2"/>
  <c r="L500" i="2"/>
  <c r="K500" i="2"/>
  <c r="J500" i="2"/>
  <c r="I500" i="2"/>
  <c r="H500" i="2"/>
  <c r="G500" i="2"/>
  <c r="F500" i="2"/>
  <c r="C500" i="2"/>
  <c r="B500" i="2"/>
  <c r="A500" i="2"/>
  <c r="O499" i="2"/>
  <c r="N499" i="2"/>
  <c r="M499" i="2"/>
  <c r="L499" i="2"/>
  <c r="K499" i="2"/>
  <c r="J499" i="2"/>
  <c r="I499" i="2"/>
  <c r="H499" i="2"/>
  <c r="G499" i="2"/>
  <c r="F499" i="2"/>
  <c r="C499" i="2"/>
  <c r="B499" i="2"/>
  <c r="A499" i="2"/>
  <c r="O498" i="2"/>
  <c r="N498" i="2"/>
  <c r="M498" i="2"/>
  <c r="L498" i="2"/>
  <c r="K498" i="2"/>
  <c r="J498" i="2"/>
  <c r="I498" i="2"/>
  <c r="H498" i="2"/>
  <c r="G498" i="2"/>
  <c r="F498" i="2"/>
  <c r="C498" i="2"/>
  <c r="B498" i="2"/>
  <c r="A498" i="2"/>
  <c r="O497" i="2"/>
  <c r="N497" i="2"/>
  <c r="M497" i="2"/>
  <c r="L497" i="2"/>
  <c r="K497" i="2"/>
  <c r="J497" i="2"/>
  <c r="I497" i="2"/>
  <c r="H497" i="2"/>
  <c r="G497" i="2"/>
  <c r="F497" i="2"/>
  <c r="C497" i="2"/>
  <c r="B497" i="2"/>
  <c r="A497" i="2"/>
  <c r="O496" i="2"/>
  <c r="N496" i="2"/>
  <c r="M496" i="2"/>
  <c r="L496" i="2"/>
  <c r="K496" i="2"/>
  <c r="J496" i="2"/>
  <c r="I496" i="2"/>
  <c r="H496" i="2"/>
  <c r="G496" i="2"/>
  <c r="F496" i="2"/>
  <c r="C496" i="2"/>
  <c r="B496" i="2"/>
  <c r="A496" i="2"/>
  <c r="O495" i="2"/>
  <c r="N495" i="2"/>
  <c r="M495" i="2"/>
  <c r="L495" i="2"/>
  <c r="K495" i="2"/>
  <c r="J495" i="2"/>
  <c r="I495" i="2"/>
  <c r="H495" i="2"/>
  <c r="G495" i="2"/>
  <c r="F495" i="2"/>
  <c r="C495" i="2"/>
  <c r="B495" i="2"/>
  <c r="A495" i="2"/>
  <c r="O494" i="2"/>
  <c r="N494" i="2"/>
  <c r="M494" i="2"/>
  <c r="L494" i="2"/>
  <c r="K494" i="2"/>
  <c r="J494" i="2"/>
  <c r="I494" i="2"/>
  <c r="H494" i="2"/>
  <c r="G494" i="2"/>
  <c r="F494" i="2"/>
  <c r="C494" i="2"/>
  <c r="B494" i="2"/>
  <c r="A494" i="2"/>
  <c r="O493" i="2"/>
  <c r="N493" i="2"/>
  <c r="M493" i="2"/>
  <c r="L493" i="2"/>
  <c r="K493" i="2"/>
  <c r="J493" i="2"/>
  <c r="I493" i="2"/>
  <c r="H493" i="2"/>
  <c r="G493" i="2"/>
  <c r="F493" i="2"/>
  <c r="C493" i="2"/>
  <c r="B493" i="2"/>
  <c r="A493" i="2"/>
  <c r="O492" i="2"/>
  <c r="N492" i="2"/>
  <c r="M492" i="2"/>
  <c r="L492" i="2"/>
  <c r="K492" i="2"/>
  <c r="J492" i="2"/>
  <c r="I492" i="2"/>
  <c r="H492" i="2"/>
  <c r="G492" i="2"/>
  <c r="F492" i="2"/>
  <c r="C492" i="2"/>
  <c r="B492" i="2"/>
  <c r="A492" i="2"/>
  <c r="O491" i="2"/>
  <c r="N491" i="2"/>
  <c r="M491" i="2"/>
  <c r="L491" i="2"/>
  <c r="K491" i="2"/>
  <c r="J491" i="2"/>
  <c r="I491" i="2"/>
  <c r="H491" i="2"/>
  <c r="G491" i="2"/>
  <c r="F491" i="2"/>
  <c r="C491" i="2"/>
  <c r="B491" i="2"/>
  <c r="A491" i="2"/>
  <c r="O490" i="2"/>
  <c r="N490" i="2"/>
  <c r="M490" i="2"/>
  <c r="L490" i="2"/>
  <c r="K490" i="2"/>
  <c r="J490" i="2"/>
  <c r="I490" i="2"/>
  <c r="H490" i="2"/>
  <c r="G490" i="2"/>
  <c r="F490" i="2"/>
  <c r="C490" i="2"/>
  <c r="B490" i="2"/>
  <c r="A490" i="2"/>
  <c r="O489" i="2"/>
  <c r="N489" i="2"/>
  <c r="M489" i="2"/>
  <c r="L489" i="2"/>
  <c r="K489" i="2"/>
  <c r="J489" i="2"/>
  <c r="I489" i="2"/>
  <c r="H489" i="2"/>
  <c r="G489" i="2"/>
  <c r="F489" i="2"/>
  <c r="C489" i="2"/>
  <c r="B489" i="2"/>
  <c r="A489" i="2"/>
  <c r="O488" i="2"/>
  <c r="N488" i="2"/>
  <c r="M488" i="2"/>
  <c r="L488" i="2"/>
  <c r="K488" i="2"/>
  <c r="J488" i="2"/>
  <c r="I488" i="2"/>
  <c r="H488" i="2"/>
  <c r="G488" i="2"/>
  <c r="F488" i="2"/>
  <c r="C488" i="2"/>
  <c r="B488" i="2"/>
  <c r="A488" i="2"/>
  <c r="O487" i="2"/>
  <c r="N487" i="2"/>
  <c r="M487" i="2"/>
  <c r="L487" i="2"/>
  <c r="K487" i="2"/>
  <c r="J487" i="2"/>
  <c r="I487" i="2"/>
  <c r="H487" i="2"/>
  <c r="G487" i="2"/>
  <c r="F487" i="2"/>
  <c r="C487" i="2"/>
  <c r="B487" i="2"/>
  <c r="A487" i="2"/>
  <c r="O486" i="2"/>
  <c r="N486" i="2"/>
  <c r="M486" i="2"/>
  <c r="L486" i="2"/>
  <c r="K486" i="2"/>
  <c r="J486" i="2"/>
  <c r="I486" i="2"/>
  <c r="H486" i="2"/>
  <c r="G486" i="2"/>
  <c r="F486" i="2"/>
  <c r="C486" i="2"/>
  <c r="B486" i="2"/>
  <c r="A486" i="2"/>
  <c r="O485" i="2"/>
  <c r="N485" i="2"/>
  <c r="M485" i="2"/>
  <c r="L485" i="2"/>
  <c r="K485" i="2"/>
  <c r="J485" i="2"/>
  <c r="I485" i="2"/>
  <c r="H485" i="2"/>
  <c r="G485" i="2"/>
  <c r="F485" i="2"/>
  <c r="C485" i="2"/>
  <c r="B485" i="2"/>
  <c r="A485" i="2"/>
  <c r="O484" i="2"/>
  <c r="N484" i="2"/>
  <c r="M484" i="2"/>
  <c r="L484" i="2"/>
  <c r="K484" i="2"/>
  <c r="J484" i="2"/>
  <c r="I484" i="2"/>
  <c r="H484" i="2"/>
  <c r="G484" i="2"/>
  <c r="F484" i="2"/>
  <c r="C484" i="2"/>
  <c r="B484" i="2"/>
  <c r="A484" i="2"/>
  <c r="O483" i="2"/>
  <c r="N483" i="2"/>
  <c r="M483" i="2"/>
  <c r="L483" i="2"/>
  <c r="K483" i="2"/>
  <c r="J483" i="2"/>
  <c r="I483" i="2"/>
  <c r="H483" i="2"/>
  <c r="G483" i="2"/>
  <c r="F483" i="2"/>
  <c r="C483" i="2"/>
  <c r="B483" i="2"/>
  <c r="A483" i="2"/>
  <c r="O482" i="2"/>
  <c r="N482" i="2"/>
  <c r="M482" i="2"/>
  <c r="L482" i="2"/>
  <c r="K482" i="2"/>
  <c r="J482" i="2"/>
  <c r="I482" i="2"/>
  <c r="H482" i="2"/>
  <c r="G482" i="2"/>
  <c r="F482" i="2"/>
  <c r="C482" i="2"/>
  <c r="B482" i="2"/>
  <c r="A482" i="2"/>
  <c r="O481" i="2"/>
  <c r="N481" i="2"/>
  <c r="M481" i="2"/>
  <c r="L481" i="2"/>
  <c r="K481" i="2"/>
  <c r="J481" i="2"/>
  <c r="I481" i="2"/>
  <c r="H481" i="2"/>
  <c r="G481" i="2"/>
  <c r="F481" i="2"/>
  <c r="C481" i="2"/>
  <c r="B481" i="2"/>
  <c r="A481" i="2"/>
  <c r="O480" i="2"/>
  <c r="N480" i="2"/>
  <c r="M480" i="2"/>
  <c r="L480" i="2"/>
  <c r="K480" i="2"/>
  <c r="J480" i="2"/>
  <c r="I480" i="2"/>
  <c r="H480" i="2"/>
  <c r="G480" i="2"/>
  <c r="F480" i="2"/>
  <c r="C480" i="2"/>
  <c r="B480" i="2"/>
  <c r="A480" i="2"/>
  <c r="O479" i="2"/>
  <c r="N479" i="2"/>
  <c r="M479" i="2"/>
  <c r="L479" i="2"/>
  <c r="K479" i="2"/>
  <c r="J479" i="2"/>
  <c r="I479" i="2"/>
  <c r="H479" i="2"/>
  <c r="G479" i="2"/>
  <c r="F479" i="2"/>
  <c r="C479" i="2"/>
  <c r="B479" i="2"/>
  <c r="A479" i="2"/>
  <c r="O478" i="2"/>
  <c r="N478" i="2"/>
  <c r="M478" i="2"/>
  <c r="L478" i="2"/>
  <c r="K478" i="2"/>
  <c r="J478" i="2"/>
  <c r="I478" i="2"/>
  <c r="H478" i="2"/>
  <c r="G478" i="2"/>
  <c r="F478" i="2"/>
  <c r="C478" i="2"/>
  <c r="B478" i="2"/>
  <c r="A478" i="2"/>
  <c r="O477" i="2"/>
  <c r="N477" i="2"/>
  <c r="M477" i="2"/>
  <c r="L477" i="2"/>
  <c r="K477" i="2"/>
  <c r="J477" i="2"/>
  <c r="I477" i="2"/>
  <c r="H477" i="2"/>
  <c r="G477" i="2"/>
  <c r="F477" i="2"/>
  <c r="C477" i="2"/>
  <c r="B477" i="2"/>
  <c r="A477" i="2"/>
  <c r="O476" i="2"/>
  <c r="N476" i="2"/>
  <c r="M476" i="2"/>
  <c r="L476" i="2"/>
  <c r="K476" i="2"/>
  <c r="J476" i="2"/>
  <c r="I476" i="2"/>
  <c r="H476" i="2"/>
  <c r="G476" i="2"/>
  <c r="F476" i="2"/>
  <c r="C476" i="2"/>
  <c r="B476" i="2"/>
  <c r="A476" i="2"/>
  <c r="O475" i="2"/>
  <c r="N475" i="2"/>
  <c r="M475" i="2"/>
  <c r="L475" i="2"/>
  <c r="K475" i="2"/>
  <c r="J475" i="2"/>
  <c r="I475" i="2"/>
  <c r="H475" i="2"/>
  <c r="G475" i="2"/>
  <c r="F475" i="2"/>
  <c r="C475" i="2"/>
  <c r="B475" i="2"/>
  <c r="A475" i="2"/>
  <c r="O474" i="2"/>
  <c r="N474" i="2"/>
  <c r="M474" i="2"/>
  <c r="L474" i="2"/>
  <c r="K474" i="2"/>
  <c r="J474" i="2"/>
  <c r="I474" i="2"/>
  <c r="H474" i="2"/>
  <c r="G474" i="2"/>
  <c r="F474" i="2"/>
  <c r="C474" i="2"/>
  <c r="B474" i="2"/>
  <c r="A474" i="2"/>
  <c r="O473" i="2"/>
  <c r="N473" i="2"/>
  <c r="M473" i="2"/>
  <c r="L473" i="2"/>
  <c r="K473" i="2"/>
  <c r="J473" i="2"/>
  <c r="I473" i="2"/>
  <c r="H473" i="2"/>
  <c r="G473" i="2"/>
  <c r="F473" i="2"/>
  <c r="C473" i="2"/>
  <c r="B473" i="2"/>
  <c r="A473" i="2"/>
  <c r="O472" i="2"/>
  <c r="N472" i="2"/>
  <c r="M472" i="2"/>
  <c r="L472" i="2"/>
  <c r="K472" i="2"/>
  <c r="J472" i="2"/>
  <c r="I472" i="2"/>
  <c r="H472" i="2"/>
  <c r="G472" i="2"/>
  <c r="F472" i="2"/>
  <c r="C472" i="2"/>
  <c r="B472" i="2"/>
  <c r="A472" i="2"/>
  <c r="O471" i="2"/>
  <c r="N471" i="2"/>
  <c r="M471" i="2"/>
  <c r="L471" i="2"/>
  <c r="K471" i="2"/>
  <c r="J471" i="2"/>
  <c r="I471" i="2"/>
  <c r="H471" i="2"/>
  <c r="G471" i="2"/>
  <c r="F471" i="2"/>
  <c r="C471" i="2"/>
  <c r="B471" i="2"/>
  <c r="A471" i="2"/>
  <c r="O470" i="2"/>
  <c r="N470" i="2"/>
  <c r="M470" i="2"/>
  <c r="L470" i="2"/>
  <c r="K470" i="2"/>
  <c r="J470" i="2"/>
  <c r="I470" i="2"/>
  <c r="H470" i="2"/>
  <c r="G470" i="2"/>
  <c r="F470" i="2"/>
  <c r="C470" i="2"/>
  <c r="B470" i="2"/>
  <c r="A470" i="2"/>
  <c r="O469" i="2"/>
  <c r="N469" i="2"/>
  <c r="M469" i="2"/>
  <c r="L469" i="2"/>
  <c r="K469" i="2"/>
  <c r="J469" i="2"/>
  <c r="I469" i="2"/>
  <c r="H469" i="2"/>
  <c r="G469" i="2"/>
  <c r="F469" i="2"/>
  <c r="C469" i="2"/>
  <c r="B469" i="2"/>
  <c r="A469" i="2"/>
  <c r="O468" i="2"/>
  <c r="N468" i="2"/>
  <c r="M468" i="2"/>
  <c r="L468" i="2"/>
  <c r="K468" i="2"/>
  <c r="J468" i="2"/>
  <c r="I468" i="2"/>
  <c r="H468" i="2"/>
  <c r="G468" i="2"/>
  <c r="F468" i="2"/>
  <c r="C468" i="2"/>
  <c r="B468" i="2"/>
  <c r="A468" i="2"/>
  <c r="O467" i="2"/>
  <c r="N467" i="2"/>
  <c r="M467" i="2"/>
  <c r="L467" i="2"/>
  <c r="K467" i="2"/>
  <c r="J467" i="2"/>
  <c r="I467" i="2"/>
  <c r="H467" i="2"/>
  <c r="G467" i="2"/>
  <c r="F467" i="2"/>
  <c r="C467" i="2"/>
  <c r="B467" i="2"/>
  <c r="A467" i="2"/>
  <c r="O466" i="2"/>
  <c r="N466" i="2"/>
  <c r="M466" i="2"/>
  <c r="L466" i="2"/>
  <c r="K466" i="2"/>
  <c r="J466" i="2"/>
  <c r="I466" i="2"/>
  <c r="H466" i="2"/>
  <c r="G466" i="2"/>
  <c r="F466" i="2"/>
  <c r="C466" i="2"/>
  <c r="B466" i="2"/>
  <c r="A466" i="2"/>
  <c r="O465" i="2"/>
  <c r="N465" i="2"/>
  <c r="M465" i="2"/>
  <c r="L465" i="2"/>
  <c r="K465" i="2"/>
  <c r="J465" i="2"/>
  <c r="I465" i="2"/>
  <c r="H465" i="2"/>
  <c r="G465" i="2"/>
  <c r="F465" i="2"/>
  <c r="C465" i="2"/>
  <c r="B465" i="2"/>
  <c r="A465" i="2"/>
  <c r="O464" i="2"/>
  <c r="N464" i="2"/>
  <c r="M464" i="2"/>
  <c r="L464" i="2"/>
  <c r="K464" i="2"/>
  <c r="J464" i="2"/>
  <c r="I464" i="2"/>
  <c r="H464" i="2"/>
  <c r="G464" i="2"/>
  <c r="F464" i="2"/>
  <c r="C464" i="2"/>
  <c r="B464" i="2"/>
  <c r="A464" i="2"/>
  <c r="O463" i="2"/>
  <c r="N463" i="2"/>
  <c r="M463" i="2"/>
  <c r="L463" i="2"/>
  <c r="K463" i="2"/>
  <c r="J463" i="2"/>
  <c r="I463" i="2"/>
  <c r="H463" i="2"/>
  <c r="G463" i="2"/>
  <c r="F463" i="2"/>
  <c r="C463" i="2"/>
  <c r="B463" i="2"/>
  <c r="A463" i="2"/>
  <c r="O462" i="2"/>
  <c r="N462" i="2"/>
  <c r="M462" i="2"/>
  <c r="L462" i="2"/>
  <c r="K462" i="2"/>
  <c r="J462" i="2"/>
  <c r="I462" i="2"/>
  <c r="H462" i="2"/>
  <c r="G462" i="2"/>
  <c r="F462" i="2"/>
  <c r="C462" i="2"/>
  <c r="B462" i="2"/>
  <c r="A462" i="2"/>
  <c r="O461" i="2"/>
  <c r="N461" i="2"/>
  <c r="M461" i="2"/>
  <c r="L461" i="2"/>
  <c r="K461" i="2"/>
  <c r="J461" i="2"/>
  <c r="I461" i="2"/>
  <c r="H461" i="2"/>
  <c r="G461" i="2"/>
  <c r="F461" i="2"/>
  <c r="C461" i="2"/>
  <c r="B461" i="2"/>
  <c r="A461" i="2"/>
  <c r="O460" i="2"/>
  <c r="N460" i="2"/>
  <c r="M460" i="2"/>
  <c r="L460" i="2"/>
  <c r="K460" i="2"/>
  <c r="J460" i="2"/>
  <c r="I460" i="2"/>
  <c r="H460" i="2"/>
  <c r="G460" i="2"/>
  <c r="F460" i="2"/>
  <c r="C460" i="2"/>
  <c r="B460" i="2"/>
  <c r="A460" i="2"/>
  <c r="O459" i="2"/>
  <c r="N459" i="2"/>
  <c r="M459" i="2"/>
  <c r="L459" i="2"/>
  <c r="K459" i="2"/>
  <c r="J459" i="2"/>
  <c r="I459" i="2"/>
  <c r="H459" i="2"/>
  <c r="G459" i="2"/>
  <c r="F459" i="2"/>
  <c r="C459" i="2"/>
  <c r="B459" i="2"/>
  <c r="A459" i="2"/>
  <c r="O458" i="2"/>
  <c r="N458" i="2"/>
  <c r="M458" i="2"/>
  <c r="L458" i="2"/>
  <c r="K458" i="2"/>
  <c r="J458" i="2"/>
  <c r="I458" i="2"/>
  <c r="H458" i="2"/>
  <c r="G458" i="2"/>
  <c r="F458" i="2"/>
  <c r="C458" i="2"/>
  <c r="B458" i="2"/>
  <c r="A458" i="2"/>
  <c r="O457" i="2"/>
  <c r="N457" i="2"/>
  <c r="M457" i="2"/>
  <c r="L457" i="2"/>
  <c r="K457" i="2"/>
  <c r="J457" i="2"/>
  <c r="I457" i="2"/>
  <c r="H457" i="2"/>
  <c r="G457" i="2"/>
  <c r="F457" i="2"/>
  <c r="C457" i="2"/>
  <c r="B457" i="2"/>
  <c r="A457" i="2"/>
  <c r="O456" i="2"/>
  <c r="N456" i="2"/>
  <c r="M456" i="2"/>
  <c r="L456" i="2"/>
  <c r="K456" i="2"/>
  <c r="J456" i="2"/>
  <c r="I456" i="2"/>
  <c r="H456" i="2"/>
  <c r="G456" i="2"/>
  <c r="F456" i="2"/>
  <c r="C456" i="2"/>
  <c r="B456" i="2"/>
  <c r="A456" i="2"/>
  <c r="O455" i="2"/>
  <c r="N455" i="2"/>
  <c r="M455" i="2"/>
  <c r="L455" i="2"/>
  <c r="K455" i="2"/>
  <c r="J455" i="2"/>
  <c r="I455" i="2"/>
  <c r="H455" i="2"/>
  <c r="G455" i="2"/>
  <c r="F455" i="2"/>
  <c r="C455" i="2"/>
  <c r="B455" i="2"/>
  <c r="A455" i="2"/>
  <c r="O454" i="2"/>
  <c r="N454" i="2"/>
  <c r="M454" i="2"/>
  <c r="L454" i="2"/>
  <c r="K454" i="2"/>
  <c r="J454" i="2"/>
  <c r="I454" i="2"/>
  <c r="H454" i="2"/>
  <c r="G454" i="2"/>
  <c r="F454" i="2"/>
  <c r="C454" i="2"/>
  <c r="B454" i="2"/>
  <c r="A454" i="2"/>
  <c r="O453" i="2"/>
  <c r="N453" i="2"/>
  <c r="M453" i="2"/>
  <c r="L453" i="2"/>
  <c r="K453" i="2"/>
  <c r="J453" i="2"/>
  <c r="I453" i="2"/>
  <c r="H453" i="2"/>
  <c r="G453" i="2"/>
  <c r="F453" i="2"/>
  <c r="C453" i="2"/>
  <c r="B453" i="2"/>
  <c r="A453" i="2"/>
  <c r="O452" i="2"/>
  <c r="N452" i="2"/>
  <c r="M452" i="2"/>
  <c r="L452" i="2"/>
  <c r="K452" i="2"/>
  <c r="J452" i="2"/>
  <c r="I452" i="2"/>
  <c r="H452" i="2"/>
  <c r="G452" i="2"/>
  <c r="F452" i="2"/>
  <c r="C452" i="2"/>
  <c r="B452" i="2"/>
  <c r="A452" i="2"/>
  <c r="O451" i="2"/>
  <c r="N451" i="2"/>
  <c r="M451" i="2"/>
  <c r="L451" i="2"/>
  <c r="K451" i="2"/>
  <c r="J451" i="2"/>
  <c r="I451" i="2"/>
  <c r="H451" i="2"/>
  <c r="G451" i="2"/>
  <c r="F451" i="2"/>
  <c r="C451" i="2"/>
  <c r="B451" i="2"/>
  <c r="A451" i="2"/>
  <c r="O450" i="2"/>
  <c r="N450" i="2"/>
  <c r="M450" i="2"/>
  <c r="L450" i="2"/>
  <c r="K450" i="2"/>
  <c r="J450" i="2"/>
  <c r="I450" i="2"/>
  <c r="H450" i="2"/>
  <c r="G450" i="2"/>
  <c r="F450" i="2"/>
  <c r="C450" i="2"/>
  <c r="B450" i="2"/>
  <c r="A450" i="2"/>
  <c r="O449" i="2"/>
  <c r="N449" i="2"/>
  <c r="M449" i="2"/>
  <c r="L449" i="2"/>
  <c r="K449" i="2"/>
  <c r="J449" i="2"/>
  <c r="I449" i="2"/>
  <c r="H449" i="2"/>
  <c r="G449" i="2"/>
  <c r="F449" i="2"/>
  <c r="C449" i="2"/>
  <c r="B449" i="2"/>
  <c r="A449" i="2"/>
  <c r="O448" i="2"/>
  <c r="N448" i="2"/>
  <c r="M448" i="2"/>
  <c r="L448" i="2"/>
  <c r="K448" i="2"/>
  <c r="J448" i="2"/>
  <c r="I448" i="2"/>
  <c r="H448" i="2"/>
  <c r="G448" i="2"/>
  <c r="F448" i="2"/>
  <c r="C448" i="2"/>
  <c r="B448" i="2"/>
  <c r="A448" i="2"/>
  <c r="O447" i="2"/>
  <c r="N447" i="2"/>
  <c r="M447" i="2"/>
  <c r="L447" i="2"/>
  <c r="K447" i="2"/>
  <c r="J447" i="2"/>
  <c r="I447" i="2"/>
  <c r="H447" i="2"/>
  <c r="G447" i="2"/>
  <c r="F447" i="2"/>
  <c r="C447" i="2"/>
  <c r="B447" i="2"/>
  <c r="A447" i="2"/>
  <c r="O446" i="2"/>
  <c r="N446" i="2"/>
  <c r="M446" i="2"/>
  <c r="L446" i="2"/>
  <c r="K446" i="2"/>
  <c r="J446" i="2"/>
  <c r="I446" i="2"/>
  <c r="H446" i="2"/>
  <c r="G446" i="2"/>
  <c r="F446" i="2"/>
  <c r="C446" i="2"/>
  <c r="B446" i="2"/>
  <c r="A446" i="2"/>
  <c r="O445" i="2"/>
  <c r="N445" i="2"/>
  <c r="M445" i="2"/>
  <c r="L445" i="2"/>
  <c r="K445" i="2"/>
  <c r="J445" i="2"/>
  <c r="I445" i="2"/>
  <c r="H445" i="2"/>
  <c r="G445" i="2"/>
  <c r="F445" i="2"/>
  <c r="C445" i="2"/>
  <c r="B445" i="2"/>
  <c r="A445" i="2"/>
  <c r="O444" i="2"/>
  <c r="N444" i="2"/>
  <c r="M444" i="2"/>
  <c r="L444" i="2"/>
  <c r="K444" i="2"/>
  <c r="J444" i="2"/>
  <c r="I444" i="2"/>
  <c r="H444" i="2"/>
  <c r="G444" i="2"/>
  <c r="F444" i="2"/>
  <c r="C444" i="2"/>
  <c r="B444" i="2"/>
  <c r="A444" i="2"/>
  <c r="O443" i="2"/>
  <c r="N443" i="2"/>
  <c r="M443" i="2"/>
  <c r="L443" i="2"/>
  <c r="K443" i="2"/>
  <c r="J443" i="2"/>
  <c r="I443" i="2"/>
  <c r="H443" i="2"/>
  <c r="G443" i="2"/>
  <c r="F443" i="2"/>
  <c r="C443" i="2"/>
  <c r="B443" i="2"/>
  <c r="A443" i="2"/>
  <c r="O442" i="2"/>
  <c r="N442" i="2"/>
  <c r="M442" i="2"/>
  <c r="L442" i="2"/>
  <c r="K442" i="2"/>
  <c r="J442" i="2"/>
  <c r="I442" i="2"/>
  <c r="H442" i="2"/>
  <c r="G442" i="2"/>
  <c r="F442" i="2"/>
  <c r="C442" i="2"/>
  <c r="B442" i="2"/>
  <c r="A442" i="2"/>
  <c r="O441" i="2"/>
  <c r="N441" i="2"/>
  <c r="M441" i="2"/>
  <c r="L441" i="2"/>
  <c r="K441" i="2"/>
  <c r="J441" i="2"/>
  <c r="I441" i="2"/>
  <c r="H441" i="2"/>
  <c r="G441" i="2"/>
  <c r="F441" i="2"/>
  <c r="C441" i="2"/>
  <c r="B441" i="2"/>
  <c r="A441" i="2"/>
  <c r="O440" i="2"/>
  <c r="N440" i="2"/>
  <c r="M440" i="2"/>
  <c r="L440" i="2"/>
  <c r="K440" i="2"/>
  <c r="J440" i="2"/>
  <c r="I440" i="2"/>
  <c r="H440" i="2"/>
  <c r="G440" i="2"/>
  <c r="F440" i="2"/>
  <c r="C440" i="2"/>
  <c r="B440" i="2"/>
  <c r="A440" i="2"/>
  <c r="O439" i="2"/>
  <c r="N439" i="2"/>
  <c r="M439" i="2"/>
  <c r="L439" i="2"/>
  <c r="K439" i="2"/>
  <c r="J439" i="2"/>
  <c r="I439" i="2"/>
  <c r="H439" i="2"/>
  <c r="G439" i="2"/>
  <c r="F439" i="2"/>
  <c r="C439" i="2"/>
  <c r="B439" i="2"/>
  <c r="A439" i="2"/>
  <c r="O438" i="2"/>
  <c r="N438" i="2"/>
  <c r="M438" i="2"/>
  <c r="L438" i="2"/>
  <c r="K438" i="2"/>
  <c r="J438" i="2"/>
  <c r="I438" i="2"/>
  <c r="H438" i="2"/>
  <c r="G438" i="2"/>
  <c r="F438" i="2"/>
  <c r="C438" i="2"/>
  <c r="B438" i="2"/>
  <c r="A438" i="2"/>
  <c r="O437" i="2"/>
  <c r="N437" i="2"/>
  <c r="M437" i="2"/>
  <c r="L437" i="2"/>
  <c r="K437" i="2"/>
  <c r="J437" i="2"/>
  <c r="I437" i="2"/>
  <c r="H437" i="2"/>
  <c r="G437" i="2"/>
  <c r="F437" i="2"/>
  <c r="C437" i="2"/>
  <c r="B437" i="2"/>
  <c r="A437" i="2"/>
  <c r="O436" i="2"/>
  <c r="N436" i="2"/>
  <c r="M436" i="2"/>
  <c r="L436" i="2"/>
  <c r="K436" i="2"/>
  <c r="J436" i="2"/>
  <c r="I436" i="2"/>
  <c r="H436" i="2"/>
  <c r="G436" i="2"/>
  <c r="F436" i="2"/>
  <c r="C436" i="2"/>
  <c r="B436" i="2"/>
  <c r="A436" i="2"/>
  <c r="O435" i="2"/>
  <c r="N435" i="2"/>
  <c r="M435" i="2"/>
  <c r="L435" i="2"/>
  <c r="K435" i="2"/>
  <c r="J435" i="2"/>
  <c r="I435" i="2"/>
  <c r="H435" i="2"/>
  <c r="G435" i="2"/>
  <c r="F435" i="2"/>
  <c r="C435" i="2"/>
  <c r="B435" i="2"/>
  <c r="A435" i="2"/>
  <c r="O434" i="2"/>
  <c r="N434" i="2"/>
  <c r="M434" i="2"/>
  <c r="L434" i="2"/>
  <c r="K434" i="2"/>
  <c r="J434" i="2"/>
  <c r="I434" i="2"/>
  <c r="H434" i="2"/>
  <c r="G434" i="2"/>
  <c r="F434" i="2"/>
  <c r="C434" i="2"/>
  <c r="B434" i="2"/>
  <c r="A434" i="2"/>
  <c r="O433" i="2"/>
  <c r="N433" i="2"/>
  <c r="M433" i="2"/>
  <c r="L433" i="2"/>
  <c r="K433" i="2"/>
  <c r="J433" i="2"/>
  <c r="I433" i="2"/>
  <c r="H433" i="2"/>
  <c r="G433" i="2"/>
  <c r="F433" i="2"/>
  <c r="C433" i="2"/>
  <c r="B433" i="2"/>
  <c r="A433" i="2"/>
  <c r="O432" i="2"/>
  <c r="N432" i="2"/>
  <c r="M432" i="2"/>
  <c r="L432" i="2"/>
  <c r="K432" i="2"/>
  <c r="J432" i="2"/>
  <c r="I432" i="2"/>
  <c r="H432" i="2"/>
  <c r="G432" i="2"/>
  <c r="F432" i="2"/>
  <c r="C432" i="2"/>
  <c r="B432" i="2"/>
  <c r="A432" i="2"/>
  <c r="O431" i="2"/>
  <c r="N431" i="2"/>
  <c r="M431" i="2"/>
  <c r="L431" i="2"/>
  <c r="K431" i="2"/>
  <c r="J431" i="2"/>
  <c r="I431" i="2"/>
  <c r="H431" i="2"/>
  <c r="G431" i="2"/>
  <c r="F431" i="2"/>
  <c r="C431" i="2"/>
  <c r="B431" i="2"/>
  <c r="A431" i="2"/>
  <c r="O430" i="2"/>
  <c r="N430" i="2"/>
  <c r="M430" i="2"/>
  <c r="L430" i="2"/>
  <c r="K430" i="2"/>
  <c r="J430" i="2"/>
  <c r="I430" i="2"/>
  <c r="H430" i="2"/>
  <c r="G430" i="2"/>
  <c r="F430" i="2"/>
  <c r="C430" i="2"/>
  <c r="B430" i="2"/>
  <c r="A430" i="2"/>
  <c r="O429" i="2"/>
  <c r="N429" i="2"/>
  <c r="M429" i="2"/>
  <c r="L429" i="2"/>
  <c r="K429" i="2"/>
  <c r="J429" i="2"/>
  <c r="I429" i="2"/>
  <c r="H429" i="2"/>
  <c r="G429" i="2"/>
  <c r="F429" i="2"/>
  <c r="C429" i="2"/>
  <c r="B429" i="2"/>
  <c r="A429" i="2"/>
  <c r="O428" i="2"/>
  <c r="N428" i="2"/>
  <c r="M428" i="2"/>
  <c r="L428" i="2"/>
  <c r="K428" i="2"/>
  <c r="J428" i="2"/>
  <c r="I428" i="2"/>
  <c r="H428" i="2"/>
  <c r="G428" i="2"/>
  <c r="F428" i="2"/>
  <c r="C428" i="2"/>
  <c r="B428" i="2"/>
  <c r="A428" i="2"/>
  <c r="O427" i="2"/>
  <c r="N427" i="2"/>
  <c r="M427" i="2"/>
  <c r="L427" i="2"/>
  <c r="K427" i="2"/>
  <c r="J427" i="2"/>
  <c r="I427" i="2"/>
  <c r="H427" i="2"/>
  <c r="G427" i="2"/>
  <c r="F427" i="2"/>
  <c r="C427" i="2"/>
  <c r="B427" i="2"/>
  <c r="A427" i="2"/>
  <c r="O426" i="2"/>
  <c r="N426" i="2"/>
  <c r="M426" i="2"/>
  <c r="L426" i="2"/>
  <c r="K426" i="2"/>
  <c r="J426" i="2"/>
  <c r="I426" i="2"/>
  <c r="H426" i="2"/>
  <c r="G426" i="2"/>
  <c r="F426" i="2"/>
  <c r="C426" i="2"/>
  <c r="B426" i="2"/>
  <c r="A426" i="2"/>
  <c r="O425" i="2"/>
  <c r="N425" i="2"/>
  <c r="M425" i="2"/>
  <c r="L425" i="2"/>
  <c r="K425" i="2"/>
  <c r="J425" i="2"/>
  <c r="I425" i="2"/>
  <c r="H425" i="2"/>
  <c r="G425" i="2"/>
  <c r="F425" i="2"/>
  <c r="C425" i="2"/>
  <c r="B425" i="2"/>
  <c r="A425" i="2"/>
  <c r="O424" i="2"/>
  <c r="N424" i="2"/>
  <c r="M424" i="2"/>
  <c r="L424" i="2"/>
  <c r="K424" i="2"/>
  <c r="J424" i="2"/>
  <c r="I424" i="2"/>
  <c r="H424" i="2"/>
  <c r="G424" i="2"/>
  <c r="F424" i="2"/>
  <c r="C424" i="2"/>
  <c r="B424" i="2"/>
  <c r="A424" i="2"/>
  <c r="O423" i="2"/>
  <c r="N423" i="2"/>
  <c r="M423" i="2"/>
  <c r="L423" i="2"/>
  <c r="K423" i="2"/>
  <c r="J423" i="2"/>
  <c r="I423" i="2"/>
  <c r="H423" i="2"/>
  <c r="G423" i="2"/>
  <c r="F423" i="2"/>
  <c r="C423" i="2"/>
  <c r="B423" i="2"/>
  <c r="A423" i="2"/>
  <c r="O422" i="2"/>
  <c r="N422" i="2"/>
  <c r="M422" i="2"/>
  <c r="L422" i="2"/>
  <c r="K422" i="2"/>
  <c r="J422" i="2"/>
  <c r="I422" i="2"/>
  <c r="H422" i="2"/>
  <c r="G422" i="2"/>
  <c r="F422" i="2"/>
  <c r="C422" i="2"/>
  <c r="B422" i="2"/>
  <c r="A422" i="2"/>
  <c r="O421" i="2"/>
  <c r="N421" i="2"/>
  <c r="M421" i="2"/>
  <c r="L421" i="2"/>
  <c r="K421" i="2"/>
  <c r="J421" i="2"/>
  <c r="I421" i="2"/>
  <c r="H421" i="2"/>
  <c r="G421" i="2"/>
  <c r="F421" i="2"/>
  <c r="C421" i="2"/>
  <c r="B421" i="2"/>
  <c r="A421" i="2"/>
  <c r="O420" i="2"/>
  <c r="N420" i="2"/>
  <c r="M420" i="2"/>
  <c r="L420" i="2"/>
  <c r="K420" i="2"/>
  <c r="J420" i="2"/>
  <c r="I420" i="2"/>
  <c r="H420" i="2"/>
  <c r="G420" i="2"/>
  <c r="F420" i="2"/>
  <c r="C420" i="2"/>
  <c r="B420" i="2"/>
  <c r="A420" i="2"/>
  <c r="O419" i="2"/>
  <c r="N419" i="2"/>
  <c r="M419" i="2"/>
  <c r="L419" i="2"/>
  <c r="K419" i="2"/>
  <c r="J419" i="2"/>
  <c r="I419" i="2"/>
  <c r="H419" i="2"/>
  <c r="G419" i="2"/>
  <c r="F419" i="2"/>
  <c r="C419" i="2"/>
  <c r="B419" i="2"/>
  <c r="A419" i="2"/>
  <c r="O418" i="2"/>
  <c r="N418" i="2"/>
  <c r="M418" i="2"/>
  <c r="L418" i="2"/>
  <c r="K418" i="2"/>
  <c r="J418" i="2"/>
  <c r="I418" i="2"/>
  <c r="H418" i="2"/>
  <c r="G418" i="2"/>
  <c r="F418" i="2"/>
  <c r="C418" i="2"/>
  <c r="B418" i="2"/>
  <c r="A418" i="2"/>
  <c r="O417" i="2"/>
  <c r="N417" i="2"/>
  <c r="M417" i="2"/>
  <c r="L417" i="2"/>
  <c r="K417" i="2"/>
  <c r="J417" i="2"/>
  <c r="I417" i="2"/>
  <c r="H417" i="2"/>
  <c r="G417" i="2"/>
  <c r="F417" i="2"/>
  <c r="C417" i="2"/>
  <c r="B417" i="2"/>
  <c r="A417" i="2"/>
  <c r="O416" i="2"/>
  <c r="N416" i="2"/>
  <c r="M416" i="2"/>
  <c r="L416" i="2"/>
  <c r="K416" i="2"/>
  <c r="J416" i="2"/>
  <c r="I416" i="2"/>
  <c r="H416" i="2"/>
  <c r="G416" i="2"/>
  <c r="F416" i="2"/>
  <c r="C416" i="2"/>
  <c r="B416" i="2"/>
  <c r="A416" i="2"/>
  <c r="O415" i="2"/>
  <c r="N415" i="2"/>
  <c r="M415" i="2"/>
  <c r="L415" i="2"/>
  <c r="K415" i="2"/>
  <c r="J415" i="2"/>
  <c r="I415" i="2"/>
  <c r="H415" i="2"/>
  <c r="G415" i="2"/>
  <c r="F415" i="2"/>
  <c r="C415" i="2"/>
  <c r="B415" i="2"/>
  <c r="A415" i="2"/>
  <c r="O414" i="2"/>
  <c r="N414" i="2"/>
  <c r="M414" i="2"/>
  <c r="L414" i="2"/>
  <c r="K414" i="2"/>
  <c r="J414" i="2"/>
  <c r="I414" i="2"/>
  <c r="H414" i="2"/>
  <c r="G414" i="2"/>
  <c r="F414" i="2"/>
  <c r="C414" i="2"/>
  <c r="B414" i="2"/>
  <c r="A414" i="2"/>
  <c r="O413" i="2"/>
  <c r="N413" i="2"/>
  <c r="M413" i="2"/>
  <c r="L413" i="2"/>
  <c r="K413" i="2"/>
  <c r="J413" i="2"/>
  <c r="I413" i="2"/>
  <c r="H413" i="2"/>
  <c r="G413" i="2"/>
  <c r="F413" i="2"/>
  <c r="C413" i="2"/>
  <c r="B413" i="2"/>
  <c r="A413" i="2"/>
  <c r="O412" i="2"/>
  <c r="N412" i="2"/>
  <c r="M412" i="2"/>
  <c r="L412" i="2"/>
  <c r="K412" i="2"/>
  <c r="J412" i="2"/>
  <c r="I412" i="2"/>
  <c r="H412" i="2"/>
  <c r="G412" i="2"/>
  <c r="F412" i="2"/>
  <c r="C412" i="2"/>
  <c r="B412" i="2"/>
  <c r="A412" i="2"/>
  <c r="O411" i="2"/>
  <c r="N411" i="2"/>
  <c r="M411" i="2"/>
  <c r="L411" i="2"/>
  <c r="K411" i="2"/>
  <c r="J411" i="2"/>
  <c r="I411" i="2"/>
  <c r="H411" i="2"/>
  <c r="G411" i="2"/>
  <c r="F411" i="2"/>
  <c r="C411" i="2"/>
  <c r="B411" i="2"/>
  <c r="A411" i="2"/>
  <c r="O410" i="2"/>
  <c r="N410" i="2"/>
  <c r="M410" i="2"/>
  <c r="L410" i="2"/>
  <c r="K410" i="2"/>
  <c r="J410" i="2"/>
  <c r="I410" i="2"/>
  <c r="H410" i="2"/>
  <c r="G410" i="2"/>
  <c r="F410" i="2"/>
  <c r="C410" i="2"/>
  <c r="B410" i="2"/>
  <c r="A410" i="2"/>
  <c r="O409" i="2"/>
  <c r="N409" i="2"/>
  <c r="M409" i="2"/>
  <c r="L409" i="2"/>
  <c r="K409" i="2"/>
  <c r="J409" i="2"/>
  <c r="I409" i="2"/>
  <c r="H409" i="2"/>
  <c r="G409" i="2"/>
  <c r="F409" i="2"/>
  <c r="C409" i="2"/>
  <c r="B409" i="2"/>
  <c r="A409" i="2"/>
  <c r="O408" i="2"/>
  <c r="N408" i="2"/>
  <c r="M408" i="2"/>
  <c r="L408" i="2"/>
  <c r="K408" i="2"/>
  <c r="J408" i="2"/>
  <c r="I408" i="2"/>
  <c r="H408" i="2"/>
  <c r="G408" i="2"/>
  <c r="F408" i="2"/>
  <c r="C408" i="2"/>
  <c r="B408" i="2"/>
  <c r="A408" i="2"/>
  <c r="O407" i="2"/>
  <c r="N407" i="2"/>
  <c r="M407" i="2"/>
  <c r="L407" i="2"/>
  <c r="K407" i="2"/>
  <c r="J407" i="2"/>
  <c r="I407" i="2"/>
  <c r="H407" i="2"/>
  <c r="G407" i="2"/>
  <c r="F407" i="2"/>
  <c r="C407" i="2"/>
  <c r="B407" i="2"/>
  <c r="A407" i="2"/>
  <c r="O406" i="2"/>
  <c r="N406" i="2"/>
  <c r="M406" i="2"/>
  <c r="L406" i="2"/>
  <c r="K406" i="2"/>
  <c r="J406" i="2"/>
  <c r="I406" i="2"/>
  <c r="H406" i="2"/>
  <c r="G406" i="2"/>
  <c r="F406" i="2"/>
  <c r="C406" i="2"/>
  <c r="B406" i="2"/>
  <c r="A406" i="2"/>
  <c r="O405" i="2"/>
  <c r="N405" i="2"/>
  <c r="M405" i="2"/>
  <c r="L405" i="2"/>
  <c r="K405" i="2"/>
  <c r="J405" i="2"/>
  <c r="I405" i="2"/>
  <c r="H405" i="2"/>
  <c r="G405" i="2"/>
  <c r="F405" i="2"/>
  <c r="C405" i="2"/>
  <c r="B405" i="2"/>
  <c r="A405" i="2"/>
  <c r="O404" i="2"/>
  <c r="N404" i="2"/>
  <c r="M404" i="2"/>
  <c r="L404" i="2"/>
  <c r="K404" i="2"/>
  <c r="J404" i="2"/>
  <c r="I404" i="2"/>
  <c r="H404" i="2"/>
  <c r="G404" i="2"/>
  <c r="F404" i="2"/>
  <c r="C404" i="2"/>
  <c r="B404" i="2"/>
  <c r="A404" i="2"/>
  <c r="O403" i="2"/>
  <c r="N403" i="2"/>
  <c r="M403" i="2"/>
  <c r="L403" i="2"/>
  <c r="K403" i="2"/>
  <c r="J403" i="2"/>
  <c r="I403" i="2"/>
  <c r="H403" i="2"/>
  <c r="G403" i="2"/>
  <c r="F403" i="2"/>
  <c r="C403" i="2"/>
  <c r="B403" i="2"/>
  <c r="A403" i="2"/>
  <c r="O402" i="2"/>
  <c r="N402" i="2"/>
  <c r="M402" i="2"/>
  <c r="L402" i="2"/>
  <c r="K402" i="2"/>
  <c r="J402" i="2"/>
  <c r="I402" i="2"/>
  <c r="H402" i="2"/>
  <c r="G402" i="2"/>
  <c r="F402" i="2"/>
  <c r="C402" i="2"/>
  <c r="B402" i="2"/>
  <c r="A402" i="2"/>
  <c r="O401" i="2"/>
  <c r="N401" i="2"/>
  <c r="M401" i="2"/>
  <c r="L401" i="2"/>
  <c r="K401" i="2"/>
  <c r="J401" i="2"/>
  <c r="I401" i="2"/>
  <c r="H401" i="2"/>
  <c r="G401" i="2"/>
  <c r="F401" i="2"/>
  <c r="C401" i="2"/>
  <c r="B401" i="2"/>
  <c r="A401" i="2"/>
  <c r="O400" i="2"/>
  <c r="N400" i="2"/>
  <c r="M400" i="2"/>
  <c r="L400" i="2"/>
  <c r="K400" i="2"/>
  <c r="J400" i="2"/>
  <c r="I400" i="2"/>
  <c r="H400" i="2"/>
  <c r="G400" i="2"/>
  <c r="F400" i="2"/>
  <c r="C400" i="2"/>
  <c r="B400" i="2"/>
  <c r="A400" i="2"/>
  <c r="O399" i="2"/>
  <c r="N399" i="2"/>
  <c r="M399" i="2"/>
  <c r="L399" i="2"/>
  <c r="K399" i="2"/>
  <c r="J399" i="2"/>
  <c r="I399" i="2"/>
  <c r="H399" i="2"/>
  <c r="G399" i="2"/>
  <c r="F399" i="2"/>
  <c r="C399" i="2"/>
  <c r="B399" i="2"/>
  <c r="A399" i="2"/>
  <c r="O398" i="2"/>
  <c r="N398" i="2"/>
  <c r="M398" i="2"/>
  <c r="L398" i="2"/>
  <c r="K398" i="2"/>
  <c r="J398" i="2"/>
  <c r="I398" i="2"/>
  <c r="H398" i="2"/>
  <c r="G398" i="2"/>
  <c r="F398" i="2"/>
  <c r="C398" i="2"/>
  <c r="B398" i="2"/>
  <c r="A398" i="2"/>
  <c r="O397" i="2"/>
  <c r="N397" i="2"/>
  <c r="M397" i="2"/>
  <c r="L397" i="2"/>
  <c r="K397" i="2"/>
  <c r="J397" i="2"/>
  <c r="I397" i="2"/>
  <c r="H397" i="2"/>
  <c r="G397" i="2"/>
  <c r="F397" i="2"/>
  <c r="C397" i="2"/>
  <c r="B397" i="2"/>
  <c r="A397" i="2"/>
  <c r="O396" i="2"/>
  <c r="N396" i="2"/>
  <c r="M396" i="2"/>
  <c r="L396" i="2"/>
  <c r="K396" i="2"/>
  <c r="J396" i="2"/>
  <c r="I396" i="2"/>
  <c r="H396" i="2"/>
  <c r="G396" i="2"/>
  <c r="F396" i="2"/>
  <c r="C396" i="2"/>
  <c r="B396" i="2"/>
  <c r="A396" i="2"/>
  <c r="O395" i="2"/>
  <c r="N395" i="2"/>
  <c r="M395" i="2"/>
  <c r="L395" i="2"/>
  <c r="K395" i="2"/>
  <c r="J395" i="2"/>
  <c r="I395" i="2"/>
  <c r="H395" i="2"/>
  <c r="G395" i="2"/>
  <c r="F395" i="2"/>
  <c r="C395" i="2"/>
  <c r="B395" i="2"/>
  <c r="A395" i="2"/>
  <c r="O394" i="2"/>
  <c r="N394" i="2"/>
  <c r="M394" i="2"/>
  <c r="L394" i="2"/>
  <c r="K394" i="2"/>
  <c r="J394" i="2"/>
  <c r="I394" i="2"/>
  <c r="H394" i="2"/>
  <c r="G394" i="2"/>
  <c r="F394" i="2"/>
  <c r="C394" i="2"/>
  <c r="B394" i="2"/>
  <c r="A394" i="2"/>
  <c r="O393" i="2"/>
  <c r="N393" i="2"/>
  <c r="M393" i="2"/>
  <c r="L393" i="2"/>
  <c r="K393" i="2"/>
  <c r="J393" i="2"/>
  <c r="I393" i="2"/>
  <c r="H393" i="2"/>
  <c r="G393" i="2"/>
  <c r="F393" i="2"/>
  <c r="C393" i="2"/>
  <c r="B393" i="2"/>
  <c r="A393" i="2"/>
  <c r="O392" i="2"/>
  <c r="N392" i="2"/>
  <c r="M392" i="2"/>
  <c r="L392" i="2"/>
  <c r="K392" i="2"/>
  <c r="J392" i="2"/>
  <c r="I392" i="2"/>
  <c r="H392" i="2"/>
  <c r="G392" i="2"/>
  <c r="F392" i="2"/>
  <c r="C392" i="2"/>
  <c r="B392" i="2"/>
  <c r="A392" i="2"/>
  <c r="O391" i="2"/>
  <c r="N391" i="2"/>
  <c r="M391" i="2"/>
  <c r="L391" i="2"/>
  <c r="K391" i="2"/>
  <c r="J391" i="2"/>
  <c r="I391" i="2"/>
  <c r="H391" i="2"/>
  <c r="G391" i="2"/>
  <c r="F391" i="2"/>
  <c r="C391" i="2"/>
  <c r="B391" i="2"/>
  <c r="A391" i="2"/>
  <c r="O390" i="2"/>
  <c r="N390" i="2"/>
  <c r="M390" i="2"/>
  <c r="L390" i="2"/>
  <c r="K390" i="2"/>
  <c r="J390" i="2"/>
  <c r="I390" i="2"/>
  <c r="H390" i="2"/>
  <c r="G390" i="2"/>
  <c r="F390" i="2"/>
  <c r="C390" i="2"/>
  <c r="B390" i="2"/>
  <c r="A390" i="2"/>
  <c r="O389" i="2"/>
  <c r="N389" i="2"/>
  <c r="M389" i="2"/>
  <c r="L389" i="2"/>
  <c r="K389" i="2"/>
  <c r="J389" i="2"/>
  <c r="I389" i="2"/>
  <c r="H389" i="2"/>
  <c r="G389" i="2"/>
  <c r="F389" i="2"/>
  <c r="C389" i="2"/>
  <c r="B389" i="2"/>
  <c r="A389" i="2"/>
  <c r="O388" i="2"/>
  <c r="N388" i="2"/>
  <c r="M388" i="2"/>
  <c r="L388" i="2"/>
  <c r="K388" i="2"/>
  <c r="J388" i="2"/>
  <c r="I388" i="2"/>
  <c r="H388" i="2"/>
  <c r="G388" i="2"/>
  <c r="F388" i="2"/>
  <c r="C388" i="2"/>
  <c r="B388" i="2"/>
  <c r="A388" i="2"/>
  <c r="O387" i="2"/>
  <c r="N387" i="2"/>
  <c r="M387" i="2"/>
  <c r="L387" i="2"/>
  <c r="K387" i="2"/>
  <c r="J387" i="2"/>
  <c r="I387" i="2"/>
  <c r="H387" i="2"/>
  <c r="G387" i="2"/>
  <c r="F387" i="2"/>
  <c r="C387" i="2"/>
  <c r="B387" i="2"/>
  <c r="A387" i="2"/>
  <c r="O386" i="2"/>
  <c r="N386" i="2"/>
  <c r="M386" i="2"/>
  <c r="L386" i="2"/>
  <c r="K386" i="2"/>
  <c r="J386" i="2"/>
  <c r="I386" i="2"/>
  <c r="H386" i="2"/>
  <c r="G386" i="2"/>
  <c r="F386" i="2"/>
  <c r="C386" i="2"/>
  <c r="B386" i="2"/>
  <c r="A386" i="2"/>
  <c r="O385" i="2"/>
  <c r="N385" i="2"/>
  <c r="M385" i="2"/>
  <c r="L385" i="2"/>
  <c r="K385" i="2"/>
  <c r="J385" i="2"/>
  <c r="I385" i="2"/>
  <c r="H385" i="2"/>
  <c r="G385" i="2"/>
  <c r="F385" i="2"/>
  <c r="C385" i="2"/>
  <c r="B385" i="2"/>
  <c r="A385" i="2"/>
  <c r="O384" i="2"/>
  <c r="N384" i="2"/>
  <c r="M384" i="2"/>
  <c r="L384" i="2"/>
  <c r="K384" i="2"/>
  <c r="J384" i="2"/>
  <c r="I384" i="2"/>
  <c r="H384" i="2"/>
  <c r="G384" i="2"/>
  <c r="F384" i="2"/>
  <c r="C384" i="2"/>
  <c r="B384" i="2"/>
  <c r="A384" i="2"/>
  <c r="O383" i="2"/>
  <c r="N383" i="2"/>
  <c r="M383" i="2"/>
  <c r="L383" i="2"/>
  <c r="K383" i="2"/>
  <c r="J383" i="2"/>
  <c r="I383" i="2"/>
  <c r="H383" i="2"/>
  <c r="G383" i="2"/>
  <c r="F383" i="2"/>
  <c r="C383" i="2"/>
  <c r="B383" i="2"/>
  <c r="A383" i="2"/>
  <c r="O382" i="2"/>
  <c r="N382" i="2"/>
  <c r="M382" i="2"/>
  <c r="L382" i="2"/>
  <c r="K382" i="2"/>
  <c r="J382" i="2"/>
  <c r="I382" i="2"/>
  <c r="H382" i="2"/>
  <c r="G382" i="2"/>
  <c r="F382" i="2"/>
  <c r="C382" i="2"/>
  <c r="B382" i="2"/>
  <c r="A382" i="2"/>
  <c r="O381" i="2"/>
  <c r="N381" i="2"/>
  <c r="M381" i="2"/>
  <c r="L381" i="2"/>
  <c r="K381" i="2"/>
  <c r="J381" i="2"/>
  <c r="I381" i="2"/>
  <c r="H381" i="2"/>
  <c r="G381" i="2"/>
  <c r="F381" i="2"/>
  <c r="C381" i="2"/>
  <c r="B381" i="2"/>
  <c r="A381" i="2"/>
  <c r="O380" i="2"/>
  <c r="N380" i="2"/>
  <c r="M380" i="2"/>
  <c r="L380" i="2"/>
  <c r="K380" i="2"/>
  <c r="J380" i="2"/>
  <c r="I380" i="2"/>
  <c r="H380" i="2"/>
  <c r="G380" i="2"/>
  <c r="F380" i="2"/>
  <c r="C380" i="2"/>
  <c r="B380" i="2"/>
  <c r="A380" i="2"/>
  <c r="O379" i="2"/>
  <c r="N379" i="2"/>
  <c r="M379" i="2"/>
  <c r="L379" i="2"/>
  <c r="K379" i="2"/>
  <c r="J379" i="2"/>
  <c r="I379" i="2"/>
  <c r="H379" i="2"/>
  <c r="G379" i="2"/>
  <c r="F379" i="2"/>
  <c r="C379" i="2"/>
  <c r="B379" i="2"/>
  <c r="A379" i="2"/>
  <c r="O378" i="2"/>
  <c r="N378" i="2"/>
  <c r="M378" i="2"/>
  <c r="L378" i="2"/>
  <c r="K378" i="2"/>
  <c r="J378" i="2"/>
  <c r="I378" i="2"/>
  <c r="H378" i="2"/>
  <c r="G378" i="2"/>
  <c r="F378" i="2"/>
  <c r="C378" i="2"/>
  <c r="B378" i="2"/>
  <c r="A378" i="2"/>
  <c r="O377" i="2"/>
  <c r="N377" i="2"/>
  <c r="M377" i="2"/>
  <c r="L377" i="2"/>
  <c r="K377" i="2"/>
  <c r="J377" i="2"/>
  <c r="I377" i="2"/>
  <c r="H377" i="2"/>
  <c r="G377" i="2"/>
  <c r="F377" i="2"/>
  <c r="C377" i="2"/>
  <c r="B377" i="2"/>
  <c r="A377" i="2"/>
  <c r="O376" i="2"/>
  <c r="N376" i="2"/>
  <c r="M376" i="2"/>
  <c r="L376" i="2"/>
  <c r="K376" i="2"/>
  <c r="J376" i="2"/>
  <c r="I376" i="2"/>
  <c r="H376" i="2"/>
  <c r="G376" i="2"/>
  <c r="F376" i="2"/>
  <c r="C376" i="2"/>
  <c r="B376" i="2"/>
  <c r="A376" i="2"/>
  <c r="O375" i="2"/>
  <c r="N375" i="2"/>
  <c r="M375" i="2"/>
  <c r="L375" i="2"/>
  <c r="K375" i="2"/>
  <c r="J375" i="2"/>
  <c r="I375" i="2"/>
  <c r="H375" i="2"/>
  <c r="G375" i="2"/>
  <c r="F375" i="2"/>
  <c r="C375" i="2"/>
  <c r="B375" i="2"/>
  <c r="A375" i="2"/>
  <c r="O374" i="2"/>
  <c r="N374" i="2"/>
  <c r="M374" i="2"/>
  <c r="L374" i="2"/>
  <c r="K374" i="2"/>
  <c r="J374" i="2"/>
  <c r="I374" i="2"/>
  <c r="H374" i="2"/>
  <c r="G374" i="2"/>
  <c r="F374" i="2"/>
  <c r="C374" i="2"/>
  <c r="B374" i="2"/>
  <c r="A374" i="2"/>
  <c r="O373" i="2"/>
  <c r="N373" i="2"/>
  <c r="M373" i="2"/>
  <c r="L373" i="2"/>
  <c r="K373" i="2"/>
  <c r="J373" i="2"/>
  <c r="I373" i="2"/>
  <c r="H373" i="2"/>
  <c r="G373" i="2"/>
  <c r="F373" i="2"/>
  <c r="C373" i="2"/>
  <c r="B373" i="2"/>
  <c r="A373" i="2"/>
  <c r="O372" i="2"/>
  <c r="N372" i="2"/>
  <c r="M372" i="2"/>
  <c r="L372" i="2"/>
  <c r="K372" i="2"/>
  <c r="J372" i="2"/>
  <c r="I372" i="2"/>
  <c r="H372" i="2"/>
  <c r="G372" i="2"/>
  <c r="F372" i="2"/>
  <c r="C372" i="2"/>
  <c r="B372" i="2"/>
  <c r="A372" i="2"/>
  <c r="O371" i="2"/>
  <c r="N371" i="2"/>
  <c r="M371" i="2"/>
  <c r="L371" i="2"/>
  <c r="K371" i="2"/>
  <c r="J371" i="2"/>
  <c r="I371" i="2"/>
  <c r="H371" i="2"/>
  <c r="G371" i="2"/>
  <c r="F371" i="2"/>
  <c r="C371" i="2"/>
  <c r="B371" i="2"/>
  <c r="A371" i="2"/>
  <c r="O370" i="2"/>
  <c r="N370" i="2"/>
  <c r="M370" i="2"/>
  <c r="L370" i="2"/>
  <c r="K370" i="2"/>
  <c r="J370" i="2"/>
  <c r="I370" i="2"/>
  <c r="H370" i="2"/>
  <c r="G370" i="2"/>
  <c r="F370" i="2"/>
  <c r="C370" i="2"/>
  <c r="B370" i="2"/>
  <c r="A370" i="2"/>
  <c r="O369" i="2"/>
  <c r="N369" i="2"/>
  <c r="M369" i="2"/>
  <c r="L369" i="2"/>
  <c r="K369" i="2"/>
  <c r="J369" i="2"/>
  <c r="I369" i="2"/>
  <c r="H369" i="2"/>
  <c r="G369" i="2"/>
  <c r="F369" i="2"/>
  <c r="C369" i="2"/>
  <c r="B369" i="2"/>
  <c r="A369" i="2"/>
  <c r="O368" i="2"/>
  <c r="N368" i="2"/>
  <c r="M368" i="2"/>
  <c r="L368" i="2"/>
  <c r="K368" i="2"/>
  <c r="J368" i="2"/>
  <c r="I368" i="2"/>
  <c r="H368" i="2"/>
  <c r="G368" i="2"/>
  <c r="F368" i="2"/>
  <c r="C368" i="2"/>
  <c r="B368" i="2"/>
  <c r="A368" i="2"/>
  <c r="O367" i="2"/>
  <c r="N367" i="2"/>
  <c r="M367" i="2"/>
  <c r="L367" i="2"/>
  <c r="K367" i="2"/>
  <c r="J367" i="2"/>
  <c r="I367" i="2"/>
  <c r="H367" i="2"/>
  <c r="G367" i="2"/>
  <c r="F367" i="2"/>
  <c r="C367" i="2"/>
  <c r="B367" i="2"/>
  <c r="A367" i="2"/>
  <c r="O366" i="2"/>
  <c r="N366" i="2"/>
  <c r="M366" i="2"/>
  <c r="L366" i="2"/>
  <c r="K366" i="2"/>
  <c r="J366" i="2"/>
  <c r="I366" i="2"/>
  <c r="H366" i="2"/>
  <c r="G366" i="2"/>
  <c r="F366" i="2"/>
  <c r="C366" i="2"/>
  <c r="B366" i="2"/>
  <c r="A366" i="2"/>
  <c r="O365" i="2"/>
  <c r="N365" i="2"/>
  <c r="M365" i="2"/>
  <c r="L365" i="2"/>
  <c r="K365" i="2"/>
  <c r="J365" i="2"/>
  <c r="I365" i="2"/>
  <c r="H365" i="2"/>
  <c r="G365" i="2"/>
  <c r="F365" i="2"/>
  <c r="C365" i="2"/>
  <c r="B365" i="2"/>
  <c r="A365" i="2"/>
  <c r="O364" i="2"/>
  <c r="N364" i="2"/>
  <c r="M364" i="2"/>
  <c r="L364" i="2"/>
  <c r="K364" i="2"/>
  <c r="J364" i="2"/>
  <c r="I364" i="2"/>
  <c r="H364" i="2"/>
  <c r="G364" i="2"/>
  <c r="F364" i="2"/>
  <c r="C364" i="2"/>
  <c r="B364" i="2"/>
  <c r="A364" i="2"/>
  <c r="O363" i="2"/>
  <c r="N363" i="2"/>
  <c r="M363" i="2"/>
  <c r="L363" i="2"/>
  <c r="K363" i="2"/>
  <c r="J363" i="2"/>
  <c r="I363" i="2"/>
  <c r="H363" i="2"/>
  <c r="G363" i="2"/>
  <c r="F363" i="2"/>
  <c r="C363" i="2"/>
  <c r="B363" i="2"/>
  <c r="A363" i="2"/>
  <c r="O362" i="2"/>
  <c r="N362" i="2"/>
  <c r="M362" i="2"/>
  <c r="L362" i="2"/>
  <c r="K362" i="2"/>
  <c r="J362" i="2"/>
  <c r="I362" i="2"/>
  <c r="H362" i="2"/>
  <c r="G362" i="2"/>
  <c r="F362" i="2"/>
  <c r="C362" i="2"/>
  <c r="B362" i="2"/>
  <c r="A362" i="2"/>
  <c r="O361" i="2"/>
  <c r="N361" i="2"/>
  <c r="M361" i="2"/>
  <c r="L361" i="2"/>
  <c r="K361" i="2"/>
  <c r="J361" i="2"/>
  <c r="I361" i="2"/>
  <c r="H361" i="2"/>
  <c r="G361" i="2"/>
  <c r="F361" i="2"/>
  <c r="C361" i="2"/>
  <c r="B361" i="2"/>
  <c r="A361" i="2"/>
  <c r="O360" i="2"/>
  <c r="N360" i="2"/>
  <c r="M360" i="2"/>
  <c r="L360" i="2"/>
  <c r="K360" i="2"/>
  <c r="J360" i="2"/>
  <c r="I360" i="2"/>
  <c r="H360" i="2"/>
  <c r="G360" i="2"/>
  <c r="F360" i="2"/>
  <c r="C360" i="2"/>
  <c r="B360" i="2"/>
  <c r="A360" i="2"/>
  <c r="O359" i="2"/>
  <c r="N359" i="2"/>
  <c r="M359" i="2"/>
  <c r="L359" i="2"/>
  <c r="K359" i="2"/>
  <c r="J359" i="2"/>
  <c r="I359" i="2"/>
  <c r="H359" i="2"/>
  <c r="G359" i="2"/>
  <c r="F359" i="2"/>
  <c r="C359" i="2"/>
  <c r="B359" i="2"/>
  <c r="A359" i="2"/>
  <c r="O358" i="2"/>
  <c r="N358" i="2"/>
  <c r="M358" i="2"/>
  <c r="L358" i="2"/>
  <c r="K358" i="2"/>
  <c r="J358" i="2"/>
  <c r="I358" i="2"/>
  <c r="H358" i="2"/>
  <c r="G358" i="2"/>
  <c r="F358" i="2"/>
  <c r="C358" i="2"/>
  <c r="B358" i="2"/>
  <c r="A358" i="2"/>
  <c r="O357" i="2"/>
  <c r="N357" i="2"/>
  <c r="M357" i="2"/>
  <c r="L357" i="2"/>
  <c r="K357" i="2"/>
  <c r="J357" i="2"/>
  <c r="I357" i="2"/>
  <c r="H357" i="2"/>
  <c r="G357" i="2"/>
  <c r="F357" i="2"/>
  <c r="C357" i="2"/>
  <c r="B357" i="2"/>
  <c r="A357" i="2"/>
  <c r="O356" i="2"/>
  <c r="N356" i="2"/>
  <c r="M356" i="2"/>
  <c r="L356" i="2"/>
  <c r="K356" i="2"/>
  <c r="J356" i="2"/>
  <c r="I356" i="2"/>
  <c r="H356" i="2"/>
  <c r="G356" i="2"/>
  <c r="F356" i="2"/>
  <c r="C356" i="2"/>
  <c r="B356" i="2"/>
  <c r="A356" i="2"/>
  <c r="O355" i="2"/>
  <c r="N355" i="2"/>
  <c r="M355" i="2"/>
  <c r="L355" i="2"/>
  <c r="K355" i="2"/>
  <c r="J355" i="2"/>
  <c r="I355" i="2"/>
  <c r="H355" i="2"/>
  <c r="G355" i="2"/>
  <c r="F355" i="2"/>
  <c r="C355" i="2"/>
  <c r="B355" i="2"/>
  <c r="A355" i="2"/>
  <c r="O354" i="2"/>
  <c r="N354" i="2"/>
  <c r="M354" i="2"/>
  <c r="L354" i="2"/>
  <c r="K354" i="2"/>
  <c r="J354" i="2"/>
  <c r="I354" i="2"/>
  <c r="H354" i="2"/>
  <c r="G354" i="2"/>
  <c r="F354" i="2"/>
  <c r="C354" i="2"/>
  <c r="B354" i="2"/>
  <c r="A354" i="2"/>
  <c r="O353" i="2"/>
  <c r="N353" i="2"/>
  <c r="M353" i="2"/>
  <c r="L353" i="2"/>
  <c r="K353" i="2"/>
  <c r="J353" i="2"/>
  <c r="I353" i="2"/>
  <c r="H353" i="2"/>
  <c r="G353" i="2"/>
  <c r="F353" i="2"/>
  <c r="C353" i="2"/>
  <c r="B353" i="2"/>
  <c r="A353" i="2"/>
  <c r="O352" i="2"/>
  <c r="N352" i="2"/>
  <c r="M352" i="2"/>
  <c r="L352" i="2"/>
  <c r="K352" i="2"/>
  <c r="J352" i="2"/>
  <c r="I352" i="2"/>
  <c r="H352" i="2"/>
  <c r="G352" i="2"/>
  <c r="F352" i="2"/>
  <c r="C352" i="2"/>
  <c r="B352" i="2"/>
  <c r="A352" i="2"/>
  <c r="O351" i="2"/>
  <c r="N351" i="2"/>
  <c r="M351" i="2"/>
  <c r="L351" i="2"/>
  <c r="K351" i="2"/>
  <c r="J351" i="2"/>
  <c r="I351" i="2"/>
  <c r="H351" i="2"/>
  <c r="G351" i="2"/>
  <c r="F351" i="2"/>
  <c r="C351" i="2"/>
  <c r="B351" i="2"/>
  <c r="A351" i="2"/>
  <c r="O350" i="2"/>
  <c r="N350" i="2"/>
  <c r="M350" i="2"/>
  <c r="L350" i="2"/>
  <c r="K350" i="2"/>
  <c r="J350" i="2"/>
  <c r="I350" i="2"/>
  <c r="H350" i="2"/>
  <c r="G350" i="2"/>
  <c r="F350" i="2"/>
  <c r="C350" i="2"/>
  <c r="B350" i="2"/>
  <c r="A350" i="2"/>
  <c r="O349" i="2"/>
  <c r="N349" i="2"/>
  <c r="M349" i="2"/>
  <c r="L349" i="2"/>
  <c r="K349" i="2"/>
  <c r="J349" i="2"/>
  <c r="I349" i="2"/>
  <c r="H349" i="2"/>
  <c r="G349" i="2"/>
  <c r="F349" i="2"/>
  <c r="C349" i="2"/>
  <c r="B349" i="2"/>
  <c r="A349" i="2"/>
  <c r="O348" i="2"/>
  <c r="N348" i="2"/>
  <c r="M348" i="2"/>
  <c r="L348" i="2"/>
  <c r="K348" i="2"/>
  <c r="J348" i="2"/>
  <c r="I348" i="2"/>
  <c r="H348" i="2"/>
  <c r="G348" i="2"/>
  <c r="F348" i="2"/>
  <c r="C348" i="2"/>
  <c r="B348" i="2"/>
  <c r="A348" i="2"/>
  <c r="O347" i="2"/>
  <c r="N347" i="2"/>
  <c r="M347" i="2"/>
  <c r="L347" i="2"/>
  <c r="K347" i="2"/>
  <c r="J347" i="2"/>
  <c r="I347" i="2"/>
  <c r="H347" i="2"/>
  <c r="G347" i="2"/>
  <c r="F347" i="2"/>
  <c r="C347" i="2"/>
  <c r="B347" i="2"/>
  <c r="A347" i="2"/>
  <c r="O346" i="2"/>
  <c r="N346" i="2"/>
  <c r="M346" i="2"/>
  <c r="L346" i="2"/>
  <c r="K346" i="2"/>
  <c r="J346" i="2"/>
  <c r="I346" i="2"/>
  <c r="H346" i="2"/>
  <c r="G346" i="2"/>
  <c r="F346" i="2"/>
  <c r="C346" i="2"/>
  <c r="B346" i="2"/>
  <c r="A346" i="2"/>
  <c r="O345" i="2"/>
  <c r="N345" i="2"/>
  <c r="M345" i="2"/>
  <c r="L345" i="2"/>
  <c r="K345" i="2"/>
  <c r="J345" i="2"/>
  <c r="I345" i="2"/>
  <c r="H345" i="2"/>
  <c r="G345" i="2"/>
  <c r="F345" i="2"/>
  <c r="C345" i="2"/>
  <c r="B345" i="2"/>
  <c r="A345" i="2"/>
  <c r="O344" i="2"/>
  <c r="N344" i="2"/>
  <c r="M344" i="2"/>
  <c r="L344" i="2"/>
  <c r="K344" i="2"/>
  <c r="J344" i="2"/>
  <c r="I344" i="2"/>
  <c r="H344" i="2"/>
  <c r="G344" i="2"/>
  <c r="F344" i="2"/>
  <c r="C344" i="2"/>
  <c r="B344" i="2"/>
  <c r="A344" i="2"/>
  <c r="O343" i="2"/>
  <c r="N343" i="2"/>
  <c r="M343" i="2"/>
  <c r="L343" i="2"/>
  <c r="K343" i="2"/>
  <c r="J343" i="2"/>
  <c r="I343" i="2"/>
  <c r="H343" i="2"/>
  <c r="G343" i="2"/>
  <c r="F343" i="2"/>
  <c r="C343" i="2"/>
  <c r="B343" i="2"/>
  <c r="A343" i="2"/>
  <c r="O342" i="2"/>
  <c r="N342" i="2"/>
  <c r="M342" i="2"/>
  <c r="L342" i="2"/>
  <c r="K342" i="2"/>
  <c r="J342" i="2"/>
  <c r="I342" i="2"/>
  <c r="H342" i="2"/>
  <c r="G342" i="2"/>
  <c r="F342" i="2"/>
  <c r="C342" i="2"/>
  <c r="B342" i="2"/>
  <c r="A342" i="2"/>
  <c r="O341" i="2"/>
  <c r="N341" i="2"/>
  <c r="M341" i="2"/>
  <c r="L341" i="2"/>
  <c r="K341" i="2"/>
  <c r="J341" i="2"/>
  <c r="I341" i="2"/>
  <c r="H341" i="2"/>
  <c r="G341" i="2"/>
  <c r="F341" i="2"/>
  <c r="C341" i="2"/>
  <c r="B341" i="2"/>
  <c r="A341" i="2"/>
  <c r="O340" i="2"/>
  <c r="N340" i="2"/>
  <c r="M340" i="2"/>
  <c r="L340" i="2"/>
  <c r="K340" i="2"/>
  <c r="J340" i="2"/>
  <c r="I340" i="2"/>
  <c r="H340" i="2"/>
  <c r="G340" i="2"/>
  <c r="F340" i="2"/>
  <c r="C340" i="2"/>
  <c r="B340" i="2"/>
  <c r="A340" i="2"/>
  <c r="O339" i="2"/>
  <c r="N339" i="2"/>
  <c r="M339" i="2"/>
  <c r="L339" i="2"/>
  <c r="K339" i="2"/>
  <c r="J339" i="2"/>
  <c r="I339" i="2"/>
  <c r="H339" i="2"/>
  <c r="G339" i="2"/>
  <c r="F339" i="2"/>
  <c r="C339" i="2"/>
  <c r="B339" i="2"/>
  <c r="A339" i="2"/>
  <c r="O338" i="2"/>
  <c r="N338" i="2"/>
  <c r="M338" i="2"/>
  <c r="L338" i="2"/>
  <c r="K338" i="2"/>
  <c r="J338" i="2"/>
  <c r="I338" i="2"/>
  <c r="H338" i="2"/>
  <c r="G338" i="2"/>
  <c r="F338" i="2"/>
  <c r="C338" i="2"/>
  <c r="B338" i="2"/>
  <c r="A338" i="2"/>
  <c r="O337" i="2"/>
  <c r="N337" i="2"/>
  <c r="M337" i="2"/>
  <c r="L337" i="2"/>
  <c r="K337" i="2"/>
  <c r="J337" i="2"/>
  <c r="I337" i="2"/>
  <c r="H337" i="2"/>
  <c r="G337" i="2"/>
  <c r="F337" i="2"/>
  <c r="C337" i="2"/>
  <c r="B337" i="2"/>
  <c r="A337" i="2"/>
  <c r="O336" i="2"/>
  <c r="N336" i="2"/>
  <c r="M336" i="2"/>
  <c r="L336" i="2"/>
  <c r="K336" i="2"/>
  <c r="J336" i="2"/>
  <c r="I336" i="2"/>
  <c r="H336" i="2"/>
  <c r="G336" i="2"/>
  <c r="F336" i="2"/>
  <c r="C336" i="2"/>
  <c r="B336" i="2"/>
  <c r="A336" i="2"/>
  <c r="O335" i="2"/>
  <c r="N335" i="2"/>
  <c r="M335" i="2"/>
  <c r="L335" i="2"/>
  <c r="K335" i="2"/>
  <c r="J335" i="2"/>
  <c r="I335" i="2"/>
  <c r="H335" i="2"/>
  <c r="G335" i="2"/>
  <c r="F335" i="2"/>
  <c r="C335" i="2"/>
  <c r="B335" i="2"/>
  <c r="A335" i="2"/>
  <c r="O334" i="2"/>
  <c r="N334" i="2"/>
  <c r="M334" i="2"/>
  <c r="L334" i="2"/>
  <c r="K334" i="2"/>
  <c r="J334" i="2"/>
  <c r="I334" i="2"/>
  <c r="H334" i="2"/>
  <c r="G334" i="2"/>
  <c r="F334" i="2"/>
  <c r="C334" i="2"/>
  <c r="B334" i="2"/>
  <c r="A334" i="2"/>
  <c r="O333" i="2"/>
  <c r="N333" i="2"/>
  <c r="M333" i="2"/>
  <c r="L333" i="2"/>
  <c r="K333" i="2"/>
  <c r="J333" i="2"/>
  <c r="I333" i="2"/>
  <c r="H333" i="2"/>
  <c r="G333" i="2"/>
  <c r="F333" i="2"/>
  <c r="C333" i="2"/>
  <c r="B333" i="2"/>
  <c r="A333" i="2"/>
  <c r="O332" i="2"/>
  <c r="N332" i="2"/>
  <c r="M332" i="2"/>
  <c r="L332" i="2"/>
  <c r="K332" i="2"/>
  <c r="J332" i="2"/>
  <c r="I332" i="2"/>
  <c r="H332" i="2"/>
  <c r="G332" i="2"/>
  <c r="F332" i="2"/>
  <c r="C332" i="2"/>
  <c r="B332" i="2"/>
  <c r="A332" i="2"/>
  <c r="O331" i="2"/>
  <c r="N331" i="2"/>
  <c r="M331" i="2"/>
  <c r="L331" i="2"/>
  <c r="K331" i="2"/>
  <c r="J331" i="2"/>
  <c r="I331" i="2"/>
  <c r="H331" i="2"/>
  <c r="G331" i="2"/>
  <c r="F331" i="2"/>
  <c r="C331" i="2"/>
  <c r="B331" i="2"/>
  <c r="A331" i="2"/>
  <c r="O330" i="2"/>
  <c r="N330" i="2"/>
  <c r="M330" i="2"/>
  <c r="L330" i="2"/>
  <c r="K330" i="2"/>
  <c r="J330" i="2"/>
  <c r="I330" i="2"/>
  <c r="H330" i="2"/>
  <c r="G330" i="2"/>
  <c r="F330" i="2"/>
  <c r="C330" i="2"/>
  <c r="B330" i="2"/>
  <c r="A330" i="2"/>
  <c r="O329" i="2"/>
  <c r="N329" i="2"/>
  <c r="M329" i="2"/>
  <c r="L329" i="2"/>
  <c r="K329" i="2"/>
  <c r="J329" i="2"/>
  <c r="I329" i="2"/>
  <c r="H329" i="2"/>
  <c r="G329" i="2"/>
  <c r="F329" i="2"/>
  <c r="C329" i="2"/>
  <c r="B329" i="2"/>
  <c r="A329" i="2"/>
  <c r="O328" i="2"/>
  <c r="N328" i="2"/>
  <c r="M328" i="2"/>
  <c r="L328" i="2"/>
  <c r="K328" i="2"/>
  <c r="J328" i="2"/>
  <c r="I328" i="2"/>
  <c r="H328" i="2"/>
  <c r="G328" i="2"/>
  <c r="F328" i="2"/>
  <c r="C328" i="2"/>
  <c r="B328" i="2"/>
  <c r="A328" i="2"/>
  <c r="O327" i="2"/>
  <c r="N327" i="2"/>
  <c r="M327" i="2"/>
  <c r="L327" i="2"/>
  <c r="K327" i="2"/>
  <c r="J327" i="2"/>
  <c r="I327" i="2"/>
  <c r="H327" i="2"/>
  <c r="G327" i="2"/>
  <c r="F327" i="2"/>
  <c r="C327" i="2"/>
  <c r="B327" i="2"/>
  <c r="A327" i="2"/>
  <c r="O326" i="2"/>
  <c r="N326" i="2"/>
  <c r="M326" i="2"/>
  <c r="L326" i="2"/>
  <c r="K326" i="2"/>
  <c r="J326" i="2"/>
  <c r="I326" i="2"/>
  <c r="H326" i="2"/>
  <c r="G326" i="2"/>
  <c r="F326" i="2"/>
  <c r="C326" i="2"/>
  <c r="B326" i="2"/>
  <c r="A326" i="2"/>
  <c r="O325" i="2"/>
  <c r="N325" i="2"/>
  <c r="M325" i="2"/>
  <c r="L325" i="2"/>
  <c r="K325" i="2"/>
  <c r="J325" i="2"/>
  <c r="I325" i="2"/>
  <c r="H325" i="2"/>
  <c r="G325" i="2"/>
  <c r="F325" i="2"/>
  <c r="C325" i="2"/>
  <c r="B325" i="2"/>
  <c r="A325" i="2"/>
  <c r="O324" i="2"/>
  <c r="N324" i="2"/>
  <c r="M324" i="2"/>
  <c r="L324" i="2"/>
  <c r="K324" i="2"/>
  <c r="J324" i="2"/>
  <c r="I324" i="2"/>
  <c r="H324" i="2"/>
  <c r="G324" i="2"/>
  <c r="F324" i="2"/>
  <c r="C324" i="2"/>
  <c r="B324" i="2"/>
  <c r="A324" i="2"/>
  <c r="O323" i="2"/>
  <c r="N323" i="2"/>
  <c r="M323" i="2"/>
  <c r="L323" i="2"/>
  <c r="K323" i="2"/>
  <c r="J323" i="2"/>
  <c r="I323" i="2"/>
  <c r="H323" i="2"/>
  <c r="G323" i="2"/>
  <c r="F323" i="2"/>
  <c r="C323" i="2"/>
  <c r="B323" i="2"/>
  <c r="A323" i="2"/>
  <c r="O322" i="2"/>
  <c r="N322" i="2"/>
  <c r="M322" i="2"/>
  <c r="L322" i="2"/>
  <c r="K322" i="2"/>
  <c r="J322" i="2"/>
  <c r="I322" i="2"/>
  <c r="H322" i="2"/>
  <c r="G322" i="2"/>
  <c r="F322" i="2"/>
  <c r="C322" i="2"/>
  <c r="B322" i="2"/>
  <c r="A322" i="2"/>
  <c r="O321" i="2"/>
  <c r="N321" i="2"/>
  <c r="M321" i="2"/>
  <c r="L321" i="2"/>
  <c r="K321" i="2"/>
  <c r="J321" i="2"/>
  <c r="I321" i="2"/>
  <c r="H321" i="2"/>
  <c r="G321" i="2"/>
  <c r="F321" i="2"/>
  <c r="C321" i="2"/>
  <c r="B321" i="2"/>
  <c r="A321" i="2"/>
  <c r="O320" i="2"/>
  <c r="N320" i="2"/>
  <c r="M320" i="2"/>
  <c r="L320" i="2"/>
  <c r="K320" i="2"/>
  <c r="J320" i="2"/>
  <c r="I320" i="2"/>
  <c r="H320" i="2"/>
  <c r="G320" i="2"/>
  <c r="F320" i="2"/>
  <c r="C320" i="2"/>
  <c r="B320" i="2"/>
  <c r="A320" i="2"/>
  <c r="O319" i="2"/>
  <c r="N319" i="2"/>
  <c r="M319" i="2"/>
  <c r="L319" i="2"/>
  <c r="K319" i="2"/>
  <c r="J319" i="2"/>
  <c r="I319" i="2"/>
  <c r="H319" i="2"/>
  <c r="G319" i="2"/>
  <c r="F319" i="2"/>
  <c r="C319" i="2"/>
  <c r="B319" i="2"/>
  <c r="A319" i="2"/>
  <c r="O318" i="2"/>
  <c r="N318" i="2"/>
  <c r="M318" i="2"/>
  <c r="L318" i="2"/>
  <c r="K318" i="2"/>
  <c r="J318" i="2"/>
  <c r="I318" i="2"/>
  <c r="H318" i="2"/>
  <c r="G318" i="2"/>
  <c r="F318" i="2"/>
  <c r="C318" i="2"/>
  <c r="B318" i="2"/>
  <c r="A318" i="2"/>
  <c r="O317" i="2"/>
  <c r="N317" i="2"/>
  <c r="M317" i="2"/>
  <c r="L317" i="2"/>
  <c r="K317" i="2"/>
  <c r="J317" i="2"/>
  <c r="I317" i="2"/>
  <c r="H317" i="2"/>
  <c r="G317" i="2"/>
  <c r="F317" i="2"/>
  <c r="C317" i="2"/>
  <c r="B317" i="2"/>
  <c r="A317" i="2"/>
  <c r="O316" i="2"/>
  <c r="N316" i="2"/>
  <c r="M316" i="2"/>
  <c r="L316" i="2"/>
  <c r="K316" i="2"/>
  <c r="J316" i="2"/>
  <c r="I316" i="2"/>
  <c r="H316" i="2"/>
  <c r="G316" i="2"/>
  <c r="F316" i="2"/>
  <c r="C316" i="2"/>
  <c r="B316" i="2"/>
  <c r="A316" i="2"/>
  <c r="O315" i="2"/>
  <c r="N315" i="2"/>
  <c r="M315" i="2"/>
  <c r="L315" i="2"/>
  <c r="K315" i="2"/>
  <c r="J315" i="2"/>
  <c r="I315" i="2"/>
  <c r="H315" i="2"/>
  <c r="G315" i="2"/>
  <c r="F315" i="2"/>
  <c r="C315" i="2"/>
  <c r="B315" i="2"/>
  <c r="A315" i="2"/>
  <c r="O314" i="2"/>
  <c r="N314" i="2"/>
  <c r="M314" i="2"/>
  <c r="L314" i="2"/>
  <c r="K314" i="2"/>
  <c r="J314" i="2"/>
  <c r="I314" i="2"/>
  <c r="H314" i="2"/>
  <c r="G314" i="2"/>
  <c r="F314" i="2"/>
  <c r="C314" i="2"/>
  <c r="B314" i="2"/>
  <c r="A314" i="2"/>
  <c r="O313" i="2"/>
  <c r="N313" i="2"/>
  <c r="M313" i="2"/>
  <c r="L313" i="2"/>
  <c r="K313" i="2"/>
  <c r="J313" i="2"/>
  <c r="I313" i="2"/>
  <c r="H313" i="2"/>
  <c r="G313" i="2"/>
  <c r="F313" i="2"/>
  <c r="C313" i="2"/>
  <c r="B313" i="2"/>
  <c r="A313" i="2"/>
  <c r="O312" i="2"/>
  <c r="N312" i="2"/>
  <c r="M312" i="2"/>
  <c r="L312" i="2"/>
  <c r="K312" i="2"/>
  <c r="J312" i="2"/>
  <c r="I312" i="2"/>
  <c r="H312" i="2"/>
  <c r="G312" i="2"/>
  <c r="F312" i="2"/>
  <c r="C312" i="2"/>
  <c r="B312" i="2"/>
  <c r="A312" i="2"/>
  <c r="O311" i="2"/>
  <c r="N311" i="2"/>
  <c r="M311" i="2"/>
  <c r="L311" i="2"/>
  <c r="K311" i="2"/>
  <c r="J311" i="2"/>
  <c r="I311" i="2"/>
  <c r="H311" i="2"/>
  <c r="G311" i="2"/>
  <c r="F311" i="2"/>
  <c r="C311" i="2"/>
  <c r="B311" i="2"/>
  <c r="A311" i="2"/>
  <c r="O310" i="2"/>
  <c r="N310" i="2"/>
  <c r="M310" i="2"/>
  <c r="L310" i="2"/>
  <c r="K310" i="2"/>
  <c r="J310" i="2"/>
  <c r="I310" i="2"/>
  <c r="H310" i="2"/>
  <c r="G310" i="2"/>
  <c r="F310" i="2"/>
  <c r="C310" i="2"/>
  <c r="B310" i="2"/>
  <c r="A310" i="2"/>
  <c r="O309" i="2"/>
  <c r="N309" i="2"/>
  <c r="M309" i="2"/>
  <c r="L309" i="2"/>
  <c r="K309" i="2"/>
  <c r="J309" i="2"/>
  <c r="I309" i="2"/>
  <c r="H309" i="2"/>
  <c r="G309" i="2"/>
  <c r="F309" i="2"/>
  <c r="C309" i="2"/>
  <c r="B309" i="2"/>
  <c r="A309" i="2"/>
  <c r="O308" i="2"/>
  <c r="N308" i="2"/>
  <c r="M308" i="2"/>
  <c r="L308" i="2"/>
  <c r="K308" i="2"/>
  <c r="J308" i="2"/>
  <c r="I308" i="2"/>
  <c r="H308" i="2"/>
  <c r="G308" i="2"/>
  <c r="F308" i="2"/>
  <c r="C308" i="2"/>
  <c r="B308" i="2"/>
  <c r="A308" i="2"/>
  <c r="O307" i="2"/>
  <c r="N307" i="2"/>
  <c r="M307" i="2"/>
  <c r="L307" i="2"/>
  <c r="K307" i="2"/>
  <c r="J307" i="2"/>
  <c r="I307" i="2"/>
  <c r="H307" i="2"/>
  <c r="G307" i="2"/>
  <c r="F307" i="2"/>
  <c r="C307" i="2"/>
  <c r="B307" i="2"/>
  <c r="A307" i="2"/>
  <c r="O306" i="2"/>
  <c r="N306" i="2"/>
  <c r="M306" i="2"/>
  <c r="L306" i="2"/>
  <c r="K306" i="2"/>
  <c r="J306" i="2"/>
  <c r="I306" i="2"/>
  <c r="H306" i="2"/>
  <c r="G306" i="2"/>
  <c r="F306" i="2"/>
  <c r="C306" i="2"/>
  <c r="B306" i="2"/>
  <c r="A306" i="2"/>
  <c r="O305" i="2"/>
  <c r="N305" i="2"/>
  <c r="M305" i="2"/>
  <c r="L305" i="2"/>
  <c r="K305" i="2"/>
  <c r="J305" i="2"/>
  <c r="I305" i="2"/>
  <c r="H305" i="2"/>
  <c r="G305" i="2"/>
  <c r="F305" i="2"/>
  <c r="C305" i="2"/>
  <c r="B305" i="2"/>
  <c r="A305" i="2"/>
  <c r="O304" i="2"/>
  <c r="N304" i="2"/>
  <c r="M304" i="2"/>
  <c r="L304" i="2"/>
  <c r="K304" i="2"/>
  <c r="J304" i="2"/>
  <c r="I304" i="2"/>
  <c r="H304" i="2"/>
  <c r="G304" i="2"/>
  <c r="F304" i="2"/>
  <c r="C304" i="2"/>
  <c r="B304" i="2"/>
  <c r="A304" i="2"/>
  <c r="O303" i="2"/>
  <c r="N303" i="2"/>
  <c r="M303" i="2"/>
  <c r="L303" i="2"/>
  <c r="K303" i="2"/>
  <c r="J303" i="2"/>
  <c r="I303" i="2"/>
  <c r="H303" i="2"/>
  <c r="G303" i="2"/>
  <c r="F303" i="2"/>
  <c r="C303" i="2"/>
  <c r="B303" i="2"/>
  <c r="A303" i="2"/>
  <c r="O302" i="2"/>
  <c r="N302" i="2"/>
  <c r="M302" i="2"/>
  <c r="L302" i="2"/>
  <c r="K302" i="2"/>
  <c r="J302" i="2"/>
  <c r="I302" i="2"/>
  <c r="H302" i="2"/>
  <c r="G302" i="2"/>
  <c r="F302" i="2"/>
  <c r="C302" i="2"/>
  <c r="B302" i="2"/>
  <c r="A302" i="2"/>
  <c r="O301" i="2"/>
  <c r="N301" i="2"/>
  <c r="M301" i="2"/>
  <c r="L301" i="2"/>
  <c r="K301" i="2"/>
  <c r="J301" i="2"/>
  <c r="I301" i="2"/>
  <c r="H301" i="2"/>
  <c r="G301" i="2"/>
  <c r="F301" i="2"/>
  <c r="C301" i="2"/>
  <c r="B301" i="2"/>
  <c r="A301" i="2"/>
  <c r="O300" i="2"/>
  <c r="N300" i="2"/>
  <c r="M300" i="2"/>
  <c r="L300" i="2"/>
  <c r="K300" i="2"/>
  <c r="J300" i="2"/>
  <c r="I300" i="2"/>
  <c r="H300" i="2"/>
  <c r="G300" i="2"/>
  <c r="F300" i="2"/>
  <c r="C300" i="2"/>
  <c r="B300" i="2"/>
  <c r="A300" i="2"/>
  <c r="O299" i="2"/>
  <c r="N299" i="2"/>
  <c r="M299" i="2"/>
  <c r="L299" i="2"/>
  <c r="K299" i="2"/>
  <c r="J299" i="2"/>
  <c r="I299" i="2"/>
  <c r="H299" i="2"/>
  <c r="G299" i="2"/>
  <c r="F299" i="2"/>
  <c r="C299" i="2"/>
  <c r="B299" i="2"/>
  <c r="A299" i="2"/>
  <c r="O298" i="2"/>
  <c r="N298" i="2"/>
  <c r="M298" i="2"/>
  <c r="L298" i="2"/>
  <c r="K298" i="2"/>
  <c r="J298" i="2"/>
  <c r="I298" i="2"/>
  <c r="H298" i="2"/>
  <c r="G298" i="2"/>
  <c r="F298" i="2"/>
  <c r="C298" i="2"/>
  <c r="B298" i="2"/>
  <c r="A298" i="2"/>
  <c r="O297" i="2"/>
  <c r="N297" i="2"/>
  <c r="M297" i="2"/>
  <c r="L297" i="2"/>
  <c r="K297" i="2"/>
  <c r="J297" i="2"/>
  <c r="I297" i="2"/>
  <c r="H297" i="2"/>
  <c r="G297" i="2"/>
  <c r="F297" i="2"/>
  <c r="C297" i="2"/>
  <c r="B297" i="2"/>
  <c r="A297" i="2"/>
  <c r="O296" i="2"/>
  <c r="N296" i="2"/>
  <c r="M296" i="2"/>
  <c r="L296" i="2"/>
  <c r="K296" i="2"/>
  <c r="J296" i="2"/>
  <c r="I296" i="2"/>
  <c r="H296" i="2"/>
  <c r="G296" i="2"/>
  <c r="F296" i="2"/>
  <c r="C296" i="2"/>
  <c r="B296" i="2"/>
  <c r="A296" i="2"/>
  <c r="O295" i="2"/>
  <c r="N295" i="2"/>
  <c r="M295" i="2"/>
  <c r="L295" i="2"/>
  <c r="K295" i="2"/>
  <c r="J295" i="2"/>
  <c r="I295" i="2"/>
  <c r="H295" i="2"/>
  <c r="G295" i="2"/>
  <c r="F295" i="2"/>
  <c r="C295" i="2"/>
  <c r="B295" i="2"/>
  <c r="A295" i="2"/>
  <c r="O294" i="2"/>
  <c r="N294" i="2"/>
  <c r="M294" i="2"/>
  <c r="L294" i="2"/>
  <c r="K294" i="2"/>
  <c r="J294" i="2"/>
  <c r="I294" i="2"/>
  <c r="H294" i="2"/>
  <c r="G294" i="2"/>
  <c r="F294" i="2"/>
  <c r="C294" i="2"/>
  <c r="B294" i="2"/>
  <c r="A294" i="2"/>
  <c r="O293" i="2"/>
  <c r="N293" i="2"/>
  <c r="M293" i="2"/>
  <c r="L293" i="2"/>
  <c r="K293" i="2"/>
  <c r="J293" i="2"/>
  <c r="I293" i="2"/>
  <c r="H293" i="2"/>
  <c r="G293" i="2"/>
  <c r="F293" i="2"/>
  <c r="C293" i="2"/>
  <c r="B293" i="2"/>
  <c r="A293" i="2"/>
  <c r="O292" i="2"/>
  <c r="N292" i="2"/>
  <c r="M292" i="2"/>
  <c r="L292" i="2"/>
  <c r="K292" i="2"/>
  <c r="J292" i="2"/>
  <c r="I292" i="2"/>
  <c r="H292" i="2"/>
  <c r="G292" i="2"/>
  <c r="F292" i="2"/>
  <c r="C292" i="2"/>
  <c r="B292" i="2"/>
  <c r="A292" i="2"/>
  <c r="O291" i="2"/>
  <c r="N291" i="2"/>
  <c r="M291" i="2"/>
  <c r="L291" i="2"/>
  <c r="K291" i="2"/>
  <c r="J291" i="2"/>
  <c r="I291" i="2"/>
  <c r="H291" i="2"/>
  <c r="G291" i="2"/>
  <c r="F291" i="2"/>
  <c r="C291" i="2"/>
  <c r="B291" i="2"/>
  <c r="A291" i="2"/>
  <c r="O290" i="2"/>
  <c r="N290" i="2"/>
  <c r="M290" i="2"/>
  <c r="L290" i="2"/>
  <c r="K290" i="2"/>
  <c r="J290" i="2"/>
  <c r="I290" i="2"/>
  <c r="H290" i="2"/>
  <c r="G290" i="2"/>
  <c r="F290" i="2"/>
  <c r="C290" i="2"/>
  <c r="B290" i="2"/>
  <c r="A290" i="2"/>
  <c r="O289" i="2"/>
  <c r="N289" i="2"/>
  <c r="M289" i="2"/>
  <c r="L289" i="2"/>
  <c r="K289" i="2"/>
  <c r="J289" i="2"/>
  <c r="I289" i="2"/>
  <c r="H289" i="2"/>
  <c r="G289" i="2"/>
  <c r="F289" i="2"/>
  <c r="C289" i="2"/>
  <c r="B289" i="2"/>
  <c r="A289" i="2"/>
  <c r="O288" i="2"/>
  <c r="N288" i="2"/>
  <c r="M288" i="2"/>
  <c r="L288" i="2"/>
  <c r="K288" i="2"/>
  <c r="J288" i="2"/>
  <c r="I288" i="2"/>
  <c r="H288" i="2"/>
  <c r="G288" i="2"/>
  <c r="F288" i="2"/>
  <c r="C288" i="2"/>
  <c r="B288" i="2"/>
  <c r="A288" i="2"/>
  <c r="O287" i="2"/>
  <c r="N287" i="2"/>
  <c r="M287" i="2"/>
  <c r="L287" i="2"/>
  <c r="K287" i="2"/>
  <c r="J287" i="2"/>
  <c r="I287" i="2"/>
  <c r="H287" i="2"/>
  <c r="G287" i="2"/>
  <c r="F287" i="2"/>
  <c r="C287" i="2"/>
  <c r="B287" i="2"/>
  <c r="A287" i="2"/>
  <c r="O286" i="2"/>
  <c r="N286" i="2"/>
  <c r="M286" i="2"/>
  <c r="L286" i="2"/>
  <c r="K286" i="2"/>
  <c r="J286" i="2"/>
  <c r="I286" i="2"/>
  <c r="H286" i="2"/>
  <c r="G286" i="2"/>
  <c r="F286" i="2"/>
  <c r="C286" i="2"/>
  <c r="B286" i="2"/>
  <c r="A286" i="2"/>
  <c r="O285" i="2"/>
  <c r="N285" i="2"/>
  <c r="M285" i="2"/>
  <c r="L285" i="2"/>
  <c r="K285" i="2"/>
  <c r="J285" i="2"/>
  <c r="I285" i="2"/>
  <c r="H285" i="2"/>
  <c r="G285" i="2"/>
  <c r="F285" i="2"/>
  <c r="C285" i="2"/>
  <c r="B285" i="2"/>
  <c r="A285" i="2"/>
  <c r="O284" i="2"/>
  <c r="N284" i="2"/>
  <c r="M284" i="2"/>
  <c r="L284" i="2"/>
  <c r="K284" i="2"/>
  <c r="J284" i="2"/>
  <c r="I284" i="2"/>
  <c r="H284" i="2"/>
  <c r="G284" i="2"/>
  <c r="F284" i="2"/>
  <c r="C284" i="2"/>
  <c r="B284" i="2"/>
  <c r="A284" i="2"/>
  <c r="O283" i="2"/>
  <c r="N283" i="2"/>
  <c r="M283" i="2"/>
  <c r="L283" i="2"/>
  <c r="K283" i="2"/>
  <c r="J283" i="2"/>
  <c r="I283" i="2"/>
  <c r="H283" i="2"/>
  <c r="G283" i="2"/>
  <c r="F283" i="2"/>
  <c r="C283" i="2"/>
  <c r="B283" i="2"/>
  <c r="A283" i="2"/>
  <c r="O282" i="2"/>
  <c r="N282" i="2"/>
  <c r="M282" i="2"/>
  <c r="L282" i="2"/>
  <c r="K282" i="2"/>
  <c r="J282" i="2"/>
  <c r="I282" i="2"/>
  <c r="H282" i="2"/>
  <c r="G282" i="2"/>
  <c r="F282" i="2"/>
  <c r="C282" i="2"/>
  <c r="B282" i="2"/>
  <c r="A282" i="2"/>
  <c r="O281" i="2"/>
  <c r="N281" i="2"/>
  <c r="M281" i="2"/>
  <c r="L281" i="2"/>
  <c r="K281" i="2"/>
  <c r="J281" i="2"/>
  <c r="I281" i="2"/>
  <c r="H281" i="2"/>
  <c r="G281" i="2"/>
  <c r="F281" i="2"/>
  <c r="C281" i="2"/>
  <c r="B281" i="2"/>
  <c r="A281" i="2"/>
  <c r="O280" i="2"/>
  <c r="N280" i="2"/>
  <c r="M280" i="2"/>
  <c r="L280" i="2"/>
  <c r="K280" i="2"/>
  <c r="J280" i="2"/>
  <c r="I280" i="2"/>
  <c r="H280" i="2"/>
  <c r="G280" i="2"/>
  <c r="F280" i="2"/>
  <c r="C280" i="2"/>
  <c r="B280" i="2"/>
  <c r="A280" i="2"/>
  <c r="O279" i="2"/>
  <c r="N279" i="2"/>
  <c r="M279" i="2"/>
  <c r="L279" i="2"/>
  <c r="K279" i="2"/>
  <c r="J279" i="2"/>
  <c r="I279" i="2"/>
  <c r="H279" i="2"/>
  <c r="G279" i="2"/>
  <c r="F279" i="2"/>
  <c r="C279" i="2"/>
  <c r="B279" i="2"/>
  <c r="A279" i="2"/>
  <c r="O278" i="2"/>
  <c r="N278" i="2"/>
  <c r="M278" i="2"/>
  <c r="L278" i="2"/>
  <c r="K278" i="2"/>
  <c r="J278" i="2"/>
  <c r="I278" i="2"/>
  <c r="H278" i="2"/>
  <c r="G278" i="2"/>
  <c r="F278" i="2"/>
  <c r="C278" i="2"/>
  <c r="B278" i="2"/>
  <c r="A278" i="2"/>
  <c r="O277" i="2"/>
  <c r="N277" i="2"/>
  <c r="M277" i="2"/>
  <c r="L277" i="2"/>
  <c r="K277" i="2"/>
  <c r="J277" i="2"/>
  <c r="I277" i="2"/>
  <c r="H277" i="2"/>
  <c r="G277" i="2"/>
  <c r="F277" i="2"/>
  <c r="C277" i="2"/>
  <c r="B277" i="2"/>
  <c r="A277" i="2"/>
  <c r="O276" i="2"/>
  <c r="N276" i="2"/>
  <c r="M276" i="2"/>
  <c r="L276" i="2"/>
  <c r="K276" i="2"/>
  <c r="J276" i="2"/>
  <c r="I276" i="2"/>
  <c r="H276" i="2"/>
  <c r="G276" i="2"/>
  <c r="F276" i="2"/>
  <c r="C276" i="2"/>
  <c r="B276" i="2"/>
  <c r="A276" i="2"/>
  <c r="O275" i="2"/>
  <c r="N275" i="2"/>
  <c r="M275" i="2"/>
  <c r="L275" i="2"/>
  <c r="K275" i="2"/>
  <c r="J275" i="2"/>
  <c r="I275" i="2"/>
  <c r="H275" i="2"/>
  <c r="G275" i="2"/>
  <c r="F275" i="2"/>
  <c r="C275" i="2"/>
  <c r="B275" i="2"/>
  <c r="A275" i="2"/>
  <c r="O274" i="2"/>
  <c r="N274" i="2"/>
  <c r="M274" i="2"/>
  <c r="L274" i="2"/>
  <c r="K274" i="2"/>
  <c r="J274" i="2"/>
  <c r="I274" i="2"/>
  <c r="H274" i="2"/>
  <c r="G274" i="2"/>
  <c r="F274" i="2"/>
  <c r="C274" i="2"/>
  <c r="B274" i="2"/>
  <c r="A274" i="2"/>
  <c r="O273" i="2"/>
  <c r="N273" i="2"/>
  <c r="M273" i="2"/>
  <c r="L273" i="2"/>
  <c r="K273" i="2"/>
  <c r="J273" i="2"/>
  <c r="I273" i="2"/>
  <c r="H273" i="2"/>
  <c r="G273" i="2"/>
  <c r="F273" i="2"/>
  <c r="C273" i="2"/>
  <c r="B273" i="2"/>
  <c r="A273" i="2"/>
  <c r="O272" i="2"/>
  <c r="N272" i="2"/>
  <c r="M272" i="2"/>
  <c r="L272" i="2"/>
  <c r="K272" i="2"/>
  <c r="J272" i="2"/>
  <c r="I272" i="2"/>
  <c r="H272" i="2"/>
  <c r="G272" i="2"/>
  <c r="F272" i="2"/>
  <c r="C272" i="2"/>
  <c r="B272" i="2"/>
  <c r="A272" i="2"/>
  <c r="O271" i="2"/>
  <c r="N271" i="2"/>
  <c r="M271" i="2"/>
  <c r="L271" i="2"/>
  <c r="K271" i="2"/>
  <c r="J271" i="2"/>
  <c r="I271" i="2"/>
  <c r="H271" i="2"/>
  <c r="G271" i="2"/>
  <c r="F271" i="2"/>
  <c r="C271" i="2"/>
  <c r="B271" i="2"/>
  <c r="A271" i="2"/>
  <c r="O270" i="2"/>
  <c r="N270" i="2"/>
  <c r="M270" i="2"/>
  <c r="L270" i="2"/>
  <c r="K270" i="2"/>
  <c r="J270" i="2"/>
  <c r="I270" i="2"/>
  <c r="H270" i="2"/>
  <c r="G270" i="2"/>
  <c r="F270" i="2"/>
  <c r="C270" i="2"/>
  <c r="B270" i="2"/>
  <c r="A270" i="2"/>
  <c r="O269" i="2"/>
  <c r="N269" i="2"/>
  <c r="M269" i="2"/>
  <c r="L269" i="2"/>
  <c r="K269" i="2"/>
  <c r="J269" i="2"/>
  <c r="I269" i="2"/>
  <c r="H269" i="2"/>
  <c r="G269" i="2"/>
  <c r="F269" i="2"/>
  <c r="C269" i="2"/>
  <c r="B269" i="2"/>
  <c r="A269" i="2"/>
  <c r="O268" i="2"/>
  <c r="N268" i="2"/>
  <c r="M268" i="2"/>
  <c r="L268" i="2"/>
  <c r="K268" i="2"/>
  <c r="J268" i="2"/>
  <c r="I268" i="2"/>
  <c r="H268" i="2"/>
  <c r="G268" i="2"/>
  <c r="F268" i="2"/>
  <c r="C268" i="2"/>
  <c r="B268" i="2"/>
  <c r="A268" i="2"/>
  <c r="O267" i="2"/>
  <c r="N267" i="2"/>
  <c r="M267" i="2"/>
  <c r="L267" i="2"/>
  <c r="K267" i="2"/>
  <c r="J267" i="2"/>
  <c r="I267" i="2"/>
  <c r="H267" i="2"/>
  <c r="G267" i="2"/>
  <c r="F267" i="2"/>
  <c r="C267" i="2"/>
  <c r="B267" i="2"/>
  <c r="A267" i="2"/>
  <c r="O266" i="2"/>
  <c r="N266" i="2"/>
  <c r="M266" i="2"/>
  <c r="L266" i="2"/>
  <c r="K266" i="2"/>
  <c r="J266" i="2"/>
  <c r="I266" i="2"/>
  <c r="H266" i="2"/>
  <c r="G266" i="2"/>
  <c r="F266" i="2"/>
  <c r="C266" i="2"/>
  <c r="B266" i="2"/>
  <c r="A266" i="2"/>
  <c r="O265" i="2"/>
  <c r="N265" i="2"/>
  <c r="M265" i="2"/>
  <c r="L265" i="2"/>
  <c r="K265" i="2"/>
  <c r="J265" i="2"/>
  <c r="I265" i="2"/>
  <c r="H265" i="2"/>
  <c r="G265" i="2"/>
  <c r="F265" i="2"/>
  <c r="C265" i="2"/>
  <c r="B265" i="2"/>
  <c r="A265" i="2"/>
  <c r="O264" i="2"/>
  <c r="N264" i="2"/>
  <c r="M264" i="2"/>
  <c r="L264" i="2"/>
  <c r="K264" i="2"/>
  <c r="J264" i="2"/>
  <c r="I264" i="2"/>
  <c r="H264" i="2"/>
  <c r="G264" i="2"/>
  <c r="F264" i="2"/>
  <c r="C264" i="2"/>
  <c r="B264" i="2"/>
  <c r="A264" i="2"/>
  <c r="O263" i="2"/>
  <c r="N263" i="2"/>
  <c r="M263" i="2"/>
  <c r="L263" i="2"/>
  <c r="K263" i="2"/>
  <c r="J263" i="2"/>
  <c r="I263" i="2"/>
  <c r="H263" i="2"/>
  <c r="G263" i="2"/>
  <c r="F263" i="2"/>
  <c r="C263" i="2"/>
  <c r="B263" i="2"/>
  <c r="A263" i="2"/>
  <c r="O262" i="2"/>
  <c r="N262" i="2"/>
  <c r="M262" i="2"/>
  <c r="L262" i="2"/>
  <c r="K262" i="2"/>
  <c r="J262" i="2"/>
  <c r="I262" i="2"/>
  <c r="H262" i="2"/>
  <c r="G262" i="2"/>
  <c r="F262" i="2"/>
  <c r="C262" i="2"/>
  <c r="B262" i="2"/>
  <c r="A262" i="2"/>
  <c r="O261" i="2"/>
  <c r="N261" i="2"/>
  <c r="M261" i="2"/>
  <c r="L261" i="2"/>
  <c r="K261" i="2"/>
  <c r="J261" i="2"/>
  <c r="I261" i="2"/>
  <c r="H261" i="2"/>
  <c r="G261" i="2"/>
  <c r="F261" i="2"/>
  <c r="C261" i="2"/>
  <c r="B261" i="2"/>
  <c r="A261" i="2"/>
  <c r="O260" i="2"/>
  <c r="N260" i="2"/>
  <c r="M260" i="2"/>
  <c r="L260" i="2"/>
  <c r="K260" i="2"/>
  <c r="J260" i="2"/>
  <c r="I260" i="2"/>
  <c r="H260" i="2"/>
  <c r="G260" i="2"/>
  <c r="F260" i="2"/>
  <c r="C260" i="2"/>
  <c r="B260" i="2"/>
  <c r="A260" i="2"/>
  <c r="O259" i="2"/>
  <c r="N259" i="2"/>
  <c r="M259" i="2"/>
  <c r="L259" i="2"/>
  <c r="K259" i="2"/>
  <c r="J259" i="2"/>
  <c r="I259" i="2"/>
  <c r="H259" i="2"/>
  <c r="G259" i="2"/>
  <c r="F259" i="2"/>
  <c r="C259" i="2"/>
  <c r="B259" i="2"/>
  <c r="A259" i="2"/>
  <c r="O258" i="2"/>
  <c r="N258" i="2"/>
  <c r="M258" i="2"/>
  <c r="L258" i="2"/>
  <c r="K258" i="2"/>
  <c r="J258" i="2"/>
  <c r="I258" i="2"/>
  <c r="H258" i="2"/>
  <c r="G258" i="2"/>
  <c r="F258" i="2"/>
  <c r="C258" i="2"/>
  <c r="B258" i="2"/>
  <c r="A258" i="2"/>
  <c r="O257" i="2"/>
  <c r="N257" i="2"/>
  <c r="M257" i="2"/>
  <c r="L257" i="2"/>
  <c r="K257" i="2"/>
  <c r="J257" i="2"/>
  <c r="I257" i="2"/>
  <c r="H257" i="2"/>
  <c r="G257" i="2"/>
  <c r="F257" i="2"/>
  <c r="C257" i="2"/>
  <c r="B257" i="2"/>
  <c r="A257" i="2"/>
  <c r="O256" i="2"/>
  <c r="N256" i="2"/>
  <c r="M256" i="2"/>
  <c r="L256" i="2"/>
  <c r="K256" i="2"/>
  <c r="J256" i="2"/>
  <c r="I256" i="2"/>
  <c r="H256" i="2"/>
  <c r="G256" i="2"/>
  <c r="F256" i="2"/>
  <c r="C256" i="2"/>
  <c r="B256" i="2"/>
  <c r="A256" i="2"/>
  <c r="O255" i="2"/>
  <c r="N255" i="2"/>
  <c r="M255" i="2"/>
  <c r="L255" i="2"/>
  <c r="K255" i="2"/>
  <c r="J255" i="2"/>
  <c r="I255" i="2"/>
  <c r="H255" i="2"/>
  <c r="G255" i="2"/>
  <c r="F255" i="2"/>
  <c r="C255" i="2"/>
  <c r="B255" i="2"/>
  <c r="A255" i="2"/>
  <c r="O254" i="2"/>
  <c r="N254" i="2"/>
  <c r="M254" i="2"/>
  <c r="L254" i="2"/>
  <c r="K254" i="2"/>
  <c r="J254" i="2"/>
  <c r="I254" i="2"/>
  <c r="H254" i="2"/>
  <c r="G254" i="2"/>
  <c r="F254" i="2"/>
  <c r="C254" i="2"/>
  <c r="B254" i="2"/>
  <c r="A254" i="2"/>
  <c r="O253" i="2"/>
  <c r="N253" i="2"/>
  <c r="M253" i="2"/>
  <c r="L253" i="2"/>
  <c r="K253" i="2"/>
  <c r="J253" i="2"/>
  <c r="I253" i="2"/>
  <c r="H253" i="2"/>
  <c r="G253" i="2"/>
  <c r="F253" i="2"/>
  <c r="C253" i="2"/>
  <c r="B253" i="2"/>
  <c r="A253" i="2"/>
  <c r="O252" i="2"/>
  <c r="N252" i="2"/>
  <c r="M252" i="2"/>
  <c r="L252" i="2"/>
  <c r="K252" i="2"/>
  <c r="J252" i="2"/>
  <c r="I252" i="2"/>
  <c r="H252" i="2"/>
  <c r="G252" i="2"/>
  <c r="F252" i="2"/>
  <c r="C252" i="2"/>
  <c r="B252" i="2"/>
  <c r="A252" i="2"/>
  <c r="O251" i="2"/>
  <c r="N251" i="2"/>
  <c r="M251" i="2"/>
  <c r="L251" i="2"/>
  <c r="K251" i="2"/>
  <c r="J251" i="2"/>
  <c r="I251" i="2"/>
  <c r="H251" i="2"/>
  <c r="G251" i="2"/>
  <c r="F251" i="2"/>
  <c r="C251" i="2"/>
  <c r="B251" i="2"/>
  <c r="A251" i="2"/>
  <c r="O250" i="2"/>
  <c r="N250" i="2"/>
  <c r="M250" i="2"/>
  <c r="L250" i="2"/>
  <c r="K250" i="2"/>
  <c r="J250" i="2"/>
  <c r="I250" i="2"/>
  <c r="H250" i="2"/>
  <c r="G250" i="2"/>
  <c r="F250" i="2"/>
  <c r="C250" i="2"/>
  <c r="B250" i="2"/>
  <c r="A250" i="2"/>
  <c r="O249" i="2"/>
  <c r="N249" i="2"/>
  <c r="M249" i="2"/>
  <c r="L249" i="2"/>
  <c r="K249" i="2"/>
  <c r="J249" i="2"/>
  <c r="I249" i="2"/>
  <c r="H249" i="2"/>
  <c r="G249" i="2"/>
  <c r="F249" i="2"/>
  <c r="C249" i="2"/>
  <c r="B249" i="2"/>
  <c r="A249" i="2"/>
  <c r="O248" i="2"/>
  <c r="N248" i="2"/>
  <c r="M248" i="2"/>
  <c r="L248" i="2"/>
  <c r="K248" i="2"/>
  <c r="J248" i="2"/>
  <c r="I248" i="2"/>
  <c r="H248" i="2"/>
  <c r="G248" i="2"/>
  <c r="F248" i="2"/>
  <c r="C248" i="2"/>
  <c r="B248" i="2"/>
  <c r="A248" i="2"/>
  <c r="O247" i="2"/>
  <c r="N247" i="2"/>
  <c r="M247" i="2"/>
  <c r="L247" i="2"/>
  <c r="K247" i="2"/>
  <c r="J247" i="2"/>
  <c r="I247" i="2"/>
  <c r="H247" i="2"/>
  <c r="G247" i="2"/>
  <c r="F247" i="2"/>
  <c r="C247" i="2"/>
  <c r="B247" i="2"/>
  <c r="A247" i="2"/>
  <c r="O246" i="2"/>
  <c r="N246" i="2"/>
  <c r="M246" i="2"/>
  <c r="L246" i="2"/>
  <c r="K246" i="2"/>
  <c r="J246" i="2"/>
  <c r="I246" i="2"/>
  <c r="H246" i="2"/>
  <c r="G246" i="2"/>
  <c r="F246" i="2"/>
  <c r="C246" i="2"/>
  <c r="B246" i="2"/>
  <c r="A246" i="2"/>
  <c r="O245" i="2"/>
  <c r="N245" i="2"/>
  <c r="M245" i="2"/>
  <c r="L245" i="2"/>
  <c r="K245" i="2"/>
  <c r="J245" i="2"/>
  <c r="I245" i="2"/>
  <c r="H245" i="2"/>
  <c r="G245" i="2"/>
  <c r="F245" i="2"/>
  <c r="C245" i="2"/>
  <c r="B245" i="2"/>
  <c r="A245" i="2"/>
  <c r="O244" i="2"/>
  <c r="N244" i="2"/>
  <c r="M244" i="2"/>
  <c r="L244" i="2"/>
  <c r="K244" i="2"/>
  <c r="J244" i="2"/>
  <c r="I244" i="2"/>
  <c r="H244" i="2"/>
  <c r="G244" i="2"/>
  <c r="F244" i="2"/>
  <c r="C244" i="2"/>
  <c r="B244" i="2"/>
  <c r="A244" i="2"/>
  <c r="O243" i="2"/>
  <c r="N243" i="2"/>
  <c r="M243" i="2"/>
  <c r="L243" i="2"/>
  <c r="K243" i="2"/>
  <c r="J243" i="2"/>
  <c r="I243" i="2"/>
  <c r="H243" i="2"/>
  <c r="G243" i="2"/>
  <c r="F243" i="2"/>
  <c r="C243" i="2"/>
  <c r="B243" i="2"/>
  <c r="A243" i="2"/>
  <c r="O242" i="2"/>
  <c r="N242" i="2"/>
  <c r="M242" i="2"/>
  <c r="L242" i="2"/>
  <c r="K242" i="2"/>
  <c r="J242" i="2"/>
  <c r="I242" i="2"/>
  <c r="H242" i="2"/>
  <c r="G242" i="2"/>
  <c r="F242" i="2"/>
  <c r="C242" i="2"/>
  <c r="B242" i="2"/>
  <c r="A242" i="2"/>
  <c r="O241" i="2"/>
  <c r="N241" i="2"/>
  <c r="M241" i="2"/>
  <c r="L241" i="2"/>
  <c r="K241" i="2"/>
  <c r="J241" i="2"/>
  <c r="I241" i="2"/>
  <c r="H241" i="2"/>
  <c r="G241" i="2"/>
  <c r="F241" i="2"/>
  <c r="C241" i="2"/>
  <c r="B241" i="2"/>
  <c r="A241" i="2"/>
  <c r="O240" i="2"/>
  <c r="N240" i="2"/>
  <c r="M240" i="2"/>
  <c r="L240" i="2"/>
  <c r="K240" i="2"/>
  <c r="J240" i="2"/>
  <c r="I240" i="2"/>
  <c r="H240" i="2"/>
  <c r="G240" i="2"/>
  <c r="F240" i="2"/>
  <c r="C240" i="2"/>
  <c r="B240" i="2"/>
  <c r="A240" i="2"/>
  <c r="O239" i="2"/>
  <c r="N239" i="2"/>
  <c r="M239" i="2"/>
  <c r="L239" i="2"/>
  <c r="K239" i="2"/>
  <c r="J239" i="2"/>
  <c r="I239" i="2"/>
  <c r="H239" i="2"/>
  <c r="G239" i="2"/>
  <c r="F239" i="2"/>
  <c r="C239" i="2"/>
  <c r="B239" i="2"/>
  <c r="A239" i="2"/>
  <c r="O238" i="2"/>
  <c r="N238" i="2"/>
  <c r="M238" i="2"/>
  <c r="L238" i="2"/>
  <c r="K238" i="2"/>
  <c r="J238" i="2"/>
  <c r="I238" i="2"/>
  <c r="H238" i="2"/>
  <c r="G238" i="2"/>
  <c r="F238" i="2"/>
  <c r="C238" i="2"/>
  <c r="B238" i="2"/>
  <c r="A238" i="2"/>
  <c r="O237" i="2"/>
  <c r="N237" i="2"/>
  <c r="M237" i="2"/>
  <c r="L237" i="2"/>
  <c r="K237" i="2"/>
  <c r="J237" i="2"/>
  <c r="I237" i="2"/>
  <c r="H237" i="2"/>
  <c r="G237" i="2"/>
  <c r="F237" i="2"/>
  <c r="C237" i="2"/>
  <c r="B237" i="2"/>
  <c r="A237" i="2"/>
  <c r="O236" i="2"/>
  <c r="N236" i="2"/>
  <c r="M236" i="2"/>
  <c r="L236" i="2"/>
  <c r="K236" i="2"/>
  <c r="J236" i="2"/>
  <c r="I236" i="2"/>
  <c r="H236" i="2"/>
  <c r="G236" i="2"/>
  <c r="F236" i="2"/>
  <c r="C236" i="2"/>
  <c r="B236" i="2"/>
  <c r="A236" i="2"/>
  <c r="O235" i="2"/>
  <c r="N235" i="2"/>
  <c r="M235" i="2"/>
  <c r="L235" i="2"/>
  <c r="K235" i="2"/>
  <c r="J235" i="2"/>
  <c r="I235" i="2"/>
  <c r="H235" i="2"/>
  <c r="G235" i="2"/>
  <c r="F235" i="2"/>
  <c r="C235" i="2"/>
  <c r="B235" i="2"/>
  <c r="A235" i="2"/>
  <c r="O234" i="2"/>
  <c r="N234" i="2"/>
  <c r="M234" i="2"/>
  <c r="L234" i="2"/>
  <c r="K234" i="2"/>
  <c r="J234" i="2"/>
  <c r="I234" i="2"/>
  <c r="H234" i="2"/>
  <c r="G234" i="2"/>
  <c r="F234" i="2"/>
  <c r="C234" i="2"/>
  <c r="B234" i="2"/>
  <c r="A234" i="2"/>
  <c r="O233" i="2"/>
  <c r="N233" i="2"/>
  <c r="M233" i="2"/>
  <c r="L233" i="2"/>
  <c r="K233" i="2"/>
  <c r="J233" i="2"/>
  <c r="I233" i="2"/>
  <c r="H233" i="2"/>
  <c r="G233" i="2"/>
  <c r="F233" i="2"/>
  <c r="C233" i="2"/>
  <c r="B233" i="2"/>
  <c r="A233" i="2"/>
  <c r="O232" i="2"/>
  <c r="N232" i="2"/>
  <c r="M232" i="2"/>
  <c r="L232" i="2"/>
  <c r="K232" i="2"/>
  <c r="J232" i="2"/>
  <c r="I232" i="2"/>
  <c r="H232" i="2"/>
  <c r="G232" i="2"/>
  <c r="F232" i="2"/>
  <c r="C232" i="2"/>
  <c r="B232" i="2"/>
  <c r="A232" i="2"/>
  <c r="O231" i="2"/>
  <c r="N231" i="2"/>
  <c r="M231" i="2"/>
  <c r="L231" i="2"/>
  <c r="K231" i="2"/>
  <c r="J231" i="2"/>
  <c r="I231" i="2"/>
  <c r="H231" i="2"/>
  <c r="G231" i="2"/>
  <c r="F231" i="2"/>
  <c r="C231" i="2"/>
  <c r="B231" i="2"/>
  <c r="A231" i="2"/>
  <c r="O230" i="2"/>
  <c r="N230" i="2"/>
  <c r="M230" i="2"/>
  <c r="L230" i="2"/>
  <c r="K230" i="2"/>
  <c r="J230" i="2"/>
  <c r="I230" i="2"/>
  <c r="H230" i="2"/>
  <c r="G230" i="2"/>
  <c r="F230" i="2"/>
  <c r="C230" i="2"/>
  <c r="B230" i="2"/>
  <c r="A230" i="2"/>
  <c r="O229" i="2"/>
  <c r="N229" i="2"/>
  <c r="M229" i="2"/>
  <c r="L229" i="2"/>
  <c r="K229" i="2"/>
  <c r="J229" i="2"/>
  <c r="I229" i="2"/>
  <c r="H229" i="2"/>
  <c r="G229" i="2"/>
  <c r="F229" i="2"/>
  <c r="C229" i="2"/>
  <c r="B229" i="2"/>
  <c r="A229" i="2"/>
  <c r="O228" i="2"/>
  <c r="N228" i="2"/>
  <c r="M228" i="2"/>
  <c r="L228" i="2"/>
  <c r="K228" i="2"/>
  <c r="J228" i="2"/>
  <c r="I228" i="2"/>
  <c r="H228" i="2"/>
  <c r="G228" i="2"/>
  <c r="F228" i="2"/>
  <c r="C228" i="2"/>
  <c r="B228" i="2"/>
  <c r="A228" i="2"/>
  <c r="O227" i="2"/>
  <c r="N227" i="2"/>
  <c r="M227" i="2"/>
  <c r="L227" i="2"/>
  <c r="K227" i="2"/>
  <c r="J227" i="2"/>
  <c r="I227" i="2"/>
  <c r="H227" i="2"/>
  <c r="G227" i="2"/>
  <c r="F227" i="2"/>
  <c r="C227" i="2"/>
  <c r="B227" i="2"/>
  <c r="A227" i="2"/>
  <c r="O226" i="2"/>
  <c r="N226" i="2"/>
  <c r="M226" i="2"/>
  <c r="L226" i="2"/>
  <c r="K226" i="2"/>
  <c r="J226" i="2"/>
  <c r="I226" i="2"/>
  <c r="H226" i="2"/>
  <c r="G226" i="2"/>
  <c r="F226" i="2"/>
  <c r="C226" i="2"/>
  <c r="B226" i="2"/>
  <c r="A226" i="2"/>
  <c r="O225" i="2"/>
  <c r="N225" i="2"/>
  <c r="M225" i="2"/>
  <c r="L225" i="2"/>
  <c r="K225" i="2"/>
  <c r="J225" i="2"/>
  <c r="I225" i="2"/>
  <c r="H225" i="2"/>
  <c r="G225" i="2"/>
  <c r="F225" i="2"/>
  <c r="C225" i="2"/>
  <c r="B225" i="2"/>
  <c r="A225" i="2"/>
  <c r="O224" i="2"/>
  <c r="N224" i="2"/>
  <c r="M224" i="2"/>
  <c r="L224" i="2"/>
  <c r="K224" i="2"/>
  <c r="J224" i="2"/>
  <c r="I224" i="2"/>
  <c r="H224" i="2"/>
  <c r="G224" i="2"/>
  <c r="F224" i="2"/>
  <c r="C224" i="2"/>
  <c r="B224" i="2"/>
  <c r="A224" i="2"/>
  <c r="O223" i="2"/>
  <c r="N223" i="2"/>
  <c r="M223" i="2"/>
  <c r="L223" i="2"/>
  <c r="K223" i="2"/>
  <c r="J223" i="2"/>
  <c r="I223" i="2"/>
  <c r="H223" i="2"/>
  <c r="G223" i="2"/>
  <c r="F223" i="2"/>
  <c r="C223" i="2"/>
  <c r="B223" i="2"/>
  <c r="A223" i="2"/>
  <c r="O222" i="2"/>
  <c r="N222" i="2"/>
  <c r="M222" i="2"/>
  <c r="L222" i="2"/>
  <c r="K222" i="2"/>
  <c r="J222" i="2"/>
  <c r="I222" i="2"/>
  <c r="H222" i="2"/>
  <c r="G222" i="2"/>
  <c r="F222" i="2"/>
  <c r="C222" i="2"/>
  <c r="B222" i="2"/>
  <c r="A222" i="2"/>
  <c r="O221" i="2"/>
  <c r="N221" i="2"/>
  <c r="M221" i="2"/>
  <c r="L221" i="2"/>
  <c r="K221" i="2"/>
  <c r="J221" i="2"/>
  <c r="I221" i="2"/>
  <c r="H221" i="2"/>
  <c r="G221" i="2"/>
  <c r="F221" i="2"/>
  <c r="C221" i="2"/>
  <c r="B221" i="2"/>
  <c r="A221" i="2"/>
  <c r="O220" i="2"/>
  <c r="N220" i="2"/>
  <c r="M220" i="2"/>
  <c r="L220" i="2"/>
  <c r="K220" i="2"/>
  <c r="J220" i="2"/>
  <c r="I220" i="2"/>
  <c r="H220" i="2"/>
  <c r="G220" i="2"/>
  <c r="F220" i="2"/>
  <c r="C220" i="2"/>
  <c r="B220" i="2"/>
  <c r="A220" i="2"/>
  <c r="O219" i="2"/>
  <c r="N219" i="2"/>
  <c r="M219" i="2"/>
  <c r="L219" i="2"/>
  <c r="K219" i="2"/>
  <c r="J219" i="2"/>
  <c r="I219" i="2"/>
  <c r="H219" i="2"/>
  <c r="G219" i="2"/>
  <c r="F219" i="2"/>
  <c r="C219" i="2"/>
  <c r="B219" i="2"/>
  <c r="A219" i="2"/>
  <c r="O218" i="2"/>
  <c r="N218" i="2"/>
  <c r="M218" i="2"/>
  <c r="L218" i="2"/>
  <c r="K218" i="2"/>
  <c r="J218" i="2"/>
  <c r="I218" i="2"/>
  <c r="H218" i="2"/>
  <c r="G218" i="2"/>
  <c r="F218" i="2"/>
  <c r="C218" i="2"/>
  <c r="B218" i="2"/>
  <c r="A218" i="2"/>
  <c r="O217" i="2"/>
  <c r="N217" i="2"/>
  <c r="M217" i="2"/>
  <c r="L217" i="2"/>
  <c r="K217" i="2"/>
  <c r="J217" i="2"/>
  <c r="I217" i="2"/>
  <c r="H217" i="2"/>
  <c r="G217" i="2"/>
  <c r="F217" i="2"/>
  <c r="C217" i="2"/>
  <c r="B217" i="2"/>
  <c r="A217" i="2"/>
  <c r="O216" i="2"/>
  <c r="N216" i="2"/>
  <c r="M216" i="2"/>
  <c r="L216" i="2"/>
  <c r="K216" i="2"/>
  <c r="J216" i="2"/>
  <c r="I216" i="2"/>
  <c r="H216" i="2"/>
  <c r="G216" i="2"/>
  <c r="F216" i="2"/>
  <c r="C216" i="2"/>
  <c r="B216" i="2"/>
  <c r="A216" i="2"/>
  <c r="O215" i="2"/>
  <c r="N215" i="2"/>
  <c r="M215" i="2"/>
  <c r="L215" i="2"/>
  <c r="K215" i="2"/>
  <c r="J215" i="2"/>
  <c r="I215" i="2"/>
  <c r="H215" i="2"/>
  <c r="G215" i="2"/>
  <c r="F215" i="2"/>
  <c r="C215" i="2"/>
  <c r="B215" i="2"/>
  <c r="A215" i="2"/>
  <c r="O214" i="2"/>
  <c r="N214" i="2"/>
  <c r="M214" i="2"/>
  <c r="L214" i="2"/>
  <c r="K214" i="2"/>
  <c r="J214" i="2"/>
  <c r="I214" i="2"/>
  <c r="H214" i="2"/>
  <c r="G214" i="2"/>
  <c r="F214" i="2"/>
  <c r="C214" i="2"/>
  <c r="B214" i="2"/>
  <c r="A214" i="2"/>
  <c r="O213" i="2"/>
  <c r="N213" i="2"/>
  <c r="M213" i="2"/>
  <c r="L213" i="2"/>
  <c r="K213" i="2"/>
  <c r="J213" i="2"/>
  <c r="I213" i="2"/>
  <c r="H213" i="2"/>
  <c r="G213" i="2"/>
  <c r="F213" i="2"/>
  <c r="C213" i="2"/>
  <c r="B213" i="2"/>
  <c r="A213" i="2"/>
  <c r="O212" i="2"/>
  <c r="N212" i="2"/>
  <c r="M212" i="2"/>
  <c r="L212" i="2"/>
  <c r="K212" i="2"/>
  <c r="J212" i="2"/>
  <c r="I212" i="2"/>
  <c r="H212" i="2"/>
  <c r="G212" i="2"/>
  <c r="F212" i="2"/>
  <c r="C212" i="2"/>
  <c r="B212" i="2"/>
  <c r="A212" i="2"/>
  <c r="O211" i="2"/>
  <c r="N211" i="2"/>
  <c r="M211" i="2"/>
  <c r="L211" i="2"/>
  <c r="K211" i="2"/>
  <c r="J211" i="2"/>
  <c r="I211" i="2"/>
  <c r="H211" i="2"/>
  <c r="G211" i="2"/>
  <c r="F211" i="2"/>
  <c r="C211" i="2"/>
  <c r="B211" i="2"/>
  <c r="A211" i="2"/>
  <c r="O210" i="2"/>
  <c r="N210" i="2"/>
  <c r="M210" i="2"/>
  <c r="L210" i="2"/>
  <c r="K210" i="2"/>
  <c r="J210" i="2"/>
  <c r="I210" i="2"/>
  <c r="H210" i="2"/>
  <c r="G210" i="2"/>
  <c r="F210" i="2"/>
  <c r="C210" i="2"/>
  <c r="B210" i="2"/>
  <c r="A210" i="2"/>
  <c r="O209" i="2"/>
  <c r="N209" i="2"/>
  <c r="M209" i="2"/>
  <c r="L209" i="2"/>
  <c r="K209" i="2"/>
  <c r="J209" i="2"/>
  <c r="I209" i="2"/>
  <c r="H209" i="2"/>
  <c r="G209" i="2"/>
  <c r="F209" i="2"/>
  <c r="C209" i="2"/>
  <c r="B209" i="2"/>
  <c r="A209" i="2"/>
  <c r="O208" i="2"/>
  <c r="N208" i="2"/>
  <c r="M208" i="2"/>
  <c r="L208" i="2"/>
  <c r="K208" i="2"/>
  <c r="J208" i="2"/>
  <c r="I208" i="2"/>
  <c r="H208" i="2"/>
  <c r="G208" i="2"/>
  <c r="F208" i="2"/>
  <c r="C208" i="2"/>
  <c r="B208" i="2"/>
  <c r="A208" i="2"/>
  <c r="O207" i="2"/>
  <c r="N207" i="2"/>
  <c r="M207" i="2"/>
  <c r="L207" i="2"/>
  <c r="K207" i="2"/>
  <c r="J207" i="2"/>
  <c r="I207" i="2"/>
  <c r="H207" i="2"/>
  <c r="G207" i="2"/>
  <c r="F207" i="2"/>
  <c r="C207" i="2"/>
  <c r="B207" i="2"/>
  <c r="A207" i="2"/>
  <c r="O206" i="2"/>
  <c r="N206" i="2"/>
  <c r="M206" i="2"/>
  <c r="L206" i="2"/>
  <c r="K206" i="2"/>
  <c r="J206" i="2"/>
  <c r="I206" i="2"/>
  <c r="H206" i="2"/>
  <c r="G206" i="2"/>
  <c r="F206" i="2"/>
  <c r="C206" i="2"/>
  <c r="B206" i="2"/>
  <c r="A206" i="2"/>
  <c r="O205" i="2"/>
  <c r="N205" i="2"/>
  <c r="M205" i="2"/>
  <c r="L205" i="2"/>
  <c r="K205" i="2"/>
  <c r="J205" i="2"/>
  <c r="I205" i="2"/>
  <c r="H205" i="2"/>
  <c r="G205" i="2"/>
  <c r="F205" i="2"/>
  <c r="C205" i="2"/>
  <c r="B205" i="2"/>
  <c r="A205" i="2"/>
  <c r="O204" i="2"/>
  <c r="N204" i="2"/>
  <c r="M204" i="2"/>
  <c r="L204" i="2"/>
  <c r="K204" i="2"/>
  <c r="J204" i="2"/>
  <c r="I204" i="2"/>
  <c r="H204" i="2"/>
  <c r="G204" i="2"/>
  <c r="F204" i="2"/>
  <c r="C204" i="2"/>
  <c r="B204" i="2"/>
  <c r="A204" i="2"/>
  <c r="O203" i="2"/>
  <c r="N203" i="2"/>
  <c r="M203" i="2"/>
  <c r="L203" i="2"/>
  <c r="K203" i="2"/>
  <c r="J203" i="2"/>
  <c r="I203" i="2"/>
  <c r="H203" i="2"/>
  <c r="G203" i="2"/>
  <c r="F203" i="2"/>
  <c r="C203" i="2"/>
  <c r="B203" i="2"/>
  <c r="A203" i="2"/>
  <c r="O202" i="2"/>
  <c r="N202" i="2"/>
  <c r="M202" i="2"/>
  <c r="L202" i="2"/>
  <c r="K202" i="2"/>
  <c r="J202" i="2"/>
  <c r="I202" i="2"/>
  <c r="H202" i="2"/>
  <c r="G202" i="2"/>
  <c r="F202" i="2"/>
  <c r="C202" i="2"/>
  <c r="B202" i="2"/>
  <c r="A202" i="2"/>
  <c r="O201" i="2"/>
  <c r="N201" i="2"/>
  <c r="M201" i="2"/>
  <c r="L201" i="2"/>
  <c r="K201" i="2"/>
  <c r="J201" i="2"/>
  <c r="I201" i="2"/>
  <c r="H201" i="2"/>
  <c r="G201" i="2"/>
  <c r="F201" i="2"/>
  <c r="C201" i="2"/>
  <c r="B201" i="2"/>
  <c r="A201" i="2"/>
  <c r="O200" i="2"/>
  <c r="N200" i="2"/>
  <c r="M200" i="2"/>
  <c r="L200" i="2"/>
  <c r="K200" i="2"/>
  <c r="J200" i="2"/>
  <c r="I200" i="2"/>
  <c r="H200" i="2"/>
  <c r="G200" i="2"/>
  <c r="F200" i="2"/>
  <c r="C200" i="2"/>
  <c r="B200" i="2"/>
  <c r="A200" i="2"/>
  <c r="O199" i="2"/>
  <c r="N199" i="2"/>
  <c r="M199" i="2"/>
  <c r="L199" i="2"/>
  <c r="K199" i="2"/>
  <c r="J199" i="2"/>
  <c r="I199" i="2"/>
  <c r="H199" i="2"/>
  <c r="G199" i="2"/>
  <c r="F199" i="2"/>
  <c r="C199" i="2"/>
  <c r="B199" i="2"/>
  <c r="A199" i="2"/>
  <c r="O198" i="2"/>
  <c r="N198" i="2"/>
  <c r="M198" i="2"/>
  <c r="L198" i="2"/>
  <c r="K198" i="2"/>
  <c r="J198" i="2"/>
  <c r="I198" i="2"/>
  <c r="H198" i="2"/>
  <c r="G198" i="2"/>
  <c r="F198" i="2"/>
  <c r="C198" i="2"/>
  <c r="B198" i="2"/>
  <c r="A198" i="2"/>
  <c r="O197" i="2"/>
  <c r="N197" i="2"/>
  <c r="M197" i="2"/>
  <c r="L197" i="2"/>
  <c r="K197" i="2"/>
  <c r="J197" i="2"/>
  <c r="I197" i="2"/>
  <c r="H197" i="2"/>
  <c r="G197" i="2"/>
  <c r="F197" i="2"/>
  <c r="C197" i="2"/>
  <c r="B197" i="2"/>
  <c r="A197" i="2"/>
  <c r="O196" i="2"/>
  <c r="N196" i="2"/>
  <c r="M196" i="2"/>
  <c r="L196" i="2"/>
  <c r="K196" i="2"/>
  <c r="J196" i="2"/>
  <c r="I196" i="2"/>
  <c r="H196" i="2"/>
  <c r="G196" i="2"/>
  <c r="F196" i="2"/>
  <c r="C196" i="2"/>
  <c r="B196" i="2"/>
  <c r="A196" i="2"/>
  <c r="O195" i="2"/>
  <c r="N195" i="2"/>
  <c r="M195" i="2"/>
  <c r="L195" i="2"/>
  <c r="K195" i="2"/>
  <c r="J195" i="2"/>
  <c r="I195" i="2"/>
  <c r="H195" i="2"/>
  <c r="G195" i="2"/>
  <c r="F195" i="2"/>
  <c r="C195" i="2"/>
  <c r="B195" i="2"/>
  <c r="A195" i="2"/>
  <c r="O194" i="2"/>
  <c r="N194" i="2"/>
  <c r="M194" i="2"/>
  <c r="L194" i="2"/>
  <c r="K194" i="2"/>
  <c r="J194" i="2"/>
  <c r="I194" i="2"/>
  <c r="H194" i="2"/>
  <c r="G194" i="2"/>
  <c r="F194" i="2"/>
  <c r="C194" i="2"/>
  <c r="B194" i="2"/>
  <c r="A194" i="2"/>
  <c r="O193" i="2"/>
  <c r="N193" i="2"/>
  <c r="M193" i="2"/>
  <c r="L193" i="2"/>
  <c r="K193" i="2"/>
  <c r="J193" i="2"/>
  <c r="I193" i="2"/>
  <c r="H193" i="2"/>
  <c r="G193" i="2"/>
  <c r="F193" i="2"/>
  <c r="C193" i="2"/>
  <c r="B193" i="2"/>
  <c r="A193" i="2"/>
  <c r="O192" i="2"/>
  <c r="N192" i="2"/>
  <c r="M192" i="2"/>
  <c r="L192" i="2"/>
  <c r="K192" i="2"/>
  <c r="J192" i="2"/>
  <c r="I192" i="2"/>
  <c r="H192" i="2"/>
  <c r="G192" i="2"/>
  <c r="F192" i="2"/>
  <c r="C192" i="2"/>
  <c r="B192" i="2"/>
  <c r="A192" i="2"/>
  <c r="O191" i="2"/>
  <c r="N191" i="2"/>
  <c r="M191" i="2"/>
  <c r="L191" i="2"/>
  <c r="K191" i="2"/>
  <c r="J191" i="2"/>
  <c r="I191" i="2"/>
  <c r="H191" i="2"/>
  <c r="G191" i="2"/>
  <c r="F191" i="2"/>
  <c r="C191" i="2"/>
  <c r="B191" i="2"/>
  <c r="A191" i="2"/>
  <c r="O190" i="2"/>
  <c r="N190" i="2"/>
  <c r="M190" i="2"/>
  <c r="L190" i="2"/>
  <c r="K190" i="2"/>
  <c r="J190" i="2"/>
  <c r="I190" i="2"/>
  <c r="H190" i="2"/>
  <c r="G190" i="2"/>
  <c r="F190" i="2"/>
  <c r="C190" i="2"/>
  <c r="B190" i="2"/>
  <c r="A190" i="2"/>
  <c r="O189" i="2"/>
  <c r="N189" i="2"/>
  <c r="M189" i="2"/>
  <c r="L189" i="2"/>
  <c r="K189" i="2"/>
  <c r="J189" i="2"/>
  <c r="I189" i="2"/>
  <c r="H189" i="2"/>
  <c r="G189" i="2"/>
  <c r="F189" i="2"/>
  <c r="C189" i="2"/>
  <c r="B189" i="2"/>
  <c r="A189" i="2"/>
  <c r="O188" i="2"/>
  <c r="N188" i="2"/>
  <c r="M188" i="2"/>
  <c r="L188" i="2"/>
  <c r="K188" i="2"/>
  <c r="J188" i="2"/>
  <c r="I188" i="2"/>
  <c r="H188" i="2"/>
  <c r="G188" i="2"/>
  <c r="F188" i="2"/>
  <c r="C188" i="2"/>
  <c r="B188" i="2"/>
  <c r="A188" i="2"/>
  <c r="O187" i="2"/>
  <c r="N187" i="2"/>
  <c r="M187" i="2"/>
  <c r="L187" i="2"/>
  <c r="K187" i="2"/>
  <c r="J187" i="2"/>
  <c r="I187" i="2"/>
  <c r="H187" i="2"/>
  <c r="G187" i="2"/>
  <c r="F187" i="2"/>
  <c r="C187" i="2"/>
  <c r="B187" i="2"/>
  <c r="A187" i="2"/>
  <c r="O186" i="2"/>
  <c r="N186" i="2"/>
  <c r="M186" i="2"/>
  <c r="L186" i="2"/>
  <c r="K186" i="2"/>
  <c r="J186" i="2"/>
  <c r="I186" i="2"/>
  <c r="H186" i="2"/>
  <c r="G186" i="2"/>
  <c r="F186" i="2"/>
  <c r="C186" i="2"/>
  <c r="B186" i="2"/>
  <c r="A186" i="2"/>
  <c r="O185" i="2"/>
  <c r="N185" i="2"/>
  <c r="M185" i="2"/>
  <c r="L185" i="2"/>
  <c r="K185" i="2"/>
  <c r="J185" i="2"/>
  <c r="I185" i="2"/>
  <c r="H185" i="2"/>
  <c r="G185" i="2"/>
  <c r="F185" i="2"/>
  <c r="C185" i="2"/>
  <c r="B185" i="2"/>
  <c r="A185" i="2"/>
  <c r="O184" i="2"/>
  <c r="N184" i="2"/>
  <c r="M184" i="2"/>
  <c r="L184" i="2"/>
  <c r="K184" i="2"/>
  <c r="J184" i="2"/>
  <c r="I184" i="2"/>
  <c r="H184" i="2"/>
  <c r="G184" i="2"/>
  <c r="F184" i="2"/>
  <c r="C184" i="2"/>
  <c r="B184" i="2"/>
  <c r="A184" i="2"/>
  <c r="O183" i="2"/>
  <c r="N183" i="2"/>
  <c r="M183" i="2"/>
  <c r="L183" i="2"/>
  <c r="K183" i="2"/>
  <c r="J183" i="2"/>
  <c r="I183" i="2"/>
  <c r="H183" i="2"/>
  <c r="G183" i="2"/>
  <c r="F183" i="2"/>
  <c r="C183" i="2"/>
  <c r="B183" i="2"/>
  <c r="A183" i="2"/>
  <c r="O182" i="2"/>
  <c r="N182" i="2"/>
  <c r="M182" i="2"/>
  <c r="L182" i="2"/>
  <c r="K182" i="2"/>
  <c r="J182" i="2"/>
  <c r="I182" i="2"/>
  <c r="H182" i="2"/>
  <c r="G182" i="2"/>
  <c r="F182" i="2"/>
  <c r="C182" i="2"/>
  <c r="B182" i="2"/>
  <c r="A182" i="2"/>
  <c r="O181" i="2"/>
  <c r="N181" i="2"/>
  <c r="M181" i="2"/>
  <c r="L181" i="2"/>
  <c r="K181" i="2"/>
  <c r="J181" i="2"/>
  <c r="I181" i="2"/>
  <c r="H181" i="2"/>
  <c r="G181" i="2"/>
  <c r="F181" i="2"/>
  <c r="C181" i="2"/>
  <c r="B181" i="2"/>
  <c r="A181" i="2"/>
  <c r="O180" i="2"/>
  <c r="N180" i="2"/>
  <c r="M180" i="2"/>
  <c r="L180" i="2"/>
  <c r="K180" i="2"/>
  <c r="J180" i="2"/>
  <c r="I180" i="2"/>
  <c r="H180" i="2"/>
  <c r="G180" i="2"/>
  <c r="F180" i="2"/>
  <c r="C180" i="2"/>
  <c r="B180" i="2"/>
  <c r="A180" i="2"/>
  <c r="O179" i="2"/>
  <c r="N179" i="2"/>
  <c r="M179" i="2"/>
  <c r="L179" i="2"/>
  <c r="K179" i="2"/>
  <c r="J179" i="2"/>
  <c r="I179" i="2"/>
  <c r="H179" i="2"/>
  <c r="G179" i="2"/>
  <c r="F179" i="2"/>
  <c r="C179" i="2"/>
  <c r="B179" i="2"/>
  <c r="A179" i="2"/>
  <c r="O178" i="2"/>
  <c r="N178" i="2"/>
  <c r="M178" i="2"/>
  <c r="L178" i="2"/>
  <c r="K178" i="2"/>
  <c r="J178" i="2"/>
  <c r="I178" i="2"/>
  <c r="H178" i="2"/>
  <c r="G178" i="2"/>
  <c r="F178" i="2"/>
  <c r="C178" i="2"/>
  <c r="B178" i="2"/>
  <c r="A178" i="2"/>
  <c r="O177" i="2"/>
  <c r="N177" i="2"/>
  <c r="M177" i="2"/>
  <c r="L177" i="2"/>
  <c r="K177" i="2"/>
  <c r="J177" i="2"/>
  <c r="I177" i="2"/>
  <c r="H177" i="2"/>
  <c r="G177" i="2"/>
  <c r="F177" i="2"/>
  <c r="C177" i="2"/>
  <c r="B177" i="2"/>
  <c r="A177" i="2"/>
  <c r="O176" i="2"/>
  <c r="N176" i="2"/>
  <c r="M176" i="2"/>
  <c r="L176" i="2"/>
  <c r="K176" i="2"/>
  <c r="J176" i="2"/>
  <c r="I176" i="2"/>
  <c r="H176" i="2"/>
  <c r="G176" i="2"/>
  <c r="F176" i="2"/>
  <c r="C176" i="2"/>
  <c r="B176" i="2"/>
  <c r="A176" i="2"/>
  <c r="O175" i="2"/>
  <c r="N175" i="2"/>
  <c r="M175" i="2"/>
  <c r="L175" i="2"/>
  <c r="K175" i="2"/>
  <c r="J175" i="2"/>
  <c r="I175" i="2"/>
  <c r="H175" i="2"/>
  <c r="G175" i="2"/>
  <c r="F175" i="2"/>
  <c r="C175" i="2"/>
  <c r="B175" i="2"/>
  <c r="A175" i="2"/>
  <c r="O174" i="2"/>
  <c r="N174" i="2"/>
  <c r="M174" i="2"/>
  <c r="L174" i="2"/>
  <c r="K174" i="2"/>
  <c r="J174" i="2"/>
  <c r="I174" i="2"/>
  <c r="H174" i="2"/>
  <c r="G174" i="2"/>
  <c r="F174" i="2"/>
  <c r="C174" i="2"/>
  <c r="B174" i="2"/>
  <c r="A174" i="2"/>
  <c r="O173" i="2"/>
  <c r="N173" i="2"/>
  <c r="M173" i="2"/>
  <c r="L173" i="2"/>
  <c r="K173" i="2"/>
  <c r="J173" i="2"/>
  <c r="I173" i="2"/>
  <c r="H173" i="2"/>
  <c r="G173" i="2"/>
  <c r="F173" i="2"/>
  <c r="C173" i="2"/>
  <c r="B173" i="2"/>
  <c r="A173" i="2"/>
  <c r="O172" i="2"/>
  <c r="N172" i="2"/>
  <c r="M172" i="2"/>
  <c r="L172" i="2"/>
  <c r="K172" i="2"/>
  <c r="J172" i="2"/>
  <c r="I172" i="2"/>
  <c r="H172" i="2"/>
  <c r="G172" i="2"/>
  <c r="F172" i="2"/>
  <c r="C172" i="2"/>
  <c r="B172" i="2"/>
  <c r="A172" i="2"/>
  <c r="O171" i="2"/>
  <c r="N171" i="2"/>
  <c r="M171" i="2"/>
  <c r="L171" i="2"/>
  <c r="K171" i="2"/>
  <c r="J171" i="2"/>
  <c r="I171" i="2"/>
  <c r="H171" i="2"/>
  <c r="G171" i="2"/>
  <c r="F171" i="2"/>
  <c r="C171" i="2"/>
  <c r="B171" i="2"/>
  <c r="A171" i="2"/>
  <c r="O170" i="2"/>
  <c r="N170" i="2"/>
  <c r="M170" i="2"/>
  <c r="L170" i="2"/>
  <c r="K170" i="2"/>
  <c r="J170" i="2"/>
  <c r="I170" i="2"/>
  <c r="H170" i="2"/>
  <c r="G170" i="2"/>
  <c r="F170" i="2"/>
  <c r="C170" i="2"/>
  <c r="B170" i="2"/>
  <c r="A170" i="2"/>
  <c r="O169" i="2"/>
  <c r="N169" i="2"/>
  <c r="M169" i="2"/>
  <c r="L169" i="2"/>
  <c r="K169" i="2"/>
  <c r="J169" i="2"/>
  <c r="I169" i="2"/>
  <c r="H169" i="2"/>
  <c r="G169" i="2"/>
  <c r="F169" i="2"/>
  <c r="C169" i="2"/>
  <c r="B169" i="2"/>
  <c r="A169" i="2"/>
  <c r="O168" i="2"/>
  <c r="N168" i="2"/>
  <c r="M168" i="2"/>
  <c r="L168" i="2"/>
  <c r="K168" i="2"/>
  <c r="J168" i="2"/>
  <c r="I168" i="2"/>
  <c r="H168" i="2"/>
  <c r="G168" i="2"/>
  <c r="F168" i="2"/>
  <c r="C168" i="2"/>
  <c r="B168" i="2"/>
  <c r="A168" i="2"/>
  <c r="O167" i="2"/>
  <c r="N167" i="2"/>
  <c r="M167" i="2"/>
  <c r="L167" i="2"/>
  <c r="K167" i="2"/>
  <c r="J167" i="2"/>
  <c r="I167" i="2"/>
  <c r="H167" i="2"/>
  <c r="G167" i="2"/>
  <c r="F167" i="2"/>
  <c r="C167" i="2"/>
  <c r="B167" i="2"/>
  <c r="A167" i="2"/>
  <c r="O166" i="2"/>
  <c r="N166" i="2"/>
  <c r="M166" i="2"/>
  <c r="L166" i="2"/>
  <c r="K166" i="2"/>
  <c r="J166" i="2"/>
  <c r="I166" i="2"/>
  <c r="H166" i="2"/>
  <c r="G166" i="2"/>
  <c r="F166" i="2"/>
  <c r="C166" i="2"/>
  <c r="B166" i="2"/>
  <c r="A166" i="2"/>
  <c r="O165" i="2"/>
  <c r="N165" i="2"/>
  <c r="M165" i="2"/>
  <c r="L165" i="2"/>
  <c r="K165" i="2"/>
  <c r="J165" i="2"/>
  <c r="I165" i="2"/>
  <c r="H165" i="2"/>
  <c r="G165" i="2"/>
  <c r="F165" i="2"/>
  <c r="C165" i="2"/>
  <c r="B165" i="2"/>
  <c r="A165" i="2"/>
  <c r="O164" i="2"/>
  <c r="N164" i="2"/>
  <c r="M164" i="2"/>
  <c r="L164" i="2"/>
  <c r="K164" i="2"/>
  <c r="J164" i="2"/>
  <c r="I164" i="2"/>
  <c r="H164" i="2"/>
  <c r="G164" i="2"/>
  <c r="F164" i="2"/>
  <c r="C164" i="2"/>
  <c r="B164" i="2"/>
  <c r="A164" i="2"/>
  <c r="O163" i="2"/>
  <c r="N163" i="2"/>
  <c r="M163" i="2"/>
  <c r="L163" i="2"/>
  <c r="K163" i="2"/>
  <c r="J163" i="2"/>
  <c r="I163" i="2"/>
  <c r="H163" i="2"/>
  <c r="G163" i="2"/>
  <c r="F163" i="2"/>
  <c r="C163" i="2"/>
  <c r="B163" i="2"/>
  <c r="A163" i="2"/>
  <c r="O162" i="2"/>
  <c r="N162" i="2"/>
  <c r="M162" i="2"/>
  <c r="L162" i="2"/>
  <c r="K162" i="2"/>
  <c r="J162" i="2"/>
  <c r="I162" i="2"/>
  <c r="H162" i="2"/>
  <c r="G162" i="2"/>
  <c r="F162" i="2"/>
  <c r="C162" i="2"/>
  <c r="B162" i="2"/>
  <c r="A162" i="2"/>
  <c r="O161" i="2"/>
  <c r="N161" i="2"/>
  <c r="M161" i="2"/>
  <c r="L161" i="2"/>
  <c r="K161" i="2"/>
  <c r="J161" i="2"/>
  <c r="I161" i="2"/>
  <c r="H161" i="2"/>
  <c r="G161" i="2"/>
  <c r="F161" i="2"/>
  <c r="C161" i="2"/>
  <c r="B161" i="2"/>
  <c r="A161" i="2"/>
  <c r="O160" i="2"/>
  <c r="N160" i="2"/>
  <c r="M160" i="2"/>
  <c r="L160" i="2"/>
  <c r="K160" i="2"/>
  <c r="J160" i="2"/>
  <c r="I160" i="2"/>
  <c r="H160" i="2"/>
  <c r="G160" i="2"/>
  <c r="F160" i="2"/>
  <c r="C160" i="2"/>
  <c r="B160" i="2"/>
  <c r="A160" i="2"/>
  <c r="O159" i="2"/>
  <c r="N159" i="2"/>
  <c r="M159" i="2"/>
  <c r="L159" i="2"/>
  <c r="K159" i="2"/>
  <c r="J159" i="2"/>
  <c r="I159" i="2"/>
  <c r="H159" i="2"/>
  <c r="G159" i="2"/>
  <c r="F159" i="2"/>
  <c r="C159" i="2"/>
  <c r="B159" i="2"/>
  <c r="A159" i="2"/>
  <c r="O158" i="2"/>
  <c r="N158" i="2"/>
  <c r="M158" i="2"/>
  <c r="L158" i="2"/>
  <c r="K158" i="2"/>
  <c r="J158" i="2"/>
  <c r="I158" i="2"/>
  <c r="H158" i="2"/>
  <c r="G158" i="2"/>
  <c r="F158" i="2"/>
  <c r="C158" i="2"/>
  <c r="B158" i="2"/>
  <c r="A158" i="2"/>
  <c r="O157" i="2"/>
  <c r="N157" i="2"/>
  <c r="M157" i="2"/>
  <c r="L157" i="2"/>
  <c r="K157" i="2"/>
  <c r="J157" i="2"/>
  <c r="I157" i="2"/>
  <c r="H157" i="2"/>
  <c r="G157" i="2"/>
  <c r="F157" i="2"/>
  <c r="C157" i="2"/>
  <c r="B157" i="2"/>
  <c r="A157" i="2"/>
  <c r="O156" i="2"/>
  <c r="N156" i="2"/>
  <c r="M156" i="2"/>
  <c r="L156" i="2"/>
  <c r="K156" i="2"/>
  <c r="J156" i="2"/>
  <c r="I156" i="2"/>
  <c r="H156" i="2"/>
  <c r="G156" i="2"/>
  <c r="F156" i="2"/>
  <c r="C156" i="2"/>
  <c r="B156" i="2"/>
  <c r="A156" i="2"/>
  <c r="O155" i="2"/>
  <c r="N155" i="2"/>
  <c r="M155" i="2"/>
  <c r="L155" i="2"/>
  <c r="K155" i="2"/>
  <c r="J155" i="2"/>
  <c r="I155" i="2"/>
  <c r="H155" i="2"/>
  <c r="G155" i="2"/>
  <c r="F155" i="2"/>
  <c r="C155" i="2"/>
  <c r="B155" i="2"/>
  <c r="A155" i="2"/>
  <c r="O154" i="2"/>
  <c r="N154" i="2"/>
  <c r="M154" i="2"/>
  <c r="L154" i="2"/>
  <c r="K154" i="2"/>
  <c r="J154" i="2"/>
  <c r="I154" i="2"/>
  <c r="H154" i="2"/>
  <c r="G154" i="2"/>
  <c r="F154" i="2"/>
  <c r="C154" i="2"/>
  <c r="B154" i="2"/>
  <c r="A154" i="2"/>
  <c r="O153" i="2"/>
  <c r="N153" i="2"/>
  <c r="M153" i="2"/>
  <c r="L153" i="2"/>
  <c r="K153" i="2"/>
  <c r="J153" i="2"/>
  <c r="I153" i="2"/>
  <c r="H153" i="2"/>
  <c r="G153" i="2"/>
  <c r="F153" i="2"/>
  <c r="C153" i="2"/>
  <c r="B153" i="2"/>
  <c r="A153" i="2"/>
  <c r="O152" i="2"/>
  <c r="N152" i="2"/>
  <c r="M152" i="2"/>
  <c r="L152" i="2"/>
  <c r="K152" i="2"/>
  <c r="J152" i="2"/>
  <c r="I152" i="2"/>
  <c r="H152" i="2"/>
  <c r="G152" i="2"/>
  <c r="F152" i="2"/>
  <c r="C152" i="2"/>
  <c r="B152" i="2"/>
  <c r="A152" i="2"/>
  <c r="O151" i="2"/>
  <c r="N151" i="2"/>
  <c r="M151" i="2"/>
  <c r="L151" i="2"/>
  <c r="K151" i="2"/>
  <c r="J151" i="2"/>
  <c r="I151" i="2"/>
  <c r="H151" i="2"/>
  <c r="G151" i="2"/>
  <c r="F151" i="2"/>
  <c r="C151" i="2"/>
  <c r="B151" i="2"/>
  <c r="A151" i="2"/>
  <c r="O150" i="2"/>
  <c r="N150" i="2"/>
  <c r="M150" i="2"/>
  <c r="L150" i="2"/>
  <c r="K150" i="2"/>
  <c r="J150" i="2"/>
  <c r="I150" i="2"/>
  <c r="H150" i="2"/>
  <c r="G150" i="2"/>
  <c r="F150" i="2"/>
  <c r="C150" i="2"/>
  <c r="B150" i="2"/>
  <c r="A150" i="2"/>
  <c r="O149" i="2"/>
  <c r="N149" i="2"/>
  <c r="M149" i="2"/>
  <c r="L149" i="2"/>
  <c r="K149" i="2"/>
  <c r="J149" i="2"/>
  <c r="I149" i="2"/>
  <c r="H149" i="2"/>
  <c r="G149" i="2"/>
  <c r="F149" i="2"/>
  <c r="C149" i="2"/>
  <c r="B149" i="2"/>
  <c r="A149" i="2"/>
  <c r="O148" i="2"/>
  <c r="N148" i="2"/>
  <c r="M148" i="2"/>
  <c r="L148" i="2"/>
  <c r="K148" i="2"/>
  <c r="J148" i="2"/>
  <c r="I148" i="2"/>
  <c r="H148" i="2"/>
  <c r="G148" i="2"/>
  <c r="F148" i="2"/>
  <c r="C148" i="2"/>
  <c r="B148" i="2"/>
  <c r="A148" i="2"/>
  <c r="O147" i="2"/>
  <c r="N147" i="2"/>
  <c r="M147" i="2"/>
  <c r="L147" i="2"/>
  <c r="K147" i="2"/>
  <c r="J147" i="2"/>
  <c r="I147" i="2"/>
  <c r="H147" i="2"/>
  <c r="G147" i="2"/>
  <c r="F147" i="2"/>
  <c r="C147" i="2"/>
  <c r="B147" i="2"/>
  <c r="A147" i="2"/>
  <c r="O146" i="2"/>
  <c r="N146" i="2"/>
  <c r="M146" i="2"/>
  <c r="L146" i="2"/>
  <c r="K146" i="2"/>
  <c r="J146" i="2"/>
  <c r="I146" i="2"/>
  <c r="H146" i="2"/>
  <c r="G146" i="2"/>
  <c r="F146" i="2"/>
  <c r="C146" i="2"/>
  <c r="B146" i="2"/>
  <c r="A146" i="2"/>
  <c r="O145" i="2"/>
  <c r="N145" i="2"/>
  <c r="M145" i="2"/>
  <c r="L145" i="2"/>
  <c r="K145" i="2"/>
  <c r="J145" i="2"/>
  <c r="I145" i="2"/>
  <c r="H145" i="2"/>
  <c r="G145" i="2"/>
  <c r="F145" i="2"/>
  <c r="C145" i="2"/>
  <c r="B145" i="2"/>
  <c r="A145" i="2"/>
  <c r="O144" i="2"/>
  <c r="N144" i="2"/>
  <c r="M144" i="2"/>
  <c r="L144" i="2"/>
  <c r="K144" i="2"/>
  <c r="J144" i="2"/>
  <c r="I144" i="2"/>
  <c r="H144" i="2"/>
  <c r="G144" i="2"/>
  <c r="F144" i="2"/>
  <c r="C144" i="2"/>
  <c r="B144" i="2"/>
  <c r="A144" i="2"/>
  <c r="O143" i="2"/>
  <c r="N143" i="2"/>
  <c r="M143" i="2"/>
  <c r="L143" i="2"/>
  <c r="K143" i="2"/>
  <c r="J143" i="2"/>
  <c r="I143" i="2"/>
  <c r="H143" i="2"/>
  <c r="G143" i="2"/>
  <c r="F143" i="2"/>
  <c r="C143" i="2"/>
  <c r="B143" i="2"/>
  <c r="A143" i="2"/>
  <c r="O142" i="2"/>
  <c r="N142" i="2"/>
  <c r="M142" i="2"/>
  <c r="L142" i="2"/>
  <c r="K142" i="2"/>
  <c r="J142" i="2"/>
  <c r="I142" i="2"/>
  <c r="H142" i="2"/>
  <c r="G142" i="2"/>
  <c r="F142" i="2"/>
  <c r="C142" i="2"/>
  <c r="B142" i="2"/>
  <c r="A142" i="2"/>
  <c r="O141" i="2"/>
  <c r="N141" i="2"/>
  <c r="M141" i="2"/>
  <c r="L141" i="2"/>
  <c r="K141" i="2"/>
  <c r="J141" i="2"/>
  <c r="I141" i="2"/>
  <c r="H141" i="2"/>
  <c r="G141" i="2"/>
  <c r="F141" i="2"/>
  <c r="C141" i="2"/>
  <c r="B141" i="2"/>
  <c r="A141" i="2"/>
  <c r="O140" i="2"/>
  <c r="N140" i="2"/>
  <c r="M140" i="2"/>
  <c r="L140" i="2"/>
  <c r="K140" i="2"/>
  <c r="J140" i="2"/>
  <c r="I140" i="2"/>
  <c r="H140" i="2"/>
  <c r="G140" i="2"/>
  <c r="F140" i="2"/>
  <c r="C140" i="2"/>
  <c r="B140" i="2"/>
  <c r="A140" i="2"/>
  <c r="O139" i="2"/>
  <c r="N139" i="2"/>
  <c r="M139" i="2"/>
  <c r="L139" i="2"/>
  <c r="K139" i="2"/>
  <c r="J139" i="2"/>
  <c r="I139" i="2"/>
  <c r="H139" i="2"/>
  <c r="G139" i="2"/>
  <c r="F139" i="2"/>
  <c r="C139" i="2"/>
  <c r="B139" i="2"/>
  <c r="A139" i="2"/>
  <c r="O138" i="2"/>
  <c r="N138" i="2"/>
  <c r="M138" i="2"/>
  <c r="L138" i="2"/>
  <c r="K138" i="2"/>
  <c r="J138" i="2"/>
  <c r="I138" i="2"/>
  <c r="H138" i="2"/>
  <c r="G138" i="2"/>
  <c r="F138" i="2"/>
  <c r="C138" i="2"/>
  <c r="B138" i="2"/>
  <c r="A138" i="2"/>
  <c r="O137" i="2"/>
  <c r="N137" i="2"/>
  <c r="M137" i="2"/>
  <c r="L137" i="2"/>
  <c r="K137" i="2"/>
  <c r="J137" i="2"/>
  <c r="I137" i="2"/>
  <c r="H137" i="2"/>
  <c r="G137" i="2"/>
  <c r="F137" i="2"/>
  <c r="C137" i="2"/>
  <c r="B137" i="2"/>
  <c r="A137" i="2"/>
  <c r="O136" i="2"/>
  <c r="N136" i="2"/>
  <c r="M136" i="2"/>
  <c r="L136" i="2"/>
  <c r="K136" i="2"/>
  <c r="J136" i="2"/>
  <c r="I136" i="2"/>
  <c r="H136" i="2"/>
  <c r="G136" i="2"/>
  <c r="F136" i="2"/>
  <c r="C136" i="2"/>
  <c r="B136" i="2"/>
  <c r="A136" i="2"/>
  <c r="O135" i="2"/>
  <c r="N135" i="2"/>
  <c r="M135" i="2"/>
  <c r="L135" i="2"/>
  <c r="K135" i="2"/>
  <c r="J135" i="2"/>
  <c r="I135" i="2"/>
  <c r="H135" i="2"/>
  <c r="G135" i="2"/>
  <c r="F135" i="2"/>
  <c r="C135" i="2"/>
  <c r="B135" i="2"/>
  <c r="A135" i="2"/>
  <c r="O134" i="2"/>
  <c r="N134" i="2"/>
  <c r="M134" i="2"/>
  <c r="L134" i="2"/>
  <c r="K134" i="2"/>
  <c r="J134" i="2"/>
  <c r="I134" i="2"/>
  <c r="H134" i="2"/>
  <c r="G134" i="2"/>
  <c r="F134" i="2"/>
  <c r="C134" i="2"/>
  <c r="B134" i="2"/>
  <c r="A134" i="2"/>
  <c r="O133" i="2"/>
  <c r="N133" i="2"/>
  <c r="M133" i="2"/>
  <c r="L133" i="2"/>
  <c r="K133" i="2"/>
  <c r="J133" i="2"/>
  <c r="I133" i="2"/>
  <c r="H133" i="2"/>
  <c r="G133" i="2"/>
  <c r="F133" i="2"/>
  <c r="C133" i="2"/>
  <c r="B133" i="2"/>
  <c r="A133" i="2"/>
  <c r="O132" i="2"/>
  <c r="N132" i="2"/>
  <c r="M132" i="2"/>
  <c r="L132" i="2"/>
  <c r="K132" i="2"/>
  <c r="J132" i="2"/>
  <c r="I132" i="2"/>
  <c r="H132" i="2"/>
  <c r="G132" i="2"/>
  <c r="F132" i="2"/>
  <c r="C132" i="2"/>
  <c r="B132" i="2"/>
  <c r="A132" i="2"/>
  <c r="O131" i="2"/>
  <c r="N131" i="2"/>
  <c r="M131" i="2"/>
  <c r="L131" i="2"/>
  <c r="K131" i="2"/>
  <c r="J131" i="2"/>
  <c r="I131" i="2"/>
  <c r="H131" i="2"/>
  <c r="G131" i="2"/>
  <c r="F131" i="2"/>
  <c r="C131" i="2"/>
  <c r="B131" i="2"/>
  <c r="A131" i="2"/>
  <c r="O130" i="2"/>
  <c r="N130" i="2"/>
  <c r="M130" i="2"/>
  <c r="L130" i="2"/>
  <c r="K130" i="2"/>
  <c r="J130" i="2"/>
  <c r="I130" i="2"/>
  <c r="H130" i="2"/>
  <c r="G130" i="2"/>
  <c r="F130" i="2"/>
  <c r="C130" i="2"/>
  <c r="B130" i="2"/>
  <c r="A130" i="2"/>
  <c r="O129" i="2"/>
  <c r="N129" i="2"/>
  <c r="M129" i="2"/>
  <c r="L129" i="2"/>
  <c r="K129" i="2"/>
  <c r="J129" i="2"/>
  <c r="I129" i="2"/>
  <c r="H129" i="2"/>
  <c r="G129" i="2"/>
  <c r="F129" i="2"/>
  <c r="C129" i="2"/>
  <c r="B129" i="2"/>
  <c r="A129" i="2"/>
  <c r="O128" i="2"/>
  <c r="N128" i="2"/>
  <c r="M128" i="2"/>
  <c r="L128" i="2"/>
  <c r="K128" i="2"/>
  <c r="J128" i="2"/>
  <c r="I128" i="2"/>
  <c r="H128" i="2"/>
  <c r="G128" i="2"/>
  <c r="F128" i="2"/>
  <c r="C128" i="2"/>
  <c r="B128" i="2"/>
  <c r="A128" i="2"/>
  <c r="O127" i="2"/>
  <c r="N127" i="2"/>
  <c r="M127" i="2"/>
  <c r="L127" i="2"/>
  <c r="K127" i="2"/>
  <c r="J127" i="2"/>
  <c r="I127" i="2"/>
  <c r="H127" i="2"/>
  <c r="G127" i="2"/>
  <c r="F127" i="2"/>
  <c r="C127" i="2"/>
  <c r="B127" i="2"/>
  <c r="A127" i="2"/>
  <c r="O126" i="2"/>
  <c r="N126" i="2"/>
  <c r="M126" i="2"/>
  <c r="L126" i="2"/>
  <c r="K126" i="2"/>
  <c r="J126" i="2"/>
  <c r="I126" i="2"/>
  <c r="H126" i="2"/>
  <c r="G126" i="2"/>
  <c r="F126" i="2"/>
  <c r="C126" i="2"/>
  <c r="B126" i="2"/>
  <c r="A126" i="2"/>
  <c r="O125" i="2"/>
  <c r="N125" i="2"/>
  <c r="M125" i="2"/>
  <c r="L125" i="2"/>
  <c r="K125" i="2"/>
  <c r="J125" i="2"/>
  <c r="I125" i="2"/>
  <c r="H125" i="2"/>
  <c r="G125" i="2"/>
  <c r="F125" i="2"/>
  <c r="C125" i="2"/>
  <c r="B125" i="2"/>
  <c r="A125" i="2"/>
  <c r="O124" i="2"/>
  <c r="N124" i="2"/>
  <c r="M124" i="2"/>
  <c r="L124" i="2"/>
  <c r="K124" i="2"/>
  <c r="J124" i="2"/>
  <c r="I124" i="2"/>
  <c r="H124" i="2"/>
  <c r="G124" i="2"/>
  <c r="F124" i="2"/>
  <c r="C124" i="2"/>
  <c r="B124" i="2"/>
  <c r="A124" i="2"/>
  <c r="O123" i="2"/>
  <c r="N123" i="2"/>
  <c r="M123" i="2"/>
  <c r="L123" i="2"/>
  <c r="K123" i="2"/>
  <c r="J123" i="2"/>
  <c r="I123" i="2"/>
  <c r="H123" i="2"/>
  <c r="G123" i="2"/>
  <c r="F123" i="2"/>
  <c r="C123" i="2"/>
  <c r="B123" i="2"/>
  <c r="A123" i="2"/>
  <c r="O122" i="2"/>
  <c r="N122" i="2"/>
  <c r="M122" i="2"/>
  <c r="L122" i="2"/>
  <c r="K122" i="2"/>
  <c r="J122" i="2"/>
  <c r="I122" i="2"/>
  <c r="H122" i="2"/>
  <c r="G122" i="2"/>
  <c r="F122" i="2"/>
  <c r="C122" i="2"/>
  <c r="B122" i="2"/>
  <c r="A122" i="2"/>
  <c r="O121" i="2"/>
  <c r="N121" i="2"/>
  <c r="M121" i="2"/>
  <c r="L121" i="2"/>
  <c r="K121" i="2"/>
  <c r="J121" i="2"/>
  <c r="I121" i="2"/>
  <c r="H121" i="2"/>
  <c r="G121" i="2"/>
  <c r="F121" i="2"/>
  <c r="C121" i="2"/>
  <c r="B121" i="2"/>
  <c r="A121" i="2"/>
  <c r="O120" i="2"/>
  <c r="N120" i="2"/>
  <c r="M120" i="2"/>
  <c r="L120" i="2"/>
  <c r="K120" i="2"/>
  <c r="J120" i="2"/>
  <c r="I120" i="2"/>
  <c r="H120" i="2"/>
  <c r="G120" i="2"/>
  <c r="F120" i="2"/>
  <c r="C120" i="2"/>
  <c r="B120" i="2"/>
  <c r="A120" i="2"/>
  <c r="O119" i="2"/>
  <c r="N119" i="2"/>
  <c r="M119" i="2"/>
  <c r="L119" i="2"/>
  <c r="K119" i="2"/>
  <c r="J119" i="2"/>
  <c r="I119" i="2"/>
  <c r="H119" i="2"/>
  <c r="G119" i="2"/>
  <c r="F119" i="2"/>
  <c r="C119" i="2"/>
  <c r="B119" i="2"/>
  <c r="A119" i="2"/>
  <c r="O118" i="2"/>
  <c r="N118" i="2"/>
  <c r="M118" i="2"/>
  <c r="L118" i="2"/>
  <c r="K118" i="2"/>
  <c r="J118" i="2"/>
  <c r="I118" i="2"/>
  <c r="H118" i="2"/>
  <c r="G118" i="2"/>
  <c r="F118" i="2"/>
  <c r="C118" i="2"/>
  <c r="B118" i="2"/>
  <c r="A118" i="2"/>
  <c r="O117" i="2"/>
  <c r="N117" i="2"/>
  <c r="M117" i="2"/>
  <c r="L117" i="2"/>
  <c r="K117" i="2"/>
  <c r="J117" i="2"/>
  <c r="I117" i="2"/>
  <c r="H117" i="2"/>
  <c r="G117" i="2"/>
  <c r="F117" i="2"/>
  <c r="C117" i="2"/>
  <c r="B117" i="2"/>
  <c r="A117" i="2"/>
  <c r="O116" i="2"/>
  <c r="N116" i="2"/>
  <c r="M116" i="2"/>
  <c r="L116" i="2"/>
  <c r="K116" i="2"/>
  <c r="J116" i="2"/>
  <c r="I116" i="2"/>
  <c r="H116" i="2"/>
  <c r="G116" i="2"/>
  <c r="F116" i="2"/>
  <c r="C116" i="2"/>
  <c r="B116" i="2"/>
  <c r="A116" i="2"/>
  <c r="O115" i="2"/>
  <c r="N115" i="2"/>
  <c r="M115" i="2"/>
  <c r="L115" i="2"/>
  <c r="K115" i="2"/>
  <c r="J115" i="2"/>
  <c r="I115" i="2"/>
  <c r="H115" i="2"/>
  <c r="G115" i="2"/>
  <c r="F115" i="2"/>
  <c r="C115" i="2"/>
  <c r="B115" i="2"/>
  <c r="A115" i="2"/>
  <c r="O114" i="2"/>
  <c r="N114" i="2"/>
  <c r="M114" i="2"/>
  <c r="L114" i="2"/>
  <c r="K114" i="2"/>
  <c r="J114" i="2"/>
  <c r="I114" i="2"/>
  <c r="H114" i="2"/>
  <c r="G114" i="2"/>
  <c r="F114" i="2"/>
  <c r="C114" i="2"/>
  <c r="B114" i="2"/>
  <c r="A114" i="2"/>
  <c r="O113" i="2"/>
  <c r="N113" i="2"/>
  <c r="M113" i="2"/>
  <c r="L113" i="2"/>
  <c r="K113" i="2"/>
  <c r="J113" i="2"/>
  <c r="I113" i="2"/>
  <c r="H113" i="2"/>
  <c r="G113" i="2"/>
  <c r="F113" i="2"/>
  <c r="C113" i="2"/>
  <c r="B113" i="2"/>
  <c r="A113" i="2"/>
  <c r="O112" i="2"/>
  <c r="N112" i="2"/>
  <c r="M112" i="2"/>
  <c r="L112" i="2"/>
  <c r="K112" i="2"/>
  <c r="J112" i="2"/>
  <c r="I112" i="2"/>
  <c r="H112" i="2"/>
  <c r="G112" i="2"/>
  <c r="F112" i="2"/>
  <c r="C112" i="2"/>
  <c r="B112" i="2"/>
  <c r="A112" i="2"/>
  <c r="O111" i="2"/>
  <c r="N111" i="2"/>
  <c r="M111" i="2"/>
  <c r="L111" i="2"/>
  <c r="K111" i="2"/>
  <c r="J111" i="2"/>
  <c r="I111" i="2"/>
  <c r="H111" i="2"/>
  <c r="G111" i="2"/>
  <c r="F111" i="2"/>
  <c r="C111" i="2"/>
  <c r="B111" i="2"/>
  <c r="A111" i="2"/>
  <c r="O110" i="2"/>
  <c r="N110" i="2"/>
  <c r="M110" i="2"/>
  <c r="L110" i="2"/>
  <c r="K110" i="2"/>
  <c r="J110" i="2"/>
  <c r="I110" i="2"/>
  <c r="H110" i="2"/>
  <c r="G110" i="2"/>
  <c r="F110" i="2"/>
  <c r="C110" i="2"/>
  <c r="B110" i="2"/>
  <c r="A110" i="2"/>
  <c r="O109" i="2"/>
  <c r="N109" i="2"/>
  <c r="M109" i="2"/>
  <c r="L109" i="2"/>
  <c r="K109" i="2"/>
  <c r="J109" i="2"/>
  <c r="I109" i="2"/>
  <c r="H109" i="2"/>
  <c r="G109" i="2"/>
  <c r="F109" i="2"/>
  <c r="C109" i="2"/>
  <c r="B109" i="2"/>
  <c r="A109" i="2"/>
  <c r="O108" i="2"/>
  <c r="N108" i="2"/>
  <c r="M108" i="2"/>
  <c r="L108" i="2"/>
  <c r="K108" i="2"/>
  <c r="J108" i="2"/>
  <c r="I108" i="2"/>
  <c r="H108" i="2"/>
  <c r="G108" i="2"/>
  <c r="F108" i="2"/>
  <c r="C108" i="2"/>
  <c r="B108" i="2"/>
  <c r="A108" i="2"/>
  <c r="O107" i="2"/>
  <c r="N107" i="2"/>
  <c r="M107" i="2"/>
  <c r="L107" i="2"/>
  <c r="K107" i="2"/>
  <c r="J107" i="2"/>
  <c r="I107" i="2"/>
  <c r="H107" i="2"/>
  <c r="G107" i="2"/>
  <c r="F107" i="2"/>
  <c r="C107" i="2"/>
  <c r="B107" i="2"/>
  <c r="A107" i="2"/>
  <c r="O106" i="2"/>
  <c r="N106" i="2"/>
  <c r="M106" i="2"/>
  <c r="L106" i="2"/>
  <c r="K106" i="2"/>
  <c r="J106" i="2"/>
  <c r="I106" i="2"/>
  <c r="H106" i="2"/>
  <c r="G106" i="2"/>
  <c r="F106" i="2"/>
  <c r="C106" i="2"/>
  <c r="B106" i="2"/>
  <c r="A106" i="2"/>
  <c r="O105" i="2"/>
  <c r="N105" i="2"/>
  <c r="M105" i="2"/>
  <c r="L105" i="2"/>
  <c r="K105" i="2"/>
  <c r="J105" i="2"/>
  <c r="I105" i="2"/>
  <c r="H105" i="2"/>
  <c r="G105" i="2"/>
  <c r="F105" i="2"/>
  <c r="C105" i="2"/>
  <c r="B105" i="2"/>
  <c r="A105" i="2"/>
  <c r="O104" i="2"/>
  <c r="N104" i="2"/>
  <c r="M104" i="2"/>
  <c r="L104" i="2"/>
  <c r="K104" i="2"/>
  <c r="J104" i="2"/>
  <c r="I104" i="2"/>
  <c r="H104" i="2"/>
  <c r="G104" i="2"/>
  <c r="F104" i="2"/>
  <c r="C104" i="2"/>
  <c r="B104" i="2"/>
  <c r="A104" i="2"/>
  <c r="O103" i="2"/>
  <c r="N103" i="2"/>
  <c r="M103" i="2"/>
  <c r="L103" i="2"/>
  <c r="K103" i="2"/>
  <c r="J103" i="2"/>
  <c r="I103" i="2"/>
  <c r="H103" i="2"/>
  <c r="G103" i="2"/>
  <c r="F103" i="2"/>
  <c r="C103" i="2"/>
  <c r="B103" i="2"/>
  <c r="A103" i="2"/>
  <c r="O102" i="2"/>
  <c r="N102" i="2"/>
  <c r="M102" i="2"/>
  <c r="L102" i="2"/>
  <c r="K102" i="2"/>
  <c r="J102" i="2"/>
  <c r="I102" i="2"/>
  <c r="H102" i="2"/>
  <c r="G102" i="2"/>
  <c r="F102" i="2"/>
  <c r="C102" i="2"/>
  <c r="B102" i="2"/>
  <c r="A102" i="2"/>
  <c r="O101" i="2"/>
  <c r="N101" i="2"/>
  <c r="M101" i="2"/>
  <c r="L101" i="2"/>
  <c r="K101" i="2"/>
  <c r="J101" i="2"/>
  <c r="I101" i="2"/>
  <c r="H101" i="2"/>
  <c r="G101" i="2"/>
  <c r="F101" i="2"/>
  <c r="C101" i="2"/>
  <c r="B101" i="2"/>
  <c r="A101" i="2"/>
  <c r="O100" i="2"/>
  <c r="N100" i="2"/>
  <c r="M100" i="2"/>
  <c r="L100" i="2"/>
  <c r="K100" i="2"/>
  <c r="J100" i="2"/>
  <c r="I100" i="2"/>
  <c r="H100" i="2"/>
  <c r="G100" i="2"/>
  <c r="F100" i="2"/>
  <c r="C100" i="2"/>
  <c r="B100" i="2"/>
  <c r="A100" i="2"/>
  <c r="O99" i="2"/>
  <c r="N99" i="2"/>
  <c r="M99" i="2"/>
  <c r="L99" i="2"/>
  <c r="K99" i="2"/>
  <c r="J99" i="2"/>
  <c r="I99" i="2"/>
  <c r="H99" i="2"/>
  <c r="G99" i="2"/>
  <c r="F99" i="2"/>
  <c r="C99" i="2"/>
  <c r="B99" i="2"/>
  <c r="A99" i="2"/>
  <c r="O98" i="2"/>
  <c r="N98" i="2"/>
  <c r="M98" i="2"/>
  <c r="L98" i="2"/>
  <c r="K98" i="2"/>
  <c r="J98" i="2"/>
  <c r="I98" i="2"/>
  <c r="H98" i="2"/>
  <c r="G98" i="2"/>
  <c r="F98" i="2"/>
  <c r="C98" i="2"/>
  <c r="B98" i="2"/>
  <c r="A98" i="2"/>
  <c r="O97" i="2"/>
  <c r="N97" i="2"/>
  <c r="M97" i="2"/>
  <c r="L97" i="2"/>
  <c r="K97" i="2"/>
  <c r="J97" i="2"/>
  <c r="I97" i="2"/>
  <c r="H97" i="2"/>
  <c r="G97" i="2"/>
  <c r="F97" i="2"/>
  <c r="C97" i="2"/>
  <c r="B97" i="2"/>
  <c r="A97" i="2"/>
  <c r="O96" i="2"/>
  <c r="N96" i="2"/>
  <c r="M96" i="2"/>
  <c r="L96" i="2"/>
  <c r="K96" i="2"/>
  <c r="J96" i="2"/>
  <c r="I96" i="2"/>
  <c r="H96" i="2"/>
  <c r="G96" i="2"/>
  <c r="F96" i="2"/>
  <c r="C96" i="2"/>
  <c r="B96" i="2"/>
  <c r="A96" i="2"/>
  <c r="O95" i="2"/>
  <c r="N95" i="2"/>
  <c r="M95" i="2"/>
  <c r="L95" i="2"/>
  <c r="K95" i="2"/>
  <c r="J95" i="2"/>
  <c r="I95" i="2"/>
  <c r="H95" i="2"/>
  <c r="G95" i="2"/>
  <c r="F95" i="2"/>
  <c r="C95" i="2"/>
  <c r="B95" i="2"/>
  <c r="A95" i="2"/>
  <c r="O94" i="2"/>
  <c r="N94" i="2"/>
  <c r="M94" i="2"/>
  <c r="L94" i="2"/>
  <c r="K94" i="2"/>
  <c r="J94" i="2"/>
  <c r="I94" i="2"/>
  <c r="H94" i="2"/>
  <c r="G94" i="2"/>
  <c r="F94" i="2"/>
  <c r="C94" i="2"/>
  <c r="B94" i="2"/>
  <c r="A94" i="2"/>
  <c r="O93" i="2"/>
  <c r="N93" i="2"/>
  <c r="M93" i="2"/>
  <c r="L93" i="2"/>
  <c r="K93" i="2"/>
  <c r="J93" i="2"/>
  <c r="I93" i="2"/>
  <c r="H93" i="2"/>
  <c r="G93" i="2"/>
  <c r="F93" i="2"/>
  <c r="C93" i="2"/>
  <c r="B93" i="2"/>
  <c r="A93" i="2"/>
  <c r="O92" i="2"/>
  <c r="N92" i="2"/>
  <c r="M92" i="2"/>
  <c r="L92" i="2"/>
  <c r="K92" i="2"/>
  <c r="J92" i="2"/>
  <c r="I92" i="2"/>
  <c r="H92" i="2"/>
  <c r="G92" i="2"/>
  <c r="F92" i="2"/>
  <c r="C92" i="2"/>
  <c r="B92" i="2"/>
  <c r="A92" i="2"/>
  <c r="O91" i="2"/>
  <c r="N91" i="2"/>
  <c r="M91" i="2"/>
  <c r="L91" i="2"/>
  <c r="K91" i="2"/>
  <c r="J91" i="2"/>
  <c r="I91" i="2"/>
  <c r="H91" i="2"/>
  <c r="G91" i="2"/>
  <c r="F91" i="2"/>
  <c r="C91" i="2"/>
  <c r="B91" i="2"/>
  <c r="A91" i="2"/>
  <c r="O90" i="2"/>
  <c r="N90" i="2"/>
  <c r="M90" i="2"/>
  <c r="L90" i="2"/>
  <c r="K90" i="2"/>
  <c r="J90" i="2"/>
  <c r="I90" i="2"/>
  <c r="H90" i="2"/>
  <c r="G90" i="2"/>
  <c r="F90" i="2"/>
  <c r="C90" i="2"/>
  <c r="B90" i="2"/>
  <c r="A90" i="2"/>
  <c r="O89" i="2"/>
  <c r="N89" i="2"/>
  <c r="M89" i="2"/>
  <c r="L89" i="2"/>
  <c r="K89" i="2"/>
  <c r="J89" i="2"/>
  <c r="I89" i="2"/>
  <c r="H89" i="2"/>
  <c r="G89" i="2"/>
  <c r="F89" i="2"/>
  <c r="C89" i="2"/>
  <c r="B89" i="2"/>
  <c r="A89" i="2"/>
  <c r="O88" i="2"/>
  <c r="N88" i="2"/>
  <c r="M88" i="2"/>
  <c r="L88" i="2"/>
  <c r="K88" i="2"/>
  <c r="J88" i="2"/>
  <c r="I88" i="2"/>
  <c r="H88" i="2"/>
  <c r="G88" i="2"/>
  <c r="F88" i="2"/>
  <c r="C88" i="2"/>
  <c r="B88" i="2"/>
  <c r="A88" i="2"/>
  <c r="O87" i="2"/>
  <c r="N87" i="2"/>
  <c r="M87" i="2"/>
  <c r="L87" i="2"/>
  <c r="K87" i="2"/>
  <c r="J87" i="2"/>
  <c r="I87" i="2"/>
  <c r="H87" i="2"/>
  <c r="G87" i="2"/>
  <c r="F87" i="2"/>
  <c r="C87" i="2"/>
  <c r="B87" i="2"/>
  <c r="A87" i="2"/>
  <c r="O86" i="2"/>
  <c r="N86" i="2"/>
  <c r="M86" i="2"/>
  <c r="L86" i="2"/>
  <c r="K86" i="2"/>
  <c r="J86" i="2"/>
  <c r="I86" i="2"/>
  <c r="H86" i="2"/>
  <c r="G86" i="2"/>
  <c r="F86" i="2"/>
  <c r="C86" i="2"/>
  <c r="B86" i="2"/>
  <c r="A86" i="2"/>
  <c r="O85" i="2"/>
  <c r="N85" i="2"/>
  <c r="M85" i="2"/>
  <c r="L85" i="2"/>
  <c r="K85" i="2"/>
  <c r="J85" i="2"/>
  <c r="I85" i="2"/>
  <c r="H85" i="2"/>
  <c r="G85" i="2"/>
  <c r="F85" i="2"/>
  <c r="C85" i="2"/>
  <c r="B85" i="2"/>
  <c r="A85" i="2"/>
  <c r="O84" i="2"/>
  <c r="N84" i="2"/>
  <c r="M84" i="2"/>
  <c r="L84" i="2"/>
  <c r="K84" i="2"/>
  <c r="J84" i="2"/>
  <c r="I84" i="2"/>
  <c r="H84" i="2"/>
  <c r="G84" i="2"/>
  <c r="F84" i="2"/>
  <c r="C84" i="2"/>
  <c r="B84" i="2"/>
  <c r="A84" i="2"/>
  <c r="O83" i="2"/>
  <c r="N83" i="2"/>
  <c r="M83" i="2"/>
  <c r="L83" i="2"/>
  <c r="K83" i="2"/>
  <c r="J83" i="2"/>
  <c r="I83" i="2"/>
  <c r="H83" i="2"/>
  <c r="G83" i="2"/>
  <c r="F83" i="2"/>
  <c r="C83" i="2"/>
  <c r="B83" i="2"/>
  <c r="A83" i="2"/>
  <c r="O82" i="2"/>
  <c r="N82" i="2"/>
  <c r="M82" i="2"/>
  <c r="L82" i="2"/>
  <c r="K82" i="2"/>
  <c r="J82" i="2"/>
  <c r="I82" i="2"/>
  <c r="H82" i="2"/>
  <c r="G82" i="2"/>
  <c r="F82" i="2"/>
  <c r="C82" i="2"/>
  <c r="B82" i="2"/>
  <c r="A82" i="2"/>
  <c r="O81" i="2"/>
  <c r="N81" i="2"/>
  <c r="M81" i="2"/>
  <c r="L81" i="2"/>
  <c r="K81" i="2"/>
  <c r="J81" i="2"/>
  <c r="I81" i="2"/>
  <c r="H81" i="2"/>
  <c r="G81" i="2"/>
  <c r="F81" i="2"/>
  <c r="C81" i="2"/>
  <c r="B81" i="2"/>
  <c r="A81" i="2"/>
  <c r="O80" i="2"/>
  <c r="N80" i="2"/>
  <c r="M80" i="2"/>
  <c r="L80" i="2"/>
  <c r="K80" i="2"/>
  <c r="J80" i="2"/>
  <c r="I80" i="2"/>
  <c r="H80" i="2"/>
  <c r="G80" i="2"/>
  <c r="F80" i="2"/>
  <c r="C80" i="2"/>
  <c r="B80" i="2"/>
  <c r="A80" i="2"/>
  <c r="O79" i="2"/>
  <c r="N79" i="2"/>
  <c r="M79" i="2"/>
  <c r="L79" i="2"/>
  <c r="K79" i="2"/>
  <c r="J79" i="2"/>
  <c r="I79" i="2"/>
  <c r="H79" i="2"/>
  <c r="G79" i="2"/>
  <c r="F79" i="2"/>
  <c r="C79" i="2"/>
  <c r="B79" i="2"/>
  <c r="A79" i="2"/>
  <c r="O78" i="2"/>
  <c r="N78" i="2"/>
  <c r="M78" i="2"/>
  <c r="L78" i="2"/>
  <c r="K78" i="2"/>
  <c r="J78" i="2"/>
  <c r="I78" i="2"/>
  <c r="H78" i="2"/>
  <c r="G78" i="2"/>
  <c r="F78" i="2"/>
  <c r="C78" i="2"/>
  <c r="B78" i="2"/>
  <c r="A78" i="2"/>
  <c r="O77" i="2"/>
  <c r="N77" i="2"/>
  <c r="M77" i="2"/>
  <c r="L77" i="2"/>
  <c r="K77" i="2"/>
  <c r="J77" i="2"/>
  <c r="I77" i="2"/>
  <c r="H77" i="2"/>
  <c r="G77" i="2"/>
  <c r="F77" i="2"/>
  <c r="C77" i="2"/>
  <c r="B77" i="2"/>
  <c r="A77" i="2"/>
  <c r="O76" i="2"/>
  <c r="N76" i="2"/>
  <c r="M76" i="2"/>
  <c r="L76" i="2"/>
  <c r="K76" i="2"/>
  <c r="J76" i="2"/>
  <c r="I76" i="2"/>
  <c r="H76" i="2"/>
  <c r="G76" i="2"/>
  <c r="F76" i="2"/>
  <c r="C76" i="2"/>
  <c r="B76" i="2"/>
  <c r="A76" i="2"/>
  <c r="O75" i="2"/>
  <c r="N75" i="2"/>
  <c r="M75" i="2"/>
  <c r="L75" i="2"/>
  <c r="K75" i="2"/>
  <c r="J75" i="2"/>
  <c r="I75" i="2"/>
  <c r="H75" i="2"/>
  <c r="G75" i="2"/>
  <c r="F75" i="2"/>
  <c r="C75" i="2"/>
  <c r="B75" i="2"/>
  <c r="A75" i="2"/>
  <c r="O74" i="2"/>
  <c r="N74" i="2"/>
  <c r="M74" i="2"/>
  <c r="L74" i="2"/>
  <c r="K74" i="2"/>
  <c r="J74" i="2"/>
  <c r="I74" i="2"/>
  <c r="H74" i="2"/>
  <c r="G74" i="2"/>
  <c r="F74" i="2"/>
  <c r="C74" i="2"/>
  <c r="B74" i="2"/>
  <c r="A74" i="2"/>
  <c r="O73" i="2"/>
  <c r="N73" i="2"/>
  <c r="M73" i="2"/>
  <c r="L73" i="2"/>
  <c r="K73" i="2"/>
  <c r="J73" i="2"/>
  <c r="I73" i="2"/>
  <c r="H73" i="2"/>
  <c r="G73" i="2"/>
  <c r="F73" i="2"/>
  <c r="C73" i="2"/>
  <c r="B73" i="2"/>
  <c r="A73" i="2"/>
  <c r="O72" i="2"/>
  <c r="N72" i="2"/>
  <c r="M72" i="2"/>
  <c r="L72" i="2"/>
  <c r="K72" i="2"/>
  <c r="J72" i="2"/>
  <c r="I72" i="2"/>
  <c r="H72" i="2"/>
  <c r="G72" i="2"/>
  <c r="F72" i="2"/>
  <c r="C72" i="2"/>
  <c r="B72" i="2"/>
  <c r="A72" i="2"/>
  <c r="O71" i="2"/>
  <c r="N71" i="2"/>
  <c r="M71" i="2"/>
  <c r="L71" i="2"/>
  <c r="K71" i="2"/>
  <c r="J71" i="2"/>
  <c r="I71" i="2"/>
  <c r="H71" i="2"/>
  <c r="G71" i="2"/>
  <c r="F71" i="2"/>
  <c r="C71" i="2"/>
  <c r="B71" i="2"/>
  <c r="A71" i="2"/>
  <c r="O70" i="2"/>
  <c r="N70" i="2"/>
  <c r="M70" i="2"/>
  <c r="L70" i="2"/>
  <c r="K70" i="2"/>
  <c r="J70" i="2"/>
  <c r="I70" i="2"/>
  <c r="H70" i="2"/>
  <c r="G70" i="2"/>
  <c r="F70" i="2"/>
  <c r="C70" i="2"/>
  <c r="B70" i="2"/>
  <c r="A70" i="2"/>
  <c r="O69" i="2"/>
  <c r="N69" i="2"/>
  <c r="M69" i="2"/>
  <c r="L69" i="2"/>
  <c r="K69" i="2"/>
  <c r="J69" i="2"/>
  <c r="I69" i="2"/>
  <c r="H69" i="2"/>
  <c r="G69" i="2"/>
  <c r="F69" i="2"/>
  <c r="C69" i="2"/>
  <c r="B69" i="2"/>
  <c r="A69" i="2"/>
  <c r="O68" i="2"/>
  <c r="N68" i="2"/>
  <c r="M68" i="2"/>
  <c r="L68" i="2"/>
  <c r="K68" i="2"/>
  <c r="J68" i="2"/>
  <c r="I68" i="2"/>
  <c r="H68" i="2"/>
  <c r="G68" i="2"/>
  <c r="F68" i="2"/>
  <c r="C68" i="2"/>
  <c r="B68" i="2"/>
  <c r="A68" i="2"/>
  <c r="O67" i="2"/>
  <c r="N67" i="2"/>
  <c r="M67" i="2"/>
  <c r="L67" i="2"/>
  <c r="K67" i="2"/>
  <c r="J67" i="2"/>
  <c r="I67" i="2"/>
  <c r="H67" i="2"/>
  <c r="G67" i="2"/>
  <c r="F67" i="2"/>
  <c r="C67" i="2"/>
  <c r="B67" i="2"/>
  <c r="A67" i="2"/>
  <c r="O66" i="2"/>
  <c r="N66" i="2"/>
  <c r="M66" i="2"/>
  <c r="L66" i="2"/>
  <c r="K66" i="2"/>
  <c r="J66" i="2"/>
  <c r="I66" i="2"/>
  <c r="H66" i="2"/>
  <c r="G66" i="2"/>
  <c r="F66" i="2"/>
  <c r="C66" i="2"/>
  <c r="B66" i="2"/>
  <c r="A66" i="2"/>
  <c r="O65" i="2"/>
  <c r="N65" i="2"/>
  <c r="M65" i="2"/>
  <c r="L65" i="2"/>
  <c r="K65" i="2"/>
  <c r="J65" i="2"/>
  <c r="I65" i="2"/>
  <c r="H65" i="2"/>
  <c r="G65" i="2"/>
  <c r="F65" i="2"/>
  <c r="C65" i="2"/>
  <c r="B65" i="2"/>
  <c r="A65" i="2"/>
  <c r="O64" i="2"/>
  <c r="N64" i="2"/>
  <c r="M64" i="2"/>
  <c r="L64" i="2"/>
  <c r="K64" i="2"/>
  <c r="J64" i="2"/>
  <c r="I64" i="2"/>
  <c r="H64" i="2"/>
  <c r="G64" i="2"/>
  <c r="F64" i="2"/>
  <c r="C64" i="2"/>
  <c r="B64" i="2"/>
  <c r="A64" i="2"/>
  <c r="O63" i="2"/>
  <c r="N63" i="2"/>
  <c r="M63" i="2"/>
  <c r="L63" i="2"/>
  <c r="K63" i="2"/>
  <c r="J63" i="2"/>
  <c r="I63" i="2"/>
  <c r="H63" i="2"/>
  <c r="G63" i="2"/>
  <c r="F63" i="2"/>
  <c r="C63" i="2"/>
  <c r="B63" i="2"/>
  <c r="A63" i="2"/>
  <c r="O62" i="2"/>
  <c r="N62" i="2"/>
  <c r="M62" i="2"/>
  <c r="L62" i="2"/>
  <c r="K62" i="2"/>
  <c r="J62" i="2"/>
  <c r="I62" i="2"/>
  <c r="H62" i="2"/>
  <c r="G62" i="2"/>
  <c r="F62" i="2"/>
  <c r="C62" i="2"/>
  <c r="B62" i="2"/>
  <c r="A62" i="2"/>
  <c r="O61" i="2"/>
  <c r="N61" i="2"/>
  <c r="M61" i="2"/>
  <c r="L61" i="2"/>
  <c r="K61" i="2"/>
  <c r="J61" i="2"/>
  <c r="I61" i="2"/>
  <c r="H61" i="2"/>
  <c r="G61" i="2"/>
  <c r="F61" i="2"/>
  <c r="C61" i="2"/>
  <c r="B61" i="2"/>
  <c r="A61" i="2"/>
  <c r="O60" i="2"/>
  <c r="N60" i="2"/>
  <c r="M60" i="2"/>
  <c r="L60" i="2"/>
  <c r="K60" i="2"/>
  <c r="J60" i="2"/>
  <c r="I60" i="2"/>
  <c r="H60" i="2"/>
  <c r="G60" i="2"/>
  <c r="F60" i="2"/>
  <c r="C60" i="2"/>
  <c r="B60" i="2"/>
  <c r="A60" i="2"/>
  <c r="O59" i="2"/>
  <c r="N59" i="2"/>
  <c r="M59" i="2"/>
  <c r="L59" i="2"/>
  <c r="K59" i="2"/>
  <c r="J59" i="2"/>
  <c r="I59" i="2"/>
  <c r="H59" i="2"/>
  <c r="G59" i="2"/>
  <c r="F59" i="2"/>
  <c r="C59" i="2"/>
  <c r="B59" i="2"/>
  <c r="A59" i="2"/>
  <c r="O58" i="2"/>
  <c r="N58" i="2"/>
  <c r="M58" i="2"/>
  <c r="L58" i="2"/>
  <c r="K58" i="2"/>
  <c r="J58" i="2"/>
  <c r="I58" i="2"/>
  <c r="H58" i="2"/>
  <c r="G58" i="2"/>
  <c r="F58" i="2"/>
  <c r="C58" i="2"/>
  <c r="B58" i="2"/>
  <c r="A58" i="2"/>
  <c r="O57" i="2"/>
  <c r="N57" i="2"/>
  <c r="M57" i="2"/>
  <c r="L57" i="2"/>
  <c r="K57" i="2"/>
  <c r="J57" i="2"/>
  <c r="I57" i="2"/>
  <c r="H57" i="2"/>
  <c r="G57" i="2"/>
  <c r="F57" i="2"/>
  <c r="C57" i="2"/>
  <c r="B57" i="2"/>
  <c r="A57" i="2"/>
  <c r="O56" i="2"/>
  <c r="N56" i="2"/>
  <c r="M56" i="2"/>
  <c r="L56" i="2"/>
  <c r="K56" i="2"/>
  <c r="J56" i="2"/>
  <c r="I56" i="2"/>
  <c r="H56" i="2"/>
  <c r="G56" i="2"/>
  <c r="F56" i="2"/>
  <c r="C56" i="2"/>
  <c r="B56" i="2"/>
  <c r="A56" i="2"/>
  <c r="O55" i="2"/>
  <c r="N55" i="2"/>
  <c r="M55" i="2"/>
  <c r="L55" i="2"/>
  <c r="K55" i="2"/>
  <c r="J55" i="2"/>
  <c r="I55" i="2"/>
  <c r="H55" i="2"/>
  <c r="G55" i="2"/>
  <c r="F55" i="2"/>
  <c r="C55" i="2"/>
  <c r="B55" i="2"/>
  <c r="A55" i="2"/>
  <c r="O54" i="2"/>
  <c r="N54" i="2"/>
  <c r="M54" i="2"/>
  <c r="L54" i="2"/>
  <c r="K54" i="2"/>
  <c r="J54" i="2"/>
  <c r="I54" i="2"/>
  <c r="H54" i="2"/>
  <c r="G54" i="2"/>
  <c r="F54" i="2"/>
  <c r="C54" i="2"/>
  <c r="B54" i="2"/>
  <c r="A54" i="2"/>
  <c r="O53" i="2"/>
  <c r="N53" i="2"/>
  <c r="M53" i="2"/>
  <c r="L53" i="2"/>
  <c r="K53" i="2"/>
  <c r="J53" i="2"/>
  <c r="I53" i="2"/>
  <c r="H53" i="2"/>
  <c r="G53" i="2"/>
  <c r="F53" i="2"/>
  <c r="C53" i="2"/>
  <c r="B53" i="2"/>
  <c r="A53" i="2"/>
  <c r="O52" i="2"/>
  <c r="N52" i="2"/>
  <c r="M52" i="2"/>
  <c r="L52" i="2"/>
  <c r="K52" i="2"/>
  <c r="J52" i="2"/>
  <c r="I52" i="2"/>
  <c r="H52" i="2"/>
  <c r="G52" i="2"/>
  <c r="F52" i="2"/>
  <c r="C52" i="2"/>
  <c r="B52" i="2"/>
  <c r="A52" i="2"/>
  <c r="O51" i="2"/>
  <c r="N51" i="2"/>
  <c r="M51" i="2"/>
  <c r="L51" i="2"/>
  <c r="K51" i="2"/>
  <c r="J51" i="2"/>
  <c r="I51" i="2"/>
  <c r="H51" i="2"/>
  <c r="G51" i="2"/>
  <c r="F51" i="2"/>
  <c r="C51" i="2"/>
  <c r="B51" i="2"/>
  <c r="A51" i="2"/>
  <c r="O50" i="2"/>
  <c r="N50" i="2"/>
  <c r="M50" i="2"/>
  <c r="L50" i="2"/>
  <c r="K50" i="2"/>
  <c r="J50" i="2"/>
  <c r="I50" i="2"/>
  <c r="H50" i="2"/>
  <c r="G50" i="2"/>
  <c r="F50" i="2"/>
  <c r="C50" i="2"/>
  <c r="B50" i="2"/>
  <c r="A50" i="2"/>
  <c r="O49" i="2"/>
  <c r="N49" i="2"/>
  <c r="M49" i="2"/>
  <c r="L49" i="2"/>
  <c r="K49" i="2"/>
  <c r="J49" i="2"/>
  <c r="I49" i="2"/>
  <c r="H49" i="2"/>
  <c r="G49" i="2"/>
  <c r="F49" i="2"/>
  <c r="C49" i="2"/>
  <c r="B49" i="2"/>
  <c r="A49" i="2"/>
  <c r="O48" i="2"/>
  <c r="N48" i="2"/>
  <c r="M48" i="2"/>
  <c r="L48" i="2"/>
  <c r="K48" i="2"/>
  <c r="J48" i="2"/>
  <c r="I48" i="2"/>
  <c r="H48" i="2"/>
  <c r="G48" i="2"/>
  <c r="F48" i="2"/>
  <c r="C48" i="2"/>
  <c r="B48" i="2"/>
  <c r="A48" i="2"/>
  <c r="O47" i="2"/>
  <c r="N47" i="2"/>
  <c r="M47" i="2"/>
  <c r="L47" i="2"/>
  <c r="K47" i="2"/>
  <c r="J47" i="2"/>
  <c r="I47" i="2"/>
  <c r="H47" i="2"/>
  <c r="G47" i="2"/>
  <c r="F47" i="2"/>
  <c r="C47" i="2"/>
  <c r="B47" i="2"/>
  <c r="A47" i="2"/>
  <c r="O46" i="2"/>
  <c r="N46" i="2"/>
  <c r="M46" i="2"/>
  <c r="L46" i="2"/>
  <c r="K46" i="2"/>
  <c r="J46" i="2"/>
  <c r="I46" i="2"/>
  <c r="H46" i="2"/>
  <c r="G46" i="2"/>
  <c r="F46" i="2"/>
  <c r="C46" i="2"/>
  <c r="B46" i="2"/>
  <c r="A46" i="2"/>
  <c r="O45" i="2"/>
  <c r="N45" i="2"/>
  <c r="M45" i="2"/>
  <c r="L45" i="2"/>
  <c r="K45" i="2"/>
  <c r="J45" i="2"/>
  <c r="I45" i="2"/>
  <c r="H45" i="2"/>
  <c r="G45" i="2"/>
  <c r="F45" i="2"/>
  <c r="C45" i="2"/>
  <c r="B45" i="2"/>
  <c r="A45" i="2"/>
  <c r="O44" i="2"/>
  <c r="N44" i="2"/>
  <c r="M44" i="2"/>
  <c r="L44" i="2"/>
  <c r="K44" i="2"/>
  <c r="J44" i="2"/>
  <c r="I44" i="2"/>
  <c r="H44" i="2"/>
  <c r="G44" i="2"/>
  <c r="F44" i="2"/>
  <c r="C44" i="2"/>
  <c r="B44" i="2"/>
  <c r="A44" i="2"/>
  <c r="O43" i="2"/>
  <c r="N43" i="2"/>
  <c r="M43" i="2"/>
  <c r="L43" i="2"/>
  <c r="K43" i="2"/>
  <c r="J43" i="2"/>
  <c r="I43" i="2"/>
  <c r="H43" i="2"/>
  <c r="G43" i="2"/>
  <c r="F43" i="2"/>
  <c r="C43" i="2"/>
  <c r="B43" i="2"/>
  <c r="A43" i="2"/>
  <c r="O42" i="2"/>
  <c r="N42" i="2"/>
  <c r="M42" i="2"/>
  <c r="L42" i="2"/>
  <c r="K42" i="2"/>
  <c r="J42" i="2"/>
  <c r="I42" i="2"/>
  <c r="H42" i="2"/>
  <c r="G42" i="2"/>
  <c r="F42" i="2"/>
  <c r="C42" i="2"/>
  <c r="B42" i="2"/>
  <c r="A42" i="2"/>
  <c r="O41" i="2"/>
  <c r="N41" i="2"/>
  <c r="M41" i="2"/>
  <c r="L41" i="2"/>
  <c r="K41" i="2"/>
  <c r="J41" i="2"/>
  <c r="I41" i="2"/>
  <c r="H41" i="2"/>
  <c r="G41" i="2"/>
  <c r="F41" i="2"/>
  <c r="C41" i="2"/>
  <c r="B41" i="2"/>
  <c r="A41" i="2"/>
  <c r="O40" i="2"/>
  <c r="N40" i="2"/>
  <c r="M40" i="2"/>
  <c r="L40" i="2"/>
  <c r="K40" i="2"/>
  <c r="J40" i="2"/>
  <c r="I40" i="2"/>
  <c r="H40" i="2"/>
  <c r="G40" i="2"/>
  <c r="F40" i="2"/>
  <c r="C40" i="2"/>
  <c r="B40" i="2"/>
  <c r="A40" i="2"/>
  <c r="O39" i="2"/>
  <c r="N39" i="2"/>
  <c r="M39" i="2"/>
  <c r="L39" i="2"/>
  <c r="K39" i="2"/>
  <c r="J39" i="2"/>
  <c r="I39" i="2"/>
  <c r="H39" i="2"/>
  <c r="G39" i="2"/>
  <c r="F39" i="2"/>
  <c r="C39" i="2"/>
  <c r="B39" i="2"/>
  <c r="A39" i="2"/>
  <c r="O38" i="2"/>
  <c r="N38" i="2"/>
  <c r="M38" i="2"/>
  <c r="L38" i="2"/>
  <c r="K38" i="2"/>
  <c r="J38" i="2"/>
  <c r="I38" i="2"/>
  <c r="H38" i="2"/>
  <c r="G38" i="2"/>
  <c r="F38" i="2"/>
  <c r="C38" i="2"/>
  <c r="B38" i="2"/>
  <c r="A38" i="2"/>
  <c r="O37" i="2"/>
  <c r="N37" i="2"/>
  <c r="M37" i="2"/>
  <c r="L37" i="2"/>
  <c r="K37" i="2"/>
  <c r="J37" i="2"/>
  <c r="I37" i="2"/>
  <c r="H37" i="2"/>
  <c r="G37" i="2"/>
  <c r="F37" i="2"/>
  <c r="C37" i="2"/>
  <c r="B37" i="2"/>
  <c r="A37" i="2"/>
  <c r="O36" i="2"/>
  <c r="N36" i="2"/>
  <c r="M36" i="2"/>
  <c r="L36" i="2"/>
  <c r="K36" i="2"/>
  <c r="J36" i="2"/>
  <c r="I36" i="2"/>
  <c r="H36" i="2"/>
  <c r="G36" i="2"/>
  <c r="F36" i="2"/>
  <c r="C36" i="2"/>
  <c r="B36" i="2"/>
  <c r="A36" i="2"/>
  <c r="O35" i="2"/>
  <c r="N35" i="2"/>
  <c r="M35" i="2"/>
  <c r="L35" i="2"/>
  <c r="K35" i="2"/>
  <c r="J35" i="2"/>
  <c r="I35" i="2"/>
  <c r="H35" i="2"/>
  <c r="G35" i="2"/>
  <c r="F35" i="2"/>
  <c r="C35" i="2"/>
  <c r="B35" i="2"/>
  <c r="A35" i="2"/>
  <c r="O34" i="2"/>
  <c r="N34" i="2"/>
  <c r="M34" i="2"/>
  <c r="L34" i="2"/>
  <c r="K34" i="2"/>
  <c r="J34" i="2"/>
  <c r="I34" i="2"/>
  <c r="H34" i="2"/>
  <c r="G34" i="2"/>
  <c r="F34" i="2"/>
  <c r="C34" i="2"/>
  <c r="B34" i="2"/>
  <c r="A34" i="2"/>
  <c r="O33" i="2"/>
  <c r="N33" i="2"/>
  <c r="M33" i="2"/>
  <c r="L33" i="2"/>
  <c r="K33" i="2"/>
  <c r="J33" i="2"/>
  <c r="I33" i="2"/>
  <c r="H33" i="2"/>
  <c r="G33" i="2"/>
  <c r="F33" i="2"/>
  <c r="C33" i="2"/>
  <c r="B33" i="2"/>
  <c r="A33" i="2"/>
  <c r="O32" i="2"/>
  <c r="N32" i="2"/>
  <c r="M32" i="2"/>
  <c r="L32" i="2"/>
  <c r="K32" i="2"/>
  <c r="J32" i="2"/>
  <c r="I32" i="2"/>
  <c r="H32" i="2"/>
  <c r="G32" i="2"/>
  <c r="F32" i="2"/>
  <c r="C32" i="2"/>
  <c r="B32" i="2"/>
  <c r="A32" i="2"/>
  <c r="O31" i="2"/>
  <c r="N31" i="2"/>
  <c r="M31" i="2"/>
  <c r="L31" i="2"/>
  <c r="K31" i="2"/>
  <c r="J31" i="2"/>
  <c r="I31" i="2"/>
  <c r="H31" i="2"/>
  <c r="G31" i="2"/>
  <c r="F31" i="2"/>
  <c r="C31" i="2"/>
  <c r="B31" i="2"/>
  <c r="A31" i="2"/>
  <c r="O30" i="2"/>
  <c r="N30" i="2"/>
  <c r="M30" i="2"/>
  <c r="L30" i="2"/>
  <c r="K30" i="2"/>
  <c r="J30" i="2"/>
  <c r="I30" i="2"/>
  <c r="H30" i="2"/>
  <c r="G30" i="2"/>
  <c r="F30" i="2"/>
  <c r="C30" i="2"/>
  <c r="B30" i="2"/>
  <c r="A30" i="2"/>
  <c r="O29" i="2"/>
  <c r="N29" i="2"/>
  <c r="M29" i="2"/>
  <c r="L29" i="2"/>
  <c r="K29" i="2"/>
  <c r="J29" i="2"/>
  <c r="I29" i="2"/>
  <c r="H29" i="2"/>
  <c r="G29" i="2"/>
  <c r="F29" i="2"/>
  <c r="C29" i="2"/>
  <c r="B29" i="2"/>
  <c r="A29" i="2"/>
  <c r="O28" i="2"/>
  <c r="N28" i="2"/>
  <c r="M28" i="2"/>
  <c r="L28" i="2"/>
  <c r="K28" i="2"/>
  <c r="J28" i="2"/>
  <c r="I28" i="2"/>
  <c r="H28" i="2"/>
  <c r="G28" i="2"/>
  <c r="F28" i="2"/>
  <c r="C28" i="2"/>
  <c r="B28" i="2"/>
  <c r="A28" i="2"/>
  <c r="O27" i="2"/>
  <c r="N27" i="2"/>
  <c r="M27" i="2"/>
  <c r="L27" i="2"/>
  <c r="K27" i="2"/>
  <c r="J27" i="2"/>
  <c r="I27" i="2"/>
  <c r="H27" i="2"/>
  <c r="G27" i="2"/>
  <c r="F27" i="2"/>
  <c r="C27" i="2"/>
  <c r="B27" i="2"/>
  <c r="A27" i="2"/>
  <c r="O26" i="2"/>
  <c r="N26" i="2"/>
  <c r="M26" i="2"/>
  <c r="L26" i="2"/>
  <c r="K26" i="2"/>
  <c r="J26" i="2"/>
  <c r="I26" i="2"/>
  <c r="H26" i="2"/>
  <c r="G26" i="2"/>
  <c r="F26" i="2"/>
  <c r="C26" i="2"/>
  <c r="B26" i="2"/>
  <c r="A26" i="2"/>
  <c r="O25" i="2"/>
  <c r="N25" i="2"/>
  <c r="M25" i="2"/>
  <c r="L25" i="2"/>
  <c r="K25" i="2"/>
  <c r="J25" i="2"/>
  <c r="I25" i="2"/>
  <c r="H25" i="2"/>
  <c r="G25" i="2"/>
  <c r="F25" i="2"/>
  <c r="C25" i="2"/>
  <c r="B25" i="2"/>
  <c r="A25" i="2"/>
  <c r="O24" i="2"/>
  <c r="N24" i="2"/>
  <c r="M24" i="2"/>
  <c r="L24" i="2"/>
  <c r="K24" i="2"/>
  <c r="J24" i="2"/>
  <c r="I24" i="2"/>
  <c r="H24" i="2"/>
  <c r="G24" i="2"/>
  <c r="F24" i="2"/>
  <c r="C24" i="2"/>
  <c r="B24" i="2"/>
  <c r="A24" i="2"/>
  <c r="O23" i="2"/>
  <c r="N23" i="2"/>
  <c r="M23" i="2"/>
  <c r="L23" i="2"/>
  <c r="K23" i="2"/>
  <c r="J23" i="2"/>
  <c r="I23" i="2"/>
  <c r="H23" i="2"/>
  <c r="G23" i="2"/>
  <c r="F23" i="2"/>
  <c r="C23" i="2"/>
  <c r="B23" i="2"/>
  <c r="A23" i="2"/>
  <c r="O22" i="2"/>
  <c r="N22" i="2"/>
  <c r="M22" i="2"/>
  <c r="L22" i="2"/>
  <c r="K22" i="2"/>
  <c r="J22" i="2"/>
  <c r="I22" i="2"/>
  <c r="H22" i="2"/>
  <c r="G22" i="2"/>
  <c r="F22" i="2"/>
  <c r="C22" i="2"/>
  <c r="B22" i="2"/>
  <c r="A22" i="2"/>
  <c r="O21" i="2"/>
  <c r="N21" i="2"/>
  <c r="M21" i="2"/>
  <c r="L21" i="2"/>
  <c r="K21" i="2"/>
  <c r="J21" i="2"/>
  <c r="I21" i="2"/>
  <c r="H21" i="2"/>
  <c r="G21" i="2"/>
  <c r="F21" i="2"/>
  <c r="C21" i="2"/>
  <c r="B21" i="2"/>
  <c r="A21" i="2"/>
  <c r="O20" i="2"/>
  <c r="N20" i="2"/>
  <c r="M20" i="2"/>
  <c r="L20" i="2"/>
  <c r="K20" i="2"/>
  <c r="J20" i="2"/>
  <c r="I20" i="2"/>
  <c r="H20" i="2"/>
  <c r="G20" i="2"/>
  <c r="F20" i="2"/>
  <c r="C20" i="2"/>
  <c r="B20" i="2"/>
  <c r="A20" i="2"/>
  <c r="O19" i="2"/>
  <c r="N19" i="2"/>
  <c r="M19" i="2"/>
  <c r="L19" i="2"/>
  <c r="K19" i="2"/>
  <c r="J19" i="2"/>
  <c r="I19" i="2"/>
  <c r="H19" i="2"/>
  <c r="G19" i="2"/>
  <c r="F19" i="2"/>
  <c r="C19" i="2"/>
  <c r="B19" i="2"/>
  <c r="A19" i="2"/>
  <c r="O18" i="2"/>
  <c r="N18" i="2"/>
  <c r="M18" i="2"/>
  <c r="L18" i="2"/>
  <c r="K18" i="2"/>
  <c r="J18" i="2"/>
  <c r="I18" i="2"/>
  <c r="H18" i="2"/>
  <c r="G18" i="2"/>
  <c r="F18" i="2"/>
  <c r="C18" i="2"/>
  <c r="B18" i="2"/>
  <c r="A18" i="2"/>
  <c r="O17" i="2"/>
  <c r="N17" i="2"/>
  <c r="M17" i="2"/>
  <c r="L17" i="2"/>
  <c r="K17" i="2"/>
  <c r="J17" i="2"/>
  <c r="I17" i="2"/>
  <c r="H17" i="2"/>
  <c r="G17" i="2"/>
  <c r="F17" i="2"/>
  <c r="C17" i="2"/>
  <c r="B17" i="2"/>
  <c r="A17" i="2"/>
  <c r="O16" i="2"/>
  <c r="N16" i="2"/>
  <c r="M16" i="2"/>
  <c r="L16" i="2"/>
  <c r="K16" i="2"/>
  <c r="J16" i="2"/>
  <c r="I16" i="2"/>
  <c r="H16" i="2"/>
  <c r="G16" i="2"/>
  <c r="F16" i="2"/>
  <c r="C16" i="2"/>
  <c r="B16" i="2"/>
  <c r="A16" i="2"/>
  <c r="O15" i="2"/>
  <c r="N15" i="2"/>
  <c r="M15" i="2"/>
  <c r="L15" i="2"/>
  <c r="K15" i="2"/>
  <c r="J15" i="2"/>
  <c r="I15" i="2"/>
  <c r="H15" i="2"/>
  <c r="G15" i="2"/>
  <c r="F15" i="2"/>
  <c r="C15" i="2"/>
  <c r="B15" i="2"/>
  <c r="A15" i="2"/>
  <c r="O14" i="2"/>
  <c r="N14" i="2"/>
  <c r="M14" i="2"/>
  <c r="L14" i="2"/>
  <c r="K14" i="2"/>
  <c r="J14" i="2"/>
  <c r="I14" i="2"/>
  <c r="H14" i="2"/>
  <c r="G14" i="2"/>
  <c r="F14" i="2"/>
  <c r="C14" i="2"/>
  <c r="B14" i="2"/>
  <c r="A14" i="2"/>
  <c r="O13" i="2"/>
  <c r="N13" i="2"/>
  <c r="M13" i="2"/>
  <c r="L13" i="2"/>
  <c r="K13" i="2"/>
  <c r="J13" i="2"/>
  <c r="I13" i="2"/>
  <c r="H13" i="2"/>
  <c r="G13" i="2"/>
  <c r="F13" i="2"/>
  <c r="C13" i="2"/>
  <c r="B13" i="2"/>
  <c r="A13" i="2"/>
  <c r="O12" i="2"/>
  <c r="N12" i="2"/>
  <c r="M12" i="2"/>
  <c r="L12" i="2"/>
  <c r="K12" i="2"/>
  <c r="J12" i="2"/>
  <c r="I12" i="2"/>
  <c r="H12" i="2"/>
  <c r="G12" i="2"/>
  <c r="F12" i="2"/>
  <c r="C12" i="2"/>
  <c r="B12" i="2"/>
  <c r="A12" i="2"/>
  <c r="O11" i="2"/>
  <c r="N11" i="2"/>
  <c r="M11" i="2"/>
  <c r="L11" i="2"/>
  <c r="K11" i="2"/>
  <c r="J11" i="2"/>
  <c r="I11" i="2"/>
  <c r="H11" i="2"/>
  <c r="G11" i="2"/>
  <c r="F11" i="2"/>
  <c r="C11" i="2"/>
  <c r="B11" i="2"/>
  <c r="A11" i="2"/>
  <c r="O10" i="2"/>
  <c r="N10" i="2"/>
  <c r="M10" i="2"/>
  <c r="L10" i="2"/>
  <c r="K10" i="2"/>
  <c r="J10" i="2"/>
  <c r="I10" i="2"/>
  <c r="H10" i="2"/>
  <c r="G10" i="2"/>
  <c r="F10" i="2"/>
  <c r="C10" i="2"/>
  <c r="B10" i="2"/>
  <c r="A10" i="2"/>
  <c r="O9" i="2"/>
  <c r="N9" i="2"/>
  <c r="M9" i="2"/>
  <c r="L9" i="2"/>
  <c r="K9" i="2"/>
  <c r="J9" i="2"/>
  <c r="I9" i="2"/>
  <c r="H9" i="2"/>
  <c r="G9" i="2"/>
  <c r="F9" i="2"/>
  <c r="C9" i="2"/>
  <c r="B9" i="2"/>
  <c r="A9" i="2"/>
  <c r="O8" i="2"/>
  <c r="N8" i="2"/>
  <c r="M8" i="2"/>
  <c r="L8" i="2"/>
  <c r="K8" i="2"/>
  <c r="J8" i="2"/>
  <c r="I8" i="2"/>
  <c r="H8" i="2"/>
  <c r="G8" i="2"/>
  <c r="F8" i="2"/>
  <c r="C8" i="2"/>
  <c r="B8" i="2"/>
  <c r="A8" i="2"/>
  <c r="O7" i="2"/>
  <c r="N7" i="2"/>
  <c r="M7" i="2"/>
  <c r="L7" i="2"/>
  <c r="K7" i="2"/>
  <c r="J7" i="2"/>
  <c r="I7" i="2"/>
  <c r="H7" i="2"/>
  <c r="G7" i="2"/>
  <c r="F7" i="2"/>
  <c r="C7" i="2"/>
  <c r="B7" i="2"/>
  <c r="A7" i="2"/>
  <c r="O6" i="2"/>
  <c r="N6" i="2"/>
  <c r="M6" i="2"/>
  <c r="L6" i="2"/>
  <c r="K6" i="2"/>
  <c r="J6" i="2"/>
  <c r="I6" i="2"/>
  <c r="H6" i="2"/>
  <c r="G6" i="2"/>
  <c r="F6" i="2"/>
  <c r="C6" i="2"/>
  <c r="B6" i="2"/>
  <c r="A6" i="2"/>
  <c r="O5" i="2"/>
  <c r="N5" i="2"/>
  <c r="M5" i="2"/>
  <c r="L5" i="2"/>
  <c r="K5" i="2"/>
  <c r="J5" i="2"/>
  <c r="I5" i="2"/>
  <c r="H5" i="2"/>
  <c r="G5" i="2"/>
  <c r="F5" i="2"/>
  <c r="C5" i="2"/>
  <c r="B5" i="2"/>
  <c r="A5" i="2"/>
  <c r="O4" i="2"/>
  <c r="N4" i="2"/>
  <c r="M4" i="2"/>
  <c r="L4" i="2"/>
  <c r="K4" i="2"/>
  <c r="J4" i="2"/>
  <c r="I4" i="2"/>
  <c r="H4" i="2"/>
  <c r="G4" i="2"/>
  <c r="F4" i="2"/>
  <c r="C4" i="2"/>
  <c r="B4" i="2"/>
  <c r="A4" i="2"/>
  <c r="O3" i="2"/>
  <c r="N3" i="2"/>
  <c r="M3" i="2"/>
  <c r="L3" i="2"/>
  <c r="K3" i="2"/>
  <c r="J3" i="2"/>
  <c r="I3" i="2"/>
  <c r="H3" i="2"/>
  <c r="G3" i="2"/>
  <c r="F3" i="2"/>
  <c r="C3" i="2"/>
  <c r="B3" i="2"/>
  <c r="A3" i="2"/>
  <c r="O2" i="2"/>
  <c r="N2" i="2"/>
  <c r="M2" i="2"/>
  <c r="L2" i="2"/>
  <c r="K2" i="2"/>
  <c r="J2" i="2"/>
  <c r="I2" i="2"/>
  <c r="H2" i="2"/>
  <c r="G2" i="2"/>
  <c r="F2" i="2"/>
  <c r="C2" i="2"/>
  <c r="B2" i="2"/>
  <c r="A2" i="2"/>
</calcChain>
</file>

<file path=xl/sharedStrings.xml><?xml version="1.0" encoding="utf-8"?>
<sst xmlns="http://schemas.openxmlformats.org/spreadsheetml/2006/main" count="26483" uniqueCount="8898">
  <si>
    <t>Numer_FV</t>
  </si>
  <si>
    <t>Numer_PZ</t>
  </si>
  <si>
    <t>Dostawca</t>
  </si>
  <si>
    <t>Data_Wystawienia</t>
  </si>
  <si>
    <t>Wartosc</t>
  </si>
  <si>
    <t>Status</t>
  </si>
  <si>
    <t>Typ</t>
  </si>
  <si>
    <t>Magazyn</t>
  </si>
  <si>
    <t>Umowa</t>
  </si>
  <si>
    <t>FV/POL/31890/2022</t>
  </si>
  <si>
    <t>PZ/800000</t>
  </si>
  <si>
    <t>Polmedica</t>
  </si>
  <si>
    <t>19866.67</t>
  </si>
  <si>
    <t>Zaakceptowana</t>
  </si>
  <si>
    <t>Faktura VAT</t>
  </si>
  <si>
    <t>Apteka Szpitalna</t>
  </si>
  <si>
    <t>UM-POL-01</t>
  </si>
  <si>
    <t>FV/72/SAL/22</t>
  </si>
  <si>
    <t>PZ/800001</t>
  </si>
  <si>
    <t>SalusHurt</t>
  </si>
  <si>
    <t>11453.22</t>
  </si>
  <si>
    <t>UM-SAL-01</t>
  </si>
  <si>
    <t>FV/9768/NOVA/22</t>
  </si>
  <si>
    <t>PZ/800002</t>
  </si>
  <si>
    <t>NovaLek</t>
  </si>
  <si>
    <t>16866.91</t>
  </si>
  <si>
    <t>UM-NOV-01</t>
  </si>
  <si>
    <t>FV/7372HM/22</t>
  </si>
  <si>
    <t>PZ/800003</t>
  </si>
  <si>
    <t>HurtMedix</t>
  </si>
  <si>
    <t>13572.29</t>
  </si>
  <si>
    <t>FV/CENFA/196164/22</t>
  </si>
  <si>
    <t>PZ/800004</t>
  </si>
  <si>
    <t>CentrumFarm</t>
  </si>
  <si>
    <t>14077.57</t>
  </si>
  <si>
    <t>FV/POL/51493/2022</t>
  </si>
  <si>
    <t>PZ/800005</t>
  </si>
  <si>
    <t>15801.37</t>
  </si>
  <si>
    <t>UM-POL-02</t>
  </si>
  <si>
    <t>FV/3800HM/22</t>
  </si>
  <si>
    <t>PZ/800006</t>
  </si>
  <si>
    <t>18943.96</t>
  </si>
  <si>
    <t>UM-HUR-03</t>
  </si>
  <si>
    <t>FV/M/4805/P/22</t>
  </si>
  <si>
    <t>PZ/800007</t>
  </si>
  <si>
    <t>MedicaPharm</t>
  </si>
  <si>
    <t>18136.81</t>
  </si>
  <si>
    <t>UM-MED-01</t>
  </si>
  <si>
    <t>FV/CENFA/130729/22</t>
  </si>
  <si>
    <t>PZ/800008</t>
  </si>
  <si>
    <t>10796.28</t>
  </si>
  <si>
    <t>UM-CEN-01</t>
  </si>
  <si>
    <t>FV/70/PP/1925/22</t>
  </si>
  <si>
    <t>PZ/800009</t>
  </si>
  <si>
    <t>PharmaPlus</t>
  </si>
  <si>
    <t>20472.22</t>
  </si>
  <si>
    <t>FV/9012/NOVA/22</t>
  </si>
  <si>
    <t>PZ/800010</t>
  </si>
  <si>
    <t>16964.02</t>
  </si>
  <si>
    <t>UM-NOV-03</t>
  </si>
  <si>
    <t>FV/5994/NOVA/22</t>
  </si>
  <si>
    <t>PZ/800011</t>
  </si>
  <si>
    <t>15548.14</t>
  </si>
  <si>
    <t>UM-NOV-02</t>
  </si>
  <si>
    <t>FV/30/SAL/22</t>
  </si>
  <si>
    <t>PZ/800012</t>
  </si>
  <si>
    <t>7455.12</t>
  </si>
  <si>
    <t>FV/76260/VDb/2022</t>
  </si>
  <si>
    <t>PZ/800013</t>
  </si>
  <si>
    <t>VitaDistrib</t>
  </si>
  <si>
    <t>8114.42</t>
  </si>
  <si>
    <t>UM-VIT-01</t>
  </si>
  <si>
    <t>FV/M/1198/P/22</t>
  </si>
  <si>
    <t>PZ/800014</t>
  </si>
  <si>
    <t>14112.42</t>
  </si>
  <si>
    <t>FV/POL/39855/2022</t>
  </si>
  <si>
    <t>PZ/800015</t>
  </si>
  <si>
    <t>13161.83</t>
  </si>
  <si>
    <t>FV/7230HM/22</t>
  </si>
  <si>
    <t>PZ/800016</t>
  </si>
  <si>
    <t>13610.9</t>
  </si>
  <si>
    <t>UM-HUR-01</t>
  </si>
  <si>
    <t>FV/M/1370/P/22</t>
  </si>
  <si>
    <t>PZ/800017</t>
  </si>
  <si>
    <t>16611.12</t>
  </si>
  <si>
    <t>FV/7537HM/22</t>
  </si>
  <si>
    <t>PZ/800018</t>
  </si>
  <si>
    <t>22174.33</t>
  </si>
  <si>
    <t>FV/M/7850/P/22</t>
  </si>
  <si>
    <t>PZ/800019</t>
  </si>
  <si>
    <t>9293.37</t>
  </si>
  <si>
    <t>FV/CENFA/575501/22</t>
  </si>
  <si>
    <t>PZ/800020</t>
  </si>
  <si>
    <t>16492.52</t>
  </si>
  <si>
    <t>UM-CEN-02</t>
  </si>
  <si>
    <t>FV/CENFA/465181/22</t>
  </si>
  <si>
    <t>PZ/800021</t>
  </si>
  <si>
    <t>15095.81</t>
  </si>
  <si>
    <t>FV/97605/VDb/2022</t>
  </si>
  <si>
    <t>PZ/800022</t>
  </si>
  <si>
    <t>32971.79</t>
  </si>
  <si>
    <t>FV/CENFA/159558/22</t>
  </si>
  <si>
    <t>PZ/800023</t>
  </si>
  <si>
    <t>15985.8</t>
  </si>
  <si>
    <t>FV/M/2497/P/22</t>
  </si>
  <si>
    <t>PZ/800024</t>
  </si>
  <si>
    <t>19447.08</t>
  </si>
  <si>
    <t>FV/3019/NOVA/22</t>
  </si>
  <si>
    <t>PZ/800025</t>
  </si>
  <si>
    <t>12464.28</t>
  </si>
  <si>
    <t>FV/52/SAL/22</t>
  </si>
  <si>
    <t>PZ/800026</t>
  </si>
  <si>
    <t>9880.47</t>
  </si>
  <si>
    <t>FV/17/SAL/22</t>
  </si>
  <si>
    <t>PZ/800027</t>
  </si>
  <si>
    <t>13709.26</t>
  </si>
  <si>
    <t>UM-SAL-02</t>
  </si>
  <si>
    <t>FV/3998/NOVA/22</t>
  </si>
  <si>
    <t>PZ/800028</t>
  </si>
  <si>
    <t>9540.96</t>
  </si>
  <si>
    <t>FV/44/SAL/22</t>
  </si>
  <si>
    <t>PZ/800029</t>
  </si>
  <si>
    <t>15146.95</t>
  </si>
  <si>
    <t>FV/71/SAL/22</t>
  </si>
  <si>
    <t>PZ/800030</t>
  </si>
  <si>
    <t>20490.28</t>
  </si>
  <si>
    <t>FV/M/4302/P/22</t>
  </si>
  <si>
    <t>PZ/800031</t>
  </si>
  <si>
    <t>16776.23</t>
  </si>
  <si>
    <t>FV/M/4047/P/22</t>
  </si>
  <si>
    <t>PZ/800032</t>
  </si>
  <si>
    <t>13488.72</t>
  </si>
  <si>
    <t>FV/1989HM/22</t>
  </si>
  <si>
    <t>PZ/800033</t>
  </si>
  <si>
    <t>8063.05</t>
  </si>
  <si>
    <t>FV/9053HM/22</t>
  </si>
  <si>
    <t>PZ/800034</t>
  </si>
  <si>
    <t>22753.06</t>
  </si>
  <si>
    <t>FV/2541HM/22</t>
  </si>
  <si>
    <t>PZ/800035</t>
  </si>
  <si>
    <t>8644.99</t>
  </si>
  <si>
    <t>FV/6389/NOVA/22</t>
  </si>
  <si>
    <t>PZ/800036</t>
  </si>
  <si>
    <t>10078.81</t>
  </si>
  <si>
    <t>FV/8510/NOVA/22</t>
  </si>
  <si>
    <t>PZ/800037</t>
  </si>
  <si>
    <t>10306.72</t>
  </si>
  <si>
    <t>FV/CENFA/883369/22</t>
  </si>
  <si>
    <t>PZ/800038</t>
  </si>
  <si>
    <t>8519.16</t>
  </si>
  <si>
    <t>FV/57/PP/4994/22</t>
  </si>
  <si>
    <t>PZ/800039</t>
  </si>
  <si>
    <t>9949.23</t>
  </si>
  <si>
    <t>FV/1088/NOVA/22</t>
  </si>
  <si>
    <t>PZ/800040</t>
  </si>
  <si>
    <t>23174.55</t>
  </si>
  <si>
    <t>FV/80019/VDb/2022</t>
  </si>
  <si>
    <t>PZ/800041</t>
  </si>
  <si>
    <t>16326.75</t>
  </si>
  <si>
    <t>FV/M/1972/P/22</t>
  </si>
  <si>
    <t>PZ/800042</t>
  </si>
  <si>
    <t>10575.71</t>
  </si>
  <si>
    <t>FV/POL/97351/2022</t>
  </si>
  <si>
    <t>PZ/800043</t>
  </si>
  <si>
    <t>22768.45</t>
  </si>
  <si>
    <t>FV/CENFA/549435/22</t>
  </si>
  <si>
    <t>PZ/800044</t>
  </si>
  <si>
    <t>16256.24</t>
  </si>
  <si>
    <t>FV/6263HM/22</t>
  </si>
  <si>
    <t>PZ/800045</t>
  </si>
  <si>
    <t>8703.67</t>
  </si>
  <si>
    <t>FV/4149HM/22</t>
  </si>
  <si>
    <t>PZ/800046</t>
  </si>
  <si>
    <t>-1500.23</t>
  </si>
  <si>
    <t>Korekta FV</t>
  </si>
  <si>
    <t>FV/POL/86803/2022</t>
  </si>
  <si>
    <t>PZ/800047</t>
  </si>
  <si>
    <t>21492.77</t>
  </si>
  <si>
    <t>FV/40/PP/6793/22</t>
  </si>
  <si>
    <t>PZ/800048</t>
  </si>
  <si>
    <t>2852.69</t>
  </si>
  <si>
    <t>UM-PHA-01</t>
  </si>
  <si>
    <t>FV/POL/25418/2022</t>
  </si>
  <si>
    <t>PZ/800049</t>
  </si>
  <si>
    <t>11606.37</t>
  </si>
  <si>
    <t>UM-POL-03</t>
  </si>
  <si>
    <t>FV/19610/VDb/2022</t>
  </si>
  <si>
    <t>PZ/800050</t>
  </si>
  <si>
    <t>15425.33</t>
  </si>
  <si>
    <t>FV/7869HM/22</t>
  </si>
  <si>
    <t>PZ/800051</t>
  </si>
  <si>
    <t>7034.43</t>
  </si>
  <si>
    <t>FV/48794/VDb/2022</t>
  </si>
  <si>
    <t>PZ/800052</t>
  </si>
  <si>
    <t>13076.91</t>
  </si>
  <si>
    <t>FV/M/7314/P/22</t>
  </si>
  <si>
    <t>PZ/800053</t>
  </si>
  <si>
    <t>13765.12</t>
  </si>
  <si>
    <t>FV/9453/NOVA/22</t>
  </si>
  <si>
    <t>PZ/800054</t>
  </si>
  <si>
    <t>14040.8</t>
  </si>
  <si>
    <t>FV/3896HM/22</t>
  </si>
  <si>
    <t>PZ/800055</t>
  </si>
  <si>
    <t>21219.98</t>
  </si>
  <si>
    <t>UM-HUR-02</t>
  </si>
  <si>
    <t>FV/20/SAL/22</t>
  </si>
  <si>
    <t>PZ/800056</t>
  </si>
  <si>
    <t>13970.12</t>
  </si>
  <si>
    <t>FV/6545HM/22</t>
  </si>
  <si>
    <t>PZ/800057</t>
  </si>
  <si>
    <t>20931.69</t>
  </si>
  <si>
    <t>FV/M/9337/P/22</t>
  </si>
  <si>
    <t>PZ/800058</t>
  </si>
  <si>
    <t>18214.95</t>
  </si>
  <si>
    <t>FV/46548/VDb/2022</t>
  </si>
  <si>
    <t>PZ/800059</t>
  </si>
  <si>
    <t>19187.78</t>
  </si>
  <si>
    <t>FV/POL/73337/2022</t>
  </si>
  <si>
    <t>PZ/800060</t>
  </si>
  <si>
    <t>21008.15</t>
  </si>
  <si>
    <t>FV/46042/VDb/2022</t>
  </si>
  <si>
    <t>PZ/800061</t>
  </si>
  <si>
    <t>16075.9</t>
  </si>
  <si>
    <t>FV/51309/VDb/2022</t>
  </si>
  <si>
    <t>PZ/800062</t>
  </si>
  <si>
    <t>13821.67</t>
  </si>
  <si>
    <t>FV/1390HM/22</t>
  </si>
  <si>
    <t>PZ/800063</t>
  </si>
  <si>
    <t>-595.82</t>
  </si>
  <si>
    <t>FV/POL/74688/2022</t>
  </si>
  <si>
    <t>PZ/800064</t>
  </si>
  <si>
    <t>18492.64</t>
  </si>
  <si>
    <t>FV/CENFA/556221/22</t>
  </si>
  <si>
    <t>PZ/800065</t>
  </si>
  <si>
    <t>-1675.51</t>
  </si>
  <si>
    <t>FV/85/PP/5909/22</t>
  </si>
  <si>
    <t>PZ/800066</t>
  </si>
  <si>
    <t>19772.63</t>
  </si>
  <si>
    <t>UM-PHA-02</t>
  </si>
  <si>
    <t>FV/CENFA/151746/22</t>
  </si>
  <si>
    <t>PZ/800067</t>
  </si>
  <si>
    <t>20821.36</t>
  </si>
  <si>
    <t>FV/CENFA/358762/22</t>
  </si>
  <si>
    <t>PZ/800068</t>
  </si>
  <si>
    <t>7163.31</t>
  </si>
  <si>
    <t>FV/M/1279/P/22</t>
  </si>
  <si>
    <t>PZ/800069</t>
  </si>
  <si>
    <t>19271.04</t>
  </si>
  <si>
    <t>UM-MED-02</t>
  </si>
  <si>
    <t>FV/CENFA/646998/22</t>
  </si>
  <si>
    <t>PZ/800070</t>
  </si>
  <si>
    <t>12327.29</t>
  </si>
  <si>
    <t>FV/CENFA/354852/22</t>
  </si>
  <si>
    <t>PZ/800071</t>
  </si>
  <si>
    <t>20663.54</t>
  </si>
  <si>
    <t>FV/POL/36590/2022</t>
  </si>
  <si>
    <t>PZ/800072</t>
  </si>
  <si>
    <t>14737.79</t>
  </si>
  <si>
    <t>FV/7751/NOVA/22</t>
  </si>
  <si>
    <t>PZ/800073</t>
  </si>
  <si>
    <t>24068.36</t>
  </si>
  <si>
    <t>FV/93203/VDb/2022</t>
  </si>
  <si>
    <t>PZ/800074</t>
  </si>
  <si>
    <t>15547.25</t>
  </si>
  <si>
    <t>FV/3510/NOVA/22</t>
  </si>
  <si>
    <t>PZ/800075</t>
  </si>
  <si>
    <t>-1490.6</t>
  </si>
  <si>
    <t>FV/M/5449/P/22</t>
  </si>
  <si>
    <t>PZ/800076</t>
  </si>
  <si>
    <t>10983.63</t>
  </si>
  <si>
    <t>FV/43823/VDb/2022</t>
  </si>
  <si>
    <t>PZ/800077</t>
  </si>
  <si>
    <t>18065.62</t>
  </si>
  <si>
    <t>FV/62/PP/8309/22</t>
  </si>
  <si>
    <t>PZ/800078</t>
  </si>
  <si>
    <t>13838.62</t>
  </si>
  <si>
    <t>FV/8144HM/22</t>
  </si>
  <si>
    <t>PZ/800079</t>
  </si>
  <si>
    <t>21556.93</t>
  </si>
  <si>
    <t>FV/19608/VDb/2022</t>
  </si>
  <si>
    <t>PZ/800080</t>
  </si>
  <si>
    <t>9798.69</t>
  </si>
  <si>
    <t>FV/M/4708/P/22</t>
  </si>
  <si>
    <t>PZ/800081</t>
  </si>
  <si>
    <t>17384.1</t>
  </si>
  <si>
    <t>FV/CENFA/270838/22</t>
  </si>
  <si>
    <t>PZ/800082</t>
  </si>
  <si>
    <t>13277.69</t>
  </si>
  <si>
    <t>FV/2239HM/22</t>
  </si>
  <si>
    <t>PZ/800083</t>
  </si>
  <si>
    <t>18372.94</t>
  </si>
  <si>
    <t>FV/3385/NOVA/22</t>
  </si>
  <si>
    <t>PZ/800084</t>
  </si>
  <si>
    <t>17761.34</t>
  </si>
  <si>
    <t>FV/M/4331/P/22</t>
  </si>
  <si>
    <t>PZ/800085</t>
  </si>
  <si>
    <t>12918.53</t>
  </si>
  <si>
    <t>FV/32/PP/9838/22</t>
  </si>
  <si>
    <t>PZ/800086</t>
  </si>
  <si>
    <t>12270.4</t>
  </si>
  <si>
    <t>FV/POL/28292/2022</t>
  </si>
  <si>
    <t>PZ/800087</t>
  </si>
  <si>
    <t>19267.87</t>
  </si>
  <si>
    <t>FV/81365/VDb/2022</t>
  </si>
  <si>
    <t>PZ/800088</t>
  </si>
  <si>
    <t>21394.14</t>
  </si>
  <si>
    <t>FV/7196/NOVA/22</t>
  </si>
  <si>
    <t>PZ/800089</t>
  </si>
  <si>
    <t>14977.09</t>
  </si>
  <si>
    <t>FV/POL/93204/2022</t>
  </si>
  <si>
    <t>PZ/800090</t>
  </si>
  <si>
    <t>15446.23</t>
  </si>
  <si>
    <t>FV/CENFA/593543/22</t>
  </si>
  <si>
    <t>PZ/800091</t>
  </si>
  <si>
    <t>20809.16</t>
  </si>
  <si>
    <t>FV/7984/NOVA/22</t>
  </si>
  <si>
    <t>PZ/800092</t>
  </si>
  <si>
    <t>18301.19</t>
  </si>
  <si>
    <t>FV/6166HM/22</t>
  </si>
  <si>
    <t>PZ/800093</t>
  </si>
  <si>
    <t>15987.34</t>
  </si>
  <si>
    <t>FV/63/PP/7510/22</t>
  </si>
  <si>
    <t>PZ/800094</t>
  </si>
  <si>
    <t>12665.77</t>
  </si>
  <si>
    <t>FV/93/PP/1107/22</t>
  </si>
  <si>
    <t>PZ/800095</t>
  </si>
  <si>
    <t>12186.98</t>
  </si>
  <si>
    <t>FV/2196HM/22</t>
  </si>
  <si>
    <t>PZ/800096</t>
  </si>
  <si>
    <t>16648.7</t>
  </si>
  <si>
    <t>FV/6807/NOVA/22</t>
  </si>
  <si>
    <t>PZ/800097</t>
  </si>
  <si>
    <t>11766.68</t>
  </si>
  <si>
    <t>FV/58/PP/4876/22</t>
  </si>
  <si>
    <t>PZ/800098</t>
  </si>
  <si>
    <t>22567.15</t>
  </si>
  <si>
    <t>FV/CENFA/602063/22</t>
  </si>
  <si>
    <t>PZ/800099</t>
  </si>
  <si>
    <t>12078.11</t>
  </si>
  <si>
    <t>FV/POL/60070/2022</t>
  </si>
  <si>
    <t>PZ/800100</t>
  </si>
  <si>
    <t>10039.46</t>
  </si>
  <si>
    <t>FV/2416HM/22</t>
  </si>
  <si>
    <t>PZ/800101</t>
  </si>
  <si>
    <t>13320.19</t>
  </si>
  <si>
    <t>FV/POL/34940/2022</t>
  </si>
  <si>
    <t>PZ/800102</t>
  </si>
  <si>
    <t>17130.67</t>
  </si>
  <si>
    <t>FV/POL/30692/2022</t>
  </si>
  <si>
    <t>PZ/800103</t>
  </si>
  <si>
    <t>10871.07</t>
  </si>
  <si>
    <t>FV/M/6944/P/22</t>
  </si>
  <si>
    <t>PZ/800104</t>
  </si>
  <si>
    <t>18177.76</t>
  </si>
  <si>
    <t>FV/98/SAL/22</t>
  </si>
  <si>
    <t>PZ/800105</t>
  </si>
  <si>
    <t>-825.26</t>
  </si>
  <si>
    <t>FV/33/PP/8932/22</t>
  </si>
  <si>
    <t>PZ/800106</t>
  </si>
  <si>
    <t>6313.94</t>
  </si>
  <si>
    <t>FV/POL/16250/2022</t>
  </si>
  <si>
    <t>PZ/800107</t>
  </si>
  <si>
    <t>8832.05</t>
  </si>
  <si>
    <t>FV/18/PP/9505/22</t>
  </si>
  <si>
    <t>PZ/800108</t>
  </si>
  <si>
    <t>12460.99</t>
  </si>
  <si>
    <t>FV/POL/11348/2022</t>
  </si>
  <si>
    <t>PZ/800109</t>
  </si>
  <si>
    <t>16428.32</t>
  </si>
  <si>
    <t>FV/M/6145/P/22</t>
  </si>
  <si>
    <t>PZ/800110</t>
  </si>
  <si>
    <t>8727.51</t>
  </si>
  <si>
    <t>FV/18/PP/9149/22</t>
  </si>
  <si>
    <t>PZ/800111</t>
  </si>
  <si>
    <t>13237.39</t>
  </si>
  <si>
    <t>FV/POL/97670/2022</t>
  </si>
  <si>
    <t>PZ/800112</t>
  </si>
  <si>
    <t>16752.34</t>
  </si>
  <si>
    <t>FV/1701HM/22</t>
  </si>
  <si>
    <t>PZ/800113</t>
  </si>
  <si>
    <t>18846.82</t>
  </si>
  <si>
    <t>FV/63/SAL/22</t>
  </si>
  <si>
    <t>PZ/800114</t>
  </si>
  <si>
    <t>9010.23</t>
  </si>
  <si>
    <t>FV/35928/VDb/2022</t>
  </si>
  <si>
    <t>PZ/800115</t>
  </si>
  <si>
    <t>14784.39</t>
  </si>
  <si>
    <t>FV/M/5551/P/22</t>
  </si>
  <si>
    <t>PZ/800116</t>
  </si>
  <si>
    <t>10536.9</t>
  </si>
  <si>
    <t>FV/61904/VDb/2022</t>
  </si>
  <si>
    <t>PZ/800117</t>
  </si>
  <si>
    <t>16412.63</t>
  </si>
  <si>
    <t>FV/M/6202/P/22</t>
  </si>
  <si>
    <t>PZ/800118</t>
  </si>
  <si>
    <t>10515.92</t>
  </si>
  <si>
    <t>FV/85/SAL/22</t>
  </si>
  <si>
    <t>PZ/800119</t>
  </si>
  <si>
    <t>12132.39</t>
  </si>
  <si>
    <t>FV/M/8068/P/22</t>
  </si>
  <si>
    <t>PZ/800120</t>
  </si>
  <si>
    <t>12718.12</t>
  </si>
  <si>
    <t>FV/18748/VDb/2022</t>
  </si>
  <si>
    <t>PZ/800121</t>
  </si>
  <si>
    <t>12720.53</t>
  </si>
  <si>
    <t>FV/M/3570/P/22</t>
  </si>
  <si>
    <t>PZ/800122</t>
  </si>
  <si>
    <t>16076.52</t>
  </si>
  <si>
    <t>FV/76/PP/6436/22</t>
  </si>
  <si>
    <t>PZ/800123</t>
  </si>
  <si>
    <t>15863.84</t>
  </si>
  <si>
    <t>FV/5698/NOVA/22</t>
  </si>
  <si>
    <t>PZ/800124</t>
  </si>
  <si>
    <t>11343.64</t>
  </si>
  <si>
    <t>FV/3729/NOVA/22</t>
  </si>
  <si>
    <t>PZ/800125</t>
  </si>
  <si>
    <t>12836.82</t>
  </si>
  <si>
    <t>FV/8487/NOVA/22</t>
  </si>
  <si>
    <t>PZ/800126</t>
  </si>
  <si>
    <t>20594.8</t>
  </si>
  <si>
    <t>FV/CENFA/445148/22</t>
  </si>
  <si>
    <t>PZ/800127</t>
  </si>
  <si>
    <t>24056.7</t>
  </si>
  <si>
    <t>FV/M/3866/P/22</t>
  </si>
  <si>
    <t>PZ/800128</t>
  </si>
  <si>
    <t>24080.98</t>
  </si>
  <si>
    <t>FV/4034HM/22</t>
  </si>
  <si>
    <t>PZ/800129</t>
  </si>
  <si>
    <t>11600.46</t>
  </si>
  <si>
    <t>FV/CENFA/655637/22</t>
  </si>
  <si>
    <t>PZ/800130</t>
  </si>
  <si>
    <t>22052.62</t>
  </si>
  <si>
    <t>PZ/800131</t>
  </si>
  <si>
    <t>11316.26</t>
  </si>
  <si>
    <t>FV/M/5152/P/22</t>
  </si>
  <si>
    <t>PZ/800132</t>
  </si>
  <si>
    <t>9174.8</t>
  </si>
  <si>
    <t>FV/1937/NOVA/22</t>
  </si>
  <si>
    <t>PZ/800133</t>
  </si>
  <si>
    <t>11984.95</t>
  </si>
  <si>
    <t>FV/1313HM/22</t>
  </si>
  <si>
    <t>PZ/800134</t>
  </si>
  <si>
    <t>14283.7</t>
  </si>
  <si>
    <t>FV/2890/NOVA/22</t>
  </si>
  <si>
    <t>PZ/800135</t>
  </si>
  <si>
    <t>14942.47</t>
  </si>
  <si>
    <t>FV/35784/VDb/2022</t>
  </si>
  <si>
    <t>PZ/800136</t>
  </si>
  <si>
    <t>17683.53</t>
  </si>
  <si>
    <t>FV/8497HM/22</t>
  </si>
  <si>
    <t>PZ/800137</t>
  </si>
  <si>
    <t>13984.93</t>
  </si>
  <si>
    <t>FV/16/SAL/22</t>
  </si>
  <si>
    <t>PZ/800138</t>
  </si>
  <si>
    <t>13891.48</t>
  </si>
  <si>
    <t>FV/POL/31818/2022</t>
  </si>
  <si>
    <t>PZ/800139</t>
  </si>
  <si>
    <t>24565.38</t>
  </si>
  <si>
    <t>FV/24/SAL/22</t>
  </si>
  <si>
    <t>PZ/800140</t>
  </si>
  <si>
    <t>19744.89</t>
  </si>
  <si>
    <t>FV/61970/VDb/2022</t>
  </si>
  <si>
    <t>PZ/800141</t>
  </si>
  <si>
    <t>14895.09</t>
  </si>
  <si>
    <t>FV/4017HM/22</t>
  </si>
  <si>
    <t>PZ/800142</t>
  </si>
  <si>
    <t>14674.16</t>
  </si>
  <si>
    <t>FV/62796/VDb/2022</t>
  </si>
  <si>
    <t>PZ/800143</t>
  </si>
  <si>
    <t>11855.52</t>
  </si>
  <si>
    <t>FV/77/SAL/22</t>
  </si>
  <si>
    <t>PZ/800144</t>
  </si>
  <si>
    <t>18056.04</t>
  </si>
  <si>
    <t>FV/6521/NOVA/22</t>
  </si>
  <si>
    <t>PZ/800145</t>
  </si>
  <si>
    <t>15206.14</t>
  </si>
  <si>
    <t>FV/25/PP/2650/22</t>
  </si>
  <si>
    <t>PZ/800146</t>
  </si>
  <si>
    <t>12680.34</t>
  </si>
  <si>
    <t>FV/M/3237/P/22</t>
  </si>
  <si>
    <t>PZ/800147</t>
  </si>
  <si>
    <t>18098.67</t>
  </si>
  <si>
    <t>FV/CENFA/809339/22</t>
  </si>
  <si>
    <t>PZ/800148</t>
  </si>
  <si>
    <t>18504.65</t>
  </si>
  <si>
    <t>FV/4146HM/22</t>
  </si>
  <si>
    <t>PZ/800149</t>
  </si>
  <si>
    <t>11915.19</t>
  </si>
  <si>
    <t>FV/POL/52204/2022</t>
  </si>
  <si>
    <t>PZ/800150</t>
  </si>
  <si>
    <t>19262.59</t>
  </si>
  <si>
    <t>FV/4944/NOVA/22</t>
  </si>
  <si>
    <t>PZ/800151</t>
  </si>
  <si>
    <t>15767.64</t>
  </si>
  <si>
    <t>FV/1150/NOVA/22</t>
  </si>
  <si>
    <t>PZ/800152</t>
  </si>
  <si>
    <t>21726.85</t>
  </si>
  <si>
    <t>FV/53/PP/4700/22</t>
  </si>
  <si>
    <t>PZ/800153</t>
  </si>
  <si>
    <t>13096.67</t>
  </si>
  <si>
    <t>FV/65/SAL/22</t>
  </si>
  <si>
    <t>PZ/800154</t>
  </si>
  <si>
    <t>10982.42</t>
  </si>
  <si>
    <t>FV/51/PP/7156/22</t>
  </si>
  <si>
    <t>PZ/800155</t>
  </si>
  <si>
    <t>12653.75</t>
  </si>
  <si>
    <t>FV/POL/44044/2022</t>
  </si>
  <si>
    <t>PZ/800156</t>
  </si>
  <si>
    <t>20445.56</t>
  </si>
  <si>
    <t>FV/POL/79534/2022</t>
  </si>
  <si>
    <t>PZ/800157</t>
  </si>
  <si>
    <t>22442.53</t>
  </si>
  <si>
    <t>FV/66/SAL/22</t>
  </si>
  <si>
    <t>PZ/800158</t>
  </si>
  <si>
    <t>10649.04</t>
  </si>
  <si>
    <t>FV/81/PP/7881/22</t>
  </si>
  <si>
    <t>PZ/800159</t>
  </si>
  <si>
    <t>15217.13</t>
  </si>
  <si>
    <t>FV/7593/NOVA/22</t>
  </si>
  <si>
    <t>PZ/800160</t>
  </si>
  <si>
    <t>19125.58</t>
  </si>
  <si>
    <t>FV/M/3313/P/22</t>
  </si>
  <si>
    <t>PZ/800161</t>
  </si>
  <si>
    <t>22103.98</t>
  </si>
  <si>
    <t>FV/8906/NOVA/22</t>
  </si>
  <si>
    <t>PZ/800162</t>
  </si>
  <si>
    <t>10142.68</t>
  </si>
  <si>
    <t>FV/82/SAL/22</t>
  </si>
  <si>
    <t>PZ/800163</t>
  </si>
  <si>
    <t>12291.15</t>
  </si>
  <si>
    <t>FV/POL/77329/2022</t>
  </si>
  <si>
    <t>PZ/800164</t>
  </si>
  <si>
    <t>11644.99</t>
  </si>
  <si>
    <t>FV/3878HM/22</t>
  </si>
  <si>
    <t>PZ/800165</t>
  </si>
  <si>
    <t>19765.86</t>
  </si>
  <si>
    <t>FV/24/PP/4033/22</t>
  </si>
  <si>
    <t>PZ/800166</t>
  </si>
  <si>
    <t>12354.14</t>
  </si>
  <si>
    <t>FV/6534HM/22</t>
  </si>
  <si>
    <t>PZ/800167</t>
  </si>
  <si>
    <t>20574.79</t>
  </si>
  <si>
    <t>FV/19/PP/7038/22</t>
  </si>
  <si>
    <t>PZ/800168</t>
  </si>
  <si>
    <t>18240.66</t>
  </si>
  <si>
    <t>FV/3637/NOVA/22</t>
  </si>
  <si>
    <t>PZ/800169</t>
  </si>
  <si>
    <t>13601.57</t>
  </si>
  <si>
    <t>PZ/800170</t>
  </si>
  <si>
    <t>7033.14</t>
  </si>
  <si>
    <t>FV/M/6477/P/22</t>
  </si>
  <si>
    <t>PZ/800171</t>
  </si>
  <si>
    <t>21120.66</t>
  </si>
  <si>
    <t>FV/POL/78061/2022</t>
  </si>
  <si>
    <t>PZ/800172</t>
  </si>
  <si>
    <t>19239.41</t>
  </si>
  <si>
    <t>FV/M/8386/P/22</t>
  </si>
  <si>
    <t>PZ/800173</t>
  </si>
  <si>
    <t>15847.53</t>
  </si>
  <si>
    <t>FV/POL/12064/2022</t>
  </si>
  <si>
    <t>PZ/800174</t>
  </si>
  <si>
    <t>15047.04</t>
  </si>
  <si>
    <t>FV/POL/27653/2022</t>
  </si>
  <si>
    <t>PZ/800175</t>
  </si>
  <si>
    <t>14815.93</t>
  </si>
  <si>
    <t>FV/1317/NOVA/22</t>
  </si>
  <si>
    <t>PZ/800176</t>
  </si>
  <si>
    <t>19565.81</t>
  </si>
  <si>
    <t>FV/POL/93769/2022</t>
  </si>
  <si>
    <t>PZ/800177</t>
  </si>
  <si>
    <t>12876.09</t>
  </si>
  <si>
    <t>FV/4486/NOVA/22</t>
  </si>
  <si>
    <t>PZ/800178</t>
  </si>
  <si>
    <t>5833.2</t>
  </si>
  <si>
    <t>FV/M/1650/P/22</t>
  </si>
  <si>
    <t>PZ/800179</t>
  </si>
  <si>
    <t>16945.84</t>
  </si>
  <si>
    <t>FV/25/SAL/22</t>
  </si>
  <si>
    <t>PZ/800180</t>
  </si>
  <si>
    <t>13839.11</t>
  </si>
  <si>
    <t>FV/M/5297/P/22</t>
  </si>
  <si>
    <t>PZ/800181</t>
  </si>
  <si>
    <t>20294.19</t>
  </si>
  <si>
    <t>FV/POL/37073/2022</t>
  </si>
  <si>
    <t>PZ/800182</t>
  </si>
  <si>
    <t>18304.01</t>
  </si>
  <si>
    <t>FV/POL/22456/2022</t>
  </si>
  <si>
    <t>PZ/800183</t>
  </si>
  <si>
    <t>13153.87</t>
  </si>
  <si>
    <t>FV/28835/VDb/2022</t>
  </si>
  <si>
    <t>PZ/800184</t>
  </si>
  <si>
    <t>13551.17</t>
  </si>
  <si>
    <t>FV/5133HM/22</t>
  </si>
  <si>
    <t>PZ/800185</t>
  </si>
  <si>
    <t>7482.47</t>
  </si>
  <si>
    <t>FV/44/PP/1663/22</t>
  </si>
  <si>
    <t>PZ/800186</t>
  </si>
  <si>
    <t>21046.74</t>
  </si>
  <si>
    <t>FV/23940/VDb/2022</t>
  </si>
  <si>
    <t>PZ/800187</t>
  </si>
  <si>
    <t>11730.05</t>
  </si>
  <si>
    <t>FV/48/PP/3589/22</t>
  </si>
  <si>
    <t>PZ/800188</t>
  </si>
  <si>
    <t>10315.77</t>
  </si>
  <si>
    <t>FV/90171/VDb/2022</t>
  </si>
  <si>
    <t>PZ/800189</t>
  </si>
  <si>
    <t>9543.86</t>
  </si>
  <si>
    <t>FV/85/PP/6085/22</t>
  </si>
  <si>
    <t>PZ/800190</t>
  </si>
  <si>
    <t>11543.97</t>
  </si>
  <si>
    <t>FV/18/SAL/22</t>
  </si>
  <si>
    <t>PZ/800191</t>
  </si>
  <si>
    <t>23180.04</t>
  </si>
  <si>
    <t>FV/2976HM/22</t>
  </si>
  <si>
    <t>PZ/800192</t>
  </si>
  <si>
    <t>7750.33</t>
  </si>
  <si>
    <t>FV/1356/NOVA/22</t>
  </si>
  <si>
    <t>PZ/800193</t>
  </si>
  <si>
    <t>15794.19</t>
  </si>
  <si>
    <t>FV/8461HM/22</t>
  </si>
  <si>
    <t>PZ/800194</t>
  </si>
  <si>
    <t>14304.57</t>
  </si>
  <si>
    <t>FV/4761/NOVA/22</t>
  </si>
  <si>
    <t>PZ/800195</t>
  </si>
  <si>
    <t>12460.34</t>
  </si>
  <si>
    <t>FV/1501/NOVA/22</t>
  </si>
  <si>
    <t>PZ/800196</t>
  </si>
  <si>
    <t>22235.05</t>
  </si>
  <si>
    <t>FV/51026/VDb/2022</t>
  </si>
  <si>
    <t>PZ/800197</t>
  </si>
  <si>
    <t>12668.14</t>
  </si>
  <si>
    <t>FV/POL/67629/2022</t>
  </si>
  <si>
    <t>PZ/800198</t>
  </si>
  <si>
    <t>14364.43</t>
  </si>
  <si>
    <t>FV/M/2604/P/22</t>
  </si>
  <si>
    <t>PZ/800199</t>
  </si>
  <si>
    <t>14354.27</t>
  </si>
  <si>
    <t>FV/4074HM/22</t>
  </si>
  <si>
    <t>PZ/800200</t>
  </si>
  <si>
    <t>14644.1</t>
  </si>
  <si>
    <t>FV/82499/VDb/2022</t>
  </si>
  <si>
    <t>PZ/800201</t>
  </si>
  <si>
    <t>17775.0</t>
  </si>
  <si>
    <t>FV/POL/89786/2022</t>
  </si>
  <si>
    <t>PZ/800202</t>
  </si>
  <si>
    <t>14834.5</t>
  </si>
  <si>
    <t>FV/CENFA/409520/22</t>
  </si>
  <si>
    <t>PZ/800203</t>
  </si>
  <si>
    <t>20433.12</t>
  </si>
  <si>
    <t>FV/68/PP/2143/22</t>
  </si>
  <si>
    <t>PZ/800204</t>
  </si>
  <si>
    <t>17767.93</t>
  </si>
  <si>
    <t>FV/3141/NOVA/22</t>
  </si>
  <si>
    <t>PZ/800205</t>
  </si>
  <si>
    <t>17775.25</t>
  </si>
  <si>
    <t>FV/51/SAL/22</t>
  </si>
  <si>
    <t>PZ/800206</t>
  </si>
  <si>
    <t>19330.68</t>
  </si>
  <si>
    <t>FV/POL/39295/2022</t>
  </si>
  <si>
    <t>PZ/800207</t>
  </si>
  <si>
    <t>8197.16</t>
  </si>
  <si>
    <t>FV/8136/NOVA/22</t>
  </si>
  <si>
    <t>PZ/800208</t>
  </si>
  <si>
    <t>10036.01</t>
  </si>
  <si>
    <t>FV/4772HM/22</t>
  </si>
  <si>
    <t>PZ/800209</t>
  </si>
  <si>
    <t>15927.71</t>
  </si>
  <si>
    <t>FV/M/3106/P/22</t>
  </si>
  <si>
    <t>PZ/800210</t>
  </si>
  <si>
    <t>15201.81</t>
  </si>
  <si>
    <t>FV/6153HM/22</t>
  </si>
  <si>
    <t>PZ/800211</t>
  </si>
  <si>
    <t>19004.56</t>
  </si>
  <si>
    <t>FV/57/PP/4716/22</t>
  </si>
  <si>
    <t>PZ/800212</t>
  </si>
  <si>
    <t>10271.11</t>
  </si>
  <si>
    <t>FV/47089/VDb/2022</t>
  </si>
  <si>
    <t>PZ/800213</t>
  </si>
  <si>
    <t>12743.26</t>
  </si>
  <si>
    <t>FV/POL/70812/2022</t>
  </si>
  <si>
    <t>PZ/800214</t>
  </si>
  <si>
    <t>14780.72</t>
  </si>
  <si>
    <t>FV/78555/VDb/2022</t>
  </si>
  <si>
    <t>PZ/800215</t>
  </si>
  <si>
    <t>18569.33</t>
  </si>
  <si>
    <t>FV/POL/43541/2022</t>
  </si>
  <si>
    <t>PZ/800216</t>
  </si>
  <si>
    <t>12911.89</t>
  </si>
  <si>
    <t>FV/40/PP/8801/22</t>
  </si>
  <si>
    <t>PZ/800217</t>
  </si>
  <si>
    <t>19912.75</t>
  </si>
  <si>
    <t>FV/POL/43407/2022</t>
  </si>
  <si>
    <t>PZ/800218</t>
  </si>
  <si>
    <t>20745.59</t>
  </si>
  <si>
    <t>FV/93/SAL/22</t>
  </si>
  <si>
    <t>PZ/800219</t>
  </si>
  <si>
    <t>FV/1180HM/22</t>
  </si>
  <si>
    <t>PZ/800220</t>
  </si>
  <si>
    <t>6361.74</t>
  </si>
  <si>
    <t>FV/POL/39052/2022</t>
  </si>
  <si>
    <t>PZ/800221</t>
  </si>
  <si>
    <t>12540.62</t>
  </si>
  <si>
    <t>FV/M/1406/P/22</t>
  </si>
  <si>
    <t>PZ/800222</t>
  </si>
  <si>
    <t>15963.76</t>
  </si>
  <si>
    <t>FV/M/1241/P/22</t>
  </si>
  <si>
    <t>PZ/800223</t>
  </si>
  <si>
    <t>17832.38</t>
  </si>
  <si>
    <t>FV/89499/VDb/2022</t>
  </si>
  <si>
    <t>PZ/800224</t>
  </si>
  <si>
    <t>13301.47</t>
  </si>
  <si>
    <t>PZ/800225</t>
  </si>
  <si>
    <t>19647.93</t>
  </si>
  <si>
    <t>FV/POL/11093/2022</t>
  </si>
  <si>
    <t>PZ/800226</t>
  </si>
  <si>
    <t>17241.36</t>
  </si>
  <si>
    <t>FV/99/SAL/22</t>
  </si>
  <si>
    <t>PZ/800227</t>
  </si>
  <si>
    <t>16288.97</t>
  </si>
  <si>
    <t>FV/POL/86199/2022</t>
  </si>
  <si>
    <t>PZ/800228</t>
  </si>
  <si>
    <t>9545.07</t>
  </si>
  <si>
    <t>FV/72/PP/1433/22</t>
  </si>
  <si>
    <t>PZ/800229</t>
  </si>
  <si>
    <t>21986.57</t>
  </si>
  <si>
    <t>FV/15/SAL/22</t>
  </si>
  <si>
    <t>PZ/800230</t>
  </si>
  <si>
    <t>15045.47</t>
  </si>
  <si>
    <t>FV/13/SAL/22</t>
  </si>
  <si>
    <t>PZ/800231</t>
  </si>
  <si>
    <t>18684.55</t>
  </si>
  <si>
    <t>FV/67/SAL/22</t>
  </si>
  <si>
    <t>PZ/800232</t>
  </si>
  <si>
    <t>12305.54</t>
  </si>
  <si>
    <t>FV/POL/31198/2022</t>
  </si>
  <si>
    <t>PZ/800233</t>
  </si>
  <si>
    <t>4166.11</t>
  </si>
  <si>
    <t>FV/8558/NOVA/22</t>
  </si>
  <si>
    <t>PZ/800234</t>
  </si>
  <si>
    <t>20063.09</t>
  </si>
  <si>
    <t>FV/M/5719/P/22</t>
  </si>
  <si>
    <t>PZ/800235</t>
  </si>
  <si>
    <t>10486.22</t>
  </si>
  <si>
    <t>FV/65/PP/7411/22</t>
  </si>
  <si>
    <t>PZ/800236</t>
  </si>
  <si>
    <t>9643.73</t>
  </si>
  <si>
    <t>FV/26/PP/3653/22</t>
  </si>
  <si>
    <t>PZ/800237</t>
  </si>
  <si>
    <t>13669.98</t>
  </si>
  <si>
    <t>FV/CENFA/655185/22</t>
  </si>
  <si>
    <t>PZ/800238</t>
  </si>
  <si>
    <t>17295.82</t>
  </si>
  <si>
    <t>FV/77638/VDb/2022</t>
  </si>
  <si>
    <t>PZ/800239</t>
  </si>
  <si>
    <t>21932.13</t>
  </si>
  <si>
    <t>FV/POL/21837/2022</t>
  </si>
  <si>
    <t>PZ/800240</t>
  </si>
  <si>
    <t>16583.1</t>
  </si>
  <si>
    <t>FV/62/PP/2158/22</t>
  </si>
  <si>
    <t>PZ/800241</t>
  </si>
  <si>
    <t>19088.44</t>
  </si>
  <si>
    <t>FV/2887/NOVA/22</t>
  </si>
  <si>
    <t>PZ/800242</t>
  </si>
  <si>
    <t>-400.76</t>
  </si>
  <si>
    <t>FV/29902/VDb/2022</t>
  </si>
  <si>
    <t>PZ/800243</t>
  </si>
  <si>
    <t>8452.35</t>
  </si>
  <si>
    <t>FV/4839HM/22</t>
  </si>
  <si>
    <t>PZ/800244</t>
  </si>
  <si>
    <t>24803.14</t>
  </si>
  <si>
    <t>FV/CENFA/178292/22</t>
  </si>
  <si>
    <t>PZ/800245</t>
  </si>
  <si>
    <t>-3445.95</t>
  </si>
  <si>
    <t>FV/56/PP/6928/22</t>
  </si>
  <si>
    <t>PZ/800246</t>
  </si>
  <si>
    <t>14430.66</t>
  </si>
  <si>
    <t>FV/29968/VDb/2022</t>
  </si>
  <si>
    <t>PZ/800247</t>
  </si>
  <si>
    <t>18848.82</t>
  </si>
  <si>
    <t>FV/63/PP/4230/22</t>
  </si>
  <si>
    <t>PZ/800248</t>
  </si>
  <si>
    <t>3501.98</t>
  </si>
  <si>
    <t>FV/38/SAL/22</t>
  </si>
  <si>
    <t>PZ/800249</t>
  </si>
  <si>
    <t>5792.43</t>
  </si>
  <si>
    <t>FV/56066/VDb/2022</t>
  </si>
  <si>
    <t>PZ/800250</t>
  </si>
  <si>
    <t>20978.56</t>
  </si>
  <si>
    <t>FV/27/SAL/22</t>
  </si>
  <si>
    <t>PZ/800251</t>
  </si>
  <si>
    <t>2507.02</t>
  </si>
  <si>
    <t>FV/CENFA/687752/22</t>
  </si>
  <si>
    <t>PZ/800252</t>
  </si>
  <si>
    <t>17109.95</t>
  </si>
  <si>
    <t>FV/19685/VDb/2022</t>
  </si>
  <si>
    <t>PZ/800253</t>
  </si>
  <si>
    <t>16430.17</t>
  </si>
  <si>
    <t>FV/3470/NOVA/22</t>
  </si>
  <si>
    <t>PZ/800254</t>
  </si>
  <si>
    <t>12051.25</t>
  </si>
  <si>
    <t>FV/5019HM/22</t>
  </si>
  <si>
    <t>PZ/800255</t>
  </si>
  <si>
    <t>12532.98</t>
  </si>
  <si>
    <t>FV/83654/VDb/2022</t>
  </si>
  <si>
    <t>PZ/800256</t>
  </si>
  <si>
    <t>22532.71</t>
  </si>
  <si>
    <t>FV/43/PP/1747/22</t>
  </si>
  <si>
    <t>PZ/800257</t>
  </si>
  <si>
    <t>11212.36</t>
  </si>
  <si>
    <t>FV/84/PP/2255/22</t>
  </si>
  <si>
    <t>PZ/800258</t>
  </si>
  <si>
    <t>15765.66</t>
  </si>
  <si>
    <t>FV/39/SAL/22</t>
  </si>
  <si>
    <t>PZ/800259</t>
  </si>
  <si>
    <t>16868.65</t>
  </si>
  <si>
    <t>FV/M/6010/P/22</t>
  </si>
  <si>
    <t>PZ/800260</t>
  </si>
  <si>
    <t>14024.85</t>
  </si>
  <si>
    <t>FV/90795/VDb/2022</t>
  </si>
  <si>
    <t>PZ/800261</t>
  </si>
  <si>
    <t>-576.29</t>
  </si>
  <si>
    <t>FV/POL/21678/2022</t>
  </si>
  <si>
    <t>PZ/800262</t>
  </si>
  <si>
    <t>21805.84</t>
  </si>
  <si>
    <t>FV/CENFA/648586/22</t>
  </si>
  <si>
    <t>PZ/800263</t>
  </si>
  <si>
    <t>18349.65</t>
  </si>
  <si>
    <t>FV/43272/VDb/2022</t>
  </si>
  <si>
    <t>PZ/800264</t>
  </si>
  <si>
    <t>-595.98</t>
  </si>
  <si>
    <t>FV/9272/NOVA/22</t>
  </si>
  <si>
    <t>PZ/800265</t>
  </si>
  <si>
    <t>15500.22</t>
  </si>
  <si>
    <t>FV/5629HM/22</t>
  </si>
  <si>
    <t>PZ/800266</t>
  </si>
  <si>
    <t>12956.28</t>
  </si>
  <si>
    <t>FV/18579/VDb/2022</t>
  </si>
  <si>
    <t>PZ/800267</t>
  </si>
  <si>
    <t>10443.9</t>
  </si>
  <si>
    <t>PZ/800268</t>
  </si>
  <si>
    <t>15597.24</t>
  </si>
  <si>
    <t>FV/39/PP/7072/22</t>
  </si>
  <si>
    <t>PZ/800269</t>
  </si>
  <si>
    <t>16774.44</t>
  </si>
  <si>
    <t>FV/POL/62053/2022</t>
  </si>
  <si>
    <t>PZ/800270</t>
  </si>
  <si>
    <t>11702.56</t>
  </si>
  <si>
    <t>FV/55/SAL/22</t>
  </si>
  <si>
    <t>PZ/800271</t>
  </si>
  <si>
    <t>10052.35</t>
  </si>
  <si>
    <t>FV/M/3712/P/22</t>
  </si>
  <si>
    <t>PZ/800272</t>
  </si>
  <si>
    <t>9973.04</t>
  </si>
  <si>
    <t>FV/6566/NOVA/22</t>
  </si>
  <si>
    <t>PZ/800273</t>
  </si>
  <si>
    <t>17030.47</t>
  </si>
  <si>
    <t>FV/2457/NOVA/22</t>
  </si>
  <si>
    <t>PZ/800274</t>
  </si>
  <si>
    <t>30202.54</t>
  </si>
  <si>
    <t>FV/5570HM/22</t>
  </si>
  <si>
    <t>PZ/800275</t>
  </si>
  <si>
    <t>13170.48</t>
  </si>
  <si>
    <t>FV/3672/NOVA/22</t>
  </si>
  <si>
    <t>PZ/800276</t>
  </si>
  <si>
    <t>21712.81</t>
  </si>
  <si>
    <t>FV/5756HM/22</t>
  </si>
  <si>
    <t>PZ/800277</t>
  </si>
  <si>
    <t>19544.16</t>
  </si>
  <si>
    <t>FV/68/SAL/22</t>
  </si>
  <si>
    <t>PZ/800278</t>
  </si>
  <si>
    <t>18847.66</t>
  </si>
  <si>
    <t>FV/74/SAL/22</t>
  </si>
  <si>
    <t>PZ/800279</t>
  </si>
  <si>
    <t>2822.3</t>
  </si>
  <si>
    <t>FV/19/SAL/22</t>
  </si>
  <si>
    <t>PZ/800280</t>
  </si>
  <si>
    <t>16625.66</t>
  </si>
  <si>
    <t>FV/4458HM/22</t>
  </si>
  <si>
    <t>PZ/800281</t>
  </si>
  <si>
    <t>24723.51</t>
  </si>
  <si>
    <t>FV/CENFA/972154/22</t>
  </si>
  <si>
    <t>PZ/800282</t>
  </si>
  <si>
    <t>15734.24</t>
  </si>
  <si>
    <t>FV/CENFA/644283/22</t>
  </si>
  <si>
    <t>PZ/800283</t>
  </si>
  <si>
    <t>21455.82</t>
  </si>
  <si>
    <t>FV/35/SAL/22</t>
  </si>
  <si>
    <t>PZ/800284</t>
  </si>
  <si>
    <t>11849.88</t>
  </si>
  <si>
    <t>FV/87/PP/7581/22</t>
  </si>
  <si>
    <t>PZ/800285</t>
  </si>
  <si>
    <t>11464.82</t>
  </si>
  <si>
    <t>FV/7621/NOVA/22</t>
  </si>
  <si>
    <t>PZ/800286</t>
  </si>
  <si>
    <t>18742.66</t>
  </si>
  <si>
    <t>FV/41/PP/8583/22</t>
  </si>
  <si>
    <t>PZ/800287</t>
  </si>
  <si>
    <t>12718.52</t>
  </si>
  <si>
    <t>FV/CENFA/870404/22</t>
  </si>
  <si>
    <t>PZ/800288</t>
  </si>
  <si>
    <t>19703.16</t>
  </si>
  <si>
    <t>FV/58/PP/6202/22</t>
  </si>
  <si>
    <t>PZ/800289</t>
  </si>
  <si>
    <t>-137.66</t>
  </si>
  <si>
    <t>FV/96/SAL/22</t>
  </si>
  <si>
    <t>PZ/800290</t>
  </si>
  <si>
    <t>15721.2</t>
  </si>
  <si>
    <t>FV/5997/NOVA/22</t>
  </si>
  <si>
    <t>PZ/800291</t>
  </si>
  <si>
    <t>11380.81</t>
  </si>
  <si>
    <t>FV/M/6373/P/22</t>
  </si>
  <si>
    <t>PZ/800292</t>
  </si>
  <si>
    <t>23204.4</t>
  </si>
  <si>
    <t>FV/54296/VDb/2022</t>
  </si>
  <si>
    <t>PZ/800293</t>
  </si>
  <si>
    <t>13746.61</t>
  </si>
  <si>
    <t>FV/37/PP/4791/22</t>
  </si>
  <si>
    <t>PZ/800294</t>
  </si>
  <si>
    <t>18299.37</t>
  </si>
  <si>
    <t>FV/CENFA/849070/22</t>
  </si>
  <si>
    <t>PZ/800295</t>
  </si>
  <si>
    <t>29104.31</t>
  </si>
  <si>
    <t>FV/CENFA/670110/22</t>
  </si>
  <si>
    <t>PZ/800296</t>
  </si>
  <si>
    <t>24122.12</t>
  </si>
  <si>
    <t>FV/4546/NOVA/22</t>
  </si>
  <si>
    <t>PZ/800297</t>
  </si>
  <si>
    <t>3956.24</t>
  </si>
  <si>
    <t>FV/30/PP/3032/22</t>
  </si>
  <si>
    <t>PZ/800298</t>
  </si>
  <si>
    <t>15143.84</t>
  </si>
  <si>
    <t>FV/99/PP/6852/22</t>
  </si>
  <si>
    <t>PZ/800299</t>
  </si>
  <si>
    <t>18855.1</t>
  </si>
  <si>
    <t>FV/9662/NOVA/22</t>
  </si>
  <si>
    <t>PZ/800300</t>
  </si>
  <si>
    <t>16525.71</t>
  </si>
  <si>
    <t>FV/39873/VDb/2022</t>
  </si>
  <si>
    <t>PZ/800301</t>
  </si>
  <si>
    <t>14266.84</t>
  </si>
  <si>
    <t>FV/24710/VDb/2022</t>
  </si>
  <si>
    <t>PZ/800302</t>
  </si>
  <si>
    <t>16850.06</t>
  </si>
  <si>
    <t>FV/4459/NOVA/22</t>
  </si>
  <si>
    <t>PZ/800303</t>
  </si>
  <si>
    <t>11956.37</t>
  </si>
  <si>
    <t>FV/75/PP/7657/22</t>
  </si>
  <si>
    <t>PZ/800304</t>
  </si>
  <si>
    <t>15148.61</t>
  </si>
  <si>
    <t>FV/84/PP/6146/22</t>
  </si>
  <si>
    <t>PZ/800305</t>
  </si>
  <si>
    <t>17733.18</t>
  </si>
  <si>
    <t>FV/CENFA/286913/22</t>
  </si>
  <si>
    <t>PZ/800306</t>
  </si>
  <si>
    <t>20602.84</t>
  </si>
  <si>
    <t>FV/64040/VDb/2022</t>
  </si>
  <si>
    <t>PZ/800307</t>
  </si>
  <si>
    <t>20104.33</t>
  </si>
  <si>
    <t>PZ/800308</t>
  </si>
  <si>
    <t>19474.63</t>
  </si>
  <si>
    <t>FV/36285/VDb/2022</t>
  </si>
  <si>
    <t>PZ/800309</t>
  </si>
  <si>
    <t>16922.97</t>
  </si>
  <si>
    <t>FV/2125HM/22</t>
  </si>
  <si>
    <t>PZ/800310</t>
  </si>
  <si>
    <t>17392.29</t>
  </si>
  <si>
    <t>FV/1208/NOVA/22</t>
  </si>
  <si>
    <t>PZ/800311</t>
  </si>
  <si>
    <t>12006.19</t>
  </si>
  <si>
    <t>FV/M/1136/P/22</t>
  </si>
  <si>
    <t>PZ/800312</t>
  </si>
  <si>
    <t>9984.4</t>
  </si>
  <si>
    <t>FV/M/8927/P/22</t>
  </si>
  <si>
    <t>PZ/800313</t>
  </si>
  <si>
    <t>9114.39</t>
  </si>
  <si>
    <t>FV/1018HM/22</t>
  </si>
  <si>
    <t>PZ/800314</t>
  </si>
  <si>
    <t>5711.26</t>
  </si>
  <si>
    <t>FV/CENFA/593777/22</t>
  </si>
  <si>
    <t>PZ/800315</t>
  </si>
  <si>
    <t>21229.91</t>
  </si>
  <si>
    <t>FV/POL/63010/2022</t>
  </si>
  <si>
    <t>PZ/800316</t>
  </si>
  <si>
    <t>5295.78</t>
  </si>
  <si>
    <t>FV/M/6546/P/22</t>
  </si>
  <si>
    <t>PZ/800317</t>
  </si>
  <si>
    <t>15139.08</t>
  </si>
  <si>
    <t>FV/CENFA/308662/22</t>
  </si>
  <si>
    <t>PZ/800318</t>
  </si>
  <si>
    <t>19422.31</t>
  </si>
  <si>
    <t>FV/POL/26114/2022</t>
  </si>
  <si>
    <t>PZ/800319</t>
  </si>
  <si>
    <t>11652.94</t>
  </si>
  <si>
    <t>FV/POL/15091/2022</t>
  </si>
  <si>
    <t>PZ/800320</t>
  </si>
  <si>
    <t>12126.18</t>
  </si>
  <si>
    <t>FV/M/2163/P/22</t>
  </si>
  <si>
    <t>PZ/800321</t>
  </si>
  <si>
    <t>11041.2</t>
  </si>
  <si>
    <t>FV/CENFA/738207/22</t>
  </si>
  <si>
    <t>PZ/800322</t>
  </si>
  <si>
    <t>14750.95</t>
  </si>
  <si>
    <t>FV/CENFA/775833/22</t>
  </si>
  <si>
    <t>PZ/800323</t>
  </si>
  <si>
    <t>11859.26</t>
  </si>
  <si>
    <t>FV/CENFA/351549/22</t>
  </si>
  <si>
    <t>PZ/800324</t>
  </si>
  <si>
    <t>16226.59</t>
  </si>
  <si>
    <t>FV/CENFA/468169/22</t>
  </si>
  <si>
    <t>PZ/800325</t>
  </si>
  <si>
    <t>19042.46</t>
  </si>
  <si>
    <t>FV/POL/42553/2022</t>
  </si>
  <si>
    <t>PZ/800326</t>
  </si>
  <si>
    <t>17323.51</t>
  </si>
  <si>
    <t>FV/POL/77764/2022</t>
  </si>
  <si>
    <t>PZ/800327</t>
  </si>
  <si>
    <t>11164.89</t>
  </si>
  <si>
    <t>FV/29/SAL/22</t>
  </si>
  <si>
    <t>PZ/800328</t>
  </si>
  <si>
    <t>-1034.76</t>
  </si>
  <si>
    <t>FV/M/3000/P/22</t>
  </si>
  <si>
    <t>PZ/800329</t>
  </si>
  <si>
    <t>10148.77</t>
  </si>
  <si>
    <t>FV/M/4618/P/22</t>
  </si>
  <si>
    <t>PZ/800330</t>
  </si>
  <si>
    <t>12889.13</t>
  </si>
  <si>
    <t>FV/CENFA/155651/22</t>
  </si>
  <si>
    <t>PZ/800331</t>
  </si>
  <si>
    <t>16463.82</t>
  </si>
  <si>
    <t>FV/7969/NOVA/22</t>
  </si>
  <si>
    <t>PZ/800332</t>
  </si>
  <si>
    <t>-1178.81</t>
  </si>
  <si>
    <t>FV/62/SAL/22</t>
  </si>
  <si>
    <t>PZ/800333</t>
  </si>
  <si>
    <t>12655.69</t>
  </si>
  <si>
    <t>FV/6648/NOVA/22</t>
  </si>
  <si>
    <t>PZ/800334</t>
  </si>
  <si>
    <t>8772.48</t>
  </si>
  <si>
    <t>FV/7022/NOVA/22</t>
  </si>
  <si>
    <t>PZ/800335</t>
  </si>
  <si>
    <t>25552.06</t>
  </si>
  <si>
    <t>FV/9577/NOVA/22</t>
  </si>
  <si>
    <t>PZ/800336</t>
  </si>
  <si>
    <t>11635.55</t>
  </si>
  <si>
    <t>FV/2135HM/22</t>
  </si>
  <si>
    <t>PZ/800337</t>
  </si>
  <si>
    <t>16822.54</t>
  </si>
  <si>
    <t>FV/5378/NOVA/22</t>
  </si>
  <si>
    <t>PZ/800338</t>
  </si>
  <si>
    <t>18869.74</t>
  </si>
  <si>
    <t>FV/2205/NOVA/22</t>
  </si>
  <si>
    <t>PZ/800339</t>
  </si>
  <si>
    <t>19907.15</t>
  </si>
  <si>
    <t>FV/CENFA/187395/22</t>
  </si>
  <si>
    <t>PZ/800340</t>
  </si>
  <si>
    <t>18410.76</t>
  </si>
  <si>
    <t>FV/CENFA/711616/22</t>
  </si>
  <si>
    <t>PZ/800341</t>
  </si>
  <si>
    <t>21623.99</t>
  </si>
  <si>
    <t>FV/M/1480/P/22</t>
  </si>
  <si>
    <t>PZ/800342</t>
  </si>
  <si>
    <t>17948.18</t>
  </si>
  <si>
    <t>FV/78/SAL/22</t>
  </si>
  <si>
    <t>PZ/800343</t>
  </si>
  <si>
    <t>20461.58</t>
  </si>
  <si>
    <t>FV/M/3540/P/22</t>
  </si>
  <si>
    <t>PZ/800344</t>
  </si>
  <si>
    <t>11531.43</t>
  </si>
  <si>
    <t>FV/M/2162/P/22</t>
  </si>
  <si>
    <t>PZ/800345</t>
  </si>
  <si>
    <t>17770.39</t>
  </si>
  <si>
    <t>FV/CENFA/449506/22</t>
  </si>
  <si>
    <t>PZ/800346</t>
  </si>
  <si>
    <t>7893.79</t>
  </si>
  <si>
    <t>FV/POL/18228/2022</t>
  </si>
  <si>
    <t>PZ/800347</t>
  </si>
  <si>
    <t>16296.93</t>
  </si>
  <si>
    <t>FV/CENFA/652140/22</t>
  </si>
  <si>
    <t>PZ/800348</t>
  </si>
  <si>
    <t>14572.55</t>
  </si>
  <si>
    <t>FV/M/2174/P/22</t>
  </si>
  <si>
    <t>PZ/800349</t>
  </si>
  <si>
    <t>19306.2</t>
  </si>
  <si>
    <t>FV/3038/NOVA/22</t>
  </si>
  <si>
    <t>PZ/800350</t>
  </si>
  <si>
    <t>9895.53</t>
  </si>
  <si>
    <t>FV/81240/VDb/2022</t>
  </si>
  <si>
    <t>PZ/800351</t>
  </si>
  <si>
    <t>15644.27</t>
  </si>
  <si>
    <t>FV/CENFA/391077/22</t>
  </si>
  <si>
    <t>PZ/800352</t>
  </si>
  <si>
    <t>18819.07</t>
  </si>
  <si>
    <t>FV/CENFA/469767/22</t>
  </si>
  <si>
    <t>PZ/800353</t>
  </si>
  <si>
    <t>6386.58</t>
  </si>
  <si>
    <t>FV/M/2035/P/22</t>
  </si>
  <si>
    <t>PZ/800354</t>
  </si>
  <si>
    <t>17357.28</t>
  </si>
  <si>
    <t>FV/90833/VDb/2022</t>
  </si>
  <si>
    <t>PZ/800355</t>
  </si>
  <si>
    <t>8584.12</t>
  </si>
  <si>
    <t>FV/POL/78793/2022</t>
  </si>
  <si>
    <t>PZ/800356</t>
  </si>
  <si>
    <t>13929.81</t>
  </si>
  <si>
    <t>FV/29816/VDb/2022</t>
  </si>
  <si>
    <t>PZ/800357</t>
  </si>
  <si>
    <t>18418.85</t>
  </si>
  <si>
    <t>FV/6383/NOVA/22</t>
  </si>
  <si>
    <t>PZ/800358</t>
  </si>
  <si>
    <t>12995.23</t>
  </si>
  <si>
    <t>FV/88953/VDb/2022</t>
  </si>
  <si>
    <t>PZ/800359</t>
  </si>
  <si>
    <t>15075.69</t>
  </si>
  <si>
    <t>PZ/800360</t>
  </si>
  <si>
    <t>17381.32</t>
  </si>
  <si>
    <t>FV/8329/NOVA/22</t>
  </si>
  <si>
    <t>PZ/800361</t>
  </si>
  <si>
    <t>22525.61</t>
  </si>
  <si>
    <t>FV/M/4263/P/22</t>
  </si>
  <si>
    <t>PZ/800362</t>
  </si>
  <si>
    <t>12185.33</t>
  </si>
  <si>
    <t>FV/65/PP/1713/22</t>
  </si>
  <si>
    <t>PZ/800363</t>
  </si>
  <si>
    <t>12175.45</t>
  </si>
  <si>
    <t>FV/17/PP/4175/22</t>
  </si>
  <si>
    <t>PZ/800364</t>
  </si>
  <si>
    <t>16232.52</t>
  </si>
  <si>
    <t>FV/40285/VDb/2022</t>
  </si>
  <si>
    <t>PZ/800365</t>
  </si>
  <si>
    <t>17507.62</t>
  </si>
  <si>
    <t>FV/23676/VDb/2022</t>
  </si>
  <si>
    <t>PZ/800366</t>
  </si>
  <si>
    <t>23109.82</t>
  </si>
  <si>
    <t>FV/84735/VDb/2022</t>
  </si>
  <si>
    <t>PZ/800367</t>
  </si>
  <si>
    <t>12519.15</t>
  </si>
  <si>
    <t>FV/70053/VDb/2022</t>
  </si>
  <si>
    <t>PZ/800368</t>
  </si>
  <si>
    <t>13599.11</t>
  </si>
  <si>
    <t>FV/M/3902/P/22</t>
  </si>
  <si>
    <t>PZ/800369</t>
  </si>
  <si>
    <t>14684.68</t>
  </si>
  <si>
    <t>FV/5903/NOVA/22</t>
  </si>
  <si>
    <t>PZ/800370</t>
  </si>
  <si>
    <t>22112.9</t>
  </si>
  <si>
    <t>FV/POL/69048/2022</t>
  </si>
  <si>
    <t>PZ/800371</t>
  </si>
  <si>
    <t>9594.72</t>
  </si>
  <si>
    <t>FV/68/PP/3755/22</t>
  </si>
  <si>
    <t>PZ/800372</t>
  </si>
  <si>
    <t>12397.26</t>
  </si>
  <si>
    <t>FV/20269/VDb/2022</t>
  </si>
  <si>
    <t>PZ/800373</t>
  </si>
  <si>
    <t>16147.17</t>
  </si>
  <si>
    <t>FV/POL/19529/2022</t>
  </si>
  <si>
    <t>PZ/800374</t>
  </si>
  <si>
    <t>21632.38</t>
  </si>
  <si>
    <t>FV/6277/NOVA/22</t>
  </si>
  <si>
    <t>PZ/800375</t>
  </si>
  <si>
    <t>14059.52</t>
  </si>
  <si>
    <t>FV/12/SAL/22</t>
  </si>
  <si>
    <t>PZ/800376</t>
  </si>
  <si>
    <t>-1179.57</t>
  </si>
  <si>
    <t>FV/1603HM/22</t>
  </si>
  <si>
    <t>PZ/800377</t>
  </si>
  <si>
    <t>6610.25</t>
  </si>
  <si>
    <t>FV/M/3225/P/22</t>
  </si>
  <si>
    <t>PZ/800378</t>
  </si>
  <si>
    <t>8929.54</t>
  </si>
  <si>
    <t>FV/3351/NOVA/22</t>
  </si>
  <si>
    <t>PZ/800379</t>
  </si>
  <si>
    <t>9175.84</t>
  </si>
  <si>
    <t>FV/5141HM/22</t>
  </si>
  <si>
    <t>PZ/800380</t>
  </si>
  <si>
    <t>13218.0</t>
  </si>
  <si>
    <t>FV/39/PP/6925/22</t>
  </si>
  <si>
    <t>PZ/800381</t>
  </si>
  <si>
    <t>19947.28</t>
  </si>
  <si>
    <t>FV/13/PP/4880/22</t>
  </si>
  <si>
    <t>PZ/800382</t>
  </si>
  <si>
    <t>9748.96</t>
  </si>
  <si>
    <t>FV/89/PP/7517/22</t>
  </si>
  <si>
    <t>PZ/800383</t>
  </si>
  <si>
    <t>19055.02</t>
  </si>
  <si>
    <t>FV/M/7514/P/22</t>
  </si>
  <si>
    <t>PZ/800384</t>
  </si>
  <si>
    <t>19638.89</t>
  </si>
  <si>
    <t>PZ/800385</t>
  </si>
  <si>
    <t>12286.6</t>
  </si>
  <si>
    <t>FV/8643HM/22</t>
  </si>
  <si>
    <t>PZ/800386</t>
  </si>
  <si>
    <t>8430.23</t>
  </si>
  <si>
    <t>PZ/800387</t>
  </si>
  <si>
    <t>14186.19</t>
  </si>
  <si>
    <t>FV/POL/23462/2022</t>
  </si>
  <si>
    <t>PZ/800388</t>
  </si>
  <si>
    <t>11631.02</t>
  </si>
  <si>
    <t>FV/POL/13782/2022</t>
  </si>
  <si>
    <t>PZ/800389</t>
  </si>
  <si>
    <t>17875.86</t>
  </si>
  <si>
    <t>FV/CENFA/394491/22</t>
  </si>
  <si>
    <t>PZ/800390</t>
  </si>
  <si>
    <t>5568.61</t>
  </si>
  <si>
    <t>FV/CENFA/211591/22</t>
  </si>
  <si>
    <t>PZ/800391</t>
  </si>
  <si>
    <t>12738.68</t>
  </si>
  <si>
    <t>FV/M/1027/P/22</t>
  </si>
  <si>
    <t>PZ/800392</t>
  </si>
  <si>
    <t>15320.78</t>
  </si>
  <si>
    <t>FV/CENFA/359445/22</t>
  </si>
  <si>
    <t>PZ/800393</t>
  </si>
  <si>
    <t>24101.47</t>
  </si>
  <si>
    <t>FV/2793/NOVA/22</t>
  </si>
  <si>
    <t>PZ/800394</t>
  </si>
  <si>
    <t>20070.76</t>
  </si>
  <si>
    <t>FV/M/1287/P/22</t>
  </si>
  <si>
    <t>PZ/800395</t>
  </si>
  <si>
    <t>10473.24</t>
  </si>
  <si>
    <t>FV/POL/26855/2022</t>
  </si>
  <si>
    <t>PZ/800396</t>
  </si>
  <si>
    <t>22178.49</t>
  </si>
  <si>
    <t>FV/4023HM/22</t>
  </si>
  <si>
    <t>PZ/800397</t>
  </si>
  <si>
    <t>20494.6</t>
  </si>
  <si>
    <t>FV/M/5751/P/22</t>
  </si>
  <si>
    <t>PZ/800398</t>
  </si>
  <si>
    <t>17851.63</t>
  </si>
  <si>
    <t>FV/POL/85782/2022</t>
  </si>
  <si>
    <t>PZ/800399</t>
  </si>
  <si>
    <t>21847.35</t>
  </si>
  <si>
    <t>FV/48309/VDb/2022</t>
  </si>
  <si>
    <t>PZ/800400</t>
  </si>
  <si>
    <t>15518.39</t>
  </si>
  <si>
    <t>FV/POL/50400/2022</t>
  </si>
  <si>
    <t>PZ/800401</t>
  </si>
  <si>
    <t>14023.58</t>
  </si>
  <si>
    <t>FV/11/SAL/22</t>
  </si>
  <si>
    <t>PZ/800402</t>
  </si>
  <si>
    <t>17161.89</t>
  </si>
  <si>
    <t>FV/POL/79468/2022</t>
  </si>
  <si>
    <t>PZ/800403</t>
  </si>
  <si>
    <t>14380.38</t>
  </si>
  <si>
    <t>FV/38/PP/3991/22</t>
  </si>
  <si>
    <t>PZ/800404</t>
  </si>
  <si>
    <t>21544.02</t>
  </si>
  <si>
    <t>FV/3669HM/22</t>
  </si>
  <si>
    <t>PZ/800405</t>
  </si>
  <si>
    <t>17738.38</t>
  </si>
  <si>
    <t>PZ/800406</t>
  </si>
  <si>
    <t>23258.69</t>
  </si>
  <si>
    <t>FV/9183HM/22</t>
  </si>
  <si>
    <t>PZ/800407</t>
  </si>
  <si>
    <t>7145.46</t>
  </si>
  <si>
    <t>FV/99/PP/2241/22</t>
  </si>
  <si>
    <t>PZ/800408</t>
  </si>
  <si>
    <t>16746.03</t>
  </si>
  <si>
    <t>FV/CENFA/296923/22</t>
  </si>
  <si>
    <t>PZ/800409</t>
  </si>
  <si>
    <t>9201.49</t>
  </si>
  <si>
    <t>FV/M/6539/P/22</t>
  </si>
  <si>
    <t>PZ/800410</t>
  </si>
  <si>
    <t>16954.14</t>
  </si>
  <si>
    <t>FV/CENFA/151100/22</t>
  </si>
  <si>
    <t>PZ/800411</t>
  </si>
  <si>
    <t>13107.81</t>
  </si>
  <si>
    <t>FV/72/PP/7391/22</t>
  </si>
  <si>
    <t>PZ/800412</t>
  </si>
  <si>
    <t>11374.83</t>
  </si>
  <si>
    <t>FV/63/PP/5959/22</t>
  </si>
  <si>
    <t>PZ/800413</t>
  </si>
  <si>
    <t>14495.56</t>
  </si>
  <si>
    <t>FV/POL/77527/2022</t>
  </si>
  <si>
    <t>PZ/800414</t>
  </si>
  <si>
    <t>13499.78</t>
  </si>
  <si>
    <t>FV/CENFA/327635/22</t>
  </si>
  <si>
    <t>PZ/800415</t>
  </si>
  <si>
    <t>14739.7</t>
  </si>
  <si>
    <t>FV/CENFA/899830/22</t>
  </si>
  <si>
    <t>PZ/800416</t>
  </si>
  <si>
    <t>13931.35</t>
  </si>
  <si>
    <t>PZ/800417</t>
  </si>
  <si>
    <t>16657.45</t>
  </si>
  <si>
    <t>FV/33147/VDb/2022</t>
  </si>
  <si>
    <t>PZ/800418</t>
  </si>
  <si>
    <t>7881.91</t>
  </si>
  <si>
    <t>FV/CENFA/279374/22</t>
  </si>
  <si>
    <t>PZ/800419</t>
  </si>
  <si>
    <t>10924.76</t>
  </si>
  <si>
    <t>FV/POL/57572/2022</t>
  </si>
  <si>
    <t>PZ/800420</t>
  </si>
  <si>
    <t>17878.87</t>
  </si>
  <si>
    <t>FV/25238/VDb/2022</t>
  </si>
  <si>
    <t>PZ/800421</t>
  </si>
  <si>
    <t>13202.75</t>
  </si>
  <si>
    <t>FV/61/SAL/22</t>
  </si>
  <si>
    <t>PZ/800422</t>
  </si>
  <si>
    <t>21007.22</t>
  </si>
  <si>
    <t>FV/2664/NOVA/22</t>
  </si>
  <si>
    <t>PZ/800423</t>
  </si>
  <si>
    <t>18012.12</t>
  </si>
  <si>
    <t>FV/M/4461/P/22</t>
  </si>
  <si>
    <t>PZ/800424</t>
  </si>
  <si>
    <t>15338.15</t>
  </si>
  <si>
    <t>FV/53/SAL/22</t>
  </si>
  <si>
    <t>PZ/800425</t>
  </si>
  <si>
    <t>-1299.66</t>
  </si>
  <si>
    <t>FV/M/9755/P/22</t>
  </si>
  <si>
    <t>PZ/800426</t>
  </si>
  <si>
    <t>9939.56</t>
  </si>
  <si>
    <t>FV/CENFA/875052/22</t>
  </si>
  <si>
    <t>PZ/800427</t>
  </si>
  <si>
    <t>14447.95</t>
  </si>
  <si>
    <t>FV/67/PP/4648/22</t>
  </si>
  <si>
    <t>PZ/800428</t>
  </si>
  <si>
    <t>17464.73</t>
  </si>
  <si>
    <t>FV/26/SAL/22</t>
  </si>
  <si>
    <t>PZ/800429</t>
  </si>
  <si>
    <t>11532.22</t>
  </si>
  <si>
    <t>FV/59/SAL/22</t>
  </si>
  <si>
    <t>PZ/800430</t>
  </si>
  <si>
    <t>16252.87</t>
  </si>
  <si>
    <t>FV/POL/93264/2022</t>
  </si>
  <si>
    <t>PZ/800431</t>
  </si>
  <si>
    <t>14277.65</t>
  </si>
  <si>
    <t>FV/M/2495/P/22</t>
  </si>
  <si>
    <t>PZ/800432</t>
  </si>
  <si>
    <t>12196.71</t>
  </si>
  <si>
    <t>FV/CENFA/722102/22</t>
  </si>
  <si>
    <t>PZ/800433</t>
  </si>
  <si>
    <t>21269.48</t>
  </si>
  <si>
    <t>FV/4145/NOVA/22</t>
  </si>
  <si>
    <t>PZ/800434</t>
  </si>
  <si>
    <t>11592.27</t>
  </si>
  <si>
    <t>FV/3077HM/22</t>
  </si>
  <si>
    <t>PZ/800435</t>
  </si>
  <si>
    <t>24197.16</t>
  </si>
  <si>
    <t>FV/6427/NOVA/22</t>
  </si>
  <si>
    <t>PZ/800436</t>
  </si>
  <si>
    <t>17216.66</t>
  </si>
  <si>
    <t>FV/6421HM/22</t>
  </si>
  <si>
    <t>PZ/800437</t>
  </si>
  <si>
    <t>13939.59</t>
  </si>
  <si>
    <t>PZ/800438</t>
  </si>
  <si>
    <t>-1466.9</t>
  </si>
  <si>
    <t>FV/POL/82730/2022</t>
  </si>
  <si>
    <t>PZ/800439</t>
  </si>
  <si>
    <t>17511.82</t>
  </si>
  <si>
    <t>FV/18/PP/7784/22</t>
  </si>
  <si>
    <t>PZ/800440</t>
  </si>
  <si>
    <t>4717.13</t>
  </si>
  <si>
    <t>FV/1828/NOVA/22</t>
  </si>
  <si>
    <t>PZ/800441</t>
  </si>
  <si>
    <t>6678.56</t>
  </si>
  <si>
    <t>FV/M/1862/P/22</t>
  </si>
  <si>
    <t>PZ/800442</t>
  </si>
  <si>
    <t>26367.01</t>
  </si>
  <si>
    <t>FV/POL/37408/2022</t>
  </si>
  <si>
    <t>PZ/800443</t>
  </si>
  <si>
    <t>-1667.52</t>
  </si>
  <si>
    <t>FV/52264/VDb/2022</t>
  </si>
  <si>
    <t>PZ/800444</t>
  </si>
  <si>
    <t>11252.02</t>
  </si>
  <si>
    <t>FV/87/SAL/22</t>
  </si>
  <si>
    <t>PZ/800445</t>
  </si>
  <si>
    <t>9562.29</t>
  </si>
  <si>
    <t>FV/9253HM/22</t>
  </si>
  <si>
    <t>PZ/800446</t>
  </si>
  <si>
    <t>17980.86</t>
  </si>
  <si>
    <t>FV/58/SAL/22</t>
  </si>
  <si>
    <t>PZ/800447</t>
  </si>
  <si>
    <t>19074.69</t>
  </si>
  <si>
    <t>PZ/800448</t>
  </si>
  <si>
    <t>-2028.19</t>
  </si>
  <si>
    <t>FV/M/2283/P/22</t>
  </si>
  <si>
    <t>PZ/800449</t>
  </si>
  <si>
    <t>11662.73</t>
  </si>
  <si>
    <t>FV/POL/47057/2022</t>
  </si>
  <si>
    <t>PZ/800450</t>
  </si>
  <si>
    <t>7630.87</t>
  </si>
  <si>
    <t>FV/1617/NOVA/22</t>
  </si>
  <si>
    <t>PZ/800451</t>
  </si>
  <si>
    <t>13190.41</t>
  </si>
  <si>
    <t>FV/POL/61106/2022</t>
  </si>
  <si>
    <t>PZ/800452</t>
  </si>
  <si>
    <t>19061.66</t>
  </si>
  <si>
    <t>FV/POL/77302/2022</t>
  </si>
  <si>
    <t>PZ/800453</t>
  </si>
  <si>
    <t>5897.7</t>
  </si>
  <si>
    <t>PZ/800454</t>
  </si>
  <si>
    <t>11505.38</t>
  </si>
  <si>
    <t>FV/POL/72703/2022</t>
  </si>
  <si>
    <t>PZ/800455</t>
  </si>
  <si>
    <t>11649.67</t>
  </si>
  <si>
    <t>FV/95559/VDb/2022</t>
  </si>
  <si>
    <t>PZ/800456</t>
  </si>
  <si>
    <t>13856.32</t>
  </si>
  <si>
    <t>FV/43/SAL/22</t>
  </si>
  <si>
    <t>PZ/800457</t>
  </si>
  <si>
    <t>15532.65</t>
  </si>
  <si>
    <t>FV/1421/NOVA/22</t>
  </si>
  <si>
    <t>PZ/800458</t>
  </si>
  <si>
    <t>14022.63</t>
  </si>
  <si>
    <t>FV/97/PP/5147/22</t>
  </si>
  <si>
    <t>PZ/800459</t>
  </si>
  <si>
    <t>23019.54</t>
  </si>
  <si>
    <t>FV/98/PP/3863/22</t>
  </si>
  <si>
    <t>PZ/800460</t>
  </si>
  <si>
    <t>15415.75</t>
  </si>
  <si>
    <t>FV/M/3428/P/22</t>
  </si>
  <si>
    <t>PZ/800461</t>
  </si>
  <si>
    <t>14453.67</t>
  </si>
  <si>
    <t>FV/55559/VDb/2022</t>
  </si>
  <si>
    <t>PZ/800462</t>
  </si>
  <si>
    <t>13259.55</t>
  </si>
  <si>
    <t>PZ/800463</t>
  </si>
  <si>
    <t>-372.0</t>
  </si>
  <si>
    <t>FV/M/9551/P/22</t>
  </si>
  <si>
    <t>PZ/800464</t>
  </si>
  <si>
    <t>15835.48</t>
  </si>
  <si>
    <t>FV/POL/69147/2022</t>
  </si>
  <si>
    <t>PZ/800465</t>
  </si>
  <si>
    <t>19225.93</t>
  </si>
  <si>
    <t>FV/CENFA/248909/22</t>
  </si>
  <si>
    <t>PZ/800466</t>
  </si>
  <si>
    <t>13932.3</t>
  </si>
  <si>
    <t>FV/6210/NOVA/22</t>
  </si>
  <si>
    <t>PZ/800467</t>
  </si>
  <si>
    <t>13464.5</t>
  </si>
  <si>
    <t>FV/86/PP/4230/22</t>
  </si>
  <si>
    <t>PZ/800468</t>
  </si>
  <si>
    <t>11020.55</t>
  </si>
  <si>
    <t>FV/CENFA/330496/22</t>
  </si>
  <si>
    <t>PZ/800469</t>
  </si>
  <si>
    <t>-899.46</t>
  </si>
  <si>
    <t>FV/CENFA/112556/22</t>
  </si>
  <si>
    <t>PZ/800470</t>
  </si>
  <si>
    <t>13802.18</t>
  </si>
  <si>
    <t>FV/7472HM/22</t>
  </si>
  <si>
    <t>PZ/800471</t>
  </si>
  <si>
    <t>18153.65</t>
  </si>
  <si>
    <t>FV/CENFA/621179/22</t>
  </si>
  <si>
    <t>PZ/800472</t>
  </si>
  <si>
    <t>10280.84</t>
  </si>
  <si>
    <t>PZ/800473</t>
  </si>
  <si>
    <t>13419.66</t>
  </si>
  <si>
    <t>FV/47/PP/3347/22</t>
  </si>
  <si>
    <t>PZ/800474</t>
  </si>
  <si>
    <t>11831.77</t>
  </si>
  <si>
    <t>FV/6626/NOVA/22</t>
  </si>
  <si>
    <t>PZ/800475</t>
  </si>
  <si>
    <t>16602.7</t>
  </si>
  <si>
    <t>FV/5973/NOVA/22</t>
  </si>
  <si>
    <t>PZ/800476</t>
  </si>
  <si>
    <t>16919.07</t>
  </si>
  <si>
    <t>FV/CENFA/920277/22</t>
  </si>
  <si>
    <t>PZ/800477</t>
  </si>
  <si>
    <t>16713.07</t>
  </si>
  <si>
    <t>FV/63/PP/9700/22</t>
  </si>
  <si>
    <t>PZ/800478</t>
  </si>
  <si>
    <t>8873.93</t>
  </si>
  <si>
    <t>FV/48/PP/8315/22</t>
  </si>
  <si>
    <t>PZ/800479</t>
  </si>
  <si>
    <t>15762.45</t>
  </si>
  <si>
    <t>FV/76/PP/9803/22</t>
  </si>
  <si>
    <t>PZ/800480</t>
  </si>
  <si>
    <t>19601.74</t>
  </si>
  <si>
    <t>FV/CENFA/558641/22</t>
  </si>
  <si>
    <t>PZ/800481</t>
  </si>
  <si>
    <t>17530.79</t>
  </si>
  <si>
    <t>FV/CENFA/890052/22</t>
  </si>
  <si>
    <t>PZ/800482</t>
  </si>
  <si>
    <t>21424.76</t>
  </si>
  <si>
    <t>FV/M/3857/P/22</t>
  </si>
  <si>
    <t>PZ/800483</t>
  </si>
  <si>
    <t>13957.19</t>
  </si>
  <si>
    <t>FV/3388/NOVA/22</t>
  </si>
  <si>
    <t>PZ/800484</t>
  </si>
  <si>
    <t>14994.97</t>
  </si>
  <si>
    <t>FV/CENFA/301856/22</t>
  </si>
  <si>
    <t>PZ/800485</t>
  </si>
  <si>
    <t>17299.56</t>
  </si>
  <si>
    <t>FV/POL/65914/2022</t>
  </si>
  <si>
    <t>PZ/800486</t>
  </si>
  <si>
    <t>13583.03</t>
  </si>
  <si>
    <t>FV/64/PP/4877/22</t>
  </si>
  <si>
    <t>PZ/800487</t>
  </si>
  <si>
    <t>-641.25</t>
  </si>
  <si>
    <t>FV/POL/46051/2022</t>
  </si>
  <si>
    <t>PZ/800488</t>
  </si>
  <si>
    <t>14677.06</t>
  </si>
  <si>
    <t>FV/CENFA/573806/22</t>
  </si>
  <si>
    <t>PZ/800489</t>
  </si>
  <si>
    <t>12999.42</t>
  </si>
  <si>
    <t>FV/83/PP/2091/22</t>
  </si>
  <si>
    <t>PZ/800490</t>
  </si>
  <si>
    <t>10931.9</t>
  </si>
  <si>
    <t>FV/14/SAL/22</t>
  </si>
  <si>
    <t>PZ/800491</t>
  </si>
  <si>
    <t>20957.01</t>
  </si>
  <si>
    <t>FV/M/3620/P/22</t>
  </si>
  <si>
    <t>PZ/800492</t>
  </si>
  <si>
    <t>13272.28</t>
  </si>
  <si>
    <t>FV/3145HM/22</t>
  </si>
  <si>
    <t>PZ/800493</t>
  </si>
  <si>
    <t>22254.28</t>
  </si>
  <si>
    <t>FV/CENFA/526220/22</t>
  </si>
  <si>
    <t>PZ/800494</t>
  </si>
  <si>
    <t>7337.65</t>
  </si>
  <si>
    <t>FV/12/PP/9794/22</t>
  </si>
  <si>
    <t>PZ/800495</t>
  </si>
  <si>
    <t>10870.38</t>
  </si>
  <si>
    <t>FV/8009HM/22</t>
  </si>
  <si>
    <t>PZ/800496</t>
  </si>
  <si>
    <t>18727.66</t>
  </si>
  <si>
    <t>FV/13/PP/8820/22</t>
  </si>
  <si>
    <t>PZ/800497</t>
  </si>
  <si>
    <t>6196.09</t>
  </si>
  <si>
    <t>FV/49015/VDb/2022</t>
  </si>
  <si>
    <t>PZ/800498</t>
  </si>
  <si>
    <t>-2148.49</t>
  </si>
  <si>
    <t>FV/7754HM/22</t>
  </si>
  <si>
    <t>PZ/800499</t>
  </si>
  <si>
    <t>13978.1</t>
  </si>
  <si>
    <t>PZ/800500</t>
  </si>
  <si>
    <t>5848.24</t>
  </si>
  <si>
    <t>FV/POL/88160/2022</t>
  </si>
  <si>
    <t>PZ/800501</t>
  </si>
  <si>
    <t>12237.05</t>
  </si>
  <si>
    <t>FV/51347/VDb/2022</t>
  </si>
  <si>
    <t>PZ/800502</t>
  </si>
  <si>
    <t>15981.72</t>
  </si>
  <si>
    <t>FV/CENFA/900457/22</t>
  </si>
  <si>
    <t>PZ/800503</t>
  </si>
  <si>
    <t>19875.97</t>
  </si>
  <si>
    <t>FV/POL/46602/2022</t>
  </si>
  <si>
    <t>PZ/800504</t>
  </si>
  <si>
    <t>10445.93</t>
  </si>
  <si>
    <t>FV/91/SAL/22</t>
  </si>
  <si>
    <t>PZ/800505</t>
  </si>
  <si>
    <t>16311.89</t>
  </si>
  <si>
    <t>FV/CENFA/852243/22</t>
  </si>
  <si>
    <t>PZ/800506</t>
  </si>
  <si>
    <t>14184.33</t>
  </si>
  <si>
    <t>FV/8038/NOVA/22</t>
  </si>
  <si>
    <t>PZ/800507</t>
  </si>
  <si>
    <t>10587.79</t>
  </si>
  <si>
    <t>PZ/800508</t>
  </si>
  <si>
    <t>10812.54</t>
  </si>
  <si>
    <t>FV/81/PP/8686/22</t>
  </si>
  <si>
    <t>PZ/800509</t>
  </si>
  <si>
    <t>15570.46</t>
  </si>
  <si>
    <t>FV/81234/VDb/2022</t>
  </si>
  <si>
    <t>PZ/800510</t>
  </si>
  <si>
    <t>14812.48</t>
  </si>
  <si>
    <t>FV/16644/VDb/2022</t>
  </si>
  <si>
    <t>PZ/800511</t>
  </si>
  <si>
    <t>15644.49</t>
  </si>
  <si>
    <t>FV/7298HM/22</t>
  </si>
  <si>
    <t>PZ/800512</t>
  </si>
  <si>
    <t>-1108.2</t>
  </si>
  <si>
    <t>PZ/800513</t>
  </si>
  <si>
    <t>18435.65</t>
  </si>
  <si>
    <t>FV/6659HM/22</t>
  </si>
  <si>
    <t>PZ/800514</t>
  </si>
  <si>
    <t>11398.07</t>
  </si>
  <si>
    <t>FV/82/PP/7149/22</t>
  </si>
  <si>
    <t>PZ/800515</t>
  </si>
  <si>
    <t>15531.01</t>
  </si>
  <si>
    <t>FV/4106/NOVA/22</t>
  </si>
  <si>
    <t>PZ/800516</t>
  </si>
  <si>
    <t>17494.95</t>
  </si>
  <si>
    <t>FV/POL/68257/2022</t>
  </si>
  <si>
    <t>PZ/800517</t>
  </si>
  <si>
    <t>11441.12</t>
  </si>
  <si>
    <t>FV/22/PP/3218/22</t>
  </si>
  <si>
    <t>PZ/800518</t>
  </si>
  <si>
    <t>14251.0</t>
  </si>
  <si>
    <t>FV/84/PP/3153/22</t>
  </si>
  <si>
    <t>PZ/800519</t>
  </si>
  <si>
    <t>-947.4</t>
  </si>
  <si>
    <t>FV/3698HM/22</t>
  </si>
  <si>
    <t>PZ/800520</t>
  </si>
  <si>
    <t>18474.71</t>
  </si>
  <si>
    <t>FV/POL/27213/2022</t>
  </si>
  <si>
    <t>PZ/800521</t>
  </si>
  <si>
    <t>11516.88</t>
  </si>
  <si>
    <t>FV/3767HM/22</t>
  </si>
  <si>
    <t>PZ/800522</t>
  </si>
  <si>
    <t>8942.13</t>
  </si>
  <si>
    <t>FV/CENFA/206100/22</t>
  </si>
  <si>
    <t>PZ/800523</t>
  </si>
  <si>
    <t>16967.55</t>
  </si>
  <si>
    <t>FV/73/SAL/22</t>
  </si>
  <si>
    <t>PZ/800524</t>
  </si>
  <si>
    <t>5931.67</t>
  </si>
  <si>
    <t>FV/4227/NOVA/22</t>
  </si>
  <si>
    <t>PZ/800525</t>
  </si>
  <si>
    <t>12439.71</t>
  </si>
  <si>
    <t>FV/1660HM/22</t>
  </si>
  <si>
    <t>PZ/800526</t>
  </si>
  <si>
    <t>15499.22</t>
  </si>
  <si>
    <t>FV/92/PP/6063/22</t>
  </si>
  <si>
    <t>PZ/800527</t>
  </si>
  <si>
    <t>26290.04</t>
  </si>
  <si>
    <t>FV/POL/30196/2022</t>
  </si>
  <si>
    <t>PZ/800528</t>
  </si>
  <si>
    <t>21223.48</t>
  </si>
  <si>
    <t>FV/7662/NOVA/22</t>
  </si>
  <si>
    <t>PZ/800529</t>
  </si>
  <si>
    <t>21949.4</t>
  </si>
  <si>
    <t>PZ/800530</t>
  </si>
  <si>
    <t>-777.91</t>
  </si>
  <si>
    <t>FV/33/SAL/22</t>
  </si>
  <si>
    <t>PZ/800531</t>
  </si>
  <si>
    <t>10396.43</t>
  </si>
  <si>
    <t>FV/CENFA/417738/22</t>
  </si>
  <si>
    <t>PZ/800532</t>
  </si>
  <si>
    <t>12380.13</t>
  </si>
  <si>
    <t>FV/63/PP/7385/22</t>
  </si>
  <si>
    <t>PZ/800533</t>
  </si>
  <si>
    <t>15442.21</t>
  </si>
  <si>
    <t>FV/POL/26916/2022</t>
  </si>
  <si>
    <t>PZ/800534</t>
  </si>
  <si>
    <t>11935.4</t>
  </si>
  <si>
    <t>FV/POL/99887/2022</t>
  </si>
  <si>
    <t>PZ/800535</t>
  </si>
  <si>
    <t>15980.83</t>
  </si>
  <si>
    <t>PZ/800536</t>
  </si>
  <si>
    <t>12342.53</t>
  </si>
  <si>
    <t>FV/5845HM/22</t>
  </si>
  <si>
    <t>PZ/800537</t>
  </si>
  <si>
    <t>17996.47</t>
  </si>
  <si>
    <t>FV/CENFA/258695/22</t>
  </si>
  <si>
    <t>PZ/800538</t>
  </si>
  <si>
    <t>7692.13</t>
  </si>
  <si>
    <t>FV/19325/VDb/2022</t>
  </si>
  <si>
    <t>PZ/800539</t>
  </si>
  <si>
    <t>16505.47</t>
  </si>
  <si>
    <t>FV/1833HM/22</t>
  </si>
  <si>
    <t>PZ/800540</t>
  </si>
  <si>
    <t>6222.74</t>
  </si>
  <si>
    <t>FV/M/8942/P/22</t>
  </si>
  <si>
    <t>PZ/800541</t>
  </si>
  <si>
    <t>9631.28</t>
  </si>
  <si>
    <t>FV/1567/NOVA/22</t>
  </si>
  <si>
    <t>PZ/800542</t>
  </si>
  <si>
    <t>10741.83</t>
  </si>
  <si>
    <t>PZ/800543</t>
  </si>
  <si>
    <t>17370.64</t>
  </si>
  <si>
    <t>FV/POL/83323/2022</t>
  </si>
  <si>
    <t>PZ/800544</t>
  </si>
  <si>
    <t>19673.35</t>
  </si>
  <si>
    <t>FV/2634HM/22</t>
  </si>
  <si>
    <t>PZ/800545</t>
  </si>
  <si>
    <t>-1596.81</t>
  </si>
  <si>
    <t>PZ/800546</t>
  </si>
  <si>
    <t>15056.71</t>
  </si>
  <si>
    <t>FV/7221/NOVA/22</t>
  </si>
  <si>
    <t>PZ/800547</t>
  </si>
  <si>
    <t>23363.08</t>
  </si>
  <si>
    <t>PZ/800548</t>
  </si>
  <si>
    <t>14801.17</t>
  </si>
  <si>
    <t>FV/POL/21610/2022</t>
  </si>
  <si>
    <t>PZ/800549</t>
  </si>
  <si>
    <t>-2709.3</t>
  </si>
  <si>
    <t>FV/4142/NOVA/22</t>
  </si>
  <si>
    <t>PZ/800550</t>
  </si>
  <si>
    <t>13570.81</t>
  </si>
  <si>
    <t>FV/POL/58397/2022</t>
  </si>
  <si>
    <t>PZ/800551</t>
  </si>
  <si>
    <t>8621.46</t>
  </si>
  <si>
    <t>FV/76/SAL/22</t>
  </si>
  <si>
    <t>PZ/800552</t>
  </si>
  <si>
    <t>17777.03</t>
  </si>
  <si>
    <t>PZ/800553</t>
  </si>
  <si>
    <t>16168.04</t>
  </si>
  <si>
    <t>FV/M/1699/P/22</t>
  </si>
  <si>
    <t>PZ/800554</t>
  </si>
  <si>
    <t>10733.58</t>
  </si>
  <si>
    <t>FV/CENFA/377429/22</t>
  </si>
  <si>
    <t>PZ/800555</t>
  </si>
  <si>
    <t>19837.49</t>
  </si>
  <si>
    <t>FV/7912HM/22</t>
  </si>
  <si>
    <t>PZ/800556</t>
  </si>
  <si>
    <t>18099.25</t>
  </si>
  <si>
    <t>FV/41/PP/4464/22</t>
  </si>
  <si>
    <t>PZ/800557</t>
  </si>
  <si>
    <t>8910.39</t>
  </si>
  <si>
    <t>FV/7722HM/22</t>
  </si>
  <si>
    <t>PZ/800558</t>
  </si>
  <si>
    <t>16991.57</t>
  </si>
  <si>
    <t>FV/M/3586/P/22</t>
  </si>
  <si>
    <t>PZ/800559</t>
  </si>
  <si>
    <t>11536.36</t>
  </si>
  <si>
    <t>FV/POL/72809/2022</t>
  </si>
  <si>
    <t>PZ/800560</t>
  </si>
  <si>
    <t>18909.16</t>
  </si>
  <si>
    <t>FV/70692/VDb/2022</t>
  </si>
  <si>
    <t>PZ/800561</t>
  </si>
  <si>
    <t>18788.71</t>
  </si>
  <si>
    <t>PZ/800562</t>
  </si>
  <si>
    <t>11723.53</t>
  </si>
  <si>
    <t>FV/81784/VDb/2022</t>
  </si>
  <si>
    <t>PZ/800563</t>
  </si>
  <si>
    <t>16766.67</t>
  </si>
  <si>
    <t>FV/POL/25077/2022</t>
  </si>
  <si>
    <t>PZ/800564</t>
  </si>
  <si>
    <t>7315.72</t>
  </si>
  <si>
    <t>FV/CENFA/683460/22</t>
  </si>
  <si>
    <t>PZ/800565</t>
  </si>
  <si>
    <t>12978.34</t>
  </si>
  <si>
    <t>FV/79/SAL/22</t>
  </si>
  <si>
    <t>PZ/800566</t>
  </si>
  <si>
    <t>14208.88</t>
  </si>
  <si>
    <t>FV/84/SAL/22</t>
  </si>
  <si>
    <t>PZ/800567</t>
  </si>
  <si>
    <t>12519.36</t>
  </si>
  <si>
    <t>FV/27451/VDb/2022</t>
  </si>
  <si>
    <t>PZ/800568</t>
  </si>
  <si>
    <t>15268.32</t>
  </si>
  <si>
    <t>FV/M/1129/P/22</t>
  </si>
  <si>
    <t>PZ/800569</t>
  </si>
  <si>
    <t>24492.33</t>
  </si>
  <si>
    <t>FV/POL/38367/2022</t>
  </si>
  <si>
    <t>PZ/800570</t>
  </si>
  <si>
    <t>-1006.43</t>
  </si>
  <si>
    <t>FV/8223HM/22</t>
  </si>
  <si>
    <t>PZ/800571</t>
  </si>
  <si>
    <t>11691.2</t>
  </si>
  <si>
    <t>FV/23/SAL/22</t>
  </si>
  <si>
    <t>PZ/800572</t>
  </si>
  <si>
    <t>9668.47</t>
  </si>
  <si>
    <t>FV/93933/VDb/2022</t>
  </si>
  <si>
    <t>PZ/800573</t>
  </si>
  <si>
    <t>-3120.9</t>
  </si>
  <si>
    <t>FV/M/5564/P/22</t>
  </si>
  <si>
    <t>PZ/800574</t>
  </si>
  <si>
    <t>10374.01</t>
  </si>
  <si>
    <t>FV/15/PP/1030/22</t>
  </si>
  <si>
    <t>PZ/800575</t>
  </si>
  <si>
    <t>17600.99</t>
  </si>
  <si>
    <t>FV/CENFA/530829/22</t>
  </si>
  <si>
    <t>PZ/800576</t>
  </si>
  <si>
    <t>16220.32</t>
  </si>
  <si>
    <t>FV/CENFA/127024/22</t>
  </si>
  <si>
    <t>PZ/800577</t>
  </si>
  <si>
    <t>19416.95</t>
  </si>
  <si>
    <t>PZ/800578</t>
  </si>
  <si>
    <t>15601.8</t>
  </si>
  <si>
    <t>FV/M/1088/P/22</t>
  </si>
  <si>
    <t>PZ/800579</t>
  </si>
  <si>
    <t>15294.07</t>
  </si>
  <si>
    <t>FV/2425HM/22</t>
  </si>
  <si>
    <t>PZ/800580</t>
  </si>
  <si>
    <t>6079.44</t>
  </si>
  <si>
    <t>FV/27/PP/9702/22</t>
  </si>
  <si>
    <t>PZ/800581</t>
  </si>
  <si>
    <t>6440.27</t>
  </si>
  <si>
    <t>FV/8300/NOVA/22</t>
  </si>
  <si>
    <t>PZ/800582</t>
  </si>
  <si>
    <t>23708.09</t>
  </si>
  <si>
    <t>FV/CENFA/126287/22</t>
  </si>
  <si>
    <t>PZ/800583</t>
  </si>
  <si>
    <t>14870.04</t>
  </si>
  <si>
    <t>FV/M/8854/P/22</t>
  </si>
  <si>
    <t>PZ/800584</t>
  </si>
  <si>
    <t>23298.7</t>
  </si>
  <si>
    <t>FV/M/1064/P/22</t>
  </si>
  <si>
    <t>PZ/800585</t>
  </si>
  <si>
    <t>-1983.53</t>
  </si>
  <si>
    <t>FV/3595HM/22</t>
  </si>
  <si>
    <t>PZ/800586</t>
  </si>
  <si>
    <t>16909.27</t>
  </si>
  <si>
    <t>FV/4237HM/22</t>
  </si>
  <si>
    <t>PZ/800587</t>
  </si>
  <si>
    <t>14179.68</t>
  </si>
  <si>
    <t>FV/56/PP/8711/22</t>
  </si>
  <si>
    <t>PZ/800588</t>
  </si>
  <si>
    <t>17129.89</t>
  </si>
  <si>
    <t>FV/CENFA/851888/22</t>
  </si>
  <si>
    <t>PZ/800589</t>
  </si>
  <si>
    <t>23237.85</t>
  </si>
  <si>
    <t>FV/CENFA/732603/22</t>
  </si>
  <si>
    <t>PZ/800590</t>
  </si>
  <si>
    <t>5712.77</t>
  </si>
  <si>
    <t>FV/POL/58584/2022</t>
  </si>
  <si>
    <t>PZ/800591</t>
  </si>
  <si>
    <t>11885.37</t>
  </si>
  <si>
    <t>FV/POL/41606/2022</t>
  </si>
  <si>
    <t>PZ/800592</t>
  </si>
  <si>
    <t>13745.88</t>
  </si>
  <si>
    <t>FV/POL/77020/2022</t>
  </si>
  <si>
    <t>PZ/800593</t>
  </si>
  <si>
    <t>6124.69</t>
  </si>
  <si>
    <t>FV/1282HM/22</t>
  </si>
  <si>
    <t>PZ/800594</t>
  </si>
  <si>
    <t>9383.62</t>
  </si>
  <si>
    <t>PZ/800595</t>
  </si>
  <si>
    <t>17569.84</t>
  </si>
  <si>
    <t>PZ/800596</t>
  </si>
  <si>
    <t>11305.85</t>
  </si>
  <si>
    <t>FV/8111HM/22</t>
  </si>
  <si>
    <t>PZ/800597</t>
  </si>
  <si>
    <t>18293.38</t>
  </si>
  <si>
    <t>FV/2064/NOVA/22</t>
  </si>
  <si>
    <t>PZ/800598</t>
  </si>
  <si>
    <t>22213.78</t>
  </si>
  <si>
    <t>PZ/800599</t>
  </si>
  <si>
    <t>21696.61</t>
  </si>
  <si>
    <t>FV/1266HM/22</t>
  </si>
  <si>
    <t>PZ/800600</t>
  </si>
  <si>
    <t>20107.8</t>
  </si>
  <si>
    <t>FV/43/PP/4522/22</t>
  </si>
  <si>
    <t>PZ/800601</t>
  </si>
  <si>
    <t>12950.12</t>
  </si>
  <si>
    <t>FV/7398HM/22</t>
  </si>
  <si>
    <t>PZ/800602</t>
  </si>
  <si>
    <t>16336.41</t>
  </si>
  <si>
    <t>FV/POL/69171/2022</t>
  </si>
  <si>
    <t>PZ/800603</t>
  </si>
  <si>
    <t>9464.49</t>
  </si>
  <si>
    <t>FV/46/PP/4126/22</t>
  </si>
  <si>
    <t>PZ/800604</t>
  </si>
  <si>
    <t>15341.56</t>
  </si>
  <si>
    <t>PZ/800605</t>
  </si>
  <si>
    <t>6661.19</t>
  </si>
  <si>
    <t>FV/2860HM/22</t>
  </si>
  <si>
    <t>PZ/800606</t>
  </si>
  <si>
    <t>8924.72</t>
  </si>
  <si>
    <t>FV/81/PP/1393/22</t>
  </si>
  <si>
    <t>PZ/800607</t>
  </si>
  <si>
    <t>16311.49</t>
  </si>
  <si>
    <t>FV/6009/NOVA/22</t>
  </si>
  <si>
    <t>PZ/800608</t>
  </si>
  <si>
    <t>7988.78</t>
  </si>
  <si>
    <t>FV/6904/NOVA/22</t>
  </si>
  <si>
    <t>PZ/800609</t>
  </si>
  <si>
    <t>15049.74</t>
  </si>
  <si>
    <t>PZ/800610</t>
  </si>
  <si>
    <t>22549.56</t>
  </si>
  <si>
    <t>FV/41/SAL/22</t>
  </si>
  <si>
    <t>PZ/800611</t>
  </si>
  <si>
    <t>18327.25</t>
  </si>
  <si>
    <t>FV/POL/23979/2022</t>
  </si>
  <si>
    <t>PZ/800612</t>
  </si>
  <si>
    <t>11283.65</t>
  </si>
  <si>
    <t>FV/M/6307/P/22</t>
  </si>
  <si>
    <t>PZ/800613</t>
  </si>
  <si>
    <t>9712.49</t>
  </si>
  <si>
    <t>FV/CENFA/110812/22</t>
  </si>
  <si>
    <t>PZ/800614</t>
  </si>
  <si>
    <t>14500.58</t>
  </si>
  <si>
    <t>FV/17/PP/9526/22</t>
  </si>
  <si>
    <t>PZ/800615</t>
  </si>
  <si>
    <t>11065.81</t>
  </si>
  <si>
    <t>FV/8965/NOVA/22</t>
  </si>
  <si>
    <t>PZ/800616</t>
  </si>
  <si>
    <t>17189.86</t>
  </si>
  <si>
    <t>FV/M/4666/P/22</t>
  </si>
  <si>
    <t>PZ/800617</t>
  </si>
  <si>
    <t>22054.11</t>
  </si>
  <si>
    <t>FV/75169/VDb/2022</t>
  </si>
  <si>
    <t>PZ/800618</t>
  </si>
  <si>
    <t>17368.49</t>
  </si>
  <si>
    <t>FV/12478/VDb/2022</t>
  </si>
  <si>
    <t>PZ/800619</t>
  </si>
  <si>
    <t>2482.89</t>
  </si>
  <si>
    <t>FV/4151/NOVA/22</t>
  </si>
  <si>
    <t>PZ/800620</t>
  </si>
  <si>
    <t>15794.47</t>
  </si>
  <si>
    <t>FV/6318HM/22</t>
  </si>
  <si>
    <t>PZ/800621</t>
  </si>
  <si>
    <t>17240.08</t>
  </si>
  <si>
    <t>FV/2057/NOVA/22</t>
  </si>
  <si>
    <t>PZ/800622</t>
  </si>
  <si>
    <t>22491.88</t>
  </si>
  <si>
    <t>FV/CENFA/827094/22</t>
  </si>
  <si>
    <t>PZ/800623</t>
  </si>
  <si>
    <t>9005.07</t>
  </si>
  <si>
    <t>FV/POL/31337/2022</t>
  </si>
  <si>
    <t>PZ/800624</t>
  </si>
  <si>
    <t>12708.66</t>
  </si>
  <si>
    <t>PZ/800625</t>
  </si>
  <si>
    <t>11133.2</t>
  </si>
  <si>
    <t>FV/M/2756/P/22</t>
  </si>
  <si>
    <t>PZ/800626</t>
  </si>
  <si>
    <t>16711.19</t>
  </si>
  <si>
    <t>PZ/800627</t>
  </si>
  <si>
    <t>13273.69</t>
  </si>
  <si>
    <t>FV/M/9396/P/22</t>
  </si>
  <si>
    <t>PZ/800628</t>
  </si>
  <si>
    <t>11537.34</t>
  </si>
  <si>
    <t>FV/1070HM/22</t>
  </si>
  <si>
    <t>PZ/800629</t>
  </si>
  <si>
    <t>10957.11</t>
  </si>
  <si>
    <t>FV/M/1926/P/22</t>
  </si>
  <si>
    <t>PZ/800630</t>
  </si>
  <si>
    <t>15681.86</t>
  </si>
  <si>
    <t>FV/25537/VDb/2022</t>
  </si>
  <si>
    <t>PZ/800631</t>
  </si>
  <si>
    <t>-2145.16</t>
  </si>
  <si>
    <t>FV/8858/NOVA/22</t>
  </si>
  <si>
    <t>PZ/800632</t>
  </si>
  <si>
    <t>9889.16</t>
  </si>
  <si>
    <t>FV/53/PP/2213/22</t>
  </si>
  <si>
    <t>PZ/800633</t>
  </si>
  <si>
    <t>12169.52</t>
  </si>
  <si>
    <t>FV/93517/VDb/2022</t>
  </si>
  <si>
    <t>PZ/800634</t>
  </si>
  <si>
    <t>12153.59</t>
  </si>
  <si>
    <t>FV/9922HM/22</t>
  </si>
  <si>
    <t>PZ/800635</t>
  </si>
  <si>
    <t>18641.95</t>
  </si>
  <si>
    <t>FV/CENFA/203739/22</t>
  </si>
  <si>
    <t>PZ/800636</t>
  </si>
  <si>
    <t>14478.78</t>
  </si>
  <si>
    <t>PZ/800637</t>
  </si>
  <si>
    <t>12893.55</t>
  </si>
  <si>
    <t>FV/89/SAL/22</t>
  </si>
  <si>
    <t>PZ/800638</t>
  </si>
  <si>
    <t>16602.74</t>
  </si>
  <si>
    <t>FV/49627/VDb/2022</t>
  </si>
  <si>
    <t>PZ/800639</t>
  </si>
  <si>
    <t>10583.21</t>
  </si>
  <si>
    <t>FV/M/8505/P/22</t>
  </si>
  <si>
    <t>PZ/800640</t>
  </si>
  <si>
    <t>4950.85</t>
  </si>
  <si>
    <t>FV/M/3667/P/22</t>
  </si>
  <si>
    <t>PZ/800641</t>
  </si>
  <si>
    <t>7639.72</t>
  </si>
  <si>
    <t>FV/1751HM/22</t>
  </si>
  <si>
    <t>PZ/800642</t>
  </si>
  <si>
    <t>19812.09</t>
  </si>
  <si>
    <t>PZ/800643</t>
  </si>
  <si>
    <t>12013.82</t>
  </si>
  <si>
    <t>FV/7338HM/22</t>
  </si>
  <si>
    <t>PZ/800644</t>
  </si>
  <si>
    <t>11613.05</t>
  </si>
  <si>
    <t>FV/7767HM/22</t>
  </si>
  <si>
    <t>PZ/800645</t>
  </si>
  <si>
    <t>10489.85</t>
  </si>
  <si>
    <t>FV/8970HM/22</t>
  </si>
  <si>
    <t>PZ/800646</t>
  </si>
  <si>
    <t>14506.5</t>
  </si>
  <si>
    <t>FV/6912/NOVA/22</t>
  </si>
  <si>
    <t>PZ/800647</t>
  </si>
  <si>
    <t>11883.13</t>
  </si>
  <si>
    <t>FV/9401HM/22</t>
  </si>
  <si>
    <t>PZ/800648</t>
  </si>
  <si>
    <t>16760.44</t>
  </si>
  <si>
    <t>FV/82610/VDb/2022</t>
  </si>
  <si>
    <t>PZ/800649</t>
  </si>
  <si>
    <t>11702.25</t>
  </si>
  <si>
    <t>FV/CENFA/767292/22</t>
  </si>
  <si>
    <t>PZ/800650</t>
  </si>
  <si>
    <t>17844.55</t>
  </si>
  <si>
    <t>FV/12/PP/8605/22</t>
  </si>
  <si>
    <t>PZ/800651</t>
  </si>
  <si>
    <t>12873.29</t>
  </si>
  <si>
    <t>FV/M/5450/P/22</t>
  </si>
  <si>
    <t>PZ/800652</t>
  </si>
  <si>
    <t>21872.93</t>
  </si>
  <si>
    <t>FV/POL/79278/2022</t>
  </si>
  <si>
    <t>PZ/800653</t>
  </si>
  <si>
    <t>13445.02</t>
  </si>
  <si>
    <t>FV/35/PP/8816/22</t>
  </si>
  <si>
    <t>PZ/800654</t>
  </si>
  <si>
    <t>26794.28</t>
  </si>
  <si>
    <t>FV/POL/81910/2022</t>
  </si>
  <si>
    <t>PZ/800655</t>
  </si>
  <si>
    <t>8934.13</t>
  </si>
  <si>
    <t>FV/1719/NOVA/22</t>
  </si>
  <si>
    <t>PZ/800656</t>
  </si>
  <si>
    <t>3555.5</t>
  </si>
  <si>
    <t>FV/31/PP/9201/22</t>
  </si>
  <si>
    <t>PZ/800657</t>
  </si>
  <si>
    <t>17692.5</t>
  </si>
  <si>
    <t>FV/11/PP/3925/22</t>
  </si>
  <si>
    <t>PZ/800658</t>
  </si>
  <si>
    <t>14461.1</t>
  </si>
  <si>
    <t>FV/5463HM/22</t>
  </si>
  <si>
    <t>PZ/800659</t>
  </si>
  <si>
    <t>26674.72</t>
  </si>
  <si>
    <t>FV/M/4667/P/22</t>
  </si>
  <si>
    <t>PZ/800660</t>
  </si>
  <si>
    <t>16078.84</t>
  </si>
  <si>
    <t>FV/4748HM/22</t>
  </si>
  <si>
    <t>PZ/800661</t>
  </si>
  <si>
    <t>10475.17</t>
  </si>
  <si>
    <t>FV/9918HM/22</t>
  </si>
  <si>
    <t>PZ/800662</t>
  </si>
  <si>
    <t>16026.94</t>
  </si>
  <si>
    <t>FV/CENFA/182253/22</t>
  </si>
  <si>
    <t>PZ/800663</t>
  </si>
  <si>
    <t>23792.22</t>
  </si>
  <si>
    <t>FV/CENFA/996921/22</t>
  </si>
  <si>
    <t>PZ/800664</t>
  </si>
  <si>
    <t>13965.0</t>
  </si>
  <si>
    <t>FV/62907/VDb/2022</t>
  </si>
  <si>
    <t>PZ/800665</t>
  </si>
  <si>
    <t>15835.47</t>
  </si>
  <si>
    <t>FV/3447/NOVA/22</t>
  </si>
  <si>
    <t>PZ/800666</t>
  </si>
  <si>
    <t>12569.09</t>
  </si>
  <si>
    <t>FV/59/PP/5782/22</t>
  </si>
  <si>
    <t>PZ/800667</t>
  </si>
  <si>
    <t>15579.43</t>
  </si>
  <si>
    <t>FV/8764/NOVA/22</t>
  </si>
  <si>
    <t>PZ/800668</t>
  </si>
  <si>
    <t>16337.74</t>
  </si>
  <si>
    <t>PZ/800669</t>
  </si>
  <si>
    <t>19384.53</t>
  </si>
  <si>
    <t>FV/7776HM/22</t>
  </si>
  <si>
    <t>PZ/800670</t>
  </si>
  <si>
    <t>12053.94</t>
  </si>
  <si>
    <t>FV/M/9490/P/22</t>
  </si>
  <si>
    <t>PZ/800671</t>
  </si>
  <si>
    <t>15706.12</t>
  </si>
  <si>
    <t>FV/CENFA/522175/22</t>
  </si>
  <si>
    <t>PZ/800672</t>
  </si>
  <si>
    <t>10519.42</t>
  </si>
  <si>
    <t>FV/6777/NOVA/22</t>
  </si>
  <si>
    <t>PZ/800673</t>
  </si>
  <si>
    <t>19599.79</t>
  </si>
  <si>
    <t>FV/CENFA/657782/22</t>
  </si>
  <si>
    <t>PZ/800674</t>
  </si>
  <si>
    <t>4926.64</t>
  </si>
  <si>
    <t>FV/62713/VDb/2022</t>
  </si>
  <si>
    <t>PZ/800675</t>
  </si>
  <si>
    <t>13698.31</t>
  </si>
  <si>
    <t>FV/1529/NOVA/22</t>
  </si>
  <si>
    <t>PZ/800676</t>
  </si>
  <si>
    <t>16566.59</t>
  </si>
  <si>
    <t>FV/M/8664/P/22</t>
  </si>
  <si>
    <t>PZ/800677</t>
  </si>
  <si>
    <t>-2076.41</t>
  </si>
  <si>
    <t>PZ/800678</t>
  </si>
  <si>
    <t>4774.47</t>
  </si>
  <si>
    <t>PZ/800679</t>
  </si>
  <si>
    <t>22956.79</t>
  </si>
  <si>
    <t>FV/CENFA/345069/22</t>
  </si>
  <si>
    <t>PZ/800680</t>
  </si>
  <si>
    <t>15069.01</t>
  </si>
  <si>
    <t>FV/1505/NOVA/22</t>
  </si>
  <si>
    <t>PZ/800681</t>
  </si>
  <si>
    <t>21037.59</t>
  </si>
  <si>
    <t>FV/23497/VDb/2022</t>
  </si>
  <si>
    <t>PZ/800682</t>
  </si>
  <si>
    <t>18253.95</t>
  </si>
  <si>
    <t>PZ/800683</t>
  </si>
  <si>
    <t>23234.77</t>
  </si>
  <si>
    <t>FV/CENFA/104543/22</t>
  </si>
  <si>
    <t>PZ/800684</t>
  </si>
  <si>
    <t>7802.65</t>
  </si>
  <si>
    <t>FV/CENFA/439181/22</t>
  </si>
  <si>
    <t>PZ/800685</t>
  </si>
  <si>
    <t>14996.74</t>
  </si>
  <si>
    <t>FV/34339/VDb/2022</t>
  </si>
  <si>
    <t>PZ/800686</t>
  </si>
  <si>
    <t>14160.18</t>
  </si>
  <si>
    <t>FV/32364/VDb/2022</t>
  </si>
  <si>
    <t>PZ/800687</t>
  </si>
  <si>
    <t>20652.94</t>
  </si>
  <si>
    <t>FV/CENFA/680067/22</t>
  </si>
  <si>
    <t>PZ/800688</t>
  </si>
  <si>
    <t>14673.61</t>
  </si>
  <si>
    <t>FV/63772/VDb/2022</t>
  </si>
  <si>
    <t>PZ/800689</t>
  </si>
  <si>
    <t>11719.75</t>
  </si>
  <si>
    <t>FV/POL/61825/2022</t>
  </si>
  <si>
    <t>PZ/800690</t>
  </si>
  <si>
    <t>10576.72</t>
  </si>
  <si>
    <t>FV/M/7460/P/22</t>
  </si>
  <si>
    <t>PZ/800691</t>
  </si>
  <si>
    <t>12838.48</t>
  </si>
  <si>
    <t>PZ/800692</t>
  </si>
  <si>
    <t>17168.95</t>
  </si>
  <si>
    <t>FV/8268HM/22</t>
  </si>
  <si>
    <t>PZ/800693</t>
  </si>
  <si>
    <t>-751.77</t>
  </si>
  <si>
    <t>FV/CENFA/923733/22</t>
  </si>
  <si>
    <t>PZ/800694</t>
  </si>
  <si>
    <t>29224.17</t>
  </si>
  <si>
    <t>FV/POL/87335/2022</t>
  </si>
  <si>
    <t>PZ/800695</t>
  </si>
  <si>
    <t>17124.12</t>
  </si>
  <si>
    <t>FV/POL/75578/2022</t>
  </si>
  <si>
    <t>PZ/800696</t>
  </si>
  <si>
    <t>12991.83</t>
  </si>
  <si>
    <t>FV/CENFA/402400/22</t>
  </si>
  <si>
    <t>PZ/800697</t>
  </si>
  <si>
    <t>11491.8</t>
  </si>
  <si>
    <t>FV/POL/21323/2022</t>
  </si>
  <si>
    <t>PZ/800698</t>
  </si>
  <si>
    <t>16155.01</t>
  </si>
  <si>
    <t>FV/82/PP/6701/22</t>
  </si>
  <si>
    <t>PZ/800699</t>
  </si>
  <si>
    <t>13396.55</t>
  </si>
  <si>
    <t>FV/3495HM/22</t>
  </si>
  <si>
    <t>PZ/800700</t>
  </si>
  <si>
    <t>12170.57</t>
  </si>
  <si>
    <t>FV/4840/NOVA/22</t>
  </si>
  <si>
    <t>PZ/800701</t>
  </si>
  <si>
    <t>3276.15</t>
  </si>
  <si>
    <t>FV/63/PP/6964/22</t>
  </si>
  <si>
    <t>PZ/800702</t>
  </si>
  <si>
    <t>5996.2</t>
  </si>
  <si>
    <t>FV/1524/NOVA/22</t>
  </si>
  <si>
    <t>PZ/800703</t>
  </si>
  <si>
    <t>17839.88</t>
  </si>
  <si>
    <t>FV/9401/NOVA/22</t>
  </si>
  <si>
    <t>PZ/800704</t>
  </si>
  <si>
    <t>17478.76</t>
  </si>
  <si>
    <t>FV/8694/NOVA/22</t>
  </si>
  <si>
    <t>PZ/800705</t>
  </si>
  <si>
    <t>8176.54</t>
  </si>
  <si>
    <t>FV/3304/NOVA/22</t>
  </si>
  <si>
    <t>PZ/800706</t>
  </si>
  <si>
    <t>13423.85</t>
  </si>
  <si>
    <t>FV/9148/NOVA/22</t>
  </si>
  <si>
    <t>PZ/800707</t>
  </si>
  <si>
    <t>15943.32</t>
  </si>
  <si>
    <t>FV/2150HM/22</t>
  </si>
  <si>
    <t>PZ/800708</t>
  </si>
  <si>
    <t>14262.86</t>
  </si>
  <si>
    <t>FV/CENFA/297426/22</t>
  </si>
  <si>
    <t>PZ/800709</t>
  </si>
  <si>
    <t>14778.89</t>
  </si>
  <si>
    <t>FV/2432/NOVA/22</t>
  </si>
  <si>
    <t>PZ/800710</t>
  </si>
  <si>
    <t>16961.65</t>
  </si>
  <si>
    <t>FV/46/SAL/22</t>
  </si>
  <si>
    <t>PZ/800711</t>
  </si>
  <si>
    <t>11536.99</t>
  </si>
  <si>
    <t>FV/57/PP/9688/22</t>
  </si>
  <si>
    <t>PZ/800712</t>
  </si>
  <si>
    <t>7223.47</t>
  </si>
  <si>
    <t>PZ/800713</t>
  </si>
  <si>
    <t>12845.89</t>
  </si>
  <si>
    <t>FV/5898HM/22</t>
  </si>
  <si>
    <t>PZ/800714</t>
  </si>
  <si>
    <t>8996.82</t>
  </si>
  <si>
    <t>PZ/800715</t>
  </si>
  <si>
    <t>14322.32</t>
  </si>
  <si>
    <t>PZ/800716</t>
  </si>
  <si>
    <t>16402.11</t>
  </si>
  <si>
    <t>FV/M/9302/P/22</t>
  </si>
  <si>
    <t>PZ/800717</t>
  </si>
  <si>
    <t>9629.19</t>
  </si>
  <si>
    <t>FV/36134/VDb/2022</t>
  </si>
  <si>
    <t>PZ/800718</t>
  </si>
  <si>
    <t>14447.41</t>
  </si>
  <si>
    <t>FV/CENFA/560480/22</t>
  </si>
  <si>
    <t>PZ/800719</t>
  </si>
  <si>
    <t>19369.92</t>
  </si>
  <si>
    <t>FV/CENFA/703068/22</t>
  </si>
  <si>
    <t>PZ/800720</t>
  </si>
  <si>
    <t>21659.95</t>
  </si>
  <si>
    <t>FV/1431HM/22</t>
  </si>
  <si>
    <t>PZ/800721</t>
  </si>
  <si>
    <t>18163.62</t>
  </si>
  <si>
    <t>FV/POL/77634/2022</t>
  </si>
  <si>
    <t>PZ/800722</t>
  </si>
  <si>
    <t>-2446.82</t>
  </si>
  <si>
    <t>FV/60/PP/3033/22</t>
  </si>
  <si>
    <t>PZ/800723</t>
  </si>
  <si>
    <t>5903.94</t>
  </si>
  <si>
    <t>FV/CENFA/252173/22</t>
  </si>
  <si>
    <t>PZ/800724</t>
  </si>
  <si>
    <t>17223.38</t>
  </si>
  <si>
    <t>FV/76438/VDb/2022</t>
  </si>
  <si>
    <t>PZ/800725</t>
  </si>
  <si>
    <t>17045.73</t>
  </si>
  <si>
    <t>FV/CENFA/607621/22</t>
  </si>
  <si>
    <t>PZ/800726</t>
  </si>
  <si>
    <t>16039.19</t>
  </si>
  <si>
    <t>PZ/800727</t>
  </si>
  <si>
    <t>12196.89</t>
  </si>
  <si>
    <t>FV/7504HM/22</t>
  </si>
  <si>
    <t>PZ/800728</t>
  </si>
  <si>
    <t>25320.49</t>
  </si>
  <si>
    <t>FV/M/6421/P/22</t>
  </si>
  <si>
    <t>PZ/800729</t>
  </si>
  <si>
    <t>11510.6</t>
  </si>
  <si>
    <t>FV/6119/NOVA/22</t>
  </si>
  <si>
    <t>PZ/800730</t>
  </si>
  <si>
    <t>16223.11</t>
  </si>
  <si>
    <t>FV/29/PP/8623/22</t>
  </si>
  <si>
    <t>PZ/800731</t>
  </si>
  <si>
    <t>13944.41</t>
  </si>
  <si>
    <t>FV/62046/VDb/2022</t>
  </si>
  <si>
    <t>PZ/800732</t>
  </si>
  <si>
    <t>24928.71</t>
  </si>
  <si>
    <t>FV/POL/68310/2022</t>
  </si>
  <si>
    <t>PZ/800733</t>
  </si>
  <si>
    <t>15431.73</t>
  </si>
  <si>
    <t>PZ/800734</t>
  </si>
  <si>
    <t>23222.65</t>
  </si>
  <si>
    <t>FV/M/7467/P/22</t>
  </si>
  <si>
    <t>PZ/800735</t>
  </si>
  <si>
    <t>15690.61</t>
  </si>
  <si>
    <t>FV/81/PP/9104/22</t>
  </si>
  <si>
    <t>PZ/800736</t>
  </si>
  <si>
    <t>24757.87</t>
  </si>
  <si>
    <t>FV/POL/54179/2022</t>
  </si>
  <si>
    <t>PZ/800737</t>
  </si>
  <si>
    <t>15072.52</t>
  </si>
  <si>
    <t>FV/12/PP/3329/22</t>
  </si>
  <si>
    <t>PZ/800738</t>
  </si>
  <si>
    <t>26517.89</t>
  </si>
  <si>
    <t>FV/POL/77814/2022</t>
  </si>
  <si>
    <t>PZ/800739</t>
  </si>
  <si>
    <t>17990.64</t>
  </si>
  <si>
    <t>FV/9305HM/22</t>
  </si>
  <si>
    <t>PZ/800740</t>
  </si>
  <si>
    <t>25970.31</t>
  </si>
  <si>
    <t>FV/CENFA/868178/22</t>
  </si>
  <si>
    <t>PZ/800741</t>
  </si>
  <si>
    <t>13226.34</t>
  </si>
  <si>
    <t>FV/52491/VDb/2022</t>
  </si>
  <si>
    <t>PZ/800742</t>
  </si>
  <si>
    <t>13459.33</t>
  </si>
  <si>
    <t>PZ/800743</t>
  </si>
  <si>
    <t>28124.57</t>
  </si>
  <si>
    <t>FV/31554/VDb/2022</t>
  </si>
  <si>
    <t>PZ/800744</t>
  </si>
  <si>
    <t>16576.17</t>
  </si>
  <si>
    <t>FV/10/PP/8577/22</t>
  </si>
  <si>
    <t>PZ/800745</t>
  </si>
  <si>
    <t>16884.38</t>
  </si>
  <si>
    <t>FV/POL/25371/2022</t>
  </si>
  <si>
    <t>PZ/800746</t>
  </si>
  <si>
    <t>24275.27</t>
  </si>
  <si>
    <t>FV/CENFA/559251/22</t>
  </si>
  <si>
    <t>PZ/800747</t>
  </si>
  <si>
    <t>14837.27</t>
  </si>
  <si>
    <t>FV/CENFA/101175/22</t>
  </si>
  <si>
    <t>PZ/800748</t>
  </si>
  <si>
    <t>13500.58</t>
  </si>
  <si>
    <t>FV/9436/NOVA/22</t>
  </si>
  <si>
    <t>PZ/800749</t>
  </si>
  <si>
    <t>10358.85</t>
  </si>
  <si>
    <t>FV/9457HM/22</t>
  </si>
  <si>
    <t>PZ/800750</t>
  </si>
  <si>
    <t>18580.25</t>
  </si>
  <si>
    <t>FV/98/PP/8938/22</t>
  </si>
  <si>
    <t>PZ/800751</t>
  </si>
  <si>
    <t>17322.97</t>
  </si>
  <si>
    <t>FV/M/4686/P/22</t>
  </si>
  <si>
    <t>PZ/800752</t>
  </si>
  <si>
    <t>7849.82</t>
  </si>
  <si>
    <t>FV/54/PP/4219/22</t>
  </si>
  <si>
    <t>PZ/800753</t>
  </si>
  <si>
    <t>27956.02</t>
  </si>
  <si>
    <t>FV/M/4919/P/22</t>
  </si>
  <si>
    <t>PZ/800754</t>
  </si>
  <si>
    <t>22058.13</t>
  </si>
  <si>
    <t>FV/2423HM/22</t>
  </si>
  <si>
    <t>PZ/800755</t>
  </si>
  <si>
    <t>8814.34</t>
  </si>
  <si>
    <t>FV/M/3638/P/22</t>
  </si>
  <si>
    <t>PZ/800756</t>
  </si>
  <si>
    <t>20214.47</t>
  </si>
  <si>
    <t>PZ/800757</t>
  </si>
  <si>
    <t>13858.98</t>
  </si>
  <si>
    <t>FV/6833/NOVA/22</t>
  </si>
  <si>
    <t>PZ/800758</t>
  </si>
  <si>
    <t>11961.94</t>
  </si>
  <si>
    <t>FV/M/5538/P/22</t>
  </si>
  <si>
    <t>PZ/800759</t>
  </si>
  <si>
    <t>13513.37</t>
  </si>
  <si>
    <t>FV/POL/15863/2022</t>
  </si>
  <si>
    <t>PZ/800760</t>
  </si>
  <si>
    <t>20308.76</t>
  </si>
  <si>
    <t>FV/63/PP/9994/22</t>
  </si>
  <si>
    <t>PZ/800761</t>
  </si>
  <si>
    <t>16093.02</t>
  </si>
  <si>
    <t>FV/8252/NOVA/22</t>
  </si>
  <si>
    <t>PZ/800762</t>
  </si>
  <si>
    <t>11786.89</t>
  </si>
  <si>
    <t>FV/45082/VDb/2022</t>
  </si>
  <si>
    <t>PZ/800763</t>
  </si>
  <si>
    <t>23336.65</t>
  </si>
  <si>
    <t>FV/15/PP/8043/22</t>
  </si>
  <si>
    <t>PZ/800764</t>
  </si>
  <si>
    <t>14239.15</t>
  </si>
  <si>
    <t>FV/9958/NOVA/22</t>
  </si>
  <si>
    <t>PZ/800765</t>
  </si>
  <si>
    <t>14764.39</t>
  </si>
  <si>
    <t>FV/6365HM/22</t>
  </si>
  <si>
    <t>PZ/800766</t>
  </si>
  <si>
    <t>14111.42</t>
  </si>
  <si>
    <t>FV/37/SAL/22</t>
  </si>
  <si>
    <t>PZ/800767</t>
  </si>
  <si>
    <t>19634.43</t>
  </si>
  <si>
    <t>FV/POL/66148/2022</t>
  </si>
  <si>
    <t>PZ/800768</t>
  </si>
  <si>
    <t>11126.8</t>
  </si>
  <si>
    <t>FV/32/SAL/22</t>
  </si>
  <si>
    <t>PZ/800769</t>
  </si>
  <si>
    <t>14068.16</t>
  </si>
  <si>
    <t>FV/7970/NOVA/22</t>
  </si>
  <si>
    <t>PZ/800770</t>
  </si>
  <si>
    <t>10069.88</t>
  </si>
  <si>
    <t>FV/POL/21262/2022</t>
  </si>
  <si>
    <t>PZ/800771</t>
  </si>
  <si>
    <t>15458.85</t>
  </si>
  <si>
    <t>FV/29/PP/7939/22</t>
  </si>
  <si>
    <t>PZ/800772</t>
  </si>
  <si>
    <t>22196.03</t>
  </si>
  <si>
    <t>FV/M/1495/P/22</t>
  </si>
  <si>
    <t>PZ/800773</t>
  </si>
  <si>
    <t>21457.03</t>
  </si>
  <si>
    <t>FV/1215/NOVA/22</t>
  </si>
  <si>
    <t>PZ/800774</t>
  </si>
  <si>
    <t>14667.99</t>
  </si>
  <si>
    <t>FV/90/SAL/22</t>
  </si>
  <si>
    <t>PZ/800775</t>
  </si>
  <si>
    <t>11991.92</t>
  </si>
  <si>
    <t>FV/POL/56394/2022</t>
  </si>
  <si>
    <t>PZ/800776</t>
  </si>
  <si>
    <t>15872.0</t>
  </si>
  <si>
    <t>FV/2998/NOVA/22</t>
  </si>
  <si>
    <t>PZ/800777</t>
  </si>
  <si>
    <t>13730.52</t>
  </si>
  <si>
    <t>FV/M/8193/P/22</t>
  </si>
  <si>
    <t>PZ/800778</t>
  </si>
  <si>
    <t>17961.63</t>
  </si>
  <si>
    <t>FV/97077/VDb/2022</t>
  </si>
  <si>
    <t>PZ/800779</t>
  </si>
  <si>
    <t>16759.3</t>
  </si>
  <si>
    <t>FV/CENFA/498645/22</t>
  </si>
  <si>
    <t>PZ/800780</t>
  </si>
  <si>
    <t>15335.66</t>
  </si>
  <si>
    <t>FV/68/PP/4688/22</t>
  </si>
  <si>
    <t>PZ/800781</t>
  </si>
  <si>
    <t>17911.26</t>
  </si>
  <si>
    <t>FV/M/5349/P/22</t>
  </si>
  <si>
    <t>PZ/800782</t>
  </si>
  <si>
    <t>16754.84</t>
  </si>
  <si>
    <t>FV/4195HM/22</t>
  </si>
  <si>
    <t>PZ/800783</t>
  </si>
  <si>
    <t>19793.39</t>
  </si>
  <si>
    <t>PZ/800784</t>
  </si>
  <si>
    <t>14932.27</t>
  </si>
  <si>
    <t>FV/66/PP/5264/22</t>
  </si>
  <si>
    <t>PZ/800785</t>
  </si>
  <si>
    <t>22948.65</t>
  </si>
  <si>
    <t>FV/CENFA/821618/22</t>
  </si>
  <si>
    <t>PZ/800786</t>
  </si>
  <si>
    <t>-2936.39</t>
  </si>
  <si>
    <t>FV/M/1733/P/22</t>
  </si>
  <si>
    <t>PZ/800787</t>
  </si>
  <si>
    <t>20617.33</t>
  </si>
  <si>
    <t>FV/6134HM/22</t>
  </si>
  <si>
    <t>PZ/800788</t>
  </si>
  <si>
    <t>7715.44</t>
  </si>
  <si>
    <t>FV/9679HM/22</t>
  </si>
  <si>
    <t>PZ/800789</t>
  </si>
  <si>
    <t>16882.94</t>
  </si>
  <si>
    <t>FV/92/PP/5591/22</t>
  </si>
  <si>
    <t>PZ/800790</t>
  </si>
  <si>
    <t>12997.28</t>
  </si>
  <si>
    <t>FV/7469HM/22</t>
  </si>
  <si>
    <t>PZ/800791</t>
  </si>
  <si>
    <t>10595.65</t>
  </si>
  <si>
    <t>FV/6822/NOVA/22</t>
  </si>
  <si>
    <t>PZ/800792</t>
  </si>
  <si>
    <t>10950.39</t>
  </si>
  <si>
    <t>FV/9660/NOVA/22</t>
  </si>
  <si>
    <t>PZ/800793</t>
  </si>
  <si>
    <t>10618.04</t>
  </si>
  <si>
    <t>PZ/800794</t>
  </si>
  <si>
    <t>13227.68</t>
  </si>
  <si>
    <t>FV/M/5777/P/22</t>
  </si>
  <si>
    <t>PZ/800795</t>
  </si>
  <si>
    <t>18470.18</t>
  </si>
  <si>
    <t>FV/M/7733/P/22</t>
  </si>
  <si>
    <t>PZ/800796</t>
  </si>
  <si>
    <t>24963.45</t>
  </si>
  <si>
    <t>FV/1309HM/22</t>
  </si>
  <si>
    <t>PZ/800797</t>
  </si>
  <si>
    <t>14221.46</t>
  </si>
  <si>
    <t>FV/M/3032/P/22</t>
  </si>
  <si>
    <t>PZ/800798</t>
  </si>
  <si>
    <t>15842.63</t>
  </si>
  <si>
    <t>FV/89016/VDb/2022</t>
  </si>
  <si>
    <t>PZ/800799</t>
  </si>
  <si>
    <t>21728.7</t>
  </si>
  <si>
    <t>FV/2669/NOVA/22</t>
  </si>
  <si>
    <t>PZ/800800</t>
  </si>
  <si>
    <t>12851.82</t>
  </si>
  <si>
    <t>FV/POL/43405/2022</t>
  </si>
  <si>
    <t>PZ/800801</t>
  </si>
  <si>
    <t>16123.35</t>
  </si>
  <si>
    <t>FV/CENFA/503320/22</t>
  </si>
  <si>
    <t>PZ/800802</t>
  </si>
  <si>
    <t>-903.79</t>
  </si>
  <si>
    <t>FV/POL/58829/2022</t>
  </si>
  <si>
    <t>PZ/800803</t>
  </si>
  <si>
    <t>8835.39</t>
  </si>
  <si>
    <t>FV/POL/93193/2022</t>
  </si>
  <si>
    <t>PZ/800804</t>
  </si>
  <si>
    <t>18758.85</t>
  </si>
  <si>
    <t>FV/81756/VDb/2022</t>
  </si>
  <si>
    <t>PZ/800805</t>
  </si>
  <si>
    <t>17927.56</t>
  </si>
  <si>
    <t>FV/POL/35042/2022</t>
  </si>
  <si>
    <t>PZ/800806</t>
  </si>
  <si>
    <t>8883.45</t>
  </si>
  <si>
    <t>FV/60538/VDb/2022</t>
  </si>
  <si>
    <t>PZ/800807</t>
  </si>
  <si>
    <t>11912.39</t>
  </si>
  <si>
    <t>FV/7264/NOVA/22</t>
  </si>
  <si>
    <t>PZ/800808</t>
  </si>
  <si>
    <t>5645.92</t>
  </si>
  <si>
    <t>FV/1334HM/22</t>
  </si>
  <si>
    <t>PZ/800809</t>
  </si>
  <si>
    <t>13302.27</t>
  </si>
  <si>
    <t>FV/50/PP/9822/22</t>
  </si>
  <si>
    <t>PZ/800810</t>
  </si>
  <si>
    <t>24625.44</t>
  </si>
  <si>
    <t>FV/24/PP/4746/22</t>
  </si>
  <si>
    <t>PZ/800811</t>
  </si>
  <si>
    <t>19113.22</t>
  </si>
  <si>
    <t>FV/68116/VDb/2022</t>
  </si>
  <si>
    <t>PZ/800812</t>
  </si>
  <si>
    <t>17519.41</t>
  </si>
  <si>
    <t>FV/3181HM/22</t>
  </si>
  <si>
    <t>PZ/800813</t>
  </si>
  <si>
    <t>13336.54</t>
  </si>
  <si>
    <t>FV/9599HM/22</t>
  </si>
  <si>
    <t>PZ/800814</t>
  </si>
  <si>
    <t>17571.2</t>
  </si>
  <si>
    <t>FV/11227/VDb/2022</t>
  </si>
  <si>
    <t>PZ/800815</t>
  </si>
  <si>
    <t>18355.35</t>
  </si>
  <si>
    <t>FV/2629HM/22</t>
  </si>
  <si>
    <t>PZ/800816</t>
  </si>
  <si>
    <t>9966.19</t>
  </si>
  <si>
    <t>FV/CENFA/794442/22</t>
  </si>
  <si>
    <t>PZ/800817</t>
  </si>
  <si>
    <t>20199.35</t>
  </si>
  <si>
    <t>FV/24/PP/8699/22</t>
  </si>
  <si>
    <t>PZ/800818</t>
  </si>
  <si>
    <t>10545.4</t>
  </si>
  <si>
    <t>PZ/800819</t>
  </si>
  <si>
    <t>12733.55</t>
  </si>
  <si>
    <t>FV/POL/70099/2022</t>
  </si>
  <si>
    <t>PZ/800820</t>
  </si>
  <si>
    <t>11635.37</t>
  </si>
  <si>
    <t>FV/6468/NOVA/22</t>
  </si>
  <si>
    <t>PZ/800821</t>
  </si>
  <si>
    <t>11585.41</t>
  </si>
  <si>
    <t>FV/6968/NOVA/22</t>
  </si>
  <si>
    <t>PZ/800822</t>
  </si>
  <si>
    <t>3397.5</t>
  </si>
  <si>
    <t>PZ/800823</t>
  </si>
  <si>
    <t>1547.93</t>
  </si>
  <si>
    <t>FV/M/6316/P/22</t>
  </si>
  <si>
    <t>PZ/800824</t>
  </si>
  <si>
    <t>15730.6</t>
  </si>
  <si>
    <t>FV/3851/NOVA/22</t>
  </si>
  <si>
    <t>PZ/800825</t>
  </si>
  <si>
    <t>21347.14</t>
  </si>
  <si>
    <t>FV/POL/36291/2022</t>
  </si>
  <si>
    <t>PZ/800826</t>
  </si>
  <si>
    <t>14237.72</t>
  </si>
  <si>
    <t>FV/65180/VDb/2022</t>
  </si>
  <si>
    <t>PZ/800827</t>
  </si>
  <si>
    <t>8454.44</t>
  </si>
  <si>
    <t>FV/CENFA/912258/22</t>
  </si>
  <si>
    <t>PZ/800828</t>
  </si>
  <si>
    <t>15419.68</t>
  </si>
  <si>
    <t>FV/4440HM/22</t>
  </si>
  <si>
    <t>PZ/800829</t>
  </si>
  <si>
    <t>18285.25</t>
  </si>
  <si>
    <t>FV/POL/60951/2022</t>
  </si>
  <si>
    <t>PZ/800830</t>
  </si>
  <si>
    <t>15554.04</t>
  </si>
  <si>
    <t>FV/POL/46611/2022</t>
  </si>
  <si>
    <t>PZ/800831</t>
  </si>
  <si>
    <t>4639.2</t>
  </si>
  <si>
    <t>FV/57/PP/3602/22</t>
  </si>
  <si>
    <t>PZ/800832</t>
  </si>
  <si>
    <t>9038.66</t>
  </si>
  <si>
    <t>FV/78711/VDb/2022</t>
  </si>
  <si>
    <t>PZ/800833</t>
  </si>
  <si>
    <t>15757.17</t>
  </si>
  <si>
    <t>FV/18303/VDb/2022</t>
  </si>
  <si>
    <t>PZ/800834</t>
  </si>
  <si>
    <t>21612.32</t>
  </si>
  <si>
    <t>FV/POL/73098/2022</t>
  </si>
  <si>
    <t>PZ/800835</t>
  </si>
  <si>
    <t>22654.71</t>
  </si>
  <si>
    <t>FV/10/SAL/22</t>
  </si>
  <si>
    <t>PZ/800836</t>
  </si>
  <si>
    <t>10341.96</t>
  </si>
  <si>
    <t>FV/44/PP/3839/22</t>
  </si>
  <si>
    <t>PZ/800837</t>
  </si>
  <si>
    <t>11287.54</t>
  </si>
  <si>
    <t>PZ/800838</t>
  </si>
  <si>
    <t>20595.76</t>
  </si>
  <si>
    <t>FV/POL/23356/2022</t>
  </si>
  <si>
    <t>PZ/800839</t>
  </si>
  <si>
    <t>7310.94</t>
  </si>
  <si>
    <t>FV/CENFA/287722/22</t>
  </si>
  <si>
    <t>PZ/800840</t>
  </si>
  <si>
    <t>14931.92</t>
  </si>
  <si>
    <t>FV/17/PP/7814/22</t>
  </si>
  <si>
    <t>PZ/800841</t>
  </si>
  <si>
    <t>12141.51</t>
  </si>
  <si>
    <t>FV/8903HM/22</t>
  </si>
  <si>
    <t>PZ/800842</t>
  </si>
  <si>
    <t>19167.48</t>
  </si>
  <si>
    <t>FV/4479HM/22</t>
  </si>
  <si>
    <t>PZ/800843</t>
  </si>
  <si>
    <t>5505.71</t>
  </si>
  <si>
    <t>FV/M/8011/P/22</t>
  </si>
  <si>
    <t>PZ/800844</t>
  </si>
  <si>
    <t>9542.98</t>
  </si>
  <si>
    <t>FV/97164/VDb/2022</t>
  </si>
  <si>
    <t>PZ/800845</t>
  </si>
  <si>
    <t>13377.01</t>
  </si>
  <si>
    <t>FV/80/SAL/22</t>
  </si>
  <si>
    <t>PZ/800846</t>
  </si>
  <si>
    <t>12588.78</t>
  </si>
  <si>
    <t>FV/POL/71203/2022</t>
  </si>
  <si>
    <t>PZ/800847</t>
  </si>
  <si>
    <t>19979.18</t>
  </si>
  <si>
    <t>FV/90320/VDb/2022</t>
  </si>
  <si>
    <t>PZ/800848</t>
  </si>
  <si>
    <t>19261.04</t>
  </si>
  <si>
    <t>FV/26858/VDb/2022</t>
  </si>
  <si>
    <t>PZ/800849</t>
  </si>
  <si>
    <t>9908.98</t>
  </si>
  <si>
    <t>PZ/800850</t>
  </si>
  <si>
    <t>19383.77</t>
  </si>
  <si>
    <t>FV/89849/VDb/2022</t>
  </si>
  <si>
    <t>PZ/800851</t>
  </si>
  <si>
    <t>7985.98</t>
  </si>
  <si>
    <t>FV/POL/28255/2022</t>
  </si>
  <si>
    <t>PZ/800852</t>
  </si>
  <si>
    <t>23186.63</t>
  </si>
  <si>
    <t>FV/2168/NOVA/22</t>
  </si>
  <si>
    <t>PZ/800853</t>
  </si>
  <si>
    <t>18396.15</t>
  </si>
  <si>
    <t>FV/CENFA/265187/22</t>
  </si>
  <si>
    <t>PZ/800854</t>
  </si>
  <si>
    <t>6462.33</t>
  </si>
  <si>
    <t>FV/84779/VDb/2022</t>
  </si>
  <si>
    <t>PZ/800855</t>
  </si>
  <si>
    <t>20745.77</t>
  </si>
  <si>
    <t>FV/7007/NOVA/22</t>
  </si>
  <si>
    <t>PZ/800856</t>
  </si>
  <si>
    <t>3585.74</t>
  </si>
  <si>
    <t>FV/CENFA/387792/22</t>
  </si>
  <si>
    <t>PZ/800857</t>
  </si>
  <si>
    <t>18144.84</t>
  </si>
  <si>
    <t>FV/44/PP/8738/22</t>
  </si>
  <si>
    <t>PZ/800858</t>
  </si>
  <si>
    <t>9768.75</t>
  </si>
  <si>
    <t>FV/31/PP/3205/22</t>
  </si>
  <si>
    <t>PZ/800859</t>
  </si>
  <si>
    <t>17202.48</t>
  </si>
  <si>
    <t>FV/M/9991/P/22</t>
  </si>
  <si>
    <t>PZ/800860</t>
  </si>
  <si>
    <t>13130.67</t>
  </si>
  <si>
    <t>FV/CENFA/430514/22</t>
  </si>
  <si>
    <t>PZ/800861</t>
  </si>
  <si>
    <t>12005.72</t>
  </si>
  <si>
    <t>FV/M/6740/P/22</t>
  </si>
  <si>
    <t>PZ/800862</t>
  </si>
  <si>
    <t>15945.12</t>
  </si>
  <si>
    <t>FV/9967HM/22</t>
  </si>
  <si>
    <t>PZ/800863</t>
  </si>
  <si>
    <t>14770.61</t>
  </si>
  <si>
    <t>FV/4741/NOVA/22</t>
  </si>
  <si>
    <t>PZ/800864</t>
  </si>
  <si>
    <t>7067.19</t>
  </si>
  <si>
    <t>FV/M/9152/P/22</t>
  </si>
  <si>
    <t>PZ/800865</t>
  </si>
  <si>
    <t>14281.41</t>
  </si>
  <si>
    <t>FV/CENFA/818256/22</t>
  </si>
  <si>
    <t>PZ/800866</t>
  </si>
  <si>
    <t>7108.54</t>
  </si>
  <si>
    <t>FV/POL/22154/2022</t>
  </si>
  <si>
    <t>PZ/800867</t>
  </si>
  <si>
    <t>10860.26</t>
  </si>
  <si>
    <t>FV/CENFA/991651/22</t>
  </si>
  <si>
    <t>PZ/800868</t>
  </si>
  <si>
    <t>5445.4</t>
  </si>
  <si>
    <t>FV/22/PP/9327/22</t>
  </si>
  <si>
    <t>PZ/800869</t>
  </si>
  <si>
    <t>19351.31</t>
  </si>
  <si>
    <t>FV/73976/VDb/2022</t>
  </si>
  <si>
    <t>PZ/800870</t>
  </si>
  <si>
    <t>24758.05</t>
  </si>
  <si>
    <t>FV/5176HM/22</t>
  </si>
  <si>
    <t>PZ/800871</t>
  </si>
  <si>
    <t>7996.15</t>
  </si>
  <si>
    <t>FV/CENFA/830723/22</t>
  </si>
  <si>
    <t>PZ/800872</t>
  </si>
  <si>
    <t>19892.4</t>
  </si>
  <si>
    <t>FV/46/PP/5287/22</t>
  </si>
  <si>
    <t>PZ/800873</t>
  </si>
  <si>
    <t>-2537.47</t>
  </si>
  <si>
    <t>FV/POL/41035/2022</t>
  </si>
  <si>
    <t>PZ/800874</t>
  </si>
  <si>
    <t>15098.65</t>
  </si>
  <si>
    <t>FV/9261/NOVA/22</t>
  </si>
  <si>
    <t>PZ/800875</t>
  </si>
  <si>
    <t>17440.01</t>
  </si>
  <si>
    <t>FV/53510/VDb/2022</t>
  </si>
  <si>
    <t>PZ/800876</t>
  </si>
  <si>
    <t>18975.5</t>
  </si>
  <si>
    <t>FV/54715/VDb/2022</t>
  </si>
  <si>
    <t>PZ/800877</t>
  </si>
  <si>
    <t>16777.3</t>
  </si>
  <si>
    <t>FV/5281/NOVA/22</t>
  </si>
  <si>
    <t>PZ/800878</t>
  </si>
  <si>
    <t>16128.82</t>
  </si>
  <si>
    <t>FV/M/1173/P/22</t>
  </si>
  <si>
    <t>PZ/800879</t>
  </si>
  <si>
    <t>17758.53</t>
  </si>
  <si>
    <t>FV/84519/VDb/2022</t>
  </si>
  <si>
    <t>PZ/800880</t>
  </si>
  <si>
    <t>7889.21</t>
  </si>
  <si>
    <t>FV/CENFA/597040/22</t>
  </si>
  <si>
    <t>PZ/800881</t>
  </si>
  <si>
    <t>16284.27</t>
  </si>
  <si>
    <t>FV/7013HM/22</t>
  </si>
  <si>
    <t>PZ/800882</t>
  </si>
  <si>
    <t>17522.75</t>
  </si>
  <si>
    <t>FV/POL/90890/2022</t>
  </si>
  <si>
    <t>PZ/800883</t>
  </si>
  <si>
    <t>22254.45</t>
  </si>
  <si>
    <t>FV/8625/NOVA/22</t>
  </si>
  <si>
    <t>PZ/800884</t>
  </si>
  <si>
    <t>16102.16</t>
  </si>
  <si>
    <t>FV/9214/NOVA/22</t>
  </si>
  <si>
    <t>PZ/800885</t>
  </si>
  <si>
    <t>-312.29</t>
  </si>
  <si>
    <t>FV/POL/52884/2022</t>
  </si>
  <si>
    <t>PZ/800886</t>
  </si>
  <si>
    <t>20858.24</t>
  </si>
  <si>
    <t>FV/CENFA/983975/22</t>
  </si>
  <si>
    <t>PZ/800887</t>
  </si>
  <si>
    <t>15078.9</t>
  </si>
  <si>
    <t>FV/6799HM/22</t>
  </si>
  <si>
    <t>PZ/800888</t>
  </si>
  <si>
    <t>13057.02</t>
  </si>
  <si>
    <t>FV/7039/NOVA/22</t>
  </si>
  <si>
    <t>PZ/800889</t>
  </si>
  <si>
    <t>11993.08</t>
  </si>
  <si>
    <t>FV/37/PP/8127/22</t>
  </si>
  <si>
    <t>PZ/800890</t>
  </si>
  <si>
    <t>10379.89</t>
  </si>
  <si>
    <t>FV/M/1451/P/22</t>
  </si>
  <si>
    <t>PZ/800891</t>
  </si>
  <si>
    <t>20708.17</t>
  </si>
  <si>
    <t>FV/6412/NOVA/22</t>
  </si>
  <si>
    <t>PZ/800892</t>
  </si>
  <si>
    <t>1248.32</t>
  </si>
  <si>
    <t>FV/2989HM/22</t>
  </si>
  <si>
    <t>PZ/800893</t>
  </si>
  <si>
    <t>19313.25</t>
  </si>
  <si>
    <t>FV/3501/NOVA/22</t>
  </si>
  <si>
    <t>PZ/800894</t>
  </si>
  <si>
    <t>22144.85</t>
  </si>
  <si>
    <t>FV/7428HM/22</t>
  </si>
  <si>
    <t>PZ/800895</t>
  </si>
  <si>
    <t>9933.42</t>
  </si>
  <si>
    <t>FV/6299/NOVA/22</t>
  </si>
  <si>
    <t>PZ/800896</t>
  </si>
  <si>
    <t>12995.77</t>
  </si>
  <si>
    <t>FV/25/PP/1393/22</t>
  </si>
  <si>
    <t>PZ/800897</t>
  </si>
  <si>
    <t>9136.42</t>
  </si>
  <si>
    <t>FV/8837HM/22</t>
  </si>
  <si>
    <t>PZ/800898</t>
  </si>
  <si>
    <t>18869.58</t>
  </si>
  <si>
    <t>FV/36/PP/8233/22</t>
  </si>
  <si>
    <t>PZ/800899</t>
  </si>
  <si>
    <t>20739.57</t>
  </si>
  <si>
    <t>FV/CENFA/891474/22</t>
  </si>
  <si>
    <t>PZ/800900</t>
  </si>
  <si>
    <t>14871.94</t>
  </si>
  <si>
    <t>FV/1306/NOVA/22</t>
  </si>
  <si>
    <t>PZ/800901</t>
  </si>
  <si>
    <t>15933.08</t>
  </si>
  <si>
    <t>FV/M/1284/P/22</t>
  </si>
  <si>
    <t>PZ/800902</t>
  </si>
  <si>
    <t>-1000.71</t>
  </si>
  <si>
    <t>FV/4876HM/22</t>
  </si>
  <si>
    <t>PZ/800903</t>
  </si>
  <si>
    <t>27397.27</t>
  </si>
  <si>
    <t>FV/7185HM/22</t>
  </si>
  <si>
    <t>PZ/800904</t>
  </si>
  <si>
    <t>19414.47</t>
  </si>
  <si>
    <t>FV/21/SAL/22</t>
  </si>
  <si>
    <t>PZ/800905</t>
  </si>
  <si>
    <t>11429.97</t>
  </si>
  <si>
    <t>FV/CENFA/314914/22</t>
  </si>
  <si>
    <t>PZ/800906</t>
  </si>
  <si>
    <t>20996.86</t>
  </si>
  <si>
    <t>PZ/800907</t>
  </si>
  <si>
    <t>23021.71</t>
  </si>
  <si>
    <t>FV/CENFA/688668/22</t>
  </si>
  <si>
    <t>PZ/800908</t>
  </si>
  <si>
    <t>6631.41</t>
  </si>
  <si>
    <t>FV/CENFA/811257/22</t>
  </si>
  <si>
    <t>PZ/800909</t>
  </si>
  <si>
    <t>17289.32</t>
  </si>
  <si>
    <t>FV/CENFA/425089/22</t>
  </si>
  <si>
    <t>PZ/800910</t>
  </si>
  <si>
    <t>12582.83</t>
  </si>
  <si>
    <t>FV/6493HM/22</t>
  </si>
  <si>
    <t>PZ/800911</t>
  </si>
  <si>
    <t>24453.8</t>
  </si>
  <si>
    <t>FV/CENFA/486861/22</t>
  </si>
  <si>
    <t>PZ/800912</t>
  </si>
  <si>
    <t>11898.14</t>
  </si>
  <si>
    <t>FV/CENFA/712654/22</t>
  </si>
  <si>
    <t>PZ/800913</t>
  </si>
  <si>
    <t>18498.29</t>
  </si>
  <si>
    <t>FV/M/3709/P/22</t>
  </si>
  <si>
    <t>PZ/800914</t>
  </si>
  <si>
    <t>21233.74</t>
  </si>
  <si>
    <t>FV/9070HM/22</t>
  </si>
  <si>
    <t>PZ/800915</t>
  </si>
  <si>
    <t>16914.14</t>
  </si>
  <si>
    <t>FV/89/PP/3357/22</t>
  </si>
  <si>
    <t>PZ/800916</t>
  </si>
  <si>
    <t>6719.11</t>
  </si>
  <si>
    <t>FV/CENFA/808311/22</t>
  </si>
  <si>
    <t>PZ/800917</t>
  </si>
  <si>
    <t>4343.86</t>
  </si>
  <si>
    <t>FV/6760/NOVA/22</t>
  </si>
  <si>
    <t>PZ/800918</t>
  </si>
  <si>
    <t>16583.31</t>
  </si>
  <si>
    <t>FV/CENFA/268577/22</t>
  </si>
  <si>
    <t>PZ/800919</t>
  </si>
  <si>
    <t>19000.86</t>
  </si>
  <si>
    <t>FV/1700/NOVA/22</t>
  </si>
  <si>
    <t>PZ/800920</t>
  </si>
  <si>
    <t>14777.15</t>
  </si>
  <si>
    <t>FV/30762/VDb/2022</t>
  </si>
  <si>
    <t>PZ/800921</t>
  </si>
  <si>
    <t>16092.47</t>
  </si>
  <si>
    <t>FV/CENFA/692975/22</t>
  </si>
  <si>
    <t>PZ/800922</t>
  </si>
  <si>
    <t>1298.62</t>
  </si>
  <si>
    <t>FV/POL/57732/2022</t>
  </si>
  <si>
    <t>PZ/800923</t>
  </si>
  <si>
    <t>9218.57</t>
  </si>
  <si>
    <t>FV/73/PP/5722/22</t>
  </si>
  <si>
    <t>PZ/800924</t>
  </si>
  <si>
    <t>17635.32</t>
  </si>
  <si>
    <t>FV/12/PP/2213/22</t>
  </si>
  <si>
    <t>PZ/800925</t>
  </si>
  <si>
    <t>14253.86</t>
  </si>
  <si>
    <t>FV/4030/NOVA/22</t>
  </si>
  <si>
    <t>PZ/800926</t>
  </si>
  <si>
    <t>9262.11</t>
  </si>
  <si>
    <t>FV/64517/VDb/2022</t>
  </si>
  <si>
    <t>PZ/800927</t>
  </si>
  <si>
    <t>16734.42</t>
  </si>
  <si>
    <t>FV/M/3915/P/22</t>
  </si>
  <si>
    <t>PZ/800928</t>
  </si>
  <si>
    <t>19529.28</t>
  </si>
  <si>
    <t>FV/34945/VDb/2022</t>
  </si>
  <si>
    <t>PZ/800929</t>
  </si>
  <si>
    <t>5223.18</t>
  </si>
  <si>
    <t>FV/3194/NOVA/22</t>
  </si>
  <si>
    <t>PZ/800930</t>
  </si>
  <si>
    <t>15503.92</t>
  </si>
  <si>
    <t>FV/16/PP/7257/22</t>
  </si>
  <si>
    <t>PZ/800931</t>
  </si>
  <si>
    <t>10082.15</t>
  </si>
  <si>
    <t>FV/M/7012/P/22</t>
  </si>
  <si>
    <t>PZ/800932</t>
  </si>
  <si>
    <t>10447.75</t>
  </si>
  <si>
    <t>FV/6138HM/22</t>
  </si>
  <si>
    <t>PZ/800933</t>
  </si>
  <si>
    <t>17005.54</t>
  </si>
  <si>
    <t>FV/POL/83202/2022</t>
  </si>
  <si>
    <t>PZ/800934</t>
  </si>
  <si>
    <t>13165.26</t>
  </si>
  <si>
    <t>FV/28134/VDb/2022</t>
  </si>
  <si>
    <t>PZ/800935</t>
  </si>
  <si>
    <t>12804.34</t>
  </si>
  <si>
    <t>FV/M/8867/P/22</t>
  </si>
  <si>
    <t>PZ/800936</t>
  </si>
  <si>
    <t>12723.11</t>
  </si>
  <si>
    <t>PZ/800937</t>
  </si>
  <si>
    <t>17681.78</t>
  </si>
  <si>
    <t>PZ/800938</t>
  </si>
  <si>
    <t>18190.99</t>
  </si>
  <si>
    <t>FV/99/PP/2872/22</t>
  </si>
  <si>
    <t>PZ/800939</t>
  </si>
  <si>
    <t>9450.43</t>
  </si>
  <si>
    <t>FV/M/7710/P/22</t>
  </si>
  <si>
    <t>PZ/800940</t>
  </si>
  <si>
    <t>13774.19</t>
  </si>
  <si>
    <t>FV/CENFA/121145/22</t>
  </si>
  <si>
    <t>PZ/800941</t>
  </si>
  <si>
    <t>14110.99</t>
  </si>
  <si>
    <t>PZ/800942</t>
  </si>
  <si>
    <t>9055.48</t>
  </si>
  <si>
    <t>FV/2124/NOVA/22</t>
  </si>
  <si>
    <t>PZ/800943</t>
  </si>
  <si>
    <t>18246.32</t>
  </si>
  <si>
    <t>FV/55/PP/8460/22</t>
  </si>
  <si>
    <t>PZ/800944</t>
  </si>
  <si>
    <t>10785.33</t>
  </si>
  <si>
    <t>FV/POL/57954/2022</t>
  </si>
  <si>
    <t>PZ/800945</t>
  </si>
  <si>
    <t>8632.17</t>
  </si>
  <si>
    <t>FV/58724/VDb/2022</t>
  </si>
  <si>
    <t>PZ/800946</t>
  </si>
  <si>
    <t>12912.72</t>
  </si>
  <si>
    <t>FV/99199/VDb/2022</t>
  </si>
  <si>
    <t>PZ/800947</t>
  </si>
  <si>
    <t>7265.75</t>
  </si>
  <si>
    <t>FV/15883/VDb/2022</t>
  </si>
  <si>
    <t>PZ/800948</t>
  </si>
  <si>
    <t>17227.16</t>
  </si>
  <si>
    <t>FV/CENFA/790433/22</t>
  </si>
  <si>
    <t>PZ/800949</t>
  </si>
  <si>
    <t>16691.14</t>
  </si>
  <si>
    <t>FV/4694HM/22</t>
  </si>
  <si>
    <t>PZ/800950</t>
  </si>
  <si>
    <t>18268.02</t>
  </si>
  <si>
    <t>FV/M/6282/P/22</t>
  </si>
  <si>
    <t>PZ/800951</t>
  </si>
  <si>
    <t>18650.74</t>
  </si>
  <si>
    <t>FV/9104/NOVA/22</t>
  </si>
  <si>
    <t>PZ/800952</t>
  </si>
  <si>
    <t>13973.5</t>
  </si>
  <si>
    <t>FV/6227HM/22</t>
  </si>
  <si>
    <t>PZ/800953</t>
  </si>
  <si>
    <t>14795.14</t>
  </si>
  <si>
    <t>PZ/800954</t>
  </si>
  <si>
    <t>18180.42</t>
  </si>
  <si>
    <t>PZ/800955</t>
  </si>
  <si>
    <t>18613.29</t>
  </si>
  <si>
    <t>FV/POL/65762/2022</t>
  </si>
  <si>
    <t>PZ/800956</t>
  </si>
  <si>
    <t>14391.68</t>
  </si>
  <si>
    <t>FV/POL/12136/2022</t>
  </si>
  <si>
    <t>PZ/800957</t>
  </si>
  <si>
    <t>19901.66</t>
  </si>
  <si>
    <t>FV/1699/NOVA/22</t>
  </si>
  <si>
    <t>PZ/800958</t>
  </si>
  <si>
    <t>11166.03</t>
  </si>
  <si>
    <t>FV/6327/NOVA/22</t>
  </si>
  <si>
    <t>PZ/800959</t>
  </si>
  <si>
    <t>14643.72</t>
  </si>
  <si>
    <t>FV/8489HM/22</t>
  </si>
  <si>
    <t>PZ/800960</t>
  </si>
  <si>
    <t>14336.8</t>
  </si>
  <si>
    <t>FV/98338/VDb/2022</t>
  </si>
  <si>
    <t>PZ/800961</t>
  </si>
  <si>
    <t>14737.55</t>
  </si>
  <si>
    <t>FV/POL/97495/2022</t>
  </si>
  <si>
    <t>PZ/800962</t>
  </si>
  <si>
    <t>12911.31</t>
  </si>
  <si>
    <t>FV/CENFA/835394/22</t>
  </si>
  <si>
    <t>PZ/800963</t>
  </si>
  <si>
    <t>22613.98</t>
  </si>
  <si>
    <t>FV/86/PP/4601/22</t>
  </si>
  <si>
    <t>PZ/800964</t>
  </si>
  <si>
    <t>12871.78</t>
  </si>
  <si>
    <t>FV/6988HM/22</t>
  </si>
  <si>
    <t>PZ/800965</t>
  </si>
  <si>
    <t>14968.48</t>
  </si>
  <si>
    <t>FV/5922HM/22</t>
  </si>
  <si>
    <t>PZ/800966</t>
  </si>
  <si>
    <t>19377.81</t>
  </si>
  <si>
    <t>FV/POL/67351/2022</t>
  </si>
  <si>
    <t>PZ/800967</t>
  </si>
  <si>
    <t>14603.63</t>
  </si>
  <si>
    <t>FV/4304/NOVA/22</t>
  </si>
  <si>
    <t>PZ/800968</t>
  </si>
  <si>
    <t>17467.26</t>
  </si>
  <si>
    <t>FV/CENFA/866430/22</t>
  </si>
  <si>
    <t>PZ/800969</t>
  </si>
  <si>
    <t>21874.93</t>
  </si>
  <si>
    <t>FV/CENFA/491411/22</t>
  </si>
  <si>
    <t>PZ/800970</t>
  </si>
  <si>
    <t>-2387.53</t>
  </si>
  <si>
    <t>FV/M/9121/P/22</t>
  </si>
  <si>
    <t>PZ/800971</t>
  </si>
  <si>
    <t>20189.19</t>
  </si>
  <si>
    <t>FV/1384HM/22</t>
  </si>
  <si>
    <t>PZ/800972</t>
  </si>
  <si>
    <t>11547.3</t>
  </si>
  <si>
    <t>FV/67/PP/1306/22</t>
  </si>
  <si>
    <t>PZ/800973</t>
  </si>
  <si>
    <t>15206.36</t>
  </si>
  <si>
    <t>FV/POL/11595/2022</t>
  </si>
  <si>
    <t>PZ/800974</t>
  </si>
  <si>
    <t>12567.32</t>
  </si>
  <si>
    <t>FV/2687HM/22</t>
  </si>
  <si>
    <t>PZ/800975</t>
  </si>
  <si>
    <t>10147.07</t>
  </si>
  <si>
    <t>FV/CENFA/571082/22</t>
  </si>
  <si>
    <t>PZ/800976</t>
  </si>
  <si>
    <t>17738.59</t>
  </si>
  <si>
    <t>PZ/800977</t>
  </si>
  <si>
    <t>10678.2</t>
  </si>
  <si>
    <t>FV/4452HM/22</t>
  </si>
  <si>
    <t>PZ/800978</t>
  </si>
  <si>
    <t>15045.31</t>
  </si>
  <si>
    <t>FV/M/8556/P/22</t>
  </si>
  <si>
    <t>PZ/800979</t>
  </si>
  <si>
    <t>17361.66</t>
  </si>
  <si>
    <t>FV/POL/58140/2022</t>
  </si>
  <si>
    <t>PZ/800980</t>
  </si>
  <si>
    <t>17569.81</t>
  </si>
  <si>
    <t>FV/27/PP/3546/22</t>
  </si>
  <si>
    <t>PZ/800981</t>
  </si>
  <si>
    <t>13788.39</t>
  </si>
  <si>
    <t>FV/8066/NOVA/22</t>
  </si>
  <si>
    <t>PZ/800982</t>
  </si>
  <si>
    <t>13234.69</t>
  </si>
  <si>
    <t>FV/96959/VDb/2022</t>
  </si>
  <si>
    <t>PZ/800983</t>
  </si>
  <si>
    <t>11968.43</t>
  </si>
  <si>
    <t>PZ/800984</t>
  </si>
  <si>
    <t>18508.51</t>
  </si>
  <si>
    <t>FV/97/SAL/22</t>
  </si>
  <si>
    <t>PZ/800985</t>
  </si>
  <si>
    <t>20982.96</t>
  </si>
  <si>
    <t>PZ/800986</t>
  </si>
  <si>
    <t>18623.95</t>
  </si>
  <si>
    <t>FV/CENFA/982678/22</t>
  </si>
  <si>
    <t>PZ/800987</t>
  </si>
  <si>
    <t>20765.9</t>
  </si>
  <si>
    <t>FV/M/9897/P/22</t>
  </si>
  <si>
    <t>PZ/800988</t>
  </si>
  <si>
    <t>8676.09</t>
  </si>
  <si>
    <t>PZ/800989</t>
  </si>
  <si>
    <t>20138.44</t>
  </si>
  <si>
    <t>FV/M/6099/P/22</t>
  </si>
  <si>
    <t>PZ/800990</t>
  </si>
  <si>
    <t>15647.34</t>
  </si>
  <si>
    <t>FV/2550HM/22</t>
  </si>
  <si>
    <t>PZ/800991</t>
  </si>
  <si>
    <t>14832.53</t>
  </si>
  <si>
    <t>FV/38981/VDb/2022</t>
  </si>
  <si>
    <t>PZ/800992</t>
  </si>
  <si>
    <t>15228.03</t>
  </si>
  <si>
    <t>FV/M/9246/P/22</t>
  </si>
  <si>
    <t>PZ/800993</t>
  </si>
  <si>
    <t>7039.35</t>
  </si>
  <si>
    <t>FV/38898/VDb/2022</t>
  </si>
  <si>
    <t>PZ/800994</t>
  </si>
  <si>
    <t>10830.2</t>
  </si>
  <si>
    <t>FV/CENFA/918479/22</t>
  </si>
  <si>
    <t>PZ/800995</t>
  </si>
  <si>
    <t>17505.7</t>
  </si>
  <si>
    <t>FV/5151HM/22</t>
  </si>
  <si>
    <t>PZ/800996</t>
  </si>
  <si>
    <t>-382.56</t>
  </si>
  <si>
    <t>FV/66/PP/3552/22</t>
  </si>
  <si>
    <t>PZ/800997</t>
  </si>
  <si>
    <t>10448.27</t>
  </si>
  <si>
    <t>FV/2554/NOVA/22</t>
  </si>
  <si>
    <t>PZ/800998</t>
  </si>
  <si>
    <t>19187.72</t>
  </si>
  <si>
    <t>FV/2465/NOVA/23</t>
  </si>
  <si>
    <t>PZ/800999</t>
  </si>
  <si>
    <t>14966.14</t>
  </si>
  <si>
    <t>FV/12341/VDb/2023</t>
  </si>
  <si>
    <t>PZ/801000</t>
  </si>
  <si>
    <t>10212.09</t>
  </si>
  <si>
    <t>FV/7317HM/23</t>
  </si>
  <si>
    <t>PZ/801001</t>
  </si>
  <si>
    <t>5927.5</t>
  </si>
  <si>
    <t>FV/70/SAL/23</t>
  </si>
  <si>
    <t>PZ/801002</t>
  </si>
  <si>
    <t>11386.9</t>
  </si>
  <si>
    <t>FV/M/1018/P/23</t>
  </si>
  <si>
    <t>PZ/801003</t>
  </si>
  <si>
    <t>15604.09</t>
  </si>
  <si>
    <t>FV/6164HM/23</t>
  </si>
  <si>
    <t>PZ/801004</t>
  </si>
  <si>
    <t>15969.65</t>
  </si>
  <si>
    <t>FV/8865/NOVA/23</t>
  </si>
  <si>
    <t>PZ/801005</t>
  </si>
  <si>
    <t>12116.45</t>
  </si>
  <si>
    <t>FV/POL/11509/2023</t>
  </si>
  <si>
    <t>PZ/801006</t>
  </si>
  <si>
    <t>14805.94</t>
  </si>
  <si>
    <t>FV/2826/NOVA/23</t>
  </si>
  <si>
    <t>PZ/801007</t>
  </si>
  <si>
    <t>10232.88</t>
  </si>
  <si>
    <t>FV/8167/NOVA/23</t>
  </si>
  <si>
    <t>PZ/801008</t>
  </si>
  <si>
    <t>20728.98</t>
  </si>
  <si>
    <t>FV/CENFA/517580/23</t>
  </si>
  <si>
    <t>PZ/801009</t>
  </si>
  <si>
    <t>19779.81</t>
  </si>
  <si>
    <t>FV/M/2855/P/23</t>
  </si>
  <si>
    <t>PZ/801010</t>
  </si>
  <si>
    <t>16556.02</t>
  </si>
  <si>
    <t>FV/12020/VDb/2023</t>
  </si>
  <si>
    <t>PZ/801011</t>
  </si>
  <si>
    <t>17308.9</t>
  </si>
  <si>
    <t>FV/7664HM/23</t>
  </si>
  <si>
    <t>PZ/801012</t>
  </si>
  <si>
    <t>19525.75</t>
  </si>
  <si>
    <t>FV/35/SAL/23</t>
  </si>
  <si>
    <t>PZ/801013</t>
  </si>
  <si>
    <t>20828.58</t>
  </si>
  <si>
    <t>FV/4653/NOVA/23</t>
  </si>
  <si>
    <t>PZ/801014</t>
  </si>
  <si>
    <t>10208.04</t>
  </si>
  <si>
    <t>FV/POL/10991/2023</t>
  </si>
  <si>
    <t>PZ/801015</t>
  </si>
  <si>
    <t>13330.2</t>
  </si>
  <si>
    <t>FV/POL/79844/2023</t>
  </si>
  <si>
    <t>PZ/801016</t>
  </si>
  <si>
    <t>22553.7</t>
  </si>
  <si>
    <t>FV/26941/VDb/2023</t>
  </si>
  <si>
    <t>PZ/801017</t>
  </si>
  <si>
    <t>25038.52</t>
  </si>
  <si>
    <t>FV/CENFA/329830/23</t>
  </si>
  <si>
    <t>PZ/801018</t>
  </si>
  <si>
    <t>13661.85</t>
  </si>
  <si>
    <t>FV/44/PP/5365/23</t>
  </si>
  <si>
    <t>PZ/801019</t>
  </si>
  <si>
    <t>18092.5</t>
  </si>
  <si>
    <t>FV/M/3724/P/23</t>
  </si>
  <si>
    <t>PZ/801020</t>
  </si>
  <si>
    <t>12660.58</t>
  </si>
  <si>
    <t>FV/54/SAL/23</t>
  </si>
  <si>
    <t>PZ/801021</t>
  </si>
  <si>
    <t>-1698.41</t>
  </si>
  <si>
    <t>FV/4229HM/23</t>
  </si>
  <si>
    <t>PZ/801022</t>
  </si>
  <si>
    <t>11331.49</t>
  </si>
  <si>
    <t>FV/CENFA/916020/23</t>
  </si>
  <si>
    <t>PZ/801023</t>
  </si>
  <si>
    <t>21605.36</t>
  </si>
  <si>
    <t>FV/POL/28690/2023</t>
  </si>
  <si>
    <t>PZ/801024</t>
  </si>
  <si>
    <t>20104.51</t>
  </si>
  <si>
    <t>FV/9325/NOVA/23</t>
  </si>
  <si>
    <t>PZ/801025</t>
  </si>
  <si>
    <t>17858.45</t>
  </si>
  <si>
    <t>FV/83/PP/7902/23</t>
  </si>
  <si>
    <t>PZ/801026</t>
  </si>
  <si>
    <t>13830.91</t>
  </si>
  <si>
    <t>FV/POL/45386/2023</t>
  </si>
  <si>
    <t>PZ/801027</t>
  </si>
  <si>
    <t>-2426.04</t>
  </si>
  <si>
    <t>FV/5653HM/23</t>
  </si>
  <si>
    <t>PZ/801028</t>
  </si>
  <si>
    <t>-1859.67</t>
  </si>
  <si>
    <t>FV/CENFA/351218/23</t>
  </si>
  <si>
    <t>PZ/801029</t>
  </si>
  <si>
    <t>9413.62</t>
  </si>
  <si>
    <t>FV/4343HM/23</t>
  </si>
  <si>
    <t>PZ/801030</t>
  </si>
  <si>
    <t>14758.86</t>
  </si>
  <si>
    <t>FV/CENFA/302013/23</t>
  </si>
  <si>
    <t>PZ/801031</t>
  </si>
  <si>
    <t>18082.55</t>
  </si>
  <si>
    <t>FV/4230HM/23</t>
  </si>
  <si>
    <t>PZ/801032</t>
  </si>
  <si>
    <t>20228.37</t>
  </si>
  <si>
    <t>FV/1796HM/23</t>
  </si>
  <si>
    <t>PZ/801033</t>
  </si>
  <si>
    <t>29338.32</t>
  </si>
  <si>
    <t>FV/CENFA/518664/23</t>
  </si>
  <si>
    <t>PZ/801034</t>
  </si>
  <si>
    <t>15337.85</t>
  </si>
  <si>
    <t>FV/28/SAL/23</t>
  </si>
  <si>
    <t>PZ/801035</t>
  </si>
  <si>
    <t>11004.78</t>
  </si>
  <si>
    <t>FV/7546HM/23</t>
  </si>
  <si>
    <t>PZ/801036</t>
  </si>
  <si>
    <t>11542.2</t>
  </si>
  <si>
    <t>FV/4361/NOVA/23</t>
  </si>
  <si>
    <t>PZ/801037</t>
  </si>
  <si>
    <t>18106.0</t>
  </si>
  <si>
    <t>FV/POL/54750/2023</t>
  </si>
  <si>
    <t>PZ/801038</t>
  </si>
  <si>
    <t>9844.46</t>
  </si>
  <si>
    <t>FV/59/SAL/23</t>
  </si>
  <si>
    <t>PZ/801039</t>
  </si>
  <si>
    <t>18131.0</t>
  </si>
  <si>
    <t>FV/46/PP/9854/23</t>
  </si>
  <si>
    <t>PZ/801040</t>
  </si>
  <si>
    <t>22030.33</t>
  </si>
  <si>
    <t>FV/M/1411/P/23</t>
  </si>
  <si>
    <t>PZ/801041</t>
  </si>
  <si>
    <t>14747.95</t>
  </si>
  <si>
    <t>FV/CENFA/622047/23</t>
  </si>
  <si>
    <t>PZ/801042</t>
  </si>
  <si>
    <t>9656.48</t>
  </si>
  <si>
    <t>FV/M/7681/P/23</t>
  </si>
  <si>
    <t>PZ/801043</t>
  </si>
  <si>
    <t>2391.7</t>
  </si>
  <si>
    <t>FV/1625HM/23</t>
  </si>
  <si>
    <t>PZ/801044</t>
  </si>
  <si>
    <t>28189.88</t>
  </si>
  <si>
    <t>FV/CENFA/946452/23</t>
  </si>
  <si>
    <t>PZ/801045</t>
  </si>
  <si>
    <t>17695.51</t>
  </si>
  <si>
    <t>FV/89/PP/4293/23</t>
  </si>
  <si>
    <t>PZ/801046</t>
  </si>
  <si>
    <t>14833.18</t>
  </si>
  <si>
    <t>FV/75789/VDb/2023</t>
  </si>
  <si>
    <t>PZ/801047</t>
  </si>
  <si>
    <t>17747.17</t>
  </si>
  <si>
    <t>FV/CENFA/329492/23</t>
  </si>
  <si>
    <t>PZ/801048</t>
  </si>
  <si>
    <t>15501.98</t>
  </si>
  <si>
    <t>FV/1337HM/23</t>
  </si>
  <si>
    <t>PZ/801049</t>
  </si>
  <si>
    <t>12820.3</t>
  </si>
  <si>
    <t>FV/CENFA/751325/23</t>
  </si>
  <si>
    <t>PZ/801050</t>
  </si>
  <si>
    <t>15154.31</t>
  </si>
  <si>
    <t>FV/M/2511/P/23</t>
  </si>
  <si>
    <t>PZ/801051</t>
  </si>
  <si>
    <t>16026.21</t>
  </si>
  <si>
    <t>FV/96/PP/3775/23</t>
  </si>
  <si>
    <t>PZ/801052</t>
  </si>
  <si>
    <t>16875.42</t>
  </si>
  <si>
    <t>FV/POL/96880/2023</t>
  </si>
  <si>
    <t>PZ/801053</t>
  </si>
  <si>
    <t>25060.24</t>
  </si>
  <si>
    <t>FV/CENFA/607525/23</t>
  </si>
  <si>
    <t>PZ/801054</t>
  </si>
  <si>
    <t>28321.44</t>
  </si>
  <si>
    <t>FV/65/PP/5555/23</t>
  </si>
  <si>
    <t>PZ/801055</t>
  </si>
  <si>
    <t>19813.86</t>
  </si>
  <si>
    <t>FV/6361HM/23</t>
  </si>
  <si>
    <t>PZ/801056</t>
  </si>
  <si>
    <t>16343.13</t>
  </si>
  <si>
    <t>FV/M/3661/P/23</t>
  </si>
  <si>
    <t>PZ/801057</t>
  </si>
  <si>
    <t>18953.9</t>
  </si>
  <si>
    <t>FV/57/PP/6664/23</t>
  </si>
  <si>
    <t>PZ/801058</t>
  </si>
  <si>
    <t>-1731.33</t>
  </si>
  <si>
    <t>FV/3434HM/23</t>
  </si>
  <si>
    <t>PZ/801059</t>
  </si>
  <si>
    <t>12382.93</t>
  </si>
  <si>
    <t>FV/44/PP/9789/23</t>
  </si>
  <si>
    <t>PZ/801060</t>
  </si>
  <si>
    <t>10407.1</t>
  </si>
  <si>
    <t>FV/37/SAL/23</t>
  </si>
  <si>
    <t>PZ/801061</t>
  </si>
  <si>
    <t>18389.09</t>
  </si>
  <si>
    <t>FV/42062/VDb/2023</t>
  </si>
  <si>
    <t>PZ/801062</t>
  </si>
  <si>
    <t>16107.35</t>
  </si>
  <si>
    <t>FV/95/PP/9229/23</t>
  </si>
  <si>
    <t>PZ/801063</t>
  </si>
  <si>
    <t>6219.75</t>
  </si>
  <si>
    <t>FV/46/SAL/23</t>
  </si>
  <si>
    <t>PZ/801064</t>
  </si>
  <si>
    <t>11800.46</t>
  </si>
  <si>
    <t>FV/M/5059/P/23</t>
  </si>
  <si>
    <t>PZ/801065</t>
  </si>
  <si>
    <t>12726.46</t>
  </si>
  <si>
    <t>FV/72682/VDb/2023</t>
  </si>
  <si>
    <t>PZ/801066</t>
  </si>
  <si>
    <t>18423.95</t>
  </si>
  <si>
    <t>FV/11801/VDb/2023</t>
  </si>
  <si>
    <t>PZ/801067</t>
  </si>
  <si>
    <t>23630.68</t>
  </si>
  <si>
    <t>FV/3388HM/23</t>
  </si>
  <si>
    <t>PZ/801068</t>
  </si>
  <si>
    <t>16120.51</t>
  </si>
  <si>
    <t>FV/M/8778/P/23</t>
  </si>
  <si>
    <t>PZ/801069</t>
  </si>
  <si>
    <t>9100.53</t>
  </si>
  <si>
    <t>FV/POL/86644/2023</t>
  </si>
  <si>
    <t>PZ/801070</t>
  </si>
  <si>
    <t>19614.39</t>
  </si>
  <si>
    <t>FV/CENFA/640525/23</t>
  </si>
  <si>
    <t>PZ/801071</t>
  </si>
  <si>
    <t>13018.87</t>
  </si>
  <si>
    <t>FV/2252HM/23</t>
  </si>
  <si>
    <t>PZ/801072</t>
  </si>
  <si>
    <t>16313.92</t>
  </si>
  <si>
    <t>FV/17/SAL/23</t>
  </si>
  <si>
    <t>PZ/801073</t>
  </si>
  <si>
    <t>16897.75</t>
  </si>
  <si>
    <t>FV/CENFA/360452/23</t>
  </si>
  <si>
    <t>PZ/801074</t>
  </si>
  <si>
    <t>11158.25</t>
  </si>
  <si>
    <t>FV/52/PP/1093/23</t>
  </si>
  <si>
    <t>PZ/801075</t>
  </si>
  <si>
    <t>11957.55</t>
  </si>
  <si>
    <t>FV/CENFA/315153/23</t>
  </si>
  <si>
    <t>PZ/801076</t>
  </si>
  <si>
    <t>20570.81</t>
  </si>
  <si>
    <t>FV/1073HM/23</t>
  </si>
  <si>
    <t>PZ/801077</t>
  </si>
  <si>
    <t>14846.25</t>
  </si>
  <si>
    <t>FV/POL/69521/2023</t>
  </si>
  <si>
    <t>PZ/801078</t>
  </si>
  <si>
    <t>9130.57</t>
  </si>
  <si>
    <t>FV/POL/66382/2023</t>
  </si>
  <si>
    <t>PZ/801079</t>
  </si>
  <si>
    <t>14449.47</t>
  </si>
  <si>
    <t>FV/6963HM/23</t>
  </si>
  <si>
    <t>PZ/801080</t>
  </si>
  <si>
    <t>13245.81</t>
  </si>
  <si>
    <t>PZ/801081</t>
  </si>
  <si>
    <t>20496.64</t>
  </si>
  <si>
    <t>FV/81/PP/6120/23</t>
  </si>
  <si>
    <t>PZ/801082</t>
  </si>
  <si>
    <t>12002.98</t>
  </si>
  <si>
    <t>FV/71472/VDb/2023</t>
  </si>
  <si>
    <t>PZ/801083</t>
  </si>
  <si>
    <t>10666.24</t>
  </si>
  <si>
    <t>FV/3270HM/23</t>
  </si>
  <si>
    <t>PZ/801084</t>
  </si>
  <si>
    <t>21897.2</t>
  </si>
  <si>
    <t>FV/POL/63574/2023</t>
  </si>
  <si>
    <t>PZ/801085</t>
  </si>
  <si>
    <t>22057.1</t>
  </si>
  <si>
    <t>FV/84826/VDb/2023</t>
  </si>
  <si>
    <t>PZ/801086</t>
  </si>
  <si>
    <t>24007.87</t>
  </si>
  <si>
    <t>FV/71814/VDb/2023</t>
  </si>
  <si>
    <t>PZ/801087</t>
  </si>
  <si>
    <t>8005.89</t>
  </si>
  <si>
    <t>FV/44/PP/2296/23</t>
  </si>
  <si>
    <t>PZ/801088</t>
  </si>
  <si>
    <t>16632.6</t>
  </si>
  <si>
    <t>FV/M/5993/P/23</t>
  </si>
  <si>
    <t>PZ/801089</t>
  </si>
  <si>
    <t>14019.59</t>
  </si>
  <si>
    <t>FV/9819HM/23</t>
  </si>
  <si>
    <t>PZ/801090</t>
  </si>
  <si>
    <t>14880.89</t>
  </si>
  <si>
    <t>FV/M/9271/P/23</t>
  </si>
  <si>
    <t>PZ/801091</t>
  </si>
  <si>
    <t>11571.53</t>
  </si>
  <si>
    <t>FV/CENFA/251928/23</t>
  </si>
  <si>
    <t>PZ/801092</t>
  </si>
  <si>
    <t>15184.36</t>
  </si>
  <si>
    <t>FV/1511HM/23</t>
  </si>
  <si>
    <t>PZ/801093</t>
  </si>
  <si>
    <t>12007.01</t>
  </si>
  <si>
    <t>FV/POL/24303/2023</t>
  </si>
  <si>
    <t>PZ/801094</t>
  </si>
  <si>
    <t>16241.21</t>
  </si>
  <si>
    <t>FV/41528/VDb/2023</t>
  </si>
  <si>
    <t>PZ/801095</t>
  </si>
  <si>
    <t>18178.85</t>
  </si>
  <si>
    <t>FV/POL/14421/2023</t>
  </si>
  <si>
    <t>PZ/801096</t>
  </si>
  <si>
    <t>18116.99</t>
  </si>
  <si>
    <t>FV/M/7490/P/23</t>
  </si>
  <si>
    <t>PZ/801097</t>
  </si>
  <si>
    <t>16984.23</t>
  </si>
  <si>
    <t>FV/CENFA/655185/23</t>
  </si>
  <si>
    <t>PZ/801098</t>
  </si>
  <si>
    <t>14437.05</t>
  </si>
  <si>
    <t>FV/POL/63133/2023</t>
  </si>
  <si>
    <t>PZ/801099</t>
  </si>
  <si>
    <t>11511.68</t>
  </si>
  <si>
    <t>FV/1151HM/23</t>
  </si>
  <si>
    <t>PZ/801100</t>
  </si>
  <si>
    <t>18974.84</t>
  </si>
  <si>
    <t>FV/48311/VDb/2023</t>
  </si>
  <si>
    <t>PZ/801101</t>
  </si>
  <si>
    <t>16353.42</t>
  </si>
  <si>
    <t>FV/33/SAL/23</t>
  </si>
  <si>
    <t>PZ/801102</t>
  </si>
  <si>
    <t>-2081.01</t>
  </si>
  <si>
    <t>FV/32848/VDb/2023</t>
  </si>
  <si>
    <t>PZ/801103</t>
  </si>
  <si>
    <t>14489.73</t>
  </si>
  <si>
    <t>FV/CENFA/174537/23</t>
  </si>
  <si>
    <t>PZ/801104</t>
  </si>
  <si>
    <t>13651.16</t>
  </si>
  <si>
    <t>FV/CENFA/691379/23</t>
  </si>
  <si>
    <t>PZ/801105</t>
  </si>
  <si>
    <t>13514.79</t>
  </si>
  <si>
    <t>FV/57/SAL/23</t>
  </si>
  <si>
    <t>PZ/801106</t>
  </si>
  <si>
    <t>23020.44</t>
  </si>
  <si>
    <t>FV/60/PP/8793/23</t>
  </si>
  <si>
    <t>PZ/801107</t>
  </si>
  <si>
    <t>14641.67</t>
  </si>
  <si>
    <t>FV/92/PP/9716/23</t>
  </si>
  <si>
    <t>PZ/801108</t>
  </si>
  <si>
    <t>28349.77</t>
  </si>
  <si>
    <t>FV/CENFA/510179/23</t>
  </si>
  <si>
    <t>PZ/801109</t>
  </si>
  <si>
    <t>14825.0</t>
  </si>
  <si>
    <t>FV/77/SAL/23</t>
  </si>
  <si>
    <t>PZ/801110</t>
  </si>
  <si>
    <t>16620.82</t>
  </si>
  <si>
    <t>FV/CENFA/101213/23</t>
  </si>
  <si>
    <t>PZ/801111</t>
  </si>
  <si>
    <t>19762.46</t>
  </si>
  <si>
    <t>FV/POL/47801/2023</t>
  </si>
  <si>
    <t>PZ/801112</t>
  </si>
  <si>
    <t>15118.64</t>
  </si>
  <si>
    <t>FV/2791HM/23</t>
  </si>
  <si>
    <t>PZ/801113</t>
  </si>
  <si>
    <t>12528.26</t>
  </si>
  <si>
    <t>FV/1878HM/23</t>
  </si>
  <si>
    <t>PZ/801114</t>
  </si>
  <si>
    <t>11786.1</t>
  </si>
  <si>
    <t>FV/CENFA/709975/23</t>
  </si>
  <si>
    <t>PZ/801115</t>
  </si>
  <si>
    <t>13314.79</t>
  </si>
  <si>
    <t>FV/M/8683/P/23</t>
  </si>
  <si>
    <t>PZ/801116</t>
  </si>
  <si>
    <t>17350.18</t>
  </si>
  <si>
    <t>FV/M/3834/P/23</t>
  </si>
  <si>
    <t>PZ/801117</t>
  </si>
  <si>
    <t>22910.15</t>
  </si>
  <si>
    <t>FV/9324/NOVA/23</t>
  </si>
  <si>
    <t>PZ/801118</t>
  </si>
  <si>
    <t>3895.29</t>
  </si>
  <si>
    <t>FV/14925/VDb/2023</t>
  </si>
  <si>
    <t>PZ/801119</t>
  </si>
  <si>
    <t>21213.16</t>
  </si>
  <si>
    <t>FV/37/PP/9035/23</t>
  </si>
  <si>
    <t>PZ/801120</t>
  </si>
  <si>
    <t>18740.52</t>
  </si>
  <si>
    <t>FV/4285/NOVA/23</t>
  </si>
  <si>
    <t>PZ/801121</t>
  </si>
  <si>
    <t>12485.58</t>
  </si>
  <si>
    <t>FV/4647HM/23</t>
  </si>
  <si>
    <t>PZ/801122</t>
  </si>
  <si>
    <t>12180.71</t>
  </si>
  <si>
    <t>FV/POL/53020/2023</t>
  </si>
  <si>
    <t>PZ/801123</t>
  </si>
  <si>
    <t>16137.68</t>
  </si>
  <si>
    <t>FV/CENFA/912884/23</t>
  </si>
  <si>
    <t>PZ/801124</t>
  </si>
  <si>
    <t>22372.29</t>
  </si>
  <si>
    <t>FV/5959/NOVA/23</t>
  </si>
  <si>
    <t>PZ/801125</t>
  </si>
  <si>
    <t>8906.1</t>
  </si>
  <si>
    <t>FV/POL/88269/2023</t>
  </si>
  <si>
    <t>PZ/801126</t>
  </si>
  <si>
    <t>19984.71</t>
  </si>
  <si>
    <t>FV/8371/NOVA/23</t>
  </si>
  <si>
    <t>PZ/801127</t>
  </si>
  <si>
    <t>18993.24</t>
  </si>
  <si>
    <t>FV/POL/30832/2023</t>
  </si>
  <si>
    <t>PZ/801128</t>
  </si>
  <si>
    <t>13833.12</t>
  </si>
  <si>
    <t>FV/POL/95219/2023</t>
  </si>
  <si>
    <t>PZ/801129</t>
  </si>
  <si>
    <t>12002.6</t>
  </si>
  <si>
    <t>FV/POL/86361/2023</t>
  </si>
  <si>
    <t>PZ/801130</t>
  </si>
  <si>
    <t>9930.53</t>
  </si>
  <si>
    <t>FV/POL/31742/2023</t>
  </si>
  <si>
    <t>PZ/801131</t>
  </si>
  <si>
    <t>16271.03</t>
  </si>
  <si>
    <t>FV/58/SAL/23</t>
  </si>
  <si>
    <t>PZ/801132</t>
  </si>
  <si>
    <t>11044.94</t>
  </si>
  <si>
    <t>FV/94/SAL/23</t>
  </si>
  <si>
    <t>PZ/801133</t>
  </si>
  <si>
    <t>19627.27</t>
  </si>
  <si>
    <t>FV/3485/NOVA/23</t>
  </si>
  <si>
    <t>PZ/801134</t>
  </si>
  <si>
    <t>22976.18</t>
  </si>
  <si>
    <t>FV/69/SAL/23</t>
  </si>
  <si>
    <t>PZ/801135</t>
  </si>
  <si>
    <t>14802.85</t>
  </si>
  <si>
    <t>FV/5826HM/23</t>
  </si>
  <si>
    <t>PZ/801136</t>
  </si>
  <si>
    <t>5409.68</t>
  </si>
  <si>
    <t>FV/M/6727/P/23</t>
  </si>
  <si>
    <t>PZ/801137</t>
  </si>
  <si>
    <t>21955.82</t>
  </si>
  <si>
    <t>FV/CENFA/127949/23</t>
  </si>
  <si>
    <t>PZ/801138</t>
  </si>
  <si>
    <t>9805.71</t>
  </si>
  <si>
    <t>FV/39/PP/4594/23</t>
  </si>
  <si>
    <t>PZ/801139</t>
  </si>
  <si>
    <t>17906.57</t>
  </si>
  <si>
    <t>FV/3132/NOVA/23</t>
  </si>
  <si>
    <t>PZ/801140</t>
  </si>
  <si>
    <t>22097.5</t>
  </si>
  <si>
    <t>FV/CENFA/133673/23</t>
  </si>
  <si>
    <t>PZ/801141</t>
  </si>
  <si>
    <t>15389.56</t>
  </si>
  <si>
    <t>FV/55103/VDb/2023</t>
  </si>
  <si>
    <t>PZ/801142</t>
  </si>
  <si>
    <t>8442.53</t>
  </si>
  <si>
    <t>FV/M/3269/P/23</t>
  </si>
  <si>
    <t>PZ/801143</t>
  </si>
  <si>
    <t>12399.0</t>
  </si>
  <si>
    <t>FV/M/2331/P/23</t>
  </si>
  <si>
    <t>PZ/801144</t>
  </si>
  <si>
    <t>11758.05</t>
  </si>
  <si>
    <t>FV/POL/61169/2023</t>
  </si>
  <si>
    <t>PZ/801145</t>
  </si>
  <si>
    <t>13343.71</t>
  </si>
  <si>
    <t>FV/4885HM/23</t>
  </si>
  <si>
    <t>PZ/801146</t>
  </si>
  <si>
    <t>14815.99</t>
  </si>
  <si>
    <t>FV/5876HM/23</t>
  </si>
  <si>
    <t>PZ/801147</t>
  </si>
  <si>
    <t>20142.82</t>
  </si>
  <si>
    <t>FV/81411/VDb/2023</t>
  </si>
  <si>
    <t>PZ/801148</t>
  </si>
  <si>
    <t>12277.51</t>
  </si>
  <si>
    <t>FV/POL/97883/2023</t>
  </si>
  <si>
    <t>PZ/801149</t>
  </si>
  <si>
    <t>9431.9</t>
  </si>
  <si>
    <t>FV/CENFA/766168/23</t>
  </si>
  <si>
    <t>PZ/801150</t>
  </si>
  <si>
    <t>15739.28</t>
  </si>
  <si>
    <t>FV/CENFA/836174/23</t>
  </si>
  <si>
    <t>PZ/801151</t>
  </si>
  <si>
    <t>17363.19</t>
  </si>
  <si>
    <t>FV/10/SAL/23</t>
  </si>
  <si>
    <t>PZ/801152</t>
  </si>
  <si>
    <t>16339.19</t>
  </si>
  <si>
    <t>FV/1776/NOVA/23</t>
  </si>
  <si>
    <t>PZ/801153</t>
  </si>
  <si>
    <t>15057.87</t>
  </si>
  <si>
    <t>FV/POL/86835/2023</t>
  </si>
  <si>
    <t>PZ/801154</t>
  </si>
  <si>
    <t>25285.63</t>
  </si>
  <si>
    <t>FV/M/7931/P/23</t>
  </si>
  <si>
    <t>PZ/801155</t>
  </si>
  <si>
    <t>16632.85</t>
  </si>
  <si>
    <t>FV/87/PP/2083/23</t>
  </si>
  <si>
    <t>PZ/801156</t>
  </si>
  <si>
    <t>19966.0</t>
  </si>
  <si>
    <t>FV/7961/NOVA/23</t>
  </si>
  <si>
    <t>PZ/801157</t>
  </si>
  <si>
    <t>20287.79</t>
  </si>
  <si>
    <t>FV/M/6238/P/23</t>
  </si>
  <si>
    <t>PZ/801158</t>
  </si>
  <si>
    <t>8396.38</t>
  </si>
  <si>
    <t>FV/44365/VDb/2023</t>
  </si>
  <si>
    <t>PZ/801159</t>
  </si>
  <si>
    <t>22902.26</t>
  </si>
  <si>
    <t>FV/CENFA/344235/23</t>
  </si>
  <si>
    <t>PZ/801160</t>
  </si>
  <si>
    <t>5700.3</t>
  </si>
  <si>
    <t>FV/32918/VDb/2023</t>
  </si>
  <si>
    <t>PZ/801161</t>
  </si>
  <si>
    <t>14673.07</t>
  </si>
  <si>
    <t>FV/13/SAL/23</t>
  </si>
  <si>
    <t>PZ/801162</t>
  </si>
  <si>
    <t>14175.19</t>
  </si>
  <si>
    <t>FV/11051/VDb/2023</t>
  </si>
  <si>
    <t>PZ/801163</t>
  </si>
  <si>
    <t>13300.51</t>
  </si>
  <si>
    <t>FV/M/9291/P/23</t>
  </si>
  <si>
    <t>PZ/801164</t>
  </si>
  <si>
    <t>12829.81</t>
  </si>
  <si>
    <t>FV/M/6464/P/23</t>
  </si>
  <si>
    <t>PZ/801165</t>
  </si>
  <si>
    <t>16155.04</t>
  </si>
  <si>
    <t>FV/POL/78859/2023</t>
  </si>
  <si>
    <t>PZ/801166</t>
  </si>
  <si>
    <t>9093.43</t>
  </si>
  <si>
    <t>FV/M/2913/P/23</t>
  </si>
  <si>
    <t>PZ/801167</t>
  </si>
  <si>
    <t>16832.27</t>
  </si>
  <si>
    <t>FV/CENFA/634240/23</t>
  </si>
  <si>
    <t>PZ/801168</t>
  </si>
  <si>
    <t>24481.15</t>
  </si>
  <si>
    <t>FV/1901HM/23</t>
  </si>
  <si>
    <t>PZ/801169</t>
  </si>
  <si>
    <t>24232.01</t>
  </si>
  <si>
    <t>FV/POL/93026/2023</t>
  </si>
  <si>
    <t>PZ/801170</t>
  </si>
  <si>
    <t>-462.87</t>
  </si>
  <si>
    <t>FV/95/PP/1396/23</t>
  </si>
  <si>
    <t>PZ/801171</t>
  </si>
  <si>
    <t>15102.55</t>
  </si>
  <si>
    <t>FV/CENFA/913256/23</t>
  </si>
  <si>
    <t>PZ/801172</t>
  </si>
  <si>
    <t>26945.75</t>
  </si>
  <si>
    <t>FV/POL/97591/2023</t>
  </si>
  <si>
    <t>PZ/801173</t>
  </si>
  <si>
    <t>-1503.76</t>
  </si>
  <si>
    <t>FV/94979/VDb/2023</t>
  </si>
  <si>
    <t>PZ/801174</t>
  </si>
  <si>
    <t>19431.56</t>
  </si>
  <si>
    <t>FV/POL/38537/2023</t>
  </si>
  <si>
    <t>PZ/801175</t>
  </si>
  <si>
    <t>13157.56</t>
  </si>
  <si>
    <t>FV/51/SAL/23</t>
  </si>
  <si>
    <t>PZ/801176</t>
  </si>
  <si>
    <t>18443.71</t>
  </si>
  <si>
    <t>PZ/801177</t>
  </si>
  <si>
    <t>8889.91</t>
  </si>
  <si>
    <t>FV/M/3735/P/23</t>
  </si>
  <si>
    <t>PZ/801178</t>
  </si>
  <si>
    <t>13866.71</t>
  </si>
  <si>
    <t>PZ/801179</t>
  </si>
  <si>
    <t>10175.17</t>
  </si>
  <si>
    <t>FV/6310/NOVA/23</t>
  </si>
  <si>
    <t>PZ/801180</t>
  </si>
  <si>
    <t>-839.12</t>
  </si>
  <si>
    <t>FV/24175/VDb/2023</t>
  </si>
  <si>
    <t>PZ/801181</t>
  </si>
  <si>
    <t>8854.63</t>
  </si>
  <si>
    <t>FV/21/SAL/23</t>
  </si>
  <si>
    <t>PZ/801182</t>
  </si>
  <si>
    <t>17492.71</t>
  </si>
  <si>
    <t>FV/CENFA/404190/23</t>
  </si>
  <si>
    <t>PZ/801183</t>
  </si>
  <si>
    <t>8655.21</t>
  </si>
  <si>
    <t>FV/82649/VDb/2023</t>
  </si>
  <si>
    <t>PZ/801184</t>
  </si>
  <si>
    <t>21511.82</t>
  </si>
  <si>
    <t>FV/8130/NOVA/23</t>
  </si>
  <si>
    <t>PZ/801185</t>
  </si>
  <si>
    <t>12804.17</t>
  </si>
  <si>
    <t>FV/14780/VDb/2023</t>
  </si>
  <si>
    <t>PZ/801186</t>
  </si>
  <si>
    <t>19702.5</t>
  </si>
  <si>
    <t>FV/3318/NOVA/23</t>
  </si>
  <si>
    <t>PZ/801187</t>
  </si>
  <si>
    <t>-2176.58</t>
  </si>
  <si>
    <t>FV/25580/VDb/2023</t>
  </si>
  <si>
    <t>PZ/801188</t>
  </si>
  <si>
    <t>19155.79</t>
  </si>
  <si>
    <t>FV/85/SAL/23</t>
  </si>
  <si>
    <t>PZ/801189</t>
  </si>
  <si>
    <t>14436.42</t>
  </si>
  <si>
    <t>FV/CENFA/797388/23</t>
  </si>
  <si>
    <t>PZ/801190</t>
  </si>
  <si>
    <t>18358.94</t>
  </si>
  <si>
    <t>FV/CENFA/677334/23</t>
  </si>
  <si>
    <t>PZ/801191</t>
  </si>
  <si>
    <t>11863.32</t>
  </si>
  <si>
    <t>FV/5712/NOVA/23</t>
  </si>
  <si>
    <t>PZ/801192</t>
  </si>
  <si>
    <t>-1173.99</t>
  </si>
  <si>
    <t>FV/M/9920/P/23</t>
  </si>
  <si>
    <t>PZ/801193</t>
  </si>
  <si>
    <t>4370.85</t>
  </si>
  <si>
    <t>PZ/801194</t>
  </si>
  <si>
    <t>11357.82</t>
  </si>
  <si>
    <t>FV/96/SAL/23</t>
  </si>
  <si>
    <t>PZ/801195</t>
  </si>
  <si>
    <t>18063.81</t>
  </si>
  <si>
    <t>FV/38/PP/1023/23</t>
  </si>
  <si>
    <t>PZ/801196</t>
  </si>
  <si>
    <t>18098.37</t>
  </si>
  <si>
    <t>FV/7478/NOVA/23</t>
  </si>
  <si>
    <t>PZ/801197</t>
  </si>
  <si>
    <t>26613.2</t>
  </si>
  <si>
    <t>FV/CENFA/762556/23</t>
  </si>
  <si>
    <t>PZ/801198</t>
  </si>
  <si>
    <t>15663.22</t>
  </si>
  <si>
    <t>FV/POL/51805/2023</t>
  </si>
  <si>
    <t>PZ/801199</t>
  </si>
  <si>
    <t>18251.76</t>
  </si>
  <si>
    <t>FV/5922HM/23</t>
  </si>
  <si>
    <t>PZ/801200</t>
  </si>
  <si>
    <t>24357.59</t>
  </si>
  <si>
    <t>FV/CENFA/918708/23</t>
  </si>
  <si>
    <t>PZ/801201</t>
  </si>
  <si>
    <t>19878.07</t>
  </si>
  <si>
    <t>FV/CENFA/615514/23</t>
  </si>
  <si>
    <t>PZ/801202</t>
  </si>
  <si>
    <t>12109.45</t>
  </si>
  <si>
    <t>FV/75/SAL/23</t>
  </si>
  <si>
    <t>PZ/801203</t>
  </si>
  <si>
    <t>24990.28</t>
  </si>
  <si>
    <t>FV/95/PP/5800/23</t>
  </si>
  <si>
    <t>PZ/801204</t>
  </si>
  <si>
    <t>13646.45</t>
  </si>
  <si>
    <t>FV/9888HM/23</t>
  </si>
  <si>
    <t>PZ/801205</t>
  </si>
  <si>
    <t>13123.09</t>
  </si>
  <si>
    <t>FV/5795HM/23</t>
  </si>
  <si>
    <t>PZ/801206</t>
  </si>
  <si>
    <t>-2017.37</t>
  </si>
  <si>
    <t>FV/73/PP/4312/23</t>
  </si>
  <si>
    <t>PZ/801207</t>
  </si>
  <si>
    <t>-889.55</t>
  </si>
  <si>
    <t>FV/31741/VDb/2023</t>
  </si>
  <si>
    <t>PZ/801208</t>
  </si>
  <si>
    <t>19609.13</t>
  </si>
  <si>
    <t>FV/4927HM/23</t>
  </si>
  <si>
    <t>PZ/801209</t>
  </si>
  <si>
    <t>14169.61</t>
  </si>
  <si>
    <t>FV/94283/VDb/2023</t>
  </si>
  <si>
    <t>PZ/801210</t>
  </si>
  <si>
    <t>16378.55</t>
  </si>
  <si>
    <t>FV/44/SAL/23</t>
  </si>
  <si>
    <t>PZ/801211</t>
  </si>
  <si>
    <t>12544.84</t>
  </si>
  <si>
    <t>FV/POL/80397/2023</t>
  </si>
  <si>
    <t>PZ/801212</t>
  </si>
  <si>
    <t>18806.55</t>
  </si>
  <si>
    <t>FV/CENFA/350982/23</t>
  </si>
  <si>
    <t>PZ/801213</t>
  </si>
  <si>
    <t>8514.83</t>
  </si>
  <si>
    <t>FV/6567HM/23</t>
  </si>
  <si>
    <t>PZ/801214</t>
  </si>
  <si>
    <t>11315.71</t>
  </si>
  <si>
    <t>FV/M/2639/P/23</t>
  </si>
  <si>
    <t>PZ/801215</t>
  </si>
  <si>
    <t>12713.03</t>
  </si>
  <si>
    <t>FV/9170HM/23</t>
  </si>
  <si>
    <t>PZ/801216</t>
  </si>
  <si>
    <t>19482.42</t>
  </si>
  <si>
    <t>FV/POL/21426/2023</t>
  </si>
  <si>
    <t>PZ/801217</t>
  </si>
  <si>
    <t>19515.25</t>
  </si>
  <si>
    <t>FV/CENFA/389340/23</t>
  </si>
  <si>
    <t>PZ/801218</t>
  </si>
  <si>
    <t>22387.23</t>
  </si>
  <si>
    <t>FV/7884/NOVA/23</t>
  </si>
  <si>
    <t>PZ/801219</t>
  </si>
  <si>
    <t>11605.25</t>
  </si>
  <si>
    <t>FV/4061HM/23</t>
  </si>
  <si>
    <t>PZ/801220</t>
  </si>
  <si>
    <t>16408.68</t>
  </si>
  <si>
    <t>FV/1266/NOVA/23</t>
  </si>
  <si>
    <t>PZ/801221</t>
  </si>
  <si>
    <t>20681.29</t>
  </si>
  <si>
    <t>FV/29926/VDb/2023</t>
  </si>
  <si>
    <t>PZ/801222</t>
  </si>
  <si>
    <t>11942.03</t>
  </si>
  <si>
    <t>FV/9771/NOVA/23</t>
  </si>
  <si>
    <t>PZ/801223</t>
  </si>
  <si>
    <t>15944.1</t>
  </si>
  <si>
    <t>FV/3920/NOVA/23</t>
  </si>
  <si>
    <t>PZ/801224</t>
  </si>
  <si>
    <t>6167.49</t>
  </si>
  <si>
    <t>FV/CENFA/317405/23</t>
  </si>
  <si>
    <t>PZ/801225</t>
  </si>
  <si>
    <t>10214.08</t>
  </si>
  <si>
    <t>PZ/801226</t>
  </si>
  <si>
    <t>15255.08</t>
  </si>
  <si>
    <t>FV/1122HM/23</t>
  </si>
  <si>
    <t>PZ/801227</t>
  </si>
  <si>
    <t>16852.88</t>
  </si>
  <si>
    <t>FV/4025/NOVA/23</t>
  </si>
  <si>
    <t>PZ/801228</t>
  </si>
  <si>
    <t>1120.9</t>
  </si>
  <si>
    <t>FV/CENFA/398081/23</t>
  </si>
  <si>
    <t>PZ/801229</t>
  </si>
  <si>
    <t>20707.88</t>
  </si>
  <si>
    <t>FV/83/PP/2360/23</t>
  </si>
  <si>
    <t>PZ/801230</t>
  </si>
  <si>
    <t>13784.95</t>
  </si>
  <si>
    <t>FV/50/SAL/23</t>
  </si>
  <si>
    <t>PZ/801231</t>
  </si>
  <si>
    <t>13659.16</t>
  </si>
  <si>
    <t>FV/5704HM/23</t>
  </si>
  <si>
    <t>PZ/801232</t>
  </si>
  <si>
    <t>12893.71</t>
  </si>
  <si>
    <t>FV/POL/58201/2023</t>
  </si>
  <si>
    <t>PZ/801233</t>
  </si>
  <si>
    <t>15570.05</t>
  </si>
  <si>
    <t>FV/M/5665/P/23</t>
  </si>
  <si>
    <t>PZ/801234</t>
  </si>
  <si>
    <t>14601.36</t>
  </si>
  <si>
    <t>FV/CENFA/597865/23</t>
  </si>
  <si>
    <t>PZ/801235</t>
  </si>
  <si>
    <t>9833.21</t>
  </si>
  <si>
    <t>FV/7047/NOVA/23</t>
  </si>
  <si>
    <t>PZ/801236</t>
  </si>
  <si>
    <t>-1849.34</t>
  </si>
  <si>
    <t>FV/M/8470/P/23</t>
  </si>
  <si>
    <t>PZ/801237</t>
  </si>
  <si>
    <t>15884.2</t>
  </si>
  <si>
    <t>FV/M/4810/P/23</t>
  </si>
  <si>
    <t>PZ/801238</t>
  </si>
  <si>
    <t>12054.58</t>
  </si>
  <si>
    <t>FV/M/1437/P/23</t>
  </si>
  <si>
    <t>PZ/801239</t>
  </si>
  <si>
    <t>10043.13</t>
  </si>
  <si>
    <t>FV/4608/NOVA/23</t>
  </si>
  <si>
    <t>PZ/801240</t>
  </si>
  <si>
    <t>23824.7</t>
  </si>
  <si>
    <t>FV/M/7593/P/23</t>
  </si>
  <si>
    <t>PZ/801241</t>
  </si>
  <si>
    <t>19437.59</t>
  </si>
  <si>
    <t>FV/29659/VDb/2023</t>
  </si>
  <si>
    <t>PZ/801242</t>
  </si>
  <si>
    <t>14790.83</t>
  </si>
  <si>
    <t>FV/8991/NOVA/23</t>
  </si>
  <si>
    <t>PZ/801243</t>
  </si>
  <si>
    <t>12524.62</t>
  </si>
  <si>
    <t>FV/42197/VDb/2023</t>
  </si>
  <si>
    <t>PZ/801244</t>
  </si>
  <si>
    <t>15777.36</t>
  </si>
  <si>
    <t>FV/4805/NOVA/23</t>
  </si>
  <si>
    <t>PZ/801245</t>
  </si>
  <si>
    <t>3959.45</t>
  </si>
  <si>
    <t>FV/41356/VDb/2023</t>
  </si>
  <si>
    <t>PZ/801246</t>
  </si>
  <si>
    <t>1366.7</t>
  </si>
  <si>
    <t>FV/4259/NOVA/23</t>
  </si>
  <si>
    <t>PZ/801247</t>
  </si>
  <si>
    <t>23088.3</t>
  </si>
  <si>
    <t>FV/4080HM/23</t>
  </si>
  <si>
    <t>PZ/801248</t>
  </si>
  <si>
    <t>8013.69</t>
  </si>
  <si>
    <t>FV/14/PP/7773/23</t>
  </si>
  <si>
    <t>PZ/801249</t>
  </si>
  <si>
    <t>16101.4</t>
  </si>
  <si>
    <t>FV/7134HM/23</t>
  </si>
  <si>
    <t>PZ/801250</t>
  </si>
  <si>
    <t>11196.95</t>
  </si>
  <si>
    <t>FV/29/PP/3443/23</t>
  </si>
  <si>
    <t>PZ/801251</t>
  </si>
  <si>
    <t>22317.83</t>
  </si>
  <si>
    <t>FV/CENFA/804917/23</t>
  </si>
  <si>
    <t>PZ/801252</t>
  </si>
  <si>
    <t>14304.39</t>
  </si>
  <si>
    <t>FV/23339/VDb/2023</t>
  </si>
  <si>
    <t>PZ/801253</t>
  </si>
  <si>
    <t>18597.98</t>
  </si>
  <si>
    <t>FV/M/1720/P/23</t>
  </si>
  <si>
    <t>PZ/801254</t>
  </si>
  <si>
    <t>14441.68</t>
  </si>
  <si>
    <t>FV/81/PP/7444/23</t>
  </si>
  <si>
    <t>PZ/801255</t>
  </si>
  <si>
    <t>19650.19</t>
  </si>
  <si>
    <t>FV/CENFA/384678/23</t>
  </si>
  <si>
    <t>PZ/801256</t>
  </si>
  <si>
    <t>9888.38</t>
  </si>
  <si>
    <t>FV/CENFA/114831/23</t>
  </si>
  <si>
    <t>PZ/801257</t>
  </si>
  <si>
    <t>9633.4</t>
  </si>
  <si>
    <t>FV/54271/VDb/2023</t>
  </si>
  <si>
    <t>PZ/801258</t>
  </si>
  <si>
    <t>15068.84</t>
  </si>
  <si>
    <t>FV/11/PP/4944/23</t>
  </si>
  <si>
    <t>PZ/801259</t>
  </si>
  <si>
    <t>17278.28</t>
  </si>
  <si>
    <t>FV/16/SAL/23</t>
  </si>
  <si>
    <t>PZ/801260</t>
  </si>
  <si>
    <t>16231.59</t>
  </si>
  <si>
    <t>FV/46/PP/1979/23</t>
  </si>
  <si>
    <t>PZ/801261</t>
  </si>
  <si>
    <t>11053.37</t>
  </si>
  <si>
    <t>FV/90/PP/8040/23</t>
  </si>
  <si>
    <t>PZ/801262</t>
  </si>
  <si>
    <t>7141.96</t>
  </si>
  <si>
    <t>FV/POL/63434/2023</t>
  </si>
  <si>
    <t>PZ/801263</t>
  </si>
  <si>
    <t>21507.95</t>
  </si>
  <si>
    <t>FV/3384/NOVA/23</t>
  </si>
  <si>
    <t>PZ/801264</t>
  </si>
  <si>
    <t>12663.29</t>
  </si>
  <si>
    <t>FV/63498/VDb/2023</t>
  </si>
  <si>
    <t>PZ/801265</t>
  </si>
  <si>
    <t>10847.42</t>
  </si>
  <si>
    <t>FV/62503/VDb/2023</t>
  </si>
  <si>
    <t>PZ/801266</t>
  </si>
  <si>
    <t>11354.43</t>
  </si>
  <si>
    <t>FV/2193HM/23</t>
  </si>
  <si>
    <t>PZ/801267</t>
  </si>
  <si>
    <t>18468.11</t>
  </si>
  <si>
    <t>FV/31/PP/4071/23</t>
  </si>
  <si>
    <t>PZ/801268</t>
  </si>
  <si>
    <t>10776.95</t>
  </si>
  <si>
    <t>FV/CENFA/214292/23</t>
  </si>
  <si>
    <t>PZ/801269</t>
  </si>
  <si>
    <t>11966.41</t>
  </si>
  <si>
    <t>FV/M/4015/P/23</t>
  </si>
  <si>
    <t>PZ/801270</t>
  </si>
  <si>
    <t>19899.2</t>
  </si>
  <si>
    <t>FV/CENFA/362378/23</t>
  </si>
  <si>
    <t>PZ/801271</t>
  </si>
  <si>
    <t>21949.14</t>
  </si>
  <si>
    <t>FV/29720/VDb/2023</t>
  </si>
  <si>
    <t>PZ/801272</t>
  </si>
  <si>
    <t>-668.68</t>
  </si>
  <si>
    <t>FV/POL/99180/2023</t>
  </si>
  <si>
    <t>PZ/801273</t>
  </si>
  <si>
    <t>14667.24</t>
  </si>
  <si>
    <t>FV/9456/NOVA/23</t>
  </si>
  <si>
    <t>PZ/801274</t>
  </si>
  <si>
    <t>22326.59</t>
  </si>
  <si>
    <t>FV/13323/VDb/2023</t>
  </si>
  <si>
    <t>PZ/801275</t>
  </si>
  <si>
    <t>14572.82</t>
  </si>
  <si>
    <t>FV/43/SAL/23</t>
  </si>
  <si>
    <t>PZ/801276</t>
  </si>
  <si>
    <t>15354.91</t>
  </si>
  <si>
    <t>FV/99017/VDb/2023</t>
  </si>
  <si>
    <t>PZ/801277</t>
  </si>
  <si>
    <t>24220.25</t>
  </si>
  <si>
    <t>FV/7250HM/23</t>
  </si>
  <si>
    <t>PZ/801278</t>
  </si>
  <si>
    <t>20699.36</t>
  </si>
  <si>
    <t>FV/39/SAL/23</t>
  </si>
  <si>
    <t>PZ/801279</t>
  </si>
  <si>
    <t>-1622.51</t>
  </si>
  <si>
    <t>FV/66/SAL/23</t>
  </si>
  <si>
    <t>PZ/801280</t>
  </si>
  <si>
    <t>16298.06</t>
  </si>
  <si>
    <t>FV/M/4831/P/23</t>
  </si>
  <si>
    <t>PZ/801281</t>
  </si>
  <si>
    <t>19230.59</t>
  </si>
  <si>
    <t>FV/98/PP/9607/23</t>
  </si>
  <si>
    <t>PZ/801282</t>
  </si>
  <si>
    <t>11570.68</t>
  </si>
  <si>
    <t>FV/CENFA/638065/23</t>
  </si>
  <si>
    <t>PZ/801283</t>
  </si>
  <si>
    <t>17758.4</t>
  </si>
  <si>
    <t>FV/POL/38679/2023</t>
  </si>
  <si>
    <t>PZ/801284</t>
  </si>
  <si>
    <t>20893.44</t>
  </si>
  <si>
    <t>FV/POL/27700/2023</t>
  </si>
  <si>
    <t>PZ/801285</t>
  </si>
  <si>
    <t>21752.55</t>
  </si>
  <si>
    <t>FV/2357/NOVA/23</t>
  </si>
  <si>
    <t>PZ/801286</t>
  </si>
  <si>
    <t>23697.39</t>
  </si>
  <si>
    <t>FV/CENFA/373935/23</t>
  </si>
  <si>
    <t>PZ/801287</t>
  </si>
  <si>
    <t>-1909.94</t>
  </si>
  <si>
    <t>FV/POL/51509/2023</t>
  </si>
  <si>
    <t>PZ/801288</t>
  </si>
  <si>
    <t>15630.82</t>
  </si>
  <si>
    <t>FV/94/PP/1076/23</t>
  </si>
  <si>
    <t>PZ/801289</t>
  </si>
  <si>
    <t>11149.49</t>
  </si>
  <si>
    <t>FV/34/PP/3895/23</t>
  </si>
  <si>
    <t>PZ/801290</t>
  </si>
  <si>
    <t>24384.64</t>
  </si>
  <si>
    <t>FV/3101/NOVA/23</t>
  </si>
  <si>
    <t>PZ/801291</t>
  </si>
  <si>
    <t>14736.41</t>
  </si>
  <si>
    <t>FV/53528/VDb/2023</t>
  </si>
  <si>
    <t>PZ/801292</t>
  </si>
  <si>
    <t>10254.59</t>
  </si>
  <si>
    <t>FV/3501HM/23</t>
  </si>
  <si>
    <t>PZ/801293</t>
  </si>
  <si>
    <t>10614.73</t>
  </si>
  <si>
    <t>FV/7607HM/23</t>
  </si>
  <si>
    <t>PZ/801294</t>
  </si>
  <si>
    <t>10718.84</t>
  </si>
  <si>
    <t>FV/52349/VDb/2023</t>
  </si>
  <si>
    <t>PZ/801295</t>
  </si>
  <si>
    <t>15011.35</t>
  </si>
  <si>
    <t>FV/CENFA/843816/23</t>
  </si>
  <si>
    <t>PZ/801296</t>
  </si>
  <si>
    <t>16131.09</t>
  </si>
  <si>
    <t>FV/8816/NOVA/23</t>
  </si>
  <si>
    <t>PZ/801297</t>
  </si>
  <si>
    <t>13787.72</t>
  </si>
  <si>
    <t>FV/3375/NOVA/23</t>
  </si>
  <si>
    <t>PZ/801298</t>
  </si>
  <si>
    <t>15359.85</t>
  </si>
  <si>
    <t>FV/14/SAL/23</t>
  </si>
  <si>
    <t>PZ/801299</t>
  </si>
  <si>
    <t>27631.02</t>
  </si>
  <si>
    <t>FV/CENFA/259290/23</t>
  </si>
  <si>
    <t>PZ/801300</t>
  </si>
  <si>
    <t>11938.52</t>
  </si>
  <si>
    <t>FV/43/PP/6667/23</t>
  </si>
  <si>
    <t>PZ/801301</t>
  </si>
  <si>
    <t>16665.19</t>
  </si>
  <si>
    <t>FV/POL/13468/2023</t>
  </si>
  <si>
    <t>PZ/801302</t>
  </si>
  <si>
    <t>19049.53</t>
  </si>
  <si>
    <t>FV/6752/NOVA/23</t>
  </si>
  <si>
    <t>PZ/801303</t>
  </si>
  <si>
    <t>11988.24</t>
  </si>
  <si>
    <t>FV/POL/23008/2023</t>
  </si>
  <si>
    <t>PZ/801304</t>
  </si>
  <si>
    <t>17206.48</t>
  </si>
  <si>
    <t>PZ/801305</t>
  </si>
  <si>
    <t>17559.35</t>
  </si>
  <si>
    <t>FV/53/SAL/23</t>
  </si>
  <si>
    <t>PZ/801306</t>
  </si>
  <si>
    <t>10367.03</t>
  </si>
  <si>
    <t>FV/M/1088/P/23</t>
  </si>
  <si>
    <t>PZ/801307</t>
  </si>
  <si>
    <t>23302.24</t>
  </si>
  <si>
    <t>FV/49165/VDb/2023</t>
  </si>
  <si>
    <t>PZ/801308</t>
  </si>
  <si>
    <t>-2149.42</t>
  </si>
  <si>
    <t>FV/CENFA/410751/23</t>
  </si>
  <si>
    <t>PZ/801309</t>
  </si>
  <si>
    <t>14834.29</t>
  </si>
  <si>
    <t>FV/91/SAL/23</t>
  </si>
  <si>
    <t>PZ/801310</t>
  </si>
  <si>
    <t>13218.76</t>
  </si>
  <si>
    <t>PZ/801311</t>
  </si>
  <si>
    <t>11869.64</t>
  </si>
  <si>
    <t>FV/50/PP/7383/23</t>
  </si>
  <si>
    <t>PZ/801312</t>
  </si>
  <si>
    <t>22704.25</t>
  </si>
  <si>
    <t>FV/8012/NOVA/23</t>
  </si>
  <si>
    <t>PZ/801313</t>
  </si>
  <si>
    <t>20527.39</t>
  </si>
  <si>
    <t>FV/POL/90365/2023</t>
  </si>
  <si>
    <t>PZ/801314</t>
  </si>
  <si>
    <t>10628.56</t>
  </si>
  <si>
    <t>FV/8957HM/23</t>
  </si>
  <si>
    <t>PZ/801315</t>
  </si>
  <si>
    <t>17863.23</t>
  </si>
  <si>
    <t>FV/2085HM/23</t>
  </si>
  <si>
    <t>PZ/801316</t>
  </si>
  <si>
    <t>9662.56</t>
  </si>
  <si>
    <t>FV/POL/39177/2023</t>
  </si>
  <si>
    <t>PZ/801317</t>
  </si>
  <si>
    <t>27266.54</t>
  </si>
  <si>
    <t>FV/9549HM/23</t>
  </si>
  <si>
    <t>PZ/801318</t>
  </si>
  <si>
    <t>11153.41</t>
  </si>
  <si>
    <t>FV/38/PP/8509/23</t>
  </si>
  <si>
    <t>PZ/801319</t>
  </si>
  <si>
    <t>13420.19</t>
  </si>
  <si>
    <t>FV/CENFA/588046/23</t>
  </si>
  <si>
    <t>PZ/801320</t>
  </si>
  <si>
    <t>19470.57</t>
  </si>
  <si>
    <t>FV/CENFA/308609/23</t>
  </si>
  <si>
    <t>PZ/801321</t>
  </si>
  <si>
    <t>15601.75</t>
  </si>
  <si>
    <t>FV/M/6946/P/23</t>
  </si>
  <si>
    <t>PZ/801322</t>
  </si>
  <si>
    <t>17469.36</t>
  </si>
  <si>
    <t>FV/POL/58558/2023</t>
  </si>
  <si>
    <t>PZ/801323</t>
  </si>
  <si>
    <t>24510.24</t>
  </si>
  <si>
    <t>FV/1101HM/23</t>
  </si>
  <si>
    <t>PZ/801324</t>
  </si>
  <si>
    <t>20209.55</t>
  </si>
  <si>
    <t>FV/95/SAL/23</t>
  </si>
  <si>
    <t>PZ/801325</t>
  </si>
  <si>
    <t>18531.16</t>
  </si>
  <si>
    <t>FV/M/4738/P/23</t>
  </si>
  <si>
    <t>PZ/801326</t>
  </si>
  <si>
    <t>16085.38</t>
  </si>
  <si>
    <t>FV/CENFA/764915/23</t>
  </si>
  <si>
    <t>PZ/801327</t>
  </si>
  <si>
    <t>18529.92</t>
  </si>
  <si>
    <t>FV/M/7413/P/23</t>
  </si>
  <si>
    <t>PZ/801328</t>
  </si>
  <si>
    <t>6296.06</t>
  </si>
  <si>
    <t>FV/67/PP/7654/23</t>
  </si>
  <si>
    <t>PZ/801329</t>
  </si>
  <si>
    <t>23132.99</t>
  </si>
  <si>
    <t>FV/5778/NOVA/23</t>
  </si>
  <si>
    <t>PZ/801330</t>
  </si>
  <si>
    <t>16993.41</t>
  </si>
  <si>
    <t>FV/32616/VDb/2023</t>
  </si>
  <si>
    <t>PZ/801331</t>
  </si>
  <si>
    <t>23146.18</t>
  </si>
  <si>
    <t>FV/M/1698/P/23</t>
  </si>
  <si>
    <t>PZ/801332</t>
  </si>
  <si>
    <t>19903.61</t>
  </si>
  <si>
    <t>FV/72/PP/3462/23</t>
  </si>
  <si>
    <t>PZ/801333</t>
  </si>
  <si>
    <t>17577.8</t>
  </si>
  <si>
    <t>FV/34498/VDb/2023</t>
  </si>
  <si>
    <t>PZ/801334</t>
  </si>
  <si>
    <t>9391.01</t>
  </si>
  <si>
    <t>PZ/801335</t>
  </si>
  <si>
    <t>12216.45</t>
  </si>
  <si>
    <t>FV/7162HM/23</t>
  </si>
  <si>
    <t>PZ/801336</t>
  </si>
  <si>
    <t>11093.74</t>
  </si>
  <si>
    <t>FV/CENFA/128952/23</t>
  </si>
  <si>
    <t>PZ/801337</t>
  </si>
  <si>
    <t>8093.68</t>
  </si>
  <si>
    <t>FV/6057HM/23</t>
  </si>
  <si>
    <t>PZ/801338</t>
  </si>
  <si>
    <t>18505.73</t>
  </si>
  <si>
    <t>FV/61/SAL/23</t>
  </si>
  <si>
    <t>PZ/801339</t>
  </si>
  <si>
    <t>14459.56</t>
  </si>
  <si>
    <t>FV/POL/86843/2023</t>
  </si>
  <si>
    <t>PZ/801340</t>
  </si>
  <si>
    <t>14440.72</t>
  </si>
  <si>
    <t>FV/POL/37469/2023</t>
  </si>
  <si>
    <t>PZ/801341</t>
  </si>
  <si>
    <t>5066.85</t>
  </si>
  <si>
    <t>FV/90/PP/7468/23</t>
  </si>
  <si>
    <t>PZ/801342</t>
  </si>
  <si>
    <t>18916.84</t>
  </si>
  <si>
    <t>FV/POL/74491/2023</t>
  </si>
  <si>
    <t>PZ/801343</t>
  </si>
  <si>
    <t>14104.27</t>
  </si>
  <si>
    <t>FV/73/PP/3986/23</t>
  </si>
  <si>
    <t>PZ/801344</t>
  </si>
  <si>
    <t>16522.16</t>
  </si>
  <si>
    <t>FV/9163HM/23</t>
  </si>
  <si>
    <t>PZ/801345</t>
  </si>
  <si>
    <t>17739.83</t>
  </si>
  <si>
    <t>FV/65304/VDb/2023</t>
  </si>
  <si>
    <t>PZ/801346</t>
  </si>
  <si>
    <t>14782.61</t>
  </si>
  <si>
    <t>FV/79/SAL/23</t>
  </si>
  <si>
    <t>PZ/801347</t>
  </si>
  <si>
    <t>13374.08</t>
  </si>
  <si>
    <t>FV/CENFA/753142/23</t>
  </si>
  <si>
    <t>PZ/801348</t>
  </si>
  <si>
    <t>13356.37</t>
  </si>
  <si>
    <t>FV/6685/NOVA/23</t>
  </si>
  <si>
    <t>PZ/801349</t>
  </si>
  <si>
    <t>9440.77</t>
  </si>
  <si>
    <t>FV/5026HM/23</t>
  </si>
  <si>
    <t>PZ/801350</t>
  </si>
  <si>
    <t>9616.08</t>
  </si>
  <si>
    <t>PZ/801351</t>
  </si>
  <si>
    <t>19224.95</t>
  </si>
  <si>
    <t>FV/POL/84417/2023</t>
  </si>
  <si>
    <t>PZ/801352</t>
  </si>
  <si>
    <t>16558.27</t>
  </si>
  <si>
    <t>FV/CENFA/906368/23</t>
  </si>
  <si>
    <t>PZ/801353</t>
  </si>
  <si>
    <t>7859.17</t>
  </si>
  <si>
    <t>FV/POL/23574/2023</t>
  </si>
  <si>
    <t>PZ/801354</t>
  </si>
  <si>
    <t>12672.29</t>
  </si>
  <si>
    <t>FV/CENFA/478667/23</t>
  </si>
  <si>
    <t>PZ/801355</t>
  </si>
  <si>
    <t>14532.07</t>
  </si>
  <si>
    <t>FV/CENFA/938261/23</t>
  </si>
  <si>
    <t>PZ/801356</t>
  </si>
  <si>
    <t>22097.63</t>
  </si>
  <si>
    <t>FV/M/7601/P/23</t>
  </si>
  <si>
    <t>PZ/801357</t>
  </si>
  <si>
    <t>15770.37</t>
  </si>
  <si>
    <t>FV/24157/VDb/2023</t>
  </si>
  <si>
    <t>PZ/801358</t>
  </si>
  <si>
    <t>21558.64</t>
  </si>
  <si>
    <t>FV/10713/VDb/2023</t>
  </si>
  <si>
    <t>PZ/801359</t>
  </si>
  <si>
    <t>11578.09</t>
  </si>
  <si>
    <t>FV/25312/VDb/2023</t>
  </si>
  <si>
    <t>PZ/801360</t>
  </si>
  <si>
    <t>23848.45</t>
  </si>
  <si>
    <t>FV/69127/VDb/2023</t>
  </si>
  <si>
    <t>PZ/801361</t>
  </si>
  <si>
    <t>21792.91</t>
  </si>
  <si>
    <t>FV/8484HM/23</t>
  </si>
  <si>
    <t>PZ/801362</t>
  </si>
  <si>
    <t>20583.55</t>
  </si>
  <si>
    <t>FV/POL/56457/2023</t>
  </si>
  <si>
    <t>PZ/801363</t>
  </si>
  <si>
    <t>7429.0</t>
  </si>
  <si>
    <t>FV/4235HM/23</t>
  </si>
  <si>
    <t>PZ/801364</t>
  </si>
  <si>
    <t>15376.56</t>
  </si>
  <si>
    <t>FV/9285/NOVA/23</t>
  </si>
  <si>
    <t>PZ/801365</t>
  </si>
  <si>
    <t>17394.89</t>
  </si>
  <si>
    <t>FV/POL/37487/2023</t>
  </si>
  <si>
    <t>PZ/801366</t>
  </si>
  <si>
    <t>11758.28</t>
  </si>
  <si>
    <t>FV/35/PP/5456/23</t>
  </si>
  <si>
    <t>PZ/801367</t>
  </si>
  <si>
    <t>9241.95</t>
  </si>
  <si>
    <t>FV/88/PP/5961/23</t>
  </si>
  <si>
    <t>PZ/801368</t>
  </si>
  <si>
    <t>20636.73</t>
  </si>
  <si>
    <t>FV/POL/90416/2023</t>
  </si>
  <si>
    <t>PZ/801369</t>
  </si>
  <si>
    <t>11307.44</t>
  </si>
  <si>
    <t>FV/56/PP/9090/23</t>
  </si>
  <si>
    <t>PZ/801370</t>
  </si>
  <si>
    <t>14947.4</t>
  </si>
  <si>
    <t>FV/26918/VDb/2023</t>
  </si>
  <si>
    <t>PZ/801371</t>
  </si>
  <si>
    <t>18935.38</t>
  </si>
  <si>
    <t>FV/96/PP/7479/23</t>
  </si>
  <si>
    <t>PZ/801372</t>
  </si>
  <si>
    <t>11389.49</t>
  </si>
  <si>
    <t>FV/2681HM/23</t>
  </si>
  <si>
    <t>PZ/801373</t>
  </si>
  <si>
    <t>12471.31</t>
  </si>
  <si>
    <t>FV/11/SAL/23</t>
  </si>
  <si>
    <t>PZ/801374</t>
  </si>
  <si>
    <t>18140.37</t>
  </si>
  <si>
    <t>FV/CENFA/430827/23</t>
  </si>
  <si>
    <t>PZ/801375</t>
  </si>
  <si>
    <t>22526.31</t>
  </si>
  <si>
    <t>FV/M/7094/P/23</t>
  </si>
  <si>
    <t>PZ/801376</t>
  </si>
  <si>
    <t>9409.14</t>
  </si>
  <si>
    <t>FV/M/4123/P/23</t>
  </si>
  <si>
    <t>PZ/801377</t>
  </si>
  <si>
    <t>15111.1</t>
  </si>
  <si>
    <t>FV/CENFA/776466/23</t>
  </si>
  <si>
    <t>PZ/801378</t>
  </si>
  <si>
    <t>12771.01</t>
  </si>
  <si>
    <t>FV/CENFA/671721/23</t>
  </si>
  <si>
    <t>PZ/801379</t>
  </si>
  <si>
    <t>19095.11</t>
  </si>
  <si>
    <t>FV/12/PP/5698/23</t>
  </si>
  <si>
    <t>PZ/801380</t>
  </si>
  <si>
    <t>8037.41</t>
  </si>
  <si>
    <t>FV/M/1959/P/23</t>
  </si>
  <si>
    <t>PZ/801381</t>
  </si>
  <si>
    <t>17775.4</t>
  </si>
  <si>
    <t>FV/88/SAL/23</t>
  </si>
  <si>
    <t>PZ/801382</t>
  </si>
  <si>
    <t>16537.2</t>
  </si>
  <si>
    <t>FV/2819/NOVA/23</t>
  </si>
  <si>
    <t>PZ/801383</t>
  </si>
  <si>
    <t>8843.81</t>
  </si>
  <si>
    <t>FV/CENFA/719162/23</t>
  </si>
  <si>
    <t>PZ/801384</t>
  </si>
  <si>
    <t>7437.05</t>
  </si>
  <si>
    <t>FV/CENFA/743396/23</t>
  </si>
  <si>
    <t>PZ/801385</t>
  </si>
  <si>
    <t>18509.07</t>
  </si>
  <si>
    <t>FV/86/PP/4436/23</t>
  </si>
  <si>
    <t>PZ/801386</t>
  </si>
  <si>
    <t>20125.65</t>
  </si>
  <si>
    <t>FV/1340HM/23</t>
  </si>
  <si>
    <t>PZ/801387</t>
  </si>
  <si>
    <t>16702.96</t>
  </si>
  <si>
    <t>FV/POL/33306/2023</t>
  </si>
  <si>
    <t>PZ/801388</t>
  </si>
  <si>
    <t>11723.5</t>
  </si>
  <si>
    <t>FV/55/SAL/23</t>
  </si>
  <si>
    <t>PZ/801389</t>
  </si>
  <si>
    <t>5609.33</t>
  </si>
  <si>
    <t>FV/M/9016/P/23</t>
  </si>
  <si>
    <t>PZ/801390</t>
  </si>
  <si>
    <t>13539.88</t>
  </si>
  <si>
    <t>FV/POL/51928/2023</t>
  </si>
  <si>
    <t>PZ/801391</t>
  </si>
  <si>
    <t>18161.95</t>
  </si>
  <si>
    <t>FV/CENFA/659189/23</t>
  </si>
  <si>
    <t>PZ/801392</t>
  </si>
  <si>
    <t>15512.17</t>
  </si>
  <si>
    <t>FV/60528/VDb/2023</t>
  </si>
  <si>
    <t>PZ/801393</t>
  </si>
  <si>
    <t>21741.41</t>
  </si>
  <si>
    <t>FV/M/9930/P/23</t>
  </si>
  <si>
    <t>PZ/801394</t>
  </si>
  <si>
    <t>15268.59</t>
  </si>
  <si>
    <t>FV/4231/NOVA/23</t>
  </si>
  <si>
    <t>PZ/801395</t>
  </si>
  <si>
    <t>13816.24</t>
  </si>
  <si>
    <t>FV/43/PP/6728/23</t>
  </si>
  <si>
    <t>PZ/801396</t>
  </si>
  <si>
    <t>19382.37</t>
  </si>
  <si>
    <t>FV/M/8262/P/23</t>
  </si>
  <si>
    <t>PZ/801397</t>
  </si>
  <si>
    <t>8038.69</t>
  </si>
  <si>
    <t>FV/7380HM/23</t>
  </si>
  <si>
    <t>PZ/801398</t>
  </si>
  <si>
    <t>10733.12</t>
  </si>
  <si>
    <t>FV/CENFA/406931/23</t>
  </si>
  <si>
    <t>PZ/801399</t>
  </si>
  <si>
    <t>10709.46</t>
  </si>
  <si>
    <t>FV/CENFA/446042/23</t>
  </si>
  <si>
    <t>PZ/801400</t>
  </si>
  <si>
    <t>16293.89</t>
  </si>
  <si>
    <t>FV/POL/38250/2023</t>
  </si>
  <si>
    <t>PZ/801401</t>
  </si>
  <si>
    <t>13270.94</t>
  </si>
  <si>
    <t>FV/87/SAL/23</t>
  </si>
  <si>
    <t>PZ/801402</t>
  </si>
  <si>
    <t>14800.72</t>
  </si>
  <si>
    <t>FV/52418/VDb/2023</t>
  </si>
  <si>
    <t>PZ/801403</t>
  </si>
  <si>
    <t>15574.2</t>
  </si>
  <si>
    <t>FV/96790/VDb/2023</t>
  </si>
  <si>
    <t>PZ/801404</t>
  </si>
  <si>
    <t>5816.41</t>
  </si>
  <si>
    <t>FV/CENFA/563409/23</t>
  </si>
  <si>
    <t>PZ/801405</t>
  </si>
  <si>
    <t>10169.81</t>
  </si>
  <si>
    <t>FV/54432/VDb/2023</t>
  </si>
  <si>
    <t>PZ/801406</t>
  </si>
  <si>
    <t>8076.03</t>
  </si>
  <si>
    <t>FV/88/PP/4699/23</t>
  </si>
  <si>
    <t>PZ/801407</t>
  </si>
  <si>
    <t>15040.07</t>
  </si>
  <si>
    <t>FV/84/SAL/23</t>
  </si>
  <si>
    <t>PZ/801408</t>
  </si>
  <si>
    <t>8938.44</t>
  </si>
  <si>
    <t>FV/CENFA/590320/23</t>
  </si>
  <si>
    <t>PZ/801409</t>
  </si>
  <si>
    <t>25419.79</t>
  </si>
  <si>
    <t>FV/M/5181/P/23</t>
  </si>
  <si>
    <t>PZ/801410</t>
  </si>
  <si>
    <t>14442.2</t>
  </si>
  <si>
    <t>FV/2040HM/23</t>
  </si>
  <si>
    <t>PZ/801411</t>
  </si>
  <si>
    <t>16417.13</t>
  </si>
  <si>
    <t>FV/39582/VDb/2023</t>
  </si>
  <si>
    <t>PZ/801412</t>
  </si>
  <si>
    <t>13796.74</t>
  </si>
  <si>
    <t>FV/4149HM/23</t>
  </si>
  <si>
    <t>PZ/801413</t>
  </si>
  <si>
    <t>14198.3</t>
  </si>
  <si>
    <t>FV/41/SAL/23</t>
  </si>
  <si>
    <t>PZ/801414</t>
  </si>
  <si>
    <t>14936.07</t>
  </si>
  <si>
    <t>FV/M/9501/P/23</t>
  </si>
  <si>
    <t>PZ/801415</t>
  </si>
  <si>
    <t>14349.33</t>
  </si>
  <si>
    <t>FV/POL/49266/2023</t>
  </si>
  <si>
    <t>PZ/801416</t>
  </si>
  <si>
    <t>23357.66</t>
  </si>
  <si>
    <t>FV/7130/NOVA/23</t>
  </si>
  <si>
    <t>PZ/801417</t>
  </si>
  <si>
    <t>7826.9</t>
  </si>
  <si>
    <t>FV/CENFA/869480/23</t>
  </si>
  <si>
    <t>PZ/801418</t>
  </si>
  <si>
    <t>13637.39</t>
  </si>
  <si>
    <t>FV/32/SAL/23</t>
  </si>
  <si>
    <t>PZ/801419</t>
  </si>
  <si>
    <t>11641.47</t>
  </si>
  <si>
    <t>FV/40/PP/9830/23</t>
  </si>
  <si>
    <t>PZ/801420</t>
  </si>
  <si>
    <t>18208.3</t>
  </si>
  <si>
    <t>FV/98261/VDb/2023</t>
  </si>
  <si>
    <t>PZ/801421</t>
  </si>
  <si>
    <t>19924.36</t>
  </si>
  <si>
    <t>FV/POL/66254/2023</t>
  </si>
  <si>
    <t>PZ/801422</t>
  </si>
  <si>
    <t>13618.12</t>
  </si>
  <si>
    <t>PZ/801423</t>
  </si>
  <si>
    <t>17195.63</t>
  </si>
  <si>
    <t>FV/CENFA/713175/23</t>
  </si>
  <si>
    <t>PZ/801424</t>
  </si>
  <si>
    <t>14486.73</t>
  </si>
  <si>
    <t>FV/2634/NOVA/23</t>
  </si>
  <si>
    <t>PZ/801425</t>
  </si>
  <si>
    <t>21762.51</t>
  </si>
  <si>
    <t>FV/73/PP/2892/23</t>
  </si>
  <si>
    <t>PZ/801426</t>
  </si>
  <si>
    <t>19605.64</t>
  </si>
  <si>
    <t>FV/4161HM/23</t>
  </si>
  <si>
    <t>PZ/801427</t>
  </si>
  <si>
    <t>9820.93</t>
  </si>
  <si>
    <t>FV/POL/51565/2023</t>
  </si>
  <si>
    <t>PZ/801428</t>
  </si>
  <si>
    <t>11357.52</t>
  </si>
  <si>
    <t>FV/7333HM/23</t>
  </si>
  <si>
    <t>PZ/801429</t>
  </si>
  <si>
    <t>10919.88</t>
  </si>
  <si>
    <t>FV/63/SAL/23</t>
  </si>
  <si>
    <t>PZ/801430</t>
  </si>
  <si>
    <t>13348.65</t>
  </si>
  <si>
    <t>FV/CENFA/223575/23</t>
  </si>
  <si>
    <t>PZ/801431</t>
  </si>
  <si>
    <t>15294.36</t>
  </si>
  <si>
    <t>FV/M/2844/P/23</t>
  </si>
  <si>
    <t>PZ/801432</t>
  </si>
  <si>
    <t>11386.27</t>
  </si>
  <si>
    <t>FV/POL/59647/2023</t>
  </si>
  <si>
    <t>PZ/801433</t>
  </si>
  <si>
    <t>-2146.76</t>
  </si>
  <si>
    <t>FV/POL/71168/2023</t>
  </si>
  <si>
    <t>PZ/801434</t>
  </si>
  <si>
    <t>14683.73</t>
  </si>
  <si>
    <t>FV/27/SAL/23</t>
  </si>
  <si>
    <t>PZ/801435</t>
  </si>
  <si>
    <t>11370.34</t>
  </si>
  <si>
    <t>FV/CENFA/226139/23</t>
  </si>
  <si>
    <t>PZ/801436</t>
  </si>
  <si>
    <t>7820.13</t>
  </si>
  <si>
    <t>FV/POL/85220/2023</t>
  </si>
  <si>
    <t>PZ/801437</t>
  </si>
  <si>
    <t>16728.49</t>
  </si>
  <si>
    <t>FV/POL/54576/2023</t>
  </si>
  <si>
    <t>PZ/801438</t>
  </si>
  <si>
    <t>21927.03</t>
  </si>
  <si>
    <t>FV/M/2002/P/23</t>
  </si>
  <si>
    <t>PZ/801439</t>
  </si>
  <si>
    <t>17788.88</t>
  </si>
  <si>
    <t>PZ/801440</t>
  </si>
  <si>
    <t>15360.77</t>
  </si>
  <si>
    <t>FV/POL/91948/2023</t>
  </si>
  <si>
    <t>PZ/801441</t>
  </si>
  <si>
    <t>20080.25</t>
  </si>
  <si>
    <t>FV/3877HM/23</t>
  </si>
  <si>
    <t>PZ/801442</t>
  </si>
  <si>
    <t>18140.47</t>
  </si>
  <si>
    <t>FV/CENFA/292841/23</t>
  </si>
  <si>
    <t>PZ/801443</t>
  </si>
  <si>
    <t>12163.44</t>
  </si>
  <si>
    <t>FV/5541HM/23</t>
  </si>
  <si>
    <t>PZ/801444</t>
  </si>
  <si>
    <t>10700.75</t>
  </si>
  <si>
    <t>FV/72/SAL/23</t>
  </si>
  <si>
    <t>PZ/801445</t>
  </si>
  <si>
    <t>14808.56</t>
  </si>
  <si>
    <t>FV/CENFA/703859/23</t>
  </si>
  <si>
    <t>PZ/801446</t>
  </si>
  <si>
    <t>16889.24</t>
  </si>
  <si>
    <t>PZ/801447</t>
  </si>
  <si>
    <t>16081.84</t>
  </si>
  <si>
    <t>FV/POL/39206/2023</t>
  </si>
  <si>
    <t>PZ/801448</t>
  </si>
  <si>
    <t>9348.7</t>
  </si>
  <si>
    <t>FV/9693/NOVA/23</t>
  </si>
  <si>
    <t>PZ/801449</t>
  </si>
  <si>
    <t>14799.34</t>
  </si>
  <si>
    <t>FV/CENFA/635475/23</t>
  </si>
  <si>
    <t>PZ/801450</t>
  </si>
  <si>
    <t>15573.17</t>
  </si>
  <si>
    <t>PZ/801451</t>
  </si>
  <si>
    <t>22495.45</t>
  </si>
  <si>
    <t>FV/84/PP/6376/23</t>
  </si>
  <si>
    <t>PZ/801452</t>
  </si>
  <si>
    <t>19337.0</t>
  </si>
  <si>
    <t>FV/15191/VDb/2023</t>
  </si>
  <si>
    <t>PZ/801453</t>
  </si>
  <si>
    <t>18056.48</t>
  </si>
  <si>
    <t>FV/CENFA/494604/23</t>
  </si>
  <si>
    <t>PZ/801454</t>
  </si>
  <si>
    <t>12183.44</t>
  </si>
  <si>
    <t>FV/4153/NOVA/23</t>
  </si>
  <si>
    <t>PZ/801455</t>
  </si>
  <si>
    <t>11604.11</t>
  </si>
  <si>
    <t>FV/14/PP/9153/23</t>
  </si>
  <si>
    <t>PZ/801456</t>
  </si>
  <si>
    <t>16773.38</t>
  </si>
  <si>
    <t>FV/28075/VDb/2023</t>
  </si>
  <si>
    <t>PZ/801457</t>
  </si>
  <si>
    <t>7090.82</t>
  </si>
  <si>
    <t>FV/14/PP/2613/23</t>
  </si>
  <si>
    <t>PZ/801458</t>
  </si>
  <si>
    <t>14461.7</t>
  </si>
  <si>
    <t>FV/8825HM/23</t>
  </si>
  <si>
    <t>PZ/801459</t>
  </si>
  <si>
    <t>9276.92</t>
  </si>
  <si>
    <t>FV/77/PP/9746/23</t>
  </si>
  <si>
    <t>PZ/801460</t>
  </si>
  <si>
    <t>7694.11</t>
  </si>
  <si>
    <t>PZ/801461</t>
  </si>
  <si>
    <t>17096.45</t>
  </si>
  <si>
    <t>FV/POL/33274/2023</t>
  </si>
  <si>
    <t>PZ/801462</t>
  </si>
  <si>
    <t>14690.58</t>
  </si>
  <si>
    <t>FV/47/SAL/23</t>
  </si>
  <si>
    <t>PZ/801463</t>
  </si>
  <si>
    <t>7617.43</t>
  </si>
  <si>
    <t>FV/78/SAL/23</t>
  </si>
  <si>
    <t>PZ/801464</t>
  </si>
  <si>
    <t>7698.08</t>
  </si>
  <si>
    <t>FV/POL/99005/2023</t>
  </si>
  <si>
    <t>PZ/801465</t>
  </si>
  <si>
    <t>15484.69</t>
  </si>
  <si>
    <t>FV/5193HM/23</t>
  </si>
  <si>
    <t>PZ/801466</t>
  </si>
  <si>
    <t>9170.33</t>
  </si>
  <si>
    <t>FV/CENFA/248352/23</t>
  </si>
  <si>
    <t>PZ/801467</t>
  </si>
  <si>
    <t>9115.08</t>
  </si>
  <si>
    <t>FV/11/PP/4451/23</t>
  </si>
  <si>
    <t>PZ/801468</t>
  </si>
  <si>
    <t>11692.84</t>
  </si>
  <si>
    <t>FV/29/SAL/23</t>
  </si>
  <si>
    <t>PZ/801469</t>
  </si>
  <si>
    <t>3556.88</t>
  </si>
  <si>
    <t>PZ/801470</t>
  </si>
  <si>
    <t>21912.16</t>
  </si>
  <si>
    <t>FV/5659/NOVA/23</t>
  </si>
  <si>
    <t>PZ/801471</t>
  </si>
  <si>
    <t>19491.0</t>
  </si>
  <si>
    <t>FV/7279HM/23</t>
  </si>
  <si>
    <t>PZ/801472</t>
  </si>
  <si>
    <t>2775.14</t>
  </si>
  <si>
    <t>FV/4449/NOVA/23</t>
  </si>
  <si>
    <t>PZ/801473</t>
  </si>
  <si>
    <t>17720.27</t>
  </si>
  <si>
    <t>FV/POL/15366/2023</t>
  </si>
  <si>
    <t>PZ/801474</t>
  </si>
  <si>
    <t>16909.81</t>
  </si>
  <si>
    <t>FV/8400/NOVA/23</t>
  </si>
  <si>
    <t>PZ/801475</t>
  </si>
  <si>
    <t>17428.86</t>
  </si>
  <si>
    <t>FV/CENFA/468331/23</t>
  </si>
  <si>
    <t>PZ/801476</t>
  </si>
  <si>
    <t>6658.77</t>
  </si>
  <si>
    <t>FV/18/PP/6385/23</t>
  </si>
  <si>
    <t>PZ/801477</t>
  </si>
  <si>
    <t>14236.06</t>
  </si>
  <si>
    <t>PZ/801478</t>
  </si>
  <si>
    <t>13746.15</t>
  </si>
  <si>
    <t>FV/82/SAL/23</t>
  </si>
  <si>
    <t>PZ/801479</t>
  </si>
  <si>
    <t>24768.68</t>
  </si>
  <si>
    <t>FV/7652/NOVA/23</t>
  </si>
  <si>
    <t>PZ/801480</t>
  </si>
  <si>
    <t>17366.28</t>
  </si>
  <si>
    <t>PZ/801481</t>
  </si>
  <si>
    <t>15261.63</t>
  </si>
  <si>
    <t>FV/POL/21853/2023</t>
  </si>
  <si>
    <t>PZ/801482</t>
  </si>
  <si>
    <t>23221.68</t>
  </si>
  <si>
    <t>FV/92/SAL/23</t>
  </si>
  <si>
    <t>PZ/801483</t>
  </si>
  <si>
    <t>-1212.4</t>
  </si>
  <si>
    <t>FV/41/PP/7492/23</t>
  </si>
  <si>
    <t>PZ/801484</t>
  </si>
  <si>
    <t>8673.6</t>
  </si>
  <si>
    <t>FV/CENFA/968928/23</t>
  </si>
  <si>
    <t>PZ/801485</t>
  </si>
  <si>
    <t>17684.39</t>
  </si>
  <si>
    <t>FV/74/SAL/23</t>
  </si>
  <si>
    <t>PZ/801486</t>
  </si>
  <si>
    <t>10484.76</t>
  </si>
  <si>
    <t>FV/3478/NOVA/23</t>
  </si>
  <si>
    <t>PZ/801487</t>
  </si>
  <si>
    <t>16189.14</t>
  </si>
  <si>
    <t>PZ/801488</t>
  </si>
  <si>
    <t>24802.61</t>
  </si>
  <si>
    <t>FV/49/SAL/23</t>
  </si>
  <si>
    <t>PZ/801489</t>
  </si>
  <si>
    <t>16910.47</t>
  </si>
  <si>
    <t>FV/2572/NOVA/23</t>
  </si>
  <si>
    <t>PZ/801490</t>
  </si>
  <si>
    <t>13996.73</t>
  </si>
  <si>
    <t>FV/CENFA/706497/23</t>
  </si>
  <si>
    <t>PZ/801491</t>
  </si>
  <si>
    <t>-1424.91</t>
  </si>
  <si>
    <t>FV/POL/28970/2023</t>
  </si>
  <si>
    <t>PZ/801492</t>
  </si>
  <si>
    <t>15388.39</t>
  </si>
  <si>
    <t>FV/CENFA/288465/23</t>
  </si>
  <si>
    <t>PZ/801493</t>
  </si>
  <si>
    <t>25245.28</t>
  </si>
  <si>
    <t>FV/52/SAL/23</t>
  </si>
  <si>
    <t>PZ/801494</t>
  </si>
  <si>
    <t>11651.36</t>
  </si>
  <si>
    <t>PZ/801495</t>
  </si>
  <si>
    <t>18937.07</t>
  </si>
  <si>
    <t>FV/CENFA/150179/23</t>
  </si>
  <si>
    <t>PZ/801496</t>
  </si>
  <si>
    <t>10414.36</t>
  </si>
  <si>
    <t>PZ/801497</t>
  </si>
  <si>
    <t>13329.38</t>
  </si>
  <si>
    <t>PZ/801498</t>
  </si>
  <si>
    <t>19320.3</t>
  </si>
  <si>
    <t>FV/4549/NOVA/23</t>
  </si>
  <si>
    <t>PZ/801499</t>
  </si>
  <si>
    <t>13628.91</t>
  </si>
  <si>
    <t>FV/95/PP/4790/23</t>
  </si>
  <si>
    <t>PZ/801500</t>
  </si>
  <si>
    <t>16737.32</t>
  </si>
  <si>
    <t>FV/43/PP/8594/23</t>
  </si>
  <si>
    <t>PZ/801501</t>
  </si>
  <si>
    <t>15538.94</t>
  </si>
  <si>
    <t>FV/M/3789/P/23</t>
  </si>
  <si>
    <t>PZ/801502</t>
  </si>
  <si>
    <t>20071.79</t>
  </si>
  <si>
    <t>FV/6354/NOVA/23</t>
  </si>
  <si>
    <t>PZ/801503</t>
  </si>
  <si>
    <t>11387.59</t>
  </si>
  <si>
    <t>FV/POL/36510/2023</t>
  </si>
  <si>
    <t>PZ/801504</t>
  </si>
  <si>
    <t>15338.0</t>
  </si>
  <si>
    <t>FV/6012/NOVA/23</t>
  </si>
  <si>
    <t>PZ/801505</t>
  </si>
  <si>
    <t>14533.36</t>
  </si>
  <si>
    <t>PZ/801506</t>
  </si>
  <si>
    <t>11176.24</t>
  </si>
  <si>
    <t>FV/3651/NOVA/23</t>
  </si>
  <si>
    <t>PZ/801507</t>
  </si>
  <si>
    <t>18492.51</t>
  </si>
  <si>
    <t>FV/M/1111/P/23</t>
  </si>
  <si>
    <t>PZ/801508</t>
  </si>
  <si>
    <t>152.0</t>
  </si>
  <si>
    <t>FV/90/SAL/23</t>
  </si>
  <si>
    <t>PZ/801509</t>
  </si>
  <si>
    <t>9664.91</t>
  </si>
  <si>
    <t>FV/CENFA/293528/23</t>
  </si>
  <si>
    <t>PZ/801510</t>
  </si>
  <si>
    <t>15748.8</t>
  </si>
  <si>
    <t>FV/99153/VDb/2023</t>
  </si>
  <si>
    <t>PZ/801511</t>
  </si>
  <si>
    <t>10039.98</t>
  </si>
  <si>
    <t>FV/46/PP/7054/23</t>
  </si>
  <si>
    <t>PZ/801512</t>
  </si>
  <si>
    <t>13875.51</t>
  </si>
  <si>
    <t>FV/13110/VDb/2023</t>
  </si>
  <si>
    <t>PZ/801513</t>
  </si>
  <si>
    <t>9451.13</t>
  </si>
  <si>
    <t>FV/1262/NOVA/23</t>
  </si>
  <si>
    <t>PZ/801514</t>
  </si>
  <si>
    <t>18882.18</t>
  </si>
  <si>
    <t>FV/81675/VDb/2023</t>
  </si>
  <si>
    <t>PZ/801515</t>
  </si>
  <si>
    <t>6306.71</t>
  </si>
  <si>
    <t>FV/20136/VDb/2023</t>
  </si>
  <si>
    <t>PZ/801516</t>
  </si>
  <si>
    <t>17060.7</t>
  </si>
  <si>
    <t>FV/CENFA/675196/23</t>
  </si>
  <si>
    <t>PZ/801517</t>
  </si>
  <si>
    <t>14105.72</t>
  </si>
  <si>
    <t>FV/CENFA/625904/23</t>
  </si>
  <si>
    <t>PZ/801518</t>
  </si>
  <si>
    <t>8192.71</t>
  </si>
  <si>
    <t>FV/CENFA/634610/23</t>
  </si>
  <si>
    <t>PZ/801519</t>
  </si>
  <si>
    <t>15334.87</t>
  </si>
  <si>
    <t>FV/CENFA/229966/23</t>
  </si>
  <si>
    <t>PZ/801520</t>
  </si>
  <si>
    <t>9280.16</t>
  </si>
  <si>
    <t>PZ/801521</t>
  </si>
  <si>
    <t>22703.53</t>
  </si>
  <si>
    <t>FV/M/3165/P/23</t>
  </si>
  <si>
    <t>PZ/801522</t>
  </si>
  <si>
    <t>20986.08</t>
  </si>
  <si>
    <t>FV/8876HM/23</t>
  </si>
  <si>
    <t>PZ/801523</t>
  </si>
  <si>
    <t>15145.9</t>
  </si>
  <si>
    <t>FV/M/3025/P/23</t>
  </si>
  <si>
    <t>PZ/801524</t>
  </si>
  <si>
    <t>16525.96</t>
  </si>
  <si>
    <t>FV/CENFA/167592/23</t>
  </si>
  <si>
    <t>PZ/801525</t>
  </si>
  <si>
    <t>18351.47</t>
  </si>
  <si>
    <t>FV/6031HM/23</t>
  </si>
  <si>
    <t>PZ/801526</t>
  </si>
  <si>
    <t>17415.31</t>
  </si>
  <si>
    <t>PZ/801527</t>
  </si>
  <si>
    <t>17556.34</t>
  </si>
  <si>
    <t>PZ/801528</t>
  </si>
  <si>
    <t>8736.89</t>
  </si>
  <si>
    <t>FV/CENFA/411100/23</t>
  </si>
  <si>
    <t>PZ/801529</t>
  </si>
  <si>
    <t>26704.77</t>
  </si>
  <si>
    <t>PZ/801530</t>
  </si>
  <si>
    <t>4920.14</t>
  </si>
  <si>
    <t>FV/POL/89420/2023</t>
  </si>
  <si>
    <t>PZ/801531</t>
  </si>
  <si>
    <t>12548.2</t>
  </si>
  <si>
    <t>FV/M/8925/P/23</t>
  </si>
  <si>
    <t>PZ/801532</t>
  </si>
  <si>
    <t>16293.11</t>
  </si>
  <si>
    <t>PZ/801533</t>
  </si>
  <si>
    <t>-1336.24</t>
  </si>
  <si>
    <t>FV/74851/VDb/2023</t>
  </si>
  <si>
    <t>PZ/801534</t>
  </si>
  <si>
    <t>22632.74</t>
  </si>
  <si>
    <t>FV/CENFA/799780/23</t>
  </si>
  <si>
    <t>PZ/801535</t>
  </si>
  <si>
    <t>12419.35</t>
  </si>
  <si>
    <t>FV/5935HM/23</t>
  </si>
  <si>
    <t>PZ/801536</t>
  </si>
  <si>
    <t>27566.13</t>
  </si>
  <si>
    <t>FV/CENFA/924445/23</t>
  </si>
  <si>
    <t>PZ/801537</t>
  </si>
  <si>
    <t>10145.43</t>
  </si>
  <si>
    <t>FV/88047/VDb/2023</t>
  </si>
  <si>
    <t>PZ/801538</t>
  </si>
  <si>
    <t>22359.84</t>
  </si>
  <si>
    <t>FV/POL/40612/2023</t>
  </si>
  <si>
    <t>PZ/801539</t>
  </si>
  <si>
    <t>15958.16</t>
  </si>
  <si>
    <t>FV/1587HM/23</t>
  </si>
  <si>
    <t>PZ/801540</t>
  </si>
  <si>
    <t>4802.39</t>
  </si>
  <si>
    <t>FV/M/1402/P/23</t>
  </si>
  <si>
    <t>PZ/801541</t>
  </si>
  <si>
    <t>9003.1</t>
  </si>
  <si>
    <t>FV/36680/VDb/2023</t>
  </si>
  <si>
    <t>PZ/801542</t>
  </si>
  <si>
    <t>14828.35</t>
  </si>
  <si>
    <t>PZ/801543</t>
  </si>
  <si>
    <t>20093.73</t>
  </si>
  <si>
    <t>FV/CENFA/680290/23</t>
  </si>
  <si>
    <t>PZ/801544</t>
  </si>
  <si>
    <t>10478.13</t>
  </si>
  <si>
    <t>FV/95734/VDb/2023</t>
  </si>
  <si>
    <t>PZ/801545</t>
  </si>
  <si>
    <t>16345.52</t>
  </si>
  <si>
    <t>FV/POL/20352/2023</t>
  </si>
  <si>
    <t>PZ/801546</t>
  </si>
  <si>
    <t>12987.6</t>
  </si>
  <si>
    <t>FV/5860/NOVA/23</t>
  </si>
  <si>
    <t>PZ/801547</t>
  </si>
  <si>
    <t>11230.53</t>
  </si>
  <si>
    <t>FV/CENFA/984189/23</t>
  </si>
  <si>
    <t>PZ/801548</t>
  </si>
  <si>
    <t>13079.7</t>
  </si>
  <si>
    <t>PZ/801549</t>
  </si>
  <si>
    <t>15113.43</t>
  </si>
  <si>
    <t>FV/POL/50783/2023</t>
  </si>
  <si>
    <t>PZ/801550</t>
  </si>
  <si>
    <t>17496.2</t>
  </si>
  <si>
    <t>FV/8718/NOVA/23</t>
  </si>
  <si>
    <t>PZ/801551</t>
  </si>
  <si>
    <t>13762.05</t>
  </si>
  <si>
    <t>FV/61/PP/6286/23</t>
  </si>
  <si>
    <t>PZ/801552</t>
  </si>
  <si>
    <t>21687.18</t>
  </si>
  <si>
    <t>FV/1145/NOVA/23</t>
  </si>
  <si>
    <t>PZ/801553</t>
  </si>
  <si>
    <t>16215.6</t>
  </si>
  <si>
    <t>FV/7921/NOVA/23</t>
  </si>
  <si>
    <t>PZ/801554</t>
  </si>
  <si>
    <t>13102.82</t>
  </si>
  <si>
    <t>FV/POL/13373/2023</t>
  </si>
  <si>
    <t>PZ/801555</t>
  </si>
  <si>
    <t>16941.33</t>
  </si>
  <si>
    <t>PZ/801556</t>
  </si>
  <si>
    <t>22745.54</t>
  </si>
  <si>
    <t>PZ/801557</t>
  </si>
  <si>
    <t>12800.94</t>
  </si>
  <si>
    <t>FV/POL/13219/2023</t>
  </si>
  <si>
    <t>PZ/801558</t>
  </si>
  <si>
    <t>8160.1</t>
  </si>
  <si>
    <t>FV/M/4104/P/23</t>
  </si>
  <si>
    <t>PZ/801559</t>
  </si>
  <si>
    <t>17745.21</t>
  </si>
  <si>
    <t>FV/POL/89169/2023</t>
  </si>
  <si>
    <t>PZ/801560</t>
  </si>
  <si>
    <t>26948.26</t>
  </si>
  <si>
    <t>FV/2739HM/23</t>
  </si>
  <si>
    <t>PZ/801561</t>
  </si>
  <si>
    <t>19033.24</t>
  </si>
  <si>
    <t>FV/POL/29743/2023</t>
  </si>
  <si>
    <t>PZ/801562</t>
  </si>
  <si>
    <t>15337.51</t>
  </si>
  <si>
    <t>FV/46/PP/8507/23</t>
  </si>
  <si>
    <t>PZ/801563</t>
  </si>
  <si>
    <t>7785.9</t>
  </si>
  <si>
    <t>FV/POL/79369/2023</t>
  </si>
  <si>
    <t>PZ/801564</t>
  </si>
  <si>
    <t>20001.79</t>
  </si>
  <si>
    <t>FV/6779/NOVA/23</t>
  </si>
  <si>
    <t>PZ/801565</t>
  </si>
  <si>
    <t>9040.1</t>
  </si>
  <si>
    <t>PZ/801566</t>
  </si>
  <si>
    <t>21476.49</t>
  </si>
  <si>
    <t>FV/POL/89186/2023</t>
  </si>
  <si>
    <t>PZ/801567</t>
  </si>
  <si>
    <t>9898.65</t>
  </si>
  <si>
    <t>FV/3036/NOVA/23</t>
  </si>
  <si>
    <t>PZ/801568</t>
  </si>
  <si>
    <t>6354.05</t>
  </si>
  <si>
    <t>FV/2596HM/23</t>
  </si>
  <si>
    <t>PZ/801569</t>
  </si>
  <si>
    <t>15179.65</t>
  </si>
  <si>
    <t>FV/7324/NOVA/23</t>
  </si>
  <si>
    <t>PZ/801570</t>
  </si>
  <si>
    <t>7013.52</t>
  </si>
  <si>
    <t>FV/17/PP/4474/23</t>
  </si>
  <si>
    <t>PZ/801571</t>
  </si>
  <si>
    <t>11991.83</t>
  </si>
  <si>
    <t>FV/POL/80710/2023</t>
  </si>
  <si>
    <t>PZ/801572</t>
  </si>
  <si>
    <t>22071.79</t>
  </si>
  <si>
    <t>FV/3794HM/23</t>
  </si>
  <si>
    <t>PZ/801573</t>
  </si>
  <si>
    <t>17001.94</t>
  </si>
  <si>
    <t>FV/72509/VDb/2023</t>
  </si>
  <si>
    <t>PZ/801574</t>
  </si>
  <si>
    <t>15307.45</t>
  </si>
  <si>
    <t>FV/69/PP/7746/23</t>
  </si>
  <si>
    <t>PZ/801575</t>
  </si>
  <si>
    <t>14565.76</t>
  </si>
  <si>
    <t>PZ/801576</t>
  </si>
  <si>
    <t>18625.13</t>
  </si>
  <si>
    <t>FV/CENFA/162205/23</t>
  </si>
  <si>
    <t>PZ/801577</t>
  </si>
  <si>
    <t>26800.36</t>
  </si>
  <si>
    <t>FV/M/1378/P/23</t>
  </si>
  <si>
    <t>PZ/801578</t>
  </si>
  <si>
    <t>18480.21</t>
  </si>
  <si>
    <t>FV/4937HM/23</t>
  </si>
  <si>
    <t>PZ/801579</t>
  </si>
  <si>
    <t>25120.05</t>
  </si>
  <si>
    <t>FV/9103/NOVA/23</t>
  </si>
  <si>
    <t>PZ/801580</t>
  </si>
  <si>
    <t>11736.94</t>
  </si>
  <si>
    <t>FV/M/7711/P/23</t>
  </si>
  <si>
    <t>PZ/801581</t>
  </si>
  <si>
    <t>21229.4</t>
  </si>
  <si>
    <t>FV/3510/NOVA/23</t>
  </si>
  <si>
    <t>PZ/801582</t>
  </si>
  <si>
    <t>16554.89</t>
  </si>
  <si>
    <t>PZ/801583</t>
  </si>
  <si>
    <t>15382.54</t>
  </si>
  <si>
    <t>FV/97/PP/1156/23</t>
  </si>
  <si>
    <t>PZ/801584</t>
  </si>
  <si>
    <t>16458.41</t>
  </si>
  <si>
    <t>FV/14062/VDb/2023</t>
  </si>
  <si>
    <t>PZ/801585</t>
  </si>
  <si>
    <t>9797.33</t>
  </si>
  <si>
    <t>FV/3883HM/23</t>
  </si>
  <si>
    <t>PZ/801586</t>
  </si>
  <si>
    <t>13472.63</t>
  </si>
  <si>
    <t>FV/M/4711/P/23</t>
  </si>
  <si>
    <t>PZ/801587</t>
  </si>
  <si>
    <t>10345.94</t>
  </si>
  <si>
    <t>FV/15735/VDb/2023</t>
  </si>
  <si>
    <t>PZ/801588</t>
  </si>
  <si>
    <t>13485.6</t>
  </si>
  <si>
    <t>FV/81/PP/6866/23</t>
  </si>
  <si>
    <t>PZ/801589</t>
  </si>
  <si>
    <t>24829.79</t>
  </si>
  <si>
    <t>FV/5812/NOVA/23</t>
  </si>
  <si>
    <t>PZ/801590</t>
  </si>
  <si>
    <t>13772.85</t>
  </si>
  <si>
    <t>FV/37893/VDb/2023</t>
  </si>
  <si>
    <t>PZ/801591</t>
  </si>
  <si>
    <t>13343.99</t>
  </si>
  <si>
    <t>FV/3319/NOVA/23</t>
  </si>
  <si>
    <t>PZ/801592</t>
  </si>
  <si>
    <t>11936.62</t>
  </si>
  <si>
    <t>FV/M/2144/P/23</t>
  </si>
  <si>
    <t>PZ/801593</t>
  </si>
  <si>
    <t>15339.18</t>
  </si>
  <si>
    <t>FV/M/9842/P/23</t>
  </si>
  <si>
    <t>PZ/801594</t>
  </si>
  <si>
    <t>20452.62</t>
  </si>
  <si>
    <t>FV/3831/NOVA/23</t>
  </si>
  <si>
    <t>PZ/801595</t>
  </si>
  <si>
    <t>17308.32</t>
  </si>
  <si>
    <t>FV/19979/VDb/2023</t>
  </si>
  <si>
    <t>PZ/801596</t>
  </si>
  <si>
    <t>10171.63</t>
  </si>
  <si>
    <t>FV/20/PP/8359/23</t>
  </si>
  <si>
    <t>PZ/801597</t>
  </si>
  <si>
    <t>14095.43</t>
  </si>
  <si>
    <t>FV/CENFA/346587/23</t>
  </si>
  <si>
    <t>PZ/801598</t>
  </si>
  <si>
    <t>24261.24</t>
  </si>
  <si>
    <t>FV/POL/66360/2023</t>
  </si>
  <si>
    <t>PZ/801599</t>
  </si>
  <si>
    <t>9882.63</t>
  </si>
  <si>
    <t>FV/19639/VDb/2023</t>
  </si>
  <si>
    <t>PZ/801600</t>
  </si>
  <si>
    <t>21152.07</t>
  </si>
  <si>
    <t>FV/6145/NOVA/23</t>
  </si>
  <si>
    <t>PZ/801601</t>
  </si>
  <si>
    <t>11904.27</t>
  </si>
  <si>
    <t>FV/CENFA/884024/23</t>
  </si>
  <si>
    <t>PZ/801602</t>
  </si>
  <si>
    <t>19087.05</t>
  </si>
  <si>
    <t>FV/83/PP/2655/23</t>
  </si>
  <si>
    <t>PZ/801603</t>
  </si>
  <si>
    <t>19491.22</t>
  </si>
  <si>
    <t>FV/10/PP/8943/23</t>
  </si>
  <si>
    <t>PZ/801604</t>
  </si>
  <si>
    <t>23674.62</t>
  </si>
  <si>
    <t>FV/M/6932/P/23</t>
  </si>
  <si>
    <t>PZ/801605</t>
  </si>
  <si>
    <t>11259.24</t>
  </si>
  <si>
    <t>FV/CENFA/317518/23</t>
  </si>
  <si>
    <t>PZ/801606</t>
  </si>
  <si>
    <t>17231.27</t>
  </si>
  <si>
    <t>FV/9947HM/23</t>
  </si>
  <si>
    <t>PZ/801607</t>
  </si>
  <si>
    <t>19223.56</t>
  </si>
  <si>
    <t>FV/CENFA/156333/23</t>
  </si>
  <si>
    <t>PZ/801608</t>
  </si>
  <si>
    <t>20452.66</t>
  </si>
  <si>
    <t>FV/2227HM/23</t>
  </si>
  <si>
    <t>PZ/801609</t>
  </si>
  <si>
    <t>15631.11</t>
  </si>
  <si>
    <t>FV/7037/NOVA/23</t>
  </si>
  <si>
    <t>PZ/801610</t>
  </si>
  <si>
    <t>3510.11</t>
  </si>
  <si>
    <t>FV/98/SAL/23</t>
  </si>
  <si>
    <t>PZ/801611</t>
  </si>
  <si>
    <t>21929.49</t>
  </si>
  <si>
    <t>FV/48966/VDb/2023</t>
  </si>
  <si>
    <t>PZ/801612</t>
  </si>
  <si>
    <t>16097.84</t>
  </si>
  <si>
    <t>FV/83/SAL/23</t>
  </si>
  <si>
    <t>PZ/801613</t>
  </si>
  <si>
    <t>11050.39</t>
  </si>
  <si>
    <t>FV/59/PP/7378/23</t>
  </si>
  <si>
    <t>PZ/801614</t>
  </si>
  <si>
    <t>4007.3</t>
  </si>
  <si>
    <t>FV/POL/80276/2023</t>
  </si>
  <si>
    <t>PZ/801615</t>
  </si>
  <si>
    <t>17845.03</t>
  </si>
  <si>
    <t>FV/1556/NOVA/23</t>
  </si>
  <si>
    <t>PZ/801616</t>
  </si>
  <si>
    <t>17460.43</t>
  </si>
  <si>
    <t>FV/2131HM/23</t>
  </si>
  <si>
    <t>PZ/801617</t>
  </si>
  <si>
    <t>20781.17</t>
  </si>
  <si>
    <t>FV/CENFA/910384/23</t>
  </si>
  <si>
    <t>PZ/801618</t>
  </si>
  <si>
    <t>19543.7</t>
  </si>
  <si>
    <t>FV/CENFA/506994/23</t>
  </si>
  <si>
    <t>PZ/801619</t>
  </si>
  <si>
    <t>15244.67</t>
  </si>
  <si>
    <t>FV/CENFA/524783/23</t>
  </si>
  <si>
    <t>PZ/801620</t>
  </si>
  <si>
    <t>12365.47</t>
  </si>
  <si>
    <t>PZ/801621</t>
  </si>
  <si>
    <t>21849.19</t>
  </si>
  <si>
    <t>FV/CENFA/295371/23</t>
  </si>
  <si>
    <t>PZ/801622</t>
  </si>
  <si>
    <t>11093.84</t>
  </si>
  <si>
    <t>FV/71526/VDb/2023</t>
  </si>
  <si>
    <t>PZ/801623</t>
  </si>
  <si>
    <t>20240.32</t>
  </si>
  <si>
    <t>FV/POL/88739/2023</t>
  </si>
  <si>
    <t>PZ/801624</t>
  </si>
  <si>
    <t>10839.57</t>
  </si>
  <si>
    <t>FV/6863HM/23</t>
  </si>
  <si>
    <t>PZ/801625</t>
  </si>
  <si>
    <t>7090.72</t>
  </si>
  <si>
    <t>FV/8468HM/23</t>
  </si>
  <si>
    <t>PZ/801626</t>
  </si>
  <si>
    <t>25269.9</t>
  </si>
  <si>
    <t>FV/3919/NOVA/23</t>
  </si>
  <si>
    <t>PZ/801627</t>
  </si>
  <si>
    <t>18363.33</t>
  </si>
  <si>
    <t>FV/M/6780/P/23</t>
  </si>
  <si>
    <t>PZ/801628</t>
  </si>
  <si>
    <t>2213.77</t>
  </si>
  <si>
    <t>FV/86/SAL/23</t>
  </si>
  <si>
    <t>PZ/801629</t>
  </si>
  <si>
    <t>19258.27</t>
  </si>
  <si>
    <t>FV/8242/NOVA/23</t>
  </si>
  <si>
    <t>PZ/801630</t>
  </si>
  <si>
    <t>12582.21</t>
  </si>
  <si>
    <t>FV/CENFA/911638/23</t>
  </si>
  <si>
    <t>PZ/801631</t>
  </si>
  <si>
    <t>9334.75</t>
  </si>
  <si>
    <t>FV/POL/55215/2023</t>
  </si>
  <si>
    <t>PZ/801632</t>
  </si>
  <si>
    <t>-2844.78</t>
  </si>
  <si>
    <t>FV/5435/NOVA/23</t>
  </si>
  <si>
    <t>PZ/801633</t>
  </si>
  <si>
    <t>14092.18</t>
  </si>
  <si>
    <t>FV/M/4240/P/23</t>
  </si>
  <si>
    <t>PZ/801634</t>
  </si>
  <si>
    <t>18224.11</t>
  </si>
  <si>
    <t>FV/34/SAL/23</t>
  </si>
  <si>
    <t>PZ/801635</t>
  </si>
  <si>
    <t>9662.68</t>
  </si>
  <si>
    <t>FV/41855/VDb/2023</t>
  </si>
  <si>
    <t>PZ/801636</t>
  </si>
  <si>
    <t>15540.29</t>
  </si>
  <si>
    <t>FV/4299/NOVA/23</t>
  </si>
  <si>
    <t>PZ/801637</t>
  </si>
  <si>
    <t>11664.93</t>
  </si>
  <si>
    <t>FV/M/4247/P/23</t>
  </si>
  <si>
    <t>PZ/801638</t>
  </si>
  <si>
    <t>20051.87</t>
  </si>
  <si>
    <t>FV/POL/93093/2023</t>
  </si>
  <si>
    <t>PZ/801639</t>
  </si>
  <si>
    <t>13488.38</t>
  </si>
  <si>
    <t>PZ/801640</t>
  </si>
  <si>
    <t>20387.86</t>
  </si>
  <si>
    <t>FV/POL/65429/2023</t>
  </si>
  <si>
    <t>PZ/801641</t>
  </si>
  <si>
    <t>18794.91</t>
  </si>
  <si>
    <t>FV/1169/NOVA/23</t>
  </si>
  <si>
    <t>PZ/801642</t>
  </si>
  <si>
    <t>13125.39</t>
  </si>
  <si>
    <t>FV/POL/22061/2023</t>
  </si>
  <si>
    <t>PZ/801643</t>
  </si>
  <si>
    <t>22989.47</t>
  </si>
  <si>
    <t>FV/3856HM/23</t>
  </si>
  <si>
    <t>PZ/801644</t>
  </si>
  <si>
    <t>14251.07</t>
  </si>
  <si>
    <t>FV/8515HM/23</t>
  </si>
  <si>
    <t>PZ/801645</t>
  </si>
  <si>
    <t>10014.99</t>
  </si>
  <si>
    <t>FV/CENFA/307784/23</t>
  </si>
  <si>
    <t>PZ/801646</t>
  </si>
  <si>
    <t>21567.38</t>
  </si>
  <si>
    <t>FV/48003/VDb/2023</t>
  </si>
  <si>
    <t>PZ/801647</t>
  </si>
  <si>
    <t>7638.45</t>
  </si>
  <si>
    <t>FV/POL/82955/2023</t>
  </si>
  <si>
    <t>PZ/801648</t>
  </si>
  <si>
    <t>15652.27</t>
  </si>
  <si>
    <t>FV/99/SAL/23</t>
  </si>
  <si>
    <t>PZ/801649</t>
  </si>
  <si>
    <t>7004.43</t>
  </si>
  <si>
    <t>FV/2543/NOVA/23</t>
  </si>
  <si>
    <t>PZ/801650</t>
  </si>
  <si>
    <t>9938.49</t>
  </si>
  <si>
    <t>FV/9707/NOVA/23</t>
  </si>
  <si>
    <t>PZ/801651</t>
  </si>
  <si>
    <t>16002.3</t>
  </si>
  <si>
    <t>FV/M/5509/P/23</t>
  </si>
  <si>
    <t>PZ/801652</t>
  </si>
  <si>
    <t>10730.39</t>
  </si>
  <si>
    <t>FV/16/PP/9761/23</t>
  </si>
  <si>
    <t>PZ/801653</t>
  </si>
  <si>
    <t>12600.49</t>
  </si>
  <si>
    <t>FV/POL/18494/2023</t>
  </si>
  <si>
    <t>PZ/801654</t>
  </si>
  <si>
    <t>12175.82</t>
  </si>
  <si>
    <t>FV/73/SAL/23</t>
  </si>
  <si>
    <t>PZ/801655</t>
  </si>
  <si>
    <t>14169.26</t>
  </si>
  <si>
    <t>FV/26/PP/7708/23</t>
  </si>
  <si>
    <t>PZ/801656</t>
  </si>
  <si>
    <t>21687.27</t>
  </si>
  <si>
    <t>FV/74/PP/3967/23</t>
  </si>
  <si>
    <t>PZ/801657</t>
  </si>
  <si>
    <t>14989.83</t>
  </si>
  <si>
    <t>FV/CENFA/196173/23</t>
  </si>
  <si>
    <t>PZ/801658</t>
  </si>
  <si>
    <t>15319.06</t>
  </si>
  <si>
    <t>FV/POL/56255/2023</t>
  </si>
  <si>
    <t>PZ/801659</t>
  </si>
  <si>
    <t>17125.11</t>
  </si>
  <si>
    <t>FV/91/PP/7727/23</t>
  </si>
  <si>
    <t>PZ/801660</t>
  </si>
  <si>
    <t>11569.05</t>
  </si>
  <si>
    <t>FV/1214/NOVA/23</t>
  </si>
  <si>
    <t>PZ/801661</t>
  </si>
  <si>
    <t>9083.42</t>
  </si>
  <si>
    <t>FV/CENFA/857841/23</t>
  </si>
  <si>
    <t>PZ/801662</t>
  </si>
  <si>
    <t>16339.85</t>
  </si>
  <si>
    <t>PZ/801663</t>
  </si>
  <si>
    <t>10374.33</t>
  </si>
  <si>
    <t>FV/1023/NOVA/23</t>
  </si>
  <si>
    <t>PZ/801664</t>
  </si>
  <si>
    <t>9235.45</t>
  </si>
  <si>
    <t>FV/77/PP/7966/23</t>
  </si>
  <si>
    <t>PZ/801665</t>
  </si>
  <si>
    <t>-1345.36</t>
  </si>
  <si>
    <t>FV/POL/94041/2023</t>
  </si>
  <si>
    <t>PZ/801666</t>
  </si>
  <si>
    <t>21043.88</t>
  </si>
  <si>
    <t>FV/M/1461/P/23</t>
  </si>
  <si>
    <t>PZ/801667</t>
  </si>
  <si>
    <t>17483.88</t>
  </si>
  <si>
    <t>FV/CENFA/799744/23</t>
  </si>
  <si>
    <t>PZ/801668</t>
  </si>
  <si>
    <t>7596.57</t>
  </si>
  <si>
    <t>FV/95120/VDb/2023</t>
  </si>
  <si>
    <t>PZ/801669</t>
  </si>
  <si>
    <t>15495.31</t>
  </si>
  <si>
    <t>FV/84/PP/1931/23</t>
  </si>
  <si>
    <t>PZ/801670</t>
  </si>
  <si>
    <t>18412.73</t>
  </si>
  <si>
    <t>FV/5108/NOVA/23</t>
  </si>
  <si>
    <t>PZ/801671</t>
  </si>
  <si>
    <t>20546.5</t>
  </si>
  <si>
    <t>FV/4928HM/23</t>
  </si>
  <si>
    <t>PZ/801672</t>
  </si>
  <si>
    <t>14447.2</t>
  </si>
  <si>
    <t>FV/9070HM/23</t>
  </si>
  <si>
    <t>PZ/801673</t>
  </si>
  <si>
    <t>8400.76</t>
  </si>
  <si>
    <t>FV/55/PP/8653/23</t>
  </si>
  <si>
    <t>PZ/801674</t>
  </si>
  <si>
    <t>17811.0</t>
  </si>
  <si>
    <t>FV/17336/VDb/2023</t>
  </si>
  <si>
    <t>PZ/801675</t>
  </si>
  <si>
    <t>20029.33</t>
  </si>
  <si>
    <t>FV/6490HM/23</t>
  </si>
  <si>
    <t>PZ/801676</t>
  </si>
  <si>
    <t>10889.14</t>
  </si>
  <si>
    <t>FV/CENFA/174856/23</t>
  </si>
  <si>
    <t>PZ/801677</t>
  </si>
  <si>
    <t>17491.27</t>
  </si>
  <si>
    <t>FV/M/3210/P/23</t>
  </si>
  <si>
    <t>PZ/801678</t>
  </si>
  <si>
    <t>17338.42</t>
  </si>
  <si>
    <t>FV/M/5139/P/23</t>
  </si>
  <si>
    <t>PZ/801679</t>
  </si>
  <si>
    <t>16884.48</t>
  </si>
  <si>
    <t>FV/2489HM/23</t>
  </si>
  <si>
    <t>PZ/801680</t>
  </si>
  <si>
    <t>9486.26</t>
  </si>
  <si>
    <t>FV/7208HM/23</t>
  </si>
  <si>
    <t>PZ/801681</t>
  </si>
  <si>
    <t>8051.24</t>
  </si>
  <si>
    <t>FV/14/PP/7368/23</t>
  </si>
  <si>
    <t>PZ/801682</t>
  </si>
  <si>
    <t>17057.91</t>
  </si>
  <si>
    <t>FV/5759/NOVA/23</t>
  </si>
  <si>
    <t>PZ/801683</t>
  </si>
  <si>
    <t>15555.17</t>
  </si>
  <si>
    <t>FV/POL/51983/2023</t>
  </si>
  <si>
    <t>PZ/801684</t>
  </si>
  <si>
    <t>10876.47</t>
  </si>
  <si>
    <t>FV/46063/VDb/2023</t>
  </si>
  <si>
    <t>PZ/801685</t>
  </si>
  <si>
    <t>14040.7</t>
  </si>
  <si>
    <t>FV/4431HM/23</t>
  </si>
  <si>
    <t>PZ/801686</t>
  </si>
  <si>
    <t>15959.86</t>
  </si>
  <si>
    <t>FV/79/PP/6838/23</t>
  </si>
  <si>
    <t>PZ/801687</t>
  </si>
  <si>
    <t>8512.69</t>
  </si>
  <si>
    <t>FV/40/PP/6918/23</t>
  </si>
  <si>
    <t>PZ/801688</t>
  </si>
  <si>
    <t>7899.76</t>
  </si>
  <si>
    <t>FV/CENFA/487740/23</t>
  </si>
  <si>
    <t>PZ/801689</t>
  </si>
  <si>
    <t>13917.86</t>
  </si>
  <si>
    <t>PZ/801690</t>
  </si>
  <si>
    <t>14465.06</t>
  </si>
  <si>
    <t>FV/69/PP/1745/23</t>
  </si>
  <si>
    <t>PZ/801691</t>
  </si>
  <si>
    <t>10942.38</t>
  </si>
  <si>
    <t>FV/M/3844/P/23</t>
  </si>
  <si>
    <t>PZ/801692</t>
  </si>
  <si>
    <t>13146.82</t>
  </si>
  <si>
    <t>FV/2002/NOVA/23</t>
  </si>
  <si>
    <t>PZ/801693</t>
  </si>
  <si>
    <t>17608.76</t>
  </si>
  <si>
    <t>FV/54306/VDb/2023</t>
  </si>
  <si>
    <t>PZ/801694</t>
  </si>
  <si>
    <t>17962.49</t>
  </si>
  <si>
    <t>FV/CENFA/543142/23</t>
  </si>
  <si>
    <t>PZ/801695</t>
  </si>
  <si>
    <t>17118.78</t>
  </si>
  <si>
    <t>FV/45872/VDb/2023</t>
  </si>
  <si>
    <t>PZ/801696</t>
  </si>
  <si>
    <t>14680.82</t>
  </si>
  <si>
    <t>PZ/801697</t>
  </si>
  <si>
    <t>19033.28</t>
  </si>
  <si>
    <t>FV/86/PP/8663/23</t>
  </si>
  <si>
    <t>PZ/801698</t>
  </si>
  <si>
    <t>19404.41</t>
  </si>
  <si>
    <t>FV/5107/NOVA/23</t>
  </si>
  <si>
    <t>PZ/801699</t>
  </si>
  <si>
    <t>13065.2</t>
  </si>
  <si>
    <t>FV/M/6974/P/23</t>
  </si>
  <si>
    <t>PZ/801700</t>
  </si>
  <si>
    <t>17142.96</t>
  </si>
  <si>
    <t>FV/5441HM/23</t>
  </si>
  <si>
    <t>PZ/801701</t>
  </si>
  <si>
    <t>19135.08</t>
  </si>
  <si>
    <t>FV/9608/NOVA/23</t>
  </si>
  <si>
    <t>PZ/801702</t>
  </si>
  <si>
    <t>14660.42</t>
  </si>
  <si>
    <t>PZ/801703</t>
  </si>
  <si>
    <t>13780.98</t>
  </si>
  <si>
    <t>FV/52771/VDb/2023</t>
  </si>
  <si>
    <t>PZ/801704</t>
  </si>
  <si>
    <t>10142.57</t>
  </si>
  <si>
    <t>FV/4379HM/23</t>
  </si>
  <si>
    <t>PZ/801705</t>
  </si>
  <si>
    <t>13543.68</t>
  </si>
  <si>
    <t>FV/7040HM/23</t>
  </si>
  <si>
    <t>PZ/801706</t>
  </si>
  <si>
    <t>18571.49</t>
  </si>
  <si>
    <t>FV/8260HM/23</t>
  </si>
  <si>
    <t>PZ/801707</t>
  </si>
  <si>
    <t>12277.25</t>
  </si>
  <si>
    <t>FV/8433/NOVA/23</t>
  </si>
  <si>
    <t>PZ/801708</t>
  </si>
  <si>
    <t>11217.87</t>
  </si>
  <si>
    <t>FV/CENFA/809848/23</t>
  </si>
  <si>
    <t>PZ/801709</t>
  </si>
  <si>
    <t>-1778.75</t>
  </si>
  <si>
    <t>FV/CENFA/460037/23</t>
  </si>
  <si>
    <t>PZ/801710</t>
  </si>
  <si>
    <t>8568.62</t>
  </si>
  <si>
    <t>FV/POL/48472/2023</t>
  </si>
  <si>
    <t>PZ/801711</t>
  </si>
  <si>
    <t>1401.96</t>
  </si>
  <si>
    <t>FV/51/PP/5328/23</t>
  </si>
  <si>
    <t>PZ/801712</t>
  </si>
  <si>
    <t>8010.36</t>
  </si>
  <si>
    <t>FV/M/7172/P/23</t>
  </si>
  <si>
    <t>PZ/801713</t>
  </si>
  <si>
    <t>11726.73</t>
  </si>
  <si>
    <t>PZ/801714</t>
  </si>
  <si>
    <t>18461.93</t>
  </si>
  <si>
    <t>FV/M/4579/P/23</t>
  </si>
  <si>
    <t>PZ/801715</t>
  </si>
  <si>
    <t>-605.19</t>
  </si>
  <si>
    <t>FV/81/SAL/23</t>
  </si>
  <si>
    <t>PZ/801716</t>
  </si>
  <si>
    <t>15084.79</t>
  </si>
  <si>
    <t>FV/18/PP/6785/23</t>
  </si>
  <si>
    <t>PZ/801717</t>
  </si>
  <si>
    <t>8759.86</t>
  </si>
  <si>
    <t>FV/4627/NOVA/23</t>
  </si>
  <si>
    <t>PZ/801718</t>
  </si>
  <si>
    <t>23514.3</t>
  </si>
  <si>
    <t>FV/POL/42245/2023</t>
  </si>
  <si>
    <t>PZ/801719</t>
  </si>
  <si>
    <t>-2015.59</t>
  </si>
  <si>
    <t>FV/POL/57195/2023</t>
  </si>
  <si>
    <t>PZ/801720</t>
  </si>
  <si>
    <t>19743.25</t>
  </si>
  <si>
    <t>PZ/801721</t>
  </si>
  <si>
    <t>24766.62</t>
  </si>
  <si>
    <t>FV/39990/VDb/2023</t>
  </si>
  <si>
    <t>PZ/801722</t>
  </si>
  <si>
    <t>25024.14</t>
  </si>
  <si>
    <t>PZ/801723</t>
  </si>
  <si>
    <t>17452.7</t>
  </si>
  <si>
    <t>FV/93777/VDb/2023</t>
  </si>
  <si>
    <t>PZ/801724</t>
  </si>
  <si>
    <t>13404.68</t>
  </si>
  <si>
    <t>FV/60/PP/3825/23</t>
  </si>
  <si>
    <t>PZ/801725</t>
  </si>
  <si>
    <t>11041.15</t>
  </si>
  <si>
    <t>FV/48/SAL/23</t>
  </si>
  <si>
    <t>PZ/801726</t>
  </si>
  <si>
    <t>10050.25</t>
  </si>
  <si>
    <t>FV/CENFA/303937/23</t>
  </si>
  <si>
    <t>PZ/801727</t>
  </si>
  <si>
    <t>14824.25</t>
  </si>
  <si>
    <t>FV/36276/VDb/2023</t>
  </si>
  <si>
    <t>PZ/801728</t>
  </si>
  <si>
    <t>17843.46</t>
  </si>
  <si>
    <t>FV/M/3685/P/23</t>
  </si>
  <si>
    <t>PZ/801729</t>
  </si>
  <si>
    <t>20159.33</t>
  </si>
  <si>
    <t>PZ/801730</t>
  </si>
  <si>
    <t>14493.07</t>
  </si>
  <si>
    <t>FV/12/PP/1436/23</t>
  </si>
  <si>
    <t>PZ/801731</t>
  </si>
  <si>
    <t>12623.43</t>
  </si>
  <si>
    <t>PZ/801732</t>
  </si>
  <si>
    <t>15976.81</t>
  </si>
  <si>
    <t>FV/6338/NOVA/23</t>
  </si>
  <si>
    <t>PZ/801733</t>
  </si>
  <si>
    <t>21614.81</t>
  </si>
  <si>
    <t>FV/49/PP/7426/23</t>
  </si>
  <si>
    <t>PZ/801734</t>
  </si>
  <si>
    <t>727.17</t>
  </si>
  <si>
    <t>FV/CENFA/380806/23</t>
  </si>
  <si>
    <t>PZ/801735</t>
  </si>
  <si>
    <t>15344.77</t>
  </si>
  <si>
    <t>PZ/801736</t>
  </si>
  <si>
    <t>19860.21</t>
  </si>
  <si>
    <t>FV/4838HM/23</t>
  </si>
  <si>
    <t>PZ/801737</t>
  </si>
  <si>
    <t>-2010.27</t>
  </si>
  <si>
    <t>PZ/801738</t>
  </si>
  <si>
    <t>12278.0</t>
  </si>
  <si>
    <t>FV/65836/VDb/2023</t>
  </si>
  <si>
    <t>PZ/801739</t>
  </si>
  <si>
    <t>16818.56</t>
  </si>
  <si>
    <t>FV/6354HM/23</t>
  </si>
  <si>
    <t>PZ/801740</t>
  </si>
  <si>
    <t>10221.48</t>
  </si>
  <si>
    <t>FV/CENFA/650196/23</t>
  </si>
  <si>
    <t>PZ/801741</t>
  </si>
  <si>
    <t>13952.35</t>
  </si>
  <si>
    <t>FV/4336/NOVA/23</t>
  </si>
  <si>
    <t>PZ/801742</t>
  </si>
  <si>
    <t>11343.93</t>
  </si>
  <si>
    <t>FV/38/PP/4912/23</t>
  </si>
  <si>
    <t>PZ/801743</t>
  </si>
  <si>
    <t>19350.77</t>
  </si>
  <si>
    <t>FV/POL/31433/2023</t>
  </si>
  <si>
    <t>PZ/801744</t>
  </si>
  <si>
    <t>12824.08</t>
  </si>
  <si>
    <t>FV/CENFA/831880/23</t>
  </si>
  <si>
    <t>PZ/801745</t>
  </si>
  <si>
    <t>10691.77</t>
  </si>
  <si>
    <t>FV/31/SAL/23</t>
  </si>
  <si>
    <t>PZ/801746</t>
  </si>
  <si>
    <t>23147.94</t>
  </si>
  <si>
    <t>FV/72/PP/1610/23</t>
  </si>
  <si>
    <t>PZ/801747</t>
  </si>
  <si>
    <t>15052.08</t>
  </si>
  <si>
    <t>FV/M/4901/P/23</t>
  </si>
  <si>
    <t>PZ/801748</t>
  </si>
  <si>
    <t>-2031.12</t>
  </si>
  <si>
    <t>FV/POL/94232/2023</t>
  </si>
  <si>
    <t>PZ/801749</t>
  </si>
  <si>
    <t>15535.41</t>
  </si>
  <si>
    <t>FV/8000/NOVA/23</t>
  </si>
  <si>
    <t>PZ/801750</t>
  </si>
  <si>
    <t>15800.18</t>
  </si>
  <si>
    <t>FV/20/PP/2455/23</t>
  </si>
  <si>
    <t>PZ/801751</t>
  </si>
  <si>
    <t>21518.21</t>
  </si>
  <si>
    <t>FV/7816/NOVA/23</t>
  </si>
  <si>
    <t>PZ/801752</t>
  </si>
  <si>
    <t>13462.91</t>
  </si>
  <si>
    <t>FV/M/6686/P/23</t>
  </si>
  <si>
    <t>PZ/801753</t>
  </si>
  <si>
    <t>18180.19</t>
  </si>
  <si>
    <t>FV/7273HM/23</t>
  </si>
  <si>
    <t>PZ/801754</t>
  </si>
  <si>
    <t>11393.89</t>
  </si>
  <si>
    <t>FV/CENFA/263421/23</t>
  </si>
  <si>
    <t>PZ/801755</t>
  </si>
  <si>
    <t>12678.97</t>
  </si>
  <si>
    <t>FV/4048HM/23</t>
  </si>
  <si>
    <t>PZ/801756</t>
  </si>
  <si>
    <t>20570.42</t>
  </si>
  <si>
    <t>FV/CENFA/239961/23</t>
  </si>
  <si>
    <t>PZ/801757</t>
  </si>
  <si>
    <t>16887.52</t>
  </si>
  <si>
    <t>PZ/801758</t>
  </si>
  <si>
    <t>17514.2</t>
  </si>
  <si>
    <t>FV/71837/VDb/2023</t>
  </si>
  <si>
    <t>PZ/801759</t>
  </si>
  <si>
    <t>8522.57</t>
  </si>
  <si>
    <t>FV/CENFA/569376/23</t>
  </si>
  <si>
    <t>PZ/801760</t>
  </si>
  <si>
    <t>15167.49</t>
  </si>
  <si>
    <t>PZ/801761</t>
  </si>
  <si>
    <t>15675.1</t>
  </si>
  <si>
    <t>FV/39/PP/6986/23</t>
  </si>
  <si>
    <t>PZ/801762</t>
  </si>
  <si>
    <t>17892.62</t>
  </si>
  <si>
    <t>FV/42/SAL/23</t>
  </si>
  <si>
    <t>PZ/801763</t>
  </si>
  <si>
    <t>19240.6</t>
  </si>
  <si>
    <t>FV/12/PP/5760/23</t>
  </si>
  <si>
    <t>PZ/801764</t>
  </si>
  <si>
    <t>8950.23</t>
  </si>
  <si>
    <t>FV/19/PP/2772/23</t>
  </si>
  <si>
    <t>PZ/801765</t>
  </si>
  <si>
    <t>2570.89</t>
  </si>
  <si>
    <t>FV/6094/NOVA/23</t>
  </si>
  <si>
    <t>PZ/801766</t>
  </si>
  <si>
    <t>22249.67</t>
  </si>
  <si>
    <t>FV/9422/NOVA/23</t>
  </si>
  <si>
    <t>PZ/801767</t>
  </si>
  <si>
    <t>12228.32</t>
  </si>
  <si>
    <t>FV/96357/VDb/2023</t>
  </si>
  <si>
    <t>PZ/801768</t>
  </si>
  <si>
    <t>14647.12</t>
  </si>
  <si>
    <t>FV/CENFA/264223/23</t>
  </si>
  <si>
    <t>PZ/801769</t>
  </si>
  <si>
    <t>20755.39</t>
  </si>
  <si>
    <t>FV/60/PP/7981/23</t>
  </si>
  <si>
    <t>PZ/801770</t>
  </si>
  <si>
    <t>18552.56</t>
  </si>
  <si>
    <t>FV/M/1812/P/23</t>
  </si>
  <si>
    <t>PZ/801771</t>
  </si>
  <si>
    <t>9342.91</t>
  </si>
  <si>
    <t>FV/7832/NOVA/23</t>
  </si>
  <si>
    <t>PZ/801772</t>
  </si>
  <si>
    <t>24722.59</t>
  </si>
  <si>
    <t>FV/5811/NOVA/23</t>
  </si>
  <si>
    <t>PZ/801773</t>
  </si>
  <si>
    <t>16094.13</t>
  </si>
  <si>
    <t>FV/13648/VDb/2023</t>
  </si>
  <si>
    <t>PZ/801774</t>
  </si>
  <si>
    <t>21227.91</t>
  </si>
  <si>
    <t>FV/M/7523/P/23</t>
  </si>
  <si>
    <t>PZ/801775</t>
  </si>
  <si>
    <t>13923.34</t>
  </si>
  <si>
    <t>FV/53535/VDb/2023</t>
  </si>
  <si>
    <t>PZ/801776</t>
  </si>
  <si>
    <t>13949.92</t>
  </si>
  <si>
    <t>FV/54/PP/7494/23</t>
  </si>
  <si>
    <t>PZ/801777</t>
  </si>
  <si>
    <t>11105.63</t>
  </si>
  <si>
    <t>FV/CENFA/259436/23</t>
  </si>
  <si>
    <t>PZ/801778</t>
  </si>
  <si>
    <t>17030.15</t>
  </si>
  <si>
    <t>FV/POL/40060/2023</t>
  </si>
  <si>
    <t>PZ/801779</t>
  </si>
  <si>
    <t>8932.12</t>
  </si>
  <si>
    <t>FV/CENFA/772559/23</t>
  </si>
  <si>
    <t>PZ/801780</t>
  </si>
  <si>
    <t>17468.65</t>
  </si>
  <si>
    <t>FV/5794HM/23</t>
  </si>
  <si>
    <t>PZ/801781</t>
  </si>
  <si>
    <t>11426.04</t>
  </si>
  <si>
    <t>FV/8893HM/23</t>
  </si>
  <si>
    <t>PZ/801782</t>
  </si>
  <si>
    <t>16560.48</t>
  </si>
  <si>
    <t>FV/POL/75839/2023</t>
  </si>
  <si>
    <t>PZ/801783</t>
  </si>
  <si>
    <t>7604.29</t>
  </si>
  <si>
    <t>PZ/801784</t>
  </si>
  <si>
    <t>9824.98</t>
  </si>
  <si>
    <t>FV/M/8054/P/23</t>
  </si>
  <si>
    <t>PZ/801785</t>
  </si>
  <si>
    <t>9474.45</t>
  </si>
  <si>
    <t>PZ/801786</t>
  </si>
  <si>
    <t>12276.15</t>
  </si>
  <si>
    <t>PZ/801787</t>
  </si>
  <si>
    <t>17748.65</t>
  </si>
  <si>
    <t>FV/M/2472/P/23</t>
  </si>
  <si>
    <t>PZ/801788</t>
  </si>
  <si>
    <t>6027.84</t>
  </si>
  <si>
    <t>FV/M/4896/P/23</t>
  </si>
  <si>
    <t>PZ/801789</t>
  </si>
  <si>
    <t>8938.33</t>
  </si>
  <si>
    <t>FV/93/PP/7493/23</t>
  </si>
  <si>
    <t>PZ/801790</t>
  </si>
  <si>
    <t>3742.55</t>
  </si>
  <si>
    <t>FV/CENFA/531973/23</t>
  </si>
  <si>
    <t>PZ/801791</t>
  </si>
  <si>
    <t>13668.53</t>
  </si>
  <si>
    <t>FV/CENFA/707924/23</t>
  </si>
  <si>
    <t>PZ/801792</t>
  </si>
  <si>
    <t>17937.37</t>
  </si>
  <si>
    <t>PZ/801793</t>
  </si>
  <si>
    <t>15779.59</t>
  </si>
  <si>
    <t>FV/58/PP/7331/23</t>
  </si>
  <si>
    <t>PZ/801794</t>
  </si>
  <si>
    <t>18683.57</t>
  </si>
  <si>
    <t>FV/6350/NOVA/23</t>
  </si>
  <si>
    <t>PZ/801795</t>
  </si>
  <si>
    <t>12297.26</t>
  </si>
  <si>
    <t>FV/CENFA/668876/23</t>
  </si>
  <si>
    <t>PZ/801796</t>
  </si>
  <si>
    <t>5975.87</t>
  </si>
  <si>
    <t>FV/61/PP/6329/23</t>
  </si>
  <si>
    <t>PZ/801797</t>
  </si>
  <si>
    <t>8437.92</t>
  </si>
  <si>
    <t>FV/2854/NOVA/23</t>
  </si>
  <si>
    <t>PZ/801798</t>
  </si>
  <si>
    <t>23882.42</t>
  </si>
  <si>
    <t>FV/POL/45855/2023</t>
  </si>
  <si>
    <t>PZ/801799</t>
  </si>
  <si>
    <t>14585.1</t>
  </si>
  <si>
    <t>FV/M/2106/P/23</t>
  </si>
  <si>
    <t>PZ/801800</t>
  </si>
  <si>
    <t>21865.0</t>
  </si>
  <si>
    <t>FV/59141/VDb/2023</t>
  </si>
  <si>
    <t>PZ/801801</t>
  </si>
  <si>
    <t>19307.61</t>
  </si>
  <si>
    <t>FV/2764/NOVA/23</t>
  </si>
  <si>
    <t>PZ/801802</t>
  </si>
  <si>
    <t>6209.6</t>
  </si>
  <si>
    <t>FV/M/6084/P/23</t>
  </si>
  <si>
    <t>PZ/801803</t>
  </si>
  <si>
    <t>27686.64</t>
  </si>
  <si>
    <t>FV/69/PP/4371/23</t>
  </si>
  <si>
    <t>PZ/801804</t>
  </si>
  <si>
    <t>13132.13</t>
  </si>
  <si>
    <t>PZ/801805</t>
  </si>
  <si>
    <t>10332.3</t>
  </si>
  <si>
    <t>FV/CENFA/448678/23</t>
  </si>
  <si>
    <t>PZ/801806</t>
  </si>
  <si>
    <t>11815.52</t>
  </si>
  <si>
    <t>PZ/801807</t>
  </si>
  <si>
    <t>-2659.08</t>
  </si>
  <si>
    <t>FV/POL/67886/2023</t>
  </si>
  <si>
    <t>PZ/801808</t>
  </si>
  <si>
    <t>7926.0</t>
  </si>
  <si>
    <t>FV/37/PP/7956/23</t>
  </si>
  <si>
    <t>PZ/801809</t>
  </si>
  <si>
    <t>18255.98</t>
  </si>
  <si>
    <t>FV/M/6429/P/23</t>
  </si>
  <si>
    <t>PZ/801810</t>
  </si>
  <si>
    <t>18769.84</t>
  </si>
  <si>
    <t>PZ/801811</t>
  </si>
  <si>
    <t>11060.25</t>
  </si>
  <si>
    <t>FV/CENFA/531769/23</t>
  </si>
  <si>
    <t>PZ/801812</t>
  </si>
  <si>
    <t>17571.64</t>
  </si>
  <si>
    <t>FV/76/SAL/23</t>
  </si>
  <si>
    <t>PZ/801813</t>
  </si>
  <si>
    <t>20871.48</t>
  </si>
  <si>
    <t>FV/77924/VDb/2023</t>
  </si>
  <si>
    <t>PZ/801814</t>
  </si>
  <si>
    <t>21085.99</t>
  </si>
  <si>
    <t>FV/22817/VDb/2023</t>
  </si>
  <si>
    <t>PZ/801815</t>
  </si>
  <si>
    <t>14646.2</t>
  </si>
  <si>
    <t>PZ/801816</t>
  </si>
  <si>
    <t>16724.47</t>
  </si>
  <si>
    <t>FV/2631HM/23</t>
  </si>
  <si>
    <t>PZ/801817</t>
  </si>
  <si>
    <t>7806.49</t>
  </si>
  <si>
    <t>FV/93/SAL/23</t>
  </si>
  <si>
    <t>PZ/801818</t>
  </si>
  <si>
    <t>20741.23</t>
  </si>
  <si>
    <t>FV/8598/NOVA/23</t>
  </si>
  <si>
    <t>PZ/801819</t>
  </si>
  <si>
    <t>14476.87</t>
  </si>
  <si>
    <t>FV/M/7622/P/23</t>
  </si>
  <si>
    <t>PZ/801820</t>
  </si>
  <si>
    <t>12587.5</t>
  </si>
  <si>
    <t>FV/M/7040/P/23</t>
  </si>
  <si>
    <t>PZ/801821</t>
  </si>
  <si>
    <t>17738.01</t>
  </si>
  <si>
    <t>FV/8386HM/23</t>
  </si>
  <si>
    <t>PZ/801822</t>
  </si>
  <si>
    <t>18613.85</t>
  </si>
  <si>
    <t>PZ/801823</t>
  </si>
  <si>
    <t>20631.74</t>
  </si>
  <si>
    <t>FV/9396/NOVA/23</t>
  </si>
  <si>
    <t>PZ/801824</t>
  </si>
  <si>
    <t>20037.33</t>
  </si>
  <si>
    <t>FV/POL/30313/2023</t>
  </si>
  <si>
    <t>PZ/801825</t>
  </si>
  <si>
    <t>16287.11</t>
  </si>
  <si>
    <t>FV/M/3963/P/23</t>
  </si>
  <si>
    <t>PZ/801826</t>
  </si>
  <si>
    <t>21794.01</t>
  </si>
  <si>
    <t>FV/CENFA/751008/23</t>
  </si>
  <si>
    <t>PZ/801827</t>
  </si>
  <si>
    <t>6672.61</t>
  </si>
  <si>
    <t>FV/1437HM/23</t>
  </si>
  <si>
    <t>PZ/801828</t>
  </si>
  <si>
    <t>7218.34</t>
  </si>
  <si>
    <t>FV/CENFA/869850/23</t>
  </si>
  <si>
    <t>PZ/801829</t>
  </si>
  <si>
    <t>6374.71</t>
  </si>
  <si>
    <t>PZ/801830</t>
  </si>
  <si>
    <t>9293.02</t>
  </si>
  <si>
    <t>FV/M/5193/P/23</t>
  </si>
  <si>
    <t>PZ/801831</t>
  </si>
  <si>
    <t>14609.96</t>
  </si>
  <si>
    <t>FV/4545/NOVA/23</t>
  </si>
  <si>
    <t>PZ/801832</t>
  </si>
  <si>
    <t>17432.48</t>
  </si>
  <si>
    <t>FV/M/8713/P/23</t>
  </si>
  <si>
    <t>PZ/801833</t>
  </si>
  <si>
    <t>7044.08</t>
  </si>
  <si>
    <t>PZ/801834</t>
  </si>
  <si>
    <t>16656.33</t>
  </si>
  <si>
    <t>FV/M/2494/P/23</t>
  </si>
  <si>
    <t>PZ/801835</t>
  </si>
  <si>
    <t>12713.95</t>
  </si>
  <si>
    <t>FV/89/SAL/23</t>
  </si>
  <si>
    <t>PZ/801836</t>
  </si>
  <si>
    <t>19018.96</t>
  </si>
  <si>
    <t>FV/CENFA/671402/23</t>
  </si>
  <si>
    <t>PZ/801837</t>
  </si>
  <si>
    <t>16905.69</t>
  </si>
  <si>
    <t>FV/POL/54348/2023</t>
  </si>
  <si>
    <t>PZ/801838</t>
  </si>
  <si>
    <t>21529.5</t>
  </si>
  <si>
    <t>FV/7048HM/23</t>
  </si>
  <si>
    <t>PZ/801839</t>
  </si>
  <si>
    <t>16564.56</t>
  </si>
  <si>
    <t>FV/POL/99188/2023</t>
  </si>
  <si>
    <t>PZ/801840</t>
  </si>
  <si>
    <t>8363.33</t>
  </si>
  <si>
    <t>FV/4730HM/23</t>
  </si>
  <si>
    <t>PZ/801841</t>
  </si>
  <si>
    <t>18846.07</t>
  </si>
  <si>
    <t>FV/M/3791/P/23</t>
  </si>
  <si>
    <t>PZ/801842</t>
  </si>
  <si>
    <t>20144.11</t>
  </si>
  <si>
    <t>FV/CENFA/942805/23</t>
  </si>
  <si>
    <t>PZ/801843</t>
  </si>
  <si>
    <t>9784.87</t>
  </si>
  <si>
    <t>FV/5916/NOVA/23</t>
  </si>
  <si>
    <t>PZ/801844</t>
  </si>
  <si>
    <t>17606.41</t>
  </si>
  <si>
    <t>FV/48/PP/7217/23</t>
  </si>
  <si>
    <t>PZ/801845</t>
  </si>
  <si>
    <t>11335.87</t>
  </si>
  <si>
    <t>PZ/801846</t>
  </si>
  <si>
    <t>10737.3</t>
  </si>
  <si>
    <t>FV/8707HM/23</t>
  </si>
  <si>
    <t>PZ/801847</t>
  </si>
  <si>
    <t>15091.38</t>
  </si>
  <si>
    <t>FV/8951HM/23</t>
  </si>
  <si>
    <t>PZ/801848</t>
  </si>
  <si>
    <t>17338.44</t>
  </si>
  <si>
    <t>PZ/801849</t>
  </si>
  <si>
    <t>9598.66</t>
  </si>
  <si>
    <t>PZ/801850</t>
  </si>
  <si>
    <t>10600.7</t>
  </si>
  <si>
    <t>FV/25472/VDb/2023</t>
  </si>
  <si>
    <t>PZ/801851</t>
  </si>
  <si>
    <t>15786.82</t>
  </si>
  <si>
    <t>FV/4029/NOVA/23</t>
  </si>
  <si>
    <t>PZ/801852</t>
  </si>
  <si>
    <t>8266.1</t>
  </si>
  <si>
    <t>FV/POL/60815/2023</t>
  </si>
  <si>
    <t>PZ/801853</t>
  </si>
  <si>
    <t>20236.6</t>
  </si>
  <si>
    <t>FV/M/3701/P/23</t>
  </si>
  <si>
    <t>PZ/801854</t>
  </si>
  <si>
    <t>17693.98</t>
  </si>
  <si>
    <t>FV/POL/81488/2023</t>
  </si>
  <si>
    <t>PZ/801855</t>
  </si>
  <si>
    <t>27293.19</t>
  </si>
  <si>
    <t>FV/CENFA/428096/23</t>
  </si>
  <si>
    <t>PZ/801856</t>
  </si>
  <si>
    <t>15607.98</t>
  </si>
  <si>
    <t>FV/14/PP/3286/23</t>
  </si>
  <si>
    <t>PZ/801857</t>
  </si>
  <si>
    <t>19738.94</t>
  </si>
  <si>
    <t>FV/3099/NOVA/23</t>
  </si>
  <si>
    <t>PZ/801858</t>
  </si>
  <si>
    <t>15645.33</t>
  </si>
  <si>
    <t>FV/2264/NOVA/23</t>
  </si>
  <si>
    <t>PZ/801859</t>
  </si>
  <si>
    <t>12055.22</t>
  </si>
  <si>
    <t>FV/POL/69749/2023</t>
  </si>
  <si>
    <t>PZ/801860</t>
  </si>
  <si>
    <t>18746.71</t>
  </si>
  <si>
    <t>FV/13/PP/4254/23</t>
  </si>
  <si>
    <t>PZ/801861</t>
  </si>
  <si>
    <t>20421.07</t>
  </si>
  <si>
    <t>PZ/801862</t>
  </si>
  <si>
    <t>9191.67</t>
  </si>
  <si>
    <t>FV/M/3777/P/23</t>
  </si>
  <si>
    <t>PZ/801863</t>
  </si>
  <si>
    <t>8853.01</t>
  </si>
  <si>
    <t>FV/M/8727/P/23</t>
  </si>
  <si>
    <t>PZ/801864</t>
  </si>
  <si>
    <t>17766.05</t>
  </si>
  <si>
    <t>FV/98/PP/3410/23</t>
  </si>
  <si>
    <t>PZ/801865</t>
  </si>
  <si>
    <t>10614.36</t>
  </si>
  <si>
    <t>FV/POL/34407/2023</t>
  </si>
  <si>
    <t>PZ/801866</t>
  </si>
  <si>
    <t>16879.97</t>
  </si>
  <si>
    <t>FV/48007/VDb/2023</t>
  </si>
  <si>
    <t>PZ/801867</t>
  </si>
  <si>
    <t>13543.93</t>
  </si>
  <si>
    <t>FV/CENFA/360335/23</t>
  </si>
  <si>
    <t>PZ/801868</t>
  </si>
  <si>
    <t>15942.37</t>
  </si>
  <si>
    <t>FV/44413/VDb/2023</t>
  </si>
  <si>
    <t>PZ/801869</t>
  </si>
  <si>
    <t>15409.87</t>
  </si>
  <si>
    <t>FV/3223/NOVA/23</t>
  </si>
  <si>
    <t>PZ/801870</t>
  </si>
  <si>
    <t>10502.66</t>
  </si>
  <si>
    <t>FV/POL/84824/2023</t>
  </si>
  <si>
    <t>PZ/801871</t>
  </si>
  <si>
    <t>8996.17</t>
  </si>
  <si>
    <t>FV/CENFA/803839/23</t>
  </si>
  <si>
    <t>PZ/801872</t>
  </si>
  <si>
    <t>15292.3</t>
  </si>
  <si>
    <t>FV/CENFA/923821/23</t>
  </si>
  <si>
    <t>PZ/801873</t>
  </si>
  <si>
    <t>14880.07</t>
  </si>
  <si>
    <t>FV/19656/VDb/2023</t>
  </si>
  <si>
    <t>PZ/801874</t>
  </si>
  <si>
    <t>15861.9</t>
  </si>
  <si>
    <t>FV/CENFA/340343/23</t>
  </si>
  <si>
    <t>PZ/801875</t>
  </si>
  <si>
    <t>16473.57</t>
  </si>
  <si>
    <t>FV/POL/98077/2023</t>
  </si>
  <si>
    <t>PZ/801876</t>
  </si>
  <si>
    <t>9487.9</t>
  </si>
  <si>
    <t>FV/M/1227/P/23</t>
  </si>
  <si>
    <t>PZ/801877</t>
  </si>
  <si>
    <t>13319.48</t>
  </si>
  <si>
    <t>FV/2759HM/23</t>
  </si>
  <si>
    <t>PZ/801878</t>
  </si>
  <si>
    <t>-1471.74</t>
  </si>
  <si>
    <t>FV/1948/NOVA/23</t>
  </si>
  <si>
    <t>PZ/801879</t>
  </si>
  <si>
    <t>8371.74</t>
  </si>
  <si>
    <t>FV/54/PP/8793/23</t>
  </si>
  <si>
    <t>PZ/801880</t>
  </si>
  <si>
    <t>25387.22</t>
  </si>
  <si>
    <t>FV/POL/65336/2023</t>
  </si>
  <si>
    <t>PZ/801881</t>
  </si>
  <si>
    <t>10491.47</t>
  </si>
  <si>
    <t>PZ/801882</t>
  </si>
  <si>
    <t>15046.14</t>
  </si>
  <si>
    <t>FV/CENFA/764473/23</t>
  </si>
  <si>
    <t>PZ/801883</t>
  </si>
  <si>
    <t>14746.83</t>
  </si>
  <si>
    <t>FV/CENFA/318452/23</t>
  </si>
  <si>
    <t>PZ/801884</t>
  </si>
  <si>
    <t>10046.22</t>
  </si>
  <si>
    <t>FV/M/1356/P/23</t>
  </si>
  <si>
    <t>PZ/801885</t>
  </si>
  <si>
    <t>15836.21</t>
  </si>
  <si>
    <t>FV/1874/NOVA/23</t>
  </si>
  <si>
    <t>PZ/801886</t>
  </si>
  <si>
    <t>15310.52</t>
  </si>
  <si>
    <t>FV/CENFA/698065/23</t>
  </si>
  <si>
    <t>PZ/801887</t>
  </si>
  <si>
    <t>10259.47</t>
  </si>
  <si>
    <t>PZ/801888</t>
  </si>
  <si>
    <t>11356.44</t>
  </si>
  <si>
    <t>FV/M/5265/P/23</t>
  </si>
  <si>
    <t>PZ/801889</t>
  </si>
  <si>
    <t>15184.6</t>
  </si>
  <si>
    <t>FV/1734HM/23</t>
  </si>
  <si>
    <t>PZ/801890</t>
  </si>
  <si>
    <t>5647.62</t>
  </si>
  <si>
    <t>FV/CENFA/567822/23</t>
  </si>
  <si>
    <t>PZ/801891</t>
  </si>
  <si>
    <t>12651.05</t>
  </si>
  <si>
    <t>FV/69419/VDb/2023</t>
  </si>
  <si>
    <t>PZ/801892</t>
  </si>
  <si>
    <t>13797.76</t>
  </si>
  <si>
    <t>FV/M/2253/P/23</t>
  </si>
  <si>
    <t>PZ/801893</t>
  </si>
  <si>
    <t>17299.08</t>
  </si>
  <si>
    <t>FV/74863/VDb/2023</t>
  </si>
  <si>
    <t>PZ/801894</t>
  </si>
  <si>
    <t>14330.77</t>
  </si>
  <si>
    <t>FV/CENFA/499079/23</t>
  </si>
  <si>
    <t>PZ/801895</t>
  </si>
  <si>
    <t>3925.15</t>
  </si>
  <si>
    <t>FV/POL/99356/2023</t>
  </si>
  <si>
    <t>PZ/801896</t>
  </si>
  <si>
    <t>12386.75</t>
  </si>
  <si>
    <t>FV/M/5240/P/23</t>
  </si>
  <si>
    <t>PZ/801897</t>
  </si>
  <si>
    <t>11053.62</t>
  </si>
  <si>
    <t>FV/POL/12628/2023</t>
  </si>
  <si>
    <t>PZ/801898</t>
  </si>
  <si>
    <t>15087.47</t>
  </si>
  <si>
    <t>FV/70295/VDb/2023</t>
  </si>
  <si>
    <t>PZ/801899</t>
  </si>
  <si>
    <t>20207.78</t>
  </si>
  <si>
    <t>FV/57087/VDb/2023</t>
  </si>
  <si>
    <t>PZ/801900</t>
  </si>
  <si>
    <t>20522.46</t>
  </si>
  <si>
    <t>FV/38205/VDb/2023</t>
  </si>
  <si>
    <t>PZ/801901</t>
  </si>
  <si>
    <t>17066.96</t>
  </si>
  <si>
    <t>FV/24202/VDb/2023</t>
  </si>
  <si>
    <t>PZ/801902</t>
  </si>
  <si>
    <t>18847.7</t>
  </si>
  <si>
    <t>FV/9812/NOVA/23</t>
  </si>
  <si>
    <t>PZ/801903</t>
  </si>
  <si>
    <t>16306.91</t>
  </si>
  <si>
    <t>FV/2896/NOVA/23</t>
  </si>
  <si>
    <t>PZ/801904</t>
  </si>
  <si>
    <t>17342.28</t>
  </si>
  <si>
    <t>FV/POL/25236/2023</t>
  </si>
  <si>
    <t>PZ/801905</t>
  </si>
  <si>
    <t>11459.14</t>
  </si>
  <si>
    <t>FV/POL/90737/2023</t>
  </si>
  <si>
    <t>PZ/801906</t>
  </si>
  <si>
    <t>6020.44</t>
  </si>
  <si>
    <t>FV/M/8322/P/23</t>
  </si>
  <si>
    <t>PZ/801907</t>
  </si>
  <si>
    <t>20435.85</t>
  </si>
  <si>
    <t>FV/CENFA/615451/23</t>
  </si>
  <si>
    <t>PZ/801908</t>
  </si>
  <si>
    <t>15538.2</t>
  </si>
  <si>
    <t>FV/84384/VDb/2023</t>
  </si>
  <si>
    <t>PZ/801909</t>
  </si>
  <si>
    <t>11037.95</t>
  </si>
  <si>
    <t>FV/41/PP/6845/23</t>
  </si>
  <si>
    <t>PZ/801910</t>
  </si>
  <si>
    <t>12695.52</t>
  </si>
  <si>
    <t>FV/POL/20902/2023</t>
  </si>
  <si>
    <t>PZ/801911</t>
  </si>
  <si>
    <t>13012.92</t>
  </si>
  <si>
    <t>FV/POL/71548/2023</t>
  </si>
  <si>
    <t>PZ/801912</t>
  </si>
  <si>
    <t>17226.48</t>
  </si>
  <si>
    <t>FV/2848HM/23</t>
  </si>
  <si>
    <t>PZ/801913</t>
  </si>
  <si>
    <t>17572.46</t>
  </si>
  <si>
    <t>FV/8145HM/23</t>
  </si>
  <si>
    <t>PZ/801914</t>
  </si>
  <si>
    <t>19640.14</t>
  </si>
  <si>
    <t>FV/8169HM/23</t>
  </si>
  <si>
    <t>PZ/801915</t>
  </si>
  <si>
    <t>14433.55</t>
  </si>
  <si>
    <t>FV/8235HM/23</t>
  </si>
  <si>
    <t>PZ/801916</t>
  </si>
  <si>
    <t>5051.58</t>
  </si>
  <si>
    <t>FV/CENFA/882792/23</t>
  </si>
  <si>
    <t>PZ/801917</t>
  </si>
  <si>
    <t>11305.68</t>
  </si>
  <si>
    <t>FV/POL/67098/2023</t>
  </si>
  <si>
    <t>PZ/801918</t>
  </si>
  <si>
    <t>15860.8</t>
  </si>
  <si>
    <t>FV/54367/VDb/2023</t>
  </si>
  <si>
    <t>PZ/801919</t>
  </si>
  <si>
    <t>16748.67</t>
  </si>
  <si>
    <t>FV/32/PP/6473/23</t>
  </si>
  <si>
    <t>PZ/801920</t>
  </si>
  <si>
    <t>10579.87</t>
  </si>
  <si>
    <t>FV/POL/45818/2023</t>
  </si>
  <si>
    <t>PZ/801921</t>
  </si>
  <si>
    <t>12175.26</t>
  </si>
  <si>
    <t>FV/CENFA/892546/23</t>
  </si>
  <si>
    <t>PZ/801922</t>
  </si>
  <si>
    <t>15185.67</t>
  </si>
  <si>
    <t>FV/M/8193/P/23</t>
  </si>
  <si>
    <t>PZ/801923</t>
  </si>
  <si>
    <t>7513.86</t>
  </si>
  <si>
    <t>FV/83/PP/9127/23</t>
  </si>
  <si>
    <t>PZ/801924</t>
  </si>
  <si>
    <t>15144.1</t>
  </si>
  <si>
    <t>FV/21387/VDb/2023</t>
  </si>
  <si>
    <t>PZ/801925</t>
  </si>
  <si>
    <t>18670.3</t>
  </si>
  <si>
    <t>FV/2893HM/23</t>
  </si>
  <si>
    <t>PZ/801926</t>
  </si>
  <si>
    <t>-638.4</t>
  </si>
  <si>
    <t>FV/CENFA/526202/23</t>
  </si>
  <si>
    <t>PZ/801927</t>
  </si>
  <si>
    <t>9305.31</t>
  </si>
  <si>
    <t>FV/1300/NOVA/23</t>
  </si>
  <si>
    <t>PZ/801928</t>
  </si>
  <si>
    <t>19269.69</t>
  </si>
  <si>
    <t>PZ/801929</t>
  </si>
  <si>
    <t>14415.74</t>
  </si>
  <si>
    <t>FV/2708/NOVA/23</t>
  </si>
  <si>
    <t>PZ/801930</t>
  </si>
  <si>
    <t>18910.82</t>
  </si>
  <si>
    <t>FV/2892HM/23</t>
  </si>
  <si>
    <t>PZ/801931</t>
  </si>
  <si>
    <t>20413.18</t>
  </si>
  <si>
    <t>FV/41/PP/9914/23</t>
  </si>
  <si>
    <t>PZ/801932</t>
  </si>
  <si>
    <t>20908.53</t>
  </si>
  <si>
    <t>FV/87/PP/5016/23</t>
  </si>
  <si>
    <t>PZ/801933</t>
  </si>
  <si>
    <t>13450.31</t>
  </si>
  <si>
    <t>PZ/801934</t>
  </si>
  <si>
    <t>16155.11</t>
  </si>
  <si>
    <t>FV/14/PP/1799/23</t>
  </si>
  <si>
    <t>PZ/801935</t>
  </si>
  <si>
    <t>17242.2</t>
  </si>
  <si>
    <t>FV/POL/52361/2023</t>
  </si>
  <si>
    <t>PZ/801936</t>
  </si>
  <si>
    <t>3858.52</t>
  </si>
  <si>
    <t>FV/CENFA/363802/23</t>
  </si>
  <si>
    <t>PZ/801937</t>
  </si>
  <si>
    <t>12658.05</t>
  </si>
  <si>
    <t>FV/80863/VDb/2023</t>
  </si>
  <si>
    <t>PZ/801938</t>
  </si>
  <si>
    <t>21041.65</t>
  </si>
  <si>
    <t>FV/22/SAL/23</t>
  </si>
  <si>
    <t>PZ/801939</t>
  </si>
  <si>
    <t>10098.79</t>
  </si>
  <si>
    <t>FV/CENFA/117678/23</t>
  </si>
  <si>
    <t>PZ/801940</t>
  </si>
  <si>
    <t>11592.67</t>
  </si>
  <si>
    <t>FV/6962HM/23</t>
  </si>
  <si>
    <t>PZ/801941</t>
  </si>
  <si>
    <t>24551.97</t>
  </si>
  <si>
    <t>FV/7170/NOVA/23</t>
  </si>
  <si>
    <t>PZ/801942</t>
  </si>
  <si>
    <t>14835.62</t>
  </si>
  <si>
    <t>FV/30/PP/3700/23</t>
  </si>
  <si>
    <t>PZ/801943</t>
  </si>
  <si>
    <t>7811.08</t>
  </si>
  <si>
    <t>PZ/801944</t>
  </si>
  <si>
    <t>9764.56</t>
  </si>
  <si>
    <t>FV/POL/20505/2023</t>
  </si>
  <si>
    <t>PZ/801945</t>
  </si>
  <si>
    <t>14455.52</t>
  </si>
  <si>
    <t>FV/CENFA/878263/23</t>
  </si>
  <si>
    <t>PZ/801946</t>
  </si>
  <si>
    <t>16901.35</t>
  </si>
  <si>
    <t>FV/88163/VDb/2023</t>
  </si>
  <si>
    <t>PZ/801947</t>
  </si>
  <si>
    <t>12648.41</t>
  </si>
  <si>
    <t>FV/8733/NOVA/23</t>
  </si>
  <si>
    <t>PZ/801948</t>
  </si>
  <si>
    <t>15267.16</t>
  </si>
  <si>
    <t>FV/35877/VDb/2023</t>
  </si>
  <si>
    <t>PZ/801949</t>
  </si>
  <si>
    <t>16051.83</t>
  </si>
  <si>
    <t>FV/M/1226/P/23</t>
  </si>
  <si>
    <t>PZ/801950</t>
  </si>
  <si>
    <t>12923.13</t>
  </si>
  <si>
    <t>FV/6954HM/23</t>
  </si>
  <si>
    <t>PZ/801951</t>
  </si>
  <si>
    <t>11874.05</t>
  </si>
  <si>
    <t>FV/92285/VDb/2023</t>
  </si>
  <si>
    <t>PZ/801952</t>
  </si>
  <si>
    <t>-1326.54</t>
  </si>
  <si>
    <t>FV/CENFA/919508/23</t>
  </si>
  <si>
    <t>PZ/801953</t>
  </si>
  <si>
    <t>10516.69</t>
  </si>
  <si>
    <t>FV/73995/VDb/2023</t>
  </si>
  <si>
    <t>PZ/801954</t>
  </si>
  <si>
    <t>15391.07</t>
  </si>
  <si>
    <t>FV/5461/NOVA/23</t>
  </si>
  <si>
    <t>PZ/801955</t>
  </si>
  <si>
    <t>15612.16</t>
  </si>
  <si>
    <t>PZ/801956</t>
  </si>
  <si>
    <t>24098.79</t>
  </si>
  <si>
    <t>FV/M/5819/P/23</t>
  </si>
  <si>
    <t>PZ/801957</t>
  </si>
  <si>
    <t>12441.56</t>
  </si>
  <si>
    <t>FV/84/PP/1737/23</t>
  </si>
  <si>
    <t>PZ/801958</t>
  </si>
  <si>
    <t>15815.44</t>
  </si>
  <si>
    <t>FV/POL/16281/2023</t>
  </si>
  <si>
    <t>PZ/801959</t>
  </si>
  <si>
    <t>-2049.51</t>
  </si>
  <si>
    <t>FV/2739/NOVA/23</t>
  </si>
  <si>
    <t>PZ/801960</t>
  </si>
  <si>
    <t>10149.94</t>
  </si>
  <si>
    <t>FV/1271/NOVA/23</t>
  </si>
  <si>
    <t>PZ/801961</t>
  </si>
  <si>
    <t>15976.69</t>
  </si>
  <si>
    <t>FV/POL/11371/2023</t>
  </si>
  <si>
    <t>PZ/801962</t>
  </si>
  <si>
    <t>14691.92</t>
  </si>
  <si>
    <t>FV/POL/46288/2023</t>
  </si>
  <si>
    <t>PZ/801963</t>
  </si>
  <si>
    <t>23480.14</t>
  </si>
  <si>
    <t>FV/23/PP/8570/23</t>
  </si>
  <si>
    <t>PZ/801964</t>
  </si>
  <si>
    <t>17954.6</t>
  </si>
  <si>
    <t>FV/40/PP/4405/23</t>
  </si>
  <si>
    <t>PZ/801965</t>
  </si>
  <si>
    <t>21225.09</t>
  </si>
  <si>
    <t>FV/POL/83781/2023</t>
  </si>
  <si>
    <t>PZ/801966</t>
  </si>
  <si>
    <t>11940.46</t>
  </si>
  <si>
    <t>FV/82/PP/1546/23</t>
  </si>
  <si>
    <t>PZ/801967</t>
  </si>
  <si>
    <t>16246.12</t>
  </si>
  <si>
    <t>FV/M/4210/P/23</t>
  </si>
  <si>
    <t>PZ/801968</t>
  </si>
  <si>
    <t>19761.26</t>
  </si>
  <si>
    <t>FV/43/PP/5175/23</t>
  </si>
  <si>
    <t>PZ/801969</t>
  </si>
  <si>
    <t>12238.41</t>
  </si>
  <si>
    <t>FV/M/4199/P/23</t>
  </si>
  <si>
    <t>PZ/801970</t>
  </si>
  <si>
    <t>14204.73</t>
  </si>
  <si>
    <t>FV/CENFA/389878/23</t>
  </si>
  <si>
    <t>PZ/801971</t>
  </si>
  <si>
    <t>16809.63</t>
  </si>
  <si>
    <t>FV/27935/VDb/2023</t>
  </si>
  <si>
    <t>PZ/801972</t>
  </si>
  <si>
    <t>21901.06</t>
  </si>
  <si>
    <t>FV/43537/VDb/2023</t>
  </si>
  <si>
    <t>PZ/801973</t>
  </si>
  <si>
    <t>18108.06</t>
  </si>
  <si>
    <t>FV/89/SAL/24</t>
  </si>
  <si>
    <t>PZ/801974</t>
  </si>
  <si>
    <t>8948.12</t>
  </si>
  <si>
    <t>FV/57/SAL/24</t>
  </si>
  <si>
    <t>PZ/801975</t>
  </si>
  <si>
    <t>13807.17</t>
  </si>
  <si>
    <t>FV/36691/VDb/2024</t>
  </si>
  <si>
    <t>PZ/801976</t>
  </si>
  <si>
    <t>10571.5</t>
  </si>
  <si>
    <t>FV/POL/64960/2024</t>
  </si>
  <si>
    <t>PZ/801977</t>
  </si>
  <si>
    <t>23842.54</t>
  </si>
  <si>
    <t>FV/60/PP/1099/24</t>
  </si>
  <si>
    <t>PZ/801978</t>
  </si>
  <si>
    <t>19012.03</t>
  </si>
  <si>
    <t>FV/CENFA/413376/24</t>
  </si>
  <si>
    <t>PZ/801979</t>
  </si>
  <si>
    <t>15700.46</t>
  </si>
  <si>
    <t>FV/CENFA/525906/24</t>
  </si>
  <si>
    <t>PZ/801980</t>
  </si>
  <si>
    <t>14863.94</t>
  </si>
  <si>
    <t>FV/4556/NOVA/24</t>
  </si>
  <si>
    <t>PZ/801981</t>
  </si>
  <si>
    <t>13300.32</t>
  </si>
  <si>
    <t>FV/75/SAL/24</t>
  </si>
  <si>
    <t>PZ/801982</t>
  </si>
  <si>
    <t>16978.56</t>
  </si>
  <si>
    <t>FV/POL/59787/2024</t>
  </si>
  <si>
    <t>PZ/801983</t>
  </si>
  <si>
    <t>22714.46</t>
  </si>
  <si>
    <t>FV/POL/79256/2024</t>
  </si>
  <si>
    <t>PZ/801984</t>
  </si>
  <si>
    <t>-2676.91</t>
  </si>
  <si>
    <t>FV/95/SAL/24</t>
  </si>
  <si>
    <t>PZ/801985</t>
  </si>
  <si>
    <t>21554.09</t>
  </si>
  <si>
    <t>FV/2066HM/24</t>
  </si>
  <si>
    <t>PZ/801986</t>
  </si>
  <si>
    <t>17174.28</t>
  </si>
  <si>
    <t>FV/POL/72556/2024</t>
  </si>
  <si>
    <t>PZ/801987</t>
  </si>
  <si>
    <t>10134.63</t>
  </si>
  <si>
    <t>FV/CENFA/978051/24</t>
  </si>
  <si>
    <t>PZ/801988</t>
  </si>
  <si>
    <t>9371.05</t>
  </si>
  <si>
    <t>FV/M/5925/P/24</t>
  </si>
  <si>
    <t>PZ/801989</t>
  </si>
  <si>
    <t>6173.7</t>
  </si>
  <si>
    <t>FV/86273/VDb/2024</t>
  </si>
  <si>
    <t>PZ/801990</t>
  </si>
  <si>
    <t>15865.16</t>
  </si>
  <si>
    <t>FV/M/5472/P/24</t>
  </si>
  <si>
    <t>PZ/801991</t>
  </si>
  <si>
    <t>19817.74</t>
  </si>
  <si>
    <t>FV/POL/16226/2024</t>
  </si>
  <si>
    <t>PZ/801992</t>
  </si>
  <si>
    <t>9540.06</t>
  </si>
  <si>
    <t>FV/51/PP/2619/24</t>
  </si>
  <si>
    <t>PZ/801993</t>
  </si>
  <si>
    <t>8299.55</t>
  </si>
  <si>
    <t>PZ/801994</t>
  </si>
  <si>
    <t>10260.01</t>
  </si>
  <si>
    <t>FV/M/9870/P/24</t>
  </si>
  <si>
    <t>PZ/801995</t>
  </si>
  <si>
    <t>12914.29</t>
  </si>
  <si>
    <t>FV/8484HM/24</t>
  </si>
  <si>
    <t>PZ/801996</t>
  </si>
  <si>
    <t>9046.45</t>
  </si>
  <si>
    <t>FV/M/3812/P/24</t>
  </si>
  <si>
    <t>PZ/801997</t>
  </si>
  <si>
    <t>15132.42</t>
  </si>
  <si>
    <t>FV/POL/63014/2024</t>
  </si>
  <si>
    <t>PZ/801998</t>
  </si>
  <si>
    <t>8513.33</t>
  </si>
  <si>
    <t>FV/4653HM/24</t>
  </si>
  <si>
    <t>PZ/801999</t>
  </si>
  <si>
    <t>18159.71</t>
  </si>
  <si>
    <t>FV/39492/VDb/2024</t>
  </si>
  <si>
    <t>PZ/802000</t>
  </si>
  <si>
    <t>7769.41</t>
  </si>
  <si>
    <t>FV/CENFA/123539/24</t>
  </si>
  <si>
    <t>PZ/802001</t>
  </si>
  <si>
    <t>-1292.92</t>
  </si>
  <si>
    <t>FV/12/SAL/24</t>
  </si>
  <si>
    <t>PZ/802002</t>
  </si>
  <si>
    <t>-740.9</t>
  </si>
  <si>
    <t>FV/39912/VDb/2024</t>
  </si>
  <si>
    <t>PZ/802003</t>
  </si>
  <si>
    <t>17624.64</t>
  </si>
  <si>
    <t>FV/M/4560/P/24</t>
  </si>
  <si>
    <t>PZ/802004</t>
  </si>
  <si>
    <t>21688.03</t>
  </si>
  <si>
    <t>FV/14787/VDb/2024</t>
  </si>
  <si>
    <t>PZ/802005</t>
  </si>
  <si>
    <t>-671.36</t>
  </si>
  <si>
    <t>FV/54/SAL/24</t>
  </si>
  <si>
    <t>PZ/802006</t>
  </si>
  <si>
    <t>12648.85</t>
  </si>
  <si>
    <t>FV/69894/VDb/2024</t>
  </si>
  <si>
    <t>PZ/802007</t>
  </si>
  <si>
    <t>13752.13</t>
  </si>
  <si>
    <t>FV/47716/VDb/2024</t>
  </si>
  <si>
    <t>PZ/802008</t>
  </si>
  <si>
    <t>14247.19</t>
  </si>
  <si>
    <t>FV/21963/VDb/2024</t>
  </si>
  <si>
    <t>PZ/802009</t>
  </si>
  <si>
    <t>14447.1</t>
  </si>
  <si>
    <t>FV/POL/46506/2024</t>
  </si>
  <si>
    <t>PZ/802010</t>
  </si>
  <si>
    <t>19163.46</t>
  </si>
  <si>
    <t>FV/M/7004/P/24</t>
  </si>
  <si>
    <t>PZ/802011</t>
  </si>
  <si>
    <t>15193.27</t>
  </si>
  <si>
    <t>FV/46/PP/8478/24</t>
  </si>
  <si>
    <t>PZ/802012</t>
  </si>
  <si>
    <t>15802.34</t>
  </si>
  <si>
    <t>FV/3709/NOVA/24</t>
  </si>
  <si>
    <t>PZ/802013</t>
  </si>
  <si>
    <t>21530.13</t>
  </si>
  <si>
    <t>FV/M/1352/P/24</t>
  </si>
  <si>
    <t>PZ/802014</t>
  </si>
  <si>
    <t>12030.78</t>
  </si>
  <si>
    <t>FV/88/PP/8509/24</t>
  </si>
  <si>
    <t>PZ/802015</t>
  </si>
  <si>
    <t>15331.96</t>
  </si>
  <si>
    <t>FV/5024HM/24</t>
  </si>
  <si>
    <t>PZ/802016</t>
  </si>
  <si>
    <t>23418.99</t>
  </si>
  <si>
    <t>FV/POL/93611/2024</t>
  </si>
  <si>
    <t>PZ/802017</t>
  </si>
  <si>
    <t>18609.48</t>
  </si>
  <si>
    <t>FV/CENFA/501904/24</t>
  </si>
  <si>
    <t>PZ/802018</t>
  </si>
  <si>
    <t>12770.24</t>
  </si>
  <si>
    <t>FV/POL/72092/2024</t>
  </si>
  <si>
    <t>PZ/802019</t>
  </si>
  <si>
    <t>20868.56</t>
  </si>
  <si>
    <t>FV/POL/48111/2024</t>
  </si>
  <si>
    <t>PZ/802020</t>
  </si>
  <si>
    <t>14828.69</t>
  </si>
  <si>
    <t>FV/12/PP/8926/24</t>
  </si>
  <si>
    <t>PZ/802021</t>
  </si>
  <si>
    <t>24527.04</t>
  </si>
  <si>
    <t>FV/26/SAL/24</t>
  </si>
  <si>
    <t>PZ/802022</t>
  </si>
  <si>
    <t>14762.2</t>
  </si>
  <si>
    <t>FV/20004/VDb/2024</t>
  </si>
  <si>
    <t>PZ/802023</t>
  </si>
  <si>
    <t>6412.53</t>
  </si>
  <si>
    <t>FV/1992HM/24</t>
  </si>
  <si>
    <t>PZ/802024</t>
  </si>
  <si>
    <t>12714.66</t>
  </si>
  <si>
    <t>FV/M/2696/P/24</t>
  </si>
  <si>
    <t>PZ/802025</t>
  </si>
  <si>
    <t>19028.5</t>
  </si>
  <si>
    <t>FV/M/4971/P/24</t>
  </si>
  <si>
    <t>PZ/802026</t>
  </si>
  <si>
    <t>15911.93</t>
  </si>
  <si>
    <t>FV/8073/NOVA/24</t>
  </si>
  <si>
    <t>PZ/802027</t>
  </si>
  <si>
    <t>15446.85</t>
  </si>
  <si>
    <t>FV/35/SAL/24</t>
  </si>
  <si>
    <t>PZ/802028</t>
  </si>
  <si>
    <t>18385.22</t>
  </si>
  <si>
    <t>FV/CENFA/109487/24</t>
  </si>
  <si>
    <t>PZ/802029</t>
  </si>
  <si>
    <t>17358.1</t>
  </si>
  <si>
    <t>FV/POL/92127/2024</t>
  </si>
  <si>
    <t>PZ/802030</t>
  </si>
  <si>
    <t>15209.59</t>
  </si>
  <si>
    <t>FV/65/SAL/24</t>
  </si>
  <si>
    <t>PZ/802031</t>
  </si>
  <si>
    <t>11587.78</t>
  </si>
  <si>
    <t>FV/57/PP/8905/24</t>
  </si>
  <si>
    <t>PZ/802032</t>
  </si>
  <si>
    <t>17525.97</t>
  </si>
  <si>
    <t>FV/1547/NOVA/24</t>
  </si>
  <si>
    <t>PZ/802033</t>
  </si>
  <si>
    <t>21307.84</t>
  </si>
  <si>
    <t>FV/9905/NOVA/24</t>
  </si>
  <si>
    <t>PZ/802034</t>
  </si>
  <si>
    <t>27948.93</t>
  </si>
  <si>
    <t>FV/19/SAL/24</t>
  </si>
  <si>
    <t>PZ/802035</t>
  </si>
  <si>
    <t>10242.51</t>
  </si>
  <si>
    <t>FV/50/SAL/24</t>
  </si>
  <si>
    <t>PZ/802036</t>
  </si>
  <si>
    <t>9836.59</t>
  </si>
  <si>
    <t>FV/97602/VDb/2024</t>
  </si>
  <si>
    <t>PZ/802037</t>
  </si>
  <si>
    <t>9202.71</t>
  </si>
  <si>
    <t>FV/86/PP/1949/24</t>
  </si>
  <si>
    <t>PZ/802038</t>
  </si>
  <si>
    <t>13726.99</t>
  </si>
  <si>
    <t>FV/CENFA/482007/24</t>
  </si>
  <si>
    <t>PZ/802039</t>
  </si>
  <si>
    <t>15819.17</t>
  </si>
  <si>
    <t>FV/CENFA/487810/24</t>
  </si>
  <si>
    <t>PZ/802040</t>
  </si>
  <si>
    <t>19498.23</t>
  </si>
  <si>
    <t>FV/64937/VDb/2024</t>
  </si>
  <si>
    <t>PZ/802041</t>
  </si>
  <si>
    <t>20948.42</t>
  </si>
  <si>
    <t>FV/POL/24692/2024</t>
  </si>
  <si>
    <t>PZ/802042</t>
  </si>
  <si>
    <t>18824.81</t>
  </si>
  <si>
    <t>FV/53347/VDb/2024</t>
  </si>
  <si>
    <t>PZ/802043</t>
  </si>
  <si>
    <t>8588.87</t>
  </si>
  <si>
    <t>FV/58208/VDb/2024</t>
  </si>
  <si>
    <t>PZ/802044</t>
  </si>
  <si>
    <t>-61.89</t>
  </si>
  <si>
    <t>FV/13/SAL/24</t>
  </si>
  <si>
    <t>PZ/802045</t>
  </si>
  <si>
    <t>18180.26</t>
  </si>
  <si>
    <t>FV/15/SAL/24</t>
  </si>
  <si>
    <t>PZ/802046</t>
  </si>
  <si>
    <t>8744.97</t>
  </si>
  <si>
    <t>FV/CENFA/423417/24</t>
  </si>
  <si>
    <t>PZ/802047</t>
  </si>
  <si>
    <t>16155.47</t>
  </si>
  <si>
    <t>FV/M/5018/P/24</t>
  </si>
  <si>
    <t>PZ/802048</t>
  </si>
  <si>
    <t>10213.99</t>
  </si>
  <si>
    <t>FV/46/SAL/24</t>
  </si>
  <si>
    <t>PZ/802049</t>
  </si>
  <si>
    <t>20605.81</t>
  </si>
  <si>
    <t>FV/CENFA/249043/24</t>
  </si>
  <si>
    <t>PZ/802050</t>
  </si>
  <si>
    <t>18085.89</t>
  </si>
  <si>
    <t>FV/M/7686/P/24</t>
  </si>
  <si>
    <t>PZ/802051</t>
  </si>
  <si>
    <t>15961.21</t>
  </si>
  <si>
    <t>FV/CENFA/884503/24</t>
  </si>
  <si>
    <t>PZ/802052</t>
  </si>
  <si>
    <t>15837.05</t>
  </si>
  <si>
    <t>FV/5181HM/24</t>
  </si>
  <si>
    <t>PZ/802053</t>
  </si>
  <si>
    <t>13205.6</t>
  </si>
  <si>
    <t>FV/POL/97475/2024</t>
  </si>
  <si>
    <t>PZ/802054</t>
  </si>
  <si>
    <t>13966.52</t>
  </si>
  <si>
    <t>FV/CENFA/328497/24</t>
  </si>
  <si>
    <t>PZ/802055</t>
  </si>
  <si>
    <t>9243.48</t>
  </si>
  <si>
    <t>FV/94674/VDb/2024</t>
  </si>
  <si>
    <t>PZ/802056</t>
  </si>
  <si>
    <t>7733.64</t>
  </si>
  <si>
    <t>FV/6582/NOVA/24</t>
  </si>
  <si>
    <t>PZ/802057</t>
  </si>
  <si>
    <t>6942.92</t>
  </si>
  <si>
    <t>FV/8761/NOVA/24</t>
  </si>
  <si>
    <t>PZ/802058</t>
  </si>
  <si>
    <t>17798.95</t>
  </si>
  <si>
    <t>FV/8956HM/24</t>
  </si>
  <si>
    <t>PZ/802059</t>
  </si>
  <si>
    <t>19580.29</t>
  </si>
  <si>
    <t>FV/2538/NOVA/24</t>
  </si>
  <si>
    <t>PZ/802060</t>
  </si>
  <si>
    <t>19962.34</t>
  </si>
  <si>
    <t>FV/POL/84335/2024</t>
  </si>
  <si>
    <t>PZ/802061</t>
  </si>
  <si>
    <t>19451.0</t>
  </si>
  <si>
    <t>FV/65927/VDb/2024</t>
  </si>
  <si>
    <t>PZ/802062</t>
  </si>
  <si>
    <t>13869.21</t>
  </si>
  <si>
    <t>FV/POL/30758/2024</t>
  </si>
  <si>
    <t>PZ/802063</t>
  </si>
  <si>
    <t>13143.58</t>
  </si>
  <si>
    <t>FV/1823/NOVA/24</t>
  </si>
  <si>
    <t>PZ/802064</t>
  </si>
  <si>
    <t>18609.09</t>
  </si>
  <si>
    <t>FV/33/PP/5508/24</t>
  </si>
  <si>
    <t>PZ/802065</t>
  </si>
  <si>
    <t>8844.2</t>
  </si>
  <si>
    <t>FV/47/PP/8494/24</t>
  </si>
  <si>
    <t>PZ/802066</t>
  </si>
  <si>
    <t>17810.53</t>
  </si>
  <si>
    <t>FV/9154HM/24</t>
  </si>
  <si>
    <t>PZ/802067</t>
  </si>
  <si>
    <t>6512.48</t>
  </si>
  <si>
    <t>FV/7064/NOVA/24</t>
  </si>
  <si>
    <t>PZ/802068</t>
  </si>
  <si>
    <t>18467.39</t>
  </si>
  <si>
    <t>FV/4265HM/24</t>
  </si>
  <si>
    <t>PZ/802069</t>
  </si>
  <si>
    <t>22850.44</t>
  </si>
  <si>
    <t>FV/34775/VDb/2024</t>
  </si>
  <si>
    <t>PZ/802070</t>
  </si>
  <si>
    <t>14031.93</t>
  </si>
  <si>
    <t>FV/M/6654/P/24</t>
  </si>
  <si>
    <t>PZ/802071</t>
  </si>
  <si>
    <t>-1442.96</t>
  </si>
  <si>
    <t>FV/CENFA/303937/24</t>
  </si>
  <si>
    <t>PZ/802072</t>
  </si>
  <si>
    <t>15107.54</t>
  </si>
  <si>
    <t>FV/M/6396/P/24</t>
  </si>
  <si>
    <t>PZ/802073</t>
  </si>
  <si>
    <t>10079.32</t>
  </si>
  <si>
    <t>FV/7503HM/24</t>
  </si>
  <si>
    <t>PZ/802074</t>
  </si>
  <si>
    <t>18002.83</t>
  </si>
  <si>
    <t>FV/3026HM/24</t>
  </si>
  <si>
    <t>PZ/802075</t>
  </si>
  <si>
    <t>8832.68</t>
  </si>
  <si>
    <t>FV/POL/66403/2024</t>
  </si>
  <si>
    <t>PZ/802076</t>
  </si>
  <si>
    <t>15138.93</t>
  </si>
  <si>
    <t>FV/5207HM/24</t>
  </si>
  <si>
    <t>PZ/802077</t>
  </si>
  <si>
    <t>7941.64</t>
  </si>
  <si>
    <t>FV/6444/NOVA/24</t>
  </si>
  <si>
    <t>PZ/802078</t>
  </si>
  <si>
    <t>8240.42</t>
  </si>
  <si>
    <t>FV/POL/57729/2024</t>
  </si>
  <si>
    <t>PZ/802079</t>
  </si>
  <si>
    <t>-1171.36</t>
  </si>
  <si>
    <t>FV/6507HM/24</t>
  </si>
  <si>
    <t>PZ/802080</t>
  </si>
  <si>
    <t>-1488.93</t>
  </si>
  <si>
    <t>PZ/802081</t>
  </si>
  <si>
    <t>13674.6</t>
  </si>
  <si>
    <t>FV/16881/VDb/2024</t>
  </si>
  <si>
    <t>PZ/802082</t>
  </si>
  <si>
    <t>13261.93</t>
  </si>
  <si>
    <t>FV/42/SAL/24</t>
  </si>
  <si>
    <t>PZ/802083</t>
  </si>
  <si>
    <t>14020.17</t>
  </si>
  <si>
    <t>FV/POL/97105/2024</t>
  </si>
  <si>
    <t>PZ/802084</t>
  </si>
  <si>
    <t>17896.24</t>
  </si>
  <si>
    <t>FV/M/7978/P/24</t>
  </si>
  <si>
    <t>PZ/802085</t>
  </si>
  <si>
    <t>10890.84</t>
  </si>
  <si>
    <t>FV/99395/VDb/2024</t>
  </si>
  <si>
    <t>PZ/802086</t>
  </si>
  <si>
    <t>11216.18</t>
  </si>
  <si>
    <t>FV/7076HM/24</t>
  </si>
  <si>
    <t>PZ/802087</t>
  </si>
  <si>
    <t>8871.06</t>
  </si>
  <si>
    <t>FV/4261HM/24</t>
  </si>
  <si>
    <t>PZ/802088</t>
  </si>
  <si>
    <t>14400.88</t>
  </si>
  <si>
    <t>FV/3029/NOVA/24</t>
  </si>
  <si>
    <t>PZ/802089</t>
  </si>
  <si>
    <t>18423.77</t>
  </si>
  <si>
    <t>FV/15/PP/4107/24</t>
  </si>
  <si>
    <t>PZ/802090</t>
  </si>
  <si>
    <t>8188.43</t>
  </si>
  <si>
    <t>FV/62/SAL/24</t>
  </si>
  <si>
    <t>PZ/802091</t>
  </si>
  <si>
    <t>11323.8</t>
  </si>
  <si>
    <t>FV/74/SAL/24</t>
  </si>
  <si>
    <t>PZ/802092</t>
  </si>
  <si>
    <t>16281.36</t>
  </si>
  <si>
    <t>FV/9971HM/24</t>
  </si>
  <si>
    <t>PZ/802093</t>
  </si>
  <si>
    <t>8955.43</t>
  </si>
  <si>
    <t>FV/23307/VDb/2024</t>
  </si>
  <si>
    <t>PZ/802094</t>
  </si>
  <si>
    <t>10883.22</t>
  </si>
  <si>
    <t>FV/44/SAL/24</t>
  </si>
  <si>
    <t>PZ/802095</t>
  </si>
  <si>
    <t>14202.72</t>
  </si>
  <si>
    <t>FV/6133HM/24</t>
  </si>
  <si>
    <t>PZ/802096</t>
  </si>
  <si>
    <t>14240.66</t>
  </si>
  <si>
    <t>FV/45/PP/1107/24</t>
  </si>
  <si>
    <t>PZ/802097</t>
  </si>
  <si>
    <t>17432.1</t>
  </si>
  <si>
    <t>FV/M/7761/P/24</t>
  </si>
  <si>
    <t>PZ/802098</t>
  </si>
  <si>
    <t>24233.14</t>
  </si>
  <si>
    <t>FV/POL/35688/2024</t>
  </si>
  <si>
    <t>PZ/802099</t>
  </si>
  <si>
    <t>8126.08</t>
  </si>
  <si>
    <t>FV/24760/VDb/2024</t>
  </si>
  <si>
    <t>PZ/802100</t>
  </si>
  <si>
    <t>9448.72</t>
  </si>
  <si>
    <t>FV/POL/64104/2024</t>
  </si>
  <si>
    <t>PZ/802101</t>
  </si>
  <si>
    <t>16237.66</t>
  </si>
  <si>
    <t>FV/75552/VDb/2024</t>
  </si>
  <si>
    <t>PZ/802102</t>
  </si>
  <si>
    <t>17782.24</t>
  </si>
  <si>
    <t>FV/POL/94152/2024</t>
  </si>
  <si>
    <t>PZ/802103</t>
  </si>
  <si>
    <t>-242.78</t>
  </si>
  <si>
    <t>FV/7360HM/24</t>
  </si>
  <si>
    <t>PZ/802104</t>
  </si>
  <si>
    <t>12810.42</t>
  </si>
  <si>
    <t>FV/M/5073/P/24</t>
  </si>
  <si>
    <t>PZ/802105</t>
  </si>
  <si>
    <t>13494.57</t>
  </si>
  <si>
    <t>FV/6725HM/24</t>
  </si>
  <si>
    <t>PZ/802106</t>
  </si>
  <si>
    <t>9677.04</t>
  </si>
  <si>
    <t>FV/POL/24307/2024</t>
  </si>
  <si>
    <t>PZ/802107</t>
  </si>
  <si>
    <t>17168.29</t>
  </si>
  <si>
    <t>FV/55/PP/2982/24</t>
  </si>
  <si>
    <t>PZ/802108</t>
  </si>
  <si>
    <t>16159.46</t>
  </si>
  <si>
    <t>FV/CENFA/577930/24</t>
  </si>
  <si>
    <t>PZ/802109</t>
  </si>
  <si>
    <t>12163.02</t>
  </si>
  <si>
    <t>FV/M/9062/P/24</t>
  </si>
  <si>
    <t>PZ/802110</t>
  </si>
  <si>
    <t>14503.05</t>
  </si>
  <si>
    <t>FV/60/SAL/24</t>
  </si>
  <si>
    <t>PZ/802111</t>
  </si>
  <si>
    <t>13815.9</t>
  </si>
  <si>
    <t>FV/9428/NOVA/24</t>
  </si>
  <si>
    <t>PZ/802112</t>
  </si>
  <si>
    <t>12735.63</t>
  </si>
  <si>
    <t>FV/3823/NOVA/24</t>
  </si>
  <si>
    <t>PZ/802113</t>
  </si>
  <si>
    <t>21940.8</t>
  </si>
  <si>
    <t>FV/7380HM/24</t>
  </si>
  <si>
    <t>PZ/802114</t>
  </si>
  <si>
    <t>19159.56</t>
  </si>
  <si>
    <t>FV/64/PP/7269/24</t>
  </si>
  <si>
    <t>PZ/802115</t>
  </si>
  <si>
    <t>13812.92</t>
  </si>
  <si>
    <t>FV/CENFA/324048/24</t>
  </si>
  <si>
    <t>PZ/802116</t>
  </si>
  <si>
    <t>14504.27</t>
  </si>
  <si>
    <t>FV/8783/NOVA/24</t>
  </si>
  <si>
    <t>PZ/802117</t>
  </si>
  <si>
    <t>12297.48</t>
  </si>
  <si>
    <t>FV/4743/NOVA/24</t>
  </si>
  <si>
    <t>PZ/802118</t>
  </si>
  <si>
    <t>12512.19</t>
  </si>
  <si>
    <t>FV/CENFA/598312/24</t>
  </si>
  <si>
    <t>PZ/802119</t>
  </si>
  <si>
    <t>18378.3</t>
  </si>
  <si>
    <t>FV/6779/NOVA/24</t>
  </si>
  <si>
    <t>PZ/802120</t>
  </si>
  <si>
    <t>19249.28</t>
  </si>
  <si>
    <t>FV/59410/VDb/2024</t>
  </si>
  <si>
    <t>PZ/802121</t>
  </si>
  <si>
    <t>14602.17</t>
  </si>
  <si>
    <t>FV/63/PP/3604/24</t>
  </si>
  <si>
    <t>PZ/802122</t>
  </si>
  <si>
    <t>15019.4</t>
  </si>
  <si>
    <t>FV/56153/VDb/2024</t>
  </si>
  <si>
    <t>PZ/802123</t>
  </si>
  <si>
    <t>16277.8</t>
  </si>
  <si>
    <t>FV/M/4643/P/24</t>
  </si>
  <si>
    <t>PZ/802124</t>
  </si>
  <si>
    <t>9512.09</t>
  </si>
  <si>
    <t>FV/CENFA/443348/24</t>
  </si>
  <si>
    <t>PZ/802125</t>
  </si>
  <si>
    <t>14082.84</t>
  </si>
  <si>
    <t>FV/32/PP/7644/24</t>
  </si>
  <si>
    <t>PZ/802126</t>
  </si>
  <si>
    <t>15943.65</t>
  </si>
  <si>
    <t>FV/1000HM/24</t>
  </si>
  <si>
    <t>PZ/802127</t>
  </si>
  <si>
    <t>16578.29</t>
  </si>
  <si>
    <t>FV/POL/64089/2024</t>
  </si>
  <si>
    <t>PZ/802128</t>
  </si>
  <si>
    <t>25390.45</t>
  </si>
  <si>
    <t>FV/6455/NOVA/24</t>
  </si>
  <si>
    <t>PZ/802129</t>
  </si>
  <si>
    <t>20640.61</t>
  </si>
  <si>
    <t>FV/5979/NOVA/24</t>
  </si>
  <si>
    <t>PZ/802130</t>
  </si>
  <si>
    <t>13039.21</t>
  </si>
  <si>
    <t>FV/64527/VDb/2024</t>
  </si>
  <si>
    <t>PZ/802131</t>
  </si>
  <si>
    <t>-1695.4</t>
  </si>
  <si>
    <t>FV/44/PP/4837/24</t>
  </si>
  <si>
    <t>PZ/802132</t>
  </si>
  <si>
    <t>16189.26</t>
  </si>
  <si>
    <t>FV/57/PP/3543/24</t>
  </si>
  <si>
    <t>PZ/802133</t>
  </si>
  <si>
    <t>14718.06</t>
  </si>
  <si>
    <t>FV/M/2544/P/24</t>
  </si>
  <si>
    <t>PZ/802134</t>
  </si>
  <si>
    <t>12934.06</t>
  </si>
  <si>
    <t>FV/11/PP/3656/24</t>
  </si>
  <si>
    <t>PZ/802135</t>
  </si>
  <si>
    <t>13897.2</t>
  </si>
  <si>
    <t>FV/CENFA/879309/24</t>
  </si>
  <si>
    <t>PZ/802136</t>
  </si>
  <si>
    <t>16910.78</t>
  </si>
  <si>
    <t>FV/2560HM/24</t>
  </si>
  <si>
    <t>PZ/802137</t>
  </si>
  <si>
    <t>17983.07</t>
  </si>
  <si>
    <t>FV/M/4451/P/24</t>
  </si>
  <si>
    <t>PZ/802138</t>
  </si>
  <si>
    <t>14195.12</t>
  </si>
  <si>
    <t>FV/CENFA/424146/24</t>
  </si>
  <si>
    <t>PZ/802139</t>
  </si>
  <si>
    <t>16774.94</t>
  </si>
  <si>
    <t>FV/9098HM/24</t>
  </si>
  <si>
    <t>PZ/802140</t>
  </si>
  <si>
    <t>7917.73</t>
  </si>
  <si>
    <t>FV/93/PP/8125/24</t>
  </si>
  <si>
    <t>PZ/802141</t>
  </si>
  <si>
    <t>11534.23</t>
  </si>
  <si>
    <t>FV/18/SAL/24</t>
  </si>
  <si>
    <t>PZ/802142</t>
  </si>
  <si>
    <t>11095.52</t>
  </si>
  <si>
    <t>FV/M/8179/P/24</t>
  </si>
  <si>
    <t>PZ/802143</t>
  </si>
  <si>
    <t>7800.56</t>
  </si>
  <si>
    <t>FV/13627/VDb/2024</t>
  </si>
  <si>
    <t>PZ/802144</t>
  </si>
  <si>
    <t>10996.75</t>
  </si>
  <si>
    <t>PZ/802145</t>
  </si>
  <si>
    <t>15610.07</t>
  </si>
  <si>
    <t>FV/CENFA/224381/24</t>
  </si>
  <si>
    <t>PZ/802146</t>
  </si>
  <si>
    <t>15629.91</t>
  </si>
  <si>
    <t>FV/M/7667/P/24</t>
  </si>
  <si>
    <t>PZ/802147</t>
  </si>
  <si>
    <t>17657.1</t>
  </si>
  <si>
    <t>FV/1083HM/24</t>
  </si>
  <si>
    <t>PZ/802148</t>
  </si>
  <si>
    <t>10219.8</t>
  </si>
  <si>
    <t>FV/3398HM/24</t>
  </si>
  <si>
    <t>PZ/802149</t>
  </si>
  <si>
    <t>17557.28</t>
  </si>
  <si>
    <t>FV/POL/54537/2024</t>
  </si>
  <si>
    <t>PZ/802150</t>
  </si>
  <si>
    <t>18092.88</t>
  </si>
  <si>
    <t>FV/49/PP/9361/24</t>
  </si>
  <si>
    <t>PZ/802151</t>
  </si>
  <si>
    <t>15481.58</t>
  </si>
  <si>
    <t>FV/POL/89096/2024</t>
  </si>
  <si>
    <t>PZ/802152</t>
  </si>
  <si>
    <t>4193.33</t>
  </si>
  <si>
    <t>FV/CENFA/903163/24</t>
  </si>
  <si>
    <t>PZ/802153</t>
  </si>
  <si>
    <t>17067.16</t>
  </si>
  <si>
    <t>FV/CENFA/532464/24</t>
  </si>
  <si>
    <t>PZ/802154</t>
  </si>
  <si>
    <t>27044.47</t>
  </si>
  <si>
    <t>FV/8305HM/24</t>
  </si>
  <si>
    <t>PZ/802155</t>
  </si>
  <si>
    <t>12906.53</t>
  </si>
  <si>
    <t>PZ/802156</t>
  </si>
  <si>
    <t>21368.75</t>
  </si>
  <si>
    <t>FV/57026/VDb/2024</t>
  </si>
  <si>
    <t>PZ/802157</t>
  </si>
  <si>
    <t>18423.23</t>
  </si>
  <si>
    <t>FV/M/3250/P/24</t>
  </si>
  <si>
    <t>PZ/802158</t>
  </si>
  <si>
    <t>11259.87</t>
  </si>
  <si>
    <t>FV/CENFA/434477/24</t>
  </si>
  <si>
    <t>PZ/802159</t>
  </si>
  <si>
    <t>19805.9</t>
  </si>
  <si>
    <t>FV/50621/VDb/2024</t>
  </si>
  <si>
    <t>PZ/802160</t>
  </si>
  <si>
    <t>9893.55</t>
  </si>
  <si>
    <t>FV/36/SAL/24</t>
  </si>
  <si>
    <t>PZ/802161</t>
  </si>
  <si>
    <t>14038.56</t>
  </si>
  <si>
    <t>FV/M/1442/P/24</t>
  </si>
  <si>
    <t>PZ/802162</t>
  </si>
  <si>
    <t>5521.31</t>
  </si>
  <si>
    <t>FV/11/PP/2770/24</t>
  </si>
  <si>
    <t>PZ/802163</t>
  </si>
  <si>
    <t>15099.78</t>
  </si>
  <si>
    <t>FV/POL/40804/2024</t>
  </si>
  <si>
    <t>PZ/802164</t>
  </si>
  <si>
    <t>11939.68</t>
  </si>
  <si>
    <t>FV/8705HM/24</t>
  </si>
  <si>
    <t>PZ/802165</t>
  </si>
  <si>
    <t>13369.75</t>
  </si>
  <si>
    <t>FV/M/8156/P/24</t>
  </si>
  <si>
    <t>PZ/802166</t>
  </si>
  <si>
    <t>8697.22</t>
  </si>
  <si>
    <t>FV/20/PP/4976/24</t>
  </si>
  <si>
    <t>PZ/802167</t>
  </si>
  <si>
    <t>10116.56</t>
  </si>
  <si>
    <t>FV/CENFA/822576/24</t>
  </si>
  <si>
    <t>PZ/802168</t>
  </si>
  <si>
    <t>8898.2</t>
  </si>
  <si>
    <t>FV/9445/NOVA/24</t>
  </si>
  <si>
    <t>PZ/802169</t>
  </si>
  <si>
    <t>13999.91</t>
  </si>
  <si>
    <t>FV/19371/VDb/2024</t>
  </si>
  <si>
    <t>PZ/802170</t>
  </si>
  <si>
    <t>10552.76</t>
  </si>
  <si>
    <t>FV/M/5124/P/24</t>
  </si>
  <si>
    <t>PZ/802171</t>
  </si>
  <si>
    <t>8487.06</t>
  </si>
  <si>
    <t>FV/46/PP/2913/24</t>
  </si>
  <si>
    <t>PZ/802172</t>
  </si>
  <si>
    <t>14045.82</t>
  </si>
  <si>
    <t>FV/M/6686/P/24</t>
  </si>
  <si>
    <t>PZ/802173</t>
  </si>
  <si>
    <t>18775.93</t>
  </si>
  <si>
    <t>FV/POL/29829/2024</t>
  </si>
  <si>
    <t>PZ/802174</t>
  </si>
  <si>
    <t>18760.58</t>
  </si>
  <si>
    <t>FV/M/5408/P/24</t>
  </si>
  <si>
    <t>PZ/802175</t>
  </si>
  <si>
    <t>14939.5</t>
  </si>
  <si>
    <t>FV/CENFA/173142/24</t>
  </si>
  <si>
    <t>PZ/802176</t>
  </si>
  <si>
    <t>17638.23</t>
  </si>
  <si>
    <t>PZ/802177</t>
  </si>
  <si>
    <t>18420.12</t>
  </si>
  <si>
    <t>FV/CENFA/783244/24</t>
  </si>
  <si>
    <t>PZ/802178</t>
  </si>
  <si>
    <t>22474.97</t>
  </si>
  <si>
    <t>FV/80/SAL/24</t>
  </si>
  <si>
    <t>PZ/802179</t>
  </si>
  <si>
    <t>15964.28</t>
  </si>
  <si>
    <t>FV/POL/83329/2024</t>
  </si>
  <si>
    <t>PZ/802180</t>
  </si>
  <si>
    <t>16509.83</t>
  </si>
  <si>
    <t>FV/90/PP/9973/24</t>
  </si>
  <si>
    <t>PZ/802181</t>
  </si>
  <si>
    <t>21186.04</t>
  </si>
  <si>
    <t>FV/1912/NOVA/24</t>
  </si>
  <si>
    <t>PZ/802182</t>
  </si>
  <si>
    <t>14711.41</t>
  </si>
  <si>
    <t>FV/14/SAL/24</t>
  </si>
  <si>
    <t>PZ/802183</t>
  </si>
  <si>
    <t>19902.57</t>
  </si>
  <si>
    <t>FV/6056/NOVA/24</t>
  </si>
  <si>
    <t>PZ/802184</t>
  </si>
  <si>
    <t>14621.88</t>
  </si>
  <si>
    <t>FV/1867HM/24</t>
  </si>
  <si>
    <t>PZ/802185</t>
  </si>
  <si>
    <t>10163.74</t>
  </si>
  <si>
    <t>FV/81890/VDb/2024</t>
  </si>
  <si>
    <t>PZ/802186</t>
  </si>
  <si>
    <t>12106.08</t>
  </si>
  <si>
    <t>FV/CENFA/411693/24</t>
  </si>
  <si>
    <t>PZ/802187</t>
  </si>
  <si>
    <t>14711.81</t>
  </si>
  <si>
    <t>FV/50836/VDb/2024</t>
  </si>
  <si>
    <t>PZ/802188</t>
  </si>
  <si>
    <t>12155.86</t>
  </si>
  <si>
    <t>FV/21328/VDb/2024</t>
  </si>
  <si>
    <t>PZ/802189</t>
  </si>
  <si>
    <t>15998.6</t>
  </si>
  <si>
    <t>FV/6368HM/24</t>
  </si>
  <si>
    <t>PZ/802190</t>
  </si>
  <si>
    <t>-1429.0</t>
  </si>
  <si>
    <t>FV/CENFA/548720/24</t>
  </si>
  <si>
    <t>PZ/802191</t>
  </si>
  <si>
    <t>14137.31</t>
  </si>
  <si>
    <t>FV/40/PP/9341/24</t>
  </si>
  <si>
    <t>PZ/802192</t>
  </si>
  <si>
    <t>19653.46</t>
  </si>
  <si>
    <t>FV/CENFA/573010/24</t>
  </si>
  <si>
    <t>PZ/802193</t>
  </si>
  <si>
    <t>10848.5</t>
  </si>
  <si>
    <t>FV/9248/NOVA/24</t>
  </si>
  <si>
    <t>PZ/802194</t>
  </si>
  <si>
    <t>14004.84</t>
  </si>
  <si>
    <t>FV/POL/78748/2024</t>
  </si>
  <si>
    <t>PZ/802195</t>
  </si>
  <si>
    <t>11638.48</t>
  </si>
  <si>
    <t>FV/8336/NOVA/24</t>
  </si>
  <si>
    <t>PZ/802196</t>
  </si>
  <si>
    <t>13708.64</t>
  </si>
  <si>
    <t>FV/4948HM/24</t>
  </si>
  <si>
    <t>PZ/802197</t>
  </si>
  <si>
    <t>-831.74</t>
  </si>
  <si>
    <t>FV/85/SAL/24</t>
  </si>
  <si>
    <t>PZ/802198</t>
  </si>
  <si>
    <t>16071.97</t>
  </si>
  <si>
    <t>FV/POL/45948/2024</t>
  </si>
  <si>
    <t>PZ/802199</t>
  </si>
  <si>
    <t>28271.88</t>
  </si>
  <si>
    <t>FV/7910HM/24</t>
  </si>
  <si>
    <t>PZ/802200</t>
  </si>
  <si>
    <t>9495.63</t>
  </si>
  <si>
    <t>FV/30/PP/1716/24</t>
  </si>
  <si>
    <t>PZ/802201</t>
  </si>
  <si>
    <t>15829.68</t>
  </si>
  <si>
    <t>FV/65/PP/5692/24</t>
  </si>
  <si>
    <t>PZ/802202</t>
  </si>
  <si>
    <t>18290.6</t>
  </si>
  <si>
    <t>FV/76941/VDb/2024</t>
  </si>
  <si>
    <t>PZ/802203</t>
  </si>
  <si>
    <t>7026.17</t>
  </si>
  <si>
    <t>FV/95287/VDb/2024</t>
  </si>
  <si>
    <t>PZ/802204</t>
  </si>
  <si>
    <t>23677.33</t>
  </si>
  <si>
    <t>FV/CENFA/486258/24</t>
  </si>
  <si>
    <t>PZ/802205</t>
  </si>
  <si>
    <t>25804.77</t>
  </si>
  <si>
    <t>FV/80261/VDb/2024</t>
  </si>
  <si>
    <t>PZ/802206</t>
  </si>
  <si>
    <t>13550.71</t>
  </si>
  <si>
    <t>FV/21878/VDb/2024</t>
  </si>
  <si>
    <t>PZ/802207</t>
  </si>
  <si>
    <t>13091.16</t>
  </si>
  <si>
    <t>FV/22/PP/7308/24</t>
  </si>
  <si>
    <t>PZ/802208</t>
  </si>
  <si>
    <t>6939.3</t>
  </si>
  <si>
    <t>FV/CENFA/174630/24</t>
  </si>
  <si>
    <t>PZ/802209</t>
  </si>
  <si>
    <t>18393.57</t>
  </si>
  <si>
    <t>FV/81/SAL/24</t>
  </si>
  <si>
    <t>PZ/802210</t>
  </si>
  <si>
    <t>18494.17</t>
  </si>
  <si>
    <t>FV/POL/56247/2024</t>
  </si>
  <si>
    <t>PZ/802211</t>
  </si>
  <si>
    <t>4161.74</t>
  </si>
  <si>
    <t>FV/M/5526/P/24</t>
  </si>
  <si>
    <t>PZ/802212</t>
  </si>
  <si>
    <t>17280.31</t>
  </si>
  <si>
    <t>FV/7295/NOVA/24</t>
  </si>
  <si>
    <t>PZ/802213</t>
  </si>
  <si>
    <t>11233.67</t>
  </si>
  <si>
    <t>FV/23/SAL/24</t>
  </si>
  <si>
    <t>PZ/802214</t>
  </si>
  <si>
    <t>6679.58</t>
  </si>
  <si>
    <t>FV/CENFA/415690/24</t>
  </si>
  <si>
    <t>PZ/802215</t>
  </si>
  <si>
    <t>12374.89</t>
  </si>
  <si>
    <t>FV/66045/VDb/2024</t>
  </si>
  <si>
    <t>PZ/802216</t>
  </si>
  <si>
    <t>20784.02</t>
  </si>
  <si>
    <t>FV/32517/VDb/2024</t>
  </si>
  <si>
    <t>PZ/802217</t>
  </si>
  <si>
    <t>9231.73</t>
  </si>
  <si>
    <t>FV/CENFA/281132/24</t>
  </si>
  <si>
    <t>PZ/802218</t>
  </si>
  <si>
    <t>15895.02</t>
  </si>
  <si>
    <t>FV/73/PP/8594/24</t>
  </si>
  <si>
    <t>PZ/802219</t>
  </si>
  <si>
    <t>22614.76</t>
  </si>
  <si>
    <t>FV/78062/VDb/2024</t>
  </si>
  <si>
    <t>PZ/802220</t>
  </si>
  <si>
    <t>8199.82</t>
  </si>
  <si>
    <t>FV/5221HM/24</t>
  </si>
  <si>
    <t>PZ/802221</t>
  </si>
  <si>
    <t>5999.54</t>
  </si>
  <si>
    <t>FV/CENFA/871983/24</t>
  </si>
  <si>
    <t>PZ/802222</t>
  </si>
  <si>
    <t>15417.88</t>
  </si>
  <si>
    <t>FV/63/SAL/24</t>
  </si>
  <si>
    <t>PZ/802223</t>
  </si>
  <si>
    <t>20821.93</t>
  </si>
  <si>
    <t>FV/90917/VDb/2024</t>
  </si>
  <si>
    <t>PZ/802224</t>
  </si>
  <si>
    <t>7225.54</t>
  </si>
  <si>
    <t>FV/39/SAL/24</t>
  </si>
  <si>
    <t>PZ/802225</t>
  </si>
  <si>
    <t>8404.97</t>
  </si>
  <si>
    <t>FV/POL/94360/2024</t>
  </si>
  <si>
    <t>PZ/802226</t>
  </si>
  <si>
    <t>3523.69</t>
  </si>
  <si>
    <t>FV/M/4907/P/24</t>
  </si>
  <si>
    <t>PZ/802227</t>
  </si>
  <si>
    <t>12577.77</t>
  </si>
  <si>
    <t>FV/91/PP/8151/24</t>
  </si>
  <si>
    <t>PZ/802228</t>
  </si>
  <si>
    <t>11299.91</t>
  </si>
  <si>
    <t>FV/96/PP/4640/24</t>
  </si>
  <si>
    <t>PZ/802229</t>
  </si>
  <si>
    <t>11242.01</t>
  </si>
  <si>
    <t>FV/4145/NOVA/24</t>
  </si>
  <si>
    <t>PZ/802230</t>
  </si>
  <si>
    <t>18327.32</t>
  </si>
  <si>
    <t>FV/94/PP/6903/24</t>
  </si>
  <si>
    <t>PZ/802231</t>
  </si>
  <si>
    <t>21801.53</t>
  </si>
  <si>
    <t>FV/3155/NOVA/24</t>
  </si>
  <si>
    <t>PZ/802232</t>
  </si>
  <si>
    <t>26561.68</t>
  </si>
  <si>
    <t>FV/CENFA/603964/24</t>
  </si>
  <si>
    <t>PZ/802233</t>
  </si>
  <si>
    <t>17761.91</t>
  </si>
  <si>
    <t>FV/26209/VDb/2024</t>
  </si>
  <si>
    <t>PZ/802234</t>
  </si>
  <si>
    <t>13361.08</t>
  </si>
  <si>
    <t>FV/30/PP/2043/24</t>
  </si>
  <si>
    <t>PZ/802235</t>
  </si>
  <si>
    <t>-2279.91</t>
  </si>
  <si>
    <t>FV/CENFA/189600/24</t>
  </si>
  <si>
    <t>PZ/802236</t>
  </si>
  <si>
    <t>14225.4</t>
  </si>
  <si>
    <t>FV/POL/62159/2024</t>
  </si>
  <si>
    <t>PZ/802237</t>
  </si>
  <si>
    <t>19324.18</t>
  </si>
  <si>
    <t>FV/26/PP/4568/24</t>
  </si>
  <si>
    <t>PZ/802238</t>
  </si>
  <si>
    <t>7464.49</t>
  </si>
  <si>
    <t>FV/8946/NOVA/24</t>
  </si>
  <si>
    <t>PZ/802239</t>
  </si>
  <si>
    <t>20180.04</t>
  </si>
  <si>
    <t>FV/POL/35611/2024</t>
  </si>
  <si>
    <t>PZ/802240</t>
  </si>
  <si>
    <t>13628.1</t>
  </si>
  <si>
    <t>FV/8646HM/24</t>
  </si>
  <si>
    <t>PZ/802241</t>
  </si>
  <si>
    <t>13642.72</t>
  </si>
  <si>
    <t>FV/5322/NOVA/24</t>
  </si>
  <si>
    <t>PZ/802242</t>
  </si>
  <si>
    <t>20753.34</t>
  </si>
  <si>
    <t>FV/CENFA/241827/24</t>
  </si>
  <si>
    <t>PZ/802243</t>
  </si>
  <si>
    <t>13532.4</t>
  </si>
  <si>
    <t>FV/56/SAL/24</t>
  </si>
  <si>
    <t>PZ/802244</t>
  </si>
  <si>
    <t>15648.57</t>
  </si>
  <si>
    <t>FV/12126/VDb/2024</t>
  </si>
  <si>
    <t>PZ/802245</t>
  </si>
  <si>
    <t>15998.63</t>
  </si>
  <si>
    <t>FV/7462HM/24</t>
  </si>
  <si>
    <t>PZ/802246</t>
  </si>
  <si>
    <t>17192.59</t>
  </si>
  <si>
    <t>FV/6065/NOVA/24</t>
  </si>
  <si>
    <t>PZ/802247</t>
  </si>
  <si>
    <t>17887.52</t>
  </si>
  <si>
    <t>FV/CENFA/578020/24</t>
  </si>
  <si>
    <t>PZ/802248</t>
  </si>
  <si>
    <t>16131.36</t>
  </si>
  <si>
    <t>FV/4651/NOVA/24</t>
  </si>
  <si>
    <t>PZ/802249</t>
  </si>
  <si>
    <t>13790.57</t>
  </si>
  <si>
    <t>FV/1166HM/24</t>
  </si>
  <si>
    <t>PZ/802250</t>
  </si>
  <si>
    <t>13618.72</t>
  </si>
  <si>
    <t>FV/CENFA/446717/24</t>
  </si>
  <si>
    <t>PZ/802251</t>
  </si>
  <si>
    <t>16589.59</t>
  </si>
  <si>
    <t>FV/68/PP/3217/24</t>
  </si>
  <si>
    <t>PZ/802252</t>
  </si>
  <si>
    <t>-2078.8</t>
  </si>
  <si>
    <t>FV/CENFA/745025/24</t>
  </si>
  <si>
    <t>PZ/802253</t>
  </si>
  <si>
    <t>9884.32</t>
  </si>
  <si>
    <t>FV/POL/81629/2024</t>
  </si>
  <si>
    <t>PZ/802254</t>
  </si>
  <si>
    <t>7027.76</t>
  </si>
  <si>
    <t>FV/9993HM/24</t>
  </si>
  <si>
    <t>PZ/802255</t>
  </si>
  <si>
    <t>24578.38</t>
  </si>
  <si>
    <t>FV/1760/NOVA/24</t>
  </si>
  <si>
    <t>PZ/802256</t>
  </si>
  <si>
    <t>-1026.08</t>
  </si>
  <si>
    <t>FV/4015HM/24</t>
  </si>
  <si>
    <t>PZ/802257</t>
  </si>
  <si>
    <t>18003.94</t>
  </si>
  <si>
    <t>FV/M/7585/P/24</t>
  </si>
  <si>
    <t>PZ/802258</t>
  </si>
  <si>
    <t>25816.24</t>
  </si>
  <si>
    <t>FV/CENFA/986349/24</t>
  </si>
  <si>
    <t>PZ/802259</t>
  </si>
  <si>
    <t>8352.61</t>
  </si>
  <si>
    <t>FV/18/PP/9235/24</t>
  </si>
  <si>
    <t>PZ/802260</t>
  </si>
  <si>
    <t>14572.85</t>
  </si>
  <si>
    <t>FV/22/SAL/24</t>
  </si>
  <si>
    <t>PZ/802261</t>
  </si>
  <si>
    <t>13776.13</t>
  </si>
  <si>
    <t>FV/CENFA/773246/24</t>
  </si>
  <si>
    <t>PZ/802262</t>
  </si>
  <si>
    <t>11856.06</t>
  </si>
  <si>
    <t>PZ/802263</t>
  </si>
  <si>
    <t>14754.76</t>
  </si>
  <si>
    <t>FV/24/PP/6211/24</t>
  </si>
  <si>
    <t>PZ/802264</t>
  </si>
  <si>
    <t>15769.63</t>
  </si>
  <si>
    <t>FV/6750HM/24</t>
  </si>
  <si>
    <t>PZ/802265</t>
  </si>
  <si>
    <t>13919.07</t>
  </si>
  <si>
    <t>FV/POL/93296/2024</t>
  </si>
  <si>
    <t>PZ/802266</t>
  </si>
  <si>
    <t>20930.13</t>
  </si>
  <si>
    <t>FV/POL/20446/2024</t>
  </si>
  <si>
    <t>PZ/802267</t>
  </si>
  <si>
    <t>10154.98</t>
  </si>
  <si>
    <t>FV/6675HM/24</t>
  </si>
  <si>
    <t>PZ/802268</t>
  </si>
  <si>
    <t>18818.53</t>
  </si>
  <si>
    <t>FV/9948/NOVA/24</t>
  </si>
  <si>
    <t>PZ/802269</t>
  </si>
  <si>
    <t>19094.72</t>
  </si>
  <si>
    <t>FV/CENFA/688372/24</t>
  </si>
  <si>
    <t>PZ/802270</t>
  </si>
  <si>
    <t>20723.32</t>
  </si>
  <si>
    <t>FV/POL/13869/2024</t>
  </si>
  <si>
    <t>PZ/802271</t>
  </si>
  <si>
    <t>15387.52</t>
  </si>
  <si>
    <t>FV/29/SAL/24</t>
  </si>
  <si>
    <t>PZ/802272</t>
  </si>
  <si>
    <t>16757.94</t>
  </si>
  <si>
    <t>FV/POL/43389/2024</t>
  </si>
  <si>
    <t>PZ/802273</t>
  </si>
  <si>
    <t>5715.15</t>
  </si>
  <si>
    <t>FV/58/PP/4278/24</t>
  </si>
  <si>
    <t>PZ/802274</t>
  </si>
  <si>
    <t>7100.81</t>
  </si>
  <si>
    <t>FV/CENFA/678019/24</t>
  </si>
  <si>
    <t>PZ/802275</t>
  </si>
  <si>
    <t>14557.65</t>
  </si>
  <si>
    <t>FV/M/9709/P/24</t>
  </si>
  <si>
    <t>PZ/802276</t>
  </si>
  <si>
    <t>17383.94</t>
  </si>
  <si>
    <t>FV/8488HM/24</t>
  </si>
  <si>
    <t>PZ/802277</t>
  </si>
  <si>
    <t>16874.36</t>
  </si>
  <si>
    <t>FV/53695/VDb/2024</t>
  </si>
  <si>
    <t>PZ/802278</t>
  </si>
  <si>
    <t>11829.7</t>
  </si>
  <si>
    <t>FV/4071HM/24</t>
  </si>
  <si>
    <t>PZ/802279</t>
  </si>
  <si>
    <t>18032.1</t>
  </si>
  <si>
    <t>FV/64862/VDb/2024</t>
  </si>
  <si>
    <t>PZ/802280</t>
  </si>
  <si>
    <t>16210.57</t>
  </si>
  <si>
    <t>FV/M/3280/P/24</t>
  </si>
  <si>
    <t>PZ/802281</t>
  </si>
  <si>
    <t>19563.55</t>
  </si>
  <si>
    <t>FV/CENFA/198032/24</t>
  </si>
  <si>
    <t>PZ/802282</t>
  </si>
  <si>
    <t>15633.2</t>
  </si>
  <si>
    <t>FV/POL/78009/2024</t>
  </si>
  <si>
    <t>PZ/802283</t>
  </si>
  <si>
    <t>28966.83</t>
  </si>
  <si>
    <t>FV/CENFA/347512/24</t>
  </si>
  <si>
    <t>PZ/802284</t>
  </si>
  <si>
    <t>15404.94</t>
  </si>
  <si>
    <t>PZ/802285</t>
  </si>
  <si>
    <t>12683.17</t>
  </si>
  <si>
    <t>FV/8294HM/24</t>
  </si>
  <si>
    <t>PZ/802286</t>
  </si>
  <si>
    <t>17179.27</t>
  </si>
  <si>
    <t>FV/4353HM/24</t>
  </si>
  <si>
    <t>PZ/802287</t>
  </si>
  <si>
    <t>18030.32</t>
  </si>
  <si>
    <t>FV/CENFA/535130/24</t>
  </si>
  <si>
    <t>PZ/802288</t>
  </si>
  <si>
    <t>19458.31</t>
  </si>
  <si>
    <t>FV/CENFA/476536/24</t>
  </si>
  <si>
    <t>PZ/802289</t>
  </si>
  <si>
    <t>16635.96</t>
  </si>
  <si>
    <t>FV/CENFA/744743/24</t>
  </si>
  <si>
    <t>PZ/802290</t>
  </si>
  <si>
    <t>12833.37</t>
  </si>
  <si>
    <t>FV/1316HM/24</t>
  </si>
  <si>
    <t>PZ/802291</t>
  </si>
  <si>
    <t>17025.57</t>
  </si>
  <si>
    <t>FV/64/SAL/24</t>
  </si>
  <si>
    <t>PZ/802292</t>
  </si>
  <si>
    <t>12882.91</t>
  </si>
  <si>
    <t>FV/5345HM/24</t>
  </si>
  <si>
    <t>PZ/802293</t>
  </si>
  <si>
    <t>16894.29</t>
  </si>
  <si>
    <t>FV/86/PP/2973/24</t>
  </si>
  <si>
    <t>PZ/802294</t>
  </si>
  <si>
    <t>17547.47</t>
  </si>
  <si>
    <t>FV/52/SAL/24</t>
  </si>
  <si>
    <t>PZ/802295</t>
  </si>
  <si>
    <t>4317.72</t>
  </si>
  <si>
    <t>FV/POL/28333/2024</t>
  </si>
  <si>
    <t>PZ/802296</t>
  </si>
  <si>
    <t>12963.37</t>
  </si>
  <si>
    <t>FV/81408/VDb/2024</t>
  </si>
  <si>
    <t>PZ/802297</t>
  </si>
  <si>
    <t>18231.22</t>
  </si>
  <si>
    <t>FV/17225/VDb/2024</t>
  </si>
  <si>
    <t>PZ/802298</t>
  </si>
  <si>
    <t>12050.44</t>
  </si>
  <si>
    <t>FV/CENFA/340607/24</t>
  </si>
  <si>
    <t>PZ/802299</t>
  </si>
  <si>
    <t>13934.2</t>
  </si>
  <si>
    <t>FV/99051/VDb/2024</t>
  </si>
  <si>
    <t>PZ/802300</t>
  </si>
  <si>
    <t>13374.35</t>
  </si>
  <si>
    <t>FV/79448/VDb/2024</t>
  </si>
  <si>
    <t>PZ/802301</t>
  </si>
  <si>
    <t>18160.59</t>
  </si>
  <si>
    <t>FV/CENFA/394664/24</t>
  </si>
  <si>
    <t>PZ/802302</t>
  </si>
  <si>
    <t>12154.99</t>
  </si>
  <si>
    <t>FV/24312/VDb/2024</t>
  </si>
  <si>
    <t>PZ/802303</t>
  </si>
  <si>
    <t>19720.35</t>
  </si>
  <si>
    <t>FV/72374/VDb/2024</t>
  </si>
  <si>
    <t>PZ/802304</t>
  </si>
  <si>
    <t>15805.11</t>
  </si>
  <si>
    <t>FV/CENFA/595570/24</t>
  </si>
  <si>
    <t>PZ/802305</t>
  </si>
  <si>
    <t>12173.05</t>
  </si>
  <si>
    <t>FV/3057HM/24</t>
  </si>
  <si>
    <t>PZ/802306</t>
  </si>
  <si>
    <t>25566.09</t>
  </si>
  <si>
    <t>FV/47142/VDb/2024</t>
  </si>
  <si>
    <t>PZ/802307</t>
  </si>
  <si>
    <t>16701.05</t>
  </si>
  <si>
    <t>FV/CENFA/132678/24</t>
  </si>
  <si>
    <t>PZ/802308</t>
  </si>
  <si>
    <t>22299.42</t>
  </si>
  <si>
    <t>FV/1730HM/24</t>
  </si>
  <si>
    <t>PZ/802309</t>
  </si>
  <si>
    <t>21281.27</t>
  </si>
  <si>
    <t>FV/59947/VDb/2024</t>
  </si>
  <si>
    <t>PZ/802310</t>
  </si>
  <si>
    <t>25325.91</t>
  </si>
  <si>
    <t>FV/71734/VDb/2024</t>
  </si>
  <si>
    <t>PZ/802311</t>
  </si>
  <si>
    <t>9884.2</t>
  </si>
  <si>
    <t>PZ/802312</t>
  </si>
  <si>
    <t>12497.64</t>
  </si>
  <si>
    <t>FV/CENFA/313505/24</t>
  </si>
  <si>
    <t>PZ/802313</t>
  </si>
  <si>
    <t>3943.98</t>
  </si>
  <si>
    <t>FV/M/3727/P/24</t>
  </si>
  <si>
    <t>PZ/802314</t>
  </si>
  <si>
    <t>8877.49</t>
  </si>
  <si>
    <t>FV/CENFA/242105/24</t>
  </si>
  <si>
    <t>PZ/802315</t>
  </si>
  <si>
    <t>11389.2</t>
  </si>
  <si>
    <t>FV/8328/NOVA/24</t>
  </si>
  <si>
    <t>PZ/802316</t>
  </si>
  <si>
    <t>18972.55</t>
  </si>
  <si>
    <t>FV/POL/61406/2024</t>
  </si>
  <si>
    <t>PZ/802317</t>
  </si>
  <si>
    <t>13229.88</t>
  </si>
  <si>
    <t>FV/49276/VDb/2024</t>
  </si>
  <si>
    <t>PZ/802318</t>
  </si>
  <si>
    <t>1447.73</t>
  </si>
  <si>
    <t>FV/POL/50630/2024</t>
  </si>
  <si>
    <t>PZ/802319</t>
  </si>
  <si>
    <t>16752.55</t>
  </si>
  <si>
    <t>FV/M/3209/P/24</t>
  </si>
  <si>
    <t>PZ/802320</t>
  </si>
  <si>
    <t>27862.8</t>
  </si>
  <si>
    <t>FV/2576HM/24</t>
  </si>
  <si>
    <t>PZ/802321</t>
  </si>
  <si>
    <t>9996.98</t>
  </si>
  <si>
    <t>FV/20/SAL/24</t>
  </si>
  <si>
    <t>PZ/802322</t>
  </si>
  <si>
    <t>12532.41</t>
  </si>
  <si>
    <t>FV/CENFA/172245/24</t>
  </si>
  <si>
    <t>PZ/802323</t>
  </si>
  <si>
    <t>14847.64</t>
  </si>
  <si>
    <t>FV/POL/32043/2024</t>
  </si>
  <si>
    <t>PZ/802324</t>
  </si>
  <si>
    <t>16768.33</t>
  </si>
  <si>
    <t>FV/POL/96475/2024</t>
  </si>
  <si>
    <t>PZ/802325</t>
  </si>
  <si>
    <t>10933.67</t>
  </si>
  <si>
    <t>FV/M/6117/P/24</t>
  </si>
  <si>
    <t>PZ/802326</t>
  </si>
  <si>
    <t>9429.05</t>
  </si>
  <si>
    <t>FV/83497/VDb/2024</t>
  </si>
  <si>
    <t>PZ/802327</t>
  </si>
  <si>
    <t>7896.07</t>
  </si>
  <si>
    <t>FV/M/3218/P/24</t>
  </si>
  <si>
    <t>PZ/802328</t>
  </si>
  <si>
    <t>15731.05</t>
  </si>
  <si>
    <t>FV/96/SAL/24</t>
  </si>
  <si>
    <t>PZ/802329</t>
  </si>
  <si>
    <t>22038.32</t>
  </si>
  <si>
    <t>FV/CENFA/894600/24</t>
  </si>
  <si>
    <t>PZ/802330</t>
  </si>
  <si>
    <t>15434.78</t>
  </si>
  <si>
    <t>FV/M/1402/P/24</t>
  </si>
  <si>
    <t>PZ/802331</t>
  </si>
  <si>
    <t>24111.14</t>
  </si>
  <si>
    <t>FV/19/PP/5943/24</t>
  </si>
  <si>
    <t>PZ/802332</t>
  </si>
  <si>
    <t>21372.38</t>
  </si>
  <si>
    <t>FV/76727/VDb/2024</t>
  </si>
  <si>
    <t>PZ/802333</t>
  </si>
  <si>
    <t>20362.42</t>
  </si>
  <si>
    <t>FV/4234HM/24</t>
  </si>
  <si>
    <t>PZ/802334</t>
  </si>
  <si>
    <t>-739.25</t>
  </si>
  <si>
    <t>FV/CENFA/911432/24</t>
  </si>
  <si>
    <t>PZ/802335</t>
  </si>
  <si>
    <t>-1250.81</t>
  </si>
  <si>
    <t>FV/2482HM/24</t>
  </si>
  <si>
    <t>PZ/802336</t>
  </si>
  <si>
    <t>10223.28</t>
  </si>
  <si>
    <t>FV/M/2941/P/24</t>
  </si>
  <si>
    <t>PZ/802337</t>
  </si>
  <si>
    <t>16240.96</t>
  </si>
  <si>
    <t>FV/POL/87402/2024</t>
  </si>
  <si>
    <t>PZ/802338</t>
  </si>
  <si>
    <t>14093.68</t>
  </si>
  <si>
    <t>FV/M/3414/P/24</t>
  </si>
  <si>
    <t>PZ/802339</t>
  </si>
  <si>
    <t>16884.4</t>
  </si>
  <si>
    <t>FV/55/SAL/24</t>
  </si>
  <si>
    <t>PZ/802340</t>
  </si>
  <si>
    <t>22519.5</t>
  </si>
  <si>
    <t>FV/CENFA/123533/24</t>
  </si>
  <si>
    <t>PZ/802341</t>
  </si>
  <si>
    <t>4576.92</t>
  </si>
  <si>
    <t>FV/9840/NOVA/24</t>
  </si>
  <si>
    <t>PZ/802342</t>
  </si>
  <si>
    <t>23694.65</t>
  </si>
  <si>
    <t>FV/2607HM/24</t>
  </si>
  <si>
    <t>PZ/802343</t>
  </si>
  <si>
    <t>19814.28</t>
  </si>
  <si>
    <t>FV/20391/VDb/2024</t>
  </si>
  <si>
    <t>PZ/802344</t>
  </si>
  <si>
    <t>21360.05</t>
  </si>
  <si>
    <t>FV/63131/VDb/2024</t>
  </si>
  <si>
    <t>PZ/802345</t>
  </si>
  <si>
    <t>8534.6</t>
  </si>
  <si>
    <t>FV/67905/VDb/2024</t>
  </si>
  <si>
    <t>PZ/802346</t>
  </si>
  <si>
    <t>16742.95</t>
  </si>
  <si>
    <t>FV/POL/22378/2024</t>
  </si>
  <si>
    <t>PZ/802347</t>
  </si>
  <si>
    <t>-1178.6</t>
  </si>
  <si>
    <t>FV/M/9586/P/24</t>
  </si>
  <si>
    <t>PZ/802348</t>
  </si>
  <si>
    <t>11821.0</t>
  </si>
  <si>
    <t>FV/86571/VDb/2024</t>
  </si>
  <si>
    <t>PZ/802349</t>
  </si>
  <si>
    <t>19256.11</t>
  </si>
  <si>
    <t>FV/M/6132/P/24</t>
  </si>
  <si>
    <t>PZ/802350</t>
  </si>
  <si>
    <t>27303.26</t>
  </si>
  <si>
    <t>FV/4188/NOVA/24</t>
  </si>
  <si>
    <t>PZ/802351</t>
  </si>
  <si>
    <t>23700.14</t>
  </si>
  <si>
    <t>FV/24/SAL/24</t>
  </si>
  <si>
    <t>PZ/802352</t>
  </si>
  <si>
    <t>17953.29</t>
  </si>
  <si>
    <t>FV/46/PP/9752/24</t>
  </si>
  <si>
    <t>PZ/802353</t>
  </si>
  <si>
    <t>8250.89</t>
  </si>
  <si>
    <t>FV/44302/VDb/2024</t>
  </si>
  <si>
    <t>PZ/802354</t>
  </si>
  <si>
    <t>21587.77</t>
  </si>
  <si>
    <t>FV/CENFA/793084/24</t>
  </si>
  <si>
    <t>PZ/802355</t>
  </si>
  <si>
    <t>16820.0</t>
  </si>
  <si>
    <t>FV/CENFA/183973/24</t>
  </si>
  <si>
    <t>PZ/802356</t>
  </si>
  <si>
    <t>18577.99</t>
  </si>
  <si>
    <t>FV/96548/VDb/2024</t>
  </si>
  <si>
    <t>PZ/802357</t>
  </si>
  <si>
    <t>17208.19</t>
  </si>
  <si>
    <t>FV/M/8500/P/24</t>
  </si>
  <si>
    <t>PZ/802358</t>
  </si>
  <si>
    <t>20969.79</t>
  </si>
  <si>
    <t>FV/CENFA/665780/24</t>
  </si>
  <si>
    <t>PZ/802359</t>
  </si>
  <si>
    <t>19044.8</t>
  </si>
  <si>
    <t>FV/POL/27470/2024</t>
  </si>
  <si>
    <t>PZ/802360</t>
  </si>
  <si>
    <t>20744.79</t>
  </si>
  <si>
    <t>FV/28/PP/4314/24</t>
  </si>
  <si>
    <t>PZ/802361</t>
  </si>
  <si>
    <t>13355.7</t>
  </si>
  <si>
    <t>FV/POL/80930/2024</t>
  </si>
  <si>
    <t>PZ/802362</t>
  </si>
  <si>
    <t>19140.14</t>
  </si>
  <si>
    <t>FV/4623/NOVA/24</t>
  </si>
  <si>
    <t>PZ/802363</t>
  </si>
  <si>
    <t>8417.56</t>
  </si>
  <si>
    <t>FV/5512HM/24</t>
  </si>
  <si>
    <t>PZ/802364</t>
  </si>
  <si>
    <t>10216.11</t>
  </si>
  <si>
    <t>FV/56960/VDb/2024</t>
  </si>
  <si>
    <t>PZ/802365</t>
  </si>
  <si>
    <t>5225.12</t>
  </si>
  <si>
    <t>FV/POL/87440/2024</t>
  </si>
  <si>
    <t>PZ/802366</t>
  </si>
  <si>
    <t>17988.58</t>
  </si>
  <si>
    <t>FV/98/SAL/24</t>
  </si>
  <si>
    <t>PZ/802367</t>
  </si>
  <si>
    <t>16202.48</t>
  </si>
  <si>
    <t>FV/4362HM/24</t>
  </si>
  <si>
    <t>PZ/802368</t>
  </si>
  <si>
    <t>19629.89</t>
  </si>
  <si>
    <t>FV/4013HM/24</t>
  </si>
  <si>
    <t>PZ/802369</t>
  </si>
  <si>
    <t>9533.72</t>
  </si>
  <si>
    <t>FV/6031HM/24</t>
  </si>
  <si>
    <t>PZ/802370</t>
  </si>
  <si>
    <t>15229.56</t>
  </si>
  <si>
    <t>FV/POL/52296/2024</t>
  </si>
  <si>
    <t>PZ/802371</t>
  </si>
  <si>
    <t>14215.98</t>
  </si>
  <si>
    <t>FV/7721HM/24</t>
  </si>
  <si>
    <t>PZ/802372</t>
  </si>
  <si>
    <t>10252.01</t>
  </si>
  <si>
    <t>FV/20175/VDb/2024</t>
  </si>
  <si>
    <t>PZ/802373</t>
  </si>
  <si>
    <t>20115.07</t>
  </si>
  <si>
    <t>FV/M/3520/P/24</t>
  </si>
  <si>
    <t>PZ/802374</t>
  </si>
  <si>
    <t>13786.19</t>
  </si>
  <si>
    <t>FV/9597/NOVA/24</t>
  </si>
  <si>
    <t>PZ/802375</t>
  </si>
  <si>
    <t>12823.41</t>
  </si>
  <si>
    <t>FV/77475/VDb/2024</t>
  </si>
  <si>
    <t>PZ/802376</t>
  </si>
  <si>
    <t>-2359.3</t>
  </si>
  <si>
    <t>FV/9715/NOVA/24</t>
  </si>
  <si>
    <t>PZ/802377</t>
  </si>
  <si>
    <t>9897.95</t>
  </si>
  <si>
    <t>FV/CENFA/766005/24</t>
  </si>
  <si>
    <t>PZ/802378</t>
  </si>
  <si>
    <t>9101.22</t>
  </si>
  <si>
    <t>FV/26/PP/1084/24</t>
  </si>
  <si>
    <t>PZ/802379</t>
  </si>
  <si>
    <t>22625.69</t>
  </si>
  <si>
    <t>FV/25261/VDb/2024</t>
  </si>
  <si>
    <t>PZ/802380</t>
  </si>
  <si>
    <t>8758.44</t>
  </si>
  <si>
    <t>FV/8253HM/24</t>
  </si>
  <si>
    <t>PZ/802381</t>
  </si>
  <si>
    <t>17382.59</t>
  </si>
  <si>
    <t>FV/POL/81993/2024</t>
  </si>
  <si>
    <t>PZ/802382</t>
  </si>
  <si>
    <t>13247.52</t>
  </si>
  <si>
    <t>FV/50583/VDb/2024</t>
  </si>
  <si>
    <t>PZ/802383</t>
  </si>
  <si>
    <t>11253.07</t>
  </si>
  <si>
    <t>FV/2364/NOVA/24</t>
  </si>
  <si>
    <t>PZ/802384</t>
  </si>
  <si>
    <t>7895.38</t>
  </si>
  <si>
    <t>FV/M/1087/P/24</t>
  </si>
  <si>
    <t>PZ/802385</t>
  </si>
  <si>
    <t>10326.29</t>
  </si>
  <si>
    <t>FV/59856/VDb/2024</t>
  </si>
  <si>
    <t>PZ/802386</t>
  </si>
  <si>
    <t>17415.44</t>
  </si>
  <si>
    <t>FV/CENFA/831629/24</t>
  </si>
  <si>
    <t>PZ/802387</t>
  </si>
  <si>
    <t>22301.16</t>
  </si>
  <si>
    <t>FV/POL/85761/2024</t>
  </si>
  <si>
    <t>PZ/802388</t>
  </si>
  <si>
    <t>20983.54</t>
  </si>
  <si>
    <t>FV/46332/VDb/2024</t>
  </si>
  <si>
    <t>PZ/802389</t>
  </si>
  <si>
    <t>12264.69</t>
  </si>
  <si>
    <t>FV/CENFA/560113/24</t>
  </si>
  <si>
    <t>PZ/802390</t>
  </si>
  <si>
    <t>19151.44</t>
  </si>
  <si>
    <t>FV/3098HM/24</t>
  </si>
  <si>
    <t>PZ/802391</t>
  </si>
  <si>
    <t>18617.25</t>
  </si>
  <si>
    <t>FV/97595/VDb/2024</t>
  </si>
  <si>
    <t>PZ/802392</t>
  </si>
  <si>
    <t>4279.28</t>
  </si>
  <si>
    <t>FV/9175/NOVA/24</t>
  </si>
  <si>
    <t>PZ/802393</t>
  </si>
  <si>
    <t>18530.89</t>
  </si>
  <si>
    <t>FV/8462HM/24</t>
  </si>
  <si>
    <t>PZ/802394</t>
  </si>
  <si>
    <t>9321.78</t>
  </si>
  <si>
    <t>FV/41/PP/2480/24</t>
  </si>
  <si>
    <t>PZ/802395</t>
  </si>
  <si>
    <t>5706.99</t>
  </si>
  <si>
    <t>FV/M/2665/P/24</t>
  </si>
  <si>
    <t>PZ/802396</t>
  </si>
  <si>
    <t>25052.0</t>
  </si>
  <si>
    <t>FV/81/PP/8196/24</t>
  </si>
  <si>
    <t>PZ/802397</t>
  </si>
  <si>
    <t>21120.92</t>
  </si>
  <si>
    <t>FV/M/7180/P/24</t>
  </si>
  <si>
    <t>PZ/802398</t>
  </si>
  <si>
    <t>20653.26</t>
  </si>
  <si>
    <t>FV/3464/NOVA/24</t>
  </si>
  <si>
    <t>PZ/802399</t>
  </si>
  <si>
    <t>8580.86</t>
  </si>
  <si>
    <t>FV/51/PP/5796/24</t>
  </si>
  <si>
    <t>PZ/802400</t>
  </si>
  <si>
    <t>7922.62</t>
  </si>
  <si>
    <t>FV/2600HM/24</t>
  </si>
  <si>
    <t>PZ/802401</t>
  </si>
  <si>
    <t>10119.35</t>
  </si>
  <si>
    <t>FV/CENFA/767889/24</t>
  </si>
  <si>
    <t>PZ/802402</t>
  </si>
  <si>
    <t>14757.03</t>
  </si>
  <si>
    <t>FV/M/4974/P/24</t>
  </si>
  <si>
    <t>PZ/802403</t>
  </si>
  <si>
    <t>16154.24</t>
  </si>
  <si>
    <t>FV/9061HM/24</t>
  </si>
  <si>
    <t>PZ/802404</t>
  </si>
  <si>
    <t>9924.35</t>
  </si>
  <si>
    <t>FV/2184/NOVA/24</t>
  </si>
  <si>
    <t>PZ/802405</t>
  </si>
  <si>
    <t>-1008.74</t>
  </si>
  <si>
    <t>FV/9612HM/24</t>
  </si>
  <si>
    <t>PZ/802406</t>
  </si>
  <si>
    <t>14037.54</t>
  </si>
  <si>
    <t>FV/49/SAL/24</t>
  </si>
  <si>
    <t>PZ/802407</t>
  </si>
  <si>
    <t>15965.02</t>
  </si>
  <si>
    <t>FV/6011HM/24</t>
  </si>
  <si>
    <t>PZ/802408</t>
  </si>
  <si>
    <t>20571.56</t>
  </si>
  <si>
    <t>FV/6545HM/24</t>
  </si>
  <si>
    <t>PZ/802409</t>
  </si>
  <si>
    <t>16286.73</t>
  </si>
  <si>
    <t>FV/43/SAL/24</t>
  </si>
  <si>
    <t>PZ/802410</t>
  </si>
  <si>
    <t>10546.47</t>
  </si>
  <si>
    <t>FV/M/8889/P/24</t>
  </si>
  <si>
    <t>PZ/802411</t>
  </si>
  <si>
    <t>11654.04</t>
  </si>
  <si>
    <t>FV/CENFA/585493/24</t>
  </si>
  <si>
    <t>PZ/802412</t>
  </si>
  <si>
    <t>15670.07</t>
  </si>
  <si>
    <t>FV/16983/VDb/2024</t>
  </si>
  <si>
    <t>PZ/802413</t>
  </si>
  <si>
    <t>19423.29</t>
  </si>
  <si>
    <t>FV/M/8101/P/24</t>
  </si>
  <si>
    <t>PZ/802414</t>
  </si>
  <si>
    <t>9280.08</t>
  </si>
  <si>
    <t>FV/CENFA/948198/24</t>
  </si>
  <si>
    <t>PZ/802415</t>
  </si>
  <si>
    <t>11099.97</t>
  </si>
  <si>
    <t>FV/POL/92449/2024</t>
  </si>
  <si>
    <t>PZ/802416</t>
  </si>
  <si>
    <t>8803.54</t>
  </si>
  <si>
    <t>FV/2819/NOVA/24</t>
  </si>
  <si>
    <t>PZ/802417</t>
  </si>
  <si>
    <t>17934.48</t>
  </si>
  <si>
    <t>FV/M/4142/P/24</t>
  </si>
  <si>
    <t>PZ/802418</t>
  </si>
  <si>
    <t>5269.63</t>
  </si>
  <si>
    <t>FV/M/4743/P/24</t>
  </si>
  <si>
    <t>PZ/802419</t>
  </si>
  <si>
    <t>24692.09</t>
  </si>
  <si>
    <t>FV/21/SAL/24</t>
  </si>
  <si>
    <t>PZ/802420</t>
  </si>
  <si>
    <t>15760.39</t>
  </si>
  <si>
    <t>FV/2260/NOVA/24</t>
  </si>
  <si>
    <t>PZ/802421</t>
  </si>
  <si>
    <t>18790.3</t>
  </si>
  <si>
    <t>FV/CENFA/690776/24</t>
  </si>
  <si>
    <t>PZ/802422</t>
  </si>
  <si>
    <t>17091.99</t>
  </si>
  <si>
    <t>FV/73671/VDb/2024</t>
  </si>
  <si>
    <t>PZ/802423</t>
  </si>
  <si>
    <t>11993.04</t>
  </si>
  <si>
    <t>FV/M/6813/P/24</t>
  </si>
  <si>
    <t>PZ/802424</t>
  </si>
  <si>
    <t>17449.82</t>
  </si>
  <si>
    <t>FV/M/6063/P/24</t>
  </si>
  <si>
    <t>PZ/802425</t>
  </si>
  <si>
    <t>19199.96</t>
  </si>
  <si>
    <t>FV/47/PP/6458/24</t>
  </si>
  <si>
    <t>PZ/802426</t>
  </si>
  <si>
    <t>14988.07</t>
  </si>
  <si>
    <t>FV/4299/NOVA/24</t>
  </si>
  <si>
    <t>PZ/802427</t>
  </si>
  <si>
    <t>22238.53</t>
  </si>
  <si>
    <t>FV/66203/VDb/2024</t>
  </si>
  <si>
    <t>PZ/802428</t>
  </si>
  <si>
    <t>10039.89</t>
  </si>
  <si>
    <t>FV/1696/NOVA/24</t>
  </si>
  <si>
    <t>PZ/802429</t>
  </si>
  <si>
    <t>9891.03</t>
  </si>
  <si>
    <t>FV/8035/NOVA/24</t>
  </si>
  <si>
    <t>PZ/802430</t>
  </si>
  <si>
    <t>17934.28</t>
  </si>
  <si>
    <t>FV/POL/47660/2024</t>
  </si>
  <si>
    <t>PZ/802431</t>
  </si>
  <si>
    <t>18862.57</t>
  </si>
  <si>
    <t>FV/POL/15489/2024</t>
  </si>
  <si>
    <t>PZ/802432</t>
  </si>
  <si>
    <t>20627.44</t>
  </si>
  <si>
    <t>FV/POL/29222/2024</t>
  </si>
  <si>
    <t>PZ/802433</t>
  </si>
  <si>
    <t>14284.55</t>
  </si>
  <si>
    <t>FV/72806/VDb/2024</t>
  </si>
  <si>
    <t>PZ/802434</t>
  </si>
  <si>
    <t>13271.76</t>
  </si>
  <si>
    <t>FV/28226/VDb/2024</t>
  </si>
  <si>
    <t>PZ/802435</t>
  </si>
  <si>
    <t>17654.53</t>
  </si>
  <si>
    <t>FV/12/PP/7761/24</t>
  </si>
  <si>
    <t>PZ/802436</t>
  </si>
  <si>
    <t>12138.15</t>
  </si>
  <si>
    <t>FV/5616/NOVA/24</t>
  </si>
  <si>
    <t>PZ/802437</t>
  </si>
  <si>
    <t>11312.19</t>
  </si>
  <si>
    <t>FV/M/7059/P/24</t>
  </si>
  <si>
    <t>PZ/802438</t>
  </si>
  <si>
    <t>17087.4</t>
  </si>
  <si>
    <t>FV/54/PP/6538/24</t>
  </si>
  <si>
    <t>PZ/802439</t>
  </si>
  <si>
    <t>17750.51</t>
  </si>
  <si>
    <t>FV/CENFA/408352/24</t>
  </si>
  <si>
    <t>PZ/802440</t>
  </si>
  <si>
    <t>13569.51</t>
  </si>
  <si>
    <t>FV/4995HM/24</t>
  </si>
  <si>
    <t>PZ/802441</t>
  </si>
  <si>
    <t>24318.83</t>
  </si>
  <si>
    <t>FV/M/3748/P/24</t>
  </si>
  <si>
    <t>PZ/802442</t>
  </si>
  <si>
    <t>3176.43</t>
  </si>
  <si>
    <t>FV/56/PP/7583/24</t>
  </si>
  <si>
    <t>PZ/802443</t>
  </si>
  <si>
    <t>14093.83</t>
  </si>
  <si>
    <t>FV/M/3857/P/24</t>
  </si>
  <si>
    <t>PZ/802444</t>
  </si>
  <si>
    <t>12406.31</t>
  </si>
  <si>
    <t>FV/CENFA/482983/24</t>
  </si>
  <si>
    <t>PZ/802445</t>
  </si>
  <si>
    <t>24019.14</t>
  </si>
  <si>
    <t>FV/44/PP/5016/24</t>
  </si>
  <si>
    <t>PZ/802446</t>
  </si>
  <si>
    <t>22692.16</t>
  </si>
  <si>
    <t>FV/CENFA/950988/24</t>
  </si>
  <si>
    <t>PZ/802447</t>
  </si>
  <si>
    <t>13365.6</t>
  </si>
  <si>
    <t>PZ/802448</t>
  </si>
  <si>
    <t>19421.93</t>
  </si>
  <si>
    <t>FV/M/5023/P/24</t>
  </si>
  <si>
    <t>PZ/802449</t>
  </si>
  <si>
    <t>26420.83</t>
  </si>
  <si>
    <t>FV/M/8866/P/24</t>
  </si>
  <si>
    <t>PZ/802450</t>
  </si>
  <si>
    <t>15137.63</t>
  </si>
  <si>
    <t>FV/8115/NOVA/24</t>
  </si>
  <si>
    <t>PZ/802451</t>
  </si>
  <si>
    <t>FV/3299/NOVA/24</t>
  </si>
  <si>
    <t>PZ/802452</t>
  </si>
  <si>
    <t>15964.79</t>
  </si>
  <si>
    <t>FV/73/PP/9106/24</t>
  </si>
  <si>
    <t>PZ/802453</t>
  </si>
  <si>
    <t>1176.21</t>
  </si>
  <si>
    <t>FV/22/PP/4998/24</t>
  </si>
  <si>
    <t>PZ/802454</t>
  </si>
  <si>
    <t>15673.73</t>
  </si>
  <si>
    <t>FV/7902/NOVA/24</t>
  </si>
  <si>
    <t>PZ/802455</t>
  </si>
  <si>
    <t>10012.39</t>
  </si>
  <si>
    <t>FV/7949HM/24</t>
  </si>
  <si>
    <t>PZ/802456</t>
  </si>
  <si>
    <t>18186.88</t>
  </si>
  <si>
    <t>FV/M/1922/P/24</t>
  </si>
  <si>
    <t>PZ/802457</t>
  </si>
  <si>
    <t>6628.26</t>
  </si>
  <si>
    <t>FV/68/PP/4724/24</t>
  </si>
  <si>
    <t>PZ/802458</t>
  </si>
  <si>
    <t>9632.4</t>
  </si>
  <si>
    <t>FV/M/8911/P/24</t>
  </si>
  <si>
    <t>PZ/802459</t>
  </si>
  <si>
    <t>21752.25</t>
  </si>
  <si>
    <t>FV/POL/65102/2024</t>
  </si>
  <si>
    <t>PZ/802460</t>
  </si>
  <si>
    <t>12642.38</t>
  </si>
  <si>
    <t>FV/M/8449/P/24</t>
  </si>
  <si>
    <t>PZ/802461</t>
  </si>
  <si>
    <t>15519.42</t>
  </si>
  <si>
    <t>FV/8893/NOVA/24</t>
  </si>
  <si>
    <t>PZ/802462</t>
  </si>
  <si>
    <t>15371.19</t>
  </si>
  <si>
    <t>FV/24851/VDb/2024</t>
  </si>
  <si>
    <t>PZ/802463</t>
  </si>
  <si>
    <t>4041.38</t>
  </si>
  <si>
    <t>FV/POL/23787/2024</t>
  </si>
  <si>
    <t>PZ/802464</t>
  </si>
  <si>
    <t>20999.68</t>
  </si>
  <si>
    <t>FV/M/7904/P/24</t>
  </si>
  <si>
    <t>PZ/802465</t>
  </si>
  <si>
    <t>11293.77</t>
  </si>
  <si>
    <t>FV/POL/67322/2024</t>
  </si>
  <si>
    <t>PZ/802466</t>
  </si>
  <si>
    <t>8878.96</t>
  </si>
  <si>
    <t>FV/CENFA/460958/24</t>
  </si>
  <si>
    <t>PZ/802467</t>
  </si>
  <si>
    <t>5685.31</t>
  </si>
  <si>
    <t>FV/M/9707/P/24</t>
  </si>
  <si>
    <t>PZ/802468</t>
  </si>
  <si>
    <t>20584.57</t>
  </si>
  <si>
    <t>FV/70/PP/5128/24</t>
  </si>
  <si>
    <t>PZ/802469</t>
  </si>
  <si>
    <t>12456.77</t>
  </si>
  <si>
    <t>FV/6294HM/24</t>
  </si>
  <si>
    <t>PZ/802470</t>
  </si>
  <si>
    <t>13439.44</t>
  </si>
  <si>
    <t>FV/57549/VDb/2024</t>
  </si>
  <si>
    <t>PZ/802471</t>
  </si>
  <si>
    <t>20834.94</t>
  </si>
  <si>
    <t>FV/3573HM/24</t>
  </si>
  <si>
    <t>PZ/802472</t>
  </si>
  <si>
    <t>15767.75</t>
  </si>
  <si>
    <t>FV/2229HM/24</t>
  </si>
  <si>
    <t>PZ/802473</t>
  </si>
  <si>
    <t>20014.98</t>
  </si>
  <si>
    <t>PZ/802474</t>
  </si>
  <si>
    <t>12329.51</t>
  </si>
  <si>
    <t>FV/1482/NOVA/24</t>
  </si>
  <si>
    <t>PZ/802475</t>
  </si>
  <si>
    <t>12294.58</t>
  </si>
  <si>
    <t>FV/4171/NOVA/24</t>
  </si>
  <si>
    <t>PZ/802476</t>
  </si>
  <si>
    <t>14589.58</t>
  </si>
  <si>
    <t>FV/4302/NOVA/24</t>
  </si>
  <si>
    <t>PZ/802477</t>
  </si>
  <si>
    <t>20214.57</t>
  </si>
  <si>
    <t>FV/4906HM/24</t>
  </si>
  <si>
    <t>PZ/802478</t>
  </si>
  <si>
    <t>10234.82</t>
  </si>
  <si>
    <t>FV/98/PP/9501/24</t>
  </si>
  <si>
    <t>PZ/802479</t>
  </si>
  <si>
    <t>20845.4</t>
  </si>
  <si>
    <t>FV/5865/NOVA/24</t>
  </si>
  <si>
    <t>PZ/802480</t>
  </si>
  <si>
    <t>15595.37</t>
  </si>
  <si>
    <t>FV/3266HM/24</t>
  </si>
  <si>
    <t>PZ/802481</t>
  </si>
  <si>
    <t>20714.91</t>
  </si>
  <si>
    <t>FV/M/4326/P/24</t>
  </si>
  <si>
    <t>PZ/802482</t>
  </si>
  <si>
    <t>28764.63</t>
  </si>
  <si>
    <t>FV/5095/NOVA/24</t>
  </si>
  <si>
    <t>PZ/802483</t>
  </si>
  <si>
    <t>20671.38</t>
  </si>
  <si>
    <t>FV/7731/NOVA/24</t>
  </si>
  <si>
    <t>PZ/802484</t>
  </si>
  <si>
    <t>8964.73</t>
  </si>
  <si>
    <t>FV/5402/NOVA/24</t>
  </si>
  <si>
    <t>PZ/802485</t>
  </si>
  <si>
    <t>13426.36</t>
  </si>
  <si>
    <t>PZ/802486</t>
  </si>
  <si>
    <t>16016.82</t>
  </si>
  <si>
    <t>FV/POL/81741/2024</t>
  </si>
  <si>
    <t>PZ/802487</t>
  </si>
  <si>
    <t>9889.83</t>
  </si>
  <si>
    <t>FV/POL/15634/2024</t>
  </si>
  <si>
    <t>PZ/802488</t>
  </si>
  <si>
    <t>21902.68</t>
  </si>
  <si>
    <t>FV/13/PP/6025/24</t>
  </si>
  <si>
    <t>PZ/802489</t>
  </si>
  <si>
    <t>17191.19</t>
  </si>
  <si>
    <t>FV/9792HM/24</t>
  </si>
  <si>
    <t>PZ/802490</t>
  </si>
  <si>
    <t>20240.92</t>
  </si>
  <si>
    <t>FV/35/PP/6426/24</t>
  </si>
  <si>
    <t>PZ/802491</t>
  </si>
  <si>
    <t>17039.86</t>
  </si>
  <si>
    <t>FV/CENFA/980312/24</t>
  </si>
  <si>
    <t>PZ/802492</t>
  </si>
  <si>
    <t>12705.7</t>
  </si>
  <si>
    <t>FV/M/4319/P/24</t>
  </si>
  <si>
    <t>PZ/802493</t>
  </si>
  <si>
    <t>-350.4</t>
  </si>
  <si>
    <t>FV/POL/20213/2024</t>
  </si>
  <si>
    <t>PZ/802494</t>
  </si>
  <si>
    <t>16553.55</t>
  </si>
  <si>
    <t>FV/POL/88263/2024</t>
  </si>
  <si>
    <t>PZ/802495</t>
  </si>
  <si>
    <t>-3052.96</t>
  </si>
  <si>
    <t>FV/3206HM/24</t>
  </si>
  <si>
    <t>PZ/802496</t>
  </si>
  <si>
    <t>10158.27</t>
  </si>
  <si>
    <t>FV/1029HM/24</t>
  </si>
  <si>
    <t>PZ/802497</t>
  </si>
  <si>
    <t>17068.7</t>
  </si>
  <si>
    <t>FV/5826/NOVA/24</t>
  </si>
  <si>
    <t>PZ/802498</t>
  </si>
  <si>
    <t>6469.96</t>
  </si>
  <si>
    <t>FV/M/6816/P/24</t>
  </si>
  <si>
    <t>PZ/802499</t>
  </si>
  <si>
    <t>17574.15</t>
  </si>
  <si>
    <t>FV/43/PP/3398/24</t>
  </si>
  <si>
    <t>PZ/802500</t>
  </si>
  <si>
    <t>16022.28</t>
  </si>
  <si>
    <t>FV/1274HM/24</t>
  </si>
  <si>
    <t>PZ/802501</t>
  </si>
  <si>
    <t>19667.43</t>
  </si>
  <si>
    <t>FV/8265/NOVA/24</t>
  </si>
  <si>
    <t>PZ/802502</t>
  </si>
  <si>
    <t>11781.73</t>
  </si>
  <si>
    <t>FV/2394HM/24</t>
  </si>
  <si>
    <t>PZ/802503</t>
  </si>
  <si>
    <t>6262.23</t>
  </si>
  <si>
    <t>FV/M/7995/P/24</t>
  </si>
  <si>
    <t>PZ/802504</t>
  </si>
  <si>
    <t>21159.25</t>
  </si>
  <si>
    <t>FV/3307HM/24</t>
  </si>
  <si>
    <t>PZ/802505</t>
  </si>
  <si>
    <t>12667.68</t>
  </si>
  <si>
    <t>FV/M/3392/P/24</t>
  </si>
  <si>
    <t>PZ/802506</t>
  </si>
  <si>
    <t>10860.13</t>
  </si>
  <si>
    <t>FV/POL/28912/2024</t>
  </si>
  <si>
    <t>PZ/802507</t>
  </si>
  <si>
    <t>19747.17</t>
  </si>
  <si>
    <t>FV/2589/NOVA/24</t>
  </si>
  <si>
    <t>PZ/802508</t>
  </si>
  <si>
    <t>15287.78</t>
  </si>
  <si>
    <t>FV/CENFA/262247/24</t>
  </si>
  <si>
    <t>PZ/802509</t>
  </si>
  <si>
    <t>5414.25</t>
  </si>
  <si>
    <t>FV/55/PP/9835/24</t>
  </si>
  <si>
    <t>PZ/802510</t>
  </si>
  <si>
    <t>13162.03</t>
  </si>
  <si>
    <t>PZ/802511</t>
  </si>
  <si>
    <t>11384.87</t>
  </si>
  <si>
    <t>PZ/802512</t>
  </si>
  <si>
    <t>12454.63</t>
  </si>
  <si>
    <t>FV/M/6876/P/24</t>
  </si>
  <si>
    <t>PZ/802513</t>
  </si>
  <si>
    <t>13836.14</t>
  </si>
  <si>
    <t>FV/M/3240/P/24</t>
  </si>
  <si>
    <t>PZ/802514</t>
  </si>
  <si>
    <t>19247.61</t>
  </si>
  <si>
    <t>FV/84/PP/9999/24</t>
  </si>
  <si>
    <t>PZ/802515</t>
  </si>
  <si>
    <t>14056.56</t>
  </si>
  <si>
    <t>FV/POL/87112/2024</t>
  </si>
  <si>
    <t>PZ/802516</t>
  </si>
  <si>
    <t>21560.77</t>
  </si>
  <si>
    <t>FV/5716/NOVA/24</t>
  </si>
  <si>
    <t>PZ/802517</t>
  </si>
  <si>
    <t>19809.3</t>
  </si>
  <si>
    <t>FV/55/PP/8816/24</t>
  </si>
  <si>
    <t>PZ/802518</t>
  </si>
  <si>
    <t>7660.3</t>
  </si>
  <si>
    <t>PZ/802519</t>
  </si>
  <si>
    <t>8134.36</t>
  </si>
  <si>
    <t>FV/M/4686/P/24</t>
  </si>
  <si>
    <t>PZ/802520</t>
  </si>
  <si>
    <t>14528.99</t>
  </si>
  <si>
    <t>FV/59/SAL/24</t>
  </si>
  <si>
    <t>PZ/802521</t>
  </si>
  <si>
    <t>23594.82</t>
  </si>
  <si>
    <t>FV/POL/45477/2024</t>
  </si>
  <si>
    <t>PZ/802522</t>
  </si>
  <si>
    <t>18431.36</t>
  </si>
  <si>
    <t>FV/CENFA/450589/24</t>
  </si>
  <si>
    <t>PZ/802523</t>
  </si>
  <si>
    <t>14635.09</t>
  </si>
  <si>
    <t>FV/84082/VDb/2024</t>
  </si>
  <si>
    <t>PZ/802524</t>
  </si>
  <si>
    <t>12204.34</t>
  </si>
  <si>
    <t>FV/40/PP/7632/24</t>
  </si>
  <si>
    <t>PZ/802525</t>
  </si>
  <si>
    <t>22931.68</t>
  </si>
  <si>
    <t>FV/CENFA/357142/24</t>
  </si>
  <si>
    <t>PZ/802526</t>
  </si>
  <si>
    <t>13934.43</t>
  </si>
  <si>
    <t>FV/15/PP/7315/24</t>
  </si>
  <si>
    <t>PZ/802527</t>
  </si>
  <si>
    <t>18140.05</t>
  </si>
  <si>
    <t>FV/M/6928/P/24</t>
  </si>
  <si>
    <t>PZ/802528</t>
  </si>
  <si>
    <t>23816.55</t>
  </si>
  <si>
    <t>FV/6249HM/24</t>
  </si>
  <si>
    <t>PZ/802529</t>
  </si>
  <si>
    <t>14402.59</t>
  </si>
  <si>
    <t>FV/M/9630/P/24</t>
  </si>
  <si>
    <t>PZ/802530</t>
  </si>
  <si>
    <t>13556.22</t>
  </si>
  <si>
    <t>FV/POL/46635/2024</t>
  </si>
  <si>
    <t>PZ/802531</t>
  </si>
  <si>
    <t>16551.54</t>
  </si>
  <si>
    <t>FV/45/SAL/24</t>
  </si>
  <si>
    <t>PZ/802532</t>
  </si>
  <si>
    <t>16734.63</t>
  </si>
  <si>
    <t>FV/CENFA/836435/24</t>
  </si>
  <si>
    <t>PZ/802533</t>
  </si>
  <si>
    <t>18584.04</t>
  </si>
  <si>
    <t>FV/86721/VDb/2024</t>
  </si>
  <si>
    <t>PZ/802534</t>
  </si>
  <si>
    <t>12113.34</t>
  </si>
  <si>
    <t>FV/POL/15904/2024</t>
  </si>
  <si>
    <t>PZ/802535</t>
  </si>
  <si>
    <t>16847.94</t>
  </si>
  <si>
    <t>PZ/802536</t>
  </si>
  <si>
    <t>18319.64</t>
  </si>
  <si>
    <t>PZ/802537</t>
  </si>
  <si>
    <t>11163.97</t>
  </si>
  <si>
    <t>FV/2743/NOVA/24</t>
  </si>
  <si>
    <t>PZ/802538</t>
  </si>
  <si>
    <t>18653.01</t>
  </si>
  <si>
    <t>FV/CENFA/603650/24</t>
  </si>
  <si>
    <t>PZ/802539</t>
  </si>
  <si>
    <t>10055.59</t>
  </si>
  <si>
    <t>FV/8086/NOVA/24</t>
  </si>
  <si>
    <t>PZ/802540</t>
  </si>
  <si>
    <t>15300.73</t>
  </si>
  <si>
    <t>FV/POL/29289/2024</t>
  </si>
  <si>
    <t>PZ/802541</t>
  </si>
  <si>
    <t>9323.14</t>
  </si>
  <si>
    <t>FV/POL/73642/2024</t>
  </si>
  <si>
    <t>PZ/802542</t>
  </si>
  <si>
    <t>17114.11</t>
  </si>
  <si>
    <t>FV/62801/VDb/2024</t>
  </si>
  <si>
    <t>PZ/802543</t>
  </si>
  <si>
    <t>10197.98</t>
  </si>
  <si>
    <t>FV/14091/VDb/2024</t>
  </si>
  <si>
    <t>PZ/802544</t>
  </si>
  <si>
    <t>8943.8</t>
  </si>
  <si>
    <t>FV/12493/VDb/2024</t>
  </si>
  <si>
    <t>PZ/802545</t>
  </si>
  <si>
    <t>18768.64</t>
  </si>
  <si>
    <t>FV/M/4471/P/24</t>
  </si>
  <si>
    <t>PZ/802546</t>
  </si>
  <si>
    <t>18321.76</t>
  </si>
  <si>
    <t>FV/M/8335/P/24</t>
  </si>
  <si>
    <t>PZ/802547</t>
  </si>
  <si>
    <t>22652.66</t>
  </si>
  <si>
    <t>FV/CENFA/671850/24</t>
  </si>
  <si>
    <t>PZ/802548</t>
  </si>
  <si>
    <t>17940.63</t>
  </si>
  <si>
    <t>FV/97818/VDb/2024</t>
  </si>
  <si>
    <t>PZ/802549</t>
  </si>
  <si>
    <t>16666.27</t>
  </si>
  <si>
    <t>FV/8721HM/24</t>
  </si>
  <si>
    <t>PZ/802550</t>
  </si>
  <si>
    <t>23499.45</t>
  </si>
  <si>
    <t>FV/CENFA/881478/24</t>
  </si>
  <si>
    <t>PZ/802551</t>
  </si>
  <si>
    <t>15781.43</t>
  </si>
  <si>
    <t>FV/POL/45318/2024</t>
  </si>
  <si>
    <t>PZ/802552</t>
  </si>
  <si>
    <t>7508.52</t>
  </si>
  <si>
    <t>FV/6688HM/24</t>
  </si>
  <si>
    <t>PZ/802553</t>
  </si>
  <si>
    <t>17005.55</t>
  </si>
  <si>
    <t>FV/5012HM/24</t>
  </si>
  <si>
    <t>PZ/802554</t>
  </si>
  <si>
    <t>8229.96</t>
  </si>
  <si>
    <t>FV/POL/28749/2024</t>
  </si>
  <si>
    <t>PZ/802555</t>
  </si>
  <si>
    <t>12971.81</t>
  </si>
  <si>
    <t>FV/28491/VDb/2024</t>
  </si>
  <si>
    <t>PZ/802556</t>
  </si>
  <si>
    <t>11790.82</t>
  </si>
  <si>
    <t>PZ/802557</t>
  </si>
  <si>
    <t>2858.36</t>
  </si>
  <si>
    <t>FV/CENFA/291167/24</t>
  </si>
  <si>
    <t>PZ/802558</t>
  </si>
  <si>
    <t>17731.85</t>
  </si>
  <si>
    <t>PZ/802559</t>
  </si>
  <si>
    <t>19398.95</t>
  </si>
  <si>
    <t>FV/82299/VDb/2024</t>
  </si>
  <si>
    <t>PZ/802560</t>
  </si>
  <si>
    <t>17971.67</t>
  </si>
  <si>
    <t>PZ/802561</t>
  </si>
  <si>
    <t>15689.73</t>
  </si>
  <si>
    <t>FV/M/7274/P/24</t>
  </si>
  <si>
    <t>PZ/802562</t>
  </si>
  <si>
    <t>22105.5</t>
  </si>
  <si>
    <t>PZ/802563</t>
  </si>
  <si>
    <t>14074.51</t>
  </si>
  <si>
    <t>FV/POL/14356/2024</t>
  </si>
  <si>
    <t>PZ/802564</t>
  </si>
  <si>
    <t>10201.48</t>
  </si>
  <si>
    <t>FV/41/SAL/24</t>
  </si>
  <si>
    <t>PZ/802565</t>
  </si>
  <si>
    <t>13298.45</t>
  </si>
  <si>
    <t>FV/97/SAL/24</t>
  </si>
  <si>
    <t>PZ/802566</t>
  </si>
  <si>
    <t>9665.27</t>
  </si>
  <si>
    <t>FV/48874/VDb/2024</t>
  </si>
  <si>
    <t>PZ/802567</t>
  </si>
  <si>
    <t>24753.53</t>
  </si>
  <si>
    <t>FV/POL/25929/2024</t>
  </si>
  <si>
    <t>PZ/802568</t>
  </si>
  <si>
    <t>24667.41</t>
  </si>
  <si>
    <t>FV/42533/VDb/2024</t>
  </si>
  <si>
    <t>PZ/802569</t>
  </si>
  <si>
    <t>16553.17</t>
  </si>
  <si>
    <t>FV/8443HM/24</t>
  </si>
  <si>
    <t>PZ/802570</t>
  </si>
  <si>
    <t>17247.42</t>
  </si>
  <si>
    <t>FV/POL/40343/2024</t>
  </si>
  <si>
    <t>PZ/802571</t>
  </si>
  <si>
    <t>12383.42</t>
  </si>
  <si>
    <t>FV/38/PP/9149/24</t>
  </si>
  <si>
    <t>PZ/802572</t>
  </si>
  <si>
    <t>12826.65</t>
  </si>
  <si>
    <t>FV/79/SAL/24</t>
  </si>
  <si>
    <t>PZ/802573</t>
  </si>
  <si>
    <t>13751.73</t>
  </si>
  <si>
    <t>FV/M/7101/P/24</t>
  </si>
  <si>
    <t>PZ/802574</t>
  </si>
  <si>
    <t>7027.48</t>
  </si>
  <si>
    <t>FV/27/PP/1949/24</t>
  </si>
  <si>
    <t>PZ/802575</t>
  </si>
  <si>
    <t>8590.42</t>
  </si>
  <si>
    <t>FV/POL/32294/2024</t>
  </si>
  <si>
    <t>PZ/802576</t>
  </si>
  <si>
    <t>14396.54</t>
  </si>
  <si>
    <t>FV/CENFA/339768/24</t>
  </si>
  <si>
    <t>PZ/802577</t>
  </si>
  <si>
    <t>12365.66</t>
  </si>
  <si>
    <t>FV/CENFA/221568/24</t>
  </si>
  <si>
    <t>PZ/802578</t>
  </si>
  <si>
    <t>7520.78</t>
  </si>
  <si>
    <t>FV/7567/NOVA/24</t>
  </si>
  <si>
    <t>PZ/802579</t>
  </si>
  <si>
    <t>13956.68</t>
  </si>
  <si>
    <t>FV/50774/VDb/2024</t>
  </si>
  <si>
    <t>PZ/802580</t>
  </si>
  <si>
    <t>23663.7</t>
  </si>
  <si>
    <t>FV/7852HM/24</t>
  </si>
  <si>
    <t>PZ/802581</t>
  </si>
  <si>
    <t>13042.69</t>
  </si>
  <si>
    <t>FV/POL/23267/2024</t>
  </si>
  <si>
    <t>PZ/802582</t>
  </si>
  <si>
    <t>12327.9</t>
  </si>
  <si>
    <t>FV/CENFA/220318/24</t>
  </si>
  <si>
    <t>PZ/802583</t>
  </si>
  <si>
    <t>8937.49</t>
  </si>
  <si>
    <t>FV/82250/VDb/2024</t>
  </si>
  <si>
    <t>PZ/802584</t>
  </si>
  <si>
    <t>25716.26</t>
  </si>
  <si>
    <t>FV/2878/NOVA/24</t>
  </si>
  <si>
    <t>PZ/802585</t>
  </si>
  <si>
    <t>7340.21</t>
  </si>
  <si>
    <t>FV/52477/VDb/2024</t>
  </si>
  <si>
    <t>PZ/802586</t>
  </si>
  <si>
    <t>12575.46</t>
  </si>
  <si>
    <t>FV/3373/NOVA/24</t>
  </si>
  <si>
    <t>PZ/802587</t>
  </si>
  <si>
    <t>18579.24</t>
  </si>
  <si>
    <t>FV/CENFA/529364/24</t>
  </si>
  <si>
    <t>PZ/802588</t>
  </si>
  <si>
    <t>11368.6</t>
  </si>
  <si>
    <t>FV/6846HM/24</t>
  </si>
  <si>
    <t>PZ/802589</t>
  </si>
  <si>
    <t>13829.29</t>
  </si>
  <si>
    <t>FV/8603/NOVA/24</t>
  </si>
  <si>
    <t>PZ/802590</t>
  </si>
  <si>
    <t>18448.11</t>
  </si>
  <si>
    <t>FV/M/3766/P/24</t>
  </si>
  <si>
    <t>PZ/802591</t>
  </si>
  <si>
    <t>20364.57</t>
  </si>
  <si>
    <t>FV/5256/NOVA/24</t>
  </si>
  <si>
    <t>PZ/802592</t>
  </si>
  <si>
    <t>15920.04</t>
  </si>
  <si>
    <t>FV/99873/VDb/2024</t>
  </si>
  <si>
    <t>PZ/802593</t>
  </si>
  <si>
    <t>21176.23</t>
  </si>
  <si>
    <t>FV/5025HM/24</t>
  </si>
  <si>
    <t>PZ/802594</t>
  </si>
  <si>
    <t>9879.75</t>
  </si>
  <si>
    <t>FV/47/PP/1318/24</t>
  </si>
  <si>
    <t>PZ/802595</t>
  </si>
  <si>
    <t>17908.97</t>
  </si>
  <si>
    <t>FV/CENFA/264927/24</t>
  </si>
  <si>
    <t>PZ/802596</t>
  </si>
  <si>
    <t>15454.43</t>
  </si>
  <si>
    <t>FV/84888/VDb/2024</t>
  </si>
  <si>
    <t>PZ/802597</t>
  </si>
  <si>
    <t>12849.9</t>
  </si>
  <si>
    <t>PZ/802598</t>
  </si>
  <si>
    <t>13773.01</t>
  </si>
  <si>
    <t>FV/M/3825/P/24</t>
  </si>
  <si>
    <t>PZ/802599</t>
  </si>
  <si>
    <t>13933.46</t>
  </si>
  <si>
    <t>FV/CENFA/589570/24</t>
  </si>
  <si>
    <t>PZ/802600</t>
  </si>
  <si>
    <t>13387.5</t>
  </si>
  <si>
    <t>PZ/802601</t>
  </si>
  <si>
    <t>-1941.0</t>
  </si>
  <si>
    <t>FV/CENFA/195246/24</t>
  </si>
  <si>
    <t>PZ/802602</t>
  </si>
  <si>
    <t>11280.95</t>
  </si>
  <si>
    <t>FV/6907/NOVA/24</t>
  </si>
  <si>
    <t>PZ/802603</t>
  </si>
  <si>
    <t>14116.15</t>
  </si>
  <si>
    <t>FV/78717/VDb/2024</t>
  </si>
  <si>
    <t>PZ/802604</t>
  </si>
  <si>
    <t>12151.68</t>
  </si>
  <si>
    <t>FV/CENFA/185076/24</t>
  </si>
  <si>
    <t>PZ/802605</t>
  </si>
  <si>
    <t>22541.35</t>
  </si>
  <si>
    <t>FV/7735HM/24</t>
  </si>
  <si>
    <t>PZ/802606</t>
  </si>
  <si>
    <t>8763.02</t>
  </si>
  <si>
    <t>FV/8534/NOVA/24</t>
  </si>
  <si>
    <t>PZ/802607</t>
  </si>
  <si>
    <t>-1991.48</t>
  </si>
  <si>
    <t>FV/M/8208/P/24</t>
  </si>
  <si>
    <t>PZ/802608</t>
  </si>
  <si>
    <t>22035.58</t>
  </si>
  <si>
    <t>FV/5776HM/24</t>
  </si>
  <si>
    <t>PZ/802609</t>
  </si>
  <si>
    <t>17781.69</t>
  </si>
  <si>
    <t>FV/POL/31864/2024</t>
  </si>
  <si>
    <t>PZ/802610</t>
  </si>
  <si>
    <t>14351.75</t>
  </si>
  <si>
    <t>FV/6355/NOVA/24</t>
  </si>
  <si>
    <t>PZ/802611</t>
  </si>
  <si>
    <t>9194.39</t>
  </si>
  <si>
    <t>FV/38/SAL/24</t>
  </si>
  <si>
    <t>PZ/802612</t>
  </si>
  <si>
    <t>11005.1</t>
  </si>
  <si>
    <t>FV/M/4917/P/24</t>
  </si>
  <si>
    <t>PZ/802613</t>
  </si>
  <si>
    <t>15909.95</t>
  </si>
  <si>
    <t>FV/8553/NOVA/24</t>
  </si>
  <si>
    <t>PZ/802614</t>
  </si>
  <si>
    <t>13357.45</t>
  </si>
  <si>
    <t>FV/M/1370/P/24</t>
  </si>
  <si>
    <t>PZ/802615</t>
  </si>
  <si>
    <t>-2349.32</t>
  </si>
  <si>
    <t>FV/M/3800/P/24</t>
  </si>
  <si>
    <t>PZ/802616</t>
  </si>
  <si>
    <t>15374.65</t>
  </si>
  <si>
    <t>FV/CENFA/682652/24</t>
  </si>
  <si>
    <t>PZ/802617</t>
  </si>
  <si>
    <t>29053.19</t>
  </si>
  <si>
    <t>FV/POL/76191/2024</t>
  </si>
  <si>
    <t>PZ/802618</t>
  </si>
  <si>
    <t>13199.17</t>
  </si>
  <si>
    <t>FV/9580/NOVA/24</t>
  </si>
  <si>
    <t>PZ/802619</t>
  </si>
  <si>
    <t>7741.2</t>
  </si>
  <si>
    <t>FV/6099/NOVA/24</t>
  </si>
  <si>
    <t>PZ/802620</t>
  </si>
  <si>
    <t>15574.08</t>
  </si>
  <si>
    <t>FV/14/PP/7080/24</t>
  </si>
  <si>
    <t>PZ/802621</t>
  </si>
  <si>
    <t>12359.72</t>
  </si>
  <si>
    <t>FV/CENFA/750209/24</t>
  </si>
  <si>
    <t>PZ/802622</t>
  </si>
  <si>
    <t>-2057.33</t>
  </si>
  <si>
    <t>FV/POL/27593/2024</t>
  </si>
  <si>
    <t>PZ/802623</t>
  </si>
  <si>
    <t>26079.87</t>
  </si>
  <si>
    <t>FV/6953/NOVA/24</t>
  </si>
  <si>
    <t>PZ/802624</t>
  </si>
  <si>
    <t>16536.37</t>
  </si>
  <si>
    <t>FV/7212HM/24</t>
  </si>
  <si>
    <t>PZ/802625</t>
  </si>
  <si>
    <t>13390.45</t>
  </si>
  <si>
    <t>FV/46/PP/1367/24</t>
  </si>
  <si>
    <t>PZ/802626</t>
  </si>
  <si>
    <t>8702.75</t>
  </si>
  <si>
    <t>FV/CENFA/618943/24</t>
  </si>
  <si>
    <t>PZ/802627</t>
  </si>
  <si>
    <t>15072.67</t>
  </si>
  <si>
    <t>FV/CENFA/933866/24</t>
  </si>
  <si>
    <t>PZ/802628</t>
  </si>
  <si>
    <t>11782.7</t>
  </si>
  <si>
    <t>FV/99/PP/2191/24</t>
  </si>
  <si>
    <t>PZ/802629</t>
  </si>
  <si>
    <t>2389.57</t>
  </si>
  <si>
    <t>FV/21/PP/7318/24</t>
  </si>
  <si>
    <t>PZ/802630</t>
  </si>
  <si>
    <t>22490.2</t>
  </si>
  <si>
    <t>FV/8564/NOVA/24</t>
  </si>
  <si>
    <t>PZ/802631</t>
  </si>
  <si>
    <t>6307.58</t>
  </si>
  <si>
    <t>FV/CENFA/894039/24</t>
  </si>
  <si>
    <t>PZ/802632</t>
  </si>
  <si>
    <t>17957.74</t>
  </si>
  <si>
    <t>FV/98/PP/9086/24</t>
  </si>
  <si>
    <t>PZ/802633</t>
  </si>
  <si>
    <t>6130.7</t>
  </si>
  <si>
    <t>FV/M/9325/P/24</t>
  </si>
  <si>
    <t>PZ/802634</t>
  </si>
  <si>
    <t>15407.19</t>
  </si>
  <si>
    <t>FV/54505/VDb/2024</t>
  </si>
  <si>
    <t>PZ/802635</t>
  </si>
  <si>
    <t>23522.64</t>
  </si>
  <si>
    <t>FV/3502/NOVA/24</t>
  </si>
  <si>
    <t>PZ/802636</t>
  </si>
  <si>
    <t>7721.52</t>
  </si>
  <si>
    <t>FV/42122/VDb/2024</t>
  </si>
  <si>
    <t>PZ/802637</t>
  </si>
  <si>
    <t>11990.22</t>
  </si>
  <si>
    <t>FV/2580HM/24</t>
  </si>
  <si>
    <t>PZ/802638</t>
  </si>
  <si>
    <t>19120.0</t>
  </si>
  <si>
    <t>FV/70/PP/3193/24</t>
  </si>
  <si>
    <t>PZ/802639</t>
  </si>
  <si>
    <t>14561.76</t>
  </si>
  <si>
    <t>PZ/802640</t>
  </si>
  <si>
    <t>12143.45</t>
  </si>
  <si>
    <t>FV/57087/VDb/2024</t>
  </si>
  <si>
    <t>PZ/802641</t>
  </si>
  <si>
    <t>-531.41</t>
  </si>
  <si>
    <t>FV/37/SAL/24</t>
  </si>
  <si>
    <t>PZ/802642</t>
  </si>
  <si>
    <t>12802.53</t>
  </si>
  <si>
    <t>FV/M/1355/P/24</t>
  </si>
  <si>
    <t>PZ/802643</t>
  </si>
  <si>
    <t>13190.01</t>
  </si>
  <si>
    <t>FV/CENFA/511081/24</t>
  </si>
  <si>
    <t>PZ/802644</t>
  </si>
  <si>
    <t>21467.84</t>
  </si>
  <si>
    <t>FV/M/2550/P/24</t>
  </si>
  <si>
    <t>PZ/802645</t>
  </si>
  <si>
    <t>20818.69</t>
  </si>
  <si>
    <t>FV/42/PP/7812/24</t>
  </si>
  <si>
    <t>PZ/802646</t>
  </si>
  <si>
    <t>21989.52</t>
  </si>
  <si>
    <t>FV/M/3261/P/24</t>
  </si>
  <si>
    <t>PZ/802647</t>
  </si>
  <si>
    <t>11048.66</t>
  </si>
  <si>
    <t>FV/M/4753/P/24</t>
  </si>
  <si>
    <t>PZ/802648</t>
  </si>
  <si>
    <t>19978.45</t>
  </si>
  <si>
    <t>FV/1871/NOVA/24</t>
  </si>
  <si>
    <t>PZ/802649</t>
  </si>
  <si>
    <t>12593.34</t>
  </si>
  <si>
    <t>FV/9387HM/24</t>
  </si>
  <si>
    <t>PZ/802650</t>
  </si>
  <si>
    <t>8504.32</t>
  </si>
  <si>
    <t>FV/52/PP/1179/24</t>
  </si>
  <si>
    <t>PZ/802651</t>
  </si>
  <si>
    <t>17811.71</t>
  </si>
  <si>
    <t>FV/POL/53023/2024</t>
  </si>
  <si>
    <t>PZ/802652</t>
  </si>
  <si>
    <t>19846.0</t>
  </si>
  <si>
    <t>FV/CENFA/340582/24</t>
  </si>
  <si>
    <t>PZ/802653</t>
  </si>
  <si>
    <t>19891.84</t>
  </si>
  <si>
    <t>FV/48342/VDb/2024</t>
  </si>
  <si>
    <t>PZ/802654</t>
  </si>
  <si>
    <t>13955.7</t>
  </si>
  <si>
    <t>FV/POL/36520/2024</t>
  </si>
  <si>
    <t>PZ/802655</t>
  </si>
  <si>
    <t>9910.48</t>
  </si>
  <si>
    <t>FV/59666/VDb/2024</t>
  </si>
  <si>
    <t>PZ/802656</t>
  </si>
  <si>
    <t>14364.61</t>
  </si>
  <si>
    <t>FV/73752/VDb/2024</t>
  </si>
  <si>
    <t>PZ/802657</t>
  </si>
  <si>
    <t>15060.52</t>
  </si>
  <si>
    <t>FV/POL/38903/2024</t>
  </si>
  <si>
    <t>PZ/802658</t>
  </si>
  <si>
    <t>16519.39</t>
  </si>
  <si>
    <t>PZ/802659</t>
  </si>
  <si>
    <t>18955.07</t>
  </si>
  <si>
    <t>FV/6674/NOVA/24</t>
  </si>
  <si>
    <t>PZ/802660</t>
  </si>
  <si>
    <t>-2176.09</t>
  </si>
  <si>
    <t>FV/25/SAL/24</t>
  </si>
  <si>
    <t>PZ/802661</t>
  </si>
  <si>
    <t>21816.63</t>
  </si>
  <si>
    <t>FV/CENFA/342271/24</t>
  </si>
  <si>
    <t>PZ/802662</t>
  </si>
  <si>
    <t>12438.47</t>
  </si>
  <si>
    <t>FV/5613/NOVA/24</t>
  </si>
  <si>
    <t>PZ/802663</t>
  </si>
  <si>
    <t>9931.26</t>
  </si>
  <si>
    <t>FV/1082/NOVA/24</t>
  </si>
  <si>
    <t>PZ/802664</t>
  </si>
  <si>
    <t>16588.61</t>
  </si>
  <si>
    <t>FV/CENFA/468170/24</t>
  </si>
  <si>
    <t>PZ/802665</t>
  </si>
  <si>
    <t>10006.77</t>
  </si>
  <si>
    <t>PZ/802666</t>
  </si>
  <si>
    <t>18739.87</t>
  </si>
  <si>
    <t>FV/POL/15532/2024</t>
  </si>
  <si>
    <t>PZ/802667</t>
  </si>
  <si>
    <t>12508.95</t>
  </si>
  <si>
    <t>FV/7991HM/24</t>
  </si>
  <si>
    <t>PZ/802668</t>
  </si>
  <si>
    <t>13324.49</t>
  </si>
  <si>
    <t>FV/47508/VDb/2024</t>
  </si>
  <si>
    <t>PZ/802669</t>
  </si>
  <si>
    <t>6970.35</t>
  </si>
  <si>
    <t>FV/63834/VDb/2024</t>
  </si>
  <si>
    <t>PZ/802670</t>
  </si>
  <si>
    <t>16859.51</t>
  </si>
  <si>
    <t>FV/M/2348/P/24</t>
  </si>
  <si>
    <t>PZ/802671</t>
  </si>
  <si>
    <t>16679.68</t>
  </si>
  <si>
    <t>FV/48/PP/7736/24</t>
  </si>
  <si>
    <t>PZ/802672</t>
  </si>
  <si>
    <t>-1356.8</t>
  </si>
  <si>
    <t>FV/POL/35201/2024</t>
  </si>
  <si>
    <t>PZ/802673</t>
  </si>
  <si>
    <t>14032.97</t>
  </si>
  <si>
    <t>FV/M/3299/P/24</t>
  </si>
  <si>
    <t>PZ/802674</t>
  </si>
  <si>
    <t>16430.98</t>
  </si>
  <si>
    <t>FV/POL/36357/2024</t>
  </si>
  <si>
    <t>PZ/802675</t>
  </si>
  <si>
    <t>13166.5</t>
  </si>
  <si>
    <t>FV/CENFA/288241/24</t>
  </si>
  <si>
    <t>PZ/802676</t>
  </si>
  <si>
    <t>12627.59</t>
  </si>
  <si>
    <t>PZ/802677</t>
  </si>
  <si>
    <t>8311.81</t>
  </si>
  <si>
    <t>FV/25/PP/2664/24</t>
  </si>
  <si>
    <t>PZ/802678</t>
  </si>
  <si>
    <t>6838.51</t>
  </si>
  <si>
    <t>FV/94/SAL/24</t>
  </si>
  <si>
    <t>PZ/802679</t>
  </si>
  <si>
    <t>12030.15</t>
  </si>
  <si>
    <t>FV/51868/VDb/2024</t>
  </si>
  <si>
    <t>PZ/802680</t>
  </si>
  <si>
    <t>11731.13</t>
  </si>
  <si>
    <t>PZ/802681</t>
  </si>
  <si>
    <t>9283.08</t>
  </si>
  <si>
    <t>FV/M/1868/P/24</t>
  </si>
  <si>
    <t>PZ/802682</t>
  </si>
  <si>
    <t>5817.99</t>
  </si>
  <si>
    <t>FV/POL/27775/2024</t>
  </si>
  <si>
    <t>PZ/802683</t>
  </si>
  <si>
    <t>8795.01</t>
  </si>
  <si>
    <t>FV/76/PP/2361/24</t>
  </si>
  <si>
    <t>PZ/802684</t>
  </si>
  <si>
    <t>15081.02</t>
  </si>
  <si>
    <t>FV/POL/38994/2024</t>
  </si>
  <si>
    <t>PZ/802685</t>
  </si>
  <si>
    <t>8741.28</t>
  </si>
  <si>
    <t>FV/67853/VDb/2024</t>
  </si>
  <si>
    <t>PZ/802686</t>
  </si>
  <si>
    <t>17769.79</t>
  </si>
  <si>
    <t>FV/CENFA/509078/24</t>
  </si>
  <si>
    <t>PZ/802687</t>
  </si>
  <si>
    <t>18195.73</t>
  </si>
  <si>
    <t>FV/4497/NOVA/24</t>
  </si>
  <si>
    <t>PZ/802688</t>
  </si>
  <si>
    <t>11281.25</t>
  </si>
  <si>
    <t>FV/POL/59251/2024</t>
  </si>
  <si>
    <t>PZ/802689</t>
  </si>
  <si>
    <t>12428.67</t>
  </si>
  <si>
    <t>FV/1610/NOVA/24</t>
  </si>
  <si>
    <t>PZ/802690</t>
  </si>
  <si>
    <t>21404.31</t>
  </si>
  <si>
    <t>FV/84980/VDb/2024</t>
  </si>
  <si>
    <t>PZ/802691</t>
  </si>
  <si>
    <t>20639.04</t>
  </si>
  <si>
    <t>FV/41/PP/9404/24</t>
  </si>
  <si>
    <t>PZ/802692</t>
  </si>
  <si>
    <t>9603.36</t>
  </si>
  <si>
    <t>PZ/802693</t>
  </si>
  <si>
    <t>14556.24</t>
  </si>
  <si>
    <t>FV/M/4573/P/24</t>
  </si>
  <si>
    <t>PZ/802694</t>
  </si>
  <si>
    <t>5712.42</t>
  </si>
  <si>
    <t>FV/3879HM/24</t>
  </si>
  <si>
    <t>PZ/802695</t>
  </si>
  <si>
    <t>8874.88</t>
  </si>
  <si>
    <t>FV/73/SAL/24</t>
  </si>
  <si>
    <t>PZ/802696</t>
  </si>
  <si>
    <t>26269.56</t>
  </si>
  <si>
    <t>FV/8776HM/24</t>
  </si>
  <si>
    <t>PZ/802697</t>
  </si>
  <si>
    <t>19985.67</t>
  </si>
  <si>
    <t>FV/5713/NOVA/24</t>
  </si>
  <si>
    <t>PZ/802698</t>
  </si>
  <si>
    <t>14655.38</t>
  </si>
  <si>
    <t>FV/CENFA/991976/24</t>
  </si>
  <si>
    <t>PZ/802699</t>
  </si>
  <si>
    <t>16763.79</t>
  </si>
  <si>
    <t>FV/45906/VDb/2024</t>
  </si>
  <si>
    <t>PZ/802700</t>
  </si>
  <si>
    <t>8124.82</t>
  </si>
  <si>
    <t>FV/POL/63734/2024</t>
  </si>
  <si>
    <t>PZ/802701</t>
  </si>
  <si>
    <t>19922.43</t>
  </si>
  <si>
    <t>FV/96/PP/1881/24</t>
  </si>
  <si>
    <t>PZ/802702</t>
  </si>
  <si>
    <t>21464.51</t>
  </si>
  <si>
    <t>FV/79/PP/2394/24</t>
  </si>
  <si>
    <t>PZ/802703</t>
  </si>
  <si>
    <t>23963.76</t>
  </si>
  <si>
    <t>FV/M/4804/P/24</t>
  </si>
  <si>
    <t>PZ/802704</t>
  </si>
  <si>
    <t>18388.15</t>
  </si>
  <si>
    <t>FV/20201/VDb/2024</t>
  </si>
  <si>
    <t>PZ/802705</t>
  </si>
  <si>
    <t>18230.13</t>
  </si>
  <si>
    <t>FV/78/SAL/24</t>
  </si>
  <si>
    <t>PZ/802706</t>
  </si>
  <si>
    <t>9015.5</t>
  </si>
  <si>
    <t>FV/8811HM/24</t>
  </si>
  <si>
    <t>PZ/802707</t>
  </si>
  <si>
    <t>23810.64</t>
  </si>
  <si>
    <t>FV/POL/65472/2024</t>
  </si>
  <si>
    <t>PZ/802708</t>
  </si>
  <si>
    <t>17032.78</t>
  </si>
  <si>
    <t>FV/95/PP/7920/24</t>
  </si>
  <si>
    <t>PZ/802709</t>
  </si>
  <si>
    <t>24217.07</t>
  </si>
  <si>
    <t>FV/5989HM/24</t>
  </si>
  <si>
    <t>PZ/802710</t>
  </si>
  <si>
    <t>16276.15</t>
  </si>
  <si>
    <t>FV/87/PP/7989/24</t>
  </si>
  <si>
    <t>PZ/802711</t>
  </si>
  <si>
    <t>11784.97</t>
  </si>
  <si>
    <t>FV/21/PP/7598/24</t>
  </si>
  <si>
    <t>PZ/802712</t>
  </si>
  <si>
    <t>16454.29</t>
  </si>
  <si>
    <t>FV/CENFA/351163/24</t>
  </si>
  <si>
    <t>PZ/802713</t>
  </si>
  <si>
    <t>11392.16</t>
  </si>
  <si>
    <t>FV/M/5895/P/24</t>
  </si>
  <si>
    <t>PZ/802714</t>
  </si>
  <si>
    <t>3711.75</t>
  </si>
  <si>
    <t>FV/M/3695/P/24</t>
  </si>
  <si>
    <t>PZ/802715</t>
  </si>
  <si>
    <t>19681.99</t>
  </si>
  <si>
    <t>FV/2548HM/24</t>
  </si>
  <si>
    <t>PZ/802716</t>
  </si>
  <si>
    <t>12730.93</t>
  </si>
  <si>
    <t>FV/CENFA/662938/24</t>
  </si>
  <si>
    <t>PZ/802717</t>
  </si>
  <si>
    <t>14082.0</t>
  </si>
  <si>
    <t>FV/POL/48626/2024</t>
  </si>
  <si>
    <t>PZ/802718</t>
  </si>
  <si>
    <t>10518.69</t>
  </si>
  <si>
    <t>FV/M/1742/P/24</t>
  </si>
  <si>
    <t>PZ/802719</t>
  </si>
  <si>
    <t>15452.75</t>
  </si>
  <si>
    <t>FV/M/4171/P/24</t>
  </si>
  <si>
    <t>PZ/802720</t>
  </si>
  <si>
    <t>9031.02</t>
  </si>
  <si>
    <t>FV/POL/94760/2024</t>
  </si>
  <si>
    <t>PZ/802721</t>
  </si>
  <si>
    <t>8218.51</t>
  </si>
  <si>
    <t>FV/3296HM/24</t>
  </si>
  <si>
    <t>PZ/802722</t>
  </si>
  <si>
    <t>25929.99</t>
  </si>
  <si>
    <t>FV/POL/65241/2024</t>
  </si>
  <si>
    <t>PZ/802723</t>
  </si>
  <si>
    <t>13880.48</t>
  </si>
  <si>
    <t>FV/8894HM/24</t>
  </si>
  <si>
    <t>PZ/802724</t>
  </si>
  <si>
    <t>8883.37</t>
  </si>
  <si>
    <t>FV/M/3339/P/24</t>
  </si>
  <si>
    <t>PZ/802725</t>
  </si>
  <si>
    <t>19753.15</t>
  </si>
  <si>
    <t>FV/49/PP/8561/24</t>
  </si>
  <si>
    <t>PZ/802726</t>
  </si>
  <si>
    <t>13830.53</t>
  </si>
  <si>
    <t>FV/CENFA/793974/24</t>
  </si>
  <si>
    <t>PZ/802727</t>
  </si>
  <si>
    <t>28204.33</t>
  </si>
  <si>
    <t>FV/M/7573/P/24</t>
  </si>
  <si>
    <t>PZ/802728</t>
  </si>
  <si>
    <t>26423.36</t>
  </si>
  <si>
    <t>FV/9316/NOVA/24</t>
  </si>
  <si>
    <t>PZ/802729</t>
  </si>
  <si>
    <t>24734.61</t>
  </si>
  <si>
    <t>FV/M/9623/P/24</t>
  </si>
  <si>
    <t>PZ/802730</t>
  </si>
  <si>
    <t>9507.36</t>
  </si>
  <si>
    <t>FV/65890/VDb/2024</t>
  </si>
  <si>
    <t>PZ/802731</t>
  </si>
  <si>
    <t>19158.15</t>
  </si>
  <si>
    <t>FV/CENFA/474917/24</t>
  </si>
  <si>
    <t>PZ/802732</t>
  </si>
  <si>
    <t>20778.83</t>
  </si>
  <si>
    <t>FV/49452/VDb/2024</t>
  </si>
  <si>
    <t>PZ/802733</t>
  </si>
  <si>
    <t>19869.06</t>
  </si>
  <si>
    <t>FV/10402/VDb/2024</t>
  </si>
  <si>
    <t>PZ/802734</t>
  </si>
  <si>
    <t>16635.45</t>
  </si>
  <si>
    <t>FV/M/5344/P/24</t>
  </si>
  <si>
    <t>PZ/802735</t>
  </si>
  <si>
    <t>13856.31</t>
  </si>
  <si>
    <t>FV/M/6327/P/24</t>
  </si>
  <si>
    <t>PZ/802736</t>
  </si>
  <si>
    <t>1269.52</t>
  </si>
  <si>
    <t>FV/98/PP/6670/24</t>
  </si>
  <si>
    <t>PZ/802737</t>
  </si>
  <si>
    <t>8096.76</t>
  </si>
  <si>
    <t>FV/POL/23336/2024</t>
  </si>
  <si>
    <t>PZ/802738</t>
  </si>
  <si>
    <t>13901.56</t>
  </si>
  <si>
    <t>FV/49702/VDb/2024</t>
  </si>
  <si>
    <t>PZ/802739</t>
  </si>
  <si>
    <t>19185.0</t>
  </si>
  <si>
    <t>FV/88770/VDb/2024</t>
  </si>
  <si>
    <t>PZ/802740</t>
  </si>
  <si>
    <t>8349.96</t>
  </si>
  <si>
    <t>FV/M/6777/P/24</t>
  </si>
  <si>
    <t>PZ/802741</t>
  </si>
  <si>
    <t>21053.66</t>
  </si>
  <si>
    <t>FV/51/SAL/24</t>
  </si>
  <si>
    <t>PZ/802742</t>
  </si>
  <si>
    <t>15402.17</t>
  </si>
  <si>
    <t>FV/M/5267/P/24</t>
  </si>
  <si>
    <t>PZ/802743</t>
  </si>
  <si>
    <t>17442.0</t>
  </si>
  <si>
    <t>FV/POL/71959/2024</t>
  </si>
  <si>
    <t>PZ/802744</t>
  </si>
  <si>
    <t>9882.99</t>
  </si>
  <si>
    <t>FV/M/8630/P/24</t>
  </si>
  <si>
    <t>PZ/802745</t>
  </si>
  <si>
    <t>16426.82</t>
  </si>
  <si>
    <t>FV/2223HM/24</t>
  </si>
  <si>
    <t>PZ/802746</t>
  </si>
  <si>
    <t>17164.29</t>
  </si>
  <si>
    <t>FV/77/SAL/24</t>
  </si>
  <si>
    <t>PZ/802747</t>
  </si>
  <si>
    <t>12687.72</t>
  </si>
  <si>
    <t>FV/45/PP/3594/24</t>
  </si>
  <si>
    <t>PZ/802748</t>
  </si>
  <si>
    <t>13818.53</t>
  </si>
  <si>
    <t>FV/9366HM/24</t>
  </si>
  <si>
    <t>PZ/802749</t>
  </si>
  <si>
    <t>18693.59</t>
  </si>
  <si>
    <t>FV/93/SAL/24</t>
  </si>
  <si>
    <t>PZ/802750</t>
  </si>
  <si>
    <t>10834.47</t>
  </si>
  <si>
    <t>FV/84889/VDb/2024</t>
  </si>
  <si>
    <t>PZ/802751</t>
  </si>
  <si>
    <t>4317.12</t>
  </si>
  <si>
    <t>FV/72/SAL/24</t>
  </si>
  <si>
    <t>PZ/802752</t>
  </si>
  <si>
    <t>18469.55</t>
  </si>
  <si>
    <t>FV/37/PP/5521/24</t>
  </si>
  <si>
    <t>PZ/802753</t>
  </si>
  <si>
    <t>21345.41</t>
  </si>
  <si>
    <t>FV/8117HM/24</t>
  </si>
  <si>
    <t>PZ/802754</t>
  </si>
  <si>
    <t>18154.26</t>
  </si>
  <si>
    <t>FV/CENFA/298570/24</t>
  </si>
  <si>
    <t>PZ/802755</t>
  </si>
  <si>
    <t>13374.44</t>
  </si>
  <si>
    <t>FV/CENFA/665760/24</t>
  </si>
  <si>
    <t>PZ/802756</t>
  </si>
  <si>
    <t>14532.04</t>
  </si>
  <si>
    <t>FV/52718/VDb/2024</t>
  </si>
  <si>
    <t>PZ/802757</t>
  </si>
  <si>
    <t>16102.3</t>
  </si>
  <si>
    <t>FV/POL/51728/2024</t>
  </si>
  <si>
    <t>PZ/802758</t>
  </si>
  <si>
    <t>18298.26</t>
  </si>
  <si>
    <t>FV/21366/VDb/2024</t>
  </si>
  <si>
    <t>PZ/802759</t>
  </si>
  <si>
    <t>16158.97</t>
  </si>
  <si>
    <t>FV/9374HM/24</t>
  </si>
  <si>
    <t>PZ/802760</t>
  </si>
  <si>
    <t>12573.23</t>
  </si>
  <si>
    <t>FV/CENFA/994222/24</t>
  </si>
  <si>
    <t>PZ/802761</t>
  </si>
  <si>
    <t>15307.24</t>
  </si>
  <si>
    <t>FV/4307/NOVA/24</t>
  </si>
  <si>
    <t>PZ/802762</t>
  </si>
  <si>
    <t>10706.53</t>
  </si>
  <si>
    <t>FV/21560/VDb/2024</t>
  </si>
  <si>
    <t>PZ/802763</t>
  </si>
  <si>
    <t>10466.64</t>
  </si>
  <si>
    <t>FV/79597/VDb/2024</t>
  </si>
  <si>
    <t>PZ/802764</t>
  </si>
  <si>
    <t>17928.91</t>
  </si>
  <si>
    <t>FV/M/9738/P/24</t>
  </si>
  <si>
    <t>PZ/802765</t>
  </si>
  <si>
    <t>15687.66</t>
  </si>
  <si>
    <t>FV/68/PP/2322/24</t>
  </si>
  <si>
    <t>PZ/802766</t>
  </si>
  <si>
    <t>-2052.41</t>
  </si>
  <si>
    <t>FV/CENFA/612593/24</t>
  </si>
  <si>
    <t>PZ/802767</t>
  </si>
  <si>
    <t>15126.73</t>
  </si>
  <si>
    <t>FV/M/1799/P/24</t>
  </si>
  <si>
    <t>PZ/802768</t>
  </si>
  <si>
    <t>15353.1</t>
  </si>
  <si>
    <t>FV/9957HM/24</t>
  </si>
  <si>
    <t>PZ/802769</t>
  </si>
  <si>
    <t>14809.31</t>
  </si>
  <si>
    <t>FV/M/2724/P/24</t>
  </si>
  <si>
    <t>PZ/802770</t>
  </si>
  <si>
    <t>10204.71</t>
  </si>
  <si>
    <t>FV/6100/NOVA/24</t>
  </si>
  <si>
    <t>PZ/802771</t>
  </si>
  <si>
    <t>8553.1</t>
  </si>
  <si>
    <t>FV/4309HM/24</t>
  </si>
  <si>
    <t>PZ/802772</t>
  </si>
  <si>
    <t>-1122.36</t>
  </si>
  <si>
    <t>FV/1857HM/24</t>
  </si>
  <si>
    <t>PZ/802773</t>
  </si>
  <si>
    <t>10880.1</t>
  </si>
  <si>
    <t>FV/2162HM/24</t>
  </si>
  <si>
    <t>PZ/802774</t>
  </si>
  <si>
    <t>10399.11</t>
  </si>
  <si>
    <t>FV/1888/NOVA/24</t>
  </si>
  <si>
    <t>PZ/802775</t>
  </si>
  <si>
    <t>12563.16</t>
  </si>
  <si>
    <t>FV/POL/89797/2024</t>
  </si>
  <si>
    <t>PZ/802776</t>
  </si>
  <si>
    <t>23123.82</t>
  </si>
  <si>
    <t>FV/M/7814/P/24</t>
  </si>
  <si>
    <t>PZ/802777</t>
  </si>
  <si>
    <t>20335.75</t>
  </si>
  <si>
    <t>FV/6570/NOVA/24</t>
  </si>
  <si>
    <t>PZ/802778</t>
  </si>
  <si>
    <t>13141.9</t>
  </si>
  <si>
    <t>PZ/802779</t>
  </si>
  <si>
    <t>9162.67</t>
  </si>
  <si>
    <t>FV/77/PP/7743/24</t>
  </si>
  <si>
    <t>PZ/802780</t>
  </si>
  <si>
    <t>20555.89</t>
  </si>
  <si>
    <t>FV/31765/VDb/2024</t>
  </si>
  <si>
    <t>PZ/802781</t>
  </si>
  <si>
    <t>-1799.42</t>
  </si>
  <si>
    <t>FV/M/2208/P/24</t>
  </si>
  <si>
    <t>PZ/802782</t>
  </si>
  <si>
    <t>18418.98</t>
  </si>
  <si>
    <t>FV/POL/79653/2024</t>
  </si>
  <si>
    <t>PZ/802783</t>
  </si>
  <si>
    <t>20316.51</t>
  </si>
  <si>
    <t>FV/M/4637/P/24</t>
  </si>
  <si>
    <t>PZ/802784</t>
  </si>
  <si>
    <t>12215.87</t>
  </si>
  <si>
    <t>FV/12633/VDb/2024</t>
  </si>
  <si>
    <t>PZ/802785</t>
  </si>
  <si>
    <t>16080.65</t>
  </si>
  <si>
    <t>FV/85489/VDb/2024</t>
  </si>
  <si>
    <t>PZ/802786</t>
  </si>
  <si>
    <t>21405.44</t>
  </si>
  <si>
    <t>FV/2102/NOVA/24</t>
  </si>
  <si>
    <t>PZ/802787</t>
  </si>
  <si>
    <t>15445.52</t>
  </si>
  <si>
    <t>PZ/802788</t>
  </si>
  <si>
    <t>19968.57</t>
  </si>
  <si>
    <t>FV/9834/NOVA/24</t>
  </si>
  <si>
    <t>PZ/802789</t>
  </si>
  <si>
    <t>7042.32</t>
  </si>
  <si>
    <t>FV/CENFA/472515/24</t>
  </si>
  <si>
    <t>PZ/802790</t>
  </si>
  <si>
    <t>19030.75</t>
  </si>
  <si>
    <t>FV/M/2227/P/24</t>
  </si>
  <si>
    <t>PZ/802791</t>
  </si>
  <si>
    <t>24396.07</t>
  </si>
  <si>
    <t>FV/49/PP/2674/24</t>
  </si>
  <si>
    <t>PZ/802792</t>
  </si>
  <si>
    <t>9195.1</t>
  </si>
  <si>
    <t>FV/48443/VDb/2024</t>
  </si>
  <si>
    <t>PZ/802793</t>
  </si>
  <si>
    <t>19009.56</t>
  </si>
  <si>
    <t>FV/5465HM/24</t>
  </si>
  <si>
    <t>PZ/802794</t>
  </si>
  <si>
    <t>18717.0</t>
  </si>
  <si>
    <t>FV/POL/76181/2024</t>
  </si>
  <si>
    <t>PZ/802795</t>
  </si>
  <si>
    <t>18339.49</t>
  </si>
  <si>
    <t>PZ/802796</t>
  </si>
  <si>
    <t>7941.84</t>
  </si>
  <si>
    <t>FV/94/PP/9584/24</t>
  </si>
  <si>
    <t>PZ/802797</t>
  </si>
  <si>
    <t>11103.85</t>
  </si>
  <si>
    <t>FV/POL/14899/2024</t>
  </si>
  <si>
    <t>PZ/802798</t>
  </si>
  <si>
    <t>15629.19</t>
  </si>
  <si>
    <t>PZ/802799</t>
  </si>
  <si>
    <t>-1316.06</t>
  </si>
  <si>
    <t>FV/CENFA/858695/24</t>
  </si>
  <si>
    <t>PZ/802800</t>
  </si>
  <si>
    <t>13630.55</t>
  </si>
  <si>
    <t>FV/M/5797/P/24</t>
  </si>
  <si>
    <t>PZ/802801</t>
  </si>
  <si>
    <t>16705.52</t>
  </si>
  <si>
    <t>FV/43768/VDb/2024</t>
  </si>
  <si>
    <t>PZ/802802</t>
  </si>
  <si>
    <t>12981.54</t>
  </si>
  <si>
    <t>FV/M/8573/P/24</t>
  </si>
  <si>
    <t>PZ/802803</t>
  </si>
  <si>
    <t>14665.86</t>
  </si>
  <si>
    <t>FV/9590/NOVA/24</t>
  </si>
  <si>
    <t>PZ/802804</t>
  </si>
  <si>
    <t>19299.36</t>
  </si>
  <si>
    <t>FV/CENFA/822255/24</t>
  </si>
  <si>
    <t>PZ/802805</t>
  </si>
  <si>
    <t>19850.87</t>
  </si>
  <si>
    <t>FV/POL/82872/2024</t>
  </si>
  <si>
    <t>PZ/802806</t>
  </si>
  <si>
    <t>20351.45</t>
  </si>
  <si>
    <t>PZ/802807</t>
  </si>
  <si>
    <t>21657.4</t>
  </si>
  <si>
    <t>FV/2107HM/24</t>
  </si>
  <si>
    <t>PZ/802808</t>
  </si>
  <si>
    <t>21643.95</t>
  </si>
  <si>
    <t>FV/4835HM/24</t>
  </si>
  <si>
    <t>PZ/802809</t>
  </si>
  <si>
    <t>11262.09</t>
  </si>
  <si>
    <t>FV/10/SAL/24</t>
  </si>
  <si>
    <t>PZ/802810</t>
  </si>
  <si>
    <t>6927.51</t>
  </si>
  <si>
    <t>FV/67942/VDb/2024</t>
  </si>
  <si>
    <t>PZ/802811</t>
  </si>
  <si>
    <t>19791.29</t>
  </si>
  <si>
    <t>FV/42676/VDb/2024</t>
  </si>
  <si>
    <t>PZ/802812</t>
  </si>
  <si>
    <t>14973.04</t>
  </si>
  <si>
    <t>FV/9015/NOVA/24</t>
  </si>
  <si>
    <t>PZ/802813</t>
  </si>
  <si>
    <t>22064.38</t>
  </si>
  <si>
    <t>FV/44032/VDb/2024</t>
  </si>
  <si>
    <t>PZ/802814</t>
  </si>
  <si>
    <t>14239.25</t>
  </si>
  <si>
    <t>FV/CENFA/181217/24</t>
  </si>
  <si>
    <t>PZ/802815</t>
  </si>
  <si>
    <t>18439.09</t>
  </si>
  <si>
    <t>PZ/802816</t>
  </si>
  <si>
    <t>7265.39</t>
  </si>
  <si>
    <t>FV/M/8015/P/24</t>
  </si>
  <si>
    <t>PZ/802817</t>
  </si>
  <si>
    <t>11604.32</t>
  </si>
  <si>
    <t>FV/86/PP/7091/24</t>
  </si>
  <si>
    <t>PZ/802818</t>
  </si>
  <si>
    <t>8932.75</t>
  </si>
  <si>
    <t>FV/CENFA/428642/24</t>
  </si>
  <si>
    <t>PZ/802819</t>
  </si>
  <si>
    <t>21488.96</t>
  </si>
  <si>
    <t>FV/POL/28230/2024</t>
  </si>
  <si>
    <t>PZ/802820</t>
  </si>
  <si>
    <t>6187.69</t>
  </si>
  <si>
    <t>FV/55503/VDb/2024</t>
  </si>
  <si>
    <t>PZ/802821</t>
  </si>
  <si>
    <t>20868.06</t>
  </si>
  <si>
    <t>FV/1548HM/24</t>
  </si>
  <si>
    <t>PZ/802822</t>
  </si>
  <si>
    <t>11096.61</t>
  </si>
  <si>
    <t>FV/M/1959/P/24</t>
  </si>
  <si>
    <t>PZ/802823</t>
  </si>
  <si>
    <t>18630.7</t>
  </si>
  <si>
    <t>PZ/802824</t>
  </si>
  <si>
    <t>18093.64</t>
  </si>
  <si>
    <t>FV/59/PP/3520/24</t>
  </si>
  <si>
    <t>PZ/802825</t>
  </si>
  <si>
    <t>-2422.14</t>
  </si>
  <si>
    <t>FV/M/8652/P/24</t>
  </si>
  <si>
    <t>PZ/802826</t>
  </si>
  <si>
    <t>13369.33</t>
  </si>
  <si>
    <t>FV/37525/VDb/2024</t>
  </si>
  <si>
    <t>PZ/802827</t>
  </si>
  <si>
    <t>25356.46</t>
  </si>
  <si>
    <t>FV/POL/28386/2024</t>
  </si>
  <si>
    <t>PZ/802828</t>
  </si>
  <si>
    <t>16079.97</t>
  </si>
  <si>
    <t>FV/6175HM/24</t>
  </si>
  <si>
    <t>PZ/802829</t>
  </si>
  <si>
    <t>19734.29</t>
  </si>
  <si>
    <t>FV/POL/63601/2024</t>
  </si>
  <si>
    <t>PZ/802830</t>
  </si>
  <si>
    <t>-653.49</t>
  </si>
  <si>
    <t>FV/36/PP/9400/24</t>
  </si>
  <si>
    <t>PZ/802831</t>
  </si>
  <si>
    <t>10322.91</t>
  </si>
  <si>
    <t>PZ/802832</t>
  </si>
  <si>
    <t>15336.71</t>
  </si>
  <si>
    <t>FV/CENFA/235327/24</t>
  </si>
  <si>
    <t>PZ/802833</t>
  </si>
  <si>
    <t>12058.08</t>
  </si>
  <si>
    <t>FV/M/8926/P/24</t>
  </si>
  <si>
    <t>PZ/802834</t>
  </si>
  <si>
    <t>20559.59</t>
  </si>
  <si>
    <t>FV/CENFA/501776/24</t>
  </si>
  <si>
    <t>PZ/802835</t>
  </si>
  <si>
    <t>16714.62</t>
  </si>
  <si>
    <t>FV/35/PP/8024/24</t>
  </si>
  <si>
    <t>PZ/802836</t>
  </si>
  <si>
    <t>18602.01</t>
  </si>
  <si>
    <t>FV/CENFA/402933/24</t>
  </si>
  <si>
    <t>PZ/802837</t>
  </si>
  <si>
    <t>17910.89</t>
  </si>
  <si>
    <t>FV/95453/VDb/2024</t>
  </si>
  <si>
    <t>PZ/802838</t>
  </si>
  <si>
    <t>8166.39</t>
  </si>
  <si>
    <t>FV/M/8589/P/24</t>
  </si>
  <si>
    <t>PZ/802839</t>
  </si>
  <si>
    <t>17536.11</t>
  </si>
  <si>
    <t>FV/38270/VDb/2024</t>
  </si>
  <si>
    <t>PZ/802840</t>
  </si>
  <si>
    <t>22514.68</t>
  </si>
  <si>
    <t>FV/8589/NOVA/24</t>
  </si>
  <si>
    <t>PZ/802841</t>
  </si>
  <si>
    <t>14194.46</t>
  </si>
  <si>
    <t>FV/30/SAL/24</t>
  </si>
  <si>
    <t>PZ/802842</t>
  </si>
  <si>
    <t>11746.65</t>
  </si>
  <si>
    <t>FV/7616/NOVA/24</t>
  </si>
  <si>
    <t>PZ/802843</t>
  </si>
  <si>
    <t>19604.85</t>
  </si>
  <si>
    <t>FV/22569/VDb/2024</t>
  </si>
  <si>
    <t>PZ/802844</t>
  </si>
  <si>
    <t>20616.31</t>
  </si>
  <si>
    <t>FV/M/1891/P/24</t>
  </si>
  <si>
    <t>PZ/802845</t>
  </si>
  <si>
    <t>10778.99</t>
  </si>
  <si>
    <t>FV/91/PP/6625/24</t>
  </si>
  <si>
    <t>PZ/802846</t>
  </si>
  <si>
    <t>6415.2</t>
  </si>
  <si>
    <t>FV/41/PP/2190/24</t>
  </si>
  <si>
    <t>PZ/802847</t>
  </si>
  <si>
    <t>17371.79</t>
  </si>
  <si>
    <t>FV/POL/74684/2024</t>
  </si>
  <si>
    <t>PZ/802848</t>
  </si>
  <si>
    <t>13887.26</t>
  </si>
  <si>
    <t>FV/CENFA/919365/24</t>
  </si>
  <si>
    <t>PZ/802849</t>
  </si>
  <si>
    <t>12969.32</t>
  </si>
  <si>
    <t>FV/M/1584/P/24</t>
  </si>
  <si>
    <t>PZ/802850</t>
  </si>
  <si>
    <t>16232.99</t>
  </si>
  <si>
    <t>FV/CENFA/534841/24</t>
  </si>
  <si>
    <t>PZ/802851</t>
  </si>
  <si>
    <t>19102.91</t>
  </si>
  <si>
    <t>FV/CENFA/559656/24</t>
  </si>
  <si>
    <t>PZ/802852</t>
  </si>
  <si>
    <t>5859.83</t>
  </si>
  <si>
    <t>FV/88/PP/3537/24</t>
  </si>
  <si>
    <t>PZ/802853</t>
  </si>
  <si>
    <t>-402.06</t>
  </si>
  <si>
    <t>FV/4846HM/24</t>
  </si>
  <si>
    <t>PZ/802854</t>
  </si>
  <si>
    <t>10281.08</t>
  </si>
  <si>
    <t>FV/POL/31518/2024</t>
  </si>
  <si>
    <t>PZ/802855</t>
  </si>
  <si>
    <t>8315.21</t>
  </si>
  <si>
    <t>FV/9470HM/24</t>
  </si>
  <si>
    <t>PZ/802856</t>
  </si>
  <si>
    <t>15387.58</t>
  </si>
  <si>
    <t>FV/26373/VDb/2024</t>
  </si>
  <si>
    <t>PZ/802857</t>
  </si>
  <si>
    <t>18739.96</t>
  </si>
  <si>
    <t>PZ/802858</t>
  </si>
  <si>
    <t>8111.41</t>
  </si>
  <si>
    <t>FV/POL/53329/2024</t>
  </si>
  <si>
    <t>PZ/802859</t>
  </si>
  <si>
    <t>5014.87</t>
  </si>
  <si>
    <t>FV/POL/10950/2024</t>
  </si>
  <si>
    <t>PZ/802860</t>
  </si>
  <si>
    <t>24129.51</t>
  </si>
  <si>
    <t>FV/CENFA/747579/24</t>
  </si>
  <si>
    <t>PZ/802861</t>
  </si>
  <si>
    <t>13025.81</t>
  </si>
  <si>
    <t>FV/99/SAL/24</t>
  </si>
  <si>
    <t>PZ/802862</t>
  </si>
  <si>
    <t>24209.71</t>
  </si>
  <si>
    <t>FV/CENFA/780867/24</t>
  </si>
  <si>
    <t>PZ/802863</t>
  </si>
  <si>
    <t>23690.77</t>
  </si>
  <si>
    <t>PZ/802864</t>
  </si>
  <si>
    <t>15955.91</t>
  </si>
  <si>
    <t>PZ/802865</t>
  </si>
  <si>
    <t>18404.15</t>
  </si>
  <si>
    <t>FV/54137/VDb/2024</t>
  </si>
  <si>
    <t>PZ/802866</t>
  </si>
  <si>
    <t>17575.7</t>
  </si>
  <si>
    <t>FV/40/PP/5847/24</t>
  </si>
  <si>
    <t>PZ/802867</t>
  </si>
  <si>
    <t>21867.91</t>
  </si>
  <si>
    <t>FV/CENFA/369488/24</t>
  </si>
  <si>
    <t>PZ/802868</t>
  </si>
  <si>
    <t>15010.81</t>
  </si>
  <si>
    <t>FV/75178/VDb/2024</t>
  </si>
  <si>
    <t>PZ/802869</t>
  </si>
  <si>
    <t>15099.27</t>
  </si>
  <si>
    <t>PZ/802870</t>
  </si>
  <si>
    <t>19720.31</t>
  </si>
  <si>
    <t>FV/M/5546/P/24</t>
  </si>
  <si>
    <t>PZ/802871</t>
  </si>
  <si>
    <t>15250.19</t>
  </si>
  <si>
    <t>FV/M/5534/P/24</t>
  </si>
  <si>
    <t>PZ/802872</t>
  </si>
  <si>
    <t>16747.2</t>
  </si>
  <si>
    <t>FV/POL/54843/2024</t>
  </si>
  <si>
    <t>PZ/802873</t>
  </si>
  <si>
    <t>15358.59</t>
  </si>
  <si>
    <t>FV/M/1862/P/24</t>
  </si>
  <si>
    <t>PZ/802874</t>
  </si>
  <si>
    <t>13715.68</t>
  </si>
  <si>
    <t>FV/POL/53188/2024</t>
  </si>
  <si>
    <t>PZ/802875</t>
  </si>
  <si>
    <t>12849.04</t>
  </si>
  <si>
    <t>FV/POL/20676/2024</t>
  </si>
  <si>
    <t>PZ/802876</t>
  </si>
  <si>
    <t>18105.28</t>
  </si>
  <si>
    <t>FV/21946/VDb/2024</t>
  </si>
  <si>
    <t>PZ/802877</t>
  </si>
  <si>
    <t>18336.63</t>
  </si>
  <si>
    <t>FV/9209/NOVA/24</t>
  </si>
  <si>
    <t>PZ/802878</t>
  </si>
  <si>
    <t>9164.6</t>
  </si>
  <si>
    <t>FV/CENFA/894392/24</t>
  </si>
  <si>
    <t>PZ/802879</t>
  </si>
  <si>
    <t>8481.77</t>
  </si>
  <si>
    <t>FV/POL/63659/2024</t>
  </si>
  <si>
    <t>PZ/802880</t>
  </si>
  <si>
    <t>14462.35</t>
  </si>
  <si>
    <t>FV/71503/VDb/2024</t>
  </si>
  <si>
    <t>PZ/802881</t>
  </si>
  <si>
    <t>17812.69</t>
  </si>
  <si>
    <t>FV/1980HM/24</t>
  </si>
  <si>
    <t>PZ/802882</t>
  </si>
  <si>
    <t>11493.59</t>
  </si>
  <si>
    <t>FV/66/SAL/24</t>
  </si>
  <si>
    <t>PZ/802883</t>
  </si>
  <si>
    <t>18874.79</t>
  </si>
  <si>
    <t>FV/M/7193/P/24</t>
  </si>
  <si>
    <t>PZ/802884</t>
  </si>
  <si>
    <t>16062.57</t>
  </si>
  <si>
    <t>PZ/802885</t>
  </si>
  <si>
    <t>15146.72</t>
  </si>
  <si>
    <t>FV/7857HM/24</t>
  </si>
  <si>
    <t>PZ/802886</t>
  </si>
  <si>
    <t>17503.92</t>
  </si>
  <si>
    <t>FV/CENFA/631096/24</t>
  </si>
  <si>
    <t>PZ/802887</t>
  </si>
  <si>
    <t>-1297.97</t>
  </si>
  <si>
    <t>FV/71/SAL/24</t>
  </si>
  <si>
    <t>PZ/802888</t>
  </si>
  <si>
    <t>14321.11</t>
  </si>
  <si>
    <t>FV/88911/VDb/2024</t>
  </si>
  <si>
    <t>PZ/802889</t>
  </si>
  <si>
    <t>349.11</t>
  </si>
  <si>
    <t>FV/CENFA/876969/24</t>
  </si>
  <si>
    <t>PZ/802890</t>
  </si>
  <si>
    <t>13264.8</t>
  </si>
  <si>
    <t>FV/CENFA/719767/24</t>
  </si>
  <si>
    <t>PZ/802891</t>
  </si>
  <si>
    <t>14373.17</t>
  </si>
  <si>
    <t>FV/3301HM/24</t>
  </si>
  <si>
    <t>PZ/802892</t>
  </si>
  <si>
    <t>14737.28</t>
  </si>
  <si>
    <t>FV/M/7342/P/24</t>
  </si>
  <si>
    <t>PZ/802893</t>
  </si>
  <si>
    <t>22039.48</t>
  </si>
  <si>
    <t>FV/7916HM/24</t>
  </si>
  <si>
    <t>PZ/802894</t>
  </si>
  <si>
    <t>15219.89</t>
  </si>
  <si>
    <t>FV/93379/VDb/2024</t>
  </si>
  <si>
    <t>PZ/802895</t>
  </si>
  <si>
    <t>15367.43</t>
  </si>
  <si>
    <t>FV/M/2928/P/24</t>
  </si>
  <si>
    <t>PZ/802896</t>
  </si>
  <si>
    <t>20182.78</t>
  </si>
  <si>
    <t>FV/M/2442/P/24</t>
  </si>
  <si>
    <t>PZ/802897</t>
  </si>
  <si>
    <t>11135.13</t>
  </si>
  <si>
    <t>FV/1797/NOVA/24</t>
  </si>
  <si>
    <t>PZ/802898</t>
  </si>
  <si>
    <t>14186.35</t>
  </si>
  <si>
    <t>FV/2691HM/24</t>
  </si>
  <si>
    <t>PZ/802899</t>
  </si>
  <si>
    <t>12193.43</t>
  </si>
  <si>
    <t>FV/16826/VDb/2024</t>
  </si>
  <si>
    <t>PZ/802900</t>
  </si>
  <si>
    <t>18162.88</t>
  </si>
  <si>
    <t>PZ/802901</t>
  </si>
  <si>
    <t>18277.06</t>
  </si>
  <si>
    <t>FV/9756/NOVA/24</t>
  </si>
  <si>
    <t>PZ/802902</t>
  </si>
  <si>
    <t>-911.47</t>
  </si>
  <si>
    <t>FV/91/SAL/24</t>
  </si>
  <si>
    <t>PZ/802903</t>
  </si>
  <si>
    <t>13763.25</t>
  </si>
  <si>
    <t>FV/8464/NOVA/24</t>
  </si>
  <si>
    <t>PZ/802904</t>
  </si>
  <si>
    <t>14619.64</t>
  </si>
  <si>
    <t>FV/POL/51381/2024</t>
  </si>
  <si>
    <t>PZ/802905</t>
  </si>
  <si>
    <t>14222.23</t>
  </si>
  <si>
    <t>FV/CENFA/966495/24</t>
  </si>
  <si>
    <t>PZ/802906</t>
  </si>
  <si>
    <t>16888.45</t>
  </si>
  <si>
    <t>FV/84/SAL/24</t>
  </si>
  <si>
    <t>PZ/802907</t>
  </si>
  <si>
    <t>13483.34</t>
  </si>
  <si>
    <t>FV/9408/NOVA/24</t>
  </si>
  <si>
    <t>PZ/802908</t>
  </si>
  <si>
    <t>20445.67</t>
  </si>
  <si>
    <t>FV/8113/NOVA/24</t>
  </si>
  <si>
    <t>PZ/802909</t>
  </si>
  <si>
    <t>18920.36</t>
  </si>
  <si>
    <t>FV/4698HM/24</t>
  </si>
  <si>
    <t>PZ/802910</t>
  </si>
  <si>
    <t>17958.2</t>
  </si>
  <si>
    <t>FV/63/PP/7573/24</t>
  </si>
  <si>
    <t>PZ/802911</t>
  </si>
  <si>
    <t>22181.54</t>
  </si>
  <si>
    <t>FV/88139/VDb/2024</t>
  </si>
  <si>
    <t>PZ/802912</t>
  </si>
  <si>
    <t>-1388.38</t>
  </si>
  <si>
    <t>FV/M/4195/P/24</t>
  </si>
  <si>
    <t>PZ/802913</t>
  </si>
  <si>
    <t>20900.99</t>
  </si>
  <si>
    <t>FV/91/PP/8816/24</t>
  </si>
  <si>
    <t>PZ/802914</t>
  </si>
  <si>
    <t>-3451.65</t>
  </si>
  <si>
    <t>FV/28/PP/8509/24</t>
  </si>
  <si>
    <t>PZ/802915</t>
  </si>
  <si>
    <t>14468.96</t>
  </si>
  <si>
    <t>FV/9242/NOVA/24</t>
  </si>
  <si>
    <t>PZ/802916</t>
  </si>
  <si>
    <t>9797.16</t>
  </si>
  <si>
    <t>FV/22/PP/6043/24</t>
  </si>
  <si>
    <t>PZ/802917</t>
  </si>
  <si>
    <t>13188.19</t>
  </si>
  <si>
    <t>FV/M/7448/P/24</t>
  </si>
  <si>
    <t>PZ/802918</t>
  </si>
  <si>
    <t>12967.64</t>
  </si>
  <si>
    <t>FV/53/PP/1778/24</t>
  </si>
  <si>
    <t>PZ/802919</t>
  </si>
  <si>
    <t>13313.1</t>
  </si>
  <si>
    <t>FV/M/1228/P/24</t>
  </si>
  <si>
    <t>PZ/802920</t>
  </si>
  <si>
    <t>15217.99</t>
  </si>
  <si>
    <t>FV/M/6348/P/24</t>
  </si>
  <si>
    <t>PZ/802921</t>
  </si>
  <si>
    <t>11659.36</t>
  </si>
  <si>
    <t>FV/M/8238/P/24</t>
  </si>
  <si>
    <t>PZ/802922</t>
  </si>
  <si>
    <t>-3181.66</t>
  </si>
  <si>
    <t>FV/CENFA/718893/24</t>
  </si>
  <si>
    <t>PZ/802923</t>
  </si>
  <si>
    <t>15222.84</t>
  </si>
  <si>
    <t>FV/7393HM/24</t>
  </si>
  <si>
    <t>PZ/802924</t>
  </si>
  <si>
    <t>6811.39</t>
  </si>
  <si>
    <t>FV/M/8413/P/24</t>
  </si>
  <si>
    <t>PZ/802925</t>
  </si>
  <si>
    <t>18393.67</t>
  </si>
  <si>
    <t>FV/6793HM/24</t>
  </si>
  <si>
    <t>PZ/802926</t>
  </si>
  <si>
    <t>28361.2</t>
  </si>
  <si>
    <t>FV/7401HM/24</t>
  </si>
  <si>
    <t>PZ/802927</t>
  </si>
  <si>
    <t>-982.78</t>
  </si>
  <si>
    <t>FV/M/1732/P/24</t>
  </si>
  <si>
    <t>PZ/802928</t>
  </si>
  <si>
    <t>18745.7</t>
  </si>
  <si>
    <t>FV/3633/NOVA/24</t>
  </si>
  <si>
    <t>PZ/802929</t>
  </si>
  <si>
    <t>18186.74</t>
  </si>
  <si>
    <t>FV/98/PP/5242/24</t>
  </si>
  <si>
    <t>PZ/802930</t>
  </si>
  <si>
    <t>11275.15</t>
  </si>
  <si>
    <t>FV/40813/VDb/2024</t>
  </si>
  <si>
    <t>PZ/802931</t>
  </si>
  <si>
    <t>5846.25</t>
  </si>
  <si>
    <t>FV/POL/35645/2024</t>
  </si>
  <si>
    <t>PZ/802932</t>
  </si>
  <si>
    <t>19900.8</t>
  </si>
  <si>
    <t>FV/M/2343/P/24</t>
  </si>
  <si>
    <t>PZ/802933</t>
  </si>
  <si>
    <t>14786.66</t>
  </si>
  <si>
    <t>FV/9045/NOVA/24</t>
  </si>
  <si>
    <t>PZ/802934</t>
  </si>
  <si>
    <t>9875.58</t>
  </si>
  <si>
    <t>FV/33/PP/4756/24</t>
  </si>
  <si>
    <t>PZ/802935</t>
  </si>
  <si>
    <t>19382.27</t>
  </si>
  <si>
    <t>FV/M/9397/P/24</t>
  </si>
  <si>
    <t>PZ/802936</t>
  </si>
  <si>
    <t>13240.41</t>
  </si>
  <si>
    <t>FV/CENFA/582939/24</t>
  </si>
  <si>
    <t>PZ/802937</t>
  </si>
  <si>
    <t>7603.55</t>
  </si>
  <si>
    <t>FV/CENFA/458905/24</t>
  </si>
  <si>
    <t>PZ/802938</t>
  </si>
  <si>
    <t>13543.29</t>
  </si>
  <si>
    <t>FV/6668HM/24</t>
  </si>
  <si>
    <t>PZ/802939</t>
  </si>
  <si>
    <t>18236.62</t>
  </si>
  <si>
    <t>FV/CENFA/355612/24</t>
  </si>
  <si>
    <t>PZ/802940</t>
  </si>
  <si>
    <t>12644.34</t>
  </si>
  <si>
    <t>FV/35/PP/8791/24</t>
  </si>
  <si>
    <t>PZ/802941</t>
  </si>
  <si>
    <t>17545.37</t>
  </si>
  <si>
    <t>FV/12/PP/9218/24</t>
  </si>
  <si>
    <t>PZ/802942</t>
  </si>
  <si>
    <t>12708.73</t>
  </si>
  <si>
    <t>FV/POL/52052/2024</t>
  </si>
  <si>
    <t>PZ/802943</t>
  </si>
  <si>
    <t>13156.12</t>
  </si>
  <si>
    <t>FV/6554HM/24</t>
  </si>
  <si>
    <t>PZ/802944</t>
  </si>
  <si>
    <t>15128.44</t>
  </si>
  <si>
    <t>FV/9075HM/24</t>
  </si>
  <si>
    <t>PZ/802945</t>
  </si>
  <si>
    <t>18934.3</t>
  </si>
  <si>
    <t>FV/19819/VDb/2024</t>
  </si>
  <si>
    <t>PZ/802946</t>
  </si>
  <si>
    <t>11571.1</t>
  </si>
  <si>
    <t>FV/POL/14228/2024</t>
  </si>
  <si>
    <t>PZ/802947</t>
  </si>
  <si>
    <t>8541.75</t>
  </si>
  <si>
    <t>FV/M/7802/P/24</t>
  </si>
  <si>
    <t>PZ/802948</t>
  </si>
  <si>
    <t>20836.54</t>
  </si>
  <si>
    <t>FV/9577HM/24</t>
  </si>
  <si>
    <t>PZ/802949</t>
  </si>
  <si>
    <t>16055.08</t>
  </si>
  <si>
    <t>FV/M/2983/P/24</t>
  </si>
  <si>
    <t>PZ/802950</t>
  </si>
  <si>
    <t>10966.88</t>
  </si>
  <si>
    <t>PZ/802951</t>
  </si>
  <si>
    <t>-2124.7</t>
  </si>
  <si>
    <t>FV/7351HM/24</t>
  </si>
  <si>
    <t>PZ/802952</t>
  </si>
  <si>
    <t>10558.51</t>
  </si>
  <si>
    <t>FV/8118HM/24</t>
  </si>
  <si>
    <t>PZ/802953</t>
  </si>
  <si>
    <t>-932.02</t>
  </si>
  <si>
    <t>FV/45537/VDb/2024</t>
  </si>
  <si>
    <t>PZ/802954</t>
  </si>
  <si>
    <t>14668.45</t>
  </si>
  <si>
    <t>FV/9681/NOVA/24</t>
  </si>
  <si>
    <t>PZ/802955</t>
  </si>
  <si>
    <t>24573.59</t>
  </si>
  <si>
    <t>PZ/802956</t>
  </si>
  <si>
    <t>10025.37</t>
  </si>
  <si>
    <t>FV/1503HM/24</t>
  </si>
  <si>
    <t>PZ/802957</t>
  </si>
  <si>
    <t>24863.66</t>
  </si>
  <si>
    <t>FV/8609/NOVA/24</t>
  </si>
  <si>
    <t>PZ/802958</t>
  </si>
  <si>
    <t>18401.3</t>
  </si>
  <si>
    <t>FV/2940/NOVA/24</t>
  </si>
  <si>
    <t>PZ/802959</t>
  </si>
  <si>
    <t>19617.09</t>
  </si>
  <si>
    <t>FV/7673/NOVA/24</t>
  </si>
  <si>
    <t>PZ/802960</t>
  </si>
  <si>
    <t>10477.85</t>
  </si>
  <si>
    <t>FV/CENFA/801329/24</t>
  </si>
  <si>
    <t>PZ/802961</t>
  </si>
  <si>
    <t>8636.25</t>
  </si>
  <si>
    <t>FV/25003/VDb/2024</t>
  </si>
  <si>
    <t>PZ/802962</t>
  </si>
  <si>
    <t>18589.35</t>
  </si>
  <si>
    <t>FV/M/1322/P/24</t>
  </si>
  <si>
    <t>PZ/802963</t>
  </si>
  <si>
    <t>15140.81</t>
  </si>
  <si>
    <t>PZ/802964</t>
  </si>
  <si>
    <t>10258.64</t>
  </si>
  <si>
    <t>FV/M/6156/P/24</t>
  </si>
  <si>
    <t>PZ/802965</t>
  </si>
  <si>
    <t>11496.32</t>
  </si>
  <si>
    <t>FV/M/4025/P/24</t>
  </si>
  <si>
    <t>PZ/802966</t>
  </si>
  <si>
    <t>14715.02</t>
  </si>
  <si>
    <t>FV/30/PP/5720/24</t>
  </si>
  <si>
    <t>PZ/802967</t>
  </si>
  <si>
    <t>15215.34</t>
  </si>
  <si>
    <t>FV/58/PP/2398/24</t>
  </si>
  <si>
    <t>PZ/802968</t>
  </si>
  <si>
    <t>18236.44</t>
  </si>
  <si>
    <t>FV/80988/VDb/2024</t>
  </si>
  <si>
    <t>PZ/802969</t>
  </si>
  <si>
    <t>8706.88</t>
  </si>
  <si>
    <t>PZ/802970</t>
  </si>
  <si>
    <t>16706.41</t>
  </si>
  <si>
    <t>FV/POL/49846/2024</t>
  </si>
  <si>
    <t>PZ/802971</t>
  </si>
  <si>
    <t>15788.58</t>
  </si>
  <si>
    <t>FV/10/PP/7936/24</t>
  </si>
  <si>
    <t>PZ/802972</t>
  </si>
  <si>
    <t>19450.9</t>
  </si>
  <si>
    <t>FV/82/PP/6171/24</t>
  </si>
  <si>
    <t>PZ/802973</t>
  </si>
  <si>
    <t>-1934.92</t>
  </si>
  <si>
    <t>FV/43956/VDb/2024</t>
  </si>
  <si>
    <t>PZ/802974</t>
  </si>
  <si>
    <t>5760.02</t>
  </si>
  <si>
    <t>FV/M/9868/P/24</t>
  </si>
  <si>
    <t>PZ/802975</t>
  </si>
  <si>
    <t>8096.15</t>
  </si>
  <si>
    <t>FV/36/PP/5247/24</t>
  </si>
  <si>
    <t>PZ/802976</t>
  </si>
  <si>
    <t>17392.0</t>
  </si>
  <si>
    <t>FV/11/PP/7062/24</t>
  </si>
  <si>
    <t>PZ/802977</t>
  </si>
  <si>
    <t>5603.11</t>
  </si>
  <si>
    <t>FV/54/PP/2483/24</t>
  </si>
  <si>
    <t>PZ/802978</t>
  </si>
  <si>
    <t>17155.62</t>
  </si>
  <si>
    <t>FV/87/PP/5909/24</t>
  </si>
  <si>
    <t>PZ/802979</t>
  </si>
  <si>
    <t>4889.9</t>
  </si>
  <si>
    <t>FV/M/1428/P/24</t>
  </si>
  <si>
    <t>PZ/802980</t>
  </si>
  <si>
    <t>14067.1</t>
  </si>
  <si>
    <t>FV/80/PP/2315/24</t>
  </si>
  <si>
    <t>PZ/802981</t>
  </si>
  <si>
    <t>23613.98</t>
  </si>
  <si>
    <t>FV/5005HM/24</t>
  </si>
  <si>
    <t>PZ/802982</t>
  </si>
  <si>
    <t>7993.13</t>
  </si>
  <si>
    <t>FV/45776/VDb/2024</t>
  </si>
  <si>
    <t>PZ/802983</t>
  </si>
  <si>
    <t>12323.83</t>
  </si>
  <si>
    <t>FV/7375HM/24</t>
  </si>
  <si>
    <t>PZ/802984</t>
  </si>
  <si>
    <t>21271.97</t>
  </si>
  <si>
    <t>FV/5216/NOVA/24</t>
  </si>
  <si>
    <t>PZ/802985</t>
  </si>
  <si>
    <t>17046.76</t>
  </si>
  <si>
    <t>FV/1743/NOVA/24</t>
  </si>
  <si>
    <t>PZ/802986</t>
  </si>
  <si>
    <t>16767.83</t>
  </si>
  <si>
    <t>FV/M/7923/P/24</t>
  </si>
  <si>
    <t>PZ/802987</t>
  </si>
  <si>
    <t>20669.26</t>
  </si>
  <si>
    <t>FV/CENFA/514133/24</t>
  </si>
  <si>
    <t>PZ/802988</t>
  </si>
  <si>
    <t>9911.72</t>
  </si>
  <si>
    <t>FV/25/PP/4071/24</t>
  </si>
  <si>
    <t>PZ/802989</t>
  </si>
  <si>
    <t>22784.71</t>
  </si>
  <si>
    <t>FV/16247/VDb/2024</t>
  </si>
  <si>
    <t>PZ/802990</t>
  </si>
  <si>
    <t>15365.31</t>
  </si>
  <si>
    <t>FV/28620/VDb/2024</t>
  </si>
  <si>
    <t>PZ/802991</t>
  </si>
  <si>
    <t>12795.18</t>
  </si>
  <si>
    <t>FV/30/PP/4996/24</t>
  </si>
  <si>
    <t>PZ/802992</t>
  </si>
  <si>
    <t>4904.35</t>
  </si>
  <si>
    <t>PZ/802993</t>
  </si>
  <si>
    <t>8195.15</t>
  </si>
  <si>
    <t>FV/88/SAL/24</t>
  </si>
  <si>
    <t>PZ/802994</t>
  </si>
  <si>
    <t>17620.4</t>
  </si>
  <si>
    <t>PZ/802995</t>
  </si>
  <si>
    <t>14795.81</t>
  </si>
  <si>
    <t>FV/27/SAL/24</t>
  </si>
  <si>
    <t>PZ/802996</t>
  </si>
  <si>
    <t>-1905.1</t>
  </si>
  <si>
    <t>FV/36/PP/9325/24</t>
  </si>
  <si>
    <t>14443.29</t>
  </si>
  <si>
    <t>Wprowadzone</t>
  </si>
  <si>
    <t>FV/3500HM/24</t>
  </si>
  <si>
    <t>8772.04</t>
  </si>
  <si>
    <t>FV/66640/VDb/2024</t>
  </si>
  <si>
    <t>9820.92</t>
  </si>
  <si>
    <t>FV/POL/24535/2024</t>
  </si>
  <si>
    <t>19219.22</t>
  </si>
  <si>
    <t>FV/9720/NOVA/24</t>
  </si>
  <si>
    <t>PZ/802997</t>
  </si>
  <si>
    <t>11363.58</t>
  </si>
  <si>
    <t>FV/8645/NOVA/24</t>
  </si>
  <si>
    <t>PZ/802998</t>
  </si>
  <si>
    <t>18071.87</t>
  </si>
  <si>
    <t>FV/20878/VDb/2024</t>
  </si>
  <si>
    <t>PZ/802999</t>
  </si>
  <si>
    <t>-656.36</t>
  </si>
  <si>
    <t>FV/CENFA/962268/24</t>
  </si>
  <si>
    <t>13614.6</t>
  </si>
  <si>
    <t>ISTEXT Data_Wystawienia</t>
  </si>
  <si>
    <t>Wartość</t>
  </si>
  <si>
    <t>Wartość_clean</t>
  </si>
  <si>
    <t>Walidacja znaku</t>
  </si>
  <si>
    <t>Czy umowa</t>
  </si>
  <si>
    <t>Rok</t>
  </si>
  <si>
    <t>Rok_miesiąc</t>
  </si>
  <si>
    <t>Liczba dokumentów</t>
  </si>
  <si>
    <t>Row Labels</t>
  </si>
  <si>
    <t>Poza umową</t>
  </si>
  <si>
    <t>Z umowy</t>
  </si>
  <si>
    <t>Grand Total</t>
  </si>
  <si>
    <t>Sum of Wartość_clean</t>
  </si>
  <si>
    <t>Sum of Wartość_clean2</t>
  </si>
  <si>
    <t>Struktura wartości zakupów – umowy vs poza umowami (2022–2024)</t>
  </si>
  <si>
    <t>Trend roczny wartości zakupów – umowy vs poza umowami (2022–2024)</t>
  </si>
  <si>
    <t>Column Labels</t>
  </si>
  <si>
    <t>Wartość zakupów poza umowami wg dostawców (2022–2024)</t>
  </si>
  <si>
    <t>Cel projektu</t>
  </si>
  <si>
    <t>Kluczowe wyniki</t>
  </si>
  <si>
    <t>Wnioski biznesowe</t>
  </si>
  <si>
    <t>Zakupy poza umowami mają charakter systemowy i utrzymują się na stabilnym poziomie. Może to wskazywać na potrzebę przeglądu zakresu obowiązujących umów lub analizy przyczyn zakupów realizowanych poza nimi.</t>
  </si>
  <si>
    <t xml:space="preserve"> * 20,8% wartości zakupów z lat 2022–2024 zrealizowano poza umowami</t>
  </si>
  <si>
    <t>ANALIZA ZAKUPÓW – APTEKA SZPITALNA (2022–2024)</t>
  </si>
  <si>
    <t>Całkowita wartość zakupów</t>
  </si>
  <si>
    <t>Średnia roczna</t>
  </si>
  <si>
    <t>Liczba dostawców poza umową</t>
  </si>
  <si>
    <t>% poza umową</t>
  </si>
  <si>
    <t>Celem analizy było określenie udziału zakupów realizowanych poza obowiązującymi umowami oraz identyfikacja dostawców generujących koszty pozaumowne w latach 2022–2024.</t>
  </si>
  <si>
    <t xml:space="preserve"> * W analizowanym okresie zakupy poza umowami stanowiły 20,8% całkowitej wartości zakupów. Udział roczny w strukturze całego 3-letniego budżetu wynosił ok. 6–7%.</t>
  </si>
  <si>
    <t xml:space="preserve"> * Zakupy poza umowami nie wykazują silnej koncentracji u jednego dostawcy, jednak najwyższy udział w tej kategorii generuje hurtownia MedicaPharm.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</si>
</sst>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0.0%"/>
  </numFmts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0" fontId="0" fillId="0" borderId="0" xfId="0" pivotButton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10" xfId="0" applyBorder="1" applyAlignment="1">
      <alignment horizontal="center" wrapText="1"/>
    </xf>
    <xf numFmtId="8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0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64" fontId="18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-* #,##0.00\ &quot;zł&quot;_-;\-* #,##0.00\ &quot;zł&quot;_-;_-* &quot;-&quot;??\ &quot;zł&quot;_-;_-@_-"/>
      <alignment horizontal="left" vertical="bottom" textRotation="0" wrapText="0" indent="0" justifyLastLine="0" shrinkToFit="0" readingOrder="0"/>
    </dxf>
    <dxf>
      <numFmt numFmtId="19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[Analiza_apteka_sztuczne_dane_FINAL_realistyczne.xlsx]Tabele przestawne!PivotTable1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Struktura wartości zakupów w PLN (2022–2024)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'Tabele przestawne'!$B$3</c:f>
              <c:strCache>
                <c:ptCount val="1"/>
                <c:pt idx="0">
                  <c:v>Sum of Wartość_clean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AE-484E-A9EE-EC4033E71000}"/>
              </c:ext>
            </c:extLst>
          </c:dPt>
          <c:cat>
            <c:strRef>
              <c:f>'Tabele przestawne'!$A$4:$A$6</c:f>
              <c:strCache>
                <c:ptCount val="2"/>
                <c:pt idx="0">
                  <c:v>Poza umową</c:v>
                </c:pt>
                <c:pt idx="1">
                  <c:v>Z umowy</c:v>
                </c:pt>
              </c:strCache>
            </c:strRef>
          </c:cat>
          <c:val>
            <c:numRef>
              <c:f>'Tabele przestawne'!$B$4:$B$6</c:f>
              <c:numCache>
                <c:formatCode>General</c:formatCode>
                <c:ptCount val="2"/>
                <c:pt idx="0">
                  <c:v>8979199.7499999981</c:v>
                </c:pt>
                <c:pt idx="1">
                  <c:v>34182025.430000022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E-484E-A9EE-EC4033E71000}"/>
            </c:ext>
          </c:extLst>
        </c:ser>
        <c:ser>
          <c:idx val="1"/>
          <c:order val="1"/>
          <c:tx>
            <c:strRef>
              <c:f>'Tabele przestawne'!$C$3</c:f>
              <c:strCache>
                <c:ptCount val="1"/>
                <c:pt idx="0">
                  <c:v>Sum of Wartość_clean2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'Tabele przestawne'!$A$4:$A$6</c:f>
              <c:strCache>
                <c:ptCount val="2"/>
                <c:pt idx="0">
                  <c:v>Poza umową</c:v>
                </c:pt>
                <c:pt idx="1">
                  <c:v>Z umowy</c:v>
                </c:pt>
              </c:strCache>
            </c:strRef>
          </c:cat>
          <c:val>
            <c:numRef>
              <c:f>'Tabele przestawne'!$C$4:$C$6</c:f>
              <c:numCache>
                <c:formatCode>0.00%</c:formatCode>
                <c:ptCount val="2"/>
                <c:pt idx="0">
                  <c:v>0.20803857426551378</c:v>
                </c:pt>
                <c:pt idx="1">
                  <c:v>0.79196142573448614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E-484E-A9EE-EC4033E7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717343"/>
        <c:axId val="1214710623"/>
      </c:barChart>
      <c:catAx>
        <c:axId val="121471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4710623"/>
        <c:crosses val="autoZero"/>
        <c:auto val="1"/>
        <c:lblAlgn val="ctr"/>
        <c:lblOffset val="100"/>
        <c:noMultiLvlLbl val="0"/>
      </c:catAx>
      <c:valAx>
        <c:axId val="12147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47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[Analiza_apteka_sztuczne_dane_FINAL_realistyczne.xlsx]Tabele przestawne!PivotTable3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Udział zakupów: umowa vs poza umową (2022–2024)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'Tabele przestawne'!$B$11:$B$12</c:f>
              <c:strCache>
                <c:ptCount val="1"/>
                <c:pt idx="0">
                  <c:v>Poza umową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'Tabele przestawne'!$A$13:$A$16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'Tabele przestawne'!$B$13:$B$16</c:f>
              <c:numCache>
                <c:formatCode>0.00%</c:formatCode>
                <c:ptCount val="3"/>
                <c:pt idx="0">
                  <c:v>7.1054126874532789E-2</c:v>
                </c:pt>
                <c:pt idx="1">
                  <c:v>6.9130914091442869E-2</c:v>
                </c:pt>
                <c:pt idx="2">
                  <c:v>6.7853533299538263E-2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1-4D48-B445-C87358B5B7A7}"/>
            </c:ext>
          </c:extLst>
        </c:ser>
        <c:ser>
          <c:idx val="1"/>
          <c:order val="1"/>
          <c:tx>
            <c:strRef>
              <c:f>'Tabele przestawne'!$C$11:$C$12</c:f>
              <c:strCache>
                <c:ptCount val="1"/>
                <c:pt idx="0">
                  <c:v>Z umowy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'Tabele przestawne'!$A$13:$A$16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'Tabele przestawne'!$C$13:$C$16</c:f>
              <c:numCache>
                <c:formatCode>0.00%</c:formatCode>
                <c:ptCount val="3"/>
                <c:pt idx="0">
                  <c:v>0.26071718407137207</c:v>
                </c:pt>
                <c:pt idx="1">
                  <c:v>0.25891974876511142</c:v>
                </c:pt>
                <c:pt idx="2">
                  <c:v>0.27232449289800265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1-4D48-B445-C87358B5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355120"/>
        <c:axId val="750349840"/>
      </c:lineChart>
      <c:catAx>
        <c:axId val="750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0349840"/>
        <c:crosses val="autoZero"/>
        <c:auto val="1"/>
        <c:lblAlgn val="ctr"/>
        <c:lblOffset val="100"/>
        <c:noMultiLvlLbl val="0"/>
      </c:catAx>
      <c:valAx>
        <c:axId val="7503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035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[Analiza_apteka_sztuczne_dane_FINAL_realistyczne.xlsx]Tabele przestawne!PivotTable5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0"/>
              <a:t>Top dostawcy – zakupy poza umową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'Tabele przestawne'!$B$21:$B$22</c:f>
              <c:strCache>
                <c:ptCount val="1"/>
                <c:pt idx="0">
                  <c:v>Poza umową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'Tabele przestawne'!$A$23:$A$26</c:f>
              <c:strCache>
                <c:ptCount val="3"/>
                <c:pt idx="0">
                  <c:v>MedicaPharm</c:v>
                </c:pt>
                <c:pt idx="1">
                  <c:v>CentrumFarm</c:v>
                </c:pt>
                <c:pt idx="2">
                  <c:v>VitaDistrib</c:v>
                </c:pt>
              </c:strCache>
            </c:strRef>
          </c:cat>
          <c:val>
            <c:numRef>
              <c:f>'Tabele przestawne'!$B$23:$B$26</c:f>
              <c:numCache>
                <c:formatCode>General</c:formatCode>
                <c:ptCount val="3"/>
                <c:pt idx="0">
                  <c:v>1226492.8899999999</c:v>
                </c:pt>
                <c:pt idx="1">
                  <c:v>1214554.02</c:v>
                </c:pt>
                <c:pt idx="2">
                  <c:v>1188859.72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3-4B99-9B69-F335A4776D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0382000"/>
        <c:axId val="750381520"/>
      </c:barChart>
      <c:catAx>
        <c:axId val="75038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0381520"/>
        <c:crosses val="autoZero"/>
        <c:auto val="1"/>
        <c:lblAlgn val="ctr"/>
        <c:lblOffset val="100"/>
        <c:noMultiLvlLbl val="0"/>
      </c:catAx>
      <c:valAx>
        <c:axId val="75038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03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6</xdr:row>
      <xdr:rowOff>106680</xdr:rowOff>
    </xdr:from>
    <xdr:to>
      <xdr:col>4</xdr:col>
      <xdr:colOff>1234440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407F5-7EF7-45CB-9B0F-80F23A05D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426720</xdr:colOff>
      <xdr:row>20</xdr:row>
      <xdr:rowOff>152400</xdr:rowOff>
    </xdr:from>
    <xdr:to>
      <xdr:col>4</xdr:col>
      <xdr:colOff>1242060</xdr:colOff>
      <xdr:row>35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4B63C-486B-4BFC-A41F-A5CDC537E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586740</xdr:colOff>
      <xdr:row>20</xdr:row>
      <xdr:rowOff>175260</xdr:rowOff>
    </xdr:from>
    <xdr:to>
      <xdr:col>14</xdr:col>
      <xdr:colOff>289560</xdr:colOff>
      <xdr:row>35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18D13E-CE7C-4F6D-8839-11F8A1410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75.607251504633" createdVersion="8" refreshedVersion="8" minRefreshableVersion="3" recordCount="3005" xr:uid="{E60A7A0C-EB18-4F65-901C-6A09CC1F704F}">
  <cacheSource type="worksheet">
    <worksheetSource name="Table14"/>
  </cacheSource>
  <cacheFields count="16">
    <cacheField name="Numer_FV" numFmtId="0">
      <sharedItems/>
    </cacheField>
    <cacheField name="Numer_PZ" numFmtId="0">
      <sharedItems containsBlank="1"/>
    </cacheField>
    <cacheField name="Dostawca" numFmtId="0">
      <sharedItems count="8">
        <s v="Polmedica"/>
        <s v="SalusHurt"/>
        <s v="NovaLek"/>
        <s v="HurtMedix"/>
        <s v="CentrumFarm"/>
        <s v="MedicaPharm"/>
        <s v="PharmaPlus"/>
        <s v="VitaDistrib"/>
      </sharedItems>
    </cacheField>
    <cacheField name="Data_Wystawienia" numFmtId="14">
      <sharedItems containsSemiMixedTypes="0" containsNonDate="0" containsDate="1" containsString="0" minDate="2022-01-01T00:00:00" maxDate="2025-01-01T00:00:00"/>
    </cacheField>
    <cacheField name="Wartość" numFmtId="44">
      <sharedItems/>
    </cacheField>
    <cacheField name="Status" numFmtId="0">
      <sharedItems/>
    </cacheField>
    <cacheField name="Typ" numFmtId="0">
      <sharedItems/>
    </cacheField>
    <cacheField name="Magazyn" numFmtId="0">
      <sharedItems/>
    </cacheField>
    <cacheField name="Umowa" numFmtId="0">
      <sharedItems/>
    </cacheField>
    <cacheField name="ISTEXT Data_Wystawienia" numFmtId="0">
      <sharedItems/>
    </cacheField>
    <cacheField name="Wartość_clean" numFmtId="0">
      <sharedItems containsSemiMixedTypes="0" containsString="0" containsNumber="1" minValue="-3451.65" maxValue="32971.79"/>
    </cacheField>
    <cacheField name="Walidacja znaku" numFmtId="0">
      <sharedItems/>
    </cacheField>
    <cacheField name="Czy umowa" numFmtId="0">
      <sharedItems count="2">
        <s v="Z umowy"/>
        <s v="Poza umową"/>
      </sharedItems>
    </cacheField>
    <cacheField name="Rok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Rok_miesiąc" numFmtId="0">
      <sharedItems/>
    </cacheField>
    <cacheField name="Liczba dokumentów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5">
  <r>
    <s v="FV/POL/31890/2022"/>
    <s v="PZ/800000"/>
    <x v="0"/>
    <d v="2022-01-01T00:00:00"/>
    <s v="19866.67"/>
    <s v="Zaakceptowana"/>
    <s v="Faktura VAT"/>
    <s v="Apteka Szpitalna"/>
    <s v="UM-POL-01"/>
    <b v="0"/>
    <n v="19866.669999999998"/>
    <s v="OK"/>
    <x v="0"/>
    <x v="0"/>
    <s v="2022-01"/>
    <n v="1"/>
  </r>
  <r>
    <s v="FV/72/SAL/22"/>
    <s v="PZ/800001"/>
    <x v="1"/>
    <d v="2022-01-01T00:00:00"/>
    <s v="11453.22"/>
    <s v="Zaakceptowana"/>
    <s v="Faktura VAT"/>
    <s v="Apteka Szpitalna"/>
    <s v="UM-SAL-01"/>
    <b v="0"/>
    <n v="11453.22"/>
    <s v="OK"/>
    <x v="0"/>
    <x v="0"/>
    <s v="2022-01"/>
    <n v="1"/>
  </r>
  <r>
    <s v="FV/9768/NOVA/22"/>
    <s v="PZ/800002"/>
    <x v="2"/>
    <d v="2022-01-02T00:00:00"/>
    <s v="16866.91"/>
    <s v="Zaakceptowana"/>
    <s v="Faktura VAT"/>
    <s v="Apteka Szpitalna"/>
    <s v="UM-NOV-01"/>
    <b v="0"/>
    <n v="16866.91"/>
    <s v="OK"/>
    <x v="0"/>
    <x v="0"/>
    <s v="2022-01"/>
    <n v="1"/>
  </r>
  <r>
    <s v="FV/7372HM/22"/>
    <s v="PZ/800003"/>
    <x v="3"/>
    <d v="2022-01-02T00:00:00"/>
    <s v="13572.29"/>
    <s v="Zaakceptowana"/>
    <s v="Faktura VAT"/>
    <s v="Apteka Szpitalna"/>
    <s v=""/>
    <b v="0"/>
    <n v="13572.29"/>
    <s v="OK"/>
    <x v="1"/>
    <x v="0"/>
    <s v="2022-01"/>
    <n v="1"/>
  </r>
  <r>
    <s v="FV/CENFA/196164/22"/>
    <s v="PZ/800004"/>
    <x v="4"/>
    <d v="2022-01-02T00:00:00"/>
    <s v="14077.57"/>
    <s v="Zaakceptowana"/>
    <s v="Faktura VAT"/>
    <s v="Apteka Szpitalna"/>
    <s v=""/>
    <b v="0"/>
    <n v="14077.57"/>
    <s v="OK"/>
    <x v="1"/>
    <x v="0"/>
    <s v="2022-01"/>
    <n v="1"/>
  </r>
  <r>
    <s v="FV/POL/51493/2022"/>
    <s v="PZ/800005"/>
    <x v="0"/>
    <d v="2022-01-02T00:00:00"/>
    <s v="15801.37"/>
    <s v="Zaakceptowana"/>
    <s v="Faktura VAT"/>
    <s v="Apteka Szpitalna"/>
    <s v="UM-POL-02"/>
    <b v="0"/>
    <n v="15801.37"/>
    <s v="OK"/>
    <x v="0"/>
    <x v="0"/>
    <s v="2022-01"/>
    <n v="1"/>
  </r>
  <r>
    <s v="FV/3800HM/22"/>
    <s v="PZ/800006"/>
    <x v="3"/>
    <d v="2022-01-02T00:00:00"/>
    <s v="18943.96"/>
    <s v="Zaakceptowana"/>
    <s v="Faktura VAT"/>
    <s v="Apteka Szpitalna"/>
    <s v="UM-HUR-03"/>
    <b v="0"/>
    <n v="18943.96"/>
    <s v="OK"/>
    <x v="0"/>
    <x v="0"/>
    <s v="2022-01"/>
    <n v="1"/>
  </r>
  <r>
    <s v="FV/M/4805/P/22"/>
    <s v="PZ/800007"/>
    <x v="5"/>
    <d v="2022-01-03T00:00:00"/>
    <s v="18136.81"/>
    <s v="Zaakceptowana"/>
    <s v="Faktura VAT"/>
    <s v="Apteka Szpitalna"/>
    <s v="UM-MED-01"/>
    <b v="0"/>
    <n v="18136.810000000001"/>
    <s v="OK"/>
    <x v="0"/>
    <x v="0"/>
    <s v="2022-01"/>
    <n v="1"/>
  </r>
  <r>
    <s v="FV/CENFA/130729/22"/>
    <s v="PZ/800008"/>
    <x v="4"/>
    <d v="2022-01-03T00:00:00"/>
    <s v="10796.28"/>
    <s v="Zaakceptowana"/>
    <s v="Faktura VAT"/>
    <s v="Apteka Szpitalna"/>
    <s v="UM-CEN-01"/>
    <b v="0"/>
    <n v="10796.28"/>
    <s v="OK"/>
    <x v="0"/>
    <x v="0"/>
    <s v="2022-01"/>
    <n v="1"/>
  </r>
  <r>
    <s v="FV/70/PP/1925/22"/>
    <s v="PZ/800009"/>
    <x v="6"/>
    <d v="2022-01-03T00:00:00"/>
    <s v="20472.22"/>
    <s v="Zaakceptowana"/>
    <s v="Faktura VAT"/>
    <s v="Apteka Szpitalna"/>
    <s v=""/>
    <b v="0"/>
    <n v="20472.22"/>
    <s v="OK"/>
    <x v="1"/>
    <x v="0"/>
    <s v="2022-01"/>
    <n v="1"/>
  </r>
  <r>
    <s v="FV/9012/NOVA/22"/>
    <s v="PZ/800010"/>
    <x v="2"/>
    <d v="2022-01-03T00:00:00"/>
    <s v="16964.02"/>
    <s v="Zaakceptowana"/>
    <s v="Faktura VAT"/>
    <s v="Apteka Szpitalna"/>
    <s v="UM-NOV-03"/>
    <b v="0"/>
    <n v="16964.02"/>
    <s v="OK"/>
    <x v="0"/>
    <x v="0"/>
    <s v="2022-01"/>
    <n v="1"/>
  </r>
  <r>
    <s v="FV/5994/NOVA/22"/>
    <s v="PZ/800011"/>
    <x v="2"/>
    <d v="2022-01-04T00:00:00"/>
    <s v="15548.14"/>
    <s v="Zaakceptowana"/>
    <s v="Faktura VAT"/>
    <s v="Apteka Szpitalna"/>
    <s v="UM-NOV-02"/>
    <b v="0"/>
    <n v="15548.14"/>
    <s v="OK"/>
    <x v="0"/>
    <x v="0"/>
    <s v="2022-01"/>
    <n v="1"/>
  </r>
  <r>
    <s v="FV/30/SAL/22"/>
    <s v="PZ/800012"/>
    <x v="1"/>
    <d v="2022-01-04T00:00:00"/>
    <s v="7455.12"/>
    <s v="Zaakceptowana"/>
    <s v="Faktura VAT"/>
    <s v="Apteka Szpitalna"/>
    <s v=""/>
    <b v="0"/>
    <n v="7455.12"/>
    <s v="OK"/>
    <x v="1"/>
    <x v="0"/>
    <s v="2022-01"/>
    <n v="1"/>
  </r>
  <r>
    <s v="FV/76260/VDb/2022"/>
    <s v="PZ/800013"/>
    <x v="7"/>
    <d v="2022-01-04T00:00:00"/>
    <s v="8114.42"/>
    <s v="Zaakceptowana"/>
    <s v="Faktura VAT"/>
    <s v="Apteka Szpitalna"/>
    <s v="UM-VIT-01"/>
    <b v="0"/>
    <n v="8114.42"/>
    <s v="OK"/>
    <x v="0"/>
    <x v="0"/>
    <s v="2022-01"/>
    <n v="1"/>
  </r>
  <r>
    <s v="FV/M/1198/P/22"/>
    <s v="PZ/800014"/>
    <x v="5"/>
    <d v="2022-01-04T00:00:00"/>
    <s v="14112.42"/>
    <s v="Zaakceptowana"/>
    <s v="Faktura VAT"/>
    <s v="Apteka Szpitalna"/>
    <s v=""/>
    <b v="0"/>
    <n v="14112.42"/>
    <s v="OK"/>
    <x v="1"/>
    <x v="0"/>
    <s v="2022-01"/>
    <n v="1"/>
  </r>
  <r>
    <s v="FV/POL/39855/2022"/>
    <s v="PZ/800015"/>
    <x v="0"/>
    <d v="2022-01-05T00:00:00"/>
    <s v="13161.83"/>
    <s v="Zaakceptowana"/>
    <s v="Faktura VAT"/>
    <s v="Apteka Szpitalna"/>
    <s v="UM-POL-01"/>
    <b v="0"/>
    <n v="13161.83"/>
    <s v="OK"/>
    <x v="0"/>
    <x v="0"/>
    <s v="2022-01"/>
    <n v="1"/>
  </r>
  <r>
    <s v="FV/7230HM/22"/>
    <s v="PZ/800016"/>
    <x v="3"/>
    <d v="2022-01-05T00:00:00"/>
    <s v="13610.9"/>
    <s v="Zaakceptowana"/>
    <s v="Faktura VAT"/>
    <s v="Apteka Szpitalna"/>
    <s v="UM-HUR-01"/>
    <b v="0"/>
    <n v="13610.9"/>
    <s v="OK"/>
    <x v="0"/>
    <x v="0"/>
    <s v="2022-01"/>
    <n v="1"/>
  </r>
  <r>
    <s v="FV/M/1370/P/22"/>
    <s v="PZ/800017"/>
    <x v="5"/>
    <d v="2022-01-06T00:00:00"/>
    <s v="16611.12"/>
    <s v="Zaakceptowana"/>
    <s v="Faktura VAT"/>
    <s v="Apteka Szpitalna"/>
    <s v=""/>
    <b v="0"/>
    <n v="16611.12"/>
    <s v="OK"/>
    <x v="1"/>
    <x v="0"/>
    <s v="2022-01"/>
    <n v="1"/>
  </r>
  <r>
    <s v="FV/7537HM/22"/>
    <s v="PZ/800018"/>
    <x v="3"/>
    <d v="2022-01-06T00:00:00"/>
    <s v="22174.33"/>
    <s v="Zaakceptowana"/>
    <s v="Faktura VAT"/>
    <s v="Apteka Szpitalna"/>
    <s v="UM-HUR-01"/>
    <b v="0"/>
    <n v="22174.33"/>
    <s v="OK"/>
    <x v="0"/>
    <x v="0"/>
    <s v="2022-01"/>
    <n v="1"/>
  </r>
  <r>
    <s v="FV/M/7850/P/22"/>
    <s v="PZ/800019"/>
    <x v="5"/>
    <d v="2022-01-07T00:00:00"/>
    <s v="9293.37"/>
    <s v="Zaakceptowana"/>
    <s v="Faktura VAT"/>
    <s v="Apteka Szpitalna"/>
    <s v="UM-MED-01"/>
    <b v="0"/>
    <n v="9293.3700000000008"/>
    <s v="OK"/>
    <x v="0"/>
    <x v="0"/>
    <s v="2022-01"/>
    <n v="1"/>
  </r>
  <r>
    <s v="FV/CENFA/575501/22"/>
    <s v="PZ/800020"/>
    <x v="4"/>
    <d v="2022-01-07T00:00:00"/>
    <s v="16492.52"/>
    <s v="Zaakceptowana"/>
    <s v="Faktura VAT"/>
    <s v="Apteka Szpitalna"/>
    <s v="UM-CEN-02"/>
    <b v="0"/>
    <n v="16492.52"/>
    <s v="OK"/>
    <x v="0"/>
    <x v="0"/>
    <s v="2022-01"/>
    <n v="1"/>
  </r>
  <r>
    <s v="FV/CENFA/465181/22"/>
    <s v="PZ/800021"/>
    <x v="4"/>
    <d v="2022-01-08T00:00:00"/>
    <s v="15095.81"/>
    <s v="Zaakceptowana"/>
    <s v="Faktura VAT"/>
    <s v="Apteka Szpitalna"/>
    <s v="UM-CEN-01"/>
    <b v="0"/>
    <n v="15095.81"/>
    <s v="OK"/>
    <x v="0"/>
    <x v="0"/>
    <s v="2022-01"/>
    <n v="1"/>
  </r>
  <r>
    <s v="FV/97605/VDb/2022"/>
    <s v="PZ/800022"/>
    <x v="7"/>
    <d v="2022-01-09T00:00:00"/>
    <s v="32971.79"/>
    <s v="Zaakceptowana"/>
    <s v="Faktura VAT"/>
    <s v="Apteka Szpitalna"/>
    <s v="UM-VIT-01"/>
    <b v="0"/>
    <n v="32971.79"/>
    <s v="OK"/>
    <x v="0"/>
    <x v="0"/>
    <s v="2022-01"/>
    <n v="1"/>
  </r>
  <r>
    <s v="FV/CENFA/159558/22"/>
    <s v="PZ/800023"/>
    <x v="4"/>
    <d v="2022-01-09T00:00:00"/>
    <s v="15985.8"/>
    <s v="Zaakceptowana"/>
    <s v="Faktura VAT"/>
    <s v="Apteka Szpitalna"/>
    <s v="UM-CEN-02"/>
    <b v="0"/>
    <n v="15985.8"/>
    <s v="OK"/>
    <x v="0"/>
    <x v="0"/>
    <s v="2022-01"/>
    <n v="1"/>
  </r>
  <r>
    <s v="FV/M/2497/P/22"/>
    <s v="PZ/800024"/>
    <x v="5"/>
    <d v="2022-01-09T00:00:00"/>
    <s v="19447.08"/>
    <s v="Zaakceptowana"/>
    <s v="Faktura VAT"/>
    <s v="Apteka Szpitalna"/>
    <s v="UM-MED-01"/>
    <b v="0"/>
    <n v="19447.080000000002"/>
    <s v="OK"/>
    <x v="0"/>
    <x v="0"/>
    <s v="2022-01"/>
    <n v="1"/>
  </r>
  <r>
    <s v="FV/3019/NOVA/22"/>
    <s v="PZ/800025"/>
    <x v="2"/>
    <d v="2022-01-10T00:00:00"/>
    <s v="12464.28"/>
    <s v="Zaakceptowana"/>
    <s v="Faktura VAT"/>
    <s v="Apteka Szpitalna"/>
    <s v="UM-NOV-02"/>
    <b v="0"/>
    <n v="12464.28"/>
    <s v="OK"/>
    <x v="0"/>
    <x v="0"/>
    <s v="2022-01"/>
    <n v="1"/>
  </r>
  <r>
    <s v="FV/52/SAL/22"/>
    <s v="PZ/800026"/>
    <x v="1"/>
    <d v="2022-01-10T00:00:00"/>
    <s v="9880.47"/>
    <s v="Zaakceptowana"/>
    <s v="Faktura VAT"/>
    <s v="Apteka Szpitalna"/>
    <s v=""/>
    <b v="0"/>
    <n v="9880.4699999999993"/>
    <s v="OK"/>
    <x v="1"/>
    <x v="0"/>
    <s v="2022-01"/>
    <n v="1"/>
  </r>
  <r>
    <s v="FV/17/SAL/22"/>
    <s v="PZ/800027"/>
    <x v="1"/>
    <d v="2022-01-10T00:00:00"/>
    <s v="13709.26"/>
    <s v="Zaakceptowana"/>
    <s v="Faktura VAT"/>
    <s v="Apteka Szpitalna"/>
    <s v="UM-SAL-02"/>
    <b v="0"/>
    <n v="13709.26"/>
    <s v="OK"/>
    <x v="0"/>
    <x v="0"/>
    <s v="2022-01"/>
    <n v="1"/>
  </r>
  <r>
    <s v="FV/3998/NOVA/22"/>
    <s v="PZ/800028"/>
    <x v="2"/>
    <d v="2022-01-11T00:00:00"/>
    <s v="9540.96"/>
    <s v="Zaakceptowana"/>
    <s v="Faktura VAT"/>
    <s v="Apteka Szpitalna"/>
    <s v=""/>
    <b v="0"/>
    <n v="9540.9599999999991"/>
    <s v="OK"/>
    <x v="1"/>
    <x v="0"/>
    <s v="2022-01"/>
    <n v="1"/>
  </r>
  <r>
    <s v="FV/44/SAL/22"/>
    <s v="PZ/800029"/>
    <x v="1"/>
    <d v="2022-01-11T00:00:00"/>
    <s v="15146.95"/>
    <s v="Zaakceptowana"/>
    <s v="Faktura VAT"/>
    <s v="Apteka Szpitalna"/>
    <s v="UM-SAL-02"/>
    <b v="0"/>
    <n v="15146.95"/>
    <s v="OK"/>
    <x v="0"/>
    <x v="0"/>
    <s v="2022-01"/>
    <n v="1"/>
  </r>
  <r>
    <s v="FV/71/SAL/22"/>
    <s v="PZ/800030"/>
    <x v="1"/>
    <d v="2022-01-11T00:00:00"/>
    <s v="20490.28"/>
    <s v="Zaakceptowana"/>
    <s v="Faktura VAT"/>
    <s v="Apteka Szpitalna"/>
    <s v="UM-SAL-01"/>
    <b v="0"/>
    <n v="20490.28"/>
    <s v="OK"/>
    <x v="0"/>
    <x v="0"/>
    <s v="2022-01"/>
    <n v="1"/>
  </r>
  <r>
    <s v="FV/M/4302/P/22"/>
    <s v="PZ/800031"/>
    <x v="5"/>
    <d v="2022-01-12T00:00:00"/>
    <s v="16776.23"/>
    <s v="Zaakceptowana"/>
    <s v="Faktura VAT"/>
    <s v="Apteka Szpitalna"/>
    <s v="UM-MED-01"/>
    <b v="0"/>
    <n v="16776.23"/>
    <s v="OK"/>
    <x v="0"/>
    <x v="0"/>
    <s v="2022-01"/>
    <n v="1"/>
  </r>
  <r>
    <s v="FV/M/4047/P/22"/>
    <s v="PZ/800032"/>
    <x v="5"/>
    <d v="2022-01-12T00:00:00"/>
    <s v="13488.72"/>
    <s v="Zaakceptowana"/>
    <s v="Faktura VAT"/>
    <s v="Apteka Szpitalna"/>
    <s v="UM-MED-01"/>
    <b v="0"/>
    <n v="13488.72"/>
    <s v="OK"/>
    <x v="0"/>
    <x v="0"/>
    <s v="2022-01"/>
    <n v="1"/>
  </r>
  <r>
    <s v="FV/1989HM/22"/>
    <s v="PZ/800033"/>
    <x v="3"/>
    <d v="2022-01-13T00:00:00"/>
    <s v="8063.05"/>
    <s v="Zaakceptowana"/>
    <s v="Faktura VAT"/>
    <s v="Apteka Szpitalna"/>
    <s v=""/>
    <b v="0"/>
    <n v="8063.05"/>
    <s v="OK"/>
    <x v="1"/>
    <x v="0"/>
    <s v="2022-01"/>
    <n v="1"/>
  </r>
  <r>
    <s v="FV/9053HM/22"/>
    <s v="PZ/800034"/>
    <x v="3"/>
    <d v="2022-01-13T00:00:00"/>
    <s v="22753.06"/>
    <s v="Zaakceptowana"/>
    <s v="Faktura VAT"/>
    <s v="Apteka Szpitalna"/>
    <s v="UM-HUR-01"/>
    <b v="0"/>
    <n v="22753.06"/>
    <s v="OK"/>
    <x v="0"/>
    <x v="0"/>
    <s v="2022-01"/>
    <n v="1"/>
  </r>
  <r>
    <s v="FV/2541HM/22"/>
    <s v="PZ/800035"/>
    <x v="3"/>
    <d v="2022-01-13T00:00:00"/>
    <s v="8644.99"/>
    <s v="Zaakceptowana"/>
    <s v="Faktura VAT"/>
    <s v="Apteka Szpitalna"/>
    <s v="UM-HUR-03"/>
    <b v="0"/>
    <n v="8644.99"/>
    <s v="OK"/>
    <x v="0"/>
    <x v="0"/>
    <s v="2022-01"/>
    <n v="1"/>
  </r>
  <r>
    <s v="FV/6389/NOVA/22"/>
    <s v="PZ/800036"/>
    <x v="2"/>
    <d v="2022-01-13T00:00:00"/>
    <s v="10078.81"/>
    <s v="Zaakceptowana"/>
    <s v="Faktura VAT"/>
    <s v="Apteka Szpitalna"/>
    <s v="UM-NOV-02"/>
    <b v="0"/>
    <n v="10078.81"/>
    <s v="OK"/>
    <x v="0"/>
    <x v="0"/>
    <s v="2022-01"/>
    <n v="1"/>
  </r>
  <r>
    <s v="FV/8510/NOVA/22"/>
    <s v="PZ/800037"/>
    <x v="2"/>
    <d v="2022-01-13T00:00:00"/>
    <s v="10306.72"/>
    <s v="Zaakceptowana"/>
    <s v="Faktura VAT"/>
    <s v="Apteka Szpitalna"/>
    <s v=""/>
    <b v="0"/>
    <n v="10306.719999999999"/>
    <s v="OK"/>
    <x v="1"/>
    <x v="0"/>
    <s v="2022-01"/>
    <n v="1"/>
  </r>
  <r>
    <s v="FV/CENFA/883369/22"/>
    <s v="PZ/800038"/>
    <x v="4"/>
    <d v="2022-01-14T00:00:00"/>
    <s v="8519.16"/>
    <s v="Zaakceptowana"/>
    <s v="Faktura VAT"/>
    <s v="Apteka Szpitalna"/>
    <s v="UM-CEN-01"/>
    <b v="0"/>
    <n v="8519.16"/>
    <s v="OK"/>
    <x v="0"/>
    <x v="0"/>
    <s v="2022-01"/>
    <n v="1"/>
  </r>
  <r>
    <s v="FV/57/PP/4994/22"/>
    <s v="PZ/800039"/>
    <x v="6"/>
    <d v="2022-01-14T00:00:00"/>
    <s v="9949.23"/>
    <s v="Zaakceptowana"/>
    <s v="Faktura VAT"/>
    <s v="Apteka Szpitalna"/>
    <s v=""/>
    <b v="0"/>
    <n v="9949.23"/>
    <s v="OK"/>
    <x v="1"/>
    <x v="0"/>
    <s v="2022-01"/>
    <n v="1"/>
  </r>
  <r>
    <s v="FV/1088/NOVA/22"/>
    <s v="PZ/800040"/>
    <x v="2"/>
    <d v="2022-01-14T00:00:00"/>
    <s v="23174.55"/>
    <s v="Zaakceptowana"/>
    <s v="Faktura VAT"/>
    <s v="Apteka Szpitalna"/>
    <s v="UM-NOV-03"/>
    <b v="0"/>
    <n v="23174.55"/>
    <s v="OK"/>
    <x v="0"/>
    <x v="0"/>
    <s v="2022-01"/>
    <n v="1"/>
  </r>
  <r>
    <s v="FV/80019/VDb/2022"/>
    <s v="PZ/800041"/>
    <x v="7"/>
    <d v="2022-01-15T00:00:00"/>
    <s v="16326.75"/>
    <s v="Zaakceptowana"/>
    <s v="Faktura VAT"/>
    <s v="Apteka Szpitalna"/>
    <s v=""/>
    <b v="0"/>
    <n v="16326.75"/>
    <s v="OK"/>
    <x v="1"/>
    <x v="0"/>
    <s v="2022-01"/>
    <n v="1"/>
  </r>
  <r>
    <s v="FV/M/1972/P/22"/>
    <s v="PZ/800042"/>
    <x v="5"/>
    <d v="2022-01-15T00:00:00"/>
    <s v="10575.71"/>
    <s v="Zaakceptowana"/>
    <s v="Faktura VAT"/>
    <s v="Apteka Szpitalna"/>
    <s v="UM-MED-01"/>
    <b v="0"/>
    <n v="10575.71"/>
    <s v="OK"/>
    <x v="0"/>
    <x v="0"/>
    <s v="2022-01"/>
    <n v="1"/>
  </r>
  <r>
    <s v="FV/POL/97351/2022"/>
    <s v="PZ/800043"/>
    <x v="0"/>
    <d v="2022-01-15T00:00:00"/>
    <s v="22768.45"/>
    <s v="Zaakceptowana"/>
    <s v="Faktura VAT"/>
    <s v="Apteka Szpitalna"/>
    <s v="UM-POL-02"/>
    <b v="0"/>
    <n v="22768.45"/>
    <s v="OK"/>
    <x v="0"/>
    <x v="0"/>
    <s v="2022-01"/>
    <n v="1"/>
  </r>
  <r>
    <s v="FV/CENFA/549435/22"/>
    <s v="PZ/800044"/>
    <x v="4"/>
    <d v="2022-01-16T00:00:00"/>
    <s v="16256.24"/>
    <s v="Zaakceptowana"/>
    <s v="Faktura VAT"/>
    <s v="Apteka Szpitalna"/>
    <s v=""/>
    <b v="0"/>
    <n v="16256.24"/>
    <s v="OK"/>
    <x v="1"/>
    <x v="0"/>
    <s v="2022-01"/>
    <n v="1"/>
  </r>
  <r>
    <s v="FV/6263HM/22"/>
    <s v="PZ/800045"/>
    <x v="3"/>
    <d v="2022-01-16T00:00:00"/>
    <s v="8703.67"/>
    <s v="Zaakceptowana"/>
    <s v="Faktura VAT"/>
    <s v="Apteka Szpitalna"/>
    <s v="UM-HUR-01"/>
    <b v="0"/>
    <n v="8703.67"/>
    <s v="OK"/>
    <x v="0"/>
    <x v="0"/>
    <s v="2022-01"/>
    <n v="1"/>
  </r>
  <r>
    <s v="FV/4149HM/22"/>
    <s v="PZ/800046"/>
    <x v="3"/>
    <d v="2022-01-16T00:00:00"/>
    <s v="-1500.23"/>
    <s v="Zaakceptowana"/>
    <s v="Korekta FV"/>
    <s v="Apteka Szpitalna"/>
    <s v="UM-HUR-01"/>
    <b v="0"/>
    <n v="-1500.23"/>
    <s v="OK"/>
    <x v="0"/>
    <x v="0"/>
    <s v="2022-01"/>
    <n v="1"/>
  </r>
  <r>
    <s v="FV/POL/86803/2022"/>
    <s v="PZ/800047"/>
    <x v="0"/>
    <d v="2022-01-16T00:00:00"/>
    <s v="21492.77"/>
    <s v="Zaakceptowana"/>
    <s v="Faktura VAT"/>
    <s v="Apteka Szpitalna"/>
    <s v=""/>
    <b v="0"/>
    <n v="21492.77"/>
    <s v="OK"/>
    <x v="1"/>
    <x v="0"/>
    <s v="2022-01"/>
    <n v="1"/>
  </r>
  <r>
    <s v="FV/40/PP/6793/22"/>
    <s v="PZ/800048"/>
    <x v="6"/>
    <d v="2022-01-16T00:00:00"/>
    <s v="2852.69"/>
    <s v="Zaakceptowana"/>
    <s v="Faktura VAT"/>
    <s v="Apteka Szpitalna"/>
    <s v="UM-PHA-01"/>
    <b v="0"/>
    <n v="2852.69"/>
    <s v="OK"/>
    <x v="0"/>
    <x v="0"/>
    <s v="2022-01"/>
    <n v="1"/>
  </r>
  <r>
    <s v="FV/POL/25418/2022"/>
    <s v="PZ/800049"/>
    <x v="0"/>
    <d v="2022-01-16T00:00:00"/>
    <s v="11606.37"/>
    <s v="Zaakceptowana"/>
    <s v="Faktura VAT"/>
    <s v="Apteka Szpitalna"/>
    <s v="UM-POL-03"/>
    <b v="0"/>
    <n v="11606.37"/>
    <s v="OK"/>
    <x v="0"/>
    <x v="0"/>
    <s v="2022-01"/>
    <n v="1"/>
  </r>
  <r>
    <s v="FV/19610/VDb/2022"/>
    <s v="PZ/800050"/>
    <x v="7"/>
    <d v="2022-01-16T00:00:00"/>
    <s v="15425.33"/>
    <s v="Zaakceptowana"/>
    <s v="Faktura VAT"/>
    <s v="Apteka Szpitalna"/>
    <s v="UM-VIT-01"/>
    <b v="0"/>
    <n v="15425.33"/>
    <s v="OK"/>
    <x v="0"/>
    <x v="0"/>
    <s v="2022-01"/>
    <n v="1"/>
  </r>
  <r>
    <s v="FV/7869HM/22"/>
    <s v="PZ/800051"/>
    <x v="3"/>
    <d v="2022-01-17T00:00:00"/>
    <s v="7034.43"/>
    <s v="Zaakceptowana"/>
    <s v="Faktura VAT"/>
    <s v="Apteka Szpitalna"/>
    <s v=""/>
    <b v="0"/>
    <n v="7034.43"/>
    <s v="OK"/>
    <x v="1"/>
    <x v="0"/>
    <s v="2022-01"/>
    <n v="1"/>
  </r>
  <r>
    <s v="FV/48794/VDb/2022"/>
    <s v="PZ/800052"/>
    <x v="7"/>
    <d v="2022-01-17T00:00:00"/>
    <s v="13076.91"/>
    <s v="Zaakceptowana"/>
    <s v="Faktura VAT"/>
    <s v="Apteka Szpitalna"/>
    <s v="UM-VIT-01"/>
    <b v="0"/>
    <n v="13076.91"/>
    <s v="OK"/>
    <x v="0"/>
    <x v="0"/>
    <s v="2022-01"/>
    <n v="1"/>
  </r>
  <r>
    <s v="FV/M/7314/P/22"/>
    <s v="PZ/800053"/>
    <x v="5"/>
    <d v="2022-01-18T00:00:00"/>
    <s v="13765.12"/>
    <s v="Zaakceptowana"/>
    <s v="Faktura VAT"/>
    <s v="Apteka Szpitalna"/>
    <s v=""/>
    <b v="0"/>
    <n v="13765.12"/>
    <s v="OK"/>
    <x v="1"/>
    <x v="0"/>
    <s v="2022-01"/>
    <n v="1"/>
  </r>
  <r>
    <s v="FV/9453/NOVA/22"/>
    <s v="PZ/800054"/>
    <x v="2"/>
    <d v="2022-01-18T00:00:00"/>
    <s v="14040.8"/>
    <s v="Zaakceptowana"/>
    <s v="Faktura VAT"/>
    <s v="Apteka Szpitalna"/>
    <s v="UM-NOV-03"/>
    <b v="0"/>
    <n v="14040.8"/>
    <s v="OK"/>
    <x v="0"/>
    <x v="0"/>
    <s v="2022-01"/>
    <n v="1"/>
  </r>
  <r>
    <s v="FV/3896HM/22"/>
    <s v="PZ/800055"/>
    <x v="3"/>
    <d v="2022-01-18T00:00:00"/>
    <s v="21219.98"/>
    <s v="Zaakceptowana"/>
    <s v="Faktura VAT"/>
    <s v="Apteka Szpitalna"/>
    <s v="UM-HUR-02"/>
    <b v="0"/>
    <n v="21219.98"/>
    <s v="OK"/>
    <x v="0"/>
    <x v="0"/>
    <s v="2022-01"/>
    <n v="1"/>
  </r>
  <r>
    <s v="FV/20/SAL/22"/>
    <s v="PZ/800056"/>
    <x v="1"/>
    <d v="2022-01-18T00:00:00"/>
    <s v="13970.12"/>
    <s v="Zaakceptowana"/>
    <s v="Faktura VAT"/>
    <s v="Apteka Szpitalna"/>
    <s v="UM-SAL-01"/>
    <b v="0"/>
    <n v="13970.12"/>
    <s v="OK"/>
    <x v="0"/>
    <x v="0"/>
    <s v="2022-01"/>
    <n v="1"/>
  </r>
  <r>
    <s v="FV/6545HM/22"/>
    <s v="PZ/800057"/>
    <x v="3"/>
    <d v="2022-01-18T00:00:00"/>
    <s v="20931.69"/>
    <s v="Zaakceptowana"/>
    <s v="Faktura VAT"/>
    <s v="Apteka Szpitalna"/>
    <s v="UM-HUR-01"/>
    <b v="0"/>
    <n v="20931.689999999999"/>
    <s v="OK"/>
    <x v="0"/>
    <x v="0"/>
    <s v="2022-01"/>
    <n v="1"/>
  </r>
  <r>
    <s v="FV/M/9337/P/22"/>
    <s v="PZ/800058"/>
    <x v="5"/>
    <d v="2022-01-18T00:00:00"/>
    <s v="18214.95"/>
    <s v="Zaakceptowana"/>
    <s v="Faktura VAT"/>
    <s v="Apteka Szpitalna"/>
    <s v="UM-MED-01"/>
    <b v="0"/>
    <n v="18214.95"/>
    <s v="OK"/>
    <x v="0"/>
    <x v="0"/>
    <s v="2022-01"/>
    <n v="1"/>
  </r>
  <r>
    <s v="FV/46548/VDb/2022"/>
    <s v="PZ/800059"/>
    <x v="7"/>
    <d v="2022-01-19T00:00:00"/>
    <s v="19187.78"/>
    <s v="Zaakceptowana"/>
    <s v="Faktura VAT"/>
    <s v="Apteka Szpitalna"/>
    <s v=""/>
    <b v="0"/>
    <n v="19187.78"/>
    <s v="OK"/>
    <x v="1"/>
    <x v="0"/>
    <s v="2022-01"/>
    <n v="1"/>
  </r>
  <r>
    <s v="FV/POL/73337/2022"/>
    <s v="PZ/800060"/>
    <x v="0"/>
    <d v="2022-01-19T00:00:00"/>
    <s v="21008.15"/>
    <s v="Zaakceptowana"/>
    <s v="Faktura VAT"/>
    <s v="Apteka Szpitalna"/>
    <s v="UM-POL-02"/>
    <b v="0"/>
    <n v="21008.15"/>
    <s v="OK"/>
    <x v="0"/>
    <x v="0"/>
    <s v="2022-01"/>
    <n v="1"/>
  </r>
  <r>
    <s v="FV/46042/VDb/2022"/>
    <s v="PZ/800061"/>
    <x v="7"/>
    <d v="2022-01-19T00:00:00"/>
    <s v="16075.9"/>
    <s v="Zaakceptowana"/>
    <s v="Faktura VAT"/>
    <s v="Apteka Szpitalna"/>
    <s v="UM-VIT-01"/>
    <b v="0"/>
    <n v="16075.9"/>
    <s v="OK"/>
    <x v="0"/>
    <x v="0"/>
    <s v="2022-01"/>
    <n v="1"/>
  </r>
  <r>
    <s v="FV/51309/VDb/2022"/>
    <s v="PZ/800062"/>
    <x v="7"/>
    <d v="2022-01-19T00:00:00"/>
    <s v="13821.67"/>
    <s v="Zaakceptowana"/>
    <s v="Faktura VAT"/>
    <s v="Apteka Szpitalna"/>
    <s v="UM-VIT-01"/>
    <b v="0"/>
    <n v="13821.67"/>
    <s v="OK"/>
    <x v="0"/>
    <x v="0"/>
    <s v="2022-01"/>
    <n v="1"/>
  </r>
  <r>
    <s v="FV/1390HM/22"/>
    <s v="PZ/800063"/>
    <x v="3"/>
    <d v="2022-01-20T00:00:00"/>
    <s v="-595.82"/>
    <s v="Zaakceptowana"/>
    <s v="Korekta FV"/>
    <s v="Apteka Szpitalna"/>
    <s v="UM-HUR-01"/>
    <b v="0"/>
    <n v="-595.82000000000005"/>
    <s v="OK"/>
    <x v="0"/>
    <x v="0"/>
    <s v="2022-01"/>
    <n v="1"/>
  </r>
  <r>
    <s v="FV/POL/74688/2022"/>
    <s v="PZ/800064"/>
    <x v="0"/>
    <d v="2022-01-20T00:00:00"/>
    <s v="18492.64"/>
    <s v="Zaakceptowana"/>
    <s v="Faktura VAT"/>
    <s v="Apteka Szpitalna"/>
    <s v="UM-POL-01"/>
    <b v="0"/>
    <n v="18492.64"/>
    <s v="OK"/>
    <x v="0"/>
    <x v="0"/>
    <s v="2022-01"/>
    <n v="1"/>
  </r>
  <r>
    <s v="FV/CENFA/556221/22"/>
    <s v="PZ/800065"/>
    <x v="4"/>
    <d v="2022-01-21T00:00:00"/>
    <s v="-1675.51"/>
    <s v="Zaakceptowana"/>
    <s v="Korekta FV"/>
    <s v="Apteka Szpitalna"/>
    <s v="UM-CEN-02"/>
    <b v="0"/>
    <n v="-1675.51"/>
    <s v="OK"/>
    <x v="0"/>
    <x v="0"/>
    <s v="2022-01"/>
    <n v="1"/>
  </r>
  <r>
    <s v="FV/85/PP/5909/22"/>
    <s v="PZ/800066"/>
    <x v="6"/>
    <d v="2022-01-22T00:00:00"/>
    <s v="19772.63"/>
    <s v="Zaakceptowana"/>
    <s v="Faktura VAT"/>
    <s v="Apteka Szpitalna"/>
    <s v="UM-PHA-02"/>
    <b v="0"/>
    <n v="19772.63"/>
    <s v="OK"/>
    <x v="0"/>
    <x v="0"/>
    <s v="2022-01"/>
    <n v="1"/>
  </r>
  <r>
    <s v="FV/CENFA/151746/22"/>
    <s v="PZ/800067"/>
    <x v="4"/>
    <d v="2022-01-22T00:00:00"/>
    <s v="20821.36"/>
    <s v="Zaakceptowana"/>
    <s v="Faktura VAT"/>
    <s v="Apteka Szpitalna"/>
    <s v="UM-CEN-01"/>
    <b v="0"/>
    <n v="20821.36"/>
    <s v="OK"/>
    <x v="0"/>
    <x v="0"/>
    <s v="2022-01"/>
    <n v="1"/>
  </r>
  <r>
    <s v="FV/CENFA/358762/22"/>
    <s v="PZ/800068"/>
    <x v="4"/>
    <d v="2022-01-23T00:00:00"/>
    <s v="7163.31"/>
    <s v="Zaakceptowana"/>
    <s v="Faktura VAT"/>
    <s v="Apteka Szpitalna"/>
    <s v="UM-CEN-01"/>
    <b v="0"/>
    <n v="7163.31"/>
    <s v="OK"/>
    <x v="0"/>
    <x v="0"/>
    <s v="2022-01"/>
    <n v="1"/>
  </r>
  <r>
    <s v="FV/M/1279/P/22"/>
    <s v="PZ/800069"/>
    <x v="5"/>
    <d v="2022-01-23T00:00:00"/>
    <s v="19271.04"/>
    <s v="Zaakceptowana"/>
    <s v="Faktura VAT"/>
    <s v="Apteka Szpitalna"/>
    <s v="UM-MED-02"/>
    <b v="0"/>
    <n v="19271.04"/>
    <s v="OK"/>
    <x v="0"/>
    <x v="0"/>
    <s v="2022-01"/>
    <n v="1"/>
  </r>
  <r>
    <s v="FV/CENFA/646998/22"/>
    <s v="PZ/800070"/>
    <x v="4"/>
    <d v="2022-01-23T00:00:00"/>
    <s v="12327.29"/>
    <s v="Zaakceptowana"/>
    <s v="Faktura VAT"/>
    <s v="Apteka Szpitalna"/>
    <s v="UM-CEN-01"/>
    <b v="0"/>
    <n v="12327.29"/>
    <s v="OK"/>
    <x v="0"/>
    <x v="0"/>
    <s v="2022-01"/>
    <n v="1"/>
  </r>
  <r>
    <s v="FV/CENFA/354852/22"/>
    <s v="PZ/800071"/>
    <x v="4"/>
    <d v="2022-01-23T00:00:00"/>
    <s v="20663.54"/>
    <s v="Zaakceptowana"/>
    <s v="Faktura VAT"/>
    <s v="Apteka Szpitalna"/>
    <s v="UM-CEN-02"/>
    <b v="0"/>
    <n v="20663.54"/>
    <s v="OK"/>
    <x v="0"/>
    <x v="0"/>
    <s v="2022-01"/>
    <n v="1"/>
  </r>
  <r>
    <s v="FV/POL/36590/2022"/>
    <s v="PZ/800072"/>
    <x v="0"/>
    <d v="2022-01-23T00:00:00"/>
    <s v="14737.79"/>
    <s v="Zaakceptowana"/>
    <s v="Faktura VAT"/>
    <s v="Apteka Szpitalna"/>
    <s v="UM-POL-02"/>
    <b v="0"/>
    <n v="14737.79"/>
    <s v="OK"/>
    <x v="0"/>
    <x v="0"/>
    <s v="2022-01"/>
    <n v="1"/>
  </r>
  <r>
    <s v="FV/7751/NOVA/22"/>
    <s v="PZ/800073"/>
    <x v="2"/>
    <d v="2022-01-23T00:00:00"/>
    <s v="24068.36"/>
    <s v="Zaakceptowana"/>
    <s v="Faktura VAT"/>
    <s v="Apteka Szpitalna"/>
    <s v="UM-NOV-02"/>
    <b v="0"/>
    <n v="24068.36"/>
    <s v="OK"/>
    <x v="0"/>
    <x v="0"/>
    <s v="2022-01"/>
    <n v="1"/>
  </r>
  <r>
    <s v="FV/93203/VDb/2022"/>
    <s v="PZ/800074"/>
    <x v="7"/>
    <d v="2022-01-24T00:00:00"/>
    <s v="15547.25"/>
    <s v="Zaakceptowana"/>
    <s v="Faktura VAT"/>
    <s v="Apteka Szpitalna"/>
    <s v="UM-VIT-01"/>
    <b v="0"/>
    <n v="15547.25"/>
    <s v="OK"/>
    <x v="0"/>
    <x v="0"/>
    <s v="2022-01"/>
    <n v="1"/>
  </r>
  <r>
    <s v="FV/3510/NOVA/22"/>
    <s v="PZ/800075"/>
    <x v="2"/>
    <d v="2022-01-25T00:00:00"/>
    <s v="-1490.6"/>
    <s v="Zaakceptowana"/>
    <s v="Korekta FV"/>
    <s v="Apteka Szpitalna"/>
    <s v="UM-NOV-03"/>
    <b v="0"/>
    <n v="-1490.6"/>
    <s v="OK"/>
    <x v="0"/>
    <x v="0"/>
    <s v="2022-01"/>
    <n v="1"/>
  </r>
  <r>
    <s v="FV/M/5449/P/22"/>
    <s v="PZ/800076"/>
    <x v="5"/>
    <d v="2022-01-25T00:00:00"/>
    <s v="10983.63"/>
    <s v="Zaakceptowana"/>
    <s v="Faktura VAT"/>
    <s v="Apteka Szpitalna"/>
    <s v=""/>
    <b v="0"/>
    <n v="10983.63"/>
    <s v="OK"/>
    <x v="1"/>
    <x v="0"/>
    <s v="2022-01"/>
    <n v="1"/>
  </r>
  <r>
    <s v="FV/43823/VDb/2022"/>
    <s v="PZ/800077"/>
    <x v="7"/>
    <d v="2022-01-25T00:00:00"/>
    <s v="18065.62"/>
    <s v="Zaakceptowana"/>
    <s v="Faktura VAT"/>
    <s v="Apteka Szpitalna"/>
    <s v="UM-VIT-01"/>
    <b v="0"/>
    <n v="18065.62"/>
    <s v="OK"/>
    <x v="0"/>
    <x v="0"/>
    <s v="2022-01"/>
    <n v="1"/>
  </r>
  <r>
    <s v="FV/62/PP/8309/22"/>
    <s v="PZ/800078"/>
    <x v="6"/>
    <d v="2022-01-26T00:00:00"/>
    <s v="13838.62"/>
    <s v="Zaakceptowana"/>
    <s v="Faktura VAT"/>
    <s v="Apteka Szpitalna"/>
    <s v="UM-PHA-02"/>
    <b v="0"/>
    <n v="13838.62"/>
    <s v="OK"/>
    <x v="0"/>
    <x v="0"/>
    <s v="2022-01"/>
    <n v="1"/>
  </r>
  <r>
    <s v="FV/8144HM/22"/>
    <s v="PZ/800079"/>
    <x v="3"/>
    <d v="2022-01-27T00:00:00"/>
    <s v="21556.93"/>
    <s v="Zaakceptowana"/>
    <s v="Faktura VAT"/>
    <s v="Apteka Szpitalna"/>
    <s v="UM-HUR-01"/>
    <b v="0"/>
    <n v="21556.93"/>
    <s v="OK"/>
    <x v="0"/>
    <x v="0"/>
    <s v="2022-01"/>
    <n v="1"/>
  </r>
  <r>
    <s v="FV/19608/VDb/2022"/>
    <s v="PZ/800080"/>
    <x v="7"/>
    <d v="2022-01-27T00:00:00"/>
    <s v="9798.69"/>
    <s v="Zaakceptowana"/>
    <s v="Faktura VAT"/>
    <s v="Apteka Szpitalna"/>
    <s v=""/>
    <b v="0"/>
    <n v="9798.69"/>
    <s v="OK"/>
    <x v="1"/>
    <x v="0"/>
    <s v="2022-01"/>
    <n v="1"/>
  </r>
  <r>
    <s v="FV/M/4708/P/22"/>
    <s v="PZ/800081"/>
    <x v="5"/>
    <d v="2022-01-27T00:00:00"/>
    <s v="17384.1"/>
    <s v="Zaakceptowana"/>
    <s v="Faktura VAT"/>
    <s v="Apteka Szpitalna"/>
    <s v="UM-MED-01"/>
    <b v="0"/>
    <n v="17384.099999999999"/>
    <s v="OK"/>
    <x v="0"/>
    <x v="0"/>
    <s v="2022-01"/>
    <n v="1"/>
  </r>
  <r>
    <s v="FV/CENFA/270838/22"/>
    <s v="PZ/800082"/>
    <x v="4"/>
    <d v="2022-01-27T00:00:00"/>
    <s v="13277.69"/>
    <s v="Zaakceptowana"/>
    <s v="Faktura VAT"/>
    <s v="Apteka Szpitalna"/>
    <s v="UM-CEN-01"/>
    <b v="0"/>
    <n v="13277.69"/>
    <s v="OK"/>
    <x v="0"/>
    <x v="0"/>
    <s v="2022-01"/>
    <n v="1"/>
  </r>
  <r>
    <s v="FV/2239HM/22"/>
    <s v="PZ/800083"/>
    <x v="3"/>
    <d v="2022-01-27T00:00:00"/>
    <s v="18372.94"/>
    <s v="Zaakceptowana"/>
    <s v="Faktura VAT"/>
    <s v="Apteka Szpitalna"/>
    <s v=""/>
    <b v="0"/>
    <n v="18372.939999999999"/>
    <s v="OK"/>
    <x v="1"/>
    <x v="0"/>
    <s v="2022-01"/>
    <n v="1"/>
  </r>
  <r>
    <s v="FV/3385/NOVA/22"/>
    <s v="PZ/800084"/>
    <x v="2"/>
    <d v="2022-01-27T00:00:00"/>
    <s v="17761.34"/>
    <s v="Zaakceptowana"/>
    <s v="Faktura VAT"/>
    <s v="Apteka Szpitalna"/>
    <s v="UM-NOV-01"/>
    <b v="0"/>
    <n v="17761.34"/>
    <s v="OK"/>
    <x v="0"/>
    <x v="0"/>
    <s v="2022-01"/>
    <n v="1"/>
  </r>
  <r>
    <s v="FV/M/4331/P/22"/>
    <s v="PZ/800085"/>
    <x v="5"/>
    <d v="2022-01-27T00:00:00"/>
    <s v="12918.53"/>
    <s v="Zaakceptowana"/>
    <s v="Faktura VAT"/>
    <s v="Apteka Szpitalna"/>
    <s v="UM-MED-02"/>
    <b v="0"/>
    <n v="12918.53"/>
    <s v="OK"/>
    <x v="0"/>
    <x v="0"/>
    <s v="2022-01"/>
    <n v="1"/>
  </r>
  <r>
    <s v="FV/32/PP/9838/22"/>
    <s v="PZ/800086"/>
    <x v="6"/>
    <d v="2022-01-28T00:00:00"/>
    <s v="12270.4"/>
    <s v="Zaakceptowana"/>
    <s v="Faktura VAT"/>
    <s v="Apteka Szpitalna"/>
    <s v="UM-PHA-01"/>
    <b v="0"/>
    <n v="12270.4"/>
    <s v="OK"/>
    <x v="0"/>
    <x v="0"/>
    <s v="2022-01"/>
    <n v="1"/>
  </r>
  <r>
    <s v="FV/POL/28292/2022"/>
    <s v="PZ/800087"/>
    <x v="0"/>
    <d v="2022-01-28T00:00:00"/>
    <s v="19267.87"/>
    <s v="Zaakceptowana"/>
    <s v="Faktura VAT"/>
    <s v="Apteka Szpitalna"/>
    <s v="UM-POL-03"/>
    <b v="0"/>
    <n v="19267.87"/>
    <s v="OK"/>
    <x v="0"/>
    <x v="0"/>
    <s v="2022-01"/>
    <n v="1"/>
  </r>
  <r>
    <s v="FV/81365/VDb/2022"/>
    <s v="PZ/800088"/>
    <x v="7"/>
    <d v="2022-01-29T00:00:00"/>
    <s v="21394.14"/>
    <s v="Zaakceptowana"/>
    <s v="Faktura VAT"/>
    <s v="Apteka Szpitalna"/>
    <s v="UM-VIT-01"/>
    <b v="0"/>
    <n v="21394.14"/>
    <s v="OK"/>
    <x v="0"/>
    <x v="0"/>
    <s v="2022-01"/>
    <n v="1"/>
  </r>
  <r>
    <s v="FV/7196/NOVA/22"/>
    <s v="PZ/800089"/>
    <x v="2"/>
    <d v="2022-01-29T00:00:00"/>
    <s v="14977.09"/>
    <s v="Zaakceptowana"/>
    <s v="Faktura VAT"/>
    <s v="Apteka Szpitalna"/>
    <s v=""/>
    <b v="0"/>
    <n v="14977.09"/>
    <s v="OK"/>
    <x v="1"/>
    <x v="0"/>
    <s v="2022-01"/>
    <n v="1"/>
  </r>
  <r>
    <s v="FV/POL/93204/2022"/>
    <s v="PZ/800090"/>
    <x v="0"/>
    <d v="2022-01-30T00:00:00"/>
    <s v="15446.23"/>
    <s v="Zaakceptowana"/>
    <s v="Faktura VAT"/>
    <s v="Apteka Szpitalna"/>
    <s v=""/>
    <b v="0"/>
    <n v="15446.23"/>
    <s v="OK"/>
    <x v="1"/>
    <x v="0"/>
    <s v="2022-01"/>
    <n v="1"/>
  </r>
  <r>
    <s v="FV/CENFA/593543/22"/>
    <s v="PZ/800091"/>
    <x v="4"/>
    <d v="2022-01-30T00:00:00"/>
    <s v="20809.16"/>
    <s v="Zaakceptowana"/>
    <s v="Faktura VAT"/>
    <s v="Apteka Szpitalna"/>
    <s v="UM-CEN-02"/>
    <b v="0"/>
    <n v="20809.16"/>
    <s v="OK"/>
    <x v="0"/>
    <x v="0"/>
    <s v="2022-01"/>
    <n v="1"/>
  </r>
  <r>
    <s v="FV/7984/NOVA/22"/>
    <s v="PZ/800092"/>
    <x v="2"/>
    <d v="2022-01-31T00:00:00"/>
    <s v="18301.19"/>
    <s v="Zaakceptowana"/>
    <s v="Faktura VAT"/>
    <s v="Apteka Szpitalna"/>
    <s v="UM-NOV-03"/>
    <b v="0"/>
    <n v="18301.189999999999"/>
    <s v="OK"/>
    <x v="0"/>
    <x v="0"/>
    <s v="2022-01"/>
    <n v="1"/>
  </r>
  <r>
    <s v="FV/6166HM/22"/>
    <s v="PZ/800093"/>
    <x v="3"/>
    <d v="2022-02-01T00:00:00"/>
    <s v="15987.34"/>
    <s v="Zaakceptowana"/>
    <s v="Faktura VAT"/>
    <s v="Apteka Szpitalna"/>
    <s v="UM-HUR-03"/>
    <b v="0"/>
    <n v="15987.34"/>
    <s v="OK"/>
    <x v="0"/>
    <x v="0"/>
    <s v="2022-02"/>
    <n v="1"/>
  </r>
  <r>
    <s v="FV/63/PP/7510/22"/>
    <s v="PZ/800094"/>
    <x v="6"/>
    <d v="2022-02-01T00:00:00"/>
    <s v="12665.77"/>
    <s v="Zaakceptowana"/>
    <s v="Faktura VAT"/>
    <s v="Apteka Szpitalna"/>
    <s v="UM-PHA-02"/>
    <b v="0"/>
    <n v="12665.77"/>
    <s v="OK"/>
    <x v="0"/>
    <x v="0"/>
    <s v="2022-02"/>
    <n v="1"/>
  </r>
  <r>
    <s v="FV/93/PP/1107/22"/>
    <s v="PZ/800095"/>
    <x v="6"/>
    <d v="2022-02-01T00:00:00"/>
    <s v="12186.98"/>
    <s v="Zaakceptowana"/>
    <s v="Faktura VAT"/>
    <s v="Apteka Szpitalna"/>
    <s v="UM-PHA-02"/>
    <b v="0"/>
    <n v="12186.98"/>
    <s v="OK"/>
    <x v="0"/>
    <x v="0"/>
    <s v="2022-02"/>
    <n v="1"/>
  </r>
  <r>
    <s v="FV/2196HM/22"/>
    <s v="PZ/800096"/>
    <x v="3"/>
    <d v="2022-02-01T00:00:00"/>
    <s v="16648.7"/>
    <s v="Zaakceptowana"/>
    <s v="Faktura VAT"/>
    <s v="Apteka Szpitalna"/>
    <s v="UM-HUR-01"/>
    <b v="0"/>
    <n v="16648.7"/>
    <s v="OK"/>
    <x v="0"/>
    <x v="0"/>
    <s v="2022-02"/>
    <n v="1"/>
  </r>
  <r>
    <s v="FV/6807/NOVA/22"/>
    <s v="PZ/800097"/>
    <x v="2"/>
    <d v="2022-02-01T00:00:00"/>
    <s v="11766.68"/>
    <s v="Zaakceptowana"/>
    <s v="Faktura VAT"/>
    <s v="Apteka Szpitalna"/>
    <s v=""/>
    <b v="0"/>
    <n v="11766.68"/>
    <s v="OK"/>
    <x v="1"/>
    <x v="0"/>
    <s v="2022-02"/>
    <n v="1"/>
  </r>
  <r>
    <s v="FV/58/PP/4876/22"/>
    <s v="PZ/800098"/>
    <x v="6"/>
    <d v="2022-02-01T00:00:00"/>
    <s v="22567.15"/>
    <s v="Zaakceptowana"/>
    <s v="Faktura VAT"/>
    <s v="Apteka Szpitalna"/>
    <s v=""/>
    <b v="0"/>
    <n v="22567.15"/>
    <s v="OK"/>
    <x v="1"/>
    <x v="0"/>
    <s v="2022-02"/>
    <n v="1"/>
  </r>
  <r>
    <s v="FV/CENFA/602063/22"/>
    <s v="PZ/800099"/>
    <x v="4"/>
    <d v="2022-02-02T00:00:00"/>
    <s v="12078.11"/>
    <s v="Zaakceptowana"/>
    <s v="Faktura VAT"/>
    <s v="Apteka Szpitalna"/>
    <s v="UM-CEN-02"/>
    <b v="0"/>
    <n v="12078.11"/>
    <s v="OK"/>
    <x v="0"/>
    <x v="0"/>
    <s v="2022-02"/>
    <n v="1"/>
  </r>
  <r>
    <s v="FV/POL/60070/2022"/>
    <s v="PZ/800100"/>
    <x v="0"/>
    <d v="2022-02-02T00:00:00"/>
    <s v="10039.46"/>
    <s v="Zaakceptowana"/>
    <s v="Faktura VAT"/>
    <s v="Apteka Szpitalna"/>
    <s v="UM-POL-02"/>
    <b v="0"/>
    <n v="10039.459999999999"/>
    <s v="OK"/>
    <x v="0"/>
    <x v="0"/>
    <s v="2022-02"/>
    <n v="1"/>
  </r>
  <r>
    <s v="FV/2416HM/22"/>
    <s v="PZ/800101"/>
    <x v="3"/>
    <d v="2022-02-04T00:00:00"/>
    <s v="13320.19"/>
    <s v="Zaakceptowana"/>
    <s v="Faktura VAT"/>
    <s v="Apteka Szpitalna"/>
    <s v=""/>
    <b v="0"/>
    <n v="13320.19"/>
    <s v="OK"/>
    <x v="1"/>
    <x v="0"/>
    <s v="2022-02"/>
    <n v="1"/>
  </r>
  <r>
    <s v="FV/POL/34940/2022"/>
    <s v="PZ/800102"/>
    <x v="0"/>
    <d v="2022-02-04T00:00:00"/>
    <s v="17130.67"/>
    <s v="Zaakceptowana"/>
    <s v="Faktura VAT"/>
    <s v="Apteka Szpitalna"/>
    <s v="UM-POL-03"/>
    <b v="0"/>
    <n v="17130.669999999998"/>
    <s v="OK"/>
    <x v="0"/>
    <x v="0"/>
    <s v="2022-02"/>
    <n v="1"/>
  </r>
  <r>
    <s v="FV/POL/30692/2022"/>
    <s v="PZ/800103"/>
    <x v="0"/>
    <d v="2022-02-05T00:00:00"/>
    <s v="10871.07"/>
    <s v="Zaakceptowana"/>
    <s v="Faktura VAT"/>
    <s v="Apteka Szpitalna"/>
    <s v="UM-POL-02"/>
    <b v="0"/>
    <n v="10871.07"/>
    <s v="OK"/>
    <x v="0"/>
    <x v="0"/>
    <s v="2022-02"/>
    <n v="1"/>
  </r>
  <r>
    <s v="FV/M/6944/P/22"/>
    <s v="PZ/800104"/>
    <x v="5"/>
    <d v="2022-02-05T00:00:00"/>
    <s v="18177.76"/>
    <s v="Zaakceptowana"/>
    <s v="Faktura VAT"/>
    <s v="Apteka Szpitalna"/>
    <s v="UM-MED-02"/>
    <b v="0"/>
    <n v="18177.759999999998"/>
    <s v="OK"/>
    <x v="0"/>
    <x v="0"/>
    <s v="2022-02"/>
    <n v="1"/>
  </r>
  <r>
    <s v="FV/98/SAL/22"/>
    <s v="PZ/800105"/>
    <x v="1"/>
    <d v="2022-02-06T00:00:00"/>
    <s v="-825.26"/>
    <s v="Zaakceptowana"/>
    <s v="Korekta FV"/>
    <s v="Apteka Szpitalna"/>
    <s v="UM-SAL-02"/>
    <b v="0"/>
    <n v="-825.26"/>
    <s v="OK"/>
    <x v="0"/>
    <x v="0"/>
    <s v="2022-02"/>
    <n v="1"/>
  </r>
  <r>
    <s v="FV/33/PP/8932/22"/>
    <s v="PZ/800106"/>
    <x v="6"/>
    <d v="2022-02-07T00:00:00"/>
    <s v="6313.94"/>
    <s v="Zaakceptowana"/>
    <s v="Faktura VAT"/>
    <s v="Apteka Szpitalna"/>
    <s v=""/>
    <b v="0"/>
    <n v="6313.94"/>
    <s v="OK"/>
    <x v="1"/>
    <x v="0"/>
    <s v="2022-02"/>
    <n v="1"/>
  </r>
  <r>
    <s v="FV/POL/16250/2022"/>
    <s v="PZ/800107"/>
    <x v="0"/>
    <d v="2022-02-08T00:00:00"/>
    <s v="8832.05"/>
    <s v="Zaakceptowana"/>
    <s v="Faktura VAT"/>
    <s v="Apteka Szpitalna"/>
    <s v="UM-POL-02"/>
    <b v="0"/>
    <n v="8832.0499999999993"/>
    <s v="OK"/>
    <x v="0"/>
    <x v="0"/>
    <s v="2022-02"/>
    <n v="1"/>
  </r>
  <r>
    <s v="FV/18/PP/9505/22"/>
    <s v="PZ/800108"/>
    <x v="6"/>
    <d v="2022-02-08T00:00:00"/>
    <s v="12460.99"/>
    <s v="Zaakceptowana"/>
    <s v="Faktura VAT"/>
    <s v="Apteka Szpitalna"/>
    <s v=""/>
    <b v="0"/>
    <n v="12460.99"/>
    <s v="OK"/>
    <x v="1"/>
    <x v="0"/>
    <s v="2022-02"/>
    <n v="1"/>
  </r>
  <r>
    <s v="FV/POL/11348/2022"/>
    <s v="PZ/800109"/>
    <x v="0"/>
    <d v="2022-02-09T00:00:00"/>
    <s v="16428.32"/>
    <s v="Zaakceptowana"/>
    <s v="Faktura VAT"/>
    <s v="Apteka Szpitalna"/>
    <s v="UM-POL-02"/>
    <b v="0"/>
    <n v="16428.32"/>
    <s v="OK"/>
    <x v="0"/>
    <x v="0"/>
    <s v="2022-02"/>
    <n v="1"/>
  </r>
  <r>
    <s v="FV/M/6145/P/22"/>
    <s v="PZ/800110"/>
    <x v="5"/>
    <d v="2022-02-10T00:00:00"/>
    <s v="8727.51"/>
    <s v="Zaakceptowana"/>
    <s v="Faktura VAT"/>
    <s v="Apteka Szpitalna"/>
    <s v="UM-MED-02"/>
    <b v="0"/>
    <n v="8727.51"/>
    <s v="OK"/>
    <x v="0"/>
    <x v="0"/>
    <s v="2022-02"/>
    <n v="1"/>
  </r>
  <r>
    <s v="FV/18/PP/9149/22"/>
    <s v="PZ/800111"/>
    <x v="6"/>
    <d v="2022-02-10T00:00:00"/>
    <s v="13237.39"/>
    <s v="Zaakceptowana"/>
    <s v="Faktura VAT"/>
    <s v="Apteka Szpitalna"/>
    <s v="UM-PHA-01"/>
    <b v="0"/>
    <n v="13237.39"/>
    <s v="OK"/>
    <x v="0"/>
    <x v="0"/>
    <s v="2022-02"/>
    <n v="1"/>
  </r>
  <r>
    <s v="FV/POL/97670/2022"/>
    <s v="PZ/800112"/>
    <x v="0"/>
    <d v="2022-02-10T00:00:00"/>
    <s v="16752.34"/>
    <s v="Zaakceptowana"/>
    <s v="Faktura VAT"/>
    <s v="Apteka Szpitalna"/>
    <s v=""/>
    <b v="0"/>
    <n v="16752.34"/>
    <s v="OK"/>
    <x v="1"/>
    <x v="0"/>
    <s v="2022-02"/>
    <n v="1"/>
  </r>
  <r>
    <s v="FV/1701HM/22"/>
    <s v="PZ/800113"/>
    <x v="3"/>
    <d v="2022-02-10T00:00:00"/>
    <s v="18846.82"/>
    <s v="Zaakceptowana"/>
    <s v="Faktura VAT"/>
    <s v="Apteka Szpitalna"/>
    <s v="UM-HUR-03"/>
    <b v="0"/>
    <n v="18846.82"/>
    <s v="OK"/>
    <x v="0"/>
    <x v="0"/>
    <s v="2022-02"/>
    <n v="1"/>
  </r>
  <r>
    <s v="FV/63/SAL/22"/>
    <s v="PZ/800114"/>
    <x v="1"/>
    <d v="2022-02-10T00:00:00"/>
    <s v="9010.23"/>
    <s v="Zaakceptowana"/>
    <s v="Faktura VAT"/>
    <s v="Apteka Szpitalna"/>
    <s v="UM-SAL-02"/>
    <b v="0"/>
    <n v="9010.23"/>
    <s v="OK"/>
    <x v="0"/>
    <x v="0"/>
    <s v="2022-02"/>
    <n v="1"/>
  </r>
  <r>
    <s v="FV/35928/VDb/2022"/>
    <s v="PZ/800115"/>
    <x v="7"/>
    <d v="2022-02-10T00:00:00"/>
    <s v="14784.39"/>
    <s v="Zaakceptowana"/>
    <s v="Faktura VAT"/>
    <s v="Apteka Szpitalna"/>
    <s v="UM-VIT-01"/>
    <b v="0"/>
    <n v="14784.39"/>
    <s v="OK"/>
    <x v="0"/>
    <x v="0"/>
    <s v="2022-02"/>
    <n v="1"/>
  </r>
  <r>
    <s v="FV/M/5551/P/22"/>
    <s v="PZ/800116"/>
    <x v="5"/>
    <d v="2022-02-10T00:00:00"/>
    <s v="10536.9"/>
    <s v="Zaakceptowana"/>
    <s v="Faktura VAT"/>
    <s v="Apteka Szpitalna"/>
    <s v="UM-MED-01"/>
    <b v="0"/>
    <n v="10536.9"/>
    <s v="OK"/>
    <x v="0"/>
    <x v="0"/>
    <s v="2022-02"/>
    <n v="1"/>
  </r>
  <r>
    <s v="FV/61904/VDb/2022"/>
    <s v="PZ/800117"/>
    <x v="7"/>
    <d v="2022-02-11T00:00:00"/>
    <s v="16412.63"/>
    <s v="Zaakceptowana"/>
    <s v="Faktura VAT"/>
    <s v="Apteka Szpitalna"/>
    <s v="UM-VIT-01"/>
    <b v="0"/>
    <n v="16412.63"/>
    <s v="OK"/>
    <x v="0"/>
    <x v="0"/>
    <s v="2022-02"/>
    <n v="1"/>
  </r>
  <r>
    <s v="FV/M/6202/P/22"/>
    <s v="PZ/800118"/>
    <x v="5"/>
    <d v="2022-02-11T00:00:00"/>
    <s v="10515.92"/>
    <s v="Zaakceptowana"/>
    <s v="Faktura VAT"/>
    <s v="Apteka Szpitalna"/>
    <s v="UM-MED-01"/>
    <b v="0"/>
    <n v="10515.92"/>
    <s v="OK"/>
    <x v="0"/>
    <x v="0"/>
    <s v="2022-02"/>
    <n v="1"/>
  </r>
  <r>
    <s v="FV/85/SAL/22"/>
    <s v="PZ/800119"/>
    <x v="1"/>
    <d v="2022-02-11T00:00:00"/>
    <s v="12132.39"/>
    <s v="Zaakceptowana"/>
    <s v="Faktura VAT"/>
    <s v="Apteka Szpitalna"/>
    <s v="UM-SAL-02"/>
    <b v="0"/>
    <n v="12132.39"/>
    <s v="OK"/>
    <x v="0"/>
    <x v="0"/>
    <s v="2022-02"/>
    <n v="1"/>
  </r>
  <r>
    <s v="FV/M/8068/P/22"/>
    <s v="PZ/800120"/>
    <x v="5"/>
    <d v="2022-02-12T00:00:00"/>
    <s v="12718.12"/>
    <s v="Zaakceptowana"/>
    <s v="Faktura VAT"/>
    <s v="Apteka Szpitalna"/>
    <s v="UM-MED-01"/>
    <b v="0"/>
    <n v="12718.12"/>
    <s v="OK"/>
    <x v="0"/>
    <x v="0"/>
    <s v="2022-02"/>
    <n v="1"/>
  </r>
  <r>
    <s v="FV/18748/VDb/2022"/>
    <s v="PZ/800121"/>
    <x v="7"/>
    <d v="2022-02-12T00:00:00"/>
    <s v="12720.53"/>
    <s v="Zaakceptowana"/>
    <s v="Faktura VAT"/>
    <s v="Apteka Szpitalna"/>
    <s v=""/>
    <b v="0"/>
    <n v="12720.53"/>
    <s v="OK"/>
    <x v="1"/>
    <x v="0"/>
    <s v="2022-02"/>
    <n v="1"/>
  </r>
  <r>
    <s v="FV/M/3570/P/22"/>
    <s v="PZ/800122"/>
    <x v="5"/>
    <d v="2022-02-13T00:00:00"/>
    <s v="16076.52"/>
    <s v="Zaakceptowana"/>
    <s v="Faktura VAT"/>
    <s v="Apteka Szpitalna"/>
    <s v=""/>
    <b v="0"/>
    <n v="16076.52"/>
    <s v="OK"/>
    <x v="1"/>
    <x v="0"/>
    <s v="2022-02"/>
    <n v="1"/>
  </r>
  <r>
    <s v="FV/76/PP/6436/22"/>
    <s v="PZ/800123"/>
    <x v="6"/>
    <d v="2022-02-13T00:00:00"/>
    <s v="15863.84"/>
    <s v="Zaakceptowana"/>
    <s v="Faktura VAT"/>
    <s v="Apteka Szpitalna"/>
    <s v=""/>
    <b v="0"/>
    <n v="15863.84"/>
    <s v="OK"/>
    <x v="1"/>
    <x v="0"/>
    <s v="2022-02"/>
    <n v="1"/>
  </r>
  <r>
    <s v="FV/5698/NOVA/22"/>
    <s v="PZ/800124"/>
    <x v="2"/>
    <d v="2022-02-14T00:00:00"/>
    <s v="11343.64"/>
    <s v="Zaakceptowana"/>
    <s v="Faktura VAT"/>
    <s v="Apteka Szpitalna"/>
    <s v="UM-NOV-01"/>
    <b v="0"/>
    <n v="11343.64"/>
    <s v="OK"/>
    <x v="0"/>
    <x v="0"/>
    <s v="2022-02"/>
    <n v="1"/>
  </r>
  <r>
    <s v="FV/3729/NOVA/22"/>
    <s v="PZ/800125"/>
    <x v="2"/>
    <d v="2022-02-14T00:00:00"/>
    <s v="12836.82"/>
    <s v="Zaakceptowana"/>
    <s v="Faktura VAT"/>
    <s v="Apteka Szpitalna"/>
    <s v="UM-NOV-02"/>
    <b v="0"/>
    <n v="12836.82"/>
    <s v="OK"/>
    <x v="0"/>
    <x v="0"/>
    <s v="2022-02"/>
    <n v="1"/>
  </r>
  <r>
    <s v="FV/8487/NOVA/22"/>
    <s v="PZ/800126"/>
    <x v="2"/>
    <d v="2022-02-14T00:00:00"/>
    <s v="20594.8"/>
    <s v="Zaakceptowana"/>
    <s v="Faktura VAT"/>
    <s v="Apteka Szpitalna"/>
    <s v="UM-NOV-01"/>
    <b v="0"/>
    <n v="20594.8"/>
    <s v="OK"/>
    <x v="0"/>
    <x v="0"/>
    <s v="2022-02"/>
    <n v="1"/>
  </r>
  <r>
    <s v="FV/CENFA/445148/22"/>
    <s v="PZ/800127"/>
    <x v="4"/>
    <d v="2022-02-15T00:00:00"/>
    <s v="24056.7"/>
    <s v="Zaakceptowana"/>
    <s v="Faktura VAT"/>
    <s v="Apteka Szpitalna"/>
    <s v=""/>
    <b v="0"/>
    <n v="24056.7"/>
    <s v="OK"/>
    <x v="1"/>
    <x v="0"/>
    <s v="2022-02"/>
    <n v="1"/>
  </r>
  <r>
    <s v="FV/M/3866/P/22"/>
    <s v="PZ/800128"/>
    <x v="5"/>
    <d v="2022-02-15T00:00:00"/>
    <s v="24080.98"/>
    <s v="Zaakceptowana"/>
    <s v="Faktura VAT"/>
    <s v="Apteka Szpitalna"/>
    <s v="UM-MED-02"/>
    <b v="0"/>
    <n v="24080.98"/>
    <s v="OK"/>
    <x v="0"/>
    <x v="0"/>
    <s v="2022-02"/>
    <n v="1"/>
  </r>
  <r>
    <s v="FV/4034HM/22"/>
    <s v="PZ/800129"/>
    <x v="3"/>
    <d v="2022-02-16T00:00:00"/>
    <s v="11600.46"/>
    <s v="Zaakceptowana"/>
    <s v="Faktura VAT"/>
    <s v="Apteka Szpitalna"/>
    <s v="UM-HUR-02"/>
    <b v="0"/>
    <n v="11600.46"/>
    <s v="OK"/>
    <x v="0"/>
    <x v="0"/>
    <s v="2022-02"/>
    <n v="1"/>
  </r>
  <r>
    <s v="FV/CENFA/655637/22"/>
    <s v="PZ/800130"/>
    <x v="4"/>
    <d v="2022-02-17T00:00:00"/>
    <s v="22052.62"/>
    <s v="Zaakceptowana"/>
    <s v="Faktura VAT"/>
    <s v="Apteka Szpitalna"/>
    <s v="UM-CEN-01"/>
    <b v="0"/>
    <n v="22052.62"/>
    <s v="OK"/>
    <x v="0"/>
    <x v="0"/>
    <s v="2022-02"/>
    <n v="1"/>
  </r>
  <r>
    <s v="FV/17/SAL/22"/>
    <s v="PZ/800131"/>
    <x v="1"/>
    <d v="2022-02-17T00:00:00"/>
    <s v="11316.26"/>
    <s v="Zaakceptowana"/>
    <s v="Faktura VAT"/>
    <s v="Apteka Szpitalna"/>
    <s v="UM-SAL-02"/>
    <b v="0"/>
    <n v="11316.26"/>
    <s v="OK"/>
    <x v="0"/>
    <x v="0"/>
    <s v="2022-02"/>
    <n v="1"/>
  </r>
  <r>
    <s v="FV/M/5152/P/22"/>
    <s v="PZ/800132"/>
    <x v="5"/>
    <d v="2022-02-17T00:00:00"/>
    <s v="9174.8"/>
    <s v="Zaakceptowana"/>
    <s v="Faktura VAT"/>
    <s v="Apteka Szpitalna"/>
    <s v="UM-MED-01"/>
    <b v="0"/>
    <n v="9174.7999999999993"/>
    <s v="OK"/>
    <x v="0"/>
    <x v="0"/>
    <s v="2022-02"/>
    <n v="1"/>
  </r>
  <r>
    <s v="FV/1937/NOVA/22"/>
    <s v="PZ/800133"/>
    <x v="2"/>
    <d v="2022-02-18T00:00:00"/>
    <s v="11984.95"/>
    <s v="Zaakceptowana"/>
    <s v="Faktura VAT"/>
    <s v="Apteka Szpitalna"/>
    <s v="UM-NOV-01"/>
    <b v="0"/>
    <n v="11984.95"/>
    <s v="OK"/>
    <x v="0"/>
    <x v="0"/>
    <s v="2022-02"/>
    <n v="1"/>
  </r>
  <r>
    <s v="FV/1313HM/22"/>
    <s v="PZ/800134"/>
    <x v="3"/>
    <d v="2022-02-19T00:00:00"/>
    <s v="14283.7"/>
    <s v="Zaakceptowana"/>
    <s v="Faktura VAT"/>
    <s v="Apteka Szpitalna"/>
    <s v="UM-HUR-03"/>
    <b v="0"/>
    <n v="14283.7"/>
    <s v="OK"/>
    <x v="0"/>
    <x v="0"/>
    <s v="2022-02"/>
    <n v="1"/>
  </r>
  <r>
    <s v="FV/2890/NOVA/22"/>
    <s v="PZ/800135"/>
    <x v="2"/>
    <d v="2022-02-19T00:00:00"/>
    <s v="14942.47"/>
    <s v="Zaakceptowana"/>
    <s v="Faktura VAT"/>
    <s v="Apteka Szpitalna"/>
    <s v="UM-NOV-01"/>
    <b v="0"/>
    <n v="14942.47"/>
    <s v="OK"/>
    <x v="0"/>
    <x v="0"/>
    <s v="2022-02"/>
    <n v="1"/>
  </r>
  <r>
    <s v="FV/35784/VDb/2022"/>
    <s v="PZ/800136"/>
    <x v="7"/>
    <d v="2022-02-19T00:00:00"/>
    <s v="17683.53"/>
    <s v="Zaakceptowana"/>
    <s v="Faktura VAT"/>
    <s v="Apteka Szpitalna"/>
    <s v="UM-VIT-01"/>
    <b v="0"/>
    <n v="17683.53"/>
    <s v="OK"/>
    <x v="0"/>
    <x v="0"/>
    <s v="2022-02"/>
    <n v="1"/>
  </r>
  <r>
    <s v="FV/8497HM/22"/>
    <s v="PZ/800137"/>
    <x v="3"/>
    <d v="2022-02-20T00:00:00"/>
    <s v="13984.93"/>
    <s v="Zaakceptowana"/>
    <s v="Faktura VAT"/>
    <s v="Apteka Szpitalna"/>
    <s v="UM-HUR-03"/>
    <b v="0"/>
    <n v="13984.93"/>
    <s v="OK"/>
    <x v="0"/>
    <x v="0"/>
    <s v="2022-02"/>
    <n v="1"/>
  </r>
  <r>
    <s v="FV/16/SAL/22"/>
    <s v="PZ/800138"/>
    <x v="1"/>
    <d v="2022-02-20T00:00:00"/>
    <s v="13891.48"/>
    <s v="Zaakceptowana"/>
    <s v="Faktura VAT"/>
    <s v="Apteka Szpitalna"/>
    <s v="UM-SAL-02"/>
    <b v="0"/>
    <n v="13891.48"/>
    <s v="OK"/>
    <x v="0"/>
    <x v="0"/>
    <s v="2022-02"/>
    <n v="1"/>
  </r>
  <r>
    <s v="FV/POL/31818/2022"/>
    <s v="PZ/800139"/>
    <x v="0"/>
    <d v="2022-02-21T00:00:00"/>
    <s v="24565.38"/>
    <s v="Zaakceptowana"/>
    <s v="Faktura VAT"/>
    <s v="Apteka Szpitalna"/>
    <s v="UM-POL-03"/>
    <b v="0"/>
    <n v="24565.38"/>
    <s v="OK"/>
    <x v="0"/>
    <x v="0"/>
    <s v="2022-02"/>
    <n v="1"/>
  </r>
  <r>
    <s v="FV/24/SAL/22"/>
    <s v="PZ/800140"/>
    <x v="1"/>
    <d v="2022-02-21T00:00:00"/>
    <s v="19744.89"/>
    <s v="Zaakceptowana"/>
    <s v="Faktura VAT"/>
    <s v="Apteka Szpitalna"/>
    <s v="UM-SAL-01"/>
    <b v="0"/>
    <n v="19744.89"/>
    <s v="OK"/>
    <x v="0"/>
    <x v="0"/>
    <s v="2022-02"/>
    <n v="1"/>
  </r>
  <r>
    <s v="FV/61970/VDb/2022"/>
    <s v="PZ/800141"/>
    <x v="7"/>
    <d v="2022-02-22T00:00:00"/>
    <s v="14895.09"/>
    <s v="Zaakceptowana"/>
    <s v="Faktura VAT"/>
    <s v="Apteka Szpitalna"/>
    <s v="UM-VIT-01"/>
    <b v="0"/>
    <n v="14895.09"/>
    <s v="OK"/>
    <x v="0"/>
    <x v="0"/>
    <s v="2022-02"/>
    <n v="1"/>
  </r>
  <r>
    <s v="FV/4017HM/22"/>
    <s v="PZ/800142"/>
    <x v="3"/>
    <d v="2022-02-22T00:00:00"/>
    <s v="14674.16"/>
    <s v="Zaakceptowana"/>
    <s v="Faktura VAT"/>
    <s v="Apteka Szpitalna"/>
    <s v="UM-HUR-01"/>
    <b v="0"/>
    <n v="14674.16"/>
    <s v="OK"/>
    <x v="0"/>
    <x v="0"/>
    <s v="2022-02"/>
    <n v="1"/>
  </r>
  <r>
    <s v="FV/62796/VDb/2022"/>
    <s v="PZ/800143"/>
    <x v="7"/>
    <d v="2022-02-23T00:00:00"/>
    <s v="11855.52"/>
    <s v="Zaakceptowana"/>
    <s v="Faktura VAT"/>
    <s v="Apteka Szpitalna"/>
    <s v="UM-VIT-01"/>
    <b v="0"/>
    <n v="11855.52"/>
    <s v="OK"/>
    <x v="0"/>
    <x v="0"/>
    <s v="2022-02"/>
    <n v="1"/>
  </r>
  <r>
    <s v="FV/77/SAL/22"/>
    <s v="PZ/800144"/>
    <x v="1"/>
    <d v="2022-02-23T00:00:00"/>
    <s v="18056.04"/>
    <s v="Zaakceptowana"/>
    <s v="Faktura VAT"/>
    <s v="Apteka Szpitalna"/>
    <s v="UM-SAL-01"/>
    <b v="0"/>
    <n v="18056.04"/>
    <s v="OK"/>
    <x v="0"/>
    <x v="0"/>
    <s v="2022-02"/>
    <n v="1"/>
  </r>
  <r>
    <s v="FV/6521/NOVA/22"/>
    <s v="PZ/800145"/>
    <x v="2"/>
    <d v="2022-02-23T00:00:00"/>
    <s v="15206.14"/>
    <s v="Zaakceptowana"/>
    <s v="Faktura VAT"/>
    <s v="Apteka Szpitalna"/>
    <s v="UM-NOV-01"/>
    <b v="0"/>
    <n v="15206.14"/>
    <s v="OK"/>
    <x v="0"/>
    <x v="0"/>
    <s v="2022-02"/>
    <n v="1"/>
  </r>
  <r>
    <s v="FV/25/PP/2650/22"/>
    <s v="PZ/800146"/>
    <x v="6"/>
    <d v="2022-02-23T00:00:00"/>
    <s v="12680.34"/>
    <s v="Zaakceptowana"/>
    <s v="Faktura VAT"/>
    <s v="Apteka Szpitalna"/>
    <s v="UM-PHA-01"/>
    <b v="0"/>
    <n v="12680.34"/>
    <s v="OK"/>
    <x v="0"/>
    <x v="0"/>
    <s v="2022-02"/>
    <n v="1"/>
  </r>
  <r>
    <s v="FV/M/3237/P/22"/>
    <s v="PZ/800147"/>
    <x v="5"/>
    <d v="2022-02-23T00:00:00"/>
    <s v="18098.67"/>
    <s v="Zaakceptowana"/>
    <s v="Faktura VAT"/>
    <s v="Apteka Szpitalna"/>
    <s v="UM-MED-02"/>
    <b v="0"/>
    <n v="18098.669999999998"/>
    <s v="OK"/>
    <x v="0"/>
    <x v="0"/>
    <s v="2022-02"/>
    <n v="1"/>
  </r>
  <r>
    <s v="FV/CENFA/809339/22"/>
    <s v="PZ/800148"/>
    <x v="4"/>
    <d v="2022-02-24T00:00:00"/>
    <s v="18504.65"/>
    <s v="Zaakceptowana"/>
    <s v="Faktura VAT"/>
    <s v="Apteka Szpitalna"/>
    <s v="UM-CEN-01"/>
    <b v="0"/>
    <n v="18504.650000000001"/>
    <s v="OK"/>
    <x v="0"/>
    <x v="0"/>
    <s v="2022-02"/>
    <n v="1"/>
  </r>
  <r>
    <s v="FV/4146HM/22"/>
    <s v="PZ/800149"/>
    <x v="3"/>
    <d v="2022-02-24T00:00:00"/>
    <s v="11915.19"/>
    <s v="Zaakceptowana"/>
    <s v="Faktura VAT"/>
    <s v="Apteka Szpitalna"/>
    <s v="UM-HUR-02"/>
    <b v="0"/>
    <n v="11915.19"/>
    <s v="OK"/>
    <x v="0"/>
    <x v="0"/>
    <s v="2022-02"/>
    <n v="1"/>
  </r>
  <r>
    <s v="FV/POL/52204/2022"/>
    <s v="PZ/800150"/>
    <x v="0"/>
    <d v="2022-02-24T00:00:00"/>
    <s v="19262.59"/>
    <s v="Zaakceptowana"/>
    <s v="Faktura VAT"/>
    <s v="Apteka Szpitalna"/>
    <s v=""/>
    <b v="0"/>
    <n v="19262.59"/>
    <s v="OK"/>
    <x v="1"/>
    <x v="0"/>
    <s v="2022-02"/>
    <n v="1"/>
  </r>
  <r>
    <s v="FV/4944/NOVA/22"/>
    <s v="PZ/800151"/>
    <x v="2"/>
    <d v="2022-02-25T00:00:00"/>
    <s v="15767.64"/>
    <s v="Zaakceptowana"/>
    <s v="Faktura VAT"/>
    <s v="Apteka Szpitalna"/>
    <s v="UM-NOV-03"/>
    <b v="0"/>
    <n v="15767.64"/>
    <s v="OK"/>
    <x v="0"/>
    <x v="0"/>
    <s v="2022-02"/>
    <n v="1"/>
  </r>
  <r>
    <s v="FV/1150/NOVA/22"/>
    <s v="PZ/800152"/>
    <x v="2"/>
    <d v="2022-02-26T00:00:00"/>
    <s v="21726.85"/>
    <s v="Zaakceptowana"/>
    <s v="Faktura VAT"/>
    <s v="Apteka Szpitalna"/>
    <s v="UM-NOV-02"/>
    <b v="0"/>
    <n v="21726.85"/>
    <s v="OK"/>
    <x v="0"/>
    <x v="0"/>
    <s v="2022-02"/>
    <n v="1"/>
  </r>
  <r>
    <s v="FV/53/PP/4700/22"/>
    <s v="PZ/800153"/>
    <x v="6"/>
    <d v="2022-02-26T00:00:00"/>
    <s v="13096.67"/>
    <s v="Zaakceptowana"/>
    <s v="Faktura VAT"/>
    <s v="Apteka Szpitalna"/>
    <s v="UM-PHA-01"/>
    <b v="0"/>
    <n v="13096.67"/>
    <s v="OK"/>
    <x v="0"/>
    <x v="0"/>
    <s v="2022-02"/>
    <n v="1"/>
  </r>
  <r>
    <s v="FV/65/SAL/22"/>
    <s v="PZ/800154"/>
    <x v="1"/>
    <d v="2022-02-26T00:00:00"/>
    <s v="10982.42"/>
    <s v="Zaakceptowana"/>
    <s v="Faktura VAT"/>
    <s v="Apteka Szpitalna"/>
    <s v="UM-SAL-01"/>
    <b v="0"/>
    <n v="10982.42"/>
    <s v="OK"/>
    <x v="0"/>
    <x v="0"/>
    <s v="2022-02"/>
    <n v="1"/>
  </r>
  <r>
    <s v="FV/51/PP/7156/22"/>
    <s v="PZ/800155"/>
    <x v="6"/>
    <d v="2022-02-28T00:00:00"/>
    <s v="12653.75"/>
    <s v="Zaakceptowana"/>
    <s v="Faktura VAT"/>
    <s v="Apteka Szpitalna"/>
    <s v=""/>
    <b v="0"/>
    <n v="12653.75"/>
    <s v="OK"/>
    <x v="1"/>
    <x v="0"/>
    <s v="2022-02"/>
    <n v="1"/>
  </r>
  <r>
    <s v="FV/POL/44044/2022"/>
    <s v="PZ/800156"/>
    <x v="0"/>
    <d v="2022-02-28T00:00:00"/>
    <s v="20445.56"/>
    <s v="Zaakceptowana"/>
    <s v="Faktura VAT"/>
    <s v="Apteka Szpitalna"/>
    <s v="UM-POL-02"/>
    <b v="0"/>
    <n v="20445.560000000001"/>
    <s v="OK"/>
    <x v="0"/>
    <x v="0"/>
    <s v="2022-02"/>
    <n v="1"/>
  </r>
  <r>
    <s v="FV/POL/79534/2022"/>
    <s v="PZ/800157"/>
    <x v="0"/>
    <d v="2022-02-28T00:00:00"/>
    <s v="22442.53"/>
    <s v="Zaakceptowana"/>
    <s v="Faktura VAT"/>
    <s v="Apteka Szpitalna"/>
    <s v="UM-POL-02"/>
    <b v="0"/>
    <n v="22442.53"/>
    <s v="OK"/>
    <x v="0"/>
    <x v="0"/>
    <s v="2022-02"/>
    <n v="1"/>
  </r>
  <r>
    <s v="FV/66/SAL/22"/>
    <s v="PZ/800158"/>
    <x v="1"/>
    <d v="2022-02-28T00:00:00"/>
    <s v="10649.04"/>
    <s v="Zaakceptowana"/>
    <s v="Faktura VAT"/>
    <s v="Apteka Szpitalna"/>
    <s v=""/>
    <b v="0"/>
    <n v="10649.04"/>
    <s v="OK"/>
    <x v="1"/>
    <x v="0"/>
    <s v="2022-02"/>
    <n v="1"/>
  </r>
  <r>
    <s v="FV/81/PP/7881/22"/>
    <s v="PZ/800159"/>
    <x v="6"/>
    <d v="2022-02-28T00:00:00"/>
    <s v="15217.13"/>
    <s v="Zaakceptowana"/>
    <s v="Faktura VAT"/>
    <s v="Apteka Szpitalna"/>
    <s v="UM-PHA-01"/>
    <b v="0"/>
    <n v="15217.13"/>
    <s v="OK"/>
    <x v="0"/>
    <x v="0"/>
    <s v="2022-02"/>
    <n v="1"/>
  </r>
  <r>
    <s v="FV/7593/NOVA/22"/>
    <s v="PZ/800160"/>
    <x v="2"/>
    <d v="2022-02-28T00:00:00"/>
    <s v="19125.58"/>
    <s v="Zaakceptowana"/>
    <s v="Faktura VAT"/>
    <s v="Apteka Szpitalna"/>
    <s v=""/>
    <b v="0"/>
    <n v="19125.580000000002"/>
    <s v="OK"/>
    <x v="1"/>
    <x v="0"/>
    <s v="2022-02"/>
    <n v="1"/>
  </r>
  <r>
    <s v="FV/M/3313/P/22"/>
    <s v="PZ/800161"/>
    <x v="5"/>
    <d v="2022-02-28T00:00:00"/>
    <s v="22103.98"/>
    <s v="Zaakceptowana"/>
    <s v="Faktura VAT"/>
    <s v="Apteka Szpitalna"/>
    <s v="UM-MED-02"/>
    <b v="0"/>
    <n v="22103.98"/>
    <s v="OK"/>
    <x v="0"/>
    <x v="0"/>
    <s v="2022-02"/>
    <n v="1"/>
  </r>
  <r>
    <s v="FV/8906/NOVA/22"/>
    <s v="PZ/800162"/>
    <x v="2"/>
    <d v="2022-03-01T00:00:00"/>
    <s v="10142.68"/>
    <s v="Zaakceptowana"/>
    <s v="Faktura VAT"/>
    <s v="Apteka Szpitalna"/>
    <s v="UM-NOV-03"/>
    <b v="0"/>
    <n v="10142.68"/>
    <s v="OK"/>
    <x v="0"/>
    <x v="0"/>
    <s v="2022-03"/>
    <n v="1"/>
  </r>
  <r>
    <s v="FV/82/SAL/22"/>
    <s v="PZ/800163"/>
    <x v="1"/>
    <d v="2022-03-01T00:00:00"/>
    <s v="12291.15"/>
    <s v="Zaakceptowana"/>
    <s v="Faktura VAT"/>
    <s v="Apteka Szpitalna"/>
    <s v="UM-SAL-01"/>
    <b v="0"/>
    <n v="12291.15"/>
    <s v="OK"/>
    <x v="0"/>
    <x v="0"/>
    <s v="2022-03"/>
    <n v="1"/>
  </r>
  <r>
    <s v="FV/POL/77329/2022"/>
    <s v="PZ/800164"/>
    <x v="0"/>
    <d v="2022-03-01T00:00:00"/>
    <s v="11644.99"/>
    <s v="Zaakceptowana"/>
    <s v="Faktura VAT"/>
    <s v="Apteka Szpitalna"/>
    <s v=""/>
    <b v="0"/>
    <n v="11644.99"/>
    <s v="OK"/>
    <x v="1"/>
    <x v="0"/>
    <s v="2022-03"/>
    <n v="1"/>
  </r>
  <r>
    <s v="FV/3878HM/22"/>
    <s v="PZ/800165"/>
    <x v="3"/>
    <d v="2022-03-01T00:00:00"/>
    <s v="19765.86"/>
    <s v="Zaakceptowana"/>
    <s v="Faktura VAT"/>
    <s v="Apteka Szpitalna"/>
    <s v="UM-HUR-03"/>
    <b v="0"/>
    <n v="19765.86"/>
    <s v="OK"/>
    <x v="0"/>
    <x v="0"/>
    <s v="2022-03"/>
    <n v="1"/>
  </r>
  <r>
    <s v="FV/24/PP/4033/22"/>
    <s v="PZ/800166"/>
    <x v="6"/>
    <d v="2022-03-02T00:00:00"/>
    <s v="12354.14"/>
    <s v="Zaakceptowana"/>
    <s v="Faktura VAT"/>
    <s v="Apteka Szpitalna"/>
    <s v="UM-PHA-02"/>
    <b v="0"/>
    <n v="12354.14"/>
    <s v="OK"/>
    <x v="0"/>
    <x v="0"/>
    <s v="2022-03"/>
    <n v="1"/>
  </r>
  <r>
    <s v="FV/6534HM/22"/>
    <s v="PZ/800167"/>
    <x v="3"/>
    <d v="2022-03-03T00:00:00"/>
    <s v="20574.79"/>
    <s v="Zaakceptowana"/>
    <s v="Faktura VAT"/>
    <s v="Apteka Szpitalna"/>
    <s v="UM-HUR-01"/>
    <b v="0"/>
    <n v="20574.79"/>
    <s v="OK"/>
    <x v="0"/>
    <x v="0"/>
    <s v="2022-03"/>
    <n v="1"/>
  </r>
  <r>
    <s v="FV/19/PP/7038/22"/>
    <s v="PZ/800168"/>
    <x v="6"/>
    <d v="2022-03-03T00:00:00"/>
    <s v="18240.66"/>
    <s v="Zaakceptowana"/>
    <s v="Faktura VAT"/>
    <s v="Apteka Szpitalna"/>
    <s v="UM-PHA-01"/>
    <b v="0"/>
    <n v="18240.66"/>
    <s v="OK"/>
    <x v="0"/>
    <x v="0"/>
    <s v="2022-03"/>
    <n v="1"/>
  </r>
  <r>
    <s v="FV/3637/NOVA/22"/>
    <s v="PZ/800169"/>
    <x v="2"/>
    <d v="2022-03-03T00:00:00"/>
    <s v="13601.57"/>
    <s v="Zaakceptowana"/>
    <s v="Faktura VAT"/>
    <s v="Apteka Szpitalna"/>
    <s v="UM-NOV-01"/>
    <b v="0"/>
    <n v="13601.57"/>
    <s v="OK"/>
    <x v="0"/>
    <x v="0"/>
    <s v="2022-03"/>
    <n v="1"/>
  </r>
  <r>
    <s v="FV/52/SAL/22"/>
    <s v="PZ/800170"/>
    <x v="1"/>
    <d v="2022-03-04T00:00:00"/>
    <s v="7033.14"/>
    <s v="Zaakceptowana"/>
    <s v="Faktura VAT"/>
    <s v="Apteka Szpitalna"/>
    <s v="UM-SAL-02"/>
    <b v="0"/>
    <n v="7033.14"/>
    <s v="OK"/>
    <x v="0"/>
    <x v="0"/>
    <s v="2022-03"/>
    <n v="1"/>
  </r>
  <r>
    <s v="FV/M/6477/P/22"/>
    <s v="PZ/800171"/>
    <x v="5"/>
    <d v="2022-03-04T00:00:00"/>
    <s v="21120.66"/>
    <s v="Zaakceptowana"/>
    <s v="Faktura VAT"/>
    <s v="Apteka Szpitalna"/>
    <s v="UM-MED-02"/>
    <b v="0"/>
    <n v="21120.66"/>
    <s v="OK"/>
    <x v="0"/>
    <x v="0"/>
    <s v="2022-03"/>
    <n v="1"/>
  </r>
  <r>
    <s v="FV/POL/78061/2022"/>
    <s v="PZ/800172"/>
    <x v="0"/>
    <d v="2022-03-04T00:00:00"/>
    <s v="19239.41"/>
    <s v="Zaakceptowana"/>
    <s v="Faktura VAT"/>
    <s v="Apteka Szpitalna"/>
    <s v="UM-POL-02"/>
    <b v="0"/>
    <n v="19239.41"/>
    <s v="OK"/>
    <x v="0"/>
    <x v="0"/>
    <s v="2022-03"/>
    <n v="1"/>
  </r>
  <r>
    <s v="FV/M/8386/P/22"/>
    <s v="PZ/800173"/>
    <x v="5"/>
    <d v="2022-03-04T00:00:00"/>
    <s v="15847.53"/>
    <s v="Zaakceptowana"/>
    <s v="Faktura VAT"/>
    <s v="Apteka Szpitalna"/>
    <s v="UM-MED-01"/>
    <b v="0"/>
    <n v="15847.53"/>
    <s v="OK"/>
    <x v="0"/>
    <x v="0"/>
    <s v="2022-03"/>
    <n v="1"/>
  </r>
  <r>
    <s v="FV/POL/12064/2022"/>
    <s v="PZ/800174"/>
    <x v="0"/>
    <d v="2022-03-04T00:00:00"/>
    <s v="15047.04"/>
    <s v="Zaakceptowana"/>
    <s v="Faktura VAT"/>
    <s v="Apteka Szpitalna"/>
    <s v="UM-POL-02"/>
    <b v="0"/>
    <n v="15047.04"/>
    <s v="OK"/>
    <x v="0"/>
    <x v="0"/>
    <s v="2022-03"/>
    <n v="1"/>
  </r>
  <r>
    <s v="FV/POL/27653/2022"/>
    <s v="PZ/800175"/>
    <x v="0"/>
    <d v="2022-03-05T00:00:00"/>
    <s v="14815.93"/>
    <s v="Zaakceptowana"/>
    <s v="Faktura VAT"/>
    <s v="Apteka Szpitalna"/>
    <s v=""/>
    <b v="0"/>
    <n v="14815.93"/>
    <s v="OK"/>
    <x v="1"/>
    <x v="0"/>
    <s v="2022-03"/>
    <n v="1"/>
  </r>
  <r>
    <s v="FV/1317/NOVA/22"/>
    <s v="PZ/800176"/>
    <x v="2"/>
    <d v="2022-03-05T00:00:00"/>
    <s v="19565.81"/>
    <s v="Zaakceptowana"/>
    <s v="Faktura VAT"/>
    <s v="Apteka Szpitalna"/>
    <s v="UM-NOV-03"/>
    <b v="0"/>
    <n v="19565.810000000001"/>
    <s v="OK"/>
    <x v="0"/>
    <x v="0"/>
    <s v="2022-03"/>
    <n v="1"/>
  </r>
  <r>
    <s v="FV/POL/93769/2022"/>
    <s v="PZ/800177"/>
    <x v="0"/>
    <d v="2022-03-05T00:00:00"/>
    <s v="12876.09"/>
    <s v="Zaakceptowana"/>
    <s v="Faktura VAT"/>
    <s v="Apteka Szpitalna"/>
    <s v="UM-POL-01"/>
    <b v="0"/>
    <n v="12876.09"/>
    <s v="OK"/>
    <x v="0"/>
    <x v="0"/>
    <s v="2022-03"/>
    <n v="1"/>
  </r>
  <r>
    <s v="FV/4486/NOVA/22"/>
    <s v="PZ/800178"/>
    <x v="2"/>
    <d v="2022-03-06T00:00:00"/>
    <s v="5833.2"/>
    <s v="Zaakceptowana"/>
    <s v="Faktura VAT"/>
    <s v="Apteka Szpitalna"/>
    <s v=""/>
    <b v="0"/>
    <n v="5833.2"/>
    <s v="OK"/>
    <x v="1"/>
    <x v="0"/>
    <s v="2022-03"/>
    <n v="1"/>
  </r>
  <r>
    <s v="FV/M/1650/P/22"/>
    <s v="PZ/800179"/>
    <x v="5"/>
    <d v="2022-03-07T00:00:00"/>
    <s v="16945.84"/>
    <s v="Zaakceptowana"/>
    <s v="Faktura VAT"/>
    <s v="Apteka Szpitalna"/>
    <s v="UM-MED-02"/>
    <b v="0"/>
    <n v="16945.84"/>
    <s v="OK"/>
    <x v="0"/>
    <x v="0"/>
    <s v="2022-03"/>
    <n v="1"/>
  </r>
  <r>
    <s v="FV/25/SAL/22"/>
    <s v="PZ/800180"/>
    <x v="1"/>
    <d v="2022-03-07T00:00:00"/>
    <s v="13839.11"/>
    <s v="Zaakceptowana"/>
    <s v="Faktura VAT"/>
    <s v="Apteka Szpitalna"/>
    <s v=""/>
    <b v="0"/>
    <n v="13839.11"/>
    <s v="OK"/>
    <x v="1"/>
    <x v="0"/>
    <s v="2022-03"/>
    <n v="1"/>
  </r>
  <r>
    <s v="FV/M/5297/P/22"/>
    <s v="PZ/800181"/>
    <x v="5"/>
    <d v="2022-03-07T00:00:00"/>
    <s v="20294.19"/>
    <s v="Zaakceptowana"/>
    <s v="Faktura VAT"/>
    <s v="Apteka Szpitalna"/>
    <s v="UM-MED-01"/>
    <b v="0"/>
    <n v="20294.189999999999"/>
    <s v="OK"/>
    <x v="0"/>
    <x v="0"/>
    <s v="2022-03"/>
    <n v="1"/>
  </r>
  <r>
    <s v="FV/POL/37073/2022"/>
    <s v="PZ/800182"/>
    <x v="0"/>
    <d v="2022-03-08T00:00:00"/>
    <s v="18304.01"/>
    <s v="Zaakceptowana"/>
    <s v="Faktura VAT"/>
    <s v="Apteka Szpitalna"/>
    <s v="UM-POL-02"/>
    <b v="0"/>
    <n v="18304.009999999998"/>
    <s v="OK"/>
    <x v="0"/>
    <x v="0"/>
    <s v="2022-03"/>
    <n v="1"/>
  </r>
  <r>
    <s v="FV/POL/22456/2022"/>
    <s v="PZ/800183"/>
    <x v="0"/>
    <d v="2022-03-08T00:00:00"/>
    <s v="13153.87"/>
    <s v="Zaakceptowana"/>
    <s v="Faktura VAT"/>
    <s v="Apteka Szpitalna"/>
    <s v="UM-POL-01"/>
    <b v="0"/>
    <n v="13153.87"/>
    <s v="OK"/>
    <x v="0"/>
    <x v="0"/>
    <s v="2022-03"/>
    <n v="1"/>
  </r>
  <r>
    <s v="FV/28835/VDb/2022"/>
    <s v="PZ/800184"/>
    <x v="7"/>
    <d v="2022-03-08T00:00:00"/>
    <s v="13551.17"/>
    <s v="Zaakceptowana"/>
    <s v="Faktura VAT"/>
    <s v="Apteka Szpitalna"/>
    <s v="UM-VIT-01"/>
    <b v="0"/>
    <n v="13551.17"/>
    <s v="OK"/>
    <x v="0"/>
    <x v="0"/>
    <s v="2022-03"/>
    <n v="1"/>
  </r>
  <r>
    <s v="FV/5133HM/22"/>
    <s v="PZ/800185"/>
    <x v="3"/>
    <d v="2022-03-08T00:00:00"/>
    <s v="7482.47"/>
    <s v="Zaakceptowana"/>
    <s v="Faktura VAT"/>
    <s v="Apteka Szpitalna"/>
    <s v="UM-HUR-01"/>
    <b v="0"/>
    <n v="7482.47"/>
    <s v="OK"/>
    <x v="0"/>
    <x v="0"/>
    <s v="2022-03"/>
    <n v="1"/>
  </r>
  <r>
    <s v="FV/44/PP/1663/22"/>
    <s v="PZ/800186"/>
    <x v="6"/>
    <d v="2022-03-09T00:00:00"/>
    <s v="21046.74"/>
    <s v="Zaakceptowana"/>
    <s v="Faktura VAT"/>
    <s v="Apteka Szpitalna"/>
    <s v="UM-PHA-01"/>
    <b v="0"/>
    <n v="21046.74"/>
    <s v="OK"/>
    <x v="0"/>
    <x v="0"/>
    <s v="2022-03"/>
    <n v="1"/>
  </r>
  <r>
    <s v="FV/23940/VDb/2022"/>
    <s v="PZ/800187"/>
    <x v="7"/>
    <d v="2022-03-10T00:00:00"/>
    <s v="11730.05"/>
    <s v="Zaakceptowana"/>
    <s v="Faktura VAT"/>
    <s v="Apteka Szpitalna"/>
    <s v="UM-VIT-01"/>
    <b v="0"/>
    <n v="11730.05"/>
    <s v="OK"/>
    <x v="0"/>
    <x v="0"/>
    <s v="2022-03"/>
    <n v="1"/>
  </r>
  <r>
    <s v="FV/48/PP/3589/22"/>
    <s v="PZ/800188"/>
    <x v="6"/>
    <d v="2022-03-10T00:00:00"/>
    <s v="10315.77"/>
    <s v="Zaakceptowana"/>
    <s v="Faktura VAT"/>
    <s v="Apteka Szpitalna"/>
    <s v="UM-PHA-02"/>
    <b v="0"/>
    <n v="10315.77"/>
    <s v="OK"/>
    <x v="0"/>
    <x v="0"/>
    <s v="2022-03"/>
    <n v="1"/>
  </r>
  <r>
    <s v="FV/90171/VDb/2022"/>
    <s v="PZ/800189"/>
    <x v="7"/>
    <d v="2022-03-11T00:00:00"/>
    <s v="9543.86"/>
    <s v="Zaakceptowana"/>
    <s v="Faktura VAT"/>
    <s v="Apteka Szpitalna"/>
    <s v=""/>
    <b v="0"/>
    <n v="9543.86"/>
    <s v="OK"/>
    <x v="1"/>
    <x v="0"/>
    <s v="2022-03"/>
    <n v="1"/>
  </r>
  <r>
    <s v="FV/85/PP/6085/22"/>
    <s v="PZ/800190"/>
    <x v="6"/>
    <d v="2022-03-11T00:00:00"/>
    <s v="11543.97"/>
    <s v="Zaakceptowana"/>
    <s v="Faktura VAT"/>
    <s v="Apteka Szpitalna"/>
    <s v="UM-PHA-02"/>
    <b v="0"/>
    <n v="11543.97"/>
    <s v="OK"/>
    <x v="0"/>
    <x v="0"/>
    <s v="2022-03"/>
    <n v="1"/>
  </r>
  <r>
    <s v="FV/18/SAL/22"/>
    <s v="PZ/800191"/>
    <x v="1"/>
    <d v="2022-03-12T00:00:00"/>
    <s v="23180.04"/>
    <s v="Zaakceptowana"/>
    <s v="Faktura VAT"/>
    <s v="Apteka Szpitalna"/>
    <s v="UM-SAL-02"/>
    <b v="0"/>
    <n v="23180.04"/>
    <s v="OK"/>
    <x v="0"/>
    <x v="0"/>
    <s v="2022-03"/>
    <n v="1"/>
  </r>
  <r>
    <s v="FV/2976HM/22"/>
    <s v="PZ/800192"/>
    <x v="3"/>
    <d v="2022-03-12T00:00:00"/>
    <s v="7750.33"/>
    <s v="Zaakceptowana"/>
    <s v="Faktura VAT"/>
    <s v="Apteka Szpitalna"/>
    <s v=""/>
    <b v="0"/>
    <n v="7750.33"/>
    <s v="OK"/>
    <x v="1"/>
    <x v="0"/>
    <s v="2022-03"/>
    <n v="1"/>
  </r>
  <r>
    <s v="FV/1356/NOVA/22"/>
    <s v="PZ/800193"/>
    <x v="2"/>
    <d v="2022-03-12T00:00:00"/>
    <s v="15794.19"/>
    <s v="Zaakceptowana"/>
    <s v="Faktura VAT"/>
    <s v="Apteka Szpitalna"/>
    <s v=""/>
    <b v="0"/>
    <n v="15794.19"/>
    <s v="OK"/>
    <x v="1"/>
    <x v="0"/>
    <s v="2022-03"/>
    <n v="1"/>
  </r>
  <r>
    <s v="FV/8461HM/22"/>
    <s v="PZ/800194"/>
    <x v="3"/>
    <d v="2022-03-12T00:00:00"/>
    <s v="14304.57"/>
    <s v="Zaakceptowana"/>
    <s v="Faktura VAT"/>
    <s v="Apteka Szpitalna"/>
    <s v="UM-HUR-02"/>
    <b v="0"/>
    <n v="14304.57"/>
    <s v="OK"/>
    <x v="0"/>
    <x v="0"/>
    <s v="2022-03"/>
    <n v="1"/>
  </r>
  <r>
    <s v="FV/4761/NOVA/22"/>
    <s v="PZ/800195"/>
    <x v="2"/>
    <d v="2022-03-12T00:00:00"/>
    <s v="12460.34"/>
    <s v="Zaakceptowana"/>
    <s v="Faktura VAT"/>
    <s v="Apteka Szpitalna"/>
    <s v="UM-NOV-03"/>
    <b v="0"/>
    <n v="12460.34"/>
    <s v="OK"/>
    <x v="0"/>
    <x v="0"/>
    <s v="2022-03"/>
    <n v="1"/>
  </r>
  <r>
    <s v="FV/1501/NOVA/22"/>
    <s v="PZ/800196"/>
    <x v="2"/>
    <d v="2022-03-13T00:00:00"/>
    <s v="22235.05"/>
    <s v="Zaakceptowana"/>
    <s v="Faktura VAT"/>
    <s v="Apteka Szpitalna"/>
    <s v="UM-NOV-02"/>
    <b v="0"/>
    <n v="22235.05"/>
    <s v="OK"/>
    <x v="0"/>
    <x v="0"/>
    <s v="2022-03"/>
    <n v="1"/>
  </r>
  <r>
    <s v="FV/51026/VDb/2022"/>
    <s v="PZ/800197"/>
    <x v="7"/>
    <d v="2022-03-13T00:00:00"/>
    <s v="12668.14"/>
    <s v="Zaakceptowana"/>
    <s v="Faktura VAT"/>
    <s v="Apteka Szpitalna"/>
    <s v="UM-VIT-01"/>
    <b v="0"/>
    <n v="12668.14"/>
    <s v="OK"/>
    <x v="0"/>
    <x v="0"/>
    <s v="2022-03"/>
    <n v="1"/>
  </r>
  <r>
    <s v="FV/POL/67629/2022"/>
    <s v="PZ/800198"/>
    <x v="0"/>
    <d v="2022-03-14T00:00:00"/>
    <s v="14364.43"/>
    <s v="Zaakceptowana"/>
    <s v="Faktura VAT"/>
    <s v="Apteka Szpitalna"/>
    <s v="UM-POL-03"/>
    <b v="0"/>
    <n v="14364.43"/>
    <s v="OK"/>
    <x v="0"/>
    <x v="0"/>
    <s v="2022-03"/>
    <n v="1"/>
  </r>
  <r>
    <s v="FV/M/2604/P/22"/>
    <s v="PZ/800199"/>
    <x v="5"/>
    <d v="2022-03-15T00:00:00"/>
    <s v="14354.27"/>
    <s v="Zaakceptowana"/>
    <s v="Faktura VAT"/>
    <s v="Apteka Szpitalna"/>
    <s v="UM-MED-02"/>
    <b v="0"/>
    <n v="14354.27"/>
    <s v="OK"/>
    <x v="0"/>
    <x v="0"/>
    <s v="2022-03"/>
    <n v="1"/>
  </r>
  <r>
    <s v="FV/4074HM/22"/>
    <s v="PZ/800200"/>
    <x v="3"/>
    <d v="2022-03-15T00:00:00"/>
    <s v="14644.1"/>
    <s v="Zaakceptowana"/>
    <s v="Faktura VAT"/>
    <s v="Apteka Szpitalna"/>
    <s v="UM-HUR-03"/>
    <b v="0"/>
    <n v="14644.1"/>
    <s v="OK"/>
    <x v="0"/>
    <x v="0"/>
    <s v="2022-03"/>
    <n v="1"/>
  </r>
  <r>
    <s v="FV/82499/VDb/2022"/>
    <s v="PZ/800201"/>
    <x v="7"/>
    <d v="2022-03-15T00:00:00"/>
    <s v="17775.0"/>
    <s v="Zaakceptowana"/>
    <s v="Faktura VAT"/>
    <s v="Apteka Szpitalna"/>
    <s v="UM-VIT-01"/>
    <b v="0"/>
    <n v="17775"/>
    <s v="OK"/>
    <x v="0"/>
    <x v="0"/>
    <s v="2022-03"/>
    <n v="1"/>
  </r>
  <r>
    <s v="FV/POL/89786/2022"/>
    <s v="PZ/800202"/>
    <x v="0"/>
    <d v="2022-03-16T00:00:00"/>
    <s v="14834.5"/>
    <s v="Zaakceptowana"/>
    <s v="Faktura VAT"/>
    <s v="Apteka Szpitalna"/>
    <s v="UM-POL-02"/>
    <b v="0"/>
    <n v="14834.5"/>
    <s v="OK"/>
    <x v="0"/>
    <x v="0"/>
    <s v="2022-03"/>
    <n v="1"/>
  </r>
  <r>
    <s v="FV/CENFA/409520/22"/>
    <s v="PZ/800203"/>
    <x v="4"/>
    <d v="2022-03-16T00:00:00"/>
    <s v="20433.12"/>
    <s v="Zaakceptowana"/>
    <s v="Faktura VAT"/>
    <s v="Apteka Szpitalna"/>
    <s v="UM-CEN-01"/>
    <b v="0"/>
    <n v="20433.12"/>
    <s v="OK"/>
    <x v="0"/>
    <x v="0"/>
    <s v="2022-03"/>
    <n v="1"/>
  </r>
  <r>
    <s v="FV/68/PP/2143/22"/>
    <s v="PZ/800204"/>
    <x v="6"/>
    <d v="2022-03-16T00:00:00"/>
    <s v="17767.93"/>
    <s v="Zaakceptowana"/>
    <s v="Faktura VAT"/>
    <s v="Apteka Szpitalna"/>
    <s v="UM-PHA-02"/>
    <b v="0"/>
    <n v="17767.93"/>
    <s v="OK"/>
    <x v="0"/>
    <x v="0"/>
    <s v="2022-03"/>
    <n v="1"/>
  </r>
  <r>
    <s v="FV/3141/NOVA/22"/>
    <s v="PZ/800205"/>
    <x v="2"/>
    <d v="2022-03-17T00:00:00"/>
    <s v="17775.25"/>
    <s v="Zaakceptowana"/>
    <s v="Faktura VAT"/>
    <s v="Apteka Szpitalna"/>
    <s v="UM-NOV-01"/>
    <b v="0"/>
    <n v="17775.25"/>
    <s v="OK"/>
    <x v="0"/>
    <x v="0"/>
    <s v="2022-03"/>
    <n v="1"/>
  </r>
  <r>
    <s v="FV/51/SAL/22"/>
    <s v="PZ/800206"/>
    <x v="1"/>
    <d v="2022-03-17T00:00:00"/>
    <s v="19330.68"/>
    <s v="Zaakceptowana"/>
    <s v="Faktura VAT"/>
    <s v="Apteka Szpitalna"/>
    <s v=""/>
    <b v="0"/>
    <n v="19330.68"/>
    <s v="OK"/>
    <x v="1"/>
    <x v="0"/>
    <s v="2022-03"/>
    <n v="1"/>
  </r>
  <r>
    <s v="FV/POL/39295/2022"/>
    <s v="PZ/800207"/>
    <x v="0"/>
    <d v="2022-03-17T00:00:00"/>
    <s v="8197.16"/>
    <s v="Zaakceptowana"/>
    <s v="Faktura VAT"/>
    <s v="Apteka Szpitalna"/>
    <s v="UM-POL-01"/>
    <b v="0"/>
    <n v="8197.16"/>
    <s v="OK"/>
    <x v="0"/>
    <x v="0"/>
    <s v="2022-03"/>
    <n v="1"/>
  </r>
  <r>
    <s v="FV/8136/NOVA/22"/>
    <s v="PZ/800208"/>
    <x v="2"/>
    <d v="2022-03-17T00:00:00"/>
    <s v="10036.01"/>
    <s v="Zaakceptowana"/>
    <s v="Faktura VAT"/>
    <s v="Apteka Szpitalna"/>
    <s v="UM-NOV-03"/>
    <b v="0"/>
    <n v="10036.01"/>
    <s v="OK"/>
    <x v="0"/>
    <x v="0"/>
    <s v="2022-03"/>
    <n v="1"/>
  </r>
  <r>
    <s v="FV/4772HM/22"/>
    <s v="PZ/800209"/>
    <x v="3"/>
    <d v="2022-03-17T00:00:00"/>
    <s v="15927.71"/>
    <s v="Zaakceptowana"/>
    <s v="Faktura VAT"/>
    <s v="Apteka Szpitalna"/>
    <s v="UM-HUR-03"/>
    <b v="0"/>
    <n v="15927.71"/>
    <s v="OK"/>
    <x v="0"/>
    <x v="0"/>
    <s v="2022-03"/>
    <n v="1"/>
  </r>
  <r>
    <s v="FV/M/3106/P/22"/>
    <s v="PZ/800210"/>
    <x v="5"/>
    <d v="2022-03-17T00:00:00"/>
    <s v="15201.81"/>
    <s v="Zaakceptowana"/>
    <s v="Faktura VAT"/>
    <s v="Apteka Szpitalna"/>
    <s v=""/>
    <b v="0"/>
    <n v="15201.81"/>
    <s v="OK"/>
    <x v="1"/>
    <x v="0"/>
    <s v="2022-03"/>
    <n v="1"/>
  </r>
  <r>
    <s v="FV/6153HM/22"/>
    <s v="PZ/800211"/>
    <x v="3"/>
    <d v="2022-03-18T00:00:00"/>
    <s v="19004.56"/>
    <s v="Zaakceptowana"/>
    <s v="Faktura VAT"/>
    <s v="Apteka Szpitalna"/>
    <s v=""/>
    <b v="0"/>
    <n v="19004.560000000001"/>
    <s v="OK"/>
    <x v="1"/>
    <x v="0"/>
    <s v="2022-03"/>
    <n v="1"/>
  </r>
  <r>
    <s v="FV/57/PP/4716/22"/>
    <s v="PZ/800212"/>
    <x v="6"/>
    <d v="2022-03-19T00:00:00"/>
    <s v="10271.11"/>
    <s v="Zaakceptowana"/>
    <s v="Faktura VAT"/>
    <s v="Apteka Szpitalna"/>
    <s v=""/>
    <b v="0"/>
    <n v="10271.11"/>
    <s v="OK"/>
    <x v="1"/>
    <x v="0"/>
    <s v="2022-03"/>
    <n v="1"/>
  </r>
  <r>
    <s v="FV/47089/VDb/2022"/>
    <s v="PZ/800213"/>
    <x v="7"/>
    <d v="2022-03-20T00:00:00"/>
    <s v="12743.26"/>
    <s v="Zaakceptowana"/>
    <s v="Faktura VAT"/>
    <s v="Apteka Szpitalna"/>
    <s v=""/>
    <b v="0"/>
    <n v="12743.26"/>
    <s v="OK"/>
    <x v="1"/>
    <x v="0"/>
    <s v="2022-03"/>
    <n v="1"/>
  </r>
  <r>
    <s v="FV/POL/70812/2022"/>
    <s v="PZ/800214"/>
    <x v="0"/>
    <d v="2022-03-21T00:00:00"/>
    <s v="14780.72"/>
    <s v="Zaakceptowana"/>
    <s v="Faktura VAT"/>
    <s v="Apteka Szpitalna"/>
    <s v="UM-POL-03"/>
    <b v="0"/>
    <n v="14780.72"/>
    <s v="OK"/>
    <x v="0"/>
    <x v="0"/>
    <s v="2022-03"/>
    <n v="1"/>
  </r>
  <r>
    <s v="FV/78555/VDb/2022"/>
    <s v="PZ/800215"/>
    <x v="7"/>
    <d v="2022-03-21T00:00:00"/>
    <s v="18569.33"/>
    <s v="Zaakceptowana"/>
    <s v="Faktura VAT"/>
    <s v="Apteka Szpitalna"/>
    <s v="UM-VIT-01"/>
    <b v="0"/>
    <n v="18569.330000000002"/>
    <s v="OK"/>
    <x v="0"/>
    <x v="0"/>
    <s v="2022-03"/>
    <n v="1"/>
  </r>
  <r>
    <s v="FV/POL/43541/2022"/>
    <s v="PZ/800216"/>
    <x v="0"/>
    <d v="2022-03-21T00:00:00"/>
    <s v="12911.89"/>
    <s v="Zaakceptowana"/>
    <s v="Faktura VAT"/>
    <s v="Apteka Szpitalna"/>
    <s v="UM-POL-03"/>
    <b v="0"/>
    <n v="12911.89"/>
    <s v="OK"/>
    <x v="0"/>
    <x v="0"/>
    <s v="2022-03"/>
    <n v="1"/>
  </r>
  <r>
    <s v="FV/40/PP/8801/22"/>
    <s v="PZ/800217"/>
    <x v="6"/>
    <d v="2022-03-21T00:00:00"/>
    <s v="19912.75"/>
    <s v="Zaakceptowana"/>
    <s v="Faktura VAT"/>
    <s v="Apteka Szpitalna"/>
    <s v="UM-PHA-02"/>
    <b v="0"/>
    <n v="19912.75"/>
    <s v="OK"/>
    <x v="0"/>
    <x v="0"/>
    <s v="2022-03"/>
    <n v="1"/>
  </r>
  <r>
    <s v="FV/POL/43407/2022"/>
    <s v="PZ/800218"/>
    <x v="0"/>
    <d v="2022-03-22T00:00:00"/>
    <s v="20745.59"/>
    <s v="Zaakceptowana"/>
    <s v="Faktura VAT"/>
    <s v="Apteka Szpitalna"/>
    <s v=""/>
    <b v="0"/>
    <n v="20745.59"/>
    <s v="OK"/>
    <x v="1"/>
    <x v="0"/>
    <s v="2022-03"/>
    <n v="1"/>
  </r>
  <r>
    <s v="FV/93/SAL/22"/>
    <s v="PZ/800219"/>
    <x v="1"/>
    <d v="2022-03-22T00:00:00"/>
    <s v="18492.64"/>
    <s v="Zaakceptowana"/>
    <s v="Faktura VAT"/>
    <s v="Apteka Szpitalna"/>
    <s v=""/>
    <b v="0"/>
    <n v="18492.64"/>
    <s v="OK"/>
    <x v="1"/>
    <x v="0"/>
    <s v="2022-03"/>
    <n v="1"/>
  </r>
  <r>
    <s v="FV/1180HM/22"/>
    <s v="PZ/800220"/>
    <x v="3"/>
    <d v="2022-03-22T00:00:00"/>
    <s v="6361.74"/>
    <s v="Zaakceptowana"/>
    <s v="Faktura VAT"/>
    <s v="Apteka Szpitalna"/>
    <s v="UM-HUR-01"/>
    <b v="0"/>
    <n v="6361.74"/>
    <s v="OK"/>
    <x v="0"/>
    <x v="0"/>
    <s v="2022-03"/>
    <n v="1"/>
  </r>
  <r>
    <s v="FV/POL/39052/2022"/>
    <s v="PZ/800221"/>
    <x v="0"/>
    <d v="2022-03-22T00:00:00"/>
    <s v="12540.62"/>
    <s v="Zaakceptowana"/>
    <s v="Faktura VAT"/>
    <s v="Apteka Szpitalna"/>
    <s v="UM-POL-01"/>
    <b v="0"/>
    <n v="12540.62"/>
    <s v="OK"/>
    <x v="0"/>
    <x v="0"/>
    <s v="2022-03"/>
    <n v="1"/>
  </r>
  <r>
    <s v="FV/M/1406/P/22"/>
    <s v="PZ/800222"/>
    <x v="5"/>
    <d v="2022-03-22T00:00:00"/>
    <s v="15963.76"/>
    <s v="Zaakceptowana"/>
    <s v="Faktura VAT"/>
    <s v="Apteka Szpitalna"/>
    <s v=""/>
    <b v="0"/>
    <n v="15963.76"/>
    <s v="OK"/>
    <x v="1"/>
    <x v="0"/>
    <s v="2022-03"/>
    <n v="1"/>
  </r>
  <r>
    <s v="FV/M/1241/P/22"/>
    <s v="PZ/800223"/>
    <x v="5"/>
    <d v="2022-03-23T00:00:00"/>
    <s v="17832.38"/>
    <s v="Zaakceptowana"/>
    <s v="Faktura VAT"/>
    <s v="Apteka Szpitalna"/>
    <s v="UM-MED-02"/>
    <b v="0"/>
    <n v="17832.38"/>
    <s v="OK"/>
    <x v="0"/>
    <x v="0"/>
    <s v="2022-03"/>
    <n v="1"/>
  </r>
  <r>
    <s v="FV/89499/VDb/2022"/>
    <s v="PZ/800224"/>
    <x v="7"/>
    <d v="2022-03-23T00:00:00"/>
    <s v="13301.47"/>
    <s v="Zaakceptowana"/>
    <s v="Faktura VAT"/>
    <s v="Apteka Szpitalna"/>
    <s v="UM-VIT-01"/>
    <b v="0"/>
    <n v="13301.47"/>
    <s v="OK"/>
    <x v="0"/>
    <x v="0"/>
    <s v="2022-03"/>
    <n v="1"/>
  </r>
  <r>
    <s v="FV/51/SAL/22"/>
    <s v="PZ/800225"/>
    <x v="1"/>
    <d v="2022-03-23T00:00:00"/>
    <s v="19647.93"/>
    <s v="Zaakceptowana"/>
    <s v="Faktura VAT"/>
    <s v="Apteka Szpitalna"/>
    <s v="UM-SAL-02"/>
    <b v="0"/>
    <n v="19647.93"/>
    <s v="OK"/>
    <x v="0"/>
    <x v="0"/>
    <s v="2022-03"/>
    <n v="1"/>
  </r>
  <r>
    <s v="FV/POL/11093/2022"/>
    <s v="PZ/800226"/>
    <x v="0"/>
    <d v="2022-03-24T00:00:00"/>
    <s v="17241.36"/>
    <s v="Zaakceptowana"/>
    <s v="Faktura VAT"/>
    <s v="Apteka Szpitalna"/>
    <s v="UM-POL-03"/>
    <b v="0"/>
    <n v="17241.36"/>
    <s v="OK"/>
    <x v="0"/>
    <x v="0"/>
    <s v="2022-03"/>
    <n v="1"/>
  </r>
  <r>
    <s v="FV/99/SAL/22"/>
    <s v="PZ/800227"/>
    <x v="1"/>
    <d v="2022-03-24T00:00:00"/>
    <s v="16288.97"/>
    <s v="Zaakceptowana"/>
    <s v="Faktura VAT"/>
    <s v="Apteka Szpitalna"/>
    <s v="UM-SAL-01"/>
    <b v="0"/>
    <n v="16288.97"/>
    <s v="OK"/>
    <x v="0"/>
    <x v="0"/>
    <s v="2022-03"/>
    <n v="1"/>
  </r>
  <r>
    <s v="FV/POL/86199/2022"/>
    <s v="PZ/800228"/>
    <x v="0"/>
    <d v="2022-03-24T00:00:00"/>
    <s v="9545.07"/>
    <s v="Zaakceptowana"/>
    <s v="Faktura VAT"/>
    <s v="Apteka Szpitalna"/>
    <s v="UM-POL-02"/>
    <b v="0"/>
    <n v="9545.07"/>
    <s v="OK"/>
    <x v="0"/>
    <x v="0"/>
    <s v="2022-03"/>
    <n v="1"/>
  </r>
  <r>
    <s v="FV/72/PP/1433/22"/>
    <s v="PZ/800229"/>
    <x v="6"/>
    <d v="2022-03-24T00:00:00"/>
    <s v="21986.57"/>
    <s v="Zaakceptowana"/>
    <s v="Faktura VAT"/>
    <s v="Apteka Szpitalna"/>
    <s v=""/>
    <b v="0"/>
    <n v="21986.57"/>
    <s v="OK"/>
    <x v="1"/>
    <x v="0"/>
    <s v="2022-03"/>
    <n v="1"/>
  </r>
  <r>
    <s v="FV/15/SAL/22"/>
    <s v="PZ/800230"/>
    <x v="1"/>
    <d v="2022-03-25T00:00:00"/>
    <s v="15045.47"/>
    <s v="Zaakceptowana"/>
    <s v="Faktura VAT"/>
    <s v="Apteka Szpitalna"/>
    <s v="UM-SAL-01"/>
    <b v="0"/>
    <n v="15045.47"/>
    <s v="OK"/>
    <x v="0"/>
    <x v="0"/>
    <s v="2022-03"/>
    <n v="1"/>
  </r>
  <r>
    <s v="FV/13/SAL/22"/>
    <s v="PZ/800231"/>
    <x v="1"/>
    <d v="2022-03-26T00:00:00"/>
    <s v="18684.55"/>
    <s v="Zaakceptowana"/>
    <s v="Faktura VAT"/>
    <s v="Apteka Szpitalna"/>
    <s v="UM-SAL-01"/>
    <b v="0"/>
    <n v="18684.55"/>
    <s v="OK"/>
    <x v="0"/>
    <x v="0"/>
    <s v="2022-03"/>
    <n v="1"/>
  </r>
  <r>
    <s v="FV/67/SAL/22"/>
    <s v="PZ/800232"/>
    <x v="1"/>
    <d v="2022-03-26T00:00:00"/>
    <s v="12305.54"/>
    <s v="Zaakceptowana"/>
    <s v="Faktura VAT"/>
    <s v="Apteka Szpitalna"/>
    <s v=""/>
    <b v="0"/>
    <n v="12305.54"/>
    <s v="OK"/>
    <x v="1"/>
    <x v="0"/>
    <s v="2022-03"/>
    <n v="1"/>
  </r>
  <r>
    <s v="FV/POL/31198/2022"/>
    <s v="PZ/800233"/>
    <x v="0"/>
    <d v="2022-03-26T00:00:00"/>
    <s v="4166.11"/>
    <s v="Zaakceptowana"/>
    <s v="Faktura VAT"/>
    <s v="Apteka Szpitalna"/>
    <s v=""/>
    <b v="0"/>
    <n v="4166.1099999999997"/>
    <s v="OK"/>
    <x v="1"/>
    <x v="0"/>
    <s v="2022-03"/>
    <n v="1"/>
  </r>
  <r>
    <s v="FV/8558/NOVA/22"/>
    <s v="PZ/800234"/>
    <x v="2"/>
    <d v="2022-03-26T00:00:00"/>
    <s v="20063.09"/>
    <s v="Zaakceptowana"/>
    <s v="Faktura VAT"/>
    <s v="Apteka Szpitalna"/>
    <s v=""/>
    <b v="0"/>
    <n v="20063.09"/>
    <s v="OK"/>
    <x v="1"/>
    <x v="0"/>
    <s v="2022-03"/>
    <n v="1"/>
  </r>
  <r>
    <s v="FV/M/5719/P/22"/>
    <s v="PZ/800235"/>
    <x v="5"/>
    <d v="2022-03-26T00:00:00"/>
    <s v="10486.22"/>
    <s v="Zaakceptowana"/>
    <s v="Faktura VAT"/>
    <s v="Apteka Szpitalna"/>
    <s v="UM-MED-01"/>
    <b v="0"/>
    <n v="10486.22"/>
    <s v="OK"/>
    <x v="0"/>
    <x v="0"/>
    <s v="2022-03"/>
    <n v="1"/>
  </r>
  <r>
    <s v="FV/65/PP/7411/22"/>
    <s v="PZ/800236"/>
    <x v="6"/>
    <d v="2022-03-27T00:00:00"/>
    <s v="9643.73"/>
    <s v="Zaakceptowana"/>
    <s v="Faktura VAT"/>
    <s v="Apteka Szpitalna"/>
    <s v=""/>
    <b v="0"/>
    <n v="9643.73"/>
    <s v="OK"/>
    <x v="1"/>
    <x v="0"/>
    <s v="2022-03"/>
    <n v="1"/>
  </r>
  <r>
    <s v="FV/26/PP/3653/22"/>
    <s v="PZ/800237"/>
    <x v="6"/>
    <d v="2022-03-27T00:00:00"/>
    <s v="13669.98"/>
    <s v="Zaakceptowana"/>
    <s v="Faktura VAT"/>
    <s v="Apteka Szpitalna"/>
    <s v=""/>
    <b v="0"/>
    <n v="13669.98"/>
    <s v="OK"/>
    <x v="1"/>
    <x v="0"/>
    <s v="2022-03"/>
    <n v="1"/>
  </r>
  <r>
    <s v="FV/CENFA/655185/22"/>
    <s v="PZ/800238"/>
    <x v="4"/>
    <d v="2022-03-27T00:00:00"/>
    <s v="17295.82"/>
    <s v="Zaakceptowana"/>
    <s v="Faktura VAT"/>
    <s v="Apteka Szpitalna"/>
    <s v="UM-CEN-01"/>
    <b v="0"/>
    <n v="17295.82"/>
    <s v="OK"/>
    <x v="0"/>
    <x v="0"/>
    <s v="2022-03"/>
    <n v="1"/>
  </r>
  <r>
    <s v="FV/77638/VDb/2022"/>
    <s v="PZ/800239"/>
    <x v="7"/>
    <d v="2022-03-28T00:00:00"/>
    <s v="21932.13"/>
    <s v="Zaakceptowana"/>
    <s v="Faktura VAT"/>
    <s v="Apteka Szpitalna"/>
    <s v="UM-VIT-01"/>
    <b v="0"/>
    <n v="21932.13"/>
    <s v="OK"/>
    <x v="0"/>
    <x v="0"/>
    <s v="2022-03"/>
    <n v="1"/>
  </r>
  <r>
    <s v="FV/POL/21837/2022"/>
    <s v="PZ/800240"/>
    <x v="0"/>
    <d v="2022-03-28T00:00:00"/>
    <s v="16583.1"/>
    <s v="Zaakceptowana"/>
    <s v="Faktura VAT"/>
    <s v="Apteka Szpitalna"/>
    <s v="UM-POL-02"/>
    <b v="0"/>
    <n v="16583.099999999999"/>
    <s v="OK"/>
    <x v="0"/>
    <x v="0"/>
    <s v="2022-03"/>
    <n v="1"/>
  </r>
  <r>
    <s v="FV/62/PP/2158/22"/>
    <s v="PZ/800241"/>
    <x v="6"/>
    <d v="2022-03-28T00:00:00"/>
    <s v="19088.44"/>
    <s v="Zaakceptowana"/>
    <s v="Faktura VAT"/>
    <s v="Apteka Szpitalna"/>
    <s v="UM-PHA-02"/>
    <b v="0"/>
    <n v="19088.439999999999"/>
    <s v="OK"/>
    <x v="0"/>
    <x v="0"/>
    <s v="2022-03"/>
    <n v="1"/>
  </r>
  <r>
    <s v="FV/2887/NOVA/22"/>
    <s v="PZ/800242"/>
    <x v="2"/>
    <d v="2022-03-28T00:00:00"/>
    <s v="-400.76"/>
    <s v="Zaakceptowana"/>
    <s v="Korekta FV"/>
    <s v="Apteka Szpitalna"/>
    <s v="UM-NOV-02"/>
    <b v="0"/>
    <n v="-400.76"/>
    <s v="OK"/>
    <x v="0"/>
    <x v="0"/>
    <s v="2022-03"/>
    <n v="1"/>
  </r>
  <r>
    <s v="FV/29902/VDb/2022"/>
    <s v="PZ/800243"/>
    <x v="7"/>
    <d v="2022-03-28T00:00:00"/>
    <s v="8452.35"/>
    <s v="Zaakceptowana"/>
    <s v="Faktura VAT"/>
    <s v="Apteka Szpitalna"/>
    <s v="UM-VIT-01"/>
    <b v="0"/>
    <n v="8452.35"/>
    <s v="OK"/>
    <x v="0"/>
    <x v="0"/>
    <s v="2022-03"/>
    <n v="1"/>
  </r>
  <r>
    <s v="FV/4839HM/22"/>
    <s v="PZ/800244"/>
    <x v="3"/>
    <d v="2022-03-29T00:00:00"/>
    <s v="24803.14"/>
    <s v="Zaakceptowana"/>
    <s v="Faktura VAT"/>
    <s v="Apteka Szpitalna"/>
    <s v="UM-HUR-02"/>
    <b v="0"/>
    <n v="24803.14"/>
    <s v="OK"/>
    <x v="0"/>
    <x v="0"/>
    <s v="2022-03"/>
    <n v="1"/>
  </r>
  <r>
    <s v="FV/CENFA/178292/22"/>
    <s v="PZ/800245"/>
    <x v="4"/>
    <d v="2022-03-29T00:00:00"/>
    <s v="-3445.95"/>
    <s v="Zaakceptowana"/>
    <s v="Korekta FV"/>
    <s v="Apteka Szpitalna"/>
    <s v="UM-CEN-02"/>
    <b v="0"/>
    <n v="-3445.95"/>
    <s v="OK"/>
    <x v="0"/>
    <x v="0"/>
    <s v="2022-03"/>
    <n v="1"/>
  </r>
  <r>
    <s v="FV/56/PP/6928/22"/>
    <s v="PZ/800246"/>
    <x v="6"/>
    <d v="2022-03-30T00:00:00"/>
    <s v="14430.66"/>
    <s v="Zaakceptowana"/>
    <s v="Faktura VAT"/>
    <s v="Apteka Szpitalna"/>
    <s v="UM-PHA-01"/>
    <b v="0"/>
    <n v="14430.66"/>
    <s v="OK"/>
    <x v="0"/>
    <x v="0"/>
    <s v="2022-03"/>
    <n v="1"/>
  </r>
  <r>
    <s v="FV/29968/VDb/2022"/>
    <s v="PZ/800247"/>
    <x v="7"/>
    <d v="2022-03-30T00:00:00"/>
    <s v="18848.82"/>
    <s v="Zaakceptowana"/>
    <s v="Faktura VAT"/>
    <s v="Apteka Szpitalna"/>
    <s v="UM-VIT-01"/>
    <b v="0"/>
    <n v="18848.82"/>
    <s v="OK"/>
    <x v="0"/>
    <x v="0"/>
    <s v="2022-03"/>
    <n v="1"/>
  </r>
  <r>
    <s v="FV/63/PP/4230/22"/>
    <s v="PZ/800248"/>
    <x v="6"/>
    <d v="2022-03-31T00:00:00"/>
    <s v="3501.98"/>
    <s v="Zaakceptowana"/>
    <s v="Faktura VAT"/>
    <s v="Apteka Szpitalna"/>
    <s v=""/>
    <b v="0"/>
    <n v="3501.98"/>
    <s v="OK"/>
    <x v="1"/>
    <x v="0"/>
    <s v="2022-03"/>
    <n v="1"/>
  </r>
  <r>
    <s v="FV/38/SAL/22"/>
    <s v="PZ/800249"/>
    <x v="1"/>
    <d v="2022-04-01T00:00:00"/>
    <s v="5792.43"/>
    <s v="Zaakceptowana"/>
    <s v="Faktura VAT"/>
    <s v="Apteka Szpitalna"/>
    <s v="UM-SAL-01"/>
    <b v="0"/>
    <n v="5792.43"/>
    <s v="OK"/>
    <x v="0"/>
    <x v="0"/>
    <s v="2022-04"/>
    <n v="1"/>
  </r>
  <r>
    <s v="FV/56066/VDb/2022"/>
    <s v="PZ/800250"/>
    <x v="7"/>
    <d v="2022-04-01T00:00:00"/>
    <s v="20978.56"/>
    <s v="Zaakceptowana"/>
    <s v="Faktura VAT"/>
    <s v="Apteka Szpitalna"/>
    <s v="UM-VIT-01"/>
    <b v="0"/>
    <n v="20978.560000000001"/>
    <s v="OK"/>
    <x v="0"/>
    <x v="0"/>
    <s v="2022-04"/>
    <n v="1"/>
  </r>
  <r>
    <s v="FV/27/SAL/22"/>
    <s v="PZ/800251"/>
    <x v="1"/>
    <d v="2022-04-01T00:00:00"/>
    <s v="2507.02"/>
    <s v="Zaakceptowana"/>
    <s v="Faktura VAT"/>
    <s v="Apteka Szpitalna"/>
    <s v="UM-SAL-02"/>
    <b v="0"/>
    <n v="2507.02"/>
    <s v="OK"/>
    <x v="0"/>
    <x v="0"/>
    <s v="2022-04"/>
    <n v="1"/>
  </r>
  <r>
    <s v="FV/CENFA/687752/22"/>
    <s v="PZ/800252"/>
    <x v="4"/>
    <d v="2022-04-02T00:00:00"/>
    <s v="17109.95"/>
    <s v="Zaakceptowana"/>
    <s v="Faktura VAT"/>
    <s v="Apteka Szpitalna"/>
    <s v=""/>
    <b v="0"/>
    <n v="17109.95"/>
    <s v="OK"/>
    <x v="1"/>
    <x v="0"/>
    <s v="2022-04"/>
    <n v="1"/>
  </r>
  <r>
    <s v="FV/19685/VDb/2022"/>
    <s v="PZ/800253"/>
    <x v="7"/>
    <d v="2022-04-02T00:00:00"/>
    <s v="16430.17"/>
    <s v="Zaakceptowana"/>
    <s v="Faktura VAT"/>
    <s v="Apteka Szpitalna"/>
    <s v=""/>
    <b v="0"/>
    <n v="16430.169999999998"/>
    <s v="OK"/>
    <x v="1"/>
    <x v="0"/>
    <s v="2022-04"/>
    <n v="1"/>
  </r>
  <r>
    <s v="FV/3470/NOVA/22"/>
    <s v="PZ/800254"/>
    <x v="2"/>
    <d v="2022-04-03T00:00:00"/>
    <s v="12051.25"/>
    <s v="Zaakceptowana"/>
    <s v="Faktura VAT"/>
    <s v="Apteka Szpitalna"/>
    <s v="UM-NOV-01"/>
    <b v="0"/>
    <n v="12051.25"/>
    <s v="OK"/>
    <x v="0"/>
    <x v="0"/>
    <s v="2022-04"/>
    <n v="1"/>
  </r>
  <r>
    <s v="FV/5019HM/22"/>
    <s v="PZ/800255"/>
    <x v="3"/>
    <d v="2022-04-03T00:00:00"/>
    <s v="12532.98"/>
    <s v="Zaakceptowana"/>
    <s v="Faktura VAT"/>
    <s v="Apteka Szpitalna"/>
    <s v="UM-HUR-02"/>
    <b v="0"/>
    <n v="12532.98"/>
    <s v="OK"/>
    <x v="0"/>
    <x v="0"/>
    <s v="2022-04"/>
    <n v="1"/>
  </r>
  <r>
    <s v="FV/83654/VDb/2022"/>
    <s v="PZ/800256"/>
    <x v="7"/>
    <d v="2022-04-03T00:00:00"/>
    <s v="22532.71"/>
    <s v="Zaakceptowana"/>
    <s v="Faktura VAT"/>
    <s v="Apteka Szpitalna"/>
    <s v="UM-VIT-01"/>
    <b v="0"/>
    <n v="22532.71"/>
    <s v="OK"/>
    <x v="0"/>
    <x v="0"/>
    <s v="2022-04"/>
    <n v="1"/>
  </r>
  <r>
    <s v="FV/43/PP/1747/22"/>
    <s v="PZ/800257"/>
    <x v="6"/>
    <d v="2022-04-04T00:00:00"/>
    <s v="11212.36"/>
    <s v="Zaakceptowana"/>
    <s v="Faktura VAT"/>
    <s v="Apteka Szpitalna"/>
    <s v=""/>
    <b v="0"/>
    <n v="11212.36"/>
    <s v="OK"/>
    <x v="1"/>
    <x v="0"/>
    <s v="2022-04"/>
    <n v="1"/>
  </r>
  <r>
    <s v="FV/84/PP/2255/22"/>
    <s v="PZ/800258"/>
    <x v="6"/>
    <d v="2022-04-04T00:00:00"/>
    <s v="15765.66"/>
    <s v="Zaakceptowana"/>
    <s v="Faktura VAT"/>
    <s v="Apteka Szpitalna"/>
    <s v="UM-PHA-02"/>
    <b v="0"/>
    <n v="15765.66"/>
    <s v="OK"/>
    <x v="0"/>
    <x v="0"/>
    <s v="2022-04"/>
    <n v="1"/>
  </r>
  <r>
    <s v="FV/39/SAL/22"/>
    <s v="PZ/800259"/>
    <x v="1"/>
    <d v="2022-04-04T00:00:00"/>
    <s v="16868.65"/>
    <s v="Zaakceptowana"/>
    <s v="Faktura VAT"/>
    <s v="Apteka Szpitalna"/>
    <s v=""/>
    <b v="0"/>
    <n v="16868.650000000001"/>
    <s v="OK"/>
    <x v="1"/>
    <x v="0"/>
    <s v="2022-04"/>
    <n v="1"/>
  </r>
  <r>
    <s v="FV/M/6010/P/22"/>
    <s v="PZ/800260"/>
    <x v="5"/>
    <d v="2022-04-04T00:00:00"/>
    <s v="14024.85"/>
    <s v="Zaakceptowana"/>
    <s v="Faktura VAT"/>
    <s v="Apteka Szpitalna"/>
    <s v="UM-MED-01"/>
    <b v="0"/>
    <n v="14024.85"/>
    <s v="OK"/>
    <x v="0"/>
    <x v="0"/>
    <s v="2022-04"/>
    <n v="1"/>
  </r>
  <r>
    <s v="FV/90795/VDb/2022"/>
    <s v="PZ/800261"/>
    <x v="7"/>
    <d v="2022-04-04T00:00:00"/>
    <s v="-576.29"/>
    <s v="Zaakceptowana"/>
    <s v="Korekta FV"/>
    <s v="Apteka Szpitalna"/>
    <s v="UM-VIT-01"/>
    <b v="0"/>
    <n v="-576.29"/>
    <s v="OK"/>
    <x v="0"/>
    <x v="0"/>
    <s v="2022-04"/>
    <n v="1"/>
  </r>
  <r>
    <s v="FV/POL/21678/2022"/>
    <s v="PZ/800262"/>
    <x v="0"/>
    <d v="2022-04-05T00:00:00"/>
    <s v="21805.84"/>
    <s v="Zaakceptowana"/>
    <s v="Faktura VAT"/>
    <s v="Apteka Szpitalna"/>
    <s v="UM-POL-03"/>
    <b v="0"/>
    <n v="21805.84"/>
    <s v="OK"/>
    <x v="0"/>
    <x v="0"/>
    <s v="2022-04"/>
    <n v="1"/>
  </r>
  <r>
    <s v="FV/CENFA/648586/22"/>
    <s v="PZ/800263"/>
    <x v="4"/>
    <d v="2022-04-06T00:00:00"/>
    <s v="18349.65"/>
    <s v="Zaakceptowana"/>
    <s v="Faktura VAT"/>
    <s v="Apteka Szpitalna"/>
    <s v="UM-CEN-02"/>
    <b v="0"/>
    <n v="18349.650000000001"/>
    <s v="OK"/>
    <x v="0"/>
    <x v="0"/>
    <s v="2022-04"/>
    <n v="1"/>
  </r>
  <r>
    <s v="FV/43272/VDb/2022"/>
    <s v="PZ/800264"/>
    <x v="7"/>
    <d v="2022-04-06T00:00:00"/>
    <s v="-595.98"/>
    <s v="Zaakceptowana"/>
    <s v="Korekta FV"/>
    <s v="Apteka Szpitalna"/>
    <s v="UM-VIT-01"/>
    <b v="0"/>
    <n v="-595.98"/>
    <s v="OK"/>
    <x v="0"/>
    <x v="0"/>
    <s v="2022-04"/>
    <n v="1"/>
  </r>
  <r>
    <s v="FV/9272/NOVA/22"/>
    <s v="PZ/800265"/>
    <x v="2"/>
    <d v="2022-04-07T00:00:00"/>
    <s v="15500.22"/>
    <s v="Zaakceptowana"/>
    <s v="Faktura VAT"/>
    <s v="Apteka Szpitalna"/>
    <s v="UM-NOV-03"/>
    <b v="0"/>
    <n v="15500.22"/>
    <s v="OK"/>
    <x v="0"/>
    <x v="0"/>
    <s v="2022-04"/>
    <n v="1"/>
  </r>
  <r>
    <s v="FV/5629HM/22"/>
    <s v="PZ/800266"/>
    <x v="3"/>
    <d v="2022-04-08T00:00:00"/>
    <s v="12956.28"/>
    <s v="Zaakceptowana"/>
    <s v="Faktura VAT"/>
    <s v="Apteka Szpitalna"/>
    <s v="UM-HUR-01"/>
    <b v="0"/>
    <n v="12956.28"/>
    <s v="OK"/>
    <x v="0"/>
    <x v="0"/>
    <s v="2022-04"/>
    <n v="1"/>
  </r>
  <r>
    <s v="FV/18579/VDb/2022"/>
    <s v="PZ/800267"/>
    <x v="7"/>
    <d v="2022-04-08T00:00:00"/>
    <s v="10443.9"/>
    <s v="Zaakceptowana"/>
    <s v="Faktura VAT"/>
    <s v="Apteka Szpitalna"/>
    <s v="UM-VIT-01"/>
    <b v="0"/>
    <n v="10443.9"/>
    <s v="OK"/>
    <x v="0"/>
    <x v="0"/>
    <s v="2022-04"/>
    <n v="1"/>
  </r>
  <r>
    <s v="FV/16/SAL/22"/>
    <s v="PZ/800268"/>
    <x v="1"/>
    <d v="2022-04-08T00:00:00"/>
    <s v="15597.24"/>
    <s v="Zaakceptowana"/>
    <s v="Faktura VAT"/>
    <s v="Apteka Szpitalna"/>
    <s v="UM-SAL-02"/>
    <b v="0"/>
    <n v="15597.24"/>
    <s v="OK"/>
    <x v="0"/>
    <x v="0"/>
    <s v="2022-04"/>
    <n v="1"/>
  </r>
  <r>
    <s v="FV/39/PP/7072/22"/>
    <s v="PZ/800269"/>
    <x v="6"/>
    <d v="2022-04-08T00:00:00"/>
    <s v="16774.44"/>
    <s v="Zaakceptowana"/>
    <s v="Faktura VAT"/>
    <s v="Apteka Szpitalna"/>
    <s v="UM-PHA-01"/>
    <b v="0"/>
    <n v="16774.439999999999"/>
    <s v="OK"/>
    <x v="0"/>
    <x v="0"/>
    <s v="2022-04"/>
    <n v="1"/>
  </r>
  <r>
    <s v="FV/POL/62053/2022"/>
    <s v="PZ/800270"/>
    <x v="0"/>
    <d v="2022-04-09T00:00:00"/>
    <s v="11702.56"/>
    <s v="Zaakceptowana"/>
    <s v="Faktura VAT"/>
    <s v="Apteka Szpitalna"/>
    <s v="UM-POL-01"/>
    <b v="0"/>
    <n v="11702.56"/>
    <s v="OK"/>
    <x v="0"/>
    <x v="0"/>
    <s v="2022-04"/>
    <n v="1"/>
  </r>
  <r>
    <s v="FV/55/SAL/22"/>
    <s v="PZ/800271"/>
    <x v="1"/>
    <d v="2022-04-09T00:00:00"/>
    <s v="10052.35"/>
    <s v="Zaakceptowana"/>
    <s v="Faktura VAT"/>
    <s v="Apteka Szpitalna"/>
    <s v="UM-SAL-02"/>
    <b v="0"/>
    <n v="10052.35"/>
    <s v="OK"/>
    <x v="0"/>
    <x v="0"/>
    <s v="2022-04"/>
    <n v="1"/>
  </r>
  <r>
    <s v="FV/M/3712/P/22"/>
    <s v="PZ/800272"/>
    <x v="5"/>
    <d v="2022-04-09T00:00:00"/>
    <s v="9973.04"/>
    <s v="Zaakceptowana"/>
    <s v="Faktura VAT"/>
    <s v="Apteka Szpitalna"/>
    <s v=""/>
    <b v="0"/>
    <n v="9973.0400000000009"/>
    <s v="OK"/>
    <x v="1"/>
    <x v="0"/>
    <s v="2022-04"/>
    <n v="1"/>
  </r>
  <r>
    <s v="FV/6566/NOVA/22"/>
    <s v="PZ/800273"/>
    <x v="2"/>
    <d v="2022-04-09T00:00:00"/>
    <s v="17030.47"/>
    <s v="Zaakceptowana"/>
    <s v="Faktura VAT"/>
    <s v="Apteka Szpitalna"/>
    <s v="UM-NOV-01"/>
    <b v="0"/>
    <n v="17030.47"/>
    <s v="OK"/>
    <x v="0"/>
    <x v="0"/>
    <s v="2022-04"/>
    <n v="1"/>
  </r>
  <r>
    <s v="FV/2457/NOVA/22"/>
    <s v="PZ/800274"/>
    <x v="2"/>
    <d v="2022-04-10T00:00:00"/>
    <s v="30202.54"/>
    <s v="Zaakceptowana"/>
    <s v="Faktura VAT"/>
    <s v="Apteka Szpitalna"/>
    <s v="UM-NOV-01"/>
    <b v="0"/>
    <n v="30202.54"/>
    <s v="OK"/>
    <x v="0"/>
    <x v="0"/>
    <s v="2022-04"/>
    <n v="1"/>
  </r>
  <r>
    <s v="FV/5570HM/22"/>
    <s v="PZ/800275"/>
    <x v="3"/>
    <d v="2022-04-10T00:00:00"/>
    <s v="13170.48"/>
    <s v="Zaakceptowana"/>
    <s v="Faktura VAT"/>
    <s v="Apteka Szpitalna"/>
    <s v="UM-HUR-03"/>
    <b v="0"/>
    <n v="13170.48"/>
    <s v="OK"/>
    <x v="0"/>
    <x v="0"/>
    <s v="2022-04"/>
    <n v="1"/>
  </r>
  <r>
    <s v="FV/3672/NOVA/22"/>
    <s v="PZ/800276"/>
    <x v="2"/>
    <d v="2022-04-11T00:00:00"/>
    <s v="21712.81"/>
    <s v="Zaakceptowana"/>
    <s v="Faktura VAT"/>
    <s v="Apteka Szpitalna"/>
    <s v="UM-NOV-02"/>
    <b v="0"/>
    <n v="21712.81"/>
    <s v="OK"/>
    <x v="0"/>
    <x v="0"/>
    <s v="2022-04"/>
    <n v="1"/>
  </r>
  <r>
    <s v="FV/5756HM/22"/>
    <s v="PZ/800277"/>
    <x v="3"/>
    <d v="2022-04-11T00:00:00"/>
    <s v="19544.16"/>
    <s v="Zaakceptowana"/>
    <s v="Faktura VAT"/>
    <s v="Apteka Szpitalna"/>
    <s v="UM-HUR-03"/>
    <b v="0"/>
    <n v="19544.16"/>
    <s v="OK"/>
    <x v="0"/>
    <x v="0"/>
    <s v="2022-04"/>
    <n v="1"/>
  </r>
  <r>
    <s v="FV/68/SAL/22"/>
    <s v="PZ/800278"/>
    <x v="1"/>
    <d v="2022-04-12T00:00:00"/>
    <s v="18847.66"/>
    <s v="Zaakceptowana"/>
    <s v="Faktura VAT"/>
    <s v="Apteka Szpitalna"/>
    <s v="UM-SAL-01"/>
    <b v="0"/>
    <n v="18847.66"/>
    <s v="OK"/>
    <x v="0"/>
    <x v="0"/>
    <s v="2022-04"/>
    <n v="1"/>
  </r>
  <r>
    <s v="FV/74/SAL/22"/>
    <s v="PZ/800279"/>
    <x v="1"/>
    <d v="2022-04-12T00:00:00"/>
    <s v="2822.3"/>
    <s v="Zaakceptowana"/>
    <s v="Faktura VAT"/>
    <s v="Apteka Szpitalna"/>
    <s v=""/>
    <b v="0"/>
    <n v="2822.3"/>
    <s v="OK"/>
    <x v="1"/>
    <x v="0"/>
    <s v="2022-04"/>
    <n v="1"/>
  </r>
  <r>
    <s v="FV/19/SAL/22"/>
    <s v="PZ/800280"/>
    <x v="1"/>
    <d v="2022-04-12T00:00:00"/>
    <s v="16625.66"/>
    <s v="Zaakceptowana"/>
    <s v="Faktura VAT"/>
    <s v="Apteka Szpitalna"/>
    <s v="UM-SAL-02"/>
    <b v="0"/>
    <n v="16625.66"/>
    <s v="OK"/>
    <x v="0"/>
    <x v="0"/>
    <s v="2022-04"/>
    <n v="1"/>
  </r>
  <r>
    <s v="FV/4458HM/22"/>
    <s v="PZ/800281"/>
    <x v="3"/>
    <d v="2022-04-13T00:00:00"/>
    <s v="24723.51"/>
    <s v="Zaakceptowana"/>
    <s v="Faktura VAT"/>
    <s v="Apteka Szpitalna"/>
    <s v=""/>
    <b v="0"/>
    <n v="24723.51"/>
    <s v="OK"/>
    <x v="1"/>
    <x v="0"/>
    <s v="2022-04"/>
    <n v="1"/>
  </r>
  <r>
    <s v="FV/CENFA/972154/22"/>
    <s v="PZ/800282"/>
    <x v="4"/>
    <d v="2022-04-13T00:00:00"/>
    <s v="15734.24"/>
    <s v="Zaakceptowana"/>
    <s v="Faktura VAT"/>
    <s v="Apteka Szpitalna"/>
    <s v=""/>
    <b v="0"/>
    <n v="15734.24"/>
    <s v="OK"/>
    <x v="1"/>
    <x v="0"/>
    <s v="2022-04"/>
    <n v="1"/>
  </r>
  <r>
    <s v="FV/CENFA/644283/22"/>
    <s v="PZ/800283"/>
    <x v="4"/>
    <d v="2022-04-13T00:00:00"/>
    <s v="21455.82"/>
    <s v="Zaakceptowana"/>
    <s v="Faktura VAT"/>
    <s v="Apteka Szpitalna"/>
    <s v="UM-CEN-01"/>
    <b v="0"/>
    <n v="21455.82"/>
    <s v="OK"/>
    <x v="0"/>
    <x v="0"/>
    <s v="2022-04"/>
    <n v="1"/>
  </r>
  <r>
    <s v="FV/35/SAL/22"/>
    <s v="PZ/800284"/>
    <x v="1"/>
    <d v="2022-04-14T00:00:00"/>
    <s v="11849.88"/>
    <s v="Zaakceptowana"/>
    <s v="Faktura VAT"/>
    <s v="Apteka Szpitalna"/>
    <s v=""/>
    <b v="0"/>
    <n v="11849.88"/>
    <s v="OK"/>
    <x v="1"/>
    <x v="0"/>
    <s v="2022-04"/>
    <n v="1"/>
  </r>
  <r>
    <s v="FV/87/PP/7581/22"/>
    <s v="PZ/800285"/>
    <x v="6"/>
    <d v="2022-04-14T00:00:00"/>
    <s v="11464.82"/>
    <s v="Zaakceptowana"/>
    <s v="Faktura VAT"/>
    <s v="Apteka Szpitalna"/>
    <s v="UM-PHA-01"/>
    <b v="0"/>
    <n v="11464.82"/>
    <s v="OK"/>
    <x v="0"/>
    <x v="0"/>
    <s v="2022-04"/>
    <n v="1"/>
  </r>
  <r>
    <s v="FV/7621/NOVA/22"/>
    <s v="PZ/800286"/>
    <x v="2"/>
    <d v="2022-04-14T00:00:00"/>
    <s v="18742.66"/>
    <s v="Zaakceptowana"/>
    <s v="Faktura VAT"/>
    <s v="Apteka Szpitalna"/>
    <s v="UM-NOV-02"/>
    <b v="0"/>
    <n v="18742.66"/>
    <s v="OK"/>
    <x v="0"/>
    <x v="0"/>
    <s v="2022-04"/>
    <n v="1"/>
  </r>
  <r>
    <s v="FV/41/PP/8583/22"/>
    <s v="PZ/800287"/>
    <x v="6"/>
    <d v="2022-04-15T00:00:00"/>
    <s v="12718.52"/>
    <s v="Zaakceptowana"/>
    <s v="Faktura VAT"/>
    <s v="Apteka Szpitalna"/>
    <s v="UM-PHA-02"/>
    <b v="0"/>
    <n v="12718.52"/>
    <s v="OK"/>
    <x v="0"/>
    <x v="0"/>
    <s v="2022-04"/>
    <n v="1"/>
  </r>
  <r>
    <s v="FV/CENFA/870404/22"/>
    <s v="PZ/800288"/>
    <x v="4"/>
    <d v="2022-04-16T00:00:00"/>
    <s v="19703.16"/>
    <s v="Zaakceptowana"/>
    <s v="Faktura VAT"/>
    <s v="Apteka Szpitalna"/>
    <s v="UM-CEN-02"/>
    <b v="0"/>
    <n v="19703.16"/>
    <s v="OK"/>
    <x v="0"/>
    <x v="0"/>
    <s v="2022-04"/>
    <n v="1"/>
  </r>
  <r>
    <s v="FV/58/PP/6202/22"/>
    <s v="PZ/800289"/>
    <x v="6"/>
    <d v="2022-04-16T00:00:00"/>
    <s v="-137.66"/>
    <s v="Zaakceptowana"/>
    <s v="Korekta FV"/>
    <s v="Apteka Szpitalna"/>
    <s v="UM-PHA-02"/>
    <b v="0"/>
    <n v="-137.66"/>
    <s v="OK"/>
    <x v="0"/>
    <x v="0"/>
    <s v="2022-04"/>
    <n v="1"/>
  </r>
  <r>
    <s v="FV/96/SAL/22"/>
    <s v="PZ/800290"/>
    <x v="1"/>
    <d v="2022-04-16T00:00:00"/>
    <s v="15721.2"/>
    <s v="Zaakceptowana"/>
    <s v="Faktura VAT"/>
    <s v="Apteka Szpitalna"/>
    <s v="UM-SAL-01"/>
    <b v="0"/>
    <n v="15721.2"/>
    <s v="OK"/>
    <x v="0"/>
    <x v="0"/>
    <s v="2022-04"/>
    <n v="1"/>
  </r>
  <r>
    <s v="FV/5997/NOVA/22"/>
    <s v="PZ/800291"/>
    <x v="2"/>
    <d v="2022-04-17T00:00:00"/>
    <s v="11380.81"/>
    <s v="Zaakceptowana"/>
    <s v="Faktura VAT"/>
    <s v="Apteka Szpitalna"/>
    <s v="UM-NOV-01"/>
    <b v="0"/>
    <n v="11380.81"/>
    <s v="OK"/>
    <x v="0"/>
    <x v="0"/>
    <s v="2022-04"/>
    <n v="1"/>
  </r>
  <r>
    <s v="FV/M/6373/P/22"/>
    <s v="PZ/800292"/>
    <x v="5"/>
    <d v="2022-04-17T00:00:00"/>
    <s v="23204.4"/>
    <s v="Zaakceptowana"/>
    <s v="Faktura VAT"/>
    <s v="Apteka Szpitalna"/>
    <s v="UM-MED-01"/>
    <b v="0"/>
    <n v="23204.400000000001"/>
    <s v="OK"/>
    <x v="0"/>
    <x v="0"/>
    <s v="2022-04"/>
    <n v="1"/>
  </r>
  <r>
    <s v="FV/54296/VDb/2022"/>
    <s v="PZ/800293"/>
    <x v="7"/>
    <d v="2022-04-17T00:00:00"/>
    <s v="13746.61"/>
    <s v="Zaakceptowana"/>
    <s v="Faktura VAT"/>
    <s v="Apteka Szpitalna"/>
    <s v=""/>
    <b v="0"/>
    <n v="13746.61"/>
    <s v="OK"/>
    <x v="1"/>
    <x v="0"/>
    <s v="2022-04"/>
    <n v="1"/>
  </r>
  <r>
    <s v="FV/37/PP/4791/22"/>
    <s v="PZ/800294"/>
    <x v="6"/>
    <d v="2022-04-17T00:00:00"/>
    <s v="18299.37"/>
    <s v="Zaakceptowana"/>
    <s v="Faktura VAT"/>
    <s v="Apteka Szpitalna"/>
    <s v="UM-PHA-02"/>
    <b v="0"/>
    <n v="18299.37"/>
    <s v="OK"/>
    <x v="0"/>
    <x v="0"/>
    <s v="2022-04"/>
    <n v="1"/>
  </r>
  <r>
    <s v="FV/CENFA/849070/22"/>
    <s v="PZ/800295"/>
    <x v="4"/>
    <d v="2022-04-17T00:00:00"/>
    <s v="29104.31"/>
    <s v="Zaakceptowana"/>
    <s v="Faktura VAT"/>
    <s v="Apteka Szpitalna"/>
    <s v="UM-CEN-02"/>
    <b v="0"/>
    <n v="29104.31"/>
    <s v="OK"/>
    <x v="0"/>
    <x v="0"/>
    <s v="2022-04"/>
    <n v="1"/>
  </r>
  <r>
    <s v="FV/CENFA/670110/22"/>
    <s v="PZ/800296"/>
    <x v="4"/>
    <d v="2022-04-18T00:00:00"/>
    <s v="24122.12"/>
    <s v="Zaakceptowana"/>
    <s v="Faktura VAT"/>
    <s v="Apteka Szpitalna"/>
    <s v="UM-CEN-01"/>
    <b v="0"/>
    <n v="24122.12"/>
    <s v="OK"/>
    <x v="0"/>
    <x v="0"/>
    <s v="2022-04"/>
    <n v="1"/>
  </r>
  <r>
    <s v="FV/4546/NOVA/22"/>
    <s v="PZ/800297"/>
    <x v="2"/>
    <d v="2022-04-18T00:00:00"/>
    <s v="3956.24"/>
    <s v="Zaakceptowana"/>
    <s v="Faktura VAT"/>
    <s v="Apteka Szpitalna"/>
    <s v="UM-NOV-02"/>
    <b v="0"/>
    <n v="3956.24"/>
    <s v="OK"/>
    <x v="0"/>
    <x v="0"/>
    <s v="2022-04"/>
    <n v="1"/>
  </r>
  <r>
    <s v="FV/30/PP/3032/22"/>
    <s v="PZ/800298"/>
    <x v="6"/>
    <d v="2022-04-18T00:00:00"/>
    <s v="15143.84"/>
    <s v="Zaakceptowana"/>
    <s v="Faktura VAT"/>
    <s v="Apteka Szpitalna"/>
    <s v="UM-PHA-02"/>
    <b v="0"/>
    <n v="15143.84"/>
    <s v="OK"/>
    <x v="0"/>
    <x v="0"/>
    <s v="2022-04"/>
    <n v="1"/>
  </r>
  <r>
    <s v="FV/99/PP/6852/22"/>
    <s v="PZ/800299"/>
    <x v="6"/>
    <d v="2022-04-19T00:00:00"/>
    <s v="18855.1"/>
    <s v="Zaakceptowana"/>
    <s v="Faktura VAT"/>
    <s v="Apteka Szpitalna"/>
    <s v="UM-PHA-02"/>
    <b v="0"/>
    <n v="18855.099999999999"/>
    <s v="OK"/>
    <x v="0"/>
    <x v="0"/>
    <s v="2022-04"/>
    <n v="1"/>
  </r>
  <r>
    <s v="FV/9662/NOVA/22"/>
    <s v="PZ/800300"/>
    <x v="2"/>
    <d v="2022-04-19T00:00:00"/>
    <s v="16525.71"/>
    <s v="Zaakceptowana"/>
    <s v="Faktura VAT"/>
    <s v="Apteka Szpitalna"/>
    <s v=""/>
    <b v="0"/>
    <n v="16525.71"/>
    <s v="OK"/>
    <x v="1"/>
    <x v="0"/>
    <s v="2022-04"/>
    <n v="1"/>
  </r>
  <r>
    <s v="FV/39873/VDb/2022"/>
    <s v="PZ/800301"/>
    <x v="7"/>
    <d v="2022-04-21T00:00:00"/>
    <s v="14266.84"/>
    <s v="Zaakceptowana"/>
    <s v="Faktura VAT"/>
    <s v="Apteka Szpitalna"/>
    <s v="UM-VIT-01"/>
    <b v="0"/>
    <n v="14266.84"/>
    <s v="OK"/>
    <x v="0"/>
    <x v="0"/>
    <s v="2022-04"/>
    <n v="1"/>
  </r>
  <r>
    <s v="FV/24710/VDb/2022"/>
    <s v="PZ/800302"/>
    <x v="7"/>
    <d v="2022-04-22T00:00:00"/>
    <s v="16850.06"/>
    <s v="Zaakceptowana"/>
    <s v="Faktura VAT"/>
    <s v="Apteka Szpitalna"/>
    <s v="UM-VIT-01"/>
    <b v="0"/>
    <n v="16850.060000000001"/>
    <s v="OK"/>
    <x v="0"/>
    <x v="0"/>
    <s v="2022-04"/>
    <n v="1"/>
  </r>
  <r>
    <s v="FV/4459/NOVA/22"/>
    <s v="PZ/800303"/>
    <x v="2"/>
    <d v="2022-04-22T00:00:00"/>
    <s v="11956.37"/>
    <s v="Zaakceptowana"/>
    <s v="Faktura VAT"/>
    <s v="Apteka Szpitalna"/>
    <s v="UM-NOV-01"/>
    <b v="0"/>
    <n v="11956.37"/>
    <s v="OK"/>
    <x v="0"/>
    <x v="0"/>
    <s v="2022-04"/>
    <n v="1"/>
  </r>
  <r>
    <s v="FV/75/PP/7657/22"/>
    <s v="PZ/800304"/>
    <x v="6"/>
    <d v="2022-04-22T00:00:00"/>
    <s v="15148.61"/>
    <s v="Zaakceptowana"/>
    <s v="Faktura VAT"/>
    <s v="Apteka Szpitalna"/>
    <s v="UM-PHA-02"/>
    <b v="0"/>
    <n v="15148.61"/>
    <s v="OK"/>
    <x v="0"/>
    <x v="0"/>
    <s v="2022-04"/>
    <n v="1"/>
  </r>
  <r>
    <s v="FV/84/PP/6146/22"/>
    <s v="PZ/800305"/>
    <x v="6"/>
    <d v="2022-04-24T00:00:00"/>
    <s v="17733.18"/>
    <s v="Zaakceptowana"/>
    <s v="Faktura VAT"/>
    <s v="Apteka Szpitalna"/>
    <s v="UM-PHA-01"/>
    <b v="0"/>
    <n v="17733.18"/>
    <s v="OK"/>
    <x v="0"/>
    <x v="0"/>
    <s v="2022-04"/>
    <n v="1"/>
  </r>
  <r>
    <s v="FV/CENFA/286913/22"/>
    <s v="PZ/800306"/>
    <x v="4"/>
    <d v="2022-04-24T00:00:00"/>
    <s v="20602.84"/>
    <s v="Zaakceptowana"/>
    <s v="Faktura VAT"/>
    <s v="Apteka Szpitalna"/>
    <s v="UM-CEN-02"/>
    <b v="0"/>
    <n v="20602.84"/>
    <s v="OK"/>
    <x v="0"/>
    <x v="0"/>
    <s v="2022-04"/>
    <n v="1"/>
  </r>
  <r>
    <s v="FV/64040/VDb/2022"/>
    <s v="PZ/800307"/>
    <x v="7"/>
    <d v="2022-04-24T00:00:00"/>
    <s v="20104.33"/>
    <s v="Zaakceptowana"/>
    <s v="Faktura VAT"/>
    <s v="Apteka Szpitalna"/>
    <s v="UM-VIT-01"/>
    <b v="0"/>
    <n v="20104.330000000002"/>
    <s v="OK"/>
    <x v="0"/>
    <x v="0"/>
    <s v="2022-04"/>
    <n v="1"/>
  </r>
  <r>
    <s v="FV/20/SAL/22"/>
    <s v="PZ/800308"/>
    <x v="1"/>
    <d v="2022-04-24T00:00:00"/>
    <s v="19474.63"/>
    <s v="Zaakceptowana"/>
    <s v="Faktura VAT"/>
    <s v="Apteka Szpitalna"/>
    <s v="UM-SAL-01"/>
    <b v="0"/>
    <n v="19474.63"/>
    <s v="OK"/>
    <x v="0"/>
    <x v="0"/>
    <s v="2022-04"/>
    <n v="1"/>
  </r>
  <r>
    <s v="FV/36285/VDb/2022"/>
    <s v="PZ/800309"/>
    <x v="7"/>
    <d v="2022-04-25T00:00:00"/>
    <s v="16922.97"/>
    <s v="Zaakceptowana"/>
    <s v="Faktura VAT"/>
    <s v="Apteka Szpitalna"/>
    <s v=""/>
    <b v="0"/>
    <n v="16922.97"/>
    <s v="OK"/>
    <x v="1"/>
    <x v="0"/>
    <s v="2022-04"/>
    <n v="1"/>
  </r>
  <r>
    <s v="FV/2125HM/22"/>
    <s v="PZ/800310"/>
    <x v="3"/>
    <d v="2022-04-25T00:00:00"/>
    <s v="17392.29"/>
    <s v="Zaakceptowana"/>
    <s v="Faktura VAT"/>
    <s v="Apteka Szpitalna"/>
    <s v="UM-HUR-01"/>
    <b v="0"/>
    <n v="17392.29"/>
    <s v="OK"/>
    <x v="0"/>
    <x v="0"/>
    <s v="2022-04"/>
    <n v="1"/>
  </r>
  <r>
    <s v="FV/1208/NOVA/22"/>
    <s v="PZ/800311"/>
    <x v="2"/>
    <d v="2022-04-25T00:00:00"/>
    <s v="12006.19"/>
    <s v="Zaakceptowana"/>
    <s v="Faktura VAT"/>
    <s v="Apteka Szpitalna"/>
    <s v=""/>
    <b v="0"/>
    <n v="12006.19"/>
    <s v="OK"/>
    <x v="1"/>
    <x v="0"/>
    <s v="2022-04"/>
    <n v="1"/>
  </r>
  <r>
    <s v="FV/M/1136/P/22"/>
    <s v="PZ/800312"/>
    <x v="5"/>
    <d v="2022-04-26T00:00:00"/>
    <s v="9984.4"/>
    <s v="Zaakceptowana"/>
    <s v="Faktura VAT"/>
    <s v="Apteka Szpitalna"/>
    <s v=""/>
    <b v="0"/>
    <n v="9984.4"/>
    <s v="OK"/>
    <x v="1"/>
    <x v="0"/>
    <s v="2022-04"/>
    <n v="1"/>
  </r>
  <r>
    <s v="FV/M/8927/P/22"/>
    <s v="PZ/800313"/>
    <x v="5"/>
    <d v="2022-04-26T00:00:00"/>
    <s v="9114.39"/>
    <s v="Zaakceptowana"/>
    <s v="Faktura VAT"/>
    <s v="Apteka Szpitalna"/>
    <s v="UM-MED-01"/>
    <b v="0"/>
    <n v="9114.39"/>
    <s v="OK"/>
    <x v="0"/>
    <x v="0"/>
    <s v="2022-04"/>
    <n v="1"/>
  </r>
  <r>
    <s v="FV/1018HM/22"/>
    <s v="PZ/800314"/>
    <x v="3"/>
    <d v="2022-04-27T00:00:00"/>
    <s v="5711.26"/>
    <s v="Zaakceptowana"/>
    <s v="Faktura VAT"/>
    <s v="Apteka Szpitalna"/>
    <s v="UM-HUR-02"/>
    <b v="0"/>
    <n v="5711.26"/>
    <s v="OK"/>
    <x v="0"/>
    <x v="0"/>
    <s v="2022-04"/>
    <n v="1"/>
  </r>
  <r>
    <s v="FV/CENFA/593777/22"/>
    <s v="PZ/800315"/>
    <x v="4"/>
    <d v="2022-04-28T00:00:00"/>
    <s v="21229.91"/>
    <s v="Zaakceptowana"/>
    <s v="Faktura VAT"/>
    <s v="Apteka Szpitalna"/>
    <s v="UM-CEN-02"/>
    <b v="0"/>
    <n v="21229.91"/>
    <s v="OK"/>
    <x v="0"/>
    <x v="0"/>
    <s v="2022-04"/>
    <n v="1"/>
  </r>
  <r>
    <s v="FV/POL/63010/2022"/>
    <s v="PZ/800316"/>
    <x v="0"/>
    <d v="2022-04-28T00:00:00"/>
    <s v="5295.78"/>
    <s v="Zaakceptowana"/>
    <s v="Faktura VAT"/>
    <s v="Apteka Szpitalna"/>
    <s v=""/>
    <b v="0"/>
    <n v="5295.78"/>
    <s v="OK"/>
    <x v="1"/>
    <x v="0"/>
    <s v="2022-04"/>
    <n v="1"/>
  </r>
  <r>
    <s v="FV/M/6546/P/22"/>
    <s v="PZ/800317"/>
    <x v="5"/>
    <d v="2022-04-29T00:00:00"/>
    <s v="15139.08"/>
    <s v="Zaakceptowana"/>
    <s v="Faktura VAT"/>
    <s v="Apteka Szpitalna"/>
    <s v="UM-MED-01"/>
    <b v="0"/>
    <n v="15139.08"/>
    <s v="OK"/>
    <x v="0"/>
    <x v="0"/>
    <s v="2022-04"/>
    <n v="1"/>
  </r>
  <r>
    <s v="FV/CENFA/308662/22"/>
    <s v="PZ/800318"/>
    <x v="4"/>
    <d v="2022-04-29T00:00:00"/>
    <s v="19422.31"/>
    <s v="Zaakceptowana"/>
    <s v="Faktura VAT"/>
    <s v="Apteka Szpitalna"/>
    <s v="UM-CEN-01"/>
    <b v="0"/>
    <n v="19422.310000000001"/>
    <s v="OK"/>
    <x v="0"/>
    <x v="0"/>
    <s v="2022-04"/>
    <n v="1"/>
  </r>
  <r>
    <s v="FV/POL/26114/2022"/>
    <s v="PZ/800319"/>
    <x v="0"/>
    <d v="2022-04-29T00:00:00"/>
    <s v="11652.94"/>
    <s v="Zaakceptowana"/>
    <s v="Faktura VAT"/>
    <s v="Apteka Szpitalna"/>
    <s v="UM-POL-03"/>
    <b v="0"/>
    <n v="11652.94"/>
    <s v="OK"/>
    <x v="0"/>
    <x v="0"/>
    <s v="2022-04"/>
    <n v="1"/>
  </r>
  <r>
    <s v="FV/POL/15091/2022"/>
    <s v="PZ/800320"/>
    <x v="0"/>
    <d v="2022-04-30T00:00:00"/>
    <s v="12126.18"/>
    <s v="Zaakceptowana"/>
    <s v="Faktura VAT"/>
    <s v="Apteka Szpitalna"/>
    <s v="UM-POL-02"/>
    <b v="0"/>
    <n v="12126.18"/>
    <s v="OK"/>
    <x v="0"/>
    <x v="0"/>
    <s v="2022-04"/>
    <n v="1"/>
  </r>
  <r>
    <s v="FV/M/2163/P/22"/>
    <s v="PZ/800321"/>
    <x v="5"/>
    <d v="2022-04-30T00:00:00"/>
    <s v="11041.2"/>
    <s v="Zaakceptowana"/>
    <s v="Faktura VAT"/>
    <s v="Apteka Szpitalna"/>
    <s v="UM-MED-02"/>
    <b v="0"/>
    <n v="11041.2"/>
    <s v="OK"/>
    <x v="0"/>
    <x v="0"/>
    <s v="2022-04"/>
    <n v="1"/>
  </r>
  <r>
    <s v="FV/CENFA/738207/22"/>
    <s v="PZ/800322"/>
    <x v="4"/>
    <d v="2022-04-30T00:00:00"/>
    <s v="14750.95"/>
    <s v="Zaakceptowana"/>
    <s v="Faktura VAT"/>
    <s v="Apteka Szpitalna"/>
    <s v="UM-CEN-02"/>
    <b v="0"/>
    <n v="14750.95"/>
    <s v="OK"/>
    <x v="0"/>
    <x v="0"/>
    <s v="2022-04"/>
    <n v="1"/>
  </r>
  <r>
    <s v="FV/CENFA/775833/22"/>
    <s v="PZ/800323"/>
    <x v="4"/>
    <d v="2022-04-30T00:00:00"/>
    <s v="11859.26"/>
    <s v="Zaakceptowana"/>
    <s v="Faktura VAT"/>
    <s v="Apteka Szpitalna"/>
    <s v="UM-CEN-01"/>
    <b v="0"/>
    <n v="11859.26"/>
    <s v="OK"/>
    <x v="0"/>
    <x v="0"/>
    <s v="2022-04"/>
    <n v="1"/>
  </r>
  <r>
    <s v="FV/CENFA/351549/22"/>
    <s v="PZ/800324"/>
    <x v="4"/>
    <d v="2022-04-30T00:00:00"/>
    <s v="16226.59"/>
    <s v="Zaakceptowana"/>
    <s v="Faktura VAT"/>
    <s v="Apteka Szpitalna"/>
    <s v="UM-CEN-01"/>
    <b v="0"/>
    <n v="16226.59"/>
    <s v="OK"/>
    <x v="0"/>
    <x v="0"/>
    <s v="2022-04"/>
    <n v="1"/>
  </r>
  <r>
    <s v="FV/CENFA/468169/22"/>
    <s v="PZ/800325"/>
    <x v="4"/>
    <d v="2022-05-01T00:00:00"/>
    <s v="19042.46"/>
    <s v="Zaakceptowana"/>
    <s v="Faktura VAT"/>
    <s v="Apteka Szpitalna"/>
    <s v="UM-CEN-01"/>
    <b v="0"/>
    <n v="19042.46"/>
    <s v="OK"/>
    <x v="0"/>
    <x v="0"/>
    <s v="2022-05"/>
    <n v="1"/>
  </r>
  <r>
    <s v="FV/POL/42553/2022"/>
    <s v="PZ/800326"/>
    <x v="0"/>
    <d v="2022-05-02T00:00:00"/>
    <s v="17323.51"/>
    <s v="Zaakceptowana"/>
    <s v="Faktura VAT"/>
    <s v="Apteka Szpitalna"/>
    <s v="UM-POL-01"/>
    <b v="0"/>
    <n v="17323.509999999998"/>
    <s v="OK"/>
    <x v="0"/>
    <x v="0"/>
    <s v="2022-05"/>
    <n v="1"/>
  </r>
  <r>
    <s v="FV/POL/77764/2022"/>
    <s v="PZ/800327"/>
    <x v="0"/>
    <d v="2022-05-02T00:00:00"/>
    <s v="11164.89"/>
    <s v="Zaakceptowana"/>
    <s v="Faktura VAT"/>
    <s v="Apteka Szpitalna"/>
    <s v="UM-POL-03"/>
    <b v="0"/>
    <n v="11164.89"/>
    <s v="OK"/>
    <x v="0"/>
    <x v="0"/>
    <s v="2022-05"/>
    <n v="1"/>
  </r>
  <r>
    <s v="FV/29/SAL/22"/>
    <s v="PZ/800328"/>
    <x v="1"/>
    <d v="2022-05-02T00:00:00"/>
    <s v="-1034.76"/>
    <s v="Zaakceptowana"/>
    <s v="Korekta FV"/>
    <s v="Apteka Szpitalna"/>
    <s v=""/>
    <b v="0"/>
    <n v="-1034.76"/>
    <s v="OK"/>
    <x v="1"/>
    <x v="0"/>
    <s v="2022-05"/>
    <n v="1"/>
  </r>
  <r>
    <s v="FV/M/3000/P/22"/>
    <s v="PZ/800329"/>
    <x v="5"/>
    <d v="2022-05-02T00:00:00"/>
    <s v="10148.77"/>
    <s v="Zaakceptowana"/>
    <s v="Faktura VAT"/>
    <s v="Apteka Szpitalna"/>
    <s v="UM-MED-01"/>
    <b v="0"/>
    <n v="10148.77"/>
    <s v="OK"/>
    <x v="0"/>
    <x v="0"/>
    <s v="2022-05"/>
    <n v="1"/>
  </r>
  <r>
    <s v="FV/M/4618/P/22"/>
    <s v="PZ/800330"/>
    <x v="5"/>
    <d v="2022-05-02T00:00:00"/>
    <s v="12889.13"/>
    <s v="Zaakceptowana"/>
    <s v="Faktura VAT"/>
    <s v="Apteka Szpitalna"/>
    <s v="UM-MED-01"/>
    <b v="0"/>
    <n v="12889.13"/>
    <s v="OK"/>
    <x v="0"/>
    <x v="0"/>
    <s v="2022-05"/>
    <n v="1"/>
  </r>
  <r>
    <s v="FV/CENFA/155651/22"/>
    <s v="PZ/800331"/>
    <x v="4"/>
    <d v="2022-05-02T00:00:00"/>
    <s v="16463.82"/>
    <s v="Zaakceptowana"/>
    <s v="Faktura VAT"/>
    <s v="Apteka Szpitalna"/>
    <s v="UM-CEN-01"/>
    <b v="0"/>
    <n v="16463.82"/>
    <s v="OK"/>
    <x v="0"/>
    <x v="0"/>
    <s v="2022-05"/>
    <n v="1"/>
  </r>
  <r>
    <s v="FV/7969/NOVA/22"/>
    <s v="PZ/800332"/>
    <x v="2"/>
    <d v="2022-05-02T00:00:00"/>
    <s v="-1178.81"/>
    <s v="Zaakceptowana"/>
    <s v="Korekta FV"/>
    <s v="Apteka Szpitalna"/>
    <s v="UM-NOV-03"/>
    <b v="0"/>
    <n v="-1178.81"/>
    <s v="OK"/>
    <x v="0"/>
    <x v="0"/>
    <s v="2022-05"/>
    <n v="1"/>
  </r>
  <r>
    <s v="FV/62/SAL/22"/>
    <s v="PZ/800333"/>
    <x v="1"/>
    <d v="2022-05-03T00:00:00"/>
    <s v="12655.69"/>
    <s v="Zaakceptowana"/>
    <s v="Faktura VAT"/>
    <s v="Apteka Szpitalna"/>
    <s v="UM-SAL-02"/>
    <b v="0"/>
    <n v="12655.69"/>
    <s v="OK"/>
    <x v="0"/>
    <x v="0"/>
    <s v="2022-05"/>
    <n v="1"/>
  </r>
  <r>
    <s v="FV/6648/NOVA/22"/>
    <s v="PZ/800334"/>
    <x v="2"/>
    <d v="2022-05-03T00:00:00"/>
    <s v="8772.48"/>
    <s v="Zaakceptowana"/>
    <s v="Faktura VAT"/>
    <s v="Apteka Szpitalna"/>
    <s v="UM-NOV-02"/>
    <b v="0"/>
    <n v="8772.48"/>
    <s v="OK"/>
    <x v="0"/>
    <x v="0"/>
    <s v="2022-05"/>
    <n v="1"/>
  </r>
  <r>
    <s v="FV/7022/NOVA/22"/>
    <s v="PZ/800335"/>
    <x v="2"/>
    <d v="2022-05-04T00:00:00"/>
    <s v="25552.06"/>
    <s v="Zaakceptowana"/>
    <s v="Faktura VAT"/>
    <s v="Apteka Szpitalna"/>
    <s v="UM-NOV-02"/>
    <b v="0"/>
    <n v="25552.06"/>
    <s v="OK"/>
    <x v="0"/>
    <x v="0"/>
    <s v="2022-05"/>
    <n v="1"/>
  </r>
  <r>
    <s v="FV/9577/NOVA/22"/>
    <s v="PZ/800336"/>
    <x v="2"/>
    <d v="2022-05-04T00:00:00"/>
    <s v="11635.55"/>
    <s v="Zaakceptowana"/>
    <s v="Faktura VAT"/>
    <s v="Apteka Szpitalna"/>
    <s v="UM-NOV-01"/>
    <b v="0"/>
    <n v="11635.55"/>
    <s v="OK"/>
    <x v="0"/>
    <x v="0"/>
    <s v="2022-05"/>
    <n v="1"/>
  </r>
  <r>
    <s v="FV/2135HM/22"/>
    <s v="PZ/800337"/>
    <x v="3"/>
    <d v="2022-05-04T00:00:00"/>
    <s v="16822.54"/>
    <s v="Zaakceptowana"/>
    <s v="Faktura VAT"/>
    <s v="Apteka Szpitalna"/>
    <s v="UM-HUR-01"/>
    <b v="0"/>
    <n v="16822.54"/>
    <s v="OK"/>
    <x v="0"/>
    <x v="0"/>
    <s v="2022-05"/>
    <n v="1"/>
  </r>
  <r>
    <s v="FV/5378/NOVA/22"/>
    <s v="PZ/800338"/>
    <x v="2"/>
    <d v="2022-05-04T00:00:00"/>
    <s v="18869.74"/>
    <s v="Zaakceptowana"/>
    <s v="Faktura VAT"/>
    <s v="Apteka Szpitalna"/>
    <s v="UM-NOV-01"/>
    <b v="0"/>
    <n v="18869.740000000002"/>
    <s v="OK"/>
    <x v="0"/>
    <x v="0"/>
    <s v="2022-05"/>
    <n v="1"/>
  </r>
  <r>
    <s v="FV/2205/NOVA/22"/>
    <s v="PZ/800339"/>
    <x v="2"/>
    <d v="2022-05-05T00:00:00"/>
    <s v="19907.15"/>
    <s v="Zaakceptowana"/>
    <s v="Faktura VAT"/>
    <s v="Apteka Szpitalna"/>
    <s v="UM-NOV-02"/>
    <b v="0"/>
    <n v="19907.150000000001"/>
    <s v="OK"/>
    <x v="0"/>
    <x v="0"/>
    <s v="2022-05"/>
    <n v="1"/>
  </r>
  <r>
    <s v="FV/CENFA/187395/22"/>
    <s v="PZ/800340"/>
    <x v="4"/>
    <d v="2022-05-05T00:00:00"/>
    <s v="18410.76"/>
    <s v="Zaakceptowana"/>
    <s v="Faktura VAT"/>
    <s v="Apteka Szpitalna"/>
    <s v="UM-CEN-01"/>
    <b v="0"/>
    <n v="18410.759999999998"/>
    <s v="OK"/>
    <x v="0"/>
    <x v="0"/>
    <s v="2022-05"/>
    <n v="1"/>
  </r>
  <r>
    <s v="FV/CENFA/711616/22"/>
    <s v="PZ/800341"/>
    <x v="4"/>
    <d v="2022-05-06T00:00:00"/>
    <s v="21623.99"/>
    <s v="Zaakceptowana"/>
    <s v="Faktura VAT"/>
    <s v="Apteka Szpitalna"/>
    <s v=""/>
    <b v="0"/>
    <n v="21623.99"/>
    <s v="OK"/>
    <x v="1"/>
    <x v="0"/>
    <s v="2022-05"/>
    <n v="1"/>
  </r>
  <r>
    <s v="FV/M/1480/P/22"/>
    <s v="PZ/800342"/>
    <x v="5"/>
    <d v="2022-05-06T00:00:00"/>
    <s v="17948.18"/>
    <s v="Zaakceptowana"/>
    <s v="Faktura VAT"/>
    <s v="Apteka Szpitalna"/>
    <s v="UM-MED-02"/>
    <b v="0"/>
    <n v="17948.18"/>
    <s v="OK"/>
    <x v="0"/>
    <x v="0"/>
    <s v="2022-05"/>
    <n v="1"/>
  </r>
  <r>
    <s v="FV/78/SAL/22"/>
    <s v="PZ/800343"/>
    <x v="1"/>
    <d v="2022-05-06T00:00:00"/>
    <s v="20461.58"/>
    <s v="Zaakceptowana"/>
    <s v="Faktura VAT"/>
    <s v="Apteka Szpitalna"/>
    <s v=""/>
    <b v="0"/>
    <n v="20461.580000000002"/>
    <s v="OK"/>
    <x v="1"/>
    <x v="0"/>
    <s v="2022-05"/>
    <n v="1"/>
  </r>
  <r>
    <s v="FV/M/3540/P/22"/>
    <s v="PZ/800344"/>
    <x v="5"/>
    <d v="2022-05-08T00:00:00"/>
    <s v="11531.43"/>
    <s v="Zaakceptowana"/>
    <s v="Faktura VAT"/>
    <s v="Apteka Szpitalna"/>
    <s v=""/>
    <b v="0"/>
    <n v="11531.43"/>
    <s v="OK"/>
    <x v="1"/>
    <x v="0"/>
    <s v="2022-05"/>
    <n v="1"/>
  </r>
  <r>
    <s v="FV/M/2162/P/22"/>
    <s v="PZ/800345"/>
    <x v="5"/>
    <d v="2022-05-08T00:00:00"/>
    <s v="17770.39"/>
    <s v="Zaakceptowana"/>
    <s v="Faktura VAT"/>
    <s v="Apteka Szpitalna"/>
    <s v=""/>
    <b v="0"/>
    <n v="17770.39"/>
    <s v="OK"/>
    <x v="1"/>
    <x v="0"/>
    <s v="2022-05"/>
    <n v="1"/>
  </r>
  <r>
    <s v="FV/CENFA/449506/22"/>
    <s v="PZ/800346"/>
    <x v="4"/>
    <d v="2022-05-09T00:00:00"/>
    <s v="7893.79"/>
    <s v="Zaakceptowana"/>
    <s v="Faktura VAT"/>
    <s v="Apteka Szpitalna"/>
    <s v="UM-CEN-02"/>
    <b v="0"/>
    <n v="7893.79"/>
    <s v="OK"/>
    <x v="0"/>
    <x v="0"/>
    <s v="2022-05"/>
    <n v="1"/>
  </r>
  <r>
    <s v="FV/POL/18228/2022"/>
    <s v="PZ/800347"/>
    <x v="0"/>
    <d v="2022-05-09T00:00:00"/>
    <s v="16296.93"/>
    <s v="Zaakceptowana"/>
    <s v="Faktura VAT"/>
    <s v="Apteka Szpitalna"/>
    <s v="UM-POL-01"/>
    <b v="0"/>
    <n v="16296.93"/>
    <s v="OK"/>
    <x v="0"/>
    <x v="0"/>
    <s v="2022-05"/>
    <n v="1"/>
  </r>
  <r>
    <s v="FV/CENFA/652140/22"/>
    <s v="PZ/800348"/>
    <x v="4"/>
    <d v="2022-05-09T00:00:00"/>
    <s v="14572.55"/>
    <s v="Zaakceptowana"/>
    <s v="Faktura VAT"/>
    <s v="Apteka Szpitalna"/>
    <s v="UM-CEN-01"/>
    <b v="0"/>
    <n v="14572.55"/>
    <s v="OK"/>
    <x v="0"/>
    <x v="0"/>
    <s v="2022-05"/>
    <n v="1"/>
  </r>
  <r>
    <s v="FV/M/2174/P/22"/>
    <s v="PZ/800349"/>
    <x v="5"/>
    <d v="2022-05-10T00:00:00"/>
    <s v="19306.2"/>
    <s v="Zaakceptowana"/>
    <s v="Faktura VAT"/>
    <s v="Apteka Szpitalna"/>
    <s v="UM-MED-02"/>
    <b v="0"/>
    <n v="19306.2"/>
    <s v="OK"/>
    <x v="0"/>
    <x v="0"/>
    <s v="2022-05"/>
    <n v="1"/>
  </r>
  <r>
    <s v="FV/3038/NOVA/22"/>
    <s v="PZ/800350"/>
    <x v="2"/>
    <d v="2022-05-10T00:00:00"/>
    <s v="9895.53"/>
    <s v="Zaakceptowana"/>
    <s v="Faktura VAT"/>
    <s v="Apteka Szpitalna"/>
    <s v="UM-NOV-02"/>
    <b v="0"/>
    <n v="9895.5300000000007"/>
    <s v="OK"/>
    <x v="0"/>
    <x v="0"/>
    <s v="2022-05"/>
    <n v="1"/>
  </r>
  <r>
    <s v="FV/81240/VDb/2022"/>
    <s v="PZ/800351"/>
    <x v="7"/>
    <d v="2022-05-10T00:00:00"/>
    <s v="15644.27"/>
    <s v="Zaakceptowana"/>
    <s v="Faktura VAT"/>
    <s v="Apteka Szpitalna"/>
    <s v="UM-VIT-01"/>
    <b v="0"/>
    <n v="15644.27"/>
    <s v="OK"/>
    <x v="0"/>
    <x v="0"/>
    <s v="2022-05"/>
    <n v="1"/>
  </r>
  <r>
    <s v="FV/CENFA/391077/22"/>
    <s v="PZ/800352"/>
    <x v="4"/>
    <d v="2022-05-11T00:00:00"/>
    <s v="18819.07"/>
    <s v="Zaakceptowana"/>
    <s v="Faktura VAT"/>
    <s v="Apteka Szpitalna"/>
    <s v="UM-CEN-01"/>
    <b v="0"/>
    <n v="18819.07"/>
    <s v="OK"/>
    <x v="0"/>
    <x v="0"/>
    <s v="2022-05"/>
    <n v="1"/>
  </r>
  <r>
    <s v="FV/CENFA/469767/22"/>
    <s v="PZ/800353"/>
    <x v="4"/>
    <d v="2022-05-11T00:00:00"/>
    <s v="6386.58"/>
    <s v="Zaakceptowana"/>
    <s v="Faktura VAT"/>
    <s v="Apteka Szpitalna"/>
    <s v="UM-CEN-02"/>
    <b v="0"/>
    <n v="6386.58"/>
    <s v="OK"/>
    <x v="0"/>
    <x v="0"/>
    <s v="2022-05"/>
    <n v="1"/>
  </r>
  <r>
    <s v="FV/M/2035/P/22"/>
    <s v="PZ/800354"/>
    <x v="5"/>
    <d v="2022-05-12T00:00:00"/>
    <s v="17357.28"/>
    <s v="Zaakceptowana"/>
    <s v="Faktura VAT"/>
    <s v="Apteka Szpitalna"/>
    <s v="UM-MED-01"/>
    <b v="0"/>
    <n v="17357.28"/>
    <s v="OK"/>
    <x v="0"/>
    <x v="0"/>
    <s v="2022-05"/>
    <n v="1"/>
  </r>
  <r>
    <s v="FV/90833/VDb/2022"/>
    <s v="PZ/800355"/>
    <x v="7"/>
    <d v="2022-05-12T00:00:00"/>
    <s v="8584.12"/>
    <s v="Zaakceptowana"/>
    <s v="Faktura VAT"/>
    <s v="Apteka Szpitalna"/>
    <s v="UM-VIT-01"/>
    <b v="0"/>
    <n v="8584.1200000000008"/>
    <s v="OK"/>
    <x v="0"/>
    <x v="0"/>
    <s v="2022-05"/>
    <n v="1"/>
  </r>
  <r>
    <s v="FV/POL/78793/2022"/>
    <s v="PZ/800356"/>
    <x v="0"/>
    <d v="2022-05-12T00:00:00"/>
    <s v="13929.81"/>
    <s v="Zaakceptowana"/>
    <s v="Faktura VAT"/>
    <s v="Apteka Szpitalna"/>
    <s v="UM-POL-01"/>
    <b v="0"/>
    <n v="13929.81"/>
    <s v="OK"/>
    <x v="0"/>
    <x v="0"/>
    <s v="2022-05"/>
    <n v="1"/>
  </r>
  <r>
    <s v="FV/29816/VDb/2022"/>
    <s v="PZ/800357"/>
    <x v="7"/>
    <d v="2022-05-12T00:00:00"/>
    <s v="18418.85"/>
    <s v="Zaakceptowana"/>
    <s v="Faktura VAT"/>
    <s v="Apteka Szpitalna"/>
    <s v="UM-VIT-01"/>
    <b v="0"/>
    <n v="18418.849999999999"/>
    <s v="OK"/>
    <x v="0"/>
    <x v="0"/>
    <s v="2022-05"/>
    <n v="1"/>
  </r>
  <r>
    <s v="FV/6383/NOVA/22"/>
    <s v="PZ/800358"/>
    <x v="2"/>
    <d v="2022-05-13T00:00:00"/>
    <s v="12995.23"/>
    <s v="Zaakceptowana"/>
    <s v="Faktura VAT"/>
    <s v="Apteka Szpitalna"/>
    <s v="UM-NOV-01"/>
    <b v="0"/>
    <n v="12995.23"/>
    <s v="OK"/>
    <x v="0"/>
    <x v="0"/>
    <s v="2022-05"/>
    <n v="1"/>
  </r>
  <r>
    <s v="FV/88953/VDb/2022"/>
    <s v="PZ/800359"/>
    <x v="7"/>
    <d v="2022-05-13T00:00:00"/>
    <s v="15075.69"/>
    <s v="Zaakceptowana"/>
    <s v="Faktura VAT"/>
    <s v="Apteka Szpitalna"/>
    <s v="UM-VIT-01"/>
    <b v="0"/>
    <n v="15075.69"/>
    <s v="OK"/>
    <x v="0"/>
    <x v="0"/>
    <s v="2022-05"/>
    <n v="1"/>
  </r>
  <r>
    <s v="FV/30/SAL/22"/>
    <s v="PZ/800360"/>
    <x v="1"/>
    <d v="2022-05-14T00:00:00"/>
    <s v="17381.32"/>
    <s v="Zaakceptowana"/>
    <s v="Faktura VAT"/>
    <s v="Apteka Szpitalna"/>
    <s v="UM-SAL-01"/>
    <b v="0"/>
    <n v="17381.32"/>
    <s v="OK"/>
    <x v="0"/>
    <x v="0"/>
    <s v="2022-05"/>
    <n v="1"/>
  </r>
  <r>
    <s v="FV/8329/NOVA/22"/>
    <s v="PZ/800361"/>
    <x v="2"/>
    <d v="2022-05-14T00:00:00"/>
    <s v="22525.61"/>
    <s v="Zaakceptowana"/>
    <s v="Faktura VAT"/>
    <s v="Apteka Szpitalna"/>
    <s v="UM-NOV-03"/>
    <b v="0"/>
    <n v="22525.61"/>
    <s v="OK"/>
    <x v="0"/>
    <x v="0"/>
    <s v="2022-05"/>
    <n v="1"/>
  </r>
  <r>
    <s v="FV/M/4263/P/22"/>
    <s v="PZ/800362"/>
    <x v="5"/>
    <d v="2022-05-14T00:00:00"/>
    <s v="12185.33"/>
    <s v="Zaakceptowana"/>
    <s v="Faktura VAT"/>
    <s v="Apteka Szpitalna"/>
    <s v="UM-MED-02"/>
    <b v="0"/>
    <n v="12185.33"/>
    <s v="OK"/>
    <x v="0"/>
    <x v="0"/>
    <s v="2022-05"/>
    <n v="1"/>
  </r>
  <r>
    <s v="FV/65/PP/1713/22"/>
    <s v="PZ/800363"/>
    <x v="6"/>
    <d v="2022-05-15T00:00:00"/>
    <s v="12175.45"/>
    <s v="Zaakceptowana"/>
    <s v="Faktura VAT"/>
    <s v="Apteka Szpitalna"/>
    <s v="UM-PHA-02"/>
    <b v="0"/>
    <n v="12175.45"/>
    <s v="OK"/>
    <x v="0"/>
    <x v="0"/>
    <s v="2022-05"/>
    <n v="1"/>
  </r>
  <r>
    <s v="FV/17/PP/4175/22"/>
    <s v="PZ/800364"/>
    <x v="6"/>
    <d v="2022-05-15T00:00:00"/>
    <s v="16232.52"/>
    <s v="Zaakceptowana"/>
    <s v="Faktura VAT"/>
    <s v="Apteka Szpitalna"/>
    <s v="UM-PHA-01"/>
    <b v="0"/>
    <n v="16232.52"/>
    <s v="OK"/>
    <x v="0"/>
    <x v="0"/>
    <s v="2022-05"/>
    <n v="1"/>
  </r>
  <r>
    <s v="FV/40285/VDb/2022"/>
    <s v="PZ/800365"/>
    <x v="7"/>
    <d v="2022-05-16T00:00:00"/>
    <s v="17507.62"/>
    <s v="Zaakceptowana"/>
    <s v="Faktura VAT"/>
    <s v="Apteka Szpitalna"/>
    <s v="UM-VIT-01"/>
    <b v="0"/>
    <n v="17507.62"/>
    <s v="OK"/>
    <x v="0"/>
    <x v="0"/>
    <s v="2022-05"/>
    <n v="1"/>
  </r>
  <r>
    <s v="FV/23676/VDb/2022"/>
    <s v="PZ/800366"/>
    <x v="7"/>
    <d v="2022-05-16T00:00:00"/>
    <s v="23109.82"/>
    <s v="Zaakceptowana"/>
    <s v="Faktura VAT"/>
    <s v="Apteka Szpitalna"/>
    <s v="UM-VIT-01"/>
    <b v="0"/>
    <n v="23109.82"/>
    <s v="OK"/>
    <x v="0"/>
    <x v="0"/>
    <s v="2022-05"/>
    <n v="1"/>
  </r>
  <r>
    <s v="FV/84735/VDb/2022"/>
    <s v="PZ/800367"/>
    <x v="7"/>
    <d v="2022-05-16T00:00:00"/>
    <s v="12519.15"/>
    <s v="Zaakceptowana"/>
    <s v="Faktura VAT"/>
    <s v="Apteka Szpitalna"/>
    <s v="UM-VIT-01"/>
    <b v="0"/>
    <n v="12519.15"/>
    <s v="OK"/>
    <x v="0"/>
    <x v="0"/>
    <s v="2022-05"/>
    <n v="1"/>
  </r>
  <r>
    <s v="FV/70053/VDb/2022"/>
    <s v="PZ/800368"/>
    <x v="7"/>
    <d v="2022-05-16T00:00:00"/>
    <s v="13599.11"/>
    <s v="Zaakceptowana"/>
    <s v="Faktura VAT"/>
    <s v="Apteka Szpitalna"/>
    <s v=""/>
    <b v="0"/>
    <n v="13599.11"/>
    <s v="OK"/>
    <x v="1"/>
    <x v="0"/>
    <s v="2022-05"/>
    <n v="1"/>
  </r>
  <r>
    <s v="FV/M/3902/P/22"/>
    <s v="PZ/800369"/>
    <x v="5"/>
    <d v="2022-05-17T00:00:00"/>
    <s v="14684.68"/>
    <s v="Zaakceptowana"/>
    <s v="Faktura VAT"/>
    <s v="Apteka Szpitalna"/>
    <s v="UM-MED-01"/>
    <b v="0"/>
    <n v="14684.68"/>
    <s v="OK"/>
    <x v="0"/>
    <x v="0"/>
    <s v="2022-05"/>
    <n v="1"/>
  </r>
  <r>
    <s v="FV/5903/NOVA/22"/>
    <s v="PZ/800370"/>
    <x v="2"/>
    <d v="2022-05-17T00:00:00"/>
    <s v="22112.9"/>
    <s v="Zaakceptowana"/>
    <s v="Faktura VAT"/>
    <s v="Apteka Szpitalna"/>
    <s v="UM-NOV-03"/>
    <b v="0"/>
    <n v="22112.9"/>
    <s v="OK"/>
    <x v="0"/>
    <x v="0"/>
    <s v="2022-05"/>
    <n v="1"/>
  </r>
  <r>
    <s v="FV/POL/69048/2022"/>
    <s v="PZ/800371"/>
    <x v="0"/>
    <d v="2022-05-17T00:00:00"/>
    <s v="9594.72"/>
    <s v="Zaakceptowana"/>
    <s v="Faktura VAT"/>
    <s v="Apteka Szpitalna"/>
    <s v="UM-POL-03"/>
    <b v="0"/>
    <n v="9594.7199999999993"/>
    <s v="OK"/>
    <x v="0"/>
    <x v="0"/>
    <s v="2022-05"/>
    <n v="1"/>
  </r>
  <r>
    <s v="FV/68/PP/3755/22"/>
    <s v="PZ/800372"/>
    <x v="6"/>
    <d v="2022-05-18T00:00:00"/>
    <s v="12397.26"/>
    <s v="Zaakceptowana"/>
    <s v="Faktura VAT"/>
    <s v="Apteka Szpitalna"/>
    <s v="UM-PHA-02"/>
    <b v="0"/>
    <n v="12397.26"/>
    <s v="OK"/>
    <x v="0"/>
    <x v="0"/>
    <s v="2022-05"/>
    <n v="1"/>
  </r>
  <r>
    <s v="FV/20269/VDb/2022"/>
    <s v="PZ/800373"/>
    <x v="7"/>
    <d v="2022-05-18T00:00:00"/>
    <s v="16147.17"/>
    <s v="Zaakceptowana"/>
    <s v="Faktura VAT"/>
    <s v="Apteka Szpitalna"/>
    <s v=""/>
    <b v="0"/>
    <n v="16147.17"/>
    <s v="OK"/>
    <x v="1"/>
    <x v="0"/>
    <s v="2022-05"/>
    <n v="1"/>
  </r>
  <r>
    <s v="FV/POL/19529/2022"/>
    <s v="PZ/800374"/>
    <x v="0"/>
    <d v="2022-05-19T00:00:00"/>
    <s v="21632.38"/>
    <s v="Zaakceptowana"/>
    <s v="Faktura VAT"/>
    <s v="Apteka Szpitalna"/>
    <s v="UM-POL-02"/>
    <b v="0"/>
    <n v="21632.38"/>
    <s v="OK"/>
    <x v="0"/>
    <x v="0"/>
    <s v="2022-05"/>
    <n v="1"/>
  </r>
  <r>
    <s v="FV/6277/NOVA/22"/>
    <s v="PZ/800375"/>
    <x v="2"/>
    <d v="2022-05-19T00:00:00"/>
    <s v="14059.52"/>
    <s v="Zaakceptowana"/>
    <s v="Faktura VAT"/>
    <s v="Apteka Szpitalna"/>
    <s v="UM-NOV-03"/>
    <b v="0"/>
    <n v="14059.52"/>
    <s v="OK"/>
    <x v="0"/>
    <x v="0"/>
    <s v="2022-05"/>
    <n v="1"/>
  </r>
  <r>
    <s v="FV/12/SAL/22"/>
    <s v="PZ/800376"/>
    <x v="1"/>
    <d v="2022-05-19T00:00:00"/>
    <s v="-1179.57"/>
    <s v="Zaakceptowana"/>
    <s v="Korekta FV"/>
    <s v="Apteka Szpitalna"/>
    <s v=""/>
    <b v="0"/>
    <n v="-1179.57"/>
    <s v="OK"/>
    <x v="1"/>
    <x v="0"/>
    <s v="2022-05"/>
    <n v="1"/>
  </r>
  <r>
    <s v="FV/1603HM/22"/>
    <s v="PZ/800377"/>
    <x v="3"/>
    <d v="2022-05-19T00:00:00"/>
    <s v="6610.25"/>
    <s v="Zaakceptowana"/>
    <s v="Faktura VAT"/>
    <s v="Apteka Szpitalna"/>
    <s v="UM-HUR-01"/>
    <b v="0"/>
    <n v="6610.25"/>
    <s v="OK"/>
    <x v="0"/>
    <x v="0"/>
    <s v="2022-05"/>
    <n v="1"/>
  </r>
  <r>
    <s v="FV/M/3225/P/22"/>
    <s v="PZ/800378"/>
    <x v="5"/>
    <d v="2022-05-20T00:00:00"/>
    <s v="8929.54"/>
    <s v="Zaakceptowana"/>
    <s v="Faktura VAT"/>
    <s v="Apteka Szpitalna"/>
    <s v="UM-MED-01"/>
    <b v="0"/>
    <n v="8929.5400000000009"/>
    <s v="OK"/>
    <x v="0"/>
    <x v="0"/>
    <s v="2022-05"/>
    <n v="1"/>
  </r>
  <r>
    <s v="FV/3351/NOVA/22"/>
    <s v="PZ/800379"/>
    <x v="2"/>
    <d v="2022-05-20T00:00:00"/>
    <s v="9175.84"/>
    <s v="Zaakceptowana"/>
    <s v="Faktura VAT"/>
    <s v="Apteka Szpitalna"/>
    <s v="UM-NOV-03"/>
    <b v="0"/>
    <n v="9175.84"/>
    <s v="OK"/>
    <x v="0"/>
    <x v="0"/>
    <s v="2022-05"/>
    <n v="1"/>
  </r>
  <r>
    <s v="FV/5141HM/22"/>
    <s v="PZ/800380"/>
    <x v="3"/>
    <d v="2022-05-21T00:00:00"/>
    <s v="13218.0"/>
    <s v="Zaakceptowana"/>
    <s v="Faktura VAT"/>
    <s v="Apteka Szpitalna"/>
    <s v="UM-HUR-02"/>
    <b v="0"/>
    <n v="13218"/>
    <s v="OK"/>
    <x v="0"/>
    <x v="0"/>
    <s v="2022-05"/>
    <n v="1"/>
  </r>
  <r>
    <s v="FV/39/PP/6925/22"/>
    <s v="PZ/800381"/>
    <x v="6"/>
    <d v="2022-05-21T00:00:00"/>
    <s v="19947.28"/>
    <s v="Zaakceptowana"/>
    <s v="Faktura VAT"/>
    <s v="Apteka Szpitalna"/>
    <s v="UM-PHA-01"/>
    <b v="0"/>
    <n v="19947.28"/>
    <s v="OK"/>
    <x v="0"/>
    <x v="0"/>
    <s v="2022-05"/>
    <n v="1"/>
  </r>
  <r>
    <s v="FV/13/PP/4880/22"/>
    <s v="PZ/800382"/>
    <x v="6"/>
    <d v="2022-05-21T00:00:00"/>
    <s v="9748.96"/>
    <s v="Zaakceptowana"/>
    <s v="Faktura VAT"/>
    <s v="Apteka Szpitalna"/>
    <s v="UM-PHA-01"/>
    <b v="0"/>
    <n v="9748.9599999999991"/>
    <s v="OK"/>
    <x v="0"/>
    <x v="0"/>
    <s v="2022-05"/>
    <n v="1"/>
  </r>
  <r>
    <s v="FV/89/PP/7517/22"/>
    <s v="PZ/800383"/>
    <x v="6"/>
    <d v="2022-05-21T00:00:00"/>
    <s v="19055.02"/>
    <s v="Zaakceptowana"/>
    <s v="Faktura VAT"/>
    <s v="Apteka Szpitalna"/>
    <s v="UM-PHA-02"/>
    <b v="0"/>
    <n v="19055.02"/>
    <s v="OK"/>
    <x v="0"/>
    <x v="0"/>
    <s v="2022-05"/>
    <n v="1"/>
  </r>
  <r>
    <s v="FV/M/7514/P/22"/>
    <s v="PZ/800384"/>
    <x v="5"/>
    <d v="2022-05-22T00:00:00"/>
    <s v="19638.89"/>
    <s v="Zaakceptowana"/>
    <s v="Faktura VAT"/>
    <s v="Apteka Szpitalna"/>
    <s v=""/>
    <b v="0"/>
    <n v="19638.89"/>
    <s v="OK"/>
    <x v="1"/>
    <x v="0"/>
    <s v="2022-05"/>
    <n v="1"/>
  </r>
  <r>
    <s v="FV/66/SAL/22"/>
    <s v="PZ/800385"/>
    <x v="1"/>
    <d v="2022-05-22T00:00:00"/>
    <s v="12286.6"/>
    <s v="Zaakceptowana"/>
    <s v="Faktura VAT"/>
    <s v="Apteka Szpitalna"/>
    <s v="UM-SAL-02"/>
    <b v="0"/>
    <n v="12286.6"/>
    <s v="OK"/>
    <x v="0"/>
    <x v="0"/>
    <s v="2022-05"/>
    <n v="1"/>
  </r>
  <r>
    <s v="FV/8643HM/22"/>
    <s v="PZ/800386"/>
    <x v="3"/>
    <d v="2022-05-22T00:00:00"/>
    <s v="8430.23"/>
    <s v="Zaakceptowana"/>
    <s v="Faktura VAT"/>
    <s v="Apteka Szpitalna"/>
    <s v="UM-HUR-03"/>
    <b v="0"/>
    <n v="8430.23"/>
    <s v="OK"/>
    <x v="0"/>
    <x v="0"/>
    <s v="2022-05"/>
    <n v="1"/>
  </r>
  <r>
    <s v="FV/24/SAL/22"/>
    <s v="PZ/800387"/>
    <x v="1"/>
    <d v="2022-05-22T00:00:00"/>
    <s v="14186.19"/>
    <s v="Zaakceptowana"/>
    <s v="Faktura VAT"/>
    <s v="Apteka Szpitalna"/>
    <s v="UM-SAL-01"/>
    <b v="0"/>
    <n v="14186.19"/>
    <s v="OK"/>
    <x v="0"/>
    <x v="0"/>
    <s v="2022-05"/>
    <n v="1"/>
  </r>
  <r>
    <s v="FV/POL/23462/2022"/>
    <s v="PZ/800388"/>
    <x v="0"/>
    <d v="2022-05-24T00:00:00"/>
    <s v="11631.02"/>
    <s v="Zaakceptowana"/>
    <s v="Faktura VAT"/>
    <s v="Apteka Szpitalna"/>
    <s v="UM-POL-01"/>
    <b v="0"/>
    <n v="11631.02"/>
    <s v="OK"/>
    <x v="0"/>
    <x v="0"/>
    <s v="2022-05"/>
    <n v="1"/>
  </r>
  <r>
    <s v="FV/POL/13782/2022"/>
    <s v="PZ/800389"/>
    <x v="0"/>
    <d v="2022-05-24T00:00:00"/>
    <s v="17875.86"/>
    <s v="Zaakceptowana"/>
    <s v="Faktura VAT"/>
    <s v="Apteka Szpitalna"/>
    <s v="UM-POL-01"/>
    <b v="0"/>
    <n v="17875.86"/>
    <s v="OK"/>
    <x v="0"/>
    <x v="0"/>
    <s v="2022-05"/>
    <n v="1"/>
  </r>
  <r>
    <s v="FV/CENFA/394491/22"/>
    <s v="PZ/800390"/>
    <x v="4"/>
    <d v="2022-05-24T00:00:00"/>
    <s v="5568.61"/>
    <s v="Zaakceptowana"/>
    <s v="Faktura VAT"/>
    <s v="Apteka Szpitalna"/>
    <s v="UM-CEN-02"/>
    <b v="0"/>
    <n v="5568.61"/>
    <s v="OK"/>
    <x v="0"/>
    <x v="0"/>
    <s v="2022-05"/>
    <n v="1"/>
  </r>
  <r>
    <s v="FV/CENFA/211591/22"/>
    <s v="PZ/800391"/>
    <x v="4"/>
    <d v="2022-05-25T00:00:00"/>
    <s v="12738.68"/>
    <s v="Zaakceptowana"/>
    <s v="Faktura VAT"/>
    <s v="Apteka Szpitalna"/>
    <s v="UM-CEN-01"/>
    <b v="0"/>
    <n v="12738.68"/>
    <s v="OK"/>
    <x v="0"/>
    <x v="0"/>
    <s v="2022-05"/>
    <n v="1"/>
  </r>
  <r>
    <s v="FV/M/1027/P/22"/>
    <s v="PZ/800392"/>
    <x v="5"/>
    <d v="2022-05-25T00:00:00"/>
    <s v="15320.78"/>
    <s v="Zaakceptowana"/>
    <s v="Faktura VAT"/>
    <s v="Apteka Szpitalna"/>
    <s v="UM-MED-02"/>
    <b v="0"/>
    <n v="15320.78"/>
    <s v="OK"/>
    <x v="0"/>
    <x v="0"/>
    <s v="2022-05"/>
    <n v="1"/>
  </r>
  <r>
    <s v="FV/CENFA/359445/22"/>
    <s v="PZ/800393"/>
    <x v="4"/>
    <d v="2022-05-26T00:00:00"/>
    <s v="24101.47"/>
    <s v="Zaakceptowana"/>
    <s v="Faktura VAT"/>
    <s v="Apteka Szpitalna"/>
    <s v="UM-CEN-02"/>
    <b v="0"/>
    <n v="24101.47"/>
    <s v="OK"/>
    <x v="0"/>
    <x v="0"/>
    <s v="2022-05"/>
    <n v="1"/>
  </r>
  <r>
    <s v="FV/2793/NOVA/22"/>
    <s v="PZ/800394"/>
    <x v="2"/>
    <d v="2022-05-26T00:00:00"/>
    <s v="20070.76"/>
    <s v="Zaakceptowana"/>
    <s v="Faktura VAT"/>
    <s v="Apteka Szpitalna"/>
    <s v=""/>
    <b v="0"/>
    <n v="20070.759999999998"/>
    <s v="OK"/>
    <x v="1"/>
    <x v="0"/>
    <s v="2022-05"/>
    <n v="1"/>
  </r>
  <r>
    <s v="FV/M/1287/P/22"/>
    <s v="PZ/800395"/>
    <x v="5"/>
    <d v="2022-05-27T00:00:00"/>
    <s v="10473.24"/>
    <s v="Zaakceptowana"/>
    <s v="Faktura VAT"/>
    <s v="Apteka Szpitalna"/>
    <s v=""/>
    <b v="0"/>
    <n v="10473.24"/>
    <s v="OK"/>
    <x v="1"/>
    <x v="0"/>
    <s v="2022-05"/>
    <n v="1"/>
  </r>
  <r>
    <s v="FV/POL/26855/2022"/>
    <s v="PZ/800396"/>
    <x v="0"/>
    <d v="2022-05-27T00:00:00"/>
    <s v="22178.49"/>
    <s v="Zaakceptowana"/>
    <s v="Faktura VAT"/>
    <s v="Apteka Szpitalna"/>
    <s v="UM-POL-01"/>
    <b v="0"/>
    <n v="22178.49"/>
    <s v="OK"/>
    <x v="0"/>
    <x v="0"/>
    <s v="2022-05"/>
    <n v="1"/>
  </r>
  <r>
    <s v="FV/4023HM/22"/>
    <s v="PZ/800397"/>
    <x v="3"/>
    <d v="2022-05-27T00:00:00"/>
    <s v="20494.6"/>
    <s v="Zaakceptowana"/>
    <s v="Faktura VAT"/>
    <s v="Apteka Szpitalna"/>
    <s v=""/>
    <b v="0"/>
    <n v="20494.599999999999"/>
    <s v="OK"/>
    <x v="1"/>
    <x v="0"/>
    <s v="2022-05"/>
    <n v="1"/>
  </r>
  <r>
    <s v="FV/M/5751/P/22"/>
    <s v="PZ/800398"/>
    <x v="5"/>
    <d v="2022-05-27T00:00:00"/>
    <s v="17851.63"/>
    <s v="Zaakceptowana"/>
    <s v="Faktura VAT"/>
    <s v="Apteka Szpitalna"/>
    <s v="UM-MED-02"/>
    <b v="0"/>
    <n v="17851.63"/>
    <s v="OK"/>
    <x v="0"/>
    <x v="0"/>
    <s v="2022-05"/>
    <n v="1"/>
  </r>
  <r>
    <s v="FV/POL/85782/2022"/>
    <s v="PZ/800399"/>
    <x v="0"/>
    <d v="2022-05-28T00:00:00"/>
    <s v="21847.35"/>
    <s v="Zaakceptowana"/>
    <s v="Faktura VAT"/>
    <s v="Apteka Szpitalna"/>
    <s v="UM-POL-03"/>
    <b v="0"/>
    <n v="21847.35"/>
    <s v="OK"/>
    <x v="0"/>
    <x v="0"/>
    <s v="2022-05"/>
    <n v="1"/>
  </r>
  <r>
    <s v="FV/48309/VDb/2022"/>
    <s v="PZ/800400"/>
    <x v="7"/>
    <d v="2022-05-28T00:00:00"/>
    <s v="15518.39"/>
    <s v="Zaakceptowana"/>
    <s v="Faktura VAT"/>
    <s v="Apteka Szpitalna"/>
    <s v=""/>
    <b v="0"/>
    <n v="15518.39"/>
    <s v="OK"/>
    <x v="1"/>
    <x v="0"/>
    <s v="2022-05"/>
    <n v="1"/>
  </r>
  <r>
    <s v="FV/POL/50400/2022"/>
    <s v="PZ/800401"/>
    <x v="0"/>
    <d v="2022-05-29T00:00:00"/>
    <s v="14023.58"/>
    <s v="Zaakceptowana"/>
    <s v="Faktura VAT"/>
    <s v="Apteka Szpitalna"/>
    <s v="UM-POL-03"/>
    <b v="0"/>
    <n v="14023.58"/>
    <s v="OK"/>
    <x v="0"/>
    <x v="0"/>
    <s v="2022-05"/>
    <n v="1"/>
  </r>
  <r>
    <s v="FV/11/SAL/22"/>
    <s v="PZ/800402"/>
    <x v="1"/>
    <d v="2022-05-29T00:00:00"/>
    <s v="17161.89"/>
    <s v="Zaakceptowana"/>
    <s v="Faktura VAT"/>
    <s v="Apteka Szpitalna"/>
    <s v=""/>
    <b v="0"/>
    <n v="17161.89"/>
    <s v="OK"/>
    <x v="1"/>
    <x v="0"/>
    <s v="2022-05"/>
    <n v="1"/>
  </r>
  <r>
    <s v="FV/POL/79468/2022"/>
    <s v="PZ/800403"/>
    <x v="0"/>
    <d v="2022-05-29T00:00:00"/>
    <s v="14380.38"/>
    <s v="Zaakceptowana"/>
    <s v="Faktura VAT"/>
    <s v="Apteka Szpitalna"/>
    <s v="UM-POL-03"/>
    <b v="0"/>
    <n v="14380.38"/>
    <s v="OK"/>
    <x v="0"/>
    <x v="0"/>
    <s v="2022-05"/>
    <n v="1"/>
  </r>
  <r>
    <s v="FV/38/PP/3991/22"/>
    <s v="PZ/800404"/>
    <x v="6"/>
    <d v="2022-05-29T00:00:00"/>
    <s v="21544.02"/>
    <s v="Zaakceptowana"/>
    <s v="Faktura VAT"/>
    <s v="Apteka Szpitalna"/>
    <s v="UM-PHA-02"/>
    <b v="0"/>
    <n v="21544.02"/>
    <s v="OK"/>
    <x v="0"/>
    <x v="0"/>
    <s v="2022-05"/>
    <n v="1"/>
  </r>
  <r>
    <s v="FV/3669HM/22"/>
    <s v="PZ/800405"/>
    <x v="3"/>
    <d v="2022-05-30T00:00:00"/>
    <s v="17738.38"/>
    <s v="Zaakceptowana"/>
    <s v="Faktura VAT"/>
    <s v="Apteka Szpitalna"/>
    <s v="UM-HUR-01"/>
    <b v="0"/>
    <n v="17738.38"/>
    <s v="OK"/>
    <x v="0"/>
    <x v="0"/>
    <s v="2022-05"/>
    <n v="1"/>
  </r>
  <r>
    <s v="FV/78/SAL/22"/>
    <s v="PZ/800406"/>
    <x v="1"/>
    <d v="2022-05-30T00:00:00"/>
    <s v="23258.69"/>
    <s v="Zaakceptowana"/>
    <s v="Faktura VAT"/>
    <s v="Apteka Szpitalna"/>
    <s v=""/>
    <b v="0"/>
    <n v="23258.69"/>
    <s v="OK"/>
    <x v="1"/>
    <x v="0"/>
    <s v="2022-05"/>
    <n v="1"/>
  </r>
  <r>
    <s v="FV/9183HM/22"/>
    <s v="PZ/800407"/>
    <x v="3"/>
    <d v="2022-05-30T00:00:00"/>
    <s v="7145.46"/>
    <s v="Zaakceptowana"/>
    <s v="Faktura VAT"/>
    <s v="Apteka Szpitalna"/>
    <s v=""/>
    <b v="0"/>
    <n v="7145.46"/>
    <s v="OK"/>
    <x v="1"/>
    <x v="0"/>
    <s v="2022-05"/>
    <n v="1"/>
  </r>
  <r>
    <s v="FV/99/PP/2241/22"/>
    <s v="PZ/800408"/>
    <x v="6"/>
    <d v="2022-05-30T00:00:00"/>
    <s v="16746.03"/>
    <s v="Zaakceptowana"/>
    <s v="Faktura VAT"/>
    <s v="Apteka Szpitalna"/>
    <s v=""/>
    <b v="0"/>
    <n v="16746.03"/>
    <s v="OK"/>
    <x v="1"/>
    <x v="0"/>
    <s v="2022-05"/>
    <n v="1"/>
  </r>
  <r>
    <s v="FV/CENFA/296923/22"/>
    <s v="PZ/800409"/>
    <x v="4"/>
    <d v="2022-05-31T00:00:00"/>
    <s v="9201.49"/>
    <s v="Zaakceptowana"/>
    <s v="Faktura VAT"/>
    <s v="Apteka Szpitalna"/>
    <s v="UM-CEN-01"/>
    <b v="0"/>
    <n v="9201.49"/>
    <s v="OK"/>
    <x v="0"/>
    <x v="0"/>
    <s v="2022-05"/>
    <n v="1"/>
  </r>
  <r>
    <s v="FV/M/6539/P/22"/>
    <s v="PZ/800410"/>
    <x v="5"/>
    <d v="2022-06-01T00:00:00"/>
    <s v="16954.14"/>
    <s v="Zaakceptowana"/>
    <s v="Faktura VAT"/>
    <s v="Apteka Szpitalna"/>
    <s v="UM-MED-01"/>
    <b v="0"/>
    <n v="16954.14"/>
    <s v="OK"/>
    <x v="0"/>
    <x v="0"/>
    <s v="2022-06"/>
    <n v="1"/>
  </r>
  <r>
    <s v="FV/CENFA/151100/22"/>
    <s v="PZ/800411"/>
    <x v="4"/>
    <d v="2022-06-01T00:00:00"/>
    <s v="13107.81"/>
    <s v="Zaakceptowana"/>
    <s v="Faktura VAT"/>
    <s v="Apteka Szpitalna"/>
    <s v="UM-CEN-02"/>
    <b v="0"/>
    <n v="13107.81"/>
    <s v="OK"/>
    <x v="0"/>
    <x v="0"/>
    <s v="2022-06"/>
    <n v="1"/>
  </r>
  <r>
    <s v="FV/72/PP/7391/22"/>
    <s v="PZ/800412"/>
    <x v="6"/>
    <d v="2022-06-01T00:00:00"/>
    <s v="11374.83"/>
    <s v="Zaakceptowana"/>
    <s v="Faktura VAT"/>
    <s v="Apteka Szpitalna"/>
    <s v="UM-PHA-02"/>
    <b v="0"/>
    <n v="11374.83"/>
    <s v="OK"/>
    <x v="0"/>
    <x v="0"/>
    <s v="2022-06"/>
    <n v="1"/>
  </r>
  <r>
    <s v="FV/63/PP/5959/22"/>
    <s v="PZ/800413"/>
    <x v="6"/>
    <d v="2022-06-02T00:00:00"/>
    <s v="14495.56"/>
    <s v="Zaakceptowana"/>
    <s v="Faktura VAT"/>
    <s v="Apteka Szpitalna"/>
    <s v="UM-PHA-01"/>
    <b v="0"/>
    <n v="14495.56"/>
    <s v="OK"/>
    <x v="0"/>
    <x v="0"/>
    <s v="2022-06"/>
    <n v="1"/>
  </r>
  <r>
    <s v="FV/POL/77527/2022"/>
    <s v="PZ/800414"/>
    <x v="0"/>
    <d v="2022-06-02T00:00:00"/>
    <s v="13499.78"/>
    <s v="Zaakceptowana"/>
    <s v="Faktura VAT"/>
    <s v="Apteka Szpitalna"/>
    <s v="UM-POL-01"/>
    <b v="0"/>
    <n v="13499.78"/>
    <s v="OK"/>
    <x v="0"/>
    <x v="0"/>
    <s v="2022-06"/>
    <n v="1"/>
  </r>
  <r>
    <s v="FV/CENFA/327635/22"/>
    <s v="PZ/800415"/>
    <x v="4"/>
    <d v="2022-06-02T00:00:00"/>
    <s v="14739.7"/>
    <s v="Zaakceptowana"/>
    <s v="Faktura VAT"/>
    <s v="Apteka Szpitalna"/>
    <s v="UM-CEN-01"/>
    <b v="0"/>
    <n v="14739.7"/>
    <s v="OK"/>
    <x v="0"/>
    <x v="0"/>
    <s v="2022-06"/>
    <n v="1"/>
  </r>
  <r>
    <s v="FV/CENFA/899830/22"/>
    <s v="PZ/800416"/>
    <x v="4"/>
    <d v="2022-06-03T00:00:00"/>
    <s v="13931.35"/>
    <s v="Zaakceptowana"/>
    <s v="Faktura VAT"/>
    <s v="Apteka Szpitalna"/>
    <s v=""/>
    <b v="0"/>
    <n v="13931.35"/>
    <s v="OK"/>
    <x v="1"/>
    <x v="0"/>
    <s v="2022-06"/>
    <n v="1"/>
  </r>
  <r>
    <s v="FV/39/SAL/22"/>
    <s v="PZ/800417"/>
    <x v="1"/>
    <d v="2022-06-03T00:00:00"/>
    <s v="16657.45"/>
    <s v="Zaakceptowana"/>
    <s v="Faktura VAT"/>
    <s v="Apteka Szpitalna"/>
    <s v="UM-SAL-01"/>
    <b v="0"/>
    <n v="16657.45"/>
    <s v="OK"/>
    <x v="0"/>
    <x v="0"/>
    <s v="2022-06"/>
    <n v="1"/>
  </r>
  <r>
    <s v="FV/33147/VDb/2022"/>
    <s v="PZ/800418"/>
    <x v="7"/>
    <d v="2022-06-03T00:00:00"/>
    <s v="7881.91"/>
    <s v="Zaakceptowana"/>
    <s v="Faktura VAT"/>
    <s v="Apteka Szpitalna"/>
    <s v="UM-VIT-01"/>
    <b v="0"/>
    <n v="7881.91"/>
    <s v="OK"/>
    <x v="0"/>
    <x v="0"/>
    <s v="2022-06"/>
    <n v="1"/>
  </r>
  <r>
    <s v="FV/CENFA/279374/22"/>
    <s v="PZ/800419"/>
    <x v="4"/>
    <d v="2022-06-04T00:00:00"/>
    <s v="10924.76"/>
    <s v="Zaakceptowana"/>
    <s v="Faktura VAT"/>
    <s v="Apteka Szpitalna"/>
    <s v="UM-CEN-02"/>
    <b v="0"/>
    <n v="10924.76"/>
    <s v="OK"/>
    <x v="0"/>
    <x v="0"/>
    <s v="2022-06"/>
    <n v="1"/>
  </r>
  <r>
    <s v="FV/POL/57572/2022"/>
    <s v="PZ/800420"/>
    <x v="0"/>
    <d v="2022-06-04T00:00:00"/>
    <s v="17878.87"/>
    <s v="Zaakceptowana"/>
    <s v="Faktura VAT"/>
    <s v="Apteka Szpitalna"/>
    <s v="UM-POL-02"/>
    <b v="0"/>
    <n v="17878.87"/>
    <s v="OK"/>
    <x v="0"/>
    <x v="0"/>
    <s v="2022-06"/>
    <n v="1"/>
  </r>
  <r>
    <s v="FV/25238/VDb/2022"/>
    <s v="PZ/800421"/>
    <x v="7"/>
    <d v="2022-06-04T00:00:00"/>
    <s v="13202.75"/>
    <s v="Zaakceptowana"/>
    <s v="Faktura VAT"/>
    <s v="Apteka Szpitalna"/>
    <s v="UM-VIT-01"/>
    <b v="0"/>
    <n v="13202.75"/>
    <s v="OK"/>
    <x v="0"/>
    <x v="0"/>
    <s v="2022-06"/>
    <n v="1"/>
  </r>
  <r>
    <s v="FV/61/SAL/22"/>
    <s v="PZ/800422"/>
    <x v="1"/>
    <d v="2022-06-04T00:00:00"/>
    <s v="21007.22"/>
    <s v="Zaakceptowana"/>
    <s v="Faktura VAT"/>
    <s v="Apteka Szpitalna"/>
    <s v="UM-SAL-01"/>
    <b v="0"/>
    <n v="21007.22"/>
    <s v="OK"/>
    <x v="0"/>
    <x v="0"/>
    <s v="2022-06"/>
    <n v="1"/>
  </r>
  <r>
    <s v="FV/2664/NOVA/22"/>
    <s v="PZ/800423"/>
    <x v="2"/>
    <d v="2022-06-05T00:00:00"/>
    <s v="18012.12"/>
    <s v="Zaakceptowana"/>
    <s v="Faktura VAT"/>
    <s v="Apteka Szpitalna"/>
    <s v="UM-NOV-03"/>
    <b v="0"/>
    <n v="18012.12"/>
    <s v="OK"/>
    <x v="0"/>
    <x v="0"/>
    <s v="2022-06"/>
    <n v="1"/>
  </r>
  <r>
    <s v="FV/M/4461/P/22"/>
    <s v="PZ/800424"/>
    <x v="5"/>
    <d v="2022-06-06T00:00:00"/>
    <s v="15338.15"/>
    <s v="Zaakceptowana"/>
    <s v="Faktura VAT"/>
    <s v="Apteka Szpitalna"/>
    <s v="UM-MED-02"/>
    <b v="0"/>
    <n v="15338.15"/>
    <s v="OK"/>
    <x v="0"/>
    <x v="0"/>
    <s v="2022-06"/>
    <n v="1"/>
  </r>
  <r>
    <s v="FV/53/SAL/22"/>
    <s v="PZ/800425"/>
    <x v="1"/>
    <d v="2022-06-06T00:00:00"/>
    <s v="-1299.66"/>
    <s v="Zaakceptowana"/>
    <s v="Korekta FV"/>
    <s v="Apteka Szpitalna"/>
    <s v="UM-SAL-02"/>
    <b v="0"/>
    <n v="-1299.6600000000001"/>
    <s v="OK"/>
    <x v="0"/>
    <x v="0"/>
    <s v="2022-06"/>
    <n v="1"/>
  </r>
  <r>
    <s v="FV/M/9755/P/22"/>
    <s v="PZ/800426"/>
    <x v="5"/>
    <d v="2022-06-06T00:00:00"/>
    <s v="9939.56"/>
    <s v="Zaakceptowana"/>
    <s v="Faktura VAT"/>
    <s v="Apteka Szpitalna"/>
    <s v="UM-MED-02"/>
    <b v="0"/>
    <n v="9939.56"/>
    <s v="OK"/>
    <x v="0"/>
    <x v="0"/>
    <s v="2022-06"/>
    <n v="1"/>
  </r>
  <r>
    <s v="FV/CENFA/875052/22"/>
    <s v="PZ/800427"/>
    <x v="4"/>
    <d v="2022-06-06T00:00:00"/>
    <s v="14447.95"/>
    <s v="Zaakceptowana"/>
    <s v="Faktura VAT"/>
    <s v="Apteka Szpitalna"/>
    <s v="UM-CEN-02"/>
    <b v="0"/>
    <n v="14447.95"/>
    <s v="OK"/>
    <x v="0"/>
    <x v="0"/>
    <s v="2022-06"/>
    <n v="1"/>
  </r>
  <r>
    <s v="FV/67/PP/4648/22"/>
    <s v="PZ/800428"/>
    <x v="6"/>
    <d v="2022-06-06T00:00:00"/>
    <s v="17464.73"/>
    <s v="Zaakceptowana"/>
    <s v="Faktura VAT"/>
    <s v="Apteka Szpitalna"/>
    <s v="UM-PHA-02"/>
    <b v="0"/>
    <n v="17464.73"/>
    <s v="OK"/>
    <x v="0"/>
    <x v="0"/>
    <s v="2022-06"/>
    <n v="1"/>
  </r>
  <r>
    <s v="FV/26/SAL/22"/>
    <s v="PZ/800429"/>
    <x v="1"/>
    <d v="2022-06-07T00:00:00"/>
    <s v="11532.22"/>
    <s v="Zaakceptowana"/>
    <s v="Faktura VAT"/>
    <s v="Apteka Szpitalna"/>
    <s v=""/>
    <b v="0"/>
    <n v="11532.22"/>
    <s v="OK"/>
    <x v="1"/>
    <x v="0"/>
    <s v="2022-06"/>
    <n v="1"/>
  </r>
  <r>
    <s v="FV/59/SAL/22"/>
    <s v="PZ/800430"/>
    <x v="1"/>
    <d v="2022-06-08T00:00:00"/>
    <s v="16252.87"/>
    <s v="Zaakceptowana"/>
    <s v="Faktura VAT"/>
    <s v="Apteka Szpitalna"/>
    <s v=""/>
    <b v="0"/>
    <n v="16252.87"/>
    <s v="OK"/>
    <x v="1"/>
    <x v="0"/>
    <s v="2022-06"/>
    <n v="1"/>
  </r>
  <r>
    <s v="FV/POL/93264/2022"/>
    <s v="PZ/800431"/>
    <x v="0"/>
    <d v="2022-06-08T00:00:00"/>
    <s v="14277.65"/>
    <s v="Zaakceptowana"/>
    <s v="Faktura VAT"/>
    <s v="Apteka Szpitalna"/>
    <s v="UM-POL-02"/>
    <b v="0"/>
    <n v="14277.65"/>
    <s v="OK"/>
    <x v="0"/>
    <x v="0"/>
    <s v="2022-06"/>
    <n v="1"/>
  </r>
  <r>
    <s v="FV/M/2495/P/22"/>
    <s v="PZ/800432"/>
    <x v="5"/>
    <d v="2022-06-10T00:00:00"/>
    <s v="12196.71"/>
    <s v="Zaakceptowana"/>
    <s v="Faktura VAT"/>
    <s v="Apteka Szpitalna"/>
    <s v="UM-MED-02"/>
    <b v="0"/>
    <n v="12196.71"/>
    <s v="OK"/>
    <x v="0"/>
    <x v="0"/>
    <s v="2022-06"/>
    <n v="1"/>
  </r>
  <r>
    <s v="FV/CENFA/722102/22"/>
    <s v="PZ/800433"/>
    <x v="4"/>
    <d v="2022-06-10T00:00:00"/>
    <s v="21269.48"/>
    <s v="Zaakceptowana"/>
    <s v="Faktura VAT"/>
    <s v="Apteka Szpitalna"/>
    <s v="UM-CEN-02"/>
    <b v="0"/>
    <n v="21269.48"/>
    <s v="OK"/>
    <x v="0"/>
    <x v="0"/>
    <s v="2022-06"/>
    <n v="1"/>
  </r>
  <r>
    <s v="FV/4145/NOVA/22"/>
    <s v="PZ/800434"/>
    <x v="2"/>
    <d v="2022-06-10T00:00:00"/>
    <s v="11592.27"/>
    <s v="Zaakceptowana"/>
    <s v="Faktura VAT"/>
    <s v="Apteka Szpitalna"/>
    <s v=""/>
    <b v="0"/>
    <n v="11592.27"/>
    <s v="OK"/>
    <x v="1"/>
    <x v="0"/>
    <s v="2022-06"/>
    <n v="1"/>
  </r>
  <r>
    <s v="FV/3077HM/22"/>
    <s v="PZ/800435"/>
    <x v="3"/>
    <d v="2022-06-11T00:00:00"/>
    <s v="24197.16"/>
    <s v="Zaakceptowana"/>
    <s v="Faktura VAT"/>
    <s v="Apteka Szpitalna"/>
    <s v=""/>
    <b v="0"/>
    <n v="24197.16"/>
    <s v="OK"/>
    <x v="1"/>
    <x v="0"/>
    <s v="2022-06"/>
    <n v="1"/>
  </r>
  <r>
    <s v="FV/6427/NOVA/22"/>
    <s v="PZ/800436"/>
    <x v="2"/>
    <d v="2022-06-11T00:00:00"/>
    <s v="17216.66"/>
    <s v="Zaakceptowana"/>
    <s v="Faktura VAT"/>
    <s v="Apteka Szpitalna"/>
    <s v="UM-NOV-03"/>
    <b v="0"/>
    <n v="17216.66"/>
    <s v="OK"/>
    <x v="0"/>
    <x v="0"/>
    <s v="2022-06"/>
    <n v="1"/>
  </r>
  <r>
    <s v="FV/6421HM/22"/>
    <s v="PZ/800437"/>
    <x v="3"/>
    <d v="2022-06-11T00:00:00"/>
    <s v="13939.59"/>
    <s v="Zaakceptowana"/>
    <s v="Faktura VAT"/>
    <s v="Apteka Szpitalna"/>
    <s v="UM-HUR-03"/>
    <b v="0"/>
    <n v="13939.59"/>
    <s v="OK"/>
    <x v="0"/>
    <x v="0"/>
    <s v="2022-06"/>
    <n v="1"/>
  </r>
  <r>
    <s v="FV/71/SAL/22"/>
    <s v="PZ/800438"/>
    <x v="1"/>
    <d v="2022-06-11T00:00:00"/>
    <s v="-1466.9"/>
    <s v="Zaakceptowana"/>
    <s v="Korekta FV"/>
    <s v="Apteka Szpitalna"/>
    <s v="UM-SAL-02"/>
    <b v="0"/>
    <n v="-1466.9"/>
    <s v="OK"/>
    <x v="0"/>
    <x v="0"/>
    <s v="2022-06"/>
    <n v="1"/>
  </r>
  <r>
    <s v="FV/POL/82730/2022"/>
    <s v="PZ/800439"/>
    <x v="0"/>
    <d v="2022-06-12T00:00:00"/>
    <s v="17511.82"/>
    <s v="Zaakceptowana"/>
    <s v="Faktura VAT"/>
    <s v="Apteka Szpitalna"/>
    <s v=""/>
    <b v="0"/>
    <n v="17511.82"/>
    <s v="OK"/>
    <x v="1"/>
    <x v="0"/>
    <s v="2022-06"/>
    <n v="1"/>
  </r>
  <r>
    <s v="FV/18/PP/7784/22"/>
    <s v="PZ/800440"/>
    <x v="6"/>
    <d v="2022-06-13T00:00:00"/>
    <s v="4717.13"/>
    <s v="Zaakceptowana"/>
    <s v="Faktura VAT"/>
    <s v="Apteka Szpitalna"/>
    <s v=""/>
    <b v="0"/>
    <n v="4717.13"/>
    <s v="OK"/>
    <x v="1"/>
    <x v="0"/>
    <s v="2022-06"/>
    <n v="1"/>
  </r>
  <r>
    <s v="FV/1828/NOVA/22"/>
    <s v="PZ/800441"/>
    <x v="2"/>
    <d v="2022-06-13T00:00:00"/>
    <s v="6678.56"/>
    <s v="Zaakceptowana"/>
    <s v="Faktura VAT"/>
    <s v="Apteka Szpitalna"/>
    <s v="UM-NOV-03"/>
    <b v="0"/>
    <n v="6678.56"/>
    <s v="OK"/>
    <x v="0"/>
    <x v="0"/>
    <s v="2022-06"/>
    <n v="1"/>
  </r>
  <r>
    <s v="FV/M/1862/P/22"/>
    <s v="PZ/800442"/>
    <x v="5"/>
    <d v="2022-06-14T00:00:00"/>
    <s v="26367.01"/>
    <s v="Zaakceptowana"/>
    <s v="Faktura VAT"/>
    <s v="Apteka Szpitalna"/>
    <s v=""/>
    <b v="0"/>
    <n v="26367.01"/>
    <s v="OK"/>
    <x v="1"/>
    <x v="0"/>
    <s v="2022-06"/>
    <n v="1"/>
  </r>
  <r>
    <s v="FV/POL/37408/2022"/>
    <s v="PZ/800443"/>
    <x v="0"/>
    <d v="2022-06-14T00:00:00"/>
    <s v="-1667.52"/>
    <s v="Zaakceptowana"/>
    <s v="Korekta FV"/>
    <s v="Apteka Szpitalna"/>
    <s v="UM-POL-02"/>
    <b v="0"/>
    <n v="-1667.52"/>
    <s v="OK"/>
    <x v="0"/>
    <x v="0"/>
    <s v="2022-06"/>
    <n v="1"/>
  </r>
  <r>
    <s v="FV/52264/VDb/2022"/>
    <s v="PZ/800444"/>
    <x v="7"/>
    <d v="2022-06-14T00:00:00"/>
    <s v="11252.02"/>
    <s v="Zaakceptowana"/>
    <s v="Faktura VAT"/>
    <s v="Apteka Szpitalna"/>
    <s v="UM-VIT-01"/>
    <b v="0"/>
    <n v="11252.02"/>
    <s v="OK"/>
    <x v="0"/>
    <x v="0"/>
    <s v="2022-06"/>
    <n v="1"/>
  </r>
  <r>
    <s v="FV/87/SAL/22"/>
    <s v="PZ/800445"/>
    <x v="1"/>
    <d v="2022-06-15T00:00:00"/>
    <s v="9562.29"/>
    <s v="Zaakceptowana"/>
    <s v="Faktura VAT"/>
    <s v="Apteka Szpitalna"/>
    <s v="UM-SAL-01"/>
    <b v="0"/>
    <n v="9562.2900000000009"/>
    <s v="OK"/>
    <x v="0"/>
    <x v="0"/>
    <s v="2022-06"/>
    <n v="1"/>
  </r>
  <r>
    <s v="FV/9253HM/22"/>
    <s v="PZ/800446"/>
    <x v="3"/>
    <d v="2022-06-15T00:00:00"/>
    <s v="17980.86"/>
    <s v="Zaakceptowana"/>
    <s v="Faktura VAT"/>
    <s v="Apteka Szpitalna"/>
    <s v="UM-HUR-02"/>
    <b v="0"/>
    <n v="17980.86"/>
    <s v="OK"/>
    <x v="0"/>
    <x v="0"/>
    <s v="2022-06"/>
    <n v="1"/>
  </r>
  <r>
    <s v="FV/58/SAL/22"/>
    <s v="PZ/800447"/>
    <x v="1"/>
    <d v="2022-06-15T00:00:00"/>
    <s v="19074.69"/>
    <s v="Zaakceptowana"/>
    <s v="Faktura VAT"/>
    <s v="Apteka Szpitalna"/>
    <s v=""/>
    <b v="0"/>
    <n v="19074.689999999999"/>
    <s v="OK"/>
    <x v="1"/>
    <x v="0"/>
    <s v="2022-06"/>
    <n v="1"/>
  </r>
  <r>
    <s v="FV/35/SAL/22"/>
    <s v="PZ/800448"/>
    <x v="1"/>
    <d v="2022-06-16T00:00:00"/>
    <s v="-2028.19"/>
    <s v="Zaakceptowana"/>
    <s v="Korekta FV"/>
    <s v="Apteka Szpitalna"/>
    <s v="UM-SAL-01"/>
    <b v="0"/>
    <n v="-2028.19"/>
    <s v="OK"/>
    <x v="0"/>
    <x v="0"/>
    <s v="2022-06"/>
    <n v="1"/>
  </r>
  <r>
    <s v="FV/M/2283/P/22"/>
    <s v="PZ/800449"/>
    <x v="5"/>
    <d v="2022-06-16T00:00:00"/>
    <s v="11662.73"/>
    <s v="Zaakceptowana"/>
    <s v="Faktura VAT"/>
    <s v="Apteka Szpitalna"/>
    <s v="UM-MED-01"/>
    <b v="0"/>
    <n v="11662.73"/>
    <s v="OK"/>
    <x v="0"/>
    <x v="0"/>
    <s v="2022-06"/>
    <n v="1"/>
  </r>
  <r>
    <s v="FV/POL/47057/2022"/>
    <s v="PZ/800450"/>
    <x v="0"/>
    <d v="2022-06-16T00:00:00"/>
    <s v="7630.87"/>
    <s v="Zaakceptowana"/>
    <s v="Faktura VAT"/>
    <s v="Apteka Szpitalna"/>
    <s v="UM-POL-03"/>
    <b v="0"/>
    <n v="7630.87"/>
    <s v="OK"/>
    <x v="0"/>
    <x v="0"/>
    <s v="2022-06"/>
    <n v="1"/>
  </r>
  <r>
    <s v="FV/1617/NOVA/22"/>
    <s v="PZ/800451"/>
    <x v="2"/>
    <d v="2022-06-16T00:00:00"/>
    <s v="13190.41"/>
    <s v="Zaakceptowana"/>
    <s v="Faktura VAT"/>
    <s v="Apteka Szpitalna"/>
    <s v="UM-NOV-03"/>
    <b v="0"/>
    <n v="13190.41"/>
    <s v="OK"/>
    <x v="0"/>
    <x v="0"/>
    <s v="2022-06"/>
    <n v="1"/>
  </r>
  <r>
    <s v="FV/POL/61106/2022"/>
    <s v="PZ/800452"/>
    <x v="0"/>
    <d v="2022-06-17T00:00:00"/>
    <s v="19061.66"/>
    <s v="Zaakceptowana"/>
    <s v="Faktura VAT"/>
    <s v="Apteka Szpitalna"/>
    <s v=""/>
    <b v="0"/>
    <n v="19061.66"/>
    <s v="OK"/>
    <x v="1"/>
    <x v="0"/>
    <s v="2022-06"/>
    <n v="1"/>
  </r>
  <r>
    <s v="FV/POL/77302/2022"/>
    <s v="PZ/800453"/>
    <x v="0"/>
    <d v="2022-06-17T00:00:00"/>
    <s v="5897.7"/>
    <s v="Zaakceptowana"/>
    <s v="Faktura VAT"/>
    <s v="Apteka Szpitalna"/>
    <s v="UM-POL-01"/>
    <b v="0"/>
    <n v="5897.7"/>
    <s v="OK"/>
    <x v="0"/>
    <x v="0"/>
    <s v="2022-06"/>
    <n v="1"/>
  </r>
  <r>
    <s v="FV/68/SAL/22"/>
    <s v="PZ/800454"/>
    <x v="1"/>
    <d v="2022-06-17T00:00:00"/>
    <s v="11505.38"/>
    <s v="Zaakceptowana"/>
    <s v="Faktura VAT"/>
    <s v="Apteka Szpitalna"/>
    <s v="UM-SAL-01"/>
    <b v="0"/>
    <n v="11505.38"/>
    <s v="OK"/>
    <x v="0"/>
    <x v="0"/>
    <s v="2022-06"/>
    <n v="1"/>
  </r>
  <r>
    <s v="FV/POL/72703/2022"/>
    <s v="PZ/800455"/>
    <x v="0"/>
    <d v="2022-06-17T00:00:00"/>
    <s v="11649.67"/>
    <s v="Zaakceptowana"/>
    <s v="Faktura VAT"/>
    <s v="Apteka Szpitalna"/>
    <s v="UM-POL-03"/>
    <b v="0"/>
    <n v="11649.67"/>
    <s v="OK"/>
    <x v="0"/>
    <x v="0"/>
    <s v="2022-06"/>
    <n v="1"/>
  </r>
  <r>
    <s v="FV/95559/VDb/2022"/>
    <s v="PZ/800456"/>
    <x v="7"/>
    <d v="2022-06-17T00:00:00"/>
    <s v="13856.32"/>
    <s v="Zaakceptowana"/>
    <s v="Faktura VAT"/>
    <s v="Apteka Szpitalna"/>
    <s v="UM-VIT-01"/>
    <b v="0"/>
    <n v="13856.32"/>
    <s v="OK"/>
    <x v="0"/>
    <x v="0"/>
    <s v="2022-06"/>
    <n v="1"/>
  </r>
  <r>
    <s v="FV/43/SAL/22"/>
    <s v="PZ/800457"/>
    <x v="1"/>
    <d v="2022-06-17T00:00:00"/>
    <s v="15532.65"/>
    <s v="Zaakceptowana"/>
    <s v="Faktura VAT"/>
    <s v="Apteka Szpitalna"/>
    <s v="UM-SAL-01"/>
    <b v="0"/>
    <n v="15532.65"/>
    <s v="OK"/>
    <x v="0"/>
    <x v="0"/>
    <s v="2022-06"/>
    <n v="1"/>
  </r>
  <r>
    <s v="FV/1421/NOVA/22"/>
    <s v="PZ/800458"/>
    <x v="2"/>
    <d v="2022-06-18T00:00:00"/>
    <s v="14022.63"/>
    <s v="Zaakceptowana"/>
    <s v="Faktura VAT"/>
    <s v="Apteka Szpitalna"/>
    <s v="UM-NOV-03"/>
    <b v="0"/>
    <n v="14022.63"/>
    <s v="OK"/>
    <x v="0"/>
    <x v="0"/>
    <s v="2022-06"/>
    <n v="1"/>
  </r>
  <r>
    <s v="FV/97/PP/5147/22"/>
    <s v="PZ/800459"/>
    <x v="6"/>
    <d v="2022-06-18T00:00:00"/>
    <s v="23019.54"/>
    <s v="Zaakceptowana"/>
    <s v="Faktura VAT"/>
    <s v="Apteka Szpitalna"/>
    <s v="UM-PHA-01"/>
    <b v="0"/>
    <n v="23019.54"/>
    <s v="OK"/>
    <x v="0"/>
    <x v="0"/>
    <s v="2022-06"/>
    <n v="1"/>
  </r>
  <r>
    <s v="FV/98/PP/3863/22"/>
    <s v="PZ/800460"/>
    <x v="6"/>
    <d v="2022-06-18T00:00:00"/>
    <s v="15415.75"/>
    <s v="Zaakceptowana"/>
    <s v="Faktura VAT"/>
    <s v="Apteka Szpitalna"/>
    <s v=""/>
    <b v="0"/>
    <n v="15415.75"/>
    <s v="OK"/>
    <x v="1"/>
    <x v="0"/>
    <s v="2022-06"/>
    <n v="1"/>
  </r>
  <r>
    <s v="FV/M/3428/P/22"/>
    <s v="PZ/800461"/>
    <x v="5"/>
    <d v="2022-06-19T00:00:00"/>
    <s v="14453.67"/>
    <s v="Zaakceptowana"/>
    <s v="Faktura VAT"/>
    <s v="Apteka Szpitalna"/>
    <s v="UM-MED-02"/>
    <b v="0"/>
    <n v="14453.67"/>
    <s v="OK"/>
    <x v="0"/>
    <x v="0"/>
    <s v="2022-06"/>
    <n v="1"/>
  </r>
  <r>
    <s v="FV/55559/VDb/2022"/>
    <s v="PZ/800462"/>
    <x v="7"/>
    <d v="2022-06-20T00:00:00"/>
    <s v="13259.55"/>
    <s v="Zaakceptowana"/>
    <s v="Faktura VAT"/>
    <s v="Apteka Szpitalna"/>
    <s v=""/>
    <b v="0"/>
    <n v="13259.55"/>
    <s v="OK"/>
    <x v="1"/>
    <x v="0"/>
    <s v="2022-06"/>
    <n v="1"/>
  </r>
  <r>
    <s v="FV/72/SAL/22"/>
    <s v="PZ/800463"/>
    <x v="1"/>
    <d v="2022-06-20T00:00:00"/>
    <s v="-372.0"/>
    <s v="Zaakceptowana"/>
    <s v="Korekta FV"/>
    <s v="Apteka Szpitalna"/>
    <s v="UM-SAL-02"/>
    <b v="0"/>
    <n v="-372"/>
    <s v="OK"/>
    <x v="0"/>
    <x v="0"/>
    <s v="2022-06"/>
    <n v="1"/>
  </r>
  <r>
    <s v="FV/M/9551/P/22"/>
    <s v="PZ/800464"/>
    <x v="5"/>
    <d v="2022-06-20T00:00:00"/>
    <s v="15835.48"/>
    <s v="Zaakceptowana"/>
    <s v="Faktura VAT"/>
    <s v="Apteka Szpitalna"/>
    <s v="UM-MED-02"/>
    <b v="0"/>
    <n v="15835.48"/>
    <s v="OK"/>
    <x v="0"/>
    <x v="0"/>
    <s v="2022-06"/>
    <n v="1"/>
  </r>
  <r>
    <s v="FV/POL/69147/2022"/>
    <s v="PZ/800465"/>
    <x v="0"/>
    <d v="2022-06-20T00:00:00"/>
    <s v="19225.93"/>
    <s v="Zaakceptowana"/>
    <s v="Faktura VAT"/>
    <s v="Apteka Szpitalna"/>
    <s v="UM-POL-03"/>
    <b v="0"/>
    <n v="19225.93"/>
    <s v="OK"/>
    <x v="0"/>
    <x v="0"/>
    <s v="2022-06"/>
    <n v="1"/>
  </r>
  <r>
    <s v="FV/CENFA/248909/22"/>
    <s v="PZ/800466"/>
    <x v="4"/>
    <d v="2022-06-20T00:00:00"/>
    <s v="13932.3"/>
    <s v="Zaakceptowana"/>
    <s v="Faktura VAT"/>
    <s v="Apteka Szpitalna"/>
    <s v="UM-CEN-02"/>
    <b v="0"/>
    <n v="13932.3"/>
    <s v="OK"/>
    <x v="0"/>
    <x v="0"/>
    <s v="2022-06"/>
    <n v="1"/>
  </r>
  <r>
    <s v="FV/6210/NOVA/22"/>
    <s v="PZ/800467"/>
    <x v="2"/>
    <d v="2022-06-21T00:00:00"/>
    <s v="13464.5"/>
    <s v="Zaakceptowana"/>
    <s v="Faktura VAT"/>
    <s v="Apteka Szpitalna"/>
    <s v=""/>
    <b v="0"/>
    <n v="13464.5"/>
    <s v="OK"/>
    <x v="1"/>
    <x v="0"/>
    <s v="2022-06"/>
    <n v="1"/>
  </r>
  <r>
    <s v="FV/86/PP/4230/22"/>
    <s v="PZ/800468"/>
    <x v="6"/>
    <d v="2022-06-21T00:00:00"/>
    <s v="11020.55"/>
    <s v="Zaakceptowana"/>
    <s v="Faktura VAT"/>
    <s v="Apteka Szpitalna"/>
    <s v=""/>
    <b v="0"/>
    <n v="11020.55"/>
    <s v="OK"/>
    <x v="1"/>
    <x v="0"/>
    <s v="2022-06"/>
    <n v="1"/>
  </r>
  <r>
    <s v="FV/CENFA/330496/22"/>
    <s v="PZ/800469"/>
    <x v="4"/>
    <d v="2022-06-22T00:00:00"/>
    <s v="-899.46"/>
    <s v="Zaakceptowana"/>
    <s v="Korekta FV"/>
    <s v="Apteka Szpitalna"/>
    <s v="UM-CEN-01"/>
    <b v="0"/>
    <n v="-899.46"/>
    <s v="OK"/>
    <x v="0"/>
    <x v="0"/>
    <s v="2022-06"/>
    <n v="1"/>
  </r>
  <r>
    <s v="FV/CENFA/112556/22"/>
    <s v="PZ/800470"/>
    <x v="4"/>
    <d v="2022-06-23T00:00:00"/>
    <s v="13802.18"/>
    <s v="Zaakceptowana"/>
    <s v="Faktura VAT"/>
    <s v="Apteka Szpitalna"/>
    <s v="UM-CEN-01"/>
    <b v="0"/>
    <n v="13802.18"/>
    <s v="OK"/>
    <x v="0"/>
    <x v="0"/>
    <s v="2022-06"/>
    <n v="1"/>
  </r>
  <r>
    <s v="FV/7472HM/22"/>
    <s v="PZ/800471"/>
    <x v="3"/>
    <d v="2022-06-23T00:00:00"/>
    <s v="18153.65"/>
    <s v="Zaakceptowana"/>
    <s v="Faktura VAT"/>
    <s v="Apteka Szpitalna"/>
    <s v="UM-HUR-02"/>
    <b v="0"/>
    <n v="18153.650000000001"/>
    <s v="OK"/>
    <x v="0"/>
    <x v="0"/>
    <s v="2022-06"/>
    <n v="1"/>
  </r>
  <r>
    <s v="FV/CENFA/621179/22"/>
    <s v="PZ/800472"/>
    <x v="4"/>
    <d v="2022-06-23T00:00:00"/>
    <s v="10280.84"/>
    <s v="Zaakceptowana"/>
    <s v="Faktura VAT"/>
    <s v="Apteka Szpitalna"/>
    <s v=""/>
    <b v="0"/>
    <n v="10280.84"/>
    <s v="OK"/>
    <x v="1"/>
    <x v="0"/>
    <s v="2022-06"/>
    <n v="1"/>
  </r>
  <r>
    <s v="FV/30/SAL/22"/>
    <s v="PZ/800473"/>
    <x v="1"/>
    <d v="2022-06-23T00:00:00"/>
    <s v="13419.66"/>
    <s v="Zaakceptowana"/>
    <s v="Faktura VAT"/>
    <s v="Apteka Szpitalna"/>
    <s v="UM-SAL-02"/>
    <b v="0"/>
    <n v="13419.66"/>
    <s v="OK"/>
    <x v="0"/>
    <x v="0"/>
    <s v="2022-06"/>
    <n v="1"/>
  </r>
  <r>
    <s v="FV/47/PP/3347/22"/>
    <s v="PZ/800474"/>
    <x v="6"/>
    <d v="2022-06-23T00:00:00"/>
    <s v="11831.77"/>
    <s v="Zaakceptowana"/>
    <s v="Faktura VAT"/>
    <s v="Apteka Szpitalna"/>
    <s v=""/>
    <b v="0"/>
    <n v="11831.77"/>
    <s v="OK"/>
    <x v="1"/>
    <x v="0"/>
    <s v="2022-06"/>
    <n v="1"/>
  </r>
  <r>
    <s v="FV/6626/NOVA/22"/>
    <s v="PZ/800475"/>
    <x v="2"/>
    <d v="2022-06-24T00:00:00"/>
    <s v="16602.7"/>
    <s v="Zaakceptowana"/>
    <s v="Faktura VAT"/>
    <s v="Apteka Szpitalna"/>
    <s v="UM-NOV-01"/>
    <b v="0"/>
    <n v="16602.7"/>
    <s v="OK"/>
    <x v="0"/>
    <x v="0"/>
    <s v="2022-06"/>
    <n v="1"/>
  </r>
  <r>
    <s v="FV/5973/NOVA/22"/>
    <s v="PZ/800476"/>
    <x v="2"/>
    <d v="2022-06-24T00:00:00"/>
    <s v="16919.07"/>
    <s v="Zaakceptowana"/>
    <s v="Faktura VAT"/>
    <s v="Apteka Szpitalna"/>
    <s v="UM-NOV-02"/>
    <b v="0"/>
    <n v="16919.07"/>
    <s v="OK"/>
    <x v="0"/>
    <x v="0"/>
    <s v="2022-06"/>
    <n v="1"/>
  </r>
  <r>
    <s v="FV/CENFA/920277/22"/>
    <s v="PZ/800477"/>
    <x v="4"/>
    <d v="2022-06-25T00:00:00"/>
    <s v="16713.07"/>
    <s v="Zaakceptowana"/>
    <s v="Faktura VAT"/>
    <s v="Apteka Szpitalna"/>
    <s v="UM-CEN-02"/>
    <b v="0"/>
    <n v="16713.07"/>
    <s v="OK"/>
    <x v="0"/>
    <x v="0"/>
    <s v="2022-06"/>
    <n v="1"/>
  </r>
  <r>
    <s v="FV/63/PP/9700/22"/>
    <s v="PZ/800478"/>
    <x v="6"/>
    <d v="2022-06-26T00:00:00"/>
    <s v="8873.93"/>
    <s v="Zaakceptowana"/>
    <s v="Faktura VAT"/>
    <s v="Apteka Szpitalna"/>
    <s v="UM-PHA-01"/>
    <b v="0"/>
    <n v="8873.93"/>
    <s v="OK"/>
    <x v="0"/>
    <x v="0"/>
    <s v="2022-06"/>
    <n v="1"/>
  </r>
  <r>
    <s v="FV/48/PP/8315/22"/>
    <s v="PZ/800479"/>
    <x v="6"/>
    <d v="2022-06-26T00:00:00"/>
    <s v="15762.45"/>
    <s v="Zaakceptowana"/>
    <s v="Faktura VAT"/>
    <s v="Apteka Szpitalna"/>
    <s v="UM-PHA-01"/>
    <b v="0"/>
    <n v="15762.45"/>
    <s v="OK"/>
    <x v="0"/>
    <x v="0"/>
    <s v="2022-06"/>
    <n v="1"/>
  </r>
  <r>
    <s v="FV/76/PP/9803/22"/>
    <s v="PZ/800480"/>
    <x v="6"/>
    <d v="2022-06-27T00:00:00"/>
    <s v="19601.74"/>
    <s v="Zaakceptowana"/>
    <s v="Faktura VAT"/>
    <s v="Apteka Szpitalna"/>
    <s v=""/>
    <b v="0"/>
    <n v="19601.740000000002"/>
    <s v="OK"/>
    <x v="1"/>
    <x v="0"/>
    <s v="2022-06"/>
    <n v="1"/>
  </r>
  <r>
    <s v="FV/CENFA/558641/22"/>
    <s v="PZ/800481"/>
    <x v="4"/>
    <d v="2022-06-27T00:00:00"/>
    <s v="17530.79"/>
    <s v="Zaakceptowana"/>
    <s v="Faktura VAT"/>
    <s v="Apteka Szpitalna"/>
    <s v="UM-CEN-02"/>
    <b v="0"/>
    <n v="17530.79"/>
    <s v="OK"/>
    <x v="0"/>
    <x v="0"/>
    <s v="2022-06"/>
    <n v="1"/>
  </r>
  <r>
    <s v="FV/CENFA/890052/22"/>
    <s v="PZ/800482"/>
    <x v="4"/>
    <d v="2022-06-28T00:00:00"/>
    <s v="21424.76"/>
    <s v="Zaakceptowana"/>
    <s v="Faktura VAT"/>
    <s v="Apteka Szpitalna"/>
    <s v="UM-CEN-02"/>
    <b v="0"/>
    <n v="21424.76"/>
    <s v="OK"/>
    <x v="0"/>
    <x v="0"/>
    <s v="2022-06"/>
    <n v="1"/>
  </r>
  <r>
    <s v="FV/M/3857/P/22"/>
    <s v="PZ/800483"/>
    <x v="5"/>
    <d v="2022-06-29T00:00:00"/>
    <s v="13957.19"/>
    <s v="Zaakceptowana"/>
    <s v="Faktura VAT"/>
    <s v="Apteka Szpitalna"/>
    <s v=""/>
    <b v="0"/>
    <n v="13957.19"/>
    <s v="OK"/>
    <x v="1"/>
    <x v="0"/>
    <s v="2022-06"/>
    <n v="1"/>
  </r>
  <r>
    <s v="FV/3388/NOVA/22"/>
    <s v="PZ/800484"/>
    <x v="2"/>
    <d v="2022-06-29T00:00:00"/>
    <s v="14994.97"/>
    <s v="Zaakceptowana"/>
    <s v="Faktura VAT"/>
    <s v="Apteka Szpitalna"/>
    <s v=""/>
    <b v="0"/>
    <n v="14994.97"/>
    <s v="OK"/>
    <x v="1"/>
    <x v="0"/>
    <s v="2022-06"/>
    <n v="1"/>
  </r>
  <r>
    <s v="FV/CENFA/301856/22"/>
    <s v="PZ/800485"/>
    <x v="4"/>
    <d v="2022-06-29T00:00:00"/>
    <s v="17299.56"/>
    <s v="Zaakceptowana"/>
    <s v="Faktura VAT"/>
    <s v="Apteka Szpitalna"/>
    <s v=""/>
    <b v="0"/>
    <n v="17299.560000000001"/>
    <s v="OK"/>
    <x v="1"/>
    <x v="0"/>
    <s v="2022-06"/>
    <n v="1"/>
  </r>
  <r>
    <s v="FV/POL/65914/2022"/>
    <s v="PZ/800486"/>
    <x v="0"/>
    <d v="2022-06-29T00:00:00"/>
    <s v="13583.03"/>
    <s v="Zaakceptowana"/>
    <s v="Faktura VAT"/>
    <s v="Apteka Szpitalna"/>
    <s v="UM-POL-01"/>
    <b v="0"/>
    <n v="13583.03"/>
    <s v="OK"/>
    <x v="0"/>
    <x v="0"/>
    <s v="2022-06"/>
    <n v="1"/>
  </r>
  <r>
    <s v="FV/64/PP/4877/22"/>
    <s v="PZ/800487"/>
    <x v="6"/>
    <d v="2022-06-30T00:00:00"/>
    <s v="-641.25"/>
    <s v="Zaakceptowana"/>
    <s v="Korekta FV"/>
    <s v="Apteka Szpitalna"/>
    <s v="UM-PHA-02"/>
    <b v="0"/>
    <n v="-641.25"/>
    <s v="OK"/>
    <x v="0"/>
    <x v="0"/>
    <s v="2022-06"/>
    <n v="1"/>
  </r>
  <r>
    <s v="FV/POL/46051/2022"/>
    <s v="PZ/800488"/>
    <x v="0"/>
    <d v="2022-06-30T00:00:00"/>
    <s v="14677.06"/>
    <s v="Zaakceptowana"/>
    <s v="Faktura VAT"/>
    <s v="Apteka Szpitalna"/>
    <s v="UM-POL-01"/>
    <b v="0"/>
    <n v="14677.06"/>
    <s v="OK"/>
    <x v="0"/>
    <x v="0"/>
    <s v="2022-06"/>
    <n v="1"/>
  </r>
  <r>
    <s v="FV/CENFA/573806/22"/>
    <s v="PZ/800489"/>
    <x v="4"/>
    <d v="2022-06-30T00:00:00"/>
    <s v="12999.42"/>
    <s v="Zaakceptowana"/>
    <s v="Faktura VAT"/>
    <s v="Apteka Szpitalna"/>
    <s v="UM-CEN-01"/>
    <b v="0"/>
    <n v="12999.42"/>
    <s v="OK"/>
    <x v="0"/>
    <x v="0"/>
    <s v="2022-06"/>
    <n v="1"/>
  </r>
  <r>
    <s v="FV/83/PP/2091/22"/>
    <s v="PZ/800490"/>
    <x v="6"/>
    <d v="2022-06-30T00:00:00"/>
    <s v="10931.9"/>
    <s v="Zaakceptowana"/>
    <s v="Faktura VAT"/>
    <s v="Apteka Szpitalna"/>
    <s v="UM-PHA-02"/>
    <b v="0"/>
    <n v="10931.9"/>
    <s v="OK"/>
    <x v="0"/>
    <x v="0"/>
    <s v="2022-06"/>
    <n v="1"/>
  </r>
  <r>
    <s v="FV/14/SAL/22"/>
    <s v="PZ/800491"/>
    <x v="1"/>
    <d v="2022-07-01T00:00:00"/>
    <s v="20957.01"/>
    <s v="Zaakceptowana"/>
    <s v="Faktura VAT"/>
    <s v="Apteka Szpitalna"/>
    <s v="UM-SAL-02"/>
    <b v="0"/>
    <n v="20957.009999999998"/>
    <s v="OK"/>
    <x v="0"/>
    <x v="0"/>
    <s v="2022-07"/>
    <n v="1"/>
  </r>
  <r>
    <s v="FV/M/3620/P/22"/>
    <s v="PZ/800492"/>
    <x v="5"/>
    <d v="2022-07-01T00:00:00"/>
    <s v="13272.28"/>
    <s v="Zaakceptowana"/>
    <s v="Faktura VAT"/>
    <s v="Apteka Szpitalna"/>
    <s v="UM-MED-01"/>
    <b v="0"/>
    <n v="13272.28"/>
    <s v="OK"/>
    <x v="0"/>
    <x v="0"/>
    <s v="2022-07"/>
    <n v="1"/>
  </r>
  <r>
    <s v="FV/3145HM/22"/>
    <s v="PZ/800493"/>
    <x v="3"/>
    <d v="2022-07-01T00:00:00"/>
    <s v="22254.28"/>
    <s v="Zaakceptowana"/>
    <s v="Faktura VAT"/>
    <s v="Apteka Szpitalna"/>
    <s v="UM-HUR-01"/>
    <b v="0"/>
    <n v="22254.28"/>
    <s v="OK"/>
    <x v="0"/>
    <x v="0"/>
    <s v="2022-07"/>
    <n v="1"/>
  </r>
  <r>
    <s v="FV/CENFA/526220/22"/>
    <s v="PZ/800494"/>
    <x v="4"/>
    <d v="2022-07-02T00:00:00"/>
    <s v="7337.65"/>
    <s v="Zaakceptowana"/>
    <s v="Faktura VAT"/>
    <s v="Apteka Szpitalna"/>
    <s v="UM-CEN-01"/>
    <b v="0"/>
    <n v="7337.65"/>
    <s v="OK"/>
    <x v="0"/>
    <x v="0"/>
    <s v="2022-07"/>
    <n v="1"/>
  </r>
  <r>
    <s v="FV/12/PP/9794/22"/>
    <s v="PZ/800495"/>
    <x v="6"/>
    <d v="2022-07-02T00:00:00"/>
    <s v="10870.38"/>
    <s v="Zaakceptowana"/>
    <s v="Faktura VAT"/>
    <s v="Apteka Szpitalna"/>
    <s v=""/>
    <b v="0"/>
    <n v="10870.38"/>
    <s v="OK"/>
    <x v="1"/>
    <x v="0"/>
    <s v="2022-07"/>
    <n v="1"/>
  </r>
  <r>
    <s v="FV/8009HM/22"/>
    <s v="PZ/800496"/>
    <x v="3"/>
    <d v="2022-07-03T00:00:00"/>
    <s v="18727.66"/>
    <s v="Zaakceptowana"/>
    <s v="Faktura VAT"/>
    <s v="Apteka Szpitalna"/>
    <s v="UM-HUR-02"/>
    <b v="0"/>
    <n v="18727.66"/>
    <s v="OK"/>
    <x v="0"/>
    <x v="0"/>
    <s v="2022-07"/>
    <n v="1"/>
  </r>
  <r>
    <s v="FV/13/PP/8820/22"/>
    <s v="PZ/800497"/>
    <x v="6"/>
    <d v="2022-07-04T00:00:00"/>
    <s v="6196.09"/>
    <s v="Zaakceptowana"/>
    <s v="Faktura VAT"/>
    <s v="Apteka Szpitalna"/>
    <s v="UM-PHA-02"/>
    <b v="0"/>
    <n v="6196.09"/>
    <s v="OK"/>
    <x v="0"/>
    <x v="0"/>
    <s v="2022-07"/>
    <n v="1"/>
  </r>
  <r>
    <s v="FV/49015/VDb/2022"/>
    <s v="PZ/800498"/>
    <x v="7"/>
    <d v="2022-07-04T00:00:00"/>
    <s v="-2148.49"/>
    <s v="Zaakceptowana"/>
    <s v="Korekta FV"/>
    <s v="Apteka Szpitalna"/>
    <s v="UM-VIT-01"/>
    <b v="0"/>
    <n v="-2148.4899999999998"/>
    <s v="OK"/>
    <x v="0"/>
    <x v="0"/>
    <s v="2022-07"/>
    <n v="1"/>
  </r>
  <r>
    <s v="FV/7754HM/22"/>
    <s v="PZ/800499"/>
    <x v="3"/>
    <d v="2022-07-04T00:00:00"/>
    <s v="13978.1"/>
    <s v="Zaakceptowana"/>
    <s v="Faktura VAT"/>
    <s v="Apteka Szpitalna"/>
    <s v="UM-HUR-02"/>
    <b v="0"/>
    <n v="13978.1"/>
    <s v="OK"/>
    <x v="0"/>
    <x v="0"/>
    <s v="2022-07"/>
    <n v="1"/>
  </r>
  <r>
    <s v="FV/29/SAL/22"/>
    <s v="PZ/800500"/>
    <x v="1"/>
    <d v="2022-07-05T00:00:00"/>
    <s v="5848.24"/>
    <s v="Zaakceptowana"/>
    <s v="Faktura VAT"/>
    <s v="Apteka Szpitalna"/>
    <s v="UM-SAL-01"/>
    <b v="0"/>
    <n v="5848.24"/>
    <s v="OK"/>
    <x v="0"/>
    <x v="0"/>
    <s v="2022-07"/>
    <n v="1"/>
  </r>
  <r>
    <s v="FV/POL/88160/2022"/>
    <s v="PZ/800501"/>
    <x v="0"/>
    <d v="2022-07-05T00:00:00"/>
    <s v="12237.05"/>
    <s v="Zaakceptowana"/>
    <s v="Faktura VAT"/>
    <s v="Apteka Szpitalna"/>
    <s v="UM-POL-02"/>
    <b v="0"/>
    <n v="12237.05"/>
    <s v="OK"/>
    <x v="0"/>
    <x v="0"/>
    <s v="2022-07"/>
    <n v="1"/>
  </r>
  <r>
    <s v="FV/51347/VDb/2022"/>
    <s v="PZ/800502"/>
    <x v="7"/>
    <d v="2022-07-06T00:00:00"/>
    <s v="15981.72"/>
    <s v="Zaakceptowana"/>
    <s v="Faktura VAT"/>
    <s v="Apteka Szpitalna"/>
    <s v="UM-VIT-01"/>
    <b v="0"/>
    <n v="15981.72"/>
    <s v="OK"/>
    <x v="0"/>
    <x v="0"/>
    <s v="2022-07"/>
    <n v="1"/>
  </r>
  <r>
    <s v="FV/CENFA/900457/22"/>
    <s v="PZ/800503"/>
    <x v="4"/>
    <d v="2022-07-06T00:00:00"/>
    <s v="19875.97"/>
    <s v="Zaakceptowana"/>
    <s v="Faktura VAT"/>
    <s v="Apteka Szpitalna"/>
    <s v="UM-CEN-02"/>
    <b v="0"/>
    <n v="19875.97"/>
    <s v="OK"/>
    <x v="0"/>
    <x v="0"/>
    <s v="2022-07"/>
    <n v="1"/>
  </r>
  <r>
    <s v="FV/POL/46602/2022"/>
    <s v="PZ/800504"/>
    <x v="0"/>
    <d v="2022-07-06T00:00:00"/>
    <s v="10445.93"/>
    <s v="Zaakceptowana"/>
    <s v="Faktura VAT"/>
    <s v="Apteka Szpitalna"/>
    <s v="UM-POL-01"/>
    <b v="0"/>
    <n v="10445.93"/>
    <s v="OK"/>
    <x v="0"/>
    <x v="0"/>
    <s v="2022-07"/>
    <n v="1"/>
  </r>
  <r>
    <s v="FV/91/SAL/22"/>
    <s v="PZ/800505"/>
    <x v="1"/>
    <d v="2022-07-07T00:00:00"/>
    <s v="16311.89"/>
    <s v="Zaakceptowana"/>
    <s v="Faktura VAT"/>
    <s v="Apteka Szpitalna"/>
    <s v="UM-SAL-01"/>
    <b v="0"/>
    <n v="16311.89"/>
    <s v="OK"/>
    <x v="0"/>
    <x v="0"/>
    <s v="2022-07"/>
    <n v="1"/>
  </r>
  <r>
    <s v="FV/CENFA/852243/22"/>
    <s v="PZ/800506"/>
    <x v="4"/>
    <d v="2022-07-08T00:00:00"/>
    <s v="14184.33"/>
    <s v="Zaakceptowana"/>
    <s v="Faktura VAT"/>
    <s v="Apteka Szpitalna"/>
    <s v="UM-CEN-02"/>
    <b v="0"/>
    <n v="14184.33"/>
    <s v="OK"/>
    <x v="0"/>
    <x v="0"/>
    <s v="2022-07"/>
    <n v="1"/>
  </r>
  <r>
    <s v="FV/8038/NOVA/22"/>
    <s v="PZ/800507"/>
    <x v="2"/>
    <d v="2022-07-08T00:00:00"/>
    <s v="10587.79"/>
    <s v="Zaakceptowana"/>
    <s v="Faktura VAT"/>
    <s v="Apteka Szpitalna"/>
    <s v="UM-NOV-02"/>
    <b v="0"/>
    <n v="10587.79"/>
    <s v="OK"/>
    <x v="0"/>
    <x v="0"/>
    <s v="2022-07"/>
    <n v="1"/>
  </r>
  <r>
    <s v="FV/68/SAL/22"/>
    <s v="PZ/800508"/>
    <x v="1"/>
    <d v="2022-07-08T00:00:00"/>
    <s v="10812.54"/>
    <s v="Zaakceptowana"/>
    <s v="Faktura VAT"/>
    <s v="Apteka Szpitalna"/>
    <s v="UM-SAL-02"/>
    <b v="0"/>
    <n v="10812.54"/>
    <s v="OK"/>
    <x v="0"/>
    <x v="0"/>
    <s v="2022-07"/>
    <n v="1"/>
  </r>
  <r>
    <s v="FV/81/PP/8686/22"/>
    <s v="PZ/800509"/>
    <x v="6"/>
    <d v="2022-07-08T00:00:00"/>
    <s v="15570.46"/>
    <s v="Zaakceptowana"/>
    <s v="Faktura VAT"/>
    <s v="Apteka Szpitalna"/>
    <s v=""/>
    <b v="0"/>
    <n v="15570.46"/>
    <s v="OK"/>
    <x v="1"/>
    <x v="0"/>
    <s v="2022-07"/>
    <n v="1"/>
  </r>
  <r>
    <s v="FV/81234/VDb/2022"/>
    <s v="PZ/800510"/>
    <x v="7"/>
    <d v="2022-07-08T00:00:00"/>
    <s v="14812.48"/>
    <s v="Zaakceptowana"/>
    <s v="Faktura VAT"/>
    <s v="Apteka Szpitalna"/>
    <s v="UM-VIT-01"/>
    <b v="0"/>
    <n v="14812.48"/>
    <s v="OK"/>
    <x v="0"/>
    <x v="0"/>
    <s v="2022-07"/>
    <n v="1"/>
  </r>
  <r>
    <s v="FV/16644/VDb/2022"/>
    <s v="PZ/800511"/>
    <x v="7"/>
    <d v="2022-07-08T00:00:00"/>
    <s v="15644.49"/>
    <s v="Zaakceptowana"/>
    <s v="Faktura VAT"/>
    <s v="Apteka Szpitalna"/>
    <s v="UM-VIT-01"/>
    <b v="0"/>
    <n v="15644.49"/>
    <s v="OK"/>
    <x v="0"/>
    <x v="0"/>
    <s v="2022-07"/>
    <n v="1"/>
  </r>
  <r>
    <s v="FV/7298HM/22"/>
    <s v="PZ/800512"/>
    <x v="3"/>
    <d v="2022-07-08T00:00:00"/>
    <s v="-1108.2"/>
    <s v="Zaakceptowana"/>
    <s v="Korekta FV"/>
    <s v="Apteka Szpitalna"/>
    <s v="UM-HUR-03"/>
    <b v="0"/>
    <n v="-1108.2"/>
    <s v="OK"/>
    <x v="0"/>
    <x v="0"/>
    <s v="2022-07"/>
    <n v="1"/>
  </r>
  <r>
    <s v="FV/51/SAL/22"/>
    <s v="PZ/800513"/>
    <x v="1"/>
    <d v="2022-07-09T00:00:00"/>
    <s v="18435.65"/>
    <s v="Zaakceptowana"/>
    <s v="Faktura VAT"/>
    <s v="Apteka Szpitalna"/>
    <s v="UM-SAL-02"/>
    <b v="0"/>
    <n v="18435.650000000001"/>
    <s v="OK"/>
    <x v="0"/>
    <x v="0"/>
    <s v="2022-07"/>
    <n v="1"/>
  </r>
  <r>
    <s v="FV/6659HM/22"/>
    <s v="PZ/800514"/>
    <x v="3"/>
    <d v="2022-07-10T00:00:00"/>
    <s v="11398.07"/>
    <s v="Zaakceptowana"/>
    <s v="Faktura VAT"/>
    <s v="Apteka Szpitalna"/>
    <s v="UM-HUR-01"/>
    <b v="0"/>
    <n v="11398.07"/>
    <s v="OK"/>
    <x v="0"/>
    <x v="0"/>
    <s v="2022-07"/>
    <n v="1"/>
  </r>
  <r>
    <s v="FV/82/PP/7149/22"/>
    <s v="PZ/800515"/>
    <x v="6"/>
    <d v="2022-07-10T00:00:00"/>
    <s v="15531.01"/>
    <s v="Zaakceptowana"/>
    <s v="Faktura VAT"/>
    <s v="Apteka Szpitalna"/>
    <s v="UM-PHA-02"/>
    <b v="0"/>
    <n v="15531.01"/>
    <s v="OK"/>
    <x v="0"/>
    <x v="0"/>
    <s v="2022-07"/>
    <n v="1"/>
  </r>
  <r>
    <s v="FV/4106/NOVA/22"/>
    <s v="PZ/800516"/>
    <x v="2"/>
    <d v="2022-07-10T00:00:00"/>
    <s v="17494.95"/>
    <s v="Zaakceptowana"/>
    <s v="Faktura VAT"/>
    <s v="Apteka Szpitalna"/>
    <s v="UM-NOV-03"/>
    <b v="0"/>
    <n v="17494.95"/>
    <s v="OK"/>
    <x v="0"/>
    <x v="0"/>
    <s v="2022-07"/>
    <n v="1"/>
  </r>
  <r>
    <s v="FV/POL/68257/2022"/>
    <s v="PZ/800517"/>
    <x v="0"/>
    <d v="2022-07-10T00:00:00"/>
    <s v="11441.12"/>
    <s v="Zaakceptowana"/>
    <s v="Faktura VAT"/>
    <s v="Apteka Szpitalna"/>
    <s v="UM-POL-01"/>
    <b v="0"/>
    <n v="11441.12"/>
    <s v="OK"/>
    <x v="0"/>
    <x v="0"/>
    <s v="2022-07"/>
    <n v="1"/>
  </r>
  <r>
    <s v="FV/22/PP/3218/22"/>
    <s v="PZ/800518"/>
    <x v="6"/>
    <d v="2022-07-10T00:00:00"/>
    <s v="14251.0"/>
    <s v="Zaakceptowana"/>
    <s v="Faktura VAT"/>
    <s v="Apteka Szpitalna"/>
    <s v=""/>
    <b v="0"/>
    <n v="14251"/>
    <s v="OK"/>
    <x v="1"/>
    <x v="0"/>
    <s v="2022-07"/>
    <n v="1"/>
  </r>
  <r>
    <s v="FV/84/PP/3153/22"/>
    <s v="PZ/800519"/>
    <x v="6"/>
    <d v="2022-07-10T00:00:00"/>
    <s v="-947.4"/>
    <s v="Zaakceptowana"/>
    <s v="Korekta FV"/>
    <s v="Apteka Szpitalna"/>
    <s v="UM-PHA-02"/>
    <b v="0"/>
    <n v="-947.4"/>
    <s v="OK"/>
    <x v="0"/>
    <x v="0"/>
    <s v="2022-07"/>
    <n v="1"/>
  </r>
  <r>
    <s v="FV/3698HM/22"/>
    <s v="PZ/800520"/>
    <x v="3"/>
    <d v="2022-07-11T00:00:00"/>
    <s v="18474.71"/>
    <s v="Zaakceptowana"/>
    <s v="Faktura VAT"/>
    <s v="Apteka Szpitalna"/>
    <s v=""/>
    <b v="0"/>
    <n v="18474.71"/>
    <s v="OK"/>
    <x v="1"/>
    <x v="0"/>
    <s v="2022-07"/>
    <n v="1"/>
  </r>
  <r>
    <s v="FV/POL/27213/2022"/>
    <s v="PZ/800521"/>
    <x v="0"/>
    <d v="2022-07-11T00:00:00"/>
    <s v="11516.88"/>
    <s v="Zaakceptowana"/>
    <s v="Faktura VAT"/>
    <s v="Apteka Szpitalna"/>
    <s v="UM-POL-01"/>
    <b v="0"/>
    <n v="11516.88"/>
    <s v="OK"/>
    <x v="0"/>
    <x v="0"/>
    <s v="2022-07"/>
    <n v="1"/>
  </r>
  <r>
    <s v="FV/3767HM/22"/>
    <s v="PZ/800522"/>
    <x v="3"/>
    <d v="2022-07-12T00:00:00"/>
    <s v="8942.13"/>
    <s v="Zaakceptowana"/>
    <s v="Faktura VAT"/>
    <s v="Apteka Szpitalna"/>
    <s v="UM-HUR-01"/>
    <b v="0"/>
    <n v="8942.1299999999992"/>
    <s v="OK"/>
    <x v="0"/>
    <x v="0"/>
    <s v="2022-07"/>
    <n v="1"/>
  </r>
  <r>
    <s v="FV/CENFA/206100/22"/>
    <s v="PZ/800523"/>
    <x v="4"/>
    <d v="2022-07-12T00:00:00"/>
    <s v="16967.55"/>
    <s v="Zaakceptowana"/>
    <s v="Faktura VAT"/>
    <s v="Apteka Szpitalna"/>
    <s v="UM-CEN-01"/>
    <b v="0"/>
    <n v="16967.55"/>
    <s v="OK"/>
    <x v="0"/>
    <x v="0"/>
    <s v="2022-07"/>
    <n v="1"/>
  </r>
  <r>
    <s v="FV/73/SAL/22"/>
    <s v="PZ/800524"/>
    <x v="1"/>
    <d v="2022-07-12T00:00:00"/>
    <s v="5931.67"/>
    <s v="Zaakceptowana"/>
    <s v="Faktura VAT"/>
    <s v="Apteka Szpitalna"/>
    <s v="UM-SAL-02"/>
    <b v="0"/>
    <n v="5931.67"/>
    <s v="OK"/>
    <x v="0"/>
    <x v="0"/>
    <s v="2022-07"/>
    <n v="1"/>
  </r>
  <r>
    <s v="FV/4227/NOVA/22"/>
    <s v="PZ/800525"/>
    <x v="2"/>
    <d v="2022-07-13T00:00:00"/>
    <s v="12439.71"/>
    <s v="Zaakceptowana"/>
    <s v="Faktura VAT"/>
    <s v="Apteka Szpitalna"/>
    <s v="UM-NOV-02"/>
    <b v="0"/>
    <n v="12439.71"/>
    <s v="OK"/>
    <x v="0"/>
    <x v="0"/>
    <s v="2022-07"/>
    <n v="1"/>
  </r>
  <r>
    <s v="FV/1660HM/22"/>
    <s v="PZ/800526"/>
    <x v="3"/>
    <d v="2022-07-13T00:00:00"/>
    <s v="15499.22"/>
    <s v="Zaakceptowana"/>
    <s v="Faktura VAT"/>
    <s v="Apteka Szpitalna"/>
    <s v="UM-HUR-01"/>
    <b v="0"/>
    <n v="15499.22"/>
    <s v="OK"/>
    <x v="0"/>
    <x v="0"/>
    <s v="2022-07"/>
    <n v="1"/>
  </r>
  <r>
    <s v="FV/92/PP/6063/22"/>
    <s v="PZ/800527"/>
    <x v="6"/>
    <d v="2022-07-15T00:00:00"/>
    <s v="26290.04"/>
    <s v="Zaakceptowana"/>
    <s v="Faktura VAT"/>
    <s v="Apteka Szpitalna"/>
    <s v=""/>
    <b v="0"/>
    <n v="26290.04"/>
    <s v="OK"/>
    <x v="1"/>
    <x v="0"/>
    <s v="2022-07"/>
    <n v="1"/>
  </r>
  <r>
    <s v="FV/POL/30196/2022"/>
    <s v="PZ/800528"/>
    <x v="0"/>
    <d v="2022-07-15T00:00:00"/>
    <s v="21223.48"/>
    <s v="Zaakceptowana"/>
    <s v="Faktura VAT"/>
    <s v="Apteka Szpitalna"/>
    <s v="UM-POL-01"/>
    <b v="0"/>
    <n v="21223.48"/>
    <s v="OK"/>
    <x v="0"/>
    <x v="0"/>
    <s v="2022-07"/>
    <n v="1"/>
  </r>
  <r>
    <s v="FV/7662/NOVA/22"/>
    <s v="PZ/800529"/>
    <x v="2"/>
    <d v="2022-07-15T00:00:00"/>
    <s v="21949.4"/>
    <s v="Zaakceptowana"/>
    <s v="Faktura VAT"/>
    <s v="Apteka Szpitalna"/>
    <s v="UM-NOV-01"/>
    <b v="0"/>
    <n v="21949.4"/>
    <s v="OK"/>
    <x v="0"/>
    <x v="0"/>
    <s v="2022-07"/>
    <n v="1"/>
  </r>
  <r>
    <s v="FV/30/SAL/22"/>
    <s v="PZ/800530"/>
    <x v="1"/>
    <d v="2022-07-16T00:00:00"/>
    <s v="-777.91"/>
    <s v="Zaakceptowana"/>
    <s v="Korekta FV"/>
    <s v="Apteka Szpitalna"/>
    <s v="UM-SAL-02"/>
    <b v="0"/>
    <n v="-777.91"/>
    <s v="OK"/>
    <x v="0"/>
    <x v="0"/>
    <s v="2022-07"/>
    <n v="1"/>
  </r>
  <r>
    <s v="FV/33/SAL/22"/>
    <s v="PZ/800531"/>
    <x v="1"/>
    <d v="2022-07-16T00:00:00"/>
    <s v="10396.43"/>
    <s v="Zaakceptowana"/>
    <s v="Faktura VAT"/>
    <s v="Apteka Szpitalna"/>
    <s v=""/>
    <b v="0"/>
    <n v="10396.43"/>
    <s v="OK"/>
    <x v="1"/>
    <x v="0"/>
    <s v="2022-07"/>
    <n v="1"/>
  </r>
  <r>
    <s v="FV/CENFA/417738/22"/>
    <s v="PZ/800532"/>
    <x v="4"/>
    <d v="2022-07-16T00:00:00"/>
    <s v="12380.13"/>
    <s v="Zaakceptowana"/>
    <s v="Faktura VAT"/>
    <s v="Apteka Szpitalna"/>
    <s v="UM-CEN-02"/>
    <b v="0"/>
    <n v="12380.13"/>
    <s v="OK"/>
    <x v="0"/>
    <x v="0"/>
    <s v="2022-07"/>
    <n v="1"/>
  </r>
  <r>
    <s v="FV/63/PP/7385/22"/>
    <s v="PZ/800533"/>
    <x v="6"/>
    <d v="2022-07-17T00:00:00"/>
    <s v="15442.21"/>
    <s v="Zaakceptowana"/>
    <s v="Faktura VAT"/>
    <s v="Apteka Szpitalna"/>
    <s v=""/>
    <b v="0"/>
    <n v="15442.21"/>
    <s v="OK"/>
    <x v="1"/>
    <x v="0"/>
    <s v="2022-07"/>
    <n v="1"/>
  </r>
  <r>
    <s v="FV/POL/26916/2022"/>
    <s v="PZ/800534"/>
    <x v="0"/>
    <d v="2022-07-17T00:00:00"/>
    <s v="11935.4"/>
    <s v="Zaakceptowana"/>
    <s v="Faktura VAT"/>
    <s v="Apteka Szpitalna"/>
    <s v="UM-POL-03"/>
    <b v="0"/>
    <n v="11935.4"/>
    <s v="OK"/>
    <x v="0"/>
    <x v="0"/>
    <s v="2022-07"/>
    <n v="1"/>
  </r>
  <r>
    <s v="FV/POL/99887/2022"/>
    <s v="PZ/800535"/>
    <x v="0"/>
    <d v="2022-07-17T00:00:00"/>
    <s v="15980.83"/>
    <s v="Zaakceptowana"/>
    <s v="Faktura VAT"/>
    <s v="Apteka Szpitalna"/>
    <s v="UM-POL-01"/>
    <b v="0"/>
    <n v="15980.83"/>
    <s v="OK"/>
    <x v="0"/>
    <x v="0"/>
    <s v="2022-07"/>
    <n v="1"/>
  </r>
  <r>
    <s v="FV/35/SAL/22"/>
    <s v="PZ/800536"/>
    <x v="1"/>
    <d v="2022-07-17T00:00:00"/>
    <s v="12342.53"/>
    <s v="Zaakceptowana"/>
    <s v="Faktura VAT"/>
    <s v="Apteka Szpitalna"/>
    <s v="UM-SAL-01"/>
    <b v="0"/>
    <n v="12342.53"/>
    <s v="OK"/>
    <x v="0"/>
    <x v="0"/>
    <s v="2022-07"/>
    <n v="1"/>
  </r>
  <r>
    <s v="FV/5845HM/22"/>
    <s v="PZ/800537"/>
    <x v="3"/>
    <d v="2022-07-18T00:00:00"/>
    <s v="17996.47"/>
    <s v="Zaakceptowana"/>
    <s v="Faktura VAT"/>
    <s v="Apteka Szpitalna"/>
    <s v="UM-HUR-02"/>
    <b v="0"/>
    <n v="17996.47"/>
    <s v="OK"/>
    <x v="0"/>
    <x v="0"/>
    <s v="2022-07"/>
    <n v="1"/>
  </r>
  <r>
    <s v="FV/CENFA/258695/22"/>
    <s v="PZ/800538"/>
    <x v="4"/>
    <d v="2022-07-19T00:00:00"/>
    <s v="7692.13"/>
    <s v="Zaakceptowana"/>
    <s v="Faktura VAT"/>
    <s v="Apteka Szpitalna"/>
    <s v=""/>
    <b v="0"/>
    <n v="7692.13"/>
    <s v="OK"/>
    <x v="1"/>
    <x v="0"/>
    <s v="2022-07"/>
    <n v="1"/>
  </r>
  <r>
    <s v="FV/19325/VDb/2022"/>
    <s v="PZ/800539"/>
    <x v="7"/>
    <d v="2022-07-19T00:00:00"/>
    <s v="16505.47"/>
    <s v="Zaakceptowana"/>
    <s v="Faktura VAT"/>
    <s v="Apteka Szpitalna"/>
    <s v="UM-VIT-01"/>
    <b v="0"/>
    <n v="16505.47"/>
    <s v="OK"/>
    <x v="0"/>
    <x v="0"/>
    <s v="2022-07"/>
    <n v="1"/>
  </r>
  <r>
    <s v="FV/1833HM/22"/>
    <s v="PZ/800540"/>
    <x v="3"/>
    <d v="2022-07-19T00:00:00"/>
    <s v="6222.74"/>
    <s v="Zaakceptowana"/>
    <s v="Faktura VAT"/>
    <s v="Apteka Szpitalna"/>
    <s v="UM-HUR-02"/>
    <b v="0"/>
    <n v="6222.74"/>
    <s v="OK"/>
    <x v="0"/>
    <x v="0"/>
    <s v="2022-07"/>
    <n v="1"/>
  </r>
  <r>
    <s v="FV/M/8942/P/22"/>
    <s v="PZ/800541"/>
    <x v="5"/>
    <d v="2022-07-20T00:00:00"/>
    <s v="9631.28"/>
    <s v="Zaakceptowana"/>
    <s v="Faktura VAT"/>
    <s v="Apteka Szpitalna"/>
    <s v="UM-MED-01"/>
    <b v="0"/>
    <n v="9631.2800000000007"/>
    <s v="OK"/>
    <x v="0"/>
    <x v="0"/>
    <s v="2022-07"/>
    <n v="1"/>
  </r>
  <r>
    <s v="FV/1567/NOVA/22"/>
    <s v="PZ/800542"/>
    <x v="2"/>
    <d v="2022-07-20T00:00:00"/>
    <s v="10741.83"/>
    <s v="Zaakceptowana"/>
    <s v="Faktura VAT"/>
    <s v="Apteka Szpitalna"/>
    <s v="UM-NOV-03"/>
    <b v="0"/>
    <n v="10741.83"/>
    <s v="OK"/>
    <x v="0"/>
    <x v="0"/>
    <s v="2022-07"/>
    <n v="1"/>
  </r>
  <r>
    <s v="FV/53/SAL/22"/>
    <s v="PZ/800543"/>
    <x v="1"/>
    <d v="2022-07-21T00:00:00"/>
    <s v="17370.64"/>
    <s v="Zaakceptowana"/>
    <s v="Faktura VAT"/>
    <s v="Apteka Szpitalna"/>
    <s v="UM-SAL-02"/>
    <b v="0"/>
    <n v="17370.64"/>
    <s v="OK"/>
    <x v="0"/>
    <x v="0"/>
    <s v="2022-07"/>
    <n v="1"/>
  </r>
  <r>
    <s v="FV/POL/83323/2022"/>
    <s v="PZ/800544"/>
    <x v="0"/>
    <d v="2022-07-22T00:00:00"/>
    <s v="19673.35"/>
    <s v="Zaakceptowana"/>
    <s v="Faktura VAT"/>
    <s v="Apteka Szpitalna"/>
    <s v="UM-POL-02"/>
    <b v="0"/>
    <n v="19673.349999999999"/>
    <s v="OK"/>
    <x v="0"/>
    <x v="0"/>
    <s v="2022-07"/>
    <n v="1"/>
  </r>
  <r>
    <s v="FV/2634HM/22"/>
    <s v="PZ/800545"/>
    <x v="3"/>
    <d v="2022-07-22T00:00:00"/>
    <s v="-1596.81"/>
    <s v="Zaakceptowana"/>
    <s v="Korekta FV"/>
    <s v="Apteka Szpitalna"/>
    <s v=""/>
    <b v="0"/>
    <n v="-1596.81"/>
    <s v="OK"/>
    <x v="1"/>
    <x v="0"/>
    <s v="2022-07"/>
    <n v="1"/>
  </r>
  <r>
    <s v="FV/30/SAL/22"/>
    <s v="PZ/800546"/>
    <x v="1"/>
    <d v="2022-07-22T00:00:00"/>
    <s v="15056.71"/>
    <s v="Zaakceptowana"/>
    <s v="Faktura VAT"/>
    <s v="Apteka Szpitalna"/>
    <s v="UM-SAL-02"/>
    <b v="0"/>
    <n v="15056.71"/>
    <s v="OK"/>
    <x v="0"/>
    <x v="0"/>
    <s v="2022-07"/>
    <n v="1"/>
  </r>
  <r>
    <s v="FV/7221/NOVA/22"/>
    <s v="PZ/800547"/>
    <x v="2"/>
    <d v="2022-07-22T00:00:00"/>
    <s v="23363.08"/>
    <s v="Zaakceptowana"/>
    <s v="Faktura VAT"/>
    <s v="Apteka Szpitalna"/>
    <s v=""/>
    <b v="0"/>
    <n v="23363.08"/>
    <s v="OK"/>
    <x v="1"/>
    <x v="0"/>
    <s v="2022-07"/>
    <n v="1"/>
  </r>
  <r>
    <s v="FV/61/SAL/22"/>
    <s v="PZ/800548"/>
    <x v="1"/>
    <d v="2022-07-22T00:00:00"/>
    <s v="14801.17"/>
    <s v="Zaakceptowana"/>
    <s v="Faktura VAT"/>
    <s v="Apteka Szpitalna"/>
    <s v="UM-SAL-02"/>
    <b v="0"/>
    <n v="14801.17"/>
    <s v="OK"/>
    <x v="0"/>
    <x v="0"/>
    <s v="2022-07"/>
    <n v="1"/>
  </r>
  <r>
    <s v="FV/POL/21610/2022"/>
    <s v="PZ/800549"/>
    <x v="0"/>
    <d v="2022-07-23T00:00:00"/>
    <s v="-2709.3"/>
    <s v="Zaakceptowana"/>
    <s v="Korekta FV"/>
    <s v="Apteka Szpitalna"/>
    <s v="UM-POL-03"/>
    <b v="0"/>
    <n v="-2709.3"/>
    <s v="OK"/>
    <x v="0"/>
    <x v="0"/>
    <s v="2022-07"/>
    <n v="1"/>
  </r>
  <r>
    <s v="FV/4142/NOVA/22"/>
    <s v="PZ/800550"/>
    <x v="2"/>
    <d v="2022-07-24T00:00:00"/>
    <s v="13570.81"/>
    <s v="Zaakceptowana"/>
    <s v="Faktura VAT"/>
    <s v="Apteka Szpitalna"/>
    <s v="UM-NOV-03"/>
    <b v="0"/>
    <n v="13570.81"/>
    <s v="OK"/>
    <x v="0"/>
    <x v="0"/>
    <s v="2022-07"/>
    <n v="1"/>
  </r>
  <r>
    <s v="FV/POL/58397/2022"/>
    <s v="PZ/800551"/>
    <x v="0"/>
    <d v="2022-07-26T00:00:00"/>
    <s v="8621.46"/>
    <s v="Zaakceptowana"/>
    <s v="Faktura VAT"/>
    <s v="Apteka Szpitalna"/>
    <s v="UM-POL-01"/>
    <b v="0"/>
    <n v="8621.4599999999991"/>
    <s v="OK"/>
    <x v="0"/>
    <x v="0"/>
    <s v="2022-07"/>
    <n v="1"/>
  </r>
  <r>
    <s v="FV/76/SAL/22"/>
    <s v="PZ/800552"/>
    <x v="1"/>
    <d v="2022-07-26T00:00:00"/>
    <s v="17777.03"/>
    <s v="Zaakceptowana"/>
    <s v="Faktura VAT"/>
    <s v="Apteka Szpitalna"/>
    <s v="UM-SAL-01"/>
    <b v="0"/>
    <n v="17777.03"/>
    <s v="OK"/>
    <x v="0"/>
    <x v="0"/>
    <s v="2022-07"/>
    <n v="1"/>
  </r>
  <r>
    <s v="FV/39/SAL/22"/>
    <s v="PZ/800553"/>
    <x v="1"/>
    <d v="2022-07-26T00:00:00"/>
    <s v="16168.04"/>
    <s v="Zaakceptowana"/>
    <s v="Faktura VAT"/>
    <s v="Apteka Szpitalna"/>
    <s v="UM-SAL-02"/>
    <b v="0"/>
    <n v="16168.04"/>
    <s v="OK"/>
    <x v="0"/>
    <x v="0"/>
    <s v="2022-07"/>
    <n v="1"/>
  </r>
  <r>
    <s v="FV/M/1699/P/22"/>
    <s v="PZ/800554"/>
    <x v="5"/>
    <d v="2022-07-26T00:00:00"/>
    <s v="10733.58"/>
    <s v="Zaakceptowana"/>
    <s v="Faktura VAT"/>
    <s v="Apteka Szpitalna"/>
    <s v=""/>
    <b v="0"/>
    <n v="10733.58"/>
    <s v="OK"/>
    <x v="1"/>
    <x v="0"/>
    <s v="2022-07"/>
    <n v="1"/>
  </r>
  <r>
    <s v="FV/CENFA/377429/22"/>
    <s v="PZ/800555"/>
    <x v="4"/>
    <d v="2022-07-26T00:00:00"/>
    <s v="19837.49"/>
    <s v="Zaakceptowana"/>
    <s v="Faktura VAT"/>
    <s v="Apteka Szpitalna"/>
    <s v="UM-CEN-02"/>
    <b v="0"/>
    <n v="19837.490000000002"/>
    <s v="OK"/>
    <x v="0"/>
    <x v="0"/>
    <s v="2022-07"/>
    <n v="1"/>
  </r>
  <r>
    <s v="FV/7912HM/22"/>
    <s v="PZ/800556"/>
    <x v="3"/>
    <d v="2022-07-27T00:00:00"/>
    <s v="18099.25"/>
    <s v="Zaakceptowana"/>
    <s v="Faktura VAT"/>
    <s v="Apteka Szpitalna"/>
    <s v="UM-HUR-02"/>
    <b v="0"/>
    <n v="18099.25"/>
    <s v="OK"/>
    <x v="0"/>
    <x v="0"/>
    <s v="2022-07"/>
    <n v="1"/>
  </r>
  <r>
    <s v="FV/41/PP/4464/22"/>
    <s v="PZ/800557"/>
    <x v="6"/>
    <d v="2022-07-28T00:00:00"/>
    <s v="8910.39"/>
    <s v="Zaakceptowana"/>
    <s v="Faktura VAT"/>
    <s v="Apteka Szpitalna"/>
    <s v="UM-PHA-02"/>
    <b v="0"/>
    <n v="8910.39"/>
    <s v="OK"/>
    <x v="0"/>
    <x v="0"/>
    <s v="2022-07"/>
    <n v="1"/>
  </r>
  <r>
    <s v="FV/7722HM/22"/>
    <s v="PZ/800558"/>
    <x v="3"/>
    <d v="2022-07-28T00:00:00"/>
    <s v="16991.57"/>
    <s v="Zaakceptowana"/>
    <s v="Faktura VAT"/>
    <s v="Apteka Szpitalna"/>
    <s v="UM-HUR-03"/>
    <b v="0"/>
    <n v="16991.57"/>
    <s v="OK"/>
    <x v="0"/>
    <x v="0"/>
    <s v="2022-07"/>
    <n v="1"/>
  </r>
  <r>
    <s v="FV/M/3586/P/22"/>
    <s v="PZ/800559"/>
    <x v="5"/>
    <d v="2022-07-29T00:00:00"/>
    <s v="11536.36"/>
    <s v="Zaakceptowana"/>
    <s v="Faktura VAT"/>
    <s v="Apteka Szpitalna"/>
    <s v=""/>
    <b v="0"/>
    <n v="11536.36"/>
    <s v="OK"/>
    <x v="1"/>
    <x v="0"/>
    <s v="2022-07"/>
    <n v="1"/>
  </r>
  <r>
    <s v="FV/POL/72809/2022"/>
    <s v="PZ/800560"/>
    <x v="0"/>
    <d v="2022-07-30T00:00:00"/>
    <s v="18909.16"/>
    <s v="Zaakceptowana"/>
    <s v="Faktura VAT"/>
    <s v="Apteka Szpitalna"/>
    <s v="UM-POL-03"/>
    <b v="0"/>
    <n v="18909.16"/>
    <s v="OK"/>
    <x v="0"/>
    <x v="0"/>
    <s v="2022-07"/>
    <n v="1"/>
  </r>
  <r>
    <s v="FV/70692/VDb/2022"/>
    <s v="PZ/800561"/>
    <x v="7"/>
    <d v="2022-07-30T00:00:00"/>
    <s v="18788.71"/>
    <s v="Zaakceptowana"/>
    <s v="Faktura VAT"/>
    <s v="Apteka Szpitalna"/>
    <s v="UM-VIT-01"/>
    <b v="0"/>
    <n v="18788.71"/>
    <s v="OK"/>
    <x v="0"/>
    <x v="0"/>
    <s v="2022-07"/>
    <n v="1"/>
  </r>
  <r>
    <s v="FV/27/SAL/22"/>
    <s v="PZ/800562"/>
    <x v="1"/>
    <d v="2022-07-30T00:00:00"/>
    <s v="11723.53"/>
    <s v="Zaakceptowana"/>
    <s v="Faktura VAT"/>
    <s v="Apteka Szpitalna"/>
    <s v="UM-SAL-02"/>
    <b v="0"/>
    <n v="11723.53"/>
    <s v="OK"/>
    <x v="0"/>
    <x v="0"/>
    <s v="2022-07"/>
    <n v="1"/>
  </r>
  <r>
    <s v="FV/81784/VDb/2022"/>
    <s v="PZ/800563"/>
    <x v="7"/>
    <d v="2022-07-30T00:00:00"/>
    <s v="16766.67"/>
    <s v="Zaakceptowana"/>
    <s v="Faktura VAT"/>
    <s v="Apteka Szpitalna"/>
    <s v=""/>
    <b v="0"/>
    <n v="16766.669999999998"/>
    <s v="OK"/>
    <x v="1"/>
    <x v="0"/>
    <s v="2022-07"/>
    <n v="1"/>
  </r>
  <r>
    <s v="FV/POL/25077/2022"/>
    <s v="PZ/800564"/>
    <x v="0"/>
    <d v="2022-07-31T00:00:00"/>
    <s v="7315.72"/>
    <s v="Zaakceptowana"/>
    <s v="Faktura VAT"/>
    <s v="Apteka Szpitalna"/>
    <s v="UM-POL-01"/>
    <b v="0"/>
    <n v="7315.72"/>
    <s v="OK"/>
    <x v="0"/>
    <x v="0"/>
    <s v="2022-07"/>
    <n v="1"/>
  </r>
  <r>
    <s v="FV/CENFA/683460/22"/>
    <s v="PZ/800565"/>
    <x v="4"/>
    <d v="2022-07-31T00:00:00"/>
    <s v="12978.34"/>
    <s v="Zaakceptowana"/>
    <s v="Faktura VAT"/>
    <s v="Apteka Szpitalna"/>
    <s v="UM-CEN-02"/>
    <b v="0"/>
    <n v="12978.34"/>
    <s v="OK"/>
    <x v="0"/>
    <x v="0"/>
    <s v="2022-07"/>
    <n v="1"/>
  </r>
  <r>
    <s v="FV/79/SAL/22"/>
    <s v="PZ/800566"/>
    <x v="1"/>
    <d v="2022-08-01T00:00:00"/>
    <s v="14208.88"/>
    <s v="Zaakceptowana"/>
    <s v="Faktura VAT"/>
    <s v="Apteka Szpitalna"/>
    <s v="UM-SAL-01"/>
    <b v="0"/>
    <n v="14208.88"/>
    <s v="OK"/>
    <x v="0"/>
    <x v="0"/>
    <s v="2022-08"/>
    <n v="1"/>
  </r>
  <r>
    <s v="FV/84/SAL/22"/>
    <s v="PZ/800567"/>
    <x v="1"/>
    <d v="2022-08-02T00:00:00"/>
    <s v="12519.36"/>
    <s v="Zaakceptowana"/>
    <s v="Faktura VAT"/>
    <s v="Apteka Szpitalna"/>
    <s v=""/>
    <b v="0"/>
    <n v="12519.36"/>
    <s v="OK"/>
    <x v="1"/>
    <x v="0"/>
    <s v="2022-08"/>
    <n v="1"/>
  </r>
  <r>
    <s v="FV/27451/VDb/2022"/>
    <s v="PZ/800568"/>
    <x v="7"/>
    <d v="2022-08-03T00:00:00"/>
    <s v="15268.32"/>
    <s v="Zaakceptowana"/>
    <s v="Faktura VAT"/>
    <s v="Apteka Szpitalna"/>
    <s v="UM-VIT-01"/>
    <b v="0"/>
    <n v="15268.32"/>
    <s v="OK"/>
    <x v="0"/>
    <x v="0"/>
    <s v="2022-08"/>
    <n v="1"/>
  </r>
  <r>
    <s v="FV/M/1129/P/22"/>
    <s v="PZ/800569"/>
    <x v="5"/>
    <d v="2022-08-03T00:00:00"/>
    <s v="24492.33"/>
    <s v="Zaakceptowana"/>
    <s v="Faktura VAT"/>
    <s v="Apteka Szpitalna"/>
    <s v="UM-MED-02"/>
    <b v="0"/>
    <n v="24492.33"/>
    <s v="OK"/>
    <x v="0"/>
    <x v="0"/>
    <s v="2022-08"/>
    <n v="1"/>
  </r>
  <r>
    <s v="FV/POL/38367/2022"/>
    <s v="PZ/800570"/>
    <x v="0"/>
    <d v="2022-08-03T00:00:00"/>
    <s v="-1006.43"/>
    <s v="Zaakceptowana"/>
    <s v="Korekta FV"/>
    <s v="Apteka Szpitalna"/>
    <s v=""/>
    <b v="0"/>
    <n v="-1006.43"/>
    <s v="OK"/>
    <x v="1"/>
    <x v="0"/>
    <s v="2022-08"/>
    <n v="1"/>
  </r>
  <r>
    <s v="FV/8223HM/22"/>
    <s v="PZ/800571"/>
    <x v="3"/>
    <d v="2022-08-04T00:00:00"/>
    <s v="11691.2"/>
    <s v="Zaakceptowana"/>
    <s v="Faktura VAT"/>
    <s v="Apteka Szpitalna"/>
    <s v="UM-HUR-02"/>
    <b v="0"/>
    <n v="11691.2"/>
    <s v="OK"/>
    <x v="0"/>
    <x v="0"/>
    <s v="2022-08"/>
    <n v="1"/>
  </r>
  <r>
    <s v="FV/23/SAL/22"/>
    <s v="PZ/800572"/>
    <x v="1"/>
    <d v="2022-08-04T00:00:00"/>
    <s v="9668.47"/>
    <s v="Zaakceptowana"/>
    <s v="Faktura VAT"/>
    <s v="Apteka Szpitalna"/>
    <s v="UM-SAL-01"/>
    <b v="0"/>
    <n v="9668.4699999999993"/>
    <s v="OK"/>
    <x v="0"/>
    <x v="0"/>
    <s v="2022-08"/>
    <n v="1"/>
  </r>
  <r>
    <s v="FV/93933/VDb/2022"/>
    <s v="PZ/800573"/>
    <x v="7"/>
    <d v="2022-08-04T00:00:00"/>
    <s v="-3120.9"/>
    <s v="Zaakceptowana"/>
    <s v="Korekta FV"/>
    <s v="Apteka Szpitalna"/>
    <s v="UM-VIT-01"/>
    <b v="0"/>
    <n v="-3120.9"/>
    <s v="OK"/>
    <x v="0"/>
    <x v="0"/>
    <s v="2022-08"/>
    <n v="1"/>
  </r>
  <r>
    <s v="FV/M/5564/P/22"/>
    <s v="PZ/800574"/>
    <x v="5"/>
    <d v="2022-08-04T00:00:00"/>
    <s v="10374.01"/>
    <s v="Zaakceptowana"/>
    <s v="Faktura VAT"/>
    <s v="Apteka Szpitalna"/>
    <s v="UM-MED-01"/>
    <b v="0"/>
    <n v="10374.01"/>
    <s v="OK"/>
    <x v="0"/>
    <x v="0"/>
    <s v="2022-08"/>
    <n v="1"/>
  </r>
  <r>
    <s v="FV/15/PP/1030/22"/>
    <s v="PZ/800575"/>
    <x v="6"/>
    <d v="2022-08-04T00:00:00"/>
    <s v="17600.99"/>
    <s v="Zaakceptowana"/>
    <s v="Faktura VAT"/>
    <s v="Apteka Szpitalna"/>
    <s v="UM-PHA-02"/>
    <b v="0"/>
    <n v="17600.990000000002"/>
    <s v="OK"/>
    <x v="0"/>
    <x v="0"/>
    <s v="2022-08"/>
    <n v="1"/>
  </r>
  <r>
    <s v="FV/CENFA/530829/22"/>
    <s v="PZ/800576"/>
    <x v="4"/>
    <d v="2022-08-04T00:00:00"/>
    <s v="16220.32"/>
    <s v="Zaakceptowana"/>
    <s v="Faktura VAT"/>
    <s v="Apteka Szpitalna"/>
    <s v="UM-CEN-02"/>
    <b v="0"/>
    <n v="16220.32"/>
    <s v="OK"/>
    <x v="0"/>
    <x v="0"/>
    <s v="2022-08"/>
    <n v="1"/>
  </r>
  <r>
    <s v="FV/CENFA/127024/22"/>
    <s v="PZ/800577"/>
    <x v="4"/>
    <d v="2022-08-05T00:00:00"/>
    <s v="19416.95"/>
    <s v="Zaakceptowana"/>
    <s v="Faktura VAT"/>
    <s v="Apteka Szpitalna"/>
    <s v="UM-CEN-02"/>
    <b v="0"/>
    <n v="19416.95"/>
    <s v="OK"/>
    <x v="0"/>
    <x v="0"/>
    <s v="2022-08"/>
    <n v="1"/>
  </r>
  <r>
    <s v="FV/18/SAL/22"/>
    <s v="PZ/800578"/>
    <x v="1"/>
    <d v="2022-08-06T00:00:00"/>
    <s v="15601.8"/>
    <s v="Zaakceptowana"/>
    <s v="Faktura VAT"/>
    <s v="Apteka Szpitalna"/>
    <s v=""/>
    <b v="0"/>
    <n v="15601.8"/>
    <s v="OK"/>
    <x v="1"/>
    <x v="0"/>
    <s v="2022-08"/>
    <n v="1"/>
  </r>
  <r>
    <s v="FV/M/1088/P/22"/>
    <s v="PZ/800579"/>
    <x v="5"/>
    <d v="2022-08-06T00:00:00"/>
    <s v="15294.07"/>
    <s v="Zaakceptowana"/>
    <s v="Faktura VAT"/>
    <s v="Apteka Szpitalna"/>
    <s v=""/>
    <b v="0"/>
    <n v="15294.07"/>
    <s v="OK"/>
    <x v="1"/>
    <x v="0"/>
    <s v="2022-08"/>
    <n v="1"/>
  </r>
  <r>
    <s v="FV/2425HM/22"/>
    <s v="PZ/800580"/>
    <x v="3"/>
    <d v="2022-08-06T00:00:00"/>
    <s v="6079.44"/>
    <s v="Zaakceptowana"/>
    <s v="Faktura VAT"/>
    <s v="Apteka Szpitalna"/>
    <s v="UM-HUR-02"/>
    <b v="0"/>
    <n v="6079.44"/>
    <s v="OK"/>
    <x v="0"/>
    <x v="0"/>
    <s v="2022-08"/>
    <n v="1"/>
  </r>
  <r>
    <s v="FV/27/PP/9702/22"/>
    <s v="PZ/800581"/>
    <x v="6"/>
    <d v="2022-08-07T00:00:00"/>
    <s v="6440.27"/>
    <s v="Zaakceptowana"/>
    <s v="Faktura VAT"/>
    <s v="Apteka Szpitalna"/>
    <s v="UM-PHA-02"/>
    <b v="0"/>
    <n v="6440.27"/>
    <s v="OK"/>
    <x v="0"/>
    <x v="0"/>
    <s v="2022-08"/>
    <n v="1"/>
  </r>
  <r>
    <s v="FV/8300/NOVA/22"/>
    <s v="PZ/800582"/>
    <x v="2"/>
    <d v="2022-08-07T00:00:00"/>
    <s v="23708.09"/>
    <s v="Zaakceptowana"/>
    <s v="Faktura VAT"/>
    <s v="Apteka Szpitalna"/>
    <s v="UM-NOV-02"/>
    <b v="0"/>
    <n v="23708.09"/>
    <s v="OK"/>
    <x v="0"/>
    <x v="0"/>
    <s v="2022-08"/>
    <n v="1"/>
  </r>
  <r>
    <s v="FV/CENFA/126287/22"/>
    <s v="PZ/800583"/>
    <x v="4"/>
    <d v="2022-08-08T00:00:00"/>
    <s v="14870.04"/>
    <s v="Zaakceptowana"/>
    <s v="Faktura VAT"/>
    <s v="Apteka Szpitalna"/>
    <s v="UM-CEN-01"/>
    <b v="0"/>
    <n v="14870.04"/>
    <s v="OK"/>
    <x v="0"/>
    <x v="0"/>
    <s v="2022-08"/>
    <n v="1"/>
  </r>
  <r>
    <s v="FV/M/8854/P/22"/>
    <s v="PZ/800584"/>
    <x v="5"/>
    <d v="2022-08-08T00:00:00"/>
    <s v="23298.7"/>
    <s v="Zaakceptowana"/>
    <s v="Faktura VAT"/>
    <s v="Apteka Szpitalna"/>
    <s v="UM-MED-02"/>
    <b v="0"/>
    <n v="23298.7"/>
    <s v="OK"/>
    <x v="0"/>
    <x v="0"/>
    <s v="2022-08"/>
    <n v="1"/>
  </r>
  <r>
    <s v="FV/M/1064/P/22"/>
    <s v="PZ/800585"/>
    <x v="5"/>
    <d v="2022-08-09T00:00:00"/>
    <s v="-1983.53"/>
    <s v="Zaakceptowana"/>
    <s v="Korekta FV"/>
    <s v="Apteka Szpitalna"/>
    <s v=""/>
    <b v="0"/>
    <n v="-1983.53"/>
    <s v="OK"/>
    <x v="1"/>
    <x v="0"/>
    <s v="2022-08"/>
    <n v="1"/>
  </r>
  <r>
    <s v="FV/3595HM/22"/>
    <s v="PZ/800586"/>
    <x v="3"/>
    <d v="2022-08-09T00:00:00"/>
    <s v="16909.27"/>
    <s v="Zaakceptowana"/>
    <s v="Faktura VAT"/>
    <s v="Apteka Szpitalna"/>
    <s v="UM-HUR-02"/>
    <b v="0"/>
    <n v="16909.27"/>
    <s v="OK"/>
    <x v="0"/>
    <x v="0"/>
    <s v="2022-08"/>
    <n v="1"/>
  </r>
  <r>
    <s v="FV/4237HM/22"/>
    <s v="PZ/800587"/>
    <x v="3"/>
    <d v="2022-08-09T00:00:00"/>
    <s v="14179.68"/>
    <s v="Zaakceptowana"/>
    <s v="Faktura VAT"/>
    <s v="Apteka Szpitalna"/>
    <s v="UM-HUR-02"/>
    <b v="0"/>
    <n v="14179.68"/>
    <s v="OK"/>
    <x v="0"/>
    <x v="0"/>
    <s v="2022-08"/>
    <n v="1"/>
  </r>
  <r>
    <s v="FV/56/PP/8711/22"/>
    <s v="PZ/800588"/>
    <x v="6"/>
    <d v="2022-08-09T00:00:00"/>
    <s v="17129.89"/>
    <s v="Zaakceptowana"/>
    <s v="Faktura VAT"/>
    <s v="Apteka Szpitalna"/>
    <s v="UM-PHA-01"/>
    <b v="0"/>
    <n v="17129.89"/>
    <s v="OK"/>
    <x v="0"/>
    <x v="0"/>
    <s v="2022-08"/>
    <n v="1"/>
  </r>
  <r>
    <s v="FV/CENFA/851888/22"/>
    <s v="PZ/800589"/>
    <x v="4"/>
    <d v="2022-08-11T00:00:00"/>
    <s v="23237.85"/>
    <s v="Zaakceptowana"/>
    <s v="Faktura VAT"/>
    <s v="Apteka Szpitalna"/>
    <s v="UM-CEN-01"/>
    <b v="0"/>
    <n v="23237.85"/>
    <s v="OK"/>
    <x v="0"/>
    <x v="0"/>
    <s v="2022-08"/>
    <n v="1"/>
  </r>
  <r>
    <s v="FV/CENFA/732603/22"/>
    <s v="PZ/800590"/>
    <x v="4"/>
    <d v="2022-08-11T00:00:00"/>
    <s v="5712.77"/>
    <s v="Zaakceptowana"/>
    <s v="Faktura VAT"/>
    <s v="Apteka Szpitalna"/>
    <s v="UM-CEN-02"/>
    <b v="0"/>
    <n v="5712.77"/>
    <s v="OK"/>
    <x v="0"/>
    <x v="0"/>
    <s v="2022-08"/>
    <n v="1"/>
  </r>
  <r>
    <s v="FV/POL/58584/2022"/>
    <s v="PZ/800591"/>
    <x v="0"/>
    <d v="2022-08-11T00:00:00"/>
    <s v="11885.37"/>
    <s v="Zaakceptowana"/>
    <s v="Faktura VAT"/>
    <s v="Apteka Szpitalna"/>
    <s v=""/>
    <b v="0"/>
    <n v="11885.37"/>
    <s v="OK"/>
    <x v="1"/>
    <x v="0"/>
    <s v="2022-08"/>
    <n v="1"/>
  </r>
  <r>
    <s v="FV/POL/41606/2022"/>
    <s v="PZ/800592"/>
    <x v="0"/>
    <d v="2022-08-11T00:00:00"/>
    <s v="13745.88"/>
    <s v="Zaakceptowana"/>
    <s v="Faktura VAT"/>
    <s v="Apteka Szpitalna"/>
    <s v="UM-POL-01"/>
    <b v="0"/>
    <n v="13745.88"/>
    <s v="OK"/>
    <x v="0"/>
    <x v="0"/>
    <s v="2022-08"/>
    <n v="1"/>
  </r>
  <r>
    <s v="FV/POL/77020/2022"/>
    <s v="PZ/800593"/>
    <x v="0"/>
    <d v="2022-08-11T00:00:00"/>
    <s v="6124.69"/>
    <s v="Zaakceptowana"/>
    <s v="Faktura VAT"/>
    <s v="Apteka Szpitalna"/>
    <s v="UM-POL-03"/>
    <b v="0"/>
    <n v="6124.69"/>
    <s v="OK"/>
    <x v="0"/>
    <x v="0"/>
    <s v="2022-08"/>
    <n v="1"/>
  </r>
  <r>
    <s v="FV/1282HM/22"/>
    <s v="PZ/800594"/>
    <x v="3"/>
    <d v="2022-08-11T00:00:00"/>
    <s v="9383.62"/>
    <s v="Zaakceptowana"/>
    <s v="Faktura VAT"/>
    <s v="Apteka Szpitalna"/>
    <s v="UM-HUR-02"/>
    <b v="0"/>
    <n v="9383.6200000000008"/>
    <s v="OK"/>
    <x v="0"/>
    <x v="0"/>
    <s v="2022-08"/>
    <n v="1"/>
  </r>
  <r>
    <s v="FV/30/SAL/22"/>
    <s v="PZ/800595"/>
    <x v="1"/>
    <d v="2022-08-12T00:00:00"/>
    <s v="17569.84"/>
    <s v="Zaakceptowana"/>
    <s v="Faktura VAT"/>
    <s v="Apteka Szpitalna"/>
    <s v="UM-SAL-02"/>
    <b v="0"/>
    <n v="17569.84"/>
    <s v="OK"/>
    <x v="0"/>
    <x v="0"/>
    <s v="2022-08"/>
    <n v="1"/>
  </r>
  <r>
    <s v="FV/39/SAL/22"/>
    <s v="PZ/800596"/>
    <x v="1"/>
    <d v="2022-08-12T00:00:00"/>
    <s v="11305.85"/>
    <s v="Zaakceptowana"/>
    <s v="Faktura VAT"/>
    <s v="Apteka Szpitalna"/>
    <s v="UM-SAL-02"/>
    <b v="0"/>
    <n v="11305.85"/>
    <s v="OK"/>
    <x v="0"/>
    <x v="0"/>
    <s v="2022-08"/>
    <n v="1"/>
  </r>
  <r>
    <s v="FV/8111HM/22"/>
    <s v="PZ/800597"/>
    <x v="3"/>
    <d v="2022-08-12T00:00:00"/>
    <s v="18293.38"/>
    <s v="Zaakceptowana"/>
    <s v="Faktura VAT"/>
    <s v="Apteka Szpitalna"/>
    <s v="UM-HUR-01"/>
    <b v="0"/>
    <n v="18293.38"/>
    <s v="OK"/>
    <x v="0"/>
    <x v="0"/>
    <s v="2022-08"/>
    <n v="1"/>
  </r>
  <r>
    <s v="FV/2064/NOVA/22"/>
    <s v="PZ/800598"/>
    <x v="2"/>
    <d v="2022-08-12T00:00:00"/>
    <s v="22213.78"/>
    <s v="Zaakceptowana"/>
    <s v="Faktura VAT"/>
    <s v="Apteka Szpitalna"/>
    <s v="UM-NOV-03"/>
    <b v="0"/>
    <n v="22213.78"/>
    <s v="OK"/>
    <x v="0"/>
    <x v="0"/>
    <s v="2022-08"/>
    <n v="1"/>
  </r>
  <r>
    <s v="FV/93/SAL/22"/>
    <s v="PZ/800599"/>
    <x v="1"/>
    <d v="2022-08-14T00:00:00"/>
    <s v="21696.61"/>
    <s v="Zaakceptowana"/>
    <s v="Faktura VAT"/>
    <s v="Apteka Szpitalna"/>
    <s v=""/>
    <b v="0"/>
    <n v="21696.61"/>
    <s v="OK"/>
    <x v="1"/>
    <x v="0"/>
    <s v="2022-08"/>
    <n v="1"/>
  </r>
  <r>
    <s v="FV/1266HM/22"/>
    <s v="PZ/800600"/>
    <x v="3"/>
    <d v="2022-08-14T00:00:00"/>
    <s v="20107.8"/>
    <s v="Zaakceptowana"/>
    <s v="Faktura VAT"/>
    <s v="Apteka Szpitalna"/>
    <s v=""/>
    <b v="0"/>
    <n v="20107.8"/>
    <s v="OK"/>
    <x v="1"/>
    <x v="0"/>
    <s v="2022-08"/>
    <n v="1"/>
  </r>
  <r>
    <s v="FV/43/PP/4522/22"/>
    <s v="PZ/800601"/>
    <x v="6"/>
    <d v="2022-08-14T00:00:00"/>
    <s v="12950.12"/>
    <s v="Zaakceptowana"/>
    <s v="Faktura VAT"/>
    <s v="Apteka Szpitalna"/>
    <s v=""/>
    <b v="0"/>
    <n v="12950.12"/>
    <s v="OK"/>
    <x v="1"/>
    <x v="0"/>
    <s v="2022-08"/>
    <n v="1"/>
  </r>
  <r>
    <s v="FV/7398HM/22"/>
    <s v="PZ/800602"/>
    <x v="3"/>
    <d v="2022-08-14T00:00:00"/>
    <s v="16336.41"/>
    <s v="Zaakceptowana"/>
    <s v="Faktura VAT"/>
    <s v="Apteka Szpitalna"/>
    <s v="UM-HUR-01"/>
    <b v="0"/>
    <n v="16336.41"/>
    <s v="OK"/>
    <x v="0"/>
    <x v="0"/>
    <s v="2022-08"/>
    <n v="1"/>
  </r>
  <r>
    <s v="FV/POL/69171/2022"/>
    <s v="PZ/800603"/>
    <x v="0"/>
    <d v="2022-08-15T00:00:00"/>
    <s v="9464.49"/>
    <s v="Zaakceptowana"/>
    <s v="Faktura VAT"/>
    <s v="Apteka Szpitalna"/>
    <s v=""/>
    <b v="0"/>
    <n v="9464.49"/>
    <s v="OK"/>
    <x v="1"/>
    <x v="0"/>
    <s v="2022-08"/>
    <n v="1"/>
  </r>
  <r>
    <s v="FV/46/PP/4126/22"/>
    <s v="PZ/800604"/>
    <x v="6"/>
    <d v="2022-08-15T00:00:00"/>
    <s v="15341.56"/>
    <s v="Zaakceptowana"/>
    <s v="Faktura VAT"/>
    <s v="Apteka Szpitalna"/>
    <s v="UM-PHA-02"/>
    <b v="0"/>
    <n v="15341.56"/>
    <s v="OK"/>
    <x v="0"/>
    <x v="0"/>
    <s v="2022-08"/>
    <n v="1"/>
  </r>
  <r>
    <s v="FV/15/SAL/22"/>
    <s v="PZ/800605"/>
    <x v="1"/>
    <d v="2022-08-15T00:00:00"/>
    <s v="6661.19"/>
    <s v="Zaakceptowana"/>
    <s v="Faktura VAT"/>
    <s v="Apteka Szpitalna"/>
    <s v="UM-SAL-01"/>
    <b v="0"/>
    <n v="6661.19"/>
    <s v="OK"/>
    <x v="0"/>
    <x v="0"/>
    <s v="2022-08"/>
    <n v="1"/>
  </r>
  <r>
    <s v="FV/2860HM/22"/>
    <s v="PZ/800606"/>
    <x v="3"/>
    <d v="2022-08-16T00:00:00"/>
    <s v="8924.72"/>
    <s v="Zaakceptowana"/>
    <s v="Faktura VAT"/>
    <s v="Apteka Szpitalna"/>
    <s v=""/>
    <b v="0"/>
    <n v="8924.7199999999993"/>
    <s v="OK"/>
    <x v="1"/>
    <x v="0"/>
    <s v="2022-08"/>
    <n v="1"/>
  </r>
  <r>
    <s v="FV/81/PP/1393/22"/>
    <s v="PZ/800607"/>
    <x v="6"/>
    <d v="2022-08-16T00:00:00"/>
    <s v="16311.49"/>
    <s v="Zaakceptowana"/>
    <s v="Faktura VAT"/>
    <s v="Apteka Szpitalna"/>
    <s v="UM-PHA-02"/>
    <b v="0"/>
    <n v="16311.49"/>
    <s v="OK"/>
    <x v="0"/>
    <x v="0"/>
    <s v="2022-08"/>
    <n v="1"/>
  </r>
  <r>
    <s v="FV/6009/NOVA/22"/>
    <s v="PZ/800608"/>
    <x v="2"/>
    <d v="2022-08-16T00:00:00"/>
    <s v="7988.78"/>
    <s v="Zaakceptowana"/>
    <s v="Faktura VAT"/>
    <s v="Apteka Szpitalna"/>
    <s v="UM-NOV-02"/>
    <b v="0"/>
    <n v="7988.78"/>
    <s v="OK"/>
    <x v="0"/>
    <x v="0"/>
    <s v="2022-08"/>
    <n v="1"/>
  </r>
  <r>
    <s v="FV/6904/NOVA/22"/>
    <s v="PZ/800609"/>
    <x v="2"/>
    <d v="2022-08-16T00:00:00"/>
    <s v="15049.74"/>
    <s v="Zaakceptowana"/>
    <s v="Faktura VAT"/>
    <s v="Apteka Szpitalna"/>
    <s v=""/>
    <b v="0"/>
    <n v="15049.74"/>
    <s v="OK"/>
    <x v="1"/>
    <x v="0"/>
    <s v="2022-08"/>
    <n v="1"/>
  </r>
  <r>
    <s v="FV/30/SAL/22"/>
    <s v="PZ/800610"/>
    <x v="1"/>
    <d v="2022-08-16T00:00:00"/>
    <s v="22549.56"/>
    <s v="Zaakceptowana"/>
    <s v="Faktura VAT"/>
    <s v="Apteka Szpitalna"/>
    <s v=""/>
    <b v="0"/>
    <n v="22549.56"/>
    <s v="OK"/>
    <x v="1"/>
    <x v="0"/>
    <s v="2022-08"/>
    <n v="1"/>
  </r>
  <r>
    <s v="FV/41/SAL/22"/>
    <s v="PZ/800611"/>
    <x v="1"/>
    <d v="2022-08-16T00:00:00"/>
    <s v="18327.25"/>
    <s v="Zaakceptowana"/>
    <s v="Faktura VAT"/>
    <s v="Apteka Szpitalna"/>
    <s v=""/>
    <b v="0"/>
    <n v="18327.25"/>
    <s v="OK"/>
    <x v="1"/>
    <x v="0"/>
    <s v="2022-08"/>
    <n v="1"/>
  </r>
  <r>
    <s v="FV/POL/23979/2022"/>
    <s v="PZ/800612"/>
    <x v="0"/>
    <d v="2022-08-17T00:00:00"/>
    <s v="11283.65"/>
    <s v="Zaakceptowana"/>
    <s v="Faktura VAT"/>
    <s v="Apteka Szpitalna"/>
    <s v="UM-POL-01"/>
    <b v="0"/>
    <n v="11283.65"/>
    <s v="OK"/>
    <x v="0"/>
    <x v="0"/>
    <s v="2022-08"/>
    <n v="1"/>
  </r>
  <r>
    <s v="FV/M/6307/P/22"/>
    <s v="PZ/800613"/>
    <x v="5"/>
    <d v="2022-08-17T00:00:00"/>
    <s v="9712.49"/>
    <s v="Zaakceptowana"/>
    <s v="Faktura VAT"/>
    <s v="Apteka Szpitalna"/>
    <s v="UM-MED-01"/>
    <b v="0"/>
    <n v="9712.49"/>
    <s v="OK"/>
    <x v="0"/>
    <x v="0"/>
    <s v="2022-08"/>
    <n v="1"/>
  </r>
  <r>
    <s v="FV/CENFA/110812/22"/>
    <s v="PZ/800614"/>
    <x v="4"/>
    <d v="2022-08-18T00:00:00"/>
    <s v="14500.58"/>
    <s v="Zaakceptowana"/>
    <s v="Faktura VAT"/>
    <s v="Apteka Szpitalna"/>
    <s v=""/>
    <b v="0"/>
    <n v="14500.58"/>
    <s v="OK"/>
    <x v="1"/>
    <x v="0"/>
    <s v="2022-08"/>
    <n v="1"/>
  </r>
  <r>
    <s v="FV/17/PP/9526/22"/>
    <s v="PZ/800615"/>
    <x v="6"/>
    <d v="2022-08-18T00:00:00"/>
    <s v="11065.81"/>
    <s v="Zaakceptowana"/>
    <s v="Faktura VAT"/>
    <s v="Apteka Szpitalna"/>
    <s v="UM-PHA-01"/>
    <b v="0"/>
    <n v="11065.81"/>
    <s v="OK"/>
    <x v="0"/>
    <x v="0"/>
    <s v="2022-08"/>
    <n v="1"/>
  </r>
  <r>
    <s v="FV/8965/NOVA/22"/>
    <s v="PZ/800616"/>
    <x v="2"/>
    <d v="2022-08-18T00:00:00"/>
    <s v="17189.86"/>
    <s v="Zaakceptowana"/>
    <s v="Faktura VAT"/>
    <s v="Apteka Szpitalna"/>
    <s v="UM-NOV-02"/>
    <b v="0"/>
    <n v="17189.86"/>
    <s v="OK"/>
    <x v="0"/>
    <x v="0"/>
    <s v="2022-08"/>
    <n v="1"/>
  </r>
  <r>
    <s v="FV/M/4666/P/22"/>
    <s v="PZ/800617"/>
    <x v="5"/>
    <d v="2022-08-18T00:00:00"/>
    <s v="22054.11"/>
    <s v="Zaakceptowana"/>
    <s v="Faktura VAT"/>
    <s v="Apteka Szpitalna"/>
    <s v="UM-MED-01"/>
    <b v="0"/>
    <n v="22054.11"/>
    <s v="OK"/>
    <x v="0"/>
    <x v="0"/>
    <s v="2022-08"/>
    <n v="1"/>
  </r>
  <r>
    <s v="FV/75169/VDb/2022"/>
    <s v="PZ/800618"/>
    <x v="7"/>
    <d v="2022-08-18T00:00:00"/>
    <s v="17368.49"/>
    <s v="Zaakceptowana"/>
    <s v="Faktura VAT"/>
    <s v="Apteka Szpitalna"/>
    <s v="UM-VIT-01"/>
    <b v="0"/>
    <n v="17368.490000000002"/>
    <s v="OK"/>
    <x v="0"/>
    <x v="0"/>
    <s v="2022-08"/>
    <n v="1"/>
  </r>
  <r>
    <s v="FV/12478/VDb/2022"/>
    <s v="PZ/800619"/>
    <x v="7"/>
    <d v="2022-08-18T00:00:00"/>
    <s v="2482.89"/>
    <s v="Zaakceptowana"/>
    <s v="Faktura VAT"/>
    <s v="Apteka Szpitalna"/>
    <s v="UM-VIT-01"/>
    <b v="0"/>
    <n v="2482.89"/>
    <s v="OK"/>
    <x v="0"/>
    <x v="0"/>
    <s v="2022-08"/>
    <n v="1"/>
  </r>
  <r>
    <s v="FV/4151/NOVA/22"/>
    <s v="PZ/800620"/>
    <x v="2"/>
    <d v="2022-08-19T00:00:00"/>
    <s v="15794.47"/>
    <s v="Zaakceptowana"/>
    <s v="Faktura VAT"/>
    <s v="Apteka Szpitalna"/>
    <s v="UM-NOV-02"/>
    <b v="0"/>
    <n v="15794.47"/>
    <s v="OK"/>
    <x v="0"/>
    <x v="0"/>
    <s v="2022-08"/>
    <n v="1"/>
  </r>
  <r>
    <s v="FV/6318HM/22"/>
    <s v="PZ/800621"/>
    <x v="3"/>
    <d v="2022-08-19T00:00:00"/>
    <s v="17240.08"/>
    <s v="Zaakceptowana"/>
    <s v="Faktura VAT"/>
    <s v="Apteka Szpitalna"/>
    <s v="UM-HUR-02"/>
    <b v="0"/>
    <n v="17240.080000000002"/>
    <s v="OK"/>
    <x v="0"/>
    <x v="0"/>
    <s v="2022-08"/>
    <n v="1"/>
  </r>
  <r>
    <s v="FV/2057/NOVA/22"/>
    <s v="PZ/800622"/>
    <x v="2"/>
    <d v="2022-08-19T00:00:00"/>
    <s v="22491.88"/>
    <s v="Zaakceptowana"/>
    <s v="Faktura VAT"/>
    <s v="Apteka Szpitalna"/>
    <s v="UM-NOV-01"/>
    <b v="0"/>
    <n v="22491.88"/>
    <s v="OK"/>
    <x v="0"/>
    <x v="0"/>
    <s v="2022-08"/>
    <n v="1"/>
  </r>
  <r>
    <s v="FV/CENFA/827094/22"/>
    <s v="PZ/800623"/>
    <x v="4"/>
    <d v="2022-08-20T00:00:00"/>
    <s v="9005.07"/>
    <s v="Zaakceptowana"/>
    <s v="Faktura VAT"/>
    <s v="Apteka Szpitalna"/>
    <s v="UM-CEN-01"/>
    <b v="0"/>
    <n v="9005.07"/>
    <s v="OK"/>
    <x v="0"/>
    <x v="0"/>
    <s v="2022-08"/>
    <n v="1"/>
  </r>
  <r>
    <s v="FV/POL/31337/2022"/>
    <s v="PZ/800624"/>
    <x v="0"/>
    <d v="2022-08-20T00:00:00"/>
    <s v="12708.66"/>
    <s v="Zaakceptowana"/>
    <s v="Faktura VAT"/>
    <s v="Apteka Szpitalna"/>
    <s v="UM-POL-01"/>
    <b v="0"/>
    <n v="12708.66"/>
    <s v="OK"/>
    <x v="0"/>
    <x v="0"/>
    <s v="2022-08"/>
    <n v="1"/>
  </r>
  <r>
    <s v="FV/61/SAL/22"/>
    <s v="PZ/800625"/>
    <x v="1"/>
    <d v="2022-08-20T00:00:00"/>
    <s v="11133.2"/>
    <s v="Zaakceptowana"/>
    <s v="Faktura VAT"/>
    <s v="Apteka Szpitalna"/>
    <s v=""/>
    <b v="0"/>
    <n v="11133.2"/>
    <s v="OK"/>
    <x v="1"/>
    <x v="0"/>
    <s v="2022-08"/>
    <n v="1"/>
  </r>
  <r>
    <s v="FV/M/2756/P/22"/>
    <s v="PZ/800626"/>
    <x v="5"/>
    <d v="2022-08-21T00:00:00"/>
    <s v="16711.19"/>
    <s v="Zaakceptowana"/>
    <s v="Faktura VAT"/>
    <s v="Apteka Szpitalna"/>
    <s v="UM-MED-02"/>
    <b v="0"/>
    <n v="16711.189999999999"/>
    <s v="OK"/>
    <x v="0"/>
    <x v="0"/>
    <s v="2022-08"/>
    <n v="1"/>
  </r>
  <r>
    <s v="FV/26/SAL/22"/>
    <s v="PZ/800627"/>
    <x v="1"/>
    <d v="2022-08-22T00:00:00"/>
    <s v="13273.69"/>
    <s v="Zaakceptowana"/>
    <s v="Faktura VAT"/>
    <s v="Apteka Szpitalna"/>
    <s v=""/>
    <b v="0"/>
    <n v="13273.69"/>
    <s v="OK"/>
    <x v="1"/>
    <x v="0"/>
    <s v="2022-08"/>
    <n v="1"/>
  </r>
  <r>
    <s v="FV/M/9396/P/22"/>
    <s v="PZ/800628"/>
    <x v="5"/>
    <d v="2022-08-23T00:00:00"/>
    <s v="11537.34"/>
    <s v="Zaakceptowana"/>
    <s v="Faktura VAT"/>
    <s v="Apteka Szpitalna"/>
    <s v="UM-MED-02"/>
    <b v="0"/>
    <n v="11537.34"/>
    <s v="OK"/>
    <x v="0"/>
    <x v="0"/>
    <s v="2022-08"/>
    <n v="1"/>
  </r>
  <r>
    <s v="FV/1070HM/22"/>
    <s v="PZ/800629"/>
    <x v="3"/>
    <d v="2022-08-23T00:00:00"/>
    <s v="10957.11"/>
    <s v="Zaakceptowana"/>
    <s v="Faktura VAT"/>
    <s v="Apteka Szpitalna"/>
    <s v="UM-HUR-03"/>
    <b v="0"/>
    <n v="10957.11"/>
    <s v="OK"/>
    <x v="0"/>
    <x v="0"/>
    <s v="2022-08"/>
    <n v="1"/>
  </r>
  <r>
    <s v="FV/M/1926/P/22"/>
    <s v="PZ/800630"/>
    <x v="5"/>
    <d v="2022-08-25T00:00:00"/>
    <s v="15681.86"/>
    <s v="Zaakceptowana"/>
    <s v="Faktura VAT"/>
    <s v="Apteka Szpitalna"/>
    <s v=""/>
    <b v="0"/>
    <n v="15681.86"/>
    <s v="OK"/>
    <x v="1"/>
    <x v="0"/>
    <s v="2022-08"/>
    <n v="1"/>
  </r>
  <r>
    <s v="FV/25537/VDb/2022"/>
    <s v="PZ/800631"/>
    <x v="7"/>
    <d v="2022-08-25T00:00:00"/>
    <s v="-2145.16"/>
    <s v="Zaakceptowana"/>
    <s v="Korekta FV"/>
    <s v="Apteka Szpitalna"/>
    <s v="UM-VIT-01"/>
    <b v="0"/>
    <n v="-2145.16"/>
    <s v="OK"/>
    <x v="0"/>
    <x v="0"/>
    <s v="2022-08"/>
    <n v="1"/>
  </r>
  <r>
    <s v="FV/8858/NOVA/22"/>
    <s v="PZ/800632"/>
    <x v="2"/>
    <d v="2022-08-26T00:00:00"/>
    <s v="9889.16"/>
    <s v="Zaakceptowana"/>
    <s v="Faktura VAT"/>
    <s v="Apteka Szpitalna"/>
    <s v="UM-NOV-02"/>
    <b v="0"/>
    <n v="9889.16"/>
    <s v="OK"/>
    <x v="0"/>
    <x v="0"/>
    <s v="2022-08"/>
    <n v="1"/>
  </r>
  <r>
    <s v="FV/53/PP/2213/22"/>
    <s v="PZ/800633"/>
    <x v="6"/>
    <d v="2022-08-26T00:00:00"/>
    <s v="12169.52"/>
    <s v="Zaakceptowana"/>
    <s v="Faktura VAT"/>
    <s v="Apteka Szpitalna"/>
    <s v="UM-PHA-02"/>
    <b v="0"/>
    <n v="12169.52"/>
    <s v="OK"/>
    <x v="0"/>
    <x v="0"/>
    <s v="2022-08"/>
    <n v="1"/>
  </r>
  <r>
    <s v="FV/93517/VDb/2022"/>
    <s v="PZ/800634"/>
    <x v="7"/>
    <d v="2022-08-26T00:00:00"/>
    <s v="12153.59"/>
    <s v="Zaakceptowana"/>
    <s v="Faktura VAT"/>
    <s v="Apteka Szpitalna"/>
    <s v="UM-VIT-01"/>
    <b v="0"/>
    <n v="12153.59"/>
    <s v="OK"/>
    <x v="0"/>
    <x v="0"/>
    <s v="2022-08"/>
    <n v="1"/>
  </r>
  <r>
    <s v="FV/9922HM/22"/>
    <s v="PZ/800635"/>
    <x v="3"/>
    <d v="2022-08-27T00:00:00"/>
    <s v="18641.95"/>
    <s v="Zaakceptowana"/>
    <s v="Faktura VAT"/>
    <s v="Apteka Szpitalna"/>
    <s v="UM-HUR-02"/>
    <b v="0"/>
    <n v="18641.95"/>
    <s v="OK"/>
    <x v="0"/>
    <x v="0"/>
    <s v="2022-08"/>
    <n v="1"/>
  </r>
  <r>
    <s v="FV/CENFA/203739/22"/>
    <s v="PZ/800636"/>
    <x v="4"/>
    <d v="2022-08-27T00:00:00"/>
    <s v="14478.78"/>
    <s v="Zaakceptowana"/>
    <s v="Faktura VAT"/>
    <s v="Apteka Szpitalna"/>
    <s v=""/>
    <b v="0"/>
    <n v="14478.78"/>
    <s v="OK"/>
    <x v="1"/>
    <x v="0"/>
    <s v="2022-08"/>
    <n v="1"/>
  </r>
  <r>
    <s v="FV/23/SAL/22"/>
    <s v="PZ/800637"/>
    <x v="1"/>
    <d v="2022-08-28T00:00:00"/>
    <s v="12893.55"/>
    <s v="Zaakceptowana"/>
    <s v="Faktura VAT"/>
    <s v="Apteka Szpitalna"/>
    <s v=""/>
    <b v="0"/>
    <n v="12893.55"/>
    <s v="OK"/>
    <x v="1"/>
    <x v="0"/>
    <s v="2022-08"/>
    <n v="1"/>
  </r>
  <r>
    <s v="FV/89/SAL/22"/>
    <s v="PZ/800638"/>
    <x v="1"/>
    <d v="2022-08-28T00:00:00"/>
    <s v="16602.74"/>
    <s v="Zaakceptowana"/>
    <s v="Faktura VAT"/>
    <s v="Apteka Szpitalna"/>
    <s v="UM-SAL-02"/>
    <b v="0"/>
    <n v="16602.740000000002"/>
    <s v="OK"/>
    <x v="0"/>
    <x v="0"/>
    <s v="2022-08"/>
    <n v="1"/>
  </r>
  <r>
    <s v="FV/49627/VDb/2022"/>
    <s v="PZ/800639"/>
    <x v="7"/>
    <d v="2022-08-28T00:00:00"/>
    <s v="10583.21"/>
    <s v="Zaakceptowana"/>
    <s v="Faktura VAT"/>
    <s v="Apteka Szpitalna"/>
    <s v="UM-VIT-01"/>
    <b v="0"/>
    <n v="10583.21"/>
    <s v="OK"/>
    <x v="0"/>
    <x v="0"/>
    <s v="2022-08"/>
    <n v="1"/>
  </r>
  <r>
    <s v="FV/M/8505/P/22"/>
    <s v="PZ/800640"/>
    <x v="5"/>
    <d v="2022-08-29T00:00:00"/>
    <s v="4950.85"/>
    <s v="Zaakceptowana"/>
    <s v="Faktura VAT"/>
    <s v="Apteka Szpitalna"/>
    <s v="UM-MED-02"/>
    <b v="0"/>
    <n v="4950.8500000000004"/>
    <s v="OK"/>
    <x v="0"/>
    <x v="0"/>
    <s v="2022-08"/>
    <n v="1"/>
  </r>
  <r>
    <s v="FV/M/3667/P/22"/>
    <s v="PZ/800641"/>
    <x v="5"/>
    <d v="2022-08-29T00:00:00"/>
    <s v="7639.72"/>
    <s v="Zaakceptowana"/>
    <s v="Faktura VAT"/>
    <s v="Apteka Szpitalna"/>
    <s v="UM-MED-01"/>
    <b v="0"/>
    <n v="7639.72"/>
    <s v="OK"/>
    <x v="0"/>
    <x v="0"/>
    <s v="2022-08"/>
    <n v="1"/>
  </r>
  <r>
    <s v="FV/1751HM/22"/>
    <s v="PZ/800642"/>
    <x v="3"/>
    <d v="2022-08-30T00:00:00"/>
    <s v="19812.09"/>
    <s v="Zaakceptowana"/>
    <s v="Faktura VAT"/>
    <s v="Apteka Szpitalna"/>
    <s v="UM-HUR-03"/>
    <b v="0"/>
    <n v="19812.09"/>
    <s v="OK"/>
    <x v="0"/>
    <x v="0"/>
    <s v="2022-08"/>
    <n v="1"/>
  </r>
  <r>
    <s v="FV/98/SAL/22"/>
    <s v="PZ/800643"/>
    <x v="1"/>
    <d v="2022-08-30T00:00:00"/>
    <s v="12013.82"/>
    <s v="Zaakceptowana"/>
    <s v="Faktura VAT"/>
    <s v="Apteka Szpitalna"/>
    <s v=""/>
    <b v="0"/>
    <n v="12013.82"/>
    <s v="OK"/>
    <x v="1"/>
    <x v="0"/>
    <s v="2022-08"/>
    <n v="1"/>
  </r>
  <r>
    <s v="FV/7338HM/22"/>
    <s v="PZ/800644"/>
    <x v="3"/>
    <d v="2022-09-01T00:00:00"/>
    <s v="11613.05"/>
    <s v="Zaakceptowana"/>
    <s v="Faktura VAT"/>
    <s v="Apteka Szpitalna"/>
    <s v="UM-HUR-02"/>
    <b v="0"/>
    <n v="11613.05"/>
    <s v="OK"/>
    <x v="0"/>
    <x v="0"/>
    <s v="2022-09"/>
    <n v="1"/>
  </r>
  <r>
    <s v="FV/7767HM/22"/>
    <s v="PZ/800645"/>
    <x v="3"/>
    <d v="2022-09-01T00:00:00"/>
    <s v="10489.85"/>
    <s v="Zaakceptowana"/>
    <s v="Faktura VAT"/>
    <s v="Apteka Szpitalna"/>
    <s v="UM-HUR-01"/>
    <b v="0"/>
    <n v="10489.85"/>
    <s v="OK"/>
    <x v="0"/>
    <x v="0"/>
    <s v="2022-09"/>
    <n v="1"/>
  </r>
  <r>
    <s v="FV/8970HM/22"/>
    <s v="PZ/800646"/>
    <x v="3"/>
    <d v="2022-09-02T00:00:00"/>
    <s v="14506.5"/>
    <s v="Zaakceptowana"/>
    <s v="Faktura VAT"/>
    <s v="Apteka Szpitalna"/>
    <s v=""/>
    <b v="0"/>
    <n v="14506.5"/>
    <s v="OK"/>
    <x v="1"/>
    <x v="0"/>
    <s v="2022-09"/>
    <n v="1"/>
  </r>
  <r>
    <s v="FV/6912/NOVA/22"/>
    <s v="PZ/800647"/>
    <x v="2"/>
    <d v="2022-09-02T00:00:00"/>
    <s v="11883.13"/>
    <s v="Zaakceptowana"/>
    <s v="Faktura VAT"/>
    <s v="Apteka Szpitalna"/>
    <s v="UM-NOV-01"/>
    <b v="0"/>
    <n v="11883.13"/>
    <s v="OK"/>
    <x v="0"/>
    <x v="0"/>
    <s v="2022-09"/>
    <n v="1"/>
  </r>
  <r>
    <s v="FV/9401HM/22"/>
    <s v="PZ/800648"/>
    <x v="3"/>
    <d v="2022-09-03T00:00:00"/>
    <s v="16760.44"/>
    <s v="Zaakceptowana"/>
    <s v="Faktura VAT"/>
    <s v="Apteka Szpitalna"/>
    <s v="UM-HUR-03"/>
    <b v="0"/>
    <n v="16760.439999999999"/>
    <s v="OK"/>
    <x v="0"/>
    <x v="0"/>
    <s v="2022-09"/>
    <n v="1"/>
  </r>
  <r>
    <s v="FV/82610/VDb/2022"/>
    <s v="PZ/800649"/>
    <x v="7"/>
    <d v="2022-09-03T00:00:00"/>
    <s v="11702.25"/>
    <s v="Zaakceptowana"/>
    <s v="Faktura VAT"/>
    <s v="Apteka Szpitalna"/>
    <s v="UM-VIT-01"/>
    <b v="0"/>
    <n v="11702.25"/>
    <s v="OK"/>
    <x v="0"/>
    <x v="0"/>
    <s v="2022-09"/>
    <n v="1"/>
  </r>
  <r>
    <s v="FV/CENFA/767292/22"/>
    <s v="PZ/800650"/>
    <x v="4"/>
    <d v="2022-09-04T00:00:00"/>
    <s v="17844.55"/>
    <s v="Zaakceptowana"/>
    <s v="Faktura VAT"/>
    <s v="Apteka Szpitalna"/>
    <s v="UM-CEN-02"/>
    <b v="0"/>
    <n v="17844.55"/>
    <s v="OK"/>
    <x v="0"/>
    <x v="0"/>
    <s v="2022-09"/>
    <n v="1"/>
  </r>
  <r>
    <s v="FV/12/PP/8605/22"/>
    <s v="PZ/800651"/>
    <x v="6"/>
    <d v="2022-09-04T00:00:00"/>
    <s v="12873.29"/>
    <s v="Zaakceptowana"/>
    <s v="Faktura VAT"/>
    <s v="Apteka Szpitalna"/>
    <s v="UM-PHA-01"/>
    <b v="0"/>
    <n v="12873.29"/>
    <s v="OK"/>
    <x v="0"/>
    <x v="0"/>
    <s v="2022-09"/>
    <n v="1"/>
  </r>
  <r>
    <s v="FV/M/5450/P/22"/>
    <s v="PZ/800652"/>
    <x v="5"/>
    <d v="2022-09-04T00:00:00"/>
    <s v="21872.93"/>
    <s v="Zaakceptowana"/>
    <s v="Faktura VAT"/>
    <s v="Apteka Szpitalna"/>
    <s v=""/>
    <b v="0"/>
    <n v="21872.93"/>
    <s v="OK"/>
    <x v="1"/>
    <x v="0"/>
    <s v="2022-09"/>
    <n v="1"/>
  </r>
  <r>
    <s v="FV/POL/79278/2022"/>
    <s v="PZ/800653"/>
    <x v="0"/>
    <d v="2022-09-04T00:00:00"/>
    <s v="13445.02"/>
    <s v="Zaakceptowana"/>
    <s v="Faktura VAT"/>
    <s v="Apteka Szpitalna"/>
    <s v="UM-POL-02"/>
    <b v="0"/>
    <n v="13445.02"/>
    <s v="OK"/>
    <x v="0"/>
    <x v="0"/>
    <s v="2022-09"/>
    <n v="1"/>
  </r>
  <r>
    <s v="FV/35/PP/8816/22"/>
    <s v="PZ/800654"/>
    <x v="6"/>
    <d v="2022-09-05T00:00:00"/>
    <s v="26794.28"/>
    <s v="Zaakceptowana"/>
    <s v="Faktura VAT"/>
    <s v="Apteka Szpitalna"/>
    <s v=""/>
    <b v="0"/>
    <n v="26794.28"/>
    <s v="OK"/>
    <x v="1"/>
    <x v="0"/>
    <s v="2022-09"/>
    <n v="1"/>
  </r>
  <r>
    <s v="FV/POL/81910/2022"/>
    <s v="PZ/800655"/>
    <x v="0"/>
    <d v="2022-09-05T00:00:00"/>
    <s v="8934.13"/>
    <s v="Zaakceptowana"/>
    <s v="Faktura VAT"/>
    <s v="Apteka Szpitalna"/>
    <s v="UM-POL-02"/>
    <b v="0"/>
    <n v="8934.1299999999992"/>
    <s v="OK"/>
    <x v="0"/>
    <x v="0"/>
    <s v="2022-09"/>
    <n v="1"/>
  </r>
  <r>
    <s v="FV/1719/NOVA/22"/>
    <s v="PZ/800656"/>
    <x v="2"/>
    <d v="2022-09-05T00:00:00"/>
    <s v="3555.5"/>
    <s v="Zaakceptowana"/>
    <s v="Faktura VAT"/>
    <s v="Apteka Szpitalna"/>
    <s v="UM-NOV-01"/>
    <b v="0"/>
    <n v="3555.5"/>
    <s v="OK"/>
    <x v="0"/>
    <x v="0"/>
    <s v="2022-09"/>
    <n v="1"/>
  </r>
  <r>
    <s v="FV/31/PP/9201/22"/>
    <s v="PZ/800657"/>
    <x v="6"/>
    <d v="2022-09-05T00:00:00"/>
    <s v="17692.5"/>
    <s v="Zaakceptowana"/>
    <s v="Faktura VAT"/>
    <s v="Apteka Szpitalna"/>
    <s v="UM-PHA-02"/>
    <b v="0"/>
    <n v="17692.5"/>
    <s v="OK"/>
    <x v="0"/>
    <x v="0"/>
    <s v="2022-09"/>
    <n v="1"/>
  </r>
  <r>
    <s v="FV/11/PP/3925/22"/>
    <s v="PZ/800658"/>
    <x v="6"/>
    <d v="2022-09-05T00:00:00"/>
    <s v="14461.1"/>
    <s v="Zaakceptowana"/>
    <s v="Faktura VAT"/>
    <s v="Apteka Szpitalna"/>
    <s v="UM-PHA-01"/>
    <b v="0"/>
    <n v="14461.1"/>
    <s v="OK"/>
    <x v="0"/>
    <x v="0"/>
    <s v="2022-09"/>
    <n v="1"/>
  </r>
  <r>
    <s v="FV/5463HM/22"/>
    <s v="PZ/800659"/>
    <x v="3"/>
    <d v="2022-09-05T00:00:00"/>
    <s v="26674.72"/>
    <s v="Zaakceptowana"/>
    <s v="Faktura VAT"/>
    <s v="Apteka Szpitalna"/>
    <s v="UM-HUR-01"/>
    <b v="0"/>
    <n v="26674.720000000001"/>
    <s v="OK"/>
    <x v="0"/>
    <x v="0"/>
    <s v="2022-09"/>
    <n v="1"/>
  </r>
  <r>
    <s v="FV/M/4667/P/22"/>
    <s v="PZ/800660"/>
    <x v="5"/>
    <d v="2022-09-06T00:00:00"/>
    <s v="16078.84"/>
    <s v="Zaakceptowana"/>
    <s v="Faktura VAT"/>
    <s v="Apteka Szpitalna"/>
    <s v="UM-MED-01"/>
    <b v="0"/>
    <n v="16078.84"/>
    <s v="OK"/>
    <x v="0"/>
    <x v="0"/>
    <s v="2022-09"/>
    <n v="1"/>
  </r>
  <r>
    <s v="FV/4748HM/22"/>
    <s v="PZ/800661"/>
    <x v="3"/>
    <d v="2022-09-06T00:00:00"/>
    <s v="10475.17"/>
    <s v="Zaakceptowana"/>
    <s v="Faktura VAT"/>
    <s v="Apteka Szpitalna"/>
    <s v="UM-HUR-03"/>
    <b v="0"/>
    <n v="10475.17"/>
    <s v="OK"/>
    <x v="0"/>
    <x v="0"/>
    <s v="2022-09"/>
    <n v="1"/>
  </r>
  <r>
    <s v="FV/9918HM/22"/>
    <s v="PZ/800662"/>
    <x v="3"/>
    <d v="2022-09-07T00:00:00"/>
    <s v="16026.94"/>
    <s v="Zaakceptowana"/>
    <s v="Faktura VAT"/>
    <s v="Apteka Szpitalna"/>
    <s v="UM-HUR-03"/>
    <b v="0"/>
    <n v="16026.94"/>
    <s v="OK"/>
    <x v="0"/>
    <x v="0"/>
    <s v="2022-09"/>
    <n v="1"/>
  </r>
  <r>
    <s v="FV/CENFA/182253/22"/>
    <s v="PZ/800663"/>
    <x v="4"/>
    <d v="2022-09-07T00:00:00"/>
    <s v="23792.22"/>
    <s v="Zaakceptowana"/>
    <s v="Faktura VAT"/>
    <s v="Apteka Szpitalna"/>
    <s v="UM-CEN-01"/>
    <b v="0"/>
    <n v="23792.22"/>
    <s v="OK"/>
    <x v="0"/>
    <x v="0"/>
    <s v="2022-09"/>
    <n v="1"/>
  </r>
  <r>
    <s v="FV/CENFA/996921/22"/>
    <s v="PZ/800664"/>
    <x v="4"/>
    <d v="2022-09-07T00:00:00"/>
    <s v="13965.0"/>
    <s v="Zaakceptowana"/>
    <s v="Faktura VAT"/>
    <s v="Apteka Szpitalna"/>
    <s v="UM-CEN-02"/>
    <b v="0"/>
    <n v="13965"/>
    <s v="OK"/>
    <x v="0"/>
    <x v="0"/>
    <s v="2022-09"/>
    <n v="1"/>
  </r>
  <r>
    <s v="FV/62907/VDb/2022"/>
    <s v="PZ/800665"/>
    <x v="7"/>
    <d v="2022-09-08T00:00:00"/>
    <s v="15835.47"/>
    <s v="Zaakceptowana"/>
    <s v="Faktura VAT"/>
    <s v="Apteka Szpitalna"/>
    <s v="UM-VIT-01"/>
    <b v="0"/>
    <n v="15835.47"/>
    <s v="OK"/>
    <x v="0"/>
    <x v="0"/>
    <s v="2022-09"/>
    <n v="1"/>
  </r>
  <r>
    <s v="FV/3447/NOVA/22"/>
    <s v="PZ/800666"/>
    <x v="2"/>
    <d v="2022-09-08T00:00:00"/>
    <s v="12569.09"/>
    <s v="Zaakceptowana"/>
    <s v="Faktura VAT"/>
    <s v="Apteka Szpitalna"/>
    <s v="UM-NOV-01"/>
    <b v="0"/>
    <n v="12569.09"/>
    <s v="OK"/>
    <x v="0"/>
    <x v="0"/>
    <s v="2022-09"/>
    <n v="1"/>
  </r>
  <r>
    <s v="FV/59/PP/5782/22"/>
    <s v="PZ/800667"/>
    <x v="6"/>
    <d v="2022-09-08T00:00:00"/>
    <s v="15579.43"/>
    <s v="Zaakceptowana"/>
    <s v="Faktura VAT"/>
    <s v="Apteka Szpitalna"/>
    <s v=""/>
    <b v="0"/>
    <n v="15579.43"/>
    <s v="OK"/>
    <x v="1"/>
    <x v="0"/>
    <s v="2022-09"/>
    <n v="1"/>
  </r>
  <r>
    <s v="FV/8764/NOVA/22"/>
    <s v="PZ/800668"/>
    <x v="2"/>
    <d v="2022-09-08T00:00:00"/>
    <s v="16337.74"/>
    <s v="Zaakceptowana"/>
    <s v="Faktura VAT"/>
    <s v="Apteka Szpitalna"/>
    <s v="UM-NOV-02"/>
    <b v="0"/>
    <n v="16337.74"/>
    <s v="OK"/>
    <x v="0"/>
    <x v="0"/>
    <s v="2022-09"/>
    <n v="1"/>
  </r>
  <r>
    <s v="FV/30/SAL/22"/>
    <s v="PZ/800669"/>
    <x v="1"/>
    <d v="2022-09-09T00:00:00"/>
    <s v="19384.53"/>
    <s v="Zaakceptowana"/>
    <s v="Faktura VAT"/>
    <s v="Apteka Szpitalna"/>
    <s v=""/>
    <b v="0"/>
    <n v="19384.53"/>
    <s v="OK"/>
    <x v="1"/>
    <x v="0"/>
    <s v="2022-09"/>
    <n v="1"/>
  </r>
  <r>
    <s v="FV/7776HM/22"/>
    <s v="PZ/800670"/>
    <x v="3"/>
    <d v="2022-09-09T00:00:00"/>
    <s v="12053.94"/>
    <s v="Zaakceptowana"/>
    <s v="Faktura VAT"/>
    <s v="Apteka Szpitalna"/>
    <s v="UM-HUR-03"/>
    <b v="0"/>
    <n v="12053.94"/>
    <s v="OK"/>
    <x v="0"/>
    <x v="0"/>
    <s v="2022-09"/>
    <n v="1"/>
  </r>
  <r>
    <s v="FV/M/9490/P/22"/>
    <s v="PZ/800671"/>
    <x v="5"/>
    <d v="2022-09-09T00:00:00"/>
    <s v="15706.12"/>
    <s v="Zaakceptowana"/>
    <s v="Faktura VAT"/>
    <s v="Apteka Szpitalna"/>
    <s v="UM-MED-02"/>
    <b v="0"/>
    <n v="15706.12"/>
    <s v="OK"/>
    <x v="0"/>
    <x v="0"/>
    <s v="2022-09"/>
    <n v="1"/>
  </r>
  <r>
    <s v="FV/CENFA/522175/22"/>
    <s v="PZ/800672"/>
    <x v="4"/>
    <d v="2022-09-09T00:00:00"/>
    <s v="10519.42"/>
    <s v="Zaakceptowana"/>
    <s v="Faktura VAT"/>
    <s v="Apteka Szpitalna"/>
    <s v="UM-CEN-02"/>
    <b v="0"/>
    <n v="10519.42"/>
    <s v="OK"/>
    <x v="0"/>
    <x v="0"/>
    <s v="2022-09"/>
    <n v="1"/>
  </r>
  <r>
    <s v="FV/6777/NOVA/22"/>
    <s v="PZ/800673"/>
    <x v="2"/>
    <d v="2022-09-10T00:00:00"/>
    <s v="19599.79"/>
    <s v="Zaakceptowana"/>
    <s v="Faktura VAT"/>
    <s v="Apteka Szpitalna"/>
    <s v="UM-NOV-03"/>
    <b v="0"/>
    <n v="19599.79"/>
    <s v="OK"/>
    <x v="0"/>
    <x v="0"/>
    <s v="2022-09"/>
    <n v="1"/>
  </r>
  <r>
    <s v="FV/CENFA/657782/22"/>
    <s v="PZ/800674"/>
    <x v="4"/>
    <d v="2022-09-10T00:00:00"/>
    <s v="4926.64"/>
    <s v="Zaakceptowana"/>
    <s v="Faktura VAT"/>
    <s v="Apteka Szpitalna"/>
    <s v="UM-CEN-02"/>
    <b v="0"/>
    <n v="4926.6400000000003"/>
    <s v="OK"/>
    <x v="0"/>
    <x v="0"/>
    <s v="2022-09"/>
    <n v="1"/>
  </r>
  <r>
    <s v="FV/62713/VDb/2022"/>
    <s v="PZ/800675"/>
    <x v="7"/>
    <d v="2022-09-10T00:00:00"/>
    <s v="13698.31"/>
    <s v="Zaakceptowana"/>
    <s v="Faktura VAT"/>
    <s v="Apteka Szpitalna"/>
    <s v="UM-VIT-01"/>
    <b v="0"/>
    <n v="13698.31"/>
    <s v="OK"/>
    <x v="0"/>
    <x v="0"/>
    <s v="2022-09"/>
    <n v="1"/>
  </r>
  <r>
    <s v="FV/1529/NOVA/22"/>
    <s v="PZ/800676"/>
    <x v="2"/>
    <d v="2022-09-10T00:00:00"/>
    <s v="16566.59"/>
    <s v="Zaakceptowana"/>
    <s v="Faktura VAT"/>
    <s v="Apteka Szpitalna"/>
    <s v=""/>
    <b v="0"/>
    <n v="16566.59"/>
    <s v="OK"/>
    <x v="1"/>
    <x v="0"/>
    <s v="2022-09"/>
    <n v="1"/>
  </r>
  <r>
    <s v="FV/M/8664/P/22"/>
    <s v="PZ/800677"/>
    <x v="5"/>
    <d v="2022-09-10T00:00:00"/>
    <s v="-2076.41"/>
    <s v="Zaakceptowana"/>
    <s v="Korekta FV"/>
    <s v="Apteka Szpitalna"/>
    <s v="UM-MED-02"/>
    <b v="0"/>
    <n v="-2076.41"/>
    <s v="OK"/>
    <x v="0"/>
    <x v="0"/>
    <s v="2022-09"/>
    <n v="1"/>
  </r>
  <r>
    <s v="FV/53/SAL/22"/>
    <s v="PZ/800678"/>
    <x v="1"/>
    <d v="2022-09-11T00:00:00"/>
    <s v="4774.47"/>
    <s v="Zaakceptowana"/>
    <s v="Faktura VAT"/>
    <s v="Apteka Szpitalna"/>
    <s v="UM-SAL-01"/>
    <b v="0"/>
    <n v="4774.47"/>
    <s v="OK"/>
    <x v="0"/>
    <x v="0"/>
    <s v="2022-09"/>
    <n v="1"/>
  </r>
  <r>
    <s v="FV/58/SAL/22"/>
    <s v="PZ/800679"/>
    <x v="1"/>
    <d v="2022-09-12T00:00:00"/>
    <s v="22956.79"/>
    <s v="Zaakceptowana"/>
    <s v="Faktura VAT"/>
    <s v="Apteka Szpitalna"/>
    <s v="UM-SAL-01"/>
    <b v="0"/>
    <n v="22956.79"/>
    <s v="OK"/>
    <x v="0"/>
    <x v="0"/>
    <s v="2022-09"/>
    <n v="1"/>
  </r>
  <r>
    <s v="FV/CENFA/345069/22"/>
    <s v="PZ/800680"/>
    <x v="4"/>
    <d v="2022-09-13T00:00:00"/>
    <s v="15069.01"/>
    <s v="Zaakceptowana"/>
    <s v="Faktura VAT"/>
    <s v="Apteka Szpitalna"/>
    <s v=""/>
    <b v="0"/>
    <n v="15069.01"/>
    <s v="OK"/>
    <x v="1"/>
    <x v="0"/>
    <s v="2022-09"/>
    <n v="1"/>
  </r>
  <r>
    <s v="FV/1505/NOVA/22"/>
    <s v="PZ/800681"/>
    <x v="2"/>
    <d v="2022-09-14T00:00:00"/>
    <s v="21037.59"/>
    <s v="Zaakceptowana"/>
    <s v="Faktura VAT"/>
    <s v="Apteka Szpitalna"/>
    <s v=""/>
    <b v="0"/>
    <n v="21037.59"/>
    <s v="OK"/>
    <x v="1"/>
    <x v="0"/>
    <s v="2022-09"/>
    <n v="1"/>
  </r>
  <r>
    <s v="FV/23497/VDb/2022"/>
    <s v="PZ/800682"/>
    <x v="7"/>
    <d v="2022-09-14T00:00:00"/>
    <s v="18253.95"/>
    <s v="Zaakceptowana"/>
    <s v="Faktura VAT"/>
    <s v="Apteka Szpitalna"/>
    <s v="UM-VIT-01"/>
    <b v="0"/>
    <n v="18253.95"/>
    <s v="OK"/>
    <x v="0"/>
    <x v="0"/>
    <s v="2022-09"/>
    <n v="1"/>
  </r>
  <r>
    <s v="FV/76/SAL/22"/>
    <s v="PZ/800683"/>
    <x v="1"/>
    <d v="2022-09-14T00:00:00"/>
    <s v="23234.77"/>
    <s v="Zaakceptowana"/>
    <s v="Faktura VAT"/>
    <s v="Apteka Szpitalna"/>
    <s v=""/>
    <b v="0"/>
    <n v="23234.77"/>
    <s v="OK"/>
    <x v="1"/>
    <x v="0"/>
    <s v="2022-09"/>
    <n v="1"/>
  </r>
  <r>
    <s v="FV/CENFA/104543/22"/>
    <s v="PZ/800684"/>
    <x v="4"/>
    <d v="2022-09-14T00:00:00"/>
    <s v="7802.65"/>
    <s v="Zaakceptowana"/>
    <s v="Faktura VAT"/>
    <s v="Apteka Szpitalna"/>
    <s v=""/>
    <b v="0"/>
    <n v="7802.65"/>
    <s v="OK"/>
    <x v="1"/>
    <x v="0"/>
    <s v="2022-09"/>
    <n v="1"/>
  </r>
  <r>
    <s v="FV/CENFA/439181/22"/>
    <s v="PZ/800685"/>
    <x v="4"/>
    <d v="2022-09-15T00:00:00"/>
    <s v="14996.74"/>
    <s v="Zaakceptowana"/>
    <s v="Faktura VAT"/>
    <s v="Apteka Szpitalna"/>
    <s v=""/>
    <b v="0"/>
    <n v="14996.74"/>
    <s v="OK"/>
    <x v="1"/>
    <x v="0"/>
    <s v="2022-09"/>
    <n v="1"/>
  </r>
  <r>
    <s v="FV/34339/VDb/2022"/>
    <s v="PZ/800686"/>
    <x v="7"/>
    <d v="2022-09-15T00:00:00"/>
    <s v="14160.18"/>
    <s v="Zaakceptowana"/>
    <s v="Faktura VAT"/>
    <s v="Apteka Szpitalna"/>
    <s v="UM-VIT-01"/>
    <b v="0"/>
    <n v="14160.18"/>
    <s v="OK"/>
    <x v="0"/>
    <x v="0"/>
    <s v="2022-09"/>
    <n v="1"/>
  </r>
  <r>
    <s v="FV/32364/VDb/2022"/>
    <s v="PZ/800687"/>
    <x v="7"/>
    <d v="2022-09-16T00:00:00"/>
    <s v="20652.94"/>
    <s v="Zaakceptowana"/>
    <s v="Faktura VAT"/>
    <s v="Apteka Szpitalna"/>
    <s v=""/>
    <b v="0"/>
    <n v="20652.939999999999"/>
    <s v="OK"/>
    <x v="1"/>
    <x v="0"/>
    <s v="2022-09"/>
    <n v="1"/>
  </r>
  <r>
    <s v="FV/CENFA/680067/22"/>
    <s v="PZ/800688"/>
    <x v="4"/>
    <d v="2022-09-16T00:00:00"/>
    <s v="14673.61"/>
    <s v="Zaakceptowana"/>
    <s v="Faktura VAT"/>
    <s v="Apteka Szpitalna"/>
    <s v="UM-CEN-01"/>
    <b v="0"/>
    <n v="14673.61"/>
    <s v="OK"/>
    <x v="0"/>
    <x v="0"/>
    <s v="2022-09"/>
    <n v="1"/>
  </r>
  <r>
    <s v="FV/63772/VDb/2022"/>
    <s v="PZ/800689"/>
    <x v="7"/>
    <d v="2022-09-16T00:00:00"/>
    <s v="11719.75"/>
    <s v="Zaakceptowana"/>
    <s v="Faktura VAT"/>
    <s v="Apteka Szpitalna"/>
    <s v="UM-VIT-01"/>
    <b v="0"/>
    <n v="11719.75"/>
    <s v="OK"/>
    <x v="0"/>
    <x v="0"/>
    <s v="2022-09"/>
    <n v="1"/>
  </r>
  <r>
    <s v="FV/POL/61825/2022"/>
    <s v="PZ/800690"/>
    <x v="0"/>
    <d v="2022-09-17T00:00:00"/>
    <s v="10576.72"/>
    <s v="Zaakceptowana"/>
    <s v="Faktura VAT"/>
    <s v="Apteka Szpitalna"/>
    <s v="UM-POL-02"/>
    <b v="0"/>
    <n v="10576.72"/>
    <s v="OK"/>
    <x v="0"/>
    <x v="0"/>
    <s v="2022-09"/>
    <n v="1"/>
  </r>
  <r>
    <s v="FV/M/7460/P/22"/>
    <s v="PZ/800691"/>
    <x v="5"/>
    <d v="2022-09-17T00:00:00"/>
    <s v="12838.48"/>
    <s v="Zaakceptowana"/>
    <s v="Faktura VAT"/>
    <s v="Apteka Szpitalna"/>
    <s v="UM-MED-02"/>
    <b v="0"/>
    <n v="12838.48"/>
    <s v="OK"/>
    <x v="0"/>
    <x v="0"/>
    <s v="2022-09"/>
    <n v="1"/>
  </r>
  <r>
    <s v="FV/76/SAL/22"/>
    <s v="PZ/800692"/>
    <x v="1"/>
    <d v="2022-09-18T00:00:00"/>
    <s v="17168.95"/>
    <s v="Zaakceptowana"/>
    <s v="Faktura VAT"/>
    <s v="Apteka Szpitalna"/>
    <s v="UM-SAL-01"/>
    <b v="0"/>
    <n v="17168.95"/>
    <s v="OK"/>
    <x v="0"/>
    <x v="0"/>
    <s v="2022-09"/>
    <n v="1"/>
  </r>
  <r>
    <s v="FV/8268HM/22"/>
    <s v="PZ/800693"/>
    <x v="3"/>
    <d v="2022-09-18T00:00:00"/>
    <s v="-751.77"/>
    <s v="Zaakceptowana"/>
    <s v="Korekta FV"/>
    <s v="Apteka Szpitalna"/>
    <s v="UM-HUR-01"/>
    <b v="0"/>
    <n v="-751.77"/>
    <s v="OK"/>
    <x v="0"/>
    <x v="0"/>
    <s v="2022-09"/>
    <n v="1"/>
  </r>
  <r>
    <s v="FV/CENFA/923733/22"/>
    <s v="PZ/800694"/>
    <x v="4"/>
    <d v="2022-09-18T00:00:00"/>
    <s v="29224.17"/>
    <s v="Zaakceptowana"/>
    <s v="Faktura VAT"/>
    <s v="Apteka Szpitalna"/>
    <s v="UM-CEN-02"/>
    <b v="0"/>
    <n v="29224.17"/>
    <s v="OK"/>
    <x v="0"/>
    <x v="0"/>
    <s v="2022-09"/>
    <n v="1"/>
  </r>
  <r>
    <s v="FV/POL/87335/2022"/>
    <s v="PZ/800695"/>
    <x v="0"/>
    <d v="2022-09-18T00:00:00"/>
    <s v="17124.12"/>
    <s v="Zaakceptowana"/>
    <s v="Faktura VAT"/>
    <s v="Apteka Szpitalna"/>
    <s v="UM-POL-03"/>
    <b v="0"/>
    <n v="17124.12"/>
    <s v="OK"/>
    <x v="0"/>
    <x v="0"/>
    <s v="2022-09"/>
    <n v="1"/>
  </r>
  <r>
    <s v="FV/POL/75578/2022"/>
    <s v="PZ/800696"/>
    <x v="0"/>
    <d v="2022-09-18T00:00:00"/>
    <s v="12991.83"/>
    <s v="Zaakceptowana"/>
    <s v="Faktura VAT"/>
    <s v="Apteka Szpitalna"/>
    <s v="UM-POL-03"/>
    <b v="0"/>
    <n v="12991.83"/>
    <s v="OK"/>
    <x v="0"/>
    <x v="0"/>
    <s v="2022-09"/>
    <n v="1"/>
  </r>
  <r>
    <s v="FV/CENFA/402400/22"/>
    <s v="PZ/800697"/>
    <x v="4"/>
    <d v="2022-09-19T00:00:00"/>
    <s v="11491.8"/>
    <s v="Zaakceptowana"/>
    <s v="Faktura VAT"/>
    <s v="Apteka Szpitalna"/>
    <s v=""/>
    <b v="0"/>
    <n v="11491.8"/>
    <s v="OK"/>
    <x v="1"/>
    <x v="0"/>
    <s v="2022-09"/>
    <n v="1"/>
  </r>
  <r>
    <s v="FV/POL/21323/2022"/>
    <s v="PZ/800698"/>
    <x v="0"/>
    <d v="2022-09-20T00:00:00"/>
    <s v="16155.01"/>
    <s v="Zaakceptowana"/>
    <s v="Faktura VAT"/>
    <s v="Apteka Szpitalna"/>
    <s v=""/>
    <b v="0"/>
    <n v="16155.01"/>
    <s v="OK"/>
    <x v="1"/>
    <x v="0"/>
    <s v="2022-09"/>
    <n v="1"/>
  </r>
  <r>
    <s v="FV/82/PP/6701/22"/>
    <s v="PZ/800699"/>
    <x v="6"/>
    <d v="2022-09-20T00:00:00"/>
    <s v="13396.55"/>
    <s v="Zaakceptowana"/>
    <s v="Faktura VAT"/>
    <s v="Apteka Szpitalna"/>
    <s v="UM-PHA-02"/>
    <b v="0"/>
    <n v="13396.55"/>
    <s v="OK"/>
    <x v="0"/>
    <x v="0"/>
    <s v="2022-09"/>
    <n v="1"/>
  </r>
  <r>
    <s v="FV/3495HM/22"/>
    <s v="PZ/800700"/>
    <x v="3"/>
    <d v="2022-09-20T00:00:00"/>
    <s v="12170.57"/>
    <s v="Zaakceptowana"/>
    <s v="Faktura VAT"/>
    <s v="Apteka Szpitalna"/>
    <s v="UM-HUR-01"/>
    <b v="0"/>
    <n v="12170.57"/>
    <s v="OK"/>
    <x v="0"/>
    <x v="0"/>
    <s v="2022-09"/>
    <n v="1"/>
  </r>
  <r>
    <s v="FV/4840/NOVA/22"/>
    <s v="PZ/800701"/>
    <x v="2"/>
    <d v="2022-09-21T00:00:00"/>
    <s v="3276.15"/>
    <s v="Zaakceptowana"/>
    <s v="Faktura VAT"/>
    <s v="Apteka Szpitalna"/>
    <s v=""/>
    <b v="0"/>
    <n v="3276.15"/>
    <s v="OK"/>
    <x v="1"/>
    <x v="0"/>
    <s v="2022-09"/>
    <n v="1"/>
  </r>
  <r>
    <s v="FV/63/PP/6964/22"/>
    <s v="PZ/800702"/>
    <x v="6"/>
    <d v="2022-09-21T00:00:00"/>
    <s v="5996.2"/>
    <s v="Zaakceptowana"/>
    <s v="Faktura VAT"/>
    <s v="Apteka Szpitalna"/>
    <s v="UM-PHA-01"/>
    <b v="0"/>
    <n v="5996.2"/>
    <s v="OK"/>
    <x v="0"/>
    <x v="0"/>
    <s v="2022-09"/>
    <n v="1"/>
  </r>
  <r>
    <s v="FV/1524/NOVA/22"/>
    <s v="PZ/800703"/>
    <x v="2"/>
    <d v="2022-09-21T00:00:00"/>
    <s v="17839.88"/>
    <s v="Zaakceptowana"/>
    <s v="Faktura VAT"/>
    <s v="Apteka Szpitalna"/>
    <s v=""/>
    <b v="0"/>
    <n v="17839.88"/>
    <s v="OK"/>
    <x v="1"/>
    <x v="0"/>
    <s v="2022-09"/>
    <n v="1"/>
  </r>
  <r>
    <s v="FV/9401/NOVA/22"/>
    <s v="PZ/800704"/>
    <x v="2"/>
    <d v="2022-09-22T00:00:00"/>
    <s v="17478.76"/>
    <s v="Zaakceptowana"/>
    <s v="Faktura VAT"/>
    <s v="Apteka Szpitalna"/>
    <s v="UM-NOV-03"/>
    <b v="0"/>
    <n v="17478.759999999998"/>
    <s v="OK"/>
    <x v="0"/>
    <x v="0"/>
    <s v="2022-09"/>
    <n v="1"/>
  </r>
  <r>
    <s v="FV/8694/NOVA/22"/>
    <s v="PZ/800705"/>
    <x v="2"/>
    <d v="2022-09-22T00:00:00"/>
    <s v="8176.54"/>
    <s v="Zaakceptowana"/>
    <s v="Faktura VAT"/>
    <s v="Apteka Szpitalna"/>
    <s v="UM-NOV-01"/>
    <b v="0"/>
    <n v="8176.54"/>
    <s v="OK"/>
    <x v="0"/>
    <x v="0"/>
    <s v="2022-09"/>
    <n v="1"/>
  </r>
  <r>
    <s v="FV/3304/NOVA/22"/>
    <s v="PZ/800706"/>
    <x v="2"/>
    <d v="2022-09-22T00:00:00"/>
    <s v="13423.85"/>
    <s v="Zaakceptowana"/>
    <s v="Faktura VAT"/>
    <s v="Apteka Szpitalna"/>
    <s v=""/>
    <b v="0"/>
    <n v="13423.85"/>
    <s v="OK"/>
    <x v="1"/>
    <x v="0"/>
    <s v="2022-09"/>
    <n v="1"/>
  </r>
  <r>
    <s v="FV/9148/NOVA/22"/>
    <s v="PZ/800707"/>
    <x v="2"/>
    <d v="2022-09-23T00:00:00"/>
    <s v="15943.32"/>
    <s v="Zaakceptowana"/>
    <s v="Faktura VAT"/>
    <s v="Apteka Szpitalna"/>
    <s v="UM-NOV-01"/>
    <b v="0"/>
    <n v="15943.32"/>
    <s v="OK"/>
    <x v="0"/>
    <x v="0"/>
    <s v="2022-09"/>
    <n v="1"/>
  </r>
  <r>
    <s v="FV/2150HM/22"/>
    <s v="PZ/800708"/>
    <x v="3"/>
    <d v="2022-09-25T00:00:00"/>
    <s v="14262.86"/>
    <s v="Zaakceptowana"/>
    <s v="Faktura VAT"/>
    <s v="Apteka Szpitalna"/>
    <s v="UM-HUR-03"/>
    <b v="0"/>
    <n v="14262.86"/>
    <s v="OK"/>
    <x v="0"/>
    <x v="0"/>
    <s v="2022-09"/>
    <n v="1"/>
  </r>
  <r>
    <s v="FV/CENFA/297426/22"/>
    <s v="PZ/800709"/>
    <x v="4"/>
    <d v="2022-09-25T00:00:00"/>
    <s v="14778.89"/>
    <s v="Zaakceptowana"/>
    <s v="Faktura VAT"/>
    <s v="Apteka Szpitalna"/>
    <s v="UM-CEN-02"/>
    <b v="0"/>
    <n v="14778.89"/>
    <s v="OK"/>
    <x v="0"/>
    <x v="0"/>
    <s v="2022-09"/>
    <n v="1"/>
  </r>
  <r>
    <s v="FV/2432/NOVA/22"/>
    <s v="PZ/800710"/>
    <x v="2"/>
    <d v="2022-09-26T00:00:00"/>
    <s v="16961.65"/>
    <s v="Zaakceptowana"/>
    <s v="Faktura VAT"/>
    <s v="Apteka Szpitalna"/>
    <s v="UM-NOV-02"/>
    <b v="0"/>
    <n v="16961.650000000001"/>
    <s v="OK"/>
    <x v="0"/>
    <x v="0"/>
    <s v="2022-09"/>
    <n v="1"/>
  </r>
  <r>
    <s v="FV/46/SAL/22"/>
    <s v="PZ/800711"/>
    <x v="1"/>
    <d v="2022-09-26T00:00:00"/>
    <s v="11536.99"/>
    <s v="Zaakceptowana"/>
    <s v="Faktura VAT"/>
    <s v="Apteka Szpitalna"/>
    <s v=""/>
    <b v="0"/>
    <n v="11536.99"/>
    <s v="OK"/>
    <x v="1"/>
    <x v="0"/>
    <s v="2022-09"/>
    <n v="1"/>
  </r>
  <r>
    <s v="FV/57/PP/9688/22"/>
    <s v="PZ/800712"/>
    <x v="6"/>
    <d v="2022-09-26T00:00:00"/>
    <s v="7223.47"/>
    <s v="Zaakceptowana"/>
    <s v="Faktura VAT"/>
    <s v="Apteka Szpitalna"/>
    <s v="UM-PHA-02"/>
    <b v="0"/>
    <n v="7223.47"/>
    <s v="OK"/>
    <x v="0"/>
    <x v="0"/>
    <s v="2022-09"/>
    <n v="1"/>
  </r>
  <r>
    <s v="FV/96/SAL/22"/>
    <s v="PZ/800713"/>
    <x v="1"/>
    <d v="2022-09-26T00:00:00"/>
    <s v="12845.89"/>
    <s v="Zaakceptowana"/>
    <s v="Faktura VAT"/>
    <s v="Apteka Szpitalna"/>
    <s v="UM-SAL-02"/>
    <b v="0"/>
    <n v="12845.89"/>
    <s v="OK"/>
    <x v="0"/>
    <x v="0"/>
    <s v="2022-09"/>
    <n v="1"/>
  </r>
  <r>
    <s v="FV/5898HM/22"/>
    <s v="PZ/800714"/>
    <x v="3"/>
    <d v="2022-09-26T00:00:00"/>
    <s v="8996.82"/>
    <s v="Zaakceptowana"/>
    <s v="Faktura VAT"/>
    <s v="Apteka Szpitalna"/>
    <s v="UM-HUR-02"/>
    <b v="0"/>
    <n v="8996.82"/>
    <s v="OK"/>
    <x v="0"/>
    <x v="0"/>
    <s v="2022-09"/>
    <n v="1"/>
  </r>
  <r>
    <s v="FV/82/SAL/22"/>
    <s v="PZ/800715"/>
    <x v="1"/>
    <d v="2022-09-27T00:00:00"/>
    <s v="14322.32"/>
    <s v="Zaakceptowana"/>
    <s v="Faktura VAT"/>
    <s v="Apteka Szpitalna"/>
    <s v="UM-SAL-01"/>
    <b v="0"/>
    <n v="14322.32"/>
    <s v="OK"/>
    <x v="0"/>
    <x v="0"/>
    <s v="2022-09"/>
    <n v="1"/>
  </r>
  <r>
    <s v="FV/74/SAL/22"/>
    <s v="PZ/800716"/>
    <x v="1"/>
    <d v="2022-09-27T00:00:00"/>
    <s v="16402.11"/>
    <s v="Zaakceptowana"/>
    <s v="Faktura VAT"/>
    <s v="Apteka Szpitalna"/>
    <s v="UM-SAL-01"/>
    <b v="0"/>
    <n v="16402.11"/>
    <s v="OK"/>
    <x v="0"/>
    <x v="0"/>
    <s v="2022-09"/>
    <n v="1"/>
  </r>
  <r>
    <s v="FV/M/9302/P/22"/>
    <s v="PZ/800717"/>
    <x v="5"/>
    <d v="2022-09-27T00:00:00"/>
    <s v="9629.19"/>
    <s v="Zaakceptowana"/>
    <s v="Faktura VAT"/>
    <s v="Apteka Szpitalna"/>
    <s v="UM-MED-02"/>
    <b v="0"/>
    <n v="9629.19"/>
    <s v="OK"/>
    <x v="0"/>
    <x v="0"/>
    <s v="2022-09"/>
    <n v="1"/>
  </r>
  <r>
    <s v="FV/36134/VDb/2022"/>
    <s v="PZ/800718"/>
    <x v="7"/>
    <d v="2022-09-27T00:00:00"/>
    <s v="14447.41"/>
    <s v="Zaakceptowana"/>
    <s v="Faktura VAT"/>
    <s v="Apteka Szpitalna"/>
    <s v="UM-VIT-01"/>
    <b v="0"/>
    <n v="14447.41"/>
    <s v="OK"/>
    <x v="0"/>
    <x v="0"/>
    <s v="2022-09"/>
    <n v="1"/>
  </r>
  <r>
    <s v="FV/CENFA/560480/22"/>
    <s v="PZ/800719"/>
    <x v="4"/>
    <d v="2022-09-28T00:00:00"/>
    <s v="19369.92"/>
    <s v="Zaakceptowana"/>
    <s v="Faktura VAT"/>
    <s v="Apteka Szpitalna"/>
    <s v="UM-CEN-01"/>
    <b v="0"/>
    <n v="19369.919999999998"/>
    <s v="OK"/>
    <x v="0"/>
    <x v="0"/>
    <s v="2022-09"/>
    <n v="1"/>
  </r>
  <r>
    <s v="FV/CENFA/703068/22"/>
    <s v="PZ/800720"/>
    <x v="4"/>
    <d v="2022-09-28T00:00:00"/>
    <s v="21659.95"/>
    <s v="Zaakceptowana"/>
    <s v="Faktura VAT"/>
    <s v="Apteka Szpitalna"/>
    <s v="UM-CEN-01"/>
    <b v="0"/>
    <n v="21659.95"/>
    <s v="OK"/>
    <x v="0"/>
    <x v="0"/>
    <s v="2022-09"/>
    <n v="1"/>
  </r>
  <r>
    <s v="FV/1431HM/22"/>
    <s v="PZ/800721"/>
    <x v="3"/>
    <d v="2022-09-28T00:00:00"/>
    <s v="18163.62"/>
    <s v="Zaakceptowana"/>
    <s v="Faktura VAT"/>
    <s v="Apteka Szpitalna"/>
    <s v="UM-HUR-01"/>
    <b v="0"/>
    <n v="18163.62"/>
    <s v="OK"/>
    <x v="0"/>
    <x v="0"/>
    <s v="2022-09"/>
    <n v="1"/>
  </r>
  <r>
    <s v="FV/POL/77634/2022"/>
    <s v="PZ/800722"/>
    <x v="0"/>
    <d v="2022-09-30T00:00:00"/>
    <s v="-2446.82"/>
    <s v="Zaakceptowana"/>
    <s v="Korekta FV"/>
    <s v="Apteka Szpitalna"/>
    <s v="UM-POL-01"/>
    <b v="0"/>
    <n v="-2446.8200000000002"/>
    <s v="OK"/>
    <x v="0"/>
    <x v="0"/>
    <s v="2022-09"/>
    <n v="1"/>
  </r>
  <r>
    <s v="FV/60/PP/3033/22"/>
    <s v="PZ/800723"/>
    <x v="6"/>
    <d v="2022-09-30T00:00:00"/>
    <s v="5903.94"/>
    <s v="Zaakceptowana"/>
    <s v="Faktura VAT"/>
    <s v="Apteka Szpitalna"/>
    <s v="UM-PHA-01"/>
    <b v="0"/>
    <n v="5903.94"/>
    <s v="OK"/>
    <x v="0"/>
    <x v="0"/>
    <s v="2022-09"/>
    <n v="1"/>
  </r>
  <r>
    <s v="FV/CENFA/252173/22"/>
    <s v="PZ/800724"/>
    <x v="4"/>
    <d v="2022-09-30T00:00:00"/>
    <s v="17223.38"/>
    <s v="Zaakceptowana"/>
    <s v="Faktura VAT"/>
    <s v="Apteka Szpitalna"/>
    <s v="UM-CEN-02"/>
    <b v="0"/>
    <n v="17223.38"/>
    <s v="OK"/>
    <x v="0"/>
    <x v="0"/>
    <s v="2022-09"/>
    <n v="1"/>
  </r>
  <r>
    <s v="FV/76438/VDb/2022"/>
    <s v="PZ/800725"/>
    <x v="7"/>
    <d v="2022-09-30T00:00:00"/>
    <s v="17045.73"/>
    <s v="Zaakceptowana"/>
    <s v="Faktura VAT"/>
    <s v="Apteka Szpitalna"/>
    <s v=""/>
    <b v="0"/>
    <n v="17045.73"/>
    <s v="OK"/>
    <x v="1"/>
    <x v="0"/>
    <s v="2022-09"/>
    <n v="1"/>
  </r>
  <r>
    <s v="FV/CENFA/607621/22"/>
    <s v="PZ/800726"/>
    <x v="4"/>
    <d v="2022-10-02T00:00:00"/>
    <s v="16039.19"/>
    <s v="Zaakceptowana"/>
    <s v="Faktura VAT"/>
    <s v="Apteka Szpitalna"/>
    <s v="UM-CEN-01"/>
    <b v="0"/>
    <n v="16039.19"/>
    <s v="OK"/>
    <x v="0"/>
    <x v="0"/>
    <s v="2022-10"/>
    <n v="1"/>
  </r>
  <r>
    <s v="FV/58/SAL/22"/>
    <s v="PZ/800727"/>
    <x v="1"/>
    <d v="2022-10-02T00:00:00"/>
    <s v="12196.89"/>
    <s v="Zaakceptowana"/>
    <s v="Faktura VAT"/>
    <s v="Apteka Szpitalna"/>
    <s v="UM-SAL-01"/>
    <b v="0"/>
    <n v="12196.89"/>
    <s v="OK"/>
    <x v="0"/>
    <x v="0"/>
    <s v="2022-10"/>
    <n v="1"/>
  </r>
  <r>
    <s v="FV/7504HM/22"/>
    <s v="PZ/800728"/>
    <x v="3"/>
    <d v="2022-10-02T00:00:00"/>
    <s v="25320.49"/>
    <s v="Zaakceptowana"/>
    <s v="Faktura VAT"/>
    <s v="Apteka Szpitalna"/>
    <s v="UM-HUR-02"/>
    <b v="0"/>
    <n v="25320.49"/>
    <s v="OK"/>
    <x v="0"/>
    <x v="0"/>
    <s v="2022-10"/>
    <n v="1"/>
  </r>
  <r>
    <s v="FV/M/6421/P/22"/>
    <s v="PZ/800729"/>
    <x v="5"/>
    <d v="2022-10-02T00:00:00"/>
    <s v="11510.6"/>
    <s v="Zaakceptowana"/>
    <s v="Faktura VAT"/>
    <s v="Apteka Szpitalna"/>
    <s v="UM-MED-01"/>
    <b v="0"/>
    <n v="11510.6"/>
    <s v="OK"/>
    <x v="0"/>
    <x v="0"/>
    <s v="2022-10"/>
    <n v="1"/>
  </r>
  <r>
    <s v="FV/6119/NOVA/22"/>
    <s v="PZ/800730"/>
    <x v="2"/>
    <d v="2022-10-03T00:00:00"/>
    <s v="16223.11"/>
    <s v="Zaakceptowana"/>
    <s v="Faktura VAT"/>
    <s v="Apteka Szpitalna"/>
    <s v="UM-NOV-01"/>
    <b v="0"/>
    <n v="16223.11"/>
    <s v="OK"/>
    <x v="0"/>
    <x v="0"/>
    <s v="2022-10"/>
    <n v="1"/>
  </r>
  <r>
    <s v="FV/29/PP/8623/22"/>
    <s v="PZ/800731"/>
    <x v="6"/>
    <d v="2022-10-03T00:00:00"/>
    <s v="13944.41"/>
    <s v="Zaakceptowana"/>
    <s v="Faktura VAT"/>
    <s v="Apteka Szpitalna"/>
    <s v="UM-PHA-01"/>
    <b v="0"/>
    <n v="13944.41"/>
    <s v="OK"/>
    <x v="0"/>
    <x v="0"/>
    <s v="2022-10"/>
    <n v="1"/>
  </r>
  <r>
    <s v="FV/62046/VDb/2022"/>
    <s v="PZ/800732"/>
    <x v="7"/>
    <d v="2022-10-03T00:00:00"/>
    <s v="24928.71"/>
    <s v="Zaakceptowana"/>
    <s v="Faktura VAT"/>
    <s v="Apteka Szpitalna"/>
    <s v="UM-VIT-01"/>
    <b v="0"/>
    <n v="24928.71"/>
    <s v="OK"/>
    <x v="0"/>
    <x v="0"/>
    <s v="2022-10"/>
    <n v="1"/>
  </r>
  <r>
    <s v="FV/POL/68310/2022"/>
    <s v="PZ/800733"/>
    <x v="0"/>
    <d v="2022-10-03T00:00:00"/>
    <s v="15431.73"/>
    <s v="Zaakceptowana"/>
    <s v="Faktura VAT"/>
    <s v="Apteka Szpitalna"/>
    <s v="UM-POL-02"/>
    <b v="0"/>
    <n v="15431.73"/>
    <s v="OK"/>
    <x v="0"/>
    <x v="0"/>
    <s v="2022-10"/>
    <n v="1"/>
  </r>
  <r>
    <s v="FV/M/1699/P/22"/>
    <s v="PZ/800734"/>
    <x v="5"/>
    <d v="2022-10-03T00:00:00"/>
    <s v="23222.65"/>
    <s v="Zaakceptowana"/>
    <s v="Faktura VAT"/>
    <s v="Apteka Szpitalna"/>
    <s v="UM-MED-02"/>
    <b v="0"/>
    <n v="23222.65"/>
    <s v="OK"/>
    <x v="0"/>
    <x v="0"/>
    <s v="2022-10"/>
    <n v="1"/>
  </r>
  <r>
    <s v="FV/M/7467/P/22"/>
    <s v="PZ/800735"/>
    <x v="5"/>
    <d v="2022-10-04T00:00:00"/>
    <s v="15690.61"/>
    <s v="Zaakceptowana"/>
    <s v="Faktura VAT"/>
    <s v="Apteka Szpitalna"/>
    <s v=""/>
    <b v="0"/>
    <n v="15690.61"/>
    <s v="OK"/>
    <x v="1"/>
    <x v="0"/>
    <s v="2022-10"/>
    <n v="1"/>
  </r>
  <r>
    <s v="FV/81/PP/9104/22"/>
    <s v="PZ/800736"/>
    <x v="6"/>
    <d v="2022-10-04T00:00:00"/>
    <s v="24757.87"/>
    <s v="Zaakceptowana"/>
    <s v="Faktura VAT"/>
    <s v="Apteka Szpitalna"/>
    <s v="UM-PHA-02"/>
    <b v="0"/>
    <n v="24757.87"/>
    <s v="OK"/>
    <x v="0"/>
    <x v="0"/>
    <s v="2022-10"/>
    <n v="1"/>
  </r>
  <r>
    <s v="FV/POL/54179/2022"/>
    <s v="PZ/800737"/>
    <x v="0"/>
    <d v="2022-10-04T00:00:00"/>
    <s v="15072.52"/>
    <s v="Zaakceptowana"/>
    <s v="Faktura VAT"/>
    <s v="Apteka Szpitalna"/>
    <s v="UM-POL-03"/>
    <b v="0"/>
    <n v="15072.52"/>
    <s v="OK"/>
    <x v="0"/>
    <x v="0"/>
    <s v="2022-10"/>
    <n v="1"/>
  </r>
  <r>
    <s v="FV/12/PP/3329/22"/>
    <s v="PZ/800738"/>
    <x v="6"/>
    <d v="2022-10-04T00:00:00"/>
    <s v="26517.89"/>
    <s v="Zaakceptowana"/>
    <s v="Faktura VAT"/>
    <s v="Apteka Szpitalna"/>
    <s v="UM-PHA-01"/>
    <b v="0"/>
    <n v="26517.89"/>
    <s v="OK"/>
    <x v="0"/>
    <x v="0"/>
    <s v="2022-10"/>
    <n v="1"/>
  </r>
  <r>
    <s v="FV/POL/77814/2022"/>
    <s v="PZ/800739"/>
    <x v="0"/>
    <d v="2022-10-04T00:00:00"/>
    <s v="17990.64"/>
    <s v="Zaakceptowana"/>
    <s v="Faktura VAT"/>
    <s v="Apteka Szpitalna"/>
    <s v=""/>
    <b v="0"/>
    <n v="17990.64"/>
    <s v="OK"/>
    <x v="1"/>
    <x v="0"/>
    <s v="2022-10"/>
    <n v="1"/>
  </r>
  <r>
    <s v="FV/9305HM/22"/>
    <s v="PZ/800740"/>
    <x v="3"/>
    <d v="2022-10-05T00:00:00"/>
    <s v="25970.31"/>
    <s v="Zaakceptowana"/>
    <s v="Faktura VAT"/>
    <s v="Apteka Szpitalna"/>
    <s v="UM-HUR-01"/>
    <b v="0"/>
    <n v="25970.31"/>
    <s v="OK"/>
    <x v="0"/>
    <x v="0"/>
    <s v="2022-10"/>
    <n v="1"/>
  </r>
  <r>
    <s v="FV/CENFA/868178/22"/>
    <s v="PZ/800741"/>
    <x v="4"/>
    <d v="2022-10-05T00:00:00"/>
    <s v="13226.34"/>
    <s v="Zaakceptowana"/>
    <s v="Faktura VAT"/>
    <s v="Apteka Szpitalna"/>
    <s v="UM-CEN-02"/>
    <b v="0"/>
    <n v="13226.34"/>
    <s v="OK"/>
    <x v="0"/>
    <x v="0"/>
    <s v="2022-10"/>
    <n v="1"/>
  </r>
  <r>
    <s v="FV/52491/VDb/2022"/>
    <s v="PZ/800742"/>
    <x v="7"/>
    <d v="2022-10-06T00:00:00"/>
    <s v="13459.33"/>
    <s v="Zaakceptowana"/>
    <s v="Faktura VAT"/>
    <s v="Apteka Szpitalna"/>
    <s v=""/>
    <b v="0"/>
    <n v="13459.33"/>
    <s v="OK"/>
    <x v="1"/>
    <x v="0"/>
    <s v="2022-10"/>
    <n v="1"/>
  </r>
  <r>
    <s v="FV/18/SAL/22"/>
    <s v="PZ/800743"/>
    <x v="1"/>
    <d v="2022-10-06T00:00:00"/>
    <s v="28124.57"/>
    <s v="Zaakceptowana"/>
    <s v="Faktura VAT"/>
    <s v="Apteka Szpitalna"/>
    <s v="UM-SAL-02"/>
    <b v="0"/>
    <n v="28124.57"/>
    <s v="OK"/>
    <x v="0"/>
    <x v="0"/>
    <s v="2022-10"/>
    <n v="1"/>
  </r>
  <r>
    <s v="FV/31554/VDb/2022"/>
    <s v="PZ/800744"/>
    <x v="7"/>
    <d v="2022-10-07T00:00:00"/>
    <s v="16576.17"/>
    <s v="Zaakceptowana"/>
    <s v="Faktura VAT"/>
    <s v="Apteka Szpitalna"/>
    <s v="UM-VIT-01"/>
    <b v="0"/>
    <n v="16576.169999999998"/>
    <s v="OK"/>
    <x v="0"/>
    <x v="0"/>
    <s v="2022-10"/>
    <n v="1"/>
  </r>
  <r>
    <s v="FV/10/PP/8577/22"/>
    <s v="PZ/800745"/>
    <x v="6"/>
    <d v="2022-10-07T00:00:00"/>
    <s v="16884.38"/>
    <s v="Zaakceptowana"/>
    <s v="Faktura VAT"/>
    <s v="Apteka Szpitalna"/>
    <s v="UM-PHA-02"/>
    <b v="0"/>
    <n v="16884.38"/>
    <s v="OK"/>
    <x v="0"/>
    <x v="0"/>
    <s v="2022-10"/>
    <n v="1"/>
  </r>
  <r>
    <s v="FV/POL/25371/2022"/>
    <s v="PZ/800746"/>
    <x v="0"/>
    <d v="2022-10-07T00:00:00"/>
    <s v="24275.27"/>
    <s v="Zaakceptowana"/>
    <s v="Faktura VAT"/>
    <s v="Apteka Szpitalna"/>
    <s v="UM-POL-02"/>
    <b v="0"/>
    <n v="24275.27"/>
    <s v="OK"/>
    <x v="0"/>
    <x v="0"/>
    <s v="2022-10"/>
    <n v="1"/>
  </r>
  <r>
    <s v="FV/CENFA/559251/22"/>
    <s v="PZ/800747"/>
    <x v="4"/>
    <d v="2022-10-07T00:00:00"/>
    <s v="14837.27"/>
    <s v="Zaakceptowana"/>
    <s v="Faktura VAT"/>
    <s v="Apteka Szpitalna"/>
    <s v="UM-CEN-02"/>
    <b v="0"/>
    <n v="14837.27"/>
    <s v="OK"/>
    <x v="0"/>
    <x v="0"/>
    <s v="2022-10"/>
    <n v="1"/>
  </r>
  <r>
    <s v="FV/CENFA/101175/22"/>
    <s v="PZ/800748"/>
    <x v="4"/>
    <d v="2022-10-09T00:00:00"/>
    <s v="13500.58"/>
    <s v="Zaakceptowana"/>
    <s v="Faktura VAT"/>
    <s v="Apteka Szpitalna"/>
    <s v="UM-CEN-01"/>
    <b v="0"/>
    <n v="13500.58"/>
    <s v="OK"/>
    <x v="0"/>
    <x v="0"/>
    <s v="2022-10"/>
    <n v="1"/>
  </r>
  <r>
    <s v="FV/9436/NOVA/22"/>
    <s v="PZ/800749"/>
    <x v="2"/>
    <d v="2022-10-09T00:00:00"/>
    <s v="10358.85"/>
    <s v="Zaakceptowana"/>
    <s v="Faktura VAT"/>
    <s v="Apteka Szpitalna"/>
    <s v="UM-NOV-03"/>
    <b v="0"/>
    <n v="10358.85"/>
    <s v="OK"/>
    <x v="0"/>
    <x v="0"/>
    <s v="2022-10"/>
    <n v="1"/>
  </r>
  <r>
    <s v="FV/9457HM/22"/>
    <s v="PZ/800750"/>
    <x v="3"/>
    <d v="2022-10-10T00:00:00"/>
    <s v="18580.25"/>
    <s v="Zaakceptowana"/>
    <s v="Faktura VAT"/>
    <s v="Apteka Szpitalna"/>
    <s v="UM-HUR-01"/>
    <b v="0"/>
    <n v="18580.25"/>
    <s v="OK"/>
    <x v="0"/>
    <x v="0"/>
    <s v="2022-10"/>
    <n v="1"/>
  </r>
  <r>
    <s v="FV/98/PP/8938/22"/>
    <s v="PZ/800751"/>
    <x v="6"/>
    <d v="2022-10-10T00:00:00"/>
    <s v="17322.97"/>
    <s v="Zaakceptowana"/>
    <s v="Faktura VAT"/>
    <s v="Apteka Szpitalna"/>
    <s v=""/>
    <b v="0"/>
    <n v="17322.97"/>
    <s v="OK"/>
    <x v="1"/>
    <x v="0"/>
    <s v="2022-10"/>
    <n v="1"/>
  </r>
  <r>
    <s v="FV/M/4686/P/22"/>
    <s v="PZ/800752"/>
    <x v="5"/>
    <d v="2022-10-10T00:00:00"/>
    <s v="7849.82"/>
    <s v="Zaakceptowana"/>
    <s v="Faktura VAT"/>
    <s v="Apteka Szpitalna"/>
    <s v=""/>
    <b v="0"/>
    <n v="7849.82"/>
    <s v="OK"/>
    <x v="1"/>
    <x v="0"/>
    <s v="2022-10"/>
    <n v="1"/>
  </r>
  <r>
    <s v="FV/54/PP/4219/22"/>
    <s v="PZ/800753"/>
    <x v="6"/>
    <d v="2022-10-11T00:00:00"/>
    <s v="27956.02"/>
    <s v="Zaakceptowana"/>
    <s v="Faktura VAT"/>
    <s v="Apteka Szpitalna"/>
    <s v="UM-PHA-01"/>
    <b v="0"/>
    <n v="27956.02"/>
    <s v="OK"/>
    <x v="0"/>
    <x v="0"/>
    <s v="2022-10"/>
    <n v="1"/>
  </r>
  <r>
    <s v="FV/M/4919/P/22"/>
    <s v="PZ/800754"/>
    <x v="5"/>
    <d v="2022-10-11T00:00:00"/>
    <s v="22058.13"/>
    <s v="Zaakceptowana"/>
    <s v="Faktura VAT"/>
    <s v="Apteka Szpitalna"/>
    <s v="UM-MED-01"/>
    <b v="0"/>
    <n v="22058.13"/>
    <s v="OK"/>
    <x v="0"/>
    <x v="0"/>
    <s v="2022-10"/>
    <n v="1"/>
  </r>
  <r>
    <s v="FV/2423HM/22"/>
    <s v="PZ/800755"/>
    <x v="3"/>
    <d v="2022-10-11T00:00:00"/>
    <s v="8814.34"/>
    <s v="Zaakceptowana"/>
    <s v="Faktura VAT"/>
    <s v="Apteka Szpitalna"/>
    <s v="UM-HUR-02"/>
    <b v="0"/>
    <n v="8814.34"/>
    <s v="OK"/>
    <x v="0"/>
    <x v="0"/>
    <s v="2022-10"/>
    <n v="1"/>
  </r>
  <r>
    <s v="FV/M/3638/P/22"/>
    <s v="PZ/800756"/>
    <x v="5"/>
    <d v="2022-10-11T00:00:00"/>
    <s v="20214.47"/>
    <s v="Zaakceptowana"/>
    <s v="Faktura VAT"/>
    <s v="Apteka Szpitalna"/>
    <s v="UM-MED-01"/>
    <b v="0"/>
    <n v="20214.47"/>
    <s v="OK"/>
    <x v="0"/>
    <x v="0"/>
    <s v="2022-10"/>
    <n v="1"/>
  </r>
  <r>
    <s v="FV/18/SAL/22"/>
    <s v="PZ/800757"/>
    <x v="1"/>
    <d v="2022-10-11T00:00:00"/>
    <s v="13858.98"/>
    <s v="Zaakceptowana"/>
    <s v="Faktura VAT"/>
    <s v="Apteka Szpitalna"/>
    <s v=""/>
    <b v="0"/>
    <n v="13858.98"/>
    <s v="OK"/>
    <x v="1"/>
    <x v="0"/>
    <s v="2022-10"/>
    <n v="1"/>
  </r>
  <r>
    <s v="FV/6833/NOVA/22"/>
    <s v="PZ/800758"/>
    <x v="2"/>
    <d v="2022-10-12T00:00:00"/>
    <s v="11961.94"/>
    <s v="Zaakceptowana"/>
    <s v="Faktura VAT"/>
    <s v="Apteka Szpitalna"/>
    <s v="UM-NOV-03"/>
    <b v="0"/>
    <n v="11961.94"/>
    <s v="OK"/>
    <x v="0"/>
    <x v="0"/>
    <s v="2022-10"/>
    <n v="1"/>
  </r>
  <r>
    <s v="FV/M/5538/P/22"/>
    <s v="PZ/800759"/>
    <x v="5"/>
    <d v="2022-10-12T00:00:00"/>
    <s v="13513.37"/>
    <s v="Zaakceptowana"/>
    <s v="Faktura VAT"/>
    <s v="Apteka Szpitalna"/>
    <s v="UM-MED-02"/>
    <b v="0"/>
    <n v="13513.37"/>
    <s v="OK"/>
    <x v="0"/>
    <x v="0"/>
    <s v="2022-10"/>
    <n v="1"/>
  </r>
  <r>
    <s v="FV/POL/15863/2022"/>
    <s v="PZ/800760"/>
    <x v="0"/>
    <d v="2022-10-13T00:00:00"/>
    <s v="20308.76"/>
    <s v="Zaakceptowana"/>
    <s v="Faktura VAT"/>
    <s v="Apteka Szpitalna"/>
    <s v=""/>
    <b v="0"/>
    <n v="20308.759999999998"/>
    <s v="OK"/>
    <x v="1"/>
    <x v="0"/>
    <s v="2022-10"/>
    <n v="1"/>
  </r>
  <r>
    <s v="FV/63/PP/9994/22"/>
    <s v="PZ/800761"/>
    <x v="6"/>
    <d v="2022-10-14T00:00:00"/>
    <s v="16093.02"/>
    <s v="Zaakceptowana"/>
    <s v="Faktura VAT"/>
    <s v="Apteka Szpitalna"/>
    <s v=""/>
    <b v="0"/>
    <n v="16093.02"/>
    <s v="OK"/>
    <x v="1"/>
    <x v="0"/>
    <s v="2022-10"/>
    <n v="1"/>
  </r>
  <r>
    <s v="FV/8252/NOVA/22"/>
    <s v="PZ/800762"/>
    <x v="2"/>
    <d v="2022-10-14T00:00:00"/>
    <s v="11786.89"/>
    <s v="Zaakceptowana"/>
    <s v="Faktura VAT"/>
    <s v="Apteka Szpitalna"/>
    <s v="UM-NOV-03"/>
    <b v="0"/>
    <n v="11786.89"/>
    <s v="OK"/>
    <x v="0"/>
    <x v="0"/>
    <s v="2022-10"/>
    <n v="1"/>
  </r>
  <r>
    <s v="FV/45082/VDb/2022"/>
    <s v="PZ/800763"/>
    <x v="7"/>
    <d v="2022-10-14T00:00:00"/>
    <s v="23336.65"/>
    <s v="Zaakceptowana"/>
    <s v="Faktura VAT"/>
    <s v="Apteka Szpitalna"/>
    <s v="UM-VIT-01"/>
    <b v="0"/>
    <n v="23336.65"/>
    <s v="OK"/>
    <x v="0"/>
    <x v="0"/>
    <s v="2022-10"/>
    <n v="1"/>
  </r>
  <r>
    <s v="FV/15/PP/8043/22"/>
    <s v="PZ/800764"/>
    <x v="6"/>
    <d v="2022-10-15T00:00:00"/>
    <s v="14239.15"/>
    <s v="Zaakceptowana"/>
    <s v="Faktura VAT"/>
    <s v="Apteka Szpitalna"/>
    <s v="UM-PHA-02"/>
    <b v="0"/>
    <n v="14239.15"/>
    <s v="OK"/>
    <x v="0"/>
    <x v="0"/>
    <s v="2022-10"/>
    <n v="1"/>
  </r>
  <r>
    <s v="FV/9958/NOVA/22"/>
    <s v="PZ/800765"/>
    <x v="2"/>
    <d v="2022-10-15T00:00:00"/>
    <s v="14764.39"/>
    <s v="Zaakceptowana"/>
    <s v="Faktura VAT"/>
    <s v="Apteka Szpitalna"/>
    <s v="UM-NOV-02"/>
    <b v="0"/>
    <n v="14764.39"/>
    <s v="OK"/>
    <x v="0"/>
    <x v="0"/>
    <s v="2022-10"/>
    <n v="1"/>
  </r>
  <r>
    <s v="FV/6365HM/22"/>
    <s v="PZ/800766"/>
    <x v="3"/>
    <d v="2022-10-15T00:00:00"/>
    <s v="14111.42"/>
    <s v="Zaakceptowana"/>
    <s v="Faktura VAT"/>
    <s v="Apteka Szpitalna"/>
    <s v="UM-HUR-03"/>
    <b v="0"/>
    <n v="14111.42"/>
    <s v="OK"/>
    <x v="0"/>
    <x v="0"/>
    <s v="2022-10"/>
    <n v="1"/>
  </r>
  <r>
    <s v="FV/37/SAL/22"/>
    <s v="PZ/800767"/>
    <x v="1"/>
    <d v="2022-10-16T00:00:00"/>
    <s v="19634.43"/>
    <s v="Zaakceptowana"/>
    <s v="Faktura VAT"/>
    <s v="Apteka Szpitalna"/>
    <s v="UM-SAL-02"/>
    <b v="0"/>
    <n v="19634.43"/>
    <s v="OK"/>
    <x v="0"/>
    <x v="0"/>
    <s v="2022-10"/>
    <n v="1"/>
  </r>
  <r>
    <s v="FV/POL/66148/2022"/>
    <s v="PZ/800768"/>
    <x v="0"/>
    <d v="2022-10-16T00:00:00"/>
    <s v="11126.8"/>
    <s v="Zaakceptowana"/>
    <s v="Faktura VAT"/>
    <s v="Apteka Szpitalna"/>
    <s v="UM-POL-03"/>
    <b v="0"/>
    <n v="11126.8"/>
    <s v="OK"/>
    <x v="0"/>
    <x v="0"/>
    <s v="2022-10"/>
    <n v="1"/>
  </r>
  <r>
    <s v="FV/32/SAL/22"/>
    <s v="PZ/800769"/>
    <x v="1"/>
    <d v="2022-10-16T00:00:00"/>
    <s v="14068.16"/>
    <s v="Zaakceptowana"/>
    <s v="Faktura VAT"/>
    <s v="Apteka Szpitalna"/>
    <s v="UM-SAL-01"/>
    <b v="0"/>
    <n v="14068.16"/>
    <s v="OK"/>
    <x v="0"/>
    <x v="0"/>
    <s v="2022-10"/>
    <n v="1"/>
  </r>
  <r>
    <s v="FV/7970/NOVA/22"/>
    <s v="PZ/800770"/>
    <x v="2"/>
    <d v="2022-10-16T00:00:00"/>
    <s v="10069.88"/>
    <s v="Zaakceptowana"/>
    <s v="Faktura VAT"/>
    <s v="Apteka Szpitalna"/>
    <s v=""/>
    <b v="0"/>
    <n v="10069.879999999999"/>
    <s v="OK"/>
    <x v="1"/>
    <x v="0"/>
    <s v="2022-10"/>
    <n v="1"/>
  </r>
  <r>
    <s v="FV/POL/21262/2022"/>
    <s v="PZ/800771"/>
    <x v="0"/>
    <d v="2022-10-17T00:00:00"/>
    <s v="15458.85"/>
    <s v="Zaakceptowana"/>
    <s v="Faktura VAT"/>
    <s v="Apteka Szpitalna"/>
    <s v="UM-POL-03"/>
    <b v="0"/>
    <n v="15458.85"/>
    <s v="OK"/>
    <x v="0"/>
    <x v="0"/>
    <s v="2022-10"/>
    <n v="1"/>
  </r>
  <r>
    <s v="FV/29/PP/7939/22"/>
    <s v="PZ/800772"/>
    <x v="6"/>
    <d v="2022-10-17T00:00:00"/>
    <s v="22196.03"/>
    <s v="Zaakceptowana"/>
    <s v="Faktura VAT"/>
    <s v="Apteka Szpitalna"/>
    <s v="UM-PHA-01"/>
    <b v="0"/>
    <n v="22196.03"/>
    <s v="OK"/>
    <x v="0"/>
    <x v="0"/>
    <s v="2022-10"/>
    <n v="1"/>
  </r>
  <r>
    <s v="FV/M/1495/P/22"/>
    <s v="PZ/800773"/>
    <x v="5"/>
    <d v="2022-10-17T00:00:00"/>
    <s v="21457.03"/>
    <s v="Zaakceptowana"/>
    <s v="Faktura VAT"/>
    <s v="Apteka Szpitalna"/>
    <s v="UM-MED-02"/>
    <b v="0"/>
    <n v="21457.03"/>
    <s v="OK"/>
    <x v="0"/>
    <x v="0"/>
    <s v="2022-10"/>
    <n v="1"/>
  </r>
  <r>
    <s v="FV/1215/NOVA/22"/>
    <s v="PZ/800774"/>
    <x v="2"/>
    <d v="2022-10-17T00:00:00"/>
    <s v="14667.99"/>
    <s v="Zaakceptowana"/>
    <s v="Faktura VAT"/>
    <s v="Apteka Szpitalna"/>
    <s v="UM-NOV-01"/>
    <b v="0"/>
    <n v="14667.99"/>
    <s v="OK"/>
    <x v="0"/>
    <x v="0"/>
    <s v="2022-10"/>
    <n v="1"/>
  </r>
  <r>
    <s v="FV/90/SAL/22"/>
    <s v="PZ/800775"/>
    <x v="1"/>
    <d v="2022-10-18T00:00:00"/>
    <s v="11991.92"/>
    <s v="Zaakceptowana"/>
    <s v="Faktura VAT"/>
    <s v="Apteka Szpitalna"/>
    <s v=""/>
    <b v="0"/>
    <n v="11991.92"/>
    <s v="OK"/>
    <x v="1"/>
    <x v="0"/>
    <s v="2022-10"/>
    <n v="1"/>
  </r>
  <r>
    <s v="FV/POL/56394/2022"/>
    <s v="PZ/800776"/>
    <x v="0"/>
    <d v="2022-10-18T00:00:00"/>
    <s v="15872.0"/>
    <s v="Zaakceptowana"/>
    <s v="Faktura VAT"/>
    <s v="Apteka Szpitalna"/>
    <s v="UM-POL-01"/>
    <b v="0"/>
    <n v="15872"/>
    <s v="OK"/>
    <x v="0"/>
    <x v="0"/>
    <s v="2022-10"/>
    <n v="1"/>
  </r>
  <r>
    <s v="FV/2998/NOVA/22"/>
    <s v="PZ/800777"/>
    <x v="2"/>
    <d v="2022-10-19T00:00:00"/>
    <s v="13730.52"/>
    <s v="Zaakceptowana"/>
    <s v="Faktura VAT"/>
    <s v="Apteka Szpitalna"/>
    <s v="UM-NOV-01"/>
    <b v="0"/>
    <n v="13730.52"/>
    <s v="OK"/>
    <x v="0"/>
    <x v="0"/>
    <s v="2022-10"/>
    <n v="1"/>
  </r>
  <r>
    <s v="FV/M/8193/P/22"/>
    <s v="PZ/800778"/>
    <x v="5"/>
    <d v="2022-10-19T00:00:00"/>
    <s v="17961.63"/>
    <s v="Zaakceptowana"/>
    <s v="Faktura VAT"/>
    <s v="Apteka Szpitalna"/>
    <s v="UM-MED-01"/>
    <b v="0"/>
    <n v="17961.63"/>
    <s v="OK"/>
    <x v="0"/>
    <x v="0"/>
    <s v="2022-10"/>
    <n v="1"/>
  </r>
  <r>
    <s v="FV/97077/VDb/2022"/>
    <s v="PZ/800779"/>
    <x v="7"/>
    <d v="2022-10-19T00:00:00"/>
    <s v="16759.3"/>
    <s v="Zaakceptowana"/>
    <s v="Faktura VAT"/>
    <s v="Apteka Szpitalna"/>
    <s v=""/>
    <b v="0"/>
    <n v="16759.3"/>
    <s v="OK"/>
    <x v="1"/>
    <x v="0"/>
    <s v="2022-10"/>
    <n v="1"/>
  </r>
  <r>
    <s v="FV/CENFA/498645/22"/>
    <s v="PZ/800780"/>
    <x v="4"/>
    <d v="2022-10-20T00:00:00"/>
    <s v="15335.66"/>
    <s v="Zaakceptowana"/>
    <s v="Faktura VAT"/>
    <s v="Apteka Szpitalna"/>
    <s v="UM-CEN-02"/>
    <b v="0"/>
    <n v="15335.66"/>
    <s v="OK"/>
    <x v="0"/>
    <x v="0"/>
    <s v="2022-10"/>
    <n v="1"/>
  </r>
  <r>
    <s v="FV/68/PP/4688/22"/>
    <s v="PZ/800781"/>
    <x v="6"/>
    <d v="2022-10-20T00:00:00"/>
    <s v="17911.26"/>
    <s v="Zaakceptowana"/>
    <s v="Faktura VAT"/>
    <s v="Apteka Szpitalna"/>
    <s v="UM-PHA-02"/>
    <b v="0"/>
    <n v="17911.259999999998"/>
    <s v="OK"/>
    <x v="0"/>
    <x v="0"/>
    <s v="2022-10"/>
    <n v="1"/>
  </r>
  <r>
    <s v="FV/M/5349/P/22"/>
    <s v="PZ/800782"/>
    <x v="5"/>
    <d v="2022-10-20T00:00:00"/>
    <s v="16754.84"/>
    <s v="Zaakceptowana"/>
    <s v="Faktura VAT"/>
    <s v="Apteka Szpitalna"/>
    <s v="UM-MED-01"/>
    <b v="0"/>
    <n v="16754.84"/>
    <s v="OK"/>
    <x v="0"/>
    <x v="0"/>
    <s v="2022-10"/>
    <n v="1"/>
  </r>
  <r>
    <s v="FV/4195HM/22"/>
    <s v="PZ/800783"/>
    <x v="3"/>
    <d v="2022-10-20T00:00:00"/>
    <s v="19793.39"/>
    <s v="Zaakceptowana"/>
    <s v="Faktura VAT"/>
    <s v="Apteka Szpitalna"/>
    <s v="UM-HUR-02"/>
    <b v="0"/>
    <n v="19793.39"/>
    <s v="OK"/>
    <x v="0"/>
    <x v="0"/>
    <s v="2022-10"/>
    <n v="1"/>
  </r>
  <r>
    <s v="FV/M/7850/P/22"/>
    <s v="PZ/800784"/>
    <x v="5"/>
    <d v="2022-10-22T00:00:00"/>
    <s v="14932.27"/>
    <s v="Zaakceptowana"/>
    <s v="Faktura VAT"/>
    <s v="Apteka Szpitalna"/>
    <s v="UM-MED-02"/>
    <b v="0"/>
    <n v="14932.27"/>
    <s v="OK"/>
    <x v="0"/>
    <x v="0"/>
    <s v="2022-10"/>
    <n v="1"/>
  </r>
  <r>
    <s v="FV/66/PP/5264/22"/>
    <s v="PZ/800785"/>
    <x v="6"/>
    <d v="2022-10-22T00:00:00"/>
    <s v="22948.65"/>
    <s v="Zaakceptowana"/>
    <s v="Faktura VAT"/>
    <s v="Apteka Szpitalna"/>
    <s v="UM-PHA-02"/>
    <b v="0"/>
    <n v="22948.65"/>
    <s v="OK"/>
    <x v="0"/>
    <x v="0"/>
    <s v="2022-10"/>
    <n v="1"/>
  </r>
  <r>
    <s v="FV/CENFA/821618/22"/>
    <s v="PZ/800786"/>
    <x v="4"/>
    <d v="2022-10-22T00:00:00"/>
    <s v="-2936.39"/>
    <s v="Zaakceptowana"/>
    <s v="Korekta FV"/>
    <s v="Apteka Szpitalna"/>
    <s v="UM-CEN-01"/>
    <b v="0"/>
    <n v="-2936.39"/>
    <s v="OK"/>
    <x v="0"/>
    <x v="0"/>
    <s v="2022-10"/>
    <n v="1"/>
  </r>
  <r>
    <s v="FV/M/1733/P/22"/>
    <s v="PZ/800787"/>
    <x v="5"/>
    <d v="2022-10-22T00:00:00"/>
    <s v="20617.33"/>
    <s v="Zaakceptowana"/>
    <s v="Faktura VAT"/>
    <s v="Apteka Szpitalna"/>
    <s v="UM-MED-02"/>
    <b v="0"/>
    <n v="20617.330000000002"/>
    <s v="OK"/>
    <x v="0"/>
    <x v="0"/>
    <s v="2022-10"/>
    <n v="1"/>
  </r>
  <r>
    <s v="FV/6134HM/22"/>
    <s v="PZ/800788"/>
    <x v="3"/>
    <d v="2022-10-23T00:00:00"/>
    <s v="7715.44"/>
    <s v="Zaakceptowana"/>
    <s v="Faktura VAT"/>
    <s v="Apteka Szpitalna"/>
    <s v="UM-HUR-02"/>
    <b v="0"/>
    <n v="7715.44"/>
    <s v="OK"/>
    <x v="0"/>
    <x v="0"/>
    <s v="2022-10"/>
    <n v="1"/>
  </r>
  <r>
    <s v="FV/9679HM/22"/>
    <s v="PZ/800789"/>
    <x v="3"/>
    <d v="2022-10-24T00:00:00"/>
    <s v="16882.94"/>
    <s v="Zaakceptowana"/>
    <s v="Faktura VAT"/>
    <s v="Apteka Szpitalna"/>
    <s v="UM-HUR-03"/>
    <b v="0"/>
    <n v="16882.939999999999"/>
    <s v="OK"/>
    <x v="0"/>
    <x v="0"/>
    <s v="2022-10"/>
    <n v="1"/>
  </r>
  <r>
    <s v="FV/92/PP/5591/22"/>
    <s v="PZ/800790"/>
    <x v="6"/>
    <d v="2022-10-24T00:00:00"/>
    <s v="12997.28"/>
    <s v="Zaakceptowana"/>
    <s v="Faktura VAT"/>
    <s v="Apteka Szpitalna"/>
    <s v="UM-PHA-01"/>
    <b v="0"/>
    <n v="12997.28"/>
    <s v="OK"/>
    <x v="0"/>
    <x v="0"/>
    <s v="2022-10"/>
    <n v="1"/>
  </r>
  <r>
    <s v="FV/7469HM/22"/>
    <s v="PZ/800791"/>
    <x v="3"/>
    <d v="2022-10-24T00:00:00"/>
    <s v="10595.65"/>
    <s v="Zaakceptowana"/>
    <s v="Faktura VAT"/>
    <s v="Apteka Szpitalna"/>
    <s v="UM-HUR-02"/>
    <b v="0"/>
    <n v="10595.65"/>
    <s v="OK"/>
    <x v="0"/>
    <x v="0"/>
    <s v="2022-10"/>
    <n v="1"/>
  </r>
  <r>
    <s v="FV/6822/NOVA/22"/>
    <s v="PZ/800792"/>
    <x v="2"/>
    <d v="2022-10-24T00:00:00"/>
    <s v="10950.39"/>
    <s v="Zaakceptowana"/>
    <s v="Faktura VAT"/>
    <s v="Apteka Szpitalna"/>
    <s v="UM-NOV-03"/>
    <b v="0"/>
    <n v="10950.39"/>
    <s v="OK"/>
    <x v="0"/>
    <x v="0"/>
    <s v="2022-10"/>
    <n v="1"/>
  </r>
  <r>
    <s v="FV/9660/NOVA/22"/>
    <s v="PZ/800793"/>
    <x v="2"/>
    <d v="2022-10-24T00:00:00"/>
    <s v="10618.04"/>
    <s v="Zaakceptowana"/>
    <s v="Faktura VAT"/>
    <s v="Apteka Szpitalna"/>
    <s v="UM-NOV-02"/>
    <b v="0"/>
    <n v="10618.04"/>
    <s v="OK"/>
    <x v="0"/>
    <x v="0"/>
    <s v="2022-10"/>
    <n v="1"/>
  </r>
  <r>
    <s v="FV/24/SAL/22"/>
    <s v="PZ/800794"/>
    <x v="1"/>
    <d v="2022-10-24T00:00:00"/>
    <s v="13227.68"/>
    <s v="Zaakceptowana"/>
    <s v="Faktura VAT"/>
    <s v="Apteka Szpitalna"/>
    <s v=""/>
    <b v="0"/>
    <n v="13227.68"/>
    <s v="OK"/>
    <x v="1"/>
    <x v="0"/>
    <s v="2022-10"/>
    <n v="1"/>
  </r>
  <r>
    <s v="FV/M/5777/P/22"/>
    <s v="PZ/800795"/>
    <x v="5"/>
    <d v="2022-10-25T00:00:00"/>
    <s v="18470.18"/>
    <s v="Zaakceptowana"/>
    <s v="Faktura VAT"/>
    <s v="Apteka Szpitalna"/>
    <s v=""/>
    <b v="0"/>
    <n v="18470.18"/>
    <s v="OK"/>
    <x v="1"/>
    <x v="0"/>
    <s v="2022-10"/>
    <n v="1"/>
  </r>
  <r>
    <s v="FV/M/7733/P/22"/>
    <s v="PZ/800796"/>
    <x v="5"/>
    <d v="2022-10-25T00:00:00"/>
    <s v="24963.45"/>
    <s v="Zaakceptowana"/>
    <s v="Faktura VAT"/>
    <s v="Apteka Szpitalna"/>
    <s v=""/>
    <b v="0"/>
    <n v="24963.45"/>
    <s v="OK"/>
    <x v="1"/>
    <x v="0"/>
    <s v="2022-10"/>
    <n v="1"/>
  </r>
  <r>
    <s v="FV/1309HM/22"/>
    <s v="PZ/800797"/>
    <x v="3"/>
    <d v="2022-10-25T00:00:00"/>
    <s v="14221.46"/>
    <s v="Zaakceptowana"/>
    <s v="Faktura VAT"/>
    <s v="Apteka Szpitalna"/>
    <s v="UM-HUR-01"/>
    <b v="0"/>
    <n v="14221.46"/>
    <s v="OK"/>
    <x v="0"/>
    <x v="0"/>
    <s v="2022-10"/>
    <n v="1"/>
  </r>
  <r>
    <s v="FV/M/3032/P/22"/>
    <s v="PZ/800798"/>
    <x v="5"/>
    <d v="2022-10-25T00:00:00"/>
    <s v="15842.63"/>
    <s v="Zaakceptowana"/>
    <s v="Faktura VAT"/>
    <s v="Apteka Szpitalna"/>
    <s v="UM-MED-02"/>
    <b v="0"/>
    <n v="15842.63"/>
    <s v="OK"/>
    <x v="0"/>
    <x v="0"/>
    <s v="2022-10"/>
    <n v="1"/>
  </r>
  <r>
    <s v="FV/89016/VDb/2022"/>
    <s v="PZ/800799"/>
    <x v="7"/>
    <d v="2022-10-26T00:00:00"/>
    <s v="21728.7"/>
    <s v="Zaakceptowana"/>
    <s v="Faktura VAT"/>
    <s v="Apteka Szpitalna"/>
    <s v="UM-VIT-01"/>
    <b v="0"/>
    <n v="21728.7"/>
    <s v="OK"/>
    <x v="0"/>
    <x v="0"/>
    <s v="2022-10"/>
    <n v="1"/>
  </r>
  <r>
    <s v="FV/2669/NOVA/22"/>
    <s v="PZ/800800"/>
    <x v="2"/>
    <d v="2022-10-26T00:00:00"/>
    <s v="12851.82"/>
    <s v="Zaakceptowana"/>
    <s v="Faktura VAT"/>
    <s v="Apteka Szpitalna"/>
    <s v="UM-NOV-02"/>
    <b v="0"/>
    <n v="12851.82"/>
    <s v="OK"/>
    <x v="0"/>
    <x v="0"/>
    <s v="2022-10"/>
    <n v="1"/>
  </r>
  <r>
    <s v="FV/POL/43405/2022"/>
    <s v="PZ/800801"/>
    <x v="0"/>
    <d v="2022-10-26T00:00:00"/>
    <s v="16123.35"/>
    <s v="Zaakceptowana"/>
    <s v="Faktura VAT"/>
    <s v="Apteka Szpitalna"/>
    <s v=""/>
    <b v="0"/>
    <n v="16123.35"/>
    <s v="OK"/>
    <x v="1"/>
    <x v="0"/>
    <s v="2022-10"/>
    <n v="1"/>
  </r>
  <r>
    <s v="FV/CENFA/503320/22"/>
    <s v="PZ/800802"/>
    <x v="4"/>
    <d v="2022-10-27T00:00:00"/>
    <s v="-903.79"/>
    <s v="Zaakceptowana"/>
    <s v="Korekta FV"/>
    <s v="Apteka Szpitalna"/>
    <s v="UM-CEN-01"/>
    <b v="0"/>
    <n v="-903.79"/>
    <s v="OK"/>
    <x v="0"/>
    <x v="0"/>
    <s v="2022-10"/>
    <n v="1"/>
  </r>
  <r>
    <s v="FV/POL/58829/2022"/>
    <s v="PZ/800803"/>
    <x v="0"/>
    <d v="2022-10-27T00:00:00"/>
    <s v="8835.39"/>
    <s v="Zaakceptowana"/>
    <s v="Faktura VAT"/>
    <s v="Apteka Szpitalna"/>
    <s v="UM-POL-02"/>
    <b v="0"/>
    <n v="8835.39"/>
    <s v="OK"/>
    <x v="0"/>
    <x v="0"/>
    <s v="2022-10"/>
    <n v="1"/>
  </r>
  <r>
    <s v="FV/POL/93193/2022"/>
    <s v="PZ/800804"/>
    <x v="0"/>
    <d v="2022-10-27T00:00:00"/>
    <s v="18758.85"/>
    <s v="Zaakceptowana"/>
    <s v="Faktura VAT"/>
    <s v="Apteka Szpitalna"/>
    <s v="UM-POL-01"/>
    <b v="0"/>
    <n v="18758.849999999999"/>
    <s v="OK"/>
    <x v="0"/>
    <x v="0"/>
    <s v="2022-10"/>
    <n v="1"/>
  </r>
  <r>
    <s v="FV/81756/VDb/2022"/>
    <s v="PZ/800805"/>
    <x v="7"/>
    <d v="2022-10-28T00:00:00"/>
    <s v="17927.56"/>
    <s v="Zaakceptowana"/>
    <s v="Faktura VAT"/>
    <s v="Apteka Szpitalna"/>
    <s v=""/>
    <b v="0"/>
    <n v="17927.560000000001"/>
    <s v="OK"/>
    <x v="1"/>
    <x v="0"/>
    <s v="2022-10"/>
    <n v="1"/>
  </r>
  <r>
    <s v="FV/POL/35042/2022"/>
    <s v="PZ/800806"/>
    <x v="0"/>
    <d v="2022-10-28T00:00:00"/>
    <s v="8883.45"/>
    <s v="Zaakceptowana"/>
    <s v="Faktura VAT"/>
    <s v="Apteka Szpitalna"/>
    <s v="UM-POL-03"/>
    <b v="0"/>
    <n v="8883.4500000000007"/>
    <s v="OK"/>
    <x v="0"/>
    <x v="0"/>
    <s v="2022-10"/>
    <n v="1"/>
  </r>
  <r>
    <s v="FV/60538/VDb/2022"/>
    <s v="PZ/800807"/>
    <x v="7"/>
    <d v="2022-10-28T00:00:00"/>
    <s v="11912.39"/>
    <s v="Zaakceptowana"/>
    <s v="Faktura VAT"/>
    <s v="Apteka Szpitalna"/>
    <s v="UM-VIT-01"/>
    <b v="0"/>
    <n v="11912.39"/>
    <s v="OK"/>
    <x v="0"/>
    <x v="0"/>
    <s v="2022-10"/>
    <n v="1"/>
  </r>
  <r>
    <s v="FV/7264/NOVA/22"/>
    <s v="PZ/800808"/>
    <x v="2"/>
    <d v="2022-10-29T00:00:00"/>
    <s v="5645.92"/>
    <s v="Zaakceptowana"/>
    <s v="Faktura VAT"/>
    <s v="Apteka Szpitalna"/>
    <s v="UM-NOV-03"/>
    <b v="0"/>
    <n v="5645.92"/>
    <s v="OK"/>
    <x v="0"/>
    <x v="0"/>
    <s v="2022-10"/>
    <n v="1"/>
  </r>
  <r>
    <s v="FV/1334HM/22"/>
    <s v="PZ/800809"/>
    <x v="3"/>
    <d v="2022-10-29T00:00:00"/>
    <s v="13302.27"/>
    <s v="Zaakceptowana"/>
    <s v="Faktura VAT"/>
    <s v="Apteka Szpitalna"/>
    <s v="UM-HUR-02"/>
    <b v="0"/>
    <n v="13302.27"/>
    <s v="OK"/>
    <x v="0"/>
    <x v="0"/>
    <s v="2022-10"/>
    <n v="1"/>
  </r>
  <r>
    <s v="FV/50/PP/9822/22"/>
    <s v="PZ/800810"/>
    <x v="6"/>
    <d v="2022-10-30T00:00:00"/>
    <s v="24625.44"/>
    <s v="Zaakceptowana"/>
    <s v="Faktura VAT"/>
    <s v="Apteka Szpitalna"/>
    <s v="UM-PHA-01"/>
    <b v="0"/>
    <n v="24625.439999999999"/>
    <s v="OK"/>
    <x v="0"/>
    <x v="0"/>
    <s v="2022-10"/>
    <n v="1"/>
  </r>
  <r>
    <s v="FV/24/PP/4746/22"/>
    <s v="PZ/800811"/>
    <x v="6"/>
    <d v="2022-10-30T00:00:00"/>
    <s v="19113.22"/>
    <s v="Zaakceptowana"/>
    <s v="Faktura VAT"/>
    <s v="Apteka Szpitalna"/>
    <s v="UM-PHA-02"/>
    <b v="0"/>
    <n v="19113.22"/>
    <s v="OK"/>
    <x v="0"/>
    <x v="0"/>
    <s v="2022-10"/>
    <n v="1"/>
  </r>
  <r>
    <s v="FV/68116/VDb/2022"/>
    <s v="PZ/800812"/>
    <x v="7"/>
    <d v="2022-10-30T00:00:00"/>
    <s v="17519.41"/>
    <s v="Zaakceptowana"/>
    <s v="Faktura VAT"/>
    <s v="Apteka Szpitalna"/>
    <s v="UM-VIT-01"/>
    <b v="0"/>
    <n v="17519.41"/>
    <s v="OK"/>
    <x v="0"/>
    <x v="0"/>
    <s v="2022-10"/>
    <n v="1"/>
  </r>
  <r>
    <s v="FV/3181HM/22"/>
    <s v="PZ/800813"/>
    <x v="3"/>
    <d v="2022-10-31T00:00:00"/>
    <s v="13336.54"/>
    <s v="Zaakceptowana"/>
    <s v="Faktura VAT"/>
    <s v="Apteka Szpitalna"/>
    <s v="UM-HUR-02"/>
    <b v="0"/>
    <n v="13336.54"/>
    <s v="OK"/>
    <x v="0"/>
    <x v="0"/>
    <s v="2022-10"/>
    <n v="1"/>
  </r>
  <r>
    <s v="FV/9599HM/22"/>
    <s v="PZ/800814"/>
    <x v="3"/>
    <d v="2022-11-02T00:00:00"/>
    <s v="17571.2"/>
    <s v="Zaakceptowana"/>
    <s v="Faktura VAT"/>
    <s v="Apteka Szpitalna"/>
    <s v="UM-HUR-03"/>
    <b v="0"/>
    <n v="17571.2"/>
    <s v="OK"/>
    <x v="0"/>
    <x v="0"/>
    <s v="2022-11"/>
    <n v="1"/>
  </r>
  <r>
    <s v="FV/11227/VDb/2022"/>
    <s v="PZ/800815"/>
    <x v="7"/>
    <d v="2022-11-02T00:00:00"/>
    <s v="18355.35"/>
    <s v="Zaakceptowana"/>
    <s v="Faktura VAT"/>
    <s v="Apteka Szpitalna"/>
    <s v="UM-VIT-01"/>
    <b v="0"/>
    <n v="18355.349999999999"/>
    <s v="OK"/>
    <x v="0"/>
    <x v="0"/>
    <s v="2022-11"/>
    <n v="1"/>
  </r>
  <r>
    <s v="FV/2629HM/22"/>
    <s v="PZ/800816"/>
    <x v="3"/>
    <d v="2022-11-03T00:00:00"/>
    <s v="9966.19"/>
    <s v="Zaakceptowana"/>
    <s v="Faktura VAT"/>
    <s v="Apteka Szpitalna"/>
    <s v="UM-HUR-03"/>
    <b v="0"/>
    <n v="9966.19"/>
    <s v="OK"/>
    <x v="0"/>
    <x v="0"/>
    <s v="2022-11"/>
    <n v="1"/>
  </r>
  <r>
    <s v="FV/CENFA/794442/22"/>
    <s v="PZ/800817"/>
    <x v="4"/>
    <d v="2022-11-03T00:00:00"/>
    <s v="20199.35"/>
    <s v="Zaakceptowana"/>
    <s v="Faktura VAT"/>
    <s v="Apteka Szpitalna"/>
    <s v="UM-CEN-02"/>
    <b v="0"/>
    <n v="20199.349999999999"/>
    <s v="OK"/>
    <x v="0"/>
    <x v="0"/>
    <s v="2022-11"/>
    <n v="1"/>
  </r>
  <r>
    <s v="FV/24/PP/8699/22"/>
    <s v="PZ/800818"/>
    <x v="6"/>
    <d v="2022-11-03T00:00:00"/>
    <s v="10545.4"/>
    <s v="Zaakceptowana"/>
    <s v="Faktura VAT"/>
    <s v="Apteka Szpitalna"/>
    <s v=""/>
    <b v="0"/>
    <n v="10545.4"/>
    <s v="OK"/>
    <x v="1"/>
    <x v="0"/>
    <s v="2022-11"/>
    <n v="1"/>
  </r>
  <r>
    <s v="FV/39/SAL/22"/>
    <s v="PZ/800819"/>
    <x v="1"/>
    <d v="2022-11-03T00:00:00"/>
    <s v="12733.55"/>
    <s v="Zaakceptowana"/>
    <s v="Faktura VAT"/>
    <s v="Apteka Szpitalna"/>
    <s v="UM-SAL-02"/>
    <b v="0"/>
    <n v="12733.55"/>
    <s v="OK"/>
    <x v="0"/>
    <x v="0"/>
    <s v="2022-11"/>
    <n v="1"/>
  </r>
  <r>
    <s v="FV/POL/70099/2022"/>
    <s v="PZ/800820"/>
    <x v="0"/>
    <d v="2022-11-04T00:00:00"/>
    <s v="11635.37"/>
    <s v="Zaakceptowana"/>
    <s v="Faktura VAT"/>
    <s v="Apteka Szpitalna"/>
    <s v="UM-POL-01"/>
    <b v="0"/>
    <n v="11635.37"/>
    <s v="OK"/>
    <x v="0"/>
    <x v="0"/>
    <s v="2022-11"/>
    <n v="1"/>
  </r>
  <r>
    <s v="FV/6468/NOVA/22"/>
    <s v="PZ/800821"/>
    <x v="2"/>
    <d v="2022-11-04T00:00:00"/>
    <s v="11585.41"/>
    <s v="Zaakceptowana"/>
    <s v="Faktura VAT"/>
    <s v="Apteka Szpitalna"/>
    <s v="UM-NOV-03"/>
    <b v="0"/>
    <n v="11585.41"/>
    <s v="OK"/>
    <x v="0"/>
    <x v="0"/>
    <s v="2022-11"/>
    <n v="1"/>
  </r>
  <r>
    <s v="FV/6968/NOVA/22"/>
    <s v="PZ/800822"/>
    <x v="2"/>
    <d v="2022-11-04T00:00:00"/>
    <s v="3397.5"/>
    <s v="Zaakceptowana"/>
    <s v="Faktura VAT"/>
    <s v="Apteka Szpitalna"/>
    <s v="UM-NOV-03"/>
    <b v="0"/>
    <n v="3397.5"/>
    <s v="OK"/>
    <x v="0"/>
    <x v="0"/>
    <s v="2022-11"/>
    <n v="1"/>
  </r>
  <r>
    <s v="FV/43/SAL/22"/>
    <s v="PZ/800823"/>
    <x v="1"/>
    <d v="2022-11-04T00:00:00"/>
    <s v="1547.93"/>
    <s v="Zaakceptowana"/>
    <s v="Faktura VAT"/>
    <s v="Apteka Szpitalna"/>
    <s v=""/>
    <b v="0"/>
    <n v="1547.93"/>
    <s v="OK"/>
    <x v="1"/>
    <x v="0"/>
    <s v="2022-11"/>
    <n v="1"/>
  </r>
  <r>
    <s v="FV/M/6316/P/22"/>
    <s v="PZ/800824"/>
    <x v="5"/>
    <d v="2022-11-05T00:00:00"/>
    <s v="15730.6"/>
    <s v="Zaakceptowana"/>
    <s v="Faktura VAT"/>
    <s v="Apteka Szpitalna"/>
    <s v="UM-MED-01"/>
    <b v="0"/>
    <n v="15730.6"/>
    <s v="OK"/>
    <x v="0"/>
    <x v="0"/>
    <s v="2022-11"/>
    <n v="1"/>
  </r>
  <r>
    <s v="FV/3851/NOVA/22"/>
    <s v="PZ/800825"/>
    <x v="2"/>
    <d v="2022-11-05T00:00:00"/>
    <s v="21347.14"/>
    <s v="Zaakceptowana"/>
    <s v="Faktura VAT"/>
    <s v="Apteka Szpitalna"/>
    <s v="UM-NOV-02"/>
    <b v="0"/>
    <n v="21347.14"/>
    <s v="OK"/>
    <x v="0"/>
    <x v="0"/>
    <s v="2022-11"/>
    <n v="1"/>
  </r>
  <r>
    <s v="FV/POL/36291/2022"/>
    <s v="PZ/800826"/>
    <x v="0"/>
    <d v="2022-11-06T00:00:00"/>
    <s v="14237.72"/>
    <s v="Zaakceptowana"/>
    <s v="Faktura VAT"/>
    <s v="Apteka Szpitalna"/>
    <s v="UM-POL-03"/>
    <b v="0"/>
    <n v="14237.72"/>
    <s v="OK"/>
    <x v="0"/>
    <x v="0"/>
    <s v="2022-11"/>
    <n v="1"/>
  </r>
  <r>
    <s v="FV/65180/VDb/2022"/>
    <s v="PZ/800827"/>
    <x v="7"/>
    <d v="2022-11-06T00:00:00"/>
    <s v="8454.44"/>
    <s v="Zaakceptowana"/>
    <s v="Faktura VAT"/>
    <s v="Apteka Szpitalna"/>
    <s v="UM-VIT-01"/>
    <b v="0"/>
    <n v="8454.44"/>
    <s v="OK"/>
    <x v="0"/>
    <x v="0"/>
    <s v="2022-11"/>
    <n v="1"/>
  </r>
  <r>
    <s v="FV/CENFA/912258/22"/>
    <s v="PZ/800828"/>
    <x v="4"/>
    <d v="2022-11-06T00:00:00"/>
    <s v="15419.68"/>
    <s v="Zaakceptowana"/>
    <s v="Faktura VAT"/>
    <s v="Apteka Szpitalna"/>
    <s v="UM-CEN-02"/>
    <b v="0"/>
    <n v="15419.68"/>
    <s v="OK"/>
    <x v="0"/>
    <x v="0"/>
    <s v="2022-11"/>
    <n v="1"/>
  </r>
  <r>
    <s v="FV/4440HM/22"/>
    <s v="PZ/800829"/>
    <x v="3"/>
    <d v="2022-11-06T00:00:00"/>
    <s v="18285.25"/>
    <s v="Zaakceptowana"/>
    <s v="Faktura VAT"/>
    <s v="Apteka Szpitalna"/>
    <s v="UM-HUR-03"/>
    <b v="0"/>
    <n v="18285.25"/>
    <s v="OK"/>
    <x v="0"/>
    <x v="0"/>
    <s v="2022-11"/>
    <n v="1"/>
  </r>
  <r>
    <s v="FV/POL/60951/2022"/>
    <s v="PZ/800830"/>
    <x v="0"/>
    <d v="2022-11-06T00:00:00"/>
    <s v="15554.04"/>
    <s v="Zaakceptowana"/>
    <s v="Faktura VAT"/>
    <s v="Apteka Szpitalna"/>
    <s v="UM-POL-03"/>
    <b v="0"/>
    <n v="15554.04"/>
    <s v="OK"/>
    <x v="0"/>
    <x v="0"/>
    <s v="2022-11"/>
    <n v="1"/>
  </r>
  <r>
    <s v="FV/POL/46611/2022"/>
    <s v="PZ/800831"/>
    <x v="0"/>
    <d v="2022-11-06T00:00:00"/>
    <s v="4639.2"/>
    <s v="Zaakceptowana"/>
    <s v="Faktura VAT"/>
    <s v="Apteka Szpitalna"/>
    <s v="UM-POL-02"/>
    <b v="0"/>
    <n v="4639.2"/>
    <s v="OK"/>
    <x v="0"/>
    <x v="0"/>
    <s v="2022-11"/>
    <n v="1"/>
  </r>
  <r>
    <s v="FV/57/PP/3602/22"/>
    <s v="PZ/800832"/>
    <x v="6"/>
    <d v="2022-11-06T00:00:00"/>
    <s v="9038.66"/>
    <s v="Zaakceptowana"/>
    <s v="Faktura VAT"/>
    <s v="Apteka Szpitalna"/>
    <s v=""/>
    <b v="0"/>
    <n v="9038.66"/>
    <s v="OK"/>
    <x v="1"/>
    <x v="0"/>
    <s v="2022-11"/>
    <n v="1"/>
  </r>
  <r>
    <s v="FV/78711/VDb/2022"/>
    <s v="PZ/800833"/>
    <x v="7"/>
    <d v="2022-11-07T00:00:00"/>
    <s v="15757.17"/>
    <s v="Zaakceptowana"/>
    <s v="Faktura VAT"/>
    <s v="Apteka Szpitalna"/>
    <s v="UM-VIT-01"/>
    <b v="0"/>
    <n v="15757.17"/>
    <s v="OK"/>
    <x v="0"/>
    <x v="0"/>
    <s v="2022-11"/>
    <n v="1"/>
  </r>
  <r>
    <s v="FV/18303/VDb/2022"/>
    <s v="PZ/800834"/>
    <x v="7"/>
    <d v="2022-11-07T00:00:00"/>
    <s v="21612.32"/>
    <s v="Zaakceptowana"/>
    <s v="Faktura VAT"/>
    <s v="Apteka Szpitalna"/>
    <s v="UM-VIT-01"/>
    <b v="0"/>
    <n v="21612.32"/>
    <s v="OK"/>
    <x v="0"/>
    <x v="0"/>
    <s v="2022-11"/>
    <n v="1"/>
  </r>
  <r>
    <s v="FV/POL/73098/2022"/>
    <s v="PZ/800835"/>
    <x v="0"/>
    <d v="2022-11-07T00:00:00"/>
    <s v="22654.71"/>
    <s v="Zaakceptowana"/>
    <s v="Faktura VAT"/>
    <s v="Apteka Szpitalna"/>
    <s v=""/>
    <b v="0"/>
    <n v="22654.71"/>
    <s v="OK"/>
    <x v="1"/>
    <x v="0"/>
    <s v="2022-11"/>
    <n v="1"/>
  </r>
  <r>
    <s v="FV/10/SAL/22"/>
    <s v="PZ/800836"/>
    <x v="1"/>
    <d v="2022-11-07T00:00:00"/>
    <s v="10341.96"/>
    <s v="Zaakceptowana"/>
    <s v="Faktura VAT"/>
    <s v="Apteka Szpitalna"/>
    <s v="UM-SAL-02"/>
    <b v="0"/>
    <n v="10341.959999999999"/>
    <s v="OK"/>
    <x v="0"/>
    <x v="0"/>
    <s v="2022-11"/>
    <n v="1"/>
  </r>
  <r>
    <s v="FV/44/PP/3839/22"/>
    <s v="PZ/800837"/>
    <x v="6"/>
    <d v="2022-11-07T00:00:00"/>
    <s v="11287.54"/>
    <s v="Zaakceptowana"/>
    <s v="Faktura VAT"/>
    <s v="Apteka Szpitalna"/>
    <s v="UM-PHA-01"/>
    <b v="0"/>
    <n v="11287.54"/>
    <s v="OK"/>
    <x v="0"/>
    <x v="0"/>
    <s v="2022-11"/>
    <n v="1"/>
  </r>
  <r>
    <s v="FV/37/SAL/22"/>
    <s v="PZ/800838"/>
    <x v="1"/>
    <d v="2022-11-09T00:00:00"/>
    <s v="20595.76"/>
    <s v="Zaakceptowana"/>
    <s v="Faktura VAT"/>
    <s v="Apteka Szpitalna"/>
    <s v="UM-SAL-02"/>
    <b v="0"/>
    <n v="20595.759999999998"/>
    <s v="OK"/>
    <x v="0"/>
    <x v="0"/>
    <s v="2022-11"/>
    <n v="1"/>
  </r>
  <r>
    <s v="FV/POL/23356/2022"/>
    <s v="PZ/800839"/>
    <x v="0"/>
    <d v="2022-11-09T00:00:00"/>
    <s v="7310.94"/>
    <s v="Zaakceptowana"/>
    <s v="Faktura VAT"/>
    <s v="Apteka Szpitalna"/>
    <s v="UM-POL-01"/>
    <b v="0"/>
    <n v="7310.94"/>
    <s v="OK"/>
    <x v="0"/>
    <x v="0"/>
    <s v="2022-11"/>
    <n v="1"/>
  </r>
  <r>
    <s v="FV/CENFA/287722/22"/>
    <s v="PZ/800840"/>
    <x v="4"/>
    <d v="2022-11-09T00:00:00"/>
    <s v="14931.92"/>
    <s v="Zaakceptowana"/>
    <s v="Faktura VAT"/>
    <s v="Apteka Szpitalna"/>
    <s v="UM-CEN-02"/>
    <b v="0"/>
    <n v="14931.92"/>
    <s v="OK"/>
    <x v="0"/>
    <x v="0"/>
    <s v="2022-11"/>
    <n v="1"/>
  </r>
  <r>
    <s v="FV/17/PP/7814/22"/>
    <s v="PZ/800841"/>
    <x v="6"/>
    <d v="2022-11-09T00:00:00"/>
    <s v="12141.51"/>
    <s v="Zaakceptowana"/>
    <s v="Faktura VAT"/>
    <s v="Apteka Szpitalna"/>
    <s v="UM-PHA-01"/>
    <b v="0"/>
    <n v="12141.51"/>
    <s v="OK"/>
    <x v="0"/>
    <x v="0"/>
    <s v="2022-11"/>
    <n v="1"/>
  </r>
  <r>
    <s v="FV/8903HM/22"/>
    <s v="PZ/800842"/>
    <x v="3"/>
    <d v="2022-11-10T00:00:00"/>
    <s v="19167.48"/>
    <s v="Zaakceptowana"/>
    <s v="Faktura VAT"/>
    <s v="Apteka Szpitalna"/>
    <s v="UM-HUR-03"/>
    <b v="0"/>
    <n v="19167.48"/>
    <s v="OK"/>
    <x v="0"/>
    <x v="0"/>
    <s v="2022-11"/>
    <n v="1"/>
  </r>
  <r>
    <s v="FV/4479HM/22"/>
    <s v="PZ/800843"/>
    <x v="3"/>
    <d v="2022-11-10T00:00:00"/>
    <s v="5505.71"/>
    <s v="Zaakceptowana"/>
    <s v="Faktura VAT"/>
    <s v="Apteka Szpitalna"/>
    <s v=""/>
    <b v="0"/>
    <n v="5505.71"/>
    <s v="OK"/>
    <x v="1"/>
    <x v="0"/>
    <s v="2022-11"/>
    <n v="1"/>
  </r>
  <r>
    <s v="FV/M/8011/P/22"/>
    <s v="PZ/800844"/>
    <x v="5"/>
    <d v="2022-11-10T00:00:00"/>
    <s v="9542.98"/>
    <s v="Zaakceptowana"/>
    <s v="Faktura VAT"/>
    <s v="Apteka Szpitalna"/>
    <s v="UM-MED-02"/>
    <b v="0"/>
    <n v="9542.98"/>
    <s v="OK"/>
    <x v="0"/>
    <x v="0"/>
    <s v="2022-11"/>
    <n v="1"/>
  </r>
  <r>
    <s v="FV/97164/VDb/2022"/>
    <s v="PZ/800845"/>
    <x v="7"/>
    <d v="2022-11-10T00:00:00"/>
    <s v="13377.01"/>
    <s v="Zaakceptowana"/>
    <s v="Faktura VAT"/>
    <s v="Apteka Szpitalna"/>
    <s v="UM-VIT-01"/>
    <b v="0"/>
    <n v="13377.01"/>
    <s v="OK"/>
    <x v="0"/>
    <x v="0"/>
    <s v="2022-11"/>
    <n v="1"/>
  </r>
  <r>
    <s v="FV/80/SAL/22"/>
    <s v="PZ/800846"/>
    <x v="1"/>
    <d v="2022-11-10T00:00:00"/>
    <s v="12588.78"/>
    <s v="Zaakceptowana"/>
    <s v="Faktura VAT"/>
    <s v="Apteka Szpitalna"/>
    <s v="UM-SAL-02"/>
    <b v="0"/>
    <n v="12588.78"/>
    <s v="OK"/>
    <x v="0"/>
    <x v="0"/>
    <s v="2022-11"/>
    <n v="1"/>
  </r>
  <r>
    <s v="FV/POL/71203/2022"/>
    <s v="PZ/800847"/>
    <x v="0"/>
    <d v="2022-11-11T00:00:00"/>
    <s v="19979.18"/>
    <s v="Zaakceptowana"/>
    <s v="Faktura VAT"/>
    <s v="Apteka Szpitalna"/>
    <s v="UM-POL-01"/>
    <b v="0"/>
    <n v="19979.18"/>
    <s v="OK"/>
    <x v="0"/>
    <x v="0"/>
    <s v="2022-11"/>
    <n v="1"/>
  </r>
  <r>
    <s v="FV/90320/VDb/2022"/>
    <s v="PZ/800848"/>
    <x v="7"/>
    <d v="2022-11-11T00:00:00"/>
    <s v="19261.04"/>
    <s v="Zaakceptowana"/>
    <s v="Faktura VAT"/>
    <s v="Apteka Szpitalna"/>
    <s v="UM-VIT-01"/>
    <b v="0"/>
    <n v="19261.04"/>
    <s v="OK"/>
    <x v="0"/>
    <x v="0"/>
    <s v="2022-11"/>
    <n v="1"/>
  </r>
  <r>
    <s v="FV/26858/VDb/2022"/>
    <s v="PZ/800849"/>
    <x v="7"/>
    <d v="2022-11-11T00:00:00"/>
    <s v="9908.98"/>
    <s v="Zaakceptowana"/>
    <s v="Faktura VAT"/>
    <s v="Apteka Szpitalna"/>
    <s v="UM-VIT-01"/>
    <b v="0"/>
    <n v="9908.98"/>
    <s v="OK"/>
    <x v="0"/>
    <x v="0"/>
    <s v="2022-11"/>
    <n v="1"/>
  </r>
  <r>
    <s v="FV/61/SAL/22"/>
    <s v="PZ/800850"/>
    <x v="1"/>
    <d v="2022-11-12T00:00:00"/>
    <s v="19383.77"/>
    <s v="Zaakceptowana"/>
    <s v="Faktura VAT"/>
    <s v="Apteka Szpitalna"/>
    <s v="UM-SAL-01"/>
    <b v="0"/>
    <n v="19383.77"/>
    <s v="OK"/>
    <x v="0"/>
    <x v="0"/>
    <s v="2022-11"/>
    <n v="1"/>
  </r>
  <r>
    <s v="FV/89849/VDb/2022"/>
    <s v="PZ/800851"/>
    <x v="7"/>
    <d v="2022-11-12T00:00:00"/>
    <s v="7985.98"/>
    <s v="Zaakceptowana"/>
    <s v="Faktura VAT"/>
    <s v="Apteka Szpitalna"/>
    <s v="UM-VIT-01"/>
    <b v="0"/>
    <n v="7985.98"/>
    <s v="OK"/>
    <x v="0"/>
    <x v="0"/>
    <s v="2022-11"/>
    <n v="1"/>
  </r>
  <r>
    <s v="FV/POL/28255/2022"/>
    <s v="PZ/800852"/>
    <x v="0"/>
    <d v="2022-11-12T00:00:00"/>
    <s v="23186.63"/>
    <s v="Zaakceptowana"/>
    <s v="Faktura VAT"/>
    <s v="Apteka Szpitalna"/>
    <s v="UM-POL-02"/>
    <b v="0"/>
    <n v="23186.63"/>
    <s v="OK"/>
    <x v="0"/>
    <x v="0"/>
    <s v="2022-11"/>
    <n v="1"/>
  </r>
  <r>
    <s v="FV/2168/NOVA/22"/>
    <s v="PZ/800853"/>
    <x v="2"/>
    <d v="2022-11-12T00:00:00"/>
    <s v="18396.15"/>
    <s v="Zaakceptowana"/>
    <s v="Faktura VAT"/>
    <s v="Apteka Szpitalna"/>
    <s v="UM-NOV-03"/>
    <b v="0"/>
    <n v="18396.150000000001"/>
    <s v="OK"/>
    <x v="0"/>
    <x v="0"/>
    <s v="2022-11"/>
    <n v="1"/>
  </r>
  <r>
    <s v="FV/CENFA/265187/22"/>
    <s v="PZ/800854"/>
    <x v="4"/>
    <d v="2022-11-12T00:00:00"/>
    <s v="6462.33"/>
    <s v="Zaakceptowana"/>
    <s v="Faktura VAT"/>
    <s v="Apteka Szpitalna"/>
    <s v="UM-CEN-01"/>
    <b v="0"/>
    <n v="6462.33"/>
    <s v="OK"/>
    <x v="0"/>
    <x v="0"/>
    <s v="2022-11"/>
    <n v="1"/>
  </r>
  <r>
    <s v="FV/84779/VDb/2022"/>
    <s v="PZ/800855"/>
    <x v="7"/>
    <d v="2022-11-12T00:00:00"/>
    <s v="20745.77"/>
    <s v="Zaakceptowana"/>
    <s v="Faktura VAT"/>
    <s v="Apteka Szpitalna"/>
    <s v=""/>
    <b v="0"/>
    <n v="20745.77"/>
    <s v="OK"/>
    <x v="1"/>
    <x v="0"/>
    <s v="2022-11"/>
    <n v="1"/>
  </r>
  <r>
    <s v="FV/7007/NOVA/22"/>
    <s v="PZ/800856"/>
    <x v="2"/>
    <d v="2022-11-13T00:00:00"/>
    <s v="3585.74"/>
    <s v="Zaakceptowana"/>
    <s v="Faktura VAT"/>
    <s v="Apteka Szpitalna"/>
    <s v="UM-NOV-02"/>
    <b v="0"/>
    <n v="3585.74"/>
    <s v="OK"/>
    <x v="0"/>
    <x v="0"/>
    <s v="2022-11"/>
    <n v="1"/>
  </r>
  <r>
    <s v="FV/CENFA/387792/22"/>
    <s v="PZ/800857"/>
    <x v="4"/>
    <d v="2022-11-14T00:00:00"/>
    <s v="18144.84"/>
    <s v="Zaakceptowana"/>
    <s v="Faktura VAT"/>
    <s v="Apteka Szpitalna"/>
    <s v="UM-CEN-01"/>
    <b v="0"/>
    <n v="18144.84"/>
    <s v="OK"/>
    <x v="0"/>
    <x v="0"/>
    <s v="2022-11"/>
    <n v="1"/>
  </r>
  <r>
    <s v="FV/44/PP/8738/22"/>
    <s v="PZ/800858"/>
    <x v="6"/>
    <d v="2022-11-15T00:00:00"/>
    <s v="9768.75"/>
    <s v="Zaakceptowana"/>
    <s v="Faktura VAT"/>
    <s v="Apteka Szpitalna"/>
    <s v="UM-PHA-01"/>
    <b v="0"/>
    <n v="9768.75"/>
    <s v="OK"/>
    <x v="0"/>
    <x v="0"/>
    <s v="2022-11"/>
    <n v="1"/>
  </r>
  <r>
    <s v="FV/31/PP/3205/22"/>
    <s v="PZ/800859"/>
    <x v="6"/>
    <d v="2022-11-16T00:00:00"/>
    <s v="17202.48"/>
    <s v="Zaakceptowana"/>
    <s v="Faktura VAT"/>
    <s v="Apteka Szpitalna"/>
    <s v="UM-PHA-01"/>
    <b v="0"/>
    <n v="17202.48"/>
    <s v="OK"/>
    <x v="0"/>
    <x v="0"/>
    <s v="2022-11"/>
    <n v="1"/>
  </r>
  <r>
    <s v="FV/M/9991/P/22"/>
    <s v="PZ/800860"/>
    <x v="5"/>
    <d v="2022-11-16T00:00:00"/>
    <s v="13130.67"/>
    <s v="Zaakceptowana"/>
    <s v="Faktura VAT"/>
    <s v="Apteka Szpitalna"/>
    <s v="UM-MED-02"/>
    <b v="0"/>
    <n v="13130.67"/>
    <s v="OK"/>
    <x v="0"/>
    <x v="0"/>
    <s v="2022-11"/>
    <n v="1"/>
  </r>
  <r>
    <s v="FV/CENFA/430514/22"/>
    <s v="PZ/800861"/>
    <x v="4"/>
    <d v="2022-11-16T00:00:00"/>
    <s v="12005.72"/>
    <s v="Zaakceptowana"/>
    <s v="Faktura VAT"/>
    <s v="Apteka Szpitalna"/>
    <s v="UM-CEN-01"/>
    <b v="0"/>
    <n v="12005.72"/>
    <s v="OK"/>
    <x v="0"/>
    <x v="0"/>
    <s v="2022-11"/>
    <n v="1"/>
  </r>
  <r>
    <s v="FV/M/6740/P/22"/>
    <s v="PZ/800862"/>
    <x v="5"/>
    <d v="2022-11-16T00:00:00"/>
    <s v="15945.12"/>
    <s v="Zaakceptowana"/>
    <s v="Faktura VAT"/>
    <s v="Apteka Szpitalna"/>
    <s v="UM-MED-02"/>
    <b v="0"/>
    <n v="15945.12"/>
    <s v="OK"/>
    <x v="0"/>
    <x v="0"/>
    <s v="2022-11"/>
    <n v="1"/>
  </r>
  <r>
    <s v="FV/9967HM/22"/>
    <s v="PZ/800863"/>
    <x v="3"/>
    <d v="2022-11-16T00:00:00"/>
    <s v="14770.61"/>
    <s v="Zaakceptowana"/>
    <s v="Faktura VAT"/>
    <s v="Apteka Szpitalna"/>
    <s v="UM-HUR-01"/>
    <b v="0"/>
    <n v="14770.61"/>
    <s v="OK"/>
    <x v="0"/>
    <x v="0"/>
    <s v="2022-11"/>
    <n v="1"/>
  </r>
  <r>
    <s v="FV/4741/NOVA/22"/>
    <s v="PZ/800864"/>
    <x v="2"/>
    <d v="2022-11-16T00:00:00"/>
    <s v="7067.19"/>
    <s v="Zaakceptowana"/>
    <s v="Faktura VAT"/>
    <s v="Apteka Szpitalna"/>
    <s v="UM-NOV-02"/>
    <b v="0"/>
    <n v="7067.19"/>
    <s v="OK"/>
    <x v="0"/>
    <x v="0"/>
    <s v="2022-11"/>
    <n v="1"/>
  </r>
  <r>
    <s v="FV/M/9152/P/22"/>
    <s v="PZ/800865"/>
    <x v="5"/>
    <d v="2022-11-17T00:00:00"/>
    <s v="14281.41"/>
    <s v="Zaakceptowana"/>
    <s v="Faktura VAT"/>
    <s v="Apteka Szpitalna"/>
    <s v=""/>
    <b v="0"/>
    <n v="14281.41"/>
    <s v="OK"/>
    <x v="1"/>
    <x v="0"/>
    <s v="2022-11"/>
    <n v="1"/>
  </r>
  <r>
    <s v="FV/CENFA/818256/22"/>
    <s v="PZ/800866"/>
    <x v="4"/>
    <d v="2022-11-18T00:00:00"/>
    <s v="7108.54"/>
    <s v="Zaakceptowana"/>
    <s v="Faktura VAT"/>
    <s v="Apteka Szpitalna"/>
    <s v="UM-CEN-01"/>
    <b v="0"/>
    <n v="7108.54"/>
    <s v="OK"/>
    <x v="0"/>
    <x v="0"/>
    <s v="2022-11"/>
    <n v="1"/>
  </r>
  <r>
    <s v="FV/POL/22154/2022"/>
    <s v="PZ/800867"/>
    <x v="0"/>
    <d v="2022-11-18T00:00:00"/>
    <s v="10860.26"/>
    <s v="Zaakceptowana"/>
    <s v="Faktura VAT"/>
    <s v="Apteka Szpitalna"/>
    <s v="UM-POL-03"/>
    <b v="0"/>
    <n v="10860.26"/>
    <s v="OK"/>
    <x v="0"/>
    <x v="0"/>
    <s v="2022-11"/>
    <n v="1"/>
  </r>
  <r>
    <s v="FV/CENFA/991651/22"/>
    <s v="PZ/800868"/>
    <x v="4"/>
    <d v="2022-11-18T00:00:00"/>
    <s v="5445.4"/>
    <s v="Zaakceptowana"/>
    <s v="Faktura VAT"/>
    <s v="Apteka Szpitalna"/>
    <s v="UM-CEN-01"/>
    <b v="0"/>
    <n v="5445.4"/>
    <s v="OK"/>
    <x v="0"/>
    <x v="0"/>
    <s v="2022-11"/>
    <n v="1"/>
  </r>
  <r>
    <s v="FV/22/PP/9327/22"/>
    <s v="PZ/800869"/>
    <x v="6"/>
    <d v="2022-11-18T00:00:00"/>
    <s v="19351.31"/>
    <s v="Zaakceptowana"/>
    <s v="Faktura VAT"/>
    <s v="Apteka Szpitalna"/>
    <s v="UM-PHA-01"/>
    <b v="0"/>
    <n v="19351.310000000001"/>
    <s v="OK"/>
    <x v="0"/>
    <x v="0"/>
    <s v="2022-11"/>
    <n v="1"/>
  </r>
  <r>
    <s v="FV/73976/VDb/2022"/>
    <s v="PZ/800870"/>
    <x v="7"/>
    <d v="2022-11-19T00:00:00"/>
    <s v="24758.05"/>
    <s v="Zaakceptowana"/>
    <s v="Faktura VAT"/>
    <s v="Apteka Szpitalna"/>
    <s v=""/>
    <b v="0"/>
    <n v="24758.05"/>
    <s v="OK"/>
    <x v="1"/>
    <x v="0"/>
    <s v="2022-11"/>
    <n v="1"/>
  </r>
  <r>
    <s v="FV/5176HM/22"/>
    <s v="PZ/800871"/>
    <x v="3"/>
    <d v="2022-11-19T00:00:00"/>
    <s v="7996.15"/>
    <s v="Zaakceptowana"/>
    <s v="Faktura VAT"/>
    <s v="Apteka Szpitalna"/>
    <s v="UM-HUR-02"/>
    <b v="0"/>
    <n v="7996.15"/>
    <s v="OK"/>
    <x v="0"/>
    <x v="0"/>
    <s v="2022-11"/>
    <n v="1"/>
  </r>
  <r>
    <s v="FV/CENFA/830723/22"/>
    <s v="PZ/800872"/>
    <x v="4"/>
    <d v="2022-11-19T00:00:00"/>
    <s v="19892.4"/>
    <s v="Zaakceptowana"/>
    <s v="Faktura VAT"/>
    <s v="Apteka Szpitalna"/>
    <s v="UM-CEN-01"/>
    <b v="0"/>
    <n v="19892.400000000001"/>
    <s v="OK"/>
    <x v="0"/>
    <x v="0"/>
    <s v="2022-11"/>
    <n v="1"/>
  </r>
  <r>
    <s v="FV/46/PP/5287/22"/>
    <s v="PZ/800873"/>
    <x v="6"/>
    <d v="2022-11-20T00:00:00"/>
    <s v="-2537.47"/>
    <s v="Zaakceptowana"/>
    <s v="Korekta FV"/>
    <s v="Apteka Szpitalna"/>
    <s v="UM-PHA-01"/>
    <b v="0"/>
    <n v="-2537.4699999999998"/>
    <s v="OK"/>
    <x v="0"/>
    <x v="0"/>
    <s v="2022-11"/>
    <n v="1"/>
  </r>
  <r>
    <s v="FV/POL/41035/2022"/>
    <s v="PZ/800874"/>
    <x v="0"/>
    <d v="2022-11-20T00:00:00"/>
    <s v="15098.65"/>
    <s v="Zaakceptowana"/>
    <s v="Faktura VAT"/>
    <s v="Apteka Szpitalna"/>
    <s v="UM-POL-03"/>
    <b v="0"/>
    <n v="15098.65"/>
    <s v="OK"/>
    <x v="0"/>
    <x v="0"/>
    <s v="2022-11"/>
    <n v="1"/>
  </r>
  <r>
    <s v="FV/9261/NOVA/22"/>
    <s v="PZ/800875"/>
    <x v="2"/>
    <d v="2022-11-20T00:00:00"/>
    <s v="17440.01"/>
    <s v="Zaakceptowana"/>
    <s v="Faktura VAT"/>
    <s v="Apteka Szpitalna"/>
    <s v=""/>
    <b v="0"/>
    <n v="17440.009999999998"/>
    <s v="OK"/>
    <x v="1"/>
    <x v="0"/>
    <s v="2022-11"/>
    <n v="1"/>
  </r>
  <r>
    <s v="FV/53510/VDb/2022"/>
    <s v="PZ/800876"/>
    <x v="7"/>
    <d v="2022-11-20T00:00:00"/>
    <s v="18975.5"/>
    <s v="Zaakceptowana"/>
    <s v="Faktura VAT"/>
    <s v="Apteka Szpitalna"/>
    <s v="UM-VIT-01"/>
    <b v="0"/>
    <n v="18975.5"/>
    <s v="OK"/>
    <x v="0"/>
    <x v="0"/>
    <s v="2022-11"/>
    <n v="1"/>
  </r>
  <r>
    <s v="FV/54715/VDb/2022"/>
    <s v="PZ/800877"/>
    <x v="7"/>
    <d v="2022-11-21T00:00:00"/>
    <s v="16777.3"/>
    <s v="Zaakceptowana"/>
    <s v="Faktura VAT"/>
    <s v="Apteka Szpitalna"/>
    <s v=""/>
    <b v="0"/>
    <n v="16777.3"/>
    <s v="OK"/>
    <x v="1"/>
    <x v="0"/>
    <s v="2022-11"/>
    <n v="1"/>
  </r>
  <r>
    <s v="FV/5281/NOVA/22"/>
    <s v="PZ/800878"/>
    <x v="2"/>
    <d v="2022-11-22T00:00:00"/>
    <s v="16128.82"/>
    <s v="Zaakceptowana"/>
    <s v="Faktura VAT"/>
    <s v="Apteka Szpitalna"/>
    <s v="UM-NOV-03"/>
    <b v="0"/>
    <n v="16128.82"/>
    <s v="OK"/>
    <x v="0"/>
    <x v="0"/>
    <s v="2022-11"/>
    <n v="1"/>
  </r>
  <r>
    <s v="FV/M/1173/P/22"/>
    <s v="PZ/800879"/>
    <x v="5"/>
    <d v="2022-11-22T00:00:00"/>
    <s v="17758.53"/>
    <s v="Zaakceptowana"/>
    <s v="Faktura VAT"/>
    <s v="Apteka Szpitalna"/>
    <s v="UM-MED-02"/>
    <b v="0"/>
    <n v="17758.53"/>
    <s v="OK"/>
    <x v="0"/>
    <x v="0"/>
    <s v="2022-11"/>
    <n v="1"/>
  </r>
  <r>
    <s v="FV/84519/VDb/2022"/>
    <s v="PZ/800880"/>
    <x v="7"/>
    <d v="2022-11-22T00:00:00"/>
    <s v="7889.21"/>
    <s v="Zaakceptowana"/>
    <s v="Faktura VAT"/>
    <s v="Apteka Szpitalna"/>
    <s v="UM-VIT-01"/>
    <b v="0"/>
    <n v="7889.21"/>
    <s v="OK"/>
    <x v="0"/>
    <x v="0"/>
    <s v="2022-11"/>
    <n v="1"/>
  </r>
  <r>
    <s v="FV/CENFA/597040/22"/>
    <s v="PZ/800881"/>
    <x v="4"/>
    <d v="2022-11-23T00:00:00"/>
    <s v="16284.27"/>
    <s v="Zaakceptowana"/>
    <s v="Faktura VAT"/>
    <s v="Apteka Szpitalna"/>
    <s v="UM-CEN-01"/>
    <b v="0"/>
    <n v="16284.27"/>
    <s v="OK"/>
    <x v="0"/>
    <x v="0"/>
    <s v="2022-11"/>
    <n v="1"/>
  </r>
  <r>
    <s v="FV/7013HM/22"/>
    <s v="PZ/800882"/>
    <x v="3"/>
    <d v="2022-11-23T00:00:00"/>
    <s v="17522.75"/>
    <s v="Zaakceptowana"/>
    <s v="Faktura VAT"/>
    <s v="Apteka Szpitalna"/>
    <s v=""/>
    <b v="0"/>
    <n v="17522.75"/>
    <s v="OK"/>
    <x v="1"/>
    <x v="0"/>
    <s v="2022-11"/>
    <n v="1"/>
  </r>
  <r>
    <s v="FV/POL/90890/2022"/>
    <s v="PZ/800883"/>
    <x v="0"/>
    <d v="2022-11-24T00:00:00"/>
    <s v="22254.45"/>
    <s v="Zaakceptowana"/>
    <s v="Faktura VAT"/>
    <s v="Apteka Szpitalna"/>
    <s v="UM-POL-03"/>
    <b v="0"/>
    <n v="22254.45"/>
    <s v="OK"/>
    <x v="0"/>
    <x v="0"/>
    <s v="2022-11"/>
    <n v="1"/>
  </r>
  <r>
    <s v="FV/8625/NOVA/22"/>
    <s v="PZ/800884"/>
    <x v="2"/>
    <d v="2022-11-24T00:00:00"/>
    <s v="16102.16"/>
    <s v="Zaakceptowana"/>
    <s v="Faktura VAT"/>
    <s v="Apteka Szpitalna"/>
    <s v="UM-NOV-01"/>
    <b v="0"/>
    <n v="16102.16"/>
    <s v="OK"/>
    <x v="0"/>
    <x v="0"/>
    <s v="2022-11"/>
    <n v="1"/>
  </r>
  <r>
    <s v="FV/9214/NOVA/22"/>
    <s v="PZ/800885"/>
    <x v="2"/>
    <d v="2022-11-25T00:00:00"/>
    <s v="-312.29"/>
    <s v="Zaakceptowana"/>
    <s v="Korekta FV"/>
    <s v="Apteka Szpitalna"/>
    <s v="UM-NOV-01"/>
    <b v="0"/>
    <n v="-312.29000000000002"/>
    <s v="OK"/>
    <x v="0"/>
    <x v="0"/>
    <s v="2022-11"/>
    <n v="1"/>
  </r>
  <r>
    <s v="FV/POL/52884/2022"/>
    <s v="PZ/800886"/>
    <x v="0"/>
    <d v="2022-11-25T00:00:00"/>
    <s v="20858.24"/>
    <s v="Zaakceptowana"/>
    <s v="Faktura VAT"/>
    <s v="Apteka Szpitalna"/>
    <s v="UM-POL-03"/>
    <b v="0"/>
    <n v="20858.240000000002"/>
    <s v="OK"/>
    <x v="0"/>
    <x v="0"/>
    <s v="2022-11"/>
    <n v="1"/>
  </r>
  <r>
    <s v="FV/CENFA/983975/22"/>
    <s v="PZ/800887"/>
    <x v="4"/>
    <d v="2022-11-25T00:00:00"/>
    <s v="15078.9"/>
    <s v="Zaakceptowana"/>
    <s v="Faktura VAT"/>
    <s v="Apteka Szpitalna"/>
    <s v="UM-CEN-02"/>
    <b v="0"/>
    <n v="15078.9"/>
    <s v="OK"/>
    <x v="0"/>
    <x v="0"/>
    <s v="2022-11"/>
    <n v="1"/>
  </r>
  <r>
    <s v="FV/6799HM/22"/>
    <s v="PZ/800888"/>
    <x v="3"/>
    <d v="2022-11-25T00:00:00"/>
    <s v="13057.02"/>
    <s v="Zaakceptowana"/>
    <s v="Faktura VAT"/>
    <s v="Apteka Szpitalna"/>
    <s v="UM-HUR-02"/>
    <b v="0"/>
    <n v="13057.02"/>
    <s v="OK"/>
    <x v="0"/>
    <x v="0"/>
    <s v="2022-11"/>
    <n v="1"/>
  </r>
  <r>
    <s v="FV/7039/NOVA/22"/>
    <s v="PZ/800889"/>
    <x v="2"/>
    <d v="2022-11-26T00:00:00"/>
    <s v="11993.08"/>
    <s v="Zaakceptowana"/>
    <s v="Faktura VAT"/>
    <s v="Apteka Szpitalna"/>
    <s v=""/>
    <b v="0"/>
    <n v="11993.08"/>
    <s v="OK"/>
    <x v="1"/>
    <x v="0"/>
    <s v="2022-11"/>
    <n v="1"/>
  </r>
  <r>
    <s v="FV/37/PP/8127/22"/>
    <s v="PZ/800890"/>
    <x v="6"/>
    <d v="2022-11-27T00:00:00"/>
    <s v="10379.89"/>
    <s v="Zaakceptowana"/>
    <s v="Faktura VAT"/>
    <s v="Apteka Szpitalna"/>
    <s v="UM-PHA-01"/>
    <b v="0"/>
    <n v="10379.89"/>
    <s v="OK"/>
    <x v="0"/>
    <x v="0"/>
    <s v="2022-11"/>
    <n v="1"/>
  </r>
  <r>
    <s v="FV/M/1451/P/22"/>
    <s v="PZ/800891"/>
    <x v="5"/>
    <d v="2022-11-27T00:00:00"/>
    <s v="20708.17"/>
    <s v="Zaakceptowana"/>
    <s v="Faktura VAT"/>
    <s v="Apteka Szpitalna"/>
    <s v="UM-MED-02"/>
    <b v="0"/>
    <n v="20708.169999999998"/>
    <s v="OK"/>
    <x v="0"/>
    <x v="0"/>
    <s v="2022-11"/>
    <n v="1"/>
  </r>
  <r>
    <s v="FV/6412/NOVA/22"/>
    <s v="PZ/800892"/>
    <x v="2"/>
    <d v="2022-11-28T00:00:00"/>
    <s v="1248.32"/>
    <s v="Zaakceptowana"/>
    <s v="Faktura VAT"/>
    <s v="Apteka Szpitalna"/>
    <s v="UM-NOV-01"/>
    <b v="0"/>
    <n v="1248.32"/>
    <s v="OK"/>
    <x v="0"/>
    <x v="0"/>
    <s v="2022-11"/>
    <n v="1"/>
  </r>
  <r>
    <s v="FV/2989HM/22"/>
    <s v="PZ/800893"/>
    <x v="3"/>
    <d v="2022-11-28T00:00:00"/>
    <s v="19313.25"/>
    <s v="Zaakceptowana"/>
    <s v="Faktura VAT"/>
    <s v="Apteka Szpitalna"/>
    <s v=""/>
    <b v="0"/>
    <n v="19313.25"/>
    <s v="OK"/>
    <x v="1"/>
    <x v="0"/>
    <s v="2022-11"/>
    <n v="1"/>
  </r>
  <r>
    <s v="FV/3501/NOVA/22"/>
    <s v="PZ/800894"/>
    <x v="2"/>
    <d v="2022-11-29T00:00:00"/>
    <s v="22144.85"/>
    <s v="Zaakceptowana"/>
    <s v="Faktura VAT"/>
    <s v="Apteka Szpitalna"/>
    <s v="UM-NOV-03"/>
    <b v="0"/>
    <n v="22144.85"/>
    <s v="OK"/>
    <x v="0"/>
    <x v="0"/>
    <s v="2022-11"/>
    <n v="1"/>
  </r>
  <r>
    <s v="FV/7428HM/22"/>
    <s v="PZ/800895"/>
    <x v="3"/>
    <d v="2022-11-30T00:00:00"/>
    <s v="9933.42"/>
    <s v="Zaakceptowana"/>
    <s v="Faktura VAT"/>
    <s v="Apteka Szpitalna"/>
    <s v="UM-HUR-01"/>
    <b v="0"/>
    <n v="9933.42"/>
    <s v="OK"/>
    <x v="0"/>
    <x v="0"/>
    <s v="2022-11"/>
    <n v="1"/>
  </r>
  <r>
    <s v="FV/6299/NOVA/22"/>
    <s v="PZ/800896"/>
    <x v="2"/>
    <d v="2022-11-30T00:00:00"/>
    <s v="12995.77"/>
    <s v="Zaakceptowana"/>
    <s v="Faktura VAT"/>
    <s v="Apteka Szpitalna"/>
    <s v="UM-NOV-03"/>
    <b v="0"/>
    <n v="12995.77"/>
    <s v="OK"/>
    <x v="0"/>
    <x v="0"/>
    <s v="2022-11"/>
    <n v="1"/>
  </r>
  <r>
    <s v="FV/25/PP/1393/22"/>
    <s v="PZ/800897"/>
    <x v="6"/>
    <d v="2022-11-30T00:00:00"/>
    <s v="9136.42"/>
    <s v="Zaakceptowana"/>
    <s v="Faktura VAT"/>
    <s v="Apteka Szpitalna"/>
    <s v=""/>
    <b v="0"/>
    <n v="9136.42"/>
    <s v="OK"/>
    <x v="1"/>
    <x v="0"/>
    <s v="2022-11"/>
    <n v="1"/>
  </r>
  <r>
    <s v="FV/8837HM/22"/>
    <s v="PZ/800898"/>
    <x v="3"/>
    <d v="2022-12-01T00:00:00"/>
    <s v="18869.58"/>
    <s v="Zaakceptowana"/>
    <s v="Faktura VAT"/>
    <s v="Apteka Szpitalna"/>
    <s v=""/>
    <b v="0"/>
    <n v="18869.580000000002"/>
    <s v="OK"/>
    <x v="1"/>
    <x v="0"/>
    <s v="2022-12"/>
    <n v="1"/>
  </r>
  <r>
    <s v="FV/36/PP/8233/22"/>
    <s v="PZ/800899"/>
    <x v="6"/>
    <d v="2022-12-01T00:00:00"/>
    <s v="20739.57"/>
    <s v="Zaakceptowana"/>
    <s v="Faktura VAT"/>
    <s v="Apteka Szpitalna"/>
    <s v="UM-PHA-02"/>
    <b v="0"/>
    <n v="20739.57"/>
    <s v="OK"/>
    <x v="0"/>
    <x v="0"/>
    <s v="2022-12"/>
    <n v="1"/>
  </r>
  <r>
    <s v="FV/CENFA/891474/22"/>
    <s v="PZ/800900"/>
    <x v="4"/>
    <d v="2022-12-01T00:00:00"/>
    <s v="14871.94"/>
    <s v="Zaakceptowana"/>
    <s v="Faktura VAT"/>
    <s v="Apteka Szpitalna"/>
    <s v=""/>
    <b v="0"/>
    <n v="14871.94"/>
    <s v="OK"/>
    <x v="1"/>
    <x v="0"/>
    <s v="2022-12"/>
    <n v="1"/>
  </r>
  <r>
    <s v="FV/1306/NOVA/22"/>
    <s v="PZ/800901"/>
    <x v="2"/>
    <d v="2022-12-01T00:00:00"/>
    <s v="15933.08"/>
    <s v="Zaakceptowana"/>
    <s v="Faktura VAT"/>
    <s v="Apteka Szpitalna"/>
    <s v="UM-NOV-03"/>
    <b v="0"/>
    <n v="15933.08"/>
    <s v="OK"/>
    <x v="0"/>
    <x v="0"/>
    <s v="2022-12"/>
    <n v="1"/>
  </r>
  <r>
    <s v="FV/M/1284/P/22"/>
    <s v="PZ/800902"/>
    <x v="5"/>
    <d v="2022-12-02T00:00:00"/>
    <s v="-1000.71"/>
    <s v="Zaakceptowana"/>
    <s v="Korekta FV"/>
    <s v="Apteka Szpitalna"/>
    <s v="UM-MED-01"/>
    <b v="0"/>
    <n v="-1000.71"/>
    <s v="OK"/>
    <x v="0"/>
    <x v="0"/>
    <s v="2022-12"/>
    <n v="1"/>
  </r>
  <r>
    <s v="FV/4876HM/22"/>
    <s v="PZ/800903"/>
    <x v="3"/>
    <d v="2022-12-02T00:00:00"/>
    <s v="27397.27"/>
    <s v="Zaakceptowana"/>
    <s v="Faktura VAT"/>
    <s v="Apteka Szpitalna"/>
    <s v="UM-HUR-02"/>
    <b v="0"/>
    <n v="27397.27"/>
    <s v="OK"/>
    <x v="0"/>
    <x v="0"/>
    <s v="2022-12"/>
    <n v="1"/>
  </r>
  <r>
    <s v="FV/7185HM/22"/>
    <s v="PZ/800904"/>
    <x v="3"/>
    <d v="2022-12-02T00:00:00"/>
    <s v="19414.47"/>
    <s v="Zaakceptowana"/>
    <s v="Faktura VAT"/>
    <s v="Apteka Szpitalna"/>
    <s v="UM-HUR-03"/>
    <b v="0"/>
    <n v="19414.47"/>
    <s v="OK"/>
    <x v="0"/>
    <x v="0"/>
    <s v="2022-12"/>
    <n v="1"/>
  </r>
  <r>
    <s v="FV/21/SAL/22"/>
    <s v="PZ/800905"/>
    <x v="1"/>
    <d v="2022-12-03T00:00:00"/>
    <s v="11429.97"/>
    <s v="Zaakceptowana"/>
    <s v="Faktura VAT"/>
    <s v="Apteka Szpitalna"/>
    <s v="UM-SAL-01"/>
    <b v="0"/>
    <n v="11429.97"/>
    <s v="OK"/>
    <x v="0"/>
    <x v="0"/>
    <s v="2022-12"/>
    <n v="1"/>
  </r>
  <r>
    <s v="FV/CENFA/314914/22"/>
    <s v="PZ/800906"/>
    <x v="4"/>
    <d v="2022-12-03T00:00:00"/>
    <s v="20996.86"/>
    <s v="Zaakceptowana"/>
    <s v="Faktura VAT"/>
    <s v="Apteka Szpitalna"/>
    <s v="UM-CEN-02"/>
    <b v="0"/>
    <n v="20996.86"/>
    <s v="OK"/>
    <x v="0"/>
    <x v="0"/>
    <s v="2022-12"/>
    <n v="1"/>
  </r>
  <r>
    <s v="FV/90/SAL/22"/>
    <s v="PZ/800907"/>
    <x v="1"/>
    <d v="2022-12-04T00:00:00"/>
    <s v="23021.71"/>
    <s v="Zaakceptowana"/>
    <s v="Faktura VAT"/>
    <s v="Apteka Szpitalna"/>
    <s v="UM-SAL-02"/>
    <b v="0"/>
    <n v="23021.71"/>
    <s v="OK"/>
    <x v="0"/>
    <x v="0"/>
    <s v="2022-12"/>
    <n v="1"/>
  </r>
  <r>
    <s v="FV/CENFA/688668/22"/>
    <s v="PZ/800908"/>
    <x v="4"/>
    <d v="2022-12-04T00:00:00"/>
    <s v="6631.41"/>
    <s v="Zaakceptowana"/>
    <s v="Faktura VAT"/>
    <s v="Apteka Szpitalna"/>
    <s v="UM-CEN-01"/>
    <b v="0"/>
    <n v="6631.41"/>
    <s v="OK"/>
    <x v="0"/>
    <x v="0"/>
    <s v="2022-12"/>
    <n v="1"/>
  </r>
  <r>
    <s v="FV/CENFA/811257/22"/>
    <s v="PZ/800909"/>
    <x v="4"/>
    <d v="2022-12-04T00:00:00"/>
    <s v="17289.32"/>
    <s v="Zaakceptowana"/>
    <s v="Faktura VAT"/>
    <s v="Apteka Szpitalna"/>
    <s v="UM-CEN-02"/>
    <b v="0"/>
    <n v="17289.32"/>
    <s v="OK"/>
    <x v="0"/>
    <x v="0"/>
    <s v="2022-12"/>
    <n v="1"/>
  </r>
  <r>
    <s v="FV/CENFA/425089/22"/>
    <s v="PZ/800910"/>
    <x v="4"/>
    <d v="2022-12-04T00:00:00"/>
    <s v="12582.83"/>
    <s v="Zaakceptowana"/>
    <s v="Faktura VAT"/>
    <s v="Apteka Szpitalna"/>
    <s v=""/>
    <b v="0"/>
    <n v="12582.83"/>
    <s v="OK"/>
    <x v="1"/>
    <x v="0"/>
    <s v="2022-12"/>
    <n v="1"/>
  </r>
  <r>
    <s v="FV/6493HM/22"/>
    <s v="PZ/800911"/>
    <x v="3"/>
    <d v="2022-12-05T00:00:00"/>
    <s v="24453.8"/>
    <s v="Zaakceptowana"/>
    <s v="Faktura VAT"/>
    <s v="Apteka Szpitalna"/>
    <s v="UM-HUR-01"/>
    <b v="0"/>
    <n v="24453.8"/>
    <s v="OK"/>
    <x v="0"/>
    <x v="0"/>
    <s v="2022-12"/>
    <n v="1"/>
  </r>
  <r>
    <s v="FV/CENFA/486861/22"/>
    <s v="PZ/800912"/>
    <x v="4"/>
    <d v="2022-12-05T00:00:00"/>
    <s v="11898.14"/>
    <s v="Zaakceptowana"/>
    <s v="Faktura VAT"/>
    <s v="Apteka Szpitalna"/>
    <s v="UM-CEN-02"/>
    <b v="0"/>
    <n v="11898.14"/>
    <s v="OK"/>
    <x v="0"/>
    <x v="0"/>
    <s v="2022-12"/>
    <n v="1"/>
  </r>
  <r>
    <s v="FV/CENFA/712654/22"/>
    <s v="PZ/800913"/>
    <x v="4"/>
    <d v="2022-12-06T00:00:00"/>
    <s v="18498.29"/>
    <s v="Zaakceptowana"/>
    <s v="Faktura VAT"/>
    <s v="Apteka Szpitalna"/>
    <s v="UM-CEN-02"/>
    <b v="0"/>
    <n v="18498.29"/>
    <s v="OK"/>
    <x v="0"/>
    <x v="0"/>
    <s v="2022-12"/>
    <n v="1"/>
  </r>
  <r>
    <s v="FV/M/3709/P/22"/>
    <s v="PZ/800914"/>
    <x v="5"/>
    <d v="2022-12-06T00:00:00"/>
    <s v="21233.74"/>
    <s v="Zaakceptowana"/>
    <s v="Faktura VAT"/>
    <s v="Apteka Szpitalna"/>
    <s v="UM-MED-01"/>
    <b v="0"/>
    <n v="21233.74"/>
    <s v="OK"/>
    <x v="0"/>
    <x v="0"/>
    <s v="2022-12"/>
    <n v="1"/>
  </r>
  <r>
    <s v="FV/9070HM/22"/>
    <s v="PZ/800915"/>
    <x v="3"/>
    <d v="2022-12-06T00:00:00"/>
    <s v="16914.14"/>
    <s v="Zaakceptowana"/>
    <s v="Faktura VAT"/>
    <s v="Apteka Szpitalna"/>
    <s v="UM-HUR-01"/>
    <b v="0"/>
    <n v="16914.14"/>
    <s v="OK"/>
    <x v="0"/>
    <x v="0"/>
    <s v="2022-12"/>
    <n v="1"/>
  </r>
  <r>
    <s v="FV/89/PP/3357/22"/>
    <s v="PZ/800916"/>
    <x v="6"/>
    <d v="2022-12-07T00:00:00"/>
    <s v="6719.11"/>
    <s v="Zaakceptowana"/>
    <s v="Faktura VAT"/>
    <s v="Apteka Szpitalna"/>
    <s v="UM-PHA-01"/>
    <b v="0"/>
    <n v="6719.11"/>
    <s v="OK"/>
    <x v="0"/>
    <x v="0"/>
    <s v="2022-12"/>
    <n v="1"/>
  </r>
  <r>
    <s v="FV/CENFA/808311/22"/>
    <s v="PZ/800917"/>
    <x v="4"/>
    <d v="2022-12-07T00:00:00"/>
    <s v="4343.86"/>
    <s v="Zaakceptowana"/>
    <s v="Faktura VAT"/>
    <s v="Apteka Szpitalna"/>
    <s v="UM-CEN-02"/>
    <b v="0"/>
    <n v="4343.8599999999997"/>
    <s v="OK"/>
    <x v="0"/>
    <x v="0"/>
    <s v="2022-12"/>
    <n v="1"/>
  </r>
  <r>
    <s v="FV/6760/NOVA/22"/>
    <s v="PZ/800918"/>
    <x v="2"/>
    <d v="2022-12-07T00:00:00"/>
    <s v="16583.31"/>
    <s v="Zaakceptowana"/>
    <s v="Faktura VAT"/>
    <s v="Apteka Szpitalna"/>
    <s v="UM-NOV-02"/>
    <b v="0"/>
    <n v="16583.310000000001"/>
    <s v="OK"/>
    <x v="0"/>
    <x v="0"/>
    <s v="2022-12"/>
    <n v="1"/>
  </r>
  <r>
    <s v="FV/CENFA/268577/22"/>
    <s v="PZ/800919"/>
    <x v="4"/>
    <d v="2022-12-07T00:00:00"/>
    <s v="19000.86"/>
    <s v="Zaakceptowana"/>
    <s v="Faktura VAT"/>
    <s v="Apteka Szpitalna"/>
    <s v=""/>
    <b v="0"/>
    <n v="19000.86"/>
    <s v="OK"/>
    <x v="1"/>
    <x v="0"/>
    <s v="2022-12"/>
    <n v="1"/>
  </r>
  <r>
    <s v="FV/1700/NOVA/22"/>
    <s v="PZ/800920"/>
    <x v="2"/>
    <d v="2022-12-07T00:00:00"/>
    <s v="14777.15"/>
    <s v="Zaakceptowana"/>
    <s v="Faktura VAT"/>
    <s v="Apteka Szpitalna"/>
    <s v=""/>
    <b v="0"/>
    <n v="14777.15"/>
    <s v="OK"/>
    <x v="1"/>
    <x v="0"/>
    <s v="2022-12"/>
    <n v="1"/>
  </r>
  <r>
    <s v="FV/30762/VDb/2022"/>
    <s v="PZ/800921"/>
    <x v="7"/>
    <d v="2022-12-07T00:00:00"/>
    <s v="16092.47"/>
    <s v="Zaakceptowana"/>
    <s v="Faktura VAT"/>
    <s v="Apteka Szpitalna"/>
    <s v="UM-VIT-01"/>
    <b v="0"/>
    <n v="16092.47"/>
    <s v="OK"/>
    <x v="0"/>
    <x v="0"/>
    <s v="2022-12"/>
    <n v="1"/>
  </r>
  <r>
    <s v="FV/CENFA/692975/22"/>
    <s v="PZ/800922"/>
    <x v="4"/>
    <d v="2022-12-07T00:00:00"/>
    <s v="1298.62"/>
    <s v="Zaakceptowana"/>
    <s v="Faktura VAT"/>
    <s v="Apteka Szpitalna"/>
    <s v=""/>
    <b v="0"/>
    <n v="1298.6199999999999"/>
    <s v="OK"/>
    <x v="1"/>
    <x v="0"/>
    <s v="2022-12"/>
    <n v="1"/>
  </r>
  <r>
    <s v="FV/POL/57732/2022"/>
    <s v="PZ/800923"/>
    <x v="0"/>
    <d v="2022-12-07T00:00:00"/>
    <s v="9218.57"/>
    <s v="Zaakceptowana"/>
    <s v="Faktura VAT"/>
    <s v="Apteka Szpitalna"/>
    <s v="UM-POL-01"/>
    <b v="0"/>
    <n v="9218.57"/>
    <s v="OK"/>
    <x v="0"/>
    <x v="0"/>
    <s v="2022-12"/>
    <n v="1"/>
  </r>
  <r>
    <s v="FV/73/PP/5722/22"/>
    <s v="PZ/800924"/>
    <x v="6"/>
    <d v="2022-12-07T00:00:00"/>
    <s v="17635.32"/>
    <s v="Zaakceptowana"/>
    <s v="Faktura VAT"/>
    <s v="Apteka Szpitalna"/>
    <s v="UM-PHA-02"/>
    <b v="0"/>
    <n v="17635.32"/>
    <s v="OK"/>
    <x v="0"/>
    <x v="0"/>
    <s v="2022-12"/>
    <n v="1"/>
  </r>
  <r>
    <s v="FV/12/PP/2213/22"/>
    <s v="PZ/800925"/>
    <x v="6"/>
    <d v="2022-12-08T00:00:00"/>
    <s v="14253.86"/>
    <s v="Zaakceptowana"/>
    <s v="Faktura VAT"/>
    <s v="Apteka Szpitalna"/>
    <s v="UM-PHA-02"/>
    <b v="0"/>
    <n v="14253.86"/>
    <s v="OK"/>
    <x v="0"/>
    <x v="0"/>
    <s v="2022-12"/>
    <n v="1"/>
  </r>
  <r>
    <s v="FV/4030/NOVA/22"/>
    <s v="PZ/800926"/>
    <x v="2"/>
    <d v="2022-12-08T00:00:00"/>
    <s v="9262.11"/>
    <s v="Zaakceptowana"/>
    <s v="Faktura VAT"/>
    <s v="Apteka Szpitalna"/>
    <s v="UM-NOV-01"/>
    <b v="0"/>
    <n v="9262.11"/>
    <s v="OK"/>
    <x v="0"/>
    <x v="0"/>
    <s v="2022-12"/>
    <n v="1"/>
  </r>
  <r>
    <s v="FV/64517/VDb/2022"/>
    <s v="PZ/800927"/>
    <x v="7"/>
    <d v="2022-12-09T00:00:00"/>
    <s v="16734.42"/>
    <s v="Zaakceptowana"/>
    <s v="Faktura VAT"/>
    <s v="Apteka Szpitalna"/>
    <s v="UM-VIT-01"/>
    <b v="0"/>
    <n v="16734.419999999998"/>
    <s v="OK"/>
    <x v="0"/>
    <x v="0"/>
    <s v="2022-12"/>
    <n v="1"/>
  </r>
  <r>
    <s v="FV/M/3915/P/22"/>
    <s v="PZ/800928"/>
    <x v="5"/>
    <d v="2022-12-09T00:00:00"/>
    <s v="19529.28"/>
    <s v="Zaakceptowana"/>
    <s v="Faktura VAT"/>
    <s v="Apteka Szpitalna"/>
    <s v="UM-MED-02"/>
    <b v="0"/>
    <n v="19529.28"/>
    <s v="OK"/>
    <x v="0"/>
    <x v="0"/>
    <s v="2022-12"/>
    <n v="1"/>
  </r>
  <r>
    <s v="FV/34945/VDb/2022"/>
    <s v="PZ/800929"/>
    <x v="7"/>
    <d v="2022-12-09T00:00:00"/>
    <s v="5223.18"/>
    <s v="Zaakceptowana"/>
    <s v="Faktura VAT"/>
    <s v="Apteka Szpitalna"/>
    <s v="UM-VIT-01"/>
    <b v="0"/>
    <n v="5223.18"/>
    <s v="OK"/>
    <x v="0"/>
    <x v="0"/>
    <s v="2022-12"/>
    <n v="1"/>
  </r>
  <r>
    <s v="FV/3194/NOVA/22"/>
    <s v="PZ/800930"/>
    <x v="2"/>
    <d v="2022-12-09T00:00:00"/>
    <s v="15503.92"/>
    <s v="Zaakceptowana"/>
    <s v="Faktura VAT"/>
    <s v="Apteka Szpitalna"/>
    <s v="UM-NOV-03"/>
    <b v="0"/>
    <n v="15503.92"/>
    <s v="OK"/>
    <x v="0"/>
    <x v="0"/>
    <s v="2022-12"/>
    <n v="1"/>
  </r>
  <r>
    <s v="FV/16/PP/7257/22"/>
    <s v="PZ/800931"/>
    <x v="6"/>
    <d v="2022-12-10T00:00:00"/>
    <s v="10082.15"/>
    <s v="Zaakceptowana"/>
    <s v="Faktura VAT"/>
    <s v="Apteka Szpitalna"/>
    <s v=""/>
    <b v="0"/>
    <n v="10082.15"/>
    <s v="OK"/>
    <x v="1"/>
    <x v="0"/>
    <s v="2022-12"/>
    <n v="1"/>
  </r>
  <r>
    <s v="FV/M/7012/P/22"/>
    <s v="PZ/800932"/>
    <x v="5"/>
    <d v="2022-12-10T00:00:00"/>
    <s v="10447.75"/>
    <s v="Zaakceptowana"/>
    <s v="Faktura VAT"/>
    <s v="Apteka Szpitalna"/>
    <s v="UM-MED-02"/>
    <b v="0"/>
    <n v="10447.75"/>
    <s v="OK"/>
    <x v="0"/>
    <x v="0"/>
    <s v="2022-12"/>
    <n v="1"/>
  </r>
  <r>
    <s v="FV/6138HM/22"/>
    <s v="PZ/800933"/>
    <x v="3"/>
    <d v="2022-12-11T00:00:00"/>
    <s v="17005.54"/>
    <s v="Zaakceptowana"/>
    <s v="Faktura VAT"/>
    <s v="Apteka Szpitalna"/>
    <s v="UM-HUR-03"/>
    <b v="0"/>
    <n v="17005.54"/>
    <s v="OK"/>
    <x v="0"/>
    <x v="0"/>
    <s v="2022-12"/>
    <n v="1"/>
  </r>
  <r>
    <s v="FV/POL/83202/2022"/>
    <s v="PZ/800934"/>
    <x v="0"/>
    <d v="2022-12-11T00:00:00"/>
    <s v="13165.26"/>
    <s v="Zaakceptowana"/>
    <s v="Faktura VAT"/>
    <s v="Apteka Szpitalna"/>
    <s v="UM-POL-03"/>
    <b v="0"/>
    <n v="13165.26"/>
    <s v="OK"/>
    <x v="0"/>
    <x v="0"/>
    <s v="2022-12"/>
    <n v="1"/>
  </r>
  <r>
    <s v="FV/28134/VDb/2022"/>
    <s v="PZ/800935"/>
    <x v="7"/>
    <d v="2022-12-11T00:00:00"/>
    <s v="12804.34"/>
    <s v="Zaakceptowana"/>
    <s v="Faktura VAT"/>
    <s v="Apteka Szpitalna"/>
    <s v="UM-VIT-01"/>
    <b v="0"/>
    <n v="12804.34"/>
    <s v="OK"/>
    <x v="0"/>
    <x v="0"/>
    <s v="2022-12"/>
    <n v="1"/>
  </r>
  <r>
    <s v="FV/M/8867/P/22"/>
    <s v="PZ/800936"/>
    <x v="5"/>
    <d v="2022-12-11T00:00:00"/>
    <s v="12723.11"/>
    <s v="Zaakceptowana"/>
    <s v="Faktura VAT"/>
    <s v="Apteka Szpitalna"/>
    <s v="UM-MED-01"/>
    <b v="0"/>
    <n v="12723.11"/>
    <s v="OK"/>
    <x v="0"/>
    <x v="0"/>
    <s v="2022-12"/>
    <n v="1"/>
  </r>
  <r>
    <s v="FV/77/SAL/22"/>
    <s v="PZ/800937"/>
    <x v="1"/>
    <d v="2022-12-11T00:00:00"/>
    <s v="17681.78"/>
    <s v="Zaakceptowana"/>
    <s v="Faktura VAT"/>
    <s v="Apteka Szpitalna"/>
    <s v="UM-SAL-01"/>
    <b v="0"/>
    <n v="17681.78"/>
    <s v="OK"/>
    <x v="0"/>
    <x v="0"/>
    <s v="2022-12"/>
    <n v="1"/>
  </r>
  <r>
    <s v="FV/17/SAL/22"/>
    <s v="PZ/800938"/>
    <x v="1"/>
    <d v="2022-12-12T00:00:00"/>
    <s v="18190.99"/>
    <s v="Zaakceptowana"/>
    <s v="Faktura VAT"/>
    <s v="Apteka Szpitalna"/>
    <s v="UM-SAL-02"/>
    <b v="0"/>
    <n v="18190.990000000002"/>
    <s v="OK"/>
    <x v="0"/>
    <x v="0"/>
    <s v="2022-12"/>
    <n v="1"/>
  </r>
  <r>
    <s v="FV/99/PP/2872/22"/>
    <s v="PZ/800939"/>
    <x v="6"/>
    <d v="2022-12-12T00:00:00"/>
    <s v="9450.43"/>
    <s v="Zaakceptowana"/>
    <s v="Faktura VAT"/>
    <s v="Apteka Szpitalna"/>
    <s v="UM-PHA-02"/>
    <b v="0"/>
    <n v="9450.43"/>
    <s v="OK"/>
    <x v="0"/>
    <x v="0"/>
    <s v="2022-12"/>
    <n v="1"/>
  </r>
  <r>
    <s v="FV/M/7710/P/22"/>
    <s v="PZ/800940"/>
    <x v="5"/>
    <d v="2022-12-12T00:00:00"/>
    <s v="13774.19"/>
    <s v="Zaakceptowana"/>
    <s v="Faktura VAT"/>
    <s v="Apteka Szpitalna"/>
    <s v=""/>
    <b v="0"/>
    <n v="13774.19"/>
    <s v="OK"/>
    <x v="1"/>
    <x v="0"/>
    <s v="2022-12"/>
    <n v="1"/>
  </r>
  <r>
    <s v="FV/CENFA/121145/22"/>
    <s v="PZ/800941"/>
    <x v="4"/>
    <d v="2022-12-12T00:00:00"/>
    <s v="14110.99"/>
    <s v="Zaakceptowana"/>
    <s v="Faktura VAT"/>
    <s v="Apteka Szpitalna"/>
    <s v="UM-CEN-01"/>
    <b v="0"/>
    <n v="14110.99"/>
    <s v="OK"/>
    <x v="0"/>
    <x v="0"/>
    <s v="2022-12"/>
    <n v="1"/>
  </r>
  <r>
    <s v="FV/43/SAL/22"/>
    <s v="PZ/800942"/>
    <x v="1"/>
    <d v="2022-12-13T00:00:00"/>
    <s v="9055.48"/>
    <s v="Zaakceptowana"/>
    <s v="Faktura VAT"/>
    <s v="Apteka Szpitalna"/>
    <s v="UM-SAL-02"/>
    <b v="0"/>
    <n v="9055.48"/>
    <s v="OK"/>
    <x v="0"/>
    <x v="0"/>
    <s v="2022-12"/>
    <n v="1"/>
  </r>
  <r>
    <s v="FV/2124/NOVA/22"/>
    <s v="PZ/800943"/>
    <x v="2"/>
    <d v="2022-12-13T00:00:00"/>
    <s v="18246.32"/>
    <s v="Zaakceptowana"/>
    <s v="Faktura VAT"/>
    <s v="Apteka Szpitalna"/>
    <s v="UM-NOV-03"/>
    <b v="0"/>
    <n v="18246.32"/>
    <s v="OK"/>
    <x v="0"/>
    <x v="0"/>
    <s v="2022-12"/>
    <n v="1"/>
  </r>
  <r>
    <s v="FV/55/PP/8460/22"/>
    <s v="PZ/800944"/>
    <x v="6"/>
    <d v="2022-12-13T00:00:00"/>
    <s v="10785.33"/>
    <s v="Zaakceptowana"/>
    <s v="Faktura VAT"/>
    <s v="Apteka Szpitalna"/>
    <s v="UM-PHA-02"/>
    <b v="0"/>
    <n v="10785.33"/>
    <s v="OK"/>
    <x v="0"/>
    <x v="0"/>
    <s v="2022-12"/>
    <n v="1"/>
  </r>
  <r>
    <s v="FV/POL/57954/2022"/>
    <s v="PZ/800945"/>
    <x v="0"/>
    <d v="2022-12-15T00:00:00"/>
    <s v="8632.17"/>
    <s v="Zaakceptowana"/>
    <s v="Faktura VAT"/>
    <s v="Apteka Szpitalna"/>
    <s v="UM-POL-01"/>
    <b v="0"/>
    <n v="8632.17"/>
    <s v="OK"/>
    <x v="0"/>
    <x v="0"/>
    <s v="2022-12"/>
    <n v="1"/>
  </r>
  <r>
    <s v="FV/58724/VDb/2022"/>
    <s v="PZ/800946"/>
    <x v="7"/>
    <d v="2022-12-17T00:00:00"/>
    <s v="12912.72"/>
    <s v="Zaakceptowana"/>
    <s v="Faktura VAT"/>
    <s v="Apteka Szpitalna"/>
    <s v="UM-VIT-01"/>
    <b v="0"/>
    <n v="12912.72"/>
    <s v="OK"/>
    <x v="0"/>
    <x v="0"/>
    <s v="2022-12"/>
    <n v="1"/>
  </r>
  <r>
    <s v="FV/99199/VDb/2022"/>
    <s v="PZ/800947"/>
    <x v="7"/>
    <d v="2022-12-17T00:00:00"/>
    <s v="7265.75"/>
    <s v="Zaakceptowana"/>
    <s v="Faktura VAT"/>
    <s v="Apteka Szpitalna"/>
    <s v="UM-VIT-01"/>
    <b v="0"/>
    <n v="7265.75"/>
    <s v="OK"/>
    <x v="0"/>
    <x v="0"/>
    <s v="2022-12"/>
    <n v="1"/>
  </r>
  <r>
    <s v="FV/15883/VDb/2022"/>
    <s v="PZ/800948"/>
    <x v="7"/>
    <d v="2022-12-17T00:00:00"/>
    <s v="17227.16"/>
    <s v="Zaakceptowana"/>
    <s v="Faktura VAT"/>
    <s v="Apteka Szpitalna"/>
    <s v=""/>
    <b v="0"/>
    <n v="17227.16"/>
    <s v="OK"/>
    <x v="1"/>
    <x v="0"/>
    <s v="2022-12"/>
    <n v="1"/>
  </r>
  <r>
    <s v="FV/CENFA/790433/22"/>
    <s v="PZ/800949"/>
    <x v="4"/>
    <d v="2022-12-18T00:00:00"/>
    <s v="16691.14"/>
    <s v="Zaakceptowana"/>
    <s v="Faktura VAT"/>
    <s v="Apteka Szpitalna"/>
    <s v="UM-CEN-02"/>
    <b v="0"/>
    <n v="16691.14"/>
    <s v="OK"/>
    <x v="0"/>
    <x v="0"/>
    <s v="2022-12"/>
    <n v="1"/>
  </r>
  <r>
    <s v="FV/4694HM/22"/>
    <s v="PZ/800950"/>
    <x v="3"/>
    <d v="2022-12-18T00:00:00"/>
    <s v="18268.02"/>
    <s v="Zaakceptowana"/>
    <s v="Faktura VAT"/>
    <s v="Apteka Szpitalna"/>
    <s v=""/>
    <b v="0"/>
    <n v="18268.02"/>
    <s v="OK"/>
    <x v="1"/>
    <x v="0"/>
    <s v="2022-12"/>
    <n v="1"/>
  </r>
  <r>
    <s v="FV/M/6282/P/22"/>
    <s v="PZ/800951"/>
    <x v="5"/>
    <d v="2022-12-18T00:00:00"/>
    <s v="18650.74"/>
    <s v="Zaakceptowana"/>
    <s v="Faktura VAT"/>
    <s v="Apteka Szpitalna"/>
    <s v="UM-MED-01"/>
    <b v="0"/>
    <n v="18650.740000000002"/>
    <s v="OK"/>
    <x v="0"/>
    <x v="0"/>
    <s v="2022-12"/>
    <n v="1"/>
  </r>
  <r>
    <s v="FV/9104/NOVA/22"/>
    <s v="PZ/800952"/>
    <x v="2"/>
    <d v="2022-12-18T00:00:00"/>
    <s v="13973.5"/>
    <s v="Zaakceptowana"/>
    <s v="Faktura VAT"/>
    <s v="Apteka Szpitalna"/>
    <s v="UM-NOV-02"/>
    <b v="0"/>
    <n v="13973.5"/>
    <s v="OK"/>
    <x v="0"/>
    <x v="0"/>
    <s v="2022-12"/>
    <n v="1"/>
  </r>
  <r>
    <s v="FV/6227HM/22"/>
    <s v="PZ/800953"/>
    <x v="3"/>
    <d v="2022-12-18T00:00:00"/>
    <s v="14795.14"/>
    <s v="Zaakceptowana"/>
    <s v="Faktura VAT"/>
    <s v="Apteka Szpitalna"/>
    <s v="UM-HUR-01"/>
    <b v="0"/>
    <n v="14795.14"/>
    <s v="OK"/>
    <x v="0"/>
    <x v="0"/>
    <s v="2022-12"/>
    <n v="1"/>
  </r>
  <r>
    <s v="FV/24/SAL/22"/>
    <s v="PZ/800954"/>
    <x v="1"/>
    <d v="2022-12-18T00:00:00"/>
    <s v="18180.42"/>
    <s v="Zaakceptowana"/>
    <s v="Faktura VAT"/>
    <s v="Apteka Szpitalna"/>
    <s v="UM-SAL-02"/>
    <b v="0"/>
    <n v="18180.419999999998"/>
    <s v="OK"/>
    <x v="0"/>
    <x v="0"/>
    <s v="2022-12"/>
    <n v="1"/>
  </r>
  <r>
    <s v="FV/78/SAL/22"/>
    <s v="PZ/800955"/>
    <x v="1"/>
    <d v="2022-12-19T00:00:00"/>
    <s v="18613.29"/>
    <s v="Zaakceptowana"/>
    <s v="Faktura VAT"/>
    <s v="Apteka Szpitalna"/>
    <s v="UM-SAL-02"/>
    <b v="0"/>
    <n v="18613.29"/>
    <s v="OK"/>
    <x v="0"/>
    <x v="0"/>
    <s v="2022-12"/>
    <n v="1"/>
  </r>
  <r>
    <s v="FV/POL/65762/2022"/>
    <s v="PZ/800956"/>
    <x v="0"/>
    <d v="2022-12-19T00:00:00"/>
    <s v="14391.68"/>
    <s v="Zaakceptowana"/>
    <s v="Faktura VAT"/>
    <s v="Apteka Szpitalna"/>
    <s v="UM-POL-01"/>
    <b v="0"/>
    <n v="14391.68"/>
    <s v="OK"/>
    <x v="0"/>
    <x v="0"/>
    <s v="2022-12"/>
    <n v="1"/>
  </r>
  <r>
    <s v="FV/POL/12136/2022"/>
    <s v="PZ/800957"/>
    <x v="0"/>
    <d v="2022-12-19T00:00:00"/>
    <s v="19901.66"/>
    <s v="Zaakceptowana"/>
    <s v="Faktura VAT"/>
    <s v="Apteka Szpitalna"/>
    <s v="UM-POL-01"/>
    <b v="0"/>
    <n v="19901.66"/>
    <s v="OK"/>
    <x v="0"/>
    <x v="0"/>
    <s v="2022-12"/>
    <n v="1"/>
  </r>
  <r>
    <s v="FV/1699/NOVA/22"/>
    <s v="PZ/800958"/>
    <x v="2"/>
    <d v="2022-12-19T00:00:00"/>
    <s v="11166.03"/>
    <s v="Zaakceptowana"/>
    <s v="Faktura VAT"/>
    <s v="Apteka Szpitalna"/>
    <s v="UM-NOV-03"/>
    <b v="0"/>
    <n v="11166.03"/>
    <s v="OK"/>
    <x v="0"/>
    <x v="0"/>
    <s v="2022-12"/>
    <n v="1"/>
  </r>
  <r>
    <s v="FV/6327/NOVA/22"/>
    <s v="PZ/800959"/>
    <x v="2"/>
    <d v="2022-12-19T00:00:00"/>
    <s v="14643.72"/>
    <s v="Zaakceptowana"/>
    <s v="Faktura VAT"/>
    <s v="Apteka Szpitalna"/>
    <s v="UM-NOV-03"/>
    <b v="0"/>
    <n v="14643.72"/>
    <s v="OK"/>
    <x v="0"/>
    <x v="0"/>
    <s v="2022-12"/>
    <n v="1"/>
  </r>
  <r>
    <s v="FV/8489HM/22"/>
    <s v="PZ/800960"/>
    <x v="3"/>
    <d v="2022-12-19T00:00:00"/>
    <s v="14336.8"/>
    <s v="Zaakceptowana"/>
    <s v="Faktura VAT"/>
    <s v="Apteka Szpitalna"/>
    <s v="UM-HUR-01"/>
    <b v="0"/>
    <n v="14336.8"/>
    <s v="OK"/>
    <x v="0"/>
    <x v="0"/>
    <s v="2022-12"/>
    <n v="1"/>
  </r>
  <r>
    <s v="FV/98338/VDb/2022"/>
    <s v="PZ/800961"/>
    <x v="7"/>
    <d v="2022-12-20T00:00:00"/>
    <s v="14737.55"/>
    <s v="Zaakceptowana"/>
    <s v="Faktura VAT"/>
    <s v="Apteka Szpitalna"/>
    <s v=""/>
    <b v="0"/>
    <n v="14737.55"/>
    <s v="OK"/>
    <x v="1"/>
    <x v="0"/>
    <s v="2022-12"/>
    <n v="1"/>
  </r>
  <r>
    <s v="FV/POL/97495/2022"/>
    <s v="PZ/800962"/>
    <x v="0"/>
    <d v="2022-12-20T00:00:00"/>
    <s v="12911.31"/>
    <s v="Zaakceptowana"/>
    <s v="Faktura VAT"/>
    <s v="Apteka Szpitalna"/>
    <s v="UM-POL-03"/>
    <b v="0"/>
    <n v="12911.31"/>
    <s v="OK"/>
    <x v="0"/>
    <x v="0"/>
    <s v="2022-12"/>
    <n v="1"/>
  </r>
  <r>
    <s v="FV/CENFA/835394/22"/>
    <s v="PZ/800963"/>
    <x v="4"/>
    <d v="2022-12-22T00:00:00"/>
    <s v="22613.98"/>
    <s v="Zaakceptowana"/>
    <s v="Faktura VAT"/>
    <s v="Apteka Szpitalna"/>
    <s v="UM-CEN-01"/>
    <b v="0"/>
    <n v="22613.98"/>
    <s v="OK"/>
    <x v="0"/>
    <x v="0"/>
    <s v="2022-12"/>
    <n v="1"/>
  </r>
  <r>
    <s v="FV/86/PP/4601/22"/>
    <s v="PZ/800964"/>
    <x v="6"/>
    <d v="2022-12-23T00:00:00"/>
    <s v="12871.78"/>
    <s v="Zaakceptowana"/>
    <s v="Faktura VAT"/>
    <s v="Apteka Szpitalna"/>
    <s v="UM-PHA-02"/>
    <b v="0"/>
    <n v="12871.78"/>
    <s v="OK"/>
    <x v="0"/>
    <x v="0"/>
    <s v="2022-12"/>
    <n v="1"/>
  </r>
  <r>
    <s v="FV/6988HM/22"/>
    <s v="PZ/800965"/>
    <x v="3"/>
    <d v="2022-12-23T00:00:00"/>
    <s v="14968.48"/>
    <s v="Zaakceptowana"/>
    <s v="Faktura VAT"/>
    <s v="Apteka Szpitalna"/>
    <s v="UM-HUR-02"/>
    <b v="0"/>
    <n v="14968.48"/>
    <s v="OK"/>
    <x v="0"/>
    <x v="0"/>
    <s v="2022-12"/>
    <n v="1"/>
  </r>
  <r>
    <s v="FV/5922HM/22"/>
    <s v="PZ/800966"/>
    <x v="3"/>
    <d v="2022-12-23T00:00:00"/>
    <s v="19377.81"/>
    <s v="Zaakceptowana"/>
    <s v="Faktura VAT"/>
    <s v="Apteka Szpitalna"/>
    <s v=""/>
    <b v="0"/>
    <n v="19377.810000000001"/>
    <s v="OK"/>
    <x v="1"/>
    <x v="0"/>
    <s v="2022-12"/>
    <n v="1"/>
  </r>
  <r>
    <s v="FV/POL/67351/2022"/>
    <s v="PZ/800967"/>
    <x v="0"/>
    <d v="2022-12-23T00:00:00"/>
    <s v="14603.63"/>
    <s v="Zaakceptowana"/>
    <s v="Faktura VAT"/>
    <s v="Apteka Szpitalna"/>
    <s v="UM-POL-01"/>
    <b v="0"/>
    <n v="14603.63"/>
    <s v="OK"/>
    <x v="0"/>
    <x v="0"/>
    <s v="2022-12"/>
    <n v="1"/>
  </r>
  <r>
    <s v="FV/4304/NOVA/22"/>
    <s v="PZ/800968"/>
    <x v="2"/>
    <d v="2022-12-23T00:00:00"/>
    <s v="17467.26"/>
    <s v="Zaakceptowana"/>
    <s v="Faktura VAT"/>
    <s v="Apteka Szpitalna"/>
    <s v="UM-NOV-02"/>
    <b v="0"/>
    <n v="17467.259999999998"/>
    <s v="OK"/>
    <x v="0"/>
    <x v="0"/>
    <s v="2022-12"/>
    <n v="1"/>
  </r>
  <r>
    <s v="FV/CENFA/866430/22"/>
    <s v="PZ/800969"/>
    <x v="4"/>
    <d v="2022-12-24T00:00:00"/>
    <s v="21874.93"/>
    <s v="Zaakceptowana"/>
    <s v="Faktura VAT"/>
    <s v="Apteka Szpitalna"/>
    <s v="UM-CEN-01"/>
    <b v="0"/>
    <n v="21874.93"/>
    <s v="OK"/>
    <x v="0"/>
    <x v="0"/>
    <s v="2022-12"/>
    <n v="1"/>
  </r>
  <r>
    <s v="FV/CENFA/491411/22"/>
    <s v="PZ/800970"/>
    <x v="4"/>
    <d v="2022-12-24T00:00:00"/>
    <s v="-2387.53"/>
    <s v="Zaakceptowana"/>
    <s v="Korekta FV"/>
    <s v="Apteka Szpitalna"/>
    <s v="UM-CEN-01"/>
    <b v="0"/>
    <n v="-2387.5300000000002"/>
    <s v="OK"/>
    <x v="0"/>
    <x v="0"/>
    <s v="2022-12"/>
    <n v="1"/>
  </r>
  <r>
    <s v="FV/M/9121/P/22"/>
    <s v="PZ/800971"/>
    <x v="5"/>
    <d v="2022-12-24T00:00:00"/>
    <s v="20189.19"/>
    <s v="Zaakceptowana"/>
    <s v="Faktura VAT"/>
    <s v="Apteka Szpitalna"/>
    <s v="UM-MED-01"/>
    <b v="0"/>
    <n v="20189.189999999999"/>
    <s v="OK"/>
    <x v="0"/>
    <x v="0"/>
    <s v="2022-12"/>
    <n v="1"/>
  </r>
  <r>
    <s v="FV/1384HM/22"/>
    <s v="PZ/800972"/>
    <x v="3"/>
    <d v="2022-12-24T00:00:00"/>
    <s v="11547.3"/>
    <s v="Zaakceptowana"/>
    <s v="Faktura VAT"/>
    <s v="Apteka Szpitalna"/>
    <s v=""/>
    <b v="0"/>
    <n v="11547.3"/>
    <s v="OK"/>
    <x v="1"/>
    <x v="0"/>
    <s v="2022-12"/>
    <n v="1"/>
  </r>
  <r>
    <s v="FV/67/PP/1306/22"/>
    <s v="PZ/800973"/>
    <x v="6"/>
    <d v="2022-12-25T00:00:00"/>
    <s v="15206.36"/>
    <s v="Zaakceptowana"/>
    <s v="Faktura VAT"/>
    <s v="Apteka Szpitalna"/>
    <s v="UM-PHA-02"/>
    <b v="0"/>
    <n v="15206.36"/>
    <s v="OK"/>
    <x v="0"/>
    <x v="0"/>
    <s v="2022-12"/>
    <n v="1"/>
  </r>
  <r>
    <s v="FV/POL/11595/2022"/>
    <s v="PZ/800974"/>
    <x v="0"/>
    <d v="2022-12-25T00:00:00"/>
    <s v="12567.32"/>
    <s v="Zaakceptowana"/>
    <s v="Faktura VAT"/>
    <s v="Apteka Szpitalna"/>
    <s v="UM-POL-03"/>
    <b v="0"/>
    <n v="12567.32"/>
    <s v="OK"/>
    <x v="0"/>
    <x v="0"/>
    <s v="2022-12"/>
    <n v="1"/>
  </r>
  <r>
    <s v="FV/2687HM/22"/>
    <s v="PZ/800975"/>
    <x v="3"/>
    <d v="2022-12-25T00:00:00"/>
    <s v="10147.07"/>
    <s v="Zaakceptowana"/>
    <s v="Faktura VAT"/>
    <s v="Apteka Szpitalna"/>
    <s v="UM-HUR-01"/>
    <b v="0"/>
    <n v="10147.07"/>
    <s v="OK"/>
    <x v="0"/>
    <x v="0"/>
    <s v="2022-12"/>
    <n v="1"/>
  </r>
  <r>
    <s v="FV/CENFA/571082/22"/>
    <s v="PZ/800976"/>
    <x v="4"/>
    <d v="2022-12-26T00:00:00"/>
    <s v="17738.59"/>
    <s v="Zaakceptowana"/>
    <s v="Faktura VAT"/>
    <s v="Apteka Szpitalna"/>
    <s v="UM-CEN-02"/>
    <b v="0"/>
    <n v="17738.59"/>
    <s v="OK"/>
    <x v="0"/>
    <x v="0"/>
    <s v="2022-12"/>
    <n v="1"/>
  </r>
  <r>
    <s v="FV/21/SAL/22"/>
    <s v="PZ/800977"/>
    <x v="1"/>
    <d v="2022-12-26T00:00:00"/>
    <s v="10678.2"/>
    <s v="Zaakceptowana"/>
    <s v="Faktura VAT"/>
    <s v="Apteka Szpitalna"/>
    <s v=""/>
    <b v="0"/>
    <n v="10678.2"/>
    <s v="OK"/>
    <x v="1"/>
    <x v="0"/>
    <s v="2022-12"/>
    <n v="1"/>
  </r>
  <r>
    <s v="FV/4452HM/22"/>
    <s v="PZ/800978"/>
    <x v="3"/>
    <d v="2022-12-26T00:00:00"/>
    <s v="15045.31"/>
    <s v="Zaakceptowana"/>
    <s v="Faktura VAT"/>
    <s v="Apteka Szpitalna"/>
    <s v="UM-HUR-03"/>
    <b v="0"/>
    <n v="15045.31"/>
    <s v="OK"/>
    <x v="0"/>
    <x v="0"/>
    <s v="2022-12"/>
    <n v="1"/>
  </r>
  <r>
    <s v="FV/M/8556/P/22"/>
    <s v="PZ/800979"/>
    <x v="5"/>
    <d v="2022-12-26T00:00:00"/>
    <s v="17361.66"/>
    <s v="Zaakceptowana"/>
    <s v="Faktura VAT"/>
    <s v="Apteka Szpitalna"/>
    <s v="UM-MED-01"/>
    <b v="0"/>
    <n v="17361.66"/>
    <s v="OK"/>
    <x v="0"/>
    <x v="0"/>
    <s v="2022-12"/>
    <n v="1"/>
  </r>
  <r>
    <s v="FV/POL/58140/2022"/>
    <s v="PZ/800980"/>
    <x v="0"/>
    <d v="2022-12-27T00:00:00"/>
    <s v="17569.81"/>
    <s v="Zaakceptowana"/>
    <s v="Faktura VAT"/>
    <s v="Apteka Szpitalna"/>
    <s v="UM-POL-01"/>
    <b v="0"/>
    <n v="17569.810000000001"/>
    <s v="OK"/>
    <x v="0"/>
    <x v="0"/>
    <s v="2022-12"/>
    <n v="1"/>
  </r>
  <r>
    <s v="FV/27/PP/3546/22"/>
    <s v="PZ/800981"/>
    <x v="6"/>
    <d v="2022-12-27T00:00:00"/>
    <s v="13788.39"/>
    <s v="Zaakceptowana"/>
    <s v="Faktura VAT"/>
    <s v="Apteka Szpitalna"/>
    <s v=""/>
    <b v="0"/>
    <n v="13788.39"/>
    <s v="OK"/>
    <x v="1"/>
    <x v="0"/>
    <s v="2022-12"/>
    <n v="1"/>
  </r>
  <r>
    <s v="FV/8066/NOVA/22"/>
    <s v="PZ/800982"/>
    <x v="2"/>
    <d v="2022-12-27T00:00:00"/>
    <s v="13234.69"/>
    <s v="Zaakceptowana"/>
    <s v="Faktura VAT"/>
    <s v="Apteka Szpitalna"/>
    <s v="UM-NOV-03"/>
    <b v="0"/>
    <n v="13234.69"/>
    <s v="OK"/>
    <x v="0"/>
    <x v="0"/>
    <s v="2022-12"/>
    <n v="1"/>
  </r>
  <r>
    <s v="FV/96959/VDb/2022"/>
    <s v="PZ/800983"/>
    <x v="7"/>
    <d v="2022-12-27T00:00:00"/>
    <s v="11968.43"/>
    <s v="Zaakceptowana"/>
    <s v="Faktura VAT"/>
    <s v="Apteka Szpitalna"/>
    <s v="UM-VIT-01"/>
    <b v="0"/>
    <n v="11968.43"/>
    <s v="OK"/>
    <x v="0"/>
    <x v="0"/>
    <s v="2022-12"/>
    <n v="1"/>
  </r>
  <r>
    <s v="FV/53/SAL/22"/>
    <s v="PZ/800984"/>
    <x v="1"/>
    <d v="2022-12-28T00:00:00"/>
    <s v="18508.51"/>
    <s v="Zaakceptowana"/>
    <s v="Faktura VAT"/>
    <s v="Apteka Szpitalna"/>
    <s v="UM-SAL-01"/>
    <b v="0"/>
    <n v="18508.509999999998"/>
    <s v="OK"/>
    <x v="0"/>
    <x v="0"/>
    <s v="2022-12"/>
    <n v="1"/>
  </r>
  <r>
    <s v="FV/97/SAL/22"/>
    <s v="PZ/800985"/>
    <x v="1"/>
    <d v="2022-12-28T00:00:00"/>
    <s v="20982.96"/>
    <s v="Zaakceptowana"/>
    <s v="Faktura VAT"/>
    <s v="Apteka Szpitalna"/>
    <s v=""/>
    <b v="0"/>
    <n v="20982.959999999999"/>
    <s v="OK"/>
    <x v="1"/>
    <x v="0"/>
    <s v="2022-12"/>
    <n v="1"/>
  </r>
  <r>
    <s v="FV/67/SAL/22"/>
    <s v="PZ/800986"/>
    <x v="1"/>
    <d v="2022-12-28T00:00:00"/>
    <s v="18623.95"/>
    <s v="Zaakceptowana"/>
    <s v="Faktura VAT"/>
    <s v="Apteka Szpitalna"/>
    <s v="UM-SAL-02"/>
    <b v="0"/>
    <n v="18623.95"/>
    <s v="OK"/>
    <x v="0"/>
    <x v="0"/>
    <s v="2022-12"/>
    <n v="1"/>
  </r>
  <r>
    <s v="FV/CENFA/982678/22"/>
    <s v="PZ/800987"/>
    <x v="4"/>
    <d v="2022-12-28T00:00:00"/>
    <s v="20765.9"/>
    <s v="Zaakceptowana"/>
    <s v="Faktura VAT"/>
    <s v="Apteka Szpitalna"/>
    <s v="UM-CEN-01"/>
    <b v="0"/>
    <n v="20765.900000000001"/>
    <s v="OK"/>
    <x v="0"/>
    <x v="0"/>
    <s v="2022-12"/>
    <n v="1"/>
  </r>
  <r>
    <s v="FV/M/9897/P/22"/>
    <s v="PZ/800988"/>
    <x v="5"/>
    <d v="2022-12-29T00:00:00"/>
    <s v="8676.09"/>
    <s v="Zaakceptowana"/>
    <s v="Faktura VAT"/>
    <s v="Apteka Szpitalna"/>
    <s v="UM-MED-02"/>
    <b v="0"/>
    <n v="8676.09"/>
    <s v="OK"/>
    <x v="0"/>
    <x v="0"/>
    <s v="2022-12"/>
    <n v="1"/>
  </r>
  <r>
    <s v="FV/15/SAL/22"/>
    <s v="PZ/800989"/>
    <x v="1"/>
    <d v="2022-12-29T00:00:00"/>
    <s v="20138.44"/>
    <s v="Zaakceptowana"/>
    <s v="Faktura VAT"/>
    <s v="Apteka Szpitalna"/>
    <s v=""/>
    <b v="0"/>
    <n v="20138.439999999999"/>
    <s v="OK"/>
    <x v="1"/>
    <x v="0"/>
    <s v="2022-12"/>
    <n v="1"/>
  </r>
  <r>
    <s v="FV/M/6099/P/22"/>
    <s v="PZ/800990"/>
    <x v="5"/>
    <d v="2022-12-30T00:00:00"/>
    <s v="15647.34"/>
    <s v="Zaakceptowana"/>
    <s v="Faktura VAT"/>
    <s v="Apteka Szpitalna"/>
    <s v="UM-MED-01"/>
    <b v="0"/>
    <n v="15647.34"/>
    <s v="OK"/>
    <x v="0"/>
    <x v="0"/>
    <s v="2022-12"/>
    <n v="1"/>
  </r>
  <r>
    <s v="FV/2550HM/22"/>
    <s v="PZ/800991"/>
    <x v="3"/>
    <d v="2022-12-30T00:00:00"/>
    <s v="14832.53"/>
    <s v="Zaakceptowana"/>
    <s v="Faktura VAT"/>
    <s v="Apteka Szpitalna"/>
    <s v="UM-HUR-02"/>
    <b v="0"/>
    <n v="14832.53"/>
    <s v="OK"/>
    <x v="0"/>
    <x v="0"/>
    <s v="2022-12"/>
    <n v="1"/>
  </r>
  <r>
    <s v="FV/38981/VDb/2022"/>
    <s v="PZ/800992"/>
    <x v="7"/>
    <d v="2022-12-30T00:00:00"/>
    <s v="15228.03"/>
    <s v="Zaakceptowana"/>
    <s v="Faktura VAT"/>
    <s v="Apteka Szpitalna"/>
    <s v=""/>
    <b v="0"/>
    <n v="15228.03"/>
    <s v="OK"/>
    <x v="1"/>
    <x v="0"/>
    <s v="2022-12"/>
    <n v="1"/>
  </r>
  <r>
    <s v="FV/M/9246/P/22"/>
    <s v="PZ/800993"/>
    <x v="5"/>
    <d v="2022-12-30T00:00:00"/>
    <s v="7039.35"/>
    <s v="Zaakceptowana"/>
    <s v="Faktura VAT"/>
    <s v="Apteka Szpitalna"/>
    <s v="UM-MED-01"/>
    <b v="0"/>
    <n v="7039.35"/>
    <s v="OK"/>
    <x v="0"/>
    <x v="0"/>
    <s v="2022-12"/>
    <n v="1"/>
  </r>
  <r>
    <s v="FV/38898/VDb/2022"/>
    <s v="PZ/800994"/>
    <x v="7"/>
    <d v="2022-12-30T00:00:00"/>
    <s v="10830.2"/>
    <s v="Zaakceptowana"/>
    <s v="Faktura VAT"/>
    <s v="Apteka Szpitalna"/>
    <s v="UM-VIT-01"/>
    <b v="0"/>
    <n v="10830.2"/>
    <s v="OK"/>
    <x v="0"/>
    <x v="0"/>
    <s v="2022-12"/>
    <n v="1"/>
  </r>
  <r>
    <s v="FV/CENFA/918479/22"/>
    <s v="PZ/800995"/>
    <x v="4"/>
    <d v="2022-12-31T00:00:00"/>
    <s v="17505.7"/>
    <s v="Zaakceptowana"/>
    <s v="Faktura VAT"/>
    <s v="Apteka Szpitalna"/>
    <s v="UM-CEN-02"/>
    <b v="0"/>
    <n v="17505.7"/>
    <s v="OK"/>
    <x v="0"/>
    <x v="0"/>
    <s v="2022-12"/>
    <n v="1"/>
  </r>
  <r>
    <s v="FV/5151HM/22"/>
    <s v="PZ/800996"/>
    <x v="3"/>
    <d v="2022-12-31T00:00:00"/>
    <s v="-382.56"/>
    <s v="Zaakceptowana"/>
    <s v="Korekta FV"/>
    <s v="Apteka Szpitalna"/>
    <s v="UM-HUR-02"/>
    <b v="0"/>
    <n v="-382.56"/>
    <s v="OK"/>
    <x v="0"/>
    <x v="0"/>
    <s v="2022-12"/>
    <n v="1"/>
  </r>
  <r>
    <s v="FV/66/PP/3552/22"/>
    <s v="PZ/800997"/>
    <x v="6"/>
    <d v="2022-12-31T00:00:00"/>
    <s v="10448.27"/>
    <s v="Zaakceptowana"/>
    <s v="Faktura VAT"/>
    <s v="Apteka Szpitalna"/>
    <s v="UM-PHA-01"/>
    <b v="0"/>
    <n v="10448.27"/>
    <s v="OK"/>
    <x v="0"/>
    <x v="0"/>
    <s v="2022-12"/>
    <n v="1"/>
  </r>
  <r>
    <s v="FV/2554/NOVA/22"/>
    <s v="PZ/800998"/>
    <x v="2"/>
    <d v="2022-12-31T00:00:00"/>
    <s v="19187.72"/>
    <s v="Zaakceptowana"/>
    <s v="Faktura VAT"/>
    <s v="Apteka Szpitalna"/>
    <s v=""/>
    <b v="0"/>
    <n v="19187.72"/>
    <s v="OK"/>
    <x v="1"/>
    <x v="0"/>
    <s v="2022-12"/>
    <n v="1"/>
  </r>
  <r>
    <s v="FV/2465/NOVA/23"/>
    <s v="PZ/800999"/>
    <x v="2"/>
    <d v="2023-01-01T00:00:00"/>
    <s v="14966.14"/>
    <s v="Zaakceptowana"/>
    <s v="Faktura VAT"/>
    <s v="Apteka Szpitalna"/>
    <s v=""/>
    <b v="0"/>
    <n v="14966.14"/>
    <s v="OK"/>
    <x v="1"/>
    <x v="1"/>
    <s v="2023-01"/>
    <n v="1"/>
  </r>
  <r>
    <s v="FV/12341/VDb/2023"/>
    <s v="PZ/801000"/>
    <x v="7"/>
    <d v="2023-01-01T00:00:00"/>
    <s v="10212.09"/>
    <s v="Zaakceptowana"/>
    <s v="Faktura VAT"/>
    <s v="Apteka Szpitalna"/>
    <s v=""/>
    <b v="0"/>
    <n v="10212.09"/>
    <s v="OK"/>
    <x v="1"/>
    <x v="1"/>
    <s v="2023-01"/>
    <n v="1"/>
  </r>
  <r>
    <s v="FV/7317HM/23"/>
    <s v="PZ/801001"/>
    <x v="3"/>
    <d v="2023-01-01T00:00:00"/>
    <s v="5927.5"/>
    <s v="Zaakceptowana"/>
    <s v="Faktura VAT"/>
    <s v="Apteka Szpitalna"/>
    <s v="UM-HUR-01"/>
    <b v="0"/>
    <n v="5927.5"/>
    <s v="OK"/>
    <x v="0"/>
    <x v="1"/>
    <s v="2023-01"/>
    <n v="1"/>
  </r>
  <r>
    <s v="FV/70/SAL/23"/>
    <s v="PZ/801002"/>
    <x v="1"/>
    <d v="2023-01-01T00:00:00"/>
    <s v="11386.9"/>
    <s v="Zaakceptowana"/>
    <s v="Faktura VAT"/>
    <s v="Apteka Szpitalna"/>
    <s v="UM-SAL-02"/>
    <b v="0"/>
    <n v="11386.9"/>
    <s v="OK"/>
    <x v="0"/>
    <x v="1"/>
    <s v="2023-01"/>
    <n v="1"/>
  </r>
  <r>
    <s v="FV/M/1018/P/23"/>
    <s v="PZ/801003"/>
    <x v="5"/>
    <d v="2023-01-01T00:00:00"/>
    <s v="15604.09"/>
    <s v="Zaakceptowana"/>
    <s v="Faktura VAT"/>
    <s v="Apteka Szpitalna"/>
    <s v="UM-MED-01"/>
    <b v="0"/>
    <n v="15604.09"/>
    <s v="OK"/>
    <x v="0"/>
    <x v="1"/>
    <s v="2023-01"/>
    <n v="1"/>
  </r>
  <r>
    <s v="FV/6164HM/23"/>
    <s v="PZ/801004"/>
    <x v="3"/>
    <d v="2023-01-02T00:00:00"/>
    <s v="15969.65"/>
    <s v="Zaakceptowana"/>
    <s v="Faktura VAT"/>
    <s v="Apteka Szpitalna"/>
    <s v="UM-HUR-01"/>
    <b v="0"/>
    <n v="15969.65"/>
    <s v="OK"/>
    <x v="0"/>
    <x v="1"/>
    <s v="2023-01"/>
    <n v="1"/>
  </r>
  <r>
    <s v="FV/8865/NOVA/23"/>
    <s v="PZ/801005"/>
    <x v="2"/>
    <d v="2023-01-02T00:00:00"/>
    <s v="12116.45"/>
    <s v="Zaakceptowana"/>
    <s v="Faktura VAT"/>
    <s v="Apteka Szpitalna"/>
    <s v="UM-NOV-01"/>
    <b v="0"/>
    <n v="12116.45"/>
    <s v="OK"/>
    <x v="0"/>
    <x v="1"/>
    <s v="2023-01"/>
    <n v="1"/>
  </r>
  <r>
    <s v="FV/POL/11509/2023"/>
    <s v="PZ/801006"/>
    <x v="0"/>
    <d v="2023-01-02T00:00:00"/>
    <s v="14805.94"/>
    <s v="Zaakceptowana"/>
    <s v="Faktura VAT"/>
    <s v="Apteka Szpitalna"/>
    <s v="UM-POL-03"/>
    <b v="0"/>
    <n v="14805.94"/>
    <s v="OK"/>
    <x v="0"/>
    <x v="1"/>
    <s v="2023-01"/>
    <n v="1"/>
  </r>
  <r>
    <s v="FV/2826/NOVA/23"/>
    <s v="PZ/801007"/>
    <x v="2"/>
    <d v="2023-01-03T00:00:00"/>
    <s v="10232.88"/>
    <s v="Zaakceptowana"/>
    <s v="Faktura VAT"/>
    <s v="Apteka Szpitalna"/>
    <s v="UM-NOV-03"/>
    <b v="0"/>
    <n v="10232.879999999999"/>
    <s v="OK"/>
    <x v="0"/>
    <x v="1"/>
    <s v="2023-01"/>
    <n v="1"/>
  </r>
  <r>
    <s v="FV/8167/NOVA/23"/>
    <s v="PZ/801008"/>
    <x v="2"/>
    <d v="2023-01-03T00:00:00"/>
    <s v="20728.98"/>
    <s v="Zaakceptowana"/>
    <s v="Faktura VAT"/>
    <s v="Apteka Szpitalna"/>
    <s v="UM-NOV-01"/>
    <b v="0"/>
    <n v="20728.98"/>
    <s v="OK"/>
    <x v="0"/>
    <x v="1"/>
    <s v="2023-01"/>
    <n v="1"/>
  </r>
  <r>
    <s v="FV/CENFA/517580/23"/>
    <s v="PZ/801009"/>
    <x v="4"/>
    <d v="2023-01-04T00:00:00"/>
    <s v="19779.81"/>
    <s v="Zaakceptowana"/>
    <s v="Faktura VAT"/>
    <s v="Apteka Szpitalna"/>
    <s v="UM-CEN-01"/>
    <b v="0"/>
    <n v="19779.810000000001"/>
    <s v="OK"/>
    <x v="0"/>
    <x v="1"/>
    <s v="2023-01"/>
    <n v="1"/>
  </r>
  <r>
    <s v="FV/M/2855/P/23"/>
    <s v="PZ/801010"/>
    <x v="5"/>
    <d v="2023-01-04T00:00:00"/>
    <s v="16556.02"/>
    <s v="Zaakceptowana"/>
    <s v="Faktura VAT"/>
    <s v="Apteka Szpitalna"/>
    <s v=""/>
    <b v="0"/>
    <n v="16556.02"/>
    <s v="OK"/>
    <x v="1"/>
    <x v="1"/>
    <s v="2023-01"/>
    <n v="1"/>
  </r>
  <r>
    <s v="FV/12020/VDb/2023"/>
    <s v="PZ/801011"/>
    <x v="7"/>
    <d v="2023-01-04T00:00:00"/>
    <s v="17308.9"/>
    <s v="Zaakceptowana"/>
    <s v="Faktura VAT"/>
    <s v="Apteka Szpitalna"/>
    <s v="UM-VIT-01"/>
    <b v="0"/>
    <n v="17308.900000000001"/>
    <s v="OK"/>
    <x v="0"/>
    <x v="1"/>
    <s v="2023-01"/>
    <n v="1"/>
  </r>
  <r>
    <s v="FV/7664HM/23"/>
    <s v="PZ/801012"/>
    <x v="3"/>
    <d v="2023-01-06T00:00:00"/>
    <s v="19525.75"/>
    <s v="Zaakceptowana"/>
    <s v="Faktura VAT"/>
    <s v="Apteka Szpitalna"/>
    <s v="UM-HUR-02"/>
    <b v="0"/>
    <n v="19525.75"/>
    <s v="OK"/>
    <x v="0"/>
    <x v="1"/>
    <s v="2023-01"/>
    <n v="1"/>
  </r>
  <r>
    <s v="FV/35/SAL/23"/>
    <s v="PZ/801013"/>
    <x v="1"/>
    <d v="2023-01-06T00:00:00"/>
    <s v="20828.58"/>
    <s v="Zaakceptowana"/>
    <s v="Faktura VAT"/>
    <s v="Apteka Szpitalna"/>
    <s v="UM-SAL-02"/>
    <b v="0"/>
    <n v="20828.580000000002"/>
    <s v="OK"/>
    <x v="0"/>
    <x v="1"/>
    <s v="2023-01"/>
    <n v="1"/>
  </r>
  <r>
    <s v="FV/4653/NOVA/23"/>
    <s v="PZ/801014"/>
    <x v="2"/>
    <d v="2023-01-06T00:00:00"/>
    <s v="10208.04"/>
    <s v="Zaakceptowana"/>
    <s v="Faktura VAT"/>
    <s v="Apteka Szpitalna"/>
    <s v="UM-NOV-01"/>
    <b v="0"/>
    <n v="10208.040000000001"/>
    <s v="OK"/>
    <x v="0"/>
    <x v="1"/>
    <s v="2023-01"/>
    <n v="1"/>
  </r>
  <r>
    <s v="FV/POL/10991/2023"/>
    <s v="PZ/801015"/>
    <x v="0"/>
    <d v="2023-01-06T00:00:00"/>
    <s v="13330.2"/>
    <s v="Zaakceptowana"/>
    <s v="Faktura VAT"/>
    <s v="Apteka Szpitalna"/>
    <s v="UM-POL-01"/>
    <b v="0"/>
    <n v="13330.2"/>
    <s v="OK"/>
    <x v="0"/>
    <x v="1"/>
    <s v="2023-01"/>
    <n v="1"/>
  </r>
  <r>
    <s v="FV/POL/79844/2023"/>
    <s v="PZ/801016"/>
    <x v="0"/>
    <d v="2023-01-07T00:00:00"/>
    <s v="22553.7"/>
    <s v="Zaakceptowana"/>
    <s v="Faktura VAT"/>
    <s v="Apteka Szpitalna"/>
    <s v="UM-POL-02"/>
    <b v="0"/>
    <n v="22553.7"/>
    <s v="OK"/>
    <x v="0"/>
    <x v="1"/>
    <s v="2023-01"/>
    <n v="1"/>
  </r>
  <r>
    <s v="FV/26941/VDb/2023"/>
    <s v="PZ/801017"/>
    <x v="7"/>
    <d v="2023-01-07T00:00:00"/>
    <s v="25038.52"/>
    <s v="Zaakceptowana"/>
    <s v="Faktura VAT"/>
    <s v="Apteka Szpitalna"/>
    <s v="UM-VIT-01"/>
    <b v="0"/>
    <n v="25038.52"/>
    <s v="OK"/>
    <x v="0"/>
    <x v="1"/>
    <s v="2023-01"/>
    <n v="1"/>
  </r>
  <r>
    <s v="FV/CENFA/329830/23"/>
    <s v="PZ/801018"/>
    <x v="4"/>
    <d v="2023-01-07T00:00:00"/>
    <s v="13661.85"/>
    <s v="Zaakceptowana"/>
    <s v="Faktura VAT"/>
    <s v="Apteka Szpitalna"/>
    <s v=""/>
    <b v="0"/>
    <n v="13661.85"/>
    <s v="OK"/>
    <x v="1"/>
    <x v="1"/>
    <s v="2023-01"/>
    <n v="1"/>
  </r>
  <r>
    <s v="FV/44/PP/5365/23"/>
    <s v="PZ/801019"/>
    <x v="6"/>
    <d v="2023-01-07T00:00:00"/>
    <s v="18092.5"/>
    <s v="Zaakceptowana"/>
    <s v="Faktura VAT"/>
    <s v="Apteka Szpitalna"/>
    <s v="UM-PHA-02"/>
    <b v="0"/>
    <n v="18092.5"/>
    <s v="OK"/>
    <x v="0"/>
    <x v="1"/>
    <s v="2023-01"/>
    <n v="1"/>
  </r>
  <r>
    <s v="FV/M/3724/P/23"/>
    <s v="PZ/801020"/>
    <x v="5"/>
    <d v="2023-01-07T00:00:00"/>
    <s v="12660.58"/>
    <s v="Zaakceptowana"/>
    <s v="Faktura VAT"/>
    <s v="Apteka Szpitalna"/>
    <s v="UM-MED-01"/>
    <b v="0"/>
    <n v="12660.58"/>
    <s v="OK"/>
    <x v="0"/>
    <x v="1"/>
    <s v="2023-01"/>
    <n v="1"/>
  </r>
  <r>
    <s v="FV/54/SAL/23"/>
    <s v="PZ/801021"/>
    <x v="1"/>
    <d v="2023-01-08T00:00:00"/>
    <s v="-1698.41"/>
    <s v="Zaakceptowana"/>
    <s v="Korekta FV"/>
    <s v="Apteka Szpitalna"/>
    <s v="UM-SAL-01"/>
    <b v="0"/>
    <n v="-1698.41"/>
    <s v="OK"/>
    <x v="0"/>
    <x v="1"/>
    <s v="2023-01"/>
    <n v="1"/>
  </r>
  <r>
    <s v="FV/4229HM/23"/>
    <s v="PZ/801022"/>
    <x v="3"/>
    <d v="2023-01-08T00:00:00"/>
    <s v="11331.49"/>
    <s v="Zaakceptowana"/>
    <s v="Faktura VAT"/>
    <s v="Apteka Szpitalna"/>
    <s v=""/>
    <b v="0"/>
    <n v="11331.49"/>
    <s v="OK"/>
    <x v="1"/>
    <x v="1"/>
    <s v="2023-01"/>
    <n v="1"/>
  </r>
  <r>
    <s v="FV/CENFA/916020/23"/>
    <s v="PZ/801023"/>
    <x v="4"/>
    <d v="2023-01-09T00:00:00"/>
    <s v="21605.36"/>
    <s v="Zaakceptowana"/>
    <s v="Faktura VAT"/>
    <s v="Apteka Szpitalna"/>
    <s v="UM-CEN-02"/>
    <b v="0"/>
    <n v="21605.360000000001"/>
    <s v="OK"/>
    <x v="0"/>
    <x v="1"/>
    <s v="2023-01"/>
    <n v="1"/>
  </r>
  <r>
    <s v="FV/POL/28690/2023"/>
    <s v="PZ/801024"/>
    <x v="0"/>
    <d v="2023-01-09T00:00:00"/>
    <s v="20104.51"/>
    <s v="Zaakceptowana"/>
    <s v="Faktura VAT"/>
    <s v="Apteka Szpitalna"/>
    <s v="UM-POL-01"/>
    <b v="0"/>
    <n v="20104.509999999998"/>
    <s v="OK"/>
    <x v="0"/>
    <x v="1"/>
    <s v="2023-01"/>
    <n v="1"/>
  </r>
  <r>
    <s v="FV/9325/NOVA/23"/>
    <s v="PZ/801025"/>
    <x v="2"/>
    <d v="2023-01-10T00:00:00"/>
    <s v="17858.45"/>
    <s v="Zaakceptowana"/>
    <s v="Faktura VAT"/>
    <s v="Apteka Szpitalna"/>
    <s v=""/>
    <b v="0"/>
    <n v="17858.45"/>
    <s v="OK"/>
    <x v="1"/>
    <x v="1"/>
    <s v="2023-01"/>
    <n v="1"/>
  </r>
  <r>
    <s v="FV/83/PP/7902/23"/>
    <s v="PZ/801026"/>
    <x v="6"/>
    <d v="2023-01-10T00:00:00"/>
    <s v="13830.91"/>
    <s v="Zaakceptowana"/>
    <s v="Faktura VAT"/>
    <s v="Apteka Szpitalna"/>
    <s v="UM-PHA-02"/>
    <b v="0"/>
    <n v="13830.91"/>
    <s v="OK"/>
    <x v="0"/>
    <x v="1"/>
    <s v="2023-01"/>
    <n v="1"/>
  </r>
  <r>
    <s v="FV/POL/45386/2023"/>
    <s v="PZ/801027"/>
    <x v="0"/>
    <d v="2023-01-11T00:00:00"/>
    <s v="-2426.04"/>
    <s v="Zaakceptowana"/>
    <s v="Korekta FV"/>
    <s v="Apteka Szpitalna"/>
    <s v=""/>
    <b v="0"/>
    <n v="-2426.04"/>
    <s v="OK"/>
    <x v="1"/>
    <x v="1"/>
    <s v="2023-01"/>
    <n v="1"/>
  </r>
  <r>
    <s v="FV/5653HM/23"/>
    <s v="PZ/801028"/>
    <x v="3"/>
    <d v="2023-01-11T00:00:00"/>
    <s v="-1859.67"/>
    <s v="Zaakceptowana"/>
    <s v="Korekta FV"/>
    <s v="Apteka Szpitalna"/>
    <s v=""/>
    <b v="0"/>
    <n v="-1859.67"/>
    <s v="OK"/>
    <x v="1"/>
    <x v="1"/>
    <s v="2023-01"/>
    <n v="1"/>
  </r>
  <r>
    <s v="FV/CENFA/351218/23"/>
    <s v="PZ/801029"/>
    <x v="4"/>
    <d v="2023-01-11T00:00:00"/>
    <s v="9413.62"/>
    <s v="Zaakceptowana"/>
    <s v="Faktura VAT"/>
    <s v="Apteka Szpitalna"/>
    <s v="UM-CEN-02"/>
    <b v="0"/>
    <n v="9413.6200000000008"/>
    <s v="OK"/>
    <x v="0"/>
    <x v="1"/>
    <s v="2023-01"/>
    <n v="1"/>
  </r>
  <r>
    <s v="FV/4343HM/23"/>
    <s v="PZ/801030"/>
    <x v="3"/>
    <d v="2023-01-12T00:00:00"/>
    <s v="14758.86"/>
    <s v="Zaakceptowana"/>
    <s v="Faktura VAT"/>
    <s v="Apteka Szpitalna"/>
    <s v="UM-HUR-01"/>
    <b v="0"/>
    <n v="14758.86"/>
    <s v="OK"/>
    <x v="0"/>
    <x v="1"/>
    <s v="2023-01"/>
    <n v="1"/>
  </r>
  <r>
    <s v="FV/CENFA/302013/23"/>
    <s v="PZ/801031"/>
    <x v="4"/>
    <d v="2023-01-13T00:00:00"/>
    <s v="18082.55"/>
    <s v="Zaakceptowana"/>
    <s v="Faktura VAT"/>
    <s v="Apteka Szpitalna"/>
    <s v="UM-CEN-01"/>
    <b v="0"/>
    <n v="18082.55"/>
    <s v="OK"/>
    <x v="0"/>
    <x v="1"/>
    <s v="2023-01"/>
    <n v="1"/>
  </r>
  <r>
    <s v="FV/4230HM/23"/>
    <s v="PZ/801032"/>
    <x v="3"/>
    <d v="2023-01-13T00:00:00"/>
    <s v="20228.37"/>
    <s v="Zaakceptowana"/>
    <s v="Faktura VAT"/>
    <s v="Apteka Szpitalna"/>
    <s v="UM-HUR-02"/>
    <b v="0"/>
    <n v="20228.37"/>
    <s v="OK"/>
    <x v="0"/>
    <x v="1"/>
    <s v="2023-01"/>
    <n v="1"/>
  </r>
  <r>
    <s v="FV/1796HM/23"/>
    <s v="PZ/801033"/>
    <x v="3"/>
    <d v="2023-01-14T00:00:00"/>
    <s v="29338.32"/>
    <s v="Zaakceptowana"/>
    <s v="Faktura VAT"/>
    <s v="Apteka Szpitalna"/>
    <s v=""/>
    <b v="0"/>
    <n v="29338.32"/>
    <s v="OK"/>
    <x v="1"/>
    <x v="1"/>
    <s v="2023-01"/>
    <n v="1"/>
  </r>
  <r>
    <s v="FV/CENFA/518664/23"/>
    <s v="PZ/801034"/>
    <x v="4"/>
    <d v="2023-01-14T00:00:00"/>
    <s v="15337.85"/>
    <s v="Zaakceptowana"/>
    <s v="Faktura VAT"/>
    <s v="Apteka Szpitalna"/>
    <s v="UM-CEN-02"/>
    <b v="0"/>
    <n v="15337.85"/>
    <s v="OK"/>
    <x v="0"/>
    <x v="1"/>
    <s v="2023-01"/>
    <n v="1"/>
  </r>
  <r>
    <s v="FV/28/SAL/23"/>
    <s v="PZ/801035"/>
    <x v="1"/>
    <d v="2023-01-14T00:00:00"/>
    <s v="11004.78"/>
    <s v="Zaakceptowana"/>
    <s v="Faktura VAT"/>
    <s v="Apteka Szpitalna"/>
    <s v="UM-SAL-01"/>
    <b v="0"/>
    <n v="11004.78"/>
    <s v="OK"/>
    <x v="0"/>
    <x v="1"/>
    <s v="2023-01"/>
    <n v="1"/>
  </r>
  <r>
    <s v="FV/7546HM/23"/>
    <s v="PZ/801036"/>
    <x v="3"/>
    <d v="2023-01-14T00:00:00"/>
    <s v="11542.2"/>
    <s v="Zaakceptowana"/>
    <s v="Faktura VAT"/>
    <s v="Apteka Szpitalna"/>
    <s v="UM-HUR-01"/>
    <b v="0"/>
    <n v="11542.2"/>
    <s v="OK"/>
    <x v="0"/>
    <x v="1"/>
    <s v="2023-01"/>
    <n v="1"/>
  </r>
  <r>
    <s v="FV/4361/NOVA/23"/>
    <s v="PZ/801037"/>
    <x v="2"/>
    <d v="2023-01-15T00:00:00"/>
    <s v="18106.0"/>
    <s v="Zaakceptowana"/>
    <s v="Faktura VAT"/>
    <s v="Apteka Szpitalna"/>
    <s v="UM-NOV-03"/>
    <b v="0"/>
    <n v="18106"/>
    <s v="OK"/>
    <x v="0"/>
    <x v="1"/>
    <s v="2023-01"/>
    <n v="1"/>
  </r>
  <r>
    <s v="FV/POL/54750/2023"/>
    <s v="PZ/801038"/>
    <x v="0"/>
    <d v="2023-01-15T00:00:00"/>
    <s v="9844.46"/>
    <s v="Zaakceptowana"/>
    <s v="Faktura VAT"/>
    <s v="Apteka Szpitalna"/>
    <s v="UM-POL-03"/>
    <b v="0"/>
    <n v="9844.4599999999991"/>
    <s v="OK"/>
    <x v="0"/>
    <x v="1"/>
    <s v="2023-01"/>
    <n v="1"/>
  </r>
  <r>
    <s v="FV/59/SAL/23"/>
    <s v="PZ/801039"/>
    <x v="1"/>
    <d v="2023-01-16T00:00:00"/>
    <s v="18131.0"/>
    <s v="Zaakceptowana"/>
    <s v="Faktura VAT"/>
    <s v="Apteka Szpitalna"/>
    <s v="UM-SAL-01"/>
    <b v="0"/>
    <n v="18131"/>
    <s v="OK"/>
    <x v="0"/>
    <x v="1"/>
    <s v="2023-01"/>
    <n v="1"/>
  </r>
  <r>
    <s v="FV/46/PP/9854/23"/>
    <s v="PZ/801040"/>
    <x v="6"/>
    <d v="2023-01-17T00:00:00"/>
    <s v="22030.33"/>
    <s v="Zaakceptowana"/>
    <s v="Faktura VAT"/>
    <s v="Apteka Szpitalna"/>
    <s v="UM-PHA-01"/>
    <b v="0"/>
    <n v="22030.33"/>
    <s v="OK"/>
    <x v="0"/>
    <x v="1"/>
    <s v="2023-01"/>
    <n v="1"/>
  </r>
  <r>
    <s v="FV/M/1411/P/23"/>
    <s v="PZ/801041"/>
    <x v="5"/>
    <d v="2023-01-18T00:00:00"/>
    <s v="14747.95"/>
    <s v="Zaakceptowana"/>
    <s v="Faktura VAT"/>
    <s v="Apteka Szpitalna"/>
    <s v="UM-MED-02"/>
    <b v="0"/>
    <n v="14747.95"/>
    <s v="OK"/>
    <x v="0"/>
    <x v="1"/>
    <s v="2023-01"/>
    <n v="1"/>
  </r>
  <r>
    <s v="FV/CENFA/622047/23"/>
    <s v="PZ/801042"/>
    <x v="4"/>
    <d v="2023-01-18T00:00:00"/>
    <s v="9656.48"/>
    <s v="Zaakceptowana"/>
    <s v="Faktura VAT"/>
    <s v="Apteka Szpitalna"/>
    <s v="UM-CEN-01"/>
    <b v="0"/>
    <n v="9656.48"/>
    <s v="OK"/>
    <x v="0"/>
    <x v="1"/>
    <s v="2023-01"/>
    <n v="1"/>
  </r>
  <r>
    <s v="FV/M/7681/P/23"/>
    <s v="PZ/801043"/>
    <x v="5"/>
    <d v="2023-01-19T00:00:00"/>
    <s v="2391.7"/>
    <s v="Zaakceptowana"/>
    <s v="Faktura VAT"/>
    <s v="Apteka Szpitalna"/>
    <s v="UM-MED-01"/>
    <b v="0"/>
    <n v="2391.6999999999998"/>
    <s v="OK"/>
    <x v="0"/>
    <x v="1"/>
    <s v="2023-01"/>
    <n v="1"/>
  </r>
  <r>
    <s v="FV/1625HM/23"/>
    <s v="PZ/801044"/>
    <x v="3"/>
    <d v="2023-01-19T00:00:00"/>
    <s v="28189.88"/>
    <s v="Zaakceptowana"/>
    <s v="Faktura VAT"/>
    <s v="Apteka Szpitalna"/>
    <s v=""/>
    <b v="0"/>
    <n v="28189.88"/>
    <s v="OK"/>
    <x v="1"/>
    <x v="1"/>
    <s v="2023-01"/>
    <n v="1"/>
  </r>
  <r>
    <s v="FV/CENFA/946452/23"/>
    <s v="PZ/801045"/>
    <x v="4"/>
    <d v="2023-01-19T00:00:00"/>
    <s v="17695.51"/>
    <s v="Zaakceptowana"/>
    <s v="Faktura VAT"/>
    <s v="Apteka Szpitalna"/>
    <s v="UM-CEN-01"/>
    <b v="0"/>
    <n v="17695.509999999998"/>
    <s v="OK"/>
    <x v="0"/>
    <x v="1"/>
    <s v="2023-01"/>
    <n v="1"/>
  </r>
  <r>
    <s v="FV/89/PP/4293/23"/>
    <s v="PZ/801046"/>
    <x v="6"/>
    <d v="2023-01-20T00:00:00"/>
    <s v="14833.18"/>
    <s v="Zaakceptowana"/>
    <s v="Faktura VAT"/>
    <s v="Apteka Szpitalna"/>
    <s v="UM-PHA-02"/>
    <b v="0"/>
    <n v="14833.18"/>
    <s v="OK"/>
    <x v="0"/>
    <x v="1"/>
    <s v="2023-01"/>
    <n v="1"/>
  </r>
  <r>
    <s v="FV/75789/VDb/2023"/>
    <s v="PZ/801047"/>
    <x v="7"/>
    <d v="2023-01-20T00:00:00"/>
    <s v="17747.17"/>
    <s v="Zaakceptowana"/>
    <s v="Faktura VAT"/>
    <s v="Apteka Szpitalna"/>
    <s v="UM-VIT-01"/>
    <b v="0"/>
    <n v="17747.169999999998"/>
    <s v="OK"/>
    <x v="0"/>
    <x v="1"/>
    <s v="2023-01"/>
    <n v="1"/>
  </r>
  <r>
    <s v="FV/CENFA/329492/23"/>
    <s v="PZ/801048"/>
    <x v="4"/>
    <d v="2023-01-20T00:00:00"/>
    <s v="15501.98"/>
    <s v="Zaakceptowana"/>
    <s v="Faktura VAT"/>
    <s v="Apteka Szpitalna"/>
    <s v="UM-CEN-02"/>
    <b v="0"/>
    <n v="15501.98"/>
    <s v="OK"/>
    <x v="0"/>
    <x v="1"/>
    <s v="2023-01"/>
    <n v="1"/>
  </r>
  <r>
    <s v="FV/1337HM/23"/>
    <s v="PZ/801049"/>
    <x v="3"/>
    <d v="2023-01-21T00:00:00"/>
    <s v="12820.3"/>
    <s v="Zaakceptowana"/>
    <s v="Faktura VAT"/>
    <s v="Apteka Szpitalna"/>
    <s v="UM-HUR-03"/>
    <b v="0"/>
    <n v="12820.3"/>
    <s v="OK"/>
    <x v="0"/>
    <x v="1"/>
    <s v="2023-01"/>
    <n v="1"/>
  </r>
  <r>
    <s v="FV/CENFA/751325/23"/>
    <s v="PZ/801050"/>
    <x v="4"/>
    <d v="2023-01-21T00:00:00"/>
    <s v="15154.31"/>
    <s v="Zaakceptowana"/>
    <s v="Faktura VAT"/>
    <s v="Apteka Szpitalna"/>
    <s v="UM-CEN-01"/>
    <b v="0"/>
    <n v="15154.31"/>
    <s v="OK"/>
    <x v="0"/>
    <x v="1"/>
    <s v="2023-01"/>
    <n v="1"/>
  </r>
  <r>
    <s v="FV/M/2511/P/23"/>
    <s v="PZ/801051"/>
    <x v="5"/>
    <d v="2023-01-21T00:00:00"/>
    <s v="16026.21"/>
    <s v="Zaakceptowana"/>
    <s v="Faktura VAT"/>
    <s v="Apteka Szpitalna"/>
    <s v="UM-MED-01"/>
    <b v="0"/>
    <n v="16026.21"/>
    <s v="OK"/>
    <x v="0"/>
    <x v="1"/>
    <s v="2023-01"/>
    <n v="1"/>
  </r>
  <r>
    <s v="FV/96/PP/3775/23"/>
    <s v="PZ/801052"/>
    <x v="6"/>
    <d v="2023-01-22T00:00:00"/>
    <s v="16875.42"/>
    <s v="Zaakceptowana"/>
    <s v="Faktura VAT"/>
    <s v="Apteka Szpitalna"/>
    <s v="UM-PHA-02"/>
    <b v="0"/>
    <n v="16875.419999999998"/>
    <s v="OK"/>
    <x v="0"/>
    <x v="1"/>
    <s v="2023-01"/>
    <n v="1"/>
  </r>
  <r>
    <s v="FV/POL/96880/2023"/>
    <s v="PZ/801053"/>
    <x v="0"/>
    <d v="2023-01-22T00:00:00"/>
    <s v="25060.24"/>
    <s v="Zaakceptowana"/>
    <s v="Faktura VAT"/>
    <s v="Apteka Szpitalna"/>
    <s v="UM-POL-01"/>
    <b v="0"/>
    <n v="25060.240000000002"/>
    <s v="OK"/>
    <x v="0"/>
    <x v="1"/>
    <s v="2023-01"/>
    <n v="1"/>
  </r>
  <r>
    <s v="FV/CENFA/607525/23"/>
    <s v="PZ/801054"/>
    <x v="4"/>
    <d v="2023-01-23T00:00:00"/>
    <s v="28321.44"/>
    <s v="Zaakceptowana"/>
    <s v="Faktura VAT"/>
    <s v="Apteka Szpitalna"/>
    <s v="UM-CEN-01"/>
    <b v="0"/>
    <n v="28321.439999999999"/>
    <s v="OK"/>
    <x v="0"/>
    <x v="1"/>
    <s v="2023-01"/>
    <n v="1"/>
  </r>
  <r>
    <s v="FV/65/PP/5555/23"/>
    <s v="PZ/801055"/>
    <x v="6"/>
    <d v="2023-01-23T00:00:00"/>
    <s v="19813.86"/>
    <s v="Zaakceptowana"/>
    <s v="Faktura VAT"/>
    <s v="Apteka Szpitalna"/>
    <s v="UM-PHA-02"/>
    <b v="0"/>
    <n v="19813.86"/>
    <s v="OK"/>
    <x v="0"/>
    <x v="1"/>
    <s v="2023-01"/>
    <n v="1"/>
  </r>
  <r>
    <s v="FV/6361HM/23"/>
    <s v="PZ/801056"/>
    <x v="3"/>
    <d v="2023-01-23T00:00:00"/>
    <s v="16343.13"/>
    <s v="Zaakceptowana"/>
    <s v="Faktura VAT"/>
    <s v="Apteka Szpitalna"/>
    <s v="UM-HUR-02"/>
    <b v="0"/>
    <n v="16343.13"/>
    <s v="OK"/>
    <x v="0"/>
    <x v="1"/>
    <s v="2023-01"/>
    <n v="1"/>
  </r>
  <r>
    <s v="FV/M/3661/P/23"/>
    <s v="PZ/801057"/>
    <x v="5"/>
    <d v="2023-01-23T00:00:00"/>
    <s v="18953.9"/>
    <s v="Zaakceptowana"/>
    <s v="Faktura VAT"/>
    <s v="Apteka Szpitalna"/>
    <s v="UM-MED-02"/>
    <b v="0"/>
    <n v="18953.900000000001"/>
    <s v="OK"/>
    <x v="0"/>
    <x v="1"/>
    <s v="2023-01"/>
    <n v="1"/>
  </r>
  <r>
    <s v="FV/57/PP/6664/23"/>
    <s v="PZ/801058"/>
    <x v="6"/>
    <d v="2023-01-25T00:00:00"/>
    <s v="-1731.33"/>
    <s v="Zaakceptowana"/>
    <s v="Korekta FV"/>
    <s v="Apteka Szpitalna"/>
    <s v=""/>
    <b v="0"/>
    <n v="-1731.33"/>
    <s v="OK"/>
    <x v="1"/>
    <x v="1"/>
    <s v="2023-01"/>
    <n v="1"/>
  </r>
  <r>
    <s v="FV/3434HM/23"/>
    <s v="PZ/801059"/>
    <x v="3"/>
    <d v="2023-01-25T00:00:00"/>
    <s v="12382.93"/>
    <s v="Zaakceptowana"/>
    <s v="Faktura VAT"/>
    <s v="Apteka Szpitalna"/>
    <s v="UM-HUR-02"/>
    <b v="0"/>
    <n v="12382.93"/>
    <s v="OK"/>
    <x v="0"/>
    <x v="1"/>
    <s v="2023-01"/>
    <n v="1"/>
  </r>
  <r>
    <s v="FV/44/PP/9789/23"/>
    <s v="PZ/801060"/>
    <x v="6"/>
    <d v="2023-01-25T00:00:00"/>
    <s v="10407.1"/>
    <s v="Zaakceptowana"/>
    <s v="Faktura VAT"/>
    <s v="Apteka Szpitalna"/>
    <s v="UM-PHA-02"/>
    <b v="0"/>
    <n v="10407.1"/>
    <s v="OK"/>
    <x v="0"/>
    <x v="1"/>
    <s v="2023-01"/>
    <n v="1"/>
  </r>
  <r>
    <s v="FV/37/SAL/23"/>
    <s v="PZ/801061"/>
    <x v="1"/>
    <d v="2023-01-25T00:00:00"/>
    <s v="18389.09"/>
    <s v="Zaakceptowana"/>
    <s v="Faktura VAT"/>
    <s v="Apteka Szpitalna"/>
    <s v="UM-SAL-01"/>
    <b v="0"/>
    <n v="18389.09"/>
    <s v="OK"/>
    <x v="0"/>
    <x v="1"/>
    <s v="2023-01"/>
    <n v="1"/>
  </r>
  <r>
    <s v="FV/42062/VDb/2023"/>
    <s v="PZ/801062"/>
    <x v="7"/>
    <d v="2023-01-26T00:00:00"/>
    <s v="16107.35"/>
    <s v="Zaakceptowana"/>
    <s v="Faktura VAT"/>
    <s v="Apteka Szpitalna"/>
    <s v="UM-VIT-01"/>
    <b v="0"/>
    <n v="16107.35"/>
    <s v="OK"/>
    <x v="0"/>
    <x v="1"/>
    <s v="2023-01"/>
    <n v="1"/>
  </r>
  <r>
    <s v="FV/95/PP/9229/23"/>
    <s v="PZ/801063"/>
    <x v="6"/>
    <d v="2023-01-26T00:00:00"/>
    <s v="6219.75"/>
    <s v="Zaakceptowana"/>
    <s v="Faktura VAT"/>
    <s v="Apteka Szpitalna"/>
    <s v="UM-PHA-01"/>
    <b v="0"/>
    <n v="6219.75"/>
    <s v="OK"/>
    <x v="0"/>
    <x v="1"/>
    <s v="2023-01"/>
    <n v="1"/>
  </r>
  <r>
    <s v="FV/46/SAL/23"/>
    <s v="PZ/801064"/>
    <x v="1"/>
    <d v="2023-01-26T00:00:00"/>
    <s v="11800.46"/>
    <s v="Zaakceptowana"/>
    <s v="Faktura VAT"/>
    <s v="Apteka Szpitalna"/>
    <s v=""/>
    <b v="0"/>
    <n v="11800.46"/>
    <s v="OK"/>
    <x v="1"/>
    <x v="1"/>
    <s v="2023-01"/>
    <n v="1"/>
  </r>
  <r>
    <s v="FV/M/5059/P/23"/>
    <s v="PZ/801065"/>
    <x v="5"/>
    <d v="2023-01-26T00:00:00"/>
    <s v="12726.46"/>
    <s v="Zaakceptowana"/>
    <s v="Faktura VAT"/>
    <s v="Apteka Szpitalna"/>
    <s v="UM-MED-02"/>
    <b v="0"/>
    <n v="12726.46"/>
    <s v="OK"/>
    <x v="0"/>
    <x v="1"/>
    <s v="2023-01"/>
    <n v="1"/>
  </r>
  <r>
    <s v="FV/72682/VDb/2023"/>
    <s v="PZ/801066"/>
    <x v="7"/>
    <d v="2023-01-27T00:00:00"/>
    <s v="18423.95"/>
    <s v="Zaakceptowana"/>
    <s v="Faktura VAT"/>
    <s v="Apteka Szpitalna"/>
    <s v="UM-VIT-01"/>
    <b v="0"/>
    <n v="18423.95"/>
    <s v="OK"/>
    <x v="0"/>
    <x v="1"/>
    <s v="2023-01"/>
    <n v="1"/>
  </r>
  <r>
    <s v="FV/11801/VDb/2023"/>
    <s v="PZ/801067"/>
    <x v="7"/>
    <d v="2023-01-27T00:00:00"/>
    <s v="23630.68"/>
    <s v="Zaakceptowana"/>
    <s v="Faktura VAT"/>
    <s v="Apteka Szpitalna"/>
    <s v="UM-VIT-01"/>
    <b v="0"/>
    <n v="23630.68"/>
    <s v="OK"/>
    <x v="0"/>
    <x v="1"/>
    <s v="2023-01"/>
    <n v="1"/>
  </r>
  <r>
    <s v="FV/3388HM/23"/>
    <s v="PZ/801068"/>
    <x v="3"/>
    <d v="2023-01-28T00:00:00"/>
    <s v="16120.51"/>
    <s v="Zaakceptowana"/>
    <s v="Faktura VAT"/>
    <s v="Apteka Szpitalna"/>
    <s v="UM-HUR-02"/>
    <b v="0"/>
    <n v="16120.51"/>
    <s v="OK"/>
    <x v="0"/>
    <x v="1"/>
    <s v="2023-01"/>
    <n v="1"/>
  </r>
  <r>
    <s v="FV/M/8778/P/23"/>
    <s v="PZ/801069"/>
    <x v="5"/>
    <d v="2023-01-29T00:00:00"/>
    <s v="9100.53"/>
    <s v="Zaakceptowana"/>
    <s v="Faktura VAT"/>
    <s v="Apteka Szpitalna"/>
    <s v="UM-MED-01"/>
    <b v="0"/>
    <n v="9100.5300000000007"/>
    <s v="OK"/>
    <x v="0"/>
    <x v="1"/>
    <s v="2023-01"/>
    <n v="1"/>
  </r>
  <r>
    <s v="FV/POL/86644/2023"/>
    <s v="PZ/801070"/>
    <x v="0"/>
    <d v="2023-01-29T00:00:00"/>
    <s v="19614.39"/>
    <s v="Zaakceptowana"/>
    <s v="Faktura VAT"/>
    <s v="Apteka Szpitalna"/>
    <s v="UM-POL-01"/>
    <b v="0"/>
    <n v="19614.39"/>
    <s v="OK"/>
    <x v="0"/>
    <x v="1"/>
    <s v="2023-01"/>
    <n v="1"/>
  </r>
  <r>
    <s v="FV/CENFA/640525/23"/>
    <s v="PZ/801071"/>
    <x v="4"/>
    <d v="2023-01-29T00:00:00"/>
    <s v="13018.87"/>
    <s v="Zaakceptowana"/>
    <s v="Faktura VAT"/>
    <s v="Apteka Szpitalna"/>
    <s v="UM-CEN-01"/>
    <b v="0"/>
    <n v="13018.87"/>
    <s v="OK"/>
    <x v="0"/>
    <x v="1"/>
    <s v="2023-01"/>
    <n v="1"/>
  </r>
  <r>
    <s v="FV/2252HM/23"/>
    <s v="PZ/801072"/>
    <x v="3"/>
    <d v="2023-01-30T00:00:00"/>
    <s v="16313.92"/>
    <s v="Zaakceptowana"/>
    <s v="Faktura VAT"/>
    <s v="Apteka Szpitalna"/>
    <s v="UM-HUR-01"/>
    <b v="0"/>
    <n v="16313.92"/>
    <s v="OK"/>
    <x v="0"/>
    <x v="1"/>
    <s v="2023-01"/>
    <n v="1"/>
  </r>
  <r>
    <s v="FV/17/SAL/23"/>
    <s v="PZ/801073"/>
    <x v="1"/>
    <d v="2023-01-30T00:00:00"/>
    <s v="16897.75"/>
    <s v="Zaakceptowana"/>
    <s v="Faktura VAT"/>
    <s v="Apteka Szpitalna"/>
    <s v="UM-SAL-02"/>
    <b v="0"/>
    <n v="16897.75"/>
    <s v="OK"/>
    <x v="0"/>
    <x v="1"/>
    <s v="2023-01"/>
    <n v="1"/>
  </r>
  <r>
    <s v="FV/CENFA/360452/23"/>
    <s v="PZ/801074"/>
    <x v="4"/>
    <d v="2023-01-30T00:00:00"/>
    <s v="11158.25"/>
    <s v="Zaakceptowana"/>
    <s v="Faktura VAT"/>
    <s v="Apteka Szpitalna"/>
    <s v="UM-CEN-01"/>
    <b v="0"/>
    <n v="11158.25"/>
    <s v="OK"/>
    <x v="0"/>
    <x v="1"/>
    <s v="2023-01"/>
    <n v="1"/>
  </r>
  <r>
    <s v="FV/52/PP/1093/23"/>
    <s v="PZ/801075"/>
    <x v="6"/>
    <d v="2023-01-30T00:00:00"/>
    <s v="11957.55"/>
    <s v="Zaakceptowana"/>
    <s v="Faktura VAT"/>
    <s v="Apteka Szpitalna"/>
    <s v="UM-PHA-01"/>
    <b v="0"/>
    <n v="11957.55"/>
    <s v="OK"/>
    <x v="0"/>
    <x v="1"/>
    <s v="2023-01"/>
    <n v="1"/>
  </r>
  <r>
    <s v="FV/CENFA/315153/23"/>
    <s v="PZ/801076"/>
    <x v="4"/>
    <d v="2023-01-30T00:00:00"/>
    <s v="20570.81"/>
    <s v="Zaakceptowana"/>
    <s v="Faktura VAT"/>
    <s v="Apteka Szpitalna"/>
    <s v="UM-CEN-01"/>
    <b v="0"/>
    <n v="20570.810000000001"/>
    <s v="OK"/>
    <x v="0"/>
    <x v="1"/>
    <s v="2023-01"/>
    <n v="1"/>
  </r>
  <r>
    <s v="FV/1073HM/23"/>
    <s v="PZ/801077"/>
    <x v="3"/>
    <d v="2023-01-31T00:00:00"/>
    <s v="14846.25"/>
    <s v="Zaakceptowana"/>
    <s v="Faktura VAT"/>
    <s v="Apteka Szpitalna"/>
    <s v="UM-HUR-03"/>
    <b v="0"/>
    <n v="14846.25"/>
    <s v="OK"/>
    <x v="0"/>
    <x v="1"/>
    <s v="2023-01"/>
    <n v="1"/>
  </r>
  <r>
    <s v="FV/POL/69521/2023"/>
    <s v="PZ/801078"/>
    <x v="0"/>
    <d v="2023-01-31T00:00:00"/>
    <s v="9130.57"/>
    <s v="Zaakceptowana"/>
    <s v="Faktura VAT"/>
    <s v="Apteka Szpitalna"/>
    <s v="UM-POL-01"/>
    <b v="0"/>
    <n v="9130.57"/>
    <s v="OK"/>
    <x v="0"/>
    <x v="1"/>
    <s v="2023-01"/>
    <n v="1"/>
  </r>
  <r>
    <s v="FV/POL/66382/2023"/>
    <s v="PZ/801079"/>
    <x v="0"/>
    <d v="2023-02-01T00:00:00"/>
    <s v="14449.47"/>
    <s v="Zaakceptowana"/>
    <s v="Faktura VAT"/>
    <s v="Apteka Szpitalna"/>
    <s v="UM-POL-01"/>
    <b v="0"/>
    <n v="14449.47"/>
    <s v="OK"/>
    <x v="0"/>
    <x v="1"/>
    <s v="2023-02"/>
    <n v="1"/>
  </r>
  <r>
    <s v="FV/6963HM/23"/>
    <s v="PZ/801080"/>
    <x v="3"/>
    <d v="2023-02-01T00:00:00"/>
    <s v="13245.81"/>
    <s v="Zaakceptowana"/>
    <s v="Faktura VAT"/>
    <s v="Apteka Szpitalna"/>
    <s v="UM-HUR-01"/>
    <b v="0"/>
    <n v="13245.81"/>
    <s v="OK"/>
    <x v="0"/>
    <x v="1"/>
    <s v="2023-02"/>
    <n v="1"/>
  </r>
  <r>
    <s v="FV/46/SAL/23"/>
    <s v="PZ/801081"/>
    <x v="1"/>
    <d v="2023-02-02T00:00:00"/>
    <s v="20496.64"/>
    <s v="Zaakceptowana"/>
    <s v="Faktura VAT"/>
    <s v="Apteka Szpitalna"/>
    <s v="UM-SAL-01"/>
    <b v="0"/>
    <n v="20496.64"/>
    <s v="OK"/>
    <x v="0"/>
    <x v="1"/>
    <s v="2023-02"/>
    <n v="1"/>
  </r>
  <r>
    <s v="FV/81/PP/6120/23"/>
    <s v="PZ/801082"/>
    <x v="6"/>
    <d v="2023-02-03T00:00:00"/>
    <s v="12002.98"/>
    <s v="Zaakceptowana"/>
    <s v="Faktura VAT"/>
    <s v="Apteka Szpitalna"/>
    <s v=""/>
    <b v="0"/>
    <n v="12002.98"/>
    <s v="OK"/>
    <x v="1"/>
    <x v="1"/>
    <s v="2023-02"/>
    <n v="1"/>
  </r>
  <r>
    <s v="FV/71472/VDb/2023"/>
    <s v="PZ/801083"/>
    <x v="7"/>
    <d v="2023-02-03T00:00:00"/>
    <s v="10666.24"/>
    <s v="Zaakceptowana"/>
    <s v="Faktura VAT"/>
    <s v="Apteka Szpitalna"/>
    <s v="UM-VIT-01"/>
    <b v="0"/>
    <n v="10666.24"/>
    <s v="OK"/>
    <x v="0"/>
    <x v="1"/>
    <s v="2023-02"/>
    <n v="1"/>
  </r>
  <r>
    <s v="FV/3270HM/23"/>
    <s v="PZ/801084"/>
    <x v="3"/>
    <d v="2023-02-04T00:00:00"/>
    <s v="21897.2"/>
    <s v="Zaakceptowana"/>
    <s v="Faktura VAT"/>
    <s v="Apteka Szpitalna"/>
    <s v="UM-HUR-01"/>
    <b v="0"/>
    <n v="21897.200000000001"/>
    <s v="OK"/>
    <x v="0"/>
    <x v="1"/>
    <s v="2023-02"/>
    <n v="1"/>
  </r>
  <r>
    <s v="FV/POL/63574/2023"/>
    <s v="PZ/801085"/>
    <x v="0"/>
    <d v="2023-02-04T00:00:00"/>
    <s v="22057.1"/>
    <s v="Zaakceptowana"/>
    <s v="Faktura VAT"/>
    <s v="Apteka Szpitalna"/>
    <s v="UM-POL-02"/>
    <b v="0"/>
    <n v="22057.1"/>
    <s v="OK"/>
    <x v="0"/>
    <x v="1"/>
    <s v="2023-02"/>
    <n v="1"/>
  </r>
  <r>
    <s v="FV/84826/VDb/2023"/>
    <s v="PZ/801086"/>
    <x v="7"/>
    <d v="2023-02-04T00:00:00"/>
    <s v="24007.87"/>
    <s v="Zaakceptowana"/>
    <s v="Faktura VAT"/>
    <s v="Apteka Szpitalna"/>
    <s v=""/>
    <b v="0"/>
    <n v="24007.87"/>
    <s v="OK"/>
    <x v="1"/>
    <x v="1"/>
    <s v="2023-02"/>
    <n v="1"/>
  </r>
  <r>
    <s v="FV/71814/VDb/2023"/>
    <s v="PZ/801087"/>
    <x v="7"/>
    <d v="2023-02-05T00:00:00"/>
    <s v="8005.89"/>
    <s v="Zaakceptowana"/>
    <s v="Faktura VAT"/>
    <s v="Apteka Szpitalna"/>
    <s v="UM-VIT-01"/>
    <b v="0"/>
    <n v="8005.89"/>
    <s v="OK"/>
    <x v="0"/>
    <x v="1"/>
    <s v="2023-02"/>
    <n v="1"/>
  </r>
  <r>
    <s v="FV/44/PP/2296/23"/>
    <s v="PZ/801088"/>
    <x v="6"/>
    <d v="2023-02-06T00:00:00"/>
    <s v="16632.6"/>
    <s v="Zaakceptowana"/>
    <s v="Faktura VAT"/>
    <s v="Apteka Szpitalna"/>
    <s v="UM-PHA-01"/>
    <b v="0"/>
    <n v="16632.599999999999"/>
    <s v="OK"/>
    <x v="0"/>
    <x v="1"/>
    <s v="2023-02"/>
    <n v="1"/>
  </r>
  <r>
    <s v="FV/M/5993/P/23"/>
    <s v="PZ/801089"/>
    <x v="5"/>
    <d v="2023-02-06T00:00:00"/>
    <s v="14019.59"/>
    <s v="Zaakceptowana"/>
    <s v="Faktura VAT"/>
    <s v="Apteka Szpitalna"/>
    <s v="UM-MED-02"/>
    <b v="0"/>
    <n v="14019.59"/>
    <s v="OK"/>
    <x v="0"/>
    <x v="1"/>
    <s v="2023-02"/>
    <n v="1"/>
  </r>
  <r>
    <s v="FV/9819HM/23"/>
    <s v="PZ/801090"/>
    <x v="3"/>
    <d v="2023-02-07T00:00:00"/>
    <s v="14880.89"/>
    <s v="Zaakceptowana"/>
    <s v="Faktura VAT"/>
    <s v="Apteka Szpitalna"/>
    <s v="UM-HUR-03"/>
    <b v="0"/>
    <n v="14880.89"/>
    <s v="OK"/>
    <x v="0"/>
    <x v="1"/>
    <s v="2023-02"/>
    <n v="1"/>
  </r>
  <r>
    <s v="FV/M/9271/P/23"/>
    <s v="PZ/801091"/>
    <x v="5"/>
    <d v="2023-02-08T00:00:00"/>
    <s v="11571.53"/>
    <s v="Zaakceptowana"/>
    <s v="Faktura VAT"/>
    <s v="Apteka Szpitalna"/>
    <s v="UM-MED-01"/>
    <b v="0"/>
    <n v="11571.53"/>
    <s v="OK"/>
    <x v="0"/>
    <x v="1"/>
    <s v="2023-02"/>
    <n v="1"/>
  </r>
  <r>
    <s v="FV/CENFA/251928/23"/>
    <s v="PZ/801092"/>
    <x v="4"/>
    <d v="2023-02-08T00:00:00"/>
    <s v="15184.36"/>
    <s v="Zaakceptowana"/>
    <s v="Faktura VAT"/>
    <s v="Apteka Szpitalna"/>
    <s v="UM-CEN-02"/>
    <b v="0"/>
    <n v="15184.36"/>
    <s v="OK"/>
    <x v="0"/>
    <x v="1"/>
    <s v="2023-02"/>
    <n v="1"/>
  </r>
  <r>
    <s v="FV/1511HM/23"/>
    <s v="PZ/801093"/>
    <x v="3"/>
    <d v="2023-02-09T00:00:00"/>
    <s v="12007.01"/>
    <s v="Zaakceptowana"/>
    <s v="Faktura VAT"/>
    <s v="Apteka Szpitalna"/>
    <s v="UM-HUR-01"/>
    <b v="0"/>
    <n v="12007.01"/>
    <s v="OK"/>
    <x v="0"/>
    <x v="1"/>
    <s v="2023-02"/>
    <n v="1"/>
  </r>
  <r>
    <s v="FV/POL/24303/2023"/>
    <s v="PZ/801094"/>
    <x v="0"/>
    <d v="2023-02-09T00:00:00"/>
    <s v="16241.21"/>
    <s v="Zaakceptowana"/>
    <s v="Faktura VAT"/>
    <s v="Apteka Szpitalna"/>
    <s v="UM-POL-01"/>
    <b v="0"/>
    <n v="16241.21"/>
    <s v="OK"/>
    <x v="0"/>
    <x v="1"/>
    <s v="2023-02"/>
    <n v="1"/>
  </r>
  <r>
    <s v="FV/41528/VDb/2023"/>
    <s v="PZ/801095"/>
    <x v="7"/>
    <d v="2023-02-09T00:00:00"/>
    <s v="18178.85"/>
    <s v="Zaakceptowana"/>
    <s v="Faktura VAT"/>
    <s v="Apteka Szpitalna"/>
    <s v="UM-VIT-01"/>
    <b v="0"/>
    <n v="18178.849999999999"/>
    <s v="OK"/>
    <x v="0"/>
    <x v="1"/>
    <s v="2023-02"/>
    <n v="1"/>
  </r>
  <r>
    <s v="FV/POL/14421/2023"/>
    <s v="PZ/801096"/>
    <x v="0"/>
    <d v="2023-02-10T00:00:00"/>
    <s v="18116.99"/>
    <s v="Zaakceptowana"/>
    <s v="Faktura VAT"/>
    <s v="Apteka Szpitalna"/>
    <s v="UM-POL-03"/>
    <b v="0"/>
    <n v="18116.990000000002"/>
    <s v="OK"/>
    <x v="0"/>
    <x v="1"/>
    <s v="2023-02"/>
    <n v="1"/>
  </r>
  <r>
    <s v="FV/M/7490/P/23"/>
    <s v="PZ/801097"/>
    <x v="5"/>
    <d v="2023-02-10T00:00:00"/>
    <s v="16984.23"/>
    <s v="Zaakceptowana"/>
    <s v="Faktura VAT"/>
    <s v="Apteka Szpitalna"/>
    <s v=""/>
    <b v="0"/>
    <n v="16984.23"/>
    <s v="OK"/>
    <x v="1"/>
    <x v="1"/>
    <s v="2023-02"/>
    <n v="1"/>
  </r>
  <r>
    <s v="FV/CENFA/655185/23"/>
    <s v="PZ/801098"/>
    <x v="4"/>
    <d v="2023-02-11T00:00:00"/>
    <s v="14437.05"/>
    <s v="Zaakceptowana"/>
    <s v="Faktura VAT"/>
    <s v="Apteka Szpitalna"/>
    <s v="UM-CEN-02"/>
    <b v="0"/>
    <n v="14437.05"/>
    <s v="OK"/>
    <x v="0"/>
    <x v="1"/>
    <s v="2023-02"/>
    <n v="1"/>
  </r>
  <r>
    <s v="FV/POL/63133/2023"/>
    <s v="PZ/801099"/>
    <x v="0"/>
    <d v="2023-02-11T00:00:00"/>
    <s v="11511.68"/>
    <s v="Zaakceptowana"/>
    <s v="Faktura VAT"/>
    <s v="Apteka Szpitalna"/>
    <s v=""/>
    <b v="0"/>
    <n v="11511.68"/>
    <s v="OK"/>
    <x v="1"/>
    <x v="1"/>
    <s v="2023-02"/>
    <n v="1"/>
  </r>
  <r>
    <s v="FV/1151HM/23"/>
    <s v="PZ/801100"/>
    <x v="3"/>
    <d v="2023-02-11T00:00:00"/>
    <s v="18974.84"/>
    <s v="Zaakceptowana"/>
    <s v="Faktura VAT"/>
    <s v="Apteka Szpitalna"/>
    <s v=""/>
    <b v="0"/>
    <n v="18974.84"/>
    <s v="OK"/>
    <x v="1"/>
    <x v="1"/>
    <s v="2023-02"/>
    <n v="1"/>
  </r>
  <r>
    <s v="FV/48311/VDb/2023"/>
    <s v="PZ/801101"/>
    <x v="7"/>
    <d v="2023-02-11T00:00:00"/>
    <s v="16353.42"/>
    <s v="Zaakceptowana"/>
    <s v="Faktura VAT"/>
    <s v="Apteka Szpitalna"/>
    <s v="UM-VIT-01"/>
    <b v="0"/>
    <n v="16353.42"/>
    <s v="OK"/>
    <x v="0"/>
    <x v="1"/>
    <s v="2023-02"/>
    <n v="1"/>
  </r>
  <r>
    <s v="FV/33/SAL/23"/>
    <s v="PZ/801102"/>
    <x v="1"/>
    <d v="2023-02-11T00:00:00"/>
    <s v="-2081.01"/>
    <s v="Zaakceptowana"/>
    <s v="Korekta FV"/>
    <s v="Apteka Szpitalna"/>
    <s v="UM-SAL-01"/>
    <b v="0"/>
    <n v="-2081.0100000000002"/>
    <s v="OK"/>
    <x v="0"/>
    <x v="1"/>
    <s v="2023-02"/>
    <n v="1"/>
  </r>
  <r>
    <s v="FV/32848/VDb/2023"/>
    <s v="PZ/801103"/>
    <x v="7"/>
    <d v="2023-02-11T00:00:00"/>
    <s v="14489.73"/>
    <s v="Zaakceptowana"/>
    <s v="Faktura VAT"/>
    <s v="Apteka Szpitalna"/>
    <s v="UM-VIT-01"/>
    <b v="0"/>
    <n v="14489.73"/>
    <s v="OK"/>
    <x v="0"/>
    <x v="1"/>
    <s v="2023-02"/>
    <n v="1"/>
  </r>
  <r>
    <s v="FV/CENFA/174537/23"/>
    <s v="PZ/801104"/>
    <x v="4"/>
    <d v="2023-02-12T00:00:00"/>
    <s v="13651.16"/>
    <s v="Zaakceptowana"/>
    <s v="Faktura VAT"/>
    <s v="Apteka Szpitalna"/>
    <s v="UM-CEN-01"/>
    <b v="0"/>
    <n v="13651.16"/>
    <s v="OK"/>
    <x v="0"/>
    <x v="1"/>
    <s v="2023-02"/>
    <n v="1"/>
  </r>
  <r>
    <s v="FV/CENFA/691379/23"/>
    <s v="PZ/801105"/>
    <x v="4"/>
    <d v="2023-02-12T00:00:00"/>
    <s v="13514.79"/>
    <s v="Zaakceptowana"/>
    <s v="Faktura VAT"/>
    <s v="Apteka Szpitalna"/>
    <s v=""/>
    <b v="0"/>
    <n v="13514.79"/>
    <s v="OK"/>
    <x v="1"/>
    <x v="1"/>
    <s v="2023-02"/>
    <n v="1"/>
  </r>
  <r>
    <s v="FV/57/SAL/23"/>
    <s v="PZ/801106"/>
    <x v="1"/>
    <d v="2023-02-12T00:00:00"/>
    <s v="23020.44"/>
    <s v="Zaakceptowana"/>
    <s v="Faktura VAT"/>
    <s v="Apteka Szpitalna"/>
    <s v="UM-SAL-02"/>
    <b v="0"/>
    <n v="23020.44"/>
    <s v="OK"/>
    <x v="0"/>
    <x v="1"/>
    <s v="2023-02"/>
    <n v="1"/>
  </r>
  <r>
    <s v="FV/60/PP/8793/23"/>
    <s v="PZ/801107"/>
    <x v="6"/>
    <d v="2023-02-12T00:00:00"/>
    <s v="14641.67"/>
    <s v="Zaakceptowana"/>
    <s v="Faktura VAT"/>
    <s v="Apteka Szpitalna"/>
    <s v=""/>
    <b v="0"/>
    <n v="14641.67"/>
    <s v="OK"/>
    <x v="1"/>
    <x v="1"/>
    <s v="2023-02"/>
    <n v="1"/>
  </r>
  <r>
    <s v="FV/92/PP/9716/23"/>
    <s v="PZ/801108"/>
    <x v="6"/>
    <d v="2023-02-12T00:00:00"/>
    <s v="28349.77"/>
    <s v="Zaakceptowana"/>
    <s v="Faktura VAT"/>
    <s v="Apteka Szpitalna"/>
    <s v="UM-PHA-02"/>
    <b v="0"/>
    <n v="28349.77"/>
    <s v="OK"/>
    <x v="0"/>
    <x v="1"/>
    <s v="2023-02"/>
    <n v="1"/>
  </r>
  <r>
    <s v="FV/CENFA/510179/23"/>
    <s v="PZ/801109"/>
    <x v="4"/>
    <d v="2023-02-13T00:00:00"/>
    <s v="14825.0"/>
    <s v="Zaakceptowana"/>
    <s v="Faktura VAT"/>
    <s v="Apteka Szpitalna"/>
    <s v="UM-CEN-02"/>
    <b v="0"/>
    <n v="14825"/>
    <s v="OK"/>
    <x v="0"/>
    <x v="1"/>
    <s v="2023-02"/>
    <n v="1"/>
  </r>
  <r>
    <s v="FV/77/SAL/23"/>
    <s v="PZ/801110"/>
    <x v="1"/>
    <d v="2023-02-13T00:00:00"/>
    <s v="16620.82"/>
    <s v="Zaakceptowana"/>
    <s v="Faktura VAT"/>
    <s v="Apteka Szpitalna"/>
    <s v="UM-SAL-01"/>
    <b v="0"/>
    <n v="16620.82"/>
    <s v="OK"/>
    <x v="0"/>
    <x v="1"/>
    <s v="2023-02"/>
    <n v="1"/>
  </r>
  <r>
    <s v="FV/CENFA/101213/23"/>
    <s v="PZ/801111"/>
    <x v="4"/>
    <d v="2023-02-14T00:00:00"/>
    <s v="19762.46"/>
    <s v="Zaakceptowana"/>
    <s v="Faktura VAT"/>
    <s v="Apteka Szpitalna"/>
    <s v=""/>
    <b v="0"/>
    <n v="19762.46"/>
    <s v="OK"/>
    <x v="1"/>
    <x v="1"/>
    <s v="2023-02"/>
    <n v="1"/>
  </r>
  <r>
    <s v="FV/POL/47801/2023"/>
    <s v="PZ/801112"/>
    <x v="0"/>
    <d v="2023-02-14T00:00:00"/>
    <s v="15118.64"/>
    <s v="Zaakceptowana"/>
    <s v="Faktura VAT"/>
    <s v="Apteka Szpitalna"/>
    <s v="UM-POL-01"/>
    <b v="0"/>
    <n v="15118.64"/>
    <s v="OK"/>
    <x v="0"/>
    <x v="1"/>
    <s v="2023-02"/>
    <n v="1"/>
  </r>
  <r>
    <s v="FV/2791HM/23"/>
    <s v="PZ/801113"/>
    <x v="3"/>
    <d v="2023-02-14T00:00:00"/>
    <s v="12528.26"/>
    <s v="Zaakceptowana"/>
    <s v="Faktura VAT"/>
    <s v="Apteka Szpitalna"/>
    <s v=""/>
    <b v="0"/>
    <n v="12528.26"/>
    <s v="OK"/>
    <x v="1"/>
    <x v="1"/>
    <s v="2023-02"/>
    <n v="1"/>
  </r>
  <r>
    <s v="FV/1878HM/23"/>
    <s v="PZ/801114"/>
    <x v="3"/>
    <d v="2023-02-14T00:00:00"/>
    <s v="11786.1"/>
    <s v="Zaakceptowana"/>
    <s v="Faktura VAT"/>
    <s v="Apteka Szpitalna"/>
    <s v="UM-HUR-01"/>
    <b v="0"/>
    <n v="11786.1"/>
    <s v="OK"/>
    <x v="0"/>
    <x v="1"/>
    <s v="2023-02"/>
    <n v="1"/>
  </r>
  <r>
    <s v="FV/CENFA/709975/23"/>
    <s v="PZ/801115"/>
    <x v="4"/>
    <d v="2023-02-15T00:00:00"/>
    <s v="13314.79"/>
    <s v="Zaakceptowana"/>
    <s v="Faktura VAT"/>
    <s v="Apteka Szpitalna"/>
    <s v=""/>
    <b v="0"/>
    <n v="13314.79"/>
    <s v="OK"/>
    <x v="1"/>
    <x v="1"/>
    <s v="2023-02"/>
    <n v="1"/>
  </r>
  <r>
    <s v="FV/M/8683/P/23"/>
    <s v="PZ/801116"/>
    <x v="5"/>
    <d v="2023-02-15T00:00:00"/>
    <s v="17350.18"/>
    <s v="Zaakceptowana"/>
    <s v="Faktura VAT"/>
    <s v="Apteka Szpitalna"/>
    <s v=""/>
    <b v="0"/>
    <n v="17350.18"/>
    <s v="OK"/>
    <x v="1"/>
    <x v="1"/>
    <s v="2023-02"/>
    <n v="1"/>
  </r>
  <r>
    <s v="FV/M/3834/P/23"/>
    <s v="PZ/801117"/>
    <x v="5"/>
    <d v="2023-02-16T00:00:00"/>
    <s v="22910.15"/>
    <s v="Zaakceptowana"/>
    <s v="Faktura VAT"/>
    <s v="Apteka Szpitalna"/>
    <s v="UM-MED-02"/>
    <b v="0"/>
    <n v="22910.15"/>
    <s v="OK"/>
    <x v="0"/>
    <x v="1"/>
    <s v="2023-02"/>
    <n v="1"/>
  </r>
  <r>
    <s v="FV/9324/NOVA/23"/>
    <s v="PZ/801118"/>
    <x v="2"/>
    <d v="2023-02-16T00:00:00"/>
    <s v="3895.29"/>
    <s v="Zaakceptowana"/>
    <s v="Faktura VAT"/>
    <s v="Apteka Szpitalna"/>
    <s v="UM-NOV-03"/>
    <b v="0"/>
    <n v="3895.29"/>
    <s v="OK"/>
    <x v="0"/>
    <x v="1"/>
    <s v="2023-02"/>
    <n v="1"/>
  </r>
  <r>
    <s v="FV/14925/VDb/2023"/>
    <s v="PZ/801119"/>
    <x v="7"/>
    <d v="2023-02-17T00:00:00"/>
    <s v="21213.16"/>
    <s v="Zaakceptowana"/>
    <s v="Faktura VAT"/>
    <s v="Apteka Szpitalna"/>
    <s v=""/>
    <b v="0"/>
    <n v="21213.16"/>
    <s v="OK"/>
    <x v="1"/>
    <x v="1"/>
    <s v="2023-02"/>
    <n v="1"/>
  </r>
  <r>
    <s v="FV/37/PP/9035/23"/>
    <s v="PZ/801120"/>
    <x v="6"/>
    <d v="2023-02-18T00:00:00"/>
    <s v="18740.52"/>
    <s v="Zaakceptowana"/>
    <s v="Faktura VAT"/>
    <s v="Apteka Szpitalna"/>
    <s v="UM-PHA-01"/>
    <b v="0"/>
    <n v="18740.52"/>
    <s v="OK"/>
    <x v="0"/>
    <x v="1"/>
    <s v="2023-02"/>
    <n v="1"/>
  </r>
  <r>
    <s v="FV/4285/NOVA/23"/>
    <s v="PZ/801121"/>
    <x v="2"/>
    <d v="2023-02-18T00:00:00"/>
    <s v="12485.58"/>
    <s v="Zaakceptowana"/>
    <s v="Faktura VAT"/>
    <s v="Apteka Szpitalna"/>
    <s v="UM-NOV-03"/>
    <b v="0"/>
    <n v="12485.58"/>
    <s v="OK"/>
    <x v="0"/>
    <x v="1"/>
    <s v="2023-02"/>
    <n v="1"/>
  </r>
  <r>
    <s v="FV/4647HM/23"/>
    <s v="PZ/801122"/>
    <x v="3"/>
    <d v="2023-02-18T00:00:00"/>
    <s v="12180.71"/>
    <s v="Zaakceptowana"/>
    <s v="Faktura VAT"/>
    <s v="Apteka Szpitalna"/>
    <s v="UM-HUR-02"/>
    <b v="0"/>
    <n v="12180.71"/>
    <s v="OK"/>
    <x v="0"/>
    <x v="1"/>
    <s v="2023-02"/>
    <n v="1"/>
  </r>
  <r>
    <s v="FV/POL/53020/2023"/>
    <s v="PZ/801123"/>
    <x v="0"/>
    <d v="2023-02-18T00:00:00"/>
    <s v="16137.68"/>
    <s v="Zaakceptowana"/>
    <s v="Faktura VAT"/>
    <s v="Apteka Szpitalna"/>
    <s v="UM-POL-02"/>
    <b v="0"/>
    <n v="16137.68"/>
    <s v="OK"/>
    <x v="0"/>
    <x v="1"/>
    <s v="2023-02"/>
    <n v="1"/>
  </r>
  <r>
    <s v="FV/CENFA/912884/23"/>
    <s v="PZ/801124"/>
    <x v="4"/>
    <d v="2023-02-18T00:00:00"/>
    <s v="22372.29"/>
    <s v="Zaakceptowana"/>
    <s v="Faktura VAT"/>
    <s v="Apteka Szpitalna"/>
    <s v="UM-CEN-02"/>
    <b v="0"/>
    <n v="22372.29"/>
    <s v="OK"/>
    <x v="0"/>
    <x v="1"/>
    <s v="2023-02"/>
    <n v="1"/>
  </r>
  <r>
    <s v="FV/5959/NOVA/23"/>
    <s v="PZ/801125"/>
    <x v="2"/>
    <d v="2023-02-19T00:00:00"/>
    <s v="8906.1"/>
    <s v="Zaakceptowana"/>
    <s v="Faktura VAT"/>
    <s v="Apteka Szpitalna"/>
    <s v="UM-NOV-02"/>
    <b v="0"/>
    <n v="8906.1"/>
    <s v="OK"/>
    <x v="0"/>
    <x v="1"/>
    <s v="2023-02"/>
    <n v="1"/>
  </r>
  <r>
    <s v="FV/POL/88269/2023"/>
    <s v="PZ/801126"/>
    <x v="0"/>
    <d v="2023-02-19T00:00:00"/>
    <s v="19984.71"/>
    <s v="Zaakceptowana"/>
    <s v="Faktura VAT"/>
    <s v="Apteka Szpitalna"/>
    <s v="UM-POL-03"/>
    <b v="0"/>
    <n v="19984.71"/>
    <s v="OK"/>
    <x v="0"/>
    <x v="1"/>
    <s v="2023-02"/>
    <n v="1"/>
  </r>
  <r>
    <s v="FV/8371/NOVA/23"/>
    <s v="PZ/801127"/>
    <x v="2"/>
    <d v="2023-02-19T00:00:00"/>
    <s v="18993.24"/>
    <s v="Zaakceptowana"/>
    <s v="Faktura VAT"/>
    <s v="Apteka Szpitalna"/>
    <s v="UM-NOV-02"/>
    <b v="0"/>
    <n v="18993.240000000002"/>
    <s v="OK"/>
    <x v="0"/>
    <x v="1"/>
    <s v="2023-02"/>
    <n v="1"/>
  </r>
  <r>
    <s v="FV/POL/30832/2023"/>
    <s v="PZ/801128"/>
    <x v="0"/>
    <d v="2023-02-19T00:00:00"/>
    <s v="13833.12"/>
    <s v="Zaakceptowana"/>
    <s v="Faktura VAT"/>
    <s v="Apteka Szpitalna"/>
    <s v="UM-POL-02"/>
    <b v="0"/>
    <n v="13833.12"/>
    <s v="OK"/>
    <x v="0"/>
    <x v="1"/>
    <s v="2023-02"/>
    <n v="1"/>
  </r>
  <r>
    <s v="FV/POL/95219/2023"/>
    <s v="PZ/801129"/>
    <x v="0"/>
    <d v="2023-02-19T00:00:00"/>
    <s v="12002.6"/>
    <s v="Zaakceptowana"/>
    <s v="Faktura VAT"/>
    <s v="Apteka Szpitalna"/>
    <s v=""/>
    <b v="0"/>
    <n v="12002.6"/>
    <s v="OK"/>
    <x v="1"/>
    <x v="1"/>
    <s v="2023-02"/>
    <n v="1"/>
  </r>
  <r>
    <s v="FV/POL/86361/2023"/>
    <s v="PZ/801130"/>
    <x v="0"/>
    <d v="2023-02-20T00:00:00"/>
    <s v="9930.53"/>
    <s v="Zaakceptowana"/>
    <s v="Faktura VAT"/>
    <s v="Apteka Szpitalna"/>
    <s v="UM-POL-01"/>
    <b v="0"/>
    <n v="9930.5300000000007"/>
    <s v="OK"/>
    <x v="0"/>
    <x v="1"/>
    <s v="2023-02"/>
    <n v="1"/>
  </r>
  <r>
    <s v="FV/POL/31742/2023"/>
    <s v="PZ/801131"/>
    <x v="0"/>
    <d v="2023-02-20T00:00:00"/>
    <s v="16271.03"/>
    <s v="Zaakceptowana"/>
    <s v="Faktura VAT"/>
    <s v="Apteka Szpitalna"/>
    <s v="UM-POL-01"/>
    <b v="0"/>
    <n v="16271.03"/>
    <s v="OK"/>
    <x v="0"/>
    <x v="1"/>
    <s v="2023-02"/>
    <n v="1"/>
  </r>
  <r>
    <s v="FV/58/SAL/23"/>
    <s v="PZ/801132"/>
    <x v="1"/>
    <d v="2023-02-21T00:00:00"/>
    <s v="11044.94"/>
    <s v="Zaakceptowana"/>
    <s v="Faktura VAT"/>
    <s v="Apteka Szpitalna"/>
    <s v="UM-SAL-01"/>
    <b v="0"/>
    <n v="11044.94"/>
    <s v="OK"/>
    <x v="0"/>
    <x v="1"/>
    <s v="2023-02"/>
    <n v="1"/>
  </r>
  <r>
    <s v="FV/94/SAL/23"/>
    <s v="PZ/801133"/>
    <x v="1"/>
    <d v="2023-02-21T00:00:00"/>
    <s v="19627.27"/>
    <s v="Zaakceptowana"/>
    <s v="Faktura VAT"/>
    <s v="Apteka Szpitalna"/>
    <s v=""/>
    <b v="0"/>
    <n v="19627.27"/>
    <s v="OK"/>
    <x v="1"/>
    <x v="1"/>
    <s v="2023-02"/>
    <n v="1"/>
  </r>
  <r>
    <s v="FV/3485/NOVA/23"/>
    <s v="PZ/801134"/>
    <x v="2"/>
    <d v="2023-02-21T00:00:00"/>
    <s v="22976.18"/>
    <s v="Zaakceptowana"/>
    <s v="Faktura VAT"/>
    <s v="Apteka Szpitalna"/>
    <s v="UM-NOV-01"/>
    <b v="0"/>
    <n v="22976.18"/>
    <s v="OK"/>
    <x v="0"/>
    <x v="1"/>
    <s v="2023-02"/>
    <n v="1"/>
  </r>
  <r>
    <s v="FV/69/SAL/23"/>
    <s v="PZ/801135"/>
    <x v="1"/>
    <d v="2023-02-22T00:00:00"/>
    <s v="14802.85"/>
    <s v="Zaakceptowana"/>
    <s v="Faktura VAT"/>
    <s v="Apteka Szpitalna"/>
    <s v="UM-SAL-01"/>
    <b v="0"/>
    <n v="14802.85"/>
    <s v="OK"/>
    <x v="0"/>
    <x v="1"/>
    <s v="2023-02"/>
    <n v="1"/>
  </r>
  <r>
    <s v="FV/5826HM/23"/>
    <s v="PZ/801136"/>
    <x v="3"/>
    <d v="2023-02-22T00:00:00"/>
    <s v="5409.68"/>
    <s v="Zaakceptowana"/>
    <s v="Faktura VAT"/>
    <s v="Apteka Szpitalna"/>
    <s v="UM-HUR-03"/>
    <b v="0"/>
    <n v="5409.68"/>
    <s v="OK"/>
    <x v="0"/>
    <x v="1"/>
    <s v="2023-02"/>
    <n v="1"/>
  </r>
  <r>
    <s v="FV/M/6727/P/23"/>
    <s v="PZ/801137"/>
    <x v="5"/>
    <d v="2023-02-23T00:00:00"/>
    <s v="21955.82"/>
    <s v="Zaakceptowana"/>
    <s v="Faktura VAT"/>
    <s v="Apteka Szpitalna"/>
    <s v="UM-MED-02"/>
    <b v="0"/>
    <n v="21955.82"/>
    <s v="OK"/>
    <x v="0"/>
    <x v="1"/>
    <s v="2023-02"/>
    <n v="1"/>
  </r>
  <r>
    <s v="FV/CENFA/127949/23"/>
    <s v="PZ/801138"/>
    <x v="4"/>
    <d v="2023-02-23T00:00:00"/>
    <s v="9805.71"/>
    <s v="Zaakceptowana"/>
    <s v="Faktura VAT"/>
    <s v="Apteka Szpitalna"/>
    <s v="UM-CEN-01"/>
    <b v="0"/>
    <n v="9805.7099999999991"/>
    <s v="OK"/>
    <x v="0"/>
    <x v="1"/>
    <s v="2023-02"/>
    <n v="1"/>
  </r>
  <r>
    <s v="FV/39/PP/4594/23"/>
    <s v="PZ/801139"/>
    <x v="6"/>
    <d v="2023-02-23T00:00:00"/>
    <s v="17906.57"/>
    <s v="Zaakceptowana"/>
    <s v="Faktura VAT"/>
    <s v="Apteka Szpitalna"/>
    <s v="UM-PHA-01"/>
    <b v="0"/>
    <n v="17906.57"/>
    <s v="OK"/>
    <x v="0"/>
    <x v="1"/>
    <s v="2023-02"/>
    <n v="1"/>
  </r>
  <r>
    <s v="FV/3132/NOVA/23"/>
    <s v="PZ/801140"/>
    <x v="2"/>
    <d v="2023-02-24T00:00:00"/>
    <s v="22097.5"/>
    <s v="Zaakceptowana"/>
    <s v="Faktura VAT"/>
    <s v="Apteka Szpitalna"/>
    <s v="UM-NOV-01"/>
    <b v="0"/>
    <n v="22097.5"/>
    <s v="OK"/>
    <x v="0"/>
    <x v="1"/>
    <s v="2023-02"/>
    <n v="1"/>
  </r>
  <r>
    <s v="FV/CENFA/133673/23"/>
    <s v="PZ/801141"/>
    <x v="4"/>
    <d v="2023-02-24T00:00:00"/>
    <s v="15389.56"/>
    <s v="Zaakceptowana"/>
    <s v="Faktura VAT"/>
    <s v="Apteka Szpitalna"/>
    <s v=""/>
    <b v="0"/>
    <n v="15389.56"/>
    <s v="OK"/>
    <x v="1"/>
    <x v="1"/>
    <s v="2023-02"/>
    <n v="1"/>
  </r>
  <r>
    <s v="FV/55103/VDb/2023"/>
    <s v="PZ/801142"/>
    <x v="7"/>
    <d v="2023-02-24T00:00:00"/>
    <s v="8442.53"/>
    <s v="Zaakceptowana"/>
    <s v="Faktura VAT"/>
    <s v="Apteka Szpitalna"/>
    <s v="UM-VIT-01"/>
    <b v="0"/>
    <n v="8442.5300000000007"/>
    <s v="OK"/>
    <x v="0"/>
    <x v="1"/>
    <s v="2023-02"/>
    <n v="1"/>
  </r>
  <r>
    <s v="FV/M/3269/P/23"/>
    <s v="PZ/801143"/>
    <x v="5"/>
    <d v="2023-02-24T00:00:00"/>
    <s v="12399.0"/>
    <s v="Zaakceptowana"/>
    <s v="Faktura VAT"/>
    <s v="Apteka Szpitalna"/>
    <s v=""/>
    <b v="0"/>
    <n v="12399"/>
    <s v="OK"/>
    <x v="1"/>
    <x v="1"/>
    <s v="2023-02"/>
    <n v="1"/>
  </r>
  <r>
    <s v="FV/M/2331/P/23"/>
    <s v="PZ/801144"/>
    <x v="5"/>
    <d v="2023-02-24T00:00:00"/>
    <s v="11758.05"/>
    <s v="Zaakceptowana"/>
    <s v="Faktura VAT"/>
    <s v="Apteka Szpitalna"/>
    <s v="UM-MED-02"/>
    <b v="0"/>
    <n v="11758.05"/>
    <s v="OK"/>
    <x v="0"/>
    <x v="1"/>
    <s v="2023-02"/>
    <n v="1"/>
  </r>
  <r>
    <s v="FV/POL/61169/2023"/>
    <s v="PZ/801145"/>
    <x v="0"/>
    <d v="2023-02-24T00:00:00"/>
    <s v="13343.71"/>
    <s v="Zaakceptowana"/>
    <s v="Faktura VAT"/>
    <s v="Apteka Szpitalna"/>
    <s v=""/>
    <b v="0"/>
    <n v="13343.71"/>
    <s v="OK"/>
    <x v="1"/>
    <x v="1"/>
    <s v="2023-02"/>
    <n v="1"/>
  </r>
  <r>
    <s v="FV/4885HM/23"/>
    <s v="PZ/801146"/>
    <x v="3"/>
    <d v="2023-02-25T00:00:00"/>
    <s v="14815.99"/>
    <s v="Zaakceptowana"/>
    <s v="Faktura VAT"/>
    <s v="Apteka Szpitalna"/>
    <s v="UM-HUR-01"/>
    <b v="0"/>
    <n v="14815.99"/>
    <s v="OK"/>
    <x v="0"/>
    <x v="1"/>
    <s v="2023-02"/>
    <n v="1"/>
  </r>
  <r>
    <s v="FV/5876HM/23"/>
    <s v="PZ/801147"/>
    <x v="3"/>
    <d v="2023-02-25T00:00:00"/>
    <s v="20142.82"/>
    <s v="Zaakceptowana"/>
    <s v="Faktura VAT"/>
    <s v="Apteka Szpitalna"/>
    <s v="UM-HUR-02"/>
    <b v="0"/>
    <n v="20142.82"/>
    <s v="OK"/>
    <x v="0"/>
    <x v="1"/>
    <s v="2023-02"/>
    <n v="1"/>
  </r>
  <r>
    <s v="FV/81411/VDb/2023"/>
    <s v="PZ/801148"/>
    <x v="7"/>
    <d v="2023-02-25T00:00:00"/>
    <s v="12277.51"/>
    <s v="Zaakceptowana"/>
    <s v="Faktura VAT"/>
    <s v="Apteka Szpitalna"/>
    <s v="UM-VIT-01"/>
    <b v="0"/>
    <n v="12277.51"/>
    <s v="OK"/>
    <x v="0"/>
    <x v="1"/>
    <s v="2023-02"/>
    <n v="1"/>
  </r>
  <r>
    <s v="FV/POL/97883/2023"/>
    <s v="PZ/801149"/>
    <x v="0"/>
    <d v="2023-02-25T00:00:00"/>
    <s v="9431.9"/>
    <s v="Zaakceptowana"/>
    <s v="Faktura VAT"/>
    <s v="Apteka Szpitalna"/>
    <s v="UM-POL-02"/>
    <b v="0"/>
    <n v="9431.9"/>
    <s v="OK"/>
    <x v="0"/>
    <x v="1"/>
    <s v="2023-02"/>
    <n v="1"/>
  </r>
  <r>
    <s v="FV/CENFA/766168/23"/>
    <s v="PZ/801150"/>
    <x v="4"/>
    <d v="2023-02-25T00:00:00"/>
    <s v="15739.28"/>
    <s v="Zaakceptowana"/>
    <s v="Faktura VAT"/>
    <s v="Apteka Szpitalna"/>
    <s v="UM-CEN-02"/>
    <b v="0"/>
    <n v="15739.28"/>
    <s v="OK"/>
    <x v="0"/>
    <x v="1"/>
    <s v="2023-02"/>
    <n v="1"/>
  </r>
  <r>
    <s v="FV/CENFA/836174/23"/>
    <s v="PZ/801151"/>
    <x v="4"/>
    <d v="2023-02-26T00:00:00"/>
    <s v="17363.19"/>
    <s v="Zaakceptowana"/>
    <s v="Faktura VAT"/>
    <s v="Apteka Szpitalna"/>
    <s v="UM-CEN-01"/>
    <b v="0"/>
    <n v="17363.189999999999"/>
    <s v="OK"/>
    <x v="0"/>
    <x v="1"/>
    <s v="2023-02"/>
    <n v="1"/>
  </r>
  <r>
    <s v="FV/10/SAL/23"/>
    <s v="PZ/801152"/>
    <x v="1"/>
    <d v="2023-02-26T00:00:00"/>
    <s v="16339.19"/>
    <s v="Zaakceptowana"/>
    <s v="Faktura VAT"/>
    <s v="Apteka Szpitalna"/>
    <s v="UM-SAL-01"/>
    <b v="0"/>
    <n v="16339.19"/>
    <s v="OK"/>
    <x v="0"/>
    <x v="1"/>
    <s v="2023-02"/>
    <n v="1"/>
  </r>
  <r>
    <s v="FV/1776/NOVA/23"/>
    <s v="PZ/801153"/>
    <x v="2"/>
    <d v="2023-02-27T00:00:00"/>
    <s v="15057.87"/>
    <s v="Zaakceptowana"/>
    <s v="Faktura VAT"/>
    <s v="Apteka Szpitalna"/>
    <s v=""/>
    <b v="0"/>
    <n v="15057.87"/>
    <s v="OK"/>
    <x v="1"/>
    <x v="1"/>
    <s v="2023-02"/>
    <n v="1"/>
  </r>
  <r>
    <s v="FV/POL/86835/2023"/>
    <s v="PZ/801154"/>
    <x v="0"/>
    <d v="2023-02-27T00:00:00"/>
    <s v="25285.63"/>
    <s v="Zaakceptowana"/>
    <s v="Faktura VAT"/>
    <s v="Apteka Szpitalna"/>
    <s v="UM-POL-01"/>
    <b v="0"/>
    <n v="25285.63"/>
    <s v="OK"/>
    <x v="0"/>
    <x v="1"/>
    <s v="2023-02"/>
    <n v="1"/>
  </r>
  <r>
    <s v="FV/M/7931/P/23"/>
    <s v="PZ/801155"/>
    <x v="5"/>
    <d v="2023-02-27T00:00:00"/>
    <s v="16632.85"/>
    <s v="Zaakceptowana"/>
    <s v="Faktura VAT"/>
    <s v="Apteka Szpitalna"/>
    <s v="UM-MED-01"/>
    <b v="0"/>
    <n v="16632.849999999999"/>
    <s v="OK"/>
    <x v="0"/>
    <x v="1"/>
    <s v="2023-02"/>
    <n v="1"/>
  </r>
  <r>
    <s v="FV/87/PP/2083/23"/>
    <s v="PZ/801156"/>
    <x v="6"/>
    <d v="2023-02-28T00:00:00"/>
    <s v="19966.0"/>
    <s v="Zaakceptowana"/>
    <s v="Faktura VAT"/>
    <s v="Apteka Szpitalna"/>
    <s v="UM-PHA-01"/>
    <b v="0"/>
    <n v="19966"/>
    <s v="OK"/>
    <x v="0"/>
    <x v="1"/>
    <s v="2023-02"/>
    <n v="1"/>
  </r>
  <r>
    <s v="FV/7961/NOVA/23"/>
    <s v="PZ/801157"/>
    <x v="2"/>
    <d v="2023-02-28T00:00:00"/>
    <s v="20287.79"/>
    <s v="Zaakceptowana"/>
    <s v="Faktura VAT"/>
    <s v="Apteka Szpitalna"/>
    <s v="UM-NOV-02"/>
    <b v="0"/>
    <n v="20287.79"/>
    <s v="OK"/>
    <x v="0"/>
    <x v="1"/>
    <s v="2023-02"/>
    <n v="1"/>
  </r>
  <r>
    <s v="FV/M/6238/P/23"/>
    <s v="PZ/801158"/>
    <x v="5"/>
    <d v="2023-02-28T00:00:00"/>
    <s v="8396.38"/>
    <s v="Zaakceptowana"/>
    <s v="Faktura VAT"/>
    <s v="Apteka Szpitalna"/>
    <s v="UM-MED-01"/>
    <b v="0"/>
    <n v="8396.3799999999992"/>
    <s v="OK"/>
    <x v="0"/>
    <x v="1"/>
    <s v="2023-02"/>
    <n v="1"/>
  </r>
  <r>
    <s v="FV/44365/VDb/2023"/>
    <s v="PZ/801159"/>
    <x v="7"/>
    <d v="2023-03-01T00:00:00"/>
    <s v="22902.26"/>
    <s v="Zaakceptowana"/>
    <s v="Faktura VAT"/>
    <s v="Apteka Szpitalna"/>
    <s v="UM-VIT-01"/>
    <b v="0"/>
    <n v="22902.26"/>
    <s v="OK"/>
    <x v="0"/>
    <x v="1"/>
    <s v="2023-03"/>
    <n v="1"/>
  </r>
  <r>
    <s v="FV/CENFA/344235/23"/>
    <s v="PZ/801160"/>
    <x v="4"/>
    <d v="2023-03-01T00:00:00"/>
    <s v="5700.3"/>
    <s v="Zaakceptowana"/>
    <s v="Faktura VAT"/>
    <s v="Apteka Szpitalna"/>
    <s v="UM-CEN-02"/>
    <b v="0"/>
    <n v="5700.3"/>
    <s v="OK"/>
    <x v="0"/>
    <x v="1"/>
    <s v="2023-03"/>
    <n v="1"/>
  </r>
  <r>
    <s v="FV/32918/VDb/2023"/>
    <s v="PZ/801161"/>
    <x v="7"/>
    <d v="2023-03-01T00:00:00"/>
    <s v="14673.07"/>
    <s v="Zaakceptowana"/>
    <s v="Faktura VAT"/>
    <s v="Apteka Szpitalna"/>
    <s v=""/>
    <b v="0"/>
    <n v="14673.07"/>
    <s v="OK"/>
    <x v="1"/>
    <x v="1"/>
    <s v="2023-03"/>
    <n v="1"/>
  </r>
  <r>
    <s v="FV/13/SAL/23"/>
    <s v="PZ/801162"/>
    <x v="1"/>
    <d v="2023-03-01T00:00:00"/>
    <s v="14175.19"/>
    <s v="Zaakceptowana"/>
    <s v="Faktura VAT"/>
    <s v="Apteka Szpitalna"/>
    <s v="UM-SAL-01"/>
    <b v="0"/>
    <n v="14175.19"/>
    <s v="OK"/>
    <x v="0"/>
    <x v="1"/>
    <s v="2023-03"/>
    <n v="1"/>
  </r>
  <r>
    <s v="FV/11051/VDb/2023"/>
    <s v="PZ/801163"/>
    <x v="7"/>
    <d v="2023-03-02T00:00:00"/>
    <s v="13300.51"/>
    <s v="Zaakceptowana"/>
    <s v="Faktura VAT"/>
    <s v="Apteka Szpitalna"/>
    <s v="UM-VIT-01"/>
    <b v="0"/>
    <n v="13300.51"/>
    <s v="OK"/>
    <x v="0"/>
    <x v="1"/>
    <s v="2023-03"/>
    <n v="1"/>
  </r>
  <r>
    <s v="FV/M/9291/P/23"/>
    <s v="PZ/801164"/>
    <x v="5"/>
    <d v="2023-03-02T00:00:00"/>
    <s v="12829.81"/>
    <s v="Zaakceptowana"/>
    <s v="Faktura VAT"/>
    <s v="Apteka Szpitalna"/>
    <s v="UM-MED-02"/>
    <b v="0"/>
    <n v="12829.81"/>
    <s v="OK"/>
    <x v="0"/>
    <x v="1"/>
    <s v="2023-03"/>
    <n v="1"/>
  </r>
  <r>
    <s v="FV/M/6464/P/23"/>
    <s v="PZ/801165"/>
    <x v="5"/>
    <d v="2023-03-02T00:00:00"/>
    <s v="16155.04"/>
    <s v="Zaakceptowana"/>
    <s v="Faktura VAT"/>
    <s v="Apteka Szpitalna"/>
    <s v="UM-MED-01"/>
    <b v="0"/>
    <n v="16155.04"/>
    <s v="OK"/>
    <x v="0"/>
    <x v="1"/>
    <s v="2023-03"/>
    <n v="1"/>
  </r>
  <r>
    <s v="FV/POL/78859/2023"/>
    <s v="PZ/801166"/>
    <x v="0"/>
    <d v="2023-03-02T00:00:00"/>
    <s v="9093.43"/>
    <s v="Zaakceptowana"/>
    <s v="Faktura VAT"/>
    <s v="Apteka Szpitalna"/>
    <s v="UM-POL-03"/>
    <b v="0"/>
    <n v="9093.43"/>
    <s v="OK"/>
    <x v="0"/>
    <x v="1"/>
    <s v="2023-03"/>
    <n v="1"/>
  </r>
  <r>
    <s v="FV/M/2913/P/23"/>
    <s v="PZ/801167"/>
    <x v="5"/>
    <d v="2023-03-02T00:00:00"/>
    <s v="16832.27"/>
    <s v="Zaakceptowana"/>
    <s v="Faktura VAT"/>
    <s v="Apteka Szpitalna"/>
    <s v="UM-MED-01"/>
    <b v="0"/>
    <n v="16832.27"/>
    <s v="OK"/>
    <x v="0"/>
    <x v="1"/>
    <s v="2023-03"/>
    <n v="1"/>
  </r>
  <r>
    <s v="FV/CENFA/634240/23"/>
    <s v="PZ/801168"/>
    <x v="4"/>
    <d v="2023-03-03T00:00:00"/>
    <s v="24481.15"/>
    <s v="Zaakceptowana"/>
    <s v="Faktura VAT"/>
    <s v="Apteka Szpitalna"/>
    <s v=""/>
    <b v="0"/>
    <n v="24481.15"/>
    <s v="OK"/>
    <x v="1"/>
    <x v="1"/>
    <s v="2023-03"/>
    <n v="1"/>
  </r>
  <r>
    <s v="FV/1901HM/23"/>
    <s v="PZ/801169"/>
    <x v="3"/>
    <d v="2023-03-03T00:00:00"/>
    <s v="24232.01"/>
    <s v="Zaakceptowana"/>
    <s v="Faktura VAT"/>
    <s v="Apteka Szpitalna"/>
    <s v="UM-HUR-02"/>
    <b v="0"/>
    <n v="24232.01"/>
    <s v="OK"/>
    <x v="0"/>
    <x v="1"/>
    <s v="2023-03"/>
    <n v="1"/>
  </r>
  <r>
    <s v="FV/POL/93026/2023"/>
    <s v="PZ/801170"/>
    <x v="0"/>
    <d v="2023-03-03T00:00:00"/>
    <s v="-462.87"/>
    <s v="Zaakceptowana"/>
    <s v="Korekta FV"/>
    <s v="Apteka Szpitalna"/>
    <s v=""/>
    <b v="0"/>
    <n v="-462.87"/>
    <s v="OK"/>
    <x v="1"/>
    <x v="1"/>
    <s v="2023-03"/>
    <n v="1"/>
  </r>
  <r>
    <s v="FV/95/PP/1396/23"/>
    <s v="PZ/801171"/>
    <x v="6"/>
    <d v="2023-03-03T00:00:00"/>
    <s v="15102.55"/>
    <s v="Zaakceptowana"/>
    <s v="Faktura VAT"/>
    <s v="Apteka Szpitalna"/>
    <s v="UM-PHA-02"/>
    <b v="0"/>
    <n v="15102.55"/>
    <s v="OK"/>
    <x v="0"/>
    <x v="1"/>
    <s v="2023-03"/>
    <n v="1"/>
  </r>
  <r>
    <s v="FV/CENFA/913256/23"/>
    <s v="PZ/801172"/>
    <x v="4"/>
    <d v="2023-03-03T00:00:00"/>
    <s v="26945.75"/>
    <s v="Zaakceptowana"/>
    <s v="Faktura VAT"/>
    <s v="Apteka Szpitalna"/>
    <s v="UM-CEN-01"/>
    <b v="0"/>
    <n v="26945.75"/>
    <s v="OK"/>
    <x v="0"/>
    <x v="1"/>
    <s v="2023-03"/>
    <n v="1"/>
  </r>
  <r>
    <s v="FV/POL/97591/2023"/>
    <s v="PZ/801173"/>
    <x v="0"/>
    <d v="2023-03-04T00:00:00"/>
    <s v="-1503.76"/>
    <s v="Zaakceptowana"/>
    <s v="Korekta FV"/>
    <s v="Apteka Szpitalna"/>
    <s v="UM-POL-03"/>
    <b v="0"/>
    <n v="-1503.76"/>
    <s v="OK"/>
    <x v="0"/>
    <x v="1"/>
    <s v="2023-03"/>
    <n v="1"/>
  </r>
  <r>
    <s v="FV/94979/VDb/2023"/>
    <s v="PZ/801174"/>
    <x v="7"/>
    <d v="2023-03-04T00:00:00"/>
    <s v="19431.56"/>
    <s v="Zaakceptowana"/>
    <s v="Faktura VAT"/>
    <s v="Apteka Szpitalna"/>
    <s v="UM-VIT-01"/>
    <b v="0"/>
    <n v="19431.560000000001"/>
    <s v="OK"/>
    <x v="0"/>
    <x v="1"/>
    <s v="2023-03"/>
    <n v="1"/>
  </r>
  <r>
    <s v="FV/POL/38537/2023"/>
    <s v="PZ/801175"/>
    <x v="0"/>
    <d v="2023-03-04T00:00:00"/>
    <s v="13157.56"/>
    <s v="Zaakceptowana"/>
    <s v="Faktura VAT"/>
    <s v="Apteka Szpitalna"/>
    <s v="UM-POL-02"/>
    <b v="0"/>
    <n v="13157.56"/>
    <s v="OK"/>
    <x v="0"/>
    <x v="1"/>
    <s v="2023-03"/>
    <n v="1"/>
  </r>
  <r>
    <s v="FV/51/SAL/23"/>
    <s v="PZ/801176"/>
    <x v="1"/>
    <d v="2023-03-05T00:00:00"/>
    <s v="18443.71"/>
    <s v="Zaakceptowana"/>
    <s v="Faktura VAT"/>
    <s v="Apteka Szpitalna"/>
    <s v="UM-SAL-02"/>
    <b v="0"/>
    <n v="18443.71"/>
    <s v="OK"/>
    <x v="0"/>
    <x v="1"/>
    <s v="2023-03"/>
    <n v="1"/>
  </r>
  <r>
    <s v="FV/57/SAL/23"/>
    <s v="PZ/801177"/>
    <x v="1"/>
    <d v="2023-03-05T00:00:00"/>
    <s v="8889.91"/>
    <s v="Zaakceptowana"/>
    <s v="Faktura VAT"/>
    <s v="Apteka Szpitalna"/>
    <s v="UM-SAL-02"/>
    <b v="0"/>
    <n v="8889.91"/>
    <s v="OK"/>
    <x v="0"/>
    <x v="1"/>
    <s v="2023-03"/>
    <n v="1"/>
  </r>
  <r>
    <s v="FV/M/3735/P/23"/>
    <s v="PZ/801178"/>
    <x v="5"/>
    <d v="2023-03-05T00:00:00"/>
    <s v="13866.71"/>
    <s v="Zaakceptowana"/>
    <s v="Faktura VAT"/>
    <s v="Apteka Szpitalna"/>
    <s v="UM-MED-01"/>
    <b v="0"/>
    <n v="13866.71"/>
    <s v="OK"/>
    <x v="0"/>
    <x v="1"/>
    <s v="2023-03"/>
    <n v="1"/>
  </r>
  <r>
    <s v="FV/13/SAL/23"/>
    <s v="PZ/801179"/>
    <x v="1"/>
    <d v="2023-03-06T00:00:00"/>
    <s v="10175.17"/>
    <s v="Zaakceptowana"/>
    <s v="Faktura VAT"/>
    <s v="Apteka Szpitalna"/>
    <s v="UM-SAL-02"/>
    <b v="0"/>
    <n v="10175.17"/>
    <s v="OK"/>
    <x v="0"/>
    <x v="1"/>
    <s v="2023-03"/>
    <n v="1"/>
  </r>
  <r>
    <s v="FV/6310/NOVA/23"/>
    <s v="PZ/801180"/>
    <x v="2"/>
    <d v="2023-03-08T00:00:00"/>
    <s v="-839.12"/>
    <s v="Zaakceptowana"/>
    <s v="Korekta FV"/>
    <s v="Apteka Szpitalna"/>
    <s v="UM-NOV-02"/>
    <b v="0"/>
    <n v="-839.12"/>
    <s v="OK"/>
    <x v="0"/>
    <x v="1"/>
    <s v="2023-03"/>
    <n v="1"/>
  </r>
  <r>
    <s v="FV/24175/VDb/2023"/>
    <s v="PZ/801181"/>
    <x v="7"/>
    <d v="2023-03-08T00:00:00"/>
    <s v="8854.63"/>
    <s v="Zaakceptowana"/>
    <s v="Faktura VAT"/>
    <s v="Apteka Szpitalna"/>
    <s v="UM-VIT-01"/>
    <b v="0"/>
    <n v="8854.6299999999992"/>
    <s v="OK"/>
    <x v="0"/>
    <x v="1"/>
    <s v="2023-03"/>
    <n v="1"/>
  </r>
  <r>
    <s v="FV/21/SAL/23"/>
    <s v="PZ/801182"/>
    <x v="1"/>
    <d v="2023-03-08T00:00:00"/>
    <s v="17492.71"/>
    <s v="Zaakceptowana"/>
    <s v="Faktura VAT"/>
    <s v="Apteka Szpitalna"/>
    <s v="UM-SAL-02"/>
    <b v="0"/>
    <n v="17492.71"/>
    <s v="OK"/>
    <x v="0"/>
    <x v="1"/>
    <s v="2023-03"/>
    <n v="1"/>
  </r>
  <r>
    <s v="FV/CENFA/404190/23"/>
    <s v="PZ/801183"/>
    <x v="4"/>
    <d v="2023-03-08T00:00:00"/>
    <s v="8655.21"/>
    <s v="Zaakceptowana"/>
    <s v="Faktura VAT"/>
    <s v="Apteka Szpitalna"/>
    <s v="UM-CEN-01"/>
    <b v="0"/>
    <n v="8655.2099999999991"/>
    <s v="OK"/>
    <x v="0"/>
    <x v="1"/>
    <s v="2023-03"/>
    <n v="1"/>
  </r>
  <r>
    <s v="FV/82649/VDb/2023"/>
    <s v="PZ/801184"/>
    <x v="7"/>
    <d v="2023-03-08T00:00:00"/>
    <s v="21511.82"/>
    <s v="Zaakceptowana"/>
    <s v="Faktura VAT"/>
    <s v="Apteka Szpitalna"/>
    <s v="UM-VIT-01"/>
    <b v="0"/>
    <n v="21511.82"/>
    <s v="OK"/>
    <x v="0"/>
    <x v="1"/>
    <s v="2023-03"/>
    <n v="1"/>
  </r>
  <r>
    <s v="FV/8130/NOVA/23"/>
    <s v="PZ/801185"/>
    <x v="2"/>
    <d v="2023-03-08T00:00:00"/>
    <s v="12804.17"/>
    <s v="Zaakceptowana"/>
    <s v="Faktura VAT"/>
    <s v="Apteka Szpitalna"/>
    <s v=""/>
    <b v="0"/>
    <n v="12804.17"/>
    <s v="OK"/>
    <x v="1"/>
    <x v="1"/>
    <s v="2023-03"/>
    <n v="1"/>
  </r>
  <r>
    <s v="FV/14780/VDb/2023"/>
    <s v="PZ/801186"/>
    <x v="7"/>
    <d v="2023-03-08T00:00:00"/>
    <s v="19702.5"/>
    <s v="Zaakceptowana"/>
    <s v="Faktura VAT"/>
    <s v="Apteka Szpitalna"/>
    <s v="UM-VIT-01"/>
    <b v="0"/>
    <n v="19702.5"/>
    <s v="OK"/>
    <x v="0"/>
    <x v="1"/>
    <s v="2023-03"/>
    <n v="1"/>
  </r>
  <r>
    <s v="FV/3318/NOVA/23"/>
    <s v="PZ/801187"/>
    <x v="2"/>
    <d v="2023-03-09T00:00:00"/>
    <s v="-2176.58"/>
    <s v="Zaakceptowana"/>
    <s v="Korekta FV"/>
    <s v="Apteka Szpitalna"/>
    <s v=""/>
    <b v="0"/>
    <n v="-2176.58"/>
    <s v="OK"/>
    <x v="1"/>
    <x v="1"/>
    <s v="2023-03"/>
    <n v="1"/>
  </r>
  <r>
    <s v="FV/25580/VDb/2023"/>
    <s v="PZ/801188"/>
    <x v="7"/>
    <d v="2023-03-09T00:00:00"/>
    <s v="19155.79"/>
    <s v="Zaakceptowana"/>
    <s v="Faktura VAT"/>
    <s v="Apteka Szpitalna"/>
    <s v="UM-VIT-01"/>
    <b v="0"/>
    <n v="19155.79"/>
    <s v="OK"/>
    <x v="0"/>
    <x v="1"/>
    <s v="2023-03"/>
    <n v="1"/>
  </r>
  <r>
    <s v="FV/85/SAL/23"/>
    <s v="PZ/801189"/>
    <x v="1"/>
    <d v="2023-03-09T00:00:00"/>
    <s v="14436.42"/>
    <s v="Zaakceptowana"/>
    <s v="Faktura VAT"/>
    <s v="Apteka Szpitalna"/>
    <s v="UM-SAL-01"/>
    <b v="0"/>
    <n v="14436.42"/>
    <s v="OK"/>
    <x v="0"/>
    <x v="1"/>
    <s v="2023-03"/>
    <n v="1"/>
  </r>
  <r>
    <s v="FV/CENFA/797388/23"/>
    <s v="PZ/801190"/>
    <x v="4"/>
    <d v="2023-03-09T00:00:00"/>
    <s v="18358.94"/>
    <s v="Zaakceptowana"/>
    <s v="Faktura VAT"/>
    <s v="Apteka Szpitalna"/>
    <s v="UM-CEN-01"/>
    <b v="0"/>
    <n v="18358.939999999999"/>
    <s v="OK"/>
    <x v="0"/>
    <x v="1"/>
    <s v="2023-03"/>
    <n v="1"/>
  </r>
  <r>
    <s v="FV/CENFA/677334/23"/>
    <s v="PZ/801191"/>
    <x v="4"/>
    <d v="2023-03-10T00:00:00"/>
    <s v="11863.32"/>
    <s v="Zaakceptowana"/>
    <s v="Faktura VAT"/>
    <s v="Apteka Szpitalna"/>
    <s v="UM-CEN-01"/>
    <b v="0"/>
    <n v="11863.32"/>
    <s v="OK"/>
    <x v="0"/>
    <x v="1"/>
    <s v="2023-03"/>
    <n v="1"/>
  </r>
  <r>
    <s v="FV/5712/NOVA/23"/>
    <s v="PZ/801192"/>
    <x v="2"/>
    <d v="2023-03-10T00:00:00"/>
    <s v="-1173.99"/>
    <s v="Zaakceptowana"/>
    <s v="Korekta FV"/>
    <s v="Apteka Szpitalna"/>
    <s v="UM-NOV-02"/>
    <b v="0"/>
    <n v="-1173.99"/>
    <s v="OK"/>
    <x v="0"/>
    <x v="1"/>
    <s v="2023-03"/>
    <n v="1"/>
  </r>
  <r>
    <s v="FV/M/9920/P/23"/>
    <s v="PZ/801193"/>
    <x v="5"/>
    <d v="2023-03-11T00:00:00"/>
    <s v="4370.85"/>
    <s v="Zaakceptowana"/>
    <s v="Faktura VAT"/>
    <s v="Apteka Szpitalna"/>
    <s v="UM-MED-02"/>
    <b v="0"/>
    <n v="4370.8500000000004"/>
    <s v="OK"/>
    <x v="0"/>
    <x v="1"/>
    <s v="2023-03"/>
    <n v="1"/>
  </r>
  <r>
    <s v="FV/85/SAL/23"/>
    <s v="PZ/801194"/>
    <x v="1"/>
    <d v="2023-03-11T00:00:00"/>
    <s v="11357.82"/>
    <s v="Zaakceptowana"/>
    <s v="Faktura VAT"/>
    <s v="Apteka Szpitalna"/>
    <s v="UM-SAL-01"/>
    <b v="0"/>
    <n v="11357.82"/>
    <s v="OK"/>
    <x v="0"/>
    <x v="1"/>
    <s v="2023-03"/>
    <n v="1"/>
  </r>
  <r>
    <s v="FV/96/SAL/23"/>
    <s v="PZ/801195"/>
    <x v="1"/>
    <d v="2023-03-12T00:00:00"/>
    <s v="18063.81"/>
    <s v="Zaakceptowana"/>
    <s v="Faktura VAT"/>
    <s v="Apteka Szpitalna"/>
    <s v="UM-SAL-02"/>
    <b v="0"/>
    <n v="18063.810000000001"/>
    <s v="OK"/>
    <x v="0"/>
    <x v="1"/>
    <s v="2023-03"/>
    <n v="1"/>
  </r>
  <r>
    <s v="FV/38/PP/1023/23"/>
    <s v="PZ/801196"/>
    <x v="6"/>
    <d v="2023-03-13T00:00:00"/>
    <s v="18098.37"/>
    <s v="Zaakceptowana"/>
    <s v="Faktura VAT"/>
    <s v="Apteka Szpitalna"/>
    <s v=""/>
    <b v="0"/>
    <n v="18098.37"/>
    <s v="OK"/>
    <x v="1"/>
    <x v="1"/>
    <s v="2023-03"/>
    <n v="1"/>
  </r>
  <r>
    <s v="FV/7478/NOVA/23"/>
    <s v="PZ/801197"/>
    <x v="2"/>
    <d v="2023-03-13T00:00:00"/>
    <s v="26613.2"/>
    <s v="Zaakceptowana"/>
    <s v="Faktura VAT"/>
    <s v="Apteka Szpitalna"/>
    <s v="UM-NOV-02"/>
    <b v="0"/>
    <n v="26613.200000000001"/>
    <s v="OK"/>
    <x v="0"/>
    <x v="1"/>
    <s v="2023-03"/>
    <n v="1"/>
  </r>
  <r>
    <s v="FV/CENFA/762556/23"/>
    <s v="PZ/801198"/>
    <x v="4"/>
    <d v="2023-03-14T00:00:00"/>
    <s v="15663.22"/>
    <s v="Zaakceptowana"/>
    <s v="Faktura VAT"/>
    <s v="Apteka Szpitalna"/>
    <s v="UM-CEN-02"/>
    <b v="0"/>
    <n v="15663.22"/>
    <s v="OK"/>
    <x v="0"/>
    <x v="1"/>
    <s v="2023-03"/>
    <n v="1"/>
  </r>
  <r>
    <s v="FV/POL/51805/2023"/>
    <s v="PZ/801199"/>
    <x v="0"/>
    <d v="2023-03-14T00:00:00"/>
    <s v="18251.76"/>
    <s v="Zaakceptowana"/>
    <s v="Faktura VAT"/>
    <s v="Apteka Szpitalna"/>
    <s v="UM-POL-02"/>
    <b v="0"/>
    <n v="18251.759999999998"/>
    <s v="OK"/>
    <x v="0"/>
    <x v="1"/>
    <s v="2023-03"/>
    <n v="1"/>
  </r>
  <r>
    <s v="FV/5922HM/23"/>
    <s v="PZ/801200"/>
    <x v="3"/>
    <d v="2023-03-15T00:00:00"/>
    <s v="24357.59"/>
    <s v="Zaakceptowana"/>
    <s v="Faktura VAT"/>
    <s v="Apteka Szpitalna"/>
    <s v=""/>
    <b v="0"/>
    <n v="24357.59"/>
    <s v="OK"/>
    <x v="1"/>
    <x v="1"/>
    <s v="2023-03"/>
    <n v="1"/>
  </r>
  <r>
    <s v="FV/CENFA/918708/23"/>
    <s v="PZ/801201"/>
    <x v="4"/>
    <d v="2023-03-15T00:00:00"/>
    <s v="19878.07"/>
    <s v="Zaakceptowana"/>
    <s v="Faktura VAT"/>
    <s v="Apteka Szpitalna"/>
    <s v=""/>
    <b v="0"/>
    <n v="19878.07"/>
    <s v="OK"/>
    <x v="1"/>
    <x v="1"/>
    <s v="2023-03"/>
    <n v="1"/>
  </r>
  <r>
    <s v="FV/CENFA/615514/23"/>
    <s v="PZ/801202"/>
    <x v="4"/>
    <d v="2023-03-16T00:00:00"/>
    <s v="12109.45"/>
    <s v="Zaakceptowana"/>
    <s v="Faktura VAT"/>
    <s v="Apteka Szpitalna"/>
    <s v=""/>
    <b v="0"/>
    <n v="12109.45"/>
    <s v="OK"/>
    <x v="1"/>
    <x v="1"/>
    <s v="2023-03"/>
    <n v="1"/>
  </r>
  <r>
    <s v="FV/75/SAL/23"/>
    <s v="PZ/801203"/>
    <x v="1"/>
    <d v="2023-03-16T00:00:00"/>
    <s v="24990.28"/>
    <s v="Zaakceptowana"/>
    <s v="Faktura VAT"/>
    <s v="Apteka Szpitalna"/>
    <s v="UM-SAL-02"/>
    <b v="0"/>
    <n v="24990.28"/>
    <s v="OK"/>
    <x v="0"/>
    <x v="1"/>
    <s v="2023-03"/>
    <n v="1"/>
  </r>
  <r>
    <s v="FV/95/PP/5800/23"/>
    <s v="PZ/801204"/>
    <x v="6"/>
    <d v="2023-03-16T00:00:00"/>
    <s v="13646.45"/>
    <s v="Zaakceptowana"/>
    <s v="Faktura VAT"/>
    <s v="Apteka Szpitalna"/>
    <s v="UM-PHA-02"/>
    <b v="0"/>
    <n v="13646.45"/>
    <s v="OK"/>
    <x v="0"/>
    <x v="1"/>
    <s v="2023-03"/>
    <n v="1"/>
  </r>
  <r>
    <s v="FV/9888HM/23"/>
    <s v="PZ/801205"/>
    <x v="3"/>
    <d v="2023-03-18T00:00:00"/>
    <s v="13123.09"/>
    <s v="Zaakceptowana"/>
    <s v="Faktura VAT"/>
    <s v="Apteka Szpitalna"/>
    <s v="UM-HUR-02"/>
    <b v="0"/>
    <n v="13123.09"/>
    <s v="OK"/>
    <x v="0"/>
    <x v="1"/>
    <s v="2023-03"/>
    <n v="1"/>
  </r>
  <r>
    <s v="FV/5795HM/23"/>
    <s v="PZ/801206"/>
    <x v="3"/>
    <d v="2023-03-18T00:00:00"/>
    <s v="-2017.37"/>
    <s v="Zaakceptowana"/>
    <s v="Korekta FV"/>
    <s v="Apteka Szpitalna"/>
    <s v="UM-HUR-01"/>
    <b v="0"/>
    <n v="-2017.37"/>
    <s v="OK"/>
    <x v="0"/>
    <x v="1"/>
    <s v="2023-03"/>
    <n v="1"/>
  </r>
  <r>
    <s v="FV/73/PP/4312/23"/>
    <s v="PZ/801207"/>
    <x v="6"/>
    <d v="2023-03-18T00:00:00"/>
    <s v="-889.55"/>
    <s v="Zaakceptowana"/>
    <s v="Korekta FV"/>
    <s v="Apteka Szpitalna"/>
    <s v=""/>
    <b v="0"/>
    <n v="-889.55"/>
    <s v="OK"/>
    <x v="1"/>
    <x v="1"/>
    <s v="2023-03"/>
    <n v="1"/>
  </r>
  <r>
    <s v="FV/31741/VDb/2023"/>
    <s v="PZ/801208"/>
    <x v="7"/>
    <d v="2023-03-18T00:00:00"/>
    <s v="19609.13"/>
    <s v="Zaakceptowana"/>
    <s v="Faktura VAT"/>
    <s v="Apteka Szpitalna"/>
    <s v="UM-VIT-01"/>
    <b v="0"/>
    <n v="19609.13"/>
    <s v="OK"/>
    <x v="0"/>
    <x v="1"/>
    <s v="2023-03"/>
    <n v="1"/>
  </r>
  <r>
    <s v="FV/4927HM/23"/>
    <s v="PZ/801209"/>
    <x v="3"/>
    <d v="2023-03-18T00:00:00"/>
    <s v="14169.61"/>
    <s v="Zaakceptowana"/>
    <s v="Faktura VAT"/>
    <s v="Apteka Szpitalna"/>
    <s v=""/>
    <b v="0"/>
    <n v="14169.61"/>
    <s v="OK"/>
    <x v="1"/>
    <x v="1"/>
    <s v="2023-03"/>
    <n v="1"/>
  </r>
  <r>
    <s v="FV/94283/VDb/2023"/>
    <s v="PZ/801210"/>
    <x v="7"/>
    <d v="2023-03-18T00:00:00"/>
    <s v="16378.55"/>
    <s v="Zaakceptowana"/>
    <s v="Faktura VAT"/>
    <s v="Apteka Szpitalna"/>
    <s v="UM-VIT-01"/>
    <b v="0"/>
    <n v="16378.55"/>
    <s v="OK"/>
    <x v="0"/>
    <x v="1"/>
    <s v="2023-03"/>
    <n v="1"/>
  </r>
  <r>
    <s v="FV/44/SAL/23"/>
    <s v="PZ/801211"/>
    <x v="1"/>
    <d v="2023-03-20T00:00:00"/>
    <s v="12544.84"/>
    <s v="Zaakceptowana"/>
    <s v="Faktura VAT"/>
    <s v="Apteka Szpitalna"/>
    <s v="UM-SAL-01"/>
    <b v="0"/>
    <n v="12544.84"/>
    <s v="OK"/>
    <x v="0"/>
    <x v="1"/>
    <s v="2023-03"/>
    <n v="1"/>
  </r>
  <r>
    <s v="FV/POL/80397/2023"/>
    <s v="PZ/801212"/>
    <x v="0"/>
    <d v="2023-03-20T00:00:00"/>
    <s v="18806.55"/>
    <s v="Zaakceptowana"/>
    <s v="Faktura VAT"/>
    <s v="Apteka Szpitalna"/>
    <s v="UM-POL-02"/>
    <b v="0"/>
    <n v="18806.55"/>
    <s v="OK"/>
    <x v="0"/>
    <x v="1"/>
    <s v="2023-03"/>
    <n v="1"/>
  </r>
  <r>
    <s v="FV/CENFA/350982/23"/>
    <s v="PZ/801213"/>
    <x v="4"/>
    <d v="2023-03-20T00:00:00"/>
    <s v="8514.83"/>
    <s v="Zaakceptowana"/>
    <s v="Faktura VAT"/>
    <s v="Apteka Szpitalna"/>
    <s v="UM-CEN-02"/>
    <b v="0"/>
    <n v="8514.83"/>
    <s v="OK"/>
    <x v="0"/>
    <x v="1"/>
    <s v="2023-03"/>
    <n v="1"/>
  </r>
  <r>
    <s v="FV/6567HM/23"/>
    <s v="PZ/801214"/>
    <x v="3"/>
    <d v="2023-03-20T00:00:00"/>
    <s v="11315.71"/>
    <s v="Zaakceptowana"/>
    <s v="Faktura VAT"/>
    <s v="Apteka Szpitalna"/>
    <s v="UM-HUR-01"/>
    <b v="0"/>
    <n v="11315.71"/>
    <s v="OK"/>
    <x v="0"/>
    <x v="1"/>
    <s v="2023-03"/>
    <n v="1"/>
  </r>
  <r>
    <s v="FV/M/2639/P/23"/>
    <s v="PZ/801215"/>
    <x v="5"/>
    <d v="2023-03-20T00:00:00"/>
    <s v="12713.03"/>
    <s v="Zaakceptowana"/>
    <s v="Faktura VAT"/>
    <s v="Apteka Szpitalna"/>
    <s v=""/>
    <b v="0"/>
    <n v="12713.03"/>
    <s v="OK"/>
    <x v="1"/>
    <x v="1"/>
    <s v="2023-03"/>
    <n v="1"/>
  </r>
  <r>
    <s v="FV/9170HM/23"/>
    <s v="PZ/801216"/>
    <x v="3"/>
    <d v="2023-03-20T00:00:00"/>
    <s v="19482.42"/>
    <s v="Zaakceptowana"/>
    <s v="Faktura VAT"/>
    <s v="Apteka Szpitalna"/>
    <s v="UM-HUR-02"/>
    <b v="0"/>
    <n v="19482.419999999998"/>
    <s v="OK"/>
    <x v="0"/>
    <x v="1"/>
    <s v="2023-03"/>
    <n v="1"/>
  </r>
  <r>
    <s v="FV/POL/21426/2023"/>
    <s v="PZ/801217"/>
    <x v="0"/>
    <d v="2023-03-21T00:00:00"/>
    <s v="19515.25"/>
    <s v="Zaakceptowana"/>
    <s v="Faktura VAT"/>
    <s v="Apteka Szpitalna"/>
    <s v="UM-POL-02"/>
    <b v="0"/>
    <n v="19515.25"/>
    <s v="OK"/>
    <x v="0"/>
    <x v="1"/>
    <s v="2023-03"/>
    <n v="1"/>
  </r>
  <r>
    <s v="FV/CENFA/389340/23"/>
    <s v="PZ/801218"/>
    <x v="4"/>
    <d v="2023-03-21T00:00:00"/>
    <s v="22387.23"/>
    <s v="Zaakceptowana"/>
    <s v="Faktura VAT"/>
    <s v="Apteka Szpitalna"/>
    <s v="UM-CEN-01"/>
    <b v="0"/>
    <n v="22387.23"/>
    <s v="OK"/>
    <x v="0"/>
    <x v="1"/>
    <s v="2023-03"/>
    <n v="1"/>
  </r>
  <r>
    <s v="FV/7884/NOVA/23"/>
    <s v="PZ/801219"/>
    <x v="2"/>
    <d v="2023-03-21T00:00:00"/>
    <s v="11605.25"/>
    <s v="Zaakceptowana"/>
    <s v="Faktura VAT"/>
    <s v="Apteka Szpitalna"/>
    <s v="UM-NOV-01"/>
    <b v="0"/>
    <n v="11605.25"/>
    <s v="OK"/>
    <x v="0"/>
    <x v="1"/>
    <s v="2023-03"/>
    <n v="1"/>
  </r>
  <r>
    <s v="FV/4061HM/23"/>
    <s v="PZ/801220"/>
    <x v="3"/>
    <d v="2023-03-22T00:00:00"/>
    <s v="16408.68"/>
    <s v="Zaakceptowana"/>
    <s v="Faktura VAT"/>
    <s v="Apteka Szpitalna"/>
    <s v="UM-HUR-03"/>
    <b v="0"/>
    <n v="16408.68"/>
    <s v="OK"/>
    <x v="0"/>
    <x v="1"/>
    <s v="2023-03"/>
    <n v="1"/>
  </r>
  <r>
    <s v="FV/1266/NOVA/23"/>
    <s v="PZ/801221"/>
    <x v="2"/>
    <d v="2023-03-22T00:00:00"/>
    <s v="20681.29"/>
    <s v="Zaakceptowana"/>
    <s v="Faktura VAT"/>
    <s v="Apteka Szpitalna"/>
    <s v="UM-NOV-03"/>
    <b v="0"/>
    <n v="20681.29"/>
    <s v="OK"/>
    <x v="0"/>
    <x v="1"/>
    <s v="2023-03"/>
    <n v="1"/>
  </r>
  <r>
    <s v="FV/29926/VDb/2023"/>
    <s v="PZ/801222"/>
    <x v="7"/>
    <d v="2023-03-22T00:00:00"/>
    <s v="11942.03"/>
    <s v="Zaakceptowana"/>
    <s v="Faktura VAT"/>
    <s v="Apteka Szpitalna"/>
    <s v="UM-VIT-01"/>
    <b v="0"/>
    <n v="11942.03"/>
    <s v="OK"/>
    <x v="0"/>
    <x v="1"/>
    <s v="2023-03"/>
    <n v="1"/>
  </r>
  <r>
    <s v="FV/9771/NOVA/23"/>
    <s v="PZ/801223"/>
    <x v="2"/>
    <d v="2023-03-22T00:00:00"/>
    <s v="15944.1"/>
    <s v="Zaakceptowana"/>
    <s v="Faktura VAT"/>
    <s v="Apteka Szpitalna"/>
    <s v=""/>
    <b v="0"/>
    <n v="15944.1"/>
    <s v="OK"/>
    <x v="1"/>
    <x v="1"/>
    <s v="2023-03"/>
    <n v="1"/>
  </r>
  <r>
    <s v="FV/3920/NOVA/23"/>
    <s v="PZ/801224"/>
    <x v="2"/>
    <d v="2023-03-23T00:00:00"/>
    <s v="6167.49"/>
    <s v="Zaakceptowana"/>
    <s v="Faktura VAT"/>
    <s v="Apteka Szpitalna"/>
    <s v="UM-NOV-02"/>
    <b v="0"/>
    <n v="6167.49"/>
    <s v="OK"/>
    <x v="0"/>
    <x v="1"/>
    <s v="2023-03"/>
    <n v="1"/>
  </r>
  <r>
    <s v="FV/CENFA/317405/23"/>
    <s v="PZ/801225"/>
    <x v="4"/>
    <d v="2023-03-24T00:00:00"/>
    <s v="10214.08"/>
    <s v="Zaakceptowana"/>
    <s v="Faktura VAT"/>
    <s v="Apteka Szpitalna"/>
    <s v="UM-CEN-02"/>
    <b v="0"/>
    <n v="10214.08"/>
    <s v="OK"/>
    <x v="0"/>
    <x v="1"/>
    <s v="2023-03"/>
    <n v="1"/>
  </r>
  <r>
    <s v="FV/54/SAL/23"/>
    <s v="PZ/801226"/>
    <x v="1"/>
    <d v="2023-03-24T00:00:00"/>
    <s v="15255.08"/>
    <s v="Zaakceptowana"/>
    <s v="Faktura VAT"/>
    <s v="Apteka Szpitalna"/>
    <s v="UM-SAL-01"/>
    <b v="0"/>
    <n v="15255.08"/>
    <s v="OK"/>
    <x v="0"/>
    <x v="1"/>
    <s v="2023-03"/>
    <n v="1"/>
  </r>
  <r>
    <s v="FV/1122HM/23"/>
    <s v="PZ/801227"/>
    <x v="3"/>
    <d v="2023-03-24T00:00:00"/>
    <s v="16852.88"/>
    <s v="Zaakceptowana"/>
    <s v="Faktura VAT"/>
    <s v="Apteka Szpitalna"/>
    <s v="UM-HUR-03"/>
    <b v="0"/>
    <n v="16852.88"/>
    <s v="OK"/>
    <x v="0"/>
    <x v="1"/>
    <s v="2023-03"/>
    <n v="1"/>
  </r>
  <r>
    <s v="FV/4025/NOVA/23"/>
    <s v="PZ/801228"/>
    <x v="2"/>
    <d v="2023-03-24T00:00:00"/>
    <s v="1120.9"/>
    <s v="Zaakceptowana"/>
    <s v="Faktura VAT"/>
    <s v="Apteka Szpitalna"/>
    <s v="UM-NOV-02"/>
    <b v="0"/>
    <n v="1120.9000000000001"/>
    <s v="OK"/>
    <x v="0"/>
    <x v="1"/>
    <s v="2023-03"/>
    <n v="1"/>
  </r>
  <r>
    <s v="FV/CENFA/398081/23"/>
    <s v="PZ/801229"/>
    <x v="4"/>
    <d v="2023-03-24T00:00:00"/>
    <s v="20707.88"/>
    <s v="Zaakceptowana"/>
    <s v="Faktura VAT"/>
    <s v="Apteka Szpitalna"/>
    <s v="UM-CEN-01"/>
    <b v="0"/>
    <n v="20707.88"/>
    <s v="OK"/>
    <x v="0"/>
    <x v="1"/>
    <s v="2023-03"/>
    <n v="1"/>
  </r>
  <r>
    <s v="FV/83/PP/2360/23"/>
    <s v="PZ/801230"/>
    <x v="6"/>
    <d v="2023-03-25T00:00:00"/>
    <s v="13784.95"/>
    <s v="Zaakceptowana"/>
    <s v="Faktura VAT"/>
    <s v="Apteka Szpitalna"/>
    <s v="UM-PHA-01"/>
    <b v="0"/>
    <n v="13784.95"/>
    <s v="OK"/>
    <x v="0"/>
    <x v="1"/>
    <s v="2023-03"/>
    <n v="1"/>
  </r>
  <r>
    <s v="FV/50/SAL/23"/>
    <s v="PZ/801231"/>
    <x v="1"/>
    <d v="2023-03-25T00:00:00"/>
    <s v="13659.16"/>
    <s v="Zaakceptowana"/>
    <s v="Faktura VAT"/>
    <s v="Apteka Szpitalna"/>
    <s v="UM-SAL-02"/>
    <b v="0"/>
    <n v="13659.16"/>
    <s v="OK"/>
    <x v="0"/>
    <x v="1"/>
    <s v="2023-03"/>
    <n v="1"/>
  </r>
  <r>
    <s v="FV/5704HM/23"/>
    <s v="PZ/801232"/>
    <x v="3"/>
    <d v="2023-03-26T00:00:00"/>
    <s v="12893.71"/>
    <s v="Zaakceptowana"/>
    <s v="Faktura VAT"/>
    <s v="Apteka Szpitalna"/>
    <s v="UM-HUR-01"/>
    <b v="0"/>
    <n v="12893.71"/>
    <s v="OK"/>
    <x v="0"/>
    <x v="1"/>
    <s v="2023-03"/>
    <n v="1"/>
  </r>
  <r>
    <s v="FV/POL/58201/2023"/>
    <s v="PZ/801233"/>
    <x v="0"/>
    <d v="2023-03-26T00:00:00"/>
    <s v="15570.05"/>
    <s v="Zaakceptowana"/>
    <s v="Faktura VAT"/>
    <s v="Apteka Szpitalna"/>
    <s v="UM-POL-01"/>
    <b v="0"/>
    <n v="15570.05"/>
    <s v="OK"/>
    <x v="0"/>
    <x v="1"/>
    <s v="2023-03"/>
    <n v="1"/>
  </r>
  <r>
    <s v="FV/M/5665/P/23"/>
    <s v="PZ/801234"/>
    <x v="5"/>
    <d v="2023-03-26T00:00:00"/>
    <s v="14601.36"/>
    <s v="Zaakceptowana"/>
    <s v="Faktura VAT"/>
    <s v="Apteka Szpitalna"/>
    <s v="UM-MED-01"/>
    <b v="0"/>
    <n v="14601.36"/>
    <s v="OK"/>
    <x v="0"/>
    <x v="1"/>
    <s v="2023-03"/>
    <n v="1"/>
  </r>
  <r>
    <s v="FV/CENFA/597865/23"/>
    <s v="PZ/801235"/>
    <x v="4"/>
    <d v="2023-03-26T00:00:00"/>
    <s v="9833.21"/>
    <s v="Zaakceptowana"/>
    <s v="Faktura VAT"/>
    <s v="Apteka Szpitalna"/>
    <s v="UM-CEN-01"/>
    <b v="0"/>
    <n v="9833.2099999999991"/>
    <s v="OK"/>
    <x v="0"/>
    <x v="1"/>
    <s v="2023-03"/>
    <n v="1"/>
  </r>
  <r>
    <s v="FV/7047/NOVA/23"/>
    <s v="PZ/801236"/>
    <x v="2"/>
    <d v="2023-03-27T00:00:00"/>
    <s v="-1849.34"/>
    <s v="Zaakceptowana"/>
    <s v="Korekta FV"/>
    <s v="Apteka Szpitalna"/>
    <s v="UM-NOV-01"/>
    <b v="0"/>
    <n v="-1849.34"/>
    <s v="OK"/>
    <x v="0"/>
    <x v="1"/>
    <s v="2023-03"/>
    <n v="1"/>
  </r>
  <r>
    <s v="FV/M/8470/P/23"/>
    <s v="PZ/801237"/>
    <x v="5"/>
    <d v="2023-03-27T00:00:00"/>
    <s v="15884.2"/>
    <s v="Zaakceptowana"/>
    <s v="Faktura VAT"/>
    <s v="Apteka Szpitalna"/>
    <s v=""/>
    <b v="0"/>
    <n v="15884.2"/>
    <s v="OK"/>
    <x v="1"/>
    <x v="1"/>
    <s v="2023-03"/>
    <n v="1"/>
  </r>
  <r>
    <s v="FV/M/4810/P/23"/>
    <s v="PZ/801238"/>
    <x v="5"/>
    <d v="2023-03-28T00:00:00"/>
    <s v="12054.58"/>
    <s v="Zaakceptowana"/>
    <s v="Faktura VAT"/>
    <s v="Apteka Szpitalna"/>
    <s v="UM-MED-02"/>
    <b v="0"/>
    <n v="12054.58"/>
    <s v="OK"/>
    <x v="0"/>
    <x v="1"/>
    <s v="2023-03"/>
    <n v="1"/>
  </r>
  <r>
    <s v="FV/M/1437/P/23"/>
    <s v="PZ/801239"/>
    <x v="5"/>
    <d v="2023-03-28T00:00:00"/>
    <s v="10043.13"/>
    <s v="Zaakceptowana"/>
    <s v="Faktura VAT"/>
    <s v="Apteka Szpitalna"/>
    <s v=""/>
    <b v="0"/>
    <n v="10043.129999999999"/>
    <s v="OK"/>
    <x v="1"/>
    <x v="1"/>
    <s v="2023-03"/>
    <n v="1"/>
  </r>
  <r>
    <s v="FV/4608/NOVA/23"/>
    <s v="PZ/801240"/>
    <x v="2"/>
    <d v="2023-03-29T00:00:00"/>
    <s v="23824.7"/>
    <s v="Zaakceptowana"/>
    <s v="Faktura VAT"/>
    <s v="Apteka Szpitalna"/>
    <s v="UM-NOV-01"/>
    <b v="0"/>
    <n v="23824.7"/>
    <s v="OK"/>
    <x v="0"/>
    <x v="1"/>
    <s v="2023-03"/>
    <n v="1"/>
  </r>
  <r>
    <s v="FV/M/7593/P/23"/>
    <s v="PZ/801241"/>
    <x v="5"/>
    <d v="2023-03-29T00:00:00"/>
    <s v="19437.59"/>
    <s v="Zaakceptowana"/>
    <s v="Faktura VAT"/>
    <s v="Apteka Szpitalna"/>
    <s v=""/>
    <b v="0"/>
    <n v="19437.59"/>
    <s v="OK"/>
    <x v="1"/>
    <x v="1"/>
    <s v="2023-03"/>
    <n v="1"/>
  </r>
  <r>
    <s v="FV/29659/VDb/2023"/>
    <s v="PZ/801242"/>
    <x v="7"/>
    <d v="2023-03-29T00:00:00"/>
    <s v="14790.83"/>
    <s v="Zaakceptowana"/>
    <s v="Faktura VAT"/>
    <s v="Apteka Szpitalna"/>
    <s v="UM-VIT-01"/>
    <b v="0"/>
    <n v="14790.83"/>
    <s v="OK"/>
    <x v="0"/>
    <x v="1"/>
    <s v="2023-03"/>
    <n v="1"/>
  </r>
  <r>
    <s v="FV/8991/NOVA/23"/>
    <s v="PZ/801243"/>
    <x v="2"/>
    <d v="2023-03-29T00:00:00"/>
    <s v="12524.62"/>
    <s v="Zaakceptowana"/>
    <s v="Faktura VAT"/>
    <s v="Apteka Szpitalna"/>
    <s v="UM-NOV-03"/>
    <b v="0"/>
    <n v="12524.62"/>
    <s v="OK"/>
    <x v="0"/>
    <x v="1"/>
    <s v="2023-03"/>
    <n v="1"/>
  </r>
  <r>
    <s v="FV/42197/VDb/2023"/>
    <s v="PZ/801244"/>
    <x v="7"/>
    <d v="2023-03-30T00:00:00"/>
    <s v="15777.36"/>
    <s v="Zaakceptowana"/>
    <s v="Faktura VAT"/>
    <s v="Apteka Szpitalna"/>
    <s v="UM-VIT-01"/>
    <b v="0"/>
    <n v="15777.36"/>
    <s v="OK"/>
    <x v="0"/>
    <x v="1"/>
    <s v="2023-03"/>
    <n v="1"/>
  </r>
  <r>
    <s v="FV/4805/NOVA/23"/>
    <s v="PZ/801245"/>
    <x v="2"/>
    <d v="2023-03-30T00:00:00"/>
    <s v="3959.45"/>
    <s v="Zaakceptowana"/>
    <s v="Faktura VAT"/>
    <s v="Apteka Szpitalna"/>
    <s v="UM-NOV-03"/>
    <b v="0"/>
    <n v="3959.45"/>
    <s v="OK"/>
    <x v="0"/>
    <x v="1"/>
    <s v="2023-03"/>
    <n v="1"/>
  </r>
  <r>
    <s v="FV/41356/VDb/2023"/>
    <s v="PZ/801246"/>
    <x v="7"/>
    <d v="2023-03-30T00:00:00"/>
    <s v="1366.7"/>
    <s v="Zaakceptowana"/>
    <s v="Faktura VAT"/>
    <s v="Apteka Szpitalna"/>
    <s v="UM-VIT-01"/>
    <b v="0"/>
    <n v="1366.7"/>
    <s v="OK"/>
    <x v="0"/>
    <x v="1"/>
    <s v="2023-03"/>
    <n v="1"/>
  </r>
  <r>
    <s v="FV/4259/NOVA/23"/>
    <s v="PZ/801247"/>
    <x v="2"/>
    <d v="2023-03-30T00:00:00"/>
    <s v="23088.3"/>
    <s v="Zaakceptowana"/>
    <s v="Faktura VAT"/>
    <s v="Apteka Szpitalna"/>
    <s v="UM-NOV-02"/>
    <b v="0"/>
    <n v="23088.3"/>
    <s v="OK"/>
    <x v="0"/>
    <x v="1"/>
    <s v="2023-03"/>
    <n v="1"/>
  </r>
  <r>
    <s v="FV/4080HM/23"/>
    <s v="PZ/801248"/>
    <x v="3"/>
    <d v="2023-03-31T00:00:00"/>
    <s v="8013.69"/>
    <s v="Zaakceptowana"/>
    <s v="Faktura VAT"/>
    <s v="Apteka Szpitalna"/>
    <s v="UM-HUR-01"/>
    <b v="0"/>
    <n v="8013.69"/>
    <s v="OK"/>
    <x v="0"/>
    <x v="1"/>
    <s v="2023-03"/>
    <n v="1"/>
  </r>
  <r>
    <s v="FV/14/PP/7773/23"/>
    <s v="PZ/801249"/>
    <x v="6"/>
    <d v="2023-03-31T00:00:00"/>
    <s v="16101.4"/>
    <s v="Zaakceptowana"/>
    <s v="Faktura VAT"/>
    <s v="Apteka Szpitalna"/>
    <s v="UM-PHA-01"/>
    <b v="0"/>
    <n v="16101.4"/>
    <s v="OK"/>
    <x v="0"/>
    <x v="1"/>
    <s v="2023-03"/>
    <n v="1"/>
  </r>
  <r>
    <s v="FV/7134HM/23"/>
    <s v="PZ/801250"/>
    <x v="3"/>
    <d v="2023-04-01T00:00:00"/>
    <s v="11196.95"/>
    <s v="Zaakceptowana"/>
    <s v="Faktura VAT"/>
    <s v="Apteka Szpitalna"/>
    <s v="UM-HUR-02"/>
    <b v="0"/>
    <n v="11196.95"/>
    <s v="OK"/>
    <x v="0"/>
    <x v="1"/>
    <s v="2023-04"/>
    <n v="1"/>
  </r>
  <r>
    <s v="FV/29/PP/3443/23"/>
    <s v="PZ/801251"/>
    <x v="6"/>
    <d v="2023-04-02T00:00:00"/>
    <s v="22317.83"/>
    <s v="Zaakceptowana"/>
    <s v="Faktura VAT"/>
    <s v="Apteka Szpitalna"/>
    <s v="UM-PHA-02"/>
    <b v="0"/>
    <n v="22317.83"/>
    <s v="OK"/>
    <x v="0"/>
    <x v="1"/>
    <s v="2023-04"/>
    <n v="1"/>
  </r>
  <r>
    <s v="FV/CENFA/804917/23"/>
    <s v="PZ/801252"/>
    <x v="4"/>
    <d v="2023-04-02T00:00:00"/>
    <s v="14304.39"/>
    <s v="Zaakceptowana"/>
    <s v="Faktura VAT"/>
    <s v="Apteka Szpitalna"/>
    <s v="UM-CEN-02"/>
    <b v="0"/>
    <n v="14304.39"/>
    <s v="OK"/>
    <x v="0"/>
    <x v="1"/>
    <s v="2023-04"/>
    <n v="1"/>
  </r>
  <r>
    <s v="FV/23339/VDb/2023"/>
    <s v="PZ/801253"/>
    <x v="7"/>
    <d v="2023-04-03T00:00:00"/>
    <s v="18597.98"/>
    <s v="Zaakceptowana"/>
    <s v="Faktura VAT"/>
    <s v="Apteka Szpitalna"/>
    <s v="UM-VIT-01"/>
    <b v="0"/>
    <n v="18597.98"/>
    <s v="OK"/>
    <x v="0"/>
    <x v="1"/>
    <s v="2023-04"/>
    <n v="1"/>
  </r>
  <r>
    <s v="FV/M/1720/P/23"/>
    <s v="PZ/801254"/>
    <x v="5"/>
    <d v="2023-04-04T00:00:00"/>
    <s v="14441.68"/>
    <s v="Zaakceptowana"/>
    <s v="Faktura VAT"/>
    <s v="Apteka Szpitalna"/>
    <s v="UM-MED-02"/>
    <b v="0"/>
    <n v="14441.68"/>
    <s v="OK"/>
    <x v="0"/>
    <x v="1"/>
    <s v="2023-04"/>
    <n v="1"/>
  </r>
  <r>
    <s v="FV/81/PP/7444/23"/>
    <s v="PZ/801255"/>
    <x v="6"/>
    <d v="2023-04-04T00:00:00"/>
    <s v="19650.19"/>
    <s v="Zaakceptowana"/>
    <s v="Faktura VAT"/>
    <s v="Apteka Szpitalna"/>
    <s v="UM-PHA-02"/>
    <b v="0"/>
    <n v="19650.189999999999"/>
    <s v="OK"/>
    <x v="0"/>
    <x v="1"/>
    <s v="2023-04"/>
    <n v="1"/>
  </r>
  <r>
    <s v="FV/CENFA/384678/23"/>
    <s v="PZ/801256"/>
    <x v="4"/>
    <d v="2023-04-04T00:00:00"/>
    <s v="9888.38"/>
    <s v="Zaakceptowana"/>
    <s v="Faktura VAT"/>
    <s v="Apteka Szpitalna"/>
    <s v="UM-CEN-01"/>
    <b v="0"/>
    <n v="9888.3799999999992"/>
    <s v="OK"/>
    <x v="0"/>
    <x v="1"/>
    <s v="2023-04"/>
    <n v="1"/>
  </r>
  <r>
    <s v="FV/CENFA/114831/23"/>
    <s v="PZ/801257"/>
    <x v="4"/>
    <d v="2023-04-04T00:00:00"/>
    <s v="9633.4"/>
    <s v="Zaakceptowana"/>
    <s v="Faktura VAT"/>
    <s v="Apteka Szpitalna"/>
    <s v=""/>
    <b v="0"/>
    <n v="9633.4"/>
    <s v="OK"/>
    <x v="1"/>
    <x v="1"/>
    <s v="2023-04"/>
    <n v="1"/>
  </r>
  <r>
    <s v="FV/54271/VDb/2023"/>
    <s v="PZ/801258"/>
    <x v="7"/>
    <d v="2023-04-04T00:00:00"/>
    <s v="15068.84"/>
    <s v="Zaakceptowana"/>
    <s v="Faktura VAT"/>
    <s v="Apteka Szpitalna"/>
    <s v="UM-VIT-01"/>
    <b v="0"/>
    <n v="15068.84"/>
    <s v="OK"/>
    <x v="0"/>
    <x v="1"/>
    <s v="2023-04"/>
    <n v="1"/>
  </r>
  <r>
    <s v="FV/11/PP/4944/23"/>
    <s v="PZ/801259"/>
    <x v="6"/>
    <d v="2023-04-04T00:00:00"/>
    <s v="17278.28"/>
    <s v="Zaakceptowana"/>
    <s v="Faktura VAT"/>
    <s v="Apteka Szpitalna"/>
    <s v="UM-PHA-02"/>
    <b v="0"/>
    <n v="17278.28"/>
    <s v="OK"/>
    <x v="0"/>
    <x v="1"/>
    <s v="2023-04"/>
    <n v="1"/>
  </r>
  <r>
    <s v="FV/16/SAL/23"/>
    <s v="PZ/801260"/>
    <x v="1"/>
    <d v="2023-04-05T00:00:00"/>
    <s v="16231.59"/>
    <s v="Zaakceptowana"/>
    <s v="Faktura VAT"/>
    <s v="Apteka Szpitalna"/>
    <s v="UM-SAL-02"/>
    <b v="0"/>
    <n v="16231.59"/>
    <s v="OK"/>
    <x v="0"/>
    <x v="1"/>
    <s v="2023-04"/>
    <n v="1"/>
  </r>
  <r>
    <s v="FV/46/PP/1979/23"/>
    <s v="PZ/801261"/>
    <x v="6"/>
    <d v="2023-04-05T00:00:00"/>
    <s v="11053.37"/>
    <s v="Zaakceptowana"/>
    <s v="Faktura VAT"/>
    <s v="Apteka Szpitalna"/>
    <s v=""/>
    <b v="0"/>
    <n v="11053.37"/>
    <s v="OK"/>
    <x v="1"/>
    <x v="1"/>
    <s v="2023-04"/>
    <n v="1"/>
  </r>
  <r>
    <s v="FV/90/PP/8040/23"/>
    <s v="PZ/801262"/>
    <x v="6"/>
    <d v="2023-04-06T00:00:00"/>
    <s v="7141.96"/>
    <s v="Zaakceptowana"/>
    <s v="Faktura VAT"/>
    <s v="Apteka Szpitalna"/>
    <s v=""/>
    <b v="0"/>
    <n v="7141.96"/>
    <s v="OK"/>
    <x v="1"/>
    <x v="1"/>
    <s v="2023-04"/>
    <n v="1"/>
  </r>
  <r>
    <s v="FV/POL/63434/2023"/>
    <s v="PZ/801263"/>
    <x v="0"/>
    <d v="2023-04-07T00:00:00"/>
    <s v="21507.95"/>
    <s v="Zaakceptowana"/>
    <s v="Faktura VAT"/>
    <s v="Apteka Szpitalna"/>
    <s v="UM-POL-03"/>
    <b v="0"/>
    <n v="21507.95"/>
    <s v="OK"/>
    <x v="0"/>
    <x v="1"/>
    <s v="2023-04"/>
    <n v="1"/>
  </r>
  <r>
    <s v="FV/3384/NOVA/23"/>
    <s v="PZ/801264"/>
    <x v="2"/>
    <d v="2023-04-07T00:00:00"/>
    <s v="12663.29"/>
    <s v="Zaakceptowana"/>
    <s v="Faktura VAT"/>
    <s v="Apteka Szpitalna"/>
    <s v=""/>
    <b v="0"/>
    <n v="12663.29"/>
    <s v="OK"/>
    <x v="1"/>
    <x v="1"/>
    <s v="2023-04"/>
    <n v="1"/>
  </r>
  <r>
    <s v="FV/63498/VDb/2023"/>
    <s v="PZ/801265"/>
    <x v="7"/>
    <d v="2023-04-07T00:00:00"/>
    <s v="10847.42"/>
    <s v="Zaakceptowana"/>
    <s v="Faktura VAT"/>
    <s v="Apteka Szpitalna"/>
    <s v="UM-VIT-01"/>
    <b v="0"/>
    <n v="10847.42"/>
    <s v="OK"/>
    <x v="0"/>
    <x v="1"/>
    <s v="2023-04"/>
    <n v="1"/>
  </r>
  <r>
    <s v="FV/62503/VDb/2023"/>
    <s v="PZ/801266"/>
    <x v="7"/>
    <d v="2023-04-07T00:00:00"/>
    <s v="11354.43"/>
    <s v="Zaakceptowana"/>
    <s v="Faktura VAT"/>
    <s v="Apteka Szpitalna"/>
    <s v="UM-VIT-01"/>
    <b v="0"/>
    <n v="11354.43"/>
    <s v="OK"/>
    <x v="0"/>
    <x v="1"/>
    <s v="2023-04"/>
    <n v="1"/>
  </r>
  <r>
    <s v="FV/2193HM/23"/>
    <s v="PZ/801267"/>
    <x v="3"/>
    <d v="2023-04-08T00:00:00"/>
    <s v="18468.11"/>
    <s v="Zaakceptowana"/>
    <s v="Faktura VAT"/>
    <s v="Apteka Szpitalna"/>
    <s v=""/>
    <b v="0"/>
    <n v="18468.11"/>
    <s v="OK"/>
    <x v="1"/>
    <x v="1"/>
    <s v="2023-04"/>
    <n v="1"/>
  </r>
  <r>
    <s v="FV/31/PP/4071/23"/>
    <s v="PZ/801268"/>
    <x v="6"/>
    <d v="2023-04-08T00:00:00"/>
    <s v="10776.95"/>
    <s v="Zaakceptowana"/>
    <s v="Faktura VAT"/>
    <s v="Apteka Szpitalna"/>
    <s v="UM-PHA-02"/>
    <b v="0"/>
    <n v="10776.95"/>
    <s v="OK"/>
    <x v="0"/>
    <x v="1"/>
    <s v="2023-04"/>
    <n v="1"/>
  </r>
  <r>
    <s v="FV/CENFA/214292/23"/>
    <s v="PZ/801269"/>
    <x v="4"/>
    <d v="2023-04-08T00:00:00"/>
    <s v="11966.41"/>
    <s v="Zaakceptowana"/>
    <s v="Faktura VAT"/>
    <s v="Apteka Szpitalna"/>
    <s v=""/>
    <b v="0"/>
    <n v="11966.41"/>
    <s v="OK"/>
    <x v="1"/>
    <x v="1"/>
    <s v="2023-04"/>
    <n v="1"/>
  </r>
  <r>
    <s v="FV/M/4015/P/23"/>
    <s v="PZ/801270"/>
    <x v="5"/>
    <d v="2023-04-09T00:00:00"/>
    <s v="19899.2"/>
    <s v="Zaakceptowana"/>
    <s v="Faktura VAT"/>
    <s v="Apteka Szpitalna"/>
    <s v="UM-MED-01"/>
    <b v="0"/>
    <n v="19899.2"/>
    <s v="OK"/>
    <x v="0"/>
    <x v="1"/>
    <s v="2023-04"/>
    <n v="1"/>
  </r>
  <r>
    <s v="FV/CENFA/362378/23"/>
    <s v="PZ/801271"/>
    <x v="4"/>
    <d v="2023-04-09T00:00:00"/>
    <s v="21949.14"/>
    <s v="Zaakceptowana"/>
    <s v="Faktura VAT"/>
    <s v="Apteka Szpitalna"/>
    <s v=""/>
    <b v="0"/>
    <n v="21949.14"/>
    <s v="OK"/>
    <x v="1"/>
    <x v="1"/>
    <s v="2023-04"/>
    <n v="1"/>
  </r>
  <r>
    <s v="FV/29720/VDb/2023"/>
    <s v="PZ/801272"/>
    <x v="7"/>
    <d v="2023-04-09T00:00:00"/>
    <s v="-668.68"/>
    <s v="Zaakceptowana"/>
    <s v="Korekta FV"/>
    <s v="Apteka Szpitalna"/>
    <s v="UM-VIT-01"/>
    <b v="0"/>
    <n v="-668.68"/>
    <s v="OK"/>
    <x v="0"/>
    <x v="1"/>
    <s v="2023-04"/>
    <n v="1"/>
  </r>
  <r>
    <s v="FV/POL/99180/2023"/>
    <s v="PZ/801273"/>
    <x v="0"/>
    <d v="2023-04-10T00:00:00"/>
    <s v="14667.24"/>
    <s v="Zaakceptowana"/>
    <s v="Faktura VAT"/>
    <s v="Apteka Szpitalna"/>
    <s v="UM-POL-02"/>
    <b v="0"/>
    <n v="14667.24"/>
    <s v="OK"/>
    <x v="0"/>
    <x v="1"/>
    <s v="2023-04"/>
    <n v="1"/>
  </r>
  <r>
    <s v="FV/9456/NOVA/23"/>
    <s v="PZ/801274"/>
    <x v="2"/>
    <d v="2023-04-12T00:00:00"/>
    <s v="22326.59"/>
    <s v="Zaakceptowana"/>
    <s v="Faktura VAT"/>
    <s v="Apteka Szpitalna"/>
    <s v="UM-NOV-02"/>
    <b v="0"/>
    <n v="22326.59"/>
    <s v="OK"/>
    <x v="0"/>
    <x v="1"/>
    <s v="2023-04"/>
    <n v="1"/>
  </r>
  <r>
    <s v="FV/13323/VDb/2023"/>
    <s v="PZ/801275"/>
    <x v="7"/>
    <d v="2023-04-13T00:00:00"/>
    <s v="14572.82"/>
    <s v="Zaakceptowana"/>
    <s v="Faktura VAT"/>
    <s v="Apteka Szpitalna"/>
    <s v="UM-VIT-01"/>
    <b v="0"/>
    <n v="14572.82"/>
    <s v="OK"/>
    <x v="0"/>
    <x v="1"/>
    <s v="2023-04"/>
    <n v="1"/>
  </r>
  <r>
    <s v="FV/43/SAL/23"/>
    <s v="PZ/801276"/>
    <x v="1"/>
    <d v="2023-04-13T00:00:00"/>
    <s v="15354.91"/>
    <s v="Zaakceptowana"/>
    <s v="Faktura VAT"/>
    <s v="Apteka Szpitalna"/>
    <s v="UM-SAL-01"/>
    <b v="0"/>
    <n v="15354.91"/>
    <s v="OK"/>
    <x v="0"/>
    <x v="1"/>
    <s v="2023-04"/>
    <n v="1"/>
  </r>
  <r>
    <s v="FV/99017/VDb/2023"/>
    <s v="PZ/801277"/>
    <x v="7"/>
    <d v="2023-04-13T00:00:00"/>
    <s v="24220.25"/>
    <s v="Zaakceptowana"/>
    <s v="Faktura VAT"/>
    <s v="Apteka Szpitalna"/>
    <s v="UM-VIT-01"/>
    <b v="0"/>
    <n v="24220.25"/>
    <s v="OK"/>
    <x v="0"/>
    <x v="1"/>
    <s v="2023-04"/>
    <n v="1"/>
  </r>
  <r>
    <s v="FV/7250HM/23"/>
    <s v="PZ/801278"/>
    <x v="3"/>
    <d v="2023-04-13T00:00:00"/>
    <s v="20699.36"/>
    <s v="Zaakceptowana"/>
    <s v="Faktura VAT"/>
    <s v="Apteka Szpitalna"/>
    <s v="UM-HUR-03"/>
    <b v="0"/>
    <n v="20699.36"/>
    <s v="OK"/>
    <x v="0"/>
    <x v="1"/>
    <s v="2023-04"/>
    <n v="1"/>
  </r>
  <r>
    <s v="FV/39/SAL/23"/>
    <s v="PZ/801279"/>
    <x v="1"/>
    <d v="2023-04-14T00:00:00"/>
    <s v="-1622.51"/>
    <s v="Zaakceptowana"/>
    <s v="Korekta FV"/>
    <s v="Apteka Szpitalna"/>
    <s v="UM-SAL-01"/>
    <b v="0"/>
    <n v="-1622.51"/>
    <s v="OK"/>
    <x v="0"/>
    <x v="1"/>
    <s v="2023-04"/>
    <n v="1"/>
  </r>
  <r>
    <s v="FV/66/SAL/23"/>
    <s v="PZ/801280"/>
    <x v="1"/>
    <d v="2023-04-14T00:00:00"/>
    <s v="16298.06"/>
    <s v="Zaakceptowana"/>
    <s v="Faktura VAT"/>
    <s v="Apteka Szpitalna"/>
    <s v="UM-SAL-02"/>
    <b v="0"/>
    <n v="16298.06"/>
    <s v="OK"/>
    <x v="0"/>
    <x v="1"/>
    <s v="2023-04"/>
    <n v="1"/>
  </r>
  <r>
    <s v="FV/M/4831/P/23"/>
    <s v="PZ/801281"/>
    <x v="5"/>
    <d v="2023-04-14T00:00:00"/>
    <s v="19230.59"/>
    <s v="Zaakceptowana"/>
    <s v="Faktura VAT"/>
    <s v="Apteka Szpitalna"/>
    <s v="UM-MED-02"/>
    <b v="0"/>
    <n v="19230.59"/>
    <s v="OK"/>
    <x v="0"/>
    <x v="1"/>
    <s v="2023-04"/>
    <n v="1"/>
  </r>
  <r>
    <s v="FV/98/PP/9607/23"/>
    <s v="PZ/801282"/>
    <x v="6"/>
    <d v="2023-04-15T00:00:00"/>
    <s v="11570.68"/>
    <s v="Zaakceptowana"/>
    <s v="Faktura VAT"/>
    <s v="Apteka Szpitalna"/>
    <s v="UM-PHA-01"/>
    <b v="0"/>
    <n v="11570.68"/>
    <s v="OK"/>
    <x v="0"/>
    <x v="1"/>
    <s v="2023-04"/>
    <n v="1"/>
  </r>
  <r>
    <s v="FV/CENFA/638065/23"/>
    <s v="PZ/801283"/>
    <x v="4"/>
    <d v="2023-04-15T00:00:00"/>
    <s v="17758.4"/>
    <s v="Zaakceptowana"/>
    <s v="Faktura VAT"/>
    <s v="Apteka Szpitalna"/>
    <s v="UM-CEN-01"/>
    <b v="0"/>
    <n v="17758.400000000001"/>
    <s v="OK"/>
    <x v="0"/>
    <x v="1"/>
    <s v="2023-04"/>
    <n v="1"/>
  </r>
  <r>
    <s v="FV/POL/38679/2023"/>
    <s v="PZ/801284"/>
    <x v="0"/>
    <d v="2023-04-16T00:00:00"/>
    <s v="20893.44"/>
    <s v="Zaakceptowana"/>
    <s v="Faktura VAT"/>
    <s v="Apteka Szpitalna"/>
    <s v="UM-POL-01"/>
    <b v="0"/>
    <n v="20893.439999999999"/>
    <s v="OK"/>
    <x v="0"/>
    <x v="1"/>
    <s v="2023-04"/>
    <n v="1"/>
  </r>
  <r>
    <s v="FV/POL/27700/2023"/>
    <s v="PZ/801285"/>
    <x v="0"/>
    <d v="2023-04-16T00:00:00"/>
    <s v="21752.55"/>
    <s v="Zaakceptowana"/>
    <s v="Faktura VAT"/>
    <s v="Apteka Szpitalna"/>
    <s v="UM-POL-01"/>
    <b v="0"/>
    <n v="21752.55"/>
    <s v="OK"/>
    <x v="0"/>
    <x v="1"/>
    <s v="2023-04"/>
    <n v="1"/>
  </r>
  <r>
    <s v="FV/2357/NOVA/23"/>
    <s v="PZ/801286"/>
    <x v="2"/>
    <d v="2023-04-16T00:00:00"/>
    <s v="23697.39"/>
    <s v="Zaakceptowana"/>
    <s v="Faktura VAT"/>
    <s v="Apteka Szpitalna"/>
    <s v="UM-NOV-01"/>
    <b v="0"/>
    <n v="23697.39"/>
    <s v="OK"/>
    <x v="0"/>
    <x v="1"/>
    <s v="2023-04"/>
    <n v="1"/>
  </r>
  <r>
    <s v="FV/CENFA/373935/23"/>
    <s v="PZ/801287"/>
    <x v="4"/>
    <d v="2023-04-18T00:00:00"/>
    <s v="-1909.94"/>
    <s v="Zaakceptowana"/>
    <s v="Korekta FV"/>
    <s v="Apteka Szpitalna"/>
    <s v="UM-CEN-01"/>
    <b v="0"/>
    <n v="-1909.94"/>
    <s v="OK"/>
    <x v="0"/>
    <x v="1"/>
    <s v="2023-04"/>
    <n v="1"/>
  </r>
  <r>
    <s v="FV/POL/51509/2023"/>
    <s v="PZ/801288"/>
    <x v="0"/>
    <d v="2023-04-18T00:00:00"/>
    <s v="15630.82"/>
    <s v="Zaakceptowana"/>
    <s v="Faktura VAT"/>
    <s v="Apteka Szpitalna"/>
    <s v=""/>
    <b v="0"/>
    <n v="15630.82"/>
    <s v="OK"/>
    <x v="1"/>
    <x v="1"/>
    <s v="2023-04"/>
    <n v="1"/>
  </r>
  <r>
    <s v="FV/94/PP/1076/23"/>
    <s v="PZ/801289"/>
    <x v="6"/>
    <d v="2023-04-19T00:00:00"/>
    <s v="11149.49"/>
    <s v="Zaakceptowana"/>
    <s v="Faktura VAT"/>
    <s v="Apteka Szpitalna"/>
    <s v="UM-PHA-02"/>
    <b v="0"/>
    <n v="11149.49"/>
    <s v="OK"/>
    <x v="0"/>
    <x v="1"/>
    <s v="2023-04"/>
    <n v="1"/>
  </r>
  <r>
    <s v="FV/34/PP/3895/23"/>
    <s v="PZ/801290"/>
    <x v="6"/>
    <d v="2023-04-19T00:00:00"/>
    <s v="24384.64"/>
    <s v="Zaakceptowana"/>
    <s v="Faktura VAT"/>
    <s v="Apteka Szpitalna"/>
    <s v="UM-PHA-01"/>
    <b v="0"/>
    <n v="24384.639999999999"/>
    <s v="OK"/>
    <x v="0"/>
    <x v="1"/>
    <s v="2023-04"/>
    <n v="1"/>
  </r>
  <r>
    <s v="FV/3101/NOVA/23"/>
    <s v="PZ/801291"/>
    <x v="2"/>
    <d v="2023-04-19T00:00:00"/>
    <s v="14736.41"/>
    <s v="Zaakceptowana"/>
    <s v="Faktura VAT"/>
    <s v="Apteka Szpitalna"/>
    <s v=""/>
    <b v="0"/>
    <n v="14736.41"/>
    <s v="OK"/>
    <x v="1"/>
    <x v="1"/>
    <s v="2023-04"/>
    <n v="1"/>
  </r>
  <r>
    <s v="FV/53528/VDb/2023"/>
    <s v="PZ/801292"/>
    <x v="7"/>
    <d v="2023-04-19T00:00:00"/>
    <s v="10254.59"/>
    <s v="Zaakceptowana"/>
    <s v="Faktura VAT"/>
    <s v="Apteka Szpitalna"/>
    <s v=""/>
    <b v="0"/>
    <n v="10254.59"/>
    <s v="OK"/>
    <x v="1"/>
    <x v="1"/>
    <s v="2023-04"/>
    <n v="1"/>
  </r>
  <r>
    <s v="FV/3501HM/23"/>
    <s v="PZ/801293"/>
    <x v="3"/>
    <d v="2023-04-20T00:00:00"/>
    <s v="10614.73"/>
    <s v="Zaakceptowana"/>
    <s v="Faktura VAT"/>
    <s v="Apteka Szpitalna"/>
    <s v="UM-HUR-02"/>
    <b v="0"/>
    <n v="10614.73"/>
    <s v="OK"/>
    <x v="0"/>
    <x v="1"/>
    <s v="2023-04"/>
    <n v="1"/>
  </r>
  <r>
    <s v="FV/7607HM/23"/>
    <s v="PZ/801294"/>
    <x v="3"/>
    <d v="2023-04-20T00:00:00"/>
    <s v="10718.84"/>
    <s v="Zaakceptowana"/>
    <s v="Faktura VAT"/>
    <s v="Apteka Szpitalna"/>
    <s v="UM-HUR-03"/>
    <b v="0"/>
    <n v="10718.84"/>
    <s v="OK"/>
    <x v="0"/>
    <x v="1"/>
    <s v="2023-04"/>
    <n v="1"/>
  </r>
  <r>
    <s v="FV/52349/VDb/2023"/>
    <s v="PZ/801295"/>
    <x v="7"/>
    <d v="2023-04-20T00:00:00"/>
    <s v="15011.35"/>
    <s v="Zaakceptowana"/>
    <s v="Faktura VAT"/>
    <s v="Apteka Szpitalna"/>
    <s v=""/>
    <b v="0"/>
    <n v="15011.35"/>
    <s v="OK"/>
    <x v="1"/>
    <x v="1"/>
    <s v="2023-04"/>
    <n v="1"/>
  </r>
  <r>
    <s v="FV/CENFA/843816/23"/>
    <s v="PZ/801296"/>
    <x v="4"/>
    <d v="2023-04-21T00:00:00"/>
    <s v="16131.09"/>
    <s v="Zaakceptowana"/>
    <s v="Faktura VAT"/>
    <s v="Apteka Szpitalna"/>
    <s v=""/>
    <b v="0"/>
    <n v="16131.09"/>
    <s v="OK"/>
    <x v="1"/>
    <x v="1"/>
    <s v="2023-04"/>
    <n v="1"/>
  </r>
  <r>
    <s v="FV/8816/NOVA/23"/>
    <s v="PZ/801297"/>
    <x v="2"/>
    <d v="2023-04-22T00:00:00"/>
    <s v="13787.72"/>
    <s v="Zaakceptowana"/>
    <s v="Faktura VAT"/>
    <s v="Apteka Szpitalna"/>
    <s v="UM-NOV-02"/>
    <b v="0"/>
    <n v="13787.72"/>
    <s v="OK"/>
    <x v="0"/>
    <x v="1"/>
    <s v="2023-04"/>
    <n v="1"/>
  </r>
  <r>
    <s v="FV/3375/NOVA/23"/>
    <s v="PZ/801298"/>
    <x v="2"/>
    <d v="2023-04-22T00:00:00"/>
    <s v="15359.85"/>
    <s v="Zaakceptowana"/>
    <s v="Faktura VAT"/>
    <s v="Apteka Szpitalna"/>
    <s v=""/>
    <b v="0"/>
    <n v="15359.85"/>
    <s v="OK"/>
    <x v="1"/>
    <x v="1"/>
    <s v="2023-04"/>
    <n v="1"/>
  </r>
  <r>
    <s v="FV/14/SAL/23"/>
    <s v="PZ/801299"/>
    <x v="1"/>
    <d v="2023-04-22T00:00:00"/>
    <s v="27631.02"/>
    <s v="Zaakceptowana"/>
    <s v="Faktura VAT"/>
    <s v="Apteka Szpitalna"/>
    <s v="UM-SAL-01"/>
    <b v="0"/>
    <n v="27631.02"/>
    <s v="OK"/>
    <x v="0"/>
    <x v="1"/>
    <s v="2023-04"/>
    <n v="1"/>
  </r>
  <r>
    <s v="FV/CENFA/259290/23"/>
    <s v="PZ/801300"/>
    <x v="4"/>
    <d v="2023-04-23T00:00:00"/>
    <s v="11938.52"/>
    <s v="Zaakceptowana"/>
    <s v="Faktura VAT"/>
    <s v="Apteka Szpitalna"/>
    <s v=""/>
    <b v="0"/>
    <n v="11938.52"/>
    <s v="OK"/>
    <x v="1"/>
    <x v="1"/>
    <s v="2023-04"/>
    <n v="1"/>
  </r>
  <r>
    <s v="FV/43/PP/6667/23"/>
    <s v="PZ/801301"/>
    <x v="6"/>
    <d v="2023-04-23T00:00:00"/>
    <s v="16665.19"/>
    <s v="Zaakceptowana"/>
    <s v="Faktura VAT"/>
    <s v="Apteka Szpitalna"/>
    <s v=""/>
    <b v="0"/>
    <n v="16665.189999999999"/>
    <s v="OK"/>
    <x v="1"/>
    <x v="1"/>
    <s v="2023-04"/>
    <n v="1"/>
  </r>
  <r>
    <s v="FV/POL/13468/2023"/>
    <s v="PZ/801302"/>
    <x v="0"/>
    <d v="2023-04-23T00:00:00"/>
    <s v="19049.53"/>
    <s v="Zaakceptowana"/>
    <s v="Faktura VAT"/>
    <s v="Apteka Szpitalna"/>
    <s v=""/>
    <b v="0"/>
    <n v="19049.53"/>
    <s v="OK"/>
    <x v="1"/>
    <x v="1"/>
    <s v="2023-04"/>
    <n v="1"/>
  </r>
  <r>
    <s v="FV/6752/NOVA/23"/>
    <s v="PZ/801303"/>
    <x v="2"/>
    <d v="2023-04-24T00:00:00"/>
    <s v="11988.24"/>
    <s v="Zaakceptowana"/>
    <s v="Faktura VAT"/>
    <s v="Apteka Szpitalna"/>
    <s v="UM-NOV-02"/>
    <b v="0"/>
    <n v="11988.24"/>
    <s v="OK"/>
    <x v="0"/>
    <x v="1"/>
    <s v="2023-04"/>
    <n v="1"/>
  </r>
  <r>
    <s v="FV/POL/23008/2023"/>
    <s v="PZ/801304"/>
    <x v="0"/>
    <d v="2023-04-25T00:00:00"/>
    <s v="17206.48"/>
    <s v="Zaakceptowana"/>
    <s v="Faktura VAT"/>
    <s v="Apteka Szpitalna"/>
    <s v=""/>
    <b v="0"/>
    <n v="17206.48"/>
    <s v="OK"/>
    <x v="1"/>
    <x v="1"/>
    <s v="2023-04"/>
    <n v="1"/>
  </r>
  <r>
    <s v="FV/66/SAL/23"/>
    <s v="PZ/801305"/>
    <x v="1"/>
    <d v="2023-04-25T00:00:00"/>
    <s v="17559.35"/>
    <s v="Zaakceptowana"/>
    <s v="Faktura VAT"/>
    <s v="Apteka Szpitalna"/>
    <s v="UM-SAL-02"/>
    <b v="0"/>
    <n v="17559.349999999999"/>
    <s v="OK"/>
    <x v="0"/>
    <x v="1"/>
    <s v="2023-04"/>
    <n v="1"/>
  </r>
  <r>
    <s v="FV/53/SAL/23"/>
    <s v="PZ/801306"/>
    <x v="1"/>
    <d v="2023-04-25T00:00:00"/>
    <s v="10367.03"/>
    <s v="Zaakceptowana"/>
    <s v="Faktura VAT"/>
    <s v="Apteka Szpitalna"/>
    <s v="UM-SAL-02"/>
    <b v="0"/>
    <n v="10367.030000000001"/>
    <s v="OK"/>
    <x v="0"/>
    <x v="1"/>
    <s v="2023-04"/>
    <n v="1"/>
  </r>
  <r>
    <s v="FV/M/1088/P/23"/>
    <s v="PZ/801307"/>
    <x v="5"/>
    <d v="2023-04-26T00:00:00"/>
    <s v="23302.24"/>
    <s v="Zaakceptowana"/>
    <s v="Faktura VAT"/>
    <s v="Apteka Szpitalna"/>
    <s v="UM-MED-02"/>
    <b v="0"/>
    <n v="23302.240000000002"/>
    <s v="OK"/>
    <x v="0"/>
    <x v="1"/>
    <s v="2023-04"/>
    <n v="1"/>
  </r>
  <r>
    <s v="FV/49165/VDb/2023"/>
    <s v="PZ/801308"/>
    <x v="7"/>
    <d v="2023-04-26T00:00:00"/>
    <s v="-2149.42"/>
    <s v="Zaakceptowana"/>
    <s v="Korekta FV"/>
    <s v="Apteka Szpitalna"/>
    <s v="UM-VIT-01"/>
    <b v="0"/>
    <n v="-2149.42"/>
    <s v="OK"/>
    <x v="0"/>
    <x v="1"/>
    <s v="2023-04"/>
    <n v="1"/>
  </r>
  <r>
    <s v="FV/CENFA/410751/23"/>
    <s v="PZ/801309"/>
    <x v="4"/>
    <d v="2023-04-26T00:00:00"/>
    <s v="14834.29"/>
    <s v="Zaakceptowana"/>
    <s v="Faktura VAT"/>
    <s v="Apteka Szpitalna"/>
    <s v="UM-CEN-02"/>
    <b v="0"/>
    <n v="14834.29"/>
    <s v="OK"/>
    <x v="0"/>
    <x v="1"/>
    <s v="2023-04"/>
    <n v="1"/>
  </r>
  <r>
    <s v="FV/91/SAL/23"/>
    <s v="PZ/801310"/>
    <x v="1"/>
    <d v="2023-04-26T00:00:00"/>
    <s v="13218.76"/>
    <s v="Zaakceptowana"/>
    <s v="Faktura VAT"/>
    <s v="Apteka Szpitalna"/>
    <s v=""/>
    <b v="0"/>
    <n v="13218.76"/>
    <s v="OK"/>
    <x v="1"/>
    <x v="1"/>
    <s v="2023-04"/>
    <n v="1"/>
  </r>
  <r>
    <s v="FV/57/SAL/23"/>
    <s v="PZ/801311"/>
    <x v="1"/>
    <d v="2023-04-27T00:00:00"/>
    <s v="11869.64"/>
    <s v="Zaakceptowana"/>
    <s v="Faktura VAT"/>
    <s v="Apteka Szpitalna"/>
    <s v=""/>
    <b v="0"/>
    <n v="11869.64"/>
    <s v="OK"/>
    <x v="1"/>
    <x v="1"/>
    <s v="2023-04"/>
    <n v="1"/>
  </r>
  <r>
    <s v="FV/50/PP/7383/23"/>
    <s v="PZ/801312"/>
    <x v="6"/>
    <d v="2023-04-27T00:00:00"/>
    <s v="22704.25"/>
    <s v="Zaakceptowana"/>
    <s v="Faktura VAT"/>
    <s v="Apteka Szpitalna"/>
    <s v="UM-PHA-01"/>
    <b v="0"/>
    <n v="22704.25"/>
    <s v="OK"/>
    <x v="0"/>
    <x v="1"/>
    <s v="2023-04"/>
    <n v="1"/>
  </r>
  <r>
    <s v="FV/8012/NOVA/23"/>
    <s v="PZ/801313"/>
    <x v="2"/>
    <d v="2023-04-27T00:00:00"/>
    <s v="20527.39"/>
    <s v="Zaakceptowana"/>
    <s v="Faktura VAT"/>
    <s v="Apteka Szpitalna"/>
    <s v=""/>
    <b v="0"/>
    <n v="20527.39"/>
    <s v="OK"/>
    <x v="1"/>
    <x v="1"/>
    <s v="2023-04"/>
    <n v="1"/>
  </r>
  <r>
    <s v="FV/POL/90365/2023"/>
    <s v="PZ/801314"/>
    <x v="0"/>
    <d v="2023-04-28T00:00:00"/>
    <s v="10628.56"/>
    <s v="Zaakceptowana"/>
    <s v="Faktura VAT"/>
    <s v="Apteka Szpitalna"/>
    <s v="UM-POL-03"/>
    <b v="0"/>
    <n v="10628.56"/>
    <s v="OK"/>
    <x v="0"/>
    <x v="1"/>
    <s v="2023-04"/>
    <n v="1"/>
  </r>
  <r>
    <s v="FV/8957HM/23"/>
    <s v="PZ/801315"/>
    <x v="3"/>
    <d v="2023-04-28T00:00:00"/>
    <s v="17863.23"/>
    <s v="Zaakceptowana"/>
    <s v="Faktura VAT"/>
    <s v="Apteka Szpitalna"/>
    <s v="UM-HUR-01"/>
    <b v="0"/>
    <n v="17863.23"/>
    <s v="OK"/>
    <x v="0"/>
    <x v="1"/>
    <s v="2023-04"/>
    <n v="1"/>
  </r>
  <r>
    <s v="FV/2085HM/23"/>
    <s v="PZ/801316"/>
    <x v="3"/>
    <d v="2023-04-28T00:00:00"/>
    <s v="9662.56"/>
    <s v="Zaakceptowana"/>
    <s v="Faktura VAT"/>
    <s v="Apteka Szpitalna"/>
    <s v="UM-HUR-03"/>
    <b v="0"/>
    <n v="9662.56"/>
    <s v="OK"/>
    <x v="0"/>
    <x v="1"/>
    <s v="2023-04"/>
    <n v="1"/>
  </r>
  <r>
    <s v="FV/POL/39177/2023"/>
    <s v="PZ/801317"/>
    <x v="0"/>
    <d v="2023-04-28T00:00:00"/>
    <s v="27266.54"/>
    <s v="Zaakceptowana"/>
    <s v="Faktura VAT"/>
    <s v="Apteka Szpitalna"/>
    <s v="UM-POL-03"/>
    <b v="0"/>
    <n v="27266.54"/>
    <s v="OK"/>
    <x v="0"/>
    <x v="1"/>
    <s v="2023-04"/>
    <n v="1"/>
  </r>
  <r>
    <s v="FV/9549HM/23"/>
    <s v="PZ/801318"/>
    <x v="3"/>
    <d v="2023-04-28T00:00:00"/>
    <s v="11153.41"/>
    <s v="Zaakceptowana"/>
    <s v="Faktura VAT"/>
    <s v="Apteka Szpitalna"/>
    <s v=""/>
    <b v="0"/>
    <n v="11153.41"/>
    <s v="OK"/>
    <x v="1"/>
    <x v="1"/>
    <s v="2023-04"/>
    <n v="1"/>
  </r>
  <r>
    <s v="FV/38/PP/8509/23"/>
    <s v="PZ/801319"/>
    <x v="6"/>
    <d v="2023-04-29T00:00:00"/>
    <s v="13420.19"/>
    <s v="Zaakceptowana"/>
    <s v="Faktura VAT"/>
    <s v="Apteka Szpitalna"/>
    <s v=""/>
    <b v="0"/>
    <n v="13420.19"/>
    <s v="OK"/>
    <x v="1"/>
    <x v="1"/>
    <s v="2023-04"/>
    <n v="1"/>
  </r>
  <r>
    <s v="FV/CENFA/588046/23"/>
    <s v="PZ/801320"/>
    <x v="4"/>
    <d v="2023-04-29T00:00:00"/>
    <s v="19470.57"/>
    <s v="Zaakceptowana"/>
    <s v="Faktura VAT"/>
    <s v="Apteka Szpitalna"/>
    <s v="UM-CEN-02"/>
    <b v="0"/>
    <n v="19470.57"/>
    <s v="OK"/>
    <x v="0"/>
    <x v="1"/>
    <s v="2023-04"/>
    <n v="1"/>
  </r>
  <r>
    <s v="FV/CENFA/308609/23"/>
    <s v="PZ/801321"/>
    <x v="4"/>
    <d v="2023-04-29T00:00:00"/>
    <s v="15601.75"/>
    <s v="Zaakceptowana"/>
    <s v="Faktura VAT"/>
    <s v="Apteka Szpitalna"/>
    <s v="UM-CEN-01"/>
    <b v="0"/>
    <n v="15601.75"/>
    <s v="OK"/>
    <x v="0"/>
    <x v="1"/>
    <s v="2023-04"/>
    <n v="1"/>
  </r>
  <r>
    <s v="FV/M/6946/P/23"/>
    <s v="PZ/801322"/>
    <x v="5"/>
    <d v="2023-04-30T00:00:00"/>
    <s v="17469.36"/>
    <s v="Zaakceptowana"/>
    <s v="Faktura VAT"/>
    <s v="Apteka Szpitalna"/>
    <s v="UM-MED-01"/>
    <b v="0"/>
    <n v="17469.36"/>
    <s v="OK"/>
    <x v="0"/>
    <x v="1"/>
    <s v="2023-04"/>
    <n v="1"/>
  </r>
  <r>
    <s v="FV/POL/58558/2023"/>
    <s v="PZ/801323"/>
    <x v="0"/>
    <d v="2023-04-30T00:00:00"/>
    <s v="24510.24"/>
    <s v="Zaakceptowana"/>
    <s v="Faktura VAT"/>
    <s v="Apteka Szpitalna"/>
    <s v="UM-POL-01"/>
    <b v="0"/>
    <n v="24510.240000000002"/>
    <s v="OK"/>
    <x v="0"/>
    <x v="1"/>
    <s v="2023-04"/>
    <n v="1"/>
  </r>
  <r>
    <s v="FV/1101HM/23"/>
    <s v="PZ/801324"/>
    <x v="3"/>
    <d v="2023-05-01T00:00:00"/>
    <s v="20209.55"/>
    <s v="Zaakceptowana"/>
    <s v="Faktura VAT"/>
    <s v="Apteka Szpitalna"/>
    <s v="UM-HUR-02"/>
    <b v="0"/>
    <n v="20209.55"/>
    <s v="OK"/>
    <x v="0"/>
    <x v="1"/>
    <s v="2023-05"/>
    <n v="1"/>
  </r>
  <r>
    <s v="FV/95/SAL/23"/>
    <s v="PZ/801325"/>
    <x v="1"/>
    <d v="2023-05-02T00:00:00"/>
    <s v="18531.16"/>
    <s v="Zaakceptowana"/>
    <s v="Faktura VAT"/>
    <s v="Apteka Szpitalna"/>
    <s v="UM-SAL-01"/>
    <b v="0"/>
    <n v="18531.16"/>
    <s v="OK"/>
    <x v="0"/>
    <x v="1"/>
    <s v="2023-05"/>
    <n v="1"/>
  </r>
  <r>
    <s v="FV/M/4738/P/23"/>
    <s v="PZ/801326"/>
    <x v="5"/>
    <d v="2023-05-02T00:00:00"/>
    <s v="16085.38"/>
    <s v="Zaakceptowana"/>
    <s v="Faktura VAT"/>
    <s v="Apteka Szpitalna"/>
    <s v="UM-MED-02"/>
    <b v="0"/>
    <n v="16085.38"/>
    <s v="OK"/>
    <x v="0"/>
    <x v="1"/>
    <s v="2023-05"/>
    <n v="1"/>
  </r>
  <r>
    <s v="FV/CENFA/764915/23"/>
    <s v="PZ/801327"/>
    <x v="4"/>
    <d v="2023-05-02T00:00:00"/>
    <s v="18529.92"/>
    <s v="Zaakceptowana"/>
    <s v="Faktura VAT"/>
    <s v="Apteka Szpitalna"/>
    <s v=""/>
    <b v="0"/>
    <n v="18529.919999999998"/>
    <s v="OK"/>
    <x v="1"/>
    <x v="1"/>
    <s v="2023-05"/>
    <n v="1"/>
  </r>
  <r>
    <s v="FV/M/7413/P/23"/>
    <s v="PZ/801328"/>
    <x v="5"/>
    <d v="2023-05-03T00:00:00"/>
    <s v="6296.06"/>
    <s v="Zaakceptowana"/>
    <s v="Faktura VAT"/>
    <s v="Apteka Szpitalna"/>
    <s v="UM-MED-02"/>
    <b v="0"/>
    <n v="6296.06"/>
    <s v="OK"/>
    <x v="0"/>
    <x v="1"/>
    <s v="2023-05"/>
    <n v="1"/>
  </r>
  <r>
    <s v="FV/67/PP/7654/23"/>
    <s v="PZ/801329"/>
    <x v="6"/>
    <d v="2023-05-03T00:00:00"/>
    <s v="23132.99"/>
    <s v="Zaakceptowana"/>
    <s v="Faktura VAT"/>
    <s v="Apteka Szpitalna"/>
    <s v=""/>
    <b v="0"/>
    <n v="23132.99"/>
    <s v="OK"/>
    <x v="1"/>
    <x v="1"/>
    <s v="2023-05"/>
    <n v="1"/>
  </r>
  <r>
    <s v="FV/5778/NOVA/23"/>
    <s v="PZ/801330"/>
    <x v="2"/>
    <d v="2023-05-05T00:00:00"/>
    <s v="16993.41"/>
    <s v="Zaakceptowana"/>
    <s v="Faktura VAT"/>
    <s v="Apteka Szpitalna"/>
    <s v="UM-NOV-03"/>
    <b v="0"/>
    <n v="16993.41"/>
    <s v="OK"/>
    <x v="0"/>
    <x v="1"/>
    <s v="2023-05"/>
    <n v="1"/>
  </r>
  <r>
    <s v="FV/32616/VDb/2023"/>
    <s v="PZ/801331"/>
    <x v="7"/>
    <d v="2023-05-05T00:00:00"/>
    <s v="23146.18"/>
    <s v="Zaakceptowana"/>
    <s v="Faktura VAT"/>
    <s v="Apteka Szpitalna"/>
    <s v="UM-VIT-01"/>
    <b v="0"/>
    <n v="23146.18"/>
    <s v="OK"/>
    <x v="0"/>
    <x v="1"/>
    <s v="2023-05"/>
    <n v="1"/>
  </r>
  <r>
    <s v="FV/M/1698/P/23"/>
    <s v="PZ/801332"/>
    <x v="5"/>
    <d v="2023-05-05T00:00:00"/>
    <s v="19903.61"/>
    <s v="Zaakceptowana"/>
    <s v="Faktura VAT"/>
    <s v="Apteka Szpitalna"/>
    <s v="UM-MED-01"/>
    <b v="0"/>
    <n v="19903.61"/>
    <s v="OK"/>
    <x v="0"/>
    <x v="1"/>
    <s v="2023-05"/>
    <n v="1"/>
  </r>
  <r>
    <s v="FV/72/PP/3462/23"/>
    <s v="PZ/801333"/>
    <x v="6"/>
    <d v="2023-05-06T00:00:00"/>
    <s v="17577.8"/>
    <s v="Zaakceptowana"/>
    <s v="Faktura VAT"/>
    <s v="Apteka Szpitalna"/>
    <s v="UM-PHA-01"/>
    <b v="0"/>
    <n v="17577.8"/>
    <s v="OK"/>
    <x v="0"/>
    <x v="1"/>
    <s v="2023-05"/>
    <n v="1"/>
  </r>
  <r>
    <s v="FV/34498/VDb/2023"/>
    <s v="PZ/801334"/>
    <x v="7"/>
    <d v="2023-05-06T00:00:00"/>
    <s v="9391.01"/>
    <s v="Zaakceptowana"/>
    <s v="Faktura VAT"/>
    <s v="Apteka Szpitalna"/>
    <s v="UM-VIT-01"/>
    <b v="0"/>
    <n v="9391.01"/>
    <s v="OK"/>
    <x v="0"/>
    <x v="1"/>
    <s v="2023-05"/>
    <n v="1"/>
  </r>
  <r>
    <s v="FV/70/SAL/23"/>
    <s v="PZ/801335"/>
    <x v="1"/>
    <d v="2023-05-06T00:00:00"/>
    <s v="12216.45"/>
    <s v="Zaakceptowana"/>
    <s v="Faktura VAT"/>
    <s v="Apteka Szpitalna"/>
    <s v="UM-SAL-01"/>
    <b v="0"/>
    <n v="12216.45"/>
    <s v="OK"/>
    <x v="0"/>
    <x v="1"/>
    <s v="2023-05"/>
    <n v="1"/>
  </r>
  <r>
    <s v="FV/7162HM/23"/>
    <s v="PZ/801336"/>
    <x v="3"/>
    <d v="2023-05-07T00:00:00"/>
    <s v="11093.74"/>
    <s v="Zaakceptowana"/>
    <s v="Faktura VAT"/>
    <s v="Apteka Szpitalna"/>
    <s v=""/>
    <b v="0"/>
    <n v="11093.74"/>
    <s v="OK"/>
    <x v="1"/>
    <x v="1"/>
    <s v="2023-05"/>
    <n v="1"/>
  </r>
  <r>
    <s v="FV/CENFA/128952/23"/>
    <s v="PZ/801337"/>
    <x v="4"/>
    <d v="2023-05-07T00:00:00"/>
    <s v="8093.68"/>
    <s v="Zaakceptowana"/>
    <s v="Faktura VAT"/>
    <s v="Apteka Szpitalna"/>
    <s v="UM-CEN-02"/>
    <b v="0"/>
    <n v="8093.68"/>
    <s v="OK"/>
    <x v="0"/>
    <x v="1"/>
    <s v="2023-05"/>
    <n v="1"/>
  </r>
  <r>
    <s v="FV/6057HM/23"/>
    <s v="PZ/801338"/>
    <x v="3"/>
    <d v="2023-05-08T00:00:00"/>
    <s v="18505.73"/>
    <s v="Zaakceptowana"/>
    <s v="Faktura VAT"/>
    <s v="Apteka Szpitalna"/>
    <s v="UM-HUR-03"/>
    <b v="0"/>
    <n v="18505.73"/>
    <s v="OK"/>
    <x v="0"/>
    <x v="1"/>
    <s v="2023-05"/>
    <n v="1"/>
  </r>
  <r>
    <s v="FV/61/SAL/23"/>
    <s v="PZ/801339"/>
    <x v="1"/>
    <d v="2023-05-09T00:00:00"/>
    <s v="14459.56"/>
    <s v="Zaakceptowana"/>
    <s v="Faktura VAT"/>
    <s v="Apteka Szpitalna"/>
    <s v="UM-SAL-02"/>
    <b v="0"/>
    <n v="14459.56"/>
    <s v="OK"/>
    <x v="0"/>
    <x v="1"/>
    <s v="2023-05"/>
    <n v="1"/>
  </r>
  <r>
    <s v="FV/POL/86843/2023"/>
    <s v="PZ/801340"/>
    <x v="0"/>
    <d v="2023-05-09T00:00:00"/>
    <s v="14440.72"/>
    <s v="Zaakceptowana"/>
    <s v="Faktura VAT"/>
    <s v="Apteka Szpitalna"/>
    <s v="UM-POL-01"/>
    <b v="0"/>
    <n v="14440.72"/>
    <s v="OK"/>
    <x v="0"/>
    <x v="1"/>
    <s v="2023-05"/>
    <n v="1"/>
  </r>
  <r>
    <s v="FV/POL/37469/2023"/>
    <s v="PZ/801341"/>
    <x v="0"/>
    <d v="2023-05-09T00:00:00"/>
    <s v="5066.85"/>
    <s v="Zaakceptowana"/>
    <s v="Faktura VAT"/>
    <s v="Apteka Szpitalna"/>
    <s v="UM-POL-02"/>
    <b v="0"/>
    <n v="5066.8500000000004"/>
    <s v="OK"/>
    <x v="0"/>
    <x v="1"/>
    <s v="2023-05"/>
    <n v="1"/>
  </r>
  <r>
    <s v="FV/90/PP/7468/23"/>
    <s v="PZ/801342"/>
    <x v="6"/>
    <d v="2023-05-10T00:00:00"/>
    <s v="18916.84"/>
    <s v="Zaakceptowana"/>
    <s v="Faktura VAT"/>
    <s v="Apteka Szpitalna"/>
    <s v="UM-PHA-02"/>
    <b v="0"/>
    <n v="18916.84"/>
    <s v="OK"/>
    <x v="0"/>
    <x v="1"/>
    <s v="2023-05"/>
    <n v="1"/>
  </r>
  <r>
    <s v="FV/POL/74491/2023"/>
    <s v="PZ/801343"/>
    <x v="0"/>
    <d v="2023-05-10T00:00:00"/>
    <s v="14104.27"/>
    <s v="Zaakceptowana"/>
    <s v="Faktura VAT"/>
    <s v="Apteka Szpitalna"/>
    <s v="UM-POL-02"/>
    <b v="0"/>
    <n v="14104.27"/>
    <s v="OK"/>
    <x v="0"/>
    <x v="1"/>
    <s v="2023-05"/>
    <n v="1"/>
  </r>
  <r>
    <s v="FV/73/PP/3986/23"/>
    <s v="PZ/801344"/>
    <x v="6"/>
    <d v="2023-05-11T00:00:00"/>
    <s v="16522.16"/>
    <s v="Zaakceptowana"/>
    <s v="Faktura VAT"/>
    <s v="Apteka Szpitalna"/>
    <s v=""/>
    <b v="0"/>
    <n v="16522.16"/>
    <s v="OK"/>
    <x v="1"/>
    <x v="1"/>
    <s v="2023-05"/>
    <n v="1"/>
  </r>
  <r>
    <s v="FV/9163HM/23"/>
    <s v="PZ/801345"/>
    <x v="3"/>
    <d v="2023-05-11T00:00:00"/>
    <s v="17739.83"/>
    <s v="Zaakceptowana"/>
    <s v="Faktura VAT"/>
    <s v="Apteka Szpitalna"/>
    <s v="UM-HUR-03"/>
    <b v="0"/>
    <n v="17739.830000000002"/>
    <s v="OK"/>
    <x v="0"/>
    <x v="1"/>
    <s v="2023-05"/>
    <n v="1"/>
  </r>
  <r>
    <s v="FV/65304/VDb/2023"/>
    <s v="PZ/801346"/>
    <x v="7"/>
    <d v="2023-05-11T00:00:00"/>
    <s v="14782.61"/>
    <s v="Zaakceptowana"/>
    <s v="Faktura VAT"/>
    <s v="Apteka Szpitalna"/>
    <s v="UM-VIT-01"/>
    <b v="0"/>
    <n v="14782.61"/>
    <s v="OK"/>
    <x v="0"/>
    <x v="1"/>
    <s v="2023-05"/>
    <n v="1"/>
  </r>
  <r>
    <s v="FV/79/SAL/23"/>
    <s v="PZ/801347"/>
    <x v="1"/>
    <d v="2023-05-11T00:00:00"/>
    <s v="13374.08"/>
    <s v="Zaakceptowana"/>
    <s v="Faktura VAT"/>
    <s v="Apteka Szpitalna"/>
    <s v="UM-SAL-02"/>
    <b v="0"/>
    <n v="13374.08"/>
    <s v="OK"/>
    <x v="0"/>
    <x v="1"/>
    <s v="2023-05"/>
    <n v="1"/>
  </r>
  <r>
    <s v="FV/CENFA/753142/23"/>
    <s v="PZ/801348"/>
    <x v="4"/>
    <d v="2023-05-11T00:00:00"/>
    <s v="13356.37"/>
    <s v="Zaakceptowana"/>
    <s v="Faktura VAT"/>
    <s v="Apteka Szpitalna"/>
    <s v="UM-CEN-02"/>
    <b v="0"/>
    <n v="13356.37"/>
    <s v="OK"/>
    <x v="0"/>
    <x v="1"/>
    <s v="2023-05"/>
    <n v="1"/>
  </r>
  <r>
    <s v="FV/6685/NOVA/23"/>
    <s v="PZ/801349"/>
    <x v="2"/>
    <d v="2023-05-12T00:00:00"/>
    <s v="9440.77"/>
    <s v="Zaakceptowana"/>
    <s v="Faktura VAT"/>
    <s v="Apteka Szpitalna"/>
    <s v="UM-NOV-02"/>
    <b v="0"/>
    <n v="9440.77"/>
    <s v="OK"/>
    <x v="0"/>
    <x v="1"/>
    <s v="2023-05"/>
    <n v="1"/>
  </r>
  <r>
    <s v="FV/5026HM/23"/>
    <s v="PZ/801350"/>
    <x v="3"/>
    <d v="2023-05-12T00:00:00"/>
    <s v="9616.08"/>
    <s v="Zaakceptowana"/>
    <s v="Faktura VAT"/>
    <s v="Apteka Szpitalna"/>
    <s v="UM-HUR-02"/>
    <b v="0"/>
    <n v="9616.08"/>
    <s v="OK"/>
    <x v="0"/>
    <x v="1"/>
    <s v="2023-05"/>
    <n v="1"/>
  </r>
  <r>
    <s v="FV/75/SAL/23"/>
    <s v="PZ/801351"/>
    <x v="1"/>
    <d v="2023-05-13T00:00:00"/>
    <s v="19224.95"/>
    <s v="Zaakceptowana"/>
    <s v="Faktura VAT"/>
    <s v="Apteka Szpitalna"/>
    <s v="UM-SAL-02"/>
    <b v="0"/>
    <n v="19224.95"/>
    <s v="OK"/>
    <x v="0"/>
    <x v="1"/>
    <s v="2023-05"/>
    <n v="1"/>
  </r>
  <r>
    <s v="FV/POL/84417/2023"/>
    <s v="PZ/801352"/>
    <x v="0"/>
    <d v="2023-05-13T00:00:00"/>
    <s v="16558.27"/>
    <s v="Zaakceptowana"/>
    <s v="Faktura VAT"/>
    <s v="Apteka Szpitalna"/>
    <s v="UM-POL-02"/>
    <b v="0"/>
    <n v="16558.27"/>
    <s v="OK"/>
    <x v="0"/>
    <x v="1"/>
    <s v="2023-05"/>
    <n v="1"/>
  </r>
  <r>
    <s v="FV/CENFA/906368/23"/>
    <s v="PZ/801353"/>
    <x v="4"/>
    <d v="2023-05-13T00:00:00"/>
    <s v="7859.17"/>
    <s v="Zaakceptowana"/>
    <s v="Faktura VAT"/>
    <s v="Apteka Szpitalna"/>
    <s v="UM-CEN-01"/>
    <b v="0"/>
    <n v="7859.17"/>
    <s v="OK"/>
    <x v="0"/>
    <x v="1"/>
    <s v="2023-05"/>
    <n v="1"/>
  </r>
  <r>
    <s v="FV/POL/23574/2023"/>
    <s v="PZ/801354"/>
    <x v="0"/>
    <d v="2023-05-13T00:00:00"/>
    <s v="12672.29"/>
    <s v="Zaakceptowana"/>
    <s v="Faktura VAT"/>
    <s v="Apteka Szpitalna"/>
    <s v="UM-POL-01"/>
    <b v="0"/>
    <n v="12672.29"/>
    <s v="OK"/>
    <x v="0"/>
    <x v="1"/>
    <s v="2023-05"/>
    <n v="1"/>
  </r>
  <r>
    <s v="FV/CENFA/478667/23"/>
    <s v="PZ/801355"/>
    <x v="4"/>
    <d v="2023-05-13T00:00:00"/>
    <s v="14532.07"/>
    <s v="Zaakceptowana"/>
    <s v="Faktura VAT"/>
    <s v="Apteka Szpitalna"/>
    <s v="UM-CEN-02"/>
    <b v="0"/>
    <n v="14532.07"/>
    <s v="OK"/>
    <x v="0"/>
    <x v="1"/>
    <s v="2023-05"/>
    <n v="1"/>
  </r>
  <r>
    <s v="FV/CENFA/938261/23"/>
    <s v="PZ/801356"/>
    <x v="4"/>
    <d v="2023-05-13T00:00:00"/>
    <s v="22097.63"/>
    <s v="Zaakceptowana"/>
    <s v="Faktura VAT"/>
    <s v="Apteka Szpitalna"/>
    <s v="UM-CEN-02"/>
    <b v="0"/>
    <n v="22097.63"/>
    <s v="OK"/>
    <x v="0"/>
    <x v="1"/>
    <s v="2023-05"/>
    <n v="1"/>
  </r>
  <r>
    <s v="FV/M/7601/P/23"/>
    <s v="PZ/801357"/>
    <x v="5"/>
    <d v="2023-05-13T00:00:00"/>
    <s v="15770.37"/>
    <s v="Zaakceptowana"/>
    <s v="Faktura VAT"/>
    <s v="Apteka Szpitalna"/>
    <s v="UM-MED-01"/>
    <b v="0"/>
    <n v="15770.37"/>
    <s v="OK"/>
    <x v="0"/>
    <x v="1"/>
    <s v="2023-05"/>
    <n v="1"/>
  </r>
  <r>
    <s v="FV/24157/VDb/2023"/>
    <s v="PZ/801358"/>
    <x v="7"/>
    <d v="2023-05-14T00:00:00"/>
    <s v="21558.64"/>
    <s v="Zaakceptowana"/>
    <s v="Faktura VAT"/>
    <s v="Apteka Szpitalna"/>
    <s v=""/>
    <b v="0"/>
    <n v="21558.639999999999"/>
    <s v="OK"/>
    <x v="1"/>
    <x v="1"/>
    <s v="2023-05"/>
    <n v="1"/>
  </r>
  <r>
    <s v="FV/10713/VDb/2023"/>
    <s v="PZ/801359"/>
    <x v="7"/>
    <d v="2023-05-14T00:00:00"/>
    <s v="11578.09"/>
    <s v="Zaakceptowana"/>
    <s v="Faktura VAT"/>
    <s v="Apteka Szpitalna"/>
    <s v="UM-VIT-01"/>
    <b v="0"/>
    <n v="11578.09"/>
    <s v="OK"/>
    <x v="0"/>
    <x v="1"/>
    <s v="2023-05"/>
    <n v="1"/>
  </r>
  <r>
    <s v="FV/25312/VDb/2023"/>
    <s v="PZ/801360"/>
    <x v="7"/>
    <d v="2023-05-15T00:00:00"/>
    <s v="23848.45"/>
    <s v="Zaakceptowana"/>
    <s v="Faktura VAT"/>
    <s v="Apteka Szpitalna"/>
    <s v="UM-VIT-01"/>
    <b v="0"/>
    <n v="23848.45"/>
    <s v="OK"/>
    <x v="0"/>
    <x v="1"/>
    <s v="2023-05"/>
    <n v="1"/>
  </r>
  <r>
    <s v="FV/69127/VDb/2023"/>
    <s v="PZ/801361"/>
    <x v="7"/>
    <d v="2023-05-15T00:00:00"/>
    <s v="21792.91"/>
    <s v="Zaakceptowana"/>
    <s v="Faktura VAT"/>
    <s v="Apteka Szpitalna"/>
    <s v="UM-VIT-01"/>
    <b v="0"/>
    <n v="21792.91"/>
    <s v="OK"/>
    <x v="0"/>
    <x v="1"/>
    <s v="2023-05"/>
    <n v="1"/>
  </r>
  <r>
    <s v="FV/8484HM/23"/>
    <s v="PZ/801362"/>
    <x v="3"/>
    <d v="2023-05-15T00:00:00"/>
    <s v="20583.55"/>
    <s v="Zaakceptowana"/>
    <s v="Faktura VAT"/>
    <s v="Apteka Szpitalna"/>
    <s v=""/>
    <b v="0"/>
    <n v="20583.55"/>
    <s v="OK"/>
    <x v="1"/>
    <x v="1"/>
    <s v="2023-05"/>
    <n v="1"/>
  </r>
  <r>
    <s v="FV/POL/56457/2023"/>
    <s v="PZ/801363"/>
    <x v="0"/>
    <d v="2023-05-15T00:00:00"/>
    <s v="7429.0"/>
    <s v="Zaakceptowana"/>
    <s v="Faktura VAT"/>
    <s v="Apteka Szpitalna"/>
    <s v=""/>
    <b v="0"/>
    <n v="7429"/>
    <s v="OK"/>
    <x v="1"/>
    <x v="1"/>
    <s v="2023-05"/>
    <n v="1"/>
  </r>
  <r>
    <s v="FV/4235HM/23"/>
    <s v="PZ/801364"/>
    <x v="3"/>
    <d v="2023-05-16T00:00:00"/>
    <s v="15376.56"/>
    <s v="Zaakceptowana"/>
    <s v="Faktura VAT"/>
    <s v="Apteka Szpitalna"/>
    <s v="UM-HUR-03"/>
    <b v="0"/>
    <n v="15376.56"/>
    <s v="OK"/>
    <x v="0"/>
    <x v="1"/>
    <s v="2023-05"/>
    <n v="1"/>
  </r>
  <r>
    <s v="FV/9285/NOVA/23"/>
    <s v="PZ/801365"/>
    <x v="2"/>
    <d v="2023-05-16T00:00:00"/>
    <s v="17394.89"/>
    <s v="Zaakceptowana"/>
    <s v="Faktura VAT"/>
    <s v="Apteka Szpitalna"/>
    <s v="UM-NOV-03"/>
    <b v="0"/>
    <n v="17394.89"/>
    <s v="OK"/>
    <x v="0"/>
    <x v="1"/>
    <s v="2023-05"/>
    <n v="1"/>
  </r>
  <r>
    <s v="FV/POL/37487/2023"/>
    <s v="PZ/801366"/>
    <x v="0"/>
    <d v="2023-05-16T00:00:00"/>
    <s v="11758.28"/>
    <s v="Zaakceptowana"/>
    <s v="Faktura VAT"/>
    <s v="Apteka Szpitalna"/>
    <s v="UM-POL-03"/>
    <b v="0"/>
    <n v="11758.28"/>
    <s v="OK"/>
    <x v="0"/>
    <x v="1"/>
    <s v="2023-05"/>
    <n v="1"/>
  </r>
  <r>
    <s v="FV/35/PP/5456/23"/>
    <s v="PZ/801367"/>
    <x v="6"/>
    <d v="2023-05-16T00:00:00"/>
    <s v="9241.95"/>
    <s v="Zaakceptowana"/>
    <s v="Faktura VAT"/>
    <s v="Apteka Szpitalna"/>
    <s v="UM-PHA-01"/>
    <b v="0"/>
    <n v="9241.9500000000007"/>
    <s v="OK"/>
    <x v="0"/>
    <x v="1"/>
    <s v="2023-05"/>
    <n v="1"/>
  </r>
  <r>
    <s v="FV/88/PP/5961/23"/>
    <s v="PZ/801368"/>
    <x v="6"/>
    <d v="2023-05-17T00:00:00"/>
    <s v="20636.73"/>
    <s v="Zaakceptowana"/>
    <s v="Faktura VAT"/>
    <s v="Apteka Szpitalna"/>
    <s v="UM-PHA-02"/>
    <b v="0"/>
    <n v="20636.73"/>
    <s v="OK"/>
    <x v="0"/>
    <x v="1"/>
    <s v="2023-05"/>
    <n v="1"/>
  </r>
  <r>
    <s v="FV/POL/90416/2023"/>
    <s v="PZ/801369"/>
    <x v="0"/>
    <d v="2023-05-17T00:00:00"/>
    <s v="11307.44"/>
    <s v="Zaakceptowana"/>
    <s v="Faktura VAT"/>
    <s v="Apteka Szpitalna"/>
    <s v="UM-POL-02"/>
    <b v="0"/>
    <n v="11307.44"/>
    <s v="OK"/>
    <x v="0"/>
    <x v="1"/>
    <s v="2023-05"/>
    <n v="1"/>
  </r>
  <r>
    <s v="FV/56/PP/9090/23"/>
    <s v="PZ/801370"/>
    <x v="6"/>
    <d v="2023-05-18T00:00:00"/>
    <s v="14947.4"/>
    <s v="Zaakceptowana"/>
    <s v="Faktura VAT"/>
    <s v="Apteka Szpitalna"/>
    <s v="UM-PHA-02"/>
    <b v="0"/>
    <n v="14947.4"/>
    <s v="OK"/>
    <x v="0"/>
    <x v="1"/>
    <s v="2023-05"/>
    <n v="1"/>
  </r>
  <r>
    <s v="FV/26918/VDb/2023"/>
    <s v="PZ/801371"/>
    <x v="7"/>
    <d v="2023-05-18T00:00:00"/>
    <s v="18935.38"/>
    <s v="Zaakceptowana"/>
    <s v="Faktura VAT"/>
    <s v="Apteka Szpitalna"/>
    <s v=""/>
    <b v="0"/>
    <n v="18935.38"/>
    <s v="OK"/>
    <x v="1"/>
    <x v="1"/>
    <s v="2023-05"/>
    <n v="1"/>
  </r>
  <r>
    <s v="FV/96/PP/7479/23"/>
    <s v="PZ/801372"/>
    <x v="6"/>
    <d v="2023-05-18T00:00:00"/>
    <s v="11389.49"/>
    <s v="Zaakceptowana"/>
    <s v="Faktura VAT"/>
    <s v="Apteka Szpitalna"/>
    <s v=""/>
    <b v="0"/>
    <n v="11389.49"/>
    <s v="OK"/>
    <x v="1"/>
    <x v="1"/>
    <s v="2023-05"/>
    <n v="1"/>
  </r>
  <r>
    <s v="FV/2681HM/23"/>
    <s v="PZ/801373"/>
    <x v="3"/>
    <d v="2023-05-18T00:00:00"/>
    <s v="12471.31"/>
    <s v="Zaakceptowana"/>
    <s v="Faktura VAT"/>
    <s v="Apteka Szpitalna"/>
    <s v="UM-HUR-01"/>
    <b v="0"/>
    <n v="12471.31"/>
    <s v="OK"/>
    <x v="0"/>
    <x v="1"/>
    <s v="2023-05"/>
    <n v="1"/>
  </r>
  <r>
    <s v="FV/11/SAL/23"/>
    <s v="PZ/801374"/>
    <x v="1"/>
    <d v="2023-05-18T00:00:00"/>
    <s v="18140.37"/>
    <s v="Zaakceptowana"/>
    <s v="Faktura VAT"/>
    <s v="Apteka Szpitalna"/>
    <s v="UM-SAL-01"/>
    <b v="0"/>
    <n v="18140.37"/>
    <s v="OK"/>
    <x v="0"/>
    <x v="1"/>
    <s v="2023-05"/>
    <n v="1"/>
  </r>
  <r>
    <s v="FV/CENFA/430827/23"/>
    <s v="PZ/801375"/>
    <x v="4"/>
    <d v="2023-05-18T00:00:00"/>
    <s v="22526.31"/>
    <s v="Zaakceptowana"/>
    <s v="Faktura VAT"/>
    <s v="Apteka Szpitalna"/>
    <s v="UM-CEN-01"/>
    <b v="0"/>
    <n v="22526.31"/>
    <s v="OK"/>
    <x v="0"/>
    <x v="1"/>
    <s v="2023-05"/>
    <n v="1"/>
  </r>
  <r>
    <s v="FV/M/7094/P/23"/>
    <s v="PZ/801376"/>
    <x v="5"/>
    <d v="2023-05-19T00:00:00"/>
    <s v="9409.14"/>
    <s v="Zaakceptowana"/>
    <s v="Faktura VAT"/>
    <s v="Apteka Szpitalna"/>
    <s v="UM-MED-02"/>
    <b v="0"/>
    <n v="9409.14"/>
    <s v="OK"/>
    <x v="0"/>
    <x v="1"/>
    <s v="2023-05"/>
    <n v="1"/>
  </r>
  <r>
    <s v="FV/M/4123/P/23"/>
    <s v="PZ/801377"/>
    <x v="5"/>
    <d v="2023-05-19T00:00:00"/>
    <s v="15111.1"/>
    <s v="Zaakceptowana"/>
    <s v="Faktura VAT"/>
    <s v="Apteka Szpitalna"/>
    <s v="UM-MED-01"/>
    <b v="0"/>
    <n v="15111.1"/>
    <s v="OK"/>
    <x v="0"/>
    <x v="1"/>
    <s v="2023-05"/>
    <n v="1"/>
  </r>
  <r>
    <s v="FV/CENFA/776466/23"/>
    <s v="PZ/801378"/>
    <x v="4"/>
    <d v="2023-05-19T00:00:00"/>
    <s v="12771.01"/>
    <s v="Zaakceptowana"/>
    <s v="Faktura VAT"/>
    <s v="Apteka Szpitalna"/>
    <s v=""/>
    <b v="0"/>
    <n v="12771.01"/>
    <s v="OK"/>
    <x v="1"/>
    <x v="1"/>
    <s v="2023-05"/>
    <n v="1"/>
  </r>
  <r>
    <s v="FV/CENFA/671721/23"/>
    <s v="PZ/801379"/>
    <x v="4"/>
    <d v="2023-05-19T00:00:00"/>
    <s v="19095.11"/>
    <s v="Zaakceptowana"/>
    <s v="Faktura VAT"/>
    <s v="Apteka Szpitalna"/>
    <s v="UM-CEN-02"/>
    <b v="0"/>
    <n v="19095.11"/>
    <s v="OK"/>
    <x v="0"/>
    <x v="1"/>
    <s v="2023-05"/>
    <n v="1"/>
  </r>
  <r>
    <s v="FV/12/PP/5698/23"/>
    <s v="PZ/801380"/>
    <x v="6"/>
    <d v="2023-05-19T00:00:00"/>
    <s v="8037.41"/>
    <s v="Zaakceptowana"/>
    <s v="Faktura VAT"/>
    <s v="Apteka Szpitalna"/>
    <s v="UM-PHA-02"/>
    <b v="0"/>
    <n v="8037.41"/>
    <s v="OK"/>
    <x v="0"/>
    <x v="1"/>
    <s v="2023-05"/>
    <n v="1"/>
  </r>
  <r>
    <s v="FV/M/1959/P/23"/>
    <s v="PZ/801381"/>
    <x v="5"/>
    <d v="2023-05-20T00:00:00"/>
    <s v="17775.4"/>
    <s v="Zaakceptowana"/>
    <s v="Faktura VAT"/>
    <s v="Apteka Szpitalna"/>
    <s v="UM-MED-02"/>
    <b v="0"/>
    <n v="17775.400000000001"/>
    <s v="OK"/>
    <x v="0"/>
    <x v="1"/>
    <s v="2023-05"/>
    <n v="1"/>
  </r>
  <r>
    <s v="FV/88/SAL/23"/>
    <s v="PZ/801382"/>
    <x v="1"/>
    <d v="2023-05-20T00:00:00"/>
    <s v="16537.2"/>
    <s v="Zaakceptowana"/>
    <s v="Faktura VAT"/>
    <s v="Apteka Szpitalna"/>
    <s v="UM-SAL-01"/>
    <b v="0"/>
    <n v="16537.2"/>
    <s v="OK"/>
    <x v="0"/>
    <x v="1"/>
    <s v="2023-05"/>
    <n v="1"/>
  </r>
  <r>
    <s v="FV/2819/NOVA/23"/>
    <s v="PZ/801383"/>
    <x v="2"/>
    <d v="2023-05-20T00:00:00"/>
    <s v="8843.81"/>
    <s v="Zaakceptowana"/>
    <s v="Faktura VAT"/>
    <s v="Apteka Szpitalna"/>
    <s v="UM-NOV-02"/>
    <b v="0"/>
    <n v="8843.81"/>
    <s v="OK"/>
    <x v="0"/>
    <x v="1"/>
    <s v="2023-05"/>
    <n v="1"/>
  </r>
  <r>
    <s v="FV/CENFA/719162/23"/>
    <s v="PZ/801384"/>
    <x v="4"/>
    <d v="2023-05-20T00:00:00"/>
    <s v="7437.05"/>
    <s v="Zaakceptowana"/>
    <s v="Faktura VAT"/>
    <s v="Apteka Szpitalna"/>
    <s v="UM-CEN-02"/>
    <b v="0"/>
    <n v="7437.05"/>
    <s v="OK"/>
    <x v="0"/>
    <x v="1"/>
    <s v="2023-05"/>
    <n v="1"/>
  </r>
  <r>
    <s v="FV/CENFA/743396/23"/>
    <s v="PZ/801385"/>
    <x v="4"/>
    <d v="2023-05-20T00:00:00"/>
    <s v="18509.07"/>
    <s v="Zaakceptowana"/>
    <s v="Faktura VAT"/>
    <s v="Apteka Szpitalna"/>
    <s v="UM-CEN-01"/>
    <b v="0"/>
    <n v="18509.07"/>
    <s v="OK"/>
    <x v="0"/>
    <x v="1"/>
    <s v="2023-05"/>
    <n v="1"/>
  </r>
  <r>
    <s v="FV/86/PP/4436/23"/>
    <s v="PZ/801386"/>
    <x v="6"/>
    <d v="2023-05-21T00:00:00"/>
    <s v="20125.65"/>
    <s v="Zaakceptowana"/>
    <s v="Faktura VAT"/>
    <s v="Apteka Szpitalna"/>
    <s v="UM-PHA-01"/>
    <b v="0"/>
    <n v="20125.650000000001"/>
    <s v="OK"/>
    <x v="0"/>
    <x v="1"/>
    <s v="2023-05"/>
    <n v="1"/>
  </r>
  <r>
    <s v="FV/1340HM/23"/>
    <s v="PZ/801387"/>
    <x v="3"/>
    <d v="2023-05-21T00:00:00"/>
    <s v="16702.96"/>
    <s v="Zaakceptowana"/>
    <s v="Faktura VAT"/>
    <s v="Apteka Szpitalna"/>
    <s v="UM-HUR-01"/>
    <b v="0"/>
    <n v="16702.96"/>
    <s v="OK"/>
    <x v="0"/>
    <x v="1"/>
    <s v="2023-05"/>
    <n v="1"/>
  </r>
  <r>
    <s v="FV/POL/33306/2023"/>
    <s v="PZ/801388"/>
    <x v="0"/>
    <d v="2023-05-21T00:00:00"/>
    <s v="11723.5"/>
    <s v="Zaakceptowana"/>
    <s v="Faktura VAT"/>
    <s v="Apteka Szpitalna"/>
    <s v="UM-POL-02"/>
    <b v="0"/>
    <n v="11723.5"/>
    <s v="OK"/>
    <x v="0"/>
    <x v="1"/>
    <s v="2023-05"/>
    <n v="1"/>
  </r>
  <r>
    <s v="FV/55/SAL/23"/>
    <s v="PZ/801389"/>
    <x v="1"/>
    <d v="2023-05-21T00:00:00"/>
    <s v="5609.33"/>
    <s v="Zaakceptowana"/>
    <s v="Faktura VAT"/>
    <s v="Apteka Szpitalna"/>
    <s v="UM-SAL-01"/>
    <b v="0"/>
    <n v="5609.33"/>
    <s v="OK"/>
    <x v="0"/>
    <x v="1"/>
    <s v="2023-05"/>
    <n v="1"/>
  </r>
  <r>
    <s v="FV/M/9016/P/23"/>
    <s v="PZ/801390"/>
    <x v="5"/>
    <d v="2023-05-21T00:00:00"/>
    <s v="13539.88"/>
    <s v="Zaakceptowana"/>
    <s v="Faktura VAT"/>
    <s v="Apteka Szpitalna"/>
    <s v="UM-MED-02"/>
    <b v="0"/>
    <n v="13539.88"/>
    <s v="OK"/>
    <x v="0"/>
    <x v="1"/>
    <s v="2023-05"/>
    <n v="1"/>
  </r>
  <r>
    <s v="FV/POL/51928/2023"/>
    <s v="PZ/801391"/>
    <x v="0"/>
    <d v="2023-05-21T00:00:00"/>
    <s v="18161.95"/>
    <s v="Zaakceptowana"/>
    <s v="Faktura VAT"/>
    <s v="Apteka Szpitalna"/>
    <s v=""/>
    <b v="0"/>
    <n v="18161.95"/>
    <s v="OK"/>
    <x v="1"/>
    <x v="1"/>
    <s v="2023-05"/>
    <n v="1"/>
  </r>
  <r>
    <s v="FV/CENFA/659189/23"/>
    <s v="PZ/801392"/>
    <x v="4"/>
    <d v="2023-05-22T00:00:00"/>
    <s v="15512.17"/>
    <s v="Zaakceptowana"/>
    <s v="Faktura VAT"/>
    <s v="Apteka Szpitalna"/>
    <s v=""/>
    <b v="0"/>
    <n v="15512.17"/>
    <s v="OK"/>
    <x v="1"/>
    <x v="1"/>
    <s v="2023-05"/>
    <n v="1"/>
  </r>
  <r>
    <s v="FV/60528/VDb/2023"/>
    <s v="PZ/801393"/>
    <x v="7"/>
    <d v="2023-05-22T00:00:00"/>
    <s v="21741.41"/>
    <s v="Zaakceptowana"/>
    <s v="Faktura VAT"/>
    <s v="Apteka Szpitalna"/>
    <s v=""/>
    <b v="0"/>
    <n v="21741.41"/>
    <s v="OK"/>
    <x v="1"/>
    <x v="1"/>
    <s v="2023-05"/>
    <n v="1"/>
  </r>
  <r>
    <s v="FV/M/9930/P/23"/>
    <s v="PZ/801394"/>
    <x v="5"/>
    <d v="2023-05-22T00:00:00"/>
    <s v="15268.59"/>
    <s v="Zaakceptowana"/>
    <s v="Faktura VAT"/>
    <s v="Apteka Szpitalna"/>
    <s v="UM-MED-01"/>
    <b v="0"/>
    <n v="15268.59"/>
    <s v="OK"/>
    <x v="0"/>
    <x v="1"/>
    <s v="2023-05"/>
    <n v="1"/>
  </r>
  <r>
    <s v="FV/4231/NOVA/23"/>
    <s v="PZ/801395"/>
    <x v="2"/>
    <d v="2023-05-22T00:00:00"/>
    <s v="13816.24"/>
    <s v="Zaakceptowana"/>
    <s v="Faktura VAT"/>
    <s v="Apteka Szpitalna"/>
    <s v="UM-NOV-02"/>
    <b v="0"/>
    <n v="13816.24"/>
    <s v="OK"/>
    <x v="0"/>
    <x v="1"/>
    <s v="2023-05"/>
    <n v="1"/>
  </r>
  <r>
    <s v="FV/43/PP/6728/23"/>
    <s v="PZ/801396"/>
    <x v="6"/>
    <d v="2023-05-23T00:00:00"/>
    <s v="19382.37"/>
    <s v="Zaakceptowana"/>
    <s v="Faktura VAT"/>
    <s v="Apteka Szpitalna"/>
    <s v="UM-PHA-01"/>
    <b v="0"/>
    <n v="19382.37"/>
    <s v="OK"/>
    <x v="0"/>
    <x v="1"/>
    <s v="2023-05"/>
    <n v="1"/>
  </r>
  <r>
    <s v="FV/M/8262/P/23"/>
    <s v="PZ/801397"/>
    <x v="5"/>
    <d v="2023-05-23T00:00:00"/>
    <s v="8038.69"/>
    <s v="Zaakceptowana"/>
    <s v="Faktura VAT"/>
    <s v="Apteka Szpitalna"/>
    <s v="UM-MED-01"/>
    <b v="0"/>
    <n v="8038.69"/>
    <s v="OK"/>
    <x v="0"/>
    <x v="1"/>
    <s v="2023-05"/>
    <n v="1"/>
  </r>
  <r>
    <s v="FV/7380HM/23"/>
    <s v="PZ/801398"/>
    <x v="3"/>
    <d v="2023-05-23T00:00:00"/>
    <s v="10733.12"/>
    <s v="Zaakceptowana"/>
    <s v="Faktura VAT"/>
    <s v="Apteka Szpitalna"/>
    <s v="UM-HUR-03"/>
    <b v="0"/>
    <n v="10733.12"/>
    <s v="OK"/>
    <x v="0"/>
    <x v="1"/>
    <s v="2023-05"/>
    <n v="1"/>
  </r>
  <r>
    <s v="FV/CENFA/406931/23"/>
    <s v="PZ/801399"/>
    <x v="4"/>
    <d v="2023-05-23T00:00:00"/>
    <s v="10709.46"/>
    <s v="Zaakceptowana"/>
    <s v="Faktura VAT"/>
    <s v="Apteka Szpitalna"/>
    <s v="UM-CEN-01"/>
    <b v="0"/>
    <n v="10709.46"/>
    <s v="OK"/>
    <x v="0"/>
    <x v="1"/>
    <s v="2023-05"/>
    <n v="1"/>
  </r>
  <r>
    <s v="FV/CENFA/446042/23"/>
    <s v="PZ/801400"/>
    <x v="4"/>
    <d v="2023-05-24T00:00:00"/>
    <s v="16293.89"/>
    <s v="Zaakceptowana"/>
    <s v="Faktura VAT"/>
    <s v="Apteka Szpitalna"/>
    <s v="UM-CEN-01"/>
    <b v="0"/>
    <n v="16293.89"/>
    <s v="OK"/>
    <x v="0"/>
    <x v="1"/>
    <s v="2023-05"/>
    <n v="1"/>
  </r>
  <r>
    <s v="FV/POL/38250/2023"/>
    <s v="PZ/801401"/>
    <x v="0"/>
    <d v="2023-05-24T00:00:00"/>
    <s v="13270.94"/>
    <s v="Zaakceptowana"/>
    <s v="Faktura VAT"/>
    <s v="Apteka Szpitalna"/>
    <s v="UM-POL-03"/>
    <b v="0"/>
    <n v="13270.94"/>
    <s v="OK"/>
    <x v="0"/>
    <x v="1"/>
    <s v="2023-05"/>
    <n v="1"/>
  </r>
  <r>
    <s v="FV/87/SAL/23"/>
    <s v="PZ/801402"/>
    <x v="1"/>
    <d v="2023-05-24T00:00:00"/>
    <s v="14800.72"/>
    <s v="Zaakceptowana"/>
    <s v="Faktura VAT"/>
    <s v="Apteka Szpitalna"/>
    <s v="UM-SAL-01"/>
    <b v="0"/>
    <n v="14800.72"/>
    <s v="OK"/>
    <x v="0"/>
    <x v="1"/>
    <s v="2023-05"/>
    <n v="1"/>
  </r>
  <r>
    <s v="FV/52418/VDb/2023"/>
    <s v="PZ/801403"/>
    <x v="7"/>
    <d v="2023-05-24T00:00:00"/>
    <s v="15574.2"/>
    <s v="Zaakceptowana"/>
    <s v="Faktura VAT"/>
    <s v="Apteka Szpitalna"/>
    <s v="UM-VIT-01"/>
    <b v="0"/>
    <n v="15574.2"/>
    <s v="OK"/>
    <x v="0"/>
    <x v="1"/>
    <s v="2023-05"/>
    <n v="1"/>
  </r>
  <r>
    <s v="FV/96790/VDb/2023"/>
    <s v="PZ/801404"/>
    <x v="7"/>
    <d v="2023-05-24T00:00:00"/>
    <s v="5816.41"/>
    <s v="Zaakceptowana"/>
    <s v="Faktura VAT"/>
    <s v="Apteka Szpitalna"/>
    <s v="UM-VIT-01"/>
    <b v="0"/>
    <n v="5816.41"/>
    <s v="OK"/>
    <x v="0"/>
    <x v="1"/>
    <s v="2023-05"/>
    <n v="1"/>
  </r>
  <r>
    <s v="FV/CENFA/563409/23"/>
    <s v="PZ/801405"/>
    <x v="4"/>
    <d v="2023-05-25T00:00:00"/>
    <s v="10169.81"/>
    <s v="Zaakceptowana"/>
    <s v="Faktura VAT"/>
    <s v="Apteka Szpitalna"/>
    <s v="UM-CEN-02"/>
    <b v="0"/>
    <n v="10169.81"/>
    <s v="OK"/>
    <x v="0"/>
    <x v="1"/>
    <s v="2023-05"/>
    <n v="1"/>
  </r>
  <r>
    <s v="FV/54432/VDb/2023"/>
    <s v="PZ/801406"/>
    <x v="7"/>
    <d v="2023-05-25T00:00:00"/>
    <s v="8076.03"/>
    <s v="Zaakceptowana"/>
    <s v="Faktura VAT"/>
    <s v="Apteka Szpitalna"/>
    <s v=""/>
    <b v="0"/>
    <n v="8076.03"/>
    <s v="OK"/>
    <x v="1"/>
    <x v="1"/>
    <s v="2023-05"/>
    <n v="1"/>
  </r>
  <r>
    <s v="FV/88/PP/4699/23"/>
    <s v="PZ/801407"/>
    <x v="6"/>
    <d v="2023-05-26T00:00:00"/>
    <s v="15040.07"/>
    <s v="Zaakceptowana"/>
    <s v="Faktura VAT"/>
    <s v="Apteka Szpitalna"/>
    <s v="UM-PHA-01"/>
    <b v="0"/>
    <n v="15040.07"/>
    <s v="OK"/>
    <x v="0"/>
    <x v="1"/>
    <s v="2023-05"/>
    <n v="1"/>
  </r>
  <r>
    <s v="FV/84/SAL/23"/>
    <s v="PZ/801408"/>
    <x v="1"/>
    <d v="2023-05-26T00:00:00"/>
    <s v="8938.44"/>
    <s v="Zaakceptowana"/>
    <s v="Faktura VAT"/>
    <s v="Apteka Szpitalna"/>
    <s v="UM-SAL-01"/>
    <b v="0"/>
    <n v="8938.44"/>
    <s v="OK"/>
    <x v="0"/>
    <x v="1"/>
    <s v="2023-05"/>
    <n v="1"/>
  </r>
  <r>
    <s v="FV/CENFA/590320/23"/>
    <s v="PZ/801409"/>
    <x v="4"/>
    <d v="2023-05-27T00:00:00"/>
    <s v="25419.79"/>
    <s v="Zaakceptowana"/>
    <s v="Faktura VAT"/>
    <s v="Apteka Szpitalna"/>
    <s v="UM-CEN-01"/>
    <b v="0"/>
    <n v="25419.79"/>
    <s v="OK"/>
    <x v="0"/>
    <x v="1"/>
    <s v="2023-05"/>
    <n v="1"/>
  </r>
  <r>
    <s v="FV/M/5181/P/23"/>
    <s v="PZ/801410"/>
    <x v="5"/>
    <d v="2023-05-27T00:00:00"/>
    <s v="14442.2"/>
    <s v="Zaakceptowana"/>
    <s v="Faktura VAT"/>
    <s v="Apteka Szpitalna"/>
    <s v="UM-MED-02"/>
    <b v="0"/>
    <n v="14442.2"/>
    <s v="OK"/>
    <x v="0"/>
    <x v="1"/>
    <s v="2023-05"/>
    <n v="1"/>
  </r>
  <r>
    <s v="FV/2040HM/23"/>
    <s v="PZ/801411"/>
    <x v="3"/>
    <d v="2023-05-27T00:00:00"/>
    <s v="16417.13"/>
    <s v="Zaakceptowana"/>
    <s v="Faktura VAT"/>
    <s v="Apteka Szpitalna"/>
    <s v="UM-HUR-02"/>
    <b v="0"/>
    <n v="16417.13"/>
    <s v="OK"/>
    <x v="0"/>
    <x v="1"/>
    <s v="2023-05"/>
    <n v="1"/>
  </r>
  <r>
    <s v="FV/39582/VDb/2023"/>
    <s v="PZ/801412"/>
    <x v="7"/>
    <d v="2023-05-27T00:00:00"/>
    <s v="13796.74"/>
    <s v="Zaakceptowana"/>
    <s v="Faktura VAT"/>
    <s v="Apteka Szpitalna"/>
    <s v="UM-VIT-01"/>
    <b v="0"/>
    <n v="13796.74"/>
    <s v="OK"/>
    <x v="0"/>
    <x v="1"/>
    <s v="2023-05"/>
    <n v="1"/>
  </r>
  <r>
    <s v="FV/4149HM/23"/>
    <s v="PZ/801413"/>
    <x v="3"/>
    <d v="2023-05-27T00:00:00"/>
    <s v="14198.3"/>
    <s v="Zaakceptowana"/>
    <s v="Faktura VAT"/>
    <s v="Apteka Szpitalna"/>
    <s v="UM-HUR-02"/>
    <b v="0"/>
    <n v="14198.3"/>
    <s v="OK"/>
    <x v="0"/>
    <x v="1"/>
    <s v="2023-05"/>
    <n v="1"/>
  </r>
  <r>
    <s v="FV/41/SAL/23"/>
    <s v="PZ/801414"/>
    <x v="1"/>
    <d v="2023-05-27T00:00:00"/>
    <s v="14936.07"/>
    <s v="Zaakceptowana"/>
    <s v="Faktura VAT"/>
    <s v="Apteka Szpitalna"/>
    <s v=""/>
    <b v="0"/>
    <n v="14936.07"/>
    <s v="OK"/>
    <x v="1"/>
    <x v="1"/>
    <s v="2023-05"/>
    <n v="1"/>
  </r>
  <r>
    <s v="FV/M/9501/P/23"/>
    <s v="PZ/801415"/>
    <x v="5"/>
    <d v="2023-05-27T00:00:00"/>
    <s v="14349.33"/>
    <s v="Zaakceptowana"/>
    <s v="Faktura VAT"/>
    <s v="Apteka Szpitalna"/>
    <s v=""/>
    <b v="0"/>
    <n v="14349.33"/>
    <s v="OK"/>
    <x v="1"/>
    <x v="1"/>
    <s v="2023-05"/>
    <n v="1"/>
  </r>
  <r>
    <s v="FV/POL/49266/2023"/>
    <s v="PZ/801416"/>
    <x v="0"/>
    <d v="2023-05-28T00:00:00"/>
    <s v="23357.66"/>
    <s v="Zaakceptowana"/>
    <s v="Faktura VAT"/>
    <s v="Apteka Szpitalna"/>
    <s v=""/>
    <b v="0"/>
    <n v="23357.66"/>
    <s v="OK"/>
    <x v="1"/>
    <x v="1"/>
    <s v="2023-05"/>
    <n v="1"/>
  </r>
  <r>
    <s v="FV/7130/NOVA/23"/>
    <s v="PZ/801417"/>
    <x v="2"/>
    <d v="2023-05-28T00:00:00"/>
    <s v="7826.9"/>
    <s v="Zaakceptowana"/>
    <s v="Faktura VAT"/>
    <s v="Apteka Szpitalna"/>
    <s v=""/>
    <b v="0"/>
    <n v="7826.9"/>
    <s v="OK"/>
    <x v="1"/>
    <x v="1"/>
    <s v="2023-05"/>
    <n v="1"/>
  </r>
  <r>
    <s v="FV/CENFA/869480/23"/>
    <s v="PZ/801418"/>
    <x v="4"/>
    <d v="2023-05-29T00:00:00"/>
    <s v="13637.39"/>
    <s v="Zaakceptowana"/>
    <s v="Faktura VAT"/>
    <s v="Apteka Szpitalna"/>
    <s v="UM-CEN-02"/>
    <b v="0"/>
    <n v="13637.39"/>
    <s v="OK"/>
    <x v="0"/>
    <x v="1"/>
    <s v="2023-05"/>
    <n v="1"/>
  </r>
  <r>
    <s v="FV/32/SAL/23"/>
    <s v="PZ/801419"/>
    <x v="1"/>
    <d v="2023-05-29T00:00:00"/>
    <s v="11641.47"/>
    <s v="Zaakceptowana"/>
    <s v="Faktura VAT"/>
    <s v="Apteka Szpitalna"/>
    <s v=""/>
    <b v="0"/>
    <n v="11641.47"/>
    <s v="OK"/>
    <x v="1"/>
    <x v="1"/>
    <s v="2023-05"/>
    <n v="1"/>
  </r>
  <r>
    <s v="FV/40/PP/9830/23"/>
    <s v="PZ/801420"/>
    <x v="6"/>
    <d v="2023-05-30T00:00:00"/>
    <s v="18208.3"/>
    <s v="Zaakceptowana"/>
    <s v="Faktura VAT"/>
    <s v="Apteka Szpitalna"/>
    <s v="UM-PHA-02"/>
    <b v="0"/>
    <n v="18208.3"/>
    <s v="OK"/>
    <x v="0"/>
    <x v="1"/>
    <s v="2023-05"/>
    <n v="1"/>
  </r>
  <r>
    <s v="FV/98261/VDb/2023"/>
    <s v="PZ/801421"/>
    <x v="7"/>
    <d v="2023-05-30T00:00:00"/>
    <s v="19924.36"/>
    <s v="Zaakceptowana"/>
    <s v="Faktura VAT"/>
    <s v="Apteka Szpitalna"/>
    <s v="UM-VIT-01"/>
    <b v="0"/>
    <n v="19924.36"/>
    <s v="OK"/>
    <x v="0"/>
    <x v="1"/>
    <s v="2023-05"/>
    <n v="1"/>
  </r>
  <r>
    <s v="FV/POL/66254/2023"/>
    <s v="PZ/801422"/>
    <x v="0"/>
    <d v="2023-05-30T00:00:00"/>
    <s v="13618.12"/>
    <s v="Zaakceptowana"/>
    <s v="Faktura VAT"/>
    <s v="Apteka Szpitalna"/>
    <s v="UM-POL-03"/>
    <b v="0"/>
    <n v="13618.12"/>
    <s v="OK"/>
    <x v="0"/>
    <x v="1"/>
    <s v="2023-05"/>
    <n v="1"/>
  </r>
  <r>
    <s v="FV/75/SAL/23"/>
    <s v="PZ/801423"/>
    <x v="1"/>
    <d v="2023-05-30T00:00:00"/>
    <s v="17195.63"/>
    <s v="Zaakceptowana"/>
    <s v="Faktura VAT"/>
    <s v="Apteka Szpitalna"/>
    <s v="UM-SAL-01"/>
    <b v="0"/>
    <n v="17195.63"/>
    <s v="OK"/>
    <x v="0"/>
    <x v="1"/>
    <s v="2023-05"/>
    <n v="1"/>
  </r>
  <r>
    <s v="FV/CENFA/713175/23"/>
    <s v="PZ/801424"/>
    <x v="4"/>
    <d v="2023-05-30T00:00:00"/>
    <s v="14486.73"/>
    <s v="Zaakceptowana"/>
    <s v="Faktura VAT"/>
    <s v="Apteka Szpitalna"/>
    <s v="UM-CEN-02"/>
    <b v="0"/>
    <n v="14486.73"/>
    <s v="OK"/>
    <x v="0"/>
    <x v="1"/>
    <s v="2023-05"/>
    <n v="1"/>
  </r>
  <r>
    <s v="FV/2634/NOVA/23"/>
    <s v="PZ/801425"/>
    <x v="2"/>
    <d v="2023-05-31T00:00:00"/>
    <s v="21762.51"/>
    <s v="Zaakceptowana"/>
    <s v="Faktura VAT"/>
    <s v="Apteka Szpitalna"/>
    <s v="UM-NOV-01"/>
    <b v="0"/>
    <n v="21762.51"/>
    <s v="OK"/>
    <x v="0"/>
    <x v="1"/>
    <s v="2023-05"/>
    <n v="1"/>
  </r>
  <r>
    <s v="FV/73/PP/2892/23"/>
    <s v="PZ/801426"/>
    <x v="6"/>
    <d v="2023-06-01T00:00:00"/>
    <s v="19605.64"/>
    <s v="Zaakceptowana"/>
    <s v="Faktura VAT"/>
    <s v="Apteka Szpitalna"/>
    <s v="UM-PHA-02"/>
    <b v="0"/>
    <n v="19605.64"/>
    <s v="OK"/>
    <x v="0"/>
    <x v="1"/>
    <s v="2023-06"/>
    <n v="1"/>
  </r>
  <r>
    <s v="FV/4161HM/23"/>
    <s v="PZ/801427"/>
    <x v="3"/>
    <d v="2023-06-02T00:00:00"/>
    <s v="9820.93"/>
    <s v="Zaakceptowana"/>
    <s v="Faktura VAT"/>
    <s v="Apteka Szpitalna"/>
    <s v="UM-HUR-03"/>
    <b v="0"/>
    <n v="9820.93"/>
    <s v="OK"/>
    <x v="0"/>
    <x v="1"/>
    <s v="2023-06"/>
    <n v="1"/>
  </r>
  <r>
    <s v="FV/POL/51565/2023"/>
    <s v="PZ/801428"/>
    <x v="0"/>
    <d v="2023-06-02T00:00:00"/>
    <s v="11357.52"/>
    <s v="Zaakceptowana"/>
    <s v="Faktura VAT"/>
    <s v="Apteka Szpitalna"/>
    <s v="UM-POL-01"/>
    <b v="0"/>
    <n v="11357.52"/>
    <s v="OK"/>
    <x v="0"/>
    <x v="1"/>
    <s v="2023-06"/>
    <n v="1"/>
  </r>
  <r>
    <s v="FV/7333HM/23"/>
    <s v="PZ/801429"/>
    <x v="3"/>
    <d v="2023-06-02T00:00:00"/>
    <s v="10919.88"/>
    <s v="Zaakceptowana"/>
    <s v="Faktura VAT"/>
    <s v="Apteka Szpitalna"/>
    <s v="UM-HUR-03"/>
    <b v="0"/>
    <n v="10919.88"/>
    <s v="OK"/>
    <x v="0"/>
    <x v="1"/>
    <s v="2023-06"/>
    <n v="1"/>
  </r>
  <r>
    <s v="FV/63/SAL/23"/>
    <s v="PZ/801430"/>
    <x v="1"/>
    <d v="2023-06-03T00:00:00"/>
    <s v="13348.65"/>
    <s v="Zaakceptowana"/>
    <s v="Faktura VAT"/>
    <s v="Apteka Szpitalna"/>
    <s v="UM-SAL-01"/>
    <b v="0"/>
    <n v="13348.65"/>
    <s v="OK"/>
    <x v="0"/>
    <x v="1"/>
    <s v="2023-06"/>
    <n v="1"/>
  </r>
  <r>
    <s v="FV/CENFA/223575/23"/>
    <s v="PZ/801431"/>
    <x v="4"/>
    <d v="2023-06-03T00:00:00"/>
    <s v="15294.36"/>
    <s v="Zaakceptowana"/>
    <s v="Faktura VAT"/>
    <s v="Apteka Szpitalna"/>
    <s v="UM-CEN-02"/>
    <b v="0"/>
    <n v="15294.36"/>
    <s v="OK"/>
    <x v="0"/>
    <x v="1"/>
    <s v="2023-06"/>
    <n v="1"/>
  </r>
  <r>
    <s v="FV/M/2844/P/23"/>
    <s v="PZ/801432"/>
    <x v="5"/>
    <d v="2023-06-05T00:00:00"/>
    <s v="11386.27"/>
    <s v="Zaakceptowana"/>
    <s v="Faktura VAT"/>
    <s v="Apteka Szpitalna"/>
    <s v=""/>
    <b v="0"/>
    <n v="11386.27"/>
    <s v="OK"/>
    <x v="1"/>
    <x v="1"/>
    <s v="2023-06"/>
    <n v="1"/>
  </r>
  <r>
    <s v="FV/POL/59647/2023"/>
    <s v="PZ/801433"/>
    <x v="0"/>
    <d v="2023-06-05T00:00:00"/>
    <s v="-2146.76"/>
    <s v="Zaakceptowana"/>
    <s v="Korekta FV"/>
    <s v="Apteka Szpitalna"/>
    <s v="UM-POL-02"/>
    <b v="0"/>
    <n v="-2146.7600000000002"/>
    <s v="OK"/>
    <x v="0"/>
    <x v="1"/>
    <s v="2023-06"/>
    <n v="1"/>
  </r>
  <r>
    <s v="FV/POL/71168/2023"/>
    <s v="PZ/801434"/>
    <x v="0"/>
    <d v="2023-06-05T00:00:00"/>
    <s v="14683.73"/>
    <s v="Zaakceptowana"/>
    <s v="Faktura VAT"/>
    <s v="Apteka Szpitalna"/>
    <s v=""/>
    <b v="0"/>
    <n v="14683.73"/>
    <s v="OK"/>
    <x v="1"/>
    <x v="1"/>
    <s v="2023-06"/>
    <n v="1"/>
  </r>
  <r>
    <s v="FV/27/SAL/23"/>
    <s v="PZ/801435"/>
    <x v="1"/>
    <d v="2023-06-06T00:00:00"/>
    <s v="11370.34"/>
    <s v="Zaakceptowana"/>
    <s v="Faktura VAT"/>
    <s v="Apteka Szpitalna"/>
    <s v="UM-SAL-01"/>
    <b v="0"/>
    <n v="11370.34"/>
    <s v="OK"/>
    <x v="0"/>
    <x v="1"/>
    <s v="2023-06"/>
    <n v="1"/>
  </r>
  <r>
    <s v="FV/CENFA/226139/23"/>
    <s v="PZ/801436"/>
    <x v="4"/>
    <d v="2023-06-06T00:00:00"/>
    <s v="7820.13"/>
    <s v="Zaakceptowana"/>
    <s v="Faktura VAT"/>
    <s v="Apteka Szpitalna"/>
    <s v="UM-CEN-02"/>
    <b v="0"/>
    <n v="7820.13"/>
    <s v="OK"/>
    <x v="0"/>
    <x v="1"/>
    <s v="2023-06"/>
    <n v="1"/>
  </r>
  <r>
    <s v="FV/POL/85220/2023"/>
    <s v="PZ/801437"/>
    <x v="0"/>
    <d v="2023-06-06T00:00:00"/>
    <s v="16728.49"/>
    <s v="Zaakceptowana"/>
    <s v="Faktura VAT"/>
    <s v="Apteka Szpitalna"/>
    <s v="UM-POL-03"/>
    <b v="0"/>
    <n v="16728.490000000002"/>
    <s v="OK"/>
    <x v="0"/>
    <x v="1"/>
    <s v="2023-06"/>
    <n v="1"/>
  </r>
  <r>
    <s v="FV/POL/54576/2023"/>
    <s v="PZ/801438"/>
    <x v="0"/>
    <d v="2023-06-06T00:00:00"/>
    <s v="21927.03"/>
    <s v="Zaakceptowana"/>
    <s v="Faktura VAT"/>
    <s v="Apteka Szpitalna"/>
    <s v="UM-POL-03"/>
    <b v="0"/>
    <n v="21927.03"/>
    <s v="OK"/>
    <x v="0"/>
    <x v="1"/>
    <s v="2023-06"/>
    <n v="1"/>
  </r>
  <r>
    <s v="FV/M/2002/P/23"/>
    <s v="PZ/801439"/>
    <x v="5"/>
    <d v="2023-06-06T00:00:00"/>
    <s v="17788.88"/>
    <s v="Zaakceptowana"/>
    <s v="Faktura VAT"/>
    <s v="Apteka Szpitalna"/>
    <s v="UM-MED-02"/>
    <b v="0"/>
    <n v="17788.88"/>
    <s v="OK"/>
    <x v="0"/>
    <x v="1"/>
    <s v="2023-06"/>
    <n v="1"/>
  </r>
  <r>
    <s v="FV/53/SAL/23"/>
    <s v="PZ/801440"/>
    <x v="1"/>
    <d v="2023-06-07T00:00:00"/>
    <s v="15360.77"/>
    <s v="Zaakceptowana"/>
    <s v="Faktura VAT"/>
    <s v="Apteka Szpitalna"/>
    <s v="UM-SAL-02"/>
    <b v="0"/>
    <n v="15360.77"/>
    <s v="OK"/>
    <x v="0"/>
    <x v="1"/>
    <s v="2023-06"/>
    <n v="1"/>
  </r>
  <r>
    <s v="FV/POL/91948/2023"/>
    <s v="PZ/801441"/>
    <x v="0"/>
    <d v="2023-06-07T00:00:00"/>
    <s v="20080.25"/>
    <s v="Zaakceptowana"/>
    <s v="Faktura VAT"/>
    <s v="Apteka Szpitalna"/>
    <s v=""/>
    <b v="0"/>
    <n v="20080.25"/>
    <s v="OK"/>
    <x v="1"/>
    <x v="1"/>
    <s v="2023-06"/>
    <n v="1"/>
  </r>
  <r>
    <s v="FV/3877HM/23"/>
    <s v="PZ/801442"/>
    <x v="3"/>
    <d v="2023-06-07T00:00:00"/>
    <s v="18140.47"/>
    <s v="Zaakceptowana"/>
    <s v="Faktura VAT"/>
    <s v="Apteka Szpitalna"/>
    <s v="UM-HUR-02"/>
    <b v="0"/>
    <n v="18140.47"/>
    <s v="OK"/>
    <x v="0"/>
    <x v="1"/>
    <s v="2023-06"/>
    <n v="1"/>
  </r>
  <r>
    <s v="FV/CENFA/292841/23"/>
    <s v="PZ/801443"/>
    <x v="4"/>
    <d v="2023-06-07T00:00:00"/>
    <s v="12163.44"/>
    <s v="Zaakceptowana"/>
    <s v="Faktura VAT"/>
    <s v="Apteka Szpitalna"/>
    <s v="UM-CEN-01"/>
    <b v="0"/>
    <n v="12163.44"/>
    <s v="OK"/>
    <x v="0"/>
    <x v="1"/>
    <s v="2023-06"/>
    <n v="1"/>
  </r>
  <r>
    <s v="FV/5541HM/23"/>
    <s v="PZ/801444"/>
    <x v="3"/>
    <d v="2023-06-08T00:00:00"/>
    <s v="10700.75"/>
    <s v="Zaakceptowana"/>
    <s v="Faktura VAT"/>
    <s v="Apteka Szpitalna"/>
    <s v="UM-HUR-01"/>
    <b v="0"/>
    <n v="10700.75"/>
    <s v="OK"/>
    <x v="0"/>
    <x v="1"/>
    <s v="2023-06"/>
    <n v="1"/>
  </r>
  <r>
    <s v="FV/72/SAL/23"/>
    <s v="PZ/801445"/>
    <x v="1"/>
    <d v="2023-06-08T00:00:00"/>
    <s v="14808.56"/>
    <s v="Zaakceptowana"/>
    <s v="Faktura VAT"/>
    <s v="Apteka Szpitalna"/>
    <s v="UM-SAL-02"/>
    <b v="0"/>
    <n v="14808.56"/>
    <s v="OK"/>
    <x v="0"/>
    <x v="1"/>
    <s v="2023-06"/>
    <n v="1"/>
  </r>
  <r>
    <s v="FV/CENFA/703859/23"/>
    <s v="PZ/801446"/>
    <x v="4"/>
    <d v="2023-06-08T00:00:00"/>
    <s v="16889.24"/>
    <s v="Zaakceptowana"/>
    <s v="Faktura VAT"/>
    <s v="Apteka Szpitalna"/>
    <s v=""/>
    <b v="0"/>
    <n v="16889.240000000002"/>
    <s v="OK"/>
    <x v="1"/>
    <x v="1"/>
    <s v="2023-06"/>
    <n v="1"/>
  </r>
  <r>
    <s v="FV/16/SAL/23"/>
    <s v="PZ/801447"/>
    <x v="1"/>
    <d v="2023-06-09T00:00:00"/>
    <s v="16081.84"/>
    <s v="Zaakceptowana"/>
    <s v="Faktura VAT"/>
    <s v="Apteka Szpitalna"/>
    <s v="UM-SAL-01"/>
    <b v="0"/>
    <n v="16081.84"/>
    <s v="OK"/>
    <x v="0"/>
    <x v="1"/>
    <s v="2023-06"/>
    <n v="1"/>
  </r>
  <r>
    <s v="FV/POL/39206/2023"/>
    <s v="PZ/801448"/>
    <x v="0"/>
    <d v="2023-06-09T00:00:00"/>
    <s v="9348.7"/>
    <s v="Zaakceptowana"/>
    <s v="Faktura VAT"/>
    <s v="Apteka Szpitalna"/>
    <s v="UM-POL-01"/>
    <b v="0"/>
    <n v="9348.7000000000007"/>
    <s v="OK"/>
    <x v="0"/>
    <x v="1"/>
    <s v="2023-06"/>
    <n v="1"/>
  </r>
  <r>
    <s v="FV/9693/NOVA/23"/>
    <s v="PZ/801449"/>
    <x v="2"/>
    <d v="2023-06-09T00:00:00"/>
    <s v="14799.34"/>
    <s v="Zaakceptowana"/>
    <s v="Faktura VAT"/>
    <s v="Apteka Szpitalna"/>
    <s v="UM-NOV-03"/>
    <b v="0"/>
    <n v="14799.34"/>
    <s v="OK"/>
    <x v="0"/>
    <x v="1"/>
    <s v="2023-06"/>
    <n v="1"/>
  </r>
  <r>
    <s v="FV/CENFA/635475/23"/>
    <s v="PZ/801450"/>
    <x v="4"/>
    <d v="2023-06-09T00:00:00"/>
    <s v="15573.17"/>
    <s v="Zaakceptowana"/>
    <s v="Faktura VAT"/>
    <s v="Apteka Szpitalna"/>
    <s v="UM-CEN-02"/>
    <b v="0"/>
    <n v="15573.17"/>
    <s v="OK"/>
    <x v="0"/>
    <x v="1"/>
    <s v="2023-06"/>
    <n v="1"/>
  </r>
  <r>
    <s v="FV/17/SAL/23"/>
    <s v="PZ/801451"/>
    <x v="1"/>
    <d v="2023-06-11T00:00:00"/>
    <s v="22495.45"/>
    <s v="Zaakceptowana"/>
    <s v="Faktura VAT"/>
    <s v="Apteka Szpitalna"/>
    <s v=""/>
    <b v="0"/>
    <n v="22495.45"/>
    <s v="OK"/>
    <x v="1"/>
    <x v="1"/>
    <s v="2023-06"/>
    <n v="1"/>
  </r>
  <r>
    <s v="FV/84/PP/6376/23"/>
    <s v="PZ/801452"/>
    <x v="6"/>
    <d v="2023-06-11T00:00:00"/>
    <s v="19337.0"/>
    <s v="Zaakceptowana"/>
    <s v="Faktura VAT"/>
    <s v="Apteka Szpitalna"/>
    <s v=""/>
    <b v="0"/>
    <n v="19337"/>
    <s v="OK"/>
    <x v="1"/>
    <x v="1"/>
    <s v="2023-06"/>
    <n v="1"/>
  </r>
  <r>
    <s v="FV/15191/VDb/2023"/>
    <s v="PZ/801453"/>
    <x v="7"/>
    <d v="2023-06-11T00:00:00"/>
    <s v="18056.48"/>
    <s v="Zaakceptowana"/>
    <s v="Faktura VAT"/>
    <s v="Apteka Szpitalna"/>
    <s v="UM-VIT-01"/>
    <b v="0"/>
    <n v="18056.48"/>
    <s v="OK"/>
    <x v="0"/>
    <x v="1"/>
    <s v="2023-06"/>
    <n v="1"/>
  </r>
  <r>
    <s v="FV/CENFA/494604/23"/>
    <s v="PZ/801454"/>
    <x v="4"/>
    <d v="2023-06-11T00:00:00"/>
    <s v="12183.44"/>
    <s v="Zaakceptowana"/>
    <s v="Faktura VAT"/>
    <s v="Apteka Szpitalna"/>
    <s v="UM-CEN-02"/>
    <b v="0"/>
    <n v="12183.44"/>
    <s v="OK"/>
    <x v="0"/>
    <x v="1"/>
    <s v="2023-06"/>
    <n v="1"/>
  </r>
  <r>
    <s v="FV/4153/NOVA/23"/>
    <s v="PZ/801455"/>
    <x v="2"/>
    <d v="2023-06-11T00:00:00"/>
    <s v="11604.11"/>
    <s v="Zaakceptowana"/>
    <s v="Faktura VAT"/>
    <s v="Apteka Szpitalna"/>
    <s v=""/>
    <b v="0"/>
    <n v="11604.11"/>
    <s v="OK"/>
    <x v="1"/>
    <x v="1"/>
    <s v="2023-06"/>
    <n v="1"/>
  </r>
  <r>
    <s v="FV/14/PP/9153/23"/>
    <s v="PZ/801456"/>
    <x v="6"/>
    <d v="2023-06-12T00:00:00"/>
    <s v="16773.38"/>
    <s v="Zaakceptowana"/>
    <s v="Faktura VAT"/>
    <s v="Apteka Szpitalna"/>
    <s v="UM-PHA-02"/>
    <b v="0"/>
    <n v="16773.38"/>
    <s v="OK"/>
    <x v="0"/>
    <x v="1"/>
    <s v="2023-06"/>
    <n v="1"/>
  </r>
  <r>
    <s v="FV/28075/VDb/2023"/>
    <s v="PZ/801457"/>
    <x v="7"/>
    <d v="2023-06-13T00:00:00"/>
    <s v="7090.82"/>
    <s v="Zaakceptowana"/>
    <s v="Faktura VAT"/>
    <s v="Apteka Szpitalna"/>
    <s v="UM-VIT-01"/>
    <b v="0"/>
    <n v="7090.82"/>
    <s v="OK"/>
    <x v="0"/>
    <x v="1"/>
    <s v="2023-06"/>
    <n v="1"/>
  </r>
  <r>
    <s v="FV/14/PP/2613/23"/>
    <s v="PZ/801458"/>
    <x v="6"/>
    <d v="2023-06-13T00:00:00"/>
    <s v="14461.7"/>
    <s v="Zaakceptowana"/>
    <s v="Faktura VAT"/>
    <s v="Apteka Szpitalna"/>
    <s v="UM-PHA-02"/>
    <b v="0"/>
    <n v="14461.7"/>
    <s v="OK"/>
    <x v="0"/>
    <x v="1"/>
    <s v="2023-06"/>
    <n v="1"/>
  </r>
  <r>
    <s v="FV/8825HM/23"/>
    <s v="PZ/801459"/>
    <x v="3"/>
    <d v="2023-06-13T00:00:00"/>
    <s v="9276.92"/>
    <s v="Zaakceptowana"/>
    <s v="Faktura VAT"/>
    <s v="Apteka Szpitalna"/>
    <s v="UM-HUR-03"/>
    <b v="0"/>
    <n v="9276.92"/>
    <s v="OK"/>
    <x v="0"/>
    <x v="1"/>
    <s v="2023-06"/>
    <n v="1"/>
  </r>
  <r>
    <s v="FV/77/PP/9746/23"/>
    <s v="PZ/801460"/>
    <x v="6"/>
    <d v="2023-06-13T00:00:00"/>
    <s v="7694.11"/>
    <s v="Zaakceptowana"/>
    <s v="Faktura VAT"/>
    <s v="Apteka Szpitalna"/>
    <s v="UM-PHA-02"/>
    <b v="0"/>
    <n v="7694.11"/>
    <s v="OK"/>
    <x v="0"/>
    <x v="1"/>
    <s v="2023-06"/>
    <n v="1"/>
  </r>
  <r>
    <s v="FV/27/SAL/23"/>
    <s v="PZ/801461"/>
    <x v="1"/>
    <d v="2023-06-13T00:00:00"/>
    <s v="17096.45"/>
    <s v="Zaakceptowana"/>
    <s v="Faktura VAT"/>
    <s v="Apteka Szpitalna"/>
    <s v="UM-SAL-02"/>
    <b v="0"/>
    <n v="17096.45"/>
    <s v="OK"/>
    <x v="0"/>
    <x v="1"/>
    <s v="2023-06"/>
    <n v="1"/>
  </r>
  <r>
    <s v="FV/POL/33274/2023"/>
    <s v="PZ/801462"/>
    <x v="0"/>
    <d v="2023-06-13T00:00:00"/>
    <s v="14690.58"/>
    <s v="Zaakceptowana"/>
    <s v="Faktura VAT"/>
    <s v="Apteka Szpitalna"/>
    <s v="UM-POL-01"/>
    <b v="0"/>
    <n v="14690.58"/>
    <s v="OK"/>
    <x v="0"/>
    <x v="1"/>
    <s v="2023-06"/>
    <n v="1"/>
  </r>
  <r>
    <s v="FV/47/SAL/23"/>
    <s v="PZ/801463"/>
    <x v="1"/>
    <d v="2023-06-14T00:00:00"/>
    <s v="7617.43"/>
    <s v="Zaakceptowana"/>
    <s v="Faktura VAT"/>
    <s v="Apteka Szpitalna"/>
    <s v="UM-SAL-01"/>
    <b v="0"/>
    <n v="7617.43"/>
    <s v="OK"/>
    <x v="0"/>
    <x v="1"/>
    <s v="2023-06"/>
    <n v="1"/>
  </r>
  <r>
    <s v="FV/78/SAL/23"/>
    <s v="PZ/801464"/>
    <x v="1"/>
    <d v="2023-06-14T00:00:00"/>
    <s v="7698.08"/>
    <s v="Zaakceptowana"/>
    <s v="Faktura VAT"/>
    <s v="Apteka Szpitalna"/>
    <s v="UM-SAL-01"/>
    <b v="0"/>
    <n v="7698.08"/>
    <s v="OK"/>
    <x v="0"/>
    <x v="1"/>
    <s v="2023-06"/>
    <n v="1"/>
  </r>
  <r>
    <s v="FV/POL/99005/2023"/>
    <s v="PZ/801465"/>
    <x v="0"/>
    <d v="2023-06-15T00:00:00"/>
    <s v="15484.69"/>
    <s v="Zaakceptowana"/>
    <s v="Faktura VAT"/>
    <s v="Apteka Szpitalna"/>
    <s v=""/>
    <b v="0"/>
    <n v="15484.69"/>
    <s v="OK"/>
    <x v="1"/>
    <x v="1"/>
    <s v="2023-06"/>
    <n v="1"/>
  </r>
  <r>
    <s v="FV/5193HM/23"/>
    <s v="PZ/801466"/>
    <x v="3"/>
    <d v="2023-06-15T00:00:00"/>
    <s v="9170.33"/>
    <s v="Zaakceptowana"/>
    <s v="Faktura VAT"/>
    <s v="Apteka Szpitalna"/>
    <s v="UM-HUR-03"/>
    <b v="0"/>
    <n v="9170.33"/>
    <s v="OK"/>
    <x v="0"/>
    <x v="1"/>
    <s v="2023-06"/>
    <n v="1"/>
  </r>
  <r>
    <s v="FV/CENFA/248352/23"/>
    <s v="PZ/801467"/>
    <x v="4"/>
    <d v="2023-06-16T00:00:00"/>
    <s v="9115.08"/>
    <s v="Zaakceptowana"/>
    <s v="Faktura VAT"/>
    <s v="Apteka Szpitalna"/>
    <s v=""/>
    <b v="0"/>
    <n v="9115.08"/>
    <s v="OK"/>
    <x v="1"/>
    <x v="1"/>
    <s v="2023-06"/>
    <n v="1"/>
  </r>
  <r>
    <s v="FV/11/PP/4451/23"/>
    <s v="PZ/801468"/>
    <x v="6"/>
    <d v="2023-06-16T00:00:00"/>
    <s v="11692.84"/>
    <s v="Zaakceptowana"/>
    <s v="Faktura VAT"/>
    <s v="Apteka Szpitalna"/>
    <s v="UM-PHA-01"/>
    <b v="0"/>
    <n v="11692.84"/>
    <s v="OK"/>
    <x v="0"/>
    <x v="1"/>
    <s v="2023-06"/>
    <n v="1"/>
  </r>
  <r>
    <s v="FV/29/SAL/23"/>
    <s v="PZ/801469"/>
    <x v="1"/>
    <d v="2023-06-16T00:00:00"/>
    <s v="3556.88"/>
    <s v="Zaakceptowana"/>
    <s v="Faktura VAT"/>
    <s v="Apteka Szpitalna"/>
    <s v="UM-SAL-01"/>
    <b v="0"/>
    <n v="3556.88"/>
    <s v="OK"/>
    <x v="0"/>
    <x v="1"/>
    <s v="2023-06"/>
    <n v="1"/>
  </r>
  <r>
    <s v="FV/70/SAL/23"/>
    <s v="PZ/801470"/>
    <x v="1"/>
    <d v="2023-06-17T00:00:00"/>
    <s v="21912.16"/>
    <s v="Zaakceptowana"/>
    <s v="Faktura VAT"/>
    <s v="Apteka Szpitalna"/>
    <s v="UM-SAL-02"/>
    <b v="0"/>
    <n v="21912.16"/>
    <s v="OK"/>
    <x v="0"/>
    <x v="1"/>
    <s v="2023-06"/>
    <n v="1"/>
  </r>
  <r>
    <s v="FV/5659/NOVA/23"/>
    <s v="PZ/801471"/>
    <x v="2"/>
    <d v="2023-06-17T00:00:00"/>
    <s v="19491.0"/>
    <s v="Zaakceptowana"/>
    <s v="Faktura VAT"/>
    <s v="Apteka Szpitalna"/>
    <s v="UM-NOV-02"/>
    <b v="0"/>
    <n v="19491"/>
    <s v="OK"/>
    <x v="0"/>
    <x v="1"/>
    <s v="2023-06"/>
    <n v="1"/>
  </r>
  <r>
    <s v="FV/7279HM/23"/>
    <s v="PZ/801472"/>
    <x v="3"/>
    <d v="2023-06-17T00:00:00"/>
    <s v="2775.14"/>
    <s v="Zaakceptowana"/>
    <s v="Faktura VAT"/>
    <s v="Apteka Szpitalna"/>
    <s v="UM-HUR-01"/>
    <b v="0"/>
    <n v="2775.14"/>
    <s v="OK"/>
    <x v="0"/>
    <x v="1"/>
    <s v="2023-06"/>
    <n v="1"/>
  </r>
  <r>
    <s v="FV/4449/NOVA/23"/>
    <s v="PZ/801473"/>
    <x v="2"/>
    <d v="2023-06-19T00:00:00"/>
    <s v="17720.27"/>
    <s v="Zaakceptowana"/>
    <s v="Faktura VAT"/>
    <s v="Apteka Szpitalna"/>
    <s v="UM-NOV-02"/>
    <b v="0"/>
    <n v="17720.27"/>
    <s v="OK"/>
    <x v="0"/>
    <x v="1"/>
    <s v="2023-06"/>
    <n v="1"/>
  </r>
  <r>
    <s v="FV/POL/15366/2023"/>
    <s v="PZ/801474"/>
    <x v="0"/>
    <d v="2023-06-19T00:00:00"/>
    <s v="16909.81"/>
    <s v="Zaakceptowana"/>
    <s v="Faktura VAT"/>
    <s v="Apteka Szpitalna"/>
    <s v="UM-POL-01"/>
    <b v="0"/>
    <n v="16909.810000000001"/>
    <s v="OK"/>
    <x v="0"/>
    <x v="1"/>
    <s v="2023-06"/>
    <n v="1"/>
  </r>
  <r>
    <s v="FV/8400/NOVA/23"/>
    <s v="PZ/801475"/>
    <x v="2"/>
    <d v="2023-06-20T00:00:00"/>
    <s v="17428.86"/>
    <s v="Zaakceptowana"/>
    <s v="Faktura VAT"/>
    <s v="Apteka Szpitalna"/>
    <s v="UM-NOV-03"/>
    <b v="0"/>
    <n v="17428.86"/>
    <s v="OK"/>
    <x v="0"/>
    <x v="1"/>
    <s v="2023-06"/>
    <n v="1"/>
  </r>
  <r>
    <s v="FV/CENFA/468331/23"/>
    <s v="PZ/801476"/>
    <x v="4"/>
    <d v="2023-06-20T00:00:00"/>
    <s v="6658.77"/>
    <s v="Zaakceptowana"/>
    <s v="Faktura VAT"/>
    <s v="Apteka Szpitalna"/>
    <s v="UM-CEN-02"/>
    <b v="0"/>
    <n v="6658.77"/>
    <s v="OK"/>
    <x v="0"/>
    <x v="1"/>
    <s v="2023-06"/>
    <n v="1"/>
  </r>
  <r>
    <s v="FV/18/PP/6385/23"/>
    <s v="PZ/801477"/>
    <x v="6"/>
    <d v="2023-06-20T00:00:00"/>
    <s v="14236.06"/>
    <s v="Zaakceptowana"/>
    <s v="Faktura VAT"/>
    <s v="Apteka Szpitalna"/>
    <s v=""/>
    <b v="0"/>
    <n v="14236.06"/>
    <s v="OK"/>
    <x v="1"/>
    <x v="1"/>
    <s v="2023-06"/>
    <n v="1"/>
  </r>
  <r>
    <s v="FV/46/SAL/23"/>
    <s v="PZ/801478"/>
    <x v="1"/>
    <d v="2023-06-20T00:00:00"/>
    <s v="13746.15"/>
    <s v="Zaakceptowana"/>
    <s v="Faktura VAT"/>
    <s v="Apteka Szpitalna"/>
    <s v=""/>
    <b v="0"/>
    <n v="13746.15"/>
    <s v="OK"/>
    <x v="1"/>
    <x v="1"/>
    <s v="2023-06"/>
    <n v="1"/>
  </r>
  <r>
    <s v="FV/82/SAL/23"/>
    <s v="PZ/801479"/>
    <x v="1"/>
    <d v="2023-06-20T00:00:00"/>
    <s v="24768.68"/>
    <s v="Zaakceptowana"/>
    <s v="Faktura VAT"/>
    <s v="Apteka Szpitalna"/>
    <s v="UM-SAL-02"/>
    <b v="0"/>
    <n v="24768.68"/>
    <s v="OK"/>
    <x v="0"/>
    <x v="1"/>
    <s v="2023-06"/>
    <n v="1"/>
  </r>
  <r>
    <s v="FV/7652/NOVA/23"/>
    <s v="PZ/801480"/>
    <x v="2"/>
    <d v="2023-06-21T00:00:00"/>
    <s v="17366.28"/>
    <s v="Zaakceptowana"/>
    <s v="Faktura VAT"/>
    <s v="Apteka Szpitalna"/>
    <s v=""/>
    <b v="0"/>
    <n v="17366.28"/>
    <s v="OK"/>
    <x v="1"/>
    <x v="1"/>
    <s v="2023-06"/>
    <n v="1"/>
  </r>
  <r>
    <s v="FV/32/SAL/23"/>
    <s v="PZ/801481"/>
    <x v="1"/>
    <d v="2023-06-21T00:00:00"/>
    <s v="15261.63"/>
    <s v="Zaakceptowana"/>
    <s v="Faktura VAT"/>
    <s v="Apteka Szpitalna"/>
    <s v=""/>
    <b v="0"/>
    <n v="15261.63"/>
    <s v="OK"/>
    <x v="1"/>
    <x v="1"/>
    <s v="2023-06"/>
    <n v="1"/>
  </r>
  <r>
    <s v="FV/POL/21853/2023"/>
    <s v="PZ/801482"/>
    <x v="0"/>
    <d v="2023-06-21T00:00:00"/>
    <s v="23221.68"/>
    <s v="Zaakceptowana"/>
    <s v="Faktura VAT"/>
    <s v="Apteka Szpitalna"/>
    <s v="UM-POL-01"/>
    <b v="0"/>
    <n v="23221.68"/>
    <s v="OK"/>
    <x v="0"/>
    <x v="1"/>
    <s v="2023-06"/>
    <n v="1"/>
  </r>
  <r>
    <s v="FV/92/SAL/23"/>
    <s v="PZ/801483"/>
    <x v="1"/>
    <d v="2023-06-21T00:00:00"/>
    <s v="-1212.4"/>
    <s v="Zaakceptowana"/>
    <s v="Korekta FV"/>
    <s v="Apteka Szpitalna"/>
    <s v="UM-SAL-01"/>
    <b v="0"/>
    <n v="-1212.4000000000001"/>
    <s v="OK"/>
    <x v="0"/>
    <x v="1"/>
    <s v="2023-06"/>
    <n v="1"/>
  </r>
  <r>
    <s v="FV/41/PP/7492/23"/>
    <s v="PZ/801484"/>
    <x v="6"/>
    <d v="2023-06-21T00:00:00"/>
    <s v="8673.6"/>
    <s v="Zaakceptowana"/>
    <s v="Faktura VAT"/>
    <s v="Apteka Szpitalna"/>
    <s v="UM-PHA-01"/>
    <b v="0"/>
    <n v="8673.6"/>
    <s v="OK"/>
    <x v="0"/>
    <x v="1"/>
    <s v="2023-06"/>
    <n v="1"/>
  </r>
  <r>
    <s v="FV/CENFA/968928/23"/>
    <s v="PZ/801485"/>
    <x v="4"/>
    <d v="2023-06-22T00:00:00"/>
    <s v="17684.39"/>
    <s v="Zaakceptowana"/>
    <s v="Faktura VAT"/>
    <s v="Apteka Szpitalna"/>
    <s v=""/>
    <b v="0"/>
    <n v="17684.39"/>
    <s v="OK"/>
    <x v="1"/>
    <x v="1"/>
    <s v="2023-06"/>
    <n v="1"/>
  </r>
  <r>
    <s v="FV/74/SAL/23"/>
    <s v="PZ/801486"/>
    <x v="1"/>
    <d v="2023-06-22T00:00:00"/>
    <s v="10484.76"/>
    <s v="Zaakceptowana"/>
    <s v="Faktura VAT"/>
    <s v="Apteka Szpitalna"/>
    <s v=""/>
    <b v="0"/>
    <n v="10484.76"/>
    <s v="OK"/>
    <x v="1"/>
    <x v="1"/>
    <s v="2023-06"/>
    <n v="1"/>
  </r>
  <r>
    <s v="FV/3478/NOVA/23"/>
    <s v="PZ/801487"/>
    <x v="2"/>
    <d v="2023-06-22T00:00:00"/>
    <s v="16189.14"/>
    <s v="Zaakceptowana"/>
    <s v="Faktura VAT"/>
    <s v="Apteka Szpitalna"/>
    <s v="UM-NOV-02"/>
    <b v="0"/>
    <n v="16189.14"/>
    <s v="OK"/>
    <x v="0"/>
    <x v="1"/>
    <s v="2023-06"/>
    <n v="1"/>
  </r>
  <r>
    <s v="FV/72/SAL/23"/>
    <s v="PZ/801488"/>
    <x v="1"/>
    <d v="2023-06-22T00:00:00"/>
    <s v="24802.61"/>
    <s v="Zaakceptowana"/>
    <s v="Faktura VAT"/>
    <s v="Apteka Szpitalna"/>
    <s v="UM-SAL-01"/>
    <b v="0"/>
    <n v="24802.61"/>
    <s v="OK"/>
    <x v="0"/>
    <x v="1"/>
    <s v="2023-06"/>
    <n v="1"/>
  </r>
  <r>
    <s v="FV/49/SAL/23"/>
    <s v="PZ/801489"/>
    <x v="1"/>
    <d v="2023-06-23T00:00:00"/>
    <s v="16910.47"/>
    <s v="Zaakceptowana"/>
    <s v="Faktura VAT"/>
    <s v="Apteka Szpitalna"/>
    <s v=""/>
    <b v="0"/>
    <n v="16910.47"/>
    <s v="OK"/>
    <x v="1"/>
    <x v="1"/>
    <s v="2023-06"/>
    <n v="1"/>
  </r>
  <r>
    <s v="FV/2572/NOVA/23"/>
    <s v="PZ/801490"/>
    <x v="2"/>
    <d v="2023-06-23T00:00:00"/>
    <s v="13996.73"/>
    <s v="Zaakceptowana"/>
    <s v="Faktura VAT"/>
    <s v="Apteka Szpitalna"/>
    <s v="UM-NOV-03"/>
    <b v="0"/>
    <n v="13996.73"/>
    <s v="OK"/>
    <x v="0"/>
    <x v="1"/>
    <s v="2023-06"/>
    <n v="1"/>
  </r>
  <r>
    <s v="FV/CENFA/706497/23"/>
    <s v="PZ/801491"/>
    <x v="4"/>
    <d v="2023-06-23T00:00:00"/>
    <s v="-1424.91"/>
    <s v="Zaakceptowana"/>
    <s v="Korekta FV"/>
    <s v="Apteka Szpitalna"/>
    <s v=""/>
    <b v="0"/>
    <n v="-1424.91"/>
    <s v="OK"/>
    <x v="1"/>
    <x v="1"/>
    <s v="2023-06"/>
    <n v="1"/>
  </r>
  <r>
    <s v="FV/POL/28970/2023"/>
    <s v="PZ/801492"/>
    <x v="0"/>
    <d v="2023-06-23T00:00:00"/>
    <s v="15388.39"/>
    <s v="Zaakceptowana"/>
    <s v="Faktura VAT"/>
    <s v="Apteka Szpitalna"/>
    <s v="UM-POL-01"/>
    <b v="0"/>
    <n v="15388.39"/>
    <s v="OK"/>
    <x v="0"/>
    <x v="1"/>
    <s v="2023-06"/>
    <n v="1"/>
  </r>
  <r>
    <s v="FV/CENFA/288465/23"/>
    <s v="PZ/801493"/>
    <x v="4"/>
    <d v="2023-06-24T00:00:00"/>
    <s v="25245.28"/>
    <s v="Zaakceptowana"/>
    <s v="Faktura VAT"/>
    <s v="Apteka Szpitalna"/>
    <s v="UM-CEN-01"/>
    <b v="0"/>
    <n v="25245.279999999999"/>
    <s v="OK"/>
    <x v="0"/>
    <x v="1"/>
    <s v="2023-06"/>
    <n v="1"/>
  </r>
  <r>
    <s v="FV/52/SAL/23"/>
    <s v="PZ/801494"/>
    <x v="1"/>
    <d v="2023-06-24T00:00:00"/>
    <s v="11651.36"/>
    <s v="Zaakceptowana"/>
    <s v="Faktura VAT"/>
    <s v="Apteka Szpitalna"/>
    <s v=""/>
    <b v="0"/>
    <n v="11651.36"/>
    <s v="OK"/>
    <x v="1"/>
    <x v="1"/>
    <s v="2023-06"/>
    <n v="1"/>
  </r>
  <r>
    <s v="FV/52/SAL/23"/>
    <s v="PZ/801495"/>
    <x v="1"/>
    <d v="2023-06-24T00:00:00"/>
    <s v="18937.07"/>
    <s v="Zaakceptowana"/>
    <s v="Faktura VAT"/>
    <s v="Apteka Szpitalna"/>
    <s v=""/>
    <b v="0"/>
    <n v="18937.07"/>
    <s v="OK"/>
    <x v="1"/>
    <x v="1"/>
    <s v="2023-06"/>
    <n v="1"/>
  </r>
  <r>
    <s v="FV/CENFA/150179/23"/>
    <s v="PZ/801496"/>
    <x v="4"/>
    <d v="2023-06-24T00:00:00"/>
    <s v="10414.36"/>
    <s v="Zaakceptowana"/>
    <s v="Faktura VAT"/>
    <s v="Apteka Szpitalna"/>
    <s v="UM-CEN-01"/>
    <b v="0"/>
    <n v="10414.36"/>
    <s v="OK"/>
    <x v="0"/>
    <x v="1"/>
    <s v="2023-06"/>
    <n v="1"/>
  </r>
  <r>
    <s v="FV/66/SAL/23"/>
    <s v="PZ/801497"/>
    <x v="1"/>
    <d v="2023-06-25T00:00:00"/>
    <s v="13329.38"/>
    <s v="Zaakceptowana"/>
    <s v="Faktura VAT"/>
    <s v="Apteka Szpitalna"/>
    <s v="UM-SAL-02"/>
    <b v="0"/>
    <n v="13329.38"/>
    <s v="OK"/>
    <x v="0"/>
    <x v="1"/>
    <s v="2023-06"/>
    <n v="1"/>
  </r>
  <r>
    <s v="FV/84/SAL/23"/>
    <s v="PZ/801498"/>
    <x v="1"/>
    <d v="2023-06-25T00:00:00"/>
    <s v="19320.3"/>
    <s v="Zaakceptowana"/>
    <s v="Faktura VAT"/>
    <s v="Apteka Szpitalna"/>
    <s v="UM-SAL-01"/>
    <b v="0"/>
    <n v="19320.3"/>
    <s v="OK"/>
    <x v="0"/>
    <x v="1"/>
    <s v="2023-06"/>
    <n v="1"/>
  </r>
  <r>
    <s v="FV/4549/NOVA/23"/>
    <s v="PZ/801499"/>
    <x v="2"/>
    <d v="2023-06-26T00:00:00"/>
    <s v="13628.91"/>
    <s v="Zaakceptowana"/>
    <s v="Faktura VAT"/>
    <s v="Apteka Szpitalna"/>
    <s v="UM-NOV-03"/>
    <b v="0"/>
    <n v="13628.91"/>
    <s v="OK"/>
    <x v="0"/>
    <x v="1"/>
    <s v="2023-06"/>
    <n v="1"/>
  </r>
  <r>
    <s v="FV/95/PP/4790/23"/>
    <s v="PZ/801500"/>
    <x v="6"/>
    <d v="2023-06-27T00:00:00"/>
    <s v="16737.32"/>
    <s v="Zaakceptowana"/>
    <s v="Faktura VAT"/>
    <s v="Apteka Szpitalna"/>
    <s v="UM-PHA-02"/>
    <b v="0"/>
    <n v="16737.32"/>
    <s v="OK"/>
    <x v="0"/>
    <x v="1"/>
    <s v="2023-06"/>
    <n v="1"/>
  </r>
  <r>
    <s v="FV/43/PP/8594/23"/>
    <s v="PZ/801501"/>
    <x v="6"/>
    <d v="2023-06-28T00:00:00"/>
    <s v="15538.94"/>
    <s v="Zaakceptowana"/>
    <s v="Faktura VAT"/>
    <s v="Apteka Szpitalna"/>
    <s v=""/>
    <b v="0"/>
    <n v="15538.94"/>
    <s v="OK"/>
    <x v="1"/>
    <x v="1"/>
    <s v="2023-06"/>
    <n v="1"/>
  </r>
  <r>
    <s v="FV/M/3789/P/23"/>
    <s v="PZ/801502"/>
    <x v="5"/>
    <d v="2023-06-28T00:00:00"/>
    <s v="20071.79"/>
    <s v="Zaakceptowana"/>
    <s v="Faktura VAT"/>
    <s v="Apteka Szpitalna"/>
    <s v="UM-MED-01"/>
    <b v="0"/>
    <n v="20071.79"/>
    <s v="OK"/>
    <x v="0"/>
    <x v="1"/>
    <s v="2023-06"/>
    <n v="1"/>
  </r>
  <r>
    <s v="FV/6354/NOVA/23"/>
    <s v="PZ/801503"/>
    <x v="2"/>
    <d v="2023-06-28T00:00:00"/>
    <s v="11387.59"/>
    <s v="Zaakceptowana"/>
    <s v="Faktura VAT"/>
    <s v="Apteka Szpitalna"/>
    <s v="UM-NOV-03"/>
    <b v="0"/>
    <n v="11387.59"/>
    <s v="OK"/>
    <x v="0"/>
    <x v="1"/>
    <s v="2023-06"/>
    <n v="1"/>
  </r>
  <r>
    <s v="FV/POL/36510/2023"/>
    <s v="PZ/801504"/>
    <x v="0"/>
    <d v="2023-06-29T00:00:00"/>
    <s v="15338.0"/>
    <s v="Zaakceptowana"/>
    <s v="Faktura VAT"/>
    <s v="Apteka Szpitalna"/>
    <s v="UM-POL-01"/>
    <b v="0"/>
    <n v="15338"/>
    <s v="OK"/>
    <x v="0"/>
    <x v="1"/>
    <s v="2023-06"/>
    <n v="1"/>
  </r>
  <r>
    <s v="FV/6012/NOVA/23"/>
    <s v="PZ/801505"/>
    <x v="2"/>
    <d v="2023-06-29T00:00:00"/>
    <s v="14533.36"/>
    <s v="Zaakceptowana"/>
    <s v="Faktura VAT"/>
    <s v="Apteka Szpitalna"/>
    <s v=""/>
    <b v="0"/>
    <n v="14533.36"/>
    <s v="OK"/>
    <x v="1"/>
    <x v="1"/>
    <s v="2023-06"/>
    <n v="1"/>
  </r>
  <r>
    <s v="FV/44/SAL/23"/>
    <s v="PZ/801506"/>
    <x v="1"/>
    <d v="2023-06-30T00:00:00"/>
    <s v="11176.24"/>
    <s v="Zaakceptowana"/>
    <s v="Faktura VAT"/>
    <s v="Apteka Szpitalna"/>
    <s v="UM-SAL-02"/>
    <b v="0"/>
    <n v="11176.24"/>
    <s v="OK"/>
    <x v="0"/>
    <x v="1"/>
    <s v="2023-06"/>
    <n v="1"/>
  </r>
  <r>
    <s v="FV/3651/NOVA/23"/>
    <s v="PZ/801507"/>
    <x v="2"/>
    <d v="2023-06-30T00:00:00"/>
    <s v="18492.51"/>
    <s v="Zaakceptowana"/>
    <s v="Faktura VAT"/>
    <s v="Apteka Szpitalna"/>
    <s v="UM-NOV-02"/>
    <b v="0"/>
    <n v="18492.509999999998"/>
    <s v="OK"/>
    <x v="0"/>
    <x v="1"/>
    <s v="2023-06"/>
    <n v="1"/>
  </r>
  <r>
    <s v="FV/M/1111/P/23"/>
    <s v="PZ/801508"/>
    <x v="5"/>
    <d v="2023-06-30T00:00:00"/>
    <s v="152.0"/>
    <s v="Zaakceptowana"/>
    <s v="Faktura VAT"/>
    <s v="Apteka Szpitalna"/>
    <s v=""/>
    <b v="0"/>
    <n v="152"/>
    <s v="OK"/>
    <x v="1"/>
    <x v="1"/>
    <s v="2023-06"/>
    <n v="1"/>
  </r>
  <r>
    <s v="FV/90/SAL/23"/>
    <s v="PZ/801509"/>
    <x v="1"/>
    <d v="2023-06-30T00:00:00"/>
    <s v="9664.91"/>
    <s v="Zaakceptowana"/>
    <s v="Faktura VAT"/>
    <s v="Apteka Szpitalna"/>
    <s v="UM-SAL-01"/>
    <b v="0"/>
    <n v="9664.91"/>
    <s v="OK"/>
    <x v="0"/>
    <x v="1"/>
    <s v="2023-06"/>
    <n v="1"/>
  </r>
  <r>
    <s v="FV/CENFA/293528/23"/>
    <s v="PZ/801510"/>
    <x v="4"/>
    <d v="2023-06-30T00:00:00"/>
    <s v="15748.8"/>
    <s v="Zaakceptowana"/>
    <s v="Faktura VAT"/>
    <s v="Apteka Szpitalna"/>
    <s v="UM-CEN-01"/>
    <b v="0"/>
    <n v="15748.8"/>
    <s v="OK"/>
    <x v="0"/>
    <x v="1"/>
    <s v="2023-06"/>
    <n v="1"/>
  </r>
  <r>
    <s v="FV/99153/VDb/2023"/>
    <s v="PZ/801511"/>
    <x v="7"/>
    <d v="2023-07-01T00:00:00"/>
    <s v="10039.98"/>
    <s v="Zaakceptowana"/>
    <s v="Faktura VAT"/>
    <s v="Apteka Szpitalna"/>
    <s v="UM-VIT-01"/>
    <b v="0"/>
    <n v="10039.98"/>
    <s v="OK"/>
    <x v="0"/>
    <x v="1"/>
    <s v="2023-07"/>
    <n v="1"/>
  </r>
  <r>
    <s v="FV/46/PP/7054/23"/>
    <s v="PZ/801512"/>
    <x v="6"/>
    <d v="2023-07-02T00:00:00"/>
    <s v="13875.51"/>
    <s v="Zaakceptowana"/>
    <s v="Faktura VAT"/>
    <s v="Apteka Szpitalna"/>
    <s v="UM-PHA-02"/>
    <b v="0"/>
    <n v="13875.51"/>
    <s v="OK"/>
    <x v="0"/>
    <x v="1"/>
    <s v="2023-07"/>
    <n v="1"/>
  </r>
  <r>
    <s v="FV/13110/VDb/2023"/>
    <s v="PZ/801513"/>
    <x v="7"/>
    <d v="2023-07-02T00:00:00"/>
    <s v="9451.13"/>
    <s v="Zaakceptowana"/>
    <s v="Faktura VAT"/>
    <s v="Apteka Szpitalna"/>
    <s v=""/>
    <b v="0"/>
    <n v="9451.1299999999992"/>
    <s v="OK"/>
    <x v="1"/>
    <x v="1"/>
    <s v="2023-07"/>
    <n v="1"/>
  </r>
  <r>
    <s v="FV/1262/NOVA/23"/>
    <s v="PZ/801514"/>
    <x v="2"/>
    <d v="2023-07-02T00:00:00"/>
    <s v="18882.18"/>
    <s v="Zaakceptowana"/>
    <s v="Faktura VAT"/>
    <s v="Apteka Szpitalna"/>
    <s v=""/>
    <b v="0"/>
    <n v="18882.18"/>
    <s v="OK"/>
    <x v="1"/>
    <x v="1"/>
    <s v="2023-07"/>
    <n v="1"/>
  </r>
  <r>
    <s v="FV/81675/VDb/2023"/>
    <s v="PZ/801515"/>
    <x v="7"/>
    <d v="2023-07-02T00:00:00"/>
    <s v="6306.71"/>
    <s v="Zaakceptowana"/>
    <s v="Faktura VAT"/>
    <s v="Apteka Szpitalna"/>
    <s v=""/>
    <b v="0"/>
    <n v="6306.71"/>
    <s v="OK"/>
    <x v="1"/>
    <x v="1"/>
    <s v="2023-07"/>
    <n v="1"/>
  </r>
  <r>
    <s v="FV/20136/VDb/2023"/>
    <s v="PZ/801516"/>
    <x v="7"/>
    <d v="2023-07-03T00:00:00"/>
    <s v="17060.7"/>
    <s v="Zaakceptowana"/>
    <s v="Faktura VAT"/>
    <s v="Apteka Szpitalna"/>
    <s v="UM-VIT-01"/>
    <b v="0"/>
    <n v="17060.7"/>
    <s v="OK"/>
    <x v="0"/>
    <x v="1"/>
    <s v="2023-07"/>
    <n v="1"/>
  </r>
  <r>
    <s v="FV/CENFA/675196/23"/>
    <s v="PZ/801517"/>
    <x v="4"/>
    <d v="2023-07-03T00:00:00"/>
    <s v="14105.72"/>
    <s v="Zaakceptowana"/>
    <s v="Faktura VAT"/>
    <s v="Apteka Szpitalna"/>
    <s v="UM-CEN-02"/>
    <b v="0"/>
    <n v="14105.72"/>
    <s v="OK"/>
    <x v="0"/>
    <x v="1"/>
    <s v="2023-07"/>
    <n v="1"/>
  </r>
  <r>
    <s v="FV/CENFA/625904/23"/>
    <s v="PZ/801518"/>
    <x v="4"/>
    <d v="2023-07-03T00:00:00"/>
    <s v="8192.71"/>
    <s v="Zaakceptowana"/>
    <s v="Faktura VAT"/>
    <s v="Apteka Szpitalna"/>
    <s v="UM-CEN-02"/>
    <b v="0"/>
    <n v="8192.7099999999991"/>
    <s v="OK"/>
    <x v="0"/>
    <x v="1"/>
    <s v="2023-07"/>
    <n v="1"/>
  </r>
  <r>
    <s v="FV/CENFA/634610/23"/>
    <s v="PZ/801519"/>
    <x v="4"/>
    <d v="2023-07-04T00:00:00"/>
    <s v="15334.87"/>
    <s v="Zaakceptowana"/>
    <s v="Faktura VAT"/>
    <s v="Apteka Szpitalna"/>
    <s v=""/>
    <b v="0"/>
    <n v="15334.87"/>
    <s v="OK"/>
    <x v="1"/>
    <x v="1"/>
    <s v="2023-07"/>
    <n v="1"/>
  </r>
  <r>
    <s v="FV/CENFA/229966/23"/>
    <s v="PZ/801520"/>
    <x v="4"/>
    <d v="2023-07-04T00:00:00"/>
    <s v="9280.16"/>
    <s v="Zaakceptowana"/>
    <s v="Faktura VAT"/>
    <s v="Apteka Szpitalna"/>
    <s v="UM-CEN-01"/>
    <b v="0"/>
    <n v="9280.16"/>
    <s v="OK"/>
    <x v="0"/>
    <x v="1"/>
    <s v="2023-07"/>
    <n v="1"/>
  </r>
  <r>
    <s v="FV/85/SAL/23"/>
    <s v="PZ/801521"/>
    <x v="1"/>
    <d v="2023-07-04T00:00:00"/>
    <s v="22703.53"/>
    <s v="Zaakceptowana"/>
    <s v="Faktura VAT"/>
    <s v="Apteka Szpitalna"/>
    <s v="UM-SAL-01"/>
    <b v="0"/>
    <n v="22703.53"/>
    <s v="OK"/>
    <x v="0"/>
    <x v="1"/>
    <s v="2023-07"/>
    <n v="1"/>
  </r>
  <r>
    <s v="FV/M/3165/P/23"/>
    <s v="PZ/801522"/>
    <x v="5"/>
    <d v="2023-07-04T00:00:00"/>
    <s v="20986.08"/>
    <s v="Zaakceptowana"/>
    <s v="Faktura VAT"/>
    <s v="Apteka Szpitalna"/>
    <s v="UM-MED-02"/>
    <b v="0"/>
    <n v="20986.080000000002"/>
    <s v="OK"/>
    <x v="0"/>
    <x v="1"/>
    <s v="2023-07"/>
    <n v="1"/>
  </r>
  <r>
    <s v="FV/8876HM/23"/>
    <s v="PZ/801523"/>
    <x v="3"/>
    <d v="2023-07-06T00:00:00"/>
    <s v="15145.9"/>
    <s v="Zaakceptowana"/>
    <s v="Faktura VAT"/>
    <s v="Apteka Szpitalna"/>
    <s v="UM-HUR-03"/>
    <b v="0"/>
    <n v="15145.9"/>
    <s v="OK"/>
    <x v="0"/>
    <x v="1"/>
    <s v="2023-07"/>
    <n v="1"/>
  </r>
  <r>
    <s v="FV/M/3025/P/23"/>
    <s v="PZ/801524"/>
    <x v="5"/>
    <d v="2023-07-06T00:00:00"/>
    <s v="16525.96"/>
    <s v="Zaakceptowana"/>
    <s v="Faktura VAT"/>
    <s v="Apteka Szpitalna"/>
    <s v="UM-MED-01"/>
    <b v="0"/>
    <n v="16525.96"/>
    <s v="OK"/>
    <x v="0"/>
    <x v="1"/>
    <s v="2023-07"/>
    <n v="1"/>
  </r>
  <r>
    <s v="FV/CENFA/167592/23"/>
    <s v="PZ/801525"/>
    <x v="4"/>
    <d v="2023-07-06T00:00:00"/>
    <s v="18351.47"/>
    <s v="Zaakceptowana"/>
    <s v="Faktura VAT"/>
    <s v="Apteka Szpitalna"/>
    <s v="UM-CEN-02"/>
    <b v="0"/>
    <n v="18351.47"/>
    <s v="OK"/>
    <x v="0"/>
    <x v="1"/>
    <s v="2023-07"/>
    <n v="1"/>
  </r>
  <r>
    <s v="FV/6031HM/23"/>
    <s v="PZ/801526"/>
    <x v="3"/>
    <d v="2023-07-06T00:00:00"/>
    <s v="17415.31"/>
    <s v="Zaakceptowana"/>
    <s v="Faktura VAT"/>
    <s v="Apteka Szpitalna"/>
    <s v=""/>
    <b v="0"/>
    <n v="17415.310000000001"/>
    <s v="OK"/>
    <x v="1"/>
    <x v="1"/>
    <s v="2023-07"/>
    <n v="1"/>
  </r>
  <r>
    <s v="FV/85/SAL/23"/>
    <s v="PZ/801527"/>
    <x v="1"/>
    <d v="2023-07-07T00:00:00"/>
    <s v="17556.34"/>
    <s v="Zaakceptowana"/>
    <s v="Faktura VAT"/>
    <s v="Apteka Szpitalna"/>
    <s v="UM-SAL-01"/>
    <b v="0"/>
    <n v="17556.34"/>
    <s v="OK"/>
    <x v="0"/>
    <x v="1"/>
    <s v="2023-07"/>
    <n v="1"/>
  </r>
  <r>
    <s v="FV/75/SAL/23"/>
    <s v="PZ/801528"/>
    <x v="1"/>
    <d v="2023-07-07T00:00:00"/>
    <s v="8736.89"/>
    <s v="Zaakceptowana"/>
    <s v="Faktura VAT"/>
    <s v="Apteka Szpitalna"/>
    <s v="UM-SAL-01"/>
    <b v="0"/>
    <n v="8736.89"/>
    <s v="OK"/>
    <x v="0"/>
    <x v="1"/>
    <s v="2023-07"/>
    <n v="1"/>
  </r>
  <r>
    <s v="FV/CENFA/411100/23"/>
    <s v="PZ/801529"/>
    <x v="4"/>
    <d v="2023-07-07T00:00:00"/>
    <s v="26704.77"/>
    <s v="Zaakceptowana"/>
    <s v="Faktura VAT"/>
    <s v="Apteka Szpitalna"/>
    <s v=""/>
    <b v="0"/>
    <n v="26704.77"/>
    <s v="OK"/>
    <x v="1"/>
    <x v="1"/>
    <s v="2023-07"/>
    <n v="1"/>
  </r>
  <r>
    <s v="FV/69/SAL/23"/>
    <s v="PZ/801530"/>
    <x v="1"/>
    <d v="2023-07-08T00:00:00"/>
    <s v="4920.14"/>
    <s v="Zaakceptowana"/>
    <s v="Faktura VAT"/>
    <s v="Apteka Szpitalna"/>
    <s v=""/>
    <b v="0"/>
    <n v="4920.1400000000003"/>
    <s v="OK"/>
    <x v="1"/>
    <x v="1"/>
    <s v="2023-07"/>
    <n v="1"/>
  </r>
  <r>
    <s v="FV/POL/89420/2023"/>
    <s v="PZ/801531"/>
    <x v="0"/>
    <d v="2023-07-08T00:00:00"/>
    <s v="12548.2"/>
    <s v="Zaakceptowana"/>
    <s v="Faktura VAT"/>
    <s v="Apteka Szpitalna"/>
    <s v=""/>
    <b v="0"/>
    <n v="12548.2"/>
    <s v="OK"/>
    <x v="1"/>
    <x v="1"/>
    <s v="2023-07"/>
    <n v="1"/>
  </r>
  <r>
    <s v="FV/M/8925/P/23"/>
    <s v="PZ/801532"/>
    <x v="5"/>
    <d v="2023-07-08T00:00:00"/>
    <s v="16293.11"/>
    <s v="Zaakceptowana"/>
    <s v="Faktura VAT"/>
    <s v="Apteka Szpitalna"/>
    <s v="UM-MED-02"/>
    <b v="0"/>
    <n v="16293.11"/>
    <s v="OK"/>
    <x v="0"/>
    <x v="1"/>
    <s v="2023-07"/>
    <n v="1"/>
  </r>
  <r>
    <s v="FV/46/SAL/23"/>
    <s v="PZ/801533"/>
    <x v="1"/>
    <d v="2023-07-09T00:00:00"/>
    <s v="-1336.24"/>
    <s v="Zaakceptowana"/>
    <s v="Korekta FV"/>
    <s v="Apteka Szpitalna"/>
    <s v=""/>
    <b v="0"/>
    <n v="-1336.24"/>
    <s v="OK"/>
    <x v="1"/>
    <x v="1"/>
    <s v="2023-07"/>
    <n v="1"/>
  </r>
  <r>
    <s v="FV/74851/VDb/2023"/>
    <s v="PZ/801534"/>
    <x v="7"/>
    <d v="2023-07-09T00:00:00"/>
    <s v="22632.74"/>
    <s v="Zaakceptowana"/>
    <s v="Faktura VAT"/>
    <s v="Apteka Szpitalna"/>
    <s v="UM-VIT-01"/>
    <b v="0"/>
    <n v="22632.74"/>
    <s v="OK"/>
    <x v="0"/>
    <x v="1"/>
    <s v="2023-07"/>
    <n v="1"/>
  </r>
  <r>
    <s v="FV/CENFA/799780/23"/>
    <s v="PZ/801535"/>
    <x v="4"/>
    <d v="2023-07-10T00:00:00"/>
    <s v="12419.35"/>
    <s v="Zaakceptowana"/>
    <s v="Faktura VAT"/>
    <s v="Apteka Szpitalna"/>
    <s v="UM-CEN-02"/>
    <b v="0"/>
    <n v="12419.35"/>
    <s v="OK"/>
    <x v="0"/>
    <x v="1"/>
    <s v="2023-07"/>
    <n v="1"/>
  </r>
  <r>
    <s v="FV/5935HM/23"/>
    <s v="PZ/801536"/>
    <x v="3"/>
    <d v="2023-07-10T00:00:00"/>
    <s v="27566.13"/>
    <s v="Zaakceptowana"/>
    <s v="Faktura VAT"/>
    <s v="Apteka Szpitalna"/>
    <s v=""/>
    <b v="0"/>
    <n v="27566.13"/>
    <s v="OK"/>
    <x v="1"/>
    <x v="1"/>
    <s v="2023-07"/>
    <n v="1"/>
  </r>
  <r>
    <s v="FV/CENFA/924445/23"/>
    <s v="PZ/801537"/>
    <x v="4"/>
    <d v="2023-07-11T00:00:00"/>
    <s v="10145.43"/>
    <s v="Zaakceptowana"/>
    <s v="Faktura VAT"/>
    <s v="Apteka Szpitalna"/>
    <s v=""/>
    <b v="0"/>
    <n v="10145.43"/>
    <s v="OK"/>
    <x v="1"/>
    <x v="1"/>
    <s v="2023-07"/>
    <n v="1"/>
  </r>
  <r>
    <s v="FV/88047/VDb/2023"/>
    <s v="PZ/801538"/>
    <x v="7"/>
    <d v="2023-07-11T00:00:00"/>
    <s v="22359.84"/>
    <s v="Zaakceptowana"/>
    <s v="Faktura VAT"/>
    <s v="Apteka Szpitalna"/>
    <s v="UM-VIT-01"/>
    <b v="0"/>
    <n v="22359.84"/>
    <s v="OK"/>
    <x v="0"/>
    <x v="1"/>
    <s v="2023-07"/>
    <n v="1"/>
  </r>
  <r>
    <s v="FV/POL/40612/2023"/>
    <s v="PZ/801539"/>
    <x v="0"/>
    <d v="2023-07-12T00:00:00"/>
    <s v="15958.16"/>
    <s v="Zaakceptowana"/>
    <s v="Faktura VAT"/>
    <s v="Apteka Szpitalna"/>
    <s v="UM-POL-02"/>
    <b v="0"/>
    <n v="15958.16"/>
    <s v="OK"/>
    <x v="0"/>
    <x v="1"/>
    <s v="2023-07"/>
    <n v="1"/>
  </r>
  <r>
    <s v="FV/1587HM/23"/>
    <s v="PZ/801540"/>
    <x v="3"/>
    <d v="2023-07-12T00:00:00"/>
    <s v="4802.39"/>
    <s v="Zaakceptowana"/>
    <s v="Faktura VAT"/>
    <s v="Apteka Szpitalna"/>
    <s v="UM-HUR-01"/>
    <b v="0"/>
    <n v="4802.3900000000003"/>
    <s v="OK"/>
    <x v="0"/>
    <x v="1"/>
    <s v="2023-07"/>
    <n v="1"/>
  </r>
  <r>
    <s v="FV/M/1402/P/23"/>
    <s v="PZ/801541"/>
    <x v="5"/>
    <d v="2023-07-13T00:00:00"/>
    <s v="9003.1"/>
    <s v="Zaakceptowana"/>
    <s v="Faktura VAT"/>
    <s v="Apteka Szpitalna"/>
    <s v=""/>
    <b v="0"/>
    <n v="9003.1"/>
    <s v="OK"/>
    <x v="1"/>
    <x v="1"/>
    <s v="2023-07"/>
    <n v="1"/>
  </r>
  <r>
    <s v="FV/36680/VDb/2023"/>
    <s v="PZ/801542"/>
    <x v="7"/>
    <d v="2023-07-13T00:00:00"/>
    <s v="14828.35"/>
    <s v="Zaakceptowana"/>
    <s v="Faktura VAT"/>
    <s v="Apteka Szpitalna"/>
    <s v="UM-VIT-01"/>
    <b v="0"/>
    <n v="14828.35"/>
    <s v="OK"/>
    <x v="0"/>
    <x v="1"/>
    <s v="2023-07"/>
    <n v="1"/>
  </r>
  <r>
    <s v="FV/37/SAL/23"/>
    <s v="PZ/801543"/>
    <x v="1"/>
    <d v="2023-07-13T00:00:00"/>
    <s v="20093.73"/>
    <s v="Zaakceptowana"/>
    <s v="Faktura VAT"/>
    <s v="Apteka Szpitalna"/>
    <s v="UM-SAL-01"/>
    <b v="0"/>
    <n v="20093.73"/>
    <s v="OK"/>
    <x v="0"/>
    <x v="1"/>
    <s v="2023-07"/>
    <n v="1"/>
  </r>
  <r>
    <s v="FV/CENFA/680290/23"/>
    <s v="PZ/801544"/>
    <x v="4"/>
    <d v="2023-07-13T00:00:00"/>
    <s v="10478.13"/>
    <s v="Zaakceptowana"/>
    <s v="Faktura VAT"/>
    <s v="Apteka Szpitalna"/>
    <s v=""/>
    <b v="0"/>
    <n v="10478.129999999999"/>
    <s v="OK"/>
    <x v="1"/>
    <x v="1"/>
    <s v="2023-07"/>
    <n v="1"/>
  </r>
  <r>
    <s v="FV/95734/VDb/2023"/>
    <s v="PZ/801545"/>
    <x v="7"/>
    <d v="2023-07-14T00:00:00"/>
    <s v="16345.52"/>
    <s v="Zaakceptowana"/>
    <s v="Faktura VAT"/>
    <s v="Apteka Szpitalna"/>
    <s v="UM-VIT-01"/>
    <b v="0"/>
    <n v="16345.52"/>
    <s v="OK"/>
    <x v="0"/>
    <x v="1"/>
    <s v="2023-07"/>
    <n v="1"/>
  </r>
  <r>
    <s v="FV/POL/20352/2023"/>
    <s v="PZ/801546"/>
    <x v="0"/>
    <d v="2023-07-15T00:00:00"/>
    <s v="12987.6"/>
    <s v="Zaakceptowana"/>
    <s v="Faktura VAT"/>
    <s v="Apteka Szpitalna"/>
    <s v="UM-POL-03"/>
    <b v="0"/>
    <n v="12987.6"/>
    <s v="OK"/>
    <x v="0"/>
    <x v="1"/>
    <s v="2023-07"/>
    <n v="1"/>
  </r>
  <r>
    <s v="FV/5860/NOVA/23"/>
    <s v="PZ/801547"/>
    <x v="2"/>
    <d v="2023-07-15T00:00:00"/>
    <s v="11230.53"/>
    <s v="Zaakceptowana"/>
    <s v="Faktura VAT"/>
    <s v="Apteka Szpitalna"/>
    <s v="UM-NOV-03"/>
    <b v="0"/>
    <n v="11230.53"/>
    <s v="OK"/>
    <x v="0"/>
    <x v="1"/>
    <s v="2023-07"/>
    <n v="1"/>
  </r>
  <r>
    <s v="FV/CENFA/984189/23"/>
    <s v="PZ/801548"/>
    <x v="4"/>
    <d v="2023-07-16T00:00:00"/>
    <s v="13079.7"/>
    <s v="Zaakceptowana"/>
    <s v="Faktura VAT"/>
    <s v="Apteka Szpitalna"/>
    <s v=""/>
    <b v="0"/>
    <n v="13079.7"/>
    <s v="OK"/>
    <x v="1"/>
    <x v="1"/>
    <s v="2023-07"/>
    <n v="1"/>
  </r>
  <r>
    <s v="FV/50/SAL/23"/>
    <s v="PZ/801549"/>
    <x v="1"/>
    <d v="2023-07-16T00:00:00"/>
    <s v="15113.43"/>
    <s v="Zaakceptowana"/>
    <s v="Faktura VAT"/>
    <s v="Apteka Szpitalna"/>
    <s v="UM-SAL-01"/>
    <b v="0"/>
    <n v="15113.43"/>
    <s v="OK"/>
    <x v="0"/>
    <x v="1"/>
    <s v="2023-07"/>
    <n v="1"/>
  </r>
  <r>
    <s v="FV/POL/50783/2023"/>
    <s v="PZ/801550"/>
    <x v="0"/>
    <d v="2023-07-16T00:00:00"/>
    <s v="17496.2"/>
    <s v="Zaakceptowana"/>
    <s v="Faktura VAT"/>
    <s v="Apteka Szpitalna"/>
    <s v="UM-POL-03"/>
    <b v="0"/>
    <n v="17496.2"/>
    <s v="OK"/>
    <x v="0"/>
    <x v="1"/>
    <s v="2023-07"/>
    <n v="1"/>
  </r>
  <r>
    <s v="FV/8718/NOVA/23"/>
    <s v="PZ/801551"/>
    <x v="2"/>
    <d v="2023-07-17T00:00:00"/>
    <s v="13762.05"/>
    <s v="Zaakceptowana"/>
    <s v="Faktura VAT"/>
    <s v="Apteka Szpitalna"/>
    <s v="UM-NOV-02"/>
    <b v="0"/>
    <n v="13762.05"/>
    <s v="OK"/>
    <x v="0"/>
    <x v="1"/>
    <s v="2023-07"/>
    <n v="1"/>
  </r>
  <r>
    <s v="FV/61/PP/6286/23"/>
    <s v="PZ/801552"/>
    <x v="6"/>
    <d v="2023-07-17T00:00:00"/>
    <s v="21687.18"/>
    <s v="Zaakceptowana"/>
    <s v="Faktura VAT"/>
    <s v="Apteka Szpitalna"/>
    <s v="UM-PHA-01"/>
    <b v="0"/>
    <n v="21687.18"/>
    <s v="OK"/>
    <x v="0"/>
    <x v="1"/>
    <s v="2023-07"/>
    <n v="1"/>
  </r>
  <r>
    <s v="FV/1145/NOVA/23"/>
    <s v="PZ/801553"/>
    <x v="2"/>
    <d v="2023-07-18T00:00:00"/>
    <s v="16215.6"/>
    <s v="Zaakceptowana"/>
    <s v="Faktura VAT"/>
    <s v="Apteka Szpitalna"/>
    <s v="UM-NOV-02"/>
    <b v="0"/>
    <n v="16215.6"/>
    <s v="OK"/>
    <x v="0"/>
    <x v="1"/>
    <s v="2023-07"/>
    <n v="1"/>
  </r>
  <r>
    <s v="FV/7921/NOVA/23"/>
    <s v="PZ/801554"/>
    <x v="2"/>
    <d v="2023-07-18T00:00:00"/>
    <s v="13102.82"/>
    <s v="Zaakceptowana"/>
    <s v="Faktura VAT"/>
    <s v="Apteka Szpitalna"/>
    <s v="UM-NOV-02"/>
    <b v="0"/>
    <n v="13102.82"/>
    <s v="OK"/>
    <x v="0"/>
    <x v="1"/>
    <s v="2023-07"/>
    <n v="1"/>
  </r>
  <r>
    <s v="FV/POL/13373/2023"/>
    <s v="PZ/801555"/>
    <x v="0"/>
    <d v="2023-07-19T00:00:00"/>
    <s v="16941.33"/>
    <s v="Zaakceptowana"/>
    <s v="Faktura VAT"/>
    <s v="Apteka Szpitalna"/>
    <s v="UM-POL-02"/>
    <b v="0"/>
    <n v="16941.330000000002"/>
    <s v="OK"/>
    <x v="0"/>
    <x v="1"/>
    <s v="2023-07"/>
    <n v="1"/>
  </r>
  <r>
    <s v="FV/29/SAL/23"/>
    <s v="PZ/801556"/>
    <x v="1"/>
    <d v="2023-07-19T00:00:00"/>
    <s v="22745.54"/>
    <s v="Zaakceptowana"/>
    <s v="Faktura VAT"/>
    <s v="Apteka Szpitalna"/>
    <s v="UM-SAL-02"/>
    <b v="0"/>
    <n v="22745.54"/>
    <s v="OK"/>
    <x v="0"/>
    <x v="1"/>
    <s v="2023-07"/>
    <n v="1"/>
  </r>
  <r>
    <s v="FV/85/SAL/23"/>
    <s v="PZ/801557"/>
    <x v="1"/>
    <d v="2023-07-19T00:00:00"/>
    <s v="12800.94"/>
    <s v="Zaakceptowana"/>
    <s v="Faktura VAT"/>
    <s v="Apteka Szpitalna"/>
    <s v="UM-SAL-01"/>
    <b v="0"/>
    <n v="12800.94"/>
    <s v="OK"/>
    <x v="0"/>
    <x v="1"/>
    <s v="2023-07"/>
    <n v="1"/>
  </r>
  <r>
    <s v="FV/POL/13219/2023"/>
    <s v="PZ/801558"/>
    <x v="0"/>
    <d v="2023-07-20T00:00:00"/>
    <s v="8160.1"/>
    <s v="Zaakceptowana"/>
    <s v="Faktura VAT"/>
    <s v="Apteka Szpitalna"/>
    <s v="UM-POL-03"/>
    <b v="0"/>
    <n v="8160.1"/>
    <s v="OK"/>
    <x v="0"/>
    <x v="1"/>
    <s v="2023-07"/>
    <n v="1"/>
  </r>
  <r>
    <s v="FV/M/4104/P/23"/>
    <s v="PZ/801559"/>
    <x v="5"/>
    <d v="2023-07-20T00:00:00"/>
    <s v="17745.21"/>
    <s v="Zaakceptowana"/>
    <s v="Faktura VAT"/>
    <s v="Apteka Szpitalna"/>
    <s v="UM-MED-02"/>
    <b v="0"/>
    <n v="17745.21"/>
    <s v="OK"/>
    <x v="0"/>
    <x v="1"/>
    <s v="2023-07"/>
    <n v="1"/>
  </r>
  <r>
    <s v="FV/POL/89169/2023"/>
    <s v="PZ/801560"/>
    <x v="0"/>
    <d v="2023-07-20T00:00:00"/>
    <s v="26948.26"/>
    <s v="Zaakceptowana"/>
    <s v="Faktura VAT"/>
    <s v="Apteka Szpitalna"/>
    <s v=""/>
    <b v="0"/>
    <n v="26948.26"/>
    <s v="OK"/>
    <x v="1"/>
    <x v="1"/>
    <s v="2023-07"/>
    <n v="1"/>
  </r>
  <r>
    <s v="FV/2739HM/23"/>
    <s v="PZ/801561"/>
    <x v="3"/>
    <d v="2023-07-21T00:00:00"/>
    <s v="19033.24"/>
    <s v="Zaakceptowana"/>
    <s v="Faktura VAT"/>
    <s v="Apteka Szpitalna"/>
    <s v="UM-HUR-01"/>
    <b v="0"/>
    <n v="19033.240000000002"/>
    <s v="OK"/>
    <x v="0"/>
    <x v="1"/>
    <s v="2023-07"/>
    <n v="1"/>
  </r>
  <r>
    <s v="FV/POL/29743/2023"/>
    <s v="PZ/801562"/>
    <x v="0"/>
    <d v="2023-07-22T00:00:00"/>
    <s v="15337.51"/>
    <s v="Zaakceptowana"/>
    <s v="Faktura VAT"/>
    <s v="Apteka Szpitalna"/>
    <s v="UM-POL-02"/>
    <b v="0"/>
    <n v="15337.51"/>
    <s v="OK"/>
    <x v="0"/>
    <x v="1"/>
    <s v="2023-07"/>
    <n v="1"/>
  </r>
  <r>
    <s v="FV/46/PP/8507/23"/>
    <s v="PZ/801563"/>
    <x v="6"/>
    <d v="2023-07-22T00:00:00"/>
    <s v="7785.9"/>
    <s v="Zaakceptowana"/>
    <s v="Faktura VAT"/>
    <s v="Apteka Szpitalna"/>
    <s v="UM-PHA-01"/>
    <b v="0"/>
    <n v="7785.9"/>
    <s v="OK"/>
    <x v="0"/>
    <x v="1"/>
    <s v="2023-07"/>
    <n v="1"/>
  </r>
  <r>
    <s v="FV/POL/79369/2023"/>
    <s v="PZ/801564"/>
    <x v="0"/>
    <d v="2023-07-22T00:00:00"/>
    <s v="20001.79"/>
    <s v="Zaakceptowana"/>
    <s v="Faktura VAT"/>
    <s v="Apteka Szpitalna"/>
    <s v="UM-POL-01"/>
    <b v="0"/>
    <n v="20001.79"/>
    <s v="OK"/>
    <x v="0"/>
    <x v="1"/>
    <s v="2023-07"/>
    <n v="1"/>
  </r>
  <r>
    <s v="FV/6779/NOVA/23"/>
    <s v="PZ/801565"/>
    <x v="2"/>
    <d v="2023-07-22T00:00:00"/>
    <s v="9040.1"/>
    <s v="Zaakceptowana"/>
    <s v="Faktura VAT"/>
    <s v="Apteka Szpitalna"/>
    <s v="UM-NOV-01"/>
    <b v="0"/>
    <n v="9040.1"/>
    <s v="OK"/>
    <x v="0"/>
    <x v="1"/>
    <s v="2023-07"/>
    <n v="1"/>
  </r>
  <r>
    <s v="FV/39/SAL/23"/>
    <s v="PZ/801566"/>
    <x v="1"/>
    <d v="2023-07-23T00:00:00"/>
    <s v="21476.49"/>
    <s v="Zaakceptowana"/>
    <s v="Faktura VAT"/>
    <s v="Apteka Szpitalna"/>
    <s v="UM-SAL-01"/>
    <b v="0"/>
    <n v="21476.49"/>
    <s v="OK"/>
    <x v="0"/>
    <x v="1"/>
    <s v="2023-07"/>
    <n v="1"/>
  </r>
  <r>
    <s v="FV/POL/89186/2023"/>
    <s v="PZ/801567"/>
    <x v="0"/>
    <d v="2023-07-24T00:00:00"/>
    <s v="9898.65"/>
    <s v="Zaakceptowana"/>
    <s v="Faktura VAT"/>
    <s v="Apteka Szpitalna"/>
    <s v="UM-POL-03"/>
    <b v="0"/>
    <n v="9898.65"/>
    <s v="OK"/>
    <x v="0"/>
    <x v="1"/>
    <s v="2023-07"/>
    <n v="1"/>
  </r>
  <r>
    <s v="FV/3036/NOVA/23"/>
    <s v="PZ/801568"/>
    <x v="2"/>
    <d v="2023-07-24T00:00:00"/>
    <s v="6354.05"/>
    <s v="Zaakceptowana"/>
    <s v="Faktura VAT"/>
    <s v="Apteka Szpitalna"/>
    <s v="UM-NOV-01"/>
    <b v="0"/>
    <n v="6354.05"/>
    <s v="OK"/>
    <x v="0"/>
    <x v="1"/>
    <s v="2023-07"/>
    <n v="1"/>
  </r>
  <r>
    <s v="FV/2596HM/23"/>
    <s v="PZ/801569"/>
    <x v="3"/>
    <d v="2023-07-24T00:00:00"/>
    <s v="15179.65"/>
    <s v="Zaakceptowana"/>
    <s v="Faktura VAT"/>
    <s v="Apteka Szpitalna"/>
    <s v=""/>
    <b v="0"/>
    <n v="15179.65"/>
    <s v="OK"/>
    <x v="1"/>
    <x v="1"/>
    <s v="2023-07"/>
    <n v="1"/>
  </r>
  <r>
    <s v="FV/7324/NOVA/23"/>
    <s v="PZ/801570"/>
    <x v="2"/>
    <d v="2023-07-25T00:00:00"/>
    <s v="7013.52"/>
    <s v="Zaakceptowana"/>
    <s v="Faktura VAT"/>
    <s v="Apteka Szpitalna"/>
    <s v="UM-NOV-03"/>
    <b v="0"/>
    <n v="7013.52"/>
    <s v="OK"/>
    <x v="0"/>
    <x v="1"/>
    <s v="2023-07"/>
    <n v="1"/>
  </r>
  <r>
    <s v="FV/17/PP/4474/23"/>
    <s v="PZ/801571"/>
    <x v="6"/>
    <d v="2023-07-25T00:00:00"/>
    <s v="11991.83"/>
    <s v="Zaakceptowana"/>
    <s v="Faktura VAT"/>
    <s v="Apteka Szpitalna"/>
    <s v=""/>
    <b v="0"/>
    <n v="11991.83"/>
    <s v="OK"/>
    <x v="1"/>
    <x v="1"/>
    <s v="2023-07"/>
    <n v="1"/>
  </r>
  <r>
    <s v="FV/POL/80710/2023"/>
    <s v="PZ/801572"/>
    <x v="0"/>
    <d v="2023-07-25T00:00:00"/>
    <s v="22071.79"/>
    <s v="Zaakceptowana"/>
    <s v="Faktura VAT"/>
    <s v="Apteka Szpitalna"/>
    <s v="UM-POL-01"/>
    <b v="0"/>
    <n v="22071.79"/>
    <s v="OK"/>
    <x v="0"/>
    <x v="1"/>
    <s v="2023-07"/>
    <n v="1"/>
  </r>
  <r>
    <s v="FV/3794HM/23"/>
    <s v="PZ/801573"/>
    <x v="3"/>
    <d v="2023-07-25T00:00:00"/>
    <s v="17001.94"/>
    <s v="Zaakceptowana"/>
    <s v="Faktura VAT"/>
    <s v="Apteka Szpitalna"/>
    <s v="UM-HUR-02"/>
    <b v="0"/>
    <n v="17001.939999999999"/>
    <s v="OK"/>
    <x v="0"/>
    <x v="1"/>
    <s v="2023-07"/>
    <n v="1"/>
  </r>
  <r>
    <s v="FV/72509/VDb/2023"/>
    <s v="PZ/801574"/>
    <x v="7"/>
    <d v="2023-07-26T00:00:00"/>
    <s v="15307.45"/>
    <s v="Zaakceptowana"/>
    <s v="Faktura VAT"/>
    <s v="Apteka Szpitalna"/>
    <s v="UM-VIT-01"/>
    <b v="0"/>
    <n v="15307.45"/>
    <s v="OK"/>
    <x v="0"/>
    <x v="1"/>
    <s v="2023-07"/>
    <n v="1"/>
  </r>
  <r>
    <s v="FV/69/PP/7746/23"/>
    <s v="PZ/801575"/>
    <x v="6"/>
    <d v="2023-07-26T00:00:00"/>
    <s v="14565.76"/>
    <s v="Zaakceptowana"/>
    <s v="Faktura VAT"/>
    <s v="Apteka Szpitalna"/>
    <s v="UM-PHA-02"/>
    <b v="0"/>
    <n v="14565.76"/>
    <s v="OK"/>
    <x v="0"/>
    <x v="1"/>
    <s v="2023-07"/>
    <n v="1"/>
  </r>
  <r>
    <s v="FV/14/SAL/23"/>
    <s v="PZ/801576"/>
    <x v="1"/>
    <d v="2023-07-26T00:00:00"/>
    <s v="18625.13"/>
    <s v="Zaakceptowana"/>
    <s v="Faktura VAT"/>
    <s v="Apteka Szpitalna"/>
    <s v="UM-SAL-01"/>
    <b v="0"/>
    <n v="18625.13"/>
    <s v="OK"/>
    <x v="0"/>
    <x v="1"/>
    <s v="2023-07"/>
    <n v="1"/>
  </r>
  <r>
    <s v="FV/CENFA/162205/23"/>
    <s v="PZ/801577"/>
    <x v="4"/>
    <d v="2023-07-26T00:00:00"/>
    <s v="26800.36"/>
    <s v="Zaakceptowana"/>
    <s v="Faktura VAT"/>
    <s v="Apteka Szpitalna"/>
    <s v="UM-CEN-01"/>
    <b v="0"/>
    <n v="26800.36"/>
    <s v="OK"/>
    <x v="0"/>
    <x v="1"/>
    <s v="2023-07"/>
    <n v="1"/>
  </r>
  <r>
    <s v="FV/M/1378/P/23"/>
    <s v="PZ/801578"/>
    <x v="5"/>
    <d v="2023-07-27T00:00:00"/>
    <s v="18480.21"/>
    <s v="Zaakceptowana"/>
    <s v="Faktura VAT"/>
    <s v="Apteka Szpitalna"/>
    <s v="UM-MED-01"/>
    <b v="0"/>
    <n v="18480.21"/>
    <s v="OK"/>
    <x v="0"/>
    <x v="1"/>
    <s v="2023-07"/>
    <n v="1"/>
  </r>
  <r>
    <s v="FV/4937HM/23"/>
    <s v="PZ/801579"/>
    <x v="3"/>
    <d v="2023-07-27T00:00:00"/>
    <s v="25120.05"/>
    <s v="Zaakceptowana"/>
    <s v="Faktura VAT"/>
    <s v="Apteka Szpitalna"/>
    <s v="UM-HUR-03"/>
    <b v="0"/>
    <n v="25120.05"/>
    <s v="OK"/>
    <x v="0"/>
    <x v="1"/>
    <s v="2023-07"/>
    <n v="1"/>
  </r>
  <r>
    <s v="FV/9103/NOVA/23"/>
    <s v="PZ/801580"/>
    <x v="2"/>
    <d v="2023-07-27T00:00:00"/>
    <s v="11736.94"/>
    <s v="Zaakceptowana"/>
    <s v="Faktura VAT"/>
    <s v="Apteka Szpitalna"/>
    <s v="UM-NOV-03"/>
    <b v="0"/>
    <n v="11736.94"/>
    <s v="OK"/>
    <x v="0"/>
    <x v="1"/>
    <s v="2023-07"/>
    <n v="1"/>
  </r>
  <r>
    <s v="FV/M/7711/P/23"/>
    <s v="PZ/801581"/>
    <x v="5"/>
    <d v="2023-07-28T00:00:00"/>
    <s v="21229.4"/>
    <s v="Zaakceptowana"/>
    <s v="Faktura VAT"/>
    <s v="Apteka Szpitalna"/>
    <s v="UM-MED-01"/>
    <b v="0"/>
    <n v="21229.4"/>
    <s v="OK"/>
    <x v="0"/>
    <x v="1"/>
    <s v="2023-07"/>
    <n v="1"/>
  </r>
  <r>
    <s v="FV/3510/NOVA/23"/>
    <s v="PZ/801582"/>
    <x v="2"/>
    <d v="2023-07-29T00:00:00"/>
    <s v="16554.89"/>
    <s v="Zaakceptowana"/>
    <s v="Faktura VAT"/>
    <s v="Apteka Szpitalna"/>
    <s v="UM-NOV-01"/>
    <b v="0"/>
    <n v="16554.89"/>
    <s v="OK"/>
    <x v="0"/>
    <x v="1"/>
    <s v="2023-07"/>
    <n v="1"/>
  </r>
  <r>
    <s v="FV/55/SAL/23"/>
    <s v="PZ/801583"/>
    <x v="1"/>
    <d v="2023-07-29T00:00:00"/>
    <s v="15382.54"/>
    <s v="Zaakceptowana"/>
    <s v="Faktura VAT"/>
    <s v="Apteka Szpitalna"/>
    <s v="UM-SAL-01"/>
    <b v="0"/>
    <n v="15382.54"/>
    <s v="OK"/>
    <x v="0"/>
    <x v="1"/>
    <s v="2023-07"/>
    <n v="1"/>
  </r>
  <r>
    <s v="FV/97/PP/1156/23"/>
    <s v="PZ/801584"/>
    <x v="6"/>
    <d v="2023-07-29T00:00:00"/>
    <s v="16458.41"/>
    <s v="Zaakceptowana"/>
    <s v="Faktura VAT"/>
    <s v="Apteka Szpitalna"/>
    <s v=""/>
    <b v="0"/>
    <n v="16458.41"/>
    <s v="OK"/>
    <x v="1"/>
    <x v="1"/>
    <s v="2023-07"/>
    <n v="1"/>
  </r>
  <r>
    <s v="FV/14062/VDb/2023"/>
    <s v="PZ/801585"/>
    <x v="7"/>
    <d v="2023-07-29T00:00:00"/>
    <s v="9797.33"/>
    <s v="Zaakceptowana"/>
    <s v="Faktura VAT"/>
    <s v="Apteka Szpitalna"/>
    <s v="UM-VIT-01"/>
    <b v="0"/>
    <n v="9797.33"/>
    <s v="OK"/>
    <x v="0"/>
    <x v="1"/>
    <s v="2023-07"/>
    <n v="1"/>
  </r>
  <r>
    <s v="FV/3883HM/23"/>
    <s v="PZ/801586"/>
    <x v="3"/>
    <d v="2023-07-30T00:00:00"/>
    <s v="13472.63"/>
    <s v="Zaakceptowana"/>
    <s v="Faktura VAT"/>
    <s v="Apteka Szpitalna"/>
    <s v="UM-HUR-03"/>
    <b v="0"/>
    <n v="13472.63"/>
    <s v="OK"/>
    <x v="0"/>
    <x v="1"/>
    <s v="2023-07"/>
    <n v="1"/>
  </r>
  <r>
    <s v="FV/M/4711/P/23"/>
    <s v="PZ/801587"/>
    <x v="5"/>
    <d v="2023-07-30T00:00:00"/>
    <s v="10345.94"/>
    <s v="Zaakceptowana"/>
    <s v="Faktura VAT"/>
    <s v="Apteka Szpitalna"/>
    <s v="UM-MED-02"/>
    <b v="0"/>
    <n v="10345.94"/>
    <s v="OK"/>
    <x v="0"/>
    <x v="1"/>
    <s v="2023-07"/>
    <n v="1"/>
  </r>
  <r>
    <s v="FV/15735/VDb/2023"/>
    <s v="PZ/801588"/>
    <x v="7"/>
    <d v="2023-07-31T00:00:00"/>
    <s v="13485.6"/>
    <s v="Zaakceptowana"/>
    <s v="Faktura VAT"/>
    <s v="Apteka Szpitalna"/>
    <s v=""/>
    <b v="0"/>
    <n v="13485.6"/>
    <s v="OK"/>
    <x v="1"/>
    <x v="1"/>
    <s v="2023-07"/>
    <n v="1"/>
  </r>
  <r>
    <s v="FV/81/PP/6866/23"/>
    <s v="PZ/801589"/>
    <x v="6"/>
    <d v="2023-07-31T00:00:00"/>
    <s v="24829.79"/>
    <s v="Zaakceptowana"/>
    <s v="Faktura VAT"/>
    <s v="Apteka Szpitalna"/>
    <s v="UM-PHA-02"/>
    <b v="0"/>
    <n v="24829.79"/>
    <s v="OK"/>
    <x v="0"/>
    <x v="1"/>
    <s v="2023-07"/>
    <n v="1"/>
  </r>
  <r>
    <s v="FV/5812/NOVA/23"/>
    <s v="PZ/801590"/>
    <x v="2"/>
    <d v="2023-08-02T00:00:00"/>
    <s v="13772.85"/>
    <s v="Zaakceptowana"/>
    <s v="Faktura VAT"/>
    <s v="Apteka Szpitalna"/>
    <s v="UM-NOV-03"/>
    <b v="0"/>
    <n v="13772.85"/>
    <s v="OK"/>
    <x v="0"/>
    <x v="1"/>
    <s v="2023-08"/>
    <n v="1"/>
  </r>
  <r>
    <s v="FV/37893/VDb/2023"/>
    <s v="PZ/801591"/>
    <x v="7"/>
    <d v="2023-08-02T00:00:00"/>
    <s v="13343.99"/>
    <s v="Zaakceptowana"/>
    <s v="Faktura VAT"/>
    <s v="Apteka Szpitalna"/>
    <s v="UM-VIT-01"/>
    <b v="0"/>
    <n v="13343.99"/>
    <s v="OK"/>
    <x v="0"/>
    <x v="1"/>
    <s v="2023-08"/>
    <n v="1"/>
  </r>
  <r>
    <s v="FV/3319/NOVA/23"/>
    <s v="PZ/801592"/>
    <x v="2"/>
    <d v="2023-08-02T00:00:00"/>
    <s v="11936.62"/>
    <s v="Zaakceptowana"/>
    <s v="Faktura VAT"/>
    <s v="Apteka Szpitalna"/>
    <s v="UM-NOV-02"/>
    <b v="0"/>
    <n v="11936.62"/>
    <s v="OK"/>
    <x v="0"/>
    <x v="1"/>
    <s v="2023-08"/>
    <n v="1"/>
  </r>
  <r>
    <s v="FV/M/2144/P/23"/>
    <s v="PZ/801593"/>
    <x v="5"/>
    <d v="2023-08-02T00:00:00"/>
    <s v="15339.18"/>
    <s v="Zaakceptowana"/>
    <s v="Faktura VAT"/>
    <s v="Apteka Szpitalna"/>
    <s v="UM-MED-02"/>
    <b v="0"/>
    <n v="15339.18"/>
    <s v="OK"/>
    <x v="0"/>
    <x v="1"/>
    <s v="2023-08"/>
    <n v="1"/>
  </r>
  <r>
    <s v="FV/M/9842/P/23"/>
    <s v="PZ/801594"/>
    <x v="5"/>
    <d v="2023-08-03T00:00:00"/>
    <s v="20452.62"/>
    <s v="Zaakceptowana"/>
    <s v="Faktura VAT"/>
    <s v="Apteka Szpitalna"/>
    <s v=""/>
    <b v="0"/>
    <n v="20452.62"/>
    <s v="OK"/>
    <x v="1"/>
    <x v="1"/>
    <s v="2023-08"/>
    <n v="1"/>
  </r>
  <r>
    <s v="FV/3831/NOVA/23"/>
    <s v="PZ/801595"/>
    <x v="2"/>
    <d v="2023-08-03T00:00:00"/>
    <s v="17308.32"/>
    <s v="Zaakceptowana"/>
    <s v="Faktura VAT"/>
    <s v="Apteka Szpitalna"/>
    <s v="UM-NOV-03"/>
    <b v="0"/>
    <n v="17308.32"/>
    <s v="OK"/>
    <x v="0"/>
    <x v="1"/>
    <s v="2023-08"/>
    <n v="1"/>
  </r>
  <r>
    <s v="FV/19979/VDb/2023"/>
    <s v="PZ/801596"/>
    <x v="7"/>
    <d v="2023-08-03T00:00:00"/>
    <s v="10171.63"/>
    <s v="Zaakceptowana"/>
    <s v="Faktura VAT"/>
    <s v="Apteka Szpitalna"/>
    <s v="UM-VIT-01"/>
    <b v="0"/>
    <n v="10171.629999999999"/>
    <s v="OK"/>
    <x v="0"/>
    <x v="1"/>
    <s v="2023-08"/>
    <n v="1"/>
  </r>
  <r>
    <s v="FV/20/PP/8359/23"/>
    <s v="PZ/801597"/>
    <x v="6"/>
    <d v="2023-08-04T00:00:00"/>
    <s v="14095.43"/>
    <s v="Zaakceptowana"/>
    <s v="Faktura VAT"/>
    <s v="Apteka Szpitalna"/>
    <s v="UM-PHA-01"/>
    <b v="0"/>
    <n v="14095.43"/>
    <s v="OK"/>
    <x v="0"/>
    <x v="1"/>
    <s v="2023-08"/>
    <n v="1"/>
  </r>
  <r>
    <s v="FV/CENFA/346587/23"/>
    <s v="PZ/801598"/>
    <x v="4"/>
    <d v="2023-08-04T00:00:00"/>
    <s v="24261.24"/>
    <s v="Zaakceptowana"/>
    <s v="Faktura VAT"/>
    <s v="Apteka Szpitalna"/>
    <s v=""/>
    <b v="0"/>
    <n v="24261.24"/>
    <s v="OK"/>
    <x v="1"/>
    <x v="1"/>
    <s v="2023-08"/>
    <n v="1"/>
  </r>
  <r>
    <s v="FV/POL/66360/2023"/>
    <s v="PZ/801599"/>
    <x v="0"/>
    <d v="2023-08-05T00:00:00"/>
    <s v="9882.63"/>
    <s v="Zaakceptowana"/>
    <s v="Faktura VAT"/>
    <s v="Apteka Szpitalna"/>
    <s v="UM-POL-02"/>
    <b v="0"/>
    <n v="9882.6299999999992"/>
    <s v="OK"/>
    <x v="0"/>
    <x v="1"/>
    <s v="2023-08"/>
    <n v="1"/>
  </r>
  <r>
    <s v="FV/19639/VDb/2023"/>
    <s v="PZ/801600"/>
    <x v="7"/>
    <d v="2023-08-06T00:00:00"/>
    <s v="21152.07"/>
    <s v="Zaakceptowana"/>
    <s v="Faktura VAT"/>
    <s v="Apteka Szpitalna"/>
    <s v="UM-VIT-01"/>
    <b v="0"/>
    <n v="21152.07"/>
    <s v="OK"/>
    <x v="0"/>
    <x v="1"/>
    <s v="2023-08"/>
    <n v="1"/>
  </r>
  <r>
    <s v="FV/6145/NOVA/23"/>
    <s v="PZ/801601"/>
    <x v="2"/>
    <d v="2023-08-06T00:00:00"/>
    <s v="11904.27"/>
    <s v="Zaakceptowana"/>
    <s v="Faktura VAT"/>
    <s v="Apteka Szpitalna"/>
    <s v="UM-NOV-02"/>
    <b v="0"/>
    <n v="11904.27"/>
    <s v="OK"/>
    <x v="0"/>
    <x v="1"/>
    <s v="2023-08"/>
    <n v="1"/>
  </r>
  <r>
    <s v="FV/CENFA/884024/23"/>
    <s v="PZ/801602"/>
    <x v="4"/>
    <d v="2023-08-06T00:00:00"/>
    <s v="19087.05"/>
    <s v="Zaakceptowana"/>
    <s v="Faktura VAT"/>
    <s v="Apteka Szpitalna"/>
    <s v="UM-CEN-02"/>
    <b v="0"/>
    <n v="19087.05"/>
    <s v="OK"/>
    <x v="0"/>
    <x v="1"/>
    <s v="2023-08"/>
    <n v="1"/>
  </r>
  <r>
    <s v="FV/83/PP/2655/23"/>
    <s v="PZ/801603"/>
    <x v="6"/>
    <d v="2023-08-07T00:00:00"/>
    <s v="19491.22"/>
    <s v="Zaakceptowana"/>
    <s v="Faktura VAT"/>
    <s v="Apteka Szpitalna"/>
    <s v="UM-PHA-02"/>
    <b v="0"/>
    <n v="19491.22"/>
    <s v="OK"/>
    <x v="0"/>
    <x v="1"/>
    <s v="2023-08"/>
    <n v="1"/>
  </r>
  <r>
    <s v="FV/10/PP/8943/23"/>
    <s v="PZ/801604"/>
    <x v="6"/>
    <d v="2023-08-07T00:00:00"/>
    <s v="23674.62"/>
    <s v="Zaakceptowana"/>
    <s v="Faktura VAT"/>
    <s v="Apteka Szpitalna"/>
    <s v="UM-PHA-01"/>
    <b v="0"/>
    <n v="23674.62"/>
    <s v="OK"/>
    <x v="0"/>
    <x v="1"/>
    <s v="2023-08"/>
    <n v="1"/>
  </r>
  <r>
    <s v="FV/M/6932/P/23"/>
    <s v="PZ/801605"/>
    <x v="5"/>
    <d v="2023-08-07T00:00:00"/>
    <s v="11259.24"/>
    <s v="Zaakceptowana"/>
    <s v="Faktura VAT"/>
    <s v="Apteka Szpitalna"/>
    <s v="UM-MED-01"/>
    <b v="0"/>
    <n v="11259.24"/>
    <s v="OK"/>
    <x v="0"/>
    <x v="1"/>
    <s v="2023-08"/>
    <n v="1"/>
  </r>
  <r>
    <s v="FV/CENFA/317518/23"/>
    <s v="PZ/801606"/>
    <x v="4"/>
    <d v="2023-08-07T00:00:00"/>
    <s v="17231.27"/>
    <s v="Zaakceptowana"/>
    <s v="Faktura VAT"/>
    <s v="Apteka Szpitalna"/>
    <s v=""/>
    <b v="0"/>
    <n v="17231.27"/>
    <s v="OK"/>
    <x v="1"/>
    <x v="1"/>
    <s v="2023-08"/>
    <n v="1"/>
  </r>
  <r>
    <s v="FV/9947HM/23"/>
    <s v="PZ/801607"/>
    <x v="3"/>
    <d v="2023-08-08T00:00:00"/>
    <s v="19223.56"/>
    <s v="Zaakceptowana"/>
    <s v="Faktura VAT"/>
    <s v="Apteka Szpitalna"/>
    <s v="UM-HUR-01"/>
    <b v="0"/>
    <n v="19223.560000000001"/>
    <s v="OK"/>
    <x v="0"/>
    <x v="1"/>
    <s v="2023-08"/>
    <n v="1"/>
  </r>
  <r>
    <s v="FV/CENFA/156333/23"/>
    <s v="PZ/801608"/>
    <x v="4"/>
    <d v="2023-08-08T00:00:00"/>
    <s v="20452.66"/>
    <s v="Zaakceptowana"/>
    <s v="Faktura VAT"/>
    <s v="Apteka Szpitalna"/>
    <s v=""/>
    <b v="0"/>
    <n v="20452.66"/>
    <s v="OK"/>
    <x v="1"/>
    <x v="1"/>
    <s v="2023-08"/>
    <n v="1"/>
  </r>
  <r>
    <s v="FV/2227HM/23"/>
    <s v="PZ/801609"/>
    <x v="3"/>
    <d v="2023-08-08T00:00:00"/>
    <s v="15631.11"/>
    <s v="Zaakceptowana"/>
    <s v="Faktura VAT"/>
    <s v="Apteka Szpitalna"/>
    <s v=""/>
    <b v="0"/>
    <n v="15631.11"/>
    <s v="OK"/>
    <x v="1"/>
    <x v="1"/>
    <s v="2023-08"/>
    <n v="1"/>
  </r>
  <r>
    <s v="FV/7037/NOVA/23"/>
    <s v="PZ/801610"/>
    <x v="2"/>
    <d v="2023-08-09T00:00:00"/>
    <s v="3510.11"/>
    <s v="Zaakceptowana"/>
    <s v="Faktura VAT"/>
    <s v="Apteka Szpitalna"/>
    <s v="UM-NOV-01"/>
    <b v="0"/>
    <n v="3510.11"/>
    <s v="OK"/>
    <x v="0"/>
    <x v="1"/>
    <s v="2023-08"/>
    <n v="1"/>
  </r>
  <r>
    <s v="FV/98/SAL/23"/>
    <s v="PZ/801611"/>
    <x v="1"/>
    <d v="2023-08-09T00:00:00"/>
    <s v="21929.49"/>
    <s v="Zaakceptowana"/>
    <s v="Faktura VAT"/>
    <s v="Apteka Szpitalna"/>
    <s v="UM-SAL-02"/>
    <b v="0"/>
    <n v="21929.49"/>
    <s v="OK"/>
    <x v="0"/>
    <x v="1"/>
    <s v="2023-08"/>
    <n v="1"/>
  </r>
  <r>
    <s v="FV/48966/VDb/2023"/>
    <s v="PZ/801612"/>
    <x v="7"/>
    <d v="2023-08-09T00:00:00"/>
    <s v="16097.84"/>
    <s v="Zaakceptowana"/>
    <s v="Faktura VAT"/>
    <s v="Apteka Szpitalna"/>
    <s v="UM-VIT-01"/>
    <b v="0"/>
    <n v="16097.84"/>
    <s v="OK"/>
    <x v="0"/>
    <x v="1"/>
    <s v="2023-08"/>
    <n v="1"/>
  </r>
  <r>
    <s v="FV/83/SAL/23"/>
    <s v="PZ/801613"/>
    <x v="1"/>
    <d v="2023-08-09T00:00:00"/>
    <s v="11050.39"/>
    <s v="Zaakceptowana"/>
    <s v="Faktura VAT"/>
    <s v="Apteka Szpitalna"/>
    <s v="UM-SAL-01"/>
    <b v="0"/>
    <n v="11050.39"/>
    <s v="OK"/>
    <x v="0"/>
    <x v="1"/>
    <s v="2023-08"/>
    <n v="1"/>
  </r>
  <r>
    <s v="FV/59/PP/7378/23"/>
    <s v="PZ/801614"/>
    <x v="6"/>
    <d v="2023-08-10T00:00:00"/>
    <s v="4007.3"/>
    <s v="Zaakceptowana"/>
    <s v="Faktura VAT"/>
    <s v="Apteka Szpitalna"/>
    <s v="UM-PHA-02"/>
    <b v="0"/>
    <n v="4007.3"/>
    <s v="OK"/>
    <x v="0"/>
    <x v="1"/>
    <s v="2023-08"/>
    <n v="1"/>
  </r>
  <r>
    <s v="FV/POL/80276/2023"/>
    <s v="PZ/801615"/>
    <x v="0"/>
    <d v="2023-08-10T00:00:00"/>
    <s v="17845.03"/>
    <s v="Zaakceptowana"/>
    <s v="Faktura VAT"/>
    <s v="Apteka Szpitalna"/>
    <s v="UM-POL-03"/>
    <b v="0"/>
    <n v="17845.03"/>
    <s v="OK"/>
    <x v="0"/>
    <x v="1"/>
    <s v="2023-08"/>
    <n v="1"/>
  </r>
  <r>
    <s v="FV/1556/NOVA/23"/>
    <s v="PZ/801616"/>
    <x v="2"/>
    <d v="2023-08-11T00:00:00"/>
    <s v="17460.43"/>
    <s v="Zaakceptowana"/>
    <s v="Faktura VAT"/>
    <s v="Apteka Szpitalna"/>
    <s v="UM-NOV-03"/>
    <b v="0"/>
    <n v="17460.43"/>
    <s v="OK"/>
    <x v="0"/>
    <x v="1"/>
    <s v="2023-08"/>
    <n v="1"/>
  </r>
  <r>
    <s v="FV/2131HM/23"/>
    <s v="PZ/801617"/>
    <x v="3"/>
    <d v="2023-08-11T00:00:00"/>
    <s v="20781.17"/>
    <s v="Zaakceptowana"/>
    <s v="Faktura VAT"/>
    <s v="Apteka Szpitalna"/>
    <s v=""/>
    <b v="0"/>
    <n v="20781.169999999998"/>
    <s v="OK"/>
    <x v="1"/>
    <x v="1"/>
    <s v="2023-08"/>
    <n v="1"/>
  </r>
  <r>
    <s v="FV/CENFA/910384/23"/>
    <s v="PZ/801618"/>
    <x v="4"/>
    <d v="2023-08-13T00:00:00"/>
    <s v="19543.7"/>
    <s v="Zaakceptowana"/>
    <s v="Faktura VAT"/>
    <s v="Apteka Szpitalna"/>
    <s v=""/>
    <b v="0"/>
    <n v="19543.7"/>
    <s v="OK"/>
    <x v="1"/>
    <x v="1"/>
    <s v="2023-08"/>
    <n v="1"/>
  </r>
  <r>
    <s v="FV/CENFA/506994/23"/>
    <s v="PZ/801619"/>
    <x v="4"/>
    <d v="2023-08-13T00:00:00"/>
    <s v="15244.67"/>
    <s v="Zaakceptowana"/>
    <s v="Faktura VAT"/>
    <s v="Apteka Szpitalna"/>
    <s v=""/>
    <b v="0"/>
    <n v="15244.67"/>
    <s v="OK"/>
    <x v="1"/>
    <x v="1"/>
    <s v="2023-08"/>
    <n v="1"/>
  </r>
  <r>
    <s v="FV/CENFA/524783/23"/>
    <s v="PZ/801620"/>
    <x v="4"/>
    <d v="2023-08-13T00:00:00"/>
    <s v="12365.47"/>
    <s v="Zaakceptowana"/>
    <s v="Faktura VAT"/>
    <s v="Apteka Szpitalna"/>
    <s v="UM-CEN-01"/>
    <b v="0"/>
    <n v="12365.47"/>
    <s v="OK"/>
    <x v="0"/>
    <x v="1"/>
    <s v="2023-08"/>
    <n v="1"/>
  </r>
  <r>
    <s v="FV/75/SAL/23"/>
    <s v="PZ/801621"/>
    <x v="1"/>
    <d v="2023-08-14T00:00:00"/>
    <s v="21849.19"/>
    <s v="Zaakceptowana"/>
    <s v="Faktura VAT"/>
    <s v="Apteka Szpitalna"/>
    <s v="UM-SAL-01"/>
    <b v="0"/>
    <n v="21849.19"/>
    <s v="OK"/>
    <x v="0"/>
    <x v="1"/>
    <s v="2023-08"/>
    <n v="1"/>
  </r>
  <r>
    <s v="FV/CENFA/295371/23"/>
    <s v="PZ/801622"/>
    <x v="4"/>
    <d v="2023-08-14T00:00:00"/>
    <s v="11093.84"/>
    <s v="Zaakceptowana"/>
    <s v="Faktura VAT"/>
    <s v="Apteka Szpitalna"/>
    <s v="UM-CEN-01"/>
    <b v="0"/>
    <n v="11093.84"/>
    <s v="OK"/>
    <x v="0"/>
    <x v="1"/>
    <s v="2023-08"/>
    <n v="1"/>
  </r>
  <r>
    <s v="FV/71526/VDb/2023"/>
    <s v="PZ/801623"/>
    <x v="7"/>
    <d v="2023-08-14T00:00:00"/>
    <s v="20240.32"/>
    <s v="Zaakceptowana"/>
    <s v="Faktura VAT"/>
    <s v="Apteka Szpitalna"/>
    <s v="UM-VIT-01"/>
    <b v="0"/>
    <n v="20240.32"/>
    <s v="OK"/>
    <x v="0"/>
    <x v="1"/>
    <s v="2023-08"/>
    <n v="1"/>
  </r>
  <r>
    <s v="FV/POL/88739/2023"/>
    <s v="PZ/801624"/>
    <x v="0"/>
    <d v="2023-08-15T00:00:00"/>
    <s v="10839.57"/>
    <s v="Zaakceptowana"/>
    <s v="Faktura VAT"/>
    <s v="Apteka Szpitalna"/>
    <s v="UM-POL-02"/>
    <b v="0"/>
    <n v="10839.57"/>
    <s v="OK"/>
    <x v="0"/>
    <x v="1"/>
    <s v="2023-08"/>
    <n v="1"/>
  </r>
  <r>
    <s v="FV/6863HM/23"/>
    <s v="PZ/801625"/>
    <x v="3"/>
    <d v="2023-08-15T00:00:00"/>
    <s v="7090.72"/>
    <s v="Zaakceptowana"/>
    <s v="Faktura VAT"/>
    <s v="Apteka Szpitalna"/>
    <s v="UM-HUR-02"/>
    <b v="0"/>
    <n v="7090.72"/>
    <s v="OK"/>
    <x v="0"/>
    <x v="1"/>
    <s v="2023-08"/>
    <n v="1"/>
  </r>
  <r>
    <s v="FV/8468HM/23"/>
    <s v="PZ/801626"/>
    <x v="3"/>
    <d v="2023-08-15T00:00:00"/>
    <s v="25269.9"/>
    <s v="Zaakceptowana"/>
    <s v="Faktura VAT"/>
    <s v="Apteka Szpitalna"/>
    <s v="UM-HUR-01"/>
    <b v="0"/>
    <n v="25269.9"/>
    <s v="OK"/>
    <x v="0"/>
    <x v="1"/>
    <s v="2023-08"/>
    <n v="1"/>
  </r>
  <r>
    <s v="FV/3919/NOVA/23"/>
    <s v="PZ/801627"/>
    <x v="2"/>
    <d v="2023-08-15T00:00:00"/>
    <s v="18363.33"/>
    <s v="Zaakceptowana"/>
    <s v="Faktura VAT"/>
    <s v="Apteka Szpitalna"/>
    <s v="UM-NOV-02"/>
    <b v="0"/>
    <n v="18363.330000000002"/>
    <s v="OK"/>
    <x v="0"/>
    <x v="1"/>
    <s v="2023-08"/>
    <n v="1"/>
  </r>
  <r>
    <s v="FV/M/6780/P/23"/>
    <s v="PZ/801628"/>
    <x v="5"/>
    <d v="2023-08-15T00:00:00"/>
    <s v="2213.77"/>
    <s v="Zaakceptowana"/>
    <s v="Faktura VAT"/>
    <s v="Apteka Szpitalna"/>
    <s v="UM-MED-02"/>
    <b v="0"/>
    <n v="2213.77"/>
    <s v="OK"/>
    <x v="0"/>
    <x v="1"/>
    <s v="2023-08"/>
    <n v="1"/>
  </r>
  <r>
    <s v="FV/86/SAL/23"/>
    <s v="PZ/801629"/>
    <x v="1"/>
    <d v="2023-08-16T00:00:00"/>
    <s v="19258.27"/>
    <s v="Zaakceptowana"/>
    <s v="Faktura VAT"/>
    <s v="Apteka Szpitalna"/>
    <s v="UM-SAL-01"/>
    <b v="0"/>
    <n v="19258.27"/>
    <s v="OK"/>
    <x v="0"/>
    <x v="1"/>
    <s v="2023-08"/>
    <n v="1"/>
  </r>
  <r>
    <s v="FV/8242/NOVA/23"/>
    <s v="PZ/801630"/>
    <x v="2"/>
    <d v="2023-08-16T00:00:00"/>
    <s v="12582.21"/>
    <s v="Zaakceptowana"/>
    <s v="Faktura VAT"/>
    <s v="Apteka Szpitalna"/>
    <s v="UM-NOV-01"/>
    <b v="0"/>
    <n v="12582.21"/>
    <s v="OK"/>
    <x v="0"/>
    <x v="1"/>
    <s v="2023-08"/>
    <n v="1"/>
  </r>
  <r>
    <s v="FV/CENFA/911638/23"/>
    <s v="PZ/801631"/>
    <x v="4"/>
    <d v="2023-08-16T00:00:00"/>
    <s v="9334.75"/>
    <s v="Zaakceptowana"/>
    <s v="Faktura VAT"/>
    <s v="Apteka Szpitalna"/>
    <s v=""/>
    <b v="0"/>
    <n v="9334.75"/>
    <s v="OK"/>
    <x v="1"/>
    <x v="1"/>
    <s v="2023-08"/>
    <n v="1"/>
  </r>
  <r>
    <s v="FV/POL/55215/2023"/>
    <s v="PZ/801632"/>
    <x v="0"/>
    <d v="2023-08-17T00:00:00"/>
    <s v="-2844.78"/>
    <s v="Zaakceptowana"/>
    <s v="Korekta FV"/>
    <s v="Apteka Szpitalna"/>
    <s v="UM-POL-03"/>
    <b v="0"/>
    <n v="-2844.78"/>
    <s v="OK"/>
    <x v="0"/>
    <x v="1"/>
    <s v="2023-08"/>
    <n v="1"/>
  </r>
  <r>
    <s v="FV/5435/NOVA/23"/>
    <s v="PZ/801633"/>
    <x v="2"/>
    <d v="2023-08-17T00:00:00"/>
    <s v="14092.18"/>
    <s v="Zaakceptowana"/>
    <s v="Faktura VAT"/>
    <s v="Apteka Szpitalna"/>
    <s v=""/>
    <b v="0"/>
    <n v="14092.18"/>
    <s v="OK"/>
    <x v="1"/>
    <x v="1"/>
    <s v="2023-08"/>
    <n v="1"/>
  </r>
  <r>
    <s v="FV/M/4240/P/23"/>
    <s v="PZ/801634"/>
    <x v="5"/>
    <d v="2023-08-18T00:00:00"/>
    <s v="18224.11"/>
    <s v="Zaakceptowana"/>
    <s v="Faktura VAT"/>
    <s v="Apteka Szpitalna"/>
    <s v=""/>
    <b v="0"/>
    <n v="18224.11"/>
    <s v="OK"/>
    <x v="1"/>
    <x v="1"/>
    <s v="2023-08"/>
    <n v="1"/>
  </r>
  <r>
    <s v="FV/34/SAL/23"/>
    <s v="PZ/801635"/>
    <x v="1"/>
    <d v="2023-08-18T00:00:00"/>
    <s v="9662.68"/>
    <s v="Zaakceptowana"/>
    <s v="Faktura VAT"/>
    <s v="Apteka Szpitalna"/>
    <s v=""/>
    <b v="0"/>
    <n v="9662.68"/>
    <s v="OK"/>
    <x v="1"/>
    <x v="1"/>
    <s v="2023-08"/>
    <n v="1"/>
  </r>
  <r>
    <s v="FV/41855/VDb/2023"/>
    <s v="PZ/801636"/>
    <x v="7"/>
    <d v="2023-08-20T00:00:00"/>
    <s v="15540.29"/>
    <s v="Zaakceptowana"/>
    <s v="Faktura VAT"/>
    <s v="Apteka Szpitalna"/>
    <s v="UM-VIT-01"/>
    <b v="0"/>
    <n v="15540.29"/>
    <s v="OK"/>
    <x v="0"/>
    <x v="1"/>
    <s v="2023-08"/>
    <n v="1"/>
  </r>
  <r>
    <s v="FV/4299/NOVA/23"/>
    <s v="PZ/801637"/>
    <x v="2"/>
    <d v="2023-08-20T00:00:00"/>
    <s v="11664.93"/>
    <s v="Zaakceptowana"/>
    <s v="Faktura VAT"/>
    <s v="Apteka Szpitalna"/>
    <s v="UM-NOV-01"/>
    <b v="0"/>
    <n v="11664.93"/>
    <s v="OK"/>
    <x v="0"/>
    <x v="1"/>
    <s v="2023-08"/>
    <n v="1"/>
  </r>
  <r>
    <s v="FV/M/4247/P/23"/>
    <s v="PZ/801638"/>
    <x v="5"/>
    <d v="2023-08-20T00:00:00"/>
    <s v="20051.87"/>
    <s v="Zaakceptowana"/>
    <s v="Faktura VAT"/>
    <s v="Apteka Szpitalna"/>
    <s v="UM-MED-02"/>
    <b v="0"/>
    <n v="20051.87"/>
    <s v="OK"/>
    <x v="0"/>
    <x v="1"/>
    <s v="2023-08"/>
    <n v="1"/>
  </r>
  <r>
    <s v="FV/POL/93093/2023"/>
    <s v="PZ/801639"/>
    <x v="0"/>
    <d v="2023-08-21T00:00:00"/>
    <s v="13488.38"/>
    <s v="Zaakceptowana"/>
    <s v="Faktura VAT"/>
    <s v="Apteka Szpitalna"/>
    <s v="UM-POL-02"/>
    <b v="0"/>
    <n v="13488.38"/>
    <s v="OK"/>
    <x v="0"/>
    <x v="1"/>
    <s v="2023-08"/>
    <n v="1"/>
  </r>
  <r>
    <s v="FV/52/SAL/23"/>
    <s v="PZ/801640"/>
    <x v="1"/>
    <d v="2023-08-21T00:00:00"/>
    <s v="20387.86"/>
    <s v="Zaakceptowana"/>
    <s v="Faktura VAT"/>
    <s v="Apteka Szpitalna"/>
    <s v="UM-SAL-02"/>
    <b v="0"/>
    <n v="20387.86"/>
    <s v="OK"/>
    <x v="0"/>
    <x v="1"/>
    <s v="2023-08"/>
    <n v="1"/>
  </r>
  <r>
    <s v="FV/POL/65429/2023"/>
    <s v="PZ/801641"/>
    <x v="0"/>
    <d v="2023-08-22T00:00:00"/>
    <s v="18794.91"/>
    <s v="Zaakceptowana"/>
    <s v="Faktura VAT"/>
    <s v="Apteka Szpitalna"/>
    <s v="UM-POL-01"/>
    <b v="0"/>
    <n v="18794.91"/>
    <s v="OK"/>
    <x v="0"/>
    <x v="1"/>
    <s v="2023-08"/>
    <n v="1"/>
  </r>
  <r>
    <s v="FV/1169/NOVA/23"/>
    <s v="PZ/801642"/>
    <x v="2"/>
    <d v="2023-08-22T00:00:00"/>
    <s v="13125.39"/>
    <s v="Zaakceptowana"/>
    <s v="Faktura VAT"/>
    <s v="Apteka Szpitalna"/>
    <s v="UM-NOV-01"/>
    <b v="0"/>
    <n v="13125.39"/>
    <s v="OK"/>
    <x v="0"/>
    <x v="1"/>
    <s v="2023-08"/>
    <n v="1"/>
  </r>
  <r>
    <s v="FV/POL/22061/2023"/>
    <s v="PZ/801643"/>
    <x v="0"/>
    <d v="2023-08-22T00:00:00"/>
    <s v="22989.47"/>
    <s v="Zaakceptowana"/>
    <s v="Faktura VAT"/>
    <s v="Apteka Szpitalna"/>
    <s v="UM-POL-02"/>
    <b v="0"/>
    <n v="22989.47"/>
    <s v="OK"/>
    <x v="0"/>
    <x v="1"/>
    <s v="2023-08"/>
    <n v="1"/>
  </r>
  <r>
    <s v="FV/3856HM/23"/>
    <s v="PZ/801644"/>
    <x v="3"/>
    <d v="2023-08-22T00:00:00"/>
    <s v="14251.07"/>
    <s v="Zaakceptowana"/>
    <s v="Faktura VAT"/>
    <s v="Apteka Szpitalna"/>
    <s v=""/>
    <b v="0"/>
    <n v="14251.07"/>
    <s v="OK"/>
    <x v="1"/>
    <x v="1"/>
    <s v="2023-08"/>
    <n v="1"/>
  </r>
  <r>
    <s v="FV/8515HM/23"/>
    <s v="PZ/801645"/>
    <x v="3"/>
    <d v="2023-08-22T00:00:00"/>
    <s v="10014.99"/>
    <s v="Zaakceptowana"/>
    <s v="Faktura VAT"/>
    <s v="Apteka Szpitalna"/>
    <s v="UM-HUR-02"/>
    <b v="0"/>
    <n v="10014.99"/>
    <s v="OK"/>
    <x v="0"/>
    <x v="1"/>
    <s v="2023-08"/>
    <n v="1"/>
  </r>
  <r>
    <s v="FV/CENFA/307784/23"/>
    <s v="PZ/801646"/>
    <x v="4"/>
    <d v="2023-08-23T00:00:00"/>
    <s v="21567.38"/>
    <s v="Zaakceptowana"/>
    <s v="Faktura VAT"/>
    <s v="Apteka Szpitalna"/>
    <s v=""/>
    <b v="0"/>
    <n v="21567.38"/>
    <s v="OK"/>
    <x v="1"/>
    <x v="1"/>
    <s v="2023-08"/>
    <n v="1"/>
  </r>
  <r>
    <s v="FV/48003/VDb/2023"/>
    <s v="PZ/801647"/>
    <x v="7"/>
    <d v="2023-08-24T00:00:00"/>
    <s v="7638.45"/>
    <s v="Zaakceptowana"/>
    <s v="Faktura VAT"/>
    <s v="Apteka Szpitalna"/>
    <s v="UM-VIT-01"/>
    <b v="0"/>
    <n v="7638.45"/>
    <s v="OK"/>
    <x v="0"/>
    <x v="1"/>
    <s v="2023-08"/>
    <n v="1"/>
  </r>
  <r>
    <s v="FV/POL/82955/2023"/>
    <s v="PZ/801648"/>
    <x v="0"/>
    <d v="2023-08-24T00:00:00"/>
    <s v="15652.27"/>
    <s v="Zaakceptowana"/>
    <s v="Faktura VAT"/>
    <s v="Apteka Szpitalna"/>
    <s v="UM-POL-03"/>
    <b v="0"/>
    <n v="15652.27"/>
    <s v="OK"/>
    <x v="0"/>
    <x v="1"/>
    <s v="2023-08"/>
    <n v="1"/>
  </r>
  <r>
    <s v="FV/99/SAL/23"/>
    <s v="PZ/801649"/>
    <x v="1"/>
    <d v="2023-08-26T00:00:00"/>
    <s v="7004.43"/>
    <s v="Zaakceptowana"/>
    <s v="Faktura VAT"/>
    <s v="Apteka Szpitalna"/>
    <s v=""/>
    <b v="0"/>
    <n v="7004.43"/>
    <s v="OK"/>
    <x v="1"/>
    <x v="1"/>
    <s v="2023-08"/>
    <n v="1"/>
  </r>
  <r>
    <s v="FV/2543/NOVA/23"/>
    <s v="PZ/801650"/>
    <x v="2"/>
    <d v="2023-08-26T00:00:00"/>
    <s v="9938.49"/>
    <s v="Zaakceptowana"/>
    <s v="Faktura VAT"/>
    <s v="Apteka Szpitalna"/>
    <s v=""/>
    <b v="0"/>
    <n v="9938.49"/>
    <s v="OK"/>
    <x v="1"/>
    <x v="1"/>
    <s v="2023-08"/>
    <n v="1"/>
  </r>
  <r>
    <s v="FV/9707/NOVA/23"/>
    <s v="PZ/801651"/>
    <x v="2"/>
    <d v="2023-08-26T00:00:00"/>
    <s v="16002.3"/>
    <s v="Zaakceptowana"/>
    <s v="Faktura VAT"/>
    <s v="Apteka Szpitalna"/>
    <s v="UM-NOV-03"/>
    <b v="0"/>
    <n v="16002.3"/>
    <s v="OK"/>
    <x v="0"/>
    <x v="1"/>
    <s v="2023-08"/>
    <n v="1"/>
  </r>
  <r>
    <s v="FV/M/5509/P/23"/>
    <s v="PZ/801652"/>
    <x v="5"/>
    <d v="2023-08-26T00:00:00"/>
    <s v="10730.39"/>
    <s v="Zaakceptowana"/>
    <s v="Faktura VAT"/>
    <s v="Apteka Szpitalna"/>
    <s v="UM-MED-02"/>
    <b v="0"/>
    <n v="10730.39"/>
    <s v="OK"/>
    <x v="0"/>
    <x v="1"/>
    <s v="2023-08"/>
    <n v="1"/>
  </r>
  <r>
    <s v="FV/16/PP/9761/23"/>
    <s v="PZ/801653"/>
    <x v="6"/>
    <d v="2023-08-26T00:00:00"/>
    <s v="12600.49"/>
    <s v="Zaakceptowana"/>
    <s v="Faktura VAT"/>
    <s v="Apteka Szpitalna"/>
    <s v=""/>
    <b v="0"/>
    <n v="12600.49"/>
    <s v="OK"/>
    <x v="1"/>
    <x v="1"/>
    <s v="2023-08"/>
    <n v="1"/>
  </r>
  <r>
    <s v="FV/POL/18494/2023"/>
    <s v="PZ/801654"/>
    <x v="0"/>
    <d v="2023-08-27T00:00:00"/>
    <s v="12175.82"/>
    <s v="Zaakceptowana"/>
    <s v="Faktura VAT"/>
    <s v="Apteka Szpitalna"/>
    <s v=""/>
    <b v="0"/>
    <n v="12175.82"/>
    <s v="OK"/>
    <x v="1"/>
    <x v="1"/>
    <s v="2023-08"/>
    <n v="1"/>
  </r>
  <r>
    <s v="FV/73/SAL/23"/>
    <s v="PZ/801655"/>
    <x v="1"/>
    <d v="2023-08-28T00:00:00"/>
    <s v="14169.26"/>
    <s v="Zaakceptowana"/>
    <s v="Faktura VAT"/>
    <s v="Apteka Szpitalna"/>
    <s v=""/>
    <b v="0"/>
    <n v="14169.26"/>
    <s v="OK"/>
    <x v="1"/>
    <x v="1"/>
    <s v="2023-08"/>
    <n v="1"/>
  </r>
  <r>
    <s v="FV/26/PP/7708/23"/>
    <s v="PZ/801656"/>
    <x v="6"/>
    <d v="2023-08-28T00:00:00"/>
    <s v="21687.27"/>
    <s v="Zaakceptowana"/>
    <s v="Faktura VAT"/>
    <s v="Apteka Szpitalna"/>
    <s v="UM-PHA-01"/>
    <b v="0"/>
    <n v="21687.27"/>
    <s v="OK"/>
    <x v="0"/>
    <x v="1"/>
    <s v="2023-08"/>
    <n v="1"/>
  </r>
  <r>
    <s v="FV/74/PP/3967/23"/>
    <s v="PZ/801657"/>
    <x v="6"/>
    <d v="2023-08-28T00:00:00"/>
    <s v="14989.83"/>
    <s v="Zaakceptowana"/>
    <s v="Faktura VAT"/>
    <s v="Apteka Szpitalna"/>
    <s v="UM-PHA-02"/>
    <b v="0"/>
    <n v="14989.83"/>
    <s v="OK"/>
    <x v="0"/>
    <x v="1"/>
    <s v="2023-08"/>
    <n v="1"/>
  </r>
  <r>
    <s v="FV/CENFA/196173/23"/>
    <s v="PZ/801658"/>
    <x v="4"/>
    <d v="2023-08-30T00:00:00"/>
    <s v="15319.06"/>
    <s v="Zaakceptowana"/>
    <s v="Faktura VAT"/>
    <s v="Apteka Szpitalna"/>
    <s v="UM-CEN-02"/>
    <b v="0"/>
    <n v="15319.06"/>
    <s v="OK"/>
    <x v="0"/>
    <x v="1"/>
    <s v="2023-08"/>
    <n v="1"/>
  </r>
  <r>
    <s v="FV/POL/56255/2023"/>
    <s v="PZ/801659"/>
    <x v="0"/>
    <d v="2023-08-30T00:00:00"/>
    <s v="17125.11"/>
    <s v="Zaakceptowana"/>
    <s v="Faktura VAT"/>
    <s v="Apteka Szpitalna"/>
    <s v="UM-POL-02"/>
    <b v="0"/>
    <n v="17125.11"/>
    <s v="OK"/>
    <x v="0"/>
    <x v="1"/>
    <s v="2023-08"/>
    <n v="1"/>
  </r>
  <r>
    <s v="FV/91/PP/7727/23"/>
    <s v="PZ/801660"/>
    <x v="6"/>
    <d v="2023-08-31T00:00:00"/>
    <s v="11569.05"/>
    <s v="Zaakceptowana"/>
    <s v="Faktura VAT"/>
    <s v="Apteka Szpitalna"/>
    <s v="UM-PHA-01"/>
    <b v="0"/>
    <n v="11569.05"/>
    <s v="OK"/>
    <x v="0"/>
    <x v="1"/>
    <s v="2023-08"/>
    <n v="1"/>
  </r>
  <r>
    <s v="FV/1214/NOVA/23"/>
    <s v="PZ/801661"/>
    <x v="2"/>
    <d v="2023-09-01T00:00:00"/>
    <s v="9083.42"/>
    <s v="Zaakceptowana"/>
    <s v="Faktura VAT"/>
    <s v="Apteka Szpitalna"/>
    <s v="UM-NOV-02"/>
    <b v="0"/>
    <n v="9083.42"/>
    <s v="OK"/>
    <x v="0"/>
    <x v="1"/>
    <s v="2023-09"/>
    <n v="1"/>
  </r>
  <r>
    <s v="FV/CENFA/857841/23"/>
    <s v="PZ/801662"/>
    <x v="4"/>
    <d v="2023-09-01T00:00:00"/>
    <s v="16339.85"/>
    <s v="Zaakceptowana"/>
    <s v="Faktura VAT"/>
    <s v="Apteka Szpitalna"/>
    <s v="UM-CEN-02"/>
    <b v="0"/>
    <n v="16339.85"/>
    <s v="OK"/>
    <x v="0"/>
    <x v="1"/>
    <s v="2023-09"/>
    <n v="1"/>
  </r>
  <r>
    <s v="FV/90/SAL/23"/>
    <s v="PZ/801663"/>
    <x v="1"/>
    <d v="2023-09-02T00:00:00"/>
    <s v="10374.33"/>
    <s v="Zaakceptowana"/>
    <s v="Faktura VAT"/>
    <s v="Apteka Szpitalna"/>
    <s v=""/>
    <b v="0"/>
    <n v="10374.33"/>
    <s v="OK"/>
    <x v="1"/>
    <x v="1"/>
    <s v="2023-09"/>
    <n v="1"/>
  </r>
  <r>
    <s v="FV/1023/NOVA/23"/>
    <s v="PZ/801664"/>
    <x v="2"/>
    <d v="2023-09-02T00:00:00"/>
    <s v="9235.45"/>
    <s v="Zaakceptowana"/>
    <s v="Faktura VAT"/>
    <s v="Apteka Szpitalna"/>
    <s v="UM-NOV-02"/>
    <b v="0"/>
    <n v="9235.4500000000007"/>
    <s v="OK"/>
    <x v="0"/>
    <x v="1"/>
    <s v="2023-09"/>
    <n v="1"/>
  </r>
  <r>
    <s v="FV/77/PP/7966/23"/>
    <s v="PZ/801665"/>
    <x v="6"/>
    <d v="2023-09-02T00:00:00"/>
    <s v="-1345.36"/>
    <s v="Zaakceptowana"/>
    <s v="Korekta FV"/>
    <s v="Apteka Szpitalna"/>
    <s v=""/>
    <b v="0"/>
    <n v="-1345.36"/>
    <s v="OK"/>
    <x v="1"/>
    <x v="1"/>
    <s v="2023-09"/>
    <n v="1"/>
  </r>
  <r>
    <s v="FV/POL/94041/2023"/>
    <s v="PZ/801666"/>
    <x v="0"/>
    <d v="2023-09-02T00:00:00"/>
    <s v="21043.88"/>
    <s v="Zaakceptowana"/>
    <s v="Faktura VAT"/>
    <s v="Apteka Szpitalna"/>
    <s v="UM-POL-02"/>
    <b v="0"/>
    <n v="21043.88"/>
    <s v="OK"/>
    <x v="0"/>
    <x v="1"/>
    <s v="2023-09"/>
    <n v="1"/>
  </r>
  <r>
    <s v="FV/M/1461/P/23"/>
    <s v="PZ/801667"/>
    <x v="5"/>
    <d v="2023-09-03T00:00:00"/>
    <s v="17483.88"/>
    <s v="Zaakceptowana"/>
    <s v="Faktura VAT"/>
    <s v="Apteka Szpitalna"/>
    <s v="UM-MED-01"/>
    <b v="0"/>
    <n v="17483.88"/>
    <s v="OK"/>
    <x v="0"/>
    <x v="1"/>
    <s v="2023-09"/>
    <n v="1"/>
  </r>
  <r>
    <s v="FV/CENFA/799744/23"/>
    <s v="PZ/801668"/>
    <x v="4"/>
    <d v="2023-09-03T00:00:00"/>
    <s v="7596.57"/>
    <s v="Zaakceptowana"/>
    <s v="Faktura VAT"/>
    <s v="Apteka Szpitalna"/>
    <s v="UM-CEN-02"/>
    <b v="0"/>
    <n v="7596.57"/>
    <s v="OK"/>
    <x v="0"/>
    <x v="1"/>
    <s v="2023-09"/>
    <n v="1"/>
  </r>
  <r>
    <s v="FV/95120/VDb/2023"/>
    <s v="PZ/801669"/>
    <x v="7"/>
    <d v="2023-09-04T00:00:00"/>
    <s v="15495.31"/>
    <s v="Zaakceptowana"/>
    <s v="Faktura VAT"/>
    <s v="Apteka Szpitalna"/>
    <s v="UM-VIT-01"/>
    <b v="0"/>
    <n v="15495.31"/>
    <s v="OK"/>
    <x v="0"/>
    <x v="1"/>
    <s v="2023-09"/>
    <n v="1"/>
  </r>
  <r>
    <s v="FV/84/PP/1931/23"/>
    <s v="PZ/801670"/>
    <x v="6"/>
    <d v="2023-09-04T00:00:00"/>
    <s v="18412.73"/>
    <s v="Zaakceptowana"/>
    <s v="Faktura VAT"/>
    <s v="Apteka Szpitalna"/>
    <s v="UM-PHA-02"/>
    <b v="0"/>
    <n v="18412.73"/>
    <s v="OK"/>
    <x v="0"/>
    <x v="1"/>
    <s v="2023-09"/>
    <n v="1"/>
  </r>
  <r>
    <s v="FV/5108/NOVA/23"/>
    <s v="PZ/801671"/>
    <x v="2"/>
    <d v="2023-09-04T00:00:00"/>
    <s v="20546.5"/>
    <s v="Zaakceptowana"/>
    <s v="Faktura VAT"/>
    <s v="Apteka Szpitalna"/>
    <s v=""/>
    <b v="0"/>
    <n v="20546.5"/>
    <s v="OK"/>
    <x v="1"/>
    <x v="1"/>
    <s v="2023-09"/>
    <n v="1"/>
  </r>
  <r>
    <s v="FV/4928HM/23"/>
    <s v="PZ/801672"/>
    <x v="3"/>
    <d v="2023-09-05T00:00:00"/>
    <s v="14447.2"/>
    <s v="Zaakceptowana"/>
    <s v="Faktura VAT"/>
    <s v="Apteka Szpitalna"/>
    <s v="UM-HUR-01"/>
    <b v="0"/>
    <n v="14447.2"/>
    <s v="OK"/>
    <x v="0"/>
    <x v="1"/>
    <s v="2023-09"/>
    <n v="1"/>
  </r>
  <r>
    <s v="FV/9070HM/23"/>
    <s v="PZ/801673"/>
    <x v="3"/>
    <d v="2023-09-05T00:00:00"/>
    <s v="8400.76"/>
    <s v="Zaakceptowana"/>
    <s v="Faktura VAT"/>
    <s v="Apteka Szpitalna"/>
    <s v="UM-HUR-01"/>
    <b v="0"/>
    <n v="8400.76"/>
    <s v="OK"/>
    <x v="0"/>
    <x v="1"/>
    <s v="2023-09"/>
    <n v="1"/>
  </r>
  <r>
    <s v="FV/55/PP/8653/23"/>
    <s v="PZ/801674"/>
    <x v="6"/>
    <d v="2023-09-05T00:00:00"/>
    <s v="17811.0"/>
    <s v="Zaakceptowana"/>
    <s v="Faktura VAT"/>
    <s v="Apteka Szpitalna"/>
    <s v=""/>
    <b v="0"/>
    <n v="17811"/>
    <s v="OK"/>
    <x v="1"/>
    <x v="1"/>
    <s v="2023-09"/>
    <n v="1"/>
  </r>
  <r>
    <s v="FV/17336/VDb/2023"/>
    <s v="PZ/801675"/>
    <x v="7"/>
    <d v="2023-09-05T00:00:00"/>
    <s v="20029.33"/>
    <s v="Zaakceptowana"/>
    <s v="Faktura VAT"/>
    <s v="Apteka Szpitalna"/>
    <s v="UM-VIT-01"/>
    <b v="0"/>
    <n v="20029.330000000002"/>
    <s v="OK"/>
    <x v="0"/>
    <x v="1"/>
    <s v="2023-09"/>
    <n v="1"/>
  </r>
  <r>
    <s v="FV/6490HM/23"/>
    <s v="PZ/801676"/>
    <x v="3"/>
    <d v="2023-09-05T00:00:00"/>
    <s v="10889.14"/>
    <s v="Zaakceptowana"/>
    <s v="Faktura VAT"/>
    <s v="Apteka Szpitalna"/>
    <s v="UM-HUR-03"/>
    <b v="0"/>
    <n v="10889.14"/>
    <s v="OK"/>
    <x v="0"/>
    <x v="1"/>
    <s v="2023-09"/>
    <n v="1"/>
  </r>
  <r>
    <s v="FV/CENFA/174856/23"/>
    <s v="PZ/801677"/>
    <x v="4"/>
    <d v="2023-09-07T00:00:00"/>
    <s v="17491.27"/>
    <s v="Zaakceptowana"/>
    <s v="Faktura VAT"/>
    <s v="Apteka Szpitalna"/>
    <s v="UM-CEN-01"/>
    <b v="0"/>
    <n v="17491.27"/>
    <s v="OK"/>
    <x v="0"/>
    <x v="1"/>
    <s v="2023-09"/>
    <n v="1"/>
  </r>
  <r>
    <s v="FV/M/3210/P/23"/>
    <s v="PZ/801678"/>
    <x v="5"/>
    <d v="2023-09-07T00:00:00"/>
    <s v="17338.42"/>
    <s v="Zaakceptowana"/>
    <s v="Faktura VAT"/>
    <s v="Apteka Szpitalna"/>
    <s v=""/>
    <b v="0"/>
    <n v="17338.419999999998"/>
    <s v="OK"/>
    <x v="1"/>
    <x v="1"/>
    <s v="2023-09"/>
    <n v="1"/>
  </r>
  <r>
    <s v="FV/M/5139/P/23"/>
    <s v="PZ/801679"/>
    <x v="5"/>
    <d v="2023-09-07T00:00:00"/>
    <s v="16884.48"/>
    <s v="Zaakceptowana"/>
    <s v="Faktura VAT"/>
    <s v="Apteka Szpitalna"/>
    <s v="UM-MED-01"/>
    <b v="0"/>
    <n v="16884.48"/>
    <s v="OK"/>
    <x v="0"/>
    <x v="1"/>
    <s v="2023-09"/>
    <n v="1"/>
  </r>
  <r>
    <s v="FV/2489HM/23"/>
    <s v="PZ/801680"/>
    <x v="3"/>
    <d v="2023-09-08T00:00:00"/>
    <s v="9486.26"/>
    <s v="Zaakceptowana"/>
    <s v="Faktura VAT"/>
    <s v="Apteka Szpitalna"/>
    <s v="UM-HUR-02"/>
    <b v="0"/>
    <n v="9486.26"/>
    <s v="OK"/>
    <x v="0"/>
    <x v="1"/>
    <s v="2023-09"/>
    <n v="1"/>
  </r>
  <r>
    <s v="FV/7208HM/23"/>
    <s v="PZ/801681"/>
    <x v="3"/>
    <d v="2023-09-08T00:00:00"/>
    <s v="8051.24"/>
    <s v="Zaakceptowana"/>
    <s v="Faktura VAT"/>
    <s v="Apteka Szpitalna"/>
    <s v="UM-HUR-03"/>
    <b v="0"/>
    <n v="8051.24"/>
    <s v="OK"/>
    <x v="0"/>
    <x v="1"/>
    <s v="2023-09"/>
    <n v="1"/>
  </r>
  <r>
    <s v="FV/14/PP/7368/23"/>
    <s v="PZ/801682"/>
    <x v="6"/>
    <d v="2023-09-08T00:00:00"/>
    <s v="17057.91"/>
    <s v="Zaakceptowana"/>
    <s v="Faktura VAT"/>
    <s v="Apteka Szpitalna"/>
    <s v="UM-PHA-02"/>
    <b v="0"/>
    <n v="17057.91"/>
    <s v="OK"/>
    <x v="0"/>
    <x v="1"/>
    <s v="2023-09"/>
    <n v="1"/>
  </r>
  <r>
    <s v="FV/5759/NOVA/23"/>
    <s v="PZ/801683"/>
    <x v="2"/>
    <d v="2023-09-09T00:00:00"/>
    <s v="15555.17"/>
    <s v="Zaakceptowana"/>
    <s v="Faktura VAT"/>
    <s v="Apteka Szpitalna"/>
    <s v="UM-NOV-01"/>
    <b v="0"/>
    <n v="15555.17"/>
    <s v="OK"/>
    <x v="0"/>
    <x v="1"/>
    <s v="2023-09"/>
    <n v="1"/>
  </r>
  <r>
    <s v="FV/POL/51983/2023"/>
    <s v="PZ/801684"/>
    <x v="0"/>
    <d v="2023-09-09T00:00:00"/>
    <s v="10876.47"/>
    <s v="Zaakceptowana"/>
    <s v="Faktura VAT"/>
    <s v="Apteka Szpitalna"/>
    <s v="UM-POL-01"/>
    <b v="0"/>
    <n v="10876.47"/>
    <s v="OK"/>
    <x v="0"/>
    <x v="1"/>
    <s v="2023-09"/>
    <n v="1"/>
  </r>
  <r>
    <s v="FV/46063/VDb/2023"/>
    <s v="PZ/801685"/>
    <x v="7"/>
    <d v="2023-09-10T00:00:00"/>
    <s v="14040.7"/>
    <s v="Zaakceptowana"/>
    <s v="Faktura VAT"/>
    <s v="Apteka Szpitalna"/>
    <s v=""/>
    <b v="0"/>
    <n v="14040.7"/>
    <s v="OK"/>
    <x v="1"/>
    <x v="1"/>
    <s v="2023-09"/>
    <n v="1"/>
  </r>
  <r>
    <s v="FV/4431HM/23"/>
    <s v="PZ/801686"/>
    <x v="3"/>
    <d v="2023-09-10T00:00:00"/>
    <s v="15959.86"/>
    <s v="Zaakceptowana"/>
    <s v="Faktura VAT"/>
    <s v="Apteka Szpitalna"/>
    <s v="UM-HUR-01"/>
    <b v="0"/>
    <n v="15959.86"/>
    <s v="OK"/>
    <x v="0"/>
    <x v="1"/>
    <s v="2023-09"/>
    <n v="1"/>
  </r>
  <r>
    <s v="FV/79/PP/6838/23"/>
    <s v="PZ/801687"/>
    <x v="6"/>
    <d v="2023-09-10T00:00:00"/>
    <s v="8512.69"/>
    <s v="Zaakceptowana"/>
    <s v="Faktura VAT"/>
    <s v="Apteka Szpitalna"/>
    <s v="UM-PHA-02"/>
    <b v="0"/>
    <n v="8512.69"/>
    <s v="OK"/>
    <x v="0"/>
    <x v="1"/>
    <s v="2023-09"/>
    <n v="1"/>
  </r>
  <r>
    <s v="FV/40/PP/6918/23"/>
    <s v="PZ/801688"/>
    <x v="6"/>
    <d v="2023-09-10T00:00:00"/>
    <s v="7899.76"/>
    <s v="Zaakceptowana"/>
    <s v="Faktura VAT"/>
    <s v="Apteka Szpitalna"/>
    <s v="UM-PHA-02"/>
    <b v="0"/>
    <n v="7899.76"/>
    <s v="OK"/>
    <x v="0"/>
    <x v="1"/>
    <s v="2023-09"/>
    <n v="1"/>
  </r>
  <r>
    <s v="FV/CENFA/487740/23"/>
    <s v="PZ/801689"/>
    <x v="4"/>
    <d v="2023-09-12T00:00:00"/>
    <s v="13917.86"/>
    <s v="Zaakceptowana"/>
    <s v="Faktura VAT"/>
    <s v="Apteka Szpitalna"/>
    <s v="UM-CEN-02"/>
    <b v="0"/>
    <n v="13917.86"/>
    <s v="OK"/>
    <x v="0"/>
    <x v="1"/>
    <s v="2023-09"/>
    <n v="1"/>
  </r>
  <r>
    <s v="FV/83/SAL/23"/>
    <s v="PZ/801690"/>
    <x v="1"/>
    <d v="2023-09-12T00:00:00"/>
    <s v="14465.06"/>
    <s v="Zaakceptowana"/>
    <s v="Faktura VAT"/>
    <s v="Apteka Szpitalna"/>
    <s v="UM-SAL-01"/>
    <b v="0"/>
    <n v="14465.06"/>
    <s v="OK"/>
    <x v="0"/>
    <x v="1"/>
    <s v="2023-09"/>
    <n v="1"/>
  </r>
  <r>
    <s v="FV/69/PP/1745/23"/>
    <s v="PZ/801691"/>
    <x v="6"/>
    <d v="2023-09-13T00:00:00"/>
    <s v="10942.38"/>
    <s v="Zaakceptowana"/>
    <s v="Faktura VAT"/>
    <s v="Apteka Szpitalna"/>
    <s v="UM-PHA-01"/>
    <b v="0"/>
    <n v="10942.38"/>
    <s v="OK"/>
    <x v="0"/>
    <x v="1"/>
    <s v="2023-09"/>
    <n v="1"/>
  </r>
  <r>
    <s v="FV/M/3844/P/23"/>
    <s v="PZ/801692"/>
    <x v="5"/>
    <d v="2023-09-13T00:00:00"/>
    <s v="13146.82"/>
    <s v="Zaakceptowana"/>
    <s v="Faktura VAT"/>
    <s v="Apteka Szpitalna"/>
    <s v="UM-MED-01"/>
    <b v="0"/>
    <n v="13146.82"/>
    <s v="OK"/>
    <x v="0"/>
    <x v="1"/>
    <s v="2023-09"/>
    <n v="1"/>
  </r>
  <r>
    <s v="FV/2002/NOVA/23"/>
    <s v="PZ/801693"/>
    <x v="2"/>
    <d v="2023-09-13T00:00:00"/>
    <s v="17608.76"/>
    <s v="Zaakceptowana"/>
    <s v="Faktura VAT"/>
    <s v="Apteka Szpitalna"/>
    <s v=""/>
    <b v="0"/>
    <n v="17608.759999999998"/>
    <s v="OK"/>
    <x v="1"/>
    <x v="1"/>
    <s v="2023-09"/>
    <n v="1"/>
  </r>
  <r>
    <s v="FV/54306/VDb/2023"/>
    <s v="PZ/801694"/>
    <x v="7"/>
    <d v="2023-09-13T00:00:00"/>
    <s v="17962.49"/>
    <s v="Zaakceptowana"/>
    <s v="Faktura VAT"/>
    <s v="Apteka Szpitalna"/>
    <s v=""/>
    <b v="0"/>
    <n v="17962.490000000002"/>
    <s v="OK"/>
    <x v="1"/>
    <x v="1"/>
    <s v="2023-09"/>
    <n v="1"/>
  </r>
  <r>
    <s v="FV/CENFA/543142/23"/>
    <s v="PZ/801695"/>
    <x v="4"/>
    <d v="2023-09-13T00:00:00"/>
    <s v="17118.78"/>
    <s v="Zaakceptowana"/>
    <s v="Faktura VAT"/>
    <s v="Apteka Szpitalna"/>
    <s v=""/>
    <b v="0"/>
    <n v="17118.78"/>
    <s v="OK"/>
    <x v="1"/>
    <x v="1"/>
    <s v="2023-09"/>
    <n v="1"/>
  </r>
  <r>
    <s v="FV/45872/VDb/2023"/>
    <s v="PZ/801696"/>
    <x v="7"/>
    <d v="2023-09-14T00:00:00"/>
    <s v="14680.82"/>
    <s v="Zaakceptowana"/>
    <s v="Faktura VAT"/>
    <s v="Apteka Szpitalna"/>
    <s v="UM-VIT-01"/>
    <b v="0"/>
    <n v="14680.82"/>
    <s v="OK"/>
    <x v="0"/>
    <x v="1"/>
    <s v="2023-09"/>
    <n v="1"/>
  </r>
  <r>
    <s v="FV/21/SAL/23"/>
    <s v="PZ/801697"/>
    <x v="1"/>
    <d v="2023-09-14T00:00:00"/>
    <s v="19033.28"/>
    <s v="Zaakceptowana"/>
    <s v="Faktura VAT"/>
    <s v="Apteka Szpitalna"/>
    <s v="UM-SAL-02"/>
    <b v="0"/>
    <n v="19033.28"/>
    <s v="OK"/>
    <x v="0"/>
    <x v="1"/>
    <s v="2023-09"/>
    <n v="1"/>
  </r>
  <r>
    <s v="FV/86/PP/8663/23"/>
    <s v="PZ/801698"/>
    <x v="6"/>
    <d v="2023-09-14T00:00:00"/>
    <s v="19404.41"/>
    <s v="Zaakceptowana"/>
    <s v="Faktura VAT"/>
    <s v="Apteka Szpitalna"/>
    <s v=""/>
    <b v="0"/>
    <n v="19404.41"/>
    <s v="OK"/>
    <x v="1"/>
    <x v="1"/>
    <s v="2023-09"/>
    <n v="1"/>
  </r>
  <r>
    <s v="FV/5107/NOVA/23"/>
    <s v="PZ/801699"/>
    <x v="2"/>
    <d v="2023-09-14T00:00:00"/>
    <s v="13065.2"/>
    <s v="Zaakceptowana"/>
    <s v="Faktura VAT"/>
    <s v="Apteka Szpitalna"/>
    <s v="UM-NOV-01"/>
    <b v="0"/>
    <n v="13065.2"/>
    <s v="OK"/>
    <x v="0"/>
    <x v="1"/>
    <s v="2023-09"/>
    <n v="1"/>
  </r>
  <r>
    <s v="FV/M/6974/P/23"/>
    <s v="PZ/801700"/>
    <x v="5"/>
    <d v="2023-09-15T00:00:00"/>
    <s v="17142.96"/>
    <s v="Zaakceptowana"/>
    <s v="Faktura VAT"/>
    <s v="Apteka Szpitalna"/>
    <s v="UM-MED-01"/>
    <b v="0"/>
    <n v="17142.96"/>
    <s v="OK"/>
    <x v="0"/>
    <x v="1"/>
    <s v="2023-09"/>
    <n v="1"/>
  </r>
  <r>
    <s v="FV/5441HM/23"/>
    <s v="PZ/801701"/>
    <x v="3"/>
    <d v="2023-09-15T00:00:00"/>
    <s v="19135.08"/>
    <s v="Zaakceptowana"/>
    <s v="Faktura VAT"/>
    <s v="Apteka Szpitalna"/>
    <s v="UM-HUR-01"/>
    <b v="0"/>
    <n v="19135.080000000002"/>
    <s v="OK"/>
    <x v="0"/>
    <x v="1"/>
    <s v="2023-09"/>
    <n v="1"/>
  </r>
  <r>
    <s v="FV/9608/NOVA/23"/>
    <s v="PZ/801702"/>
    <x v="2"/>
    <d v="2023-09-15T00:00:00"/>
    <s v="14660.42"/>
    <s v="Zaakceptowana"/>
    <s v="Faktura VAT"/>
    <s v="Apteka Szpitalna"/>
    <s v="UM-NOV-02"/>
    <b v="0"/>
    <n v="14660.42"/>
    <s v="OK"/>
    <x v="0"/>
    <x v="1"/>
    <s v="2023-09"/>
    <n v="1"/>
  </r>
  <r>
    <s v="FV/59/SAL/23"/>
    <s v="PZ/801703"/>
    <x v="1"/>
    <d v="2023-09-16T00:00:00"/>
    <s v="13780.98"/>
    <s v="Zaakceptowana"/>
    <s v="Faktura VAT"/>
    <s v="Apteka Szpitalna"/>
    <s v="UM-SAL-02"/>
    <b v="0"/>
    <n v="13780.98"/>
    <s v="OK"/>
    <x v="0"/>
    <x v="1"/>
    <s v="2023-09"/>
    <n v="1"/>
  </r>
  <r>
    <s v="FV/52771/VDb/2023"/>
    <s v="PZ/801704"/>
    <x v="7"/>
    <d v="2023-09-16T00:00:00"/>
    <s v="10142.57"/>
    <s v="Zaakceptowana"/>
    <s v="Faktura VAT"/>
    <s v="Apteka Szpitalna"/>
    <s v=""/>
    <b v="0"/>
    <n v="10142.57"/>
    <s v="OK"/>
    <x v="1"/>
    <x v="1"/>
    <s v="2023-09"/>
    <n v="1"/>
  </r>
  <r>
    <s v="FV/4379HM/23"/>
    <s v="PZ/801705"/>
    <x v="3"/>
    <d v="2023-09-16T00:00:00"/>
    <s v="13543.68"/>
    <s v="Zaakceptowana"/>
    <s v="Faktura VAT"/>
    <s v="Apteka Szpitalna"/>
    <s v="UM-HUR-01"/>
    <b v="0"/>
    <n v="13543.68"/>
    <s v="OK"/>
    <x v="0"/>
    <x v="1"/>
    <s v="2023-09"/>
    <n v="1"/>
  </r>
  <r>
    <s v="FV/7040HM/23"/>
    <s v="PZ/801706"/>
    <x v="3"/>
    <d v="2023-09-17T00:00:00"/>
    <s v="18571.49"/>
    <s v="Zaakceptowana"/>
    <s v="Faktura VAT"/>
    <s v="Apteka Szpitalna"/>
    <s v="UM-HUR-01"/>
    <b v="0"/>
    <n v="18571.490000000002"/>
    <s v="OK"/>
    <x v="0"/>
    <x v="1"/>
    <s v="2023-09"/>
    <n v="1"/>
  </r>
  <r>
    <s v="FV/8260HM/23"/>
    <s v="PZ/801707"/>
    <x v="3"/>
    <d v="2023-09-18T00:00:00"/>
    <s v="12277.25"/>
    <s v="Zaakceptowana"/>
    <s v="Faktura VAT"/>
    <s v="Apteka Szpitalna"/>
    <s v=""/>
    <b v="0"/>
    <n v="12277.25"/>
    <s v="OK"/>
    <x v="1"/>
    <x v="1"/>
    <s v="2023-09"/>
    <n v="1"/>
  </r>
  <r>
    <s v="FV/8433/NOVA/23"/>
    <s v="PZ/801708"/>
    <x v="2"/>
    <d v="2023-09-18T00:00:00"/>
    <s v="11217.87"/>
    <s v="Zaakceptowana"/>
    <s v="Faktura VAT"/>
    <s v="Apteka Szpitalna"/>
    <s v=""/>
    <b v="0"/>
    <n v="11217.87"/>
    <s v="OK"/>
    <x v="1"/>
    <x v="1"/>
    <s v="2023-09"/>
    <n v="1"/>
  </r>
  <r>
    <s v="FV/CENFA/809848/23"/>
    <s v="PZ/801709"/>
    <x v="4"/>
    <d v="2023-09-20T00:00:00"/>
    <s v="-1778.75"/>
    <s v="Zaakceptowana"/>
    <s v="Korekta FV"/>
    <s v="Apteka Szpitalna"/>
    <s v="UM-CEN-02"/>
    <b v="0"/>
    <n v="-1778.75"/>
    <s v="OK"/>
    <x v="0"/>
    <x v="1"/>
    <s v="2023-09"/>
    <n v="1"/>
  </r>
  <r>
    <s v="FV/CENFA/460037/23"/>
    <s v="PZ/801710"/>
    <x v="4"/>
    <d v="2023-09-20T00:00:00"/>
    <s v="8568.62"/>
    <s v="Zaakceptowana"/>
    <s v="Faktura VAT"/>
    <s v="Apteka Szpitalna"/>
    <s v="UM-CEN-02"/>
    <b v="0"/>
    <n v="8568.6200000000008"/>
    <s v="OK"/>
    <x v="0"/>
    <x v="1"/>
    <s v="2023-09"/>
    <n v="1"/>
  </r>
  <r>
    <s v="FV/POL/48472/2023"/>
    <s v="PZ/801711"/>
    <x v="0"/>
    <d v="2023-09-21T00:00:00"/>
    <s v="1401.96"/>
    <s v="Zaakceptowana"/>
    <s v="Faktura VAT"/>
    <s v="Apteka Szpitalna"/>
    <s v="UM-POL-01"/>
    <b v="0"/>
    <n v="1401.96"/>
    <s v="OK"/>
    <x v="0"/>
    <x v="1"/>
    <s v="2023-09"/>
    <n v="1"/>
  </r>
  <r>
    <s v="FV/51/PP/5328/23"/>
    <s v="PZ/801712"/>
    <x v="6"/>
    <d v="2023-09-21T00:00:00"/>
    <s v="8010.36"/>
    <s v="Zaakceptowana"/>
    <s v="Faktura VAT"/>
    <s v="Apteka Szpitalna"/>
    <s v="UM-PHA-01"/>
    <b v="0"/>
    <n v="8010.36"/>
    <s v="OK"/>
    <x v="0"/>
    <x v="1"/>
    <s v="2023-09"/>
    <n v="1"/>
  </r>
  <r>
    <s v="FV/M/7172/P/23"/>
    <s v="PZ/801713"/>
    <x v="5"/>
    <d v="2023-09-21T00:00:00"/>
    <s v="11726.73"/>
    <s v="Zaakceptowana"/>
    <s v="Faktura VAT"/>
    <s v="Apteka Szpitalna"/>
    <s v=""/>
    <b v="0"/>
    <n v="11726.73"/>
    <s v="OK"/>
    <x v="1"/>
    <x v="1"/>
    <s v="2023-09"/>
    <n v="1"/>
  </r>
  <r>
    <s v="FV/17/SAL/23"/>
    <s v="PZ/801714"/>
    <x v="1"/>
    <d v="2023-09-22T00:00:00"/>
    <s v="18461.93"/>
    <s v="Zaakceptowana"/>
    <s v="Faktura VAT"/>
    <s v="Apteka Szpitalna"/>
    <s v="UM-SAL-02"/>
    <b v="0"/>
    <n v="18461.93"/>
    <s v="OK"/>
    <x v="0"/>
    <x v="1"/>
    <s v="2023-09"/>
    <n v="1"/>
  </r>
  <r>
    <s v="FV/M/4579/P/23"/>
    <s v="PZ/801715"/>
    <x v="5"/>
    <d v="2023-09-23T00:00:00"/>
    <s v="-605.19"/>
    <s v="Zaakceptowana"/>
    <s v="Korekta FV"/>
    <s v="Apteka Szpitalna"/>
    <s v="UM-MED-01"/>
    <b v="0"/>
    <n v="-605.19000000000005"/>
    <s v="OK"/>
    <x v="0"/>
    <x v="1"/>
    <s v="2023-09"/>
    <n v="1"/>
  </r>
  <r>
    <s v="FV/81/SAL/23"/>
    <s v="PZ/801716"/>
    <x v="1"/>
    <d v="2023-09-23T00:00:00"/>
    <s v="15084.79"/>
    <s v="Zaakceptowana"/>
    <s v="Faktura VAT"/>
    <s v="Apteka Szpitalna"/>
    <s v="UM-SAL-02"/>
    <b v="0"/>
    <n v="15084.79"/>
    <s v="OK"/>
    <x v="0"/>
    <x v="1"/>
    <s v="2023-09"/>
    <n v="1"/>
  </r>
  <r>
    <s v="FV/18/PP/6785/23"/>
    <s v="PZ/801717"/>
    <x v="6"/>
    <d v="2023-09-23T00:00:00"/>
    <s v="8759.86"/>
    <s v="Zaakceptowana"/>
    <s v="Faktura VAT"/>
    <s v="Apteka Szpitalna"/>
    <s v="UM-PHA-01"/>
    <b v="0"/>
    <n v="8759.86"/>
    <s v="OK"/>
    <x v="0"/>
    <x v="1"/>
    <s v="2023-09"/>
    <n v="1"/>
  </r>
  <r>
    <s v="FV/4627/NOVA/23"/>
    <s v="PZ/801718"/>
    <x v="2"/>
    <d v="2023-09-24T00:00:00"/>
    <s v="23514.3"/>
    <s v="Zaakceptowana"/>
    <s v="Faktura VAT"/>
    <s v="Apteka Szpitalna"/>
    <s v="UM-NOV-03"/>
    <b v="0"/>
    <n v="23514.3"/>
    <s v="OK"/>
    <x v="0"/>
    <x v="1"/>
    <s v="2023-09"/>
    <n v="1"/>
  </r>
  <r>
    <s v="FV/POL/42245/2023"/>
    <s v="PZ/801719"/>
    <x v="0"/>
    <d v="2023-09-24T00:00:00"/>
    <s v="-2015.59"/>
    <s v="Zaakceptowana"/>
    <s v="Korekta FV"/>
    <s v="Apteka Szpitalna"/>
    <s v="UM-POL-01"/>
    <b v="0"/>
    <n v="-2015.59"/>
    <s v="OK"/>
    <x v="0"/>
    <x v="1"/>
    <s v="2023-09"/>
    <n v="1"/>
  </r>
  <r>
    <s v="FV/POL/57195/2023"/>
    <s v="PZ/801720"/>
    <x v="0"/>
    <d v="2023-09-24T00:00:00"/>
    <s v="19743.25"/>
    <s v="Zaakceptowana"/>
    <s v="Faktura VAT"/>
    <s v="Apteka Szpitalna"/>
    <s v="UM-POL-03"/>
    <b v="0"/>
    <n v="19743.25"/>
    <s v="OK"/>
    <x v="0"/>
    <x v="1"/>
    <s v="2023-09"/>
    <n v="1"/>
  </r>
  <r>
    <s v="FV/47/SAL/23"/>
    <s v="PZ/801721"/>
    <x v="1"/>
    <d v="2023-09-25T00:00:00"/>
    <s v="24766.62"/>
    <s v="Zaakceptowana"/>
    <s v="Faktura VAT"/>
    <s v="Apteka Szpitalna"/>
    <s v="UM-SAL-01"/>
    <b v="0"/>
    <n v="24766.62"/>
    <s v="OK"/>
    <x v="0"/>
    <x v="1"/>
    <s v="2023-09"/>
    <n v="1"/>
  </r>
  <r>
    <s v="FV/39990/VDb/2023"/>
    <s v="PZ/801722"/>
    <x v="7"/>
    <d v="2023-09-25T00:00:00"/>
    <s v="25024.14"/>
    <s v="Zaakceptowana"/>
    <s v="Faktura VAT"/>
    <s v="Apteka Szpitalna"/>
    <s v="UM-VIT-01"/>
    <b v="0"/>
    <n v="25024.14"/>
    <s v="OK"/>
    <x v="0"/>
    <x v="1"/>
    <s v="2023-09"/>
    <n v="1"/>
  </r>
  <r>
    <s v="FV/94/SAL/23"/>
    <s v="PZ/801723"/>
    <x v="1"/>
    <d v="2023-09-26T00:00:00"/>
    <s v="17452.7"/>
    <s v="Zaakceptowana"/>
    <s v="Faktura VAT"/>
    <s v="Apteka Szpitalna"/>
    <s v="UM-SAL-02"/>
    <b v="0"/>
    <n v="17452.7"/>
    <s v="OK"/>
    <x v="0"/>
    <x v="1"/>
    <s v="2023-09"/>
    <n v="1"/>
  </r>
  <r>
    <s v="FV/93777/VDb/2023"/>
    <s v="PZ/801724"/>
    <x v="7"/>
    <d v="2023-09-26T00:00:00"/>
    <s v="13404.68"/>
    <s v="Zaakceptowana"/>
    <s v="Faktura VAT"/>
    <s v="Apteka Szpitalna"/>
    <s v=""/>
    <b v="0"/>
    <n v="13404.68"/>
    <s v="OK"/>
    <x v="1"/>
    <x v="1"/>
    <s v="2023-09"/>
    <n v="1"/>
  </r>
  <r>
    <s v="FV/60/PP/3825/23"/>
    <s v="PZ/801725"/>
    <x v="6"/>
    <d v="2023-09-27T00:00:00"/>
    <s v="11041.15"/>
    <s v="Zaakceptowana"/>
    <s v="Faktura VAT"/>
    <s v="Apteka Szpitalna"/>
    <s v="UM-PHA-01"/>
    <b v="0"/>
    <n v="11041.15"/>
    <s v="OK"/>
    <x v="0"/>
    <x v="1"/>
    <s v="2023-09"/>
    <n v="1"/>
  </r>
  <r>
    <s v="FV/48/SAL/23"/>
    <s v="PZ/801726"/>
    <x v="1"/>
    <d v="2023-09-27T00:00:00"/>
    <s v="10050.25"/>
    <s v="Zaakceptowana"/>
    <s v="Faktura VAT"/>
    <s v="Apteka Szpitalna"/>
    <s v="UM-SAL-01"/>
    <b v="0"/>
    <n v="10050.25"/>
    <s v="OK"/>
    <x v="0"/>
    <x v="1"/>
    <s v="2023-09"/>
    <n v="1"/>
  </r>
  <r>
    <s v="FV/CENFA/303937/23"/>
    <s v="PZ/801727"/>
    <x v="4"/>
    <d v="2023-09-28T00:00:00"/>
    <s v="14824.25"/>
    <s v="Zaakceptowana"/>
    <s v="Faktura VAT"/>
    <s v="Apteka Szpitalna"/>
    <s v="UM-CEN-01"/>
    <b v="0"/>
    <n v="14824.25"/>
    <s v="OK"/>
    <x v="0"/>
    <x v="1"/>
    <s v="2023-09"/>
    <n v="1"/>
  </r>
  <r>
    <s v="FV/36276/VDb/2023"/>
    <s v="PZ/801728"/>
    <x v="7"/>
    <d v="2023-09-29T00:00:00"/>
    <s v="17843.46"/>
    <s v="Zaakceptowana"/>
    <s v="Faktura VAT"/>
    <s v="Apteka Szpitalna"/>
    <s v=""/>
    <b v="0"/>
    <n v="17843.46"/>
    <s v="OK"/>
    <x v="1"/>
    <x v="1"/>
    <s v="2023-09"/>
    <n v="1"/>
  </r>
  <r>
    <s v="FV/M/3685/P/23"/>
    <s v="PZ/801729"/>
    <x v="5"/>
    <d v="2023-09-29T00:00:00"/>
    <s v="20159.33"/>
    <s v="Zaakceptowana"/>
    <s v="Faktura VAT"/>
    <s v="Apteka Szpitalna"/>
    <s v="UM-MED-01"/>
    <b v="0"/>
    <n v="20159.330000000002"/>
    <s v="OK"/>
    <x v="0"/>
    <x v="1"/>
    <s v="2023-09"/>
    <n v="1"/>
  </r>
  <r>
    <s v="FV/53/SAL/23"/>
    <s v="PZ/801730"/>
    <x v="1"/>
    <d v="2023-10-01T00:00:00"/>
    <s v="14493.07"/>
    <s v="Zaakceptowana"/>
    <s v="Faktura VAT"/>
    <s v="Apteka Szpitalna"/>
    <s v="UM-SAL-02"/>
    <b v="0"/>
    <n v="14493.07"/>
    <s v="OK"/>
    <x v="0"/>
    <x v="1"/>
    <s v="2023-10"/>
    <n v="1"/>
  </r>
  <r>
    <s v="FV/12/PP/1436/23"/>
    <s v="PZ/801731"/>
    <x v="6"/>
    <d v="2023-10-01T00:00:00"/>
    <s v="12623.43"/>
    <s v="Zaakceptowana"/>
    <s v="Faktura VAT"/>
    <s v="Apteka Szpitalna"/>
    <s v="UM-PHA-01"/>
    <b v="0"/>
    <n v="12623.43"/>
    <s v="OK"/>
    <x v="0"/>
    <x v="1"/>
    <s v="2023-10"/>
    <n v="1"/>
  </r>
  <r>
    <s v="FV/61/SAL/23"/>
    <s v="PZ/801732"/>
    <x v="1"/>
    <d v="2023-10-02T00:00:00"/>
    <s v="15976.81"/>
    <s v="Zaakceptowana"/>
    <s v="Faktura VAT"/>
    <s v="Apteka Szpitalna"/>
    <s v="UM-SAL-02"/>
    <b v="0"/>
    <n v="15976.81"/>
    <s v="OK"/>
    <x v="0"/>
    <x v="1"/>
    <s v="2023-10"/>
    <n v="1"/>
  </r>
  <r>
    <s v="FV/6338/NOVA/23"/>
    <s v="PZ/801733"/>
    <x v="2"/>
    <d v="2023-10-02T00:00:00"/>
    <s v="21614.81"/>
    <s v="Zaakceptowana"/>
    <s v="Faktura VAT"/>
    <s v="Apteka Szpitalna"/>
    <s v=""/>
    <b v="0"/>
    <n v="21614.81"/>
    <s v="OK"/>
    <x v="1"/>
    <x v="1"/>
    <s v="2023-10"/>
    <n v="1"/>
  </r>
  <r>
    <s v="FV/49/PP/7426/23"/>
    <s v="PZ/801734"/>
    <x v="6"/>
    <d v="2023-10-03T00:00:00"/>
    <s v="727.17"/>
    <s v="Zaakceptowana"/>
    <s v="Faktura VAT"/>
    <s v="Apteka Szpitalna"/>
    <s v="UM-PHA-02"/>
    <b v="0"/>
    <n v="727.17"/>
    <s v="OK"/>
    <x v="0"/>
    <x v="1"/>
    <s v="2023-10"/>
    <n v="1"/>
  </r>
  <r>
    <s v="FV/CENFA/380806/23"/>
    <s v="PZ/801735"/>
    <x v="4"/>
    <d v="2023-10-03T00:00:00"/>
    <s v="15344.77"/>
    <s v="Zaakceptowana"/>
    <s v="Faktura VAT"/>
    <s v="Apteka Szpitalna"/>
    <s v=""/>
    <b v="0"/>
    <n v="15344.77"/>
    <s v="OK"/>
    <x v="1"/>
    <x v="1"/>
    <s v="2023-10"/>
    <n v="1"/>
  </r>
  <r>
    <s v="FV/92/SAL/23"/>
    <s v="PZ/801736"/>
    <x v="1"/>
    <d v="2023-10-03T00:00:00"/>
    <s v="19860.21"/>
    <s v="Zaakceptowana"/>
    <s v="Faktura VAT"/>
    <s v="Apteka Szpitalna"/>
    <s v="UM-SAL-01"/>
    <b v="0"/>
    <n v="19860.21"/>
    <s v="OK"/>
    <x v="0"/>
    <x v="1"/>
    <s v="2023-10"/>
    <n v="1"/>
  </r>
  <r>
    <s v="FV/4838HM/23"/>
    <s v="PZ/801737"/>
    <x v="3"/>
    <d v="2023-10-04T00:00:00"/>
    <s v="-2010.27"/>
    <s v="Zaakceptowana"/>
    <s v="Korekta FV"/>
    <s v="Apteka Szpitalna"/>
    <s v="UM-HUR-01"/>
    <b v="0"/>
    <n v="-2010.27"/>
    <s v="OK"/>
    <x v="0"/>
    <x v="1"/>
    <s v="2023-10"/>
    <n v="1"/>
  </r>
  <r>
    <s v="FV/87/SAL/23"/>
    <s v="PZ/801738"/>
    <x v="1"/>
    <d v="2023-10-04T00:00:00"/>
    <s v="12278.0"/>
    <s v="Zaakceptowana"/>
    <s v="Faktura VAT"/>
    <s v="Apteka Szpitalna"/>
    <s v="UM-SAL-01"/>
    <b v="0"/>
    <n v="12278"/>
    <s v="OK"/>
    <x v="0"/>
    <x v="1"/>
    <s v="2023-10"/>
    <n v="1"/>
  </r>
  <r>
    <s v="FV/65836/VDb/2023"/>
    <s v="PZ/801739"/>
    <x v="7"/>
    <d v="2023-10-04T00:00:00"/>
    <s v="16818.56"/>
    <s v="Zaakceptowana"/>
    <s v="Faktura VAT"/>
    <s v="Apteka Szpitalna"/>
    <s v="UM-VIT-01"/>
    <b v="0"/>
    <n v="16818.560000000001"/>
    <s v="OK"/>
    <x v="0"/>
    <x v="1"/>
    <s v="2023-10"/>
    <n v="1"/>
  </r>
  <r>
    <s v="FV/6354HM/23"/>
    <s v="PZ/801740"/>
    <x v="3"/>
    <d v="2023-10-05T00:00:00"/>
    <s v="10221.48"/>
    <s v="Zaakceptowana"/>
    <s v="Faktura VAT"/>
    <s v="Apteka Szpitalna"/>
    <s v=""/>
    <b v="0"/>
    <n v="10221.48"/>
    <s v="OK"/>
    <x v="1"/>
    <x v="1"/>
    <s v="2023-10"/>
    <n v="1"/>
  </r>
  <r>
    <s v="FV/CENFA/650196/23"/>
    <s v="PZ/801741"/>
    <x v="4"/>
    <d v="2023-10-05T00:00:00"/>
    <s v="13952.35"/>
    <s v="Zaakceptowana"/>
    <s v="Faktura VAT"/>
    <s v="Apteka Szpitalna"/>
    <s v=""/>
    <b v="0"/>
    <n v="13952.35"/>
    <s v="OK"/>
    <x v="1"/>
    <x v="1"/>
    <s v="2023-10"/>
    <n v="1"/>
  </r>
  <r>
    <s v="FV/4336/NOVA/23"/>
    <s v="PZ/801742"/>
    <x v="2"/>
    <d v="2023-10-05T00:00:00"/>
    <s v="11343.93"/>
    <s v="Zaakceptowana"/>
    <s v="Faktura VAT"/>
    <s v="Apteka Szpitalna"/>
    <s v="UM-NOV-01"/>
    <b v="0"/>
    <n v="11343.93"/>
    <s v="OK"/>
    <x v="0"/>
    <x v="1"/>
    <s v="2023-10"/>
    <n v="1"/>
  </r>
  <r>
    <s v="FV/38/PP/4912/23"/>
    <s v="PZ/801743"/>
    <x v="6"/>
    <d v="2023-10-05T00:00:00"/>
    <s v="19350.77"/>
    <s v="Zaakceptowana"/>
    <s v="Faktura VAT"/>
    <s v="Apteka Szpitalna"/>
    <s v="UM-PHA-02"/>
    <b v="0"/>
    <n v="19350.77"/>
    <s v="OK"/>
    <x v="0"/>
    <x v="1"/>
    <s v="2023-10"/>
    <n v="1"/>
  </r>
  <r>
    <s v="FV/POL/31433/2023"/>
    <s v="PZ/801744"/>
    <x v="0"/>
    <d v="2023-10-05T00:00:00"/>
    <s v="12824.08"/>
    <s v="Zaakceptowana"/>
    <s v="Faktura VAT"/>
    <s v="Apteka Szpitalna"/>
    <s v="UM-POL-02"/>
    <b v="0"/>
    <n v="12824.08"/>
    <s v="OK"/>
    <x v="0"/>
    <x v="1"/>
    <s v="2023-10"/>
    <n v="1"/>
  </r>
  <r>
    <s v="FV/CENFA/831880/23"/>
    <s v="PZ/801745"/>
    <x v="4"/>
    <d v="2023-10-05T00:00:00"/>
    <s v="10691.77"/>
    <s v="Zaakceptowana"/>
    <s v="Faktura VAT"/>
    <s v="Apteka Szpitalna"/>
    <s v="UM-CEN-01"/>
    <b v="0"/>
    <n v="10691.77"/>
    <s v="OK"/>
    <x v="0"/>
    <x v="1"/>
    <s v="2023-10"/>
    <n v="1"/>
  </r>
  <r>
    <s v="FV/31/SAL/23"/>
    <s v="PZ/801746"/>
    <x v="1"/>
    <d v="2023-10-05T00:00:00"/>
    <s v="23147.94"/>
    <s v="Zaakceptowana"/>
    <s v="Faktura VAT"/>
    <s v="Apteka Szpitalna"/>
    <s v="UM-SAL-01"/>
    <b v="0"/>
    <n v="23147.94"/>
    <s v="OK"/>
    <x v="0"/>
    <x v="1"/>
    <s v="2023-10"/>
    <n v="1"/>
  </r>
  <r>
    <s v="FV/72/PP/1610/23"/>
    <s v="PZ/801747"/>
    <x v="6"/>
    <d v="2023-10-06T00:00:00"/>
    <s v="15052.08"/>
    <s v="Zaakceptowana"/>
    <s v="Faktura VAT"/>
    <s v="Apteka Szpitalna"/>
    <s v="UM-PHA-02"/>
    <b v="0"/>
    <n v="15052.08"/>
    <s v="OK"/>
    <x v="0"/>
    <x v="1"/>
    <s v="2023-10"/>
    <n v="1"/>
  </r>
  <r>
    <s v="FV/M/4901/P/23"/>
    <s v="PZ/801748"/>
    <x v="5"/>
    <d v="2023-10-06T00:00:00"/>
    <s v="-2031.12"/>
    <s v="Zaakceptowana"/>
    <s v="Korekta FV"/>
    <s v="Apteka Szpitalna"/>
    <s v="UM-MED-01"/>
    <b v="0"/>
    <n v="-2031.12"/>
    <s v="OK"/>
    <x v="0"/>
    <x v="1"/>
    <s v="2023-10"/>
    <n v="1"/>
  </r>
  <r>
    <s v="FV/POL/94232/2023"/>
    <s v="PZ/801749"/>
    <x v="0"/>
    <d v="2023-10-06T00:00:00"/>
    <s v="15535.41"/>
    <s v="Zaakceptowana"/>
    <s v="Faktura VAT"/>
    <s v="Apteka Szpitalna"/>
    <s v="UM-POL-02"/>
    <b v="0"/>
    <n v="15535.41"/>
    <s v="OK"/>
    <x v="0"/>
    <x v="1"/>
    <s v="2023-10"/>
    <n v="1"/>
  </r>
  <r>
    <s v="FV/8000/NOVA/23"/>
    <s v="PZ/801750"/>
    <x v="2"/>
    <d v="2023-10-08T00:00:00"/>
    <s v="15800.18"/>
    <s v="Zaakceptowana"/>
    <s v="Faktura VAT"/>
    <s v="Apteka Szpitalna"/>
    <s v="UM-NOV-02"/>
    <b v="0"/>
    <n v="15800.18"/>
    <s v="OK"/>
    <x v="0"/>
    <x v="1"/>
    <s v="2023-10"/>
    <n v="1"/>
  </r>
  <r>
    <s v="FV/20/PP/2455/23"/>
    <s v="PZ/801751"/>
    <x v="6"/>
    <d v="2023-10-08T00:00:00"/>
    <s v="21518.21"/>
    <s v="Zaakceptowana"/>
    <s v="Faktura VAT"/>
    <s v="Apteka Szpitalna"/>
    <s v=""/>
    <b v="0"/>
    <n v="21518.21"/>
    <s v="OK"/>
    <x v="1"/>
    <x v="1"/>
    <s v="2023-10"/>
    <n v="1"/>
  </r>
  <r>
    <s v="FV/7816/NOVA/23"/>
    <s v="PZ/801752"/>
    <x v="2"/>
    <d v="2023-10-09T00:00:00"/>
    <s v="13462.91"/>
    <s v="Zaakceptowana"/>
    <s v="Faktura VAT"/>
    <s v="Apteka Szpitalna"/>
    <s v="UM-NOV-03"/>
    <b v="0"/>
    <n v="13462.91"/>
    <s v="OK"/>
    <x v="0"/>
    <x v="1"/>
    <s v="2023-10"/>
    <n v="1"/>
  </r>
  <r>
    <s v="FV/M/6686/P/23"/>
    <s v="PZ/801753"/>
    <x v="5"/>
    <d v="2023-10-09T00:00:00"/>
    <s v="18180.19"/>
    <s v="Zaakceptowana"/>
    <s v="Faktura VAT"/>
    <s v="Apteka Szpitalna"/>
    <s v="UM-MED-01"/>
    <b v="0"/>
    <n v="18180.189999999999"/>
    <s v="OK"/>
    <x v="0"/>
    <x v="1"/>
    <s v="2023-10"/>
    <n v="1"/>
  </r>
  <r>
    <s v="FV/7273HM/23"/>
    <s v="PZ/801754"/>
    <x v="3"/>
    <d v="2023-10-09T00:00:00"/>
    <s v="11393.89"/>
    <s v="Zaakceptowana"/>
    <s v="Faktura VAT"/>
    <s v="Apteka Szpitalna"/>
    <s v="UM-HUR-02"/>
    <b v="0"/>
    <n v="11393.89"/>
    <s v="OK"/>
    <x v="0"/>
    <x v="1"/>
    <s v="2023-10"/>
    <n v="1"/>
  </r>
  <r>
    <s v="FV/CENFA/263421/23"/>
    <s v="PZ/801755"/>
    <x v="4"/>
    <d v="2023-10-10T00:00:00"/>
    <s v="12678.97"/>
    <s v="Zaakceptowana"/>
    <s v="Faktura VAT"/>
    <s v="Apteka Szpitalna"/>
    <s v="UM-CEN-01"/>
    <b v="0"/>
    <n v="12678.97"/>
    <s v="OK"/>
    <x v="0"/>
    <x v="1"/>
    <s v="2023-10"/>
    <n v="1"/>
  </r>
  <r>
    <s v="FV/4048HM/23"/>
    <s v="PZ/801756"/>
    <x v="3"/>
    <d v="2023-10-10T00:00:00"/>
    <s v="20570.42"/>
    <s v="Zaakceptowana"/>
    <s v="Faktura VAT"/>
    <s v="Apteka Szpitalna"/>
    <s v="UM-HUR-02"/>
    <b v="0"/>
    <n v="20570.419999999998"/>
    <s v="OK"/>
    <x v="0"/>
    <x v="1"/>
    <s v="2023-10"/>
    <n v="1"/>
  </r>
  <r>
    <s v="FV/CENFA/239961/23"/>
    <s v="PZ/801757"/>
    <x v="4"/>
    <d v="2023-10-10T00:00:00"/>
    <s v="16887.52"/>
    <s v="Zaakceptowana"/>
    <s v="Faktura VAT"/>
    <s v="Apteka Szpitalna"/>
    <s v="UM-CEN-02"/>
    <b v="0"/>
    <n v="16887.52"/>
    <s v="OK"/>
    <x v="0"/>
    <x v="1"/>
    <s v="2023-10"/>
    <n v="1"/>
  </r>
  <r>
    <s v="FV/75/SAL/23"/>
    <s v="PZ/801758"/>
    <x v="1"/>
    <d v="2023-10-11T00:00:00"/>
    <s v="17514.2"/>
    <s v="Zaakceptowana"/>
    <s v="Faktura VAT"/>
    <s v="Apteka Szpitalna"/>
    <s v="UM-SAL-02"/>
    <b v="0"/>
    <n v="17514.2"/>
    <s v="OK"/>
    <x v="0"/>
    <x v="1"/>
    <s v="2023-10"/>
    <n v="1"/>
  </r>
  <r>
    <s v="FV/71837/VDb/2023"/>
    <s v="PZ/801759"/>
    <x v="7"/>
    <d v="2023-10-11T00:00:00"/>
    <s v="8522.57"/>
    <s v="Zaakceptowana"/>
    <s v="Faktura VAT"/>
    <s v="Apteka Szpitalna"/>
    <s v="UM-VIT-01"/>
    <b v="0"/>
    <n v="8522.57"/>
    <s v="OK"/>
    <x v="0"/>
    <x v="1"/>
    <s v="2023-10"/>
    <n v="1"/>
  </r>
  <r>
    <s v="FV/CENFA/569376/23"/>
    <s v="PZ/801760"/>
    <x v="4"/>
    <d v="2023-10-11T00:00:00"/>
    <s v="15167.49"/>
    <s v="Zaakceptowana"/>
    <s v="Faktura VAT"/>
    <s v="Apteka Szpitalna"/>
    <s v="UM-CEN-02"/>
    <b v="0"/>
    <n v="15167.49"/>
    <s v="OK"/>
    <x v="0"/>
    <x v="1"/>
    <s v="2023-10"/>
    <n v="1"/>
  </r>
  <r>
    <s v="FV/53/SAL/23"/>
    <s v="PZ/801761"/>
    <x v="1"/>
    <d v="2023-10-11T00:00:00"/>
    <s v="15675.1"/>
    <s v="Zaakceptowana"/>
    <s v="Faktura VAT"/>
    <s v="Apteka Szpitalna"/>
    <s v="UM-SAL-01"/>
    <b v="0"/>
    <n v="15675.1"/>
    <s v="OK"/>
    <x v="0"/>
    <x v="1"/>
    <s v="2023-10"/>
    <n v="1"/>
  </r>
  <r>
    <s v="FV/39/PP/6986/23"/>
    <s v="PZ/801762"/>
    <x v="6"/>
    <d v="2023-10-13T00:00:00"/>
    <s v="17892.62"/>
    <s v="Zaakceptowana"/>
    <s v="Faktura VAT"/>
    <s v="Apteka Szpitalna"/>
    <s v="UM-PHA-01"/>
    <b v="0"/>
    <n v="17892.62"/>
    <s v="OK"/>
    <x v="0"/>
    <x v="1"/>
    <s v="2023-10"/>
    <n v="1"/>
  </r>
  <r>
    <s v="FV/42/SAL/23"/>
    <s v="PZ/801763"/>
    <x v="1"/>
    <d v="2023-10-13T00:00:00"/>
    <s v="19240.6"/>
    <s v="Zaakceptowana"/>
    <s v="Faktura VAT"/>
    <s v="Apteka Szpitalna"/>
    <s v="UM-SAL-02"/>
    <b v="0"/>
    <n v="19240.599999999999"/>
    <s v="OK"/>
    <x v="0"/>
    <x v="1"/>
    <s v="2023-10"/>
    <n v="1"/>
  </r>
  <r>
    <s v="FV/12/PP/5760/23"/>
    <s v="PZ/801764"/>
    <x v="6"/>
    <d v="2023-10-13T00:00:00"/>
    <s v="8950.23"/>
    <s v="Zaakceptowana"/>
    <s v="Faktura VAT"/>
    <s v="Apteka Szpitalna"/>
    <s v=""/>
    <b v="0"/>
    <n v="8950.23"/>
    <s v="OK"/>
    <x v="1"/>
    <x v="1"/>
    <s v="2023-10"/>
    <n v="1"/>
  </r>
  <r>
    <s v="FV/19/PP/2772/23"/>
    <s v="PZ/801765"/>
    <x v="6"/>
    <d v="2023-10-13T00:00:00"/>
    <s v="2570.89"/>
    <s v="Zaakceptowana"/>
    <s v="Faktura VAT"/>
    <s v="Apteka Szpitalna"/>
    <s v="UM-PHA-02"/>
    <b v="0"/>
    <n v="2570.89"/>
    <s v="OK"/>
    <x v="0"/>
    <x v="1"/>
    <s v="2023-10"/>
    <n v="1"/>
  </r>
  <r>
    <s v="FV/6094/NOVA/23"/>
    <s v="PZ/801766"/>
    <x v="2"/>
    <d v="2023-10-14T00:00:00"/>
    <s v="22249.67"/>
    <s v="Zaakceptowana"/>
    <s v="Faktura VAT"/>
    <s v="Apteka Szpitalna"/>
    <s v="UM-NOV-01"/>
    <b v="0"/>
    <n v="22249.67"/>
    <s v="OK"/>
    <x v="0"/>
    <x v="1"/>
    <s v="2023-10"/>
    <n v="1"/>
  </r>
  <r>
    <s v="FV/9422/NOVA/23"/>
    <s v="PZ/801767"/>
    <x v="2"/>
    <d v="2023-10-14T00:00:00"/>
    <s v="12228.32"/>
    <s v="Zaakceptowana"/>
    <s v="Faktura VAT"/>
    <s v="Apteka Szpitalna"/>
    <s v="UM-NOV-01"/>
    <b v="0"/>
    <n v="12228.32"/>
    <s v="OK"/>
    <x v="0"/>
    <x v="1"/>
    <s v="2023-10"/>
    <n v="1"/>
  </r>
  <r>
    <s v="FV/96357/VDb/2023"/>
    <s v="PZ/801768"/>
    <x v="7"/>
    <d v="2023-10-14T00:00:00"/>
    <s v="14647.12"/>
    <s v="Zaakceptowana"/>
    <s v="Faktura VAT"/>
    <s v="Apteka Szpitalna"/>
    <s v="UM-VIT-01"/>
    <b v="0"/>
    <n v="14647.12"/>
    <s v="OK"/>
    <x v="0"/>
    <x v="1"/>
    <s v="2023-10"/>
    <n v="1"/>
  </r>
  <r>
    <s v="FV/CENFA/264223/23"/>
    <s v="PZ/801769"/>
    <x v="4"/>
    <d v="2023-10-14T00:00:00"/>
    <s v="20755.39"/>
    <s v="Zaakceptowana"/>
    <s v="Faktura VAT"/>
    <s v="Apteka Szpitalna"/>
    <s v="UM-CEN-02"/>
    <b v="0"/>
    <n v="20755.39"/>
    <s v="OK"/>
    <x v="0"/>
    <x v="1"/>
    <s v="2023-10"/>
    <n v="1"/>
  </r>
  <r>
    <s v="FV/60/PP/7981/23"/>
    <s v="PZ/801770"/>
    <x v="6"/>
    <d v="2023-10-14T00:00:00"/>
    <s v="18552.56"/>
    <s v="Zaakceptowana"/>
    <s v="Faktura VAT"/>
    <s v="Apteka Szpitalna"/>
    <s v="UM-PHA-02"/>
    <b v="0"/>
    <n v="18552.560000000001"/>
    <s v="OK"/>
    <x v="0"/>
    <x v="1"/>
    <s v="2023-10"/>
    <n v="1"/>
  </r>
  <r>
    <s v="FV/M/1812/P/23"/>
    <s v="PZ/801771"/>
    <x v="5"/>
    <d v="2023-10-15T00:00:00"/>
    <s v="9342.91"/>
    <s v="Zaakceptowana"/>
    <s v="Faktura VAT"/>
    <s v="Apteka Szpitalna"/>
    <s v="UM-MED-02"/>
    <b v="0"/>
    <n v="9342.91"/>
    <s v="OK"/>
    <x v="0"/>
    <x v="1"/>
    <s v="2023-10"/>
    <n v="1"/>
  </r>
  <r>
    <s v="FV/7832/NOVA/23"/>
    <s v="PZ/801772"/>
    <x v="2"/>
    <d v="2023-10-15T00:00:00"/>
    <s v="24722.59"/>
    <s v="Zaakceptowana"/>
    <s v="Faktura VAT"/>
    <s v="Apteka Szpitalna"/>
    <s v="UM-NOV-02"/>
    <b v="0"/>
    <n v="24722.59"/>
    <s v="OK"/>
    <x v="0"/>
    <x v="1"/>
    <s v="2023-10"/>
    <n v="1"/>
  </r>
  <r>
    <s v="FV/5811/NOVA/23"/>
    <s v="PZ/801773"/>
    <x v="2"/>
    <d v="2023-10-16T00:00:00"/>
    <s v="16094.13"/>
    <s v="Zaakceptowana"/>
    <s v="Faktura VAT"/>
    <s v="Apteka Szpitalna"/>
    <s v="UM-NOV-01"/>
    <b v="0"/>
    <n v="16094.13"/>
    <s v="OK"/>
    <x v="0"/>
    <x v="1"/>
    <s v="2023-10"/>
    <n v="1"/>
  </r>
  <r>
    <s v="FV/13648/VDb/2023"/>
    <s v="PZ/801774"/>
    <x v="7"/>
    <d v="2023-10-16T00:00:00"/>
    <s v="21227.91"/>
    <s v="Zaakceptowana"/>
    <s v="Faktura VAT"/>
    <s v="Apteka Szpitalna"/>
    <s v="UM-VIT-01"/>
    <b v="0"/>
    <n v="21227.91"/>
    <s v="OK"/>
    <x v="0"/>
    <x v="1"/>
    <s v="2023-10"/>
    <n v="1"/>
  </r>
  <r>
    <s v="FV/M/7523/P/23"/>
    <s v="PZ/801775"/>
    <x v="5"/>
    <d v="2023-10-16T00:00:00"/>
    <s v="13923.34"/>
    <s v="Zaakceptowana"/>
    <s v="Faktura VAT"/>
    <s v="Apteka Szpitalna"/>
    <s v="UM-MED-01"/>
    <b v="0"/>
    <n v="13923.34"/>
    <s v="OK"/>
    <x v="0"/>
    <x v="1"/>
    <s v="2023-10"/>
    <n v="1"/>
  </r>
  <r>
    <s v="FV/53535/VDb/2023"/>
    <s v="PZ/801776"/>
    <x v="7"/>
    <d v="2023-10-17T00:00:00"/>
    <s v="13949.92"/>
    <s v="Zaakceptowana"/>
    <s v="Faktura VAT"/>
    <s v="Apteka Szpitalna"/>
    <s v="UM-VIT-01"/>
    <b v="0"/>
    <n v="13949.92"/>
    <s v="OK"/>
    <x v="0"/>
    <x v="1"/>
    <s v="2023-10"/>
    <n v="1"/>
  </r>
  <r>
    <s v="FV/54/PP/7494/23"/>
    <s v="PZ/801777"/>
    <x v="6"/>
    <d v="2023-10-17T00:00:00"/>
    <s v="11105.63"/>
    <s v="Zaakceptowana"/>
    <s v="Faktura VAT"/>
    <s v="Apteka Szpitalna"/>
    <s v="UM-PHA-01"/>
    <b v="0"/>
    <n v="11105.63"/>
    <s v="OK"/>
    <x v="0"/>
    <x v="1"/>
    <s v="2023-10"/>
    <n v="1"/>
  </r>
  <r>
    <s v="FV/CENFA/259436/23"/>
    <s v="PZ/801778"/>
    <x v="4"/>
    <d v="2023-10-18T00:00:00"/>
    <s v="17030.15"/>
    <s v="Zaakceptowana"/>
    <s v="Faktura VAT"/>
    <s v="Apteka Szpitalna"/>
    <s v="UM-CEN-01"/>
    <b v="0"/>
    <n v="17030.150000000001"/>
    <s v="OK"/>
    <x v="0"/>
    <x v="1"/>
    <s v="2023-10"/>
    <n v="1"/>
  </r>
  <r>
    <s v="FV/POL/40060/2023"/>
    <s v="PZ/801779"/>
    <x v="0"/>
    <d v="2023-10-18T00:00:00"/>
    <s v="8932.12"/>
    <s v="Zaakceptowana"/>
    <s v="Faktura VAT"/>
    <s v="Apteka Szpitalna"/>
    <s v=""/>
    <b v="0"/>
    <n v="8932.1200000000008"/>
    <s v="OK"/>
    <x v="1"/>
    <x v="1"/>
    <s v="2023-10"/>
    <n v="1"/>
  </r>
  <r>
    <s v="FV/CENFA/772559/23"/>
    <s v="PZ/801780"/>
    <x v="4"/>
    <d v="2023-10-20T00:00:00"/>
    <s v="17468.65"/>
    <s v="Zaakceptowana"/>
    <s v="Faktura VAT"/>
    <s v="Apteka Szpitalna"/>
    <s v="UM-CEN-02"/>
    <b v="0"/>
    <n v="17468.650000000001"/>
    <s v="OK"/>
    <x v="0"/>
    <x v="1"/>
    <s v="2023-10"/>
    <n v="1"/>
  </r>
  <r>
    <s v="FV/5794HM/23"/>
    <s v="PZ/801781"/>
    <x v="3"/>
    <d v="2023-10-20T00:00:00"/>
    <s v="11426.04"/>
    <s v="Zaakceptowana"/>
    <s v="Faktura VAT"/>
    <s v="Apteka Szpitalna"/>
    <s v="UM-HUR-01"/>
    <b v="0"/>
    <n v="11426.04"/>
    <s v="OK"/>
    <x v="0"/>
    <x v="1"/>
    <s v="2023-10"/>
    <n v="1"/>
  </r>
  <r>
    <s v="FV/8893HM/23"/>
    <s v="PZ/801782"/>
    <x v="3"/>
    <d v="2023-10-20T00:00:00"/>
    <s v="16560.48"/>
    <s v="Zaakceptowana"/>
    <s v="Faktura VAT"/>
    <s v="Apteka Szpitalna"/>
    <s v="UM-HUR-01"/>
    <b v="0"/>
    <n v="16560.48"/>
    <s v="OK"/>
    <x v="0"/>
    <x v="1"/>
    <s v="2023-10"/>
    <n v="1"/>
  </r>
  <r>
    <s v="FV/POL/75839/2023"/>
    <s v="PZ/801783"/>
    <x v="0"/>
    <d v="2023-10-20T00:00:00"/>
    <s v="7604.29"/>
    <s v="Zaakceptowana"/>
    <s v="Faktura VAT"/>
    <s v="Apteka Szpitalna"/>
    <s v="UM-POL-01"/>
    <b v="0"/>
    <n v="7604.29"/>
    <s v="OK"/>
    <x v="0"/>
    <x v="1"/>
    <s v="2023-10"/>
    <n v="1"/>
  </r>
  <r>
    <s v="FV/33/SAL/23"/>
    <s v="PZ/801784"/>
    <x v="1"/>
    <d v="2023-10-20T00:00:00"/>
    <s v="9824.98"/>
    <s v="Zaakceptowana"/>
    <s v="Faktura VAT"/>
    <s v="Apteka Szpitalna"/>
    <s v="UM-SAL-01"/>
    <b v="0"/>
    <n v="9824.98"/>
    <s v="OK"/>
    <x v="0"/>
    <x v="1"/>
    <s v="2023-10"/>
    <n v="1"/>
  </r>
  <r>
    <s v="FV/M/8054/P/23"/>
    <s v="PZ/801785"/>
    <x v="5"/>
    <d v="2023-10-20T00:00:00"/>
    <s v="9474.45"/>
    <s v="Zaakceptowana"/>
    <s v="Faktura VAT"/>
    <s v="Apteka Szpitalna"/>
    <s v="UM-MED-01"/>
    <b v="0"/>
    <n v="9474.4500000000007"/>
    <s v="OK"/>
    <x v="0"/>
    <x v="1"/>
    <s v="2023-10"/>
    <n v="1"/>
  </r>
  <r>
    <s v="FV/59/SAL/23"/>
    <s v="PZ/801786"/>
    <x v="1"/>
    <d v="2023-10-21T00:00:00"/>
    <s v="12276.15"/>
    <s v="Zaakceptowana"/>
    <s v="Faktura VAT"/>
    <s v="Apteka Szpitalna"/>
    <s v="UM-SAL-01"/>
    <b v="0"/>
    <n v="12276.15"/>
    <s v="OK"/>
    <x v="0"/>
    <x v="1"/>
    <s v="2023-10"/>
    <n v="1"/>
  </r>
  <r>
    <s v="FV/50/SAL/23"/>
    <s v="PZ/801787"/>
    <x v="1"/>
    <d v="2023-10-22T00:00:00"/>
    <s v="17748.65"/>
    <s v="Zaakceptowana"/>
    <s v="Faktura VAT"/>
    <s v="Apteka Szpitalna"/>
    <s v=""/>
    <b v="0"/>
    <n v="17748.650000000001"/>
    <s v="OK"/>
    <x v="1"/>
    <x v="1"/>
    <s v="2023-10"/>
    <n v="1"/>
  </r>
  <r>
    <s v="FV/M/2472/P/23"/>
    <s v="PZ/801788"/>
    <x v="5"/>
    <d v="2023-10-22T00:00:00"/>
    <s v="6027.84"/>
    <s v="Zaakceptowana"/>
    <s v="Faktura VAT"/>
    <s v="Apteka Szpitalna"/>
    <s v="UM-MED-02"/>
    <b v="0"/>
    <n v="6027.84"/>
    <s v="OK"/>
    <x v="0"/>
    <x v="1"/>
    <s v="2023-10"/>
    <n v="1"/>
  </r>
  <r>
    <s v="FV/M/4896/P/23"/>
    <s v="PZ/801789"/>
    <x v="5"/>
    <d v="2023-10-22T00:00:00"/>
    <s v="8938.33"/>
    <s v="Zaakceptowana"/>
    <s v="Faktura VAT"/>
    <s v="Apteka Szpitalna"/>
    <s v=""/>
    <b v="0"/>
    <n v="8938.33"/>
    <s v="OK"/>
    <x v="1"/>
    <x v="1"/>
    <s v="2023-10"/>
    <n v="1"/>
  </r>
  <r>
    <s v="FV/93/PP/7493/23"/>
    <s v="PZ/801790"/>
    <x v="6"/>
    <d v="2023-10-22T00:00:00"/>
    <s v="3742.55"/>
    <s v="Zaakceptowana"/>
    <s v="Faktura VAT"/>
    <s v="Apteka Szpitalna"/>
    <s v="UM-PHA-01"/>
    <b v="0"/>
    <n v="3742.55"/>
    <s v="OK"/>
    <x v="0"/>
    <x v="1"/>
    <s v="2023-10"/>
    <n v="1"/>
  </r>
  <r>
    <s v="FV/CENFA/531973/23"/>
    <s v="PZ/801791"/>
    <x v="4"/>
    <d v="2023-10-22T00:00:00"/>
    <s v="13668.53"/>
    <s v="Zaakceptowana"/>
    <s v="Faktura VAT"/>
    <s v="Apteka Szpitalna"/>
    <s v="UM-CEN-01"/>
    <b v="0"/>
    <n v="13668.53"/>
    <s v="OK"/>
    <x v="0"/>
    <x v="1"/>
    <s v="2023-10"/>
    <n v="1"/>
  </r>
  <r>
    <s v="FV/CENFA/707924/23"/>
    <s v="PZ/801792"/>
    <x v="4"/>
    <d v="2023-10-23T00:00:00"/>
    <s v="17937.37"/>
    <s v="Zaakceptowana"/>
    <s v="Faktura VAT"/>
    <s v="Apteka Szpitalna"/>
    <s v="UM-CEN-02"/>
    <b v="0"/>
    <n v="17937.37"/>
    <s v="OK"/>
    <x v="0"/>
    <x v="1"/>
    <s v="2023-10"/>
    <n v="1"/>
  </r>
  <r>
    <s v="FV/91/SAL/23"/>
    <s v="PZ/801793"/>
    <x v="1"/>
    <d v="2023-10-23T00:00:00"/>
    <s v="15779.59"/>
    <s v="Zaakceptowana"/>
    <s v="Faktura VAT"/>
    <s v="Apteka Szpitalna"/>
    <s v="UM-SAL-01"/>
    <b v="0"/>
    <n v="15779.59"/>
    <s v="OK"/>
    <x v="0"/>
    <x v="1"/>
    <s v="2023-10"/>
    <n v="1"/>
  </r>
  <r>
    <s v="FV/58/PP/7331/23"/>
    <s v="PZ/801794"/>
    <x v="6"/>
    <d v="2023-10-23T00:00:00"/>
    <s v="18683.57"/>
    <s v="Zaakceptowana"/>
    <s v="Faktura VAT"/>
    <s v="Apteka Szpitalna"/>
    <s v=""/>
    <b v="0"/>
    <n v="18683.57"/>
    <s v="OK"/>
    <x v="1"/>
    <x v="1"/>
    <s v="2023-10"/>
    <n v="1"/>
  </r>
  <r>
    <s v="FV/6350/NOVA/23"/>
    <s v="PZ/801795"/>
    <x v="2"/>
    <d v="2023-10-24T00:00:00"/>
    <s v="12297.26"/>
    <s v="Zaakceptowana"/>
    <s v="Faktura VAT"/>
    <s v="Apteka Szpitalna"/>
    <s v="UM-NOV-02"/>
    <b v="0"/>
    <n v="12297.26"/>
    <s v="OK"/>
    <x v="0"/>
    <x v="1"/>
    <s v="2023-10"/>
    <n v="1"/>
  </r>
  <r>
    <s v="FV/CENFA/668876/23"/>
    <s v="PZ/801796"/>
    <x v="4"/>
    <d v="2023-10-24T00:00:00"/>
    <s v="5975.87"/>
    <s v="Zaakceptowana"/>
    <s v="Faktura VAT"/>
    <s v="Apteka Szpitalna"/>
    <s v="UM-CEN-01"/>
    <b v="0"/>
    <n v="5975.87"/>
    <s v="OK"/>
    <x v="0"/>
    <x v="1"/>
    <s v="2023-10"/>
    <n v="1"/>
  </r>
  <r>
    <s v="FV/61/PP/6329/23"/>
    <s v="PZ/801797"/>
    <x v="6"/>
    <d v="2023-10-25T00:00:00"/>
    <s v="8437.92"/>
    <s v="Zaakceptowana"/>
    <s v="Faktura VAT"/>
    <s v="Apteka Szpitalna"/>
    <s v=""/>
    <b v="0"/>
    <n v="8437.92"/>
    <s v="OK"/>
    <x v="1"/>
    <x v="1"/>
    <s v="2023-10"/>
    <n v="1"/>
  </r>
  <r>
    <s v="FV/2854/NOVA/23"/>
    <s v="PZ/801798"/>
    <x v="2"/>
    <d v="2023-10-25T00:00:00"/>
    <s v="23882.42"/>
    <s v="Zaakceptowana"/>
    <s v="Faktura VAT"/>
    <s v="Apteka Szpitalna"/>
    <s v="UM-NOV-03"/>
    <b v="0"/>
    <n v="23882.42"/>
    <s v="OK"/>
    <x v="0"/>
    <x v="1"/>
    <s v="2023-10"/>
    <n v="1"/>
  </r>
  <r>
    <s v="FV/POL/45855/2023"/>
    <s v="PZ/801799"/>
    <x v="0"/>
    <d v="2023-10-25T00:00:00"/>
    <s v="14585.1"/>
    <s v="Zaakceptowana"/>
    <s v="Faktura VAT"/>
    <s v="Apteka Szpitalna"/>
    <s v="UM-POL-02"/>
    <b v="0"/>
    <n v="14585.1"/>
    <s v="OK"/>
    <x v="0"/>
    <x v="1"/>
    <s v="2023-10"/>
    <n v="1"/>
  </r>
  <r>
    <s v="FV/M/2106/P/23"/>
    <s v="PZ/801800"/>
    <x v="5"/>
    <d v="2023-10-25T00:00:00"/>
    <s v="21865.0"/>
    <s v="Zaakceptowana"/>
    <s v="Faktura VAT"/>
    <s v="Apteka Szpitalna"/>
    <s v="UM-MED-01"/>
    <b v="0"/>
    <n v="21865"/>
    <s v="OK"/>
    <x v="0"/>
    <x v="1"/>
    <s v="2023-10"/>
    <n v="1"/>
  </r>
  <r>
    <s v="FV/59141/VDb/2023"/>
    <s v="PZ/801801"/>
    <x v="7"/>
    <d v="2023-10-26T00:00:00"/>
    <s v="19307.61"/>
    <s v="Zaakceptowana"/>
    <s v="Faktura VAT"/>
    <s v="Apteka Szpitalna"/>
    <s v="UM-VIT-01"/>
    <b v="0"/>
    <n v="19307.61"/>
    <s v="OK"/>
    <x v="0"/>
    <x v="1"/>
    <s v="2023-10"/>
    <n v="1"/>
  </r>
  <r>
    <s v="FV/2764/NOVA/23"/>
    <s v="PZ/801802"/>
    <x v="2"/>
    <d v="2023-10-26T00:00:00"/>
    <s v="6209.6"/>
    <s v="Zaakceptowana"/>
    <s v="Faktura VAT"/>
    <s v="Apteka Szpitalna"/>
    <s v="UM-NOV-01"/>
    <b v="0"/>
    <n v="6209.6"/>
    <s v="OK"/>
    <x v="0"/>
    <x v="1"/>
    <s v="2023-10"/>
    <n v="1"/>
  </r>
  <r>
    <s v="FV/M/6084/P/23"/>
    <s v="PZ/801803"/>
    <x v="5"/>
    <d v="2023-10-27T00:00:00"/>
    <s v="27686.64"/>
    <s v="Zaakceptowana"/>
    <s v="Faktura VAT"/>
    <s v="Apteka Szpitalna"/>
    <s v=""/>
    <b v="0"/>
    <n v="27686.639999999999"/>
    <s v="OK"/>
    <x v="1"/>
    <x v="1"/>
    <s v="2023-10"/>
    <n v="1"/>
  </r>
  <r>
    <s v="FV/69/PP/4371/23"/>
    <s v="PZ/801804"/>
    <x v="6"/>
    <d v="2023-10-27T00:00:00"/>
    <s v="13132.13"/>
    <s v="Zaakceptowana"/>
    <s v="Faktura VAT"/>
    <s v="Apteka Szpitalna"/>
    <s v="UM-PHA-02"/>
    <b v="0"/>
    <n v="13132.13"/>
    <s v="OK"/>
    <x v="0"/>
    <x v="1"/>
    <s v="2023-10"/>
    <n v="1"/>
  </r>
  <r>
    <s v="FV/66/SAL/23"/>
    <s v="PZ/801805"/>
    <x v="1"/>
    <d v="2023-10-28T00:00:00"/>
    <s v="10332.3"/>
    <s v="Zaakceptowana"/>
    <s v="Faktura VAT"/>
    <s v="Apteka Szpitalna"/>
    <s v="UM-SAL-02"/>
    <b v="0"/>
    <n v="10332.299999999999"/>
    <s v="OK"/>
    <x v="0"/>
    <x v="1"/>
    <s v="2023-10"/>
    <n v="1"/>
  </r>
  <r>
    <s v="FV/CENFA/448678/23"/>
    <s v="PZ/801806"/>
    <x v="4"/>
    <d v="2023-10-28T00:00:00"/>
    <s v="11815.52"/>
    <s v="Zaakceptowana"/>
    <s v="Faktura VAT"/>
    <s v="Apteka Szpitalna"/>
    <s v=""/>
    <b v="0"/>
    <n v="11815.52"/>
    <s v="OK"/>
    <x v="1"/>
    <x v="1"/>
    <s v="2023-10"/>
    <n v="1"/>
  </r>
  <r>
    <s v="FV/55/SAL/23"/>
    <s v="PZ/801807"/>
    <x v="1"/>
    <d v="2023-10-29T00:00:00"/>
    <s v="-2659.08"/>
    <s v="Zaakceptowana"/>
    <s v="Korekta FV"/>
    <s v="Apteka Szpitalna"/>
    <s v="UM-SAL-02"/>
    <b v="0"/>
    <n v="-2659.08"/>
    <s v="OK"/>
    <x v="0"/>
    <x v="1"/>
    <s v="2023-10"/>
    <n v="1"/>
  </r>
  <r>
    <s v="FV/POL/67886/2023"/>
    <s v="PZ/801808"/>
    <x v="0"/>
    <d v="2023-10-29T00:00:00"/>
    <s v="7926.0"/>
    <s v="Zaakceptowana"/>
    <s v="Faktura VAT"/>
    <s v="Apteka Szpitalna"/>
    <s v="UM-POL-02"/>
    <b v="0"/>
    <n v="7926"/>
    <s v="OK"/>
    <x v="0"/>
    <x v="1"/>
    <s v="2023-10"/>
    <n v="1"/>
  </r>
  <r>
    <s v="FV/37/PP/7956/23"/>
    <s v="PZ/801809"/>
    <x v="6"/>
    <d v="2023-10-29T00:00:00"/>
    <s v="18255.98"/>
    <s v="Zaakceptowana"/>
    <s v="Faktura VAT"/>
    <s v="Apteka Szpitalna"/>
    <s v="UM-PHA-01"/>
    <b v="0"/>
    <n v="18255.98"/>
    <s v="OK"/>
    <x v="0"/>
    <x v="1"/>
    <s v="2023-10"/>
    <n v="1"/>
  </r>
  <r>
    <s v="FV/M/6429/P/23"/>
    <s v="PZ/801810"/>
    <x v="5"/>
    <d v="2023-10-29T00:00:00"/>
    <s v="18769.84"/>
    <s v="Zaakceptowana"/>
    <s v="Faktura VAT"/>
    <s v="Apteka Szpitalna"/>
    <s v="UM-MED-01"/>
    <b v="0"/>
    <n v="18769.84"/>
    <s v="OK"/>
    <x v="0"/>
    <x v="1"/>
    <s v="2023-10"/>
    <n v="1"/>
  </r>
  <r>
    <s v="FV/92/SAL/23"/>
    <s v="PZ/801811"/>
    <x v="1"/>
    <d v="2023-10-29T00:00:00"/>
    <s v="11060.25"/>
    <s v="Zaakceptowana"/>
    <s v="Faktura VAT"/>
    <s v="Apteka Szpitalna"/>
    <s v="UM-SAL-02"/>
    <b v="0"/>
    <n v="11060.25"/>
    <s v="OK"/>
    <x v="0"/>
    <x v="1"/>
    <s v="2023-10"/>
    <n v="1"/>
  </r>
  <r>
    <s v="FV/CENFA/531769/23"/>
    <s v="PZ/801812"/>
    <x v="4"/>
    <d v="2023-11-01T00:00:00"/>
    <s v="17571.64"/>
    <s v="Zaakceptowana"/>
    <s v="Faktura VAT"/>
    <s v="Apteka Szpitalna"/>
    <s v="UM-CEN-01"/>
    <b v="0"/>
    <n v="17571.64"/>
    <s v="OK"/>
    <x v="0"/>
    <x v="1"/>
    <s v="2023-11"/>
    <n v="1"/>
  </r>
  <r>
    <s v="FV/76/SAL/23"/>
    <s v="PZ/801813"/>
    <x v="1"/>
    <d v="2023-11-01T00:00:00"/>
    <s v="20871.48"/>
    <s v="Zaakceptowana"/>
    <s v="Faktura VAT"/>
    <s v="Apteka Szpitalna"/>
    <s v=""/>
    <b v="0"/>
    <n v="20871.48"/>
    <s v="OK"/>
    <x v="1"/>
    <x v="1"/>
    <s v="2023-11"/>
    <n v="1"/>
  </r>
  <r>
    <s v="FV/77924/VDb/2023"/>
    <s v="PZ/801814"/>
    <x v="7"/>
    <d v="2023-11-02T00:00:00"/>
    <s v="21085.99"/>
    <s v="Zaakceptowana"/>
    <s v="Faktura VAT"/>
    <s v="Apteka Szpitalna"/>
    <s v=""/>
    <b v="0"/>
    <n v="21085.99"/>
    <s v="OK"/>
    <x v="1"/>
    <x v="1"/>
    <s v="2023-11"/>
    <n v="1"/>
  </r>
  <r>
    <s v="FV/22817/VDb/2023"/>
    <s v="PZ/801815"/>
    <x v="7"/>
    <d v="2023-11-02T00:00:00"/>
    <s v="14646.2"/>
    <s v="Zaakceptowana"/>
    <s v="Faktura VAT"/>
    <s v="Apteka Szpitalna"/>
    <s v="UM-VIT-01"/>
    <b v="0"/>
    <n v="14646.2"/>
    <s v="OK"/>
    <x v="0"/>
    <x v="1"/>
    <s v="2023-11"/>
    <n v="1"/>
  </r>
  <r>
    <s v="FV/39/SAL/23"/>
    <s v="PZ/801816"/>
    <x v="1"/>
    <d v="2023-11-02T00:00:00"/>
    <s v="16724.47"/>
    <s v="Zaakceptowana"/>
    <s v="Faktura VAT"/>
    <s v="Apteka Szpitalna"/>
    <s v=""/>
    <b v="0"/>
    <n v="16724.47"/>
    <s v="OK"/>
    <x v="1"/>
    <x v="1"/>
    <s v="2023-11"/>
    <n v="1"/>
  </r>
  <r>
    <s v="FV/2631HM/23"/>
    <s v="PZ/801817"/>
    <x v="3"/>
    <d v="2023-11-03T00:00:00"/>
    <s v="7806.49"/>
    <s v="Zaakceptowana"/>
    <s v="Faktura VAT"/>
    <s v="Apteka Szpitalna"/>
    <s v=""/>
    <b v="0"/>
    <n v="7806.49"/>
    <s v="OK"/>
    <x v="1"/>
    <x v="1"/>
    <s v="2023-11"/>
    <n v="1"/>
  </r>
  <r>
    <s v="FV/93/SAL/23"/>
    <s v="PZ/801818"/>
    <x v="1"/>
    <d v="2023-11-03T00:00:00"/>
    <s v="20741.23"/>
    <s v="Zaakceptowana"/>
    <s v="Faktura VAT"/>
    <s v="Apteka Szpitalna"/>
    <s v="UM-SAL-01"/>
    <b v="0"/>
    <n v="20741.23"/>
    <s v="OK"/>
    <x v="0"/>
    <x v="1"/>
    <s v="2023-11"/>
    <n v="1"/>
  </r>
  <r>
    <s v="FV/8598/NOVA/23"/>
    <s v="PZ/801819"/>
    <x v="2"/>
    <d v="2023-11-03T00:00:00"/>
    <s v="14476.87"/>
    <s v="Zaakceptowana"/>
    <s v="Faktura VAT"/>
    <s v="Apteka Szpitalna"/>
    <s v="UM-NOV-03"/>
    <b v="0"/>
    <n v="14476.87"/>
    <s v="OK"/>
    <x v="0"/>
    <x v="1"/>
    <s v="2023-11"/>
    <n v="1"/>
  </r>
  <r>
    <s v="FV/M/7622/P/23"/>
    <s v="PZ/801820"/>
    <x v="5"/>
    <d v="2023-11-04T00:00:00"/>
    <s v="12587.5"/>
    <s v="Zaakceptowana"/>
    <s v="Faktura VAT"/>
    <s v="Apteka Szpitalna"/>
    <s v="UM-MED-01"/>
    <b v="0"/>
    <n v="12587.5"/>
    <s v="OK"/>
    <x v="0"/>
    <x v="1"/>
    <s v="2023-11"/>
    <n v="1"/>
  </r>
  <r>
    <s v="FV/M/7040/P/23"/>
    <s v="PZ/801821"/>
    <x v="5"/>
    <d v="2023-11-04T00:00:00"/>
    <s v="17738.01"/>
    <s v="Zaakceptowana"/>
    <s v="Faktura VAT"/>
    <s v="Apteka Szpitalna"/>
    <s v="UM-MED-01"/>
    <b v="0"/>
    <n v="17738.009999999998"/>
    <s v="OK"/>
    <x v="0"/>
    <x v="1"/>
    <s v="2023-11"/>
    <n v="1"/>
  </r>
  <r>
    <s v="FV/8386HM/23"/>
    <s v="PZ/801822"/>
    <x v="3"/>
    <d v="2023-11-04T00:00:00"/>
    <s v="18613.85"/>
    <s v="Zaakceptowana"/>
    <s v="Faktura VAT"/>
    <s v="Apteka Szpitalna"/>
    <s v="UM-HUR-03"/>
    <b v="0"/>
    <n v="18613.849999999999"/>
    <s v="OK"/>
    <x v="0"/>
    <x v="1"/>
    <s v="2023-11"/>
    <n v="1"/>
  </r>
  <r>
    <s v="FV/41/SAL/23"/>
    <s v="PZ/801823"/>
    <x v="1"/>
    <d v="2023-11-05T00:00:00"/>
    <s v="20631.74"/>
    <s v="Zaakceptowana"/>
    <s v="Faktura VAT"/>
    <s v="Apteka Szpitalna"/>
    <s v="UM-SAL-02"/>
    <b v="0"/>
    <n v="20631.740000000002"/>
    <s v="OK"/>
    <x v="0"/>
    <x v="1"/>
    <s v="2023-11"/>
    <n v="1"/>
  </r>
  <r>
    <s v="FV/9396/NOVA/23"/>
    <s v="PZ/801824"/>
    <x v="2"/>
    <d v="2023-11-06T00:00:00"/>
    <s v="20037.33"/>
    <s v="Zaakceptowana"/>
    <s v="Faktura VAT"/>
    <s v="Apteka Szpitalna"/>
    <s v="UM-NOV-01"/>
    <b v="0"/>
    <n v="20037.330000000002"/>
    <s v="OK"/>
    <x v="0"/>
    <x v="1"/>
    <s v="2023-11"/>
    <n v="1"/>
  </r>
  <r>
    <s v="FV/POL/30313/2023"/>
    <s v="PZ/801825"/>
    <x v="0"/>
    <d v="2023-11-07T00:00:00"/>
    <s v="16287.11"/>
    <s v="Zaakceptowana"/>
    <s v="Faktura VAT"/>
    <s v="Apteka Szpitalna"/>
    <s v="UM-POL-01"/>
    <b v="0"/>
    <n v="16287.11"/>
    <s v="OK"/>
    <x v="0"/>
    <x v="1"/>
    <s v="2023-11"/>
    <n v="1"/>
  </r>
  <r>
    <s v="FV/M/3963/P/23"/>
    <s v="PZ/801826"/>
    <x v="5"/>
    <d v="2023-11-07T00:00:00"/>
    <s v="21794.01"/>
    <s v="Zaakceptowana"/>
    <s v="Faktura VAT"/>
    <s v="Apteka Szpitalna"/>
    <s v="UM-MED-01"/>
    <b v="0"/>
    <n v="21794.01"/>
    <s v="OK"/>
    <x v="0"/>
    <x v="1"/>
    <s v="2023-11"/>
    <n v="1"/>
  </r>
  <r>
    <s v="FV/CENFA/751008/23"/>
    <s v="PZ/801827"/>
    <x v="4"/>
    <d v="2023-11-07T00:00:00"/>
    <s v="6672.61"/>
    <s v="Zaakceptowana"/>
    <s v="Faktura VAT"/>
    <s v="Apteka Szpitalna"/>
    <s v="UM-CEN-02"/>
    <b v="0"/>
    <n v="6672.61"/>
    <s v="OK"/>
    <x v="0"/>
    <x v="1"/>
    <s v="2023-11"/>
    <n v="1"/>
  </r>
  <r>
    <s v="FV/1437HM/23"/>
    <s v="PZ/801828"/>
    <x v="3"/>
    <d v="2023-11-07T00:00:00"/>
    <s v="7218.34"/>
    <s v="Zaakceptowana"/>
    <s v="Faktura VAT"/>
    <s v="Apteka Szpitalna"/>
    <s v="UM-HUR-01"/>
    <b v="0"/>
    <n v="7218.34"/>
    <s v="OK"/>
    <x v="0"/>
    <x v="1"/>
    <s v="2023-11"/>
    <n v="1"/>
  </r>
  <r>
    <s v="FV/CENFA/869850/23"/>
    <s v="PZ/801829"/>
    <x v="4"/>
    <d v="2023-11-08T00:00:00"/>
    <s v="6374.71"/>
    <s v="Zaakceptowana"/>
    <s v="Faktura VAT"/>
    <s v="Apteka Szpitalna"/>
    <s v="UM-CEN-01"/>
    <b v="0"/>
    <n v="6374.71"/>
    <s v="OK"/>
    <x v="0"/>
    <x v="1"/>
    <s v="2023-11"/>
    <n v="1"/>
  </r>
  <r>
    <s v="FV/81/SAL/23"/>
    <s v="PZ/801830"/>
    <x v="1"/>
    <d v="2023-11-08T00:00:00"/>
    <s v="9293.02"/>
    <s v="Zaakceptowana"/>
    <s v="Faktura VAT"/>
    <s v="Apteka Szpitalna"/>
    <s v="UM-SAL-02"/>
    <b v="0"/>
    <n v="9293.02"/>
    <s v="OK"/>
    <x v="0"/>
    <x v="1"/>
    <s v="2023-11"/>
    <n v="1"/>
  </r>
  <r>
    <s v="FV/M/5193/P/23"/>
    <s v="PZ/801831"/>
    <x v="5"/>
    <d v="2023-11-09T00:00:00"/>
    <s v="14609.96"/>
    <s v="Zaakceptowana"/>
    <s v="Faktura VAT"/>
    <s v="Apteka Szpitalna"/>
    <s v="UM-MED-01"/>
    <b v="0"/>
    <n v="14609.96"/>
    <s v="OK"/>
    <x v="0"/>
    <x v="1"/>
    <s v="2023-11"/>
    <n v="1"/>
  </r>
  <r>
    <s v="FV/4545/NOVA/23"/>
    <s v="PZ/801832"/>
    <x v="2"/>
    <d v="2023-11-09T00:00:00"/>
    <s v="17432.48"/>
    <s v="Zaakceptowana"/>
    <s v="Faktura VAT"/>
    <s v="Apteka Szpitalna"/>
    <s v="UM-NOV-03"/>
    <b v="0"/>
    <n v="17432.48"/>
    <s v="OK"/>
    <x v="0"/>
    <x v="1"/>
    <s v="2023-11"/>
    <n v="1"/>
  </r>
  <r>
    <s v="FV/M/8713/P/23"/>
    <s v="PZ/801833"/>
    <x v="5"/>
    <d v="2023-11-10T00:00:00"/>
    <s v="7044.08"/>
    <s v="Zaakceptowana"/>
    <s v="Faktura VAT"/>
    <s v="Apteka Szpitalna"/>
    <s v="UM-MED-02"/>
    <b v="0"/>
    <n v="7044.08"/>
    <s v="OK"/>
    <x v="0"/>
    <x v="1"/>
    <s v="2023-11"/>
    <n v="1"/>
  </r>
  <r>
    <s v="FV/48/SAL/23"/>
    <s v="PZ/801834"/>
    <x v="1"/>
    <d v="2023-11-10T00:00:00"/>
    <s v="16656.33"/>
    <s v="Zaakceptowana"/>
    <s v="Faktura VAT"/>
    <s v="Apteka Szpitalna"/>
    <s v="UM-SAL-02"/>
    <b v="0"/>
    <n v="16656.330000000002"/>
    <s v="OK"/>
    <x v="0"/>
    <x v="1"/>
    <s v="2023-11"/>
    <n v="1"/>
  </r>
  <r>
    <s v="FV/M/2494/P/23"/>
    <s v="PZ/801835"/>
    <x v="5"/>
    <d v="2023-11-10T00:00:00"/>
    <s v="12713.95"/>
    <s v="Zaakceptowana"/>
    <s v="Faktura VAT"/>
    <s v="Apteka Szpitalna"/>
    <s v="UM-MED-01"/>
    <b v="0"/>
    <n v="12713.95"/>
    <s v="OK"/>
    <x v="0"/>
    <x v="1"/>
    <s v="2023-11"/>
    <n v="1"/>
  </r>
  <r>
    <s v="FV/89/SAL/23"/>
    <s v="PZ/801836"/>
    <x v="1"/>
    <d v="2023-11-10T00:00:00"/>
    <s v="19018.96"/>
    <s v="Zaakceptowana"/>
    <s v="Faktura VAT"/>
    <s v="Apteka Szpitalna"/>
    <s v=""/>
    <b v="0"/>
    <n v="19018.96"/>
    <s v="OK"/>
    <x v="1"/>
    <x v="1"/>
    <s v="2023-11"/>
    <n v="1"/>
  </r>
  <r>
    <s v="FV/CENFA/671402/23"/>
    <s v="PZ/801837"/>
    <x v="4"/>
    <d v="2023-11-10T00:00:00"/>
    <s v="16905.69"/>
    <s v="Zaakceptowana"/>
    <s v="Faktura VAT"/>
    <s v="Apteka Szpitalna"/>
    <s v="UM-CEN-02"/>
    <b v="0"/>
    <n v="16905.689999999999"/>
    <s v="OK"/>
    <x v="0"/>
    <x v="1"/>
    <s v="2023-11"/>
    <n v="1"/>
  </r>
  <r>
    <s v="FV/POL/54348/2023"/>
    <s v="PZ/801838"/>
    <x v="0"/>
    <d v="2023-11-10T00:00:00"/>
    <s v="21529.5"/>
    <s v="Zaakceptowana"/>
    <s v="Faktura VAT"/>
    <s v="Apteka Szpitalna"/>
    <s v="UM-POL-03"/>
    <b v="0"/>
    <n v="21529.5"/>
    <s v="OK"/>
    <x v="0"/>
    <x v="1"/>
    <s v="2023-11"/>
    <n v="1"/>
  </r>
  <r>
    <s v="FV/7048HM/23"/>
    <s v="PZ/801839"/>
    <x v="3"/>
    <d v="2023-11-11T00:00:00"/>
    <s v="16564.56"/>
    <s v="Zaakceptowana"/>
    <s v="Faktura VAT"/>
    <s v="Apteka Szpitalna"/>
    <s v="UM-HUR-02"/>
    <b v="0"/>
    <n v="16564.560000000001"/>
    <s v="OK"/>
    <x v="0"/>
    <x v="1"/>
    <s v="2023-11"/>
    <n v="1"/>
  </r>
  <r>
    <s v="FV/POL/99188/2023"/>
    <s v="PZ/801840"/>
    <x v="0"/>
    <d v="2023-11-11T00:00:00"/>
    <s v="8363.33"/>
    <s v="Zaakceptowana"/>
    <s v="Faktura VAT"/>
    <s v="Apteka Szpitalna"/>
    <s v=""/>
    <b v="0"/>
    <n v="8363.33"/>
    <s v="OK"/>
    <x v="1"/>
    <x v="1"/>
    <s v="2023-11"/>
    <n v="1"/>
  </r>
  <r>
    <s v="FV/4730HM/23"/>
    <s v="PZ/801841"/>
    <x v="3"/>
    <d v="2023-11-12T00:00:00"/>
    <s v="18846.07"/>
    <s v="Zaakceptowana"/>
    <s v="Faktura VAT"/>
    <s v="Apteka Szpitalna"/>
    <s v="UM-HUR-02"/>
    <b v="0"/>
    <n v="18846.07"/>
    <s v="OK"/>
    <x v="0"/>
    <x v="1"/>
    <s v="2023-11"/>
    <n v="1"/>
  </r>
  <r>
    <s v="FV/M/3791/P/23"/>
    <s v="PZ/801842"/>
    <x v="5"/>
    <d v="2023-11-13T00:00:00"/>
    <s v="20144.11"/>
    <s v="Zaakceptowana"/>
    <s v="Faktura VAT"/>
    <s v="Apteka Szpitalna"/>
    <s v="UM-MED-01"/>
    <b v="0"/>
    <n v="20144.11"/>
    <s v="OK"/>
    <x v="0"/>
    <x v="1"/>
    <s v="2023-11"/>
    <n v="1"/>
  </r>
  <r>
    <s v="FV/CENFA/942805/23"/>
    <s v="PZ/801843"/>
    <x v="4"/>
    <d v="2023-11-13T00:00:00"/>
    <s v="9784.87"/>
    <s v="Zaakceptowana"/>
    <s v="Faktura VAT"/>
    <s v="Apteka Szpitalna"/>
    <s v="UM-CEN-02"/>
    <b v="0"/>
    <n v="9784.8700000000008"/>
    <s v="OK"/>
    <x v="0"/>
    <x v="1"/>
    <s v="2023-11"/>
    <n v="1"/>
  </r>
  <r>
    <s v="FV/5916/NOVA/23"/>
    <s v="PZ/801844"/>
    <x v="2"/>
    <d v="2023-11-13T00:00:00"/>
    <s v="17606.41"/>
    <s v="Zaakceptowana"/>
    <s v="Faktura VAT"/>
    <s v="Apteka Szpitalna"/>
    <s v="UM-NOV-02"/>
    <b v="0"/>
    <n v="17606.41"/>
    <s v="OK"/>
    <x v="0"/>
    <x v="1"/>
    <s v="2023-11"/>
    <n v="1"/>
  </r>
  <r>
    <s v="FV/48/PP/7217/23"/>
    <s v="PZ/801845"/>
    <x v="6"/>
    <d v="2023-11-14T00:00:00"/>
    <s v="11335.87"/>
    <s v="Zaakceptowana"/>
    <s v="Faktura VAT"/>
    <s v="Apteka Szpitalna"/>
    <s v="UM-PHA-02"/>
    <b v="0"/>
    <n v="11335.87"/>
    <s v="OK"/>
    <x v="0"/>
    <x v="1"/>
    <s v="2023-11"/>
    <n v="1"/>
  </r>
  <r>
    <s v="FV/99/SAL/23"/>
    <s v="PZ/801846"/>
    <x v="1"/>
    <d v="2023-11-14T00:00:00"/>
    <s v="10737.3"/>
    <s v="Zaakceptowana"/>
    <s v="Faktura VAT"/>
    <s v="Apteka Szpitalna"/>
    <s v="UM-SAL-01"/>
    <b v="0"/>
    <n v="10737.3"/>
    <s v="OK"/>
    <x v="0"/>
    <x v="1"/>
    <s v="2023-11"/>
    <n v="1"/>
  </r>
  <r>
    <s v="FV/8707HM/23"/>
    <s v="PZ/801847"/>
    <x v="3"/>
    <d v="2023-11-14T00:00:00"/>
    <s v="15091.38"/>
    <s v="Zaakceptowana"/>
    <s v="Faktura VAT"/>
    <s v="Apteka Szpitalna"/>
    <s v="UM-HUR-01"/>
    <b v="0"/>
    <n v="15091.38"/>
    <s v="OK"/>
    <x v="0"/>
    <x v="1"/>
    <s v="2023-11"/>
    <n v="1"/>
  </r>
  <r>
    <s v="FV/8951HM/23"/>
    <s v="PZ/801848"/>
    <x v="3"/>
    <d v="2023-11-14T00:00:00"/>
    <s v="17338.44"/>
    <s v="Zaakceptowana"/>
    <s v="Faktura VAT"/>
    <s v="Apteka Szpitalna"/>
    <s v="UM-HUR-01"/>
    <b v="0"/>
    <n v="17338.439999999999"/>
    <s v="OK"/>
    <x v="0"/>
    <x v="1"/>
    <s v="2023-11"/>
    <n v="1"/>
  </r>
  <r>
    <s v="FV/33/SAL/23"/>
    <s v="PZ/801849"/>
    <x v="1"/>
    <d v="2023-11-14T00:00:00"/>
    <s v="9598.66"/>
    <s v="Zaakceptowana"/>
    <s v="Faktura VAT"/>
    <s v="Apteka Szpitalna"/>
    <s v=""/>
    <b v="0"/>
    <n v="9598.66"/>
    <s v="OK"/>
    <x v="1"/>
    <x v="1"/>
    <s v="2023-11"/>
    <n v="1"/>
  </r>
  <r>
    <s v="FV/32/SAL/23"/>
    <s v="PZ/801850"/>
    <x v="1"/>
    <d v="2023-11-15T00:00:00"/>
    <s v="10600.7"/>
    <s v="Zaakceptowana"/>
    <s v="Faktura VAT"/>
    <s v="Apteka Szpitalna"/>
    <s v="UM-SAL-01"/>
    <b v="0"/>
    <n v="10600.7"/>
    <s v="OK"/>
    <x v="0"/>
    <x v="1"/>
    <s v="2023-11"/>
    <n v="1"/>
  </r>
  <r>
    <s v="FV/25472/VDb/2023"/>
    <s v="PZ/801851"/>
    <x v="7"/>
    <d v="2023-11-15T00:00:00"/>
    <s v="15786.82"/>
    <s v="Zaakceptowana"/>
    <s v="Faktura VAT"/>
    <s v="Apteka Szpitalna"/>
    <s v="UM-VIT-01"/>
    <b v="0"/>
    <n v="15786.82"/>
    <s v="OK"/>
    <x v="0"/>
    <x v="1"/>
    <s v="2023-11"/>
    <n v="1"/>
  </r>
  <r>
    <s v="FV/4029/NOVA/23"/>
    <s v="PZ/801852"/>
    <x v="2"/>
    <d v="2023-11-15T00:00:00"/>
    <s v="8266.1"/>
    <s v="Zaakceptowana"/>
    <s v="Faktura VAT"/>
    <s v="Apteka Szpitalna"/>
    <s v="UM-NOV-01"/>
    <b v="0"/>
    <n v="8266.1"/>
    <s v="OK"/>
    <x v="0"/>
    <x v="1"/>
    <s v="2023-11"/>
    <n v="1"/>
  </r>
  <r>
    <s v="FV/POL/60815/2023"/>
    <s v="PZ/801853"/>
    <x v="0"/>
    <d v="2023-11-15T00:00:00"/>
    <s v="20236.6"/>
    <s v="Zaakceptowana"/>
    <s v="Faktura VAT"/>
    <s v="Apteka Szpitalna"/>
    <s v=""/>
    <b v="0"/>
    <n v="20236.599999999999"/>
    <s v="OK"/>
    <x v="1"/>
    <x v="1"/>
    <s v="2023-11"/>
    <n v="1"/>
  </r>
  <r>
    <s v="FV/M/3701/P/23"/>
    <s v="PZ/801854"/>
    <x v="5"/>
    <d v="2023-11-15T00:00:00"/>
    <s v="17693.98"/>
    <s v="Zaakceptowana"/>
    <s v="Faktura VAT"/>
    <s v="Apteka Szpitalna"/>
    <s v="UM-MED-01"/>
    <b v="0"/>
    <n v="17693.98"/>
    <s v="OK"/>
    <x v="0"/>
    <x v="1"/>
    <s v="2023-11"/>
    <n v="1"/>
  </r>
  <r>
    <s v="FV/POL/81488/2023"/>
    <s v="PZ/801855"/>
    <x v="0"/>
    <d v="2023-11-16T00:00:00"/>
    <s v="27293.19"/>
    <s v="Zaakceptowana"/>
    <s v="Faktura VAT"/>
    <s v="Apteka Szpitalna"/>
    <s v="UM-POL-03"/>
    <b v="0"/>
    <n v="27293.19"/>
    <s v="OK"/>
    <x v="0"/>
    <x v="1"/>
    <s v="2023-11"/>
    <n v="1"/>
  </r>
  <r>
    <s v="FV/CENFA/428096/23"/>
    <s v="PZ/801856"/>
    <x v="4"/>
    <d v="2023-11-17T00:00:00"/>
    <s v="15607.98"/>
    <s v="Zaakceptowana"/>
    <s v="Faktura VAT"/>
    <s v="Apteka Szpitalna"/>
    <s v="UM-CEN-02"/>
    <b v="0"/>
    <n v="15607.98"/>
    <s v="OK"/>
    <x v="0"/>
    <x v="1"/>
    <s v="2023-11"/>
    <n v="1"/>
  </r>
  <r>
    <s v="FV/14/PP/3286/23"/>
    <s v="PZ/801857"/>
    <x v="6"/>
    <d v="2023-11-17T00:00:00"/>
    <s v="19738.94"/>
    <s v="Zaakceptowana"/>
    <s v="Faktura VAT"/>
    <s v="Apteka Szpitalna"/>
    <s v="UM-PHA-01"/>
    <b v="0"/>
    <n v="19738.939999999999"/>
    <s v="OK"/>
    <x v="0"/>
    <x v="1"/>
    <s v="2023-11"/>
    <n v="1"/>
  </r>
  <r>
    <s v="FV/3099/NOVA/23"/>
    <s v="PZ/801858"/>
    <x v="2"/>
    <d v="2023-11-17T00:00:00"/>
    <s v="15645.33"/>
    <s v="Zaakceptowana"/>
    <s v="Faktura VAT"/>
    <s v="Apteka Szpitalna"/>
    <s v="UM-NOV-01"/>
    <b v="0"/>
    <n v="15645.33"/>
    <s v="OK"/>
    <x v="0"/>
    <x v="1"/>
    <s v="2023-11"/>
    <n v="1"/>
  </r>
  <r>
    <s v="FV/2264/NOVA/23"/>
    <s v="PZ/801859"/>
    <x v="2"/>
    <d v="2023-11-19T00:00:00"/>
    <s v="12055.22"/>
    <s v="Zaakceptowana"/>
    <s v="Faktura VAT"/>
    <s v="Apteka Szpitalna"/>
    <s v="UM-NOV-03"/>
    <b v="0"/>
    <n v="12055.22"/>
    <s v="OK"/>
    <x v="0"/>
    <x v="1"/>
    <s v="2023-11"/>
    <n v="1"/>
  </r>
  <r>
    <s v="FV/POL/69749/2023"/>
    <s v="PZ/801860"/>
    <x v="0"/>
    <d v="2023-11-19T00:00:00"/>
    <s v="18746.71"/>
    <s v="Zaakceptowana"/>
    <s v="Faktura VAT"/>
    <s v="Apteka Szpitalna"/>
    <s v="UM-POL-01"/>
    <b v="0"/>
    <n v="18746.71"/>
    <s v="OK"/>
    <x v="0"/>
    <x v="1"/>
    <s v="2023-11"/>
    <n v="1"/>
  </r>
  <r>
    <s v="FV/13/PP/4254/23"/>
    <s v="PZ/801861"/>
    <x v="6"/>
    <d v="2023-11-20T00:00:00"/>
    <s v="20421.07"/>
    <s v="Zaakceptowana"/>
    <s v="Faktura VAT"/>
    <s v="Apteka Szpitalna"/>
    <s v=""/>
    <b v="0"/>
    <n v="20421.07"/>
    <s v="OK"/>
    <x v="1"/>
    <x v="1"/>
    <s v="2023-11"/>
    <n v="1"/>
  </r>
  <r>
    <s v="FV/7664HM/23"/>
    <s v="PZ/801862"/>
    <x v="3"/>
    <d v="2023-11-21T00:00:00"/>
    <s v="9191.67"/>
    <s v="Zaakceptowana"/>
    <s v="Faktura VAT"/>
    <s v="Apteka Szpitalna"/>
    <s v=""/>
    <b v="0"/>
    <n v="9191.67"/>
    <s v="OK"/>
    <x v="1"/>
    <x v="1"/>
    <s v="2023-11"/>
    <n v="1"/>
  </r>
  <r>
    <s v="FV/M/3777/P/23"/>
    <s v="PZ/801863"/>
    <x v="5"/>
    <d v="2023-11-21T00:00:00"/>
    <s v="8853.01"/>
    <s v="Zaakceptowana"/>
    <s v="Faktura VAT"/>
    <s v="Apteka Szpitalna"/>
    <s v="UM-MED-01"/>
    <b v="0"/>
    <n v="8853.01"/>
    <s v="OK"/>
    <x v="0"/>
    <x v="1"/>
    <s v="2023-11"/>
    <n v="1"/>
  </r>
  <r>
    <s v="FV/M/8727/P/23"/>
    <s v="PZ/801864"/>
    <x v="5"/>
    <d v="2023-11-22T00:00:00"/>
    <s v="17766.05"/>
    <s v="Zaakceptowana"/>
    <s v="Faktura VAT"/>
    <s v="Apteka Szpitalna"/>
    <s v=""/>
    <b v="0"/>
    <n v="17766.05"/>
    <s v="OK"/>
    <x v="1"/>
    <x v="1"/>
    <s v="2023-11"/>
    <n v="1"/>
  </r>
  <r>
    <s v="FV/98/PP/3410/23"/>
    <s v="PZ/801865"/>
    <x v="6"/>
    <d v="2023-11-22T00:00:00"/>
    <s v="10614.36"/>
    <s v="Zaakceptowana"/>
    <s v="Faktura VAT"/>
    <s v="Apteka Szpitalna"/>
    <s v="UM-PHA-01"/>
    <b v="0"/>
    <n v="10614.36"/>
    <s v="OK"/>
    <x v="0"/>
    <x v="1"/>
    <s v="2023-11"/>
    <n v="1"/>
  </r>
  <r>
    <s v="FV/POL/34407/2023"/>
    <s v="PZ/801866"/>
    <x v="0"/>
    <d v="2023-11-23T00:00:00"/>
    <s v="16879.97"/>
    <s v="Zaakceptowana"/>
    <s v="Faktura VAT"/>
    <s v="Apteka Szpitalna"/>
    <s v=""/>
    <b v="0"/>
    <n v="16879.97"/>
    <s v="OK"/>
    <x v="1"/>
    <x v="1"/>
    <s v="2023-11"/>
    <n v="1"/>
  </r>
  <r>
    <s v="FV/48007/VDb/2023"/>
    <s v="PZ/801867"/>
    <x v="7"/>
    <d v="2023-11-23T00:00:00"/>
    <s v="13543.93"/>
    <s v="Zaakceptowana"/>
    <s v="Faktura VAT"/>
    <s v="Apteka Szpitalna"/>
    <s v="UM-VIT-01"/>
    <b v="0"/>
    <n v="13543.93"/>
    <s v="OK"/>
    <x v="0"/>
    <x v="1"/>
    <s v="2023-11"/>
    <n v="1"/>
  </r>
  <r>
    <s v="FV/CENFA/360335/23"/>
    <s v="PZ/801868"/>
    <x v="4"/>
    <d v="2023-11-23T00:00:00"/>
    <s v="15942.37"/>
    <s v="Zaakceptowana"/>
    <s v="Faktura VAT"/>
    <s v="Apteka Szpitalna"/>
    <s v="UM-CEN-02"/>
    <b v="0"/>
    <n v="15942.37"/>
    <s v="OK"/>
    <x v="0"/>
    <x v="1"/>
    <s v="2023-11"/>
    <n v="1"/>
  </r>
  <r>
    <s v="FV/44413/VDb/2023"/>
    <s v="PZ/801869"/>
    <x v="7"/>
    <d v="2023-11-23T00:00:00"/>
    <s v="15409.87"/>
    <s v="Zaakceptowana"/>
    <s v="Faktura VAT"/>
    <s v="Apteka Szpitalna"/>
    <s v="UM-VIT-01"/>
    <b v="0"/>
    <n v="15409.87"/>
    <s v="OK"/>
    <x v="0"/>
    <x v="1"/>
    <s v="2023-11"/>
    <n v="1"/>
  </r>
  <r>
    <s v="FV/3223/NOVA/23"/>
    <s v="PZ/801870"/>
    <x v="2"/>
    <d v="2023-11-24T00:00:00"/>
    <s v="10502.66"/>
    <s v="Zaakceptowana"/>
    <s v="Faktura VAT"/>
    <s v="Apteka Szpitalna"/>
    <s v="UM-NOV-03"/>
    <b v="0"/>
    <n v="10502.66"/>
    <s v="OK"/>
    <x v="0"/>
    <x v="1"/>
    <s v="2023-11"/>
    <n v="1"/>
  </r>
  <r>
    <s v="FV/POL/84824/2023"/>
    <s v="PZ/801871"/>
    <x v="0"/>
    <d v="2023-11-24T00:00:00"/>
    <s v="8996.17"/>
    <s v="Zaakceptowana"/>
    <s v="Faktura VAT"/>
    <s v="Apteka Szpitalna"/>
    <s v="UM-POL-03"/>
    <b v="0"/>
    <n v="8996.17"/>
    <s v="OK"/>
    <x v="0"/>
    <x v="1"/>
    <s v="2023-11"/>
    <n v="1"/>
  </r>
  <r>
    <s v="FV/CENFA/803839/23"/>
    <s v="PZ/801872"/>
    <x v="4"/>
    <d v="2023-11-25T00:00:00"/>
    <s v="15292.3"/>
    <s v="Zaakceptowana"/>
    <s v="Faktura VAT"/>
    <s v="Apteka Szpitalna"/>
    <s v="UM-CEN-02"/>
    <b v="0"/>
    <n v="15292.3"/>
    <s v="OK"/>
    <x v="0"/>
    <x v="1"/>
    <s v="2023-11"/>
    <n v="1"/>
  </r>
  <r>
    <s v="FV/CENFA/923821/23"/>
    <s v="PZ/801873"/>
    <x v="4"/>
    <d v="2023-11-25T00:00:00"/>
    <s v="14880.07"/>
    <s v="Zaakceptowana"/>
    <s v="Faktura VAT"/>
    <s v="Apteka Szpitalna"/>
    <s v="UM-CEN-02"/>
    <b v="0"/>
    <n v="14880.07"/>
    <s v="OK"/>
    <x v="0"/>
    <x v="1"/>
    <s v="2023-11"/>
    <n v="1"/>
  </r>
  <r>
    <s v="FV/19656/VDb/2023"/>
    <s v="PZ/801874"/>
    <x v="7"/>
    <d v="2023-11-25T00:00:00"/>
    <s v="15861.9"/>
    <s v="Zaakceptowana"/>
    <s v="Faktura VAT"/>
    <s v="Apteka Szpitalna"/>
    <s v="UM-VIT-01"/>
    <b v="0"/>
    <n v="15861.9"/>
    <s v="OK"/>
    <x v="0"/>
    <x v="1"/>
    <s v="2023-11"/>
    <n v="1"/>
  </r>
  <r>
    <s v="FV/CENFA/340343/23"/>
    <s v="PZ/801875"/>
    <x v="4"/>
    <d v="2023-11-25T00:00:00"/>
    <s v="16473.57"/>
    <s v="Zaakceptowana"/>
    <s v="Faktura VAT"/>
    <s v="Apteka Szpitalna"/>
    <s v="UM-CEN-02"/>
    <b v="0"/>
    <n v="16473.57"/>
    <s v="OK"/>
    <x v="0"/>
    <x v="1"/>
    <s v="2023-11"/>
    <n v="1"/>
  </r>
  <r>
    <s v="FV/POL/98077/2023"/>
    <s v="PZ/801876"/>
    <x v="0"/>
    <d v="2023-11-25T00:00:00"/>
    <s v="9487.9"/>
    <s v="Zaakceptowana"/>
    <s v="Faktura VAT"/>
    <s v="Apteka Szpitalna"/>
    <s v="UM-POL-01"/>
    <b v="0"/>
    <n v="9487.9"/>
    <s v="OK"/>
    <x v="0"/>
    <x v="1"/>
    <s v="2023-11"/>
    <n v="1"/>
  </r>
  <r>
    <s v="FV/M/1227/P/23"/>
    <s v="PZ/801877"/>
    <x v="5"/>
    <d v="2023-11-26T00:00:00"/>
    <s v="13319.48"/>
    <s v="Zaakceptowana"/>
    <s v="Faktura VAT"/>
    <s v="Apteka Szpitalna"/>
    <s v="UM-MED-01"/>
    <b v="0"/>
    <n v="13319.48"/>
    <s v="OK"/>
    <x v="0"/>
    <x v="1"/>
    <s v="2023-11"/>
    <n v="1"/>
  </r>
  <r>
    <s v="FV/2759HM/23"/>
    <s v="PZ/801878"/>
    <x v="3"/>
    <d v="2023-11-26T00:00:00"/>
    <s v="-1471.74"/>
    <s v="Zaakceptowana"/>
    <s v="Korekta FV"/>
    <s v="Apteka Szpitalna"/>
    <s v="UM-HUR-02"/>
    <b v="0"/>
    <n v="-1471.74"/>
    <s v="OK"/>
    <x v="0"/>
    <x v="1"/>
    <s v="2023-11"/>
    <n v="1"/>
  </r>
  <r>
    <s v="FV/1948/NOVA/23"/>
    <s v="PZ/801879"/>
    <x v="2"/>
    <d v="2023-11-27T00:00:00"/>
    <s v="8371.74"/>
    <s v="Zaakceptowana"/>
    <s v="Faktura VAT"/>
    <s v="Apteka Szpitalna"/>
    <s v=""/>
    <b v="0"/>
    <n v="8371.74"/>
    <s v="OK"/>
    <x v="1"/>
    <x v="1"/>
    <s v="2023-11"/>
    <n v="1"/>
  </r>
  <r>
    <s v="FV/54/PP/8793/23"/>
    <s v="PZ/801880"/>
    <x v="6"/>
    <d v="2023-11-27T00:00:00"/>
    <s v="25387.22"/>
    <s v="Zaakceptowana"/>
    <s v="Faktura VAT"/>
    <s v="Apteka Szpitalna"/>
    <s v=""/>
    <b v="0"/>
    <n v="25387.22"/>
    <s v="OK"/>
    <x v="1"/>
    <x v="1"/>
    <s v="2023-11"/>
    <n v="1"/>
  </r>
  <r>
    <s v="FV/POL/65336/2023"/>
    <s v="PZ/801881"/>
    <x v="0"/>
    <d v="2023-11-28T00:00:00"/>
    <s v="10491.47"/>
    <s v="Zaakceptowana"/>
    <s v="Faktura VAT"/>
    <s v="Apteka Szpitalna"/>
    <s v="UM-POL-01"/>
    <b v="0"/>
    <n v="10491.47"/>
    <s v="OK"/>
    <x v="0"/>
    <x v="1"/>
    <s v="2023-11"/>
    <n v="1"/>
  </r>
  <r>
    <s v="FV/61/SAL/23"/>
    <s v="PZ/801882"/>
    <x v="1"/>
    <d v="2023-11-28T00:00:00"/>
    <s v="15046.14"/>
    <s v="Zaakceptowana"/>
    <s v="Faktura VAT"/>
    <s v="Apteka Szpitalna"/>
    <s v="UM-SAL-01"/>
    <b v="0"/>
    <n v="15046.14"/>
    <s v="OK"/>
    <x v="0"/>
    <x v="1"/>
    <s v="2023-11"/>
    <n v="1"/>
  </r>
  <r>
    <s v="FV/CENFA/764473/23"/>
    <s v="PZ/801883"/>
    <x v="4"/>
    <d v="2023-11-28T00:00:00"/>
    <s v="14746.83"/>
    <s v="Zaakceptowana"/>
    <s v="Faktura VAT"/>
    <s v="Apteka Szpitalna"/>
    <s v="UM-CEN-01"/>
    <b v="0"/>
    <n v="14746.83"/>
    <s v="OK"/>
    <x v="0"/>
    <x v="1"/>
    <s v="2023-11"/>
    <n v="1"/>
  </r>
  <r>
    <s v="FV/CENFA/318452/23"/>
    <s v="PZ/801884"/>
    <x v="4"/>
    <d v="2023-11-28T00:00:00"/>
    <s v="10046.22"/>
    <s v="Zaakceptowana"/>
    <s v="Faktura VAT"/>
    <s v="Apteka Szpitalna"/>
    <s v="UM-CEN-01"/>
    <b v="0"/>
    <n v="10046.219999999999"/>
    <s v="OK"/>
    <x v="0"/>
    <x v="1"/>
    <s v="2023-11"/>
    <n v="1"/>
  </r>
  <r>
    <s v="FV/M/1356/P/23"/>
    <s v="PZ/801885"/>
    <x v="5"/>
    <d v="2023-11-28T00:00:00"/>
    <s v="15836.21"/>
    <s v="Zaakceptowana"/>
    <s v="Faktura VAT"/>
    <s v="Apteka Szpitalna"/>
    <s v=""/>
    <b v="0"/>
    <n v="15836.21"/>
    <s v="OK"/>
    <x v="1"/>
    <x v="1"/>
    <s v="2023-11"/>
    <n v="1"/>
  </r>
  <r>
    <s v="FV/1874/NOVA/23"/>
    <s v="PZ/801886"/>
    <x v="2"/>
    <d v="2023-11-29T00:00:00"/>
    <s v="15310.52"/>
    <s v="Zaakceptowana"/>
    <s v="Faktura VAT"/>
    <s v="Apteka Szpitalna"/>
    <s v="UM-NOV-02"/>
    <b v="0"/>
    <n v="15310.52"/>
    <s v="OK"/>
    <x v="0"/>
    <x v="1"/>
    <s v="2023-11"/>
    <n v="1"/>
  </r>
  <r>
    <s v="FV/CENFA/698065/23"/>
    <s v="PZ/801887"/>
    <x v="4"/>
    <d v="2023-12-02T00:00:00"/>
    <s v="10259.47"/>
    <s v="Zaakceptowana"/>
    <s v="Faktura VAT"/>
    <s v="Apteka Szpitalna"/>
    <s v="UM-CEN-01"/>
    <b v="0"/>
    <n v="10259.469999999999"/>
    <s v="OK"/>
    <x v="0"/>
    <x v="1"/>
    <s v="2023-12"/>
    <n v="1"/>
  </r>
  <r>
    <s v="FV/31/SAL/23"/>
    <s v="PZ/801888"/>
    <x v="1"/>
    <d v="2023-12-02T00:00:00"/>
    <s v="11356.44"/>
    <s v="Zaakceptowana"/>
    <s v="Faktura VAT"/>
    <s v="Apteka Szpitalna"/>
    <s v="UM-SAL-02"/>
    <b v="0"/>
    <n v="11356.44"/>
    <s v="OK"/>
    <x v="0"/>
    <x v="1"/>
    <s v="2023-12"/>
    <n v="1"/>
  </r>
  <r>
    <s v="FV/M/5265/P/23"/>
    <s v="PZ/801889"/>
    <x v="5"/>
    <d v="2023-12-04T00:00:00"/>
    <s v="15184.6"/>
    <s v="Zaakceptowana"/>
    <s v="Faktura VAT"/>
    <s v="Apteka Szpitalna"/>
    <s v="UM-MED-02"/>
    <b v="0"/>
    <n v="15184.6"/>
    <s v="OK"/>
    <x v="0"/>
    <x v="1"/>
    <s v="2023-12"/>
    <n v="1"/>
  </r>
  <r>
    <s v="FV/1734HM/23"/>
    <s v="PZ/801890"/>
    <x v="3"/>
    <d v="2023-12-05T00:00:00"/>
    <s v="5647.62"/>
    <s v="Zaakceptowana"/>
    <s v="Faktura VAT"/>
    <s v="Apteka Szpitalna"/>
    <s v=""/>
    <b v="0"/>
    <n v="5647.62"/>
    <s v="OK"/>
    <x v="1"/>
    <x v="1"/>
    <s v="2023-12"/>
    <n v="1"/>
  </r>
  <r>
    <s v="FV/CENFA/567822/23"/>
    <s v="PZ/801891"/>
    <x v="4"/>
    <d v="2023-12-05T00:00:00"/>
    <s v="12651.05"/>
    <s v="Zaakceptowana"/>
    <s v="Faktura VAT"/>
    <s v="Apteka Szpitalna"/>
    <s v="UM-CEN-01"/>
    <b v="0"/>
    <n v="12651.05"/>
    <s v="OK"/>
    <x v="0"/>
    <x v="1"/>
    <s v="2023-12"/>
    <n v="1"/>
  </r>
  <r>
    <s v="FV/69419/VDb/2023"/>
    <s v="PZ/801892"/>
    <x v="7"/>
    <d v="2023-12-06T00:00:00"/>
    <s v="13797.76"/>
    <s v="Zaakceptowana"/>
    <s v="Faktura VAT"/>
    <s v="Apteka Szpitalna"/>
    <s v="UM-VIT-01"/>
    <b v="0"/>
    <n v="13797.76"/>
    <s v="OK"/>
    <x v="0"/>
    <x v="1"/>
    <s v="2023-12"/>
    <n v="1"/>
  </r>
  <r>
    <s v="FV/M/2253/P/23"/>
    <s v="PZ/801893"/>
    <x v="5"/>
    <d v="2023-12-07T00:00:00"/>
    <s v="17299.08"/>
    <s v="Zaakceptowana"/>
    <s v="Faktura VAT"/>
    <s v="Apteka Szpitalna"/>
    <s v="UM-MED-01"/>
    <b v="0"/>
    <n v="17299.080000000002"/>
    <s v="OK"/>
    <x v="0"/>
    <x v="1"/>
    <s v="2023-12"/>
    <n v="1"/>
  </r>
  <r>
    <s v="FV/74863/VDb/2023"/>
    <s v="PZ/801894"/>
    <x v="7"/>
    <d v="2023-12-07T00:00:00"/>
    <s v="14330.77"/>
    <s v="Zaakceptowana"/>
    <s v="Faktura VAT"/>
    <s v="Apteka Szpitalna"/>
    <s v="UM-VIT-01"/>
    <b v="0"/>
    <n v="14330.77"/>
    <s v="OK"/>
    <x v="0"/>
    <x v="1"/>
    <s v="2023-12"/>
    <n v="1"/>
  </r>
  <r>
    <s v="FV/CENFA/499079/23"/>
    <s v="PZ/801895"/>
    <x v="4"/>
    <d v="2023-12-07T00:00:00"/>
    <s v="3925.15"/>
    <s v="Zaakceptowana"/>
    <s v="Faktura VAT"/>
    <s v="Apteka Szpitalna"/>
    <s v="UM-CEN-02"/>
    <b v="0"/>
    <n v="3925.15"/>
    <s v="OK"/>
    <x v="0"/>
    <x v="1"/>
    <s v="2023-12"/>
    <n v="1"/>
  </r>
  <r>
    <s v="FV/POL/99356/2023"/>
    <s v="PZ/801896"/>
    <x v="0"/>
    <d v="2023-12-07T00:00:00"/>
    <s v="12386.75"/>
    <s v="Zaakceptowana"/>
    <s v="Faktura VAT"/>
    <s v="Apteka Szpitalna"/>
    <s v="UM-POL-01"/>
    <b v="0"/>
    <n v="12386.75"/>
    <s v="OK"/>
    <x v="0"/>
    <x v="1"/>
    <s v="2023-12"/>
    <n v="1"/>
  </r>
  <r>
    <s v="FV/M/5240/P/23"/>
    <s v="PZ/801897"/>
    <x v="5"/>
    <d v="2023-12-07T00:00:00"/>
    <s v="11053.62"/>
    <s v="Zaakceptowana"/>
    <s v="Faktura VAT"/>
    <s v="Apteka Szpitalna"/>
    <s v="UM-MED-02"/>
    <b v="0"/>
    <n v="11053.62"/>
    <s v="OK"/>
    <x v="0"/>
    <x v="1"/>
    <s v="2023-12"/>
    <n v="1"/>
  </r>
  <r>
    <s v="FV/POL/12628/2023"/>
    <s v="PZ/801898"/>
    <x v="0"/>
    <d v="2023-12-07T00:00:00"/>
    <s v="15087.47"/>
    <s v="Zaakceptowana"/>
    <s v="Faktura VAT"/>
    <s v="Apteka Szpitalna"/>
    <s v="UM-POL-02"/>
    <b v="0"/>
    <n v="15087.47"/>
    <s v="OK"/>
    <x v="0"/>
    <x v="1"/>
    <s v="2023-12"/>
    <n v="1"/>
  </r>
  <r>
    <s v="FV/70295/VDb/2023"/>
    <s v="PZ/801899"/>
    <x v="7"/>
    <d v="2023-12-08T00:00:00"/>
    <s v="20207.78"/>
    <s v="Zaakceptowana"/>
    <s v="Faktura VAT"/>
    <s v="Apteka Szpitalna"/>
    <s v="UM-VIT-01"/>
    <b v="0"/>
    <n v="20207.78"/>
    <s v="OK"/>
    <x v="0"/>
    <x v="1"/>
    <s v="2023-12"/>
    <n v="1"/>
  </r>
  <r>
    <s v="FV/57087/VDb/2023"/>
    <s v="PZ/801900"/>
    <x v="7"/>
    <d v="2023-12-08T00:00:00"/>
    <s v="20522.46"/>
    <s v="Zaakceptowana"/>
    <s v="Faktura VAT"/>
    <s v="Apteka Szpitalna"/>
    <s v="UM-VIT-01"/>
    <b v="0"/>
    <n v="20522.46"/>
    <s v="OK"/>
    <x v="0"/>
    <x v="1"/>
    <s v="2023-12"/>
    <n v="1"/>
  </r>
  <r>
    <s v="FV/38205/VDb/2023"/>
    <s v="PZ/801901"/>
    <x v="7"/>
    <d v="2023-12-09T00:00:00"/>
    <s v="17066.96"/>
    <s v="Zaakceptowana"/>
    <s v="Faktura VAT"/>
    <s v="Apteka Szpitalna"/>
    <s v="UM-VIT-01"/>
    <b v="0"/>
    <n v="17066.96"/>
    <s v="OK"/>
    <x v="0"/>
    <x v="1"/>
    <s v="2023-12"/>
    <n v="1"/>
  </r>
  <r>
    <s v="FV/24202/VDb/2023"/>
    <s v="PZ/801902"/>
    <x v="7"/>
    <d v="2023-12-09T00:00:00"/>
    <s v="18847.7"/>
    <s v="Zaakceptowana"/>
    <s v="Faktura VAT"/>
    <s v="Apteka Szpitalna"/>
    <s v="UM-VIT-01"/>
    <b v="0"/>
    <n v="18847.7"/>
    <s v="OK"/>
    <x v="0"/>
    <x v="1"/>
    <s v="2023-12"/>
    <n v="1"/>
  </r>
  <r>
    <s v="FV/9812/NOVA/23"/>
    <s v="PZ/801903"/>
    <x v="2"/>
    <d v="2023-12-09T00:00:00"/>
    <s v="16306.91"/>
    <s v="Zaakceptowana"/>
    <s v="Faktura VAT"/>
    <s v="Apteka Szpitalna"/>
    <s v="UM-NOV-03"/>
    <b v="0"/>
    <n v="16306.91"/>
    <s v="OK"/>
    <x v="0"/>
    <x v="1"/>
    <s v="2023-12"/>
    <n v="1"/>
  </r>
  <r>
    <s v="FV/2896/NOVA/23"/>
    <s v="PZ/801904"/>
    <x v="2"/>
    <d v="2023-12-09T00:00:00"/>
    <s v="17342.28"/>
    <s v="Zaakceptowana"/>
    <s v="Faktura VAT"/>
    <s v="Apteka Szpitalna"/>
    <s v="UM-NOV-01"/>
    <b v="0"/>
    <n v="17342.28"/>
    <s v="OK"/>
    <x v="0"/>
    <x v="1"/>
    <s v="2023-12"/>
    <n v="1"/>
  </r>
  <r>
    <s v="FV/POL/25236/2023"/>
    <s v="PZ/801905"/>
    <x v="0"/>
    <d v="2023-12-09T00:00:00"/>
    <s v="11459.14"/>
    <s v="Zaakceptowana"/>
    <s v="Faktura VAT"/>
    <s v="Apteka Szpitalna"/>
    <s v="UM-POL-02"/>
    <b v="0"/>
    <n v="11459.14"/>
    <s v="OK"/>
    <x v="0"/>
    <x v="1"/>
    <s v="2023-12"/>
    <n v="1"/>
  </r>
  <r>
    <s v="FV/POL/90737/2023"/>
    <s v="PZ/801906"/>
    <x v="0"/>
    <d v="2023-12-09T00:00:00"/>
    <s v="6020.44"/>
    <s v="Zaakceptowana"/>
    <s v="Faktura VAT"/>
    <s v="Apteka Szpitalna"/>
    <s v="UM-POL-01"/>
    <b v="0"/>
    <n v="6020.44"/>
    <s v="OK"/>
    <x v="0"/>
    <x v="1"/>
    <s v="2023-12"/>
    <n v="1"/>
  </r>
  <r>
    <s v="FV/M/8322/P/23"/>
    <s v="PZ/801907"/>
    <x v="5"/>
    <d v="2023-12-10T00:00:00"/>
    <s v="20435.85"/>
    <s v="Zaakceptowana"/>
    <s v="Faktura VAT"/>
    <s v="Apteka Szpitalna"/>
    <s v="UM-MED-01"/>
    <b v="0"/>
    <n v="20435.849999999999"/>
    <s v="OK"/>
    <x v="0"/>
    <x v="1"/>
    <s v="2023-12"/>
    <n v="1"/>
  </r>
  <r>
    <s v="FV/CENFA/615451/23"/>
    <s v="PZ/801908"/>
    <x v="4"/>
    <d v="2023-12-10T00:00:00"/>
    <s v="15538.2"/>
    <s v="Zaakceptowana"/>
    <s v="Faktura VAT"/>
    <s v="Apteka Szpitalna"/>
    <s v="UM-CEN-02"/>
    <b v="0"/>
    <n v="15538.2"/>
    <s v="OK"/>
    <x v="0"/>
    <x v="1"/>
    <s v="2023-12"/>
    <n v="1"/>
  </r>
  <r>
    <s v="FV/84384/VDb/2023"/>
    <s v="PZ/801909"/>
    <x v="7"/>
    <d v="2023-12-10T00:00:00"/>
    <s v="11037.95"/>
    <s v="Zaakceptowana"/>
    <s v="Faktura VAT"/>
    <s v="Apteka Szpitalna"/>
    <s v="UM-VIT-01"/>
    <b v="0"/>
    <n v="11037.95"/>
    <s v="OK"/>
    <x v="0"/>
    <x v="1"/>
    <s v="2023-12"/>
    <n v="1"/>
  </r>
  <r>
    <s v="FV/41/PP/6845/23"/>
    <s v="PZ/801910"/>
    <x v="6"/>
    <d v="2023-12-11T00:00:00"/>
    <s v="12695.52"/>
    <s v="Zaakceptowana"/>
    <s v="Faktura VAT"/>
    <s v="Apteka Szpitalna"/>
    <s v="UM-PHA-02"/>
    <b v="0"/>
    <n v="12695.52"/>
    <s v="OK"/>
    <x v="0"/>
    <x v="1"/>
    <s v="2023-12"/>
    <n v="1"/>
  </r>
  <r>
    <s v="FV/POL/20902/2023"/>
    <s v="PZ/801911"/>
    <x v="0"/>
    <d v="2023-12-11T00:00:00"/>
    <s v="13012.92"/>
    <s v="Zaakceptowana"/>
    <s v="Faktura VAT"/>
    <s v="Apteka Szpitalna"/>
    <s v=""/>
    <b v="0"/>
    <n v="13012.92"/>
    <s v="OK"/>
    <x v="1"/>
    <x v="1"/>
    <s v="2023-12"/>
    <n v="1"/>
  </r>
  <r>
    <s v="FV/POL/71548/2023"/>
    <s v="PZ/801912"/>
    <x v="0"/>
    <d v="2023-12-11T00:00:00"/>
    <s v="17226.48"/>
    <s v="Zaakceptowana"/>
    <s v="Faktura VAT"/>
    <s v="Apteka Szpitalna"/>
    <s v=""/>
    <b v="0"/>
    <n v="17226.48"/>
    <s v="OK"/>
    <x v="1"/>
    <x v="1"/>
    <s v="2023-12"/>
    <n v="1"/>
  </r>
  <r>
    <s v="FV/2848HM/23"/>
    <s v="PZ/801913"/>
    <x v="3"/>
    <d v="2023-12-11T00:00:00"/>
    <s v="17572.46"/>
    <s v="Zaakceptowana"/>
    <s v="Faktura VAT"/>
    <s v="Apteka Szpitalna"/>
    <s v="UM-HUR-01"/>
    <b v="0"/>
    <n v="17572.46"/>
    <s v="OK"/>
    <x v="0"/>
    <x v="1"/>
    <s v="2023-12"/>
    <n v="1"/>
  </r>
  <r>
    <s v="FV/8145HM/23"/>
    <s v="PZ/801914"/>
    <x v="3"/>
    <d v="2023-12-12T00:00:00"/>
    <s v="19640.14"/>
    <s v="Zaakceptowana"/>
    <s v="Faktura VAT"/>
    <s v="Apteka Szpitalna"/>
    <s v="UM-HUR-02"/>
    <b v="0"/>
    <n v="19640.14"/>
    <s v="OK"/>
    <x v="0"/>
    <x v="1"/>
    <s v="2023-12"/>
    <n v="1"/>
  </r>
  <r>
    <s v="FV/8169HM/23"/>
    <s v="PZ/801915"/>
    <x v="3"/>
    <d v="2023-12-12T00:00:00"/>
    <s v="14433.55"/>
    <s v="Zaakceptowana"/>
    <s v="Faktura VAT"/>
    <s v="Apteka Szpitalna"/>
    <s v="UM-HUR-03"/>
    <b v="0"/>
    <n v="14433.55"/>
    <s v="OK"/>
    <x v="0"/>
    <x v="1"/>
    <s v="2023-12"/>
    <n v="1"/>
  </r>
  <r>
    <s v="FV/8235HM/23"/>
    <s v="PZ/801916"/>
    <x v="3"/>
    <d v="2023-12-12T00:00:00"/>
    <s v="5051.58"/>
    <s v="Zaakceptowana"/>
    <s v="Faktura VAT"/>
    <s v="Apteka Szpitalna"/>
    <s v="UM-HUR-03"/>
    <b v="0"/>
    <n v="5051.58"/>
    <s v="OK"/>
    <x v="0"/>
    <x v="1"/>
    <s v="2023-12"/>
    <n v="1"/>
  </r>
  <r>
    <s v="FV/CENFA/882792/23"/>
    <s v="PZ/801917"/>
    <x v="4"/>
    <d v="2023-12-12T00:00:00"/>
    <s v="11305.68"/>
    <s v="Zaakceptowana"/>
    <s v="Faktura VAT"/>
    <s v="Apteka Szpitalna"/>
    <s v="UM-CEN-02"/>
    <b v="0"/>
    <n v="11305.68"/>
    <s v="OK"/>
    <x v="0"/>
    <x v="1"/>
    <s v="2023-12"/>
    <n v="1"/>
  </r>
  <r>
    <s v="FV/POL/67098/2023"/>
    <s v="PZ/801918"/>
    <x v="0"/>
    <d v="2023-12-12T00:00:00"/>
    <s v="15860.8"/>
    <s v="Zaakceptowana"/>
    <s v="Faktura VAT"/>
    <s v="Apteka Szpitalna"/>
    <s v="UM-POL-02"/>
    <b v="0"/>
    <n v="15860.8"/>
    <s v="OK"/>
    <x v="0"/>
    <x v="1"/>
    <s v="2023-12"/>
    <n v="1"/>
  </r>
  <r>
    <s v="FV/54367/VDb/2023"/>
    <s v="PZ/801919"/>
    <x v="7"/>
    <d v="2023-12-13T00:00:00"/>
    <s v="16748.67"/>
    <s v="Zaakceptowana"/>
    <s v="Faktura VAT"/>
    <s v="Apteka Szpitalna"/>
    <s v="UM-VIT-01"/>
    <b v="0"/>
    <n v="16748.669999999998"/>
    <s v="OK"/>
    <x v="0"/>
    <x v="1"/>
    <s v="2023-12"/>
    <n v="1"/>
  </r>
  <r>
    <s v="FV/32/PP/6473/23"/>
    <s v="PZ/801920"/>
    <x v="6"/>
    <d v="2023-12-13T00:00:00"/>
    <s v="10579.87"/>
    <s v="Zaakceptowana"/>
    <s v="Faktura VAT"/>
    <s v="Apteka Szpitalna"/>
    <s v="UM-PHA-02"/>
    <b v="0"/>
    <n v="10579.87"/>
    <s v="OK"/>
    <x v="0"/>
    <x v="1"/>
    <s v="2023-12"/>
    <n v="1"/>
  </r>
  <r>
    <s v="FV/POL/45818/2023"/>
    <s v="PZ/801921"/>
    <x v="0"/>
    <d v="2023-12-14T00:00:00"/>
    <s v="12175.26"/>
    <s v="Zaakceptowana"/>
    <s v="Faktura VAT"/>
    <s v="Apteka Szpitalna"/>
    <s v="UM-POL-01"/>
    <b v="0"/>
    <n v="12175.26"/>
    <s v="OK"/>
    <x v="0"/>
    <x v="1"/>
    <s v="2023-12"/>
    <n v="1"/>
  </r>
  <r>
    <s v="FV/CENFA/892546/23"/>
    <s v="PZ/801922"/>
    <x v="4"/>
    <d v="2023-12-15T00:00:00"/>
    <s v="15185.67"/>
    <s v="Zaakceptowana"/>
    <s v="Faktura VAT"/>
    <s v="Apteka Szpitalna"/>
    <s v="UM-CEN-02"/>
    <b v="0"/>
    <n v="15185.67"/>
    <s v="OK"/>
    <x v="0"/>
    <x v="1"/>
    <s v="2023-12"/>
    <n v="1"/>
  </r>
  <r>
    <s v="FV/M/8193/P/23"/>
    <s v="PZ/801923"/>
    <x v="5"/>
    <d v="2023-12-15T00:00:00"/>
    <s v="7513.86"/>
    <s v="Zaakceptowana"/>
    <s v="Faktura VAT"/>
    <s v="Apteka Szpitalna"/>
    <s v="UM-MED-01"/>
    <b v="0"/>
    <n v="7513.86"/>
    <s v="OK"/>
    <x v="0"/>
    <x v="1"/>
    <s v="2023-12"/>
    <n v="1"/>
  </r>
  <r>
    <s v="FV/83/PP/9127/23"/>
    <s v="PZ/801924"/>
    <x v="6"/>
    <d v="2023-12-15T00:00:00"/>
    <s v="15144.1"/>
    <s v="Zaakceptowana"/>
    <s v="Faktura VAT"/>
    <s v="Apteka Szpitalna"/>
    <s v="UM-PHA-02"/>
    <b v="0"/>
    <n v="15144.1"/>
    <s v="OK"/>
    <x v="0"/>
    <x v="1"/>
    <s v="2023-12"/>
    <n v="1"/>
  </r>
  <r>
    <s v="FV/21387/VDb/2023"/>
    <s v="PZ/801925"/>
    <x v="7"/>
    <d v="2023-12-15T00:00:00"/>
    <s v="18670.3"/>
    <s v="Zaakceptowana"/>
    <s v="Faktura VAT"/>
    <s v="Apteka Szpitalna"/>
    <s v="UM-VIT-01"/>
    <b v="0"/>
    <n v="18670.3"/>
    <s v="OK"/>
    <x v="0"/>
    <x v="1"/>
    <s v="2023-12"/>
    <n v="1"/>
  </r>
  <r>
    <s v="FV/2893HM/23"/>
    <s v="PZ/801926"/>
    <x v="3"/>
    <d v="2023-12-15T00:00:00"/>
    <s v="-638.4"/>
    <s v="Zaakceptowana"/>
    <s v="Korekta FV"/>
    <s v="Apteka Szpitalna"/>
    <s v=""/>
    <b v="0"/>
    <n v="-638.4"/>
    <s v="OK"/>
    <x v="1"/>
    <x v="1"/>
    <s v="2023-12"/>
    <n v="1"/>
  </r>
  <r>
    <s v="FV/CENFA/526202/23"/>
    <s v="PZ/801927"/>
    <x v="4"/>
    <d v="2023-12-15T00:00:00"/>
    <s v="9305.31"/>
    <s v="Zaakceptowana"/>
    <s v="Faktura VAT"/>
    <s v="Apteka Szpitalna"/>
    <s v="UM-CEN-02"/>
    <b v="0"/>
    <n v="9305.31"/>
    <s v="OK"/>
    <x v="0"/>
    <x v="1"/>
    <s v="2023-12"/>
    <n v="1"/>
  </r>
  <r>
    <s v="FV/1300/NOVA/23"/>
    <s v="PZ/801928"/>
    <x v="2"/>
    <d v="2023-12-16T00:00:00"/>
    <s v="19269.69"/>
    <s v="Zaakceptowana"/>
    <s v="Faktura VAT"/>
    <s v="Apteka Szpitalna"/>
    <s v=""/>
    <b v="0"/>
    <n v="19269.689999999999"/>
    <s v="OK"/>
    <x v="1"/>
    <x v="1"/>
    <s v="2023-12"/>
    <n v="1"/>
  </r>
  <r>
    <s v="FV/99/SAL/23"/>
    <s v="PZ/801929"/>
    <x v="1"/>
    <d v="2023-12-16T00:00:00"/>
    <s v="14415.74"/>
    <s v="Zaakceptowana"/>
    <s v="Faktura VAT"/>
    <s v="Apteka Szpitalna"/>
    <s v="UM-SAL-02"/>
    <b v="0"/>
    <n v="14415.74"/>
    <s v="OK"/>
    <x v="0"/>
    <x v="1"/>
    <s v="2023-12"/>
    <n v="1"/>
  </r>
  <r>
    <s v="FV/2708/NOVA/23"/>
    <s v="PZ/801930"/>
    <x v="2"/>
    <d v="2023-12-16T00:00:00"/>
    <s v="18910.82"/>
    <s v="Zaakceptowana"/>
    <s v="Faktura VAT"/>
    <s v="Apteka Szpitalna"/>
    <s v="UM-NOV-02"/>
    <b v="0"/>
    <n v="18910.82"/>
    <s v="OK"/>
    <x v="0"/>
    <x v="1"/>
    <s v="2023-12"/>
    <n v="1"/>
  </r>
  <r>
    <s v="FV/2892HM/23"/>
    <s v="PZ/801931"/>
    <x v="3"/>
    <d v="2023-12-18T00:00:00"/>
    <s v="20413.18"/>
    <s v="Zaakceptowana"/>
    <s v="Faktura VAT"/>
    <s v="Apteka Szpitalna"/>
    <s v=""/>
    <b v="0"/>
    <n v="20413.18"/>
    <s v="OK"/>
    <x v="1"/>
    <x v="1"/>
    <s v="2023-12"/>
    <n v="1"/>
  </r>
  <r>
    <s v="FV/41/PP/9914/23"/>
    <s v="PZ/801932"/>
    <x v="6"/>
    <d v="2023-12-18T00:00:00"/>
    <s v="20908.53"/>
    <s v="Zaakceptowana"/>
    <s v="Faktura VAT"/>
    <s v="Apteka Szpitalna"/>
    <s v="UM-PHA-02"/>
    <b v="0"/>
    <n v="20908.53"/>
    <s v="OK"/>
    <x v="0"/>
    <x v="1"/>
    <s v="2023-12"/>
    <n v="1"/>
  </r>
  <r>
    <s v="FV/87/PP/5016/23"/>
    <s v="PZ/801933"/>
    <x v="6"/>
    <d v="2023-12-19T00:00:00"/>
    <s v="13450.31"/>
    <s v="Zaakceptowana"/>
    <s v="Faktura VAT"/>
    <s v="Apteka Szpitalna"/>
    <s v="UM-PHA-02"/>
    <b v="0"/>
    <n v="13450.31"/>
    <s v="OK"/>
    <x v="0"/>
    <x v="1"/>
    <s v="2023-12"/>
    <n v="1"/>
  </r>
  <r>
    <s v="FV/46/SAL/23"/>
    <s v="PZ/801934"/>
    <x v="1"/>
    <d v="2023-12-19T00:00:00"/>
    <s v="16155.11"/>
    <s v="Zaakceptowana"/>
    <s v="Faktura VAT"/>
    <s v="Apteka Szpitalna"/>
    <s v="UM-SAL-01"/>
    <b v="0"/>
    <n v="16155.11"/>
    <s v="OK"/>
    <x v="0"/>
    <x v="1"/>
    <s v="2023-12"/>
    <n v="1"/>
  </r>
  <r>
    <s v="FV/14/PP/1799/23"/>
    <s v="PZ/801935"/>
    <x v="6"/>
    <d v="2023-12-19T00:00:00"/>
    <s v="17242.2"/>
    <s v="Zaakceptowana"/>
    <s v="Faktura VAT"/>
    <s v="Apteka Szpitalna"/>
    <s v=""/>
    <b v="0"/>
    <n v="17242.2"/>
    <s v="OK"/>
    <x v="1"/>
    <x v="1"/>
    <s v="2023-12"/>
    <n v="1"/>
  </r>
  <r>
    <s v="FV/POL/52361/2023"/>
    <s v="PZ/801936"/>
    <x v="0"/>
    <d v="2023-12-20T00:00:00"/>
    <s v="3858.52"/>
    <s v="Zaakceptowana"/>
    <s v="Faktura VAT"/>
    <s v="Apteka Szpitalna"/>
    <s v=""/>
    <b v="0"/>
    <n v="3858.52"/>
    <s v="OK"/>
    <x v="1"/>
    <x v="1"/>
    <s v="2023-12"/>
    <n v="1"/>
  </r>
  <r>
    <s v="FV/CENFA/363802/23"/>
    <s v="PZ/801937"/>
    <x v="4"/>
    <d v="2023-12-20T00:00:00"/>
    <s v="12658.05"/>
    <s v="Zaakceptowana"/>
    <s v="Faktura VAT"/>
    <s v="Apteka Szpitalna"/>
    <s v="UM-CEN-02"/>
    <b v="0"/>
    <n v="12658.05"/>
    <s v="OK"/>
    <x v="0"/>
    <x v="1"/>
    <s v="2023-12"/>
    <n v="1"/>
  </r>
  <r>
    <s v="FV/80863/VDb/2023"/>
    <s v="PZ/801938"/>
    <x v="7"/>
    <d v="2023-12-20T00:00:00"/>
    <s v="21041.65"/>
    <s v="Zaakceptowana"/>
    <s v="Faktura VAT"/>
    <s v="Apteka Szpitalna"/>
    <s v="UM-VIT-01"/>
    <b v="0"/>
    <n v="21041.65"/>
    <s v="OK"/>
    <x v="0"/>
    <x v="1"/>
    <s v="2023-12"/>
    <n v="1"/>
  </r>
  <r>
    <s v="FV/22/SAL/23"/>
    <s v="PZ/801939"/>
    <x v="1"/>
    <d v="2023-12-20T00:00:00"/>
    <s v="10098.79"/>
    <s v="Zaakceptowana"/>
    <s v="Faktura VAT"/>
    <s v="Apteka Szpitalna"/>
    <s v="UM-SAL-02"/>
    <b v="0"/>
    <n v="10098.790000000001"/>
    <s v="OK"/>
    <x v="0"/>
    <x v="1"/>
    <s v="2023-12"/>
    <n v="1"/>
  </r>
  <r>
    <s v="FV/CENFA/117678/23"/>
    <s v="PZ/801940"/>
    <x v="4"/>
    <d v="2023-12-20T00:00:00"/>
    <s v="11592.67"/>
    <s v="Zaakceptowana"/>
    <s v="Faktura VAT"/>
    <s v="Apteka Szpitalna"/>
    <s v="UM-CEN-02"/>
    <b v="0"/>
    <n v="11592.67"/>
    <s v="OK"/>
    <x v="0"/>
    <x v="1"/>
    <s v="2023-12"/>
    <n v="1"/>
  </r>
  <r>
    <s v="FV/6962HM/23"/>
    <s v="PZ/801941"/>
    <x v="3"/>
    <d v="2023-12-20T00:00:00"/>
    <s v="24551.97"/>
    <s v="Zaakceptowana"/>
    <s v="Faktura VAT"/>
    <s v="Apteka Szpitalna"/>
    <s v="UM-HUR-03"/>
    <b v="0"/>
    <n v="24551.97"/>
    <s v="OK"/>
    <x v="0"/>
    <x v="1"/>
    <s v="2023-12"/>
    <n v="1"/>
  </r>
  <r>
    <s v="FV/7170/NOVA/23"/>
    <s v="PZ/801942"/>
    <x v="2"/>
    <d v="2023-12-21T00:00:00"/>
    <s v="14835.62"/>
    <s v="Zaakceptowana"/>
    <s v="Faktura VAT"/>
    <s v="Apteka Szpitalna"/>
    <s v="UM-NOV-01"/>
    <b v="0"/>
    <n v="14835.62"/>
    <s v="OK"/>
    <x v="0"/>
    <x v="1"/>
    <s v="2023-12"/>
    <n v="1"/>
  </r>
  <r>
    <s v="FV/30/PP/3700/23"/>
    <s v="PZ/801943"/>
    <x v="6"/>
    <d v="2023-12-22T00:00:00"/>
    <s v="7811.08"/>
    <s v="Zaakceptowana"/>
    <s v="Faktura VAT"/>
    <s v="Apteka Szpitalna"/>
    <s v="UM-PHA-02"/>
    <b v="0"/>
    <n v="7811.08"/>
    <s v="OK"/>
    <x v="0"/>
    <x v="1"/>
    <s v="2023-12"/>
    <n v="1"/>
  </r>
  <r>
    <s v="FV/16/SAL/23"/>
    <s v="PZ/801944"/>
    <x v="1"/>
    <d v="2023-12-23T00:00:00"/>
    <s v="9764.56"/>
    <s v="Zaakceptowana"/>
    <s v="Faktura VAT"/>
    <s v="Apteka Szpitalna"/>
    <s v="UM-SAL-02"/>
    <b v="0"/>
    <n v="9764.56"/>
    <s v="OK"/>
    <x v="0"/>
    <x v="1"/>
    <s v="2023-12"/>
    <n v="1"/>
  </r>
  <r>
    <s v="FV/POL/20505/2023"/>
    <s v="PZ/801945"/>
    <x v="0"/>
    <d v="2023-12-23T00:00:00"/>
    <s v="14455.52"/>
    <s v="Zaakceptowana"/>
    <s v="Faktura VAT"/>
    <s v="Apteka Szpitalna"/>
    <s v="UM-POL-01"/>
    <b v="0"/>
    <n v="14455.52"/>
    <s v="OK"/>
    <x v="0"/>
    <x v="1"/>
    <s v="2023-12"/>
    <n v="1"/>
  </r>
  <r>
    <s v="FV/CENFA/878263/23"/>
    <s v="PZ/801946"/>
    <x v="4"/>
    <d v="2023-12-23T00:00:00"/>
    <s v="16901.35"/>
    <s v="Zaakceptowana"/>
    <s v="Faktura VAT"/>
    <s v="Apteka Szpitalna"/>
    <s v="UM-CEN-01"/>
    <b v="0"/>
    <n v="16901.349999999999"/>
    <s v="OK"/>
    <x v="0"/>
    <x v="1"/>
    <s v="2023-12"/>
    <n v="1"/>
  </r>
  <r>
    <s v="FV/88163/VDb/2023"/>
    <s v="PZ/801947"/>
    <x v="7"/>
    <d v="2023-12-23T00:00:00"/>
    <s v="12648.41"/>
    <s v="Zaakceptowana"/>
    <s v="Faktura VAT"/>
    <s v="Apteka Szpitalna"/>
    <s v="UM-VIT-01"/>
    <b v="0"/>
    <n v="12648.41"/>
    <s v="OK"/>
    <x v="0"/>
    <x v="1"/>
    <s v="2023-12"/>
    <n v="1"/>
  </r>
  <r>
    <s v="FV/8733/NOVA/23"/>
    <s v="PZ/801948"/>
    <x v="2"/>
    <d v="2023-12-23T00:00:00"/>
    <s v="15267.16"/>
    <s v="Zaakceptowana"/>
    <s v="Faktura VAT"/>
    <s v="Apteka Szpitalna"/>
    <s v="UM-NOV-02"/>
    <b v="0"/>
    <n v="15267.16"/>
    <s v="OK"/>
    <x v="0"/>
    <x v="1"/>
    <s v="2023-12"/>
    <n v="1"/>
  </r>
  <r>
    <s v="FV/35877/VDb/2023"/>
    <s v="PZ/801949"/>
    <x v="7"/>
    <d v="2023-12-24T00:00:00"/>
    <s v="16051.83"/>
    <s v="Zaakceptowana"/>
    <s v="Faktura VAT"/>
    <s v="Apteka Szpitalna"/>
    <s v="UM-VIT-01"/>
    <b v="0"/>
    <n v="16051.83"/>
    <s v="OK"/>
    <x v="0"/>
    <x v="1"/>
    <s v="2023-12"/>
    <n v="1"/>
  </r>
  <r>
    <s v="FV/M/1226/P/23"/>
    <s v="PZ/801950"/>
    <x v="5"/>
    <d v="2023-12-24T00:00:00"/>
    <s v="12923.13"/>
    <s v="Zaakceptowana"/>
    <s v="Faktura VAT"/>
    <s v="Apteka Szpitalna"/>
    <s v="UM-MED-01"/>
    <b v="0"/>
    <n v="12923.13"/>
    <s v="OK"/>
    <x v="0"/>
    <x v="1"/>
    <s v="2023-12"/>
    <n v="1"/>
  </r>
  <r>
    <s v="FV/6954HM/23"/>
    <s v="PZ/801951"/>
    <x v="3"/>
    <d v="2023-12-25T00:00:00"/>
    <s v="11874.05"/>
    <s v="Zaakceptowana"/>
    <s v="Faktura VAT"/>
    <s v="Apteka Szpitalna"/>
    <s v=""/>
    <b v="0"/>
    <n v="11874.05"/>
    <s v="OK"/>
    <x v="1"/>
    <x v="1"/>
    <s v="2023-12"/>
    <n v="1"/>
  </r>
  <r>
    <s v="FV/92285/VDb/2023"/>
    <s v="PZ/801952"/>
    <x v="7"/>
    <d v="2023-12-25T00:00:00"/>
    <s v="-1326.54"/>
    <s v="Zaakceptowana"/>
    <s v="Korekta FV"/>
    <s v="Apteka Szpitalna"/>
    <s v="UM-VIT-01"/>
    <b v="0"/>
    <n v="-1326.54"/>
    <s v="OK"/>
    <x v="0"/>
    <x v="1"/>
    <s v="2023-12"/>
    <n v="1"/>
  </r>
  <r>
    <s v="FV/CENFA/919508/23"/>
    <s v="PZ/801953"/>
    <x v="4"/>
    <d v="2023-12-25T00:00:00"/>
    <s v="10516.69"/>
    <s v="Zaakceptowana"/>
    <s v="Faktura VAT"/>
    <s v="Apteka Szpitalna"/>
    <s v=""/>
    <b v="0"/>
    <n v="10516.69"/>
    <s v="OK"/>
    <x v="1"/>
    <x v="1"/>
    <s v="2023-12"/>
    <n v="1"/>
  </r>
  <r>
    <s v="FV/73995/VDb/2023"/>
    <s v="PZ/801954"/>
    <x v="7"/>
    <d v="2023-12-25T00:00:00"/>
    <s v="15391.07"/>
    <s v="Zaakceptowana"/>
    <s v="Faktura VAT"/>
    <s v="Apteka Szpitalna"/>
    <s v="UM-VIT-01"/>
    <b v="0"/>
    <n v="15391.07"/>
    <s v="OK"/>
    <x v="0"/>
    <x v="1"/>
    <s v="2023-12"/>
    <n v="1"/>
  </r>
  <r>
    <s v="FV/5461/NOVA/23"/>
    <s v="PZ/801955"/>
    <x v="2"/>
    <d v="2023-12-26T00:00:00"/>
    <s v="15612.16"/>
    <s v="Zaakceptowana"/>
    <s v="Faktura VAT"/>
    <s v="Apteka Szpitalna"/>
    <s v="UM-NOV-03"/>
    <b v="0"/>
    <n v="15612.16"/>
    <s v="OK"/>
    <x v="0"/>
    <x v="1"/>
    <s v="2023-12"/>
    <n v="1"/>
  </r>
  <r>
    <s v="FV/3831/NOVA/23"/>
    <s v="PZ/801956"/>
    <x v="2"/>
    <d v="2023-12-26T00:00:00"/>
    <s v="24098.79"/>
    <s v="Zaakceptowana"/>
    <s v="Faktura VAT"/>
    <s v="Apteka Szpitalna"/>
    <s v="UM-NOV-02"/>
    <b v="0"/>
    <n v="24098.79"/>
    <s v="OK"/>
    <x v="0"/>
    <x v="1"/>
    <s v="2023-12"/>
    <n v="1"/>
  </r>
  <r>
    <s v="FV/M/5819/P/23"/>
    <s v="PZ/801957"/>
    <x v="5"/>
    <d v="2023-12-26T00:00:00"/>
    <s v="12441.56"/>
    <s v="Zaakceptowana"/>
    <s v="Faktura VAT"/>
    <s v="Apteka Szpitalna"/>
    <s v=""/>
    <b v="0"/>
    <n v="12441.56"/>
    <s v="OK"/>
    <x v="1"/>
    <x v="1"/>
    <s v="2023-12"/>
    <n v="1"/>
  </r>
  <r>
    <s v="FV/84/PP/1737/23"/>
    <s v="PZ/801958"/>
    <x v="6"/>
    <d v="2023-12-26T00:00:00"/>
    <s v="15815.44"/>
    <s v="Zaakceptowana"/>
    <s v="Faktura VAT"/>
    <s v="Apteka Szpitalna"/>
    <s v="UM-PHA-02"/>
    <b v="0"/>
    <n v="15815.44"/>
    <s v="OK"/>
    <x v="0"/>
    <x v="1"/>
    <s v="2023-12"/>
    <n v="1"/>
  </r>
  <r>
    <s v="FV/POL/16281/2023"/>
    <s v="PZ/801959"/>
    <x v="0"/>
    <d v="2023-12-26T00:00:00"/>
    <s v="-2049.51"/>
    <s v="Zaakceptowana"/>
    <s v="Korekta FV"/>
    <s v="Apteka Szpitalna"/>
    <s v="UM-POL-01"/>
    <b v="0"/>
    <n v="-2049.5100000000002"/>
    <s v="OK"/>
    <x v="0"/>
    <x v="1"/>
    <s v="2023-12"/>
    <n v="1"/>
  </r>
  <r>
    <s v="FV/2739/NOVA/23"/>
    <s v="PZ/801960"/>
    <x v="2"/>
    <d v="2023-12-27T00:00:00"/>
    <s v="10149.94"/>
    <s v="Zaakceptowana"/>
    <s v="Faktura VAT"/>
    <s v="Apteka Szpitalna"/>
    <s v="UM-NOV-01"/>
    <b v="0"/>
    <n v="10149.94"/>
    <s v="OK"/>
    <x v="0"/>
    <x v="1"/>
    <s v="2023-12"/>
    <n v="1"/>
  </r>
  <r>
    <s v="FV/1271/NOVA/23"/>
    <s v="PZ/801961"/>
    <x v="2"/>
    <d v="2023-12-27T00:00:00"/>
    <s v="15976.69"/>
    <s v="Zaakceptowana"/>
    <s v="Faktura VAT"/>
    <s v="Apteka Szpitalna"/>
    <s v="UM-NOV-01"/>
    <b v="0"/>
    <n v="15976.69"/>
    <s v="OK"/>
    <x v="0"/>
    <x v="1"/>
    <s v="2023-12"/>
    <n v="1"/>
  </r>
  <r>
    <s v="FV/POL/11371/2023"/>
    <s v="PZ/801962"/>
    <x v="0"/>
    <d v="2023-12-28T00:00:00"/>
    <s v="14691.92"/>
    <s v="Zaakceptowana"/>
    <s v="Faktura VAT"/>
    <s v="Apteka Szpitalna"/>
    <s v=""/>
    <b v="0"/>
    <n v="14691.92"/>
    <s v="OK"/>
    <x v="1"/>
    <x v="1"/>
    <s v="2023-12"/>
    <n v="1"/>
  </r>
  <r>
    <s v="FV/POL/46288/2023"/>
    <s v="PZ/801963"/>
    <x v="0"/>
    <d v="2023-12-28T00:00:00"/>
    <s v="23480.14"/>
    <s v="Zaakceptowana"/>
    <s v="Faktura VAT"/>
    <s v="Apteka Szpitalna"/>
    <s v="UM-POL-03"/>
    <b v="0"/>
    <n v="23480.14"/>
    <s v="OK"/>
    <x v="0"/>
    <x v="1"/>
    <s v="2023-12"/>
    <n v="1"/>
  </r>
  <r>
    <s v="FV/23/PP/8570/23"/>
    <s v="PZ/801964"/>
    <x v="6"/>
    <d v="2023-12-28T00:00:00"/>
    <s v="17954.6"/>
    <s v="Zaakceptowana"/>
    <s v="Faktura VAT"/>
    <s v="Apteka Szpitalna"/>
    <s v="UM-PHA-01"/>
    <b v="0"/>
    <n v="17954.599999999999"/>
    <s v="OK"/>
    <x v="0"/>
    <x v="1"/>
    <s v="2023-12"/>
    <n v="1"/>
  </r>
  <r>
    <s v="FV/40/PP/4405/23"/>
    <s v="PZ/801965"/>
    <x v="6"/>
    <d v="2023-12-28T00:00:00"/>
    <s v="21225.09"/>
    <s v="Zaakceptowana"/>
    <s v="Faktura VAT"/>
    <s v="Apteka Szpitalna"/>
    <s v="UM-PHA-02"/>
    <b v="0"/>
    <n v="21225.09"/>
    <s v="OK"/>
    <x v="0"/>
    <x v="1"/>
    <s v="2023-12"/>
    <n v="1"/>
  </r>
  <r>
    <s v="FV/POL/83781/2023"/>
    <s v="PZ/801966"/>
    <x v="0"/>
    <d v="2023-12-29T00:00:00"/>
    <s v="11940.46"/>
    <s v="Zaakceptowana"/>
    <s v="Faktura VAT"/>
    <s v="Apteka Szpitalna"/>
    <s v="UM-POL-02"/>
    <b v="0"/>
    <n v="11940.46"/>
    <s v="OK"/>
    <x v="0"/>
    <x v="1"/>
    <s v="2023-12"/>
    <n v="1"/>
  </r>
  <r>
    <s v="FV/82/PP/1546/23"/>
    <s v="PZ/801967"/>
    <x v="6"/>
    <d v="2023-12-29T00:00:00"/>
    <s v="16246.12"/>
    <s v="Zaakceptowana"/>
    <s v="Faktura VAT"/>
    <s v="Apteka Szpitalna"/>
    <s v="UM-PHA-02"/>
    <b v="0"/>
    <n v="16246.12"/>
    <s v="OK"/>
    <x v="0"/>
    <x v="1"/>
    <s v="2023-12"/>
    <n v="1"/>
  </r>
  <r>
    <s v="FV/M/4210/P/23"/>
    <s v="PZ/801968"/>
    <x v="5"/>
    <d v="2023-12-29T00:00:00"/>
    <s v="19761.26"/>
    <s v="Zaakceptowana"/>
    <s v="Faktura VAT"/>
    <s v="Apteka Szpitalna"/>
    <s v="UM-MED-01"/>
    <b v="0"/>
    <n v="19761.259999999998"/>
    <s v="OK"/>
    <x v="0"/>
    <x v="1"/>
    <s v="2023-12"/>
    <n v="1"/>
  </r>
  <r>
    <s v="FV/43/PP/5175/23"/>
    <s v="PZ/801969"/>
    <x v="6"/>
    <d v="2023-12-30T00:00:00"/>
    <s v="12238.41"/>
    <s v="Zaakceptowana"/>
    <s v="Faktura VAT"/>
    <s v="Apteka Szpitalna"/>
    <s v="UM-PHA-02"/>
    <b v="0"/>
    <n v="12238.41"/>
    <s v="OK"/>
    <x v="0"/>
    <x v="1"/>
    <s v="2023-12"/>
    <n v="1"/>
  </r>
  <r>
    <s v="FV/M/4199/P/23"/>
    <s v="PZ/801970"/>
    <x v="5"/>
    <d v="2023-12-30T00:00:00"/>
    <s v="14204.73"/>
    <s v="Zaakceptowana"/>
    <s v="Faktura VAT"/>
    <s v="Apteka Szpitalna"/>
    <s v="UM-MED-01"/>
    <b v="0"/>
    <n v="14204.73"/>
    <s v="OK"/>
    <x v="0"/>
    <x v="1"/>
    <s v="2023-12"/>
    <n v="1"/>
  </r>
  <r>
    <s v="FV/CENFA/389878/23"/>
    <s v="PZ/801971"/>
    <x v="4"/>
    <d v="2023-12-30T00:00:00"/>
    <s v="16809.63"/>
    <s v="Zaakceptowana"/>
    <s v="Faktura VAT"/>
    <s v="Apteka Szpitalna"/>
    <s v=""/>
    <b v="0"/>
    <n v="16809.63"/>
    <s v="OK"/>
    <x v="1"/>
    <x v="1"/>
    <s v="2023-12"/>
    <n v="1"/>
  </r>
  <r>
    <s v="FV/27935/VDb/2023"/>
    <s v="PZ/801972"/>
    <x v="7"/>
    <d v="2023-12-31T00:00:00"/>
    <s v="21901.06"/>
    <s v="Zaakceptowana"/>
    <s v="Faktura VAT"/>
    <s v="Apteka Szpitalna"/>
    <s v=""/>
    <b v="0"/>
    <n v="21901.06"/>
    <s v="OK"/>
    <x v="1"/>
    <x v="1"/>
    <s v="2023-12"/>
    <n v="1"/>
  </r>
  <r>
    <s v="FV/43537/VDb/2023"/>
    <s v="PZ/801973"/>
    <x v="7"/>
    <d v="2023-12-31T00:00:00"/>
    <s v="18108.06"/>
    <s v="Zaakceptowana"/>
    <s v="Faktura VAT"/>
    <s v="Apteka Szpitalna"/>
    <s v=""/>
    <b v="0"/>
    <n v="18108.060000000001"/>
    <s v="OK"/>
    <x v="1"/>
    <x v="1"/>
    <s v="2023-12"/>
    <n v="1"/>
  </r>
  <r>
    <s v="FV/89/SAL/24"/>
    <s v="PZ/801974"/>
    <x v="1"/>
    <d v="2024-01-01T00:00:00"/>
    <s v="8948.12"/>
    <s v="Zaakceptowana"/>
    <s v="Faktura VAT"/>
    <s v="Apteka Szpitalna"/>
    <s v="UM-SAL-02"/>
    <b v="0"/>
    <n v="8948.1200000000008"/>
    <s v="OK"/>
    <x v="0"/>
    <x v="2"/>
    <s v="2024-01"/>
    <n v="1"/>
  </r>
  <r>
    <s v="FV/57/SAL/24"/>
    <s v="PZ/801975"/>
    <x v="1"/>
    <d v="2024-01-01T00:00:00"/>
    <s v="13807.17"/>
    <s v="Zaakceptowana"/>
    <s v="Faktura VAT"/>
    <s v="Apteka Szpitalna"/>
    <s v="UM-SAL-01"/>
    <b v="0"/>
    <n v="13807.17"/>
    <s v="OK"/>
    <x v="0"/>
    <x v="2"/>
    <s v="2024-01"/>
    <n v="1"/>
  </r>
  <r>
    <s v="FV/36691/VDb/2024"/>
    <s v="PZ/801976"/>
    <x v="7"/>
    <d v="2024-01-01T00:00:00"/>
    <s v="10571.5"/>
    <s v="Zaakceptowana"/>
    <s v="Faktura VAT"/>
    <s v="Apteka Szpitalna"/>
    <s v="UM-VIT-01"/>
    <b v="0"/>
    <n v="10571.5"/>
    <s v="OK"/>
    <x v="0"/>
    <x v="2"/>
    <s v="2024-01"/>
    <n v="1"/>
  </r>
  <r>
    <s v="FV/POL/64960/2024"/>
    <s v="PZ/801977"/>
    <x v="0"/>
    <d v="2024-01-03T00:00:00"/>
    <s v="23842.54"/>
    <s v="Zaakceptowana"/>
    <s v="Faktura VAT"/>
    <s v="Apteka Szpitalna"/>
    <s v="UM-POL-03"/>
    <b v="0"/>
    <n v="23842.54"/>
    <s v="OK"/>
    <x v="0"/>
    <x v="2"/>
    <s v="2024-01"/>
    <n v="1"/>
  </r>
  <r>
    <s v="FV/60/PP/1099/24"/>
    <s v="PZ/801978"/>
    <x v="6"/>
    <d v="2024-01-03T00:00:00"/>
    <s v="19012.03"/>
    <s v="Zaakceptowana"/>
    <s v="Faktura VAT"/>
    <s v="Apteka Szpitalna"/>
    <s v="UM-PHA-02"/>
    <b v="0"/>
    <n v="19012.03"/>
    <s v="OK"/>
    <x v="0"/>
    <x v="2"/>
    <s v="2024-01"/>
    <n v="1"/>
  </r>
  <r>
    <s v="FV/CENFA/413376/24"/>
    <s v="PZ/801979"/>
    <x v="4"/>
    <d v="2024-01-04T00:00:00"/>
    <s v="15700.46"/>
    <s v="Zaakceptowana"/>
    <s v="Faktura VAT"/>
    <s v="Apteka Szpitalna"/>
    <s v="UM-CEN-02"/>
    <b v="0"/>
    <n v="15700.46"/>
    <s v="OK"/>
    <x v="0"/>
    <x v="2"/>
    <s v="2024-01"/>
    <n v="1"/>
  </r>
  <r>
    <s v="FV/CENFA/525906/24"/>
    <s v="PZ/801980"/>
    <x v="4"/>
    <d v="2024-01-04T00:00:00"/>
    <s v="14863.94"/>
    <s v="Zaakceptowana"/>
    <s v="Faktura VAT"/>
    <s v="Apteka Szpitalna"/>
    <s v=""/>
    <b v="0"/>
    <n v="14863.94"/>
    <s v="OK"/>
    <x v="1"/>
    <x v="2"/>
    <s v="2024-01"/>
    <n v="1"/>
  </r>
  <r>
    <s v="FV/4556/NOVA/24"/>
    <s v="PZ/801981"/>
    <x v="2"/>
    <d v="2024-01-05T00:00:00"/>
    <s v="13300.32"/>
    <s v="Zaakceptowana"/>
    <s v="Faktura VAT"/>
    <s v="Apteka Szpitalna"/>
    <s v="UM-NOV-02"/>
    <b v="0"/>
    <n v="13300.32"/>
    <s v="OK"/>
    <x v="0"/>
    <x v="2"/>
    <s v="2024-01"/>
    <n v="1"/>
  </r>
  <r>
    <s v="FV/75/SAL/24"/>
    <s v="PZ/801982"/>
    <x v="1"/>
    <d v="2024-01-05T00:00:00"/>
    <s v="16978.56"/>
    <s v="Zaakceptowana"/>
    <s v="Faktura VAT"/>
    <s v="Apteka Szpitalna"/>
    <s v="UM-SAL-02"/>
    <b v="0"/>
    <n v="16978.560000000001"/>
    <s v="OK"/>
    <x v="0"/>
    <x v="2"/>
    <s v="2024-01"/>
    <n v="1"/>
  </r>
  <r>
    <s v="FV/POL/59787/2024"/>
    <s v="PZ/801983"/>
    <x v="0"/>
    <d v="2024-01-05T00:00:00"/>
    <s v="22714.46"/>
    <s v="Zaakceptowana"/>
    <s v="Faktura VAT"/>
    <s v="Apteka Szpitalna"/>
    <s v="UM-POL-02"/>
    <b v="0"/>
    <n v="22714.46"/>
    <s v="OK"/>
    <x v="0"/>
    <x v="2"/>
    <s v="2024-01"/>
    <n v="1"/>
  </r>
  <r>
    <s v="FV/POL/79256/2024"/>
    <s v="PZ/801984"/>
    <x v="0"/>
    <d v="2024-01-05T00:00:00"/>
    <s v="-2676.91"/>
    <s v="Zaakceptowana"/>
    <s v="Korekta FV"/>
    <s v="Apteka Szpitalna"/>
    <s v=""/>
    <b v="0"/>
    <n v="-2676.91"/>
    <s v="OK"/>
    <x v="1"/>
    <x v="2"/>
    <s v="2024-01"/>
    <n v="1"/>
  </r>
  <r>
    <s v="FV/95/SAL/24"/>
    <s v="PZ/801985"/>
    <x v="1"/>
    <d v="2024-01-06T00:00:00"/>
    <s v="21554.09"/>
    <s v="Zaakceptowana"/>
    <s v="Faktura VAT"/>
    <s v="Apteka Szpitalna"/>
    <s v="UM-SAL-02"/>
    <b v="0"/>
    <n v="21554.09"/>
    <s v="OK"/>
    <x v="0"/>
    <x v="2"/>
    <s v="2024-01"/>
    <n v="1"/>
  </r>
  <r>
    <s v="FV/2066HM/24"/>
    <s v="PZ/801986"/>
    <x v="3"/>
    <d v="2024-01-06T00:00:00"/>
    <s v="17174.28"/>
    <s v="Zaakceptowana"/>
    <s v="Faktura VAT"/>
    <s v="Apteka Szpitalna"/>
    <s v="UM-HUR-03"/>
    <b v="0"/>
    <n v="17174.28"/>
    <s v="OK"/>
    <x v="0"/>
    <x v="2"/>
    <s v="2024-01"/>
    <n v="1"/>
  </r>
  <r>
    <s v="FV/POL/72556/2024"/>
    <s v="PZ/801987"/>
    <x v="0"/>
    <d v="2024-01-08T00:00:00"/>
    <s v="10134.63"/>
    <s v="Zaakceptowana"/>
    <s v="Faktura VAT"/>
    <s v="Apteka Szpitalna"/>
    <s v=""/>
    <b v="0"/>
    <n v="10134.629999999999"/>
    <s v="OK"/>
    <x v="1"/>
    <x v="2"/>
    <s v="2024-01"/>
    <n v="1"/>
  </r>
  <r>
    <s v="FV/CENFA/978051/24"/>
    <s v="PZ/801988"/>
    <x v="4"/>
    <d v="2024-01-08T00:00:00"/>
    <s v="9371.05"/>
    <s v="Zaakceptowana"/>
    <s v="Faktura VAT"/>
    <s v="Apteka Szpitalna"/>
    <s v="UM-CEN-02"/>
    <b v="0"/>
    <n v="9371.0499999999993"/>
    <s v="OK"/>
    <x v="0"/>
    <x v="2"/>
    <s v="2024-01"/>
    <n v="1"/>
  </r>
  <r>
    <s v="FV/M/5925/P/24"/>
    <s v="PZ/801989"/>
    <x v="5"/>
    <d v="2024-01-08T00:00:00"/>
    <s v="6173.7"/>
    <s v="Zaakceptowana"/>
    <s v="Faktura VAT"/>
    <s v="Apteka Szpitalna"/>
    <s v=""/>
    <b v="0"/>
    <n v="6173.7"/>
    <s v="OK"/>
    <x v="1"/>
    <x v="2"/>
    <s v="2024-01"/>
    <n v="1"/>
  </r>
  <r>
    <s v="FV/86273/VDb/2024"/>
    <s v="PZ/801990"/>
    <x v="7"/>
    <d v="2024-01-08T00:00:00"/>
    <s v="15865.16"/>
    <s v="Zaakceptowana"/>
    <s v="Faktura VAT"/>
    <s v="Apteka Szpitalna"/>
    <s v=""/>
    <b v="0"/>
    <n v="15865.16"/>
    <s v="OK"/>
    <x v="1"/>
    <x v="2"/>
    <s v="2024-01"/>
    <n v="1"/>
  </r>
  <r>
    <s v="FV/M/5472/P/24"/>
    <s v="PZ/801991"/>
    <x v="5"/>
    <d v="2024-01-08T00:00:00"/>
    <s v="19817.74"/>
    <s v="Zaakceptowana"/>
    <s v="Faktura VAT"/>
    <s v="Apteka Szpitalna"/>
    <s v="UM-MED-01"/>
    <b v="0"/>
    <n v="19817.740000000002"/>
    <s v="OK"/>
    <x v="0"/>
    <x v="2"/>
    <s v="2024-01"/>
    <n v="1"/>
  </r>
  <r>
    <s v="FV/POL/16226/2024"/>
    <s v="PZ/801992"/>
    <x v="0"/>
    <d v="2024-01-09T00:00:00"/>
    <s v="9540.06"/>
    <s v="Zaakceptowana"/>
    <s v="Faktura VAT"/>
    <s v="Apteka Szpitalna"/>
    <s v="UM-POL-01"/>
    <b v="0"/>
    <n v="9540.06"/>
    <s v="OK"/>
    <x v="0"/>
    <x v="2"/>
    <s v="2024-01"/>
    <n v="1"/>
  </r>
  <r>
    <s v="FV/51/PP/2619/24"/>
    <s v="PZ/801993"/>
    <x v="6"/>
    <d v="2024-01-09T00:00:00"/>
    <s v="8299.55"/>
    <s v="Zaakceptowana"/>
    <s v="Faktura VAT"/>
    <s v="Apteka Szpitalna"/>
    <s v=""/>
    <b v="0"/>
    <n v="8299.5499999999993"/>
    <s v="OK"/>
    <x v="1"/>
    <x v="2"/>
    <s v="2024-01"/>
    <n v="1"/>
  </r>
  <r>
    <s v="FV/89/SAL/24"/>
    <s v="PZ/801994"/>
    <x v="1"/>
    <d v="2024-01-10T00:00:00"/>
    <s v="10260.01"/>
    <s v="Zaakceptowana"/>
    <s v="Faktura VAT"/>
    <s v="Apteka Szpitalna"/>
    <s v="UM-SAL-02"/>
    <b v="0"/>
    <n v="10260.01"/>
    <s v="OK"/>
    <x v="0"/>
    <x v="2"/>
    <s v="2024-01"/>
    <n v="1"/>
  </r>
  <r>
    <s v="FV/M/9870/P/24"/>
    <s v="PZ/801995"/>
    <x v="5"/>
    <d v="2024-01-10T00:00:00"/>
    <s v="12914.29"/>
    <s v="Zaakceptowana"/>
    <s v="Faktura VAT"/>
    <s v="Apteka Szpitalna"/>
    <s v="UM-MED-02"/>
    <b v="0"/>
    <n v="12914.29"/>
    <s v="OK"/>
    <x v="0"/>
    <x v="2"/>
    <s v="2024-01"/>
    <n v="1"/>
  </r>
  <r>
    <s v="FV/8484HM/24"/>
    <s v="PZ/801996"/>
    <x v="3"/>
    <d v="2024-01-10T00:00:00"/>
    <s v="9046.45"/>
    <s v="Zaakceptowana"/>
    <s v="Faktura VAT"/>
    <s v="Apteka Szpitalna"/>
    <s v="UM-HUR-03"/>
    <b v="0"/>
    <n v="9046.4500000000007"/>
    <s v="OK"/>
    <x v="0"/>
    <x v="2"/>
    <s v="2024-01"/>
    <n v="1"/>
  </r>
  <r>
    <s v="FV/M/3812/P/24"/>
    <s v="PZ/801997"/>
    <x v="5"/>
    <d v="2024-01-10T00:00:00"/>
    <s v="15132.42"/>
    <s v="Zaakceptowana"/>
    <s v="Faktura VAT"/>
    <s v="Apteka Szpitalna"/>
    <s v="UM-MED-02"/>
    <b v="0"/>
    <n v="15132.42"/>
    <s v="OK"/>
    <x v="0"/>
    <x v="2"/>
    <s v="2024-01"/>
    <n v="1"/>
  </r>
  <r>
    <s v="FV/POL/63014/2024"/>
    <s v="PZ/801998"/>
    <x v="0"/>
    <d v="2024-01-11T00:00:00"/>
    <s v="8513.33"/>
    <s v="Zaakceptowana"/>
    <s v="Faktura VAT"/>
    <s v="Apteka Szpitalna"/>
    <s v="UM-POL-02"/>
    <b v="0"/>
    <n v="8513.33"/>
    <s v="OK"/>
    <x v="0"/>
    <x v="2"/>
    <s v="2024-01"/>
    <n v="1"/>
  </r>
  <r>
    <s v="FV/4653HM/24"/>
    <s v="PZ/801999"/>
    <x v="3"/>
    <d v="2024-01-12T00:00:00"/>
    <s v="18159.71"/>
    <s v="Zaakceptowana"/>
    <s v="Faktura VAT"/>
    <s v="Apteka Szpitalna"/>
    <s v="UM-HUR-03"/>
    <b v="0"/>
    <n v="18159.71"/>
    <s v="OK"/>
    <x v="0"/>
    <x v="2"/>
    <s v="2024-01"/>
    <n v="1"/>
  </r>
  <r>
    <s v="FV/39492/VDb/2024"/>
    <s v="PZ/802000"/>
    <x v="7"/>
    <d v="2024-01-12T00:00:00"/>
    <s v="7769.41"/>
    <s v="Zaakceptowana"/>
    <s v="Faktura VAT"/>
    <s v="Apteka Szpitalna"/>
    <s v="UM-VIT-01"/>
    <b v="0"/>
    <n v="7769.41"/>
    <s v="OK"/>
    <x v="0"/>
    <x v="2"/>
    <s v="2024-01"/>
    <n v="1"/>
  </r>
  <r>
    <s v="FV/CENFA/123539/24"/>
    <s v="PZ/802001"/>
    <x v="4"/>
    <d v="2024-01-12T00:00:00"/>
    <s v="-1292.92"/>
    <s v="Zaakceptowana"/>
    <s v="Korekta FV"/>
    <s v="Apteka Szpitalna"/>
    <s v=""/>
    <b v="0"/>
    <n v="-1292.92"/>
    <s v="OK"/>
    <x v="1"/>
    <x v="2"/>
    <s v="2024-01"/>
    <n v="1"/>
  </r>
  <r>
    <s v="FV/12/SAL/24"/>
    <s v="PZ/802002"/>
    <x v="1"/>
    <d v="2024-01-13T00:00:00"/>
    <s v="-740.9"/>
    <s v="Zaakceptowana"/>
    <s v="Korekta FV"/>
    <s v="Apteka Szpitalna"/>
    <s v="UM-SAL-01"/>
    <b v="0"/>
    <n v="-740.9"/>
    <s v="OK"/>
    <x v="0"/>
    <x v="2"/>
    <s v="2024-01"/>
    <n v="1"/>
  </r>
  <r>
    <s v="FV/39912/VDb/2024"/>
    <s v="PZ/802003"/>
    <x v="7"/>
    <d v="2024-01-13T00:00:00"/>
    <s v="17624.64"/>
    <s v="Zaakceptowana"/>
    <s v="Faktura VAT"/>
    <s v="Apteka Szpitalna"/>
    <s v=""/>
    <b v="0"/>
    <n v="17624.64"/>
    <s v="OK"/>
    <x v="1"/>
    <x v="2"/>
    <s v="2024-01"/>
    <n v="1"/>
  </r>
  <r>
    <s v="FV/M/4560/P/24"/>
    <s v="PZ/802004"/>
    <x v="5"/>
    <d v="2024-01-13T00:00:00"/>
    <s v="21688.03"/>
    <s v="Zaakceptowana"/>
    <s v="Faktura VAT"/>
    <s v="Apteka Szpitalna"/>
    <s v="UM-MED-01"/>
    <b v="0"/>
    <n v="21688.03"/>
    <s v="OK"/>
    <x v="0"/>
    <x v="2"/>
    <s v="2024-01"/>
    <n v="1"/>
  </r>
  <r>
    <s v="FV/14787/VDb/2024"/>
    <s v="PZ/802005"/>
    <x v="7"/>
    <d v="2024-01-13T00:00:00"/>
    <s v="-671.36"/>
    <s v="Zaakceptowana"/>
    <s v="Korekta FV"/>
    <s v="Apteka Szpitalna"/>
    <s v="UM-VIT-01"/>
    <b v="0"/>
    <n v="-671.36"/>
    <s v="OK"/>
    <x v="0"/>
    <x v="2"/>
    <s v="2024-01"/>
    <n v="1"/>
  </r>
  <r>
    <s v="FV/54/SAL/24"/>
    <s v="PZ/802006"/>
    <x v="1"/>
    <d v="2024-01-13T00:00:00"/>
    <s v="12648.85"/>
    <s v="Zaakceptowana"/>
    <s v="Faktura VAT"/>
    <s v="Apteka Szpitalna"/>
    <s v="UM-SAL-01"/>
    <b v="0"/>
    <n v="12648.85"/>
    <s v="OK"/>
    <x v="0"/>
    <x v="2"/>
    <s v="2024-01"/>
    <n v="1"/>
  </r>
  <r>
    <s v="FV/69894/VDb/2024"/>
    <s v="PZ/802007"/>
    <x v="7"/>
    <d v="2024-01-14T00:00:00"/>
    <s v="13752.13"/>
    <s v="Zaakceptowana"/>
    <s v="Faktura VAT"/>
    <s v="Apteka Szpitalna"/>
    <s v=""/>
    <b v="0"/>
    <n v="13752.13"/>
    <s v="OK"/>
    <x v="1"/>
    <x v="2"/>
    <s v="2024-01"/>
    <n v="1"/>
  </r>
  <r>
    <s v="FV/47716/VDb/2024"/>
    <s v="PZ/802008"/>
    <x v="7"/>
    <d v="2024-01-14T00:00:00"/>
    <s v="14247.19"/>
    <s v="Zaakceptowana"/>
    <s v="Faktura VAT"/>
    <s v="Apteka Szpitalna"/>
    <s v="UM-VIT-01"/>
    <b v="0"/>
    <n v="14247.19"/>
    <s v="OK"/>
    <x v="0"/>
    <x v="2"/>
    <s v="2024-01"/>
    <n v="1"/>
  </r>
  <r>
    <s v="FV/21963/VDb/2024"/>
    <s v="PZ/802009"/>
    <x v="7"/>
    <d v="2024-01-14T00:00:00"/>
    <s v="14447.1"/>
    <s v="Zaakceptowana"/>
    <s v="Faktura VAT"/>
    <s v="Apteka Szpitalna"/>
    <s v="UM-VIT-01"/>
    <b v="0"/>
    <n v="14447.1"/>
    <s v="OK"/>
    <x v="0"/>
    <x v="2"/>
    <s v="2024-01"/>
    <n v="1"/>
  </r>
  <r>
    <s v="FV/POL/46506/2024"/>
    <s v="PZ/802010"/>
    <x v="0"/>
    <d v="2024-01-14T00:00:00"/>
    <s v="19163.46"/>
    <s v="Zaakceptowana"/>
    <s v="Faktura VAT"/>
    <s v="Apteka Szpitalna"/>
    <s v=""/>
    <b v="0"/>
    <n v="19163.46"/>
    <s v="OK"/>
    <x v="1"/>
    <x v="2"/>
    <s v="2024-01"/>
    <n v="1"/>
  </r>
  <r>
    <s v="FV/M/7004/P/24"/>
    <s v="PZ/802011"/>
    <x v="5"/>
    <d v="2024-01-15T00:00:00"/>
    <s v="15193.27"/>
    <s v="Zaakceptowana"/>
    <s v="Faktura VAT"/>
    <s v="Apteka Szpitalna"/>
    <s v="UM-MED-01"/>
    <b v="0"/>
    <n v="15193.27"/>
    <s v="OK"/>
    <x v="0"/>
    <x v="2"/>
    <s v="2024-01"/>
    <n v="1"/>
  </r>
  <r>
    <s v="FV/46/PP/8478/24"/>
    <s v="PZ/802012"/>
    <x v="6"/>
    <d v="2024-01-15T00:00:00"/>
    <s v="15802.34"/>
    <s v="Zaakceptowana"/>
    <s v="Faktura VAT"/>
    <s v="Apteka Szpitalna"/>
    <s v="UM-PHA-02"/>
    <b v="0"/>
    <n v="15802.34"/>
    <s v="OK"/>
    <x v="0"/>
    <x v="2"/>
    <s v="2024-01"/>
    <n v="1"/>
  </r>
  <r>
    <s v="FV/3709/NOVA/24"/>
    <s v="PZ/802013"/>
    <x v="2"/>
    <d v="2024-01-16T00:00:00"/>
    <s v="21530.13"/>
    <s v="Zaakceptowana"/>
    <s v="Faktura VAT"/>
    <s v="Apteka Szpitalna"/>
    <s v="UM-NOV-02"/>
    <b v="0"/>
    <n v="21530.13"/>
    <s v="OK"/>
    <x v="0"/>
    <x v="2"/>
    <s v="2024-01"/>
    <n v="1"/>
  </r>
  <r>
    <s v="FV/M/1352/P/24"/>
    <s v="PZ/802014"/>
    <x v="5"/>
    <d v="2024-01-16T00:00:00"/>
    <s v="12030.78"/>
    <s v="Zaakceptowana"/>
    <s v="Faktura VAT"/>
    <s v="Apteka Szpitalna"/>
    <s v="UM-MED-02"/>
    <b v="0"/>
    <n v="12030.78"/>
    <s v="OK"/>
    <x v="0"/>
    <x v="2"/>
    <s v="2024-01"/>
    <n v="1"/>
  </r>
  <r>
    <s v="FV/88/PP/8509/24"/>
    <s v="PZ/802015"/>
    <x v="6"/>
    <d v="2024-01-16T00:00:00"/>
    <s v="15331.96"/>
    <s v="Zaakceptowana"/>
    <s v="Faktura VAT"/>
    <s v="Apteka Szpitalna"/>
    <s v="UM-PHA-02"/>
    <b v="0"/>
    <n v="15331.96"/>
    <s v="OK"/>
    <x v="0"/>
    <x v="2"/>
    <s v="2024-01"/>
    <n v="1"/>
  </r>
  <r>
    <s v="FV/5024HM/24"/>
    <s v="PZ/802016"/>
    <x v="3"/>
    <d v="2024-01-17T00:00:00"/>
    <s v="23418.99"/>
    <s v="Zaakceptowana"/>
    <s v="Faktura VAT"/>
    <s v="Apteka Szpitalna"/>
    <s v="UM-HUR-03"/>
    <b v="0"/>
    <n v="23418.99"/>
    <s v="OK"/>
    <x v="0"/>
    <x v="2"/>
    <s v="2024-01"/>
    <n v="1"/>
  </r>
  <r>
    <s v="FV/POL/93611/2024"/>
    <s v="PZ/802017"/>
    <x v="0"/>
    <d v="2024-01-17T00:00:00"/>
    <s v="18609.48"/>
    <s v="Zaakceptowana"/>
    <s v="Faktura VAT"/>
    <s v="Apteka Szpitalna"/>
    <s v="UM-POL-03"/>
    <b v="0"/>
    <n v="18609.48"/>
    <s v="OK"/>
    <x v="0"/>
    <x v="2"/>
    <s v="2024-01"/>
    <n v="1"/>
  </r>
  <r>
    <s v="FV/CENFA/501904/24"/>
    <s v="PZ/802018"/>
    <x v="4"/>
    <d v="2024-01-18T00:00:00"/>
    <s v="12770.24"/>
    <s v="Zaakceptowana"/>
    <s v="Faktura VAT"/>
    <s v="Apteka Szpitalna"/>
    <s v="UM-CEN-01"/>
    <b v="0"/>
    <n v="12770.24"/>
    <s v="OK"/>
    <x v="0"/>
    <x v="2"/>
    <s v="2024-01"/>
    <n v="1"/>
  </r>
  <r>
    <s v="FV/POL/72092/2024"/>
    <s v="PZ/802019"/>
    <x v="0"/>
    <d v="2024-01-18T00:00:00"/>
    <s v="20868.56"/>
    <s v="Zaakceptowana"/>
    <s v="Faktura VAT"/>
    <s v="Apteka Szpitalna"/>
    <s v="UM-POL-01"/>
    <b v="0"/>
    <n v="20868.560000000001"/>
    <s v="OK"/>
    <x v="0"/>
    <x v="2"/>
    <s v="2024-01"/>
    <n v="1"/>
  </r>
  <r>
    <s v="FV/POL/48111/2024"/>
    <s v="PZ/802020"/>
    <x v="0"/>
    <d v="2024-01-19T00:00:00"/>
    <s v="14828.69"/>
    <s v="Zaakceptowana"/>
    <s v="Faktura VAT"/>
    <s v="Apteka Szpitalna"/>
    <s v=""/>
    <b v="0"/>
    <n v="14828.69"/>
    <s v="OK"/>
    <x v="1"/>
    <x v="2"/>
    <s v="2024-01"/>
    <n v="1"/>
  </r>
  <r>
    <s v="FV/12/PP/8926/24"/>
    <s v="PZ/802021"/>
    <x v="6"/>
    <d v="2024-01-20T00:00:00"/>
    <s v="24527.04"/>
    <s v="Zaakceptowana"/>
    <s v="Faktura VAT"/>
    <s v="Apteka Szpitalna"/>
    <s v="UM-PHA-01"/>
    <b v="0"/>
    <n v="24527.040000000001"/>
    <s v="OK"/>
    <x v="0"/>
    <x v="2"/>
    <s v="2024-01"/>
    <n v="1"/>
  </r>
  <r>
    <s v="FV/26/SAL/24"/>
    <s v="PZ/802022"/>
    <x v="1"/>
    <d v="2024-01-20T00:00:00"/>
    <s v="14762.2"/>
    <s v="Zaakceptowana"/>
    <s v="Faktura VAT"/>
    <s v="Apteka Szpitalna"/>
    <s v="UM-SAL-02"/>
    <b v="0"/>
    <n v="14762.2"/>
    <s v="OK"/>
    <x v="0"/>
    <x v="2"/>
    <s v="2024-01"/>
    <n v="1"/>
  </r>
  <r>
    <s v="FV/20004/VDb/2024"/>
    <s v="PZ/802023"/>
    <x v="7"/>
    <d v="2024-01-20T00:00:00"/>
    <s v="6412.53"/>
    <s v="Zaakceptowana"/>
    <s v="Faktura VAT"/>
    <s v="Apteka Szpitalna"/>
    <s v="UM-VIT-01"/>
    <b v="0"/>
    <n v="6412.53"/>
    <s v="OK"/>
    <x v="0"/>
    <x v="2"/>
    <s v="2024-01"/>
    <n v="1"/>
  </r>
  <r>
    <s v="FV/1992HM/24"/>
    <s v="PZ/802024"/>
    <x v="3"/>
    <d v="2024-01-20T00:00:00"/>
    <s v="12714.66"/>
    <s v="Zaakceptowana"/>
    <s v="Faktura VAT"/>
    <s v="Apteka Szpitalna"/>
    <s v="UM-HUR-01"/>
    <b v="0"/>
    <n v="12714.66"/>
    <s v="OK"/>
    <x v="0"/>
    <x v="2"/>
    <s v="2024-01"/>
    <n v="1"/>
  </r>
  <r>
    <s v="FV/M/2696/P/24"/>
    <s v="PZ/802025"/>
    <x v="5"/>
    <d v="2024-01-20T00:00:00"/>
    <s v="19028.5"/>
    <s v="Zaakceptowana"/>
    <s v="Faktura VAT"/>
    <s v="Apteka Szpitalna"/>
    <s v="UM-MED-01"/>
    <b v="0"/>
    <n v="19028.5"/>
    <s v="OK"/>
    <x v="0"/>
    <x v="2"/>
    <s v="2024-01"/>
    <n v="1"/>
  </r>
  <r>
    <s v="FV/M/4971/P/24"/>
    <s v="PZ/802026"/>
    <x v="5"/>
    <d v="2024-01-21T00:00:00"/>
    <s v="15911.93"/>
    <s v="Zaakceptowana"/>
    <s v="Faktura VAT"/>
    <s v="Apteka Szpitalna"/>
    <s v="UM-MED-02"/>
    <b v="0"/>
    <n v="15911.93"/>
    <s v="OK"/>
    <x v="0"/>
    <x v="2"/>
    <s v="2024-01"/>
    <n v="1"/>
  </r>
  <r>
    <s v="FV/8073/NOVA/24"/>
    <s v="PZ/802027"/>
    <x v="2"/>
    <d v="2024-01-21T00:00:00"/>
    <s v="15446.85"/>
    <s v="Zaakceptowana"/>
    <s v="Faktura VAT"/>
    <s v="Apteka Szpitalna"/>
    <s v="UM-NOV-03"/>
    <b v="0"/>
    <n v="15446.85"/>
    <s v="OK"/>
    <x v="0"/>
    <x v="2"/>
    <s v="2024-01"/>
    <n v="1"/>
  </r>
  <r>
    <s v="FV/35/SAL/24"/>
    <s v="PZ/802028"/>
    <x v="1"/>
    <d v="2024-01-22T00:00:00"/>
    <s v="18385.22"/>
    <s v="Zaakceptowana"/>
    <s v="Faktura VAT"/>
    <s v="Apteka Szpitalna"/>
    <s v=""/>
    <b v="0"/>
    <n v="18385.22"/>
    <s v="OK"/>
    <x v="1"/>
    <x v="2"/>
    <s v="2024-01"/>
    <n v="1"/>
  </r>
  <r>
    <s v="FV/CENFA/109487/24"/>
    <s v="PZ/802029"/>
    <x v="4"/>
    <d v="2024-01-22T00:00:00"/>
    <s v="17358.1"/>
    <s v="Zaakceptowana"/>
    <s v="Faktura VAT"/>
    <s v="Apteka Szpitalna"/>
    <s v="UM-CEN-01"/>
    <b v="0"/>
    <n v="17358.099999999999"/>
    <s v="OK"/>
    <x v="0"/>
    <x v="2"/>
    <s v="2024-01"/>
    <n v="1"/>
  </r>
  <r>
    <s v="FV/POL/92127/2024"/>
    <s v="PZ/802030"/>
    <x v="0"/>
    <d v="2024-01-23T00:00:00"/>
    <s v="15209.59"/>
    <s v="Zaakceptowana"/>
    <s v="Faktura VAT"/>
    <s v="Apteka Szpitalna"/>
    <s v="UM-POL-02"/>
    <b v="0"/>
    <n v="15209.59"/>
    <s v="OK"/>
    <x v="0"/>
    <x v="2"/>
    <s v="2024-01"/>
    <n v="1"/>
  </r>
  <r>
    <s v="FV/65/SAL/24"/>
    <s v="PZ/802031"/>
    <x v="1"/>
    <d v="2024-01-23T00:00:00"/>
    <s v="11587.78"/>
    <s v="Zaakceptowana"/>
    <s v="Faktura VAT"/>
    <s v="Apteka Szpitalna"/>
    <s v=""/>
    <b v="0"/>
    <n v="11587.78"/>
    <s v="OK"/>
    <x v="1"/>
    <x v="2"/>
    <s v="2024-01"/>
    <n v="1"/>
  </r>
  <r>
    <s v="FV/57/PP/8905/24"/>
    <s v="PZ/802032"/>
    <x v="6"/>
    <d v="2024-01-23T00:00:00"/>
    <s v="17525.97"/>
    <s v="Zaakceptowana"/>
    <s v="Faktura VAT"/>
    <s v="Apteka Szpitalna"/>
    <s v="UM-PHA-01"/>
    <b v="0"/>
    <n v="17525.97"/>
    <s v="OK"/>
    <x v="0"/>
    <x v="2"/>
    <s v="2024-01"/>
    <n v="1"/>
  </r>
  <r>
    <s v="FV/1547/NOVA/24"/>
    <s v="PZ/802033"/>
    <x v="2"/>
    <d v="2024-01-24T00:00:00"/>
    <s v="21307.84"/>
    <s v="Zaakceptowana"/>
    <s v="Faktura VAT"/>
    <s v="Apteka Szpitalna"/>
    <s v="UM-NOV-03"/>
    <b v="0"/>
    <n v="21307.84"/>
    <s v="OK"/>
    <x v="0"/>
    <x v="2"/>
    <s v="2024-01"/>
    <n v="1"/>
  </r>
  <r>
    <s v="FV/9905/NOVA/24"/>
    <s v="PZ/802034"/>
    <x v="2"/>
    <d v="2024-01-24T00:00:00"/>
    <s v="27948.93"/>
    <s v="Zaakceptowana"/>
    <s v="Faktura VAT"/>
    <s v="Apteka Szpitalna"/>
    <s v="UM-NOV-02"/>
    <b v="0"/>
    <n v="27948.93"/>
    <s v="OK"/>
    <x v="0"/>
    <x v="2"/>
    <s v="2024-01"/>
    <n v="1"/>
  </r>
  <r>
    <s v="FV/19/SAL/24"/>
    <s v="PZ/802035"/>
    <x v="1"/>
    <d v="2024-01-24T00:00:00"/>
    <s v="10242.51"/>
    <s v="Zaakceptowana"/>
    <s v="Faktura VAT"/>
    <s v="Apteka Szpitalna"/>
    <s v="UM-SAL-01"/>
    <b v="0"/>
    <n v="10242.51"/>
    <s v="OK"/>
    <x v="0"/>
    <x v="2"/>
    <s v="2024-01"/>
    <n v="1"/>
  </r>
  <r>
    <s v="FV/50/SAL/24"/>
    <s v="PZ/802036"/>
    <x v="1"/>
    <d v="2024-01-24T00:00:00"/>
    <s v="9836.59"/>
    <s v="Zaakceptowana"/>
    <s v="Faktura VAT"/>
    <s v="Apteka Szpitalna"/>
    <s v="UM-SAL-02"/>
    <b v="0"/>
    <n v="9836.59"/>
    <s v="OK"/>
    <x v="0"/>
    <x v="2"/>
    <s v="2024-01"/>
    <n v="1"/>
  </r>
  <r>
    <s v="FV/97602/VDb/2024"/>
    <s v="PZ/802037"/>
    <x v="7"/>
    <d v="2024-01-25T00:00:00"/>
    <s v="9202.71"/>
    <s v="Zaakceptowana"/>
    <s v="Faktura VAT"/>
    <s v="Apteka Szpitalna"/>
    <s v="UM-VIT-01"/>
    <b v="0"/>
    <n v="9202.7099999999991"/>
    <s v="OK"/>
    <x v="0"/>
    <x v="2"/>
    <s v="2024-01"/>
    <n v="1"/>
  </r>
  <r>
    <s v="FV/86/PP/1949/24"/>
    <s v="PZ/802038"/>
    <x v="6"/>
    <d v="2024-01-25T00:00:00"/>
    <s v="13726.99"/>
    <s v="Zaakceptowana"/>
    <s v="Faktura VAT"/>
    <s v="Apteka Szpitalna"/>
    <s v="UM-PHA-02"/>
    <b v="0"/>
    <n v="13726.99"/>
    <s v="OK"/>
    <x v="0"/>
    <x v="2"/>
    <s v="2024-01"/>
    <n v="1"/>
  </r>
  <r>
    <s v="FV/CENFA/482007/24"/>
    <s v="PZ/802039"/>
    <x v="4"/>
    <d v="2024-01-25T00:00:00"/>
    <s v="15819.17"/>
    <s v="Zaakceptowana"/>
    <s v="Faktura VAT"/>
    <s v="Apteka Szpitalna"/>
    <s v="UM-CEN-01"/>
    <b v="0"/>
    <n v="15819.17"/>
    <s v="OK"/>
    <x v="0"/>
    <x v="2"/>
    <s v="2024-01"/>
    <n v="1"/>
  </r>
  <r>
    <s v="FV/CENFA/487810/24"/>
    <s v="PZ/802040"/>
    <x v="4"/>
    <d v="2024-01-25T00:00:00"/>
    <s v="19498.23"/>
    <s v="Zaakceptowana"/>
    <s v="Faktura VAT"/>
    <s v="Apteka Szpitalna"/>
    <s v=""/>
    <b v="0"/>
    <n v="19498.23"/>
    <s v="OK"/>
    <x v="1"/>
    <x v="2"/>
    <s v="2024-01"/>
    <n v="1"/>
  </r>
  <r>
    <s v="FV/64937/VDb/2024"/>
    <s v="PZ/802041"/>
    <x v="7"/>
    <d v="2024-01-26T00:00:00"/>
    <s v="20948.42"/>
    <s v="Zaakceptowana"/>
    <s v="Faktura VAT"/>
    <s v="Apteka Szpitalna"/>
    <s v="UM-VIT-01"/>
    <b v="0"/>
    <n v="20948.419999999998"/>
    <s v="OK"/>
    <x v="0"/>
    <x v="2"/>
    <s v="2024-01"/>
    <n v="1"/>
  </r>
  <r>
    <s v="FV/POL/24692/2024"/>
    <s v="PZ/802042"/>
    <x v="0"/>
    <d v="2024-01-26T00:00:00"/>
    <s v="18824.81"/>
    <s v="Zaakceptowana"/>
    <s v="Faktura VAT"/>
    <s v="Apteka Szpitalna"/>
    <s v=""/>
    <b v="0"/>
    <n v="18824.810000000001"/>
    <s v="OK"/>
    <x v="1"/>
    <x v="2"/>
    <s v="2024-01"/>
    <n v="1"/>
  </r>
  <r>
    <s v="FV/53347/VDb/2024"/>
    <s v="PZ/802043"/>
    <x v="7"/>
    <d v="2024-01-26T00:00:00"/>
    <s v="8588.87"/>
    <s v="Zaakceptowana"/>
    <s v="Faktura VAT"/>
    <s v="Apteka Szpitalna"/>
    <s v=""/>
    <b v="0"/>
    <n v="8588.8700000000008"/>
    <s v="OK"/>
    <x v="1"/>
    <x v="2"/>
    <s v="2024-01"/>
    <n v="1"/>
  </r>
  <r>
    <s v="FV/58208/VDb/2024"/>
    <s v="PZ/802044"/>
    <x v="7"/>
    <d v="2024-01-27T00:00:00"/>
    <s v="-61.89"/>
    <s v="Zaakceptowana"/>
    <s v="Korekta FV"/>
    <s v="Apteka Szpitalna"/>
    <s v="UM-VIT-01"/>
    <b v="0"/>
    <n v="-61.89"/>
    <s v="OK"/>
    <x v="0"/>
    <x v="2"/>
    <s v="2024-01"/>
    <n v="1"/>
  </r>
  <r>
    <s v="FV/13/SAL/24"/>
    <s v="PZ/802045"/>
    <x v="1"/>
    <d v="2024-01-29T00:00:00"/>
    <s v="18180.26"/>
    <s v="Zaakceptowana"/>
    <s v="Faktura VAT"/>
    <s v="Apteka Szpitalna"/>
    <s v="UM-SAL-02"/>
    <b v="0"/>
    <n v="18180.259999999998"/>
    <s v="OK"/>
    <x v="0"/>
    <x v="2"/>
    <s v="2024-01"/>
    <n v="1"/>
  </r>
  <r>
    <s v="FV/15/SAL/24"/>
    <s v="PZ/802046"/>
    <x v="1"/>
    <d v="2024-01-29T00:00:00"/>
    <s v="8744.97"/>
    <s v="Zaakceptowana"/>
    <s v="Faktura VAT"/>
    <s v="Apteka Szpitalna"/>
    <s v="UM-SAL-01"/>
    <b v="0"/>
    <n v="8744.9699999999993"/>
    <s v="OK"/>
    <x v="0"/>
    <x v="2"/>
    <s v="2024-01"/>
    <n v="1"/>
  </r>
  <r>
    <s v="FV/CENFA/423417/24"/>
    <s v="PZ/802047"/>
    <x v="4"/>
    <d v="2024-01-29T00:00:00"/>
    <s v="16155.47"/>
    <s v="Zaakceptowana"/>
    <s v="Faktura VAT"/>
    <s v="Apteka Szpitalna"/>
    <s v="UM-CEN-02"/>
    <b v="0"/>
    <n v="16155.47"/>
    <s v="OK"/>
    <x v="0"/>
    <x v="2"/>
    <s v="2024-01"/>
    <n v="1"/>
  </r>
  <r>
    <s v="FV/M/5018/P/24"/>
    <s v="PZ/802048"/>
    <x v="5"/>
    <d v="2024-01-29T00:00:00"/>
    <s v="10213.99"/>
    <s v="Zaakceptowana"/>
    <s v="Faktura VAT"/>
    <s v="Apteka Szpitalna"/>
    <s v="UM-MED-01"/>
    <b v="0"/>
    <n v="10213.99"/>
    <s v="OK"/>
    <x v="0"/>
    <x v="2"/>
    <s v="2024-01"/>
    <n v="1"/>
  </r>
  <r>
    <s v="FV/46/SAL/24"/>
    <s v="PZ/802049"/>
    <x v="1"/>
    <d v="2024-01-29T00:00:00"/>
    <s v="20605.81"/>
    <s v="Zaakceptowana"/>
    <s v="Faktura VAT"/>
    <s v="Apteka Szpitalna"/>
    <s v="UM-SAL-01"/>
    <b v="0"/>
    <n v="20605.810000000001"/>
    <s v="OK"/>
    <x v="0"/>
    <x v="2"/>
    <s v="2024-01"/>
    <n v="1"/>
  </r>
  <r>
    <s v="FV/CENFA/249043/24"/>
    <s v="PZ/802050"/>
    <x v="4"/>
    <d v="2024-01-29T00:00:00"/>
    <s v="18085.89"/>
    <s v="Zaakceptowana"/>
    <s v="Faktura VAT"/>
    <s v="Apteka Szpitalna"/>
    <s v="UM-CEN-02"/>
    <b v="0"/>
    <n v="18085.89"/>
    <s v="OK"/>
    <x v="0"/>
    <x v="2"/>
    <s v="2024-01"/>
    <n v="1"/>
  </r>
  <r>
    <s v="FV/M/7686/P/24"/>
    <s v="PZ/802051"/>
    <x v="5"/>
    <d v="2024-01-30T00:00:00"/>
    <s v="15961.21"/>
    <s v="Zaakceptowana"/>
    <s v="Faktura VAT"/>
    <s v="Apteka Szpitalna"/>
    <s v="UM-MED-02"/>
    <b v="0"/>
    <n v="15961.21"/>
    <s v="OK"/>
    <x v="0"/>
    <x v="2"/>
    <s v="2024-01"/>
    <n v="1"/>
  </r>
  <r>
    <s v="FV/CENFA/884503/24"/>
    <s v="PZ/802052"/>
    <x v="4"/>
    <d v="2024-01-30T00:00:00"/>
    <s v="15837.05"/>
    <s v="Zaakceptowana"/>
    <s v="Faktura VAT"/>
    <s v="Apteka Szpitalna"/>
    <s v=""/>
    <b v="0"/>
    <n v="15837.05"/>
    <s v="OK"/>
    <x v="1"/>
    <x v="2"/>
    <s v="2024-01"/>
    <n v="1"/>
  </r>
  <r>
    <s v="FV/5181HM/24"/>
    <s v="PZ/802053"/>
    <x v="3"/>
    <d v="2024-01-30T00:00:00"/>
    <s v="13205.6"/>
    <s v="Zaakceptowana"/>
    <s v="Faktura VAT"/>
    <s v="Apteka Szpitalna"/>
    <s v="UM-HUR-03"/>
    <b v="0"/>
    <n v="13205.6"/>
    <s v="OK"/>
    <x v="0"/>
    <x v="2"/>
    <s v="2024-01"/>
    <n v="1"/>
  </r>
  <r>
    <s v="FV/POL/97475/2024"/>
    <s v="PZ/802054"/>
    <x v="0"/>
    <d v="2024-01-30T00:00:00"/>
    <s v="13966.52"/>
    <s v="Zaakceptowana"/>
    <s v="Faktura VAT"/>
    <s v="Apteka Szpitalna"/>
    <s v=""/>
    <b v="0"/>
    <n v="13966.52"/>
    <s v="OK"/>
    <x v="1"/>
    <x v="2"/>
    <s v="2024-01"/>
    <n v="1"/>
  </r>
  <r>
    <s v="FV/CENFA/328497/24"/>
    <s v="PZ/802055"/>
    <x v="4"/>
    <d v="2024-01-30T00:00:00"/>
    <s v="9243.48"/>
    <s v="Zaakceptowana"/>
    <s v="Faktura VAT"/>
    <s v="Apteka Szpitalna"/>
    <s v=""/>
    <b v="0"/>
    <n v="9243.48"/>
    <s v="OK"/>
    <x v="1"/>
    <x v="2"/>
    <s v="2024-01"/>
    <n v="1"/>
  </r>
  <r>
    <s v="FV/94674/VDb/2024"/>
    <s v="PZ/802056"/>
    <x v="7"/>
    <d v="2024-01-30T00:00:00"/>
    <s v="7733.64"/>
    <s v="Zaakceptowana"/>
    <s v="Faktura VAT"/>
    <s v="Apteka Szpitalna"/>
    <s v="UM-VIT-01"/>
    <b v="0"/>
    <n v="7733.64"/>
    <s v="OK"/>
    <x v="0"/>
    <x v="2"/>
    <s v="2024-01"/>
    <n v="1"/>
  </r>
  <r>
    <s v="FV/6582/NOVA/24"/>
    <s v="PZ/802057"/>
    <x v="2"/>
    <d v="2024-01-31T00:00:00"/>
    <s v="6942.92"/>
    <s v="Zaakceptowana"/>
    <s v="Faktura VAT"/>
    <s v="Apteka Szpitalna"/>
    <s v="UM-NOV-02"/>
    <b v="0"/>
    <n v="6942.92"/>
    <s v="OK"/>
    <x v="0"/>
    <x v="2"/>
    <s v="2024-01"/>
    <n v="1"/>
  </r>
  <r>
    <s v="FV/8761/NOVA/24"/>
    <s v="PZ/802058"/>
    <x v="2"/>
    <d v="2024-02-01T00:00:00"/>
    <s v="17798.95"/>
    <s v="Zaakceptowana"/>
    <s v="Faktura VAT"/>
    <s v="Apteka Szpitalna"/>
    <s v="UM-NOV-03"/>
    <b v="0"/>
    <n v="17798.95"/>
    <s v="OK"/>
    <x v="0"/>
    <x v="2"/>
    <s v="2024-02"/>
    <n v="1"/>
  </r>
  <r>
    <s v="FV/8956HM/24"/>
    <s v="PZ/802059"/>
    <x v="3"/>
    <d v="2024-02-01T00:00:00"/>
    <s v="19580.29"/>
    <s v="Zaakceptowana"/>
    <s v="Faktura VAT"/>
    <s v="Apteka Szpitalna"/>
    <s v=""/>
    <b v="0"/>
    <n v="19580.29"/>
    <s v="OK"/>
    <x v="1"/>
    <x v="2"/>
    <s v="2024-02"/>
    <n v="1"/>
  </r>
  <r>
    <s v="FV/2538/NOVA/24"/>
    <s v="PZ/802060"/>
    <x v="2"/>
    <d v="2024-02-01T00:00:00"/>
    <s v="19962.34"/>
    <s v="Zaakceptowana"/>
    <s v="Faktura VAT"/>
    <s v="Apteka Szpitalna"/>
    <s v=""/>
    <b v="0"/>
    <n v="19962.34"/>
    <s v="OK"/>
    <x v="1"/>
    <x v="2"/>
    <s v="2024-02"/>
    <n v="1"/>
  </r>
  <r>
    <s v="FV/POL/84335/2024"/>
    <s v="PZ/802061"/>
    <x v="0"/>
    <d v="2024-02-02T00:00:00"/>
    <s v="19451.0"/>
    <s v="Zaakceptowana"/>
    <s v="Faktura VAT"/>
    <s v="Apteka Szpitalna"/>
    <s v=""/>
    <b v="0"/>
    <n v="19451"/>
    <s v="OK"/>
    <x v="1"/>
    <x v="2"/>
    <s v="2024-02"/>
    <n v="1"/>
  </r>
  <r>
    <s v="FV/65927/VDb/2024"/>
    <s v="PZ/802062"/>
    <x v="7"/>
    <d v="2024-02-02T00:00:00"/>
    <s v="13869.21"/>
    <s v="Zaakceptowana"/>
    <s v="Faktura VAT"/>
    <s v="Apteka Szpitalna"/>
    <s v="UM-VIT-01"/>
    <b v="0"/>
    <n v="13869.21"/>
    <s v="OK"/>
    <x v="0"/>
    <x v="2"/>
    <s v="2024-02"/>
    <n v="1"/>
  </r>
  <r>
    <s v="FV/POL/30758/2024"/>
    <s v="PZ/802063"/>
    <x v="0"/>
    <d v="2024-02-02T00:00:00"/>
    <s v="13143.58"/>
    <s v="Zaakceptowana"/>
    <s v="Faktura VAT"/>
    <s v="Apteka Szpitalna"/>
    <s v="UM-POL-03"/>
    <b v="0"/>
    <n v="13143.58"/>
    <s v="OK"/>
    <x v="0"/>
    <x v="2"/>
    <s v="2024-02"/>
    <n v="1"/>
  </r>
  <r>
    <s v="FV/1823/NOVA/24"/>
    <s v="PZ/802064"/>
    <x v="2"/>
    <d v="2024-02-02T00:00:00"/>
    <s v="18609.09"/>
    <s v="Zaakceptowana"/>
    <s v="Faktura VAT"/>
    <s v="Apteka Szpitalna"/>
    <s v="UM-NOV-01"/>
    <b v="0"/>
    <n v="18609.09"/>
    <s v="OK"/>
    <x v="0"/>
    <x v="2"/>
    <s v="2024-02"/>
    <n v="1"/>
  </r>
  <r>
    <s v="FV/33/PP/5508/24"/>
    <s v="PZ/802065"/>
    <x v="6"/>
    <d v="2024-02-03T00:00:00"/>
    <s v="8844.2"/>
    <s v="Zaakceptowana"/>
    <s v="Faktura VAT"/>
    <s v="Apteka Szpitalna"/>
    <s v=""/>
    <b v="0"/>
    <n v="8844.2000000000007"/>
    <s v="OK"/>
    <x v="1"/>
    <x v="2"/>
    <s v="2024-02"/>
    <n v="1"/>
  </r>
  <r>
    <s v="FV/47/PP/8494/24"/>
    <s v="PZ/802066"/>
    <x v="6"/>
    <d v="2024-02-03T00:00:00"/>
    <s v="17810.53"/>
    <s v="Zaakceptowana"/>
    <s v="Faktura VAT"/>
    <s v="Apteka Szpitalna"/>
    <s v="UM-PHA-01"/>
    <b v="0"/>
    <n v="17810.53"/>
    <s v="OK"/>
    <x v="0"/>
    <x v="2"/>
    <s v="2024-02"/>
    <n v="1"/>
  </r>
  <r>
    <s v="FV/9154HM/24"/>
    <s v="PZ/802067"/>
    <x v="3"/>
    <d v="2024-02-03T00:00:00"/>
    <s v="6512.48"/>
    <s v="Zaakceptowana"/>
    <s v="Faktura VAT"/>
    <s v="Apteka Szpitalna"/>
    <s v=""/>
    <b v="0"/>
    <n v="6512.48"/>
    <s v="OK"/>
    <x v="1"/>
    <x v="2"/>
    <s v="2024-02"/>
    <n v="1"/>
  </r>
  <r>
    <s v="FV/7064/NOVA/24"/>
    <s v="PZ/802068"/>
    <x v="2"/>
    <d v="2024-02-03T00:00:00"/>
    <s v="18467.39"/>
    <s v="Zaakceptowana"/>
    <s v="Faktura VAT"/>
    <s v="Apteka Szpitalna"/>
    <s v=""/>
    <b v="0"/>
    <n v="18467.39"/>
    <s v="OK"/>
    <x v="1"/>
    <x v="2"/>
    <s v="2024-02"/>
    <n v="1"/>
  </r>
  <r>
    <s v="FV/4265HM/24"/>
    <s v="PZ/802069"/>
    <x v="3"/>
    <d v="2024-02-04T00:00:00"/>
    <s v="22850.44"/>
    <s v="Zaakceptowana"/>
    <s v="Faktura VAT"/>
    <s v="Apteka Szpitalna"/>
    <s v="UM-HUR-03"/>
    <b v="0"/>
    <n v="22850.44"/>
    <s v="OK"/>
    <x v="0"/>
    <x v="2"/>
    <s v="2024-02"/>
    <n v="1"/>
  </r>
  <r>
    <s v="FV/34775/VDb/2024"/>
    <s v="PZ/802070"/>
    <x v="7"/>
    <d v="2024-02-04T00:00:00"/>
    <s v="14031.93"/>
    <s v="Zaakceptowana"/>
    <s v="Faktura VAT"/>
    <s v="Apteka Szpitalna"/>
    <s v="UM-VIT-01"/>
    <b v="0"/>
    <n v="14031.93"/>
    <s v="OK"/>
    <x v="0"/>
    <x v="2"/>
    <s v="2024-02"/>
    <n v="1"/>
  </r>
  <r>
    <s v="FV/M/6654/P/24"/>
    <s v="PZ/802071"/>
    <x v="5"/>
    <d v="2024-02-06T00:00:00"/>
    <s v="-1442.96"/>
    <s v="Zaakceptowana"/>
    <s v="Korekta FV"/>
    <s v="Apteka Szpitalna"/>
    <s v=""/>
    <b v="0"/>
    <n v="-1442.96"/>
    <s v="OK"/>
    <x v="1"/>
    <x v="2"/>
    <s v="2024-02"/>
    <n v="1"/>
  </r>
  <r>
    <s v="FV/CENFA/303937/24"/>
    <s v="PZ/802072"/>
    <x v="4"/>
    <d v="2024-02-07T00:00:00"/>
    <s v="15107.54"/>
    <s v="Zaakceptowana"/>
    <s v="Faktura VAT"/>
    <s v="Apteka Szpitalna"/>
    <s v="UM-CEN-02"/>
    <b v="0"/>
    <n v="15107.54"/>
    <s v="OK"/>
    <x v="0"/>
    <x v="2"/>
    <s v="2024-02"/>
    <n v="1"/>
  </r>
  <r>
    <s v="FV/M/6396/P/24"/>
    <s v="PZ/802073"/>
    <x v="5"/>
    <d v="2024-02-07T00:00:00"/>
    <s v="10079.32"/>
    <s v="Zaakceptowana"/>
    <s v="Faktura VAT"/>
    <s v="Apteka Szpitalna"/>
    <s v="UM-MED-02"/>
    <b v="0"/>
    <n v="10079.32"/>
    <s v="OK"/>
    <x v="0"/>
    <x v="2"/>
    <s v="2024-02"/>
    <n v="1"/>
  </r>
  <r>
    <s v="FV/7503HM/24"/>
    <s v="PZ/802074"/>
    <x v="3"/>
    <d v="2024-02-07T00:00:00"/>
    <s v="18002.83"/>
    <s v="Zaakceptowana"/>
    <s v="Faktura VAT"/>
    <s v="Apteka Szpitalna"/>
    <s v="UM-HUR-03"/>
    <b v="0"/>
    <n v="18002.830000000002"/>
    <s v="OK"/>
    <x v="0"/>
    <x v="2"/>
    <s v="2024-02"/>
    <n v="1"/>
  </r>
  <r>
    <s v="FV/3026HM/24"/>
    <s v="PZ/802075"/>
    <x v="3"/>
    <d v="2024-02-08T00:00:00"/>
    <s v="8832.68"/>
    <s v="Zaakceptowana"/>
    <s v="Faktura VAT"/>
    <s v="Apteka Szpitalna"/>
    <s v="UM-HUR-03"/>
    <b v="0"/>
    <n v="8832.68"/>
    <s v="OK"/>
    <x v="0"/>
    <x v="2"/>
    <s v="2024-02"/>
    <n v="1"/>
  </r>
  <r>
    <s v="FV/POL/66403/2024"/>
    <s v="PZ/802076"/>
    <x v="0"/>
    <d v="2024-02-08T00:00:00"/>
    <s v="15138.93"/>
    <s v="Zaakceptowana"/>
    <s v="Faktura VAT"/>
    <s v="Apteka Szpitalna"/>
    <s v="UM-POL-02"/>
    <b v="0"/>
    <n v="15138.93"/>
    <s v="OK"/>
    <x v="0"/>
    <x v="2"/>
    <s v="2024-02"/>
    <n v="1"/>
  </r>
  <r>
    <s v="FV/5207HM/24"/>
    <s v="PZ/802077"/>
    <x v="3"/>
    <d v="2024-02-09T00:00:00"/>
    <s v="7941.64"/>
    <s v="Zaakceptowana"/>
    <s v="Faktura VAT"/>
    <s v="Apteka Szpitalna"/>
    <s v="UM-HUR-01"/>
    <b v="0"/>
    <n v="7941.64"/>
    <s v="OK"/>
    <x v="0"/>
    <x v="2"/>
    <s v="2024-02"/>
    <n v="1"/>
  </r>
  <r>
    <s v="FV/6444/NOVA/24"/>
    <s v="PZ/802078"/>
    <x v="2"/>
    <d v="2024-02-09T00:00:00"/>
    <s v="8240.42"/>
    <s v="Zaakceptowana"/>
    <s v="Faktura VAT"/>
    <s v="Apteka Szpitalna"/>
    <s v="UM-NOV-02"/>
    <b v="0"/>
    <n v="8240.42"/>
    <s v="OK"/>
    <x v="0"/>
    <x v="2"/>
    <s v="2024-02"/>
    <n v="1"/>
  </r>
  <r>
    <s v="FV/POL/57729/2024"/>
    <s v="PZ/802079"/>
    <x v="0"/>
    <d v="2024-02-10T00:00:00"/>
    <s v="-1171.36"/>
    <s v="Zaakceptowana"/>
    <s v="Korekta FV"/>
    <s v="Apteka Szpitalna"/>
    <s v="UM-POL-03"/>
    <b v="0"/>
    <n v="-1171.3599999999999"/>
    <s v="OK"/>
    <x v="0"/>
    <x v="2"/>
    <s v="2024-02"/>
    <n v="1"/>
  </r>
  <r>
    <s v="FV/6507HM/24"/>
    <s v="PZ/802080"/>
    <x v="3"/>
    <d v="2024-02-10T00:00:00"/>
    <s v="-1488.93"/>
    <s v="Zaakceptowana"/>
    <s v="Korekta FV"/>
    <s v="Apteka Szpitalna"/>
    <s v="UM-HUR-01"/>
    <b v="0"/>
    <n v="-1488.93"/>
    <s v="OK"/>
    <x v="0"/>
    <x v="2"/>
    <s v="2024-02"/>
    <n v="1"/>
  </r>
  <r>
    <s v="FV/65/SAL/24"/>
    <s v="PZ/802081"/>
    <x v="1"/>
    <d v="2024-02-10T00:00:00"/>
    <s v="13674.6"/>
    <s v="Zaakceptowana"/>
    <s v="Faktura VAT"/>
    <s v="Apteka Szpitalna"/>
    <s v="UM-SAL-02"/>
    <b v="0"/>
    <n v="13674.6"/>
    <s v="OK"/>
    <x v="0"/>
    <x v="2"/>
    <s v="2024-02"/>
    <n v="1"/>
  </r>
  <r>
    <s v="FV/16881/VDb/2024"/>
    <s v="PZ/802082"/>
    <x v="7"/>
    <d v="2024-02-10T00:00:00"/>
    <s v="13261.93"/>
    <s v="Zaakceptowana"/>
    <s v="Faktura VAT"/>
    <s v="Apteka Szpitalna"/>
    <s v=""/>
    <b v="0"/>
    <n v="13261.93"/>
    <s v="OK"/>
    <x v="1"/>
    <x v="2"/>
    <s v="2024-02"/>
    <n v="1"/>
  </r>
  <r>
    <s v="FV/42/SAL/24"/>
    <s v="PZ/802083"/>
    <x v="1"/>
    <d v="2024-02-11T00:00:00"/>
    <s v="14020.17"/>
    <s v="Zaakceptowana"/>
    <s v="Faktura VAT"/>
    <s v="Apteka Szpitalna"/>
    <s v=""/>
    <b v="0"/>
    <n v="14020.17"/>
    <s v="OK"/>
    <x v="1"/>
    <x v="2"/>
    <s v="2024-02"/>
    <n v="1"/>
  </r>
  <r>
    <s v="FV/POL/97105/2024"/>
    <s v="PZ/802084"/>
    <x v="0"/>
    <d v="2024-02-11T00:00:00"/>
    <s v="17896.24"/>
    <s v="Zaakceptowana"/>
    <s v="Faktura VAT"/>
    <s v="Apteka Szpitalna"/>
    <s v="UM-POL-03"/>
    <b v="0"/>
    <n v="17896.240000000002"/>
    <s v="OK"/>
    <x v="0"/>
    <x v="2"/>
    <s v="2024-02"/>
    <n v="1"/>
  </r>
  <r>
    <s v="FV/M/7978/P/24"/>
    <s v="PZ/802085"/>
    <x v="5"/>
    <d v="2024-02-11T00:00:00"/>
    <s v="10890.84"/>
    <s v="Zaakceptowana"/>
    <s v="Faktura VAT"/>
    <s v="Apteka Szpitalna"/>
    <s v=""/>
    <b v="0"/>
    <n v="10890.84"/>
    <s v="OK"/>
    <x v="1"/>
    <x v="2"/>
    <s v="2024-02"/>
    <n v="1"/>
  </r>
  <r>
    <s v="FV/99395/VDb/2024"/>
    <s v="PZ/802086"/>
    <x v="7"/>
    <d v="2024-02-12T00:00:00"/>
    <s v="11216.18"/>
    <s v="Zaakceptowana"/>
    <s v="Faktura VAT"/>
    <s v="Apteka Szpitalna"/>
    <s v="UM-VIT-01"/>
    <b v="0"/>
    <n v="11216.18"/>
    <s v="OK"/>
    <x v="0"/>
    <x v="2"/>
    <s v="2024-02"/>
    <n v="1"/>
  </r>
  <r>
    <s v="FV/7076HM/24"/>
    <s v="PZ/802087"/>
    <x v="3"/>
    <d v="2024-02-12T00:00:00"/>
    <s v="8871.06"/>
    <s v="Zaakceptowana"/>
    <s v="Faktura VAT"/>
    <s v="Apteka Szpitalna"/>
    <s v="UM-HUR-02"/>
    <b v="0"/>
    <n v="8871.06"/>
    <s v="OK"/>
    <x v="0"/>
    <x v="2"/>
    <s v="2024-02"/>
    <n v="1"/>
  </r>
  <r>
    <s v="FV/4261HM/24"/>
    <s v="PZ/802088"/>
    <x v="3"/>
    <d v="2024-02-12T00:00:00"/>
    <s v="14400.88"/>
    <s v="Zaakceptowana"/>
    <s v="Faktura VAT"/>
    <s v="Apteka Szpitalna"/>
    <s v="UM-HUR-02"/>
    <b v="0"/>
    <n v="14400.88"/>
    <s v="OK"/>
    <x v="0"/>
    <x v="2"/>
    <s v="2024-02"/>
    <n v="1"/>
  </r>
  <r>
    <s v="FV/3029/NOVA/24"/>
    <s v="PZ/802089"/>
    <x v="2"/>
    <d v="2024-02-12T00:00:00"/>
    <s v="18423.77"/>
    <s v="Zaakceptowana"/>
    <s v="Faktura VAT"/>
    <s v="Apteka Szpitalna"/>
    <s v=""/>
    <b v="0"/>
    <n v="18423.77"/>
    <s v="OK"/>
    <x v="1"/>
    <x v="2"/>
    <s v="2024-02"/>
    <n v="1"/>
  </r>
  <r>
    <s v="FV/15/PP/4107/24"/>
    <s v="PZ/802090"/>
    <x v="6"/>
    <d v="2024-02-12T00:00:00"/>
    <s v="8188.43"/>
    <s v="Zaakceptowana"/>
    <s v="Faktura VAT"/>
    <s v="Apteka Szpitalna"/>
    <s v=""/>
    <b v="0"/>
    <n v="8188.43"/>
    <s v="OK"/>
    <x v="1"/>
    <x v="2"/>
    <s v="2024-02"/>
    <n v="1"/>
  </r>
  <r>
    <s v="FV/62/SAL/24"/>
    <s v="PZ/802091"/>
    <x v="1"/>
    <d v="2024-02-13T00:00:00"/>
    <s v="11323.8"/>
    <s v="Zaakceptowana"/>
    <s v="Faktura VAT"/>
    <s v="Apteka Szpitalna"/>
    <s v="UM-SAL-02"/>
    <b v="0"/>
    <n v="11323.8"/>
    <s v="OK"/>
    <x v="0"/>
    <x v="2"/>
    <s v="2024-02"/>
    <n v="1"/>
  </r>
  <r>
    <s v="FV/74/SAL/24"/>
    <s v="PZ/802092"/>
    <x v="1"/>
    <d v="2024-02-13T00:00:00"/>
    <s v="16281.36"/>
    <s v="Zaakceptowana"/>
    <s v="Faktura VAT"/>
    <s v="Apteka Szpitalna"/>
    <s v="UM-SAL-01"/>
    <b v="0"/>
    <n v="16281.36"/>
    <s v="OK"/>
    <x v="0"/>
    <x v="2"/>
    <s v="2024-02"/>
    <n v="1"/>
  </r>
  <r>
    <s v="FV/9971HM/24"/>
    <s v="PZ/802093"/>
    <x v="3"/>
    <d v="2024-02-13T00:00:00"/>
    <s v="8955.43"/>
    <s v="Zaakceptowana"/>
    <s v="Faktura VAT"/>
    <s v="Apteka Szpitalna"/>
    <s v=""/>
    <b v="0"/>
    <n v="8955.43"/>
    <s v="OK"/>
    <x v="1"/>
    <x v="2"/>
    <s v="2024-02"/>
    <n v="1"/>
  </r>
  <r>
    <s v="FV/23307/VDb/2024"/>
    <s v="PZ/802094"/>
    <x v="7"/>
    <d v="2024-02-13T00:00:00"/>
    <s v="10883.22"/>
    <s v="Zaakceptowana"/>
    <s v="Faktura VAT"/>
    <s v="Apteka Szpitalna"/>
    <s v="UM-VIT-01"/>
    <b v="0"/>
    <n v="10883.22"/>
    <s v="OK"/>
    <x v="0"/>
    <x v="2"/>
    <s v="2024-02"/>
    <n v="1"/>
  </r>
  <r>
    <s v="FV/44/SAL/24"/>
    <s v="PZ/802095"/>
    <x v="1"/>
    <d v="2024-02-14T00:00:00"/>
    <s v="14202.72"/>
    <s v="Zaakceptowana"/>
    <s v="Faktura VAT"/>
    <s v="Apteka Szpitalna"/>
    <s v=""/>
    <b v="0"/>
    <n v="14202.72"/>
    <s v="OK"/>
    <x v="1"/>
    <x v="2"/>
    <s v="2024-02"/>
    <n v="1"/>
  </r>
  <r>
    <s v="FV/6133HM/24"/>
    <s v="PZ/802096"/>
    <x v="3"/>
    <d v="2024-02-14T00:00:00"/>
    <s v="14240.66"/>
    <s v="Zaakceptowana"/>
    <s v="Faktura VAT"/>
    <s v="Apteka Szpitalna"/>
    <s v="UM-HUR-01"/>
    <b v="0"/>
    <n v="14240.66"/>
    <s v="OK"/>
    <x v="0"/>
    <x v="2"/>
    <s v="2024-02"/>
    <n v="1"/>
  </r>
  <r>
    <s v="FV/45/PP/1107/24"/>
    <s v="PZ/802097"/>
    <x v="6"/>
    <d v="2024-02-14T00:00:00"/>
    <s v="17432.1"/>
    <s v="Zaakceptowana"/>
    <s v="Faktura VAT"/>
    <s v="Apteka Szpitalna"/>
    <s v="UM-PHA-01"/>
    <b v="0"/>
    <n v="17432.099999999999"/>
    <s v="OK"/>
    <x v="0"/>
    <x v="2"/>
    <s v="2024-02"/>
    <n v="1"/>
  </r>
  <r>
    <s v="FV/M/7761/P/24"/>
    <s v="PZ/802098"/>
    <x v="5"/>
    <d v="2024-02-14T00:00:00"/>
    <s v="24233.14"/>
    <s v="Zaakceptowana"/>
    <s v="Faktura VAT"/>
    <s v="Apteka Szpitalna"/>
    <s v=""/>
    <b v="0"/>
    <n v="24233.14"/>
    <s v="OK"/>
    <x v="1"/>
    <x v="2"/>
    <s v="2024-02"/>
    <n v="1"/>
  </r>
  <r>
    <s v="FV/POL/35688/2024"/>
    <s v="PZ/802099"/>
    <x v="0"/>
    <d v="2024-02-14T00:00:00"/>
    <s v="8126.08"/>
    <s v="Zaakceptowana"/>
    <s v="Faktura VAT"/>
    <s v="Apteka Szpitalna"/>
    <s v="UM-POL-02"/>
    <b v="0"/>
    <n v="8126.08"/>
    <s v="OK"/>
    <x v="0"/>
    <x v="2"/>
    <s v="2024-02"/>
    <n v="1"/>
  </r>
  <r>
    <s v="FV/24760/VDb/2024"/>
    <s v="PZ/802100"/>
    <x v="7"/>
    <d v="2024-02-14T00:00:00"/>
    <s v="9448.72"/>
    <s v="Zaakceptowana"/>
    <s v="Faktura VAT"/>
    <s v="Apteka Szpitalna"/>
    <s v="UM-VIT-01"/>
    <b v="0"/>
    <n v="9448.7199999999993"/>
    <s v="OK"/>
    <x v="0"/>
    <x v="2"/>
    <s v="2024-02"/>
    <n v="1"/>
  </r>
  <r>
    <s v="FV/POL/64104/2024"/>
    <s v="PZ/802101"/>
    <x v="0"/>
    <d v="2024-02-15T00:00:00"/>
    <s v="16237.66"/>
    <s v="Zaakceptowana"/>
    <s v="Faktura VAT"/>
    <s v="Apteka Szpitalna"/>
    <s v=""/>
    <b v="0"/>
    <n v="16237.66"/>
    <s v="OK"/>
    <x v="1"/>
    <x v="2"/>
    <s v="2024-02"/>
    <n v="1"/>
  </r>
  <r>
    <s v="FV/75552/VDb/2024"/>
    <s v="PZ/802102"/>
    <x v="7"/>
    <d v="2024-02-15T00:00:00"/>
    <s v="17782.24"/>
    <s v="Zaakceptowana"/>
    <s v="Faktura VAT"/>
    <s v="Apteka Szpitalna"/>
    <s v="UM-VIT-01"/>
    <b v="0"/>
    <n v="17782.240000000002"/>
    <s v="OK"/>
    <x v="0"/>
    <x v="2"/>
    <s v="2024-02"/>
    <n v="1"/>
  </r>
  <r>
    <s v="FV/POL/94152/2024"/>
    <s v="PZ/802103"/>
    <x v="0"/>
    <d v="2024-02-17T00:00:00"/>
    <s v="-242.78"/>
    <s v="Zaakceptowana"/>
    <s v="Korekta FV"/>
    <s v="Apteka Szpitalna"/>
    <s v="UM-POL-02"/>
    <b v="0"/>
    <n v="-242.78"/>
    <s v="OK"/>
    <x v="0"/>
    <x v="2"/>
    <s v="2024-02"/>
    <n v="1"/>
  </r>
  <r>
    <s v="FV/7360HM/24"/>
    <s v="PZ/802104"/>
    <x v="3"/>
    <d v="2024-02-17T00:00:00"/>
    <s v="12810.42"/>
    <s v="Zaakceptowana"/>
    <s v="Faktura VAT"/>
    <s v="Apteka Szpitalna"/>
    <s v="UM-HUR-02"/>
    <b v="0"/>
    <n v="12810.42"/>
    <s v="OK"/>
    <x v="0"/>
    <x v="2"/>
    <s v="2024-02"/>
    <n v="1"/>
  </r>
  <r>
    <s v="FV/M/5073/P/24"/>
    <s v="PZ/802105"/>
    <x v="5"/>
    <d v="2024-02-17T00:00:00"/>
    <s v="13494.57"/>
    <s v="Zaakceptowana"/>
    <s v="Faktura VAT"/>
    <s v="Apteka Szpitalna"/>
    <s v="UM-MED-01"/>
    <b v="0"/>
    <n v="13494.57"/>
    <s v="OK"/>
    <x v="0"/>
    <x v="2"/>
    <s v="2024-02"/>
    <n v="1"/>
  </r>
  <r>
    <s v="FV/6725HM/24"/>
    <s v="PZ/802106"/>
    <x v="3"/>
    <d v="2024-02-17T00:00:00"/>
    <s v="9677.04"/>
    <s v="Zaakceptowana"/>
    <s v="Faktura VAT"/>
    <s v="Apteka Szpitalna"/>
    <s v="UM-HUR-01"/>
    <b v="0"/>
    <n v="9677.0400000000009"/>
    <s v="OK"/>
    <x v="0"/>
    <x v="2"/>
    <s v="2024-02"/>
    <n v="1"/>
  </r>
  <r>
    <s v="FV/POL/24307/2024"/>
    <s v="PZ/802107"/>
    <x v="0"/>
    <d v="2024-02-18T00:00:00"/>
    <s v="17168.29"/>
    <s v="Zaakceptowana"/>
    <s v="Faktura VAT"/>
    <s v="Apteka Szpitalna"/>
    <s v=""/>
    <b v="0"/>
    <n v="17168.29"/>
    <s v="OK"/>
    <x v="1"/>
    <x v="2"/>
    <s v="2024-02"/>
    <n v="1"/>
  </r>
  <r>
    <s v="FV/55/PP/2982/24"/>
    <s v="PZ/802108"/>
    <x v="6"/>
    <d v="2024-02-18T00:00:00"/>
    <s v="16159.46"/>
    <s v="Zaakceptowana"/>
    <s v="Faktura VAT"/>
    <s v="Apteka Szpitalna"/>
    <s v="UM-PHA-01"/>
    <b v="0"/>
    <n v="16159.46"/>
    <s v="OK"/>
    <x v="0"/>
    <x v="2"/>
    <s v="2024-02"/>
    <n v="1"/>
  </r>
  <r>
    <s v="FV/CENFA/577930/24"/>
    <s v="PZ/802109"/>
    <x v="4"/>
    <d v="2024-02-18T00:00:00"/>
    <s v="12163.02"/>
    <s v="Zaakceptowana"/>
    <s v="Faktura VAT"/>
    <s v="Apteka Szpitalna"/>
    <s v="UM-CEN-02"/>
    <b v="0"/>
    <n v="12163.02"/>
    <s v="OK"/>
    <x v="0"/>
    <x v="2"/>
    <s v="2024-02"/>
    <n v="1"/>
  </r>
  <r>
    <s v="FV/M/9062/P/24"/>
    <s v="PZ/802110"/>
    <x v="5"/>
    <d v="2024-02-19T00:00:00"/>
    <s v="14503.05"/>
    <s v="Zaakceptowana"/>
    <s v="Faktura VAT"/>
    <s v="Apteka Szpitalna"/>
    <s v=""/>
    <b v="0"/>
    <n v="14503.05"/>
    <s v="OK"/>
    <x v="1"/>
    <x v="2"/>
    <s v="2024-02"/>
    <n v="1"/>
  </r>
  <r>
    <s v="FV/60/SAL/24"/>
    <s v="PZ/802111"/>
    <x v="1"/>
    <d v="2024-02-20T00:00:00"/>
    <s v="13815.9"/>
    <s v="Zaakceptowana"/>
    <s v="Faktura VAT"/>
    <s v="Apteka Szpitalna"/>
    <s v="UM-SAL-02"/>
    <b v="0"/>
    <n v="13815.9"/>
    <s v="OK"/>
    <x v="0"/>
    <x v="2"/>
    <s v="2024-02"/>
    <n v="1"/>
  </r>
  <r>
    <s v="FV/9428/NOVA/24"/>
    <s v="PZ/802112"/>
    <x v="2"/>
    <d v="2024-02-20T00:00:00"/>
    <s v="12735.63"/>
    <s v="Zaakceptowana"/>
    <s v="Faktura VAT"/>
    <s v="Apteka Szpitalna"/>
    <s v=""/>
    <b v="0"/>
    <n v="12735.63"/>
    <s v="OK"/>
    <x v="1"/>
    <x v="2"/>
    <s v="2024-02"/>
    <n v="1"/>
  </r>
  <r>
    <s v="FV/3823/NOVA/24"/>
    <s v="PZ/802113"/>
    <x v="2"/>
    <d v="2024-02-21T00:00:00"/>
    <s v="21940.8"/>
    <s v="Zaakceptowana"/>
    <s v="Faktura VAT"/>
    <s v="Apteka Szpitalna"/>
    <s v="UM-NOV-02"/>
    <b v="0"/>
    <n v="21940.799999999999"/>
    <s v="OK"/>
    <x v="0"/>
    <x v="2"/>
    <s v="2024-02"/>
    <n v="1"/>
  </r>
  <r>
    <s v="FV/7380HM/24"/>
    <s v="PZ/802114"/>
    <x v="3"/>
    <d v="2024-02-23T00:00:00"/>
    <s v="19159.56"/>
    <s v="Zaakceptowana"/>
    <s v="Faktura VAT"/>
    <s v="Apteka Szpitalna"/>
    <s v=""/>
    <b v="0"/>
    <n v="19159.560000000001"/>
    <s v="OK"/>
    <x v="1"/>
    <x v="2"/>
    <s v="2024-02"/>
    <n v="1"/>
  </r>
  <r>
    <s v="FV/64/PP/7269/24"/>
    <s v="PZ/802115"/>
    <x v="6"/>
    <d v="2024-02-23T00:00:00"/>
    <s v="13812.92"/>
    <s v="Zaakceptowana"/>
    <s v="Faktura VAT"/>
    <s v="Apteka Szpitalna"/>
    <s v="UM-PHA-02"/>
    <b v="0"/>
    <n v="13812.92"/>
    <s v="OK"/>
    <x v="0"/>
    <x v="2"/>
    <s v="2024-02"/>
    <n v="1"/>
  </r>
  <r>
    <s v="FV/CENFA/324048/24"/>
    <s v="PZ/802116"/>
    <x v="4"/>
    <d v="2024-02-23T00:00:00"/>
    <s v="14504.27"/>
    <s v="Zaakceptowana"/>
    <s v="Faktura VAT"/>
    <s v="Apteka Szpitalna"/>
    <s v="UM-CEN-01"/>
    <b v="0"/>
    <n v="14504.27"/>
    <s v="OK"/>
    <x v="0"/>
    <x v="2"/>
    <s v="2024-02"/>
    <n v="1"/>
  </r>
  <r>
    <s v="FV/8783/NOVA/24"/>
    <s v="PZ/802117"/>
    <x v="2"/>
    <d v="2024-02-24T00:00:00"/>
    <s v="12297.48"/>
    <s v="Zaakceptowana"/>
    <s v="Faktura VAT"/>
    <s v="Apteka Szpitalna"/>
    <s v="UM-NOV-03"/>
    <b v="0"/>
    <n v="12297.48"/>
    <s v="OK"/>
    <x v="0"/>
    <x v="2"/>
    <s v="2024-02"/>
    <n v="1"/>
  </r>
  <r>
    <s v="FV/4743/NOVA/24"/>
    <s v="PZ/802118"/>
    <x v="2"/>
    <d v="2024-02-24T00:00:00"/>
    <s v="12512.19"/>
    <s v="Zaakceptowana"/>
    <s v="Faktura VAT"/>
    <s v="Apteka Szpitalna"/>
    <s v=""/>
    <b v="0"/>
    <n v="12512.19"/>
    <s v="OK"/>
    <x v="1"/>
    <x v="2"/>
    <s v="2024-02"/>
    <n v="1"/>
  </r>
  <r>
    <s v="FV/CENFA/598312/24"/>
    <s v="PZ/802119"/>
    <x v="4"/>
    <d v="2024-02-24T00:00:00"/>
    <s v="18378.3"/>
    <s v="Zaakceptowana"/>
    <s v="Faktura VAT"/>
    <s v="Apteka Szpitalna"/>
    <s v=""/>
    <b v="0"/>
    <n v="18378.3"/>
    <s v="OK"/>
    <x v="1"/>
    <x v="2"/>
    <s v="2024-02"/>
    <n v="1"/>
  </r>
  <r>
    <s v="FV/6779/NOVA/24"/>
    <s v="PZ/802120"/>
    <x v="2"/>
    <d v="2024-02-25T00:00:00"/>
    <s v="19249.28"/>
    <s v="Zaakceptowana"/>
    <s v="Faktura VAT"/>
    <s v="Apteka Szpitalna"/>
    <s v="UM-NOV-02"/>
    <b v="0"/>
    <n v="19249.28"/>
    <s v="OK"/>
    <x v="0"/>
    <x v="2"/>
    <s v="2024-02"/>
    <n v="1"/>
  </r>
  <r>
    <s v="FV/59410/VDb/2024"/>
    <s v="PZ/802121"/>
    <x v="7"/>
    <d v="2024-02-25T00:00:00"/>
    <s v="14602.17"/>
    <s v="Zaakceptowana"/>
    <s v="Faktura VAT"/>
    <s v="Apteka Szpitalna"/>
    <s v="UM-VIT-01"/>
    <b v="0"/>
    <n v="14602.17"/>
    <s v="OK"/>
    <x v="0"/>
    <x v="2"/>
    <s v="2024-02"/>
    <n v="1"/>
  </r>
  <r>
    <s v="FV/63/PP/3604/24"/>
    <s v="PZ/802122"/>
    <x v="6"/>
    <d v="2024-02-25T00:00:00"/>
    <s v="15019.4"/>
    <s v="Zaakceptowana"/>
    <s v="Faktura VAT"/>
    <s v="Apteka Szpitalna"/>
    <s v="UM-PHA-02"/>
    <b v="0"/>
    <n v="15019.4"/>
    <s v="OK"/>
    <x v="0"/>
    <x v="2"/>
    <s v="2024-02"/>
    <n v="1"/>
  </r>
  <r>
    <s v="FV/56153/VDb/2024"/>
    <s v="PZ/802123"/>
    <x v="7"/>
    <d v="2024-02-26T00:00:00"/>
    <s v="16277.8"/>
    <s v="Zaakceptowana"/>
    <s v="Faktura VAT"/>
    <s v="Apteka Szpitalna"/>
    <s v="UM-VIT-01"/>
    <b v="0"/>
    <n v="16277.8"/>
    <s v="OK"/>
    <x v="0"/>
    <x v="2"/>
    <s v="2024-02"/>
    <n v="1"/>
  </r>
  <r>
    <s v="FV/M/4643/P/24"/>
    <s v="PZ/802124"/>
    <x v="5"/>
    <d v="2024-02-27T00:00:00"/>
    <s v="9512.09"/>
    <s v="Zaakceptowana"/>
    <s v="Faktura VAT"/>
    <s v="Apteka Szpitalna"/>
    <s v=""/>
    <b v="0"/>
    <n v="9512.09"/>
    <s v="OK"/>
    <x v="1"/>
    <x v="2"/>
    <s v="2024-02"/>
    <n v="1"/>
  </r>
  <r>
    <s v="FV/CENFA/443348/24"/>
    <s v="PZ/802125"/>
    <x v="4"/>
    <d v="2024-02-27T00:00:00"/>
    <s v="14082.84"/>
    <s v="Zaakceptowana"/>
    <s v="Faktura VAT"/>
    <s v="Apteka Szpitalna"/>
    <s v="UM-CEN-01"/>
    <b v="0"/>
    <n v="14082.84"/>
    <s v="OK"/>
    <x v="0"/>
    <x v="2"/>
    <s v="2024-02"/>
    <n v="1"/>
  </r>
  <r>
    <s v="FV/32/PP/7644/24"/>
    <s v="PZ/802126"/>
    <x v="6"/>
    <d v="2024-02-27T00:00:00"/>
    <s v="15943.65"/>
    <s v="Zaakceptowana"/>
    <s v="Faktura VAT"/>
    <s v="Apteka Szpitalna"/>
    <s v="UM-PHA-01"/>
    <b v="0"/>
    <n v="15943.65"/>
    <s v="OK"/>
    <x v="0"/>
    <x v="2"/>
    <s v="2024-02"/>
    <n v="1"/>
  </r>
  <r>
    <s v="FV/1000HM/24"/>
    <s v="PZ/802127"/>
    <x v="3"/>
    <d v="2024-02-27T00:00:00"/>
    <s v="16578.29"/>
    <s v="Zaakceptowana"/>
    <s v="Faktura VAT"/>
    <s v="Apteka Szpitalna"/>
    <s v="UM-HUR-03"/>
    <b v="0"/>
    <n v="16578.29"/>
    <s v="OK"/>
    <x v="0"/>
    <x v="2"/>
    <s v="2024-02"/>
    <n v="1"/>
  </r>
  <r>
    <s v="FV/POL/64089/2024"/>
    <s v="PZ/802128"/>
    <x v="0"/>
    <d v="2024-02-28T00:00:00"/>
    <s v="25390.45"/>
    <s v="Zaakceptowana"/>
    <s v="Faktura VAT"/>
    <s v="Apteka Szpitalna"/>
    <s v="UM-POL-01"/>
    <b v="0"/>
    <n v="25390.45"/>
    <s v="OK"/>
    <x v="0"/>
    <x v="2"/>
    <s v="2024-02"/>
    <n v="1"/>
  </r>
  <r>
    <s v="FV/6455/NOVA/24"/>
    <s v="PZ/802129"/>
    <x v="2"/>
    <d v="2024-02-29T00:00:00"/>
    <s v="20640.61"/>
    <s v="Zaakceptowana"/>
    <s v="Faktura VAT"/>
    <s v="Apteka Szpitalna"/>
    <s v="UM-NOV-02"/>
    <b v="0"/>
    <n v="20640.61"/>
    <s v="OK"/>
    <x v="0"/>
    <x v="2"/>
    <s v="2024-02"/>
    <n v="1"/>
  </r>
  <r>
    <s v="FV/5979/NOVA/24"/>
    <s v="PZ/802130"/>
    <x v="2"/>
    <d v="2024-02-29T00:00:00"/>
    <s v="13039.21"/>
    <s v="Zaakceptowana"/>
    <s v="Faktura VAT"/>
    <s v="Apteka Szpitalna"/>
    <s v="UM-NOV-01"/>
    <b v="0"/>
    <n v="13039.21"/>
    <s v="OK"/>
    <x v="0"/>
    <x v="2"/>
    <s v="2024-02"/>
    <n v="1"/>
  </r>
  <r>
    <s v="FV/64527/VDb/2024"/>
    <s v="PZ/802131"/>
    <x v="7"/>
    <d v="2024-03-01T00:00:00"/>
    <s v="-1695.4"/>
    <s v="Zaakceptowana"/>
    <s v="Korekta FV"/>
    <s v="Apteka Szpitalna"/>
    <s v="UM-VIT-01"/>
    <b v="0"/>
    <n v="-1695.4"/>
    <s v="OK"/>
    <x v="0"/>
    <x v="2"/>
    <s v="2024-03"/>
    <n v="1"/>
  </r>
  <r>
    <s v="FV/44/PP/4837/24"/>
    <s v="PZ/802132"/>
    <x v="6"/>
    <d v="2024-03-01T00:00:00"/>
    <s v="16189.26"/>
    <s v="Zaakceptowana"/>
    <s v="Faktura VAT"/>
    <s v="Apteka Szpitalna"/>
    <s v="UM-PHA-01"/>
    <b v="0"/>
    <n v="16189.26"/>
    <s v="OK"/>
    <x v="0"/>
    <x v="2"/>
    <s v="2024-03"/>
    <n v="1"/>
  </r>
  <r>
    <s v="FV/57/PP/3543/24"/>
    <s v="PZ/802133"/>
    <x v="6"/>
    <d v="2024-03-02T00:00:00"/>
    <s v="14718.06"/>
    <s v="Zaakceptowana"/>
    <s v="Faktura VAT"/>
    <s v="Apteka Szpitalna"/>
    <s v="UM-PHA-01"/>
    <b v="0"/>
    <n v="14718.06"/>
    <s v="OK"/>
    <x v="0"/>
    <x v="2"/>
    <s v="2024-03"/>
    <n v="1"/>
  </r>
  <r>
    <s v="FV/M/2544/P/24"/>
    <s v="PZ/802134"/>
    <x v="5"/>
    <d v="2024-03-04T00:00:00"/>
    <s v="12934.06"/>
    <s v="Zaakceptowana"/>
    <s v="Faktura VAT"/>
    <s v="Apteka Szpitalna"/>
    <s v="UM-MED-02"/>
    <b v="0"/>
    <n v="12934.06"/>
    <s v="OK"/>
    <x v="0"/>
    <x v="2"/>
    <s v="2024-03"/>
    <n v="1"/>
  </r>
  <r>
    <s v="FV/11/PP/3656/24"/>
    <s v="PZ/802135"/>
    <x v="6"/>
    <d v="2024-03-04T00:00:00"/>
    <s v="13897.2"/>
    <s v="Zaakceptowana"/>
    <s v="Faktura VAT"/>
    <s v="Apteka Szpitalna"/>
    <s v="UM-PHA-01"/>
    <b v="0"/>
    <n v="13897.2"/>
    <s v="OK"/>
    <x v="0"/>
    <x v="2"/>
    <s v="2024-03"/>
    <n v="1"/>
  </r>
  <r>
    <s v="FV/CENFA/879309/24"/>
    <s v="PZ/802136"/>
    <x v="4"/>
    <d v="2024-03-04T00:00:00"/>
    <s v="16910.78"/>
    <s v="Zaakceptowana"/>
    <s v="Faktura VAT"/>
    <s v="Apteka Szpitalna"/>
    <s v="UM-CEN-02"/>
    <b v="0"/>
    <n v="16910.78"/>
    <s v="OK"/>
    <x v="0"/>
    <x v="2"/>
    <s v="2024-03"/>
    <n v="1"/>
  </r>
  <r>
    <s v="FV/2560HM/24"/>
    <s v="PZ/802137"/>
    <x v="3"/>
    <d v="2024-03-04T00:00:00"/>
    <s v="17983.07"/>
    <s v="Zaakceptowana"/>
    <s v="Faktura VAT"/>
    <s v="Apteka Szpitalna"/>
    <s v="UM-HUR-03"/>
    <b v="0"/>
    <n v="17983.07"/>
    <s v="OK"/>
    <x v="0"/>
    <x v="2"/>
    <s v="2024-03"/>
    <n v="1"/>
  </r>
  <r>
    <s v="FV/M/4451/P/24"/>
    <s v="PZ/802138"/>
    <x v="5"/>
    <d v="2024-03-05T00:00:00"/>
    <s v="14195.12"/>
    <s v="Zaakceptowana"/>
    <s v="Faktura VAT"/>
    <s v="Apteka Szpitalna"/>
    <s v="UM-MED-02"/>
    <b v="0"/>
    <n v="14195.12"/>
    <s v="OK"/>
    <x v="0"/>
    <x v="2"/>
    <s v="2024-03"/>
    <n v="1"/>
  </r>
  <r>
    <s v="FV/CENFA/424146/24"/>
    <s v="PZ/802139"/>
    <x v="4"/>
    <d v="2024-03-05T00:00:00"/>
    <s v="16774.94"/>
    <s v="Zaakceptowana"/>
    <s v="Faktura VAT"/>
    <s v="Apteka Szpitalna"/>
    <s v="UM-CEN-02"/>
    <b v="0"/>
    <n v="16774.939999999999"/>
    <s v="OK"/>
    <x v="0"/>
    <x v="2"/>
    <s v="2024-03"/>
    <n v="1"/>
  </r>
  <r>
    <s v="FV/9098HM/24"/>
    <s v="PZ/802140"/>
    <x v="3"/>
    <d v="2024-03-06T00:00:00"/>
    <s v="7917.73"/>
    <s v="Zaakceptowana"/>
    <s v="Faktura VAT"/>
    <s v="Apteka Szpitalna"/>
    <s v="UM-HUR-01"/>
    <b v="0"/>
    <n v="7917.73"/>
    <s v="OK"/>
    <x v="0"/>
    <x v="2"/>
    <s v="2024-03"/>
    <n v="1"/>
  </r>
  <r>
    <s v="FV/93/PP/8125/24"/>
    <s v="PZ/802141"/>
    <x v="6"/>
    <d v="2024-03-06T00:00:00"/>
    <s v="11534.23"/>
    <s v="Zaakceptowana"/>
    <s v="Faktura VAT"/>
    <s v="Apteka Szpitalna"/>
    <s v="UM-PHA-02"/>
    <b v="0"/>
    <n v="11534.23"/>
    <s v="OK"/>
    <x v="0"/>
    <x v="2"/>
    <s v="2024-03"/>
    <n v="1"/>
  </r>
  <r>
    <s v="FV/18/SAL/24"/>
    <s v="PZ/802142"/>
    <x v="1"/>
    <d v="2024-03-07T00:00:00"/>
    <s v="11095.52"/>
    <s v="Zaakceptowana"/>
    <s v="Faktura VAT"/>
    <s v="Apteka Szpitalna"/>
    <s v="UM-SAL-01"/>
    <b v="0"/>
    <n v="11095.52"/>
    <s v="OK"/>
    <x v="0"/>
    <x v="2"/>
    <s v="2024-03"/>
    <n v="1"/>
  </r>
  <r>
    <s v="FV/M/8179/P/24"/>
    <s v="PZ/802143"/>
    <x v="5"/>
    <d v="2024-03-07T00:00:00"/>
    <s v="7800.56"/>
    <s v="Zaakceptowana"/>
    <s v="Faktura VAT"/>
    <s v="Apteka Szpitalna"/>
    <s v="UM-MED-01"/>
    <b v="0"/>
    <n v="7800.56"/>
    <s v="OK"/>
    <x v="0"/>
    <x v="2"/>
    <s v="2024-03"/>
    <n v="1"/>
  </r>
  <r>
    <s v="FV/13627/VDb/2024"/>
    <s v="PZ/802144"/>
    <x v="7"/>
    <d v="2024-03-08T00:00:00"/>
    <s v="10996.75"/>
    <s v="Zaakceptowana"/>
    <s v="Faktura VAT"/>
    <s v="Apteka Szpitalna"/>
    <s v="UM-VIT-01"/>
    <b v="0"/>
    <n v="10996.75"/>
    <s v="OK"/>
    <x v="0"/>
    <x v="2"/>
    <s v="2024-03"/>
    <n v="1"/>
  </r>
  <r>
    <s v="FV/18/SAL/24"/>
    <s v="PZ/802145"/>
    <x v="1"/>
    <d v="2024-03-08T00:00:00"/>
    <s v="15610.07"/>
    <s v="Zaakceptowana"/>
    <s v="Faktura VAT"/>
    <s v="Apteka Szpitalna"/>
    <s v="UM-SAL-01"/>
    <b v="0"/>
    <n v="15610.07"/>
    <s v="OK"/>
    <x v="0"/>
    <x v="2"/>
    <s v="2024-03"/>
    <n v="1"/>
  </r>
  <r>
    <s v="FV/CENFA/224381/24"/>
    <s v="PZ/802146"/>
    <x v="4"/>
    <d v="2024-03-09T00:00:00"/>
    <s v="15629.91"/>
    <s v="Zaakceptowana"/>
    <s v="Faktura VAT"/>
    <s v="Apteka Szpitalna"/>
    <s v="UM-CEN-01"/>
    <b v="0"/>
    <n v="15629.91"/>
    <s v="OK"/>
    <x v="0"/>
    <x v="2"/>
    <s v="2024-03"/>
    <n v="1"/>
  </r>
  <r>
    <s v="FV/M/7667/P/24"/>
    <s v="PZ/802147"/>
    <x v="5"/>
    <d v="2024-03-09T00:00:00"/>
    <s v="17657.1"/>
    <s v="Zaakceptowana"/>
    <s v="Faktura VAT"/>
    <s v="Apteka Szpitalna"/>
    <s v="UM-MED-02"/>
    <b v="0"/>
    <n v="17657.099999999999"/>
    <s v="OK"/>
    <x v="0"/>
    <x v="2"/>
    <s v="2024-03"/>
    <n v="1"/>
  </r>
  <r>
    <s v="FV/1083HM/24"/>
    <s v="PZ/802148"/>
    <x v="3"/>
    <d v="2024-03-09T00:00:00"/>
    <s v="10219.8"/>
    <s v="Zaakceptowana"/>
    <s v="Faktura VAT"/>
    <s v="Apteka Szpitalna"/>
    <s v="UM-HUR-01"/>
    <b v="0"/>
    <n v="10219.799999999999"/>
    <s v="OK"/>
    <x v="0"/>
    <x v="2"/>
    <s v="2024-03"/>
    <n v="1"/>
  </r>
  <r>
    <s v="FV/3398HM/24"/>
    <s v="PZ/802149"/>
    <x v="3"/>
    <d v="2024-03-09T00:00:00"/>
    <s v="17557.28"/>
    <s v="Zaakceptowana"/>
    <s v="Faktura VAT"/>
    <s v="Apteka Szpitalna"/>
    <s v="UM-HUR-02"/>
    <b v="0"/>
    <n v="17557.28"/>
    <s v="OK"/>
    <x v="0"/>
    <x v="2"/>
    <s v="2024-03"/>
    <n v="1"/>
  </r>
  <r>
    <s v="FV/POL/54537/2024"/>
    <s v="PZ/802150"/>
    <x v="0"/>
    <d v="2024-03-10T00:00:00"/>
    <s v="18092.88"/>
    <s v="Zaakceptowana"/>
    <s v="Faktura VAT"/>
    <s v="Apteka Szpitalna"/>
    <s v="UM-POL-02"/>
    <b v="0"/>
    <n v="18092.88"/>
    <s v="OK"/>
    <x v="0"/>
    <x v="2"/>
    <s v="2024-03"/>
    <n v="1"/>
  </r>
  <r>
    <s v="FV/49/PP/9361/24"/>
    <s v="PZ/802151"/>
    <x v="6"/>
    <d v="2024-03-11T00:00:00"/>
    <s v="15481.58"/>
    <s v="Zaakceptowana"/>
    <s v="Faktura VAT"/>
    <s v="Apteka Szpitalna"/>
    <s v="UM-PHA-02"/>
    <b v="0"/>
    <n v="15481.58"/>
    <s v="OK"/>
    <x v="0"/>
    <x v="2"/>
    <s v="2024-03"/>
    <n v="1"/>
  </r>
  <r>
    <s v="FV/POL/89096/2024"/>
    <s v="PZ/802152"/>
    <x v="0"/>
    <d v="2024-03-11T00:00:00"/>
    <s v="4193.33"/>
    <s v="Zaakceptowana"/>
    <s v="Faktura VAT"/>
    <s v="Apteka Szpitalna"/>
    <s v="UM-POL-02"/>
    <b v="0"/>
    <n v="4193.33"/>
    <s v="OK"/>
    <x v="0"/>
    <x v="2"/>
    <s v="2024-03"/>
    <n v="1"/>
  </r>
  <r>
    <s v="FV/CENFA/903163/24"/>
    <s v="PZ/802153"/>
    <x v="4"/>
    <d v="2024-03-12T00:00:00"/>
    <s v="17067.16"/>
    <s v="Zaakceptowana"/>
    <s v="Faktura VAT"/>
    <s v="Apteka Szpitalna"/>
    <s v=""/>
    <b v="0"/>
    <n v="17067.16"/>
    <s v="OK"/>
    <x v="1"/>
    <x v="2"/>
    <s v="2024-03"/>
    <n v="1"/>
  </r>
  <r>
    <s v="FV/CENFA/532464/24"/>
    <s v="PZ/802154"/>
    <x v="4"/>
    <d v="2024-03-12T00:00:00"/>
    <s v="27044.47"/>
    <s v="Zaakceptowana"/>
    <s v="Faktura VAT"/>
    <s v="Apteka Szpitalna"/>
    <s v=""/>
    <b v="0"/>
    <n v="27044.47"/>
    <s v="OK"/>
    <x v="1"/>
    <x v="2"/>
    <s v="2024-03"/>
    <n v="1"/>
  </r>
  <r>
    <s v="FV/8305HM/24"/>
    <s v="PZ/802155"/>
    <x v="3"/>
    <d v="2024-03-12T00:00:00"/>
    <s v="12906.53"/>
    <s v="Zaakceptowana"/>
    <s v="Faktura VAT"/>
    <s v="Apteka Szpitalna"/>
    <s v=""/>
    <b v="0"/>
    <n v="12906.53"/>
    <s v="OK"/>
    <x v="1"/>
    <x v="2"/>
    <s v="2024-03"/>
    <n v="1"/>
  </r>
  <r>
    <s v="FV/74/SAL/24"/>
    <s v="PZ/802156"/>
    <x v="1"/>
    <d v="2024-03-13T00:00:00"/>
    <s v="21368.75"/>
    <s v="Zaakceptowana"/>
    <s v="Faktura VAT"/>
    <s v="Apteka Szpitalna"/>
    <s v="UM-SAL-02"/>
    <b v="0"/>
    <n v="21368.75"/>
    <s v="OK"/>
    <x v="0"/>
    <x v="2"/>
    <s v="2024-03"/>
    <n v="1"/>
  </r>
  <r>
    <s v="FV/57026/VDb/2024"/>
    <s v="PZ/802157"/>
    <x v="7"/>
    <d v="2024-03-13T00:00:00"/>
    <s v="18423.23"/>
    <s v="Zaakceptowana"/>
    <s v="Faktura VAT"/>
    <s v="Apteka Szpitalna"/>
    <s v="UM-VIT-01"/>
    <b v="0"/>
    <n v="18423.23"/>
    <s v="OK"/>
    <x v="0"/>
    <x v="2"/>
    <s v="2024-03"/>
    <n v="1"/>
  </r>
  <r>
    <s v="FV/M/3250/P/24"/>
    <s v="PZ/802158"/>
    <x v="5"/>
    <d v="2024-03-13T00:00:00"/>
    <s v="11259.87"/>
    <s v="Zaakceptowana"/>
    <s v="Faktura VAT"/>
    <s v="Apteka Szpitalna"/>
    <s v="UM-MED-01"/>
    <b v="0"/>
    <n v="11259.87"/>
    <s v="OK"/>
    <x v="0"/>
    <x v="2"/>
    <s v="2024-03"/>
    <n v="1"/>
  </r>
  <r>
    <s v="FV/CENFA/434477/24"/>
    <s v="PZ/802159"/>
    <x v="4"/>
    <d v="2024-03-13T00:00:00"/>
    <s v="19805.9"/>
    <s v="Zaakceptowana"/>
    <s v="Faktura VAT"/>
    <s v="Apteka Szpitalna"/>
    <s v="UM-CEN-02"/>
    <b v="0"/>
    <n v="19805.900000000001"/>
    <s v="OK"/>
    <x v="0"/>
    <x v="2"/>
    <s v="2024-03"/>
    <n v="1"/>
  </r>
  <r>
    <s v="FV/50621/VDb/2024"/>
    <s v="PZ/802160"/>
    <x v="7"/>
    <d v="2024-03-13T00:00:00"/>
    <s v="9893.55"/>
    <s v="Zaakceptowana"/>
    <s v="Faktura VAT"/>
    <s v="Apteka Szpitalna"/>
    <s v="UM-VIT-01"/>
    <b v="0"/>
    <n v="9893.5499999999993"/>
    <s v="OK"/>
    <x v="0"/>
    <x v="2"/>
    <s v="2024-03"/>
    <n v="1"/>
  </r>
  <r>
    <s v="FV/36/SAL/24"/>
    <s v="PZ/802161"/>
    <x v="1"/>
    <d v="2024-03-14T00:00:00"/>
    <s v="14038.56"/>
    <s v="Zaakceptowana"/>
    <s v="Faktura VAT"/>
    <s v="Apteka Szpitalna"/>
    <s v="UM-SAL-01"/>
    <b v="0"/>
    <n v="14038.56"/>
    <s v="OK"/>
    <x v="0"/>
    <x v="2"/>
    <s v="2024-03"/>
    <n v="1"/>
  </r>
  <r>
    <s v="FV/M/1442/P/24"/>
    <s v="PZ/802162"/>
    <x v="5"/>
    <d v="2024-03-14T00:00:00"/>
    <s v="5521.31"/>
    <s v="Zaakceptowana"/>
    <s v="Faktura VAT"/>
    <s v="Apteka Szpitalna"/>
    <s v="UM-MED-01"/>
    <b v="0"/>
    <n v="5521.31"/>
    <s v="OK"/>
    <x v="0"/>
    <x v="2"/>
    <s v="2024-03"/>
    <n v="1"/>
  </r>
  <r>
    <s v="FV/11/PP/2770/24"/>
    <s v="PZ/802163"/>
    <x v="6"/>
    <d v="2024-03-14T00:00:00"/>
    <s v="15099.78"/>
    <s v="Zaakceptowana"/>
    <s v="Faktura VAT"/>
    <s v="Apteka Szpitalna"/>
    <s v="UM-PHA-01"/>
    <b v="0"/>
    <n v="15099.78"/>
    <s v="OK"/>
    <x v="0"/>
    <x v="2"/>
    <s v="2024-03"/>
    <n v="1"/>
  </r>
  <r>
    <s v="FV/POL/40804/2024"/>
    <s v="PZ/802164"/>
    <x v="0"/>
    <d v="2024-03-14T00:00:00"/>
    <s v="11939.68"/>
    <s v="Zaakceptowana"/>
    <s v="Faktura VAT"/>
    <s v="Apteka Szpitalna"/>
    <s v="UM-POL-02"/>
    <b v="0"/>
    <n v="11939.68"/>
    <s v="OK"/>
    <x v="0"/>
    <x v="2"/>
    <s v="2024-03"/>
    <n v="1"/>
  </r>
  <r>
    <s v="FV/8705HM/24"/>
    <s v="PZ/802165"/>
    <x v="3"/>
    <d v="2024-03-15T00:00:00"/>
    <s v="13369.75"/>
    <s v="Zaakceptowana"/>
    <s v="Faktura VAT"/>
    <s v="Apteka Szpitalna"/>
    <s v="UM-HUR-01"/>
    <b v="0"/>
    <n v="13369.75"/>
    <s v="OK"/>
    <x v="0"/>
    <x v="2"/>
    <s v="2024-03"/>
    <n v="1"/>
  </r>
  <r>
    <s v="FV/M/8156/P/24"/>
    <s v="PZ/802166"/>
    <x v="5"/>
    <d v="2024-03-15T00:00:00"/>
    <s v="8697.22"/>
    <s v="Zaakceptowana"/>
    <s v="Faktura VAT"/>
    <s v="Apteka Szpitalna"/>
    <s v="UM-MED-02"/>
    <b v="0"/>
    <n v="8697.2199999999993"/>
    <s v="OK"/>
    <x v="0"/>
    <x v="2"/>
    <s v="2024-03"/>
    <n v="1"/>
  </r>
  <r>
    <s v="FV/20/PP/4976/24"/>
    <s v="PZ/802167"/>
    <x v="6"/>
    <d v="2024-03-15T00:00:00"/>
    <s v="10116.56"/>
    <s v="Zaakceptowana"/>
    <s v="Faktura VAT"/>
    <s v="Apteka Szpitalna"/>
    <s v="UM-PHA-01"/>
    <b v="0"/>
    <n v="10116.56"/>
    <s v="OK"/>
    <x v="0"/>
    <x v="2"/>
    <s v="2024-03"/>
    <n v="1"/>
  </r>
  <r>
    <s v="FV/CENFA/822576/24"/>
    <s v="PZ/802168"/>
    <x v="4"/>
    <d v="2024-03-15T00:00:00"/>
    <s v="8898.2"/>
    <s v="Zaakceptowana"/>
    <s v="Faktura VAT"/>
    <s v="Apteka Szpitalna"/>
    <s v="UM-CEN-01"/>
    <b v="0"/>
    <n v="8898.2000000000007"/>
    <s v="OK"/>
    <x v="0"/>
    <x v="2"/>
    <s v="2024-03"/>
    <n v="1"/>
  </r>
  <r>
    <s v="FV/9445/NOVA/24"/>
    <s v="PZ/802169"/>
    <x v="2"/>
    <d v="2024-03-15T00:00:00"/>
    <s v="13999.91"/>
    <s v="Zaakceptowana"/>
    <s v="Faktura VAT"/>
    <s v="Apteka Szpitalna"/>
    <s v="UM-NOV-03"/>
    <b v="0"/>
    <n v="13999.91"/>
    <s v="OK"/>
    <x v="0"/>
    <x v="2"/>
    <s v="2024-03"/>
    <n v="1"/>
  </r>
  <r>
    <s v="FV/19371/VDb/2024"/>
    <s v="PZ/802170"/>
    <x v="7"/>
    <d v="2024-03-16T00:00:00"/>
    <s v="10552.76"/>
    <s v="Zaakceptowana"/>
    <s v="Faktura VAT"/>
    <s v="Apteka Szpitalna"/>
    <s v="UM-VIT-01"/>
    <b v="0"/>
    <n v="10552.76"/>
    <s v="OK"/>
    <x v="0"/>
    <x v="2"/>
    <s v="2024-03"/>
    <n v="1"/>
  </r>
  <r>
    <s v="FV/M/5124/P/24"/>
    <s v="PZ/802171"/>
    <x v="5"/>
    <d v="2024-03-17T00:00:00"/>
    <s v="8487.06"/>
    <s v="Zaakceptowana"/>
    <s v="Faktura VAT"/>
    <s v="Apteka Szpitalna"/>
    <s v="UM-MED-02"/>
    <b v="0"/>
    <n v="8487.06"/>
    <s v="OK"/>
    <x v="0"/>
    <x v="2"/>
    <s v="2024-03"/>
    <n v="1"/>
  </r>
  <r>
    <s v="FV/46/PP/2913/24"/>
    <s v="PZ/802172"/>
    <x v="6"/>
    <d v="2024-03-17T00:00:00"/>
    <s v="14045.82"/>
    <s v="Zaakceptowana"/>
    <s v="Faktura VAT"/>
    <s v="Apteka Szpitalna"/>
    <s v="UM-PHA-02"/>
    <b v="0"/>
    <n v="14045.82"/>
    <s v="OK"/>
    <x v="0"/>
    <x v="2"/>
    <s v="2024-03"/>
    <n v="1"/>
  </r>
  <r>
    <s v="FV/M/6686/P/24"/>
    <s v="PZ/802173"/>
    <x v="5"/>
    <d v="2024-03-17T00:00:00"/>
    <s v="18775.93"/>
    <s v="Zaakceptowana"/>
    <s v="Faktura VAT"/>
    <s v="Apteka Szpitalna"/>
    <s v="UM-MED-01"/>
    <b v="0"/>
    <n v="18775.93"/>
    <s v="OK"/>
    <x v="0"/>
    <x v="2"/>
    <s v="2024-03"/>
    <n v="1"/>
  </r>
  <r>
    <s v="FV/POL/29829/2024"/>
    <s v="PZ/802174"/>
    <x v="0"/>
    <d v="2024-03-17T00:00:00"/>
    <s v="18760.58"/>
    <s v="Zaakceptowana"/>
    <s v="Faktura VAT"/>
    <s v="Apteka Szpitalna"/>
    <s v="UM-POL-01"/>
    <b v="0"/>
    <n v="18760.580000000002"/>
    <s v="OK"/>
    <x v="0"/>
    <x v="2"/>
    <s v="2024-03"/>
    <n v="1"/>
  </r>
  <r>
    <s v="FV/M/5408/P/24"/>
    <s v="PZ/802175"/>
    <x v="5"/>
    <d v="2024-03-17T00:00:00"/>
    <s v="14939.5"/>
    <s v="Zaakceptowana"/>
    <s v="Faktura VAT"/>
    <s v="Apteka Szpitalna"/>
    <s v=""/>
    <b v="0"/>
    <n v="14939.5"/>
    <s v="OK"/>
    <x v="1"/>
    <x v="2"/>
    <s v="2024-03"/>
    <n v="1"/>
  </r>
  <r>
    <s v="FV/CENFA/173142/24"/>
    <s v="PZ/802176"/>
    <x v="4"/>
    <d v="2024-03-17T00:00:00"/>
    <s v="17638.23"/>
    <s v="Zaakceptowana"/>
    <s v="Faktura VAT"/>
    <s v="Apteka Szpitalna"/>
    <s v="UM-CEN-02"/>
    <b v="0"/>
    <n v="17638.23"/>
    <s v="OK"/>
    <x v="0"/>
    <x v="2"/>
    <s v="2024-03"/>
    <n v="1"/>
  </r>
  <r>
    <s v="FV/54/SAL/24"/>
    <s v="PZ/802177"/>
    <x v="1"/>
    <d v="2024-03-18T00:00:00"/>
    <s v="18420.12"/>
    <s v="Zaakceptowana"/>
    <s v="Faktura VAT"/>
    <s v="Apteka Szpitalna"/>
    <s v="UM-SAL-02"/>
    <b v="0"/>
    <n v="18420.12"/>
    <s v="OK"/>
    <x v="0"/>
    <x v="2"/>
    <s v="2024-03"/>
    <n v="1"/>
  </r>
  <r>
    <s v="FV/CENFA/783244/24"/>
    <s v="PZ/802178"/>
    <x v="4"/>
    <d v="2024-03-18T00:00:00"/>
    <s v="22474.97"/>
    <s v="Zaakceptowana"/>
    <s v="Faktura VAT"/>
    <s v="Apteka Szpitalna"/>
    <s v="UM-CEN-01"/>
    <b v="0"/>
    <n v="22474.97"/>
    <s v="OK"/>
    <x v="0"/>
    <x v="2"/>
    <s v="2024-03"/>
    <n v="1"/>
  </r>
  <r>
    <s v="FV/80/SAL/24"/>
    <s v="PZ/802179"/>
    <x v="1"/>
    <d v="2024-03-20T00:00:00"/>
    <s v="15964.28"/>
    <s v="Zaakceptowana"/>
    <s v="Faktura VAT"/>
    <s v="Apteka Szpitalna"/>
    <s v="UM-SAL-01"/>
    <b v="0"/>
    <n v="15964.28"/>
    <s v="OK"/>
    <x v="0"/>
    <x v="2"/>
    <s v="2024-03"/>
    <n v="1"/>
  </r>
  <r>
    <s v="FV/POL/83329/2024"/>
    <s v="PZ/802180"/>
    <x v="0"/>
    <d v="2024-03-21T00:00:00"/>
    <s v="16509.83"/>
    <s v="Zaakceptowana"/>
    <s v="Faktura VAT"/>
    <s v="Apteka Szpitalna"/>
    <s v=""/>
    <b v="0"/>
    <n v="16509.830000000002"/>
    <s v="OK"/>
    <x v="1"/>
    <x v="2"/>
    <s v="2024-03"/>
    <n v="1"/>
  </r>
  <r>
    <s v="FV/90/PP/9973/24"/>
    <s v="PZ/802181"/>
    <x v="6"/>
    <d v="2024-03-21T00:00:00"/>
    <s v="21186.04"/>
    <s v="Zaakceptowana"/>
    <s v="Faktura VAT"/>
    <s v="Apteka Szpitalna"/>
    <s v="UM-PHA-02"/>
    <b v="0"/>
    <n v="21186.04"/>
    <s v="OK"/>
    <x v="0"/>
    <x v="2"/>
    <s v="2024-03"/>
    <n v="1"/>
  </r>
  <r>
    <s v="FV/1912/NOVA/24"/>
    <s v="PZ/802182"/>
    <x v="2"/>
    <d v="2024-03-21T00:00:00"/>
    <s v="14711.41"/>
    <s v="Zaakceptowana"/>
    <s v="Faktura VAT"/>
    <s v="Apteka Szpitalna"/>
    <s v="UM-NOV-03"/>
    <b v="0"/>
    <n v="14711.41"/>
    <s v="OK"/>
    <x v="0"/>
    <x v="2"/>
    <s v="2024-03"/>
    <n v="1"/>
  </r>
  <r>
    <s v="FV/14/SAL/24"/>
    <s v="PZ/802183"/>
    <x v="1"/>
    <d v="2024-03-21T00:00:00"/>
    <s v="19902.57"/>
    <s v="Zaakceptowana"/>
    <s v="Faktura VAT"/>
    <s v="Apteka Szpitalna"/>
    <s v="UM-SAL-02"/>
    <b v="0"/>
    <n v="19902.57"/>
    <s v="OK"/>
    <x v="0"/>
    <x v="2"/>
    <s v="2024-03"/>
    <n v="1"/>
  </r>
  <r>
    <s v="FV/6056/NOVA/24"/>
    <s v="PZ/802184"/>
    <x v="2"/>
    <d v="2024-03-22T00:00:00"/>
    <s v="14621.88"/>
    <s v="Zaakceptowana"/>
    <s v="Faktura VAT"/>
    <s v="Apteka Szpitalna"/>
    <s v="UM-NOV-03"/>
    <b v="0"/>
    <n v="14621.88"/>
    <s v="OK"/>
    <x v="0"/>
    <x v="2"/>
    <s v="2024-03"/>
    <n v="1"/>
  </r>
  <r>
    <s v="FV/1867HM/24"/>
    <s v="PZ/802185"/>
    <x v="3"/>
    <d v="2024-03-23T00:00:00"/>
    <s v="10163.74"/>
    <s v="Zaakceptowana"/>
    <s v="Faktura VAT"/>
    <s v="Apteka Szpitalna"/>
    <s v="UM-HUR-02"/>
    <b v="0"/>
    <n v="10163.74"/>
    <s v="OK"/>
    <x v="0"/>
    <x v="2"/>
    <s v="2024-03"/>
    <n v="1"/>
  </r>
  <r>
    <s v="FV/81890/VDb/2024"/>
    <s v="PZ/802186"/>
    <x v="7"/>
    <d v="2024-03-23T00:00:00"/>
    <s v="12106.08"/>
    <s v="Zaakceptowana"/>
    <s v="Faktura VAT"/>
    <s v="Apteka Szpitalna"/>
    <s v="UM-VIT-01"/>
    <b v="0"/>
    <n v="12106.08"/>
    <s v="OK"/>
    <x v="0"/>
    <x v="2"/>
    <s v="2024-03"/>
    <n v="1"/>
  </r>
  <r>
    <s v="FV/CENFA/411693/24"/>
    <s v="PZ/802187"/>
    <x v="4"/>
    <d v="2024-03-24T00:00:00"/>
    <s v="14711.81"/>
    <s v="Zaakceptowana"/>
    <s v="Faktura VAT"/>
    <s v="Apteka Szpitalna"/>
    <s v=""/>
    <b v="0"/>
    <n v="14711.81"/>
    <s v="OK"/>
    <x v="1"/>
    <x v="2"/>
    <s v="2024-03"/>
    <n v="1"/>
  </r>
  <r>
    <s v="FV/50836/VDb/2024"/>
    <s v="PZ/802188"/>
    <x v="7"/>
    <d v="2024-03-25T00:00:00"/>
    <s v="12155.86"/>
    <s v="Zaakceptowana"/>
    <s v="Faktura VAT"/>
    <s v="Apteka Szpitalna"/>
    <s v=""/>
    <b v="0"/>
    <n v="12155.86"/>
    <s v="OK"/>
    <x v="1"/>
    <x v="2"/>
    <s v="2024-03"/>
    <n v="1"/>
  </r>
  <r>
    <s v="FV/21328/VDb/2024"/>
    <s v="PZ/802189"/>
    <x v="7"/>
    <d v="2024-03-25T00:00:00"/>
    <s v="15998.6"/>
    <s v="Zaakceptowana"/>
    <s v="Faktura VAT"/>
    <s v="Apteka Szpitalna"/>
    <s v="UM-VIT-01"/>
    <b v="0"/>
    <n v="15998.6"/>
    <s v="OK"/>
    <x v="0"/>
    <x v="2"/>
    <s v="2024-03"/>
    <n v="1"/>
  </r>
  <r>
    <s v="FV/6368HM/24"/>
    <s v="PZ/802190"/>
    <x v="3"/>
    <d v="2024-03-25T00:00:00"/>
    <s v="-1429.0"/>
    <s v="Zaakceptowana"/>
    <s v="Korekta FV"/>
    <s v="Apteka Szpitalna"/>
    <s v="UM-HUR-01"/>
    <b v="0"/>
    <n v="-1429"/>
    <s v="OK"/>
    <x v="0"/>
    <x v="2"/>
    <s v="2024-03"/>
    <n v="1"/>
  </r>
  <r>
    <s v="FV/CENFA/548720/24"/>
    <s v="PZ/802191"/>
    <x v="4"/>
    <d v="2024-03-25T00:00:00"/>
    <s v="14137.31"/>
    <s v="Zaakceptowana"/>
    <s v="Faktura VAT"/>
    <s v="Apteka Szpitalna"/>
    <s v="UM-CEN-02"/>
    <b v="0"/>
    <n v="14137.31"/>
    <s v="OK"/>
    <x v="0"/>
    <x v="2"/>
    <s v="2024-03"/>
    <n v="1"/>
  </r>
  <r>
    <s v="FV/40/PP/9341/24"/>
    <s v="PZ/802192"/>
    <x v="6"/>
    <d v="2024-03-26T00:00:00"/>
    <s v="19653.46"/>
    <s v="Zaakceptowana"/>
    <s v="Faktura VAT"/>
    <s v="Apteka Szpitalna"/>
    <s v="UM-PHA-01"/>
    <b v="0"/>
    <n v="19653.46"/>
    <s v="OK"/>
    <x v="0"/>
    <x v="2"/>
    <s v="2024-03"/>
    <n v="1"/>
  </r>
  <r>
    <s v="FV/CENFA/573010/24"/>
    <s v="PZ/802193"/>
    <x v="4"/>
    <d v="2024-03-26T00:00:00"/>
    <s v="10848.5"/>
    <s v="Zaakceptowana"/>
    <s v="Faktura VAT"/>
    <s v="Apteka Szpitalna"/>
    <s v="UM-CEN-02"/>
    <b v="0"/>
    <n v="10848.5"/>
    <s v="OK"/>
    <x v="0"/>
    <x v="2"/>
    <s v="2024-03"/>
    <n v="1"/>
  </r>
  <r>
    <s v="FV/9248/NOVA/24"/>
    <s v="PZ/802194"/>
    <x v="2"/>
    <d v="2024-03-26T00:00:00"/>
    <s v="14004.84"/>
    <s v="Zaakceptowana"/>
    <s v="Faktura VAT"/>
    <s v="Apteka Szpitalna"/>
    <s v="UM-NOV-03"/>
    <b v="0"/>
    <n v="14004.84"/>
    <s v="OK"/>
    <x v="0"/>
    <x v="2"/>
    <s v="2024-03"/>
    <n v="1"/>
  </r>
  <r>
    <s v="FV/POL/78748/2024"/>
    <s v="PZ/802195"/>
    <x v="0"/>
    <d v="2024-03-27T00:00:00"/>
    <s v="11638.48"/>
    <s v="Zaakceptowana"/>
    <s v="Faktura VAT"/>
    <s v="Apteka Szpitalna"/>
    <s v="UM-POL-01"/>
    <b v="0"/>
    <n v="11638.48"/>
    <s v="OK"/>
    <x v="0"/>
    <x v="2"/>
    <s v="2024-03"/>
    <n v="1"/>
  </r>
  <r>
    <s v="FV/8336/NOVA/24"/>
    <s v="PZ/802196"/>
    <x v="2"/>
    <d v="2024-03-27T00:00:00"/>
    <s v="13708.64"/>
    <s v="Zaakceptowana"/>
    <s v="Faktura VAT"/>
    <s v="Apteka Szpitalna"/>
    <s v="UM-NOV-03"/>
    <b v="0"/>
    <n v="13708.64"/>
    <s v="OK"/>
    <x v="0"/>
    <x v="2"/>
    <s v="2024-03"/>
    <n v="1"/>
  </r>
  <r>
    <s v="FV/4948HM/24"/>
    <s v="PZ/802197"/>
    <x v="3"/>
    <d v="2024-03-28T00:00:00"/>
    <s v="-831.74"/>
    <s v="Zaakceptowana"/>
    <s v="Korekta FV"/>
    <s v="Apteka Szpitalna"/>
    <s v="UM-HUR-02"/>
    <b v="0"/>
    <n v="-831.74"/>
    <s v="OK"/>
    <x v="0"/>
    <x v="2"/>
    <s v="2024-03"/>
    <n v="1"/>
  </r>
  <r>
    <s v="FV/85/SAL/24"/>
    <s v="PZ/802198"/>
    <x v="1"/>
    <d v="2024-03-28T00:00:00"/>
    <s v="16071.97"/>
    <s v="Zaakceptowana"/>
    <s v="Faktura VAT"/>
    <s v="Apteka Szpitalna"/>
    <s v="UM-SAL-02"/>
    <b v="0"/>
    <n v="16071.97"/>
    <s v="OK"/>
    <x v="0"/>
    <x v="2"/>
    <s v="2024-03"/>
    <n v="1"/>
  </r>
  <r>
    <s v="FV/POL/45948/2024"/>
    <s v="PZ/802199"/>
    <x v="0"/>
    <d v="2024-03-28T00:00:00"/>
    <s v="28271.88"/>
    <s v="Zaakceptowana"/>
    <s v="Faktura VAT"/>
    <s v="Apteka Szpitalna"/>
    <s v="UM-POL-01"/>
    <b v="0"/>
    <n v="28271.88"/>
    <s v="OK"/>
    <x v="0"/>
    <x v="2"/>
    <s v="2024-03"/>
    <n v="1"/>
  </r>
  <r>
    <s v="FV/7910HM/24"/>
    <s v="PZ/802200"/>
    <x v="3"/>
    <d v="2024-03-28T00:00:00"/>
    <s v="9495.63"/>
    <s v="Zaakceptowana"/>
    <s v="Faktura VAT"/>
    <s v="Apteka Szpitalna"/>
    <s v="UM-HUR-03"/>
    <b v="0"/>
    <n v="9495.6299999999992"/>
    <s v="OK"/>
    <x v="0"/>
    <x v="2"/>
    <s v="2024-03"/>
    <n v="1"/>
  </r>
  <r>
    <s v="FV/30/PP/1716/24"/>
    <s v="PZ/802201"/>
    <x v="6"/>
    <d v="2024-03-28T00:00:00"/>
    <s v="15829.68"/>
    <s v="Zaakceptowana"/>
    <s v="Faktura VAT"/>
    <s v="Apteka Szpitalna"/>
    <s v="UM-PHA-01"/>
    <b v="0"/>
    <n v="15829.68"/>
    <s v="OK"/>
    <x v="0"/>
    <x v="2"/>
    <s v="2024-03"/>
    <n v="1"/>
  </r>
  <r>
    <s v="FV/65/PP/5692/24"/>
    <s v="PZ/802202"/>
    <x v="6"/>
    <d v="2024-03-29T00:00:00"/>
    <s v="18290.6"/>
    <s v="Zaakceptowana"/>
    <s v="Faktura VAT"/>
    <s v="Apteka Szpitalna"/>
    <s v="UM-PHA-01"/>
    <b v="0"/>
    <n v="18290.599999999999"/>
    <s v="OK"/>
    <x v="0"/>
    <x v="2"/>
    <s v="2024-03"/>
    <n v="1"/>
  </r>
  <r>
    <s v="FV/76941/VDb/2024"/>
    <s v="PZ/802203"/>
    <x v="7"/>
    <d v="2024-03-29T00:00:00"/>
    <s v="7026.17"/>
    <s v="Zaakceptowana"/>
    <s v="Faktura VAT"/>
    <s v="Apteka Szpitalna"/>
    <s v="UM-VIT-01"/>
    <b v="0"/>
    <n v="7026.17"/>
    <s v="OK"/>
    <x v="0"/>
    <x v="2"/>
    <s v="2024-03"/>
    <n v="1"/>
  </r>
  <r>
    <s v="FV/95287/VDb/2024"/>
    <s v="PZ/802204"/>
    <x v="7"/>
    <d v="2024-03-30T00:00:00"/>
    <s v="23677.33"/>
    <s v="Zaakceptowana"/>
    <s v="Faktura VAT"/>
    <s v="Apteka Szpitalna"/>
    <s v="UM-VIT-01"/>
    <b v="0"/>
    <n v="23677.33"/>
    <s v="OK"/>
    <x v="0"/>
    <x v="2"/>
    <s v="2024-03"/>
    <n v="1"/>
  </r>
  <r>
    <s v="FV/CENFA/486258/24"/>
    <s v="PZ/802205"/>
    <x v="4"/>
    <d v="2024-03-30T00:00:00"/>
    <s v="25804.77"/>
    <s v="Zaakceptowana"/>
    <s v="Faktura VAT"/>
    <s v="Apteka Szpitalna"/>
    <s v="UM-CEN-01"/>
    <b v="0"/>
    <n v="25804.77"/>
    <s v="OK"/>
    <x v="0"/>
    <x v="2"/>
    <s v="2024-03"/>
    <n v="1"/>
  </r>
  <r>
    <s v="FV/80261/VDb/2024"/>
    <s v="PZ/802206"/>
    <x v="7"/>
    <d v="2024-03-30T00:00:00"/>
    <s v="13550.71"/>
    <s v="Zaakceptowana"/>
    <s v="Faktura VAT"/>
    <s v="Apteka Szpitalna"/>
    <s v=""/>
    <b v="0"/>
    <n v="13550.71"/>
    <s v="OK"/>
    <x v="1"/>
    <x v="2"/>
    <s v="2024-03"/>
    <n v="1"/>
  </r>
  <r>
    <s v="FV/21878/VDb/2024"/>
    <s v="PZ/802207"/>
    <x v="7"/>
    <d v="2024-03-30T00:00:00"/>
    <s v="13091.16"/>
    <s v="Zaakceptowana"/>
    <s v="Faktura VAT"/>
    <s v="Apteka Szpitalna"/>
    <s v="UM-VIT-01"/>
    <b v="0"/>
    <n v="13091.16"/>
    <s v="OK"/>
    <x v="0"/>
    <x v="2"/>
    <s v="2024-03"/>
    <n v="1"/>
  </r>
  <r>
    <s v="FV/22/PP/7308/24"/>
    <s v="PZ/802208"/>
    <x v="6"/>
    <d v="2024-03-30T00:00:00"/>
    <s v="6939.3"/>
    <s v="Zaakceptowana"/>
    <s v="Faktura VAT"/>
    <s v="Apteka Szpitalna"/>
    <s v="UM-PHA-01"/>
    <b v="0"/>
    <n v="6939.3"/>
    <s v="OK"/>
    <x v="0"/>
    <x v="2"/>
    <s v="2024-03"/>
    <n v="1"/>
  </r>
  <r>
    <s v="FV/CENFA/174630/24"/>
    <s v="PZ/802209"/>
    <x v="4"/>
    <d v="2024-03-31T00:00:00"/>
    <s v="18393.57"/>
    <s v="Zaakceptowana"/>
    <s v="Faktura VAT"/>
    <s v="Apteka Szpitalna"/>
    <s v="UM-CEN-01"/>
    <b v="0"/>
    <n v="18393.57"/>
    <s v="OK"/>
    <x v="0"/>
    <x v="2"/>
    <s v="2024-03"/>
    <n v="1"/>
  </r>
  <r>
    <s v="FV/81/SAL/24"/>
    <s v="PZ/802210"/>
    <x v="1"/>
    <d v="2024-04-01T00:00:00"/>
    <s v="18494.17"/>
    <s v="Zaakceptowana"/>
    <s v="Faktura VAT"/>
    <s v="Apteka Szpitalna"/>
    <s v="UM-SAL-01"/>
    <b v="0"/>
    <n v="18494.169999999998"/>
    <s v="OK"/>
    <x v="0"/>
    <x v="2"/>
    <s v="2024-04"/>
    <n v="1"/>
  </r>
  <r>
    <s v="FV/POL/56247/2024"/>
    <s v="PZ/802211"/>
    <x v="0"/>
    <d v="2024-04-01T00:00:00"/>
    <s v="4161.74"/>
    <s v="Zaakceptowana"/>
    <s v="Faktura VAT"/>
    <s v="Apteka Szpitalna"/>
    <s v="UM-POL-03"/>
    <b v="0"/>
    <n v="4161.74"/>
    <s v="OK"/>
    <x v="0"/>
    <x v="2"/>
    <s v="2024-04"/>
    <n v="1"/>
  </r>
  <r>
    <s v="FV/M/5526/P/24"/>
    <s v="PZ/802212"/>
    <x v="5"/>
    <d v="2024-04-01T00:00:00"/>
    <s v="17280.31"/>
    <s v="Zaakceptowana"/>
    <s v="Faktura VAT"/>
    <s v="Apteka Szpitalna"/>
    <s v="UM-MED-01"/>
    <b v="0"/>
    <n v="17280.310000000001"/>
    <s v="OK"/>
    <x v="0"/>
    <x v="2"/>
    <s v="2024-04"/>
    <n v="1"/>
  </r>
  <r>
    <s v="FV/7295/NOVA/24"/>
    <s v="PZ/802213"/>
    <x v="2"/>
    <d v="2024-04-01T00:00:00"/>
    <s v="11233.67"/>
    <s v="Zaakceptowana"/>
    <s v="Faktura VAT"/>
    <s v="Apteka Szpitalna"/>
    <s v="UM-NOV-03"/>
    <b v="0"/>
    <n v="11233.67"/>
    <s v="OK"/>
    <x v="0"/>
    <x v="2"/>
    <s v="2024-04"/>
    <n v="1"/>
  </r>
  <r>
    <s v="FV/23/SAL/24"/>
    <s v="PZ/802214"/>
    <x v="1"/>
    <d v="2024-04-01T00:00:00"/>
    <s v="6679.58"/>
    <s v="Zaakceptowana"/>
    <s v="Faktura VAT"/>
    <s v="Apteka Szpitalna"/>
    <s v="UM-SAL-02"/>
    <b v="0"/>
    <n v="6679.58"/>
    <s v="OK"/>
    <x v="0"/>
    <x v="2"/>
    <s v="2024-04"/>
    <n v="1"/>
  </r>
  <r>
    <s v="FV/CENFA/415690/24"/>
    <s v="PZ/802215"/>
    <x v="4"/>
    <d v="2024-04-01T00:00:00"/>
    <s v="12374.89"/>
    <s v="Zaakceptowana"/>
    <s v="Faktura VAT"/>
    <s v="Apteka Szpitalna"/>
    <s v="UM-CEN-02"/>
    <b v="0"/>
    <n v="12374.89"/>
    <s v="OK"/>
    <x v="0"/>
    <x v="2"/>
    <s v="2024-04"/>
    <n v="1"/>
  </r>
  <r>
    <s v="FV/66045/VDb/2024"/>
    <s v="PZ/802216"/>
    <x v="7"/>
    <d v="2024-04-01T00:00:00"/>
    <s v="20784.02"/>
    <s v="Zaakceptowana"/>
    <s v="Faktura VAT"/>
    <s v="Apteka Szpitalna"/>
    <s v="UM-VIT-01"/>
    <b v="0"/>
    <n v="20784.02"/>
    <s v="OK"/>
    <x v="0"/>
    <x v="2"/>
    <s v="2024-04"/>
    <n v="1"/>
  </r>
  <r>
    <s v="FV/32517/VDb/2024"/>
    <s v="PZ/802217"/>
    <x v="7"/>
    <d v="2024-04-02T00:00:00"/>
    <s v="9231.73"/>
    <s v="Zaakceptowana"/>
    <s v="Faktura VAT"/>
    <s v="Apteka Szpitalna"/>
    <s v=""/>
    <b v="0"/>
    <n v="9231.73"/>
    <s v="OK"/>
    <x v="1"/>
    <x v="2"/>
    <s v="2024-04"/>
    <n v="1"/>
  </r>
  <r>
    <s v="FV/CENFA/281132/24"/>
    <s v="PZ/802218"/>
    <x v="4"/>
    <d v="2024-04-03T00:00:00"/>
    <s v="15895.02"/>
    <s v="Zaakceptowana"/>
    <s v="Faktura VAT"/>
    <s v="Apteka Szpitalna"/>
    <s v="UM-CEN-01"/>
    <b v="0"/>
    <n v="15895.02"/>
    <s v="OK"/>
    <x v="0"/>
    <x v="2"/>
    <s v="2024-04"/>
    <n v="1"/>
  </r>
  <r>
    <s v="FV/73/PP/8594/24"/>
    <s v="PZ/802219"/>
    <x v="6"/>
    <d v="2024-04-03T00:00:00"/>
    <s v="22614.76"/>
    <s v="Zaakceptowana"/>
    <s v="Faktura VAT"/>
    <s v="Apteka Szpitalna"/>
    <s v=""/>
    <b v="0"/>
    <n v="22614.76"/>
    <s v="OK"/>
    <x v="1"/>
    <x v="2"/>
    <s v="2024-04"/>
    <n v="1"/>
  </r>
  <r>
    <s v="FV/78062/VDb/2024"/>
    <s v="PZ/802220"/>
    <x v="7"/>
    <d v="2024-04-03T00:00:00"/>
    <s v="8199.82"/>
    <s v="Zaakceptowana"/>
    <s v="Faktura VAT"/>
    <s v="Apteka Szpitalna"/>
    <s v="UM-VIT-01"/>
    <b v="0"/>
    <n v="8199.82"/>
    <s v="OK"/>
    <x v="0"/>
    <x v="2"/>
    <s v="2024-04"/>
    <n v="1"/>
  </r>
  <r>
    <s v="FV/5221HM/24"/>
    <s v="PZ/802221"/>
    <x v="3"/>
    <d v="2024-04-04T00:00:00"/>
    <s v="5999.54"/>
    <s v="Zaakceptowana"/>
    <s v="Faktura VAT"/>
    <s v="Apteka Szpitalna"/>
    <s v="UM-HUR-02"/>
    <b v="0"/>
    <n v="5999.54"/>
    <s v="OK"/>
    <x v="0"/>
    <x v="2"/>
    <s v="2024-04"/>
    <n v="1"/>
  </r>
  <r>
    <s v="FV/CENFA/871983/24"/>
    <s v="PZ/802222"/>
    <x v="4"/>
    <d v="2024-04-04T00:00:00"/>
    <s v="15417.88"/>
    <s v="Zaakceptowana"/>
    <s v="Faktura VAT"/>
    <s v="Apteka Szpitalna"/>
    <s v="UM-CEN-01"/>
    <b v="0"/>
    <n v="15417.88"/>
    <s v="OK"/>
    <x v="0"/>
    <x v="2"/>
    <s v="2024-04"/>
    <n v="1"/>
  </r>
  <r>
    <s v="FV/63/SAL/24"/>
    <s v="PZ/802223"/>
    <x v="1"/>
    <d v="2024-04-05T00:00:00"/>
    <s v="20821.93"/>
    <s v="Zaakceptowana"/>
    <s v="Faktura VAT"/>
    <s v="Apteka Szpitalna"/>
    <s v="UM-SAL-01"/>
    <b v="0"/>
    <n v="20821.93"/>
    <s v="OK"/>
    <x v="0"/>
    <x v="2"/>
    <s v="2024-04"/>
    <n v="1"/>
  </r>
  <r>
    <s v="FV/90917/VDb/2024"/>
    <s v="PZ/802224"/>
    <x v="7"/>
    <d v="2024-04-05T00:00:00"/>
    <s v="7225.54"/>
    <s v="Zaakceptowana"/>
    <s v="Faktura VAT"/>
    <s v="Apteka Szpitalna"/>
    <s v="UM-VIT-01"/>
    <b v="0"/>
    <n v="7225.54"/>
    <s v="OK"/>
    <x v="0"/>
    <x v="2"/>
    <s v="2024-04"/>
    <n v="1"/>
  </r>
  <r>
    <s v="FV/39/SAL/24"/>
    <s v="PZ/802225"/>
    <x v="1"/>
    <d v="2024-04-05T00:00:00"/>
    <s v="8404.97"/>
    <s v="Zaakceptowana"/>
    <s v="Faktura VAT"/>
    <s v="Apteka Szpitalna"/>
    <s v="UM-SAL-01"/>
    <b v="0"/>
    <n v="8404.9699999999993"/>
    <s v="OK"/>
    <x v="0"/>
    <x v="2"/>
    <s v="2024-04"/>
    <n v="1"/>
  </r>
  <r>
    <s v="FV/POL/94360/2024"/>
    <s v="PZ/802226"/>
    <x v="0"/>
    <d v="2024-04-06T00:00:00"/>
    <s v="3523.69"/>
    <s v="Zaakceptowana"/>
    <s v="Faktura VAT"/>
    <s v="Apteka Szpitalna"/>
    <s v="UM-POL-02"/>
    <b v="0"/>
    <n v="3523.69"/>
    <s v="OK"/>
    <x v="0"/>
    <x v="2"/>
    <s v="2024-04"/>
    <n v="1"/>
  </r>
  <r>
    <s v="FV/M/4907/P/24"/>
    <s v="PZ/802227"/>
    <x v="5"/>
    <d v="2024-04-06T00:00:00"/>
    <s v="12577.77"/>
    <s v="Zaakceptowana"/>
    <s v="Faktura VAT"/>
    <s v="Apteka Szpitalna"/>
    <s v="UM-MED-02"/>
    <b v="0"/>
    <n v="12577.77"/>
    <s v="OK"/>
    <x v="0"/>
    <x v="2"/>
    <s v="2024-04"/>
    <n v="1"/>
  </r>
  <r>
    <s v="FV/91/PP/8151/24"/>
    <s v="PZ/802228"/>
    <x v="6"/>
    <d v="2024-04-06T00:00:00"/>
    <s v="11299.91"/>
    <s v="Zaakceptowana"/>
    <s v="Faktura VAT"/>
    <s v="Apteka Szpitalna"/>
    <s v=""/>
    <b v="0"/>
    <n v="11299.91"/>
    <s v="OK"/>
    <x v="1"/>
    <x v="2"/>
    <s v="2024-04"/>
    <n v="1"/>
  </r>
  <r>
    <s v="FV/96/PP/4640/24"/>
    <s v="PZ/802229"/>
    <x v="6"/>
    <d v="2024-04-07T00:00:00"/>
    <s v="11242.01"/>
    <s v="Zaakceptowana"/>
    <s v="Faktura VAT"/>
    <s v="Apteka Szpitalna"/>
    <s v="UM-PHA-01"/>
    <b v="0"/>
    <n v="11242.01"/>
    <s v="OK"/>
    <x v="0"/>
    <x v="2"/>
    <s v="2024-04"/>
    <n v="1"/>
  </r>
  <r>
    <s v="FV/4145/NOVA/24"/>
    <s v="PZ/802230"/>
    <x v="2"/>
    <d v="2024-04-07T00:00:00"/>
    <s v="18327.32"/>
    <s v="Zaakceptowana"/>
    <s v="Faktura VAT"/>
    <s v="Apteka Szpitalna"/>
    <s v="UM-NOV-03"/>
    <b v="0"/>
    <n v="18327.32"/>
    <s v="OK"/>
    <x v="0"/>
    <x v="2"/>
    <s v="2024-04"/>
    <n v="1"/>
  </r>
  <r>
    <s v="FV/94/PP/6903/24"/>
    <s v="PZ/802231"/>
    <x v="6"/>
    <d v="2024-04-07T00:00:00"/>
    <s v="21801.53"/>
    <s v="Zaakceptowana"/>
    <s v="Faktura VAT"/>
    <s v="Apteka Szpitalna"/>
    <s v="UM-PHA-01"/>
    <b v="0"/>
    <n v="21801.53"/>
    <s v="OK"/>
    <x v="0"/>
    <x v="2"/>
    <s v="2024-04"/>
    <n v="1"/>
  </r>
  <r>
    <s v="FV/3155/NOVA/24"/>
    <s v="PZ/802232"/>
    <x v="2"/>
    <d v="2024-04-07T00:00:00"/>
    <s v="26561.68"/>
    <s v="Zaakceptowana"/>
    <s v="Faktura VAT"/>
    <s v="Apteka Szpitalna"/>
    <s v=""/>
    <b v="0"/>
    <n v="26561.68"/>
    <s v="OK"/>
    <x v="1"/>
    <x v="2"/>
    <s v="2024-04"/>
    <n v="1"/>
  </r>
  <r>
    <s v="FV/CENFA/603964/24"/>
    <s v="PZ/802233"/>
    <x v="4"/>
    <d v="2024-04-07T00:00:00"/>
    <s v="17761.91"/>
    <s v="Zaakceptowana"/>
    <s v="Faktura VAT"/>
    <s v="Apteka Szpitalna"/>
    <s v="UM-CEN-01"/>
    <b v="0"/>
    <n v="17761.91"/>
    <s v="OK"/>
    <x v="0"/>
    <x v="2"/>
    <s v="2024-04"/>
    <n v="1"/>
  </r>
  <r>
    <s v="FV/26209/VDb/2024"/>
    <s v="PZ/802234"/>
    <x v="7"/>
    <d v="2024-04-08T00:00:00"/>
    <s v="13361.08"/>
    <s v="Zaakceptowana"/>
    <s v="Faktura VAT"/>
    <s v="Apteka Szpitalna"/>
    <s v="UM-VIT-01"/>
    <b v="0"/>
    <n v="13361.08"/>
    <s v="OK"/>
    <x v="0"/>
    <x v="2"/>
    <s v="2024-04"/>
    <n v="1"/>
  </r>
  <r>
    <s v="FV/30/PP/2043/24"/>
    <s v="PZ/802235"/>
    <x v="6"/>
    <d v="2024-04-08T00:00:00"/>
    <s v="-2279.91"/>
    <s v="Zaakceptowana"/>
    <s v="Korekta FV"/>
    <s v="Apteka Szpitalna"/>
    <s v="UM-PHA-02"/>
    <b v="0"/>
    <n v="-2279.91"/>
    <s v="OK"/>
    <x v="0"/>
    <x v="2"/>
    <s v="2024-04"/>
    <n v="1"/>
  </r>
  <r>
    <s v="FV/CENFA/189600/24"/>
    <s v="PZ/802236"/>
    <x v="4"/>
    <d v="2024-04-09T00:00:00"/>
    <s v="14225.4"/>
    <s v="Zaakceptowana"/>
    <s v="Faktura VAT"/>
    <s v="Apteka Szpitalna"/>
    <s v="UM-CEN-02"/>
    <b v="0"/>
    <n v="14225.4"/>
    <s v="OK"/>
    <x v="0"/>
    <x v="2"/>
    <s v="2024-04"/>
    <n v="1"/>
  </r>
  <r>
    <s v="FV/POL/62159/2024"/>
    <s v="PZ/802237"/>
    <x v="0"/>
    <d v="2024-04-10T00:00:00"/>
    <s v="19324.18"/>
    <s v="Zaakceptowana"/>
    <s v="Faktura VAT"/>
    <s v="Apteka Szpitalna"/>
    <s v="UM-POL-03"/>
    <b v="0"/>
    <n v="19324.18"/>
    <s v="OK"/>
    <x v="0"/>
    <x v="2"/>
    <s v="2024-04"/>
    <n v="1"/>
  </r>
  <r>
    <s v="FV/26/PP/4568/24"/>
    <s v="PZ/802238"/>
    <x v="6"/>
    <d v="2024-04-10T00:00:00"/>
    <s v="7464.49"/>
    <s v="Zaakceptowana"/>
    <s v="Faktura VAT"/>
    <s v="Apteka Szpitalna"/>
    <s v="UM-PHA-02"/>
    <b v="0"/>
    <n v="7464.49"/>
    <s v="OK"/>
    <x v="0"/>
    <x v="2"/>
    <s v="2024-04"/>
    <n v="1"/>
  </r>
  <r>
    <s v="FV/8946/NOVA/24"/>
    <s v="PZ/802239"/>
    <x v="2"/>
    <d v="2024-04-10T00:00:00"/>
    <s v="20180.04"/>
    <s v="Zaakceptowana"/>
    <s v="Faktura VAT"/>
    <s v="Apteka Szpitalna"/>
    <s v="UM-NOV-03"/>
    <b v="0"/>
    <n v="20180.04"/>
    <s v="OK"/>
    <x v="0"/>
    <x v="2"/>
    <s v="2024-04"/>
    <n v="1"/>
  </r>
  <r>
    <s v="FV/POL/35611/2024"/>
    <s v="PZ/802240"/>
    <x v="0"/>
    <d v="2024-04-10T00:00:00"/>
    <s v="13628.1"/>
    <s v="Zaakceptowana"/>
    <s v="Faktura VAT"/>
    <s v="Apteka Szpitalna"/>
    <s v=""/>
    <b v="0"/>
    <n v="13628.1"/>
    <s v="OK"/>
    <x v="1"/>
    <x v="2"/>
    <s v="2024-04"/>
    <n v="1"/>
  </r>
  <r>
    <s v="FV/8646HM/24"/>
    <s v="PZ/802241"/>
    <x v="3"/>
    <d v="2024-04-11T00:00:00"/>
    <s v="13642.72"/>
    <s v="Zaakceptowana"/>
    <s v="Faktura VAT"/>
    <s v="Apteka Szpitalna"/>
    <s v="UM-HUR-03"/>
    <b v="0"/>
    <n v="13642.72"/>
    <s v="OK"/>
    <x v="0"/>
    <x v="2"/>
    <s v="2024-04"/>
    <n v="1"/>
  </r>
  <r>
    <s v="FV/5322/NOVA/24"/>
    <s v="PZ/802242"/>
    <x v="2"/>
    <d v="2024-04-11T00:00:00"/>
    <s v="20753.34"/>
    <s v="Zaakceptowana"/>
    <s v="Faktura VAT"/>
    <s v="Apteka Szpitalna"/>
    <s v="UM-NOV-03"/>
    <b v="0"/>
    <n v="20753.34"/>
    <s v="OK"/>
    <x v="0"/>
    <x v="2"/>
    <s v="2024-04"/>
    <n v="1"/>
  </r>
  <r>
    <s v="FV/CENFA/241827/24"/>
    <s v="PZ/802243"/>
    <x v="4"/>
    <d v="2024-04-11T00:00:00"/>
    <s v="13532.4"/>
    <s v="Zaakceptowana"/>
    <s v="Faktura VAT"/>
    <s v="Apteka Szpitalna"/>
    <s v="UM-CEN-01"/>
    <b v="0"/>
    <n v="13532.4"/>
    <s v="OK"/>
    <x v="0"/>
    <x v="2"/>
    <s v="2024-04"/>
    <n v="1"/>
  </r>
  <r>
    <s v="FV/56/SAL/24"/>
    <s v="PZ/802244"/>
    <x v="1"/>
    <d v="2024-04-11T00:00:00"/>
    <s v="15648.57"/>
    <s v="Zaakceptowana"/>
    <s v="Faktura VAT"/>
    <s v="Apteka Szpitalna"/>
    <s v=""/>
    <b v="0"/>
    <n v="15648.57"/>
    <s v="OK"/>
    <x v="1"/>
    <x v="2"/>
    <s v="2024-04"/>
    <n v="1"/>
  </r>
  <r>
    <s v="FV/12126/VDb/2024"/>
    <s v="PZ/802245"/>
    <x v="7"/>
    <d v="2024-04-11T00:00:00"/>
    <s v="15998.63"/>
    <s v="Zaakceptowana"/>
    <s v="Faktura VAT"/>
    <s v="Apteka Szpitalna"/>
    <s v="UM-VIT-01"/>
    <b v="0"/>
    <n v="15998.63"/>
    <s v="OK"/>
    <x v="0"/>
    <x v="2"/>
    <s v="2024-04"/>
    <n v="1"/>
  </r>
  <r>
    <s v="FV/7462HM/24"/>
    <s v="PZ/802246"/>
    <x v="3"/>
    <d v="2024-04-11T00:00:00"/>
    <s v="17192.59"/>
    <s v="Zaakceptowana"/>
    <s v="Faktura VAT"/>
    <s v="Apteka Szpitalna"/>
    <s v="UM-HUR-03"/>
    <b v="0"/>
    <n v="17192.59"/>
    <s v="OK"/>
    <x v="0"/>
    <x v="2"/>
    <s v="2024-04"/>
    <n v="1"/>
  </r>
  <r>
    <s v="FV/6065/NOVA/24"/>
    <s v="PZ/802247"/>
    <x v="2"/>
    <d v="2024-04-12T00:00:00"/>
    <s v="17887.52"/>
    <s v="Zaakceptowana"/>
    <s v="Faktura VAT"/>
    <s v="Apteka Szpitalna"/>
    <s v="UM-NOV-01"/>
    <b v="0"/>
    <n v="17887.52"/>
    <s v="OK"/>
    <x v="0"/>
    <x v="2"/>
    <s v="2024-04"/>
    <n v="1"/>
  </r>
  <r>
    <s v="FV/CENFA/578020/24"/>
    <s v="PZ/802248"/>
    <x v="4"/>
    <d v="2024-04-12T00:00:00"/>
    <s v="16131.36"/>
    <s v="Zaakceptowana"/>
    <s v="Faktura VAT"/>
    <s v="Apteka Szpitalna"/>
    <s v="UM-CEN-02"/>
    <b v="0"/>
    <n v="16131.36"/>
    <s v="OK"/>
    <x v="0"/>
    <x v="2"/>
    <s v="2024-04"/>
    <n v="1"/>
  </r>
  <r>
    <s v="FV/4651/NOVA/24"/>
    <s v="PZ/802249"/>
    <x v="2"/>
    <d v="2024-04-13T00:00:00"/>
    <s v="13790.57"/>
    <s v="Zaakceptowana"/>
    <s v="Faktura VAT"/>
    <s v="Apteka Szpitalna"/>
    <s v="UM-NOV-03"/>
    <b v="0"/>
    <n v="13790.57"/>
    <s v="OK"/>
    <x v="0"/>
    <x v="2"/>
    <s v="2024-04"/>
    <n v="1"/>
  </r>
  <r>
    <s v="FV/1166HM/24"/>
    <s v="PZ/802250"/>
    <x v="3"/>
    <d v="2024-04-13T00:00:00"/>
    <s v="13618.72"/>
    <s v="Zaakceptowana"/>
    <s v="Faktura VAT"/>
    <s v="Apteka Szpitalna"/>
    <s v="UM-HUR-02"/>
    <b v="0"/>
    <n v="13618.72"/>
    <s v="OK"/>
    <x v="0"/>
    <x v="2"/>
    <s v="2024-04"/>
    <n v="1"/>
  </r>
  <r>
    <s v="FV/CENFA/446717/24"/>
    <s v="PZ/802251"/>
    <x v="4"/>
    <d v="2024-04-14T00:00:00"/>
    <s v="16589.59"/>
    <s v="Zaakceptowana"/>
    <s v="Faktura VAT"/>
    <s v="Apteka Szpitalna"/>
    <s v="UM-CEN-02"/>
    <b v="0"/>
    <n v="16589.59"/>
    <s v="OK"/>
    <x v="0"/>
    <x v="2"/>
    <s v="2024-04"/>
    <n v="1"/>
  </r>
  <r>
    <s v="FV/68/PP/3217/24"/>
    <s v="PZ/802252"/>
    <x v="6"/>
    <d v="2024-04-15T00:00:00"/>
    <s v="-2078.8"/>
    <s v="Zaakceptowana"/>
    <s v="Korekta FV"/>
    <s v="Apteka Szpitalna"/>
    <s v="UM-PHA-02"/>
    <b v="0"/>
    <n v="-2078.8000000000002"/>
    <s v="OK"/>
    <x v="0"/>
    <x v="2"/>
    <s v="2024-04"/>
    <n v="1"/>
  </r>
  <r>
    <s v="FV/CENFA/745025/24"/>
    <s v="PZ/802253"/>
    <x v="4"/>
    <d v="2024-04-15T00:00:00"/>
    <s v="9884.32"/>
    <s v="Zaakceptowana"/>
    <s v="Faktura VAT"/>
    <s v="Apteka Szpitalna"/>
    <s v="UM-CEN-01"/>
    <b v="0"/>
    <n v="9884.32"/>
    <s v="OK"/>
    <x v="0"/>
    <x v="2"/>
    <s v="2024-04"/>
    <n v="1"/>
  </r>
  <r>
    <s v="FV/POL/81629/2024"/>
    <s v="PZ/802254"/>
    <x v="0"/>
    <d v="2024-04-16T00:00:00"/>
    <s v="7027.76"/>
    <s v="Zaakceptowana"/>
    <s v="Faktura VAT"/>
    <s v="Apteka Szpitalna"/>
    <s v="UM-POL-03"/>
    <b v="0"/>
    <n v="7027.76"/>
    <s v="OK"/>
    <x v="0"/>
    <x v="2"/>
    <s v="2024-04"/>
    <n v="1"/>
  </r>
  <r>
    <s v="FV/9993HM/24"/>
    <s v="PZ/802255"/>
    <x v="3"/>
    <d v="2024-04-16T00:00:00"/>
    <s v="24578.38"/>
    <s v="Zaakceptowana"/>
    <s v="Faktura VAT"/>
    <s v="Apteka Szpitalna"/>
    <s v="UM-HUR-02"/>
    <b v="0"/>
    <n v="24578.38"/>
    <s v="OK"/>
    <x v="0"/>
    <x v="2"/>
    <s v="2024-04"/>
    <n v="1"/>
  </r>
  <r>
    <s v="FV/1760/NOVA/24"/>
    <s v="PZ/802256"/>
    <x v="2"/>
    <d v="2024-04-17T00:00:00"/>
    <s v="-1026.08"/>
    <s v="Zaakceptowana"/>
    <s v="Korekta FV"/>
    <s v="Apteka Szpitalna"/>
    <s v="UM-NOV-01"/>
    <b v="0"/>
    <n v="-1026.08"/>
    <s v="OK"/>
    <x v="0"/>
    <x v="2"/>
    <s v="2024-04"/>
    <n v="1"/>
  </r>
  <r>
    <s v="FV/4015HM/24"/>
    <s v="PZ/802257"/>
    <x v="3"/>
    <d v="2024-04-17T00:00:00"/>
    <s v="18003.94"/>
    <s v="Zaakceptowana"/>
    <s v="Faktura VAT"/>
    <s v="Apteka Szpitalna"/>
    <s v="UM-HUR-01"/>
    <b v="0"/>
    <n v="18003.939999999999"/>
    <s v="OK"/>
    <x v="0"/>
    <x v="2"/>
    <s v="2024-04"/>
    <n v="1"/>
  </r>
  <r>
    <s v="FV/M/7585/P/24"/>
    <s v="PZ/802258"/>
    <x v="5"/>
    <d v="2024-04-18T00:00:00"/>
    <s v="25816.24"/>
    <s v="Zaakceptowana"/>
    <s v="Faktura VAT"/>
    <s v="Apteka Szpitalna"/>
    <s v="UM-MED-01"/>
    <b v="0"/>
    <n v="25816.240000000002"/>
    <s v="OK"/>
    <x v="0"/>
    <x v="2"/>
    <s v="2024-04"/>
    <n v="1"/>
  </r>
  <r>
    <s v="FV/CENFA/986349/24"/>
    <s v="PZ/802259"/>
    <x v="4"/>
    <d v="2024-04-19T00:00:00"/>
    <s v="8352.61"/>
    <s v="Zaakceptowana"/>
    <s v="Faktura VAT"/>
    <s v="Apteka Szpitalna"/>
    <s v="UM-CEN-01"/>
    <b v="0"/>
    <n v="8352.61"/>
    <s v="OK"/>
    <x v="0"/>
    <x v="2"/>
    <s v="2024-04"/>
    <n v="1"/>
  </r>
  <r>
    <s v="FV/18/PP/9235/24"/>
    <s v="PZ/802260"/>
    <x v="6"/>
    <d v="2024-04-19T00:00:00"/>
    <s v="14572.85"/>
    <s v="Zaakceptowana"/>
    <s v="Faktura VAT"/>
    <s v="Apteka Szpitalna"/>
    <s v="UM-PHA-01"/>
    <b v="0"/>
    <n v="14572.85"/>
    <s v="OK"/>
    <x v="0"/>
    <x v="2"/>
    <s v="2024-04"/>
    <n v="1"/>
  </r>
  <r>
    <s v="FV/22/SAL/24"/>
    <s v="PZ/802261"/>
    <x v="1"/>
    <d v="2024-04-19T00:00:00"/>
    <s v="13776.13"/>
    <s v="Zaakceptowana"/>
    <s v="Faktura VAT"/>
    <s v="Apteka Szpitalna"/>
    <s v="UM-SAL-01"/>
    <b v="0"/>
    <n v="13776.13"/>
    <s v="OK"/>
    <x v="0"/>
    <x v="2"/>
    <s v="2024-04"/>
    <n v="1"/>
  </r>
  <r>
    <s v="FV/CENFA/773246/24"/>
    <s v="PZ/802262"/>
    <x v="4"/>
    <d v="2024-04-20T00:00:00"/>
    <s v="11856.06"/>
    <s v="Zaakceptowana"/>
    <s v="Faktura VAT"/>
    <s v="Apteka Szpitalna"/>
    <s v="UM-CEN-02"/>
    <b v="0"/>
    <n v="11856.06"/>
    <s v="OK"/>
    <x v="0"/>
    <x v="2"/>
    <s v="2024-04"/>
    <n v="1"/>
  </r>
  <r>
    <s v="FV/56/SAL/24"/>
    <s v="PZ/802263"/>
    <x v="1"/>
    <d v="2024-04-20T00:00:00"/>
    <s v="14754.76"/>
    <s v="Zaakceptowana"/>
    <s v="Faktura VAT"/>
    <s v="Apteka Szpitalna"/>
    <s v=""/>
    <b v="0"/>
    <n v="14754.76"/>
    <s v="OK"/>
    <x v="1"/>
    <x v="2"/>
    <s v="2024-04"/>
    <n v="1"/>
  </r>
  <r>
    <s v="FV/24/PP/6211/24"/>
    <s v="PZ/802264"/>
    <x v="6"/>
    <d v="2024-04-21T00:00:00"/>
    <s v="15769.63"/>
    <s v="Zaakceptowana"/>
    <s v="Faktura VAT"/>
    <s v="Apteka Szpitalna"/>
    <s v="UM-PHA-02"/>
    <b v="0"/>
    <n v="15769.63"/>
    <s v="OK"/>
    <x v="0"/>
    <x v="2"/>
    <s v="2024-04"/>
    <n v="1"/>
  </r>
  <r>
    <s v="FV/6750HM/24"/>
    <s v="PZ/802265"/>
    <x v="3"/>
    <d v="2024-04-21T00:00:00"/>
    <s v="13919.07"/>
    <s v="Zaakceptowana"/>
    <s v="Faktura VAT"/>
    <s v="Apteka Szpitalna"/>
    <s v="UM-HUR-01"/>
    <b v="0"/>
    <n v="13919.07"/>
    <s v="OK"/>
    <x v="0"/>
    <x v="2"/>
    <s v="2024-04"/>
    <n v="1"/>
  </r>
  <r>
    <s v="FV/POL/93296/2024"/>
    <s v="PZ/802266"/>
    <x v="0"/>
    <d v="2024-04-22T00:00:00"/>
    <s v="20930.13"/>
    <s v="Zaakceptowana"/>
    <s v="Faktura VAT"/>
    <s v="Apteka Szpitalna"/>
    <s v="UM-POL-01"/>
    <b v="0"/>
    <n v="20930.13"/>
    <s v="OK"/>
    <x v="0"/>
    <x v="2"/>
    <s v="2024-04"/>
    <n v="1"/>
  </r>
  <r>
    <s v="FV/POL/20446/2024"/>
    <s v="PZ/802267"/>
    <x v="0"/>
    <d v="2024-04-22T00:00:00"/>
    <s v="10154.98"/>
    <s v="Zaakceptowana"/>
    <s v="Faktura VAT"/>
    <s v="Apteka Szpitalna"/>
    <s v="UM-POL-02"/>
    <b v="0"/>
    <n v="10154.98"/>
    <s v="OK"/>
    <x v="0"/>
    <x v="2"/>
    <s v="2024-04"/>
    <n v="1"/>
  </r>
  <r>
    <s v="FV/6675HM/24"/>
    <s v="PZ/802268"/>
    <x v="3"/>
    <d v="2024-04-23T00:00:00"/>
    <s v="18818.53"/>
    <s v="Zaakceptowana"/>
    <s v="Faktura VAT"/>
    <s v="Apteka Szpitalna"/>
    <s v="UM-HUR-03"/>
    <b v="0"/>
    <n v="18818.53"/>
    <s v="OK"/>
    <x v="0"/>
    <x v="2"/>
    <s v="2024-04"/>
    <n v="1"/>
  </r>
  <r>
    <s v="FV/9948/NOVA/24"/>
    <s v="PZ/802269"/>
    <x v="2"/>
    <d v="2024-04-23T00:00:00"/>
    <s v="19094.72"/>
    <s v="Zaakceptowana"/>
    <s v="Faktura VAT"/>
    <s v="Apteka Szpitalna"/>
    <s v="UM-NOV-01"/>
    <b v="0"/>
    <n v="19094.72"/>
    <s v="OK"/>
    <x v="0"/>
    <x v="2"/>
    <s v="2024-04"/>
    <n v="1"/>
  </r>
  <r>
    <s v="FV/CENFA/688372/24"/>
    <s v="PZ/802270"/>
    <x v="4"/>
    <d v="2024-04-23T00:00:00"/>
    <s v="20723.32"/>
    <s v="Zaakceptowana"/>
    <s v="Faktura VAT"/>
    <s v="Apteka Szpitalna"/>
    <s v="UM-CEN-02"/>
    <b v="0"/>
    <n v="20723.32"/>
    <s v="OK"/>
    <x v="0"/>
    <x v="2"/>
    <s v="2024-04"/>
    <n v="1"/>
  </r>
  <r>
    <s v="FV/POL/13869/2024"/>
    <s v="PZ/802271"/>
    <x v="0"/>
    <d v="2024-04-23T00:00:00"/>
    <s v="15387.52"/>
    <s v="Zaakceptowana"/>
    <s v="Faktura VAT"/>
    <s v="Apteka Szpitalna"/>
    <s v="UM-POL-01"/>
    <b v="0"/>
    <n v="15387.52"/>
    <s v="OK"/>
    <x v="0"/>
    <x v="2"/>
    <s v="2024-04"/>
    <n v="1"/>
  </r>
  <r>
    <s v="FV/29/SAL/24"/>
    <s v="PZ/802272"/>
    <x v="1"/>
    <d v="2024-04-24T00:00:00"/>
    <s v="16757.94"/>
    <s v="Zaakceptowana"/>
    <s v="Faktura VAT"/>
    <s v="Apteka Szpitalna"/>
    <s v="UM-SAL-01"/>
    <b v="0"/>
    <n v="16757.939999999999"/>
    <s v="OK"/>
    <x v="0"/>
    <x v="2"/>
    <s v="2024-04"/>
    <n v="1"/>
  </r>
  <r>
    <s v="FV/POL/43389/2024"/>
    <s v="PZ/802273"/>
    <x v="0"/>
    <d v="2024-04-25T00:00:00"/>
    <s v="5715.15"/>
    <s v="Zaakceptowana"/>
    <s v="Faktura VAT"/>
    <s v="Apteka Szpitalna"/>
    <s v="UM-POL-03"/>
    <b v="0"/>
    <n v="5715.15"/>
    <s v="OK"/>
    <x v="0"/>
    <x v="2"/>
    <s v="2024-04"/>
    <n v="1"/>
  </r>
  <r>
    <s v="FV/58/PP/4278/24"/>
    <s v="PZ/802274"/>
    <x v="6"/>
    <d v="2024-04-25T00:00:00"/>
    <s v="7100.81"/>
    <s v="Zaakceptowana"/>
    <s v="Faktura VAT"/>
    <s v="Apteka Szpitalna"/>
    <s v="UM-PHA-02"/>
    <b v="0"/>
    <n v="7100.81"/>
    <s v="OK"/>
    <x v="0"/>
    <x v="2"/>
    <s v="2024-04"/>
    <n v="1"/>
  </r>
  <r>
    <s v="FV/CENFA/678019/24"/>
    <s v="PZ/802275"/>
    <x v="4"/>
    <d v="2024-04-25T00:00:00"/>
    <s v="14557.65"/>
    <s v="Zaakceptowana"/>
    <s v="Faktura VAT"/>
    <s v="Apteka Szpitalna"/>
    <s v="UM-CEN-01"/>
    <b v="0"/>
    <n v="14557.65"/>
    <s v="OK"/>
    <x v="0"/>
    <x v="2"/>
    <s v="2024-04"/>
    <n v="1"/>
  </r>
  <r>
    <s v="FV/M/9709/P/24"/>
    <s v="PZ/802276"/>
    <x v="5"/>
    <d v="2024-04-25T00:00:00"/>
    <s v="17383.94"/>
    <s v="Zaakceptowana"/>
    <s v="Faktura VAT"/>
    <s v="Apteka Szpitalna"/>
    <s v=""/>
    <b v="0"/>
    <n v="17383.939999999999"/>
    <s v="OK"/>
    <x v="1"/>
    <x v="2"/>
    <s v="2024-04"/>
    <n v="1"/>
  </r>
  <r>
    <s v="FV/8488HM/24"/>
    <s v="PZ/802277"/>
    <x v="3"/>
    <d v="2024-04-25T00:00:00"/>
    <s v="16874.36"/>
    <s v="Zaakceptowana"/>
    <s v="Faktura VAT"/>
    <s v="Apteka Szpitalna"/>
    <s v=""/>
    <b v="0"/>
    <n v="16874.36"/>
    <s v="OK"/>
    <x v="1"/>
    <x v="2"/>
    <s v="2024-04"/>
    <n v="1"/>
  </r>
  <r>
    <s v="FV/53695/VDb/2024"/>
    <s v="PZ/802278"/>
    <x v="7"/>
    <d v="2024-04-25T00:00:00"/>
    <s v="11829.7"/>
    <s v="Zaakceptowana"/>
    <s v="Faktura VAT"/>
    <s v="Apteka Szpitalna"/>
    <s v="UM-VIT-01"/>
    <b v="0"/>
    <n v="11829.7"/>
    <s v="OK"/>
    <x v="0"/>
    <x v="2"/>
    <s v="2024-04"/>
    <n v="1"/>
  </r>
  <r>
    <s v="FV/4071HM/24"/>
    <s v="PZ/802279"/>
    <x v="3"/>
    <d v="2024-04-25T00:00:00"/>
    <s v="18032.1"/>
    <s v="Zaakceptowana"/>
    <s v="Faktura VAT"/>
    <s v="Apteka Szpitalna"/>
    <s v="UM-HUR-03"/>
    <b v="0"/>
    <n v="18032.099999999999"/>
    <s v="OK"/>
    <x v="0"/>
    <x v="2"/>
    <s v="2024-04"/>
    <n v="1"/>
  </r>
  <r>
    <s v="FV/64862/VDb/2024"/>
    <s v="PZ/802280"/>
    <x v="7"/>
    <d v="2024-04-26T00:00:00"/>
    <s v="16210.57"/>
    <s v="Zaakceptowana"/>
    <s v="Faktura VAT"/>
    <s v="Apteka Szpitalna"/>
    <s v="UM-VIT-01"/>
    <b v="0"/>
    <n v="16210.57"/>
    <s v="OK"/>
    <x v="0"/>
    <x v="2"/>
    <s v="2024-04"/>
    <n v="1"/>
  </r>
  <r>
    <s v="FV/M/3280/P/24"/>
    <s v="PZ/802281"/>
    <x v="5"/>
    <d v="2024-04-26T00:00:00"/>
    <s v="19563.55"/>
    <s v="Zaakceptowana"/>
    <s v="Faktura VAT"/>
    <s v="Apteka Szpitalna"/>
    <s v="UM-MED-02"/>
    <b v="0"/>
    <n v="19563.55"/>
    <s v="OK"/>
    <x v="0"/>
    <x v="2"/>
    <s v="2024-04"/>
    <n v="1"/>
  </r>
  <r>
    <s v="FV/CENFA/198032/24"/>
    <s v="PZ/802282"/>
    <x v="4"/>
    <d v="2024-04-26T00:00:00"/>
    <s v="15633.2"/>
    <s v="Zaakceptowana"/>
    <s v="Faktura VAT"/>
    <s v="Apteka Szpitalna"/>
    <s v="UM-CEN-01"/>
    <b v="0"/>
    <n v="15633.2"/>
    <s v="OK"/>
    <x v="0"/>
    <x v="2"/>
    <s v="2024-04"/>
    <n v="1"/>
  </r>
  <r>
    <s v="FV/POL/78009/2024"/>
    <s v="PZ/802283"/>
    <x v="0"/>
    <d v="2024-04-27T00:00:00"/>
    <s v="28966.83"/>
    <s v="Zaakceptowana"/>
    <s v="Faktura VAT"/>
    <s v="Apteka Szpitalna"/>
    <s v=""/>
    <b v="0"/>
    <n v="28966.83"/>
    <s v="OK"/>
    <x v="1"/>
    <x v="2"/>
    <s v="2024-04"/>
    <n v="1"/>
  </r>
  <r>
    <s v="FV/CENFA/347512/24"/>
    <s v="PZ/802284"/>
    <x v="4"/>
    <d v="2024-04-28T00:00:00"/>
    <s v="15404.94"/>
    <s v="Zaakceptowana"/>
    <s v="Faktura VAT"/>
    <s v="Apteka Szpitalna"/>
    <s v="UM-CEN-01"/>
    <b v="0"/>
    <n v="15404.94"/>
    <s v="OK"/>
    <x v="0"/>
    <x v="2"/>
    <s v="2024-04"/>
    <n v="1"/>
  </r>
  <r>
    <s v="FV/60/SAL/24"/>
    <s v="PZ/802285"/>
    <x v="1"/>
    <d v="2024-04-28T00:00:00"/>
    <s v="12683.17"/>
    <s v="Zaakceptowana"/>
    <s v="Faktura VAT"/>
    <s v="Apteka Szpitalna"/>
    <s v=""/>
    <b v="0"/>
    <n v="12683.17"/>
    <s v="OK"/>
    <x v="1"/>
    <x v="2"/>
    <s v="2024-04"/>
    <n v="1"/>
  </r>
  <r>
    <s v="FV/8294HM/24"/>
    <s v="PZ/802286"/>
    <x v="3"/>
    <d v="2024-04-28T00:00:00"/>
    <s v="17179.27"/>
    <s v="Zaakceptowana"/>
    <s v="Faktura VAT"/>
    <s v="Apteka Szpitalna"/>
    <s v="UM-HUR-02"/>
    <b v="0"/>
    <n v="17179.27"/>
    <s v="OK"/>
    <x v="0"/>
    <x v="2"/>
    <s v="2024-04"/>
    <n v="1"/>
  </r>
  <r>
    <s v="FV/4353HM/24"/>
    <s v="PZ/802287"/>
    <x v="3"/>
    <d v="2024-04-29T00:00:00"/>
    <s v="18030.32"/>
    <s v="Zaakceptowana"/>
    <s v="Faktura VAT"/>
    <s v="Apteka Szpitalna"/>
    <s v="UM-HUR-02"/>
    <b v="0"/>
    <n v="18030.32"/>
    <s v="OK"/>
    <x v="0"/>
    <x v="2"/>
    <s v="2024-04"/>
    <n v="1"/>
  </r>
  <r>
    <s v="FV/CENFA/535130/24"/>
    <s v="PZ/802288"/>
    <x v="4"/>
    <d v="2024-04-29T00:00:00"/>
    <s v="19458.31"/>
    <s v="Zaakceptowana"/>
    <s v="Faktura VAT"/>
    <s v="Apteka Szpitalna"/>
    <s v=""/>
    <b v="0"/>
    <n v="19458.310000000001"/>
    <s v="OK"/>
    <x v="1"/>
    <x v="2"/>
    <s v="2024-04"/>
    <n v="1"/>
  </r>
  <r>
    <s v="FV/CENFA/476536/24"/>
    <s v="PZ/802289"/>
    <x v="4"/>
    <d v="2024-04-29T00:00:00"/>
    <s v="16635.96"/>
    <s v="Zaakceptowana"/>
    <s v="Faktura VAT"/>
    <s v="Apteka Szpitalna"/>
    <s v="UM-CEN-01"/>
    <b v="0"/>
    <n v="16635.96"/>
    <s v="OK"/>
    <x v="0"/>
    <x v="2"/>
    <s v="2024-04"/>
    <n v="1"/>
  </r>
  <r>
    <s v="FV/CENFA/744743/24"/>
    <s v="PZ/802290"/>
    <x v="4"/>
    <d v="2024-04-29T00:00:00"/>
    <s v="12833.37"/>
    <s v="Zaakceptowana"/>
    <s v="Faktura VAT"/>
    <s v="Apteka Szpitalna"/>
    <s v="UM-CEN-02"/>
    <b v="0"/>
    <n v="12833.37"/>
    <s v="OK"/>
    <x v="0"/>
    <x v="2"/>
    <s v="2024-04"/>
    <n v="1"/>
  </r>
  <r>
    <s v="FV/1316HM/24"/>
    <s v="PZ/802291"/>
    <x v="3"/>
    <d v="2024-04-30T00:00:00"/>
    <s v="17025.57"/>
    <s v="Zaakceptowana"/>
    <s v="Faktura VAT"/>
    <s v="Apteka Szpitalna"/>
    <s v="UM-HUR-02"/>
    <b v="0"/>
    <n v="17025.57"/>
    <s v="OK"/>
    <x v="0"/>
    <x v="2"/>
    <s v="2024-04"/>
    <n v="1"/>
  </r>
  <r>
    <s v="FV/64/SAL/24"/>
    <s v="PZ/802292"/>
    <x v="1"/>
    <d v="2024-04-30T00:00:00"/>
    <s v="12882.91"/>
    <s v="Zaakceptowana"/>
    <s v="Faktura VAT"/>
    <s v="Apteka Szpitalna"/>
    <s v="UM-SAL-02"/>
    <b v="0"/>
    <n v="12882.91"/>
    <s v="OK"/>
    <x v="0"/>
    <x v="2"/>
    <s v="2024-04"/>
    <n v="1"/>
  </r>
  <r>
    <s v="FV/5345HM/24"/>
    <s v="PZ/802293"/>
    <x v="3"/>
    <d v="2024-04-30T00:00:00"/>
    <s v="16894.29"/>
    <s v="Zaakceptowana"/>
    <s v="Faktura VAT"/>
    <s v="Apteka Szpitalna"/>
    <s v="UM-HUR-01"/>
    <b v="0"/>
    <n v="16894.29"/>
    <s v="OK"/>
    <x v="0"/>
    <x v="2"/>
    <s v="2024-04"/>
    <n v="1"/>
  </r>
  <r>
    <s v="FV/86/PP/2973/24"/>
    <s v="PZ/802294"/>
    <x v="6"/>
    <d v="2024-05-01T00:00:00"/>
    <s v="17547.47"/>
    <s v="Zaakceptowana"/>
    <s v="Faktura VAT"/>
    <s v="Apteka Szpitalna"/>
    <s v="UM-PHA-02"/>
    <b v="0"/>
    <n v="17547.47"/>
    <s v="OK"/>
    <x v="0"/>
    <x v="2"/>
    <s v="2024-05"/>
    <n v="1"/>
  </r>
  <r>
    <s v="FV/52/SAL/24"/>
    <s v="PZ/802295"/>
    <x v="1"/>
    <d v="2024-05-01T00:00:00"/>
    <s v="4317.72"/>
    <s v="Zaakceptowana"/>
    <s v="Faktura VAT"/>
    <s v="Apteka Szpitalna"/>
    <s v="UM-SAL-01"/>
    <b v="0"/>
    <n v="4317.72"/>
    <s v="OK"/>
    <x v="0"/>
    <x v="2"/>
    <s v="2024-05"/>
    <n v="1"/>
  </r>
  <r>
    <s v="FV/POL/28333/2024"/>
    <s v="PZ/802296"/>
    <x v="0"/>
    <d v="2024-05-01T00:00:00"/>
    <s v="12963.37"/>
    <s v="Zaakceptowana"/>
    <s v="Faktura VAT"/>
    <s v="Apteka Szpitalna"/>
    <s v=""/>
    <b v="0"/>
    <n v="12963.37"/>
    <s v="OK"/>
    <x v="1"/>
    <x v="2"/>
    <s v="2024-05"/>
    <n v="1"/>
  </r>
  <r>
    <s v="FV/81408/VDb/2024"/>
    <s v="PZ/802297"/>
    <x v="7"/>
    <d v="2024-05-02T00:00:00"/>
    <s v="18231.22"/>
    <s v="Zaakceptowana"/>
    <s v="Faktura VAT"/>
    <s v="Apteka Szpitalna"/>
    <s v="UM-VIT-01"/>
    <b v="0"/>
    <n v="18231.22"/>
    <s v="OK"/>
    <x v="0"/>
    <x v="2"/>
    <s v="2024-05"/>
    <n v="1"/>
  </r>
  <r>
    <s v="FV/17225/VDb/2024"/>
    <s v="PZ/802298"/>
    <x v="7"/>
    <d v="2024-05-02T00:00:00"/>
    <s v="12050.44"/>
    <s v="Zaakceptowana"/>
    <s v="Faktura VAT"/>
    <s v="Apteka Szpitalna"/>
    <s v="UM-VIT-01"/>
    <b v="0"/>
    <n v="12050.44"/>
    <s v="OK"/>
    <x v="0"/>
    <x v="2"/>
    <s v="2024-05"/>
    <n v="1"/>
  </r>
  <r>
    <s v="FV/CENFA/340607/24"/>
    <s v="PZ/802299"/>
    <x v="4"/>
    <d v="2024-05-02T00:00:00"/>
    <s v="13934.2"/>
    <s v="Zaakceptowana"/>
    <s v="Faktura VAT"/>
    <s v="Apteka Szpitalna"/>
    <s v="UM-CEN-02"/>
    <b v="0"/>
    <n v="13934.2"/>
    <s v="OK"/>
    <x v="0"/>
    <x v="2"/>
    <s v="2024-05"/>
    <n v="1"/>
  </r>
  <r>
    <s v="FV/99051/VDb/2024"/>
    <s v="PZ/802300"/>
    <x v="7"/>
    <d v="2024-05-02T00:00:00"/>
    <s v="13374.35"/>
    <s v="Zaakceptowana"/>
    <s v="Faktura VAT"/>
    <s v="Apteka Szpitalna"/>
    <s v="UM-VIT-01"/>
    <b v="0"/>
    <n v="13374.35"/>
    <s v="OK"/>
    <x v="0"/>
    <x v="2"/>
    <s v="2024-05"/>
    <n v="1"/>
  </r>
  <r>
    <s v="FV/79448/VDb/2024"/>
    <s v="PZ/802301"/>
    <x v="7"/>
    <d v="2024-05-02T00:00:00"/>
    <s v="18160.59"/>
    <s v="Zaakceptowana"/>
    <s v="Faktura VAT"/>
    <s v="Apteka Szpitalna"/>
    <s v="UM-VIT-01"/>
    <b v="0"/>
    <n v="18160.59"/>
    <s v="OK"/>
    <x v="0"/>
    <x v="2"/>
    <s v="2024-05"/>
    <n v="1"/>
  </r>
  <r>
    <s v="FV/CENFA/394664/24"/>
    <s v="PZ/802302"/>
    <x v="4"/>
    <d v="2024-05-02T00:00:00"/>
    <s v="12154.99"/>
    <s v="Zaakceptowana"/>
    <s v="Faktura VAT"/>
    <s v="Apteka Szpitalna"/>
    <s v="UM-CEN-02"/>
    <b v="0"/>
    <n v="12154.99"/>
    <s v="OK"/>
    <x v="0"/>
    <x v="2"/>
    <s v="2024-05"/>
    <n v="1"/>
  </r>
  <r>
    <s v="FV/24312/VDb/2024"/>
    <s v="PZ/802303"/>
    <x v="7"/>
    <d v="2024-05-03T00:00:00"/>
    <s v="19720.35"/>
    <s v="Zaakceptowana"/>
    <s v="Faktura VAT"/>
    <s v="Apteka Szpitalna"/>
    <s v=""/>
    <b v="0"/>
    <n v="19720.349999999999"/>
    <s v="OK"/>
    <x v="1"/>
    <x v="2"/>
    <s v="2024-05"/>
    <n v="1"/>
  </r>
  <r>
    <s v="FV/72374/VDb/2024"/>
    <s v="PZ/802304"/>
    <x v="7"/>
    <d v="2024-05-03T00:00:00"/>
    <s v="15805.11"/>
    <s v="Zaakceptowana"/>
    <s v="Faktura VAT"/>
    <s v="Apteka Szpitalna"/>
    <s v="UM-VIT-01"/>
    <b v="0"/>
    <n v="15805.11"/>
    <s v="OK"/>
    <x v="0"/>
    <x v="2"/>
    <s v="2024-05"/>
    <n v="1"/>
  </r>
  <r>
    <s v="FV/CENFA/595570/24"/>
    <s v="PZ/802305"/>
    <x v="4"/>
    <d v="2024-05-03T00:00:00"/>
    <s v="12173.05"/>
    <s v="Zaakceptowana"/>
    <s v="Faktura VAT"/>
    <s v="Apteka Szpitalna"/>
    <s v=""/>
    <b v="0"/>
    <n v="12173.05"/>
    <s v="OK"/>
    <x v="1"/>
    <x v="2"/>
    <s v="2024-05"/>
    <n v="1"/>
  </r>
  <r>
    <s v="FV/3057HM/24"/>
    <s v="PZ/802306"/>
    <x v="3"/>
    <d v="2024-05-03T00:00:00"/>
    <s v="25566.09"/>
    <s v="Zaakceptowana"/>
    <s v="Faktura VAT"/>
    <s v="Apteka Szpitalna"/>
    <s v="UM-HUR-01"/>
    <b v="0"/>
    <n v="25566.09"/>
    <s v="OK"/>
    <x v="0"/>
    <x v="2"/>
    <s v="2024-05"/>
    <n v="1"/>
  </r>
  <r>
    <s v="FV/47142/VDb/2024"/>
    <s v="PZ/802307"/>
    <x v="7"/>
    <d v="2024-05-03T00:00:00"/>
    <s v="16701.05"/>
    <s v="Zaakceptowana"/>
    <s v="Faktura VAT"/>
    <s v="Apteka Szpitalna"/>
    <s v="UM-VIT-01"/>
    <b v="0"/>
    <n v="16701.05"/>
    <s v="OK"/>
    <x v="0"/>
    <x v="2"/>
    <s v="2024-05"/>
    <n v="1"/>
  </r>
  <r>
    <s v="FV/CENFA/132678/24"/>
    <s v="PZ/802308"/>
    <x v="4"/>
    <d v="2024-05-03T00:00:00"/>
    <s v="22299.42"/>
    <s v="Zaakceptowana"/>
    <s v="Faktura VAT"/>
    <s v="Apteka Szpitalna"/>
    <s v="UM-CEN-01"/>
    <b v="0"/>
    <n v="22299.42"/>
    <s v="OK"/>
    <x v="0"/>
    <x v="2"/>
    <s v="2024-05"/>
    <n v="1"/>
  </r>
  <r>
    <s v="FV/1730HM/24"/>
    <s v="PZ/802309"/>
    <x v="3"/>
    <d v="2024-05-03T00:00:00"/>
    <s v="21281.27"/>
    <s v="Zaakceptowana"/>
    <s v="Faktura VAT"/>
    <s v="Apteka Szpitalna"/>
    <s v="UM-HUR-03"/>
    <b v="0"/>
    <n v="21281.27"/>
    <s v="OK"/>
    <x v="0"/>
    <x v="2"/>
    <s v="2024-05"/>
    <n v="1"/>
  </r>
  <r>
    <s v="FV/59947/VDb/2024"/>
    <s v="PZ/802310"/>
    <x v="7"/>
    <d v="2024-05-04T00:00:00"/>
    <s v="25325.91"/>
    <s v="Zaakceptowana"/>
    <s v="Faktura VAT"/>
    <s v="Apteka Szpitalna"/>
    <s v="UM-VIT-01"/>
    <b v="0"/>
    <n v="25325.91"/>
    <s v="OK"/>
    <x v="0"/>
    <x v="2"/>
    <s v="2024-05"/>
    <n v="1"/>
  </r>
  <r>
    <s v="FV/71734/VDb/2024"/>
    <s v="PZ/802311"/>
    <x v="7"/>
    <d v="2024-05-05T00:00:00"/>
    <s v="9884.2"/>
    <s v="Zaakceptowana"/>
    <s v="Faktura VAT"/>
    <s v="Apteka Szpitalna"/>
    <s v=""/>
    <b v="0"/>
    <n v="9884.2000000000007"/>
    <s v="OK"/>
    <x v="1"/>
    <x v="2"/>
    <s v="2024-05"/>
    <n v="1"/>
  </r>
  <r>
    <s v="FV/95/SAL/24"/>
    <s v="PZ/802312"/>
    <x v="1"/>
    <d v="2024-05-05T00:00:00"/>
    <s v="12497.64"/>
    <s v="Zaakceptowana"/>
    <s v="Faktura VAT"/>
    <s v="Apteka Szpitalna"/>
    <s v="UM-SAL-02"/>
    <b v="0"/>
    <n v="12497.64"/>
    <s v="OK"/>
    <x v="0"/>
    <x v="2"/>
    <s v="2024-05"/>
    <n v="1"/>
  </r>
  <r>
    <s v="FV/CENFA/313505/24"/>
    <s v="PZ/802313"/>
    <x v="4"/>
    <d v="2024-05-05T00:00:00"/>
    <s v="3943.98"/>
    <s v="Zaakceptowana"/>
    <s v="Faktura VAT"/>
    <s v="Apteka Szpitalna"/>
    <s v=""/>
    <b v="0"/>
    <n v="3943.98"/>
    <s v="OK"/>
    <x v="1"/>
    <x v="2"/>
    <s v="2024-05"/>
    <n v="1"/>
  </r>
  <r>
    <s v="FV/M/3727/P/24"/>
    <s v="PZ/802314"/>
    <x v="5"/>
    <d v="2024-05-05T00:00:00"/>
    <s v="8877.49"/>
    <s v="Zaakceptowana"/>
    <s v="Faktura VAT"/>
    <s v="Apteka Szpitalna"/>
    <s v="UM-MED-01"/>
    <b v="0"/>
    <n v="8877.49"/>
    <s v="OK"/>
    <x v="0"/>
    <x v="2"/>
    <s v="2024-05"/>
    <n v="1"/>
  </r>
  <r>
    <s v="FV/CENFA/242105/24"/>
    <s v="PZ/802315"/>
    <x v="4"/>
    <d v="2024-05-06T00:00:00"/>
    <s v="11389.2"/>
    <s v="Zaakceptowana"/>
    <s v="Faktura VAT"/>
    <s v="Apteka Szpitalna"/>
    <s v="UM-CEN-02"/>
    <b v="0"/>
    <n v="11389.2"/>
    <s v="OK"/>
    <x v="0"/>
    <x v="2"/>
    <s v="2024-05"/>
    <n v="1"/>
  </r>
  <r>
    <s v="FV/8328/NOVA/24"/>
    <s v="PZ/802316"/>
    <x v="2"/>
    <d v="2024-05-06T00:00:00"/>
    <s v="18972.55"/>
    <s v="Zaakceptowana"/>
    <s v="Faktura VAT"/>
    <s v="Apteka Szpitalna"/>
    <s v=""/>
    <b v="0"/>
    <n v="18972.55"/>
    <s v="OK"/>
    <x v="1"/>
    <x v="2"/>
    <s v="2024-05"/>
    <n v="1"/>
  </r>
  <r>
    <s v="FV/POL/61406/2024"/>
    <s v="PZ/802317"/>
    <x v="0"/>
    <d v="2024-05-07T00:00:00"/>
    <s v="13229.88"/>
    <s v="Zaakceptowana"/>
    <s v="Faktura VAT"/>
    <s v="Apteka Szpitalna"/>
    <s v="UM-POL-03"/>
    <b v="0"/>
    <n v="13229.88"/>
    <s v="OK"/>
    <x v="0"/>
    <x v="2"/>
    <s v="2024-05"/>
    <n v="1"/>
  </r>
  <r>
    <s v="FV/49276/VDb/2024"/>
    <s v="PZ/802318"/>
    <x v="7"/>
    <d v="2024-05-07T00:00:00"/>
    <s v="1447.73"/>
    <s v="Zaakceptowana"/>
    <s v="Faktura VAT"/>
    <s v="Apteka Szpitalna"/>
    <s v="UM-VIT-01"/>
    <b v="0"/>
    <n v="1447.73"/>
    <s v="OK"/>
    <x v="0"/>
    <x v="2"/>
    <s v="2024-05"/>
    <n v="1"/>
  </r>
  <r>
    <s v="FV/POL/50630/2024"/>
    <s v="PZ/802319"/>
    <x v="0"/>
    <d v="2024-05-07T00:00:00"/>
    <s v="16752.55"/>
    <s v="Zaakceptowana"/>
    <s v="Faktura VAT"/>
    <s v="Apteka Szpitalna"/>
    <s v="UM-POL-03"/>
    <b v="0"/>
    <n v="16752.55"/>
    <s v="OK"/>
    <x v="0"/>
    <x v="2"/>
    <s v="2024-05"/>
    <n v="1"/>
  </r>
  <r>
    <s v="FV/M/3209/P/24"/>
    <s v="PZ/802320"/>
    <x v="5"/>
    <d v="2024-05-07T00:00:00"/>
    <s v="27862.8"/>
    <s v="Zaakceptowana"/>
    <s v="Faktura VAT"/>
    <s v="Apteka Szpitalna"/>
    <s v="UM-MED-01"/>
    <b v="0"/>
    <n v="27862.799999999999"/>
    <s v="OK"/>
    <x v="0"/>
    <x v="2"/>
    <s v="2024-05"/>
    <n v="1"/>
  </r>
  <r>
    <s v="FV/2576HM/24"/>
    <s v="PZ/802321"/>
    <x v="3"/>
    <d v="2024-05-07T00:00:00"/>
    <s v="9996.98"/>
    <s v="Zaakceptowana"/>
    <s v="Faktura VAT"/>
    <s v="Apteka Szpitalna"/>
    <s v="UM-HUR-03"/>
    <b v="0"/>
    <n v="9996.98"/>
    <s v="OK"/>
    <x v="0"/>
    <x v="2"/>
    <s v="2024-05"/>
    <n v="1"/>
  </r>
  <r>
    <s v="FV/20/SAL/24"/>
    <s v="PZ/802322"/>
    <x v="1"/>
    <d v="2024-05-07T00:00:00"/>
    <s v="12532.41"/>
    <s v="Zaakceptowana"/>
    <s v="Faktura VAT"/>
    <s v="Apteka Szpitalna"/>
    <s v="UM-SAL-02"/>
    <b v="0"/>
    <n v="12532.41"/>
    <s v="OK"/>
    <x v="0"/>
    <x v="2"/>
    <s v="2024-05"/>
    <n v="1"/>
  </r>
  <r>
    <s v="FV/CENFA/172245/24"/>
    <s v="PZ/802323"/>
    <x v="4"/>
    <d v="2024-05-08T00:00:00"/>
    <s v="14847.64"/>
    <s v="Zaakceptowana"/>
    <s v="Faktura VAT"/>
    <s v="Apteka Szpitalna"/>
    <s v="UM-CEN-02"/>
    <b v="0"/>
    <n v="14847.64"/>
    <s v="OK"/>
    <x v="0"/>
    <x v="2"/>
    <s v="2024-05"/>
    <n v="1"/>
  </r>
  <r>
    <s v="FV/POL/32043/2024"/>
    <s v="PZ/802324"/>
    <x v="0"/>
    <d v="2024-05-08T00:00:00"/>
    <s v="16768.33"/>
    <s v="Zaakceptowana"/>
    <s v="Faktura VAT"/>
    <s v="Apteka Szpitalna"/>
    <s v="UM-POL-01"/>
    <b v="0"/>
    <n v="16768.330000000002"/>
    <s v="OK"/>
    <x v="0"/>
    <x v="2"/>
    <s v="2024-05"/>
    <n v="1"/>
  </r>
  <r>
    <s v="FV/POL/96475/2024"/>
    <s v="PZ/802325"/>
    <x v="0"/>
    <d v="2024-05-09T00:00:00"/>
    <s v="10933.67"/>
    <s v="Zaakceptowana"/>
    <s v="Faktura VAT"/>
    <s v="Apteka Szpitalna"/>
    <s v="UM-POL-03"/>
    <b v="0"/>
    <n v="10933.67"/>
    <s v="OK"/>
    <x v="0"/>
    <x v="2"/>
    <s v="2024-05"/>
    <n v="1"/>
  </r>
  <r>
    <s v="FV/M/6117/P/24"/>
    <s v="PZ/802326"/>
    <x v="5"/>
    <d v="2024-05-09T00:00:00"/>
    <s v="9429.05"/>
    <s v="Zaakceptowana"/>
    <s v="Faktura VAT"/>
    <s v="Apteka Szpitalna"/>
    <s v=""/>
    <b v="0"/>
    <n v="9429.0499999999993"/>
    <s v="OK"/>
    <x v="1"/>
    <x v="2"/>
    <s v="2024-05"/>
    <n v="1"/>
  </r>
  <r>
    <s v="FV/83497/VDb/2024"/>
    <s v="PZ/802327"/>
    <x v="7"/>
    <d v="2024-05-09T00:00:00"/>
    <s v="7896.07"/>
    <s v="Zaakceptowana"/>
    <s v="Faktura VAT"/>
    <s v="Apteka Szpitalna"/>
    <s v="UM-VIT-01"/>
    <b v="0"/>
    <n v="7896.07"/>
    <s v="OK"/>
    <x v="0"/>
    <x v="2"/>
    <s v="2024-05"/>
    <n v="1"/>
  </r>
  <r>
    <s v="FV/M/3218/P/24"/>
    <s v="PZ/802328"/>
    <x v="5"/>
    <d v="2024-05-09T00:00:00"/>
    <s v="15731.05"/>
    <s v="Zaakceptowana"/>
    <s v="Faktura VAT"/>
    <s v="Apteka Szpitalna"/>
    <s v=""/>
    <b v="0"/>
    <n v="15731.05"/>
    <s v="OK"/>
    <x v="1"/>
    <x v="2"/>
    <s v="2024-05"/>
    <n v="1"/>
  </r>
  <r>
    <s v="FV/96/SAL/24"/>
    <s v="PZ/802329"/>
    <x v="1"/>
    <d v="2024-05-10T00:00:00"/>
    <s v="22038.32"/>
    <s v="Zaakceptowana"/>
    <s v="Faktura VAT"/>
    <s v="Apteka Szpitalna"/>
    <s v="UM-SAL-01"/>
    <b v="0"/>
    <n v="22038.32"/>
    <s v="OK"/>
    <x v="0"/>
    <x v="2"/>
    <s v="2024-05"/>
    <n v="1"/>
  </r>
  <r>
    <s v="FV/CENFA/894600/24"/>
    <s v="PZ/802330"/>
    <x v="4"/>
    <d v="2024-05-11T00:00:00"/>
    <s v="15434.78"/>
    <s v="Zaakceptowana"/>
    <s v="Faktura VAT"/>
    <s v="Apteka Szpitalna"/>
    <s v="UM-CEN-02"/>
    <b v="0"/>
    <n v="15434.78"/>
    <s v="OK"/>
    <x v="0"/>
    <x v="2"/>
    <s v="2024-05"/>
    <n v="1"/>
  </r>
  <r>
    <s v="FV/M/1402/P/24"/>
    <s v="PZ/802331"/>
    <x v="5"/>
    <d v="2024-05-11T00:00:00"/>
    <s v="24111.14"/>
    <s v="Zaakceptowana"/>
    <s v="Faktura VAT"/>
    <s v="Apteka Szpitalna"/>
    <s v="UM-MED-02"/>
    <b v="0"/>
    <n v="24111.14"/>
    <s v="OK"/>
    <x v="0"/>
    <x v="2"/>
    <s v="2024-05"/>
    <n v="1"/>
  </r>
  <r>
    <s v="FV/19/PP/5943/24"/>
    <s v="PZ/802332"/>
    <x v="6"/>
    <d v="2024-05-11T00:00:00"/>
    <s v="21372.38"/>
    <s v="Zaakceptowana"/>
    <s v="Faktura VAT"/>
    <s v="Apteka Szpitalna"/>
    <s v="UM-PHA-01"/>
    <b v="0"/>
    <n v="21372.38"/>
    <s v="OK"/>
    <x v="0"/>
    <x v="2"/>
    <s v="2024-05"/>
    <n v="1"/>
  </r>
  <r>
    <s v="FV/76727/VDb/2024"/>
    <s v="PZ/802333"/>
    <x v="7"/>
    <d v="2024-05-12T00:00:00"/>
    <s v="20362.42"/>
    <s v="Zaakceptowana"/>
    <s v="Faktura VAT"/>
    <s v="Apteka Szpitalna"/>
    <s v="UM-VIT-01"/>
    <b v="0"/>
    <n v="20362.419999999998"/>
    <s v="OK"/>
    <x v="0"/>
    <x v="2"/>
    <s v="2024-05"/>
    <n v="1"/>
  </r>
  <r>
    <s v="FV/4234HM/24"/>
    <s v="PZ/802334"/>
    <x v="3"/>
    <d v="2024-05-12T00:00:00"/>
    <s v="-739.25"/>
    <s v="Zaakceptowana"/>
    <s v="Korekta FV"/>
    <s v="Apteka Szpitalna"/>
    <s v="UM-HUR-03"/>
    <b v="0"/>
    <n v="-739.25"/>
    <s v="OK"/>
    <x v="0"/>
    <x v="2"/>
    <s v="2024-05"/>
    <n v="1"/>
  </r>
  <r>
    <s v="FV/CENFA/911432/24"/>
    <s v="PZ/802335"/>
    <x v="4"/>
    <d v="2024-05-12T00:00:00"/>
    <s v="-1250.81"/>
    <s v="Zaakceptowana"/>
    <s v="Korekta FV"/>
    <s v="Apteka Szpitalna"/>
    <s v="UM-CEN-01"/>
    <b v="0"/>
    <n v="-1250.81"/>
    <s v="OK"/>
    <x v="0"/>
    <x v="2"/>
    <s v="2024-05"/>
    <n v="1"/>
  </r>
  <r>
    <s v="FV/2482HM/24"/>
    <s v="PZ/802336"/>
    <x v="3"/>
    <d v="2024-05-13T00:00:00"/>
    <s v="10223.28"/>
    <s v="Zaakceptowana"/>
    <s v="Faktura VAT"/>
    <s v="Apteka Szpitalna"/>
    <s v="UM-HUR-01"/>
    <b v="0"/>
    <n v="10223.280000000001"/>
    <s v="OK"/>
    <x v="0"/>
    <x v="2"/>
    <s v="2024-05"/>
    <n v="1"/>
  </r>
  <r>
    <s v="FV/M/2941/P/24"/>
    <s v="PZ/802337"/>
    <x v="5"/>
    <d v="2024-05-13T00:00:00"/>
    <s v="16240.96"/>
    <s v="Zaakceptowana"/>
    <s v="Faktura VAT"/>
    <s v="Apteka Szpitalna"/>
    <s v="UM-MED-02"/>
    <b v="0"/>
    <n v="16240.96"/>
    <s v="OK"/>
    <x v="0"/>
    <x v="2"/>
    <s v="2024-05"/>
    <n v="1"/>
  </r>
  <r>
    <s v="FV/POL/87402/2024"/>
    <s v="PZ/802338"/>
    <x v="0"/>
    <d v="2024-05-14T00:00:00"/>
    <s v="14093.68"/>
    <s v="Zaakceptowana"/>
    <s v="Faktura VAT"/>
    <s v="Apteka Szpitalna"/>
    <s v="UM-POL-02"/>
    <b v="0"/>
    <n v="14093.68"/>
    <s v="OK"/>
    <x v="0"/>
    <x v="2"/>
    <s v="2024-05"/>
    <n v="1"/>
  </r>
  <r>
    <s v="FV/M/3414/P/24"/>
    <s v="PZ/802339"/>
    <x v="5"/>
    <d v="2024-05-15T00:00:00"/>
    <s v="16884.4"/>
    <s v="Zaakceptowana"/>
    <s v="Faktura VAT"/>
    <s v="Apteka Szpitalna"/>
    <s v="UM-MED-02"/>
    <b v="0"/>
    <n v="16884.400000000001"/>
    <s v="OK"/>
    <x v="0"/>
    <x v="2"/>
    <s v="2024-05"/>
    <n v="1"/>
  </r>
  <r>
    <s v="FV/55/SAL/24"/>
    <s v="PZ/802340"/>
    <x v="1"/>
    <d v="2024-05-15T00:00:00"/>
    <s v="22519.5"/>
    <s v="Zaakceptowana"/>
    <s v="Faktura VAT"/>
    <s v="Apteka Szpitalna"/>
    <s v="UM-SAL-01"/>
    <b v="0"/>
    <n v="22519.5"/>
    <s v="OK"/>
    <x v="0"/>
    <x v="2"/>
    <s v="2024-05"/>
    <n v="1"/>
  </r>
  <r>
    <s v="FV/CENFA/123533/24"/>
    <s v="PZ/802341"/>
    <x v="4"/>
    <d v="2024-05-15T00:00:00"/>
    <s v="4576.92"/>
    <s v="Zaakceptowana"/>
    <s v="Faktura VAT"/>
    <s v="Apteka Szpitalna"/>
    <s v=""/>
    <b v="0"/>
    <n v="4576.92"/>
    <s v="OK"/>
    <x v="1"/>
    <x v="2"/>
    <s v="2024-05"/>
    <n v="1"/>
  </r>
  <r>
    <s v="FV/9840/NOVA/24"/>
    <s v="PZ/802342"/>
    <x v="2"/>
    <d v="2024-05-15T00:00:00"/>
    <s v="23694.65"/>
    <s v="Zaakceptowana"/>
    <s v="Faktura VAT"/>
    <s v="Apteka Szpitalna"/>
    <s v="UM-NOV-02"/>
    <b v="0"/>
    <n v="23694.65"/>
    <s v="OK"/>
    <x v="0"/>
    <x v="2"/>
    <s v="2024-05"/>
    <n v="1"/>
  </r>
  <r>
    <s v="FV/2607HM/24"/>
    <s v="PZ/802343"/>
    <x v="3"/>
    <d v="2024-05-15T00:00:00"/>
    <s v="19814.28"/>
    <s v="Zaakceptowana"/>
    <s v="Faktura VAT"/>
    <s v="Apteka Szpitalna"/>
    <s v="UM-HUR-01"/>
    <b v="0"/>
    <n v="19814.28"/>
    <s v="OK"/>
    <x v="0"/>
    <x v="2"/>
    <s v="2024-05"/>
    <n v="1"/>
  </r>
  <r>
    <s v="FV/20391/VDb/2024"/>
    <s v="PZ/802344"/>
    <x v="7"/>
    <d v="2024-05-16T00:00:00"/>
    <s v="21360.05"/>
    <s v="Zaakceptowana"/>
    <s v="Faktura VAT"/>
    <s v="Apteka Szpitalna"/>
    <s v="UM-VIT-01"/>
    <b v="0"/>
    <n v="21360.05"/>
    <s v="OK"/>
    <x v="0"/>
    <x v="2"/>
    <s v="2024-05"/>
    <n v="1"/>
  </r>
  <r>
    <s v="FV/63131/VDb/2024"/>
    <s v="PZ/802345"/>
    <x v="7"/>
    <d v="2024-05-16T00:00:00"/>
    <s v="8534.6"/>
    <s v="Zaakceptowana"/>
    <s v="Faktura VAT"/>
    <s v="Apteka Szpitalna"/>
    <s v="UM-VIT-01"/>
    <b v="0"/>
    <n v="8534.6"/>
    <s v="OK"/>
    <x v="0"/>
    <x v="2"/>
    <s v="2024-05"/>
    <n v="1"/>
  </r>
  <r>
    <s v="FV/67905/VDb/2024"/>
    <s v="PZ/802346"/>
    <x v="7"/>
    <d v="2024-05-16T00:00:00"/>
    <s v="16742.95"/>
    <s v="Zaakceptowana"/>
    <s v="Faktura VAT"/>
    <s v="Apteka Szpitalna"/>
    <s v="UM-VIT-01"/>
    <b v="0"/>
    <n v="16742.95"/>
    <s v="OK"/>
    <x v="0"/>
    <x v="2"/>
    <s v="2024-05"/>
    <n v="1"/>
  </r>
  <r>
    <s v="FV/POL/22378/2024"/>
    <s v="PZ/802347"/>
    <x v="0"/>
    <d v="2024-05-16T00:00:00"/>
    <s v="-1178.6"/>
    <s v="Zaakceptowana"/>
    <s v="Korekta FV"/>
    <s v="Apteka Szpitalna"/>
    <s v="UM-POL-01"/>
    <b v="0"/>
    <n v="-1178.5999999999999"/>
    <s v="OK"/>
    <x v="0"/>
    <x v="2"/>
    <s v="2024-05"/>
    <n v="1"/>
  </r>
  <r>
    <s v="FV/M/9586/P/24"/>
    <s v="PZ/802348"/>
    <x v="5"/>
    <d v="2024-05-16T00:00:00"/>
    <s v="11821.0"/>
    <s v="Zaakceptowana"/>
    <s v="Faktura VAT"/>
    <s v="Apteka Szpitalna"/>
    <s v="UM-MED-02"/>
    <b v="0"/>
    <n v="11821"/>
    <s v="OK"/>
    <x v="0"/>
    <x v="2"/>
    <s v="2024-05"/>
    <n v="1"/>
  </r>
  <r>
    <s v="FV/86571/VDb/2024"/>
    <s v="PZ/802349"/>
    <x v="7"/>
    <d v="2024-05-17T00:00:00"/>
    <s v="19256.11"/>
    <s v="Zaakceptowana"/>
    <s v="Faktura VAT"/>
    <s v="Apteka Szpitalna"/>
    <s v="UM-VIT-01"/>
    <b v="0"/>
    <n v="19256.11"/>
    <s v="OK"/>
    <x v="0"/>
    <x v="2"/>
    <s v="2024-05"/>
    <n v="1"/>
  </r>
  <r>
    <s v="FV/M/6132/P/24"/>
    <s v="PZ/802350"/>
    <x v="5"/>
    <d v="2024-05-17T00:00:00"/>
    <s v="27303.26"/>
    <s v="Zaakceptowana"/>
    <s v="Faktura VAT"/>
    <s v="Apteka Szpitalna"/>
    <s v="UM-MED-02"/>
    <b v="0"/>
    <n v="27303.26"/>
    <s v="OK"/>
    <x v="0"/>
    <x v="2"/>
    <s v="2024-05"/>
    <n v="1"/>
  </r>
  <r>
    <s v="FV/4188/NOVA/24"/>
    <s v="PZ/802351"/>
    <x v="2"/>
    <d v="2024-05-17T00:00:00"/>
    <s v="23700.14"/>
    <s v="Zaakceptowana"/>
    <s v="Faktura VAT"/>
    <s v="Apteka Szpitalna"/>
    <s v="UM-NOV-03"/>
    <b v="0"/>
    <n v="23700.14"/>
    <s v="OK"/>
    <x v="0"/>
    <x v="2"/>
    <s v="2024-05"/>
    <n v="1"/>
  </r>
  <r>
    <s v="FV/24/SAL/24"/>
    <s v="PZ/802352"/>
    <x v="1"/>
    <d v="2024-05-17T00:00:00"/>
    <s v="17953.29"/>
    <s v="Zaakceptowana"/>
    <s v="Faktura VAT"/>
    <s v="Apteka Szpitalna"/>
    <s v="UM-SAL-01"/>
    <b v="0"/>
    <n v="17953.29"/>
    <s v="OK"/>
    <x v="0"/>
    <x v="2"/>
    <s v="2024-05"/>
    <n v="1"/>
  </r>
  <r>
    <s v="FV/46/PP/9752/24"/>
    <s v="PZ/802353"/>
    <x v="6"/>
    <d v="2024-05-18T00:00:00"/>
    <s v="8250.89"/>
    <s v="Zaakceptowana"/>
    <s v="Faktura VAT"/>
    <s v="Apteka Szpitalna"/>
    <s v="UM-PHA-01"/>
    <b v="0"/>
    <n v="8250.89"/>
    <s v="OK"/>
    <x v="0"/>
    <x v="2"/>
    <s v="2024-05"/>
    <n v="1"/>
  </r>
  <r>
    <s v="FV/44302/VDb/2024"/>
    <s v="PZ/802354"/>
    <x v="7"/>
    <d v="2024-05-18T00:00:00"/>
    <s v="21587.77"/>
    <s v="Zaakceptowana"/>
    <s v="Faktura VAT"/>
    <s v="Apteka Szpitalna"/>
    <s v="UM-VIT-01"/>
    <b v="0"/>
    <n v="21587.77"/>
    <s v="OK"/>
    <x v="0"/>
    <x v="2"/>
    <s v="2024-05"/>
    <n v="1"/>
  </r>
  <r>
    <s v="FV/CENFA/793084/24"/>
    <s v="PZ/802355"/>
    <x v="4"/>
    <d v="2024-05-18T00:00:00"/>
    <s v="16820.0"/>
    <s v="Zaakceptowana"/>
    <s v="Faktura VAT"/>
    <s v="Apteka Szpitalna"/>
    <s v="UM-CEN-01"/>
    <b v="0"/>
    <n v="16820"/>
    <s v="OK"/>
    <x v="0"/>
    <x v="2"/>
    <s v="2024-05"/>
    <n v="1"/>
  </r>
  <r>
    <s v="FV/CENFA/183973/24"/>
    <s v="PZ/802356"/>
    <x v="4"/>
    <d v="2024-05-19T00:00:00"/>
    <s v="18577.99"/>
    <s v="Zaakceptowana"/>
    <s v="Faktura VAT"/>
    <s v="Apteka Szpitalna"/>
    <s v="UM-CEN-01"/>
    <b v="0"/>
    <n v="18577.990000000002"/>
    <s v="OK"/>
    <x v="0"/>
    <x v="2"/>
    <s v="2024-05"/>
    <n v="1"/>
  </r>
  <r>
    <s v="FV/96548/VDb/2024"/>
    <s v="PZ/802357"/>
    <x v="7"/>
    <d v="2024-05-20T00:00:00"/>
    <s v="17208.19"/>
    <s v="Zaakceptowana"/>
    <s v="Faktura VAT"/>
    <s v="Apteka Szpitalna"/>
    <s v="UM-VIT-01"/>
    <b v="0"/>
    <n v="17208.189999999999"/>
    <s v="OK"/>
    <x v="0"/>
    <x v="2"/>
    <s v="2024-05"/>
    <n v="1"/>
  </r>
  <r>
    <s v="FV/M/8500/P/24"/>
    <s v="PZ/802358"/>
    <x v="5"/>
    <d v="2024-05-21T00:00:00"/>
    <s v="20969.79"/>
    <s v="Zaakceptowana"/>
    <s v="Faktura VAT"/>
    <s v="Apteka Szpitalna"/>
    <s v="UM-MED-02"/>
    <b v="0"/>
    <n v="20969.79"/>
    <s v="OK"/>
    <x v="0"/>
    <x v="2"/>
    <s v="2024-05"/>
    <n v="1"/>
  </r>
  <r>
    <s v="FV/CENFA/665780/24"/>
    <s v="PZ/802359"/>
    <x v="4"/>
    <d v="2024-05-21T00:00:00"/>
    <s v="19044.8"/>
    <s v="Zaakceptowana"/>
    <s v="Faktura VAT"/>
    <s v="Apteka Szpitalna"/>
    <s v="UM-CEN-02"/>
    <b v="0"/>
    <n v="19044.8"/>
    <s v="OK"/>
    <x v="0"/>
    <x v="2"/>
    <s v="2024-05"/>
    <n v="1"/>
  </r>
  <r>
    <s v="FV/POL/27470/2024"/>
    <s v="PZ/802360"/>
    <x v="0"/>
    <d v="2024-05-21T00:00:00"/>
    <s v="20744.79"/>
    <s v="Zaakceptowana"/>
    <s v="Faktura VAT"/>
    <s v="Apteka Szpitalna"/>
    <s v=""/>
    <b v="0"/>
    <n v="20744.79"/>
    <s v="OK"/>
    <x v="1"/>
    <x v="2"/>
    <s v="2024-05"/>
    <n v="1"/>
  </r>
  <r>
    <s v="FV/28/PP/4314/24"/>
    <s v="PZ/802361"/>
    <x v="6"/>
    <d v="2024-05-21T00:00:00"/>
    <s v="13355.7"/>
    <s v="Zaakceptowana"/>
    <s v="Faktura VAT"/>
    <s v="Apteka Szpitalna"/>
    <s v=""/>
    <b v="0"/>
    <n v="13355.7"/>
    <s v="OK"/>
    <x v="1"/>
    <x v="2"/>
    <s v="2024-05"/>
    <n v="1"/>
  </r>
  <r>
    <s v="FV/POL/80930/2024"/>
    <s v="PZ/802362"/>
    <x v="0"/>
    <d v="2024-05-22T00:00:00"/>
    <s v="19140.14"/>
    <s v="Zaakceptowana"/>
    <s v="Faktura VAT"/>
    <s v="Apteka Szpitalna"/>
    <s v="UM-POL-01"/>
    <b v="0"/>
    <n v="19140.14"/>
    <s v="OK"/>
    <x v="0"/>
    <x v="2"/>
    <s v="2024-05"/>
    <n v="1"/>
  </r>
  <r>
    <s v="FV/4623/NOVA/24"/>
    <s v="PZ/802363"/>
    <x v="2"/>
    <d v="2024-05-23T00:00:00"/>
    <s v="8417.56"/>
    <s v="Zaakceptowana"/>
    <s v="Faktura VAT"/>
    <s v="Apteka Szpitalna"/>
    <s v=""/>
    <b v="0"/>
    <n v="8417.56"/>
    <s v="OK"/>
    <x v="1"/>
    <x v="2"/>
    <s v="2024-05"/>
    <n v="1"/>
  </r>
  <r>
    <s v="FV/5512HM/24"/>
    <s v="PZ/802364"/>
    <x v="3"/>
    <d v="2024-05-23T00:00:00"/>
    <s v="10216.11"/>
    <s v="Zaakceptowana"/>
    <s v="Faktura VAT"/>
    <s v="Apteka Szpitalna"/>
    <s v="UM-HUR-02"/>
    <b v="0"/>
    <n v="10216.11"/>
    <s v="OK"/>
    <x v="0"/>
    <x v="2"/>
    <s v="2024-05"/>
    <n v="1"/>
  </r>
  <r>
    <s v="FV/56960/VDb/2024"/>
    <s v="PZ/802365"/>
    <x v="7"/>
    <d v="2024-05-23T00:00:00"/>
    <s v="5225.12"/>
    <s v="Zaakceptowana"/>
    <s v="Faktura VAT"/>
    <s v="Apteka Szpitalna"/>
    <s v="UM-VIT-01"/>
    <b v="0"/>
    <n v="5225.12"/>
    <s v="OK"/>
    <x v="0"/>
    <x v="2"/>
    <s v="2024-05"/>
    <n v="1"/>
  </r>
  <r>
    <s v="FV/POL/87440/2024"/>
    <s v="PZ/802366"/>
    <x v="0"/>
    <d v="2024-05-23T00:00:00"/>
    <s v="17988.58"/>
    <s v="Zaakceptowana"/>
    <s v="Faktura VAT"/>
    <s v="Apteka Szpitalna"/>
    <s v="UM-POL-03"/>
    <b v="0"/>
    <n v="17988.580000000002"/>
    <s v="OK"/>
    <x v="0"/>
    <x v="2"/>
    <s v="2024-05"/>
    <n v="1"/>
  </r>
  <r>
    <s v="FV/98/SAL/24"/>
    <s v="PZ/802367"/>
    <x v="1"/>
    <d v="2024-05-23T00:00:00"/>
    <s v="16202.48"/>
    <s v="Zaakceptowana"/>
    <s v="Faktura VAT"/>
    <s v="Apteka Szpitalna"/>
    <s v=""/>
    <b v="0"/>
    <n v="16202.48"/>
    <s v="OK"/>
    <x v="1"/>
    <x v="2"/>
    <s v="2024-05"/>
    <n v="1"/>
  </r>
  <r>
    <s v="FV/4362HM/24"/>
    <s v="PZ/802368"/>
    <x v="3"/>
    <d v="2024-05-23T00:00:00"/>
    <s v="19629.89"/>
    <s v="Zaakceptowana"/>
    <s v="Faktura VAT"/>
    <s v="Apteka Szpitalna"/>
    <s v="UM-HUR-03"/>
    <b v="0"/>
    <n v="19629.89"/>
    <s v="OK"/>
    <x v="0"/>
    <x v="2"/>
    <s v="2024-05"/>
    <n v="1"/>
  </r>
  <r>
    <s v="FV/4013HM/24"/>
    <s v="PZ/802369"/>
    <x v="3"/>
    <d v="2024-05-24T00:00:00"/>
    <s v="9533.72"/>
    <s v="Zaakceptowana"/>
    <s v="Faktura VAT"/>
    <s v="Apteka Szpitalna"/>
    <s v="UM-HUR-03"/>
    <b v="0"/>
    <n v="9533.7199999999993"/>
    <s v="OK"/>
    <x v="0"/>
    <x v="2"/>
    <s v="2024-05"/>
    <n v="1"/>
  </r>
  <r>
    <s v="FV/6031HM/24"/>
    <s v="PZ/802370"/>
    <x v="3"/>
    <d v="2024-05-24T00:00:00"/>
    <s v="15229.56"/>
    <s v="Zaakceptowana"/>
    <s v="Faktura VAT"/>
    <s v="Apteka Szpitalna"/>
    <s v="UM-HUR-03"/>
    <b v="0"/>
    <n v="15229.56"/>
    <s v="OK"/>
    <x v="0"/>
    <x v="2"/>
    <s v="2024-05"/>
    <n v="1"/>
  </r>
  <r>
    <s v="FV/POL/52296/2024"/>
    <s v="PZ/802371"/>
    <x v="0"/>
    <d v="2024-05-24T00:00:00"/>
    <s v="14215.98"/>
    <s v="Zaakceptowana"/>
    <s v="Faktura VAT"/>
    <s v="Apteka Szpitalna"/>
    <s v=""/>
    <b v="0"/>
    <n v="14215.98"/>
    <s v="OK"/>
    <x v="1"/>
    <x v="2"/>
    <s v="2024-05"/>
    <n v="1"/>
  </r>
  <r>
    <s v="FV/7721HM/24"/>
    <s v="PZ/802372"/>
    <x v="3"/>
    <d v="2024-05-25T00:00:00"/>
    <s v="10252.01"/>
    <s v="Zaakceptowana"/>
    <s v="Faktura VAT"/>
    <s v="Apteka Szpitalna"/>
    <s v="UM-HUR-02"/>
    <b v="0"/>
    <n v="10252.01"/>
    <s v="OK"/>
    <x v="0"/>
    <x v="2"/>
    <s v="2024-05"/>
    <n v="1"/>
  </r>
  <r>
    <s v="FV/20175/VDb/2024"/>
    <s v="PZ/802373"/>
    <x v="7"/>
    <d v="2024-05-25T00:00:00"/>
    <s v="20115.07"/>
    <s v="Zaakceptowana"/>
    <s v="Faktura VAT"/>
    <s v="Apteka Szpitalna"/>
    <s v="UM-VIT-01"/>
    <b v="0"/>
    <n v="20115.07"/>
    <s v="OK"/>
    <x v="0"/>
    <x v="2"/>
    <s v="2024-05"/>
    <n v="1"/>
  </r>
  <r>
    <s v="FV/M/3520/P/24"/>
    <s v="PZ/802374"/>
    <x v="5"/>
    <d v="2024-05-27T00:00:00"/>
    <s v="13786.19"/>
    <s v="Zaakceptowana"/>
    <s v="Faktura VAT"/>
    <s v="Apteka Szpitalna"/>
    <s v="UM-MED-02"/>
    <b v="0"/>
    <n v="13786.19"/>
    <s v="OK"/>
    <x v="0"/>
    <x v="2"/>
    <s v="2024-05"/>
    <n v="1"/>
  </r>
  <r>
    <s v="FV/9597/NOVA/24"/>
    <s v="PZ/802375"/>
    <x v="2"/>
    <d v="2024-05-27T00:00:00"/>
    <s v="12823.41"/>
    <s v="Zaakceptowana"/>
    <s v="Faktura VAT"/>
    <s v="Apteka Szpitalna"/>
    <s v="UM-NOV-01"/>
    <b v="0"/>
    <n v="12823.41"/>
    <s v="OK"/>
    <x v="0"/>
    <x v="2"/>
    <s v="2024-05"/>
    <n v="1"/>
  </r>
  <r>
    <s v="FV/77475/VDb/2024"/>
    <s v="PZ/802376"/>
    <x v="7"/>
    <d v="2024-05-28T00:00:00"/>
    <s v="-2359.3"/>
    <s v="Zaakceptowana"/>
    <s v="Korekta FV"/>
    <s v="Apteka Szpitalna"/>
    <s v="UM-VIT-01"/>
    <b v="0"/>
    <n v="-2359.3000000000002"/>
    <s v="OK"/>
    <x v="0"/>
    <x v="2"/>
    <s v="2024-05"/>
    <n v="1"/>
  </r>
  <r>
    <s v="FV/9715/NOVA/24"/>
    <s v="PZ/802377"/>
    <x v="2"/>
    <d v="2024-05-29T00:00:00"/>
    <s v="9897.95"/>
    <s v="Zaakceptowana"/>
    <s v="Faktura VAT"/>
    <s v="Apteka Szpitalna"/>
    <s v="UM-NOV-01"/>
    <b v="0"/>
    <n v="9897.9500000000007"/>
    <s v="OK"/>
    <x v="0"/>
    <x v="2"/>
    <s v="2024-05"/>
    <n v="1"/>
  </r>
  <r>
    <s v="FV/CENFA/766005/24"/>
    <s v="PZ/802378"/>
    <x v="4"/>
    <d v="2024-05-29T00:00:00"/>
    <s v="9101.22"/>
    <s v="Zaakceptowana"/>
    <s v="Faktura VAT"/>
    <s v="Apteka Szpitalna"/>
    <s v="UM-CEN-02"/>
    <b v="0"/>
    <n v="9101.2199999999993"/>
    <s v="OK"/>
    <x v="0"/>
    <x v="2"/>
    <s v="2024-05"/>
    <n v="1"/>
  </r>
  <r>
    <s v="FV/26/PP/1084/24"/>
    <s v="PZ/802379"/>
    <x v="6"/>
    <d v="2024-05-30T00:00:00"/>
    <s v="22625.69"/>
    <s v="Zaakceptowana"/>
    <s v="Faktura VAT"/>
    <s v="Apteka Szpitalna"/>
    <s v="UM-PHA-02"/>
    <b v="0"/>
    <n v="22625.69"/>
    <s v="OK"/>
    <x v="0"/>
    <x v="2"/>
    <s v="2024-05"/>
    <n v="1"/>
  </r>
  <r>
    <s v="FV/25261/VDb/2024"/>
    <s v="PZ/802380"/>
    <x v="7"/>
    <d v="2024-05-30T00:00:00"/>
    <s v="8758.44"/>
    <s v="Zaakceptowana"/>
    <s v="Faktura VAT"/>
    <s v="Apteka Szpitalna"/>
    <s v=""/>
    <b v="0"/>
    <n v="8758.44"/>
    <s v="OK"/>
    <x v="1"/>
    <x v="2"/>
    <s v="2024-05"/>
    <n v="1"/>
  </r>
  <r>
    <s v="FV/8253HM/24"/>
    <s v="PZ/802381"/>
    <x v="3"/>
    <d v="2024-05-31T00:00:00"/>
    <s v="17382.59"/>
    <s v="Zaakceptowana"/>
    <s v="Faktura VAT"/>
    <s v="Apteka Szpitalna"/>
    <s v="UM-HUR-01"/>
    <b v="0"/>
    <n v="17382.59"/>
    <s v="OK"/>
    <x v="0"/>
    <x v="2"/>
    <s v="2024-05"/>
    <n v="1"/>
  </r>
  <r>
    <s v="FV/POL/81993/2024"/>
    <s v="PZ/802382"/>
    <x v="0"/>
    <d v="2024-05-31T00:00:00"/>
    <s v="13247.52"/>
    <s v="Zaakceptowana"/>
    <s v="Faktura VAT"/>
    <s v="Apteka Szpitalna"/>
    <s v="UM-POL-01"/>
    <b v="0"/>
    <n v="13247.52"/>
    <s v="OK"/>
    <x v="0"/>
    <x v="2"/>
    <s v="2024-05"/>
    <n v="1"/>
  </r>
  <r>
    <s v="FV/50583/VDb/2024"/>
    <s v="PZ/802383"/>
    <x v="7"/>
    <d v="2024-06-01T00:00:00"/>
    <s v="11253.07"/>
    <s v="Zaakceptowana"/>
    <s v="Faktura VAT"/>
    <s v="Apteka Szpitalna"/>
    <s v="UM-VIT-01"/>
    <b v="0"/>
    <n v="11253.07"/>
    <s v="OK"/>
    <x v="0"/>
    <x v="2"/>
    <s v="2024-06"/>
    <n v="1"/>
  </r>
  <r>
    <s v="FV/2364/NOVA/24"/>
    <s v="PZ/802384"/>
    <x v="2"/>
    <d v="2024-06-01T00:00:00"/>
    <s v="7895.38"/>
    <s v="Zaakceptowana"/>
    <s v="Faktura VAT"/>
    <s v="Apteka Szpitalna"/>
    <s v=""/>
    <b v="0"/>
    <n v="7895.38"/>
    <s v="OK"/>
    <x v="1"/>
    <x v="2"/>
    <s v="2024-06"/>
    <n v="1"/>
  </r>
  <r>
    <s v="FV/M/1087/P/24"/>
    <s v="PZ/802385"/>
    <x v="5"/>
    <d v="2024-06-03T00:00:00"/>
    <s v="10326.29"/>
    <s v="Zaakceptowana"/>
    <s v="Faktura VAT"/>
    <s v="Apteka Szpitalna"/>
    <s v=""/>
    <b v="0"/>
    <n v="10326.290000000001"/>
    <s v="OK"/>
    <x v="1"/>
    <x v="2"/>
    <s v="2024-06"/>
    <n v="1"/>
  </r>
  <r>
    <s v="FV/59856/VDb/2024"/>
    <s v="PZ/802386"/>
    <x v="7"/>
    <d v="2024-06-03T00:00:00"/>
    <s v="17415.44"/>
    <s v="Zaakceptowana"/>
    <s v="Faktura VAT"/>
    <s v="Apteka Szpitalna"/>
    <s v="UM-VIT-01"/>
    <b v="0"/>
    <n v="17415.439999999999"/>
    <s v="OK"/>
    <x v="0"/>
    <x v="2"/>
    <s v="2024-06"/>
    <n v="1"/>
  </r>
  <r>
    <s v="FV/CENFA/831629/24"/>
    <s v="PZ/802387"/>
    <x v="4"/>
    <d v="2024-06-04T00:00:00"/>
    <s v="22301.16"/>
    <s v="Zaakceptowana"/>
    <s v="Faktura VAT"/>
    <s v="Apteka Szpitalna"/>
    <s v="UM-CEN-01"/>
    <b v="0"/>
    <n v="22301.16"/>
    <s v="OK"/>
    <x v="0"/>
    <x v="2"/>
    <s v="2024-06"/>
    <n v="1"/>
  </r>
  <r>
    <s v="FV/POL/85761/2024"/>
    <s v="PZ/802388"/>
    <x v="0"/>
    <d v="2024-06-04T00:00:00"/>
    <s v="20983.54"/>
    <s v="Zaakceptowana"/>
    <s v="Faktura VAT"/>
    <s v="Apteka Szpitalna"/>
    <s v="UM-POL-01"/>
    <b v="0"/>
    <n v="20983.54"/>
    <s v="OK"/>
    <x v="0"/>
    <x v="2"/>
    <s v="2024-06"/>
    <n v="1"/>
  </r>
  <r>
    <s v="FV/46332/VDb/2024"/>
    <s v="PZ/802389"/>
    <x v="7"/>
    <d v="2024-06-04T00:00:00"/>
    <s v="12264.69"/>
    <s v="Zaakceptowana"/>
    <s v="Faktura VAT"/>
    <s v="Apteka Szpitalna"/>
    <s v=""/>
    <b v="0"/>
    <n v="12264.69"/>
    <s v="OK"/>
    <x v="1"/>
    <x v="2"/>
    <s v="2024-06"/>
    <n v="1"/>
  </r>
  <r>
    <s v="FV/CENFA/560113/24"/>
    <s v="PZ/802390"/>
    <x v="4"/>
    <d v="2024-06-05T00:00:00"/>
    <s v="19151.44"/>
    <s v="Zaakceptowana"/>
    <s v="Faktura VAT"/>
    <s v="Apteka Szpitalna"/>
    <s v=""/>
    <b v="0"/>
    <n v="19151.439999999999"/>
    <s v="OK"/>
    <x v="1"/>
    <x v="2"/>
    <s v="2024-06"/>
    <n v="1"/>
  </r>
  <r>
    <s v="FV/3098HM/24"/>
    <s v="PZ/802391"/>
    <x v="3"/>
    <d v="2024-06-05T00:00:00"/>
    <s v="18617.25"/>
    <s v="Zaakceptowana"/>
    <s v="Faktura VAT"/>
    <s v="Apteka Szpitalna"/>
    <s v="UM-HUR-02"/>
    <b v="0"/>
    <n v="18617.25"/>
    <s v="OK"/>
    <x v="0"/>
    <x v="2"/>
    <s v="2024-06"/>
    <n v="1"/>
  </r>
  <r>
    <s v="FV/97595/VDb/2024"/>
    <s v="PZ/802392"/>
    <x v="7"/>
    <d v="2024-06-05T00:00:00"/>
    <s v="4279.28"/>
    <s v="Zaakceptowana"/>
    <s v="Faktura VAT"/>
    <s v="Apteka Szpitalna"/>
    <s v="UM-VIT-01"/>
    <b v="0"/>
    <n v="4279.28"/>
    <s v="OK"/>
    <x v="0"/>
    <x v="2"/>
    <s v="2024-06"/>
    <n v="1"/>
  </r>
  <r>
    <s v="FV/9175/NOVA/24"/>
    <s v="PZ/802393"/>
    <x v="2"/>
    <d v="2024-06-05T00:00:00"/>
    <s v="18530.89"/>
    <s v="Zaakceptowana"/>
    <s v="Faktura VAT"/>
    <s v="Apteka Szpitalna"/>
    <s v="UM-NOV-02"/>
    <b v="0"/>
    <n v="18530.89"/>
    <s v="OK"/>
    <x v="0"/>
    <x v="2"/>
    <s v="2024-06"/>
    <n v="1"/>
  </r>
  <r>
    <s v="FV/8462HM/24"/>
    <s v="PZ/802394"/>
    <x v="3"/>
    <d v="2024-06-05T00:00:00"/>
    <s v="9321.78"/>
    <s v="Zaakceptowana"/>
    <s v="Faktura VAT"/>
    <s v="Apteka Szpitalna"/>
    <s v="UM-HUR-01"/>
    <b v="0"/>
    <n v="9321.7800000000007"/>
    <s v="OK"/>
    <x v="0"/>
    <x v="2"/>
    <s v="2024-06"/>
    <n v="1"/>
  </r>
  <r>
    <s v="FV/41/PP/2480/24"/>
    <s v="PZ/802395"/>
    <x v="6"/>
    <d v="2024-06-06T00:00:00"/>
    <s v="5706.99"/>
    <s v="Zaakceptowana"/>
    <s v="Faktura VAT"/>
    <s v="Apteka Szpitalna"/>
    <s v="UM-PHA-02"/>
    <b v="0"/>
    <n v="5706.99"/>
    <s v="OK"/>
    <x v="0"/>
    <x v="2"/>
    <s v="2024-06"/>
    <n v="1"/>
  </r>
  <r>
    <s v="FV/M/2665/P/24"/>
    <s v="PZ/802396"/>
    <x v="5"/>
    <d v="2024-06-06T00:00:00"/>
    <s v="25052.0"/>
    <s v="Zaakceptowana"/>
    <s v="Faktura VAT"/>
    <s v="Apteka Szpitalna"/>
    <s v=""/>
    <b v="0"/>
    <n v="25052"/>
    <s v="OK"/>
    <x v="1"/>
    <x v="2"/>
    <s v="2024-06"/>
    <n v="1"/>
  </r>
  <r>
    <s v="FV/81/PP/8196/24"/>
    <s v="PZ/802397"/>
    <x v="6"/>
    <d v="2024-06-07T00:00:00"/>
    <s v="21120.92"/>
    <s v="Zaakceptowana"/>
    <s v="Faktura VAT"/>
    <s v="Apteka Szpitalna"/>
    <s v=""/>
    <b v="0"/>
    <n v="21120.92"/>
    <s v="OK"/>
    <x v="1"/>
    <x v="2"/>
    <s v="2024-06"/>
    <n v="1"/>
  </r>
  <r>
    <s v="FV/M/7180/P/24"/>
    <s v="PZ/802398"/>
    <x v="5"/>
    <d v="2024-06-07T00:00:00"/>
    <s v="20653.26"/>
    <s v="Zaakceptowana"/>
    <s v="Faktura VAT"/>
    <s v="Apteka Szpitalna"/>
    <s v="UM-MED-02"/>
    <b v="0"/>
    <n v="20653.259999999998"/>
    <s v="OK"/>
    <x v="0"/>
    <x v="2"/>
    <s v="2024-06"/>
    <n v="1"/>
  </r>
  <r>
    <s v="FV/3464/NOVA/24"/>
    <s v="PZ/802399"/>
    <x v="2"/>
    <d v="2024-06-07T00:00:00"/>
    <s v="8580.86"/>
    <s v="Zaakceptowana"/>
    <s v="Faktura VAT"/>
    <s v="Apteka Szpitalna"/>
    <s v="UM-NOV-01"/>
    <b v="0"/>
    <n v="8580.86"/>
    <s v="OK"/>
    <x v="0"/>
    <x v="2"/>
    <s v="2024-06"/>
    <n v="1"/>
  </r>
  <r>
    <s v="FV/51/PP/5796/24"/>
    <s v="PZ/802400"/>
    <x v="6"/>
    <d v="2024-06-08T00:00:00"/>
    <s v="7922.62"/>
    <s v="Zaakceptowana"/>
    <s v="Faktura VAT"/>
    <s v="Apteka Szpitalna"/>
    <s v="UM-PHA-01"/>
    <b v="0"/>
    <n v="7922.62"/>
    <s v="OK"/>
    <x v="0"/>
    <x v="2"/>
    <s v="2024-06"/>
    <n v="1"/>
  </r>
  <r>
    <s v="FV/2600HM/24"/>
    <s v="PZ/802401"/>
    <x v="3"/>
    <d v="2024-06-08T00:00:00"/>
    <s v="10119.35"/>
    <s v="Zaakceptowana"/>
    <s v="Faktura VAT"/>
    <s v="Apteka Szpitalna"/>
    <s v="UM-HUR-03"/>
    <b v="0"/>
    <n v="10119.35"/>
    <s v="OK"/>
    <x v="0"/>
    <x v="2"/>
    <s v="2024-06"/>
    <n v="1"/>
  </r>
  <r>
    <s v="FV/CENFA/767889/24"/>
    <s v="PZ/802402"/>
    <x v="4"/>
    <d v="2024-06-08T00:00:00"/>
    <s v="14757.03"/>
    <s v="Zaakceptowana"/>
    <s v="Faktura VAT"/>
    <s v="Apteka Szpitalna"/>
    <s v=""/>
    <b v="0"/>
    <n v="14757.03"/>
    <s v="OK"/>
    <x v="1"/>
    <x v="2"/>
    <s v="2024-06"/>
    <n v="1"/>
  </r>
  <r>
    <s v="FV/M/4974/P/24"/>
    <s v="PZ/802403"/>
    <x v="5"/>
    <d v="2024-06-09T00:00:00"/>
    <s v="16154.24"/>
    <s v="Zaakceptowana"/>
    <s v="Faktura VAT"/>
    <s v="Apteka Szpitalna"/>
    <s v="UM-MED-02"/>
    <b v="0"/>
    <n v="16154.24"/>
    <s v="OK"/>
    <x v="0"/>
    <x v="2"/>
    <s v="2024-06"/>
    <n v="1"/>
  </r>
  <r>
    <s v="FV/9061HM/24"/>
    <s v="PZ/802404"/>
    <x v="3"/>
    <d v="2024-06-09T00:00:00"/>
    <s v="9924.35"/>
    <s v="Zaakceptowana"/>
    <s v="Faktura VAT"/>
    <s v="Apteka Szpitalna"/>
    <s v="UM-HUR-03"/>
    <b v="0"/>
    <n v="9924.35"/>
    <s v="OK"/>
    <x v="0"/>
    <x v="2"/>
    <s v="2024-06"/>
    <n v="1"/>
  </r>
  <r>
    <s v="FV/2184/NOVA/24"/>
    <s v="PZ/802405"/>
    <x v="2"/>
    <d v="2024-06-10T00:00:00"/>
    <s v="-1008.74"/>
    <s v="Zaakceptowana"/>
    <s v="Korekta FV"/>
    <s v="Apteka Szpitalna"/>
    <s v=""/>
    <b v="0"/>
    <n v="-1008.74"/>
    <s v="OK"/>
    <x v="1"/>
    <x v="2"/>
    <s v="2024-06"/>
    <n v="1"/>
  </r>
  <r>
    <s v="FV/9612HM/24"/>
    <s v="PZ/802406"/>
    <x v="3"/>
    <d v="2024-06-10T00:00:00"/>
    <s v="14037.54"/>
    <s v="Zaakceptowana"/>
    <s v="Faktura VAT"/>
    <s v="Apteka Szpitalna"/>
    <s v="UM-HUR-03"/>
    <b v="0"/>
    <n v="14037.54"/>
    <s v="OK"/>
    <x v="0"/>
    <x v="2"/>
    <s v="2024-06"/>
    <n v="1"/>
  </r>
  <r>
    <s v="FV/49/SAL/24"/>
    <s v="PZ/802407"/>
    <x v="1"/>
    <d v="2024-06-11T00:00:00"/>
    <s v="15965.02"/>
    <s v="Zaakceptowana"/>
    <s v="Faktura VAT"/>
    <s v="Apteka Szpitalna"/>
    <s v="UM-SAL-02"/>
    <b v="0"/>
    <n v="15965.02"/>
    <s v="OK"/>
    <x v="0"/>
    <x v="2"/>
    <s v="2024-06"/>
    <n v="1"/>
  </r>
  <r>
    <s v="FV/6011HM/24"/>
    <s v="PZ/802408"/>
    <x v="3"/>
    <d v="2024-06-12T00:00:00"/>
    <s v="20571.56"/>
    <s v="Zaakceptowana"/>
    <s v="Faktura VAT"/>
    <s v="Apteka Szpitalna"/>
    <s v="UM-HUR-01"/>
    <b v="0"/>
    <n v="20571.560000000001"/>
    <s v="OK"/>
    <x v="0"/>
    <x v="2"/>
    <s v="2024-06"/>
    <n v="1"/>
  </r>
  <r>
    <s v="FV/6545HM/24"/>
    <s v="PZ/802409"/>
    <x v="3"/>
    <d v="2024-06-12T00:00:00"/>
    <s v="16286.73"/>
    <s v="Zaakceptowana"/>
    <s v="Faktura VAT"/>
    <s v="Apteka Szpitalna"/>
    <s v="UM-HUR-01"/>
    <b v="0"/>
    <n v="16286.73"/>
    <s v="OK"/>
    <x v="0"/>
    <x v="2"/>
    <s v="2024-06"/>
    <n v="1"/>
  </r>
  <r>
    <s v="FV/43/SAL/24"/>
    <s v="PZ/802410"/>
    <x v="1"/>
    <d v="2024-06-13T00:00:00"/>
    <s v="10546.47"/>
    <s v="Zaakceptowana"/>
    <s v="Faktura VAT"/>
    <s v="Apteka Szpitalna"/>
    <s v="UM-SAL-02"/>
    <b v="0"/>
    <n v="10546.47"/>
    <s v="OK"/>
    <x v="0"/>
    <x v="2"/>
    <s v="2024-06"/>
    <n v="1"/>
  </r>
  <r>
    <s v="FV/M/8889/P/24"/>
    <s v="PZ/802411"/>
    <x v="5"/>
    <d v="2024-06-14T00:00:00"/>
    <s v="11654.04"/>
    <s v="Zaakceptowana"/>
    <s v="Faktura VAT"/>
    <s v="Apteka Szpitalna"/>
    <s v=""/>
    <b v="0"/>
    <n v="11654.04"/>
    <s v="OK"/>
    <x v="1"/>
    <x v="2"/>
    <s v="2024-06"/>
    <n v="1"/>
  </r>
  <r>
    <s v="FV/CENFA/585493/24"/>
    <s v="PZ/802412"/>
    <x v="4"/>
    <d v="2024-06-15T00:00:00"/>
    <s v="15670.07"/>
    <s v="Zaakceptowana"/>
    <s v="Faktura VAT"/>
    <s v="Apteka Szpitalna"/>
    <s v="UM-CEN-02"/>
    <b v="0"/>
    <n v="15670.07"/>
    <s v="OK"/>
    <x v="0"/>
    <x v="2"/>
    <s v="2024-06"/>
    <n v="1"/>
  </r>
  <r>
    <s v="FV/16983/VDb/2024"/>
    <s v="PZ/802413"/>
    <x v="7"/>
    <d v="2024-06-16T00:00:00"/>
    <s v="19423.29"/>
    <s v="Zaakceptowana"/>
    <s v="Faktura VAT"/>
    <s v="Apteka Szpitalna"/>
    <s v=""/>
    <b v="0"/>
    <n v="19423.29"/>
    <s v="OK"/>
    <x v="1"/>
    <x v="2"/>
    <s v="2024-06"/>
    <n v="1"/>
  </r>
  <r>
    <s v="FV/M/8101/P/24"/>
    <s v="PZ/802414"/>
    <x v="5"/>
    <d v="2024-06-16T00:00:00"/>
    <s v="9280.08"/>
    <s v="Zaakceptowana"/>
    <s v="Faktura VAT"/>
    <s v="Apteka Szpitalna"/>
    <s v=""/>
    <b v="0"/>
    <n v="9280.08"/>
    <s v="OK"/>
    <x v="1"/>
    <x v="2"/>
    <s v="2024-06"/>
    <n v="1"/>
  </r>
  <r>
    <s v="FV/CENFA/948198/24"/>
    <s v="PZ/802415"/>
    <x v="4"/>
    <d v="2024-06-16T00:00:00"/>
    <s v="11099.97"/>
    <s v="Zaakceptowana"/>
    <s v="Faktura VAT"/>
    <s v="Apteka Szpitalna"/>
    <s v="UM-CEN-01"/>
    <b v="0"/>
    <n v="11099.97"/>
    <s v="OK"/>
    <x v="0"/>
    <x v="2"/>
    <s v="2024-06"/>
    <n v="1"/>
  </r>
  <r>
    <s v="FV/POL/92449/2024"/>
    <s v="PZ/802416"/>
    <x v="0"/>
    <d v="2024-06-16T00:00:00"/>
    <s v="8803.54"/>
    <s v="Zaakceptowana"/>
    <s v="Faktura VAT"/>
    <s v="Apteka Szpitalna"/>
    <s v="UM-POL-02"/>
    <b v="0"/>
    <n v="8803.5400000000009"/>
    <s v="OK"/>
    <x v="0"/>
    <x v="2"/>
    <s v="2024-06"/>
    <n v="1"/>
  </r>
  <r>
    <s v="FV/2819/NOVA/24"/>
    <s v="PZ/802417"/>
    <x v="2"/>
    <d v="2024-06-17T00:00:00"/>
    <s v="17934.48"/>
    <s v="Zaakceptowana"/>
    <s v="Faktura VAT"/>
    <s v="Apteka Szpitalna"/>
    <s v="UM-NOV-02"/>
    <b v="0"/>
    <n v="17934.48"/>
    <s v="OK"/>
    <x v="0"/>
    <x v="2"/>
    <s v="2024-06"/>
    <n v="1"/>
  </r>
  <r>
    <s v="FV/M/4142/P/24"/>
    <s v="PZ/802418"/>
    <x v="5"/>
    <d v="2024-06-17T00:00:00"/>
    <s v="5269.63"/>
    <s v="Zaakceptowana"/>
    <s v="Faktura VAT"/>
    <s v="Apteka Szpitalna"/>
    <s v="UM-MED-02"/>
    <b v="0"/>
    <n v="5269.63"/>
    <s v="OK"/>
    <x v="0"/>
    <x v="2"/>
    <s v="2024-06"/>
    <n v="1"/>
  </r>
  <r>
    <s v="FV/M/4743/P/24"/>
    <s v="PZ/802419"/>
    <x v="5"/>
    <d v="2024-06-17T00:00:00"/>
    <s v="24692.09"/>
    <s v="Zaakceptowana"/>
    <s v="Faktura VAT"/>
    <s v="Apteka Szpitalna"/>
    <s v=""/>
    <b v="0"/>
    <n v="24692.09"/>
    <s v="OK"/>
    <x v="1"/>
    <x v="2"/>
    <s v="2024-06"/>
    <n v="1"/>
  </r>
  <r>
    <s v="FV/21/SAL/24"/>
    <s v="PZ/802420"/>
    <x v="1"/>
    <d v="2024-06-17T00:00:00"/>
    <s v="15760.39"/>
    <s v="Zaakceptowana"/>
    <s v="Faktura VAT"/>
    <s v="Apteka Szpitalna"/>
    <s v=""/>
    <b v="0"/>
    <n v="15760.39"/>
    <s v="OK"/>
    <x v="1"/>
    <x v="2"/>
    <s v="2024-06"/>
    <n v="1"/>
  </r>
  <r>
    <s v="FV/2260/NOVA/24"/>
    <s v="PZ/802421"/>
    <x v="2"/>
    <d v="2024-06-18T00:00:00"/>
    <s v="18790.3"/>
    <s v="Zaakceptowana"/>
    <s v="Faktura VAT"/>
    <s v="Apteka Szpitalna"/>
    <s v="UM-NOV-01"/>
    <b v="0"/>
    <n v="18790.3"/>
    <s v="OK"/>
    <x v="0"/>
    <x v="2"/>
    <s v="2024-06"/>
    <n v="1"/>
  </r>
  <r>
    <s v="FV/CENFA/690776/24"/>
    <s v="PZ/802422"/>
    <x v="4"/>
    <d v="2024-06-19T00:00:00"/>
    <s v="17091.99"/>
    <s v="Zaakceptowana"/>
    <s v="Faktura VAT"/>
    <s v="Apteka Szpitalna"/>
    <s v="UM-CEN-02"/>
    <b v="0"/>
    <n v="17091.990000000002"/>
    <s v="OK"/>
    <x v="0"/>
    <x v="2"/>
    <s v="2024-06"/>
    <n v="1"/>
  </r>
  <r>
    <s v="FV/73671/VDb/2024"/>
    <s v="PZ/802423"/>
    <x v="7"/>
    <d v="2024-06-19T00:00:00"/>
    <s v="11993.04"/>
    <s v="Zaakceptowana"/>
    <s v="Faktura VAT"/>
    <s v="Apteka Szpitalna"/>
    <s v="UM-VIT-01"/>
    <b v="0"/>
    <n v="11993.04"/>
    <s v="OK"/>
    <x v="0"/>
    <x v="2"/>
    <s v="2024-06"/>
    <n v="1"/>
  </r>
  <r>
    <s v="FV/M/6813/P/24"/>
    <s v="PZ/802424"/>
    <x v="5"/>
    <d v="2024-06-20T00:00:00"/>
    <s v="17449.82"/>
    <s v="Zaakceptowana"/>
    <s v="Faktura VAT"/>
    <s v="Apteka Szpitalna"/>
    <s v="UM-MED-02"/>
    <b v="0"/>
    <n v="17449.82"/>
    <s v="OK"/>
    <x v="0"/>
    <x v="2"/>
    <s v="2024-06"/>
    <n v="1"/>
  </r>
  <r>
    <s v="FV/M/6063/P/24"/>
    <s v="PZ/802425"/>
    <x v="5"/>
    <d v="2024-06-21T00:00:00"/>
    <s v="19199.96"/>
    <s v="Zaakceptowana"/>
    <s v="Faktura VAT"/>
    <s v="Apteka Szpitalna"/>
    <s v="UM-MED-02"/>
    <b v="0"/>
    <n v="19199.96"/>
    <s v="OK"/>
    <x v="0"/>
    <x v="2"/>
    <s v="2024-06"/>
    <n v="1"/>
  </r>
  <r>
    <s v="FV/47/PP/6458/24"/>
    <s v="PZ/802426"/>
    <x v="6"/>
    <d v="2024-06-21T00:00:00"/>
    <s v="14988.07"/>
    <s v="Zaakceptowana"/>
    <s v="Faktura VAT"/>
    <s v="Apteka Szpitalna"/>
    <s v="UM-PHA-01"/>
    <b v="0"/>
    <n v="14988.07"/>
    <s v="OK"/>
    <x v="0"/>
    <x v="2"/>
    <s v="2024-06"/>
    <n v="1"/>
  </r>
  <r>
    <s v="FV/4299/NOVA/24"/>
    <s v="PZ/802427"/>
    <x v="2"/>
    <d v="2024-06-21T00:00:00"/>
    <s v="22238.53"/>
    <s v="Zaakceptowana"/>
    <s v="Faktura VAT"/>
    <s v="Apteka Szpitalna"/>
    <s v=""/>
    <b v="0"/>
    <n v="22238.53"/>
    <s v="OK"/>
    <x v="1"/>
    <x v="2"/>
    <s v="2024-06"/>
    <n v="1"/>
  </r>
  <r>
    <s v="FV/66203/VDb/2024"/>
    <s v="PZ/802428"/>
    <x v="7"/>
    <d v="2024-06-21T00:00:00"/>
    <s v="10039.89"/>
    <s v="Zaakceptowana"/>
    <s v="Faktura VAT"/>
    <s v="Apteka Szpitalna"/>
    <s v="UM-VIT-01"/>
    <b v="0"/>
    <n v="10039.89"/>
    <s v="OK"/>
    <x v="0"/>
    <x v="2"/>
    <s v="2024-06"/>
    <n v="1"/>
  </r>
  <r>
    <s v="FV/1696/NOVA/24"/>
    <s v="PZ/802429"/>
    <x v="2"/>
    <d v="2024-06-21T00:00:00"/>
    <s v="9891.03"/>
    <s v="Zaakceptowana"/>
    <s v="Faktura VAT"/>
    <s v="Apteka Szpitalna"/>
    <s v="UM-NOV-01"/>
    <b v="0"/>
    <n v="9891.0300000000007"/>
    <s v="OK"/>
    <x v="0"/>
    <x v="2"/>
    <s v="2024-06"/>
    <n v="1"/>
  </r>
  <r>
    <s v="FV/8035/NOVA/24"/>
    <s v="PZ/802430"/>
    <x v="2"/>
    <d v="2024-06-22T00:00:00"/>
    <s v="17934.28"/>
    <s v="Zaakceptowana"/>
    <s v="Faktura VAT"/>
    <s v="Apteka Szpitalna"/>
    <s v="UM-NOV-01"/>
    <b v="0"/>
    <n v="17934.28"/>
    <s v="OK"/>
    <x v="0"/>
    <x v="2"/>
    <s v="2024-06"/>
    <n v="1"/>
  </r>
  <r>
    <s v="FV/POL/47660/2024"/>
    <s v="PZ/802431"/>
    <x v="0"/>
    <d v="2024-06-22T00:00:00"/>
    <s v="18862.57"/>
    <s v="Zaakceptowana"/>
    <s v="Faktura VAT"/>
    <s v="Apteka Szpitalna"/>
    <s v="UM-POL-01"/>
    <b v="0"/>
    <n v="18862.57"/>
    <s v="OK"/>
    <x v="0"/>
    <x v="2"/>
    <s v="2024-06"/>
    <n v="1"/>
  </r>
  <r>
    <s v="FV/POL/15489/2024"/>
    <s v="PZ/802432"/>
    <x v="0"/>
    <d v="2024-06-22T00:00:00"/>
    <s v="20627.44"/>
    <s v="Zaakceptowana"/>
    <s v="Faktura VAT"/>
    <s v="Apteka Szpitalna"/>
    <s v="UM-POL-02"/>
    <b v="0"/>
    <n v="20627.439999999999"/>
    <s v="OK"/>
    <x v="0"/>
    <x v="2"/>
    <s v="2024-06"/>
    <n v="1"/>
  </r>
  <r>
    <s v="FV/POL/29222/2024"/>
    <s v="PZ/802433"/>
    <x v="0"/>
    <d v="2024-06-22T00:00:00"/>
    <s v="14284.55"/>
    <s v="Zaakceptowana"/>
    <s v="Faktura VAT"/>
    <s v="Apteka Szpitalna"/>
    <s v=""/>
    <b v="0"/>
    <n v="14284.55"/>
    <s v="OK"/>
    <x v="1"/>
    <x v="2"/>
    <s v="2024-06"/>
    <n v="1"/>
  </r>
  <r>
    <s v="FV/72806/VDb/2024"/>
    <s v="PZ/802434"/>
    <x v="7"/>
    <d v="2024-06-22T00:00:00"/>
    <s v="13271.76"/>
    <s v="Zaakceptowana"/>
    <s v="Faktura VAT"/>
    <s v="Apteka Szpitalna"/>
    <s v="UM-VIT-01"/>
    <b v="0"/>
    <n v="13271.76"/>
    <s v="OK"/>
    <x v="0"/>
    <x v="2"/>
    <s v="2024-06"/>
    <n v="1"/>
  </r>
  <r>
    <s v="FV/28226/VDb/2024"/>
    <s v="PZ/802435"/>
    <x v="7"/>
    <d v="2024-06-22T00:00:00"/>
    <s v="17654.53"/>
    <s v="Zaakceptowana"/>
    <s v="Faktura VAT"/>
    <s v="Apteka Szpitalna"/>
    <s v=""/>
    <b v="0"/>
    <n v="17654.53"/>
    <s v="OK"/>
    <x v="1"/>
    <x v="2"/>
    <s v="2024-06"/>
    <n v="1"/>
  </r>
  <r>
    <s v="FV/12/PP/7761/24"/>
    <s v="PZ/802436"/>
    <x v="6"/>
    <d v="2024-06-23T00:00:00"/>
    <s v="12138.15"/>
    <s v="Zaakceptowana"/>
    <s v="Faktura VAT"/>
    <s v="Apteka Szpitalna"/>
    <s v="UM-PHA-02"/>
    <b v="0"/>
    <n v="12138.15"/>
    <s v="OK"/>
    <x v="0"/>
    <x v="2"/>
    <s v="2024-06"/>
    <n v="1"/>
  </r>
  <r>
    <s v="FV/5616/NOVA/24"/>
    <s v="PZ/802437"/>
    <x v="2"/>
    <d v="2024-06-23T00:00:00"/>
    <s v="11312.19"/>
    <s v="Zaakceptowana"/>
    <s v="Faktura VAT"/>
    <s v="Apteka Szpitalna"/>
    <s v="UM-NOV-01"/>
    <b v="0"/>
    <n v="11312.19"/>
    <s v="OK"/>
    <x v="0"/>
    <x v="2"/>
    <s v="2024-06"/>
    <n v="1"/>
  </r>
  <r>
    <s v="FV/M/7059/P/24"/>
    <s v="PZ/802438"/>
    <x v="5"/>
    <d v="2024-06-23T00:00:00"/>
    <s v="17087.4"/>
    <s v="Zaakceptowana"/>
    <s v="Faktura VAT"/>
    <s v="Apteka Szpitalna"/>
    <s v="UM-MED-01"/>
    <b v="0"/>
    <n v="17087.400000000001"/>
    <s v="OK"/>
    <x v="0"/>
    <x v="2"/>
    <s v="2024-06"/>
    <n v="1"/>
  </r>
  <r>
    <s v="FV/54/PP/6538/24"/>
    <s v="PZ/802439"/>
    <x v="6"/>
    <d v="2024-06-23T00:00:00"/>
    <s v="17750.51"/>
    <s v="Zaakceptowana"/>
    <s v="Faktura VAT"/>
    <s v="Apteka Szpitalna"/>
    <s v="UM-PHA-02"/>
    <b v="0"/>
    <n v="17750.509999999998"/>
    <s v="OK"/>
    <x v="0"/>
    <x v="2"/>
    <s v="2024-06"/>
    <n v="1"/>
  </r>
  <r>
    <s v="FV/CENFA/408352/24"/>
    <s v="PZ/802440"/>
    <x v="4"/>
    <d v="2024-06-23T00:00:00"/>
    <s v="13569.51"/>
    <s v="Zaakceptowana"/>
    <s v="Faktura VAT"/>
    <s v="Apteka Szpitalna"/>
    <s v="UM-CEN-01"/>
    <b v="0"/>
    <n v="13569.51"/>
    <s v="OK"/>
    <x v="0"/>
    <x v="2"/>
    <s v="2024-06"/>
    <n v="1"/>
  </r>
  <r>
    <s v="FV/4995HM/24"/>
    <s v="PZ/802441"/>
    <x v="3"/>
    <d v="2024-06-24T00:00:00"/>
    <s v="24318.83"/>
    <s v="Zaakceptowana"/>
    <s v="Faktura VAT"/>
    <s v="Apteka Szpitalna"/>
    <s v="UM-HUR-02"/>
    <b v="0"/>
    <n v="24318.83"/>
    <s v="OK"/>
    <x v="0"/>
    <x v="2"/>
    <s v="2024-06"/>
    <n v="1"/>
  </r>
  <r>
    <s v="FV/M/3748/P/24"/>
    <s v="PZ/802442"/>
    <x v="5"/>
    <d v="2024-06-24T00:00:00"/>
    <s v="3176.43"/>
    <s v="Zaakceptowana"/>
    <s v="Faktura VAT"/>
    <s v="Apteka Szpitalna"/>
    <s v=""/>
    <b v="0"/>
    <n v="3176.43"/>
    <s v="OK"/>
    <x v="1"/>
    <x v="2"/>
    <s v="2024-06"/>
    <n v="1"/>
  </r>
  <r>
    <s v="FV/56/PP/7583/24"/>
    <s v="PZ/802443"/>
    <x v="6"/>
    <d v="2024-06-24T00:00:00"/>
    <s v="14093.83"/>
    <s v="Zaakceptowana"/>
    <s v="Faktura VAT"/>
    <s v="Apteka Szpitalna"/>
    <s v="UM-PHA-02"/>
    <b v="0"/>
    <n v="14093.83"/>
    <s v="OK"/>
    <x v="0"/>
    <x v="2"/>
    <s v="2024-06"/>
    <n v="1"/>
  </r>
  <r>
    <s v="FV/M/3857/P/24"/>
    <s v="PZ/802444"/>
    <x v="5"/>
    <d v="2024-06-25T00:00:00"/>
    <s v="12406.31"/>
    <s v="Zaakceptowana"/>
    <s v="Faktura VAT"/>
    <s v="Apteka Szpitalna"/>
    <s v=""/>
    <b v="0"/>
    <n v="12406.31"/>
    <s v="OK"/>
    <x v="1"/>
    <x v="2"/>
    <s v="2024-06"/>
    <n v="1"/>
  </r>
  <r>
    <s v="FV/CENFA/482983/24"/>
    <s v="PZ/802445"/>
    <x v="4"/>
    <d v="2024-06-25T00:00:00"/>
    <s v="24019.14"/>
    <s v="Zaakceptowana"/>
    <s v="Faktura VAT"/>
    <s v="Apteka Szpitalna"/>
    <s v="UM-CEN-01"/>
    <b v="0"/>
    <n v="24019.14"/>
    <s v="OK"/>
    <x v="0"/>
    <x v="2"/>
    <s v="2024-06"/>
    <n v="1"/>
  </r>
  <r>
    <s v="FV/44/PP/5016/24"/>
    <s v="PZ/802446"/>
    <x v="6"/>
    <d v="2024-06-25T00:00:00"/>
    <s v="22692.16"/>
    <s v="Zaakceptowana"/>
    <s v="Faktura VAT"/>
    <s v="Apteka Szpitalna"/>
    <s v="UM-PHA-02"/>
    <b v="0"/>
    <n v="22692.16"/>
    <s v="OK"/>
    <x v="0"/>
    <x v="2"/>
    <s v="2024-06"/>
    <n v="1"/>
  </r>
  <r>
    <s v="FV/CENFA/950988/24"/>
    <s v="PZ/802447"/>
    <x v="4"/>
    <d v="2024-06-25T00:00:00"/>
    <s v="13365.6"/>
    <s v="Zaakceptowana"/>
    <s v="Faktura VAT"/>
    <s v="Apteka Szpitalna"/>
    <s v=""/>
    <b v="0"/>
    <n v="13365.6"/>
    <s v="OK"/>
    <x v="1"/>
    <x v="2"/>
    <s v="2024-06"/>
    <n v="1"/>
  </r>
  <r>
    <s v="FV/74/SAL/24"/>
    <s v="PZ/802448"/>
    <x v="1"/>
    <d v="2024-06-26T00:00:00"/>
    <s v="19421.93"/>
    <s v="Zaakceptowana"/>
    <s v="Faktura VAT"/>
    <s v="Apteka Szpitalna"/>
    <s v="UM-SAL-01"/>
    <b v="0"/>
    <n v="19421.93"/>
    <s v="OK"/>
    <x v="0"/>
    <x v="2"/>
    <s v="2024-06"/>
    <n v="1"/>
  </r>
  <r>
    <s v="FV/M/5023/P/24"/>
    <s v="PZ/802449"/>
    <x v="5"/>
    <d v="2024-06-26T00:00:00"/>
    <s v="26420.83"/>
    <s v="Zaakceptowana"/>
    <s v="Faktura VAT"/>
    <s v="Apteka Szpitalna"/>
    <s v="UM-MED-02"/>
    <b v="0"/>
    <n v="26420.83"/>
    <s v="OK"/>
    <x v="0"/>
    <x v="2"/>
    <s v="2024-06"/>
    <n v="1"/>
  </r>
  <r>
    <s v="FV/M/8866/P/24"/>
    <s v="PZ/802450"/>
    <x v="5"/>
    <d v="2024-06-26T00:00:00"/>
    <s v="15137.63"/>
    <s v="Zaakceptowana"/>
    <s v="Faktura VAT"/>
    <s v="Apteka Szpitalna"/>
    <s v="UM-MED-02"/>
    <b v="0"/>
    <n v="15137.63"/>
    <s v="OK"/>
    <x v="0"/>
    <x v="2"/>
    <s v="2024-06"/>
    <n v="1"/>
  </r>
  <r>
    <s v="FV/8115/NOVA/24"/>
    <s v="PZ/802451"/>
    <x v="2"/>
    <d v="2024-06-27T00:00:00"/>
    <s v="16728.49"/>
    <s v="Zaakceptowana"/>
    <s v="Faktura VAT"/>
    <s v="Apteka Szpitalna"/>
    <s v="UM-NOV-03"/>
    <b v="0"/>
    <n v="16728.490000000002"/>
    <s v="OK"/>
    <x v="0"/>
    <x v="2"/>
    <s v="2024-06"/>
    <n v="1"/>
  </r>
  <r>
    <s v="FV/3299/NOVA/24"/>
    <s v="PZ/802452"/>
    <x v="2"/>
    <d v="2024-06-27T00:00:00"/>
    <s v="15964.79"/>
    <s v="Zaakceptowana"/>
    <s v="Faktura VAT"/>
    <s v="Apteka Szpitalna"/>
    <s v=""/>
    <b v="0"/>
    <n v="15964.79"/>
    <s v="OK"/>
    <x v="1"/>
    <x v="2"/>
    <s v="2024-06"/>
    <n v="1"/>
  </r>
  <r>
    <s v="FV/73/PP/9106/24"/>
    <s v="PZ/802453"/>
    <x v="6"/>
    <d v="2024-06-28T00:00:00"/>
    <s v="1176.21"/>
    <s v="Zaakceptowana"/>
    <s v="Faktura VAT"/>
    <s v="Apteka Szpitalna"/>
    <s v="UM-PHA-01"/>
    <b v="0"/>
    <n v="1176.21"/>
    <s v="OK"/>
    <x v="0"/>
    <x v="2"/>
    <s v="2024-06"/>
    <n v="1"/>
  </r>
  <r>
    <s v="FV/22/PP/4998/24"/>
    <s v="PZ/802454"/>
    <x v="6"/>
    <d v="2024-06-28T00:00:00"/>
    <s v="15673.73"/>
    <s v="Zaakceptowana"/>
    <s v="Faktura VAT"/>
    <s v="Apteka Szpitalna"/>
    <s v="UM-PHA-02"/>
    <b v="0"/>
    <n v="15673.73"/>
    <s v="OK"/>
    <x v="0"/>
    <x v="2"/>
    <s v="2024-06"/>
    <n v="1"/>
  </r>
  <r>
    <s v="FV/7902/NOVA/24"/>
    <s v="PZ/802455"/>
    <x v="2"/>
    <d v="2024-06-29T00:00:00"/>
    <s v="10012.39"/>
    <s v="Zaakceptowana"/>
    <s v="Faktura VAT"/>
    <s v="Apteka Szpitalna"/>
    <s v="UM-NOV-03"/>
    <b v="0"/>
    <n v="10012.39"/>
    <s v="OK"/>
    <x v="0"/>
    <x v="2"/>
    <s v="2024-06"/>
    <n v="1"/>
  </r>
  <r>
    <s v="FV/7949HM/24"/>
    <s v="PZ/802456"/>
    <x v="3"/>
    <d v="2024-06-29T00:00:00"/>
    <s v="18186.88"/>
    <s v="Zaakceptowana"/>
    <s v="Faktura VAT"/>
    <s v="Apteka Szpitalna"/>
    <s v=""/>
    <b v="0"/>
    <n v="18186.88"/>
    <s v="OK"/>
    <x v="1"/>
    <x v="2"/>
    <s v="2024-06"/>
    <n v="1"/>
  </r>
  <r>
    <s v="FV/M/1922/P/24"/>
    <s v="PZ/802457"/>
    <x v="5"/>
    <d v="2024-06-29T00:00:00"/>
    <s v="6628.26"/>
    <s v="Zaakceptowana"/>
    <s v="Faktura VAT"/>
    <s v="Apteka Szpitalna"/>
    <s v="UM-MED-02"/>
    <b v="0"/>
    <n v="6628.26"/>
    <s v="OK"/>
    <x v="0"/>
    <x v="2"/>
    <s v="2024-06"/>
    <n v="1"/>
  </r>
  <r>
    <s v="FV/68/PP/4724/24"/>
    <s v="PZ/802458"/>
    <x v="6"/>
    <d v="2024-06-29T00:00:00"/>
    <s v="9632.4"/>
    <s v="Zaakceptowana"/>
    <s v="Faktura VAT"/>
    <s v="Apteka Szpitalna"/>
    <s v=""/>
    <b v="0"/>
    <n v="9632.4"/>
    <s v="OK"/>
    <x v="1"/>
    <x v="2"/>
    <s v="2024-06"/>
    <n v="1"/>
  </r>
  <r>
    <s v="FV/M/8911/P/24"/>
    <s v="PZ/802459"/>
    <x v="5"/>
    <d v="2024-06-30T00:00:00"/>
    <s v="21752.25"/>
    <s v="Zaakceptowana"/>
    <s v="Faktura VAT"/>
    <s v="Apteka Szpitalna"/>
    <s v="UM-MED-01"/>
    <b v="0"/>
    <n v="21752.25"/>
    <s v="OK"/>
    <x v="0"/>
    <x v="2"/>
    <s v="2024-06"/>
    <n v="1"/>
  </r>
  <r>
    <s v="FV/POL/65102/2024"/>
    <s v="PZ/802460"/>
    <x v="0"/>
    <d v="2024-06-30T00:00:00"/>
    <s v="12642.38"/>
    <s v="Zaakceptowana"/>
    <s v="Faktura VAT"/>
    <s v="Apteka Szpitalna"/>
    <s v="UM-POL-03"/>
    <b v="0"/>
    <n v="12642.38"/>
    <s v="OK"/>
    <x v="0"/>
    <x v="2"/>
    <s v="2024-06"/>
    <n v="1"/>
  </r>
  <r>
    <s v="FV/M/8449/P/24"/>
    <s v="PZ/802461"/>
    <x v="5"/>
    <d v="2024-07-02T00:00:00"/>
    <s v="15519.42"/>
    <s v="Zaakceptowana"/>
    <s v="Faktura VAT"/>
    <s v="Apteka Szpitalna"/>
    <s v="UM-MED-02"/>
    <b v="0"/>
    <n v="15519.42"/>
    <s v="OK"/>
    <x v="0"/>
    <x v="2"/>
    <s v="2024-07"/>
    <n v="1"/>
  </r>
  <r>
    <s v="FV/8893/NOVA/24"/>
    <s v="PZ/802462"/>
    <x v="2"/>
    <d v="2024-07-02T00:00:00"/>
    <s v="15371.19"/>
    <s v="Zaakceptowana"/>
    <s v="Faktura VAT"/>
    <s v="Apteka Szpitalna"/>
    <s v="UM-NOV-02"/>
    <b v="0"/>
    <n v="15371.19"/>
    <s v="OK"/>
    <x v="0"/>
    <x v="2"/>
    <s v="2024-07"/>
    <n v="1"/>
  </r>
  <r>
    <s v="FV/24851/VDb/2024"/>
    <s v="PZ/802463"/>
    <x v="7"/>
    <d v="2024-07-02T00:00:00"/>
    <s v="4041.38"/>
    <s v="Zaakceptowana"/>
    <s v="Faktura VAT"/>
    <s v="Apteka Szpitalna"/>
    <s v="UM-VIT-01"/>
    <b v="0"/>
    <n v="4041.38"/>
    <s v="OK"/>
    <x v="0"/>
    <x v="2"/>
    <s v="2024-07"/>
    <n v="1"/>
  </r>
  <r>
    <s v="FV/POL/23787/2024"/>
    <s v="PZ/802464"/>
    <x v="0"/>
    <d v="2024-07-02T00:00:00"/>
    <s v="20999.68"/>
    <s v="Zaakceptowana"/>
    <s v="Faktura VAT"/>
    <s v="Apteka Szpitalna"/>
    <s v="UM-POL-02"/>
    <b v="0"/>
    <n v="20999.68"/>
    <s v="OK"/>
    <x v="0"/>
    <x v="2"/>
    <s v="2024-07"/>
    <n v="1"/>
  </r>
  <r>
    <s v="FV/M/7904/P/24"/>
    <s v="PZ/802465"/>
    <x v="5"/>
    <d v="2024-07-03T00:00:00"/>
    <s v="11293.77"/>
    <s v="Zaakceptowana"/>
    <s v="Faktura VAT"/>
    <s v="Apteka Szpitalna"/>
    <s v="UM-MED-01"/>
    <b v="0"/>
    <n v="11293.77"/>
    <s v="OK"/>
    <x v="0"/>
    <x v="2"/>
    <s v="2024-07"/>
    <n v="1"/>
  </r>
  <r>
    <s v="FV/POL/67322/2024"/>
    <s v="PZ/802466"/>
    <x v="0"/>
    <d v="2024-07-03T00:00:00"/>
    <s v="8878.96"/>
    <s v="Zaakceptowana"/>
    <s v="Faktura VAT"/>
    <s v="Apteka Szpitalna"/>
    <s v="UM-POL-03"/>
    <b v="0"/>
    <n v="8878.9599999999991"/>
    <s v="OK"/>
    <x v="0"/>
    <x v="2"/>
    <s v="2024-07"/>
    <n v="1"/>
  </r>
  <r>
    <s v="FV/CENFA/460958/24"/>
    <s v="PZ/802467"/>
    <x v="4"/>
    <d v="2024-07-03T00:00:00"/>
    <s v="5685.31"/>
    <s v="Zaakceptowana"/>
    <s v="Faktura VAT"/>
    <s v="Apteka Szpitalna"/>
    <s v="UM-CEN-02"/>
    <b v="0"/>
    <n v="5685.31"/>
    <s v="OK"/>
    <x v="0"/>
    <x v="2"/>
    <s v="2024-07"/>
    <n v="1"/>
  </r>
  <r>
    <s v="FV/M/9707/P/24"/>
    <s v="PZ/802468"/>
    <x v="5"/>
    <d v="2024-07-03T00:00:00"/>
    <s v="20584.57"/>
    <s v="Zaakceptowana"/>
    <s v="Faktura VAT"/>
    <s v="Apteka Szpitalna"/>
    <s v=""/>
    <b v="0"/>
    <n v="20584.57"/>
    <s v="OK"/>
    <x v="1"/>
    <x v="2"/>
    <s v="2024-07"/>
    <n v="1"/>
  </r>
  <r>
    <s v="FV/70/PP/5128/24"/>
    <s v="PZ/802469"/>
    <x v="6"/>
    <d v="2024-07-03T00:00:00"/>
    <s v="12456.77"/>
    <s v="Zaakceptowana"/>
    <s v="Faktura VAT"/>
    <s v="Apteka Szpitalna"/>
    <s v="UM-PHA-02"/>
    <b v="0"/>
    <n v="12456.77"/>
    <s v="OK"/>
    <x v="0"/>
    <x v="2"/>
    <s v="2024-07"/>
    <n v="1"/>
  </r>
  <r>
    <s v="FV/6294HM/24"/>
    <s v="PZ/802470"/>
    <x v="3"/>
    <d v="2024-07-04T00:00:00"/>
    <s v="13439.44"/>
    <s v="Zaakceptowana"/>
    <s v="Faktura VAT"/>
    <s v="Apteka Szpitalna"/>
    <s v="UM-HUR-01"/>
    <b v="0"/>
    <n v="13439.44"/>
    <s v="OK"/>
    <x v="0"/>
    <x v="2"/>
    <s v="2024-07"/>
    <n v="1"/>
  </r>
  <r>
    <s v="FV/57549/VDb/2024"/>
    <s v="PZ/802471"/>
    <x v="7"/>
    <d v="2024-07-04T00:00:00"/>
    <s v="20834.94"/>
    <s v="Zaakceptowana"/>
    <s v="Faktura VAT"/>
    <s v="Apteka Szpitalna"/>
    <s v=""/>
    <b v="0"/>
    <n v="20834.939999999999"/>
    <s v="OK"/>
    <x v="1"/>
    <x v="2"/>
    <s v="2024-07"/>
    <n v="1"/>
  </r>
  <r>
    <s v="FV/3573HM/24"/>
    <s v="PZ/802472"/>
    <x v="3"/>
    <d v="2024-07-04T00:00:00"/>
    <s v="15767.75"/>
    <s v="Zaakceptowana"/>
    <s v="Faktura VAT"/>
    <s v="Apteka Szpitalna"/>
    <s v="UM-HUR-01"/>
    <b v="0"/>
    <n v="15767.75"/>
    <s v="OK"/>
    <x v="0"/>
    <x v="2"/>
    <s v="2024-07"/>
    <n v="1"/>
  </r>
  <r>
    <s v="FV/2229HM/24"/>
    <s v="PZ/802473"/>
    <x v="3"/>
    <d v="2024-07-04T00:00:00"/>
    <s v="20014.98"/>
    <s v="Zaakceptowana"/>
    <s v="Faktura VAT"/>
    <s v="Apteka Szpitalna"/>
    <s v="UM-HUR-01"/>
    <b v="0"/>
    <n v="20014.98"/>
    <s v="OK"/>
    <x v="0"/>
    <x v="2"/>
    <s v="2024-07"/>
    <n v="1"/>
  </r>
  <r>
    <s v="FV/80/SAL/24"/>
    <s v="PZ/802474"/>
    <x v="1"/>
    <d v="2024-07-05T00:00:00"/>
    <s v="12329.51"/>
    <s v="Zaakceptowana"/>
    <s v="Faktura VAT"/>
    <s v="Apteka Szpitalna"/>
    <s v="UM-SAL-02"/>
    <b v="0"/>
    <n v="12329.51"/>
    <s v="OK"/>
    <x v="0"/>
    <x v="2"/>
    <s v="2024-07"/>
    <n v="1"/>
  </r>
  <r>
    <s v="FV/1482/NOVA/24"/>
    <s v="PZ/802475"/>
    <x v="2"/>
    <d v="2024-07-05T00:00:00"/>
    <s v="12294.58"/>
    <s v="Zaakceptowana"/>
    <s v="Faktura VAT"/>
    <s v="Apteka Szpitalna"/>
    <s v=""/>
    <b v="0"/>
    <n v="12294.58"/>
    <s v="OK"/>
    <x v="1"/>
    <x v="2"/>
    <s v="2024-07"/>
    <n v="1"/>
  </r>
  <r>
    <s v="FV/4171/NOVA/24"/>
    <s v="PZ/802476"/>
    <x v="2"/>
    <d v="2024-07-06T00:00:00"/>
    <s v="14589.58"/>
    <s v="Zaakceptowana"/>
    <s v="Faktura VAT"/>
    <s v="Apteka Szpitalna"/>
    <s v="UM-NOV-01"/>
    <b v="0"/>
    <n v="14589.58"/>
    <s v="OK"/>
    <x v="0"/>
    <x v="2"/>
    <s v="2024-07"/>
    <n v="1"/>
  </r>
  <r>
    <s v="FV/4302/NOVA/24"/>
    <s v="PZ/802477"/>
    <x v="2"/>
    <d v="2024-07-06T00:00:00"/>
    <s v="20214.57"/>
    <s v="Zaakceptowana"/>
    <s v="Faktura VAT"/>
    <s v="Apteka Szpitalna"/>
    <s v=""/>
    <b v="0"/>
    <n v="20214.57"/>
    <s v="OK"/>
    <x v="1"/>
    <x v="2"/>
    <s v="2024-07"/>
    <n v="1"/>
  </r>
  <r>
    <s v="FV/4906HM/24"/>
    <s v="PZ/802478"/>
    <x v="3"/>
    <d v="2024-07-06T00:00:00"/>
    <s v="10234.82"/>
    <s v="Zaakceptowana"/>
    <s v="Faktura VAT"/>
    <s v="Apteka Szpitalna"/>
    <s v="UM-HUR-02"/>
    <b v="0"/>
    <n v="10234.82"/>
    <s v="OK"/>
    <x v="0"/>
    <x v="2"/>
    <s v="2024-07"/>
    <n v="1"/>
  </r>
  <r>
    <s v="FV/98/PP/9501/24"/>
    <s v="PZ/802479"/>
    <x v="6"/>
    <d v="2024-07-06T00:00:00"/>
    <s v="20845.4"/>
    <s v="Zaakceptowana"/>
    <s v="Faktura VAT"/>
    <s v="Apteka Szpitalna"/>
    <s v="UM-PHA-01"/>
    <b v="0"/>
    <n v="20845.400000000001"/>
    <s v="OK"/>
    <x v="0"/>
    <x v="2"/>
    <s v="2024-07"/>
    <n v="1"/>
  </r>
  <r>
    <s v="FV/5865/NOVA/24"/>
    <s v="PZ/802480"/>
    <x v="2"/>
    <d v="2024-07-06T00:00:00"/>
    <s v="15595.37"/>
    <s v="Zaakceptowana"/>
    <s v="Faktura VAT"/>
    <s v="Apteka Szpitalna"/>
    <s v="UM-NOV-02"/>
    <b v="0"/>
    <n v="15595.37"/>
    <s v="OK"/>
    <x v="0"/>
    <x v="2"/>
    <s v="2024-07"/>
    <n v="1"/>
  </r>
  <r>
    <s v="FV/3266HM/24"/>
    <s v="PZ/802481"/>
    <x v="3"/>
    <d v="2024-07-06T00:00:00"/>
    <s v="20714.91"/>
    <s v="Zaakceptowana"/>
    <s v="Faktura VAT"/>
    <s v="Apteka Szpitalna"/>
    <s v="UM-HUR-01"/>
    <b v="0"/>
    <n v="20714.91"/>
    <s v="OK"/>
    <x v="0"/>
    <x v="2"/>
    <s v="2024-07"/>
    <n v="1"/>
  </r>
  <r>
    <s v="FV/M/4326/P/24"/>
    <s v="PZ/802482"/>
    <x v="5"/>
    <d v="2024-07-07T00:00:00"/>
    <s v="28764.63"/>
    <s v="Zaakceptowana"/>
    <s v="Faktura VAT"/>
    <s v="Apteka Szpitalna"/>
    <s v=""/>
    <b v="0"/>
    <n v="28764.63"/>
    <s v="OK"/>
    <x v="1"/>
    <x v="2"/>
    <s v="2024-07"/>
    <n v="1"/>
  </r>
  <r>
    <s v="FV/5095/NOVA/24"/>
    <s v="PZ/802483"/>
    <x v="2"/>
    <d v="2024-07-08T00:00:00"/>
    <s v="20671.38"/>
    <s v="Zaakceptowana"/>
    <s v="Faktura VAT"/>
    <s v="Apteka Szpitalna"/>
    <s v="UM-NOV-03"/>
    <b v="0"/>
    <n v="20671.38"/>
    <s v="OK"/>
    <x v="0"/>
    <x v="2"/>
    <s v="2024-07"/>
    <n v="1"/>
  </r>
  <r>
    <s v="FV/7731/NOVA/24"/>
    <s v="PZ/802484"/>
    <x v="2"/>
    <d v="2024-07-08T00:00:00"/>
    <s v="8964.73"/>
    <s v="Zaakceptowana"/>
    <s v="Faktura VAT"/>
    <s v="Apteka Szpitalna"/>
    <s v="UM-NOV-03"/>
    <b v="0"/>
    <n v="8964.73"/>
    <s v="OK"/>
    <x v="0"/>
    <x v="2"/>
    <s v="2024-07"/>
    <n v="1"/>
  </r>
  <r>
    <s v="FV/5402/NOVA/24"/>
    <s v="PZ/802485"/>
    <x v="2"/>
    <d v="2024-07-08T00:00:00"/>
    <s v="13426.36"/>
    <s v="Zaakceptowana"/>
    <s v="Faktura VAT"/>
    <s v="Apteka Szpitalna"/>
    <s v="UM-NOV-03"/>
    <b v="0"/>
    <n v="13426.36"/>
    <s v="OK"/>
    <x v="0"/>
    <x v="2"/>
    <s v="2024-07"/>
    <n v="1"/>
  </r>
  <r>
    <s v="FV/42/SAL/24"/>
    <s v="PZ/802486"/>
    <x v="1"/>
    <d v="2024-07-09T00:00:00"/>
    <s v="16016.82"/>
    <s v="Zaakceptowana"/>
    <s v="Faktura VAT"/>
    <s v="Apteka Szpitalna"/>
    <s v="UM-SAL-01"/>
    <b v="0"/>
    <n v="16016.82"/>
    <s v="OK"/>
    <x v="0"/>
    <x v="2"/>
    <s v="2024-07"/>
    <n v="1"/>
  </r>
  <r>
    <s v="FV/POL/81741/2024"/>
    <s v="PZ/802487"/>
    <x v="0"/>
    <d v="2024-07-09T00:00:00"/>
    <s v="9889.83"/>
    <s v="Zaakceptowana"/>
    <s v="Faktura VAT"/>
    <s v="Apteka Szpitalna"/>
    <s v=""/>
    <b v="0"/>
    <n v="9889.83"/>
    <s v="OK"/>
    <x v="1"/>
    <x v="2"/>
    <s v="2024-07"/>
    <n v="1"/>
  </r>
  <r>
    <s v="FV/POL/15634/2024"/>
    <s v="PZ/802488"/>
    <x v="0"/>
    <d v="2024-07-10T00:00:00"/>
    <s v="21902.68"/>
    <s v="Zaakceptowana"/>
    <s v="Faktura VAT"/>
    <s v="Apteka Szpitalna"/>
    <s v="UM-POL-02"/>
    <b v="0"/>
    <n v="21902.68"/>
    <s v="OK"/>
    <x v="0"/>
    <x v="2"/>
    <s v="2024-07"/>
    <n v="1"/>
  </r>
  <r>
    <s v="FV/13/PP/6025/24"/>
    <s v="PZ/802489"/>
    <x v="6"/>
    <d v="2024-07-10T00:00:00"/>
    <s v="17191.19"/>
    <s v="Zaakceptowana"/>
    <s v="Faktura VAT"/>
    <s v="Apteka Szpitalna"/>
    <s v="UM-PHA-02"/>
    <b v="0"/>
    <n v="17191.189999999999"/>
    <s v="OK"/>
    <x v="0"/>
    <x v="2"/>
    <s v="2024-07"/>
    <n v="1"/>
  </r>
  <r>
    <s v="FV/9792HM/24"/>
    <s v="PZ/802490"/>
    <x v="3"/>
    <d v="2024-07-10T00:00:00"/>
    <s v="20240.92"/>
    <s v="Zaakceptowana"/>
    <s v="Faktura VAT"/>
    <s v="Apteka Szpitalna"/>
    <s v="UM-HUR-02"/>
    <b v="0"/>
    <n v="20240.919999999998"/>
    <s v="OK"/>
    <x v="0"/>
    <x v="2"/>
    <s v="2024-07"/>
    <n v="1"/>
  </r>
  <r>
    <s v="FV/35/PP/6426/24"/>
    <s v="PZ/802491"/>
    <x v="6"/>
    <d v="2024-07-10T00:00:00"/>
    <s v="17039.86"/>
    <s v="Zaakceptowana"/>
    <s v="Faktura VAT"/>
    <s v="Apteka Szpitalna"/>
    <s v="UM-PHA-01"/>
    <b v="0"/>
    <n v="17039.86"/>
    <s v="OK"/>
    <x v="0"/>
    <x v="2"/>
    <s v="2024-07"/>
    <n v="1"/>
  </r>
  <r>
    <s v="FV/CENFA/980312/24"/>
    <s v="PZ/802492"/>
    <x v="4"/>
    <d v="2024-07-11T00:00:00"/>
    <s v="12705.7"/>
    <s v="Zaakceptowana"/>
    <s v="Faktura VAT"/>
    <s v="Apteka Szpitalna"/>
    <s v="UM-CEN-01"/>
    <b v="0"/>
    <n v="12705.7"/>
    <s v="OK"/>
    <x v="0"/>
    <x v="2"/>
    <s v="2024-07"/>
    <n v="1"/>
  </r>
  <r>
    <s v="FV/M/4319/P/24"/>
    <s v="PZ/802493"/>
    <x v="5"/>
    <d v="2024-07-11T00:00:00"/>
    <s v="-350.4"/>
    <s v="Zaakceptowana"/>
    <s v="Korekta FV"/>
    <s v="Apteka Szpitalna"/>
    <s v="UM-MED-02"/>
    <b v="0"/>
    <n v="-350.4"/>
    <s v="OK"/>
    <x v="0"/>
    <x v="2"/>
    <s v="2024-07"/>
    <n v="1"/>
  </r>
  <r>
    <s v="FV/POL/20213/2024"/>
    <s v="PZ/802494"/>
    <x v="0"/>
    <d v="2024-07-11T00:00:00"/>
    <s v="16553.55"/>
    <s v="Zaakceptowana"/>
    <s v="Faktura VAT"/>
    <s v="Apteka Szpitalna"/>
    <s v=""/>
    <b v="0"/>
    <n v="16553.55"/>
    <s v="OK"/>
    <x v="1"/>
    <x v="2"/>
    <s v="2024-07"/>
    <n v="1"/>
  </r>
  <r>
    <s v="FV/POL/88263/2024"/>
    <s v="PZ/802495"/>
    <x v="0"/>
    <d v="2024-07-11T00:00:00"/>
    <s v="-3052.96"/>
    <s v="Zaakceptowana"/>
    <s v="Korekta FV"/>
    <s v="Apteka Szpitalna"/>
    <s v="UM-POL-02"/>
    <b v="0"/>
    <n v="-3052.96"/>
    <s v="OK"/>
    <x v="0"/>
    <x v="2"/>
    <s v="2024-07"/>
    <n v="1"/>
  </r>
  <r>
    <s v="FV/3206HM/24"/>
    <s v="PZ/802496"/>
    <x v="3"/>
    <d v="2024-07-11T00:00:00"/>
    <s v="10158.27"/>
    <s v="Zaakceptowana"/>
    <s v="Faktura VAT"/>
    <s v="Apteka Szpitalna"/>
    <s v="UM-HUR-02"/>
    <b v="0"/>
    <n v="10158.27"/>
    <s v="OK"/>
    <x v="0"/>
    <x v="2"/>
    <s v="2024-07"/>
    <n v="1"/>
  </r>
  <r>
    <s v="FV/1029HM/24"/>
    <s v="PZ/802497"/>
    <x v="3"/>
    <d v="2024-07-12T00:00:00"/>
    <s v="17068.7"/>
    <s v="Zaakceptowana"/>
    <s v="Faktura VAT"/>
    <s v="Apteka Szpitalna"/>
    <s v="UM-HUR-01"/>
    <b v="0"/>
    <n v="17068.7"/>
    <s v="OK"/>
    <x v="0"/>
    <x v="2"/>
    <s v="2024-07"/>
    <n v="1"/>
  </r>
  <r>
    <s v="FV/5826/NOVA/24"/>
    <s v="PZ/802498"/>
    <x v="2"/>
    <d v="2024-07-13T00:00:00"/>
    <s v="6469.96"/>
    <s v="Zaakceptowana"/>
    <s v="Faktura VAT"/>
    <s v="Apteka Szpitalna"/>
    <s v="UM-NOV-01"/>
    <b v="0"/>
    <n v="6469.96"/>
    <s v="OK"/>
    <x v="0"/>
    <x v="2"/>
    <s v="2024-07"/>
    <n v="1"/>
  </r>
  <r>
    <s v="FV/M/6816/P/24"/>
    <s v="PZ/802499"/>
    <x v="5"/>
    <d v="2024-07-13T00:00:00"/>
    <s v="17574.15"/>
    <s v="Zaakceptowana"/>
    <s v="Faktura VAT"/>
    <s v="Apteka Szpitalna"/>
    <s v="UM-MED-02"/>
    <b v="0"/>
    <n v="17574.150000000001"/>
    <s v="OK"/>
    <x v="0"/>
    <x v="2"/>
    <s v="2024-07"/>
    <n v="1"/>
  </r>
  <r>
    <s v="FV/43/PP/3398/24"/>
    <s v="PZ/802500"/>
    <x v="6"/>
    <d v="2024-07-13T00:00:00"/>
    <s v="16022.28"/>
    <s v="Zaakceptowana"/>
    <s v="Faktura VAT"/>
    <s v="Apteka Szpitalna"/>
    <s v="UM-PHA-01"/>
    <b v="0"/>
    <n v="16022.28"/>
    <s v="OK"/>
    <x v="0"/>
    <x v="2"/>
    <s v="2024-07"/>
    <n v="1"/>
  </r>
  <r>
    <s v="FV/1274HM/24"/>
    <s v="PZ/802501"/>
    <x v="3"/>
    <d v="2024-07-14T00:00:00"/>
    <s v="19667.43"/>
    <s v="Zaakceptowana"/>
    <s v="Faktura VAT"/>
    <s v="Apteka Szpitalna"/>
    <s v="UM-HUR-01"/>
    <b v="0"/>
    <n v="19667.43"/>
    <s v="OK"/>
    <x v="0"/>
    <x v="2"/>
    <s v="2024-07"/>
    <n v="1"/>
  </r>
  <r>
    <s v="FV/8265/NOVA/24"/>
    <s v="PZ/802502"/>
    <x v="2"/>
    <d v="2024-07-14T00:00:00"/>
    <s v="11781.73"/>
    <s v="Zaakceptowana"/>
    <s v="Faktura VAT"/>
    <s v="Apteka Szpitalna"/>
    <s v="UM-NOV-02"/>
    <b v="0"/>
    <n v="11781.73"/>
    <s v="OK"/>
    <x v="0"/>
    <x v="2"/>
    <s v="2024-07"/>
    <n v="1"/>
  </r>
  <r>
    <s v="FV/2394HM/24"/>
    <s v="PZ/802503"/>
    <x v="3"/>
    <d v="2024-07-14T00:00:00"/>
    <s v="6262.23"/>
    <s v="Zaakceptowana"/>
    <s v="Faktura VAT"/>
    <s v="Apteka Szpitalna"/>
    <s v="UM-HUR-01"/>
    <b v="0"/>
    <n v="6262.23"/>
    <s v="OK"/>
    <x v="0"/>
    <x v="2"/>
    <s v="2024-07"/>
    <n v="1"/>
  </r>
  <r>
    <s v="FV/M/7995/P/24"/>
    <s v="PZ/802504"/>
    <x v="5"/>
    <d v="2024-07-14T00:00:00"/>
    <s v="21159.25"/>
    <s v="Zaakceptowana"/>
    <s v="Faktura VAT"/>
    <s v="Apteka Szpitalna"/>
    <s v="UM-MED-02"/>
    <b v="0"/>
    <n v="21159.25"/>
    <s v="OK"/>
    <x v="0"/>
    <x v="2"/>
    <s v="2024-07"/>
    <n v="1"/>
  </r>
  <r>
    <s v="FV/3307HM/24"/>
    <s v="PZ/802505"/>
    <x v="3"/>
    <d v="2024-07-14T00:00:00"/>
    <s v="12667.68"/>
    <s v="Zaakceptowana"/>
    <s v="Faktura VAT"/>
    <s v="Apteka Szpitalna"/>
    <s v="UM-HUR-02"/>
    <b v="0"/>
    <n v="12667.68"/>
    <s v="OK"/>
    <x v="0"/>
    <x v="2"/>
    <s v="2024-07"/>
    <n v="1"/>
  </r>
  <r>
    <s v="FV/M/3392/P/24"/>
    <s v="PZ/802506"/>
    <x v="5"/>
    <d v="2024-07-14T00:00:00"/>
    <s v="10860.13"/>
    <s v="Zaakceptowana"/>
    <s v="Faktura VAT"/>
    <s v="Apteka Szpitalna"/>
    <s v=""/>
    <b v="0"/>
    <n v="10860.13"/>
    <s v="OK"/>
    <x v="1"/>
    <x v="2"/>
    <s v="2024-07"/>
    <n v="1"/>
  </r>
  <r>
    <s v="FV/POL/28912/2024"/>
    <s v="PZ/802507"/>
    <x v="0"/>
    <d v="2024-07-14T00:00:00"/>
    <s v="19747.17"/>
    <s v="Zaakceptowana"/>
    <s v="Faktura VAT"/>
    <s v="Apteka Szpitalna"/>
    <s v="UM-POL-03"/>
    <b v="0"/>
    <n v="19747.169999999998"/>
    <s v="OK"/>
    <x v="0"/>
    <x v="2"/>
    <s v="2024-07"/>
    <n v="1"/>
  </r>
  <r>
    <s v="FV/2589/NOVA/24"/>
    <s v="PZ/802508"/>
    <x v="2"/>
    <d v="2024-07-14T00:00:00"/>
    <s v="15287.78"/>
    <s v="Zaakceptowana"/>
    <s v="Faktura VAT"/>
    <s v="Apteka Szpitalna"/>
    <s v="UM-NOV-02"/>
    <b v="0"/>
    <n v="15287.78"/>
    <s v="OK"/>
    <x v="0"/>
    <x v="2"/>
    <s v="2024-07"/>
    <n v="1"/>
  </r>
  <r>
    <s v="FV/CENFA/262247/24"/>
    <s v="PZ/802509"/>
    <x v="4"/>
    <d v="2024-07-15T00:00:00"/>
    <s v="5414.25"/>
    <s v="Zaakceptowana"/>
    <s v="Faktura VAT"/>
    <s v="Apteka Szpitalna"/>
    <s v="UM-CEN-01"/>
    <b v="0"/>
    <n v="5414.25"/>
    <s v="OK"/>
    <x v="0"/>
    <x v="2"/>
    <s v="2024-07"/>
    <n v="1"/>
  </r>
  <r>
    <s v="FV/55/PP/9835/24"/>
    <s v="PZ/802510"/>
    <x v="6"/>
    <d v="2024-07-16T00:00:00"/>
    <s v="13162.03"/>
    <s v="Zaakceptowana"/>
    <s v="Faktura VAT"/>
    <s v="Apteka Szpitalna"/>
    <s v=""/>
    <b v="0"/>
    <n v="13162.03"/>
    <s v="OK"/>
    <x v="1"/>
    <x v="2"/>
    <s v="2024-07"/>
    <n v="1"/>
  </r>
  <r>
    <s v="FV/60/SAL/24"/>
    <s v="PZ/802511"/>
    <x v="1"/>
    <d v="2024-07-16T00:00:00"/>
    <s v="11384.87"/>
    <s v="Zaakceptowana"/>
    <s v="Faktura VAT"/>
    <s v="Apteka Szpitalna"/>
    <s v="UM-SAL-02"/>
    <b v="0"/>
    <n v="11384.87"/>
    <s v="OK"/>
    <x v="0"/>
    <x v="2"/>
    <s v="2024-07"/>
    <n v="1"/>
  </r>
  <r>
    <s v="FV/20/SAL/24"/>
    <s v="PZ/802512"/>
    <x v="1"/>
    <d v="2024-07-17T00:00:00"/>
    <s v="12454.63"/>
    <s v="Zaakceptowana"/>
    <s v="Faktura VAT"/>
    <s v="Apteka Szpitalna"/>
    <s v=""/>
    <b v="0"/>
    <n v="12454.63"/>
    <s v="OK"/>
    <x v="1"/>
    <x v="2"/>
    <s v="2024-07"/>
    <n v="1"/>
  </r>
  <r>
    <s v="FV/M/6876/P/24"/>
    <s v="PZ/802513"/>
    <x v="5"/>
    <d v="2024-07-17T00:00:00"/>
    <s v="13836.14"/>
    <s v="Zaakceptowana"/>
    <s v="Faktura VAT"/>
    <s v="Apteka Szpitalna"/>
    <s v="UM-MED-02"/>
    <b v="0"/>
    <n v="13836.14"/>
    <s v="OK"/>
    <x v="0"/>
    <x v="2"/>
    <s v="2024-07"/>
    <n v="1"/>
  </r>
  <r>
    <s v="FV/M/3240/P/24"/>
    <s v="PZ/802514"/>
    <x v="5"/>
    <d v="2024-07-17T00:00:00"/>
    <s v="19247.61"/>
    <s v="Zaakceptowana"/>
    <s v="Faktura VAT"/>
    <s v="Apteka Szpitalna"/>
    <s v="UM-MED-02"/>
    <b v="0"/>
    <n v="19247.61"/>
    <s v="OK"/>
    <x v="0"/>
    <x v="2"/>
    <s v="2024-07"/>
    <n v="1"/>
  </r>
  <r>
    <s v="FV/84/PP/9999/24"/>
    <s v="PZ/802515"/>
    <x v="6"/>
    <d v="2024-07-18T00:00:00"/>
    <s v="14056.56"/>
    <s v="Zaakceptowana"/>
    <s v="Faktura VAT"/>
    <s v="Apteka Szpitalna"/>
    <s v="UM-PHA-01"/>
    <b v="0"/>
    <n v="14056.56"/>
    <s v="OK"/>
    <x v="0"/>
    <x v="2"/>
    <s v="2024-07"/>
    <n v="1"/>
  </r>
  <r>
    <s v="FV/POL/87112/2024"/>
    <s v="PZ/802516"/>
    <x v="0"/>
    <d v="2024-07-19T00:00:00"/>
    <s v="21560.77"/>
    <s v="Zaakceptowana"/>
    <s v="Faktura VAT"/>
    <s v="Apteka Szpitalna"/>
    <s v="UM-POL-02"/>
    <b v="0"/>
    <n v="21560.77"/>
    <s v="OK"/>
    <x v="0"/>
    <x v="2"/>
    <s v="2024-07"/>
    <n v="1"/>
  </r>
  <r>
    <s v="FV/5716/NOVA/24"/>
    <s v="PZ/802517"/>
    <x v="2"/>
    <d v="2024-07-20T00:00:00"/>
    <s v="19809.3"/>
    <s v="Zaakceptowana"/>
    <s v="Faktura VAT"/>
    <s v="Apteka Szpitalna"/>
    <s v="UM-NOV-02"/>
    <b v="0"/>
    <n v="19809.3"/>
    <s v="OK"/>
    <x v="0"/>
    <x v="2"/>
    <s v="2024-07"/>
    <n v="1"/>
  </r>
  <r>
    <s v="FV/55/PP/8816/24"/>
    <s v="PZ/802518"/>
    <x v="6"/>
    <d v="2024-07-20T00:00:00"/>
    <s v="7660.3"/>
    <s v="Zaakceptowana"/>
    <s v="Faktura VAT"/>
    <s v="Apteka Szpitalna"/>
    <s v=""/>
    <b v="0"/>
    <n v="7660.3"/>
    <s v="OK"/>
    <x v="1"/>
    <x v="2"/>
    <s v="2024-07"/>
    <n v="1"/>
  </r>
  <r>
    <s v="FV/12/SAL/24"/>
    <s v="PZ/802519"/>
    <x v="1"/>
    <d v="2024-07-20T00:00:00"/>
    <s v="8134.36"/>
    <s v="Zaakceptowana"/>
    <s v="Faktura VAT"/>
    <s v="Apteka Szpitalna"/>
    <s v=""/>
    <b v="0"/>
    <n v="8134.36"/>
    <s v="OK"/>
    <x v="1"/>
    <x v="2"/>
    <s v="2024-07"/>
    <n v="1"/>
  </r>
  <r>
    <s v="FV/M/4686/P/24"/>
    <s v="PZ/802520"/>
    <x v="5"/>
    <d v="2024-07-20T00:00:00"/>
    <s v="14528.99"/>
    <s v="Zaakceptowana"/>
    <s v="Faktura VAT"/>
    <s v="Apteka Szpitalna"/>
    <s v="UM-MED-02"/>
    <b v="0"/>
    <n v="14528.99"/>
    <s v="OK"/>
    <x v="0"/>
    <x v="2"/>
    <s v="2024-07"/>
    <n v="1"/>
  </r>
  <r>
    <s v="FV/59/SAL/24"/>
    <s v="PZ/802521"/>
    <x v="1"/>
    <d v="2024-07-21T00:00:00"/>
    <s v="23594.82"/>
    <s v="Zaakceptowana"/>
    <s v="Faktura VAT"/>
    <s v="Apteka Szpitalna"/>
    <s v="UM-SAL-01"/>
    <b v="0"/>
    <n v="23594.82"/>
    <s v="OK"/>
    <x v="0"/>
    <x v="2"/>
    <s v="2024-07"/>
    <n v="1"/>
  </r>
  <r>
    <s v="FV/POL/45477/2024"/>
    <s v="PZ/802522"/>
    <x v="0"/>
    <d v="2024-07-21T00:00:00"/>
    <s v="18431.36"/>
    <s v="Zaakceptowana"/>
    <s v="Faktura VAT"/>
    <s v="Apteka Szpitalna"/>
    <s v="UM-POL-02"/>
    <b v="0"/>
    <n v="18431.36"/>
    <s v="OK"/>
    <x v="0"/>
    <x v="2"/>
    <s v="2024-07"/>
    <n v="1"/>
  </r>
  <r>
    <s v="FV/CENFA/450589/24"/>
    <s v="PZ/802523"/>
    <x v="4"/>
    <d v="2024-07-21T00:00:00"/>
    <s v="14635.09"/>
    <s v="Zaakceptowana"/>
    <s v="Faktura VAT"/>
    <s v="Apteka Szpitalna"/>
    <s v="UM-CEN-02"/>
    <b v="0"/>
    <n v="14635.09"/>
    <s v="OK"/>
    <x v="0"/>
    <x v="2"/>
    <s v="2024-07"/>
    <n v="1"/>
  </r>
  <r>
    <s v="FV/84082/VDb/2024"/>
    <s v="PZ/802524"/>
    <x v="7"/>
    <d v="2024-07-22T00:00:00"/>
    <s v="12204.34"/>
    <s v="Zaakceptowana"/>
    <s v="Faktura VAT"/>
    <s v="Apteka Szpitalna"/>
    <s v="UM-VIT-01"/>
    <b v="0"/>
    <n v="12204.34"/>
    <s v="OK"/>
    <x v="0"/>
    <x v="2"/>
    <s v="2024-07"/>
    <n v="1"/>
  </r>
  <r>
    <s v="FV/40/PP/7632/24"/>
    <s v="PZ/802525"/>
    <x v="6"/>
    <d v="2024-07-22T00:00:00"/>
    <s v="22931.68"/>
    <s v="Zaakceptowana"/>
    <s v="Faktura VAT"/>
    <s v="Apteka Szpitalna"/>
    <s v="UM-PHA-01"/>
    <b v="0"/>
    <n v="22931.68"/>
    <s v="OK"/>
    <x v="0"/>
    <x v="2"/>
    <s v="2024-07"/>
    <n v="1"/>
  </r>
  <r>
    <s v="FV/CENFA/357142/24"/>
    <s v="PZ/802526"/>
    <x v="4"/>
    <d v="2024-07-23T00:00:00"/>
    <s v="13934.43"/>
    <s v="Zaakceptowana"/>
    <s v="Faktura VAT"/>
    <s v="Apteka Szpitalna"/>
    <s v="UM-CEN-01"/>
    <b v="0"/>
    <n v="13934.43"/>
    <s v="OK"/>
    <x v="0"/>
    <x v="2"/>
    <s v="2024-07"/>
    <n v="1"/>
  </r>
  <r>
    <s v="FV/15/PP/7315/24"/>
    <s v="PZ/802527"/>
    <x v="6"/>
    <d v="2024-07-23T00:00:00"/>
    <s v="18140.05"/>
    <s v="Zaakceptowana"/>
    <s v="Faktura VAT"/>
    <s v="Apteka Szpitalna"/>
    <s v="UM-PHA-01"/>
    <b v="0"/>
    <n v="18140.05"/>
    <s v="OK"/>
    <x v="0"/>
    <x v="2"/>
    <s v="2024-07"/>
    <n v="1"/>
  </r>
  <r>
    <s v="FV/M/6928/P/24"/>
    <s v="PZ/802528"/>
    <x v="5"/>
    <d v="2024-07-23T00:00:00"/>
    <s v="23816.55"/>
    <s v="Zaakceptowana"/>
    <s v="Faktura VAT"/>
    <s v="Apteka Szpitalna"/>
    <s v="UM-MED-01"/>
    <b v="0"/>
    <n v="23816.55"/>
    <s v="OK"/>
    <x v="0"/>
    <x v="2"/>
    <s v="2024-07"/>
    <n v="1"/>
  </r>
  <r>
    <s v="FV/6249HM/24"/>
    <s v="PZ/802529"/>
    <x v="3"/>
    <d v="2024-07-24T00:00:00"/>
    <s v="14402.59"/>
    <s v="Zaakceptowana"/>
    <s v="Faktura VAT"/>
    <s v="Apteka Szpitalna"/>
    <s v="UM-HUR-01"/>
    <b v="0"/>
    <n v="14402.59"/>
    <s v="OK"/>
    <x v="0"/>
    <x v="2"/>
    <s v="2024-07"/>
    <n v="1"/>
  </r>
  <r>
    <s v="FV/M/9630/P/24"/>
    <s v="PZ/802530"/>
    <x v="5"/>
    <d v="2024-07-24T00:00:00"/>
    <s v="13556.22"/>
    <s v="Zaakceptowana"/>
    <s v="Faktura VAT"/>
    <s v="Apteka Szpitalna"/>
    <s v="UM-MED-02"/>
    <b v="0"/>
    <n v="13556.22"/>
    <s v="OK"/>
    <x v="0"/>
    <x v="2"/>
    <s v="2024-07"/>
    <n v="1"/>
  </r>
  <r>
    <s v="FV/POL/46635/2024"/>
    <s v="PZ/802531"/>
    <x v="0"/>
    <d v="2024-07-24T00:00:00"/>
    <s v="16551.54"/>
    <s v="Zaakceptowana"/>
    <s v="Faktura VAT"/>
    <s v="Apteka Szpitalna"/>
    <s v=""/>
    <b v="0"/>
    <n v="16551.54"/>
    <s v="OK"/>
    <x v="1"/>
    <x v="2"/>
    <s v="2024-07"/>
    <n v="1"/>
  </r>
  <r>
    <s v="FV/45/SAL/24"/>
    <s v="PZ/802532"/>
    <x v="1"/>
    <d v="2024-07-24T00:00:00"/>
    <s v="16734.63"/>
    <s v="Zaakceptowana"/>
    <s v="Faktura VAT"/>
    <s v="Apteka Szpitalna"/>
    <s v="UM-SAL-01"/>
    <b v="0"/>
    <n v="16734.63"/>
    <s v="OK"/>
    <x v="0"/>
    <x v="2"/>
    <s v="2024-07"/>
    <n v="1"/>
  </r>
  <r>
    <s v="FV/CENFA/836435/24"/>
    <s v="PZ/802533"/>
    <x v="4"/>
    <d v="2024-07-24T00:00:00"/>
    <s v="18584.04"/>
    <s v="Zaakceptowana"/>
    <s v="Faktura VAT"/>
    <s v="Apteka Szpitalna"/>
    <s v="UM-CEN-01"/>
    <b v="0"/>
    <n v="18584.04"/>
    <s v="OK"/>
    <x v="0"/>
    <x v="2"/>
    <s v="2024-07"/>
    <n v="1"/>
  </r>
  <r>
    <s v="FV/86721/VDb/2024"/>
    <s v="PZ/802534"/>
    <x v="7"/>
    <d v="2024-07-24T00:00:00"/>
    <s v="12113.34"/>
    <s v="Zaakceptowana"/>
    <s v="Faktura VAT"/>
    <s v="Apteka Szpitalna"/>
    <s v="UM-VIT-01"/>
    <b v="0"/>
    <n v="12113.34"/>
    <s v="OK"/>
    <x v="0"/>
    <x v="2"/>
    <s v="2024-07"/>
    <n v="1"/>
  </r>
  <r>
    <s v="FV/POL/15904/2024"/>
    <s v="PZ/802535"/>
    <x v="0"/>
    <d v="2024-07-24T00:00:00"/>
    <s v="16847.94"/>
    <s v="Zaakceptowana"/>
    <s v="Faktura VAT"/>
    <s v="Apteka Szpitalna"/>
    <s v="UM-POL-02"/>
    <b v="0"/>
    <n v="16847.939999999999"/>
    <s v="OK"/>
    <x v="0"/>
    <x v="2"/>
    <s v="2024-07"/>
    <n v="1"/>
  </r>
  <r>
    <s v="FV/63/SAL/24"/>
    <s v="PZ/802536"/>
    <x v="1"/>
    <d v="2024-07-25T00:00:00"/>
    <s v="18319.64"/>
    <s v="Zaakceptowana"/>
    <s v="Faktura VAT"/>
    <s v="Apteka Szpitalna"/>
    <s v="UM-SAL-02"/>
    <b v="0"/>
    <n v="18319.64"/>
    <s v="OK"/>
    <x v="0"/>
    <x v="2"/>
    <s v="2024-07"/>
    <n v="1"/>
  </r>
  <r>
    <s v="FV/36/SAL/24"/>
    <s v="PZ/802537"/>
    <x v="1"/>
    <d v="2024-07-25T00:00:00"/>
    <s v="11163.97"/>
    <s v="Zaakceptowana"/>
    <s v="Faktura VAT"/>
    <s v="Apteka Szpitalna"/>
    <s v="UM-SAL-02"/>
    <b v="0"/>
    <n v="11163.97"/>
    <s v="OK"/>
    <x v="0"/>
    <x v="2"/>
    <s v="2024-07"/>
    <n v="1"/>
  </r>
  <r>
    <s v="FV/2743/NOVA/24"/>
    <s v="PZ/802538"/>
    <x v="2"/>
    <d v="2024-07-25T00:00:00"/>
    <s v="18653.01"/>
    <s v="Zaakceptowana"/>
    <s v="Faktura VAT"/>
    <s v="Apteka Szpitalna"/>
    <s v="UM-NOV-02"/>
    <b v="0"/>
    <n v="18653.009999999998"/>
    <s v="OK"/>
    <x v="0"/>
    <x v="2"/>
    <s v="2024-07"/>
    <n v="1"/>
  </r>
  <r>
    <s v="FV/CENFA/603650/24"/>
    <s v="PZ/802539"/>
    <x v="4"/>
    <d v="2024-07-25T00:00:00"/>
    <s v="10055.59"/>
    <s v="Zaakceptowana"/>
    <s v="Faktura VAT"/>
    <s v="Apteka Szpitalna"/>
    <s v=""/>
    <b v="0"/>
    <n v="10055.59"/>
    <s v="OK"/>
    <x v="1"/>
    <x v="2"/>
    <s v="2024-07"/>
    <n v="1"/>
  </r>
  <r>
    <s v="FV/8086/NOVA/24"/>
    <s v="PZ/802540"/>
    <x v="2"/>
    <d v="2024-07-25T00:00:00"/>
    <s v="15300.73"/>
    <s v="Zaakceptowana"/>
    <s v="Faktura VAT"/>
    <s v="Apteka Szpitalna"/>
    <s v=""/>
    <b v="0"/>
    <n v="15300.73"/>
    <s v="OK"/>
    <x v="1"/>
    <x v="2"/>
    <s v="2024-07"/>
    <n v="1"/>
  </r>
  <r>
    <s v="FV/POL/29289/2024"/>
    <s v="PZ/802541"/>
    <x v="0"/>
    <d v="2024-07-25T00:00:00"/>
    <s v="9323.14"/>
    <s v="Zaakceptowana"/>
    <s v="Faktura VAT"/>
    <s v="Apteka Szpitalna"/>
    <s v="UM-POL-03"/>
    <b v="0"/>
    <n v="9323.14"/>
    <s v="OK"/>
    <x v="0"/>
    <x v="2"/>
    <s v="2024-07"/>
    <n v="1"/>
  </r>
  <r>
    <s v="FV/POL/73642/2024"/>
    <s v="PZ/802542"/>
    <x v="0"/>
    <d v="2024-07-26T00:00:00"/>
    <s v="17114.11"/>
    <s v="Zaakceptowana"/>
    <s v="Faktura VAT"/>
    <s v="Apteka Szpitalna"/>
    <s v="UM-POL-01"/>
    <b v="0"/>
    <n v="17114.11"/>
    <s v="OK"/>
    <x v="0"/>
    <x v="2"/>
    <s v="2024-07"/>
    <n v="1"/>
  </r>
  <r>
    <s v="FV/62801/VDb/2024"/>
    <s v="PZ/802543"/>
    <x v="7"/>
    <d v="2024-07-26T00:00:00"/>
    <s v="10197.98"/>
    <s v="Zaakceptowana"/>
    <s v="Faktura VAT"/>
    <s v="Apteka Szpitalna"/>
    <s v="UM-VIT-01"/>
    <b v="0"/>
    <n v="10197.98"/>
    <s v="OK"/>
    <x v="0"/>
    <x v="2"/>
    <s v="2024-07"/>
    <n v="1"/>
  </r>
  <r>
    <s v="FV/14091/VDb/2024"/>
    <s v="PZ/802544"/>
    <x v="7"/>
    <d v="2024-07-26T00:00:00"/>
    <s v="8943.8"/>
    <s v="Zaakceptowana"/>
    <s v="Faktura VAT"/>
    <s v="Apteka Szpitalna"/>
    <s v="UM-VIT-01"/>
    <b v="0"/>
    <n v="8943.7999999999993"/>
    <s v="OK"/>
    <x v="0"/>
    <x v="2"/>
    <s v="2024-07"/>
    <n v="1"/>
  </r>
  <r>
    <s v="FV/12493/VDb/2024"/>
    <s v="PZ/802545"/>
    <x v="7"/>
    <d v="2024-07-26T00:00:00"/>
    <s v="18768.64"/>
    <s v="Zaakceptowana"/>
    <s v="Faktura VAT"/>
    <s v="Apteka Szpitalna"/>
    <s v="UM-VIT-01"/>
    <b v="0"/>
    <n v="18768.64"/>
    <s v="OK"/>
    <x v="0"/>
    <x v="2"/>
    <s v="2024-07"/>
    <n v="1"/>
  </r>
  <r>
    <s v="FV/M/4471/P/24"/>
    <s v="PZ/802546"/>
    <x v="5"/>
    <d v="2024-07-27T00:00:00"/>
    <s v="18321.76"/>
    <s v="Zaakceptowana"/>
    <s v="Faktura VAT"/>
    <s v="Apteka Szpitalna"/>
    <s v="UM-MED-01"/>
    <b v="0"/>
    <n v="18321.759999999998"/>
    <s v="OK"/>
    <x v="0"/>
    <x v="2"/>
    <s v="2024-07"/>
    <n v="1"/>
  </r>
  <r>
    <s v="FV/M/8335/P/24"/>
    <s v="PZ/802547"/>
    <x v="5"/>
    <d v="2024-07-27T00:00:00"/>
    <s v="22652.66"/>
    <s v="Zaakceptowana"/>
    <s v="Faktura VAT"/>
    <s v="Apteka Szpitalna"/>
    <s v=""/>
    <b v="0"/>
    <n v="22652.66"/>
    <s v="OK"/>
    <x v="1"/>
    <x v="2"/>
    <s v="2024-07"/>
    <n v="1"/>
  </r>
  <r>
    <s v="FV/CENFA/671850/24"/>
    <s v="PZ/802548"/>
    <x v="4"/>
    <d v="2024-07-27T00:00:00"/>
    <s v="17940.63"/>
    <s v="Zaakceptowana"/>
    <s v="Faktura VAT"/>
    <s v="Apteka Szpitalna"/>
    <s v="UM-CEN-01"/>
    <b v="0"/>
    <n v="17940.63"/>
    <s v="OK"/>
    <x v="0"/>
    <x v="2"/>
    <s v="2024-07"/>
    <n v="1"/>
  </r>
  <r>
    <s v="FV/97818/VDb/2024"/>
    <s v="PZ/802549"/>
    <x v="7"/>
    <d v="2024-07-27T00:00:00"/>
    <s v="16666.27"/>
    <s v="Zaakceptowana"/>
    <s v="Faktura VAT"/>
    <s v="Apteka Szpitalna"/>
    <s v=""/>
    <b v="0"/>
    <n v="16666.27"/>
    <s v="OK"/>
    <x v="1"/>
    <x v="2"/>
    <s v="2024-07"/>
    <n v="1"/>
  </r>
  <r>
    <s v="FV/8721HM/24"/>
    <s v="PZ/802550"/>
    <x v="3"/>
    <d v="2024-07-28T00:00:00"/>
    <s v="23499.45"/>
    <s v="Zaakceptowana"/>
    <s v="Faktura VAT"/>
    <s v="Apteka Szpitalna"/>
    <s v="UM-HUR-01"/>
    <b v="0"/>
    <n v="23499.45"/>
    <s v="OK"/>
    <x v="0"/>
    <x v="2"/>
    <s v="2024-07"/>
    <n v="1"/>
  </r>
  <r>
    <s v="FV/CENFA/881478/24"/>
    <s v="PZ/802551"/>
    <x v="4"/>
    <d v="2024-07-28T00:00:00"/>
    <s v="15781.43"/>
    <s v="Zaakceptowana"/>
    <s v="Faktura VAT"/>
    <s v="Apteka Szpitalna"/>
    <s v="UM-CEN-01"/>
    <b v="0"/>
    <n v="15781.43"/>
    <s v="OK"/>
    <x v="0"/>
    <x v="2"/>
    <s v="2024-07"/>
    <n v="1"/>
  </r>
  <r>
    <s v="FV/POL/45318/2024"/>
    <s v="PZ/802552"/>
    <x v="0"/>
    <d v="2024-07-28T00:00:00"/>
    <s v="7508.52"/>
    <s v="Zaakceptowana"/>
    <s v="Faktura VAT"/>
    <s v="Apteka Szpitalna"/>
    <s v="UM-POL-02"/>
    <b v="0"/>
    <n v="7508.52"/>
    <s v="OK"/>
    <x v="0"/>
    <x v="2"/>
    <s v="2024-07"/>
    <n v="1"/>
  </r>
  <r>
    <s v="FV/6688HM/24"/>
    <s v="PZ/802553"/>
    <x v="3"/>
    <d v="2024-07-29T00:00:00"/>
    <s v="17005.55"/>
    <s v="Zaakceptowana"/>
    <s v="Faktura VAT"/>
    <s v="Apteka Szpitalna"/>
    <s v="UM-HUR-01"/>
    <b v="0"/>
    <n v="17005.55"/>
    <s v="OK"/>
    <x v="0"/>
    <x v="2"/>
    <s v="2024-07"/>
    <n v="1"/>
  </r>
  <r>
    <s v="FV/5012HM/24"/>
    <s v="PZ/802554"/>
    <x v="3"/>
    <d v="2024-07-29T00:00:00"/>
    <s v="8229.96"/>
    <s v="Zaakceptowana"/>
    <s v="Faktura VAT"/>
    <s v="Apteka Szpitalna"/>
    <s v="UM-HUR-03"/>
    <b v="0"/>
    <n v="8229.9599999999991"/>
    <s v="OK"/>
    <x v="0"/>
    <x v="2"/>
    <s v="2024-07"/>
    <n v="1"/>
  </r>
  <r>
    <s v="FV/POL/28749/2024"/>
    <s v="PZ/802555"/>
    <x v="0"/>
    <d v="2024-07-29T00:00:00"/>
    <s v="12971.81"/>
    <s v="Zaakceptowana"/>
    <s v="Faktura VAT"/>
    <s v="Apteka Szpitalna"/>
    <s v="UM-POL-02"/>
    <b v="0"/>
    <n v="12971.81"/>
    <s v="OK"/>
    <x v="0"/>
    <x v="2"/>
    <s v="2024-07"/>
    <n v="1"/>
  </r>
  <r>
    <s v="FV/28491/VDb/2024"/>
    <s v="PZ/802556"/>
    <x v="7"/>
    <d v="2024-07-29T00:00:00"/>
    <s v="11790.82"/>
    <s v="Zaakceptowana"/>
    <s v="Faktura VAT"/>
    <s v="Apteka Szpitalna"/>
    <s v="UM-VIT-01"/>
    <b v="0"/>
    <n v="11790.82"/>
    <s v="OK"/>
    <x v="0"/>
    <x v="2"/>
    <s v="2024-07"/>
    <n v="1"/>
  </r>
  <r>
    <s v="FV/54/SAL/24"/>
    <s v="PZ/802557"/>
    <x v="1"/>
    <d v="2024-07-29T00:00:00"/>
    <s v="2858.36"/>
    <s v="Zaakceptowana"/>
    <s v="Faktura VAT"/>
    <s v="Apteka Szpitalna"/>
    <s v=""/>
    <b v="0"/>
    <n v="2858.36"/>
    <s v="OK"/>
    <x v="1"/>
    <x v="2"/>
    <s v="2024-07"/>
    <n v="1"/>
  </r>
  <r>
    <s v="FV/CENFA/291167/24"/>
    <s v="PZ/802558"/>
    <x v="4"/>
    <d v="2024-07-29T00:00:00"/>
    <s v="17731.85"/>
    <s v="Zaakceptowana"/>
    <s v="Faktura VAT"/>
    <s v="Apteka Szpitalna"/>
    <s v="UM-CEN-01"/>
    <b v="0"/>
    <n v="17731.849999999999"/>
    <s v="OK"/>
    <x v="0"/>
    <x v="2"/>
    <s v="2024-07"/>
    <n v="1"/>
  </r>
  <r>
    <s v="FV/74/SAL/24"/>
    <s v="PZ/802559"/>
    <x v="1"/>
    <d v="2024-07-30T00:00:00"/>
    <s v="19398.95"/>
    <s v="Zaakceptowana"/>
    <s v="Faktura VAT"/>
    <s v="Apteka Szpitalna"/>
    <s v="UM-SAL-01"/>
    <b v="0"/>
    <n v="19398.95"/>
    <s v="OK"/>
    <x v="0"/>
    <x v="2"/>
    <s v="2024-07"/>
    <n v="1"/>
  </r>
  <r>
    <s v="FV/82299/VDb/2024"/>
    <s v="PZ/802560"/>
    <x v="7"/>
    <d v="2024-07-30T00:00:00"/>
    <s v="17971.67"/>
    <s v="Zaakceptowana"/>
    <s v="Faktura VAT"/>
    <s v="Apteka Szpitalna"/>
    <s v="UM-VIT-01"/>
    <b v="0"/>
    <n v="17971.669999999998"/>
    <s v="OK"/>
    <x v="0"/>
    <x v="2"/>
    <s v="2024-07"/>
    <n v="1"/>
  </r>
  <r>
    <s v="FV/44/SAL/24"/>
    <s v="PZ/802561"/>
    <x v="1"/>
    <d v="2024-07-30T00:00:00"/>
    <s v="15689.73"/>
    <s v="Zaakceptowana"/>
    <s v="Faktura VAT"/>
    <s v="Apteka Szpitalna"/>
    <s v="UM-SAL-01"/>
    <b v="0"/>
    <n v="15689.73"/>
    <s v="OK"/>
    <x v="0"/>
    <x v="2"/>
    <s v="2024-07"/>
    <n v="1"/>
  </r>
  <r>
    <s v="FV/M/7274/P/24"/>
    <s v="PZ/802562"/>
    <x v="5"/>
    <d v="2024-07-31T00:00:00"/>
    <s v="22105.5"/>
    <s v="Zaakceptowana"/>
    <s v="Faktura VAT"/>
    <s v="Apteka Szpitalna"/>
    <s v="UM-MED-02"/>
    <b v="0"/>
    <n v="22105.5"/>
    <s v="OK"/>
    <x v="0"/>
    <x v="2"/>
    <s v="2024-07"/>
    <n v="1"/>
  </r>
  <r>
    <s v="FV/65/SAL/24"/>
    <s v="PZ/802563"/>
    <x v="1"/>
    <d v="2024-07-31T00:00:00"/>
    <s v="14074.51"/>
    <s v="Zaakceptowana"/>
    <s v="Faktura VAT"/>
    <s v="Apteka Szpitalna"/>
    <s v="UM-SAL-01"/>
    <b v="0"/>
    <n v="14074.51"/>
    <s v="OK"/>
    <x v="0"/>
    <x v="2"/>
    <s v="2024-07"/>
    <n v="1"/>
  </r>
  <r>
    <s v="FV/POL/14356/2024"/>
    <s v="PZ/802564"/>
    <x v="0"/>
    <d v="2024-07-31T00:00:00"/>
    <s v="10201.48"/>
    <s v="Zaakceptowana"/>
    <s v="Faktura VAT"/>
    <s v="Apteka Szpitalna"/>
    <s v="UM-POL-03"/>
    <b v="0"/>
    <n v="10201.48"/>
    <s v="OK"/>
    <x v="0"/>
    <x v="2"/>
    <s v="2024-07"/>
    <n v="1"/>
  </r>
  <r>
    <s v="FV/41/SAL/24"/>
    <s v="PZ/802565"/>
    <x v="1"/>
    <d v="2024-08-01T00:00:00"/>
    <s v="13298.45"/>
    <s v="Zaakceptowana"/>
    <s v="Faktura VAT"/>
    <s v="Apteka Szpitalna"/>
    <s v="UM-SAL-02"/>
    <b v="0"/>
    <n v="13298.45"/>
    <s v="OK"/>
    <x v="0"/>
    <x v="2"/>
    <s v="2024-08"/>
    <n v="1"/>
  </r>
  <r>
    <s v="FV/97/SAL/24"/>
    <s v="PZ/802566"/>
    <x v="1"/>
    <d v="2024-08-02T00:00:00"/>
    <s v="9665.27"/>
    <s v="Zaakceptowana"/>
    <s v="Faktura VAT"/>
    <s v="Apteka Szpitalna"/>
    <s v="UM-SAL-02"/>
    <b v="0"/>
    <n v="9665.27"/>
    <s v="OK"/>
    <x v="0"/>
    <x v="2"/>
    <s v="2024-08"/>
    <n v="1"/>
  </r>
  <r>
    <s v="FV/48874/VDb/2024"/>
    <s v="PZ/802567"/>
    <x v="7"/>
    <d v="2024-08-02T00:00:00"/>
    <s v="24753.53"/>
    <s v="Zaakceptowana"/>
    <s v="Faktura VAT"/>
    <s v="Apteka Szpitalna"/>
    <s v="UM-VIT-01"/>
    <b v="0"/>
    <n v="24753.53"/>
    <s v="OK"/>
    <x v="0"/>
    <x v="2"/>
    <s v="2024-08"/>
    <n v="1"/>
  </r>
  <r>
    <s v="FV/POL/25929/2024"/>
    <s v="PZ/802568"/>
    <x v="0"/>
    <d v="2024-08-02T00:00:00"/>
    <s v="24667.41"/>
    <s v="Zaakceptowana"/>
    <s v="Faktura VAT"/>
    <s v="Apteka Szpitalna"/>
    <s v="UM-POL-02"/>
    <b v="0"/>
    <n v="24667.41"/>
    <s v="OK"/>
    <x v="0"/>
    <x v="2"/>
    <s v="2024-08"/>
    <n v="1"/>
  </r>
  <r>
    <s v="FV/42533/VDb/2024"/>
    <s v="PZ/802569"/>
    <x v="7"/>
    <d v="2024-08-03T00:00:00"/>
    <s v="16553.17"/>
    <s v="Zaakceptowana"/>
    <s v="Faktura VAT"/>
    <s v="Apteka Szpitalna"/>
    <s v="UM-VIT-01"/>
    <b v="0"/>
    <n v="16553.169999999998"/>
    <s v="OK"/>
    <x v="0"/>
    <x v="2"/>
    <s v="2024-08"/>
    <n v="1"/>
  </r>
  <r>
    <s v="FV/8443HM/24"/>
    <s v="PZ/802570"/>
    <x v="3"/>
    <d v="2024-08-04T00:00:00"/>
    <s v="17247.42"/>
    <s v="Zaakceptowana"/>
    <s v="Faktura VAT"/>
    <s v="Apteka Szpitalna"/>
    <s v="UM-HUR-01"/>
    <b v="0"/>
    <n v="17247.419999999998"/>
    <s v="OK"/>
    <x v="0"/>
    <x v="2"/>
    <s v="2024-08"/>
    <n v="1"/>
  </r>
  <r>
    <s v="FV/POL/40343/2024"/>
    <s v="PZ/802571"/>
    <x v="0"/>
    <d v="2024-08-04T00:00:00"/>
    <s v="12383.42"/>
    <s v="Zaakceptowana"/>
    <s v="Faktura VAT"/>
    <s v="Apteka Szpitalna"/>
    <s v="UM-POL-01"/>
    <b v="0"/>
    <n v="12383.42"/>
    <s v="OK"/>
    <x v="0"/>
    <x v="2"/>
    <s v="2024-08"/>
    <n v="1"/>
  </r>
  <r>
    <s v="FV/38/PP/9149/24"/>
    <s v="PZ/802572"/>
    <x v="6"/>
    <d v="2024-08-04T00:00:00"/>
    <s v="12826.65"/>
    <s v="Zaakceptowana"/>
    <s v="Faktura VAT"/>
    <s v="Apteka Szpitalna"/>
    <s v="UM-PHA-02"/>
    <b v="0"/>
    <n v="12826.65"/>
    <s v="OK"/>
    <x v="0"/>
    <x v="2"/>
    <s v="2024-08"/>
    <n v="1"/>
  </r>
  <r>
    <s v="FV/79/SAL/24"/>
    <s v="PZ/802573"/>
    <x v="1"/>
    <d v="2024-08-04T00:00:00"/>
    <s v="13751.73"/>
    <s v="Zaakceptowana"/>
    <s v="Faktura VAT"/>
    <s v="Apteka Szpitalna"/>
    <s v="UM-SAL-02"/>
    <b v="0"/>
    <n v="13751.73"/>
    <s v="OK"/>
    <x v="0"/>
    <x v="2"/>
    <s v="2024-08"/>
    <n v="1"/>
  </r>
  <r>
    <s v="FV/M/7101/P/24"/>
    <s v="PZ/802574"/>
    <x v="5"/>
    <d v="2024-08-05T00:00:00"/>
    <s v="7027.48"/>
    <s v="Zaakceptowana"/>
    <s v="Faktura VAT"/>
    <s v="Apteka Szpitalna"/>
    <s v="UM-MED-01"/>
    <b v="0"/>
    <n v="7027.48"/>
    <s v="OK"/>
    <x v="0"/>
    <x v="2"/>
    <s v="2024-08"/>
    <n v="1"/>
  </r>
  <r>
    <s v="FV/27/PP/1949/24"/>
    <s v="PZ/802575"/>
    <x v="6"/>
    <d v="2024-08-06T00:00:00"/>
    <s v="8590.42"/>
    <s v="Zaakceptowana"/>
    <s v="Faktura VAT"/>
    <s v="Apteka Szpitalna"/>
    <s v="UM-PHA-02"/>
    <b v="0"/>
    <n v="8590.42"/>
    <s v="OK"/>
    <x v="0"/>
    <x v="2"/>
    <s v="2024-08"/>
    <n v="1"/>
  </r>
  <r>
    <s v="FV/POL/32294/2024"/>
    <s v="PZ/802576"/>
    <x v="0"/>
    <d v="2024-08-06T00:00:00"/>
    <s v="14396.54"/>
    <s v="Zaakceptowana"/>
    <s v="Faktura VAT"/>
    <s v="Apteka Szpitalna"/>
    <s v="UM-POL-03"/>
    <b v="0"/>
    <n v="14396.54"/>
    <s v="OK"/>
    <x v="0"/>
    <x v="2"/>
    <s v="2024-08"/>
    <n v="1"/>
  </r>
  <r>
    <s v="FV/CENFA/339768/24"/>
    <s v="PZ/802577"/>
    <x v="4"/>
    <d v="2024-08-06T00:00:00"/>
    <s v="12365.66"/>
    <s v="Zaakceptowana"/>
    <s v="Faktura VAT"/>
    <s v="Apteka Szpitalna"/>
    <s v="UM-CEN-02"/>
    <b v="0"/>
    <n v="12365.66"/>
    <s v="OK"/>
    <x v="0"/>
    <x v="2"/>
    <s v="2024-08"/>
    <n v="1"/>
  </r>
  <r>
    <s v="FV/CENFA/221568/24"/>
    <s v="PZ/802578"/>
    <x v="4"/>
    <d v="2024-08-06T00:00:00"/>
    <s v="7520.78"/>
    <s v="Zaakceptowana"/>
    <s v="Faktura VAT"/>
    <s v="Apteka Szpitalna"/>
    <s v="UM-CEN-02"/>
    <b v="0"/>
    <n v="7520.78"/>
    <s v="OK"/>
    <x v="0"/>
    <x v="2"/>
    <s v="2024-08"/>
    <n v="1"/>
  </r>
  <r>
    <s v="FV/7567/NOVA/24"/>
    <s v="PZ/802579"/>
    <x v="2"/>
    <d v="2024-08-06T00:00:00"/>
    <s v="13956.68"/>
    <s v="Zaakceptowana"/>
    <s v="Faktura VAT"/>
    <s v="Apteka Szpitalna"/>
    <s v="UM-NOV-02"/>
    <b v="0"/>
    <n v="13956.68"/>
    <s v="OK"/>
    <x v="0"/>
    <x v="2"/>
    <s v="2024-08"/>
    <n v="1"/>
  </r>
  <r>
    <s v="FV/50774/VDb/2024"/>
    <s v="PZ/802580"/>
    <x v="7"/>
    <d v="2024-08-06T00:00:00"/>
    <s v="23663.7"/>
    <s v="Zaakceptowana"/>
    <s v="Faktura VAT"/>
    <s v="Apteka Szpitalna"/>
    <s v="UM-VIT-01"/>
    <b v="0"/>
    <n v="23663.7"/>
    <s v="OK"/>
    <x v="0"/>
    <x v="2"/>
    <s v="2024-08"/>
    <n v="1"/>
  </r>
  <r>
    <s v="FV/7852HM/24"/>
    <s v="PZ/802581"/>
    <x v="3"/>
    <d v="2024-08-06T00:00:00"/>
    <s v="13042.69"/>
    <s v="Zaakceptowana"/>
    <s v="Faktura VAT"/>
    <s v="Apteka Szpitalna"/>
    <s v="UM-HUR-02"/>
    <b v="0"/>
    <n v="13042.69"/>
    <s v="OK"/>
    <x v="0"/>
    <x v="2"/>
    <s v="2024-08"/>
    <n v="1"/>
  </r>
  <r>
    <s v="FV/POL/23267/2024"/>
    <s v="PZ/802582"/>
    <x v="0"/>
    <d v="2024-08-07T00:00:00"/>
    <s v="12327.9"/>
    <s v="Zaakceptowana"/>
    <s v="Faktura VAT"/>
    <s v="Apteka Szpitalna"/>
    <s v="UM-POL-02"/>
    <b v="0"/>
    <n v="12327.9"/>
    <s v="OK"/>
    <x v="0"/>
    <x v="2"/>
    <s v="2024-08"/>
    <n v="1"/>
  </r>
  <r>
    <s v="FV/CENFA/220318/24"/>
    <s v="PZ/802583"/>
    <x v="4"/>
    <d v="2024-08-07T00:00:00"/>
    <s v="8937.49"/>
    <s v="Zaakceptowana"/>
    <s v="Faktura VAT"/>
    <s v="Apteka Szpitalna"/>
    <s v="UM-CEN-02"/>
    <b v="0"/>
    <n v="8937.49"/>
    <s v="OK"/>
    <x v="0"/>
    <x v="2"/>
    <s v="2024-08"/>
    <n v="1"/>
  </r>
  <r>
    <s v="FV/82250/VDb/2024"/>
    <s v="PZ/802584"/>
    <x v="7"/>
    <d v="2024-08-07T00:00:00"/>
    <s v="25716.26"/>
    <s v="Zaakceptowana"/>
    <s v="Faktura VAT"/>
    <s v="Apteka Szpitalna"/>
    <s v=""/>
    <b v="0"/>
    <n v="25716.26"/>
    <s v="OK"/>
    <x v="1"/>
    <x v="2"/>
    <s v="2024-08"/>
    <n v="1"/>
  </r>
  <r>
    <s v="FV/2878/NOVA/24"/>
    <s v="PZ/802585"/>
    <x v="2"/>
    <d v="2024-08-07T00:00:00"/>
    <s v="7340.21"/>
    <s v="Zaakceptowana"/>
    <s v="Faktura VAT"/>
    <s v="Apteka Szpitalna"/>
    <s v="UM-NOV-02"/>
    <b v="0"/>
    <n v="7340.21"/>
    <s v="OK"/>
    <x v="0"/>
    <x v="2"/>
    <s v="2024-08"/>
    <n v="1"/>
  </r>
  <r>
    <s v="FV/52477/VDb/2024"/>
    <s v="PZ/802586"/>
    <x v="7"/>
    <d v="2024-08-07T00:00:00"/>
    <s v="12575.46"/>
    <s v="Zaakceptowana"/>
    <s v="Faktura VAT"/>
    <s v="Apteka Szpitalna"/>
    <s v="UM-VIT-01"/>
    <b v="0"/>
    <n v="12575.46"/>
    <s v="OK"/>
    <x v="0"/>
    <x v="2"/>
    <s v="2024-08"/>
    <n v="1"/>
  </r>
  <r>
    <s v="FV/3373/NOVA/24"/>
    <s v="PZ/802587"/>
    <x v="2"/>
    <d v="2024-08-07T00:00:00"/>
    <s v="18579.24"/>
    <s v="Zaakceptowana"/>
    <s v="Faktura VAT"/>
    <s v="Apteka Szpitalna"/>
    <s v="UM-NOV-03"/>
    <b v="0"/>
    <n v="18579.240000000002"/>
    <s v="OK"/>
    <x v="0"/>
    <x v="2"/>
    <s v="2024-08"/>
    <n v="1"/>
  </r>
  <r>
    <s v="FV/CENFA/529364/24"/>
    <s v="PZ/802588"/>
    <x v="4"/>
    <d v="2024-08-07T00:00:00"/>
    <s v="11368.6"/>
    <s v="Zaakceptowana"/>
    <s v="Faktura VAT"/>
    <s v="Apteka Szpitalna"/>
    <s v=""/>
    <b v="0"/>
    <n v="11368.6"/>
    <s v="OK"/>
    <x v="1"/>
    <x v="2"/>
    <s v="2024-08"/>
    <n v="1"/>
  </r>
  <r>
    <s v="FV/6846HM/24"/>
    <s v="PZ/802589"/>
    <x v="3"/>
    <d v="2024-08-08T00:00:00"/>
    <s v="13829.29"/>
    <s v="Zaakceptowana"/>
    <s v="Faktura VAT"/>
    <s v="Apteka Szpitalna"/>
    <s v="UM-HUR-01"/>
    <b v="0"/>
    <n v="13829.29"/>
    <s v="OK"/>
    <x v="0"/>
    <x v="2"/>
    <s v="2024-08"/>
    <n v="1"/>
  </r>
  <r>
    <s v="FV/8603/NOVA/24"/>
    <s v="PZ/802590"/>
    <x v="2"/>
    <d v="2024-08-08T00:00:00"/>
    <s v="18448.11"/>
    <s v="Zaakceptowana"/>
    <s v="Faktura VAT"/>
    <s v="Apteka Szpitalna"/>
    <s v=""/>
    <b v="0"/>
    <n v="18448.11"/>
    <s v="OK"/>
    <x v="1"/>
    <x v="2"/>
    <s v="2024-08"/>
    <n v="1"/>
  </r>
  <r>
    <s v="FV/M/3766/P/24"/>
    <s v="PZ/802591"/>
    <x v="5"/>
    <d v="2024-08-08T00:00:00"/>
    <s v="20364.57"/>
    <s v="Zaakceptowana"/>
    <s v="Faktura VAT"/>
    <s v="Apteka Szpitalna"/>
    <s v="UM-MED-02"/>
    <b v="0"/>
    <n v="20364.57"/>
    <s v="OK"/>
    <x v="0"/>
    <x v="2"/>
    <s v="2024-08"/>
    <n v="1"/>
  </r>
  <r>
    <s v="FV/5256/NOVA/24"/>
    <s v="PZ/802592"/>
    <x v="2"/>
    <d v="2024-08-08T00:00:00"/>
    <s v="15920.04"/>
    <s v="Zaakceptowana"/>
    <s v="Faktura VAT"/>
    <s v="Apteka Szpitalna"/>
    <s v="UM-NOV-03"/>
    <b v="0"/>
    <n v="15920.04"/>
    <s v="OK"/>
    <x v="0"/>
    <x v="2"/>
    <s v="2024-08"/>
    <n v="1"/>
  </r>
  <r>
    <s v="FV/99873/VDb/2024"/>
    <s v="PZ/802593"/>
    <x v="7"/>
    <d v="2024-08-08T00:00:00"/>
    <s v="21176.23"/>
    <s v="Zaakceptowana"/>
    <s v="Faktura VAT"/>
    <s v="Apteka Szpitalna"/>
    <s v="UM-VIT-01"/>
    <b v="0"/>
    <n v="21176.23"/>
    <s v="OK"/>
    <x v="0"/>
    <x v="2"/>
    <s v="2024-08"/>
    <n v="1"/>
  </r>
  <r>
    <s v="FV/5025HM/24"/>
    <s v="PZ/802594"/>
    <x v="3"/>
    <d v="2024-08-08T00:00:00"/>
    <s v="9879.75"/>
    <s v="Zaakceptowana"/>
    <s v="Faktura VAT"/>
    <s v="Apteka Szpitalna"/>
    <s v="UM-HUR-02"/>
    <b v="0"/>
    <n v="9879.75"/>
    <s v="OK"/>
    <x v="0"/>
    <x v="2"/>
    <s v="2024-08"/>
    <n v="1"/>
  </r>
  <r>
    <s v="FV/47/PP/1318/24"/>
    <s v="PZ/802595"/>
    <x v="6"/>
    <d v="2024-08-09T00:00:00"/>
    <s v="17908.97"/>
    <s v="Zaakceptowana"/>
    <s v="Faktura VAT"/>
    <s v="Apteka Szpitalna"/>
    <s v=""/>
    <b v="0"/>
    <n v="17908.97"/>
    <s v="OK"/>
    <x v="1"/>
    <x v="2"/>
    <s v="2024-08"/>
    <n v="1"/>
  </r>
  <r>
    <s v="FV/CENFA/264927/24"/>
    <s v="PZ/802596"/>
    <x v="4"/>
    <d v="2024-08-10T00:00:00"/>
    <s v="15454.43"/>
    <s v="Zaakceptowana"/>
    <s v="Faktura VAT"/>
    <s v="Apteka Szpitalna"/>
    <s v="UM-CEN-01"/>
    <b v="0"/>
    <n v="15454.43"/>
    <s v="OK"/>
    <x v="0"/>
    <x v="2"/>
    <s v="2024-08"/>
    <n v="1"/>
  </r>
  <r>
    <s v="FV/84888/VDb/2024"/>
    <s v="PZ/802597"/>
    <x v="7"/>
    <d v="2024-08-10T00:00:00"/>
    <s v="12849.9"/>
    <s v="Zaakceptowana"/>
    <s v="Faktura VAT"/>
    <s v="Apteka Szpitalna"/>
    <s v="UM-VIT-01"/>
    <b v="0"/>
    <n v="12849.9"/>
    <s v="OK"/>
    <x v="0"/>
    <x v="2"/>
    <s v="2024-08"/>
    <n v="1"/>
  </r>
  <r>
    <s v="FV/26/SAL/24"/>
    <s v="PZ/802598"/>
    <x v="1"/>
    <d v="2024-08-10T00:00:00"/>
    <s v="13773.01"/>
    <s v="Zaakceptowana"/>
    <s v="Faktura VAT"/>
    <s v="Apteka Szpitalna"/>
    <s v="UM-SAL-02"/>
    <b v="0"/>
    <n v="13773.01"/>
    <s v="OK"/>
    <x v="0"/>
    <x v="2"/>
    <s v="2024-08"/>
    <n v="1"/>
  </r>
  <r>
    <s v="FV/M/3825/P/24"/>
    <s v="PZ/802599"/>
    <x v="5"/>
    <d v="2024-08-10T00:00:00"/>
    <s v="13933.46"/>
    <s v="Zaakceptowana"/>
    <s v="Faktura VAT"/>
    <s v="Apteka Szpitalna"/>
    <s v=""/>
    <b v="0"/>
    <n v="13933.46"/>
    <s v="OK"/>
    <x v="1"/>
    <x v="2"/>
    <s v="2024-08"/>
    <n v="1"/>
  </r>
  <r>
    <s v="FV/CENFA/589570/24"/>
    <s v="PZ/802600"/>
    <x v="4"/>
    <d v="2024-08-11T00:00:00"/>
    <s v="13387.5"/>
    <s v="Zaakceptowana"/>
    <s v="Faktura VAT"/>
    <s v="Apteka Szpitalna"/>
    <s v="UM-CEN-02"/>
    <b v="0"/>
    <n v="13387.5"/>
    <s v="OK"/>
    <x v="0"/>
    <x v="2"/>
    <s v="2024-08"/>
    <n v="1"/>
  </r>
  <r>
    <s v="FV/39/SAL/24"/>
    <s v="PZ/802601"/>
    <x v="1"/>
    <d v="2024-08-11T00:00:00"/>
    <s v="-1941.0"/>
    <s v="Zaakceptowana"/>
    <s v="Korekta FV"/>
    <s v="Apteka Szpitalna"/>
    <s v="UM-SAL-01"/>
    <b v="0"/>
    <n v="-1941"/>
    <s v="OK"/>
    <x v="0"/>
    <x v="2"/>
    <s v="2024-08"/>
    <n v="1"/>
  </r>
  <r>
    <s v="FV/CENFA/195246/24"/>
    <s v="PZ/802602"/>
    <x v="4"/>
    <d v="2024-08-12T00:00:00"/>
    <s v="11280.95"/>
    <s v="Zaakceptowana"/>
    <s v="Faktura VAT"/>
    <s v="Apteka Szpitalna"/>
    <s v="UM-CEN-02"/>
    <b v="0"/>
    <n v="11280.95"/>
    <s v="OK"/>
    <x v="0"/>
    <x v="2"/>
    <s v="2024-08"/>
    <n v="1"/>
  </r>
  <r>
    <s v="FV/6907/NOVA/24"/>
    <s v="PZ/802603"/>
    <x v="2"/>
    <d v="2024-08-12T00:00:00"/>
    <s v="14116.15"/>
    <s v="Zaakceptowana"/>
    <s v="Faktura VAT"/>
    <s v="Apteka Szpitalna"/>
    <s v="UM-NOV-03"/>
    <b v="0"/>
    <n v="14116.15"/>
    <s v="OK"/>
    <x v="0"/>
    <x v="2"/>
    <s v="2024-08"/>
    <n v="1"/>
  </r>
  <r>
    <s v="FV/78717/VDb/2024"/>
    <s v="PZ/802604"/>
    <x v="7"/>
    <d v="2024-08-13T00:00:00"/>
    <s v="12151.68"/>
    <s v="Zaakceptowana"/>
    <s v="Faktura VAT"/>
    <s v="Apteka Szpitalna"/>
    <s v="UM-VIT-01"/>
    <b v="0"/>
    <n v="12151.68"/>
    <s v="OK"/>
    <x v="0"/>
    <x v="2"/>
    <s v="2024-08"/>
    <n v="1"/>
  </r>
  <r>
    <s v="FV/CENFA/185076/24"/>
    <s v="PZ/802605"/>
    <x v="4"/>
    <d v="2024-08-13T00:00:00"/>
    <s v="22541.35"/>
    <s v="Zaakceptowana"/>
    <s v="Faktura VAT"/>
    <s v="Apteka Szpitalna"/>
    <s v="UM-CEN-02"/>
    <b v="0"/>
    <n v="22541.35"/>
    <s v="OK"/>
    <x v="0"/>
    <x v="2"/>
    <s v="2024-08"/>
    <n v="1"/>
  </r>
  <r>
    <s v="FV/7735HM/24"/>
    <s v="PZ/802606"/>
    <x v="3"/>
    <d v="2024-08-14T00:00:00"/>
    <s v="8763.02"/>
    <s v="Zaakceptowana"/>
    <s v="Faktura VAT"/>
    <s v="Apteka Szpitalna"/>
    <s v="UM-HUR-02"/>
    <b v="0"/>
    <n v="8763.02"/>
    <s v="OK"/>
    <x v="0"/>
    <x v="2"/>
    <s v="2024-08"/>
    <n v="1"/>
  </r>
  <r>
    <s v="FV/8534/NOVA/24"/>
    <s v="PZ/802607"/>
    <x v="2"/>
    <d v="2024-08-15T00:00:00"/>
    <s v="-1991.48"/>
    <s v="Zaakceptowana"/>
    <s v="Korekta FV"/>
    <s v="Apteka Szpitalna"/>
    <s v="UM-NOV-02"/>
    <b v="0"/>
    <n v="-1991.48"/>
    <s v="OK"/>
    <x v="0"/>
    <x v="2"/>
    <s v="2024-08"/>
    <n v="1"/>
  </r>
  <r>
    <s v="FV/M/8208/P/24"/>
    <s v="PZ/802608"/>
    <x v="5"/>
    <d v="2024-08-15T00:00:00"/>
    <s v="22035.58"/>
    <s v="Zaakceptowana"/>
    <s v="Faktura VAT"/>
    <s v="Apteka Szpitalna"/>
    <s v=""/>
    <b v="0"/>
    <n v="22035.58"/>
    <s v="OK"/>
    <x v="1"/>
    <x v="2"/>
    <s v="2024-08"/>
    <n v="1"/>
  </r>
  <r>
    <s v="FV/5776HM/24"/>
    <s v="PZ/802609"/>
    <x v="3"/>
    <d v="2024-08-15T00:00:00"/>
    <s v="17781.69"/>
    <s v="Zaakceptowana"/>
    <s v="Faktura VAT"/>
    <s v="Apteka Szpitalna"/>
    <s v="UM-HUR-03"/>
    <b v="0"/>
    <n v="17781.689999999999"/>
    <s v="OK"/>
    <x v="0"/>
    <x v="2"/>
    <s v="2024-08"/>
    <n v="1"/>
  </r>
  <r>
    <s v="FV/POL/31864/2024"/>
    <s v="PZ/802610"/>
    <x v="0"/>
    <d v="2024-08-15T00:00:00"/>
    <s v="14351.75"/>
    <s v="Zaakceptowana"/>
    <s v="Faktura VAT"/>
    <s v="Apteka Szpitalna"/>
    <s v="UM-POL-02"/>
    <b v="0"/>
    <n v="14351.75"/>
    <s v="OK"/>
    <x v="0"/>
    <x v="2"/>
    <s v="2024-08"/>
    <n v="1"/>
  </r>
  <r>
    <s v="FV/6355/NOVA/24"/>
    <s v="PZ/802611"/>
    <x v="2"/>
    <d v="2024-08-16T00:00:00"/>
    <s v="9194.39"/>
    <s v="Zaakceptowana"/>
    <s v="Faktura VAT"/>
    <s v="Apteka Szpitalna"/>
    <s v="UM-NOV-01"/>
    <b v="0"/>
    <n v="9194.39"/>
    <s v="OK"/>
    <x v="0"/>
    <x v="2"/>
    <s v="2024-08"/>
    <n v="1"/>
  </r>
  <r>
    <s v="FV/38/SAL/24"/>
    <s v="PZ/802612"/>
    <x v="1"/>
    <d v="2024-08-17T00:00:00"/>
    <s v="11005.1"/>
    <s v="Zaakceptowana"/>
    <s v="Faktura VAT"/>
    <s v="Apteka Szpitalna"/>
    <s v="UM-SAL-01"/>
    <b v="0"/>
    <n v="11005.1"/>
    <s v="OK"/>
    <x v="0"/>
    <x v="2"/>
    <s v="2024-08"/>
    <n v="1"/>
  </r>
  <r>
    <s v="FV/M/4917/P/24"/>
    <s v="PZ/802613"/>
    <x v="5"/>
    <d v="2024-08-17T00:00:00"/>
    <s v="15909.95"/>
    <s v="Zaakceptowana"/>
    <s v="Faktura VAT"/>
    <s v="Apteka Szpitalna"/>
    <s v="UM-MED-02"/>
    <b v="0"/>
    <n v="15909.95"/>
    <s v="OK"/>
    <x v="0"/>
    <x v="2"/>
    <s v="2024-08"/>
    <n v="1"/>
  </r>
  <r>
    <s v="FV/8553/NOVA/24"/>
    <s v="PZ/802614"/>
    <x v="2"/>
    <d v="2024-08-18T00:00:00"/>
    <s v="13357.45"/>
    <s v="Zaakceptowana"/>
    <s v="Faktura VAT"/>
    <s v="Apteka Szpitalna"/>
    <s v="UM-NOV-03"/>
    <b v="0"/>
    <n v="13357.45"/>
    <s v="OK"/>
    <x v="0"/>
    <x v="2"/>
    <s v="2024-08"/>
    <n v="1"/>
  </r>
  <r>
    <s v="FV/M/1370/P/24"/>
    <s v="PZ/802615"/>
    <x v="5"/>
    <d v="2024-08-19T00:00:00"/>
    <s v="-2349.32"/>
    <s v="Zaakceptowana"/>
    <s v="Korekta FV"/>
    <s v="Apteka Szpitalna"/>
    <s v="UM-MED-01"/>
    <b v="0"/>
    <n v="-2349.3200000000002"/>
    <s v="OK"/>
    <x v="0"/>
    <x v="2"/>
    <s v="2024-08"/>
    <n v="1"/>
  </r>
  <r>
    <s v="FV/M/3800/P/24"/>
    <s v="PZ/802616"/>
    <x v="5"/>
    <d v="2024-08-19T00:00:00"/>
    <s v="15374.65"/>
    <s v="Zaakceptowana"/>
    <s v="Faktura VAT"/>
    <s v="Apteka Szpitalna"/>
    <s v=""/>
    <b v="0"/>
    <n v="15374.65"/>
    <s v="OK"/>
    <x v="1"/>
    <x v="2"/>
    <s v="2024-08"/>
    <n v="1"/>
  </r>
  <r>
    <s v="FV/CENFA/682652/24"/>
    <s v="PZ/802617"/>
    <x v="4"/>
    <d v="2024-08-19T00:00:00"/>
    <s v="29053.19"/>
    <s v="Zaakceptowana"/>
    <s v="Faktura VAT"/>
    <s v="Apteka Szpitalna"/>
    <s v="UM-CEN-02"/>
    <b v="0"/>
    <n v="29053.19"/>
    <s v="OK"/>
    <x v="0"/>
    <x v="2"/>
    <s v="2024-08"/>
    <n v="1"/>
  </r>
  <r>
    <s v="FV/POL/76191/2024"/>
    <s v="PZ/802618"/>
    <x v="0"/>
    <d v="2024-08-19T00:00:00"/>
    <s v="13199.17"/>
    <s v="Zaakceptowana"/>
    <s v="Faktura VAT"/>
    <s v="Apteka Szpitalna"/>
    <s v=""/>
    <b v="0"/>
    <n v="13199.17"/>
    <s v="OK"/>
    <x v="1"/>
    <x v="2"/>
    <s v="2024-08"/>
    <n v="1"/>
  </r>
  <r>
    <s v="FV/9580/NOVA/24"/>
    <s v="PZ/802619"/>
    <x v="2"/>
    <d v="2024-08-19T00:00:00"/>
    <s v="7741.2"/>
    <s v="Zaakceptowana"/>
    <s v="Faktura VAT"/>
    <s v="Apteka Szpitalna"/>
    <s v="UM-NOV-02"/>
    <b v="0"/>
    <n v="7741.2"/>
    <s v="OK"/>
    <x v="0"/>
    <x v="2"/>
    <s v="2024-08"/>
    <n v="1"/>
  </r>
  <r>
    <s v="FV/6099/NOVA/24"/>
    <s v="PZ/802620"/>
    <x v="2"/>
    <d v="2024-08-20T00:00:00"/>
    <s v="15574.08"/>
    <s v="Zaakceptowana"/>
    <s v="Faktura VAT"/>
    <s v="Apteka Szpitalna"/>
    <s v="UM-NOV-01"/>
    <b v="0"/>
    <n v="15574.08"/>
    <s v="OK"/>
    <x v="0"/>
    <x v="2"/>
    <s v="2024-08"/>
    <n v="1"/>
  </r>
  <r>
    <s v="FV/14/PP/7080/24"/>
    <s v="PZ/802621"/>
    <x v="6"/>
    <d v="2024-08-20T00:00:00"/>
    <s v="12359.72"/>
    <s v="Zaakceptowana"/>
    <s v="Faktura VAT"/>
    <s v="Apteka Szpitalna"/>
    <s v=""/>
    <b v="0"/>
    <n v="12359.72"/>
    <s v="OK"/>
    <x v="1"/>
    <x v="2"/>
    <s v="2024-08"/>
    <n v="1"/>
  </r>
  <r>
    <s v="FV/CENFA/750209/24"/>
    <s v="PZ/802622"/>
    <x v="4"/>
    <d v="2024-08-20T00:00:00"/>
    <s v="-2057.33"/>
    <s v="Zaakceptowana"/>
    <s v="Korekta FV"/>
    <s v="Apteka Szpitalna"/>
    <s v="UM-CEN-01"/>
    <b v="0"/>
    <n v="-2057.33"/>
    <s v="OK"/>
    <x v="0"/>
    <x v="2"/>
    <s v="2024-08"/>
    <n v="1"/>
  </r>
  <r>
    <s v="FV/POL/27593/2024"/>
    <s v="PZ/802623"/>
    <x v="0"/>
    <d v="2024-08-20T00:00:00"/>
    <s v="26079.87"/>
    <s v="Zaakceptowana"/>
    <s v="Faktura VAT"/>
    <s v="Apteka Szpitalna"/>
    <s v="UM-POL-01"/>
    <b v="0"/>
    <n v="26079.87"/>
    <s v="OK"/>
    <x v="0"/>
    <x v="2"/>
    <s v="2024-08"/>
    <n v="1"/>
  </r>
  <r>
    <s v="FV/6953/NOVA/24"/>
    <s v="PZ/802624"/>
    <x v="2"/>
    <d v="2024-08-20T00:00:00"/>
    <s v="16536.37"/>
    <s v="Zaakceptowana"/>
    <s v="Faktura VAT"/>
    <s v="Apteka Szpitalna"/>
    <s v=""/>
    <b v="0"/>
    <n v="16536.37"/>
    <s v="OK"/>
    <x v="1"/>
    <x v="2"/>
    <s v="2024-08"/>
    <n v="1"/>
  </r>
  <r>
    <s v="FV/7212HM/24"/>
    <s v="PZ/802625"/>
    <x v="3"/>
    <d v="2024-08-21T00:00:00"/>
    <s v="13390.45"/>
    <s v="Zaakceptowana"/>
    <s v="Faktura VAT"/>
    <s v="Apteka Szpitalna"/>
    <s v="UM-HUR-01"/>
    <b v="0"/>
    <n v="13390.45"/>
    <s v="OK"/>
    <x v="0"/>
    <x v="2"/>
    <s v="2024-08"/>
    <n v="1"/>
  </r>
  <r>
    <s v="FV/46/PP/1367/24"/>
    <s v="PZ/802626"/>
    <x v="6"/>
    <d v="2024-08-22T00:00:00"/>
    <s v="8702.75"/>
    <s v="Zaakceptowana"/>
    <s v="Faktura VAT"/>
    <s v="Apteka Szpitalna"/>
    <s v="UM-PHA-01"/>
    <b v="0"/>
    <n v="8702.75"/>
    <s v="OK"/>
    <x v="0"/>
    <x v="2"/>
    <s v="2024-08"/>
    <n v="1"/>
  </r>
  <r>
    <s v="FV/CENFA/618943/24"/>
    <s v="PZ/802627"/>
    <x v="4"/>
    <d v="2024-08-22T00:00:00"/>
    <s v="15072.67"/>
    <s v="Zaakceptowana"/>
    <s v="Faktura VAT"/>
    <s v="Apteka Szpitalna"/>
    <s v="UM-CEN-02"/>
    <b v="0"/>
    <n v="15072.67"/>
    <s v="OK"/>
    <x v="0"/>
    <x v="2"/>
    <s v="2024-08"/>
    <n v="1"/>
  </r>
  <r>
    <s v="FV/CENFA/933866/24"/>
    <s v="PZ/802628"/>
    <x v="4"/>
    <d v="2024-08-24T00:00:00"/>
    <s v="11782.7"/>
    <s v="Zaakceptowana"/>
    <s v="Faktura VAT"/>
    <s v="Apteka Szpitalna"/>
    <s v="UM-CEN-02"/>
    <b v="0"/>
    <n v="11782.7"/>
    <s v="OK"/>
    <x v="0"/>
    <x v="2"/>
    <s v="2024-08"/>
    <n v="1"/>
  </r>
  <r>
    <s v="FV/99/PP/2191/24"/>
    <s v="PZ/802629"/>
    <x v="6"/>
    <d v="2024-08-25T00:00:00"/>
    <s v="2389.57"/>
    <s v="Zaakceptowana"/>
    <s v="Faktura VAT"/>
    <s v="Apteka Szpitalna"/>
    <s v="UM-PHA-01"/>
    <b v="0"/>
    <n v="2389.5700000000002"/>
    <s v="OK"/>
    <x v="0"/>
    <x v="2"/>
    <s v="2024-08"/>
    <n v="1"/>
  </r>
  <r>
    <s v="FV/21/PP/7318/24"/>
    <s v="PZ/802630"/>
    <x v="6"/>
    <d v="2024-08-25T00:00:00"/>
    <s v="22490.2"/>
    <s v="Zaakceptowana"/>
    <s v="Faktura VAT"/>
    <s v="Apteka Szpitalna"/>
    <s v=""/>
    <b v="0"/>
    <n v="22490.2"/>
    <s v="OK"/>
    <x v="1"/>
    <x v="2"/>
    <s v="2024-08"/>
    <n v="1"/>
  </r>
  <r>
    <s v="FV/8564/NOVA/24"/>
    <s v="PZ/802631"/>
    <x v="2"/>
    <d v="2024-08-26T00:00:00"/>
    <s v="6307.58"/>
    <s v="Zaakceptowana"/>
    <s v="Faktura VAT"/>
    <s v="Apteka Szpitalna"/>
    <s v="UM-NOV-01"/>
    <b v="0"/>
    <n v="6307.58"/>
    <s v="OK"/>
    <x v="0"/>
    <x v="2"/>
    <s v="2024-08"/>
    <n v="1"/>
  </r>
  <r>
    <s v="FV/CENFA/894039/24"/>
    <s v="PZ/802632"/>
    <x v="4"/>
    <d v="2024-08-26T00:00:00"/>
    <s v="17957.74"/>
    <s v="Zaakceptowana"/>
    <s v="Faktura VAT"/>
    <s v="Apteka Szpitalna"/>
    <s v="UM-CEN-02"/>
    <b v="0"/>
    <n v="17957.740000000002"/>
    <s v="OK"/>
    <x v="0"/>
    <x v="2"/>
    <s v="2024-08"/>
    <n v="1"/>
  </r>
  <r>
    <s v="FV/98/PP/9086/24"/>
    <s v="PZ/802633"/>
    <x v="6"/>
    <d v="2024-08-26T00:00:00"/>
    <s v="6130.7"/>
    <s v="Zaakceptowana"/>
    <s v="Faktura VAT"/>
    <s v="Apteka Szpitalna"/>
    <s v="UM-PHA-02"/>
    <b v="0"/>
    <n v="6130.7"/>
    <s v="OK"/>
    <x v="0"/>
    <x v="2"/>
    <s v="2024-08"/>
    <n v="1"/>
  </r>
  <r>
    <s v="FV/M/9325/P/24"/>
    <s v="PZ/802634"/>
    <x v="5"/>
    <d v="2024-08-26T00:00:00"/>
    <s v="15407.19"/>
    <s v="Zaakceptowana"/>
    <s v="Faktura VAT"/>
    <s v="Apteka Szpitalna"/>
    <s v="UM-MED-01"/>
    <b v="0"/>
    <n v="15407.19"/>
    <s v="OK"/>
    <x v="0"/>
    <x v="2"/>
    <s v="2024-08"/>
    <n v="1"/>
  </r>
  <r>
    <s v="FV/54505/VDb/2024"/>
    <s v="PZ/802635"/>
    <x v="7"/>
    <d v="2024-08-26T00:00:00"/>
    <s v="23522.64"/>
    <s v="Zaakceptowana"/>
    <s v="Faktura VAT"/>
    <s v="Apteka Szpitalna"/>
    <s v="UM-VIT-01"/>
    <b v="0"/>
    <n v="23522.639999999999"/>
    <s v="OK"/>
    <x v="0"/>
    <x v="2"/>
    <s v="2024-08"/>
    <n v="1"/>
  </r>
  <r>
    <s v="FV/3502/NOVA/24"/>
    <s v="PZ/802636"/>
    <x v="2"/>
    <d v="2024-08-27T00:00:00"/>
    <s v="7721.52"/>
    <s v="Zaakceptowana"/>
    <s v="Faktura VAT"/>
    <s v="Apteka Szpitalna"/>
    <s v="UM-NOV-03"/>
    <b v="0"/>
    <n v="7721.52"/>
    <s v="OK"/>
    <x v="0"/>
    <x v="2"/>
    <s v="2024-08"/>
    <n v="1"/>
  </r>
  <r>
    <s v="FV/42122/VDb/2024"/>
    <s v="PZ/802637"/>
    <x v="7"/>
    <d v="2024-08-27T00:00:00"/>
    <s v="11990.22"/>
    <s v="Zaakceptowana"/>
    <s v="Faktura VAT"/>
    <s v="Apteka Szpitalna"/>
    <s v="UM-VIT-01"/>
    <b v="0"/>
    <n v="11990.22"/>
    <s v="OK"/>
    <x v="0"/>
    <x v="2"/>
    <s v="2024-08"/>
    <n v="1"/>
  </r>
  <r>
    <s v="FV/2580HM/24"/>
    <s v="PZ/802638"/>
    <x v="3"/>
    <d v="2024-08-27T00:00:00"/>
    <s v="19120.0"/>
    <s v="Zaakceptowana"/>
    <s v="Faktura VAT"/>
    <s v="Apteka Szpitalna"/>
    <s v="UM-HUR-02"/>
    <b v="0"/>
    <n v="19120"/>
    <s v="OK"/>
    <x v="0"/>
    <x v="2"/>
    <s v="2024-08"/>
    <n v="1"/>
  </r>
  <r>
    <s v="FV/70/PP/3193/24"/>
    <s v="PZ/802639"/>
    <x v="6"/>
    <d v="2024-08-27T00:00:00"/>
    <s v="14561.76"/>
    <s v="Zaakceptowana"/>
    <s v="Faktura VAT"/>
    <s v="Apteka Szpitalna"/>
    <s v="UM-PHA-01"/>
    <b v="0"/>
    <n v="14561.76"/>
    <s v="OK"/>
    <x v="0"/>
    <x v="2"/>
    <s v="2024-08"/>
    <n v="1"/>
  </r>
  <r>
    <s v="FV/44/SAL/24"/>
    <s v="PZ/802640"/>
    <x v="1"/>
    <d v="2024-08-27T00:00:00"/>
    <s v="12143.45"/>
    <s v="Zaakceptowana"/>
    <s v="Faktura VAT"/>
    <s v="Apteka Szpitalna"/>
    <s v=""/>
    <b v="0"/>
    <n v="12143.45"/>
    <s v="OK"/>
    <x v="1"/>
    <x v="2"/>
    <s v="2024-08"/>
    <n v="1"/>
  </r>
  <r>
    <s v="FV/57087/VDb/2024"/>
    <s v="PZ/802641"/>
    <x v="7"/>
    <d v="2024-08-28T00:00:00"/>
    <s v="-531.41"/>
    <s v="Zaakceptowana"/>
    <s v="Korekta FV"/>
    <s v="Apteka Szpitalna"/>
    <s v="UM-VIT-01"/>
    <b v="0"/>
    <n v="-531.41"/>
    <s v="OK"/>
    <x v="0"/>
    <x v="2"/>
    <s v="2024-08"/>
    <n v="1"/>
  </r>
  <r>
    <s v="FV/37/SAL/24"/>
    <s v="PZ/802642"/>
    <x v="1"/>
    <d v="2024-08-30T00:00:00"/>
    <s v="12802.53"/>
    <s v="Zaakceptowana"/>
    <s v="Faktura VAT"/>
    <s v="Apteka Szpitalna"/>
    <s v="UM-SAL-01"/>
    <b v="0"/>
    <n v="12802.53"/>
    <s v="OK"/>
    <x v="0"/>
    <x v="2"/>
    <s v="2024-08"/>
    <n v="1"/>
  </r>
  <r>
    <s v="FV/M/1355/P/24"/>
    <s v="PZ/802643"/>
    <x v="5"/>
    <d v="2024-08-30T00:00:00"/>
    <s v="13190.01"/>
    <s v="Zaakceptowana"/>
    <s v="Faktura VAT"/>
    <s v="Apteka Szpitalna"/>
    <s v="UM-MED-02"/>
    <b v="0"/>
    <n v="13190.01"/>
    <s v="OK"/>
    <x v="0"/>
    <x v="2"/>
    <s v="2024-08"/>
    <n v="1"/>
  </r>
  <r>
    <s v="FV/CENFA/511081/24"/>
    <s v="PZ/802644"/>
    <x v="4"/>
    <d v="2024-08-30T00:00:00"/>
    <s v="21467.84"/>
    <s v="Zaakceptowana"/>
    <s v="Faktura VAT"/>
    <s v="Apteka Szpitalna"/>
    <s v="UM-CEN-01"/>
    <b v="0"/>
    <n v="21467.84"/>
    <s v="OK"/>
    <x v="0"/>
    <x v="2"/>
    <s v="2024-08"/>
    <n v="1"/>
  </r>
  <r>
    <s v="FV/M/2550/P/24"/>
    <s v="PZ/802645"/>
    <x v="5"/>
    <d v="2024-08-31T00:00:00"/>
    <s v="20818.69"/>
    <s v="Zaakceptowana"/>
    <s v="Faktura VAT"/>
    <s v="Apteka Szpitalna"/>
    <s v=""/>
    <b v="0"/>
    <n v="20818.689999999999"/>
    <s v="OK"/>
    <x v="1"/>
    <x v="2"/>
    <s v="2024-08"/>
    <n v="1"/>
  </r>
  <r>
    <s v="FV/42/PP/7812/24"/>
    <s v="PZ/802646"/>
    <x v="6"/>
    <d v="2024-08-31T00:00:00"/>
    <s v="21989.52"/>
    <s v="Zaakceptowana"/>
    <s v="Faktura VAT"/>
    <s v="Apteka Szpitalna"/>
    <s v="UM-PHA-02"/>
    <b v="0"/>
    <n v="21989.52"/>
    <s v="OK"/>
    <x v="0"/>
    <x v="2"/>
    <s v="2024-08"/>
    <n v="1"/>
  </r>
  <r>
    <s v="FV/M/3261/P/24"/>
    <s v="PZ/802647"/>
    <x v="5"/>
    <d v="2024-08-31T00:00:00"/>
    <s v="11048.66"/>
    <s v="Zaakceptowana"/>
    <s v="Faktura VAT"/>
    <s v="Apteka Szpitalna"/>
    <s v="UM-MED-01"/>
    <b v="0"/>
    <n v="11048.66"/>
    <s v="OK"/>
    <x v="0"/>
    <x v="2"/>
    <s v="2024-08"/>
    <n v="1"/>
  </r>
  <r>
    <s v="FV/M/4753/P/24"/>
    <s v="PZ/802648"/>
    <x v="5"/>
    <d v="2024-09-01T00:00:00"/>
    <s v="19978.45"/>
    <s v="Zaakceptowana"/>
    <s v="Faktura VAT"/>
    <s v="Apteka Szpitalna"/>
    <s v="UM-MED-02"/>
    <b v="0"/>
    <n v="19978.45"/>
    <s v="OK"/>
    <x v="0"/>
    <x v="2"/>
    <s v="2024-09"/>
    <n v="1"/>
  </r>
  <r>
    <s v="FV/1871/NOVA/24"/>
    <s v="PZ/802649"/>
    <x v="2"/>
    <d v="2024-09-02T00:00:00"/>
    <s v="12593.34"/>
    <s v="Zaakceptowana"/>
    <s v="Faktura VAT"/>
    <s v="Apteka Szpitalna"/>
    <s v="UM-NOV-03"/>
    <b v="0"/>
    <n v="12593.34"/>
    <s v="OK"/>
    <x v="0"/>
    <x v="2"/>
    <s v="2024-09"/>
    <n v="1"/>
  </r>
  <r>
    <s v="FV/9387HM/24"/>
    <s v="PZ/802650"/>
    <x v="3"/>
    <d v="2024-09-02T00:00:00"/>
    <s v="8504.32"/>
    <s v="Zaakceptowana"/>
    <s v="Faktura VAT"/>
    <s v="Apteka Szpitalna"/>
    <s v="UM-HUR-03"/>
    <b v="0"/>
    <n v="8504.32"/>
    <s v="OK"/>
    <x v="0"/>
    <x v="2"/>
    <s v="2024-09"/>
    <n v="1"/>
  </r>
  <r>
    <s v="FV/52/PP/1179/24"/>
    <s v="PZ/802651"/>
    <x v="6"/>
    <d v="2024-09-02T00:00:00"/>
    <s v="17811.71"/>
    <s v="Zaakceptowana"/>
    <s v="Faktura VAT"/>
    <s v="Apteka Szpitalna"/>
    <s v=""/>
    <b v="0"/>
    <n v="17811.71"/>
    <s v="OK"/>
    <x v="1"/>
    <x v="2"/>
    <s v="2024-09"/>
    <n v="1"/>
  </r>
  <r>
    <s v="FV/POL/53023/2024"/>
    <s v="PZ/802652"/>
    <x v="0"/>
    <d v="2024-09-03T00:00:00"/>
    <s v="19846.0"/>
    <s v="Zaakceptowana"/>
    <s v="Faktura VAT"/>
    <s v="Apteka Szpitalna"/>
    <s v=""/>
    <b v="0"/>
    <n v="19846"/>
    <s v="OK"/>
    <x v="1"/>
    <x v="2"/>
    <s v="2024-09"/>
    <n v="1"/>
  </r>
  <r>
    <s v="FV/CENFA/340582/24"/>
    <s v="PZ/802653"/>
    <x v="4"/>
    <d v="2024-09-03T00:00:00"/>
    <s v="19891.84"/>
    <s v="Zaakceptowana"/>
    <s v="Faktura VAT"/>
    <s v="Apteka Szpitalna"/>
    <s v="UM-CEN-02"/>
    <b v="0"/>
    <n v="19891.84"/>
    <s v="OK"/>
    <x v="0"/>
    <x v="2"/>
    <s v="2024-09"/>
    <n v="1"/>
  </r>
  <r>
    <s v="FV/48342/VDb/2024"/>
    <s v="PZ/802654"/>
    <x v="7"/>
    <d v="2024-09-03T00:00:00"/>
    <s v="13955.7"/>
    <s v="Zaakceptowana"/>
    <s v="Faktura VAT"/>
    <s v="Apteka Szpitalna"/>
    <s v="UM-VIT-01"/>
    <b v="0"/>
    <n v="13955.7"/>
    <s v="OK"/>
    <x v="0"/>
    <x v="2"/>
    <s v="2024-09"/>
    <n v="1"/>
  </r>
  <r>
    <s v="FV/POL/36520/2024"/>
    <s v="PZ/802655"/>
    <x v="0"/>
    <d v="2024-09-03T00:00:00"/>
    <s v="9910.48"/>
    <s v="Zaakceptowana"/>
    <s v="Faktura VAT"/>
    <s v="Apteka Szpitalna"/>
    <s v="UM-POL-02"/>
    <b v="0"/>
    <n v="9910.48"/>
    <s v="OK"/>
    <x v="0"/>
    <x v="2"/>
    <s v="2024-09"/>
    <n v="1"/>
  </r>
  <r>
    <s v="FV/59666/VDb/2024"/>
    <s v="PZ/802656"/>
    <x v="7"/>
    <d v="2024-09-04T00:00:00"/>
    <s v="14364.61"/>
    <s v="Zaakceptowana"/>
    <s v="Faktura VAT"/>
    <s v="Apteka Szpitalna"/>
    <s v="UM-VIT-01"/>
    <b v="0"/>
    <n v="14364.61"/>
    <s v="OK"/>
    <x v="0"/>
    <x v="2"/>
    <s v="2024-09"/>
    <n v="1"/>
  </r>
  <r>
    <s v="FV/73752/VDb/2024"/>
    <s v="PZ/802657"/>
    <x v="7"/>
    <d v="2024-09-05T00:00:00"/>
    <s v="15060.52"/>
    <s v="Zaakceptowana"/>
    <s v="Faktura VAT"/>
    <s v="Apteka Szpitalna"/>
    <s v=""/>
    <b v="0"/>
    <n v="15060.52"/>
    <s v="OK"/>
    <x v="1"/>
    <x v="2"/>
    <s v="2024-09"/>
    <n v="1"/>
  </r>
  <r>
    <s v="FV/POL/38903/2024"/>
    <s v="PZ/802658"/>
    <x v="0"/>
    <d v="2024-09-05T00:00:00"/>
    <s v="16519.39"/>
    <s v="Zaakceptowana"/>
    <s v="Faktura VAT"/>
    <s v="Apteka Szpitalna"/>
    <s v=""/>
    <b v="0"/>
    <n v="16519.39"/>
    <s v="OK"/>
    <x v="1"/>
    <x v="2"/>
    <s v="2024-09"/>
    <n v="1"/>
  </r>
  <r>
    <s v="FV/39/SAL/24"/>
    <s v="PZ/802659"/>
    <x v="1"/>
    <d v="2024-09-05T00:00:00"/>
    <s v="18955.07"/>
    <s v="Zaakceptowana"/>
    <s v="Faktura VAT"/>
    <s v="Apteka Szpitalna"/>
    <s v=""/>
    <b v="0"/>
    <n v="18955.07"/>
    <s v="OK"/>
    <x v="1"/>
    <x v="2"/>
    <s v="2024-09"/>
    <n v="1"/>
  </r>
  <r>
    <s v="FV/6674/NOVA/24"/>
    <s v="PZ/802660"/>
    <x v="2"/>
    <d v="2024-09-05T00:00:00"/>
    <s v="-2176.09"/>
    <s v="Zaakceptowana"/>
    <s v="Korekta FV"/>
    <s v="Apteka Szpitalna"/>
    <s v="UM-NOV-01"/>
    <b v="0"/>
    <n v="-2176.09"/>
    <s v="OK"/>
    <x v="0"/>
    <x v="2"/>
    <s v="2024-09"/>
    <n v="1"/>
  </r>
  <r>
    <s v="FV/25/SAL/24"/>
    <s v="PZ/802661"/>
    <x v="1"/>
    <d v="2024-09-06T00:00:00"/>
    <s v="21816.63"/>
    <s v="Zaakceptowana"/>
    <s v="Faktura VAT"/>
    <s v="Apteka Szpitalna"/>
    <s v="UM-SAL-02"/>
    <b v="0"/>
    <n v="21816.63"/>
    <s v="OK"/>
    <x v="0"/>
    <x v="2"/>
    <s v="2024-09"/>
    <n v="1"/>
  </r>
  <r>
    <s v="FV/CENFA/342271/24"/>
    <s v="PZ/802662"/>
    <x v="4"/>
    <d v="2024-09-06T00:00:00"/>
    <s v="12438.47"/>
    <s v="Zaakceptowana"/>
    <s v="Faktura VAT"/>
    <s v="Apteka Szpitalna"/>
    <s v="UM-CEN-02"/>
    <b v="0"/>
    <n v="12438.47"/>
    <s v="OK"/>
    <x v="0"/>
    <x v="2"/>
    <s v="2024-09"/>
    <n v="1"/>
  </r>
  <r>
    <s v="FV/5613/NOVA/24"/>
    <s v="PZ/802663"/>
    <x v="2"/>
    <d v="2024-09-07T00:00:00"/>
    <s v="9931.26"/>
    <s v="Zaakceptowana"/>
    <s v="Faktura VAT"/>
    <s v="Apteka Szpitalna"/>
    <s v="UM-NOV-03"/>
    <b v="0"/>
    <n v="9931.26"/>
    <s v="OK"/>
    <x v="0"/>
    <x v="2"/>
    <s v="2024-09"/>
    <n v="1"/>
  </r>
  <r>
    <s v="FV/1082/NOVA/24"/>
    <s v="PZ/802664"/>
    <x v="2"/>
    <d v="2024-09-07T00:00:00"/>
    <s v="16588.61"/>
    <s v="Zaakceptowana"/>
    <s v="Faktura VAT"/>
    <s v="Apteka Szpitalna"/>
    <s v="UM-NOV-03"/>
    <b v="0"/>
    <n v="16588.61"/>
    <s v="OK"/>
    <x v="0"/>
    <x v="2"/>
    <s v="2024-09"/>
    <n v="1"/>
  </r>
  <r>
    <s v="FV/CENFA/468170/24"/>
    <s v="PZ/802665"/>
    <x v="4"/>
    <d v="2024-09-07T00:00:00"/>
    <s v="10006.77"/>
    <s v="Zaakceptowana"/>
    <s v="Faktura VAT"/>
    <s v="Apteka Szpitalna"/>
    <s v="UM-CEN-01"/>
    <b v="0"/>
    <n v="10006.77"/>
    <s v="OK"/>
    <x v="0"/>
    <x v="2"/>
    <s v="2024-09"/>
    <n v="1"/>
  </r>
  <r>
    <s v="FV/75/SAL/24"/>
    <s v="PZ/802666"/>
    <x v="1"/>
    <d v="2024-09-07T00:00:00"/>
    <s v="18739.87"/>
    <s v="Zaakceptowana"/>
    <s v="Faktura VAT"/>
    <s v="Apteka Szpitalna"/>
    <s v="UM-SAL-01"/>
    <b v="0"/>
    <n v="18739.87"/>
    <s v="OK"/>
    <x v="0"/>
    <x v="2"/>
    <s v="2024-09"/>
    <n v="1"/>
  </r>
  <r>
    <s v="FV/POL/15532/2024"/>
    <s v="PZ/802667"/>
    <x v="0"/>
    <d v="2024-09-07T00:00:00"/>
    <s v="12508.95"/>
    <s v="Zaakceptowana"/>
    <s v="Faktura VAT"/>
    <s v="Apteka Szpitalna"/>
    <s v="UM-POL-01"/>
    <b v="0"/>
    <n v="12508.95"/>
    <s v="OK"/>
    <x v="0"/>
    <x v="2"/>
    <s v="2024-09"/>
    <n v="1"/>
  </r>
  <r>
    <s v="FV/7991HM/24"/>
    <s v="PZ/802668"/>
    <x v="3"/>
    <d v="2024-09-08T00:00:00"/>
    <s v="13324.49"/>
    <s v="Zaakceptowana"/>
    <s v="Faktura VAT"/>
    <s v="Apteka Szpitalna"/>
    <s v="UM-HUR-03"/>
    <b v="0"/>
    <n v="13324.49"/>
    <s v="OK"/>
    <x v="0"/>
    <x v="2"/>
    <s v="2024-09"/>
    <n v="1"/>
  </r>
  <r>
    <s v="FV/47508/VDb/2024"/>
    <s v="PZ/802669"/>
    <x v="7"/>
    <d v="2024-09-08T00:00:00"/>
    <s v="6970.35"/>
    <s v="Zaakceptowana"/>
    <s v="Faktura VAT"/>
    <s v="Apteka Szpitalna"/>
    <s v="UM-VIT-01"/>
    <b v="0"/>
    <n v="6970.35"/>
    <s v="OK"/>
    <x v="0"/>
    <x v="2"/>
    <s v="2024-09"/>
    <n v="1"/>
  </r>
  <r>
    <s v="FV/63834/VDb/2024"/>
    <s v="PZ/802670"/>
    <x v="7"/>
    <d v="2024-09-08T00:00:00"/>
    <s v="16859.51"/>
    <s v="Zaakceptowana"/>
    <s v="Faktura VAT"/>
    <s v="Apteka Szpitalna"/>
    <s v="UM-VIT-01"/>
    <b v="0"/>
    <n v="16859.509999999998"/>
    <s v="OK"/>
    <x v="0"/>
    <x v="2"/>
    <s v="2024-09"/>
    <n v="1"/>
  </r>
  <r>
    <s v="FV/M/2348/P/24"/>
    <s v="PZ/802671"/>
    <x v="5"/>
    <d v="2024-09-08T00:00:00"/>
    <s v="16679.68"/>
    <s v="Zaakceptowana"/>
    <s v="Faktura VAT"/>
    <s v="Apteka Szpitalna"/>
    <s v="UM-MED-01"/>
    <b v="0"/>
    <n v="16679.68"/>
    <s v="OK"/>
    <x v="0"/>
    <x v="2"/>
    <s v="2024-09"/>
    <n v="1"/>
  </r>
  <r>
    <s v="FV/48/PP/7736/24"/>
    <s v="PZ/802672"/>
    <x v="6"/>
    <d v="2024-09-08T00:00:00"/>
    <s v="-1356.8"/>
    <s v="Zaakceptowana"/>
    <s v="Korekta FV"/>
    <s v="Apteka Szpitalna"/>
    <s v="UM-PHA-02"/>
    <b v="0"/>
    <n v="-1356.8"/>
    <s v="OK"/>
    <x v="0"/>
    <x v="2"/>
    <s v="2024-09"/>
    <n v="1"/>
  </r>
  <r>
    <s v="FV/POL/35201/2024"/>
    <s v="PZ/802673"/>
    <x v="0"/>
    <d v="2024-09-09T00:00:00"/>
    <s v="14032.97"/>
    <s v="Zaakceptowana"/>
    <s v="Faktura VAT"/>
    <s v="Apteka Szpitalna"/>
    <s v="UM-POL-02"/>
    <b v="0"/>
    <n v="14032.97"/>
    <s v="OK"/>
    <x v="0"/>
    <x v="2"/>
    <s v="2024-09"/>
    <n v="1"/>
  </r>
  <r>
    <s v="FV/M/3299/P/24"/>
    <s v="PZ/802674"/>
    <x v="5"/>
    <d v="2024-09-10T00:00:00"/>
    <s v="16430.98"/>
    <s v="Zaakceptowana"/>
    <s v="Faktura VAT"/>
    <s v="Apteka Szpitalna"/>
    <s v="UM-MED-02"/>
    <b v="0"/>
    <n v="16430.98"/>
    <s v="OK"/>
    <x v="0"/>
    <x v="2"/>
    <s v="2024-09"/>
    <n v="1"/>
  </r>
  <r>
    <s v="FV/POL/36357/2024"/>
    <s v="PZ/802675"/>
    <x v="0"/>
    <d v="2024-09-10T00:00:00"/>
    <s v="13166.5"/>
    <s v="Zaakceptowana"/>
    <s v="Faktura VAT"/>
    <s v="Apteka Szpitalna"/>
    <s v="UM-POL-02"/>
    <b v="0"/>
    <n v="13166.5"/>
    <s v="OK"/>
    <x v="0"/>
    <x v="2"/>
    <s v="2024-09"/>
    <n v="1"/>
  </r>
  <r>
    <s v="FV/CENFA/288241/24"/>
    <s v="PZ/802676"/>
    <x v="4"/>
    <d v="2024-09-10T00:00:00"/>
    <s v="12627.59"/>
    <s v="Zaakceptowana"/>
    <s v="Faktura VAT"/>
    <s v="Apteka Szpitalna"/>
    <s v=""/>
    <b v="0"/>
    <n v="12627.59"/>
    <s v="OK"/>
    <x v="1"/>
    <x v="2"/>
    <s v="2024-09"/>
    <n v="1"/>
  </r>
  <r>
    <s v="FV/44/SAL/24"/>
    <s v="PZ/802677"/>
    <x v="1"/>
    <d v="2024-09-10T00:00:00"/>
    <s v="8311.81"/>
    <s v="Zaakceptowana"/>
    <s v="Faktura VAT"/>
    <s v="Apteka Szpitalna"/>
    <s v="UM-SAL-01"/>
    <b v="0"/>
    <n v="8311.81"/>
    <s v="OK"/>
    <x v="0"/>
    <x v="2"/>
    <s v="2024-09"/>
    <n v="1"/>
  </r>
  <r>
    <s v="FV/25/PP/2664/24"/>
    <s v="PZ/802678"/>
    <x v="6"/>
    <d v="2024-09-11T00:00:00"/>
    <s v="6838.51"/>
    <s v="Zaakceptowana"/>
    <s v="Faktura VAT"/>
    <s v="Apteka Szpitalna"/>
    <s v="UM-PHA-02"/>
    <b v="0"/>
    <n v="6838.51"/>
    <s v="OK"/>
    <x v="0"/>
    <x v="2"/>
    <s v="2024-09"/>
    <n v="1"/>
  </r>
  <r>
    <s v="FV/94/SAL/24"/>
    <s v="PZ/802679"/>
    <x v="1"/>
    <d v="2024-09-12T00:00:00"/>
    <s v="12030.15"/>
    <s v="Zaakceptowana"/>
    <s v="Faktura VAT"/>
    <s v="Apteka Szpitalna"/>
    <s v="UM-SAL-01"/>
    <b v="0"/>
    <n v="12030.15"/>
    <s v="OK"/>
    <x v="0"/>
    <x v="2"/>
    <s v="2024-09"/>
    <n v="1"/>
  </r>
  <r>
    <s v="FV/51868/VDb/2024"/>
    <s v="PZ/802680"/>
    <x v="7"/>
    <d v="2024-09-12T00:00:00"/>
    <s v="11731.13"/>
    <s v="Zaakceptowana"/>
    <s v="Faktura VAT"/>
    <s v="Apteka Szpitalna"/>
    <s v=""/>
    <b v="0"/>
    <n v="11731.13"/>
    <s v="OK"/>
    <x v="1"/>
    <x v="2"/>
    <s v="2024-09"/>
    <n v="1"/>
  </r>
  <r>
    <s v="FV/37/SAL/24"/>
    <s v="PZ/802681"/>
    <x v="1"/>
    <d v="2024-09-12T00:00:00"/>
    <s v="9283.08"/>
    <s v="Zaakceptowana"/>
    <s v="Faktura VAT"/>
    <s v="Apteka Szpitalna"/>
    <s v=""/>
    <b v="0"/>
    <n v="9283.08"/>
    <s v="OK"/>
    <x v="1"/>
    <x v="2"/>
    <s v="2024-09"/>
    <n v="1"/>
  </r>
  <r>
    <s v="FV/M/1868/P/24"/>
    <s v="PZ/802682"/>
    <x v="5"/>
    <d v="2024-09-13T00:00:00"/>
    <s v="5817.99"/>
    <s v="Zaakceptowana"/>
    <s v="Faktura VAT"/>
    <s v="Apteka Szpitalna"/>
    <s v="UM-MED-01"/>
    <b v="0"/>
    <n v="5817.99"/>
    <s v="OK"/>
    <x v="0"/>
    <x v="2"/>
    <s v="2024-09"/>
    <n v="1"/>
  </r>
  <r>
    <s v="FV/POL/27775/2024"/>
    <s v="PZ/802683"/>
    <x v="0"/>
    <d v="2024-09-14T00:00:00"/>
    <s v="8795.01"/>
    <s v="Zaakceptowana"/>
    <s v="Faktura VAT"/>
    <s v="Apteka Szpitalna"/>
    <s v="UM-POL-02"/>
    <b v="0"/>
    <n v="8795.01"/>
    <s v="OK"/>
    <x v="0"/>
    <x v="2"/>
    <s v="2024-09"/>
    <n v="1"/>
  </r>
  <r>
    <s v="FV/76/PP/2361/24"/>
    <s v="PZ/802684"/>
    <x v="6"/>
    <d v="2024-09-15T00:00:00"/>
    <s v="15081.02"/>
    <s v="Zaakceptowana"/>
    <s v="Faktura VAT"/>
    <s v="Apteka Szpitalna"/>
    <s v="UM-PHA-01"/>
    <b v="0"/>
    <n v="15081.02"/>
    <s v="OK"/>
    <x v="0"/>
    <x v="2"/>
    <s v="2024-09"/>
    <n v="1"/>
  </r>
  <r>
    <s v="FV/POL/38994/2024"/>
    <s v="PZ/802685"/>
    <x v="0"/>
    <d v="2024-09-16T00:00:00"/>
    <s v="8741.28"/>
    <s v="Zaakceptowana"/>
    <s v="Faktura VAT"/>
    <s v="Apteka Szpitalna"/>
    <s v="UM-POL-02"/>
    <b v="0"/>
    <n v="8741.2800000000007"/>
    <s v="OK"/>
    <x v="0"/>
    <x v="2"/>
    <s v="2024-09"/>
    <n v="1"/>
  </r>
  <r>
    <s v="FV/67853/VDb/2024"/>
    <s v="PZ/802686"/>
    <x v="7"/>
    <d v="2024-09-17T00:00:00"/>
    <s v="17769.79"/>
    <s v="Zaakceptowana"/>
    <s v="Faktura VAT"/>
    <s v="Apteka Szpitalna"/>
    <s v="UM-VIT-01"/>
    <b v="0"/>
    <n v="17769.79"/>
    <s v="OK"/>
    <x v="0"/>
    <x v="2"/>
    <s v="2024-09"/>
    <n v="1"/>
  </r>
  <r>
    <s v="FV/CENFA/509078/24"/>
    <s v="PZ/802687"/>
    <x v="4"/>
    <d v="2024-09-17T00:00:00"/>
    <s v="18195.73"/>
    <s v="Zaakceptowana"/>
    <s v="Faktura VAT"/>
    <s v="Apteka Szpitalna"/>
    <s v="UM-CEN-01"/>
    <b v="0"/>
    <n v="18195.73"/>
    <s v="OK"/>
    <x v="0"/>
    <x v="2"/>
    <s v="2024-09"/>
    <n v="1"/>
  </r>
  <r>
    <s v="FV/4497/NOVA/24"/>
    <s v="PZ/802688"/>
    <x v="2"/>
    <d v="2024-09-18T00:00:00"/>
    <s v="11281.25"/>
    <s v="Zaakceptowana"/>
    <s v="Faktura VAT"/>
    <s v="Apteka Szpitalna"/>
    <s v="UM-NOV-01"/>
    <b v="0"/>
    <n v="11281.25"/>
    <s v="OK"/>
    <x v="0"/>
    <x v="2"/>
    <s v="2024-09"/>
    <n v="1"/>
  </r>
  <r>
    <s v="FV/POL/59251/2024"/>
    <s v="PZ/802689"/>
    <x v="0"/>
    <d v="2024-09-18T00:00:00"/>
    <s v="12428.67"/>
    <s v="Zaakceptowana"/>
    <s v="Faktura VAT"/>
    <s v="Apteka Szpitalna"/>
    <s v="UM-POL-03"/>
    <b v="0"/>
    <n v="12428.67"/>
    <s v="OK"/>
    <x v="0"/>
    <x v="2"/>
    <s v="2024-09"/>
    <n v="1"/>
  </r>
  <r>
    <s v="FV/1610/NOVA/24"/>
    <s v="PZ/802690"/>
    <x v="2"/>
    <d v="2024-09-18T00:00:00"/>
    <s v="21404.31"/>
    <s v="Zaakceptowana"/>
    <s v="Faktura VAT"/>
    <s v="Apteka Szpitalna"/>
    <s v="UM-NOV-02"/>
    <b v="0"/>
    <n v="21404.31"/>
    <s v="OK"/>
    <x v="0"/>
    <x v="2"/>
    <s v="2024-09"/>
    <n v="1"/>
  </r>
  <r>
    <s v="FV/84980/VDb/2024"/>
    <s v="PZ/802691"/>
    <x v="7"/>
    <d v="2024-09-18T00:00:00"/>
    <s v="20639.04"/>
    <s v="Zaakceptowana"/>
    <s v="Faktura VAT"/>
    <s v="Apteka Szpitalna"/>
    <s v="UM-VIT-01"/>
    <b v="0"/>
    <n v="20639.04"/>
    <s v="OK"/>
    <x v="0"/>
    <x v="2"/>
    <s v="2024-09"/>
    <n v="1"/>
  </r>
  <r>
    <s v="FV/41/PP/9404/24"/>
    <s v="PZ/802692"/>
    <x v="6"/>
    <d v="2024-09-18T00:00:00"/>
    <s v="9603.36"/>
    <s v="Zaakceptowana"/>
    <s v="Faktura VAT"/>
    <s v="Apteka Szpitalna"/>
    <s v="UM-PHA-01"/>
    <b v="0"/>
    <n v="9603.36"/>
    <s v="OK"/>
    <x v="0"/>
    <x v="2"/>
    <s v="2024-09"/>
    <n v="1"/>
  </r>
  <r>
    <s v="FV/24/SAL/24"/>
    <s v="PZ/802693"/>
    <x v="1"/>
    <d v="2024-09-19T00:00:00"/>
    <s v="14556.24"/>
    <s v="Zaakceptowana"/>
    <s v="Faktura VAT"/>
    <s v="Apteka Szpitalna"/>
    <s v="UM-SAL-01"/>
    <b v="0"/>
    <n v="14556.24"/>
    <s v="OK"/>
    <x v="0"/>
    <x v="2"/>
    <s v="2024-09"/>
    <n v="1"/>
  </r>
  <r>
    <s v="FV/M/4573/P/24"/>
    <s v="PZ/802694"/>
    <x v="5"/>
    <d v="2024-09-19T00:00:00"/>
    <s v="5712.42"/>
    <s v="Zaakceptowana"/>
    <s v="Faktura VAT"/>
    <s v="Apteka Szpitalna"/>
    <s v=""/>
    <b v="0"/>
    <n v="5712.42"/>
    <s v="OK"/>
    <x v="1"/>
    <x v="2"/>
    <s v="2024-09"/>
    <n v="1"/>
  </r>
  <r>
    <s v="FV/3879HM/24"/>
    <s v="PZ/802695"/>
    <x v="3"/>
    <d v="2024-09-19T00:00:00"/>
    <s v="8874.88"/>
    <s v="Zaakceptowana"/>
    <s v="Faktura VAT"/>
    <s v="Apteka Szpitalna"/>
    <s v=""/>
    <b v="0"/>
    <n v="8874.8799999999992"/>
    <s v="OK"/>
    <x v="1"/>
    <x v="2"/>
    <s v="2024-09"/>
    <n v="1"/>
  </r>
  <r>
    <s v="FV/73/SAL/24"/>
    <s v="PZ/802696"/>
    <x v="1"/>
    <d v="2024-09-20T00:00:00"/>
    <s v="26269.56"/>
    <s v="Zaakceptowana"/>
    <s v="Faktura VAT"/>
    <s v="Apteka Szpitalna"/>
    <s v="UM-SAL-02"/>
    <b v="0"/>
    <n v="26269.56"/>
    <s v="OK"/>
    <x v="0"/>
    <x v="2"/>
    <s v="2024-09"/>
    <n v="1"/>
  </r>
  <r>
    <s v="FV/8776HM/24"/>
    <s v="PZ/802697"/>
    <x v="3"/>
    <d v="2024-09-20T00:00:00"/>
    <s v="19985.67"/>
    <s v="Zaakceptowana"/>
    <s v="Faktura VAT"/>
    <s v="Apteka Szpitalna"/>
    <s v="UM-HUR-03"/>
    <b v="0"/>
    <n v="19985.669999999998"/>
    <s v="OK"/>
    <x v="0"/>
    <x v="2"/>
    <s v="2024-09"/>
    <n v="1"/>
  </r>
  <r>
    <s v="FV/5713/NOVA/24"/>
    <s v="PZ/802698"/>
    <x v="2"/>
    <d v="2024-09-20T00:00:00"/>
    <s v="14655.38"/>
    <s v="Zaakceptowana"/>
    <s v="Faktura VAT"/>
    <s v="Apteka Szpitalna"/>
    <s v="UM-NOV-02"/>
    <b v="0"/>
    <n v="14655.38"/>
    <s v="OK"/>
    <x v="0"/>
    <x v="2"/>
    <s v="2024-09"/>
    <n v="1"/>
  </r>
  <r>
    <s v="FV/CENFA/991976/24"/>
    <s v="PZ/802699"/>
    <x v="4"/>
    <d v="2024-09-20T00:00:00"/>
    <s v="16763.79"/>
    <s v="Zaakceptowana"/>
    <s v="Faktura VAT"/>
    <s v="Apteka Szpitalna"/>
    <s v="UM-CEN-01"/>
    <b v="0"/>
    <n v="16763.79"/>
    <s v="OK"/>
    <x v="0"/>
    <x v="2"/>
    <s v="2024-09"/>
    <n v="1"/>
  </r>
  <r>
    <s v="FV/45906/VDb/2024"/>
    <s v="PZ/802700"/>
    <x v="7"/>
    <d v="2024-09-21T00:00:00"/>
    <s v="8124.82"/>
    <s v="Zaakceptowana"/>
    <s v="Faktura VAT"/>
    <s v="Apteka Szpitalna"/>
    <s v="UM-VIT-01"/>
    <b v="0"/>
    <n v="8124.82"/>
    <s v="OK"/>
    <x v="0"/>
    <x v="2"/>
    <s v="2024-09"/>
    <n v="1"/>
  </r>
  <r>
    <s v="FV/POL/63734/2024"/>
    <s v="PZ/802701"/>
    <x v="0"/>
    <d v="2024-09-21T00:00:00"/>
    <s v="19922.43"/>
    <s v="Zaakceptowana"/>
    <s v="Faktura VAT"/>
    <s v="Apteka Szpitalna"/>
    <s v="UM-POL-01"/>
    <b v="0"/>
    <n v="19922.43"/>
    <s v="OK"/>
    <x v="0"/>
    <x v="2"/>
    <s v="2024-09"/>
    <n v="1"/>
  </r>
  <r>
    <s v="FV/96/PP/1881/24"/>
    <s v="PZ/802702"/>
    <x v="6"/>
    <d v="2024-09-21T00:00:00"/>
    <s v="21464.51"/>
    <s v="Zaakceptowana"/>
    <s v="Faktura VAT"/>
    <s v="Apteka Szpitalna"/>
    <s v="UM-PHA-01"/>
    <b v="0"/>
    <n v="21464.51"/>
    <s v="OK"/>
    <x v="0"/>
    <x v="2"/>
    <s v="2024-09"/>
    <n v="1"/>
  </r>
  <r>
    <s v="FV/79/PP/2394/24"/>
    <s v="PZ/802703"/>
    <x v="6"/>
    <d v="2024-09-21T00:00:00"/>
    <s v="23963.76"/>
    <s v="Zaakceptowana"/>
    <s v="Faktura VAT"/>
    <s v="Apteka Szpitalna"/>
    <s v="UM-PHA-02"/>
    <b v="0"/>
    <n v="23963.759999999998"/>
    <s v="OK"/>
    <x v="0"/>
    <x v="2"/>
    <s v="2024-09"/>
    <n v="1"/>
  </r>
  <r>
    <s v="FV/M/4804/P/24"/>
    <s v="PZ/802704"/>
    <x v="5"/>
    <d v="2024-09-21T00:00:00"/>
    <s v="18388.15"/>
    <s v="Zaakceptowana"/>
    <s v="Faktura VAT"/>
    <s v="Apteka Szpitalna"/>
    <s v="UM-MED-02"/>
    <b v="0"/>
    <n v="18388.150000000001"/>
    <s v="OK"/>
    <x v="0"/>
    <x v="2"/>
    <s v="2024-09"/>
    <n v="1"/>
  </r>
  <r>
    <s v="FV/20201/VDb/2024"/>
    <s v="PZ/802705"/>
    <x v="7"/>
    <d v="2024-09-22T00:00:00"/>
    <s v="18230.13"/>
    <s v="Zaakceptowana"/>
    <s v="Faktura VAT"/>
    <s v="Apteka Szpitalna"/>
    <s v=""/>
    <b v="0"/>
    <n v="18230.13"/>
    <s v="OK"/>
    <x v="1"/>
    <x v="2"/>
    <s v="2024-09"/>
    <n v="1"/>
  </r>
  <r>
    <s v="FV/78/SAL/24"/>
    <s v="PZ/802706"/>
    <x v="1"/>
    <d v="2024-09-22T00:00:00"/>
    <s v="9015.5"/>
    <s v="Zaakceptowana"/>
    <s v="Faktura VAT"/>
    <s v="Apteka Szpitalna"/>
    <s v=""/>
    <b v="0"/>
    <n v="9015.5"/>
    <s v="OK"/>
    <x v="1"/>
    <x v="2"/>
    <s v="2024-09"/>
    <n v="1"/>
  </r>
  <r>
    <s v="FV/8811HM/24"/>
    <s v="PZ/802707"/>
    <x v="3"/>
    <d v="2024-09-22T00:00:00"/>
    <s v="23810.64"/>
    <s v="Zaakceptowana"/>
    <s v="Faktura VAT"/>
    <s v="Apteka Szpitalna"/>
    <s v=""/>
    <b v="0"/>
    <n v="23810.639999999999"/>
    <s v="OK"/>
    <x v="1"/>
    <x v="2"/>
    <s v="2024-09"/>
    <n v="1"/>
  </r>
  <r>
    <s v="FV/POL/65472/2024"/>
    <s v="PZ/802708"/>
    <x v="0"/>
    <d v="2024-09-23T00:00:00"/>
    <s v="17032.78"/>
    <s v="Zaakceptowana"/>
    <s v="Faktura VAT"/>
    <s v="Apteka Szpitalna"/>
    <s v="UM-POL-02"/>
    <b v="0"/>
    <n v="17032.78"/>
    <s v="OK"/>
    <x v="0"/>
    <x v="2"/>
    <s v="2024-09"/>
    <n v="1"/>
  </r>
  <r>
    <s v="FV/95/PP/7920/24"/>
    <s v="PZ/802709"/>
    <x v="6"/>
    <d v="2024-09-23T00:00:00"/>
    <s v="24217.07"/>
    <s v="Zaakceptowana"/>
    <s v="Faktura VAT"/>
    <s v="Apteka Szpitalna"/>
    <s v="UM-PHA-01"/>
    <b v="0"/>
    <n v="24217.07"/>
    <s v="OK"/>
    <x v="0"/>
    <x v="2"/>
    <s v="2024-09"/>
    <n v="1"/>
  </r>
  <r>
    <s v="FV/5989HM/24"/>
    <s v="PZ/802710"/>
    <x v="3"/>
    <d v="2024-09-23T00:00:00"/>
    <s v="16276.15"/>
    <s v="Zaakceptowana"/>
    <s v="Faktura VAT"/>
    <s v="Apteka Szpitalna"/>
    <s v="UM-HUR-02"/>
    <b v="0"/>
    <n v="16276.15"/>
    <s v="OK"/>
    <x v="0"/>
    <x v="2"/>
    <s v="2024-09"/>
    <n v="1"/>
  </r>
  <r>
    <s v="FV/87/PP/7989/24"/>
    <s v="PZ/802711"/>
    <x v="6"/>
    <d v="2024-09-23T00:00:00"/>
    <s v="11784.97"/>
    <s v="Zaakceptowana"/>
    <s v="Faktura VAT"/>
    <s v="Apteka Szpitalna"/>
    <s v="UM-PHA-02"/>
    <b v="0"/>
    <n v="11784.97"/>
    <s v="OK"/>
    <x v="0"/>
    <x v="2"/>
    <s v="2024-09"/>
    <n v="1"/>
  </r>
  <r>
    <s v="FV/21/PP/7598/24"/>
    <s v="PZ/802712"/>
    <x v="6"/>
    <d v="2024-09-23T00:00:00"/>
    <s v="16454.29"/>
    <s v="Zaakceptowana"/>
    <s v="Faktura VAT"/>
    <s v="Apteka Szpitalna"/>
    <s v="UM-PHA-01"/>
    <b v="0"/>
    <n v="16454.29"/>
    <s v="OK"/>
    <x v="0"/>
    <x v="2"/>
    <s v="2024-09"/>
    <n v="1"/>
  </r>
  <r>
    <s v="FV/CENFA/351163/24"/>
    <s v="PZ/802713"/>
    <x v="4"/>
    <d v="2024-09-23T00:00:00"/>
    <s v="11392.16"/>
    <s v="Zaakceptowana"/>
    <s v="Faktura VAT"/>
    <s v="Apteka Szpitalna"/>
    <s v="UM-CEN-01"/>
    <b v="0"/>
    <n v="11392.16"/>
    <s v="OK"/>
    <x v="0"/>
    <x v="2"/>
    <s v="2024-09"/>
    <n v="1"/>
  </r>
  <r>
    <s v="FV/M/5895/P/24"/>
    <s v="PZ/802714"/>
    <x v="5"/>
    <d v="2024-09-24T00:00:00"/>
    <s v="3711.75"/>
    <s v="Zaakceptowana"/>
    <s v="Faktura VAT"/>
    <s v="Apteka Szpitalna"/>
    <s v="UM-MED-02"/>
    <b v="0"/>
    <n v="3711.75"/>
    <s v="OK"/>
    <x v="0"/>
    <x v="2"/>
    <s v="2024-09"/>
    <n v="1"/>
  </r>
  <r>
    <s v="FV/M/3695/P/24"/>
    <s v="PZ/802715"/>
    <x v="5"/>
    <d v="2024-09-24T00:00:00"/>
    <s v="19681.99"/>
    <s v="Zaakceptowana"/>
    <s v="Faktura VAT"/>
    <s v="Apteka Szpitalna"/>
    <s v="UM-MED-01"/>
    <b v="0"/>
    <n v="19681.990000000002"/>
    <s v="OK"/>
    <x v="0"/>
    <x v="2"/>
    <s v="2024-09"/>
    <n v="1"/>
  </r>
  <r>
    <s v="FV/2548HM/24"/>
    <s v="PZ/802716"/>
    <x v="3"/>
    <d v="2024-09-24T00:00:00"/>
    <s v="12730.93"/>
    <s v="Zaakceptowana"/>
    <s v="Faktura VAT"/>
    <s v="Apteka Szpitalna"/>
    <s v=""/>
    <b v="0"/>
    <n v="12730.93"/>
    <s v="OK"/>
    <x v="1"/>
    <x v="2"/>
    <s v="2024-09"/>
    <n v="1"/>
  </r>
  <r>
    <s v="FV/CENFA/662938/24"/>
    <s v="PZ/802717"/>
    <x v="4"/>
    <d v="2024-09-24T00:00:00"/>
    <s v="14082.0"/>
    <s v="Zaakceptowana"/>
    <s v="Faktura VAT"/>
    <s v="Apteka Szpitalna"/>
    <s v=""/>
    <b v="0"/>
    <n v="14082"/>
    <s v="OK"/>
    <x v="1"/>
    <x v="2"/>
    <s v="2024-09"/>
    <n v="1"/>
  </r>
  <r>
    <s v="FV/POL/48626/2024"/>
    <s v="PZ/802718"/>
    <x v="0"/>
    <d v="2024-09-24T00:00:00"/>
    <s v="10518.69"/>
    <s v="Zaakceptowana"/>
    <s v="Faktura VAT"/>
    <s v="Apteka Szpitalna"/>
    <s v=""/>
    <b v="0"/>
    <n v="10518.69"/>
    <s v="OK"/>
    <x v="1"/>
    <x v="2"/>
    <s v="2024-09"/>
    <n v="1"/>
  </r>
  <r>
    <s v="FV/M/1742/P/24"/>
    <s v="PZ/802719"/>
    <x v="5"/>
    <d v="2024-09-25T00:00:00"/>
    <s v="15452.75"/>
    <s v="Zaakceptowana"/>
    <s v="Faktura VAT"/>
    <s v="Apteka Szpitalna"/>
    <s v="UM-MED-01"/>
    <b v="0"/>
    <n v="15452.75"/>
    <s v="OK"/>
    <x v="0"/>
    <x v="2"/>
    <s v="2024-09"/>
    <n v="1"/>
  </r>
  <r>
    <s v="FV/M/4171/P/24"/>
    <s v="PZ/802720"/>
    <x v="5"/>
    <d v="2024-09-25T00:00:00"/>
    <s v="9031.02"/>
    <s v="Zaakceptowana"/>
    <s v="Faktura VAT"/>
    <s v="Apteka Szpitalna"/>
    <s v=""/>
    <b v="0"/>
    <n v="9031.02"/>
    <s v="OK"/>
    <x v="1"/>
    <x v="2"/>
    <s v="2024-09"/>
    <n v="1"/>
  </r>
  <r>
    <s v="FV/POL/94760/2024"/>
    <s v="PZ/802721"/>
    <x v="0"/>
    <d v="2024-09-25T00:00:00"/>
    <s v="8218.51"/>
    <s v="Zaakceptowana"/>
    <s v="Faktura VAT"/>
    <s v="Apteka Szpitalna"/>
    <s v=""/>
    <b v="0"/>
    <n v="8218.51"/>
    <s v="OK"/>
    <x v="1"/>
    <x v="2"/>
    <s v="2024-09"/>
    <n v="1"/>
  </r>
  <r>
    <s v="FV/3296HM/24"/>
    <s v="PZ/802722"/>
    <x v="3"/>
    <d v="2024-09-26T00:00:00"/>
    <s v="25929.99"/>
    <s v="Zaakceptowana"/>
    <s v="Faktura VAT"/>
    <s v="Apteka Szpitalna"/>
    <s v="UM-HUR-03"/>
    <b v="0"/>
    <n v="25929.99"/>
    <s v="OK"/>
    <x v="0"/>
    <x v="2"/>
    <s v="2024-09"/>
    <n v="1"/>
  </r>
  <r>
    <s v="FV/POL/65241/2024"/>
    <s v="PZ/802723"/>
    <x v="0"/>
    <d v="2024-09-26T00:00:00"/>
    <s v="13880.48"/>
    <s v="Zaakceptowana"/>
    <s v="Faktura VAT"/>
    <s v="Apteka Szpitalna"/>
    <s v="UM-POL-03"/>
    <b v="0"/>
    <n v="13880.48"/>
    <s v="OK"/>
    <x v="0"/>
    <x v="2"/>
    <s v="2024-09"/>
    <n v="1"/>
  </r>
  <r>
    <s v="FV/8894HM/24"/>
    <s v="PZ/802724"/>
    <x v="3"/>
    <d v="2024-09-26T00:00:00"/>
    <s v="8883.37"/>
    <s v="Zaakceptowana"/>
    <s v="Faktura VAT"/>
    <s v="Apteka Szpitalna"/>
    <s v=""/>
    <b v="0"/>
    <n v="8883.3700000000008"/>
    <s v="OK"/>
    <x v="1"/>
    <x v="2"/>
    <s v="2024-09"/>
    <n v="1"/>
  </r>
  <r>
    <s v="FV/M/3339/P/24"/>
    <s v="PZ/802725"/>
    <x v="5"/>
    <d v="2024-09-27T00:00:00"/>
    <s v="19753.15"/>
    <s v="Zaakceptowana"/>
    <s v="Faktura VAT"/>
    <s v="Apteka Szpitalna"/>
    <s v="UM-MED-02"/>
    <b v="0"/>
    <n v="19753.150000000001"/>
    <s v="OK"/>
    <x v="0"/>
    <x v="2"/>
    <s v="2024-09"/>
    <n v="1"/>
  </r>
  <r>
    <s v="FV/49/PP/8561/24"/>
    <s v="PZ/802726"/>
    <x v="6"/>
    <d v="2024-09-27T00:00:00"/>
    <s v="13830.53"/>
    <s v="Zaakceptowana"/>
    <s v="Faktura VAT"/>
    <s v="Apteka Szpitalna"/>
    <s v="UM-PHA-02"/>
    <b v="0"/>
    <n v="13830.53"/>
    <s v="OK"/>
    <x v="0"/>
    <x v="2"/>
    <s v="2024-09"/>
    <n v="1"/>
  </r>
  <r>
    <s v="FV/CENFA/793974/24"/>
    <s v="PZ/802727"/>
    <x v="4"/>
    <d v="2024-09-28T00:00:00"/>
    <s v="28204.33"/>
    <s v="Zaakceptowana"/>
    <s v="Faktura VAT"/>
    <s v="Apteka Szpitalna"/>
    <s v="UM-CEN-01"/>
    <b v="0"/>
    <n v="28204.33"/>
    <s v="OK"/>
    <x v="0"/>
    <x v="2"/>
    <s v="2024-09"/>
    <n v="1"/>
  </r>
  <r>
    <s v="FV/M/7573/P/24"/>
    <s v="PZ/802728"/>
    <x v="5"/>
    <d v="2024-09-28T00:00:00"/>
    <s v="26423.36"/>
    <s v="Zaakceptowana"/>
    <s v="Faktura VAT"/>
    <s v="Apteka Szpitalna"/>
    <s v="UM-MED-02"/>
    <b v="0"/>
    <n v="26423.360000000001"/>
    <s v="OK"/>
    <x v="0"/>
    <x v="2"/>
    <s v="2024-09"/>
    <n v="1"/>
  </r>
  <r>
    <s v="FV/9316/NOVA/24"/>
    <s v="PZ/802729"/>
    <x v="2"/>
    <d v="2024-09-28T00:00:00"/>
    <s v="24734.61"/>
    <s v="Zaakceptowana"/>
    <s v="Faktura VAT"/>
    <s v="Apteka Szpitalna"/>
    <s v="UM-NOV-01"/>
    <b v="0"/>
    <n v="24734.61"/>
    <s v="OK"/>
    <x v="0"/>
    <x v="2"/>
    <s v="2024-09"/>
    <n v="1"/>
  </r>
  <r>
    <s v="FV/M/9623/P/24"/>
    <s v="PZ/802730"/>
    <x v="5"/>
    <d v="2024-09-28T00:00:00"/>
    <s v="9507.36"/>
    <s v="Zaakceptowana"/>
    <s v="Faktura VAT"/>
    <s v="Apteka Szpitalna"/>
    <s v=""/>
    <b v="0"/>
    <n v="9507.36"/>
    <s v="OK"/>
    <x v="1"/>
    <x v="2"/>
    <s v="2024-09"/>
    <n v="1"/>
  </r>
  <r>
    <s v="FV/65890/VDb/2024"/>
    <s v="PZ/802731"/>
    <x v="7"/>
    <d v="2024-09-29T00:00:00"/>
    <s v="19158.15"/>
    <s v="Zaakceptowana"/>
    <s v="Faktura VAT"/>
    <s v="Apteka Szpitalna"/>
    <s v=""/>
    <b v="0"/>
    <n v="19158.150000000001"/>
    <s v="OK"/>
    <x v="1"/>
    <x v="2"/>
    <s v="2024-09"/>
    <n v="1"/>
  </r>
  <r>
    <s v="FV/CENFA/474917/24"/>
    <s v="PZ/802732"/>
    <x v="4"/>
    <d v="2024-09-29T00:00:00"/>
    <s v="20778.83"/>
    <s v="Zaakceptowana"/>
    <s v="Faktura VAT"/>
    <s v="Apteka Szpitalna"/>
    <s v="UM-CEN-02"/>
    <b v="0"/>
    <n v="20778.830000000002"/>
    <s v="OK"/>
    <x v="0"/>
    <x v="2"/>
    <s v="2024-09"/>
    <n v="1"/>
  </r>
  <r>
    <s v="FV/49452/VDb/2024"/>
    <s v="PZ/802733"/>
    <x v="7"/>
    <d v="2024-09-29T00:00:00"/>
    <s v="19869.06"/>
    <s v="Zaakceptowana"/>
    <s v="Faktura VAT"/>
    <s v="Apteka Szpitalna"/>
    <s v="UM-VIT-01"/>
    <b v="0"/>
    <n v="19869.060000000001"/>
    <s v="OK"/>
    <x v="0"/>
    <x v="2"/>
    <s v="2024-09"/>
    <n v="1"/>
  </r>
  <r>
    <s v="FV/10402/VDb/2024"/>
    <s v="PZ/802734"/>
    <x v="7"/>
    <d v="2024-09-29T00:00:00"/>
    <s v="16635.45"/>
    <s v="Zaakceptowana"/>
    <s v="Faktura VAT"/>
    <s v="Apteka Szpitalna"/>
    <s v=""/>
    <b v="0"/>
    <n v="16635.45"/>
    <s v="OK"/>
    <x v="1"/>
    <x v="2"/>
    <s v="2024-09"/>
    <n v="1"/>
  </r>
  <r>
    <s v="FV/M/5344/P/24"/>
    <s v="PZ/802735"/>
    <x v="5"/>
    <d v="2024-09-29T00:00:00"/>
    <s v="13856.31"/>
    <s v="Zaakceptowana"/>
    <s v="Faktura VAT"/>
    <s v="Apteka Szpitalna"/>
    <s v="UM-MED-01"/>
    <b v="0"/>
    <n v="13856.31"/>
    <s v="OK"/>
    <x v="0"/>
    <x v="2"/>
    <s v="2024-09"/>
    <n v="1"/>
  </r>
  <r>
    <s v="FV/M/6327/P/24"/>
    <s v="PZ/802736"/>
    <x v="5"/>
    <d v="2024-09-29T00:00:00"/>
    <s v="1269.52"/>
    <s v="Zaakceptowana"/>
    <s v="Faktura VAT"/>
    <s v="Apteka Szpitalna"/>
    <s v=""/>
    <b v="0"/>
    <n v="1269.52"/>
    <s v="OK"/>
    <x v="1"/>
    <x v="2"/>
    <s v="2024-09"/>
    <n v="1"/>
  </r>
  <r>
    <s v="FV/98/PP/6670/24"/>
    <s v="PZ/802737"/>
    <x v="6"/>
    <d v="2024-09-30T00:00:00"/>
    <s v="8096.76"/>
    <s v="Zaakceptowana"/>
    <s v="Faktura VAT"/>
    <s v="Apteka Szpitalna"/>
    <s v="UM-PHA-01"/>
    <b v="0"/>
    <n v="8096.76"/>
    <s v="OK"/>
    <x v="0"/>
    <x v="2"/>
    <s v="2024-09"/>
    <n v="1"/>
  </r>
  <r>
    <s v="FV/POL/23336/2024"/>
    <s v="PZ/802738"/>
    <x v="0"/>
    <d v="2024-09-30T00:00:00"/>
    <s v="13901.56"/>
    <s v="Zaakceptowana"/>
    <s v="Faktura VAT"/>
    <s v="Apteka Szpitalna"/>
    <s v="UM-POL-02"/>
    <b v="0"/>
    <n v="13901.56"/>
    <s v="OK"/>
    <x v="0"/>
    <x v="2"/>
    <s v="2024-09"/>
    <n v="1"/>
  </r>
  <r>
    <s v="FV/49702/VDb/2024"/>
    <s v="PZ/802739"/>
    <x v="7"/>
    <d v="2024-09-30T00:00:00"/>
    <s v="19185.0"/>
    <s v="Zaakceptowana"/>
    <s v="Faktura VAT"/>
    <s v="Apteka Szpitalna"/>
    <s v="UM-VIT-01"/>
    <b v="0"/>
    <n v="19185"/>
    <s v="OK"/>
    <x v="0"/>
    <x v="2"/>
    <s v="2024-09"/>
    <n v="1"/>
  </r>
  <r>
    <s v="FV/88770/VDb/2024"/>
    <s v="PZ/802740"/>
    <x v="7"/>
    <d v="2024-10-01T00:00:00"/>
    <s v="8349.96"/>
    <s v="Zaakceptowana"/>
    <s v="Faktura VAT"/>
    <s v="Apteka Szpitalna"/>
    <s v=""/>
    <b v="0"/>
    <n v="8349.9599999999991"/>
    <s v="OK"/>
    <x v="1"/>
    <x v="2"/>
    <s v="2024-10"/>
    <n v="1"/>
  </r>
  <r>
    <s v="FV/M/6777/P/24"/>
    <s v="PZ/802741"/>
    <x v="5"/>
    <d v="2024-10-01T00:00:00"/>
    <s v="21053.66"/>
    <s v="Zaakceptowana"/>
    <s v="Faktura VAT"/>
    <s v="Apteka Szpitalna"/>
    <s v="UM-MED-02"/>
    <b v="0"/>
    <n v="21053.66"/>
    <s v="OK"/>
    <x v="0"/>
    <x v="2"/>
    <s v="2024-10"/>
    <n v="1"/>
  </r>
  <r>
    <s v="FV/51/SAL/24"/>
    <s v="PZ/802742"/>
    <x v="1"/>
    <d v="2024-10-01T00:00:00"/>
    <s v="15402.17"/>
    <s v="Zaakceptowana"/>
    <s v="Faktura VAT"/>
    <s v="Apteka Szpitalna"/>
    <s v="UM-SAL-02"/>
    <b v="0"/>
    <n v="15402.17"/>
    <s v="OK"/>
    <x v="0"/>
    <x v="2"/>
    <s v="2024-10"/>
    <n v="1"/>
  </r>
  <r>
    <s v="FV/M/5267/P/24"/>
    <s v="PZ/802743"/>
    <x v="5"/>
    <d v="2024-10-02T00:00:00"/>
    <s v="17442.0"/>
    <s v="Zaakceptowana"/>
    <s v="Faktura VAT"/>
    <s v="Apteka Szpitalna"/>
    <s v="UM-MED-01"/>
    <b v="0"/>
    <n v="17442"/>
    <s v="OK"/>
    <x v="0"/>
    <x v="2"/>
    <s v="2024-10"/>
    <n v="1"/>
  </r>
  <r>
    <s v="FV/POL/71959/2024"/>
    <s v="PZ/802744"/>
    <x v="0"/>
    <d v="2024-10-02T00:00:00"/>
    <s v="9882.99"/>
    <s v="Zaakceptowana"/>
    <s v="Faktura VAT"/>
    <s v="Apteka Szpitalna"/>
    <s v=""/>
    <b v="0"/>
    <n v="9882.99"/>
    <s v="OK"/>
    <x v="1"/>
    <x v="2"/>
    <s v="2024-10"/>
    <n v="1"/>
  </r>
  <r>
    <s v="FV/M/8630/P/24"/>
    <s v="PZ/802745"/>
    <x v="5"/>
    <d v="2024-10-03T00:00:00"/>
    <s v="16426.82"/>
    <s v="Zaakceptowana"/>
    <s v="Faktura VAT"/>
    <s v="Apteka Szpitalna"/>
    <s v="UM-MED-01"/>
    <b v="0"/>
    <n v="16426.82"/>
    <s v="OK"/>
    <x v="0"/>
    <x v="2"/>
    <s v="2024-10"/>
    <n v="1"/>
  </r>
  <r>
    <s v="FV/2223HM/24"/>
    <s v="PZ/802746"/>
    <x v="3"/>
    <d v="2024-10-04T00:00:00"/>
    <s v="17164.29"/>
    <s v="Zaakceptowana"/>
    <s v="Faktura VAT"/>
    <s v="Apteka Szpitalna"/>
    <s v="UM-HUR-03"/>
    <b v="0"/>
    <n v="17164.29"/>
    <s v="OK"/>
    <x v="0"/>
    <x v="2"/>
    <s v="2024-10"/>
    <n v="1"/>
  </r>
  <r>
    <s v="FV/77/SAL/24"/>
    <s v="PZ/802747"/>
    <x v="1"/>
    <d v="2024-10-04T00:00:00"/>
    <s v="12687.72"/>
    <s v="Zaakceptowana"/>
    <s v="Faktura VAT"/>
    <s v="Apteka Szpitalna"/>
    <s v="UM-SAL-01"/>
    <b v="0"/>
    <n v="12687.72"/>
    <s v="OK"/>
    <x v="0"/>
    <x v="2"/>
    <s v="2024-10"/>
    <n v="1"/>
  </r>
  <r>
    <s v="FV/45/PP/3594/24"/>
    <s v="PZ/802748"/>
    <x v="6"/>
    <d v="2024-10-04T00:00:00"/>
    <s v="13818.53"/>
    <s v="Zaakceptowana"/>
    <s v="Faktura VAT"/>
    <s v="Apteka Szpitalna"/>
    <s v="UM-PHA-02"/>
    <b v="0"/>
    <n v="13818.53"/>
    <s v="OK"/>
    <x v="0"/>
    <x v="2"/>
    <s v="2024-10"/>
    <n v="1"/>
  </r>
  <r>
    <s v="FV/9366HM/24"/>
    <s v="PZ/802749"/>
    <x v="3"/>
    <d v="2024-10-04T00:00:00"/>
    <s v="18693.59"/>
    <s v="Zaakceptowana"/>
    <s v="Faktura VAT"/>
    <s v="Apteka Szpitalna"/>
    <s v="UM-HUR-01"/>
    <b v="0"/>
    <n v="18693.59"/>
    <s v="OK"/>
    <x v="0"/>
    <x v="2"/>
    <s v="2024-10"/>
    <n v="1"/>
  </r>
  <r>
    <s v="FV/93/SAL/24"/>
    <s v="PZ/802750"/>
    <x v="1"/>
    <d v="2024-10-04T00:00:00"/>
    <s v="10834.47"/>
    <s v="Zaakceptowana"/>
    <s v="Faktura VAT"/>
    <s v="Apteka Szpitalna"/>
    <s v="UM-SAL-02"/>
    <b v="0"/>
    <n v="10834.47"/>
    <s v="OK"/>
    <x v="0"/>
    <x v="2"/>
    <s v="2024-10"/>
    <n v="1"/>
  </r>
  <r>
    <s v="FV/84889/VDb/2024"/>
    <s v="PZ/802751"/>
    <x v="7"/>
    <d v="2024-10-04T00:00:00"/>
    <s v="4317.12"/>
    <s v="Zaakceptowana"/>
    <s v="Faktura VAT"/>
    <s v="Apteka Szpitalna"/>
    <s v=""/>
    <b v="0"/>
    <n v="4317.12"/>
    <s v="OK"/>
    <x v="1"/>
    <x v="2"/>
    <s v="2024-10"/>
    <n v="1"/>
  </r>
  <r>
    <s v="FV/72/SAL/24"/>
    <s v="PZ/802752"/>
    <x v="1"/>
    <d v="2024-10-04T00:00:00"/>
    <s v="18469.55"/>
    <s v="Zaakceptowana"/>
    <s v="Faktura VAT"/>
    <s v="Apteka Szpitalna"/>
    <s v="UM-SAL-02"/>
    <b v="0"/>
    <n v="18469.55"/>
    <s v="OK"/>
    <x v="0"/>
    <x v="2"/>
    <s v="2024-10"/>
    <n v="1"/>
  </r>
  <r>
    <s v="FV/37/PP/5521/24"/>
    <s v="PZ/802753"/>
    <x v="6"/>
    <d v="2024-10-04T00:00:00"/>
    <s v="21345.41"/>
    <s v="Zaakceptowana"/>
    <s v="Faktura VAT"/>
    <s v="Apteka Szpitalna"/>
    <s v=""/>
    <b v="0"/>
    <n v="21345.41"/>
    <s v="OK"/>
    <x v="1"/>
    <x v="2"/>
    <s v="2024-10"/>
    <n v="1"/>
  </r>
  <r>
    <s v="FV/8117HM/24"/>
    <s v="PZ/802754"/>
    <x v="3"/>
    <d v="2024-10-05T00:00:00"/>
    <s v="18154.26"/>
    <s v="Zaakceptowana"/>
    <s v="Faktura VAT"/>
    <s v="Apteka Szpitalna"/>
    <s v="UM-HUR-03"/>
    <b v="0"/>
    <n v="18154.259999999998"/>
    <s v="OK"/>
    <x v="0"/>
    <x v="2"/>
    <s v="2024-10"/>
    <n v="1"/>
  </r>
  <r>
    <s v="FV/CENFA/298570/24"/>
    <s v="PZ/802755"/>
    <x v="4"/>
    <d v="2024-10-05T00:00:00"/>
    <s v="13374.44"/>
    <s v="Zaakceptowana"/>
    <s v="Faktura VAT"/>
    <s v="Apteka Szpitalna"/>
    <s v="UM-CEN-01"/>
    <b v="0"/>
    <n v="13374.44"/>
    <s v="OK"/>
    <x v="0"/>
    <x v="2"/>
    <s v="2024-10"/>
    <n v="1"/>
  </r>
  <r>
    <s v="FV/CENFA/665760/24"/>
    <s v="PZ/802756"/>
    <x v="4"/>
    <d v="2024-10-06T00:00:00"/>
    <s v="14532.04"/>
    <s v="Zaakceptowana"/>
    <s v="Faktura VAT"/>
    <s v="Apteka Szpitalna"/>
    <s v="UM-CEN-02"/>
    <b v="0"/>
    <n v="14532.04"/>
    <s v="OK"/>
    <x v="0"/>
    <x v="2"/>
    <s v="2024-10"/>
    <n v="1"/>
  </r>
  <r>
    <s v="FV/52718/VDb/2024"/>
    <s v="PZ/802757"/>
    <x v="7"/>
    <d v="2024-10-07T00:00:00"/>
    <s v="16102.3"/>
    <s v="Zaakceptowana"/>
    <s v="Faktura VAT"/>
    <s v="Apteka Szpitalna"/>
    <s v="UM-VIT-01"/>
    <b v="0"/>
    <n v="16102.3"/>
    <s v="OK"/>
    <x v="0"/>
    <x v="2"/>
    <s v="2024-10"/>
    <n v="1"/>
  </r>
  <r>
    <s v="FV/POL/51728/2024"/>
    <s v="PZ/802758"/>
    <x v="0"/>
    <d v="2024-10-07T00:00:00"/>
    <s v="18298.26"/>
    <s v="Zaakceptowana"/>
    <s v="Faktura VAT"/>
    <s v="Apteka Szpitalna"/>
    <s v="UM-POL-01"/>
    <b v="0"/>
    <n v="18298.259999999998"/>
    <s v="OK"/>
    <x v="0"/>
    <x v="2"/>
    <s v="2024-10"/>
    <n v="1"/>
  </r>
  <r>
    <s v="FV/21366/VDb/2024"/>
    <s v="PZ/802759"/>
    <x v="7"/>
    <d v="2024-10-08T00:00:00"/>
    <s v="16158.97"/>
    <s v="Zaakceptowana"/>
    <s v="Faktura VAT"/>
    <s v="Apteka Szpitalna"/>
    <s v="UM-VIT-01"/>
    <b v="0"/>
    <n v="16158.97"/>
    <s v="OK"/>
    <x v="0"/>
    <x v="2"/>
    <s v="2024-10"/>
    <n v="1"/>
  </r>
  <r>
    <s v="FV/9374HM/24"/>
    <s v="PZ/802760"/>
    <x v="3"/>
    <d v="2024-10-08T00:00:00"/>
    <s v="12573.23"/>
    <s v="Zaakceptowana"/>
    <s v="Faktura VAT"/>
    <s v="Apteka Szpitalna"/>
    <s v="UM-HUR-02"/>
    <b v="0"/>
    <n v="12573.23"/>
    <s v="OK"/>
    <x v="0"/>
    <x v="2"/>
    <s v="2024-10"/>
    <n v="1"/>
  </r>
  <r>
    <s v="FV/CENFA/994222/24"/>
    <s v="PZ/802761"/>
    <x v="4"/>
    <d v="2024-10-08T00:00:00"/>
    <s v="15307.24"/>
    <s v="Zaakceptowana"/>
    <s v="Faktura VAT"/>
    <s v="Apteka Szpitalna"/>
    <s v="UM-CEN-01"/>
    <b v="0"/>
    <n v="15307.24"/>
    <s v="OK"/>
    <x v="0"/>
    <x v="2"/>
    <s v="2024-10"/>
    <n v="1"/>
  </r>
  <r>
    <s v="FV/4307/NOVA/24"/>
    <s v="PZ/802762"/>
    <x v="2"/>
    <d v="2024-10-08T00:00:00"/>
    <s v="10706.53"/>
    <s v="Zaakceptowana"/>
    <s v="Faktura VAT"/>
    <s v="Apteka Szpitalna"/>
    <s v=""/>
    <b v="0"/>
    <n v="10706.53"/>
    <s v="OK"/>
    <x v="1"/>
    <x v="2"/>
    <s v="2024-10"/>
    <n v="1"/>
  </r>
  <r>
    <s v="FV/21560/VDb/2024"/>
    <s v="PZ/802763"/>
    <x v="7"/>
    <d v="2024-10-09T00:00:00"/>
    <s v="10466.64"/>
    <s v="Zaakceptowana"/>
    <s v="Faktura VAT"/>
    <s v="Apteka Szpitalna"/>
    <s v="UM-VIT-01"/>
    <b v="0"/>
    <n v="10466.64"/>
    <s v="OK"/>
    <x v="0"/>
    <x v="2"/>
    <s v="2024-10"/>
    <n v="1"/>
  </r>
  <r>
    <s v="FV/79597/VDb/2024"/>
    <s v="PZ/802764"/>
    <x v="7"/>
    <d v="2024-10-09T00:00:00"/>
    <s v="17928.91"/>
    <s v="Zaakceptowana"/>
    <s v="Faktura VAT"/>
    <s v="Apteka Szpitalna"/>
    <s v=""/>
    <b v="0"/>
    <n v="17928.91"/>
    <s v="OK"/>
    <x v="1"/>
    <x v="2"/>
    <s v="2024-10"/>
    <n v="1"/>
  </r>
  <r>
    <s v="FV/M/9738/P/24"/>
    <s v="PZ/802765"/>
    <x v="5"/>
    <d v="2024-10-10T00:00:00"/>
    <s v="15687.66"/>
    <s v="Zaakceptowana"/>
    <s v="Faktura VAT"/>
    <s v="Apteka Szpitalna"/>
    <s v="UM-MED-02"/>
    <b v="0"/>
    <n v="15687.66"/>
    <s v="OK"/>
    <x v="0"/>
    <x v="2"/>
    <s v="2024-10"/>
    <n v="1"/>
  </r>
  <r>
    <s v="FV/68/PP/2322/24"/>
    <s v="PZ/802766"/>
    <x v="6"/>
    <d v="2024-10-10T00:00:00"/>
    <s v="-2052.41"/>
    <s v="Zaakceptowana"/>
    <s v="Korekta FV"/>
    <s v="Apteka Szpitalna"/>
    <s v=""/>
    <b v="0"/>
    <n v="-2052.41"/>
    <s v="OK"/>
    <x v="1"/>
    <x v="2"/>
    <s v="2024-10"/>
    <n v="1"/>
  </r>
  <r>
    <s v="FV/CENFA/612593/24"/>
    <s v="PZ/802767"/>
    <x v="4"/>
    <d v="2024-10-10T00:00:00"/>
    <s v="15126.73"/>
    <s v="Zaakceptowana"/>
    <s v="Faktura VAT"/>
    <s v="Apteka Szpitalna"/>
    <s v="UM-CEN-01"/>
    <b v="0"/>
    <n v="15126.73"/>
    <s v="OK"/>
    <x v="0"/>
    <x v="2"/>
    <s v="2024-10"/>
    <n v="1"/>
  </r>
  <r>
    <s v="FV/M/1799/P/24"/>
    <s v="PZ/802768"/>
    <x v="5"/>
    <d v="2024-10-11T00:00:00"/>
    <s v="15353.1"/>
    <s v="Zaakceptowana"/>
    <s v="Faktura VAT"/>
    <s v="Apteka Szpitalna"/>
    <s v="UM-MED-02"/>
    <b v="0"/>
    <n v="15353.1"/>
    <s v="OK"/>
    <x v="0"/>
    <x v="2"/>
    <s v="2024-10"/>
    <n v="1"/>
  </r>
  <r>
    <s v="FV/9957HM/24"/>
    <s v="PZ/802769"/>
    <x v="3"/>
    <d v="2024-10-11T00:00:00"/>
    <s v="14809.31"/>
    <s v="Zaakceptowana"/>
    <s v="Faktura VAT"/>
    <s v="Apteka Szpitalna"/>
    <s v="UM-HUR-01"/>
    <b v="0"/>
    <n v="14809.31"/>
    <s v="OK"/>
    <x v="0"/>
    <x v="2"/>
    <s v="2024-10"/>
    <n v="1"/>
  </r>
  <r>
    <s v="FV/M/2724/P/24"/>
    <s v="PZ/802770"/>
    <x v="5"/>
    <d v="2024-10-11T00:00:00"/>
    <s v="10204.71"/>
    <s v="Zaakceptowana"/>
    <s v="Faktura VAT"/>
    <s v="Apteka Szpitalna"/>
    <s v="UM-MED-01"/>
    <b v="0"/>
    <n v="10204.709999999999"/>
    <s v="OK"/>
    <x v="0"/>
    <x v="2"/>
    <s v="2024-10"/>
    <n v="1"/>
  </r>
  <r>
    <s v="FV/6100/NOVA/24"/>
    <s v="PZ/802771"/>
    <x v="2"/>
    <d v="2024-10-12T00:00:00"/>
    <s v="8553.1"/>
    <s v="Zaakceptowana"/>
    <s v="Faktura VAT"/>
    <s v="Apteka Szpitalna"/>
    <s v="UM-NOV-01"/>
    <b v="0"/>
    <n v="8553.1"/>
    <s v="OK"/>
    <x v="0"/>
    <x v="2"/>
    <s v="2024-10"/>
    <n v="1"/>
  </r>
  <r>
    <s v="FV/4309HM/24"/>
    <s v="PZ/802772"/>
    <x v="3"/>
    <d v="2024-10-12T00:00:00"/>
    <s v="-1122.36"/>
    <s v="Zaakceptowana"/>
    <s v="Korekta FV"/>
    <s v="Apteka Szpitalna"/>
    <s v=""/>
    <b v="0"/>
    <n v="-1122.3599999999999"/>
    <s v="OK"/>
    <x v="1"/>
    <x v="2"/>
    <s v="2024-10"/>
    <n v="1"/>
  </r>
  <r>
    <s v="FV/1857HM/24"/>
    <s v="PZ/802773"/>
    <x v="3"/>
    <d v="2024-10-13T00:00:00"/>
    <s v="10880.1"/>
    <s v="Zaakceptowana"/>
    <s v="Faktura VAT"/>
    <s v="Apteka Szpitalna"/>
    <s v="UM-HUR-02"/>
    <b v="0"/>
    <n v="10880.1"/>
    <s v="OK"/>
    <x v="0"/>
    <x v="2"/>
    <s v="2024-10"/>
    <n v="1"/>
  </r>
  <r>
    <s v="FV/2162HM/24"/>
    <s v="PZ/802774"/>
    <x v="3"/>
    <d v="2024-10-13T00:00:00"/>
    <s v="10399.11"/>
    <s v="Zaakceptowana"/>
    <s v="Faktura VAT"/>
    <s v="Apteka Szpitalna"/>
    <s v="UM-HUR-03"/>
    <b v="0"/>
    <n v="10399.11"/>
    <s v="OK"/>
    <x v="0"/>
    <x v="2"/>
    <s v="2024-10"/>
    <n v="1"/>
  </r>
  <r>
    <s v="FV/1888/NOVA/24"/>
    <s v="PZ/802775"/>
    <x v="2"/>
    <d v="2024-10-13T00:00:00"/>
    <s v="12563.16"/>
    <s v="Zaakceptowana"/>
    <s v="Faktura VAT"/>
    <s v="Apteka Szpitalna"/>
    <s v=""/>
    <b v="0"/>
    <n v="12563.16"/>
    <s v="OK"/>
    <x v="1"/>
    <x v="2"/>
    <s v="2024-10"/>
    <n v="1"/>
  </r>
  <r>
    <s v="FV/POL/89797/2024"/>
    <s v="PZ/802776"/>
    <x v="0"/>
    <d v="2024-10-13T00:00:00"/>
    <s v="23123.82"/>
    <s v="Zaakceptowana"/>
    <s v="Faktura VAT"/>
    <s v="Apteka Szpitalna"/>
    <s v="UM-POL-02"/>
    <b v="0"/>
    <n v="23123.82"/>
    <s v="OK"/>
    <x v="0"/>
    <x v="2"/>
    <s v="2024-10"/>
    <n v="1"/>
  </r>
  <r>
    <s v="FV/M/7814/P/24"/>
    <s v="PZ/802777"/>
    <x v="5"/>
    <d v="2024-10-14T00:00:00"/>
    <s v="20335.75"/>
    <s v="Zaakceptowana"/>
    <s v="Faktura VAT"/>
    <s v="Apteka Szpitalna"/>
    <s v="UM-MED-02"/>
    <b v="0"/>
    <n v="20335.75"/>
    <s v="OK"/>
    <x v="0"/>
    <x v="2"/>
    <s v="2024-10"/>
    <n v="1"/>
  </r>
  <r>
    <s v="FV/6570/NOVA/24"/>
    <s v="PZ/802778"/>
    <x v="2"/>
    <d v="2024-10-14T00:00:00"/>
    <s v="13141.9"/>
    <s v="Zaakceptowana"/>
    <s v="Faktura VAT"/>
    <s v="Apteka Szpitalna"/>
    <s v=""/>
    <b v="0"/>
    <n v="13141.9"/>
    <s v="OK"/>
    <x v="1"/>
    <x v="2"/>
    <s v="2024-10"/>
    <n v="1"/>
  </r>
  <r>
    <s v="FV/42/SAL/24"/>
    <s v="PZ/802779"/>
    <x v="1"/>
    <d v="2024-10-15T00:00:00"/>
    <s v="9162.67"/>
    <s v="Zaakceptowana"/>
    <s v="Faktura VAT"/>
    <s v="Apteka Szpitalna"/>
    <s v="UM-SAL-01"/>
    <b v="0"/>
    <n v="9162.67"/>
    <s v="OK"/>
    <x v="0"/>
    <x v="2"/>
    <s v="2024-10"/>
    <n v="1"/>
  </r>
  <r>
    <s v="FV/77/PP/7743/24"/>
    <s v="PZ/802780"/>
    <x v="6"/>
    <d v="2024-10-15T00:00:00"/>
    <s v="20555.89"/>
    <s v="Zaakceptowana"/>
    <s v="Faktura VAT"/>
    <s v="Apteka Szpitalna"/>
    <s v="UM-PHA-02"/>
    <b v="0"/>
    <n v="20555.89"/>
    <s v="OK"/>
    <x v="0"/>
    <x v="2"/>
    <s v="2024-10"/>
    <n v="1"/>
  </r>
  <r>
    <s v="FV/31765/VDb/2024"/>
    <s v="PZ/802781"/>
    <x v="7"/>
    <d v="2024-10-16T00:00:00"/>
    <s v="-1799.42"/>
    <s v="Zaakceptowana"/>
    <s v="Korekta FV"/>
    <s v="Apteka Szpitalna"/>
    <s v="UM-VIT-01"/>
    <b v="0"/>
    <n v="-1799.42"/>
    <s v="OK"/>
    <x v="0"/>
    <x v="2"/>
    <s v="2024-10"/>
    <n v="1"/>
  </r>
  <r>
    <s v="FV/M/2208/P/24"/>
    <s v="PZ/802782"/>
    <x v="5"/>
    <d v="2024-10-16T00:00:00"/>
    <s v="18418.98"/>
    <s v="Zaakceptowana"/>
    <s v="Faktura VAT"/>
    <s v="Apteka Szpitalna"/>
    <s v="UM-MED-02"/>
    <b v="0"/>
    <n v="18418.98"/>
    <s v="OK"/>
    <x v="0"/>
    <x v="2"/>
    <s v="2024-10"/>
    <n v="1"/>
  </r>
  <r>
    <s v="FV/POL/79653/2024"/>
    <s v="PZ/802783"/>
    <x v="0"/>
    <d v="2024-10-16T00:00:00"/>
    <s v="20316.51"/>
    <s v="Zaakceptowana"/>
    <s v="Faktura VAT"/>
    <s v="Apteka Szpitalna"/>
    <s v="UM-POL-03"/>
    <b v="0"/>
    <n v="20316.509999999998"/>
    <s v="OK"/>
    <x v="0"/>
    <x v="2"/>
    <s v="2024-10"/>
    <n v="1"/>
  </r>
  <r>
    <s v="FV/M/4637/P/24"/>
    <s v="PZ/802784"/>
    <x v="5"/>
    <d v="2024-10-16T00:00:00"/>
    <s v="12215.87"/>
    <s v="Zaakceptowana"/>
    <s v="Faktura VAT"/>
    <s v="Apteka Szpitalna"/>
    <s v="UM-MED-01"/>
    <b v="0"/>
    <n v="12215.87"/>
    <s v="OK"/>
    <x v="0"/>
    <x v="2"/>
    <s v="2024-10"/>
    <n v="1"/>
  </r>
  <r>
    <s v="FV/12633/VDb/2024"/>
    <s v="PZ/802785"/>
    <x v="7"/>
    <d v="2024-10-17T00:00:00"/>
    <s v="16080.65"/>
    <s v="Zaakceptowana"/>
    <s v="Faktura VAT"/>
    <s v="Apteka Szpitalna"/>
    <s v=""/>
    <b v="0"/>
    <n v="16080.65"/>
    <s v="OK"/>
    <x v="1"/>
    <x v="2"/>
    <s v="2024-10"/>
    <n v="1"/>
  </r>
  <r>
    <s v="FV/85489/VDb/2024"/>
    <s v="PZ/802786"/>
    <x v="7"/>
    <d v="2024-10-17T00:00:00"/>
    <s v="21405.44"/>
    <s v="Zaakceptowana"/>
    <s v="Faktura VAT"/>
    <s v="Apteka Szpitalna"/>
    <s v="UM-VIT-01"/>
    <b v="0"/>
    <n v="21405.439999999999"/>
    <s v="OK"/>
    <x v="0"/>
    <x v="2"/>
    <s v="2024-10"/>
    <n v="1"/>
  </r>
  <r>
    <s v="FV/2102/NOVA/24"/>
    <s v="PZ/802787"/>
    <x v="2"/>
    <d v="2024-10-17T00:00:00"/>
    <s v="15445.52"/>
    <s v="Zaakceptowana"/>
    <s v="Faktura VAT"/>
    <s v="Apteka Szpitalna"/>
    <s v=""/>
    <b v="0"/>
    <n v="15445.52"/>
    <s v="OK"/>
    <x v="1"/>
    <x v="2"/>
    <s v="2024-10"/>
    <n v="1"/>
  </r>
  <r>
    <s v="FV/29/SAL/24"/>
    <s v="PZ/802788"/>
    <x v="1"/>
    <d v="2024-10-17T00:00:00"/>
    <s v="19968.57"/>
    <s v="Zaakceptowana"/>
    <s v="Faktura VAT"/>
    <s v="Apteka Szpitalna"/>
    <s v="UM-SAL-01"/>
    <b v="0"/>
    <n v="19968.57"/>
    <s v="OK"/>
    <x v="0"/>
    <x v="2"/>
    <s v="2024-10"/>
    <n v="1"/>
  </r>
  <r>
    <s v="FV/9834/NOVA/24"/>
    <s v="PZ/802789"/>
    <x v="2"/>
    <d v="2024-10-17T00:00:00"/>
    <s v="7042.32"/>
    <s v="Zaakceptowana"/>
    <s v="Faktura VAT"/>
    <s v="Apteka Szpitalna"/>
    <s v=""/>
    <b v="0"/>
    <n v="7042.32"/>
    <s v="OK"/>
    <x v="1"/>
    <x v="2"/>
    <s v="2024-10"/>
    <n v="1"/>
  </r>
  <r>
    <s v="FV/CENFA/472515/24"/>
    <s v="PZ/802790"/>
    <x v="4"/>
    <d v="2024-10-18T00:00:00"/>
    <s v="19030.75"/>
    <s v="Zaakceptowana"/>
    <s v="Faktura VAT"/>
    <s v="Apteka Szpitalna"/>
    <s v=""/>
    <b v="0"/>
    <n v="19030.75"/>
    <s v="OK"/>
    <x v="1"/>
    <x v="2"/>
    <s v="2024-10"/>
    <n v="1"/>
  </r>
  <r>
    <s v="FV/M/2227/P/24"/>
    <s v="PZ/802791"/>
    <x v="5"/>
    <d v="2024-10-18T00:00:00"/>
    <s v="24396.07"/>
    <s v="Zaakceptowana"/>
    <s v="Faktura VAT"/>
    <s v="Apteka Szpitalna"/>
    <s v=""/>
    <b v="0"/>
    <n v="24396.07"/>
    <s v="OK"/>
    <x v="1"/>
    <x v="2"/>
    <s v="2024-10"/>
    <n v="1"/>
  </r>
  <r>
    <s v="FV/49/PP/2674/24"/>
    <s v="PZ/802792"/>
    <x v="6"/>
    <d v="2024-10-18T00:00:00"/>
    <s v="9195.1"/>
    <s v="Zaakceptowana"/>
    <s v="Faktura VAT"/>
    <s v="Apteka Szpitalna"/>
    <s v="UM-PHA-01"/>
    <b v="0"/>
    <n v="9195.1"/>
    <s v="OK"/>
    <x v="0"/>
    <x v="2"/>
    <s v="2024-10"/>
    <n v="1"/>
  </r>
  <r>
    <s v="FV/48443/VDb/2024"/>
    <s v="PZ/802793"/>
    <x v="7"/>
    <d v="2024-10-19T00:00:00"/>
    <s v="19009.56"/>
    <s v="Zaakceptowana"/>
    <s v="Faktura VAT"/>
    <s v="Apteka Szpitalna"/>
    <s v="UM-VIT-01"/>
    <b v="0"/>
    <n v="19009.560000000001"/>
    <s v="OK"/>
    <x v="0"/>
    <x v="2"/>
    <s v="2024-10"/>
    <n v="1"/>
  </r>
  <r>
    <s v="FV/5465HM/24"/>
    <s v="PZ/802794"/>
    <x v="3"/>
    <d v="2024-10-20T00:00:00"/>
    <s v="18717.0"/>
    <s v="Zaakceptowana"/>
    <s v="Faktura VAT"/>
    <s v="Apteka Szpitalna"/>
    <s v="UM-HUR-03"/>
    <b v="0"/>
    <n v="18717"/>
    <s v="OK"/>
    <x v="0"/>
    <x v="2"/>
    <s v="2024-10"/>
    <n v="1"/>
  </r>
  <r>
    <s v="FV/POL/76181/2024"/>
    <s v="PZ/802795"/>
    <x v="0"/>
    <d v="2024-10-20T00:00:00"/>
    <s v="18339.49"/>
    <s v="Zaakceptowana"/>
    <s v="Faktura VAT"/>
    <s v="Apteka Szpitalna"/>
    <s v="UM-POL-03"/>
    <b v="0"/>
    <n v="18339.490000000002"/>
    <s v="OK"/>
    <x v="0"/>
    <x v="2"/>
    <s v="2024-10"/>
    <n v="1"/>
  </r>
  <r>
    <s v="FV/60/SAL/24"/>
    <s v="PZ/802796"/>
    <x v="1"/>
    <d v="2024-10-21T00:00:00"/>
    <s v="7941.84"/>
    <s v="Zaakceptowana"/>
    <s v="Faktura VAT"/>
    <s v="Apteka Szpitalna"/>
    <s v="UM-SAL-01"/>
    <b v="0"/>
    <n v="7941.84"/>
    <s v="OK"/>
    <x v="0"/>
    <x v="2"/>
    <s v="2024-10"/>
    <n v="1"/>
  </r>
  <r>
    <s v="FV/94/PP/9584/24"/>
    <s v="PZ/802797"/>
    <x v="6"/>
    <d v="2024-10-22T00:00:00"/>
    <s v="11103.85"/>
    <s v="Zaakceptowana"/>
    <s v="Faktura VAT"/>
    <s v="Apteka Szpitalna"/>
    <s v="UM-PHA-01"/>
    <b v="0"/>
    <n v="11103.85"/>
    <s v="OK"/>
    <x v="0"/>
    <x v="2"/>
    <s v="2024-10"/>
    <n v="1"/>
  </r>
  <r>
    <s v="FV/POL/14899/2024"/>
    <s v="PZ/802798"/>
    <x v="0"/>
    <d v="2024-10-22T00:00:00"/>
    <s v="15629.19"/>
    <s v="Zaakceptowana"/>
    <s v="Faktura VAT"/>
    <s v="Apteka Szpitalna"/>
    <s v="UM-POL-03"/>
    <b v="0"/>
    <n v="15629.19"/>
    <s v="OK"/>
    <x v="0"/>
    <x v="2"/>
    <s v="2024-10"/>
    <n v="1"/>
  </r>
  <r>
    <s v="FV/44/SAL/24"/>
    <s v="PZ/802799"/>
    <x v="1"/>
    <d v="2024-10-22T00:00:00"/>
    <s v="-1316.06"/>
    <s v="Zaakceptowana"/>
    <s v="Korekta FV"/>
    <s v="Apteka Szpitalna"/>
    <s v="UM-SAL-02"/>
    <b v="0"/>
    <n v="-1316.06"/>
    <s v="OK"/>
    <x v="0"/>
    <x v="2"/>
    <s v="2024-10"/>
    <n v="1"/>
  </r>
  <r>
    <s v="FV/CENFA/858695/24"/>
    <s v="PZ/802800"/>
    <x v="4"/>
    <d v="2024-10-22T00:00:00"/>
    <s v="13630.55"/>
    <s v="Zaakceptowana"/>
    <s v="Faktura VAT"/>
    <s v="Apteka Szpitalna"/>
    <s v="UM-CEN-02"/>
    <b v="0"/>
    <n v="13630.55"/>
    <s v="OK"/>
    <x v="0"/>
    <x v="2"/>
    <s v="2024-10"/>
    <n v="1"/>
  </r>
  <r>
    <s v="FV/M/5797/P/24"/>
    <s v="PZ/802801"/>
    <x v="5"/>
    <d v="2024-10-23T00:00:00"/>
    <s v="16705.52"/>
    <s v="Zaakceptowana"/>
    <s v="Faktura VAT"/>
    <s v="Apteka Szpitalna"/>
    <s v="UM-MED-02"/>
    <b v="0"/>
    <n v="16705.52"/>
    <s v="OK"/>
    <x v="0"/>
    <x v="2"/>
    <s v="2024-10"/>
    <n v="1"/>
  </r>
  <r>
    <s v="FV/43768/VDb/2024"/>
    <s v="PZ/802802"/>
    <x v="7"/>
    <d v="2024-10-23T00:00:00"/>
    <s v="12981.54"/>
    <s v="Zaakceptowana"/>
    <s v="Faktura VAT"/>
    <s v="Apteka Szpitalna"/>
    <s v=""/>
    <b v="0"/>
    <n v="12981.54"/>
    <s v="OK"/>
    <x v="1"/>
    <x v="2"/>
    <s v="2024-10"/>
    <n v="1"/>
  </r>
  <r>
    <s v="FV/M/8573/P/24"/>
    <s v="PZ/802803"/>
    <x v="5"/>
    <d v="2024-10-23T00:00:00"/>
    <s v="14665.86"/>
    <s v="Zaakceptowana"/>
    <s v="Faktura VAT"/>
    <s v="Apteka Szpitalna"/>
    <s v="UM-MED-01"/>
    <b v="0"/>
    <n v="14665.86"/>
    <s v="OK"/>
    <x v="0"/>
    <x v="2"/>
    <s v="2024-10"/>
    <n v="1"/>
  </r>
  <r>
    <s v="FV/9590/NOVA/24"/>
    <s v="PZ/802804"/>
    <x v="2"/>
    <d v="2024-10-24T00:00:00"/>
    <s v="19299.36"/>
    <s v="Zaakceptowana"/>
    <s v="Faktura VAT"/>
    <s v="Apteka Szpitalna"/>
    <s v=""/>
    <b v="0"/>
    <n v="19299.36"/>
    <s v="OK"/>
    <x v="1"/>
    <x v="2"/>
    <s v="2024-10"/>
    <n v="1"/>
  </r>
  <r>
    <s v="FV/CENFA/822255/24"/>
    <s v="PZ/802805"/>
    <x v="4"/>
    <d v="2024-10-24T00:00:00"/>
    <s v="19850.87"/>
    <s v="Zaakceptowana"/>
    <s v="Faktura VAT"/>
    <s v="Apteka Szpitalna"/>
    <s v="UM-CEN-01"/>
    <b v="0"/>
    <n v="19850.87"/>
    <s v="OK"/>
    <x v="0"/>
    <x v="2"/>
    <s v="2024-10"/>
    <n v="1"/>
  </r>
  <r>
    <s v="FV/POL/82872/2024"/>
    <s v="PZ/802806"/>
    <x v="0"/>
    <d v="2024-10-25T00:00:00"/>
    <s v="20351.45"/>
    <s v="Zaakceptowana"/>
    <s v="Faktura VAT"/>
    <s v="Apteka Szpitalna"/>
    <s v="UM-POL-03"/>
    <b v="0"/>
    <n v="20351.45"/>
    <s v="OK"/>
    <x v="0"/>
    <x v="2"/>
    <s v="2024-10"/>
    <n v="1"/>
  </r>
  <r>
    <s v="FV/37/SAL/24"/>
    <s v="PZ/802807"/>
    <x v="1"/>
    <d v="2024-10-25T00:00:00"/>
    <s v="21657.4"/>
    <s v="Zaakceptowana"/>
    <s v="Faktura VAT"/>
    <s v="Apteka Szpitalna"/>
    <s v=""/>
    <b v="0"/>
    <n v="21657.4"/>
    <s v="OK"/>
    <x v="1"/>
    <x v="2"/>
    <s v="2024-10"/>
    <n v="1"/>
  </r>
  <r>
    <s v="FV/2107HM/24"/>
    <s v="PZ/802808"/>
    <x v="3"/>
    <d v="2024-10-25T00:00:00"/>
    <s v="21643.95"/>
    <s v="Zaakceptowana"/>
    <s v="Faktura VAT"/>
    <s v="Apteka Szpitalna"/>
    <s v="UM-HUR-03"/>
    <b v="0"/>
    <n v="21643.95"/>
    <s v="OK"/>
    <x v="0"/>
    <x v="2"/>
    <s v="2024-10"/>
    <n v="1"/>
  </r>
  <r>
    <s v="FV/4835HM/24"/>
    <s v="PZ/802809"/>
    <x v="3"/>
    <d v="2024-10-26T00:00:00"/>
    <s v="11262.09"/>
    <s v="Zaakceptowana"/>
    <s v="Faktura VAT"/>
    <s v="Apteka Szpitalna"/>
    <s v="UM-HUR-02"/>
    <b v="0"/>
    <n v="11262.09"/>
    <s v="OK"/>
    <x v="0"/>
    <x v="2"/>
    <s v="2024-10"/>
    <n v="1"/>
  </r>
  <r>
    <s v="FV/10/SAL/24"/>
    <s v="PZ/802810"/>
    <x v="1"/>
    <d v="2024-10-26T00:00:00"/>
    <s v="6927.51"/>
    <s v="Zaakceptowana"/>
    <s v="Faktura VAT"/>
    <s v="Apteka Szpitalna"/>
    <s v="UM-SAL-02"/>
    <b v="0"/>
    <n v="6927.51"/>
    <s v="OK"/>
    <x v="0"/>
    <x v="2"/>
    <s v="2024-10"/>
    <n v="1"/>
  </r>
  <r>
    <s v="FV/67942/VDb/2024"/>
    <s v="PZ/802811"/>
    <x v="7"/>
    <d v="2024-10-26T00:00:00"/>
    <s v="19791.29"/>
    <s v="Zaakceptowana"/>
    <s v="Faktura VAT"/>
    <s v="Apteka Szpitalna"/>
    <s v=""/>
    <b v="0"/>
    <n v="19791.29"/>
    <s v="OK"/>
    <x v="1"/>
    <x v="2"/>
    <s v="2024-10"/>
    <n v="1"/>
  </r>
  <r>
    <s v="FV/42676/VDb/2024"/>
    <s v="PZ/802812"/>
    <x v="7"/>
    <d v="2024-10-26T00:00:00"/>
    <s v="14973.04"/>
    <s v="Zaakceptowana"/>
    <s v="Faktura VAT"/>
    <s v="Apteka Szpitalna"/>
    <s v=""/>
    <b v="0"/>
    <n v="14973.04"/>
    <s v="OK"/>
    <x v="1"/>
    <x v="2"/>
    <s v="2024-10"/>
    <n v="1"/>
  </r>
  <r>
    <s v="FV/9015/NOVA/24"/>
    <s v="PZ/802813"/>
    <x v="2"/>
    <d v="2024-10-26T00:00:00"/>
    <s v="22064.38"/>
    <s v="Zaakceptowana"/>
    <s v="Faktura VAT"/>
    <s v="Apteka Szpitalna"/>
    <s v="UM-NOV-02"/>
    <b v="0"/>
    <n v="22064.38"/>
    <s v="OK"/>
    <x v="0"/>
    <x v="2"/>
    <s v="2024-10"/>
    <n v="1"/>
  </r>
  <r>
    <s v="FV/44032/VDb/2024"/>
    <s v="PZ/802814"/>
    <x v="7"/>
    <d v="2024-10-26T00:00:00"/>
    <s v="14239.25"/>
    <s v="Zaakceptowana"/>
    <s v="Faktura VAT"/>
    <s v="Apteka Szpitalna"/>
    <s v="UM-VIT-01"/>
    <b v="0"/>
    <n v="14239.25"/>
    <s v="OK"/>
    <x v="0"/>
    <x v="2"/>
    <s v="2024-10"/>
    <n v="1"/>
  </r>
  <r>
    <s v="FV/CENFA/181217/24"/>
    <s v="PZ/802815"/>
    <x v="4"/>
    <d v="2024-10-27T00:00:00"/>
    <s v="18439.09"/>
    <s v="Zaakceptowana"/>
    <s v="Faktura VAT"/>
    <s v="Apteka Szpitalna"/>
    <s v="UM-CEN-02"/>
    <b v="0"/>
    <n v="18439.09"/>
    <s v="OK"/>
    <x v="0"/>
    <x v="2"/>
    <s v="2024-10"/>
    <n v="1"/>
  </r>
  <r>
    <s v="FV/89/SAL/24"/>
    <s v="PZ/802816"/>
    <x v="1"/>
    <d v="2024-10-27T00:00:00"/>
    <s v="7265.39"/>
    <s v="Zaakceptowana"/>
    <s v="Faktura VAT"/>
    <s v="Apteka Szpitalna"/>
    <s v="UM-SAL-02"/>
    <b v="0"/>
    <n v="7265.39"/>
    <s v="OK"/>
    <x v="0"/>
    <x v="2"/>
    <s v="2024-10"/>
    <n v="1"/>
  </r>
  <r>
    <s v="FV/M/8015/P/24"/>
    <s v="PZ/802817"/>
    <x v="5"/>
    <d v="2024-10-28T00:00:00"/>
    <s v="11604.32"/>
    <s v="Zaakceptowana"/>
    <s v="Faktura VAT"/>
    <s v="Apteka Szpitalna"/>
    <s v=""/>
    <b v="0"/>
    <n v="11604.32"/>
    <s v="OK"/>
    <x v="1"/>
    <x v="2"/>
    <s v="2024-10"/>
    <n v="1"/>
  </r>
  <r>
    <s v="FV/86/PP/7091/24"/>
    <s v="PZ/802818"/>
    <x v="6"/>
    <d v="2024-10-28T00:00:00"/>
    <s v="8932.75"/>
    <s v="Zaakceptowana"/>
    <s v="Faktura VAT"/>
    <s v="Apteka Szpitalna"/>
    <s v="UM-PHA-02"/>
    <b v="0"/>
    <n v="8932.75"/>
    <s v="OK"/>
    <x v="0"/>
    <x v="2"/>
    <s v="2024-10"/>
    <n v="1"/>
  </r>
  <r>
    <s v="FV/CENFA/428642/24"/>
    <s v="PZ/802819"/>
    <x v="4"/>
    <d v="2024-10-28T00:00:00"/>
    <s v="21488.96"/>
    <s v="Zaakceptowana"/>
    <s v="Faktura VAT"/>
    <s v="Apteka Szpitalna"/>
    <s v="UM-CEN-02"/>
    <b v="0"/>
    <n v="21488.959999999999"/>
    <s v="OK"/>
    <x v="0"/>
    <x v="2"/>
    <s v="2024-10"/>
    <n v="1"/>
  </r>
  <r>
    <s v="FV/POL/28230/2024"/>
    <s v="PZ/802820"/>
    <x v="0"/>
    <d v="2024-10-28T00:00:00"/>
    <s v="6187.69"/>
    <s v="Zaakceptowana"/>
    <s v="Faktura VAT"/>
    <s v="Apteka Szpitalna"/>
    <s v="UM-POL-03"/>
    <b v="0"/>
    <n v="6187.69"/>
    <s v="OK"/>
    <x v="0"/>
    <x v="2"/>
    <s v="2024-10"/>
    <n v="1"/>
  </r>
  <r>
    <s v="FV/55503/VDb/2024"/>
    <s v="PZ/802821"/>
    <x v="7"/>
    <d v="2024-10-28T00:00:00"/>
    <s v="20868.06"/>
    <s v="Zaakceptowana"/>
    <s v="Faktura VAT"/>
    <s v="Apteka Szpitalna"/>
    <s v="UM-VIT-01"/>
    <b v="0"/>
    <n v="20868.060000000001"/>
    <s v="OK"/>
    <x v="0"/>
    <x v="2"/>
    <s v="2024-10"/>
    <n v="1"/>
  </r>
  <r>
    <s v="FV/1548HM/24"/>
    <s v="PZ/802822"/>
    <x v="3"/>
    <d v="2024-10-29T00:00:00"/>
    <s v="11096.61"/>
    <s v="Zaakceptowana"/>
    <s v="Faktura VAT"/>
    <s v="Apteka Szpitalna"/>
    <s v="UM-HUR-02"/>
    <b v="0"/>
    <n v="11096.61"/>
    <s v="OK"/>
    <x v="0"/>
    <x v="2"/>
    <s v="2024-10"/>
    <n v="1"/>
  </r>
  <r>
    <s v="FV/M/1959/P/24"/>
    <s v="PZ/802823"/>
    <x v="5"/>
    <d v="2024-10-29T00:00:00"/>
    <s v="18630.7"/>
    <s v="Zaakceptowana"/>
    <s v="Faktura VAT"/>
    <s v="Apteka Szpitalna"/>
    <s v="UM-MED-01"/>
    <b v="0"/>
    <n v="18630.7"/>
    <s v="OK"/>
    <x v="0"/>
    <x v="2"/>
    <s v="2024-10"/>
    <n v="1"/>
  </r>
  <r>
    <s v="FV/23/SAL/24"/>
    <s v="PZ/802824"/>
    <x v="1"/>
    <d v="2024-10-29T00:00:00"/>
    <s v="18093.64"/>
    <s v="Zaakceptowana"/>
    <s v="Faktura VAT"/>
    <s v="Apteka Szpitalna"/>
    <s v=""/>
    <b v="0"/>
    <n v="18093.64"/>
    <s v="OK"/>
    <x v="1"/>
    <x v="2"/>
    <s v="2024-10"/>
    <n v="1"/>
  </r>
  <r>
    <s v="FV/59/PP/3520/24"/>
    <s v="PZ/802825"/>
    <x v="6"/>
    <d v="2024-10-29T00:00:00"/>
    <s v="-2422.14"/>
    <s v="Zaakceptowana"/>
    <s v="Korekta FV"/>
    <s v="Apteka Szpitalna"/>
    <s v="UM-PHA-01"/>
    <b v="0"/>
    <n v="-2422.14"/>
    <s v="OK"/>
    <x v="0"/>
    <x v="2"/>
    <s v="2024-10"/>
    <n v="1"/>
  </r>
  <r>
    <s v="FV/M/8652/P/24"/>
    <s v="PZ/802826"/>
    <x v="5"/>
    <d v="2024-10-30T00:00:00"/>
    <s v="13369.33"/>
    <s v="Zaakceptowana"/>
    <s v="Faktura VAT"/>
    <s v="Apteka Szpitalna"/>
    <s v=""/>
    <b v="0"/>
    <n v="13369.33"/>
    <s v="OK"/>
    <x v="1"/>
    <x v="2"/>
    <s v="2024-10"/>
    <n v="1"/>
  </r>
  <r>
    <s v="FV/37525/VDb/2024"/>
    <s v="PZ/802827"/>
    <x v="7"/>
    <d v="2024-10-30T00:00:00"/>
    <s v="25356.46"/>
    <s v="Zaakceptowana"/>
    <s v="Faktura VAT"/>
    <s v="Apteka Szpitalna"/>
    <s v="UM-VIT-01"/>
    <b v="0"/>
    <n v="25356.46"/>
    <s v="OK"/>
    <x v="0"/>
    <x v="2"/>
    <s v="2024-10"/>
    <n v="1"/>
  </r>
  <r>
    <s v="FV/POL/28386/2024"/>
    <s v="PZ/802828"/>
    <x v="0"/>
    <d v="2024-10-30T00:00:00"/>
    <s v="16079.97"/>
    <s v="Zaakceptowana"/>
    <s v="Faktura VAT"/>
    <s v="Apteka Szpitalna"/>
    <s v="UM-POL-02"/>
    <b v="0"/>
    <n v="16079.97"/>
    <s v="OK"/>
    <x v="0"/>
    <x v="2"/>
    <s v="2024-10"/>
    <n v="1"/>
  </r>
  <r>
    <s v="FV/6175HM/24"/>
    <s v="PZ/802829"/>
    <x v="3"/>
    <d v="2024-10-31T00:00:00"/>
    <s v="19734.29"/>
    <s v="Zaakceptowana"/>
    <s v="Faktura VAT"/>
    <s v="Apteka Szpitalna"/>
    <s v=""/>
    <b v="0"/>
    <n v="19734.29"/>
    <s v="OK"/>
    <x v="1"/>
    <x v="2"/>
    <s v="2024-10"/>
    <n v="1"/>
  </r>
  <r>
    <s v="FV/POL/63601/2024"/>
    <s v="PZ/802830"/>
    <x v="0"/>
    <d v="2024-10-31T00:00:00"/>
    <s v="-653.49"/>
    <s v="Zaakceptowana"/>
    <s v="Korekta FV"/>
    <s v="Apteka Szpitalna"/>
    <s v="UM-POL-01"/>
    <b v="0"/>
    <n v="-653.49"/>
    <s v="OK"/>
    <x v="0"/>
    <x v="2"/>
    <s v="2024-10"/>
    <n v="1"/>
  </r>
  <r>
    <s v="FV/36/PP/9400/24"/>
    <s v="PZ/802831"/>
    <x v="6"/>
    <d v="2024-10-31T00:00:00"/>
    <s v="10322.91"/>
    <s v="Zaakceptowana"/>
    <s v="Faktura VAT"/>
    <s v="Apteka Szpitalna"/>
    <s v="UM-PHA-01"/>
    <b v="0"/>
    <n v="10322.91"/>
    <s v="OK"/>
    <x v="0"/>
    <x v="2"/>
    <s v="2024-10"/>
    <n v="1"/>
  </r>
  <r>
    <s v="FV/97/SAL/24"/>
    <s v="PZ/802832"/>
    <x v="1"/>
    <d v="2024-10-31T00:00:00"/>
    <s v="15336.71"/>
    <s v="Zaakceptowana"/>
    <s v="Faktura VAT"/>
    <s v="Apteka Szpitalna"/>
    <s v="UM-SAL-02"/>
    <b v="0"/>
    <n v="15336.71"/>
    <s v="OK"/>
    <x v="0"/>
    <x v="2"/>
    <s v="2024-10"/>
    <n v="1"/>
  </r>
  <r>
    <s v="FV/CENFA/235327/24"/>
    <s v="PZ/802833"/>
    <x v="4"/>
    <d v="2024-11-01T00:00:00"/>
    <s v="12058.08"/>
    <s v="Zaakceptowana"/>
    <s v="Faktura VAT"/>
    <s v="Apteka Szpitalna"/>
    <s v="UM-CEN-01"/>
    <b v="0"/>
    <n v="12058.08"/>
    <s v="OK"/>
    <x v="0"/>
    <x v="2"/>
    <s v="2024-11"/>
    <n v="1"/>
  </r>
  <r>
    <s v="FV/M/8926/P/24"/>
    <s v="PZ/802834"/>
    <x v="5"/>
    <d v="2024-11-01T00:00:00"/>
    <s v="20559.59"/>
    <s v="Zaakceptowana"/>
    <s v="Faktura VAT"/>
    <s v="Apteka Szpitalna"/>
    <s v=""/>
    <b v="0"/>
    <n v="20559.59"/>
    <s v="OK"/>
    <x v="1"/>
    <x v="2"/>
    <s v="2024-11"/>
    <n v="1"/>
  </r>
  <r>
    <s v="FV/CENFA/501776/24"/>
    <s v="PZ/802835"/>
    <x v="4"/>
    <d v="2024-11-01T00:00:00"/>
    <s v="16714.62"/>
    <s v="Zaakceptowana"/>
    <s v="Faktura VAT"/>
    <s v="Apteka Szpitalna"/>
    <s v=""/>
    <b v="0"/>
    <n v="16714.62"/>
    <s v="OK"/>
    <x v="1"/>
    <x v="2"/>
    <s v="2024-11"/>
    <n v="1"/>
  </r>
  <r>
    <s v="FV/35/PP/8024/24"/>
    <s v="PZ/802836"/>
    <x v="6"/>
    <d v="2024-11-01T00:00:00"/>
    <s v="18602.01"/>
    <s v="Zaakceptowana"/>
    <s v="Faktura VAT"/>
    <s v="Apteka Szpitalna"/>
    <s v="UM-PHA-01"/>
    <b v="0"/>
    <n v="18602.009999999998"/>
    <s v="OK"/>
    <x v="0"/>
    <x v="2"/>
    <s v="2024-11"/>
    <n v="1"/>
  </r>
  <r>
    <s v="FV/CENFA/402933/24"/>
    <s v="PZ/802837"/>
    <x v="4"/>
    <d v="2024-11-02T00:00:00"/>
    <s v="17910.89"/>
    <s v="Zaakceptowana"/>
    <s v="Faktura VAT"/>
    <s v="Apteka Szpitalna"/>
    <s v="UM-CEN-02"/>
    <b v="0"/>
    <n v="17910.89"/>
    <s v="OK"/>
    <x v="0"/>
    <x v="2"/>
    <s v="2024-11"/>
    <n v="1"/>
  </r>
  <r>
    <s v="FV/95453/VDb/2024"/>
    <s v="PZ/802838"/>
    <x v="7"/>
    <d v="2024-11-02T00:00:00"/>
    <s v="8166.39"/>
    <s v="Zaakceptowana"/>
    <s v="Faktura VAT"/>
    <s v="Apteka Szpitalna"/>
    <s v="UM-VIT-01"/>
    <b v="0"/>
    <n v="8166.39"/>
    <s v="OK"/>
    <x v="0"/>
    <x v="2"/>
    <s v="2024-11"/>
    <n v="1"/>
  </r>
  <r>
    <s v="FV/M/8589/P/24"/>
    <s v="PZ/802839"/>
    <x v="5"/>
    <d v="2024-11-03T00:00:00"/>
    <s v="17536.11"/>
    <s v="Zaakceptowana"/>
    <s v="Faktura VAT"/>
    <s v="Apteka Szpitalna"/>
    <s v="UM-MED-01"/>
    <b v="0"/>
    <n v="17536.11"/>
    <s v="OK"/>
    <x v="0"/>
    <x v="2"/>
    <s v="2024-11"/>
    <n v="1"/>
  </r>
  <r>
    <s v="FV/38270/VDb/2024"/>
    <s v="PZ/802840"/>
    <x v="7"/>
    <d v="2024-11-04T00:00:00"/>
    <s v="22514.68"/>
    <s v="Zaakceptowana"/>
    <s v="Faktura VAT"/>
    <s v="Apteka Szpitalna"/>
    <s v=""/>
    <b v="0"/>
    <n v="22514.68"/>
    <s v="OK"/>
    <x v="1"/>
    <x v="2"/>
    <s v="2024-11"/>
    <n v="1"/>
  </r>
  <r>
    <s v="FV/8589/NOVA/24"/>
    <s v="PZ/802841"/>
    <x v="2"/>
    <d v="2024-11-05T00:00:00"/>
    <s v="14194.46"/>
    <s v="Zaakceptowana"/>
    <s v="Faktura VAT"/>
    <s v="Apteka Szpitalna"/>
    <s v="UM-NOV-02"/>
    <b v="0"/>
    <n v="14194.46"/>
    <s v="OK"/>
    <x v="0"/>
    <x v="2"/>
    <s v="2024-11"/>
    <n v="1"/>
  </r>
  <r>
    <s v="FV/30/SAL/24"/>
    <s v="PZ/802842"/>
    <x v="1"/>
    <d v="2024-11-06T00:00:00"/>
    <s v="11746.65"/>
    <s v="Zaakceptowana"/>
    <s v="Faktura VAT"/>
    <s v="Apteka Szpitalna"/>
    <s v="UM-SAL-02"/>
    <b v="0"/>
    <n v="11746.65"/>
    <s v="OK"/>
    <x v="0"/>
    <x v="2"/>
    <s v="2024-11"/>
    <n v="1"/>
  </r>
  <r>
    <s v="FV/7616/NOVA/24"/>
    <s v="PZ/802843"/>
    <x v="2"/>
    <d v="2024-11-06T00:00:00"/>
    <s v="19604.85"/>
    <s v="Zaakceptowana"/>
    <s v="Faktura VAT"/>
    <s v="Apteka Szpitalna"/>
    <s v="UM-NOV-02"/>
    <b v="0"/>
    <n v="19604.849999999999"/>
    <s v="OK"/>
    <x v="0"/>
    <x v="2"/>
    <s v="2024-11"/>
    <n v="1"/>
  </r>
  <r>
    <s v="FV/22569/VDb/2024"/>
    <s v="PZ/802844"/>
    <x v="7"/>
    <d v="2024-11-07T00:00:00"/>
    <s v="20616.31"/>
    <s v="Zaakceptowana"/>
    <s v="Faktura VAT"/>
    <s v="Apteka Szpitalna"/>
    <s v="UM-VIT-01"/>
    <b v="0"/>
    <n v="20616.310000000001"/>
    <s v="OK"/>
    <x v="0"/>
    <x v="2"/>
    <s v="2024-11"/>
    <n v="1"/>
  </r>
  <r>
    <s v="FV/M/1891/P/24"/>
    <s v="PZ/802845"/>
    <x v="5"/>
    <d v="2024-11-07T00:00:00"/>
    <s v="10778.99"/>
    <s v="Zaakceptowana"/>
    <s v="Faktura VAT"/>
    <s v="Apteka Szpitalna"/>
    <s v="UM-MED-01"/>
    <b v="0"/>
    <n v="10778.99"/>
    <s v="OK"/>
    <x v="0"/>
    <x v="2"/>
    <s v="2024-11"/>
    <n v="1"/>
  </r>
  <r>
    <s v="FV/91/PP/6625/24"/>
    <s v="PZ/802846"/>
    <x v="6"/>
    <d v="2024-11-07T00:00:00"/>
    <s v="6415.2"/>
    <s v="Zaakceptowana"/>
    <s v="Faktura VAT"/>
    <s v="Apteka Szpitalna"/>
    <s v="UM-PHA-01"/>
    <b v="0"/>
    <n v="6415.2"/>
    <s v="OK"/>
    <x v="0"/>
    <x v="2"/>
    <s v="2024-11"/>
    <n v="1"/>
  </r>
  <r>
    <s v="FV/41/PP/2190/24"/>
    <s v="PZ/802847"/>
    <x v="6"/>
    <d v="2024-11-07T00:00:00"/>
    <s v="17371.79"/>
    <s v="Zaakceptowana"/>
    <s v="Faktura VAT"/>
    <s v="Apteka Szpitalna"/>
    <s v=""/>
    <b v="0"/>
    <n v="17371.79"/>
    <s v="OK"/>
    <x v="1"/>
    <x v="2"/>
    <s v="2024-11"/>
    <n v="1"/>
  </r>
  <r>
    <s v="FV/POL/74684/2024"/>
    <s v="PZ/802848"/>
    <x v="0"/>
    <d v="2024-11-07T00:00:00"/>
    <s v="13887.26"/>
    <s v="Zaakceptowana"/>
    <s v="Faktura VAT"/>
    <s v="Apteka Szpitalna"/>
    <s v=""/>
    <b v="0"/>
    <n v="13887.26"/>
    <s v="OK"/>
    <x v="1"/>
    <x v="2"/>
    <s v="2024-11"/>
    <n v="1"/>
  </r>
  <r>
    <s v="FV/CENFA/919365/24"/>
    <s v="PZ/802849"/>
    <x v="4"/>
    <d v="2024-11-08T00:00:00"/>
    <s v="12969.32"/>
    <s v="Zaakceptowana"/>
    <s v="Faktura VAT"/>
    <s v="Apteka Szpitalna"/>
    <s v="UM-CEN-02"/>
    <b v="0"/>
    <n v="12969.32"/>
    <s v="OK"/>
    <x v="0"/>
    <x v="2"/>
    <s v="2024-11"/>
    <n v="1"/>
  </r>
  <r>
    <s v="FV/M/1584/P/24"/>
    <s v="PZ/802850"/>
    <x v="5"/>
    <d v="2024-11-08T00:00:00"/>
    <s v="16232.99"/>
    <s v="Zaakceptowana"/>
    <s v="Faktura VAT"/>
    <s v="Apteka Szpitalna"/>
    <s v="UM-MED-01"/>
    <b v="0"/>
    <n v="16232.99"/>
    <s v="OK"/>
    <x v="0"/>
    <x v="2"/>
    <s v="2024-11"/>
    <n v="1"/>
  </r>
  <r>
    <s v="FV/CENFA/534841/24"/>
    <s v="PZ/802851"/>
    <x v="4"/>
    <d v="2024-11-08T00:00:00"/>
    <s v="19102.91"/>
    <s v="Zaakceptowana"/>
    <s v="Faktura VAT"/>
    <s v="Apteka Szpitalna"/>
    <s v="UM-CEN-02"/>
    <b v="0"/>
    <n v="19102.91"/>
    <s v="OK"/>
    <x v="0"/>
    <x v="2"/>
    <s v="2024-11"/>
    <n v="1"/>
  </r>
  <r>
    <s v="FV/CENFA/559656/24"/>
    <s v="PZ/802852"/>
    <x v="4"/>
    <d v="2024-11-08T00:00:00"/>
    <s v="5859.83"/>
    <s v="Zaakceptowana"/>
    <s v="Faktura VAT"/>
    <s v="Apteka Szpitalna"/>
    <s v=""/>
    <b v="0"/>
    <n v="5859.83"/>
    <s v="OK"/>
    <x v="1"/>
    <x v="2"/>
    <s v="2024-11"/>
    <n v="1"/>
  </r>
  <r>
    <s v="FV/88/PP/3537/24"/>
    <s v="PZ/802853"/>
    <x v="6"/>
    <d v="2024-11-08T00:00:00"/>
    <s v="-402.06"/>
    <s v="Zaakceptowana"/>
    <s v="Korekta FV"/>
    <s v="Apteka Szpitalna"/>
    <s v="UM-PHA-01"/>
    <b v="0"/>
    <n v="-402.06"/>
    <s v="OK"/>
    <x v="0"/>
    <x v="2"/>
    <s v="2024-11"/>
    <n v="1"/>
  </r>
  <r>
    <s v="FV/4846HM/24"/>
    <s v="PZ/802854"/>
    <x v="3"/>
    <d v="2024-11-09T00:00:00"/>
    <s v="10281.08"/>
    <s v="Zaakceptowana"/>
    <s v="Faktura VAT"/>
    <s v="Apteka Szpitalna"/>
    <s v="UM-HUR-03"/>
    <b v="0"/>
    <n v="10281.08"/>
    <s v="OK"/>
    <x v="0"/>
    <x v="2"/>
    <s v="2024-11"/>
    <n v="1"/>
  </r>
  <r>
    <s v="FV/POL/31518/2024"/>
    <s v="PZ/802855"/>
    <x v="0"/>
    <d v="2024-11-09T00:00:00"/>
    <s v="8315.21"/>
    <s v="Zaakceptowana"/>
    <s v="Faktura VAT"/>
    <s v="Apteka Szpitalna"/>
    <s v="UM-POL-02"/>
    <b v="0"/>
    <n v="8315.2099999999991"/>
    <s v="OK"/>
    <x v="0"/>
    <x v="2"/>
    <s v="2024-11"/>
    <n v="1"/>
  </r>
  <r>
    <s v="FV/9470HM/24"/>
    <s v="PZ/802856"/>
    <x v="3"/>
    <d v="2024-11-09T00:00:00"/>
    <s v="15387.58"/>
    <s v="Zaakceptowana"/>
    <s v="Faktura VAT"/>
    <s v="Apteka Szpitalna"/>
    <s v="UM-HUR-01"/>
    <b v="0"/>
    <n v="15387.58"/>
    <s v="OK"/>
    <x v="0"/>
    <x v="2"/>
    <s v="2024-11"/>
    <n v="1"/>
  </r>
  <r>
    <s v="FV/26373/VDb/2024"/>
    <s v="PZ/802857"/>
    <x v="7"/>
    <d v="2024-11-09T00:00:00"/>
    <s v="18739.96"/>
    <s v="Zaakceptowana"/>
    <s v="Faktura VAT"/>
    <s v="Apteka Szpitalna"/>
    <s v="UM-VIT-01"/>
    <b v="0"/>
    <n v="18739.96"/>
    <s v="OK"/>
    <x v="0"/>
    <x v="2"/>
    <s v="2024-11"/>
    <n v="1"/>
  </r>
  <r>
    <s v="FV/51/SAL/24"/>
    <s v="PZ/802858"/>
    <x v="1"/>
    <d v="2024-11-10T00:00:00"/>
    <s v="8111.41"/>
    <s v="Zaakceptowana"/>
    <s v="Faktura VAT"/>
    <s v="Apteka Szpitalna"/>
    <s v="UM-SAL-01"/>
    <b v="0"/>
    <n v="8111.41"/>
    <s v="OK"/>
    <x v="0"/>
    <x v="2"/>
    <s v="2024-11"/>
    <n v="1"/>
  </r>
  <r>
    <s v="FV/POL/53329/2024"/>
    <s v="PZ/802859"/>
    <x v="0"/>
    <d v="2024-11-11T00:00:00"/>
    <s v="5014.87"/>
    <s v="Zaakceptowana"/>
    <s v="Faktura VAT"/>
    <s v="Apteka Szpitalna"/>
    <s v=""/>
    <b v="0"/>
    <n v="5014.87"/>
    <s v="OK"/>
    <x v="1"/>
    <x v="2"/>
    <s v="2024-11"/>
    <n v="1"/>
  </r>
  <r>
    <s v="FV/POL/10950/2024"/>
    <s v="PZ/802860"/>
    <x v="0"/>
    <d v="2024-11-11T00:00:00"/>
    <s v="24129.51"/>
    <s v="Zaakceptowana"/>
    <s v="Faktura VAT"/>
    <s v="Apteka Szpitalna"/>
    <s v="UM-POL-03"/>
    <b v="0"/>
    <n v="24129.51"/>
    <s v="OK"/>
    <x v="0"/>
    <x v="2"/>
    <s v="2024-11"/>
    <n v="1"/>
  </r>
  <r>
    <s v="FV/CENFA/747579/24"/>
    <s v="PZ/802861"/>
    <x v="4"/>
    <d v="2024-11-11T00:00:00"/>
    <s v="13025.81"/>
    <s v="Zaakceptowana"/>
    <s v="Faktura VAT"/>
    <s v="Apteka Szpitalna"/>
    <s v="UM-CEN-02"/>
    <b v="0"/>
    <n v="13025.81"/>
    <s v="OK"/>
    <x v="0"/>
    <x v="2"/>
    <s v="2024-11"/>
    <n v="1"/>
  </r>
  <r>
    <s v="FV/99/SAL/24"/>
    <s v="PZ/802862"/>
    <x v="1"/>
    <d v="2024-11-11T00:00:00"/>
    <s v="24209.71"/>
    <s v="Zaakceptowana"/>
    <s v="Faktura VAT"/>
    <s v="Apteka Szpitalna"/>
    <s v=""/>
    <b v="0"/>
    <n v="24209.71"/>
    <s v="OK"/>
    <x v="1"/>
    <x v="2"/>
    <s v="2024-11"/>
    <n v="1"/>
  </r>
  <r>
    <s v="FV/CENFA/780867/24"/>
    <s v="PZ/802863"/>
    <x v="4"/>
    <d v="2024-11-11T00:00:00"/>
    <s v="23690.77"/>
    <s v="Zaakceptowana"/>
    <s v="Faktura VAT"/>
    <s v="Apteka Szpitalna"/>
    <s v="UM-CEN-02"/>
    <b v="0"/>
    <n v="23690.77"/>
    <s v="OK"/>
    <x v="0"/>
    <x v="2"/>
    <s v="2024-11"/>
    <n v="1"/>
  </r>
  <r>
    <s v="FV/44/SAL/24"/>
    <s v="PZ/802864"/>
    <x v="1"/>
    <d v="2024-11-11T00:00:00"/>
    <s v="15955.91"/>
    <s v="Zaakceptowana"/>
    <s v="Faktura VAT"/>
    <s v="Apteka Szpitalna"/>
    <s v="UM-SAL-01"/>
    <b v="0"/>
    <n v="15955.91"/>
    <s v="OK"/>
    <x v="0"/>
    <x v="2"/>
    <s v="2024-11"/>
    <n v="1"/>
  </r>
  <r>
    <s v="FV/74/SAL/24"/>
    <s v="PZ/802865"/>
    <x v="1"/>
    <d v="2024-11-11T00:00:00"/>
    <s v="18404.15"/>
    <s v="Zaakceptowana"/>
    <s v="Faktura VAT"/>
    <s v="Apteka Szpitalna"/>
    <s v="UM-SAL-01"/>
    <b v="0"/>
    <n v="18404.150000000001"/>
    <s v="OK"/>
    <x v="0"/>
    <x v="2"/>
    <s v="2024-11"/>
    <n v="1"/>
  </r>
  <r>
    <s v="FV/54137/VDb/2024"/>
    <s v="PZ/802866"/>
    <x v="7"/>
    <d v="2024-11-11T00:00:00"/>
    <s v="17575.7"/>
    <s v="Zaakceptowana"/>
    <s v="Faktura VAT"/>
    <s v="Apteka Szpitalna"/>
    <s v="UM-VIT-01"/>
    <b v="0"/>
    <n v="17575.7"/>
    <s v="OK"/>
    <x v="0"/>
    <x v="2"/>
    <s v="2024-11"/>
    <n v="1"/>
  </r>
  <r>
    <s v="FV/40/PP/5847/24"/>
    <s v="PZ/802867"/>
    <x v="6"/>
    <d v="2024-11-12T00:00:00"/>
    <s v="21867.91"/>
    <s v="Zaakceptowana"/>
    <s v="Faktura VAT"/>
    <s v="Apteka Szpitalna"/>
    <s v="UM-PHA-01"/>
    <b v="0"/>
    <n v="21867.91"/>
    <s v="OK"/>
    <x v="0"/>
    <x v="2"/>
    <s v="2024-11"/>
    <n v="1"/>
  </r>
  <r>
    <s v="FV/CENFA/369488/24"/>
    <s v="PZ/802868"/>
    <x v="4"/>
    <d v="2024-11-13T00:00:00"/>
    <s v="15010.81"/>
    <s v="Zaakceptowana"/>
    <s v="Faktura VAT"/>
    <s v="Apteka Szpitalna"/>
    <s v=""/>
    <b v="0"/>
    <n v="15010.81"/>
    <s v="OK"/>
    <x v="1"/>
    <x v="2"/>
    <s v="2024-11"/>
    <n v="1"/>
  </r>
  <r>
    <s v="FV/75178/VDb/2024"/>
    <s v="PZ/802869"/>
    <x v="7"/>
    <d v="2024-11-13T00:00:00"/>
    <s v="15099.27"/>
    <s v="Zaakceptowana"/>
    <s v="Faktura VAT"/>
    <s v="Apteka Szpitalna"/>
    <s v="UM-VIT-01"/>
    <b v="0"/>
    <n v="15099.27"/>
    <s v="OK"/>
    <x v="0"/>
    <x v="2"/>
    <s v="2024-11"/>
    <n v="1"/>
  </r>
  <r>
    <s v="FV/46/SAL/24"/>
    <s v="PZ/802870"/>
    <x v="1"/>
    <d v="2024-11-13T00:00:00"/>
    <s v="19720.31"/>
    <s v="Zaakceptowana"/>
    <s v="Faktura VAT"/>
    <s v="Apteka Szpitalna"/>
    <s v="UM-SAL-02"/>
    <b v="0"/>
    <n v="19720.310000000001"/>
    <s v="OK"/>
    <x v="0"/>
    <x v="2"/>
    <s v="2024-11"/>
    <n v="1"/>
  </r>
  <r>
    <s v="FV/M/5546/P/24"/>
    <s v="PZ/802871"/>
    <x v="5"/>
    <d v="2024-11-13T00:00:00"/>
    <s v="15250.19"/>
    <s v="Zaakceptowana"/>
    <s v="Faktura VAT"/>
    <s v="Apteka Szpitalna"/>
    <s v="UM-MED-02"/>
    <b v="0"/>
    <n v="15250.19"/>
    <s v="OK"/>
    <x v="0"/>
    <x v="2"/>
    <s v="2024-11"/>
    <n v="1"/>
  </r>
  <r>
    <s v="FV/M/5534/P/24"/>
    <s v="PZ/802872"/>
    <x v="5"/>
    <d v="2024-11-13T00:00:00"/>
    <s v="16747.2"/>
    <s v="Zaakceptowana"/>
    <s v="Faktura VAT"/>
    <s v="Apteka Szpitalna"/>
    <s v="UM-MED-01"/>
    <b v="0"/>
    <n v="16747.2"/>
    <s v="OK"/>
    <x v="0"/>
    <x v="2"/>
    <s v="2024-11"/>
    <n v="1"/>
  </r>
  <r>
    <s v="FV/POL/54843/2024"/>
    <s v="PZ/802873"/>
    <x v="0"/>
    <d v="2024-11-13T00:00:00"/>
    <s v="15358.59"/>
    <s v="Zaakceptowana"/>
    <s v="Faktura VAT"/>
    <s v="Apteka Szpitalna"/>
    <s v="UM-POL-03"/>
    <b v="0"/>
    <n v="15358.59"/>
    <s v="OK"/>
    <x v="0"/>
    <x v="2"/>
    <s v="2024-11"/>
    <n v="1"/>
  </r>
  <r>
    <s v="FV/M/1862/P/24"/>
    <s v="PZ/802874"/>
    <x v="5"/>
    <d v="2024-11-14T00:00:00"/>
    <s v="13715.68"/>
    <s v="Zaakceptowana"/>
    <s v="Faktura VAT"/>
    <s v="Apteka Szpitalna"/>
    <s v="UM-MED-01"/>
    <b v="0"/>
    <n v="13715.68"/>
    <s v="OK"/>
    <x v="0"/>
    <x v="2"/>
    <s v="2024-11"/>
    <n v="1"/>
  </r>
  <r>
    <s v="FV/POL/53188/2024"/>
    <s v="PZ/802875"/>
    <x v="0"/>
    <d v="2024-11-14T00:00:00"/>
    <s v="12849.04"/>
    <s v="Zaakceptowana"/>
    <s v="Faktura VAT"/>
    <s v="Apteka Szpitalna"/>
    <s v=""/>
    <b v="0"/>
    <n v="12849.04"/>
    <s v="OK"/>
    <x v="1"/>
    <x v="2"/>
    <s v="2024-11"/>
    <n v="1"/>
  </r>
  <r>
    <s v="FV/POL/20676/2024"/>
    <s v="PZ/802876"/>
    <x v="0"/>
    <d v="2024-11-14T00:00:00"/>
    <s v="18105.28"/>
    <s v="Zaakceptowana"/>
    <s v="Faktura VAT"/>
    <s v="Apteka Szpitalna"/>
    <s v="UM-POL-02"/>
    <b v="0"/>
    <n v="18105.28"/>
    <s v="OK"/>
    <x v="0"/>
    <x v="2"/>
    <s v="2024-11"/>
    <n v="1"/>
  </r>
  <r>
    <s v="FV/21946/VDb/2024"/>
    <s v="PZ/802877"/>
    <x v="7"/>
    <d v="2024-11-15T00:00:00"/>
    <s v="18336.63"/>
    <s v="Zaakceptowana"/>
    <s v="Faktura VAT"/>
    <s v="Apteka Szpitalna"/>
    <s v="UM-VIT-01"/>
    <b v="0"/>
    <n v="18336.63"/>
    <s v="OK"/>
    <x v="0"/>
    <x v="2"/>
    <s v="2024-11"/>
    <n v="1"/>
  </r>
  <r>
    <s v="FV/9209/NOVA/24"/>
    <s v="PZ/802878"/>
    <x v="2"/>
    <d v="2024-11-15T00:00:00"/>
    <s v="9164.6"/>
    <s v="Zaakceptowana"/>
    <s v="Faktura VAT"/>
    <s v="Apteka Szpitalna"/>
    <s v="UM-NOV-01"/>
    <b v="0"/>
    <n v="9164.6"/>
    <s v="OK"/>
    <x v="0"/>
    <x v="2"/>
    <s v="2024-11"/>
    <n v="1"/>
  </r>
  <r>
    <s v="FV/CENFA/894392/24"/>
    <s v="PZ/802879"/>
    <x v="4"/>
    <d v="2024-11-15T00:00:00"/>
    <s v="8481.77"/>
    <s v="Zaakceptowana"/>
    <s v="Faktura VAT"/>
    <s v="Apteka Szpitalna"/>
    <s v=""/>
    <b v="0"/>
    <n v="8481.77"/>
    <s v="OK"/>
    <x v="1"/>
    <x v="2"/>
    <s v="2024-11"/>
    <n v="1"/>
  </r>
  <r>
    <s v="FV/POL/63659/2024"/>
    <s v="PZ/802880"/>
    <x v="0"/>
    <d v="2024-11-15T00:00:00"/>
    <s v="14462.35"/>
    <s v="Zaakceptowana"/>
    <s v="Faktura VAT"/>
    <s v="Apteka Szpitalna"/>
    <s v="UM-POL-02"/>
    <b v="0"/>
    <n v="14462.35"/>
    <s v="OK"/>
    <x v="0"/>
    <x v="2"/>
    <s v="2024-11"/>
    <n v="1"/>
  </r>
  <r>
    <s v="FV/71503/VDb/2024"/>
    <s v="PZ/802881"/>
    <x v="7"/>
    <d v="2024-11-16T00:00:00"/>
    <s v="17812.69"/>
    <s v="Zaakceptowana"/>
    <s v="Faktura VAT"/>
    <s v="Apteka Szpitalna"/>
    <s v="UM-VIT-01"/>
    <b v="0"/>
    <n v="17812.689999999999"/>
    <s v="OK"/>
    <x v="0"/>
    <x v="2"/>
    <s v="2024-11"/>
    <n v="1"/>
  </r>
  <r>
    <s v="FV/1980HM/24"/>
    <s v="PZ/802882"/>
    <x v="3"/>
    <d v="2024-11-18T00:00:00"/>
    <s v="11493.59"/>
    <s v="Zaakceptowana"/>
    <s v="Faktura VAT"/>
    <s v="Apteka Szpitalna"/>
    <s v=""/>
    <b v="0"/>
    <n v="11493.59"/>
    <s v="OK"/>
    <x v="1"/>
    <x v="2"/>
    <s v="2024-11"/>
    <n v="1"/>
  </r>
  <r>
    <s v="FV/66/SAL/24"/>
    <s v="PZ/802883"/>
    <x v="1"/>
    <d v="2024-11-18T00:00:00"/>
    <s v="18874.79"/>
    <s v="Zaakceptowana"/>
    <s v="Faktura VAT"/>
    <s v="Apteka Szpitalna"/>
    <s v="UM-SAL-01"/>
    <b v="0"/>
    <n v="18874.79"/>
    <s v="OK"/>
    <x v="0"/>
    <x v="2"/>
    <s v="2024-11"/>
    <n v="1"/>
  </r>
  <r>
    <s v="FV/M/7193/P/24"/>
    <s v="PZ/802884"/>
    <x v="5"/>
    <d v="2024-11-18T00:00:00"/>
    <s v="16062.57"/>
    <s v="Zaakceptowana"/>
    <s v="Faktura VAT"/>
    <s v="Apteka Szpitalna"/>
    <s v=""/>
    <b v="0"/>
    <n v="16062.57"/>
    <s v="OK"/>
    <x v="1"/>
    <x v="2"/>
    <s v="2024-11"/>
    <n v="1"/>
  </r>
  <r>
    <s v="FV/51/SAL/24"/>
    <s v="PZ/802885"/>
    <x v="1"/>
    <d v="2024-11-18T00:00:00"/>
    <s v="15146.72"/>
    <s v="Zaakceptowana"/>
    <s v="Faktura VAT"/>
    <s v="Apteka Szpitalna"/>
    <s v="UM-SAL-01"/>
    <b v="0"/>
    <n v="15146.72"/>
    <s v="OK"/>
    <x v="0"/>
    <x v="2"/>
    <s v="2024-11"/>
    <n v="1"/>
  </r>
  <r>
    <s v="FV/7857HM/24"/>
    <s v="PZ/802886"/>
    <x v="3"/>
    <d v="2024-11-20T00:00:00"/>
    <s v="17503.92"/>
    <s v="Zaakceptowana"/>
    <s v="Faktura VAT"/>
    <s v="Apteka Szpitalna"/>
    <s v="UM-HUR-03"/>
    <b v="0"/>
    <n v="17503.919999999998"/>
    <s v="OK"/>
    <x v="0"/>
    <x v="2"/>
    <s v="2024-11"/>
    <n v="1"/>
  </r>
  <r>
    <s v="FV/CENFA/631096/24"/>
    <s v="PZ/802887"/>
    <x v="4"/>
    <d v="2024-11-20T00:00:00"/>
    <s v="-1297.97"/>
    <s v="Zaakceptowana"/>
    <s v="Korekta FV"/>
    <s v="Apteka Szpitalna"/>
    <s v="UM-CEN-01"/>
    <b v="0"/>
    <n v="-1297.97"/>
    <s v="OK"/>
    <x v="0"/>
    <x v="2"/>
    <s v="2024-11"/>
    <n v="1"/>
  </r>
  <r>
    <s v="FV/71/SAL/24"/>
    <s v="PZ/802888"/>
    <x v="1"/>
    <d v="2024-11-22T00:00:00"/>
    <s v="14321.11"/>
    <s v="Zaakceptowana"/>
    <s v="Faktura VAT"/>
    <s v="Apteka Szpitalna"/>
    <s v="UM-SAL-02"/>
    <b v="0"/>
    <n v="14321.11"/>
    <s v="OK"/>
    <x v="0"/>
    <x v="2"/>
    <s v="2024-11"/>
    <n v="1"/>
  </r>
  <r>
    <s v="FV/88911/VDb/2024"/>
    <s v="PZ/802889"/>
    <x v="7"/>
    <d v="2024-11-22T00:00:00"/>
    <s v="349.11"/>
    <s v="Zaakceptowana"/>
    <s v="Faktura VAT"/>
    <s v="Apteka Szpitalna"/>
    <s v="UM-VIT-01"/>
    <b v="0"/>
    <n v="349.11"/>
    <s v="OK"/>
    <x v="0"/>
    <x v="2"/>
    <s v="2024-11"/>
    <n v="1"/>
  </r>
  <r>
    <s v="FV/CENFA/876969/24"/>
    <s v="PZ/802890"/>
    <x v="4"/>
    <d v="2024-11-22T00:00:00"/>
    <s v="13264.8"/>
    <s v="Zaakceptowana"/>
    <s v="Faktura VAT"/>
    <s v="Apteka Szpitalna"/>
    <s v="UM-CEN-02"/>
    <b v="0"/>
    <n v="13264.8"/>
    <s v="OK"/>
    <x v="0"/>
    <x v="2"/>
    <s v="2024-11"/>
    <n v="1"/>
  </r>
  <r>
    <s v="FV/CENFA/719767/24"/>
    <s v="PZ/802891"/>
    <x v="4"/>
    <d v="2024-11-22T00:00:00"/>
    <s v="14373.17"/>
    <s v="Zaakceptowana"/>
    <s v="Faktura VAT"/>
    <s v="Apteka Szpitalna"/>
    <s v="UM-CEN-01"/>
    <b v="0"/>
    <n v="14373.17"/>
    <s v="OK"/>
    <x v="0"/>
    <x v="2"/>
    <s v="2024-11"/>
    <n v="1"/>
  </r>
  <r>
    <s v="FV/3301HM/24"/>
    <s v="PZ/802892"/>
    <x v="3"/>
    <d v="2024-11-23T00:00:00"/>
    <s v="14737.28"/>
    <s v="Zaakceptowana"/>
    <s v="Faktura VAT"/>
    <s v="Apteka Szpitalna"/>
    <s v="UM-HUR-01"/>
    <b v="0"/>
    <n v="14737.28"/>
    <s v="OK"/>
    <x v="0"/>
    <x v="2"/>
    <s v="2024-11"/>
    <n v="1"/>
  </r>
  <r>
    <s v="FV/M/7342/P/24"/>
    <s v="PZ/802893"/>
    <x v="5"/>
    <d v="2024-11-23T00:00:00"/>
    <s v="22039.48"/>
    <s v="Zaakceptowana"/>
    <s v="Faktura VAT"/>
    <s v="Apteka Szpitalna"/>
    <s v="UM-MED-01"/>
    <b v="0"/>
    <n v="22039.48"/>
    <s v="OK"/>
    <x v="0"/>
    <x v="2"/>
    <s v="2024-11"/>
    <n v="1"/>
  </r>
  <r>
    <s v="FV/7916HM/24"/>
    <s v="PZ/802894"/>
    <x v="3"/>
    <d v="2024-11-24T00:00:00"/>
    <s v="15219.89"/>
    <s v="Zaakceptowana"/>
    <s v="Faktura VAT"/>
    <s v="Apteka Szpitalna"/>
    <s v="UM-HUR-02"/>
    <b v="0"/>
    <n v="15219.89"/>
    <s v="OK"/>
    <x v="0"/>
    <x v="2"/>
    <s v="2024-11"/>
    <n v="1"/>
  </r>
  <r>
    <s v="FV/93379/VDb/2024"/>
    <s v="PZ/802895"/>
    <x v="7"/>
    <d v="2024-11-24T00:00:00"/>
    <s v="15367.43"/>
    <s v="Zaakceptowana"/>
    <s v="Faktura VAT"/>
    <s v="Apteka Szpitalna"/>
    <s v="UM-VIT-01"/>
    <b v="0"/>
    <n v="15367.43"/>
    <s v="OK"/>
    <x v="0"/>
    <x v="2"/>
    <s v="2024-11"/>
    <n v="1"/>
  </r>
  <r>
    <s v="FV/M/2928/P/24"/>
    <s v="PZ/802896"/>
    <x v="5"/>
    <d v="2024-11-25T00:00:00"/>
    <s v="20182.78"/>
    <s v="Zaakceptowana"/>
    <s v="Faktura VAT"/>
    <s v="Apteka Szpitalna"/>
    <s v="UM-MED-01"/>
    <b v="0"/>
    <n v="20182.78"/>
    <s v="OK"/>
    <x v="0"/>
    <x v="2"/>
    <s v="2024-11"/>
    <n v="1"/>
  </r>
  <r>
    <s v="FV/M/2442/P/24"/>
    <s v="PZ/802897"/>
    <x v="5"/>
    <d v="2024-11-26T00:00:00"/>
    <s v="11135.13"/>
    <s v="Zaakceptowana"/>
    <s v="Faktura VAT"/>
    <s v="Apteka Szpitalna"/>
    <s v=""/>
    <b v="0"/>
    <n v="11135.13"/>
    <s v="OK"/>
    <x v="1"/>
    <x v="2"/>
    <s v="2024-11"/>
    <n v="1"/>
  </r>
  <r>
    <s v="FV/1797/NOVA/24"/>
    <s v="PZ/802898"/>
    <x v="2"/>
    <d v="2024-11-26T00:00:00"/>
    <s v="14186.35"/>
    <s v="Zaakceptowana"/>
    <s v="Faktura VAT"/>
    <s v="Apteka Szpitalna"/>
    <s v="UM-NOV-01"/>
    <b v="0"/>
    <n v="14186.35"/>
    <s v="OK"/>
    <x v="0"/>
    <x v="2"/>
    <s v="2024-11"/>
    <n v="1"/>
  </r>
  <r>
    <s v="FV/2691HM/24"/>
    <s v="PZ/802899"/>
    <x v="3"/>
    <d v="2024-11-26T00:00:00"/>
    <s v="12193.43"/>
    <s v="Zaakceptowana"/>
    <s v="Faktura VAT"/>
    <s v="Apteka Szpitalna"/>
    <s v=""/>
    <b v="0"/>
    <n v="12193.43"/>
    <s v="OK"/>
    <x v="1"/>
    <x v="2"/>
    <s v="2024-11"/>
    <n v="1"/>
  </r>
  <r>
    <s v="FV/16826/VDb/2024"/>
    <s v="PZ/802900"/>
    <x v="7"/>
    <d v="2024-11-27T00:00:00"/>
    <s v="18162.88"/>
    <s v="Zaakceptowana"/>
    <s v="Faktura VAT"/>
    <s v="Apteka Szpitalna"/>
    <s v="UM-VIT-01"/>
    <b v="0"/>
    <n v="18162.88"/>
    <s v="OK"/>
    <x v="0"/>
    <x v="2"/>
    <s v="2024-11"/>
    <n v="1"/>
  </r>
  <r>
    <s v="FV/46/SAL/24"/>
    <s v="PZ/802901"/>
    <x v="1"/>
    <d v="2024-11-27T00:00:00"/>
    <s v="18277.06"/>
    <s v="Zaakceptowana"/>
    <s v="Faktura VAT"/>
    <s v="Apteka Szpitalna"/>
    <s v="UM-SAL-01"/>
    <b v="0"/>
    <n v="18277.060000000001"/>
    <s v="OK"/>
    <x v="0"/>
    <x v="2"/>
    <s v="2024-11"/>
    <n v="1"/>
  </r>
  <r>
    <s v="FV/9756/NOVA/24"/>
    <s v="PZ/802902"/>
    <x v="2"/>
    <d v="2024-11-27T00:00:00"/>
    <s v="-911.47"/>
    <s v="Zaakceptowana"/>
    <s v="Korekta FV"/>
    <s v="Apteka Szpitalna"/>
    <s v="UM-NOV-03"/>
    <b v="0"/>
    <n v="-911.47"/>
    <s v="OK"/>
    <x v="0"/>
    <x v="2"/>
    <s v="2024-11"/>
    <n v="1"/>
  </r>
  <r>
    <s v="FV/91/SAL/24"/>
    <s v="PZ/802903"/>
    <x v="1"/>
    <d v="2024-11-27T00:00:00"/>
    <s v="13763.25"/>
    <s v="Zaakceptowana"/>
    <s v="Faktura VAT"/>
    <s v="Apteka Szpitalna"/>
    <s v="UM-SAL-01"/>
    <b v="0"/>
    <n v="13763.25"/>
    <s v="OK"/>
    <x v="0"/>
    <x v="2"/>
    <s v="2024-11"/>
    <n v="1"/>
  </r>
  <r>
    <s v="FV/8464/NOVA/24"/>
    <s v="PZ/802904"/>
    <x v="2"/>
    <d v="2024-11-28T00:00:00"/>
    <s v="14619.64"/>
    <s v="Zaakceptowana"/>
    <s v="Faktura VAT"/>
    <s v="Apteka Szpitalna"/>
    <s v="UM-NOV-01"/>
    <b v="0"/>
    <n v="14619.64"/>
    <s v="OK"/>
    <x v="0"/>
    <x v="2"/>
    <s v="2024-11"/>
    <n v="1"/>
  </r>
  <r>
    <s v="FV/POL/51381/2024"/>
    <s v="PZ/802905"/>
    <x v="0"/>
    <d v="2024-11-28T00:00:00"/>
    <s v="14222.23"/>
    <s v="Zaakceptowana"/>
    <s v="Faktura VAT"/>
    <s v="Apteka Szpitalna"/>
    <s v="UM-POL-02"/>
    <b v="0"/>
    <n v="14222.23"/>
    <s v="OK"/>
    <x v="0"/>
    <x v="2"/>
    <s v="2024-11"/>
    <n v="1"/>
  </r>
  <r>
    <s v="FV/CENFA/966495/24"/>
    <s v="PZ/802906"/>
    <x v="4"/>
    <d v="2024-11-29T00:00:00"/>
    <s v="16888.45"/>
    <s v="Zaakceptowana"/>
    <s v="Faktura VAT"/>
    <s v="Apteka Szpitalna"/>
    <s v="UM-CEN-01"/>
    <b v="0"/>
    <n v="16888.45"/>
    <s v="OK"/>
    <x v="0"/>
    <x v="2"/>
    <s v="2024-11"/>
    <n v="1"/>
  </r>
  <r>
    <s v="FV/84/SAL/24"/>
    <s v="PZ/802907"/>
    <x v="1"/>
    <d v="2024-11-29T00:00:00"/>
    <s v="13483.34"/>
    <s v="Zaakceptowana"/>
    <s v="Faktura VAT"/>
    <s v="Apteka Szpitalna"/>
    <s v="UM-SAL-02"/>
    <b v="0"/>
    <n v="13483.34"/>
    <s v="OK"/>
    <x v="0"/>
    <x v="2"/>
    <s v="2024-11"/>
    <n v="1"/>
  </r>
  <r>
    <s v="FV/9408/NOVA/24"/>
    <s v="PZ/802908"/>
    <x v="2"/>
    <d v="2024-11-29T00:00:00"/>
    <s v="20445.67"/>
    <s v="Zaakceptowana"/>
    <s v="Faktura VAT"/>
    <s v="Apteka Szpitalna"/>
    <s v="UM-NOV-03"/>
    <b v="0"/>
    <n v="20445.669999999998"/>
    <s v="OK"/>
    <x v="0"/>
    <x v="2"/>
    <s v="2024-11"/>
    <n v="1"/>
  </r>
  <r>
    <s v="FV/8113/NOVA/24"/>
    <s v="PZ/802909"/>
    <x v="2"/>
    <d v="2024-12-01T00:00:00"/>
    <s v="18920.36"/>
    <s v="Zaakceptowana"/>
    <s v="Faktura VAT"/>
    <s v="Apteka Szpitalna"/>
    <s v="UM-NOV-02"/>
    <b v="0"/>
    <n v="18920.36"/>
    <s v="OK"/>
    <x v="0"/>
    <x v="2"/>
    <s v="2024-12"/>
    <n v="1"/>
  </r>
  <r>
    <s v="FV/4698HM/24"/>
    <s v="PZ/802910"/>
    <x v="3"/>
    <d v="2024-12-01T00:00:00"/>
    <s v="17958.2"/>
    <s v="Zaakceptowana"/>
    <s v="Faktura VAT"/>
    <s v="Apteka Szpitalna"/>
    <s v="UM-HUR-03"/>
    <b v="0"/>
    <n v="17958.2"/>
    <s v="OK"/>
    <x v="0"/>
    <x v="2"/>
    <s v="2024-12"/>
    <n v="1"/>
  </r>
  <r>
    <s v="FV/63/PP/7573/24"/>
    <s v="PZ/802911"/>
    <x v="6"/>
    <d v="2024-12-01T00:00:00"/>
    <s v="22181.54"/>
    <s v="Zaakceptowana"/>
    <s v="Faktura VAT"/>
    <s v="Apteka Szpitalna"/>
    <s v="UM-PHA-02"/>
    <b v="0"/>
    <n v="22181.54"/>
    <s v="OK"/>
    <x v="0"/>
    <x v="2"/>
    <s v="2024-12"/>
    <n v="1"/>
  </r>
  <r>
    <s v="FV/88139/VDb/2024"/>
    <s v="PZ/802912"/>
    <x v="7"/>
    <d v="2024-12-02T00:00:00"/>
    <s v="-1388.38"/>
    <s v="Zaakceptowana"/>
    <s v="Korekta FV"/>
    <s v="Apteka Szpitalna"/>
    <s v="UM-VIT-01"/>
    <b v="0"/>
    <n v="-1388.38"/>
    <s v="OK"/>
    <x v="0"/>
    <x v="2"/>
    <s v="2024-12"/>
    <n v="1"/>
  </r>
  <r>
    <s v="FV/M/4195/P/24"/>
    <s v="PZ/802913"/>
    <x v="5"/>
    <d v="2024-12-02T00:00:00"/>
    <s v="20900.99"/>
    <s v="Zaakceptowana"/>
    <s v="Faktura VAT"/>
    <s v="Apteka Szpitalna"/>
    <s v="UM-MED-01"/>
    <b v="0"/>
    <n v="20900.990000000002"/>
    <s v="OK"/>
    <x v="0"/>
    <x v="2"/>
    <s v="2024-12"/>
    <n v="1"/>
  </r>
  <r>
    <s v="FV/91/PP/8816/24"/>
    <s v="PZ/802914"/>
    <x v="6"/>
    <d v="2024-12-02T00:00:00"/>
    <s v="-3451.65"/>
    <s v="Zaakceptowana"/>
    <s v="Korekta FV"/>
    <s v="Apteka Szpitalna"/>
    <s v="UM-PHA-01"/>
    <b v="0"/>
    <n v="-3451.65"/>
    <s v="OK"/>
    <x v="0"/>
    <x v="2"/>
    <s v="2024-12"/>
    <n v="1"/>
  </r>
  <r>
    <s v="FV/28/PP/8509/24"/>
    <s v="PZ/802915"/>
    <x v="6"/>
    <d v="2024-12-02T00:00:00"/>
    <s v="14468.96"/>
    <s v="Zaakceptowana"/>
    <s v="Faktura VAT"/>
    <s v="Apteka Szpitalna"/>
    <s v="UM-PHA-01"/>
    <b v="0"/>
    <n v="14468.96"/>
    <s v="OK"/>
    <x v="0"/>
    <x v="2"/>
    <s v="2024-12"/>
    <n v="1"/>
  </r>
  <r>
    <s v="FV/9242/NOVA/24"/>
    <s v="PZ/802916"/>
    <x v="2"/>
    <d v="2024-12-03T00:00:00"/>
    <s v="9797.16"/>
    <s v="Zaakceptowana"/>
    <s v="Faktura VAT"/>
    <s v="Apteka Szpitalna"/>
    <s v="UM-NOV-02"/>
    <b v="0"/>
    <n v="9797.16"/>
    <s v="OK"/>
    <x v="0"/>
    <x v="2"/>
    <s v="2024-12"/>
    <n v="1"/>
  </r>
  <r>
    <s v="FV/22/PP/6043/24"/>
    <s v="PZ/802917"/>
    <x v="6"/>
    <d v="2024-12-03T00:00:00"/>
    <s v="13188.19"/>
    <s v="Zaakceptowana"/>
    <s v="Faktura VAT"/>
    <s v="Apteka Szpitalna"/>
    <s v="UM-PHA-02"/>
    <b v="0"/>
    <n v="13188.19"/>
    <s v="OK"/>
    <x v="0"/>
    <x v="2"/>
    <s v="2024-12"/>
    <n v="1"/>
  </r>
  <r>
    <s v="FV/M/7448/P/24"/>
    <s v="PZ/802918"/>
    <x v="5"/>
    <d v="2024-12-04T00:00:00"/>
    <s v="12967.64"/>
    <s v="Zaakceptowana"/>
    <s v="Faktura VAT"/>
    <s v="Apteka Szpitalna"/>
    <s v=""/>
    <b v="0"/>
    <n v="12967.64"/>
    <s v="OK"/>
    <x v="1"/>
    <x v="2"/>
    <s v="2024-12"/>
    <n v="1"/>
  </r>
  <r>
    <s v="FV/53/PP/1778/24"/>
    <s v="PZ/802919"/>
    <x v="6"/>
    <d v="2024-12-04T00:00:00"/>
    <s v="13313.1"/>
    <s v="Zaakceptowana"/>
    <s v="Faktura VAT"/>
    <s v="Apteka Szpitalna"/>
    <s v="UM-PHA-01"/>
    <b v="0"/>
    <n v="13313.1"/>
    <s v="OK"/>
    <x v="0"/>
    <x v="2"/>
    <s v="2024-12"/>
    <n v="1"/>
  </r>
  <r>
    <s v="FV/M/1228/P/24"/>
    <s v="PZ/802920"/>
    <x v="5"/>
    <d v="2024-12-04T00:00:00"/>
    <s v="15217.99"/>
    <s v="Zaakceptowana"/>
    <s v="Faktura VAT"/>
    <s v="Apteka Szpitalna"/>
    <s v="UM-MED-02"/>
    <b v="0"/>
    <n v="15217.99"/>
    <s v="OK"/>
    <x v="0"/>
    <x v="2"/>
    <s v="2024-12"/>
    <n v="1"/>
  </r>
  <r>
    <s v="FV/M/6348/P/24"/>
    <s v="PZ/802921"/>
    <x v="5"/>
    <d v="2024-12-04T00:00:00"/>
    <s v="11659.36"/>
    <s v="Zaakceptowana"/>
    <s v="Faktura VAT"/>
    <s v="Apteka Szpitalna"/>
    <s v="UM-MED-01"/>
    <b v="0"/>
    <n v="11659.36"/>
    <s v="OK"/>
    <x v="0"/>
    <x v="2"/>
    <s v="2024-12"/>
    <n v="1"/>
  </r>
  <r>
    <s v="FV/M/8238/P/24"/>
    <s v="PZ/802922"/>
    <x v="5"/>
    <d v="2024-12-05T00:00:00"/>
    <s v="-3181.66"/>
    <s v="Zaakceptowana"/>
    <s v="Korekta FV"/>
    <s v="Apteka Szpitalna"/>
    <s v="UM-MED-02"/>
    <b v="0"/>
    <n v="-3181.66"/>
    <s v="OK"/>
    <x v="0"/>
    <x v="2"/>
    <s v="2024-12"/>
    <n v="1"/>
  </r>
  <r>
    <s v="FV/CENFA/718893/24"/>
    <s v="PZ/802923"/>
    <x v="4"/>
    <d v="2024-12-05T00:00:00"/>
    <s v="15222.84"/>
    <s v="Zaakceptowana"/>
    <s v="Faktura VAT"/>
    <s v="Apteka Szpitalna"/>
    <s v="UM-CEN-01"/>
    <b v="0"/>
    <n v="15222.84"/>
    <s v="OK"/>
    <x v="0"/>
    <x v="2"/>
    <s v="2024-12"/>
    <n v="1"/>
  </r>
  <r>
    <s v="FV/7393HM/24"/>
    <s v="PZ/802924"/>
    <x v="3"/>
    <d v="2024-12-05T00:00:00"/>
    <s v="6811.39"/>
    <s v="Zaakceptowana"/>
    <s v="Faktura VAT"/>
    <s v="Apteka Szpitalna"/>
    <s v="UM-HUR-03"/>
    <b v="0"/>
    <n v="6811.39"/>
    <s v="OK"/>
    <x v="0"/>
    <x v="2"/>
    <s v="2024-12"/>
    <n v="1"/>
  </r>
  <r>
    <s v="FV/M/8413/P/24"/>
    <s v="PZ/802925"/>
    <x v="5"/>
    <d v="2024-12-06T00:00:00"/>
    <s v="18393.67"/>
    <s v="Zaakceptowana"/>
    <s v="Faktura VAT"/>
    <s v="Apteka Szpitalna"/>
    <s v="UM-MED-02"/>
    <b v="0"/>
    <n v="18393.669999999998"/>
    <s v="OK"/>
    <x v="0"/>
    <x v="2"/>
    <s v="2024-12"/>
    <n v="1"/>
  </r>
  <r>
    <s v="FV/6793HM/24"/>
    <s v="PZ/802926"/>
    <x v="3"/>
    <d v="2024-12-06T00:00:00"/>
    <s v="28361.2"/>
    <s v="Zaakceptowana"/>
    <s v="Faktura VAT"/>
    <s v="Apteka Szpitalna"/>
    <s v="UM-HUR-02"/>
    <b v="0"/>
    <n v="28361.200000000001"/>
    <s v="OK"/>
    <x v="0"/>
    <x v="2"/>
    <s v="2024-12"/>
    <n v="1"/>
  </r>
  <r>
    <s v="FV/7401HM/24"/>
    <s v="PZ/802927"/>
    <x v="3"/>
    <d v="2024-12-06T00:00:00"/>
    <s v="-982.78"/>
    <s v="Zaakceptowana"/>
    <s v="Korekta FV"/>
    <s v="Apteka Szpitalna"/>
    <s v="UM-HUR-02"/>
    <b v="0"/>
    <n v="-982.78"/>
    <s v="OK"/>
    <x v="0"/>
    <x v="2"/>
    <s v="2024-12"/>
    <n v="1"/>
  </r>
  <r>
    <s v="FV/M/1732/P/24"/>
    <s v="PZ/802928"/>
    <x v="5"/>
    <d v="2024-12-06T00:00:00"/>
    <s v="18745.7"/>
    <s v="Zaakceptowana"/>
    <s v="Faktura VAT"/>
    <s v="Apteka Szpitalna"/>
    <s v="UM-MED-01"/>
    <b v="0"/>
    <n v="18745.7"/>
    <s v="OK"/>
    <x v="0"/>
    <x v="2"/>
    <s v="2024-12"/>
    <n v="1"/>
  </r>
  <r>
    <s v="FV/3633/NOVA/24"/>
    <s v="PZ/802929"/>
    <x v="2"/>
    <d v="2024-12-07T00:00:00"/>
    <s v="18186.74"/>
    <s v="Zaakceptowana"/>
    <s v="Faktura VAT"/>
    <s v="Apteka Szpitalna"/>
    <s v="UM-NOV-02"/>
    <b v="0"/>
    <n v="18186.740000000002"/>
    <s v="OK"/>
    <x v="0"/>
    <x v="2"/>
    <s v="2024-12"/>
    <n v="1"/>
  </r>
  <r>
    <s v="FV/98/PP/5242/24"/>
    <s v="PZ/802930"/>
    <x v="6"/>
    <d v="2024-12-08T00:00:00"/>
    <s v="11275.15"/>
    <s v="Zaakceptowana"/>
    <s v="Faktura VAT"/>
    <s v="Apteka Szpitalna"/>
    <s v="UM-PHA-02"/>
    <b v="0"/>
    <n v="11275.15"/>
    <s v="OK"/>
    <x v="0"/>
    <x v="2"/>
    <s v="2024-12"/>
    <n v="1"/>
  </r>
  <r>
    <s v="FV/40813/VDb/2024"/>
    <s v="PZ/802931"/>
    <x v="7"/>
    <d v="2024-12-08T00:00:00"/>
    <s v="5846.25"/>
    <s v="Zaakceptowana"/>
    <s v="Faktura VAT"/>
    <s v="Apteka Szpitalna"/>
    <s v="UM-VIT-01"/>
    <b v="0"/>
    <n v="5846.25"/>
    <s v="OK"/>
    <x v="0"/>
    <x v="2"/>
    <s v="2024-12"/>
    <n v="1"/>
  </r>
  <r>
    <s v="FV/POL/35645/2024"/>
    <s v="PZ/802932"/>
    <x v="0"/>
    <d v="2024-12-08T00:00:00"/>
    <s v="19900.8"/>
    <s v="Zaakceptowana"/>
    <s v="Faktura VAT"/>
    <s v="Apteka Szpitalna"/>
    <s v=""/>
    <b v="0"/>
    <n v="19900.8"/>
    <s v="OK"/>
    <x v="1"/>
    <x v="2"/>
    <s v="2024-12"/>
    <n v="1"/>
  </r>
  <r>
    <s v="FV/M/2343/P/24"/>
    <s v="PZ/802933"/>
    <x v="5"/>
    <d v="2024-12-08T00:00:00"/>
    <s v="14786.66"/>
    <s v="Zaakceptowana"/>
    <s v="Faktura VAT"/>
    <s v="Apteka Szpitalna"/>
    <s v="UM-MED-01"/>
    <b v="0"/>
    <n v="14786.66"/>
    <s v="OK"/>
    <x v="0"/>
    <x v="2"/>
    <s v="2024-12"/>
    <n v="1"/>
  </r>
  <r>
    <s v="FV/9045/NOVA/24"/>
    <s v="PZ/802934"/>
    <x v="2"/>
    <d v="2024-12-08T00:00:00"/>
    <s v="9875.58"/>
    <s v="Zaakceptowana"/>
    <s v="Faktura VAT"/>
    <s v="Apteka Szpitalna"/>
    <s v="UM-NOV-02"/>
    <b v="0"/>
    <n v="9875.58"/>
    <s v="OK"/>
    <x v="0"/>
    <x v="2"/>
    <s v="2024-12"/>
    <n v="1"/>
  </r>
  <r>
    <s v="FV/33/PP/4756/24"/>
    <s v="PZ/802935"/>
    <x v="6"/>
    <d v="2024-12-09T00:00:00"/>
    <s v="19382.27"/>
    <s v="Zaakceptowana"/>
    <s v="Faktura VAT"/>
    <s v="Apteka Szpitalna"/>
    <s v="UM-PHA-02"/>
    <b v="0"/>
    <n v="19382.27"/>
    <s v="OK"/>
    <x v="0"/>
    <x v="2"/>
    <s v="2024-12"/>
    <n v="1"/>
  </r>
  <r>
    <s v="FV/M/9397/P/24"/>
    <s v="PZ/802936"/>
    <x v="5"/>
    <d v="2024-12-09T00:00:00"/>
    <s v="13240.41"/>
    <s v="Zaakceptowana"/>
    <s v="Faktura VAT"/>
    <s v="Apteka Szpitalna"/>
    <s v="UM-MED-01"/>
    <b v="0"/>
    <n v="13240.41"/>
    <s v="OK"/>
    <x v="0"/>
    <x v="2"/>
    <s v="2024-12"/>
    <n v="1"/>
  </r>
  <r>
    <s v="FV/CENFA/582939/24"/>
    <s v="PZ/802937"/>
    <x v="4"/>
    <d v="2024-12-09T00:00:00"/>
    <s v="7603.55"/>
    <s v="Zaakceptowana"/>
    <s v="Faktura VAT"/>
    <s v="Apteka Szpitalna"/>
    <s v="UM-CEN-01"/>
    <b v="0"/>
    <n v="7603.55"/>
    <s v="OK"/>
    <x v="0"/>
    <x v="2"/>
    <s v="2024-12"/>
    <n v="1"/>
  </r>
  <r>
    <s v="FV/CENFA/458905/24"/>
    <s v="PZ/802938"/>
    <x v="4"/>
    <d v="2024-12-09T00:00:00"/>
    <s v="13543.29"/>
    <s v="Zaakceptowana"/>
    <s v="Faktura VAT"/>
    <s v="Apteka Szpitalna"/>
    <s v="UM-CEN-01"/>
    <b v="0"/>
    <n v="13543.29"/>
    <s v="OK"/>
    <x v="0"/>
    <x v="2"/>
    <s v="2024-12"/>
    <n v="1"/>
  </r>
  <r>
    <s v="FV/6668HM/24"/>
    <s v="PZ/802939"/>
    <x v="3"/>
    <d v="2024-12-11T00:00:00"/>
    <s v="18236.62"/>
    <s v="Zaakceptowana"/>
    <s v="Faktura VAT"/>
    <s v="Apteka Szpitalna"/>
    <s v="UM-HUR-02"/>
    <b v="0"/>
    <n v="18236.62"/>
    <s v="OK"/>
    <x v="0"/>
    <x v="2"/>
    <s v="2024-12"/>
    <n v="1"/>
  </r>
  <r>
    <s v="FV/CENFA/355612/24"/>
    <s v="PZ/802940"/>
    <x v="4"/>
    <d v="2024-12-11T00:00:00"/>
    <s v="12644.34"/>
    <s v="Zaakceptowana"/>
    <s v="Faktura VAT"/>
    <s v="Apteka Szpitalna"/>
    <s v=""/>
    <b v="0"/>
    <n v="12644.34"/>
    <s v="OK"/>
    <x v="1"/>
    <x v="2"/>
    <s v="2024-12"/>
    <n v="1"/>
  </r>
  <r>
    <s v="FV/35/PP/8791/24"/>
    <s v="PZ/802941"/>
    <x v="6"/>
    <d v="2024-12-11T00:00:00"/>
    <s v="17545.37"/>
    <s v="Zaakceptowana"/>
    <s v="Faktura VAT"/>
    <s v="Apteka Szpitalna"/>
    <s v="UM-PHA-02"/>
    <b v="0"/>
    <n v="17545.37"/>
    <s v="OK"/>
    <x v="0"/>
    <x v="2"/>
    <s v="2024-12"/>
    <n v="1"/>
  </r>
  <r>
    <s v="FV/12/PP/9218/24"/>
    <s v="PZ/802942"/>
    <x v="6"/>
    <d v="2024-12-11T00:00:00"/>
    <s v="12708.73"/>
    <s v="Zaakceptowana"/>
    <s v="Faktura VAT"/>
    <s v="Apteka Szpitalna"/>
    <s v=""/>
    <b v="0"/>
    <n v="12708.73"/>
    <s v="OK"/>
    <x v="1"/>
    <x v="2"/>
    <s v="2024-12"/>
    <n v="1"/>
  </r>
  <r>
    <s v="FV/POL/52052/2024"/>
    <s v="PZ/802943"/>
    <x v="0"/>
    <d v="2024-12-12T00:00:00"/>
    <s v="13156.12"/>
    <s v="Zaakceptowana"/>
    <s v="Faktura VAT"/>
    <s v="Apteka Szpitalna"/>
    <s v="UM-POL-03"/>
    <b v="0"/>
    <n v="13156.12"/>
    <s v="OK"/>
    <x v="0"/>
    <x v="2"/>
    <s v="2024-12"/>
    <n v="1"/>
  </r>
  <r>
    <s v="FV/6554HM/24"/>
    <s v="PZ/802944"/>
    <x v="3"/>
    <d v="2024-12-12T00:00:00"/>
    <s v="15128.44"/>
    <s v="Zaakceptowana"/>
    <s v="Faktura VAT"/>
    <s v="Apteka Szpitalna"/>
    <s v="UM-HUR-02"/>
    <b v="0"/>
    <n v="15128.44"/>
    <s v="OK"/>
    <x v="0"/>
    <x v="2"/>
    <s v="2024-12"/>
    <n v="1"/>
  </r>
  <r>
    <s v="FV/9075HM/24"/>
    <s v="PZ/802945"/>
    <x v="3"/>
    <d v="2024-12-12T00:00:00"/>
    <s v="18934.3"/>
    <s v="Zaakceptowana"/>
    <s v="Faktura VAT"/>
    <s v="Apteka Szpitalna"/>
    <s v="UM-HUR-03"/>
    <b v="0"/>
    <n v="18934.3"/>
    <s v="OK"/>
    <x v="0"/>
    <x v="2"/>
    <s v="2024-12"/>
    <n v="1"/>
  </r>
  <r>
    <s v="FV/19819/VDb/2024"/>
    <s v="PZ/802946"/>
    <x v="7"/>
    <d v="2024-12-12T00:00:00"/>
    <s v="11571.1"/>
    <s v="Zaakceptowana"/>
    <s v="Faktura VAT"/>
    <s v="Apteka Szpitalna"/>
    <s v="UM-VIT-01"/>
    <b v="0"/>
    <n v="11571.1"/>
    <s v="OK"/>
    <x v="0"/>
    <x v="2"/>
    <s v="2024-12"/>
    <n v="1"/>
  </r>
  <r>
    <s v="FV/POL/14228/2024"/>
    <s v="PZ/802947"/>
    <x v="0"/>
    <d v="2024-12-12T00:00:00"/>
    <s v="8541.75"/>
    <s v="Zaakceptowana"/>
    <s v="Faktura VAT"/>
    <s v="Apteka Szpitalna"/>
    <s v="UM-POL-01"/>
    <b v="0"/>
    <n v="8541.75"/>
    <s v="OK"/>
    <x v="0"/>
    <x v="2"/>
    <s v="2024-12"/>
    <n v="1"/>
  </r>
  <r>
    <s v="FV/M/7802/P/24"/>
    <s v="PZ/802948"/>
    <x v="5"/>
    <d v="2024-12-13T00:00:00"/>
    <s v="20836.54"/>
    <s v="Zaakceptowana"/>
    <s v="Faktura VAT"/>
    <s v="Apteka Szpitalna"/>
    <s v="UM-MED-01"/>
    <b v="0"/>
    <n v="20836.54"/>
    <s v="OK"/>
    <x v="0"/>
    <x v="2"/>
    <s v="2024-12"/>
    <n v="1"/>
  </r>
  <r>
    <s v="FV/9577HM/24"/>
    <s v="PZ/802949"/>
    <x v="3"/>
    <d v="2024-12-13T00:00:00"/>
    <s v="16055.08"/>
    <s v="Zaakceptowana"/>
    <s v="Faktura VAT"/>
    <s v="Apteka Szpitalna"/>
    <s v="UM-HUR-03"/>
    <b v="0"/>
    <n v="16055.08"/>
    <s v="OK"/>
    <x v="0"/>
    <x v="2"/>
    <s v="2024-12"/>
    <n v="1"/>
  </r>
  <r>
    <s v="FV/M/2983/P/24"/>
    <s v="PZ/802950"/>
    <x v="5"/>
    <d v="2024-12-15T00:00:00"/>
    <s v="10966.88"/>
    <s v="Zaakceptowana"/>
    <s v="Faktura VAT"/>
    <s v="Apteka Szpitalna"/>
    <s v="UM-MED-02"/>
    <b v="0"/>
    <n v="10966.88"/>
    <s v="OK"/>
    <x v="0"/>
    <x v="2"/>
    <s v="2024-12"/>
    <n v="1"/>
  </r>
  <r>
    <s v="FV/93/SAL/24"/>
    <s v="PZ/802951"/>
    <x v="1"/>
    <d v="2024-12-16T00:00:00"/>
    <s v="-2124.7"/>
    <s v="Zaakceptowana"/>
    <s v="Korekta FV"/>
    <s v="Apteka Szpitalna"/>
    <s v="UM-SAL-01"/>
    <b v="0"/>
    <n v="-2124.6999999999998"/>
    <s v="OK"/>
    <x v="0"/>
    <x v="2"/>
    <s v="2024-12"/>
    <n v="1"/>
  </r>
  <r>
    <s v="FV/7351HM/24"/>
    <s v="PZ/802952"/>
    <x v="3"/>
    <d v="2024-12-16T00:00:00"/>
    <s v="10558.51"/>
    <s v="Zaakceptowana"/>
    <s v="Faktura VAT"/>
    <s v="Apteka Szpitalna"/>
    <s v=""/>
    <b v="0"/>
    <n v="10558.51"/>
    <s v="OK"/>
    <x v="1"/>
    <x v="2"/>
    <s v="2024-12"/>
    <n v="1"/>
  </r>
  <r>
    <s v="FV/8118HM/24"/>
    <s v="PZ/802953"/>
    <x v="3"/>
    <d v="2024-12-16T00:00:00"/>
    <s v="-932.02"/>
    <s v="Zaakceptowana"/>
    <s v="Korekta FV"/>
    <s v="Apteka Szpitalna"/>
    <s v="UM-HUR-01"/>
    <b v="0"/>
    <n v="-932.02"/>
    <s v="OK"/>
    <x v="0"/>
    <x v="2"/>
    <s v="2024-12"/>
    <n v="1"/>
  </r>
  <r>
    <s v="FV/45537/VDb/2024"/>
    <s v="PZ/802954"/>
    <x v="7"/>
    <d v="2024-12-17T00:00:00"/>
    <s v="14668.45"/>
    <s v="Zaakceptowana"/>
    <s v="Faktura VAT"/>
    <s v="Apteka Szpitalna"/>
    <s v="UM-VIT-01"/>
    <b v="0"/>
    <n v="14668.45"/>
    <s v="OK"/>
    <x v="0"/>
    <x v="2"/>
    <s v="2024-12"/>
    <n v="1"/>
  </r>
  <r>
    <s v="FV/9681/NOVA/24"/>
    <s v="PZ/802955"/>
    <x v="2"/>
    <d v="2024-12-18T00:00:00"/>
    <s v="24573.59"/>
    <s v="Zaakceptowana"/>
    <s v="Faktura VAT"/>
    <s v="Apteka Szpitalna"/>
    <s v="UM-NOV-01"/>
    <b v="0"/>
    <n v="24573.59"/>
    <s v="OK"/>
    <x v="0"/>
    <x v="2"/>
    <s v="2024-12"/>
    <n v="1"/>
  </r>
  <r>
    <s v="FV/19/SAL/24"/>
    <s v="PZ/802956"/>
    <x v="1"/>
    <d v="2024-12-18T00:00:00"/>
    <s v="10025.37"/>
    <s v="Zaakceptowana"/>
    <s v="Faktura VAT"/>
    <s v="Apteka Szpitalna"/>
    <s v="UM-SAL-01"/>
    <b v="0"/>
    <n v="10025.370000000001"/>
    <s v="OK"/>
    <x v="0"/>
    <x v="2"/>
    <s v="2024-12"/>
    <n v="1"/>
  </r>
  <r>
    <s v="FV/1503HM/24"/>
    <s v="PZ/802957"/>
    <x v="3"/>
    <d v="2024-12-19T00:00:00"/>
    <s v="24863.66"/>
    <s v="Zaakceptowana"/>
    <s v="Faktura VAT"/>
    <s v="Apteka Szpitalna"/>
    <s v="UM-HUR-01"/>
    <b v="0"/>
    <n v="24863.66"/>
    <s v="OK"/>
    <x v="0"/>
    <x v="2"/>
    <s v="2024-12"/>
    <n v="1"/>
  </r>
  <r>
    <s v="FV/8609/NOVA/24"/>
    <s v="PZ/802958"/>
    <x v="2"/>
    <d v="2024-12-19T00:00:00"/>
    <s v="18401.3"/>
    <s v="Zaakceptowana"/>
    <s v="Faktura VAT"/>
    <s v="Apteka Szpitalna"/>
    <s v=""/>
    <b v="0"/>
    <n v="18401.3"/>
    <s v="OK"/>
    <x v="1"/>
    <x v="2"/>
    <s v="2024-12"/>
    <n v="1"/>
  </r>
  <r>
    <s v="FV/2940/NOVA/24"/>
    <s v="PZ/802959"/>
    <x v="2"/>
    <d v="2024-12-19T00:00:00"/>
    <s v="19617.09"/>
    <s v="Zaakceptowana"/>
    <s v="Faktura VAT"/>
    <s v="Apteka Szpitalna"/>
    <s v="UM-NOV-02"/>
    <b v="0"/>
    <n v="19617.09"/>
    <s v="OK"/>
    <x v="0"/>
    <x v="2"/>
    <s v="2024-12"/>
    <n v="1"/>
  </r>
  <r>
    <s v="FV/7673/NOVA/24"/>
    <s v="PZ/802960"/>
    <x v="2"/>
    <d v="2024-12-19T00:00:00"/>
    <s v="10477.85"/>
    <s v="Zaakceptowana"/>
    <s v="Faktura VAT"/>
    <s v="Apteka Szpitalna"/>
    <s v="UM-NOV-02"/>
    <b v="0"/>
    <n v="10477.85"/>
    <s v="OK"/>
    <x v="0"/>
    <x v="2"/>
    <s v="2024-12"/>
    <n v="1"/>
  </r>
  <r>
    <s v="FV/CENFA/801329/24"/>
    <s v="PZ/802961"/>
    <x v="4"/>
    <d v="2024-12-19T00:00:00"/>
    <s v="8636.25"/>
    <s v="Zaakceptowana"/>
    <s v="Faktura VAT"/>
    <s v="Apteka Szpitalna"/>
    <s v="UM-CEN-02"/>
    <b v="0"/>
    <n v="8636.25"/>
    <s v="OK"/>
    <x v="0"/>
    <x v="2"/>
    <s v="2024-12"/>
    <n v="1"/>
  </r>
  <r>
    <s v="FV/25003/VDb/2024"/>
    <s v="PZ/802962"/>
    <x v="7"/>
    <d v="2024-12-20T00:00:00"/>
    <s v="18589.35"/>
    <s v="Zaakceptowana"/>
    <s v="Faktura VAT"/>
    <s v="Apteka Szpitalna"/>
    <s v="UM-VIT-01"/>
    <b v="0"/>
    <n v="18589.349999999999"/>
    <s v="OK"/>
    <x v="0"/>
    <x v="2"/>
    <s v="2024-12"/>
    <n v="1"/>
  </r>
  <r>
    <s v="FV/M/1322/P/24"/>
    <s v="PZ/802963"/>
    <x v="5"/>
    <d v="2024-12-20T00:00:00"/>
    <s v="15140.81"/>
    <s v="Zaakceptowana"/>
    <s v="Faktura VAT"/>
    <s v="Apteka Szpitalna"/>
    <s v="UM-MED-01"/>
    <b v="0"/>
    <n v="15140.81"/>
    <s v="OK"/>
    <x v="0"/>
    <x v="2"/>
    <s v="2024-12"/>
    <n v="1"/>
  </r>
  <r>
    <s v="FV/25/SAL/24"/>
    <s v="PZ/802964"/>
    <x v="1"/>
    <d v="2024-12-20T00:00:00"/>
    <s v="10258.64"/>
    <s v="Zaakceptowana"/>
    <s v="Faktura VAT"/>
    <s v="Apteka Szpitalna"/>
    <s v="UM-SAL-02"/>
    <b v="0"/>
    <n v="10258.64"/>
    <s v="OK"/>
    <x v="0"/>
    <x v="2"/>
    <s v="2024-12"/>
    <n v="1"/>
  </r>
  <r>
    <s v="FV/M/6156/P/24"/>
    <s v="PZ/802965"/>
    <x v="5"/>
    <d v="2024-12-21T00:00:00"/>
    <s v="11496.32"/>
    <s v="Zaakceptowana"/>
    <s v="Faktura VAT"/>
    <s v="Apteka Szpitalna"/>
    <s v="UM-MED-01"/>
    <b v="0"/>
    <n v="11496.32"/>
    <s v="OK"/>
    <x v="0"/>
    <x v="2"/>
    <s v="2024-12"/>
    <n v="1"/>
  </r>
  <r>
    <s v="FV/M/4025/P/24"/>
    <s v="PZ/802966"/>
    <x v="5"/>
    <d v="2024-12-21T00:00:00"/>
    <s v="14715.02"/>
    <s v="Zaakceptowana"/>
    <s v="Faktura VAT"/>
    <s v="Apteka Szpitalna"/>
    <s v="UM-MED-02"/>
    <b v="0"/>
    <n v="14715.02"/>
    <s v="OK"/>
    <x v="0"/>
    <x v="2"/>
    <s v="2024-12"/>
    <n v="1"/>
  </r>
  <r>
    <s v="FV/30/PP/5720/24"/>
    <s v="PZ/802967"/>
    <x v="6"/>
    <d v="2024-12-22T00:00:00"/>
    <s v="15215.34"/>
    <s v="Zaakceptowana"/>
    <s v="Faktura VAT"/>
    <s v="Apteka Szpitalna"/>
    <s v="UM-PHA-02"/>
    <b v="0"/>
    <n v="15215.34"/>
    <s v="OK"/>
    <x v="0"/>
    <x v="2"/>
    <s v="2024-12"/>
    <n v="1"/>
  </r>
  <r>
    <s v="FV/58/PP/2398/24"/>
    <s v="PZ/802968"/>
    <x v="6"/>
    <d v="2024-12-22T00:00:00"/>
    <s v="18236.44"/>
    <s v="Zaakceptowana"/>
    <s v="Faktura VAT"/>
    <s v="Apteka Szpitalna"/>
    <s v="UM-PHA-02"/>
    <b v="0"/>
    <n v="18236.439999999999"/>
    <s v="OK"/>
    <x v="0"/>
    <x v="2"/>
    <s v="2024-12"/>
    <n v="1"/>
  </r>
  <r>
    <s v="FV/80988/VDb/2024"/>
    <s v="PZ/802969"/>
    <x v="7"/>
    <d v="2024-12-22T00:00:00"/>
    <s v="8706.88"/>
    <s v="Zaakceptowana"/>
    <s v="Faktura VAT"/>
    <s v="Apteka Szpitalna"/>
    <s v=""/>
    <b v="0"/>
    <n v="8706.8799999999992"/>
    <s v="OK"/>
    <x v="1"/>
    <x v="2"/>
    <s v="2024-12"/>
    <n v="1"/>
  </r>
  <r>
    <s v="FV/97/SAL/24"/>
    <s v="PZ/802970"/>
    <x v="1"/>
    <d v="2024-12-22T00:00:00"/>
    <s v="16706.41"/>
    <s v="Zaakceptowana"/>
    <s v="Faktura VAT"/>
    <s v="Apteka Szpitalna"/>
    <s v=""/>
    <b v="0"/>
    <n v="16706.41"/>
    <s v="OK"/>
    <x v="1"/>
    <x v="2"/>
    <s v="2024-12"/>
    <n v="1"/>
  </r>
  <r>
    <s v="FV/POL/49846/2024"/>
    <s v="PZ/802971"/>
    <x v="0"/>
    <d v="2024-12-22T00:00:00"/>
    <s v="15788.58"/>
    <s v="Zaakceptowana"/>
    <s v="Faktura VAT"/>
    <s v="Apteka Szpitalna"/>
    <s v=""/>
    <b v="0"/>
    <n v="15788.58"/>
    <s v="OK"/>
    <x v="1"/>
    <x v="2"/>
    <s v="2024-12"/>
    <n v="1"/>
  </r>
  <r>
    <s v="FV/10/PP/7936/24"/>
    <s v="PZ/802972"/>
    <x v="6"/>
    <d v="2024-12-22T00:00:00"/>
    <s v="19450.9"/>
    <s v="Zaakceptowana"/>
    <s v="Faktura VAT"/>
    <s v="Apteka Szpitalna"/>
    <s v="UM-PHA-02"/>
    <b v="0"/>
    <n v="19450.900000000001"/>
    <s v="OK"/>
    <x v="0"/>
    <x v="2"/>
    <s v="2024-12"/>
    <n v="1"/>
  </r>
  <r>
    <s v="FV/82/PP/6171/24"/>
    <s v="PZ/802973"/>
    <x v="6"/>
    <d v="2024-12-23T00:00:00"/>
    <s v="-1934.92"/>
    <s v="Zaakceptowana"/>
    <s v="Korekta FV"/>
    <s v="Apteka Szpitalna"/>
    <s v="UM-PHA-02"/>
    <b v="0"/>
    <n v="-1934.92"/>
    <s v="OK"/>
    <x v="0"/>
    <x v="2"/>
    <s v="2024-12"/>
    <n v="1"/>
  </r>
  <r>
    <s v="FV/43956/VDb/2024"/>
    <s v="PZ/802974"/>
    <x v="7"/>
    <d v="2024-12-23T00:00:00"/>
    <s v="5760.02"/>
    <s v="Zaakceptowana"/>
    <s v="Faktura VAT"/>
    <s v="Apteka Szpitalna"/>
    <s v="UM-VIT-01"/>
    <b v="0"/>
    <n v="5760.02"/>
    <s v="OK"/>
    <x v="0"/>
    <x v="2"/>
    <s v="2024-12"/>
    <n v="1"/>
  </r>
  <r>
    <s v="FV/M/9868/P/24"/>
    <s v="PZ/802975"/>
    <x v="5"/>
    <d v="2024-12-23T00:00:00"/>
    <s v="8096.15"/>
    <s v="Zaakceptowana"/>
    <s v="Faktura VAT"/>
    <s v="Apteka Szpitalna"/>
    <s v="UM-MED-02"/>
    <b v="0"/>
    <n v="8096.15"/>
    <s v="OK"/>
    <x v="0"/>
    <x v="2"/>
    <s v="2024-12"/>
    <n v="1"/>
  </r>
  <r>
    <s v="FV/36/PP/5247/24"/>
    <s v="PZ/802976"/>
    <x v="6"/>
    <d v="2024-12-24T00:00:00"/>
    <s v="17392.0"/>
    <s v="Zaakceptowana"/>
    <s v="Faktura VAT"/>
    <s v="Apteka Szpitalna"/>
    <s v="UM-PHA-02"/>
    <b v="0"/>
    <n v="17392"/>
    <s v="OK"/>
    <x v="0"/>
    <x v="2"/>
    <s v="2024-12"/>
    <n v="1"/>
  </r>
  <r>
    <s v="FV/11/PP/7062/24"/>
    <s v="PZ/802977"/>
    <x v="6"/>
    <d v="2024-12-25T00:00:00"/>
    <s v="5603.11"/>
    <s v="Zaakceptowana"/>
    <s v="Faktura VAT"/>
    <s v="Apteka Szpitalna"/>
    <s v="UM-PHA-01"/>
    <b v="0"/>
    <n v="5603.11"/>
    <s v="OK"/>
    <x v="0"/>
    <x v="2"/>
    <s v="2024-12"/>
    <n v="1"/>
  </r>
  <r>
    <s v="FV/54/PP/2483/24"/>
    <s v="PZ/802978"/>
    <x v="6"/>
    <d v="2024-12-25T00:00:00"/>
    <s v="17155.62"/>
    <s v="Zaakceptowana"/>
    <s v="Faktura VAT"/>
    <s v="Apteka Szpitalna"/>
    <s v=""/>
    <b v="0"/>
    <n v="17155.62"/>
    <s v="OK"/>
    <x v="1"/>
    <x v="2"/>
    <s v="2024-12"/>
    <n v="1"/>
  </r>
  <r>
    <s v="FV/87/PP/5909/24"/>
    <s v="PZ/802979"/>
    <x v="6"/>
    <d v="2024-12-25T00:00:00"/>
    <s v="4889.9"/>
    <s v="Zaakceptowana"/>
    <s v="Faktura VAT"/>
    <s v="Apteka Szpitalna"/>
    <s v="UM-PHA-02"/>
    <b v="0"/>
    <n v="4889.8999999999996"/>
    <s v="OK"/>
    <x v="0"/>
    <x v="2"/>
    <s v="2024-12"/>
    <n v="1"/>
  </r>
  <r>
    <s v="FV/M/1428/P/24"/>
    <s v="PZ/802980"/>
    <x v="5"/>
    <d v="2024-12-25T00:00:00"/>
    <s v="14067.1"/>
    <s v="Zaakceptowana"/>
    <s v="Faktura VAT"/>
    <s v="Apteka Szpitalna"/>
    <s v="UM-MED-01"/>
    <b v="0"/>
    <n v="14067.1"/>
    <s v="OK"/>
    <x v="0"/>
    <x v="2"/>
    <s v="2024-12"/>
    <n v="1"/>
  </r>
  <r>
    <s v="FV/80/PP/2315/24"/>
    <s v="PZ/802981"/>
    <x v="6"/>
    <d v="2024-12-26T00:00:00"/>
    <s v="23613.98"/>
    <s v="Zaakceptowana"/>
    <s v="Faktura VAT"/>
    <s v="Apteka Szpitalna"/>
    <s v="UM-PHA-02"/>
    <b v="0"/>
    <n v="23613.98"/>
    <s v="OK"/>
    <x v="0"/>
    <x v="2"/>
    <s v="2024-12"/>
    <n v="1"/>
  </r>
  <r>
    <s v="FV/5005HM/24"/>
    <s v="PZ/802982"/>
    <x v="3"/>
    <d v="2024-12-27T00:00:00"/>
    <s v="7993.13"/>
    <s v="Zaakceptowana"/>
    <s v="Faktura VAT"/>
    <s v="Apteka Szpitalna"/>
    <s v="UM-HUR-03"/>
    <b v="0"/>
    <n v="7993.13"/>
    <s v="OK"/>
    <x v="0"/>
    <x v="2"/>
    <s v="2024-12"/>
    <n v="1"/>
  </r>
  <r>
    <s v="FV/45776/VDb/2024"/>
    <s v="PZ/802983"/>
    <x v="7"/>
    <d v="2024-12-27T00:00:00"/>
    <s v="12323.83"/>
    <s v="Zaakceptowana"/>
    <s v="Faktura VAT"/>
    <s v="Apteka Szpitalna"/>
    <s v="UM-VIT-01"/>
    <b v="0"/>
    <n v="12323.83"/>
    <s v="OK"/>
    <x v="0"/>
    <x v="2"/>
    <s v="2024-12"/>
    <n v="1"/>
  </r>
  <r>
    <s v="FV/7375HM/24"/>
    <s v="PZ/802984"/>
    <x v="3"/>
    <d v="2024-12-27T00:00:00"/>
    <s v="21271.97"/>
    <s v="Zaakceptowana"/>
    <s v="Faktura VAT"/>
    <s v="Apteka Szpitalna"/>
    <s v="UM-HUR-02"/>
    <b v="0"/>
    <n v="21271.97"/>
    <s v="OK"/>
    <x v="0"/>
    <x v="2"/>
    <s v="2024-12"/>
    <n v="1"/>
  </r>
  <r>
    <s v="FV/5216/NOVA/24"/>
    <s v="PZ/802985"/>
    <x v="2"/>
    <d v="2024-12-27T00:00:00"/>
    <s v="17046.76"/>
    <s v="Zaakceptowana"/>
    <s v="Faktura VAT"/>
    <s v="Apteka Szpitalna"/>
    <s v="UM-NOV-03"/>
    <b v="0"/>
    <n v="17046.759999999998"/>
    <s v="OK"/>
    <x v="0"/>
    <x v="2"/>
    <s v="2024-12"/>
    <n v="1"/>
  </r>
  <r>
    <s v="FV/1743/NOVA/24"/>
    <s v="PZ/802986"/>
    <x v="2"/>
    <d v="2024-12-27T00:00:00"/>
    <s v="16767.83"/>
    <s v="Zaakceptowana"/>
    <s v="Faktura VAT"/>
    <s v="Apteka Szpitalna"/>
    <s v=""/>
    <b v="0"/>
    <n v="16767.830000000002"/>
    <s v="OK"/>
    <x v="1"/>
    <x v="2"/>
    <s v="2024-12"/>
    <n v="1"/>
  </r>
  <r>
    <s v="FV/M/7923/P/24"/>
    <s v="PZ/802987"/>
    <x v="5"/>
    <d v="2024-12-28T00:00:00"/>
    <s v="20669.26"/>
    <s v="Zaakceptowana"/>
    <s v="Faktura VAT"/>
    <s v="Apteka Szpitalna"/>
    <s v=""/>
    <b v="0"/>
    <n v="20669.259999999998"/>
    <s v="OK"/>
    <x v="1"/>
    <x v="2"/>
    <s v="2024-12"/>
    <n v="1"/>
  </r>
  <r>
    <s v="FV/CENFA/514133/24"/>
    <s v="PZ/802988"/>
    <x v="4"/>
    <d v="2024-12-28T00:00:00"/>
    <s v="9911.72"/>
    <s v="Zaakceptowana"/>
    <s v="Faktura VAT"/>
    <s v="Apteka Szpitalna"/>
    <s v="UM-CEN-02"/>
    <b v="0"/>
    <n v="9911.7199999999993"/>
    <s v="OK"/>
    <x v="0"/>
    <x v="2"/>
    <s v="2024-12"/>
    <n v="1"/>
  </r>
  <r>
    <s v="FV/25/PP/4071/24"/>
    <s v="PZ/802989"/>
    <x v="6"/>
    <d v="2024-12-28T00:00:00"/>
    <s v="22784.71"/>
    <s v="Zaakceptowana"/>
    <s v="Faktura VAT"/>
    <s v="Apteka Szpitalna"/>
    <s v="UM-PHA-02"/>
    <b v="0"/>
    <n v="22784.71"/>
    <s v="OK"/>
    <x v="0"/>
    <x v="2"/>
    <s v="2024-12"/>
    <n v="1"/>
  </r>
  <r>
    <s v="FV/16247/VDb/2024"/>
    <s v="PZ/802990"/>
    <x v="7"/>
    <d v="2024-12-28T00:00:00"/>
    <s v="15365.31"/>
    <s v="Zaakceptowana"/>
    <s v="Faktura VAT"/>
    <s v="Apteka Szpitalna"/>
    <s v="UM-VIT-01"/>
    <b v="0"/>
    <n v="15365.31"/>
    <s v="OK"/>
    <x v="0"/>
    <x v="2"/>
    <s v="2024-12"/>
    <n v="1"/>
  </r>
  <r>
    <s v="FV/28620/VDb/2024"/>
    <s v="PZ/802991"/>
    <x v="7"/>
    <d v="2024-12-28T00:00:00"/>
    <s v="12795.18"/>
    <s v="Zaakceptowana"/>
    <s v="Faktura VAT"/>
    <s v="Apteka Szpitalna"/>
    <s v="UM-VIT-01"/>
    <b v="0"/>
    <n v="12795.18"/>
    <s v="OK"/>
    <x v="0"/>
    <x v="2"/>
    <s v="2024-12"/>
    <n v="1"/>
  </r>
  <r>
    <s v="FV/30/PP/4996/24"/>
    <s v="PZ/802992"/>
    <x v="6"/>
    <d v="2024-12-28T00:00:00"/>
    <s v="4904.35"/>
    <s v="Zaakceptowana"/>
    <s v="Faktura VAT"/>
    <s v="Apteka Szpitalna"/>
    <s v="UM-PHA-02"/>
    <b v="0"/>
    <n v="4904.3500000000004"/>
    <s v="OK"/>
    <x v="0"/>
    <x v="2"/>
    <s v="2024-12"/>
    <n v="1"/>
  </r>
  <r>
    <s v="FV/19/SAL/24"/>
    <s v="PZ/802993"/>
    <x v="1"/>
    <d v="2024-12-28T00:00:00"/>
    <s v="8195.15"/>
    <s v="Zaakceptowana"/>
    <s v="Faktura VAT"/>
    <s v="Apteka Szpitalna"/>
    <s v="UM-SAL-02"/>
    <b v="0"/>
    <n v="8195.15"/>
    <s v="OK"/>
    <x v="0"/>
    <x v="2"/>
    <s v="2024-12"/>
    <n v="1"/>
  </r>
  <r>
    <s v="FV/88/SAL/24"/>
    <s v="PZ/802994"/>
    <x v="1"/>
    <d v="2024-12-29T00:00:00"/>
    <s v="17620.4"/>
    <s v="Zaakceptowana"/>
    <s v="Faktura VAT"/>
    <s v="Apteka Szpitalna"/>
    <s v=""/>
    <b v="0"/>
    <n v="17620.400000000001"/>
    <s v="OK"/>
    <x v="1"/>
    <x v="2"/>
    <s v="2024-12"/>
    <n v="1"/>
  </r>
  <r>
    <s v="FV/29/SAL/24"/>
    <s v="PZ/802995"/>
    <x v="1"/>
    <d v="2024-12-29T00:00:00"/>
    <s v="14795.81"/>
    <s v="Zaakceptowana"/>
    <s v="Faktura VAT"/>
    <s v="Apteka Szpitalna"/>
    <s v="UM-SAL-01"/>
    <b v="0"/>
    <n v="14795.81"/>
    <s v="OK"/>
    <x v="0"/>
    <x v="2"/>
    <s v="2024-12"/>
    <n v="1"/>
  </r>
  <r>
    <s v="FV/27/SAL/24"/>
    <s v="PZ/802996"/>
    <x v="1"/>
    <d v="2024-12-29T00:00:00"/>
    <s v="-1905.1"/>
    <s v="Zaakceptowana"/>
    <s v="Korekta FV"/>
    <s v="Apteka Szpitalna"/>
    <s v="UM-SAL-02"/>
    <b v="0"/>
    <n v="-1905.1"/>
    <s v="OK"/>
    <x v="0"/>
    <x v="2"/>
    <s v="2024-12"/>
    <n v="1"/>
  </r>
  <r>
    <s v="FV/36/PP/9325/24"/>
    <m/>
    <x v="6"/>
    <d v="2024-12-31T00:00:00"/>
    <s v="14443.29"/>
    <s v="Wprowadzone"/>
    <s v="Faktura VAT"/>
    <s v="Apteka Szpitalna"/>
    <s v="UM-PHA-02"/>
    <b v="0"/>
    <n v="14443.29"/>
    <s v="OK"/>
    <x v="0"/>
    <x v="2"/>
    <s v="2024-12"/>
    <n v="1"/>
  </r>
  <r>
    <s v="FV/3500HM/24"/>
    <m/>
    <x v="3"/>
    <d v="2024-12-31T00:00:00"/>
    <s v="8772.04"/>
    <s v="Wprowadzone"/>
    <s v="Faktura VAT"/>
    <s v="Apteka Szpitalna"/>
    <s v="UM-HUR-02"/>
    <b v="0"/>
    <n v="8772.0400000000009"/>
    <s v="OK"/>
    <x v="0"/>
    <x v="2"/>
    <s v="2024-12"/>
    <n v="1"/>
  </r>
  <r>
    <s v="FV/66640/VDb/2024"/>
    <m/>
    <x v="7"/>
    <d v="2024-12-31T00:00:00"/>
    <s v="9820.92"/>
    <s v="Wprowadzone"/>
    <s v="Faktura VAT"/>
    <s v="Apteka Szpitalna"/>
    <s v="UM-VIT-01"/>
    <b v="0"/>
    <n v="9820.92"/>
    <s v="OK"/>
    <x v="0"/>
    <x v="2"/>
    <s v="2024-12"/>
    <n v="1"/>
  </r>
  <r>
    <s v="FV/POL/24535/2024"/>
    <m/>
    <x v="0"/>
    <d v="2024-12-31T00:00:00"/>
    <s v="19219.22"/>
    <s v="Wprowadzone"/>
    <s v="Faktura VAT"/>
    <s v="Apteka Szpitalna"/>
    <s v="UM-POL-02"/>
    <b v="0"/>
    <n v="19219.22"/>
    <s v="OK"/>
    <x v="0"/>
    <x v="2"/>
    <s v="2024-12"/>
    <n v="1"/>
  </r>
  <r>
    <s v="FV/9720/NOVA/24"/>
    <s v="PZ/802997"/>
    <x v="2"/>
    <d v="2024-12-31T00:00:00"/>
    <s v="11363.58"/>
    <s v="Zaakceptowana"/>
    <s v="Faktura VAT"/>
    <s v="Apteka Szpitalna"/>
    <s v="UM-NOV-03"/>
    <b v="0"/>
    <n v="11363.58"/>
    <s v="OK"/>
    <x v="0"/>
    <x v="2"/>
    <s v="2024-12"/>
    <n v="1"/>
  </r>
  <r>
    <s v="FV/8645/NOVA/24"/>
    <s v="PZ/802998"/>
    <x v="2"/>
    <d v="2024-12-31T00:00:00"/>
    <s v="18071.87"/>
    <s v="Zaakceptowana"/>
    <s v="Faktura VAT"/>
    <s v="Apteka Szpitalna"/>
    <s v="UM-NOV-02"/>
    <b v="0"/>
    <n v="18071.87"/>
    <s v="OK"/>
    <x v="0"/>
    <x v="2"/>
    <s v="2024-12"/>
    <n v="1"/>
  </r>
  <r>
    <s v="FV/20878/VDb/2024"/>
    <s v="PZ/802999"/>
    <x v="7"/>
    <d v="2024-12-31T00:00:00"/>
    <s v="-656.36"/>
    <s v="Zaakceptowana"/>
    <s v="Korekta FV"/>
    <s v="Apteka Szpitalna"/>
    <s v="UM-VIT-01"/>
    <b v="0"/>
    <n v="-656.36"/>
    <s v="OK"/>
    <x v="0"/>
    <x v="2"/>
    <s v="2024-12"/>
    <n v="1"/>
  </r>
  <r>
    <s v="FV/CENFA/962268/24"/>
    <m/>
    <x v="4"/>
    <d v="2024-12-31T00:00:00"/>
    <s v="13614.6"/>
    <s v="Wprowadzone"/>
    <s v="Faktura VAT"/>
    <s v="Apteka Szpitalna"/>
    <s v="UM-CEN-02"/>
    <b v="0"/>
    <n v="13614.6"/>
    <s v="OK"/>
    <x v="0"/>
    <x v="2"/>
    <s v="2024-1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FBE21-A9F8-4F16-A654-6E157E5854C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C26" firstHeaderRow="1" firstDataRow="2" firstDataCol="1"/>
  <pivotFields count="16">
    <pivotField showAll="0"/>
    <pivotField showAll="0"/>
    <pivotField axis="axisRow" showAll="0" sortType="descending">
      <items count="9">
        <item x="4"/>
        <item h="1" x="3"/>
        <item x="5"/>
        <item h="1" x="2"/>
        <item h="1" x="6"/>
        <item h="1" x="0"/>
        <item h="1" x="1"/>
        <item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1"/>
        <item h="1" x="0"/>
        <item t="default"/>
      </items>
    </pivotField>
    <pivotField showAll="0"/>
    <pivotField showAll="0"/>
    <pivotField showAll="0"/>
  </pivotFields>
  <rowFields count="1">
    <field x="2"/>
  </rowFields>
  <rowItems count="4">
    <i>
      <x v="2"/>
    </i>
    <i>
      <x/>
    </i>
    <i>
      <x v="7"/>
    </i>
    <i t="grand">
      <x/>
    </i>
  </rowItems>
  <colFields count="1">
    <field x="12"/>
  </colFields>
  <colItems count="2">
    <i>
      <x/>
    </i>
    <i t="grand">
      <x/>
    </i>
  </colItems>
  <dataFields count="1">
    <dataField name="Sum of Wartość_clean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6274A-6335-4C10-AEEC-DFC9D8E5BD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D16" firstHeaderRow="1" firstDataRow="2" firstDataCol="1"/>
  <pivotFields count="16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Wartość_clean" fld="10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22930-531A-4694-807F-007C955030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6" firstHeaderRow="0" firstDataRow="1" firstDataCol="1"/>
  <pivotFields count="16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artość_clean" fld="10" baseField="0" baseItem="0"/>
    <dataField name="Sum of Wartość_clean2" fld="10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0DE56-7B91-4BDC-8FF7-C172174E7F6D}" name="Table1" displayName="Table1" ref="A1:I3006" totalsRowShown="0">
  <autoFilter ref="A1:I3006" xr:uid="{44D0DE56-7B91-4BDC-8FF7-C172174E7F6D}"/>
  <tableColumns count="9">
    <tableColumn id="1" xr3:uid="{555E383A-C060-466E-99B5-EDBE353684E8}" name="Numer_FV"/>
    <tableColumn id="2" xr3:uid="{12E77F24-2C36-4BA5-BA77-C9E59271F401}" name="Numer_PZ"/>
    <tableColumn id="3" xr3:uid="{BF03063C-ECAC-4010-B027-1A3B6C8853C9}" name="Dostawca"/>
    <tableColumn id="4" xr3:uid="{82B57B75-1A03-4E29-A0CB-47D179CE3D42}" name="Data_Wystawienia" dataDxfId="19"/>
    <tableColumn id="5" xr3:uid="{90A39F50-9282-40AE-8D20-4F66393CD56F}" name="Wartosc"/>
    <tableColumn id="6" xr3:uid="{FD2D2E72-5143-4EC2-A3C2-49229ACB7196}" name="Status"/>
    <tableColumn id="7" xr3:uid="{139CF880-1904-40C1-B968-146918099CC4}" name="Typ"/>
    <tableColumn id="8" xr3:uid="{274BD58F-A474-4902-80DA-F89613B492B4}" name="Magazyn"/>
    <tableColumn id="9" xr3:uid="{E7A6E0E9-98E2-4D4C-BE4C-4B3735A20F8F}" name="Umow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ECAFB-EB76-41D0-95A6-6CBE8A3C9CD1}" name="Table14" displayName="Table14" ref="A1:P3006" totalsRowShown="0" headerRowDxfId="18" dataDxfId="17">
  <autoFilter ref="A1:P3006" xr:uid="{50BECAFB-EB76-41D0-95A6-6CBE8A3C9CD1}"/>
  <tableColumns count="16">
    <tableColumn id="1" xr3:uid="{0287A017-7D0F-48DF-A47D-C2FD078F5BA1}" name="Numer_FV" dataDxfId="16">
      <calculatedColumnFormula>TRIM(Table1[[#This Row],[Numer_FV]])</calculatedColumnFormula>
    </tableColumn>
    <tableColumn id="2" xr3:uid="{6C0A7A01-8AD8-4C99-A1BC-7F3F94E97F17}" name="Numer_PZ" dataDxfId="15"/>
    <tableColumn id="3" xr3:uid="{7AD2BAC1-DF9D-4053-A40C-5D1AEABFCE64}" name="Dostawca" dataDxfId="14">
      <calculatedColumnFormula>TRIM(Table1[[#This Row],[Dostawca]])</calculatedColumnFormula>
    </tableColumn>
    <tableColumn id="4" xr3:uid="{56ABCD4A-45DA-4A77-A6C4-4290F44B3986}" name="Data_Wystawienia" dataDxfId="13"/>
    <tableColumn id="5" xr3:uid="{D722347F-B9F3-4AEF-BFD7-A954DC65EB6F}" name="Wartość" dataDxfId="12"/>
    <tableColumn id="6" xr3:uid="{7A7A6BA2-2AF3-4F21-9AAF-2FCAA82447C3}" name="Status" dataDxfId="11">
      <calculatedColumnFormula>TRIM(Table1[[#This Row],[Status]])</calculatedColumnFormula>
    </tableColumn>
    <tableColumn id="7" xr3:uid="{62DDC86E-5323-4C1A-8971-90D7841DA324}" name="Typ" dataDxfId="10">
      <calculatedColumnFormula>TRIM(Table1[[#This Row],[Typ]])</calculatedColumnFormula>
    </tableColumn>
    <tableColumn id="8" xr3:uid="{B009D2D5-2D82-432A-9EB7-64C91D68DAA5}" name="Magazyn" dataDxfId="9">
      <calculatedColumnFormula>TRIM(Table1[[#This Row],[Magazyn]])</calculatedColumnFormula>
    </tableColumn>
    <tableColumn id="9" xr3:uid="{AA0BE2A5-AD34-49E6-8F71-A4E436FC5E90}" name="Umowa" dataDxfId="8">
      <calculatedColumnFormula>TRIM(Table1[[#This Row],[Umowa]])</calculatedColumnFormula>
    </tableColumn>
    <tableColumn id="10" xr3:uid="{C61AEA38-04DB-43AC-8B02-257055050742}" name="ISTEXT Data_Wystawienia" dataDxfId="7">
      <calculatedColumnFormula>ISTEXT(Table14[[#This Row],[Data_Wystawienia]])</calculatedColumnFormula>
    </tableColumn>
    <tableColumn id="13" xr3:uid="{A2F51B5B-16EF-4359-AC3B-9C78FD915698}" name="Wartość_clean" dataDxfId="6">
      <calculatedColumnFormula>VALUE(SUBSTITUTE(Table14[[#This Row],[Wartość]],".",","))</calculatedColumnFormula>
    </tableColumn>
    <tableColumn id="14" xr3:uid="{B923735B-1254-41DB-B862-D6A2B127AED3}" name="Walidacja znaku" dataDxfId="5">
      <calculatedColumnFormula>IF(OR(AND(Table14[[#This Row],[Typ]]="Korekta FV",Table14[[#This Row],[Wartość_clean]]&gt;0),
AND(Table14[[#This Row],[Typ]]="Faktura VAT",Table14[[#This Row],[Wartość_clean]]&lt;0)),"Błąd znaku","OK")</calculatedColumnFormula>
    </tableColumn>
    <tableColumn id="15" xr3:uid="{5FB1B143-E04C-49E2-9D7B-D0FBE7E09C2F}" name="Czy umowa" dataDxfId="4">
      <calculatedColumnFormula>IF(Table14[[#This Row],[Umowa]]="","Poza umową","Z umowy")</calculatedColumnFormula>
    </tableColumn>
    <tableColumn id="16" xr3:uid="{1E0EC417-9D0F-48EB-9AAC-C297F20411EB}" name="Rok" dataDxfId="3">
      <calculatedColumnFormula>YEAR(Table14[[#This Row],[Data_Wystawienia]])</calculatedColumnFormula>
    </tableColumn>
    <tableColumn id="17" xr3:uid="{FF5E0F4D-EAFF-45D7-98F0-E690C3B1DDBB}" name="Rok_miesiąc" dataDxfId="2">
      <calculatedColumnFormula>TEXT(Table14[[#This Row],[Data_Wystawienia]],"rrrr-mm")</calculatedColumnFormula>
    </tableColumn>
    <tableColumn id="18" xr3:uid="{9A4674BC-32A8-4009-95B0-332AC95F6616}" name="Liczba dokumentów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7308-7FCF-4112-9428-772438A53D76}">
  <dimension ref="A1:I3006"/>
  <sheetViews>
    <sheetView workbookViewId="0">
      <selection activeCell="E2" sqref="E2"/>
    </sheetView>
  </sheetViews>
  <sheetFormatPr defaultRowHeight="14.4" x14ac:dyDescent="0.3"/>
  <cols>
    <col min="1" max="1" width="26.77734375" customWidth="1"/>
    <col min="2" max="2" width="19.77734375" customWidth="1"/>
    <col min="3" max="3" width="23" customWidth="1"/>
    <col min="4" max="4" width="20.88671875" customWidth="1"/>
    <col min="5" max="5" width="20.21875" customWidth="1"/>
    <col min="6" max="6" width="17.109375" customWidth="1"/>
    <col min="7" max="7" width="21.5546875" customWidth="1"/>
    <col min="8" max="8" width="18.21875" customWidth="1"/>
    <col min="9" max="9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44562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s="1">
        <v>44562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</row>
    <row r="4" spans="1:9" x14ac:dyDescent="0.3">
      <c r="A4" t="s">
        <v>22</v>
      </c>
      <c r="B4" t="s">
        <v>23</v>
      </c>
      <c r="C4" t="s">
        <v>24</v>
      </c>
      <c r="D4" s="1">
        <v>44563</v>
      </c>
      <c r="E4" t="s">
        <v>25</v>
      </c>
      <c r="F4" t="s">
        <v>13</v>
      </c>
      <c r="G4" t="s">
        <v>14</v>
      </c>
      <c r="H4" t="s">
        <v>15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 s="1">
        <v>44563</v>
      </c>
      <c r="E5" t="s">
        <v>30</v>
      </c>
      <c r="F5" t="s">
        <v>13</v>
      </c>
      <c r="G5" t="s">
        <v>14</v>
      </c>
      <c r="H5" t="s">
        <v>15</v>
      </c>
    </row>
    <row r="6" spans="1:9" x14ac:dyDescent="0.3">
      <c r="A6" t="s">
        <v>31</v>
      </c>
      <c r="B6" t="s">
        <v>32</v>
      </c>
      <c r="C6" t="s">
        <v>33</v>
      </c>
      <c r="D6" s="1">
        <v>44563</v>
      </c>
      <c r="E6" t="s">
        <v>34</v>
      </c>
      <c r="F6" t="s">
        <v>13</v>
      </c>
      <c r="G6" t="s">
        <v>14</v>
      </c>
      <c r="H6" t="s">
        <v>15</v>
      </c>
    </row>
    <row r="7" spans="1:9" x14ac:dyDescent="0.3">
      <c r="A7" t="s">
        <v>35</v>
      </c>
      <c r="B7" t="s">
        <v>36</v>
      </c>
      <c r="C7" t="s">
        <v>11</v>
      </c>
      <c r="D7" s="1">
        <v>44563</v>
      </c>
      <c r="E7" t="s">
        <v>37</v>
      </c>
      <c r="F7" t="s">
        <v>13</v>
      </c>
      <c r="G7" t="s">
        <v>14</v>
      </c>
      <c r="H7" t="s">
        <v>15</v>
      </c>
      <c r="I7" t="s">
        <v>38</v>
      </c>
    </row>
    <row r="8" spans="1:9" x14ac:dyDescent="0.3">
      <c r="A8" t="s">
        <v>39</v>
      </c>
      <c r="B8" t="s">
        <v>40</v>
      </c>
      <c r="C8" t="s">
        <v>29</v>
      </c>
      <c r="D8" s="1">
        <v>44563</v>
      </c>
      <c r="E8" t="s">
        <v>41</v>
      </c>
      <c r="F8" t="s">
        <v>13</v>
      </c>
      <c r="G8" t="s">
        <v>14</v>
      </c>
      <c r="H8" t="s">
        <v>15</v>
      </c>
      <c r="I8" t="s">
        <v>42</v>
      </c>
    </row>
    <row r="9" spans="1:9" x14ac:dyDescent="0.3">
      <c r="A9" t="s">
        <v>43</v>
      </c>
      <c r="B9" t="s">
        <v>44</v>
      </c>
      <c r="C9" t="s">
        <v>45</v>
      </c>
      <c r="D9" s="1">
        <v>44564</v>
      </c>
      <c r="E9" t="s">
        <v>46</v>
      </c>
      <c r="F9" t="s">
        <v>13</v>
      </c>
      <c r="G9" t="s">
        <v>14</v>
      </c>
      <c r="H9" t="s">
        <v>15</v>
      </c>
      <c r="I9" t="s">
        <v>47</v>
      </c>
    </row>
    <row r="10" spans="1:9" x14ac:dyDescent="0.3">
      <c r="A10" t="s">
        <v>48</v>
      </c>
      <c r="B10" t="s">
        <v>49</v>
      </c>
      <c r="C10" t="s">
        <v>33</v>
      </c>
      <c r="D10" s="1">
        <v>44564</v>
      </c>
      <c r="E10" t="s">
        <v>50</v>
      </c>
      <c r="F10" t="s">
        <v>13</v>
      </c>
      <c r="G10" t="s">
        <v>14</v>
      </c>
      <c r="H10" t="s">
        <v>15</v>
      </c>
      <c r="I10" t="s">
        <v>51</v>
      </c>
    </row>
    <row r="11" spans="1:9" x14ac:dyDescent="0.3">
      <c r="A11" t="s">
        <v>52</v>
      </c>
      <c r="B11" t="s">
        <v>53</v>
      </c>
      <c r="C11" t="s">
        <v>54</v>
      </c>
      <c r="D11" s="1">
        <v>44564</v>
      </c>
      <c r="E11" t="s">
        <v>55</v>
      </c>
      <c r="F11" t="s">
        <v>13</v>
      </c>
      <c r="G11" t="s">
        <v>14</v>
      </c>
      <c r="H11" t="s">
        <v>15</v>
      </c>
    </row>
    <row r="12" spans="1:9" x14ac:dyDescent="0.3">
      <c r="A12" t="s">
        <v>56</v>
      </c>
      <c r="B12" t="s">
        <v>57</v>
      </c>
      <c r="C12" t="s">
        <v>24</v>
      </c>
      <c r="D12" s="1">
        <v>44564</v>
      </c>
      <c r="E12" t="s">
        <v>58</v>
      </c>
      <c r="F12" t="s">
        <v>13</v>
      </c>
      <c r="G12" t="s">
        <v>14</v>
      </c>
      <c r="H12" t="s">
        <v>15</v>
      </c>
      <c r="I12" t="s">
        <v>59</v>
      </c>
    </row>
    <row r="13" spans="1:9" x14ac:dyDescent="0.3">
      <c r="A13" t="s">
        <v>60</v>
      </c>
      <c r="B13" t="s">
        <v>61</v>
      </c>
      <c r="C13" t="s">
        <v>24</v>
      </c>
      <c r="D13" s="1">
        <v>44565</v>
      </c>
      <c r="E13" t="s">
        <v>62</v>
      </c>
      <c r="F13" t="s">
        <v>13</v>
      </c>
      <c r="G13" t="s">
        <v>14</v>
      </c>
      <c r="H13" t="s">
        <v>15</v>
      </c>
      <c r="I13" t="s">
        <v>63</v>
      </c>
    </row>
    <row r="14" spans="1:9" x14ac:dyDescent="0.3">
      <c r="A14" t="s">
        <v>64</v>
      </c>
      <c r="B14" t="s">
        <v>65</v>
      </c>
      <c r="C14" t="s">
        <v>19</v>
      </c>
      <c r="D14" s="1">
        <v>44565</v>
      </c>
      <c r="E14" t="s">
        <v>66</v>
      </c>
      <c r="F14" t="s">
        <v>13</v>
      </c>
      <c r="G14" t="s">
        <v>14</v>
      </c>
      <c r="H14" t="s">
        <v>15</v>
      </c>
    </row>
    <row r="15" spans="1:9" x14ac:dyDescent="0.3">
      <c r="A15" t="s">
        <v>67</v>
      </c>
      <c r="B15" t="s">
        <v>68</v>
      </c>
      <c r="C15" t="s">
        <v>69</v>
      </c>
      <c r="D15" s="1">
        <v>44565</v>
      </c>
      <c r="E15" t="s">
        <v>70</v>
      </c>
      <c r="F15" t="s">
        <v>13</v>
      </c>
      <c r="G15" t="s">
        <v>14</v>
      </c>
      <c r="H15" t="s">
        <v>15</v>
      </c>
      <c r="I15" t="s">
        <v>71</v>
      </c>
    </row>
    <row r="16" spans="1:9" x14ac:dyDescent="0.3">
      <c r="A16" t="s">
        <v>72</v>
      </c>
      <c r="B16" t="s">
        <v>73</v>
      </c>
      <c r="C16" t="s">
        <v>45</v>
      </c>
      <c r="D16" s="1">
        <v>44565</v>
      </c>
      <c r="E16" t="s">
        <v>74</v>
      </c>
      <c r="F16" t="s">
        <v>13</v>
      </c>
      <c r="G16" t="s">
        <v>14</v>
      </c>
      <c r="H16" t="s">
        <v>15</v>
      </c>
    </row>
    <row r="17" spans="1:9" x14ac:dyDescent="0.3">
      <c r="A17" t="s">
        <v>75</v>
      </c>
      <c r="B17" t="s">
        <v>76</v>
      </c>
      <c r="C17" t="s">
        <v>11</v>
      </c>
      <c r="D17" s="1">
        <v>44566</v>
      </c>
      <c r="E17" t="s">
        <v>77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">
      <c r="A18" t="s">
        <v>78</v>
      </c>
      <c r="B18" t="s">
        <v>79</v>
      </c>
      <c r="C18" t="s">
        <v>29</v>
      </c>
      <c r="D18" s="1">
        <v>44566</v>
      </c>
      <c r="E18" t="s">
        <v>80</v>
      </c>
      <c r="F18" t="s">
        <v>13</v>
      </c>
      <c r="G18" t="s">
        <v>14</v>
      </c>
      <c r="H18" t="s">
        <v>15</v>
      </c>
      <c r="I18" t="s">
        <v>81</v>
      </c>
    </row>
    <row r="19" spans="1:9" x14ac:dyDescent="0.3">
      <c r="A19" t="s">
        <v>82</v>
      </c>
      <c r="B19" t="s">
        <v>83</v>
      </c>
      <c r="C19" t="s">
        <v>45</v>
      </c>
      <c r="D19" s="1">
        <v>44567</v>
      </c>
      <c r="E19" t="s">
        <v>84</v>
      </c>
      <c r="F19" t="s">
        <v>13</v>
      </c>
      <c r="G19" t="s">
        <v>14</v>
      </c>
      <c r="H19" t="s">
        <v>15</v>
      </c>
    </row>
    <row r="20" spans="1:9" x14ac:dyDescent="0.3">
      <c r="A20" t="s">
        <v>85</v>
      </c>
      <c r="B20" t="s">
        <v>86</v>
      </c>
      <c r="C20" t="s">
        <v>29</v>
      </c>
      <c r="D20" s="1">
        <v>44567</v>
      </c>
      <c r="E20" t="s">
        <v>87</v>
      </c>
      <c r="F20" t="s">
        <v>13</v>
      </c>
      <c r="G20" t="s">
        <v>14</v>
      </c>
      <c r="H20" t="s">
        <v>15</v>
      </c>
      <c r="I20" t="s">
        <v>81</v>
      </c>
    </row>
    <row r="21" spans="1:9" x14ac:dyDescent="0.3">
      <c r="A21" t="s">
        <v>88</v>
      </c>
      <c r="B21" t="s">
        <v>89</v>
      </c>
      <c r="C21" t="s">
        <v>45</v>
      </c>
      <c r="D21" s="1">
        <v>44568</v>
      </c>
      <c r="E21" t="s">
        <v>90</v>
      </c>
      <c r="F21" t="s">
        <v>13</v>
      </c>
      <c r="G21" t="s">
        <v>14</v>
      </c>
      <c r="H21" t="s">
        <v>15</v>
      </c>
      <c r="I21" t="s">
        <v>47</v>
      </c>
    </row>
    <row r="22" spans="1:9" x14ac:dyDescent="0.3">
      <c r="A22" t="s">
        <v>91</v>
      </c>
      <c r="B22" t="s">
        <v>92</v>
      </c>
      <c r="C22" t="s">
        <v>33</v>
      </c>
      <c r="D22" s="1">
        <v>44568</v>
      </c>
      <c r="E22" t="s">
        <v>93</v>
      </c>
      <c r="F22" t="s">
        <v>13</v>
      </c>
      <c r="G22" t="s">
        <v>14</v>
      </c>
      <c r="H22" t="s">
        <v>15</v>
      </c>
      <c r="I22" t="s">
        <v>94</v>
      </c>
    </row>
    <row r="23" spans="1:9" x14ac:dyDescent="0.3">
      <c r="A23" t="s">
        <v>95</v>
      </c>
      <c r="B23" t="s">
        <v>96</v>
      </c>
      <c r="C23" t="s">
        <v>33</v>
      </c>
      <c r="D23" s="1">
        <v>44569</v>
      </c>
      <c r="E23" t="s">
        <v>97</v>
      </c>
      <c r="F23" t="s">
        <v>13</v>
      </c>
      <c r="G23" t="s">
        <v>14</v>
      </c>
      <c r="H23" t="s">
        <v>15</v>
      </c>
      <c r="I23" t="s">
        <v>51</v>
      </c>
    </row>
    <row r="24" spans="1:9" x14ac:dyDescent="0.3">
      <c r="A24" t="s">
        <v>98</v>
      </c>
      <c r="B24" t="s">
        <v>99</v>
      </c>
      <c r="C24" t="s">
        <v>69</v>
      </c>
      <c r="D24" s="1">
        <v>44570</v>
      </c>
      <c r="E24" t="s">
        <v>100</v>
      </c>
      <c r="F24" t="s">
        <v>13</v>
      </c>
      <c r="G24" t="s">
        <v>14</v>
      </c>
      <c r="H24" t="s">
        <v>15</v>
      </c>
      <c r="I24" t="s">
        <v>71</v>
      </c>
    </row>
    <row r="25" spans="1:9" x14ac:dyDescent="0.3">
      <c r="A25" t="s">
        <v>101</v>
      </c>
      <c r="B25" t="s">
        <v>102</v>
      </c>
      <c r="C25" t="s">
        <v>33</v>
      </c>
      <c r="D25" s="1">
        <v>44570</v>
      </c>
      <c r="E25" t="s">
        <v>103</v>
      </c>
      <c r="F25" t="s">
        <v>13</v>
      </c>
      <c r="G25" t="s">
        <v>14</v>
      </c>
      <c r="H25" t="s">
        <v>15</v>
      </c>
      <c r="I25" t="s">
        <v>94</v>
      </c>
    </row>
    <row r="26" spans="1:9" x14ac:dyDescent="0.3">
      <c r="A26" t="s">
        <v>104</v>
      </c>
      <c r="B26" t="s">
        <v>105</v>
      </c>
      <c r="C26" t="s">
        <v>45</v>
      </c>
      <c r="D26" s="1">
        <v>44570</v>
      </c>
      <c r="E26" t="s">
        <v>106</v>
      </c>
      <c r="F26" t="s">
        <v>13</v>
      </c>
      <c r="G26" t="s">
        <v>14</v>
      </c>
      <c r="H26" t="s">
        <v>15</v>
      </c>
      <c r="I26" t="s">
        <v>47</v>
      </c>
    </row>
    <row r="27" spans="1:9" x14ac:dyDescent="0.3">
      <c r="A27" t="s">
        <v>107</v>
      </c>
      <c r="B27" t="s">
        <v>108</v>
      </c>
      <c r="C27" t="s">
        <v>24</v>
      </c>
      <c r="D27" s="1">
        <v>44571</v>
      </c>
      <c r="E27" t="s">
        <v>109</v>
      </c>
      <c r="F27" t="s">
        <v>13</v>
      </c>
      <c r="G27" t="s">
        <v>14</v>
      </c>
      <c r="H27" t="s">
        <v>15</v>
      </c>
      <c r="I27" t="s">
        <v>63</v>
      </c>
    </row>
    <row r="28" spans="1:9" x14ac:dyDescent="0.3">
      <c r="A28" t="s">
        <v>110</v>
      </c>
      <c r="B28" t="s">
        <v>111</v>
      </c>
      <c r="C28" t="s">
        <v>19</v>
      </c>
      <c r="D28" s="1">
        <v>44571</v>
      </c>
      <c r="E28" t="s">
        <v>112</v>
      </c>
      <c r="F28" t="s">
        <v>13</v>
      </c>
      <c r="G28" t="s">
        <v>14</v>
      </c>
      <c r="H28" t="s">
        <v>15</v>
      </c>
    </row>
    <row r="29" spans="1:9" x14ac:dyDescent="0.3">
      <c r="A29" t="s">
        <v>113</v>
      </c>
      <c r="B29" t="s">
        <v>114</v>
      </c>
      <c r="C29" t="s">
        <v>19</v>
      </c>
      <c r="D29" s="1">
        <v>44571</v>
      </c>
      <c r="E29" t="s">
        <v>115</v>
      </c>
      <c r="F29" t="s">
        <v>13</v>
      </c>
      <c r="G29" t="s">
        <v>14</v>
      </c>
      <c r="H29" t="s">
        <v>15</v>
      </c>
      <c r="I29" t="s">
        <v>116</v>
      </c>
    </row>
    <row r="30" spans="1:9" x14ac:dyDescent="0.3">
      <c r="A30" t="s">
        <v>117</v>
      </c>
      <c r="B30" t="s">
        <v>118</v>
      </c>
      <c r="C30" t="s">
        <v>24</v>
      </c>
      <c r="D30" s="1">
        <v>44572</v>
      </c>
      <c r="E30" t="s">
        <v>119</v>
      </c>
      <c r="F30" t="s">
        <v>13</v>
      </c>
      <c r="G30" t="s">
        <v>14</v>
      </c>
      <c r="H30" t="s">
        <v>15</v>
      </c>
    </row>
    <row r="31" spans="1:9" x14ac:dyDescent="0.3">
      <c r="A31" t="s">
        <v>120</v>
      </c>
      <c r="B31" t="s">
        <v>121</v>
      </c>
      <c r="C31" t="s">
        <v>19</v>
      </c>
      <c r="D31" s="1">
        <v>44572</v>
      </c>
      <c r="E31" t="s">
        <v>122</v>
      </c>
      <c r="F31" t="s">
        <v>13</v>
      </c>
      <c r="G31" t="s">
        <v>14</v>
      </c>
      <c r="H31" t="s">
        <v>15</v>
      </c>
      <c r="I31" t="s">
        <v>116</v>
      </c>
    </row>
    <row r="32" spans="1:9" x14ac:dyDescent="0.3">
      <c r="A32" t="s">
        <v>123</v>
      </c>
      <c r="B32" t="s">
        <v>124</v>
      </c>
      <c r="C32" t="s">
        <v>19</v>
      </c>
      <c r="D32" s="1">
        <v>44572</v>
      </c>
      <c r="E32" t="s">
        <v>125</v>
      </c>
      <c r="F32" t="s">
        <v>13</v>
      </c>
      <c r="G32" t="s">
        <v>14</v>
      </c>
      <c r="H32" t="s">
        <v>15</v>
      </c>
      <c r="I32" t="s">
        <v>21</v>
      </c>
    </row>
    <row r="33" spans="1:9" x14ac:dyDescent="0.3">
      <c r="A33" t="s">
        <v>126</v>
      </c>
      <c r="B33" t="s">
        <v>127</v>
      </c>
      <c r="C33" t="s">
        <v>45</v>
      </c>
      <c r="D33" s="1">
        <v>44573</v>
      </c>
      <c r="E33" t="s">
        <v>128</v>
      </c>
      <c r="F33" t="s">
        <v>13</v>
      </c>
      <c r="G33" t="s">
        <v>14</v>
      </c>
      <c r="H33" t="s">
        <v>15</v>
      </c>
      <c r="I33" t="s">
        <v>47</v>
      </c>
    </row>
    <row r="34" spans="1:9" x14ac:dyDescent="0.3">
      <c r="A34" t="s">
        <v>129</v>
      </c>
      <c r="B34" t="s">
        <v>130</v>
      </c>
      <c r="C34" t="s">
        <v>45</v>
      </c>
      <c r="D34" s="1">
        <v>44573</v>
      </c>
      <c r="E34" t="s">
        <v>131</v>
      </c>
      <c r="F34" t="s">
        <v>13</v>
      </c>
      <c r="G34" t="s">
        <v>14</v>
      </c>
      <c r="H34" t="s">
        <v>15</v>
      </c>
      <c r="I34" t="s">
        <v>47</v>
      </c>
    </row>
    <row r="35" spans="1:9" x14ac:dyDescent="0.3">
      <c r="A35" t="s">
        <v>132</v>
      </c>
      <c r="B35" t="s">
        <v>133</v>
      </c>
      <c r="C35" t="s">
        <v>29</v>
      </c>
      <c r="D35" s="1">
        <v>44574</v>
      </c>
      <c r="E35" t="s">
        <v>134</v>
      </c>
      <c r="F35" t="s">
        <v>13</v>
      </c>
      <c r="G35" t="s">
        <v>14</v>
      </c>
      <c r="H35" t="s">
        <v>15</v>
      </c>
    </row>
    <row r="36" spans="1:9" x14ac:dyDescent="0.3">
      <c r="A36" t="s">
        <v>135</v>
      </c>
      <c r="B36" t="s">
        <v>136</v>
      </c>
      <c r="C36" t="s">
        <v>29</v>
      </c>
      <c r="D36" s="1">
        <v>44574</v>
      </c>
      <c r="E36" t="s">
        <v>137</v>
      </c>
      <c r="F36" t="s">
        <v>13</v>
      </c>
      <c r="G36" t="s">
        <v>14</v>
      </c>
      <c r="H36" t="s">
        <v>15</v>
      </c>
      <c r="I36" t="s">
        <v>81</v>
      </c>
    </row>
    <row r="37" spans="1:9" x14ac:dyDescent="0.3">
      <c r="A37" t="s">
        <v>138</v>
      </c>
      <c r="B37" t="s">
        <v>139</v>
      </c>
      <c r="C37" t="s">
        <v>29</v>
      </c>
      <c r="D37" s="1">
        <v>44574</v>
      </c>
      <c r="E37" t="s">
        <v>140</v>
      </c>
      <c r="F37" t="s">
        <v>13</v>
      </c>
      <c r="G37" t="s">
        <v>14</v>
      </c>
      <c r="H37" t="s">
        <v>15</v>
      </c>
      <c r="I37" t="s">
        <v>42</v>
      </c>
    </row>
    <row r="38" spans="1:9" x14ac:dyDescent="0.3">
      <c r="A38" t="s">
        <v>141</v>
      </c>
      <c r="B38" t="s">
        <v>142</v>
      </c>
      <c r="C38" t="s">
        <v>24</v>
      </c>
      <c r="D38" s="1">
        <v>44574</v>
      </c>
      <c r="E38" t="s">
        <v>143</v>
      </c>
      <c r="F38" t="s">
        <v>13</v>
      </c>
      <c r="G38" t="s">
        <v>14</v>
      </c>
      <c r="H38" t="s">
        <v>15</v>
      </c>
      <c r="I38" t="s">
        <v>63</v>
      </c>
    </row>
    <row r="39" spans="1:9" x14ac:dyDescent="0.3">
      <c r="A39" t="s">
        <v>144</v>
      </c>
      <c r="B39" t="s">
        <v>145</v>
      </c>
      <c r="C39" t="s">
        <v>24</v>
      </c>
      <c r="D39" s="1">
        <v>44574</v>
      </c>
      <c r="E39" t="s">
        <v>146</v>
      </c>
      <c r="F39" t="s">
        <v>13</v>
      </c>
      <c r="G39" t="s">
        <v>14</v>
      </c>
      <c r="H39" t="s">
        <v>15</v>
      </c>
    </row>
    <row r="40" spans="1:9" x14ac:dyDescent="0.3">
      <c r="A40" t="s">
        <v>147</v>
      </c>
      <c r="B40" t="s">
        <v>148</v>
      </c>
      <c r="C40" t="s">
        <v>33</v>
      </c>
      <c r="D40" s="1">
        <v>44575</v>
      </c>
      <c r="E40" t="s">
        <v>149</v>
      </c>
      <c r="F40" t="s">
        <v>13</v>
      </c>
      <c r="G40" t="s">
        <v>14</v>
      </c>
      <c r="H40" t="s">
        <v>15</v>
      </c>
      <c r="I40" t="s">
        <v>51</v>
      </c>
    </row>
    <row r="41" spans="1:9" x14ac:dyDescent="0.3">
      <c r="A41" t="s">
        <v>150</v>
      </c>
      <c r="B41" t="s">
        <v>151</v>
      </c>
      <c r="C41" t="s">
        <v>54</v>
      </c>
      <c r="D41" s="1">
        <v>44575</v>
      </c>
      <c r="E41" t="s">
        <v>152</v>
      </c>
      <c r="F41" t="s">
        <v>13</v>
      </c>
      <c r="G41" t="s">
        <v>14</v>
      </c>
      <c r="H41" t="s">
        <v>15</v>
      </c>
    </row>
    <row r="42" spans="1:9" x14ac:dyDescent="0.3">
      <c r="A42" t="s">
        <v>153</v>
      </c>
      <c r="B42" t="s">
        <v>154</v>
      </c>
      <c r="C42" t="s">
        <v>24</v>
      </c>
      <c r="D42" s="1">
        <v>44575</v>
      </c>
      <c r="E42" t="s">
        <v>155</v>
      </c>
      <c r="F42" t="s">
        <v>13</v>
      </c>
      <c r="G42" t="s">
        <v>14</v>
      </c>
      <c r="H42" t="s">
        <v>15</v>
      </c>
      <c r="I42" t="s">
        <v>59</v>
      </c>
    </row>
    <row r="43" spans="1:9" x14ac:dyDescent="0.3">
      <c r="A43" t="s">
        <v>156</v>
      </c>
      <c r="B43" t="s">
        <v>157</v>
      </c>
      <c r="C43" t="s">
        <v>69</v>
      </c>
      <c r="D43" s="1">
        <v>44576</v>
      </c>
      <c r="E43" t="s">
        <v>158</v>
      </c>
      <c r="F43" t="s">
        <v>13</v>
      </c>
      <c r="G43" t="s">
        <v>14</v>
      </c>
      <c r="H43" t="s">
        <v>15</v>
      </c>
    </row>
    <row r="44" spans="1:9" x14ac:dyDescent="0.3">
      <c r="A44" t="s">
        <v>159</v>
      </c>
      <c r="B44" t="s">
        <v>160</v>
      </c>
      <c r="C44" t="s">
        <v>45</v>
      </c>
      <c r="D44" s="1">
        <v>44576</v>
      </c>
      <c r="E44" t="s">
        <v>161</v>
      </c>
      <c r="F44" t="s">
        <v>13</v>
      </c>
      <c r="G44" t="s">
        <v>14</v>
      </c>
      <c r="H44" t="s">
        <v>15</v>
      </c>
      <c r="I44" t="s">
        <v>47</v>
      </c>
    </row>
    <row r="45" spans="1:9" x14ac:dyDescent="0.3">
      <c r="A45" t="s">
        <v>162</v>
      </c>
      <c r="B45" t="s">
        <v>163</v>
      </c>
      <c r="C45" t="s">
        <v>11</v>
      </c>
      <c r="D45" s="1">
        <v>44576</v>
      </c>
      <c r="E45" t="s">
        <v>164</v>
      </c>
      <c r="F45" t="s">
        <v>13</v>
      </c>
      <c r="G45" t="s">
        <v>14</v>
      </c>
      <c r="H45" t="s">
        <v>15</v>
      </c>
      <c r="I45" t="s">
        <v>38</v>
      </c>
    </row>
    <row r="46" spans="1:9" x14ac:dyDescent="0.3">
      <c r="A46" t="s">
        <v>165</v>
      </c>
      <c r="B46" t="s">
        <v>166</v>
      </c>
      <c r="C46" t="s">
        <v>33</v>
      </c>
      <c r="D46" s="1">
        <v>44577</v>
      </c>
      <c r="E46" t="s">
        <v>167</v>
      </c>
      <c r="F46" t="s">
        <v>13</v>
      </c>
      <c r="G46" t="s">
        <v>14</v>
      </c>
      <c r="H46" t="s">
        <v>15</v>
      </c>
    </row>
    <row r="47" spans="1:9" x14ac:dyDescent="0.3">
      <c r="A47" t="s">
        <v>168</v>
      </c>
      <c r="B47" t="s">
        <v>169</v>
      </c>
      <c r="C47" t="s">
        <v>29</v>
      </c>
      <c r="D47" s="1">
        <v>44577</v>
      </c>
      <c r="E47" t="s">
        <v>170</v>
      </c>
      <c r="F47" t="s">
        <v>13</v>
      </c>
      <c r="G47" t="s">
        <v>14</v>
      </c>
      <c r="H47" t="s">
        <v>15</v>
      </c>
      <c r="I47" t="s">
        <v>81</v>
      </c>
    </row>
    <row r="48" spans="1:9" x14ac:dyDescent="0.3">
      <c r="A48" t="s">
        <v>171</v>
      </c>
      <c r="B48" t="s">
        <v>172</v>
      </c>
      <c r="C48" t="s">
        <v>29</v>
      </c>
      <c r="D48" s="1">
        <v>44577</v>
      </c>
      <c r="E48" t="s">
        <v>173</v>
      </c>
      <c r="F48" t="s">
        <v>13</v>
      </c>
      <c r="G48" t="s">
        <v>174</v>
      </c>
      <c r="H48" t="s">
        <v>15</v>
      </c>
      <c r="I48" t="s">
        <v>81</v>
      </c>
    </row>
    <row r="49" spans="1:9" x14ac:dyDescent="0.3">
      <c r="A49" t="s">
        <v>175</v>
      </c>
      <c r="B49" t="s">
        <v>176</v>
      </c>
      <c r="C49" t="s">
        <v>11</v>
      </c>
      <c r="D49" s="1">
        <v>44577</v>
      </c>
      <c r="E49" t="s">
        <v>177</v>
      </c>
      <c r="F49" t="s">
        <v>13</v>
      </c>
      <c r="G49" t="s">
        <v>14</v>
      </c>
      <c r="H49" t="s">
        <v>15</v>
      </c>
    </row>
    <row r="50" spans="1:9" x14ac:dyDescent="0.3">
      <c r="A50" t="s">
        <v>178</v>
      </c>
      <c r="B50" t="s">
        <v>179</v>
      </c>
      <c r="C50" t="s">
        <v>54</v>
      </c>
      <c r="D50" s="1">
        <v>44577</v>
      </c>
      <c r="E50" t="s">
        <v>180</v>
      </c>
      <c r="F50" t="s">
        <v>13</v>
      </c>
      <c r="G50" t="s">
        <v>14</v>
      </c>
      <c r="H50" t="s">
        <v>15</v>
      </c>
      <c r="I50" t="s">
        <v>181</v>
      </c>
    </row>
    <row r="51" spans="1:9" x14ac:dyDescent="0.3">
      <c r="A51" t="s">
        <v>182</v>
      </c>
      <c r="B51" t="s">
        <v>183</v>
      </c>
      <c r="C51" t="s">
        <v>11</v>
      </c>
      <c r="D51" s="1">
        <v>44577</v>
      </c>
      <c r="E51" t="s">
        <v>184</v>
      </c>
      <c r="F51" t="s">
        <v>13</v>
      </c>
      <c r="G51" t="s">
        <v>14</v>
      </c>
      <c r="H51" t="s">
        <v>15</v>
      </c>
      <c r="I51" t="s">
        <v>185</v>
      </c>
    </row>
    <row r="52" spans="1:9" x14ac:dyDescent="0.3">
      <c r="A52" t="s">
        <v>186</v>
      </c>
      <c r="B52" t="s">
        <v>187</v>
      </c>
      <c r="C52" t="s">
        <v>69</v>
      </c>
      <c r="D52" s="1">
        <v>44577</v>
      </c>
      <c r="E52" t="s">
        <v>188</v>
      </c>
      <c r="F52" t="s">
        <v>13</v>
      </c>
      <c r="G52" t="s">
        <v>14</v>
      </c>
      <c r="H52" t="s">
        <v>15</v>
      </c>
      <c r="I52" t="s">
        <v>71</v>
      </c>
    </row>
    <row r="53" spans="1:9" x14ac:dyDescent="0.3">
      <c r="A53" t="s">
        <v>189</v>
      </c>
      <c r="B53" t="s">
        <v>190</v>
      </c>
      <c r="C53" t="s">
        <v>29</v>
      </c>
      <c r="D53" s="1">
        <v>44578</v>
      </c>
      <c r="E53" t="s">
        <v>191</v>
      </c>
      <c r="F53" t="s">
        <v>13</v>
      </c>
      <c r="G53" t="s">
        <v>14</v>
      </c>
      <c r="H53" t="s">
        <v>15</v>
      </c>
    </row>
    <row r="54" spans="1:9" x14ac:dyDescent="0.3">
      <c r="A54" t="s">
        <v>192</v>
      </c>
      <c r="B54" t="s">
        <v>193</v>
      </c>
      <c r="C54" t="s">
        <v>69</v>
      </c>
      <c r="D54" s="1">
        <v>44578</v>
      </c>
      <c r="E54" t="s">
        <v>194</v>
      </c>
      <c r="F54" t="s">
        <v>13</v>
      </c>
      <c r="G54" t="s">
        <v>14</v>
      </c>
      <c r="H54" t="s">
        <v>15</v>
      </c>
      <c r="I54" t="s">
        <v>71</v>
      </c>
    </row>
    <row r="55" spans="1:9" x14ac:dyDescent="0.3">
      <c r="A55" t="s">
        <v>195</v>
      </c>
      <c r="B55" t="s">
        <v>196</v>
      </c>
      <c r="C55" t="s">
        <v>45</v>
      </c>
      <c r="D55" s="1">
        <v>44579</v>
      </c>
      <c r="E55" t="s">
        <v>197</v>
      </c>
      <c r="F55" t="s">
        <v>13</v>
      </c>
      <c r="G55" t="s">
        <v>14</v>
      </c>
      <c r="H55" t="s">
        <v>15</v>
      </c>
    </row>
    <row r="56" spans="1:9" x14ac:dyDescent="0.3">
      <c r="A56" t="s">
        <v>198</v>
      </c>
      <c r="B56" t="s">
        <v>199</v>
      </c>
      <c r="C56" t="s">
        <v>24</v>
      </c>
      <c r="D56" s="1">
        <v>44579</v>
      </c>
      <c r="E56" t="s">
        <v>200</v>
      </c>
      <c r="F56" t="s">
        <v>13</v>
      </c>
      <c r="G56" t="s">
        <v>14</v>
      </c>
      <c r="H56" t="s">
        <v>15</v>
      </c>
      <c r="I56" t="s">
        <v>59</v>
      </c>
    </row>
    <row r="57" spans="1:9" x14ac:dyDescent="0.3">
      <c r="A57" t="s">
        <v>201</v>
      </c>
      <c r="B57" t="s">
        <v>202</v>
      </c>
      <c r="C57" t="s">
        <v>29</v>
      </c>
      <c r="D57" s="1">
        <v>44579</v>
      </c>
      <c r="E57" t="s">
        <v>203</v>
      </c>
      <c r="F57" t="s">
        <v>13</v>
      </c>
      <c r="G57" t="s">
        <v>14</v>
      </c>
      <c r="H57" t="s">
        <v>15</v>
      </c>
      <c r="I57" t="s">
        <v>204</v>
      </c>
    </row>
    <row r="58" spans="1:9" x14ac:dyDescent="0.3">
      <c r="A58" t="s">
        <v>205</v>
      </c>
      <c r="B58" t="s">
        <v>206</v>
      </c>
      <c r="C58" t="s">
        <v>19</v>
      </c>
      <c r="D58" s="1">
        <v>44579</v>
      </c>
      <c r="E58" t="s">
        <v>207</v>
      </c>
      <c r="F58" t="s">
        <v>13</v>
      </c>
      <c r="G58" t="s">
        <v>14</v>
      </c>
      <c r="H58" t="s">
        <v>15</v>
      </c>
      <c r="I58" t="s">
        <v>21</v>
      </c>
    </row>
    <row r="59" spans="1:9" x14ac:dyDescent="0.3">
      <c r="A59" t="s">
        <v>208</v>
      </c>
      <c r="B59" t="s">
        <v>209</v>
      </c>
      <c r="C59" t="s">
        <v>29</v>
      </c>
      <c r="D59" s="1">
        <v>44579</v>
      </c>
      <c r="E59" t="s">
        <v>210</v>
      </c>
      <c r="F59" t="s">
        <v>13</v>
      </c>
      <c r="G59" t="s">
        <v>14</v>
      </c>
      <c r="H59" t="s">
        <v>15</v>
      </c>
      <c r="I59" t="s">
        <v>81</v>
      </c>
    </row>
    <row r="60" spans="1:9" x14ac:dyDescent="0.3">
      <c r="A60" t="s">
        <v>211</v>
      </c>
      <c r="B60" t="s">
        <v>212</v>
      </c>
      <c r="C60" t="s">
        <v>45</v>
      </c>
      <c r="D60" s="1">
        <v>44579</v>
      </c>
      <c r="E60" t="s">
        <v>213</v>
      </c>
      <c r="F60" t="s">
        <v>13</v>
      </c>
      <c r="G60" t="s">
        <v>14</v>
      </c>
      <c r="H60" t="s">
        <v>15</v>
      </c>
      <c r="I60" t="s">
        <v>47</v>
      </c>
    </row>
    <row r="61" spans="1:9" x14ac:dyDescent="0.3">
      <c r="A61" t="s">
        <v>214</v>
      </c>
      <c r="B61" t="s">
        <v>215</v>
      </c>
      <c r="C61" t="s">
        <v>69</v>
      </c>
      <c r="D61" s="1">
        <v>44580</v>
      </c>
      <c r="E61" t="s">
        <v>216</v>
      </c>
      <c r="F61" t="s">
        <v>13</v>
      </c>
      <c r="G61" t="s">
        <v>14</v>
      </c>
      <c r="H61" t="s">
        <v>15</v>
      </c>
    </row>
    <row r="62" spans="1:9" x14ac:dyDescent="0.3">
      <c r="A62" t="s">
        <v>217</v>
      </c>
      <c r="B62" t="s">
        <v>218</v>
      </c>
      <c r="C62" t="s">
        <v>11</v>
      </c>
      <c r="D62" s="1">
        <v>44580</v>
      </c>
      <c r="E62" t="s">
        <v>219</v>
      </c>
      <c r="F62" t="s">
        <v>13</v>
      </c>
      <c r="G62" t="s">
        <v>14</v>
      </c>
      <c r="H62" t="s">
        <v>15</v>
      </c>
      <c r="I62" t="s">
        <v>38</v>
      </c>
    </row>
    <row r="63" spans="1:9" x14ac:dyDescent="0.3">
      <c r="A63" t="s">
        <v>220</v>
      </c>
      <c r="B63" t="s">
        <v>221</v>
      </c>
      <c r="C63" t="s">
        <v>69</v>
      </c>
      <c r="D63" s="1">
        <v>44580</v>
      </c>
      <c r="E63" t="s">
        <v>222</v>
      </c>
      <c r="F63" t="s">
        <v>13</v>
      </c>
      <c r="G63" t="s">
        <v>14</v>
      </c>
      <c r="H63" t="s">
        <v>15</v>
      </c>
      <c r="I63" t="s">
        <v>71</v>
      </c>
    </row>
    <row r="64" spans="1:9" x14ac:dyDescent="0.3">
      <c r="A64" t="s">
        <v>223</v>
      </c>
      <c r="B64" t="s">
        <v>224</v>
      </c>
      <c r="C64" t="s">
        <v>69</v>
      </c>
      <c r="D64" s="1">
        <v>44580</v>
      </c>
      <c r="E64" t="s">
        <v>225</v>
      </c>
      <c r="F64" t="s">
        <v>13</v>
      </c>
      <c r="G64" t="s">
        <v>14</v>
      </c>
      <c r="H64" t="s">
        <v>15</v>
      </c>
      <c r="I64" t="s">
        <v>71</v>
      </c>
    </row>
    <row r="65" spans="1:9" x14ac:dyDescent="0.3">
      <c r="A65" t="s">
        <v>226</v>
      </c>
      <c r="B65" t="s">
        <v>227</v>
      </c>
      <c r="C65" t="s">
        <v>29</v>
      </c>
      <c r="D65" s="1">
        <v>44581</v>
      </c>
      <c r="E65" t="s">
        <v>228</v>
      </c>
      <c r="F65" t="s">
        <v>13</v>
      </c>
      <c r="G65" t="s">
        <v>174</v>
      </c>
      <c r="H65" t="s">
        <v>15</v>
      </c>
      <c r="I65" t="s">
        <v>81</v>
      </c>
    </row>
    <row r="66" spans="1:9" x14ac:dyDescent="0.3">
      <c r="A66" t="s">
        <v>229</v>
      </c>
      <c r="B66" t="s">
        <v>230</v>
      </c>
      <c r="C66" t="s">
        <v>11</v>
      </c>
      <c r="D66" s="1">
        <v>44581</v>
      </c>
      <c r="E66" t="s">
        <v>231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3">
      <c r="A67" t="s">
        <v>232</v>
      </c>
      <c r="B67" t="s">
        <v>233</v>
      </c>
      <c r="C67" t="s">
        <v>33</v>
      </c>
      <c r="D67" s="1">
        <v>44582</v>
      </c>
      <c r="E67" t="s">
        <v>234</v>
      </c>
      <c r="F67" t="s">
        <v>13</v>
      </c>
      <c r="G67" t="s">
        <v>174</v>
      </c>
      <c r="H67" t="s">
        <v>15</v>
      </c>
      <c r="I67" t="s">
        <v>94</v>
      </c>
    </row>
    <row r="68" spans="1:9" x14ac:dyDescent="0.3">
      <c r="A68" t="s">
        <v>235</v>
      </c>
      <c r="B68" t="s">
        <v>236</v>
      </c>
      <c r="C68" t="s">
        <v>54</v>
      </c>
      <c r="D68" s="1">
        <v>44583</v>
      </c>
      <c r="E68" t="s">
        <v>237</v>
      </c>
      <c r="F68" t="s">
        <v>13</v>
      </c>
      <c r="G68" t="s">
        <v>14</v>
      </c>
      <c r="H68" t="s">
        <v>15</v>
      </c>
      <c r="I68" t="s">
        <v>238</v>
      </c>
    </row>
    <row r="69" spans="1:9" x14ac:dyDescent="0.3">
      <c r="A69" t="s">
        <v>239</v>
      </c>
      <c r="B69" t="s">
        <v>240</v>
      </c>
      <c r="C69" t="s">
        <v>33</v>
      </c>
      <c r="D69" s="1">
        <v>44583</v>
      </c>
      <c r="E69" t="s">
        <v>241</v>
      </c>
      <c r="F69" t="s">
        <v>13</v>
      </c>
      <c r="G69" t="s">
        <v>14</v>
      </c>
      <c r="H69" t="s">
        <v>15</v>
      </c>
      <c r="I69" t="s">
        <v>51</v>
      </c>
    </row>
    <row r="70" spans="1:9" x14ac:dyDescent="0.3">
      <c r="A70" t="s">
        <v>242</v>
      </c>
      <c r="B70" t="s">
        <v>243</v>
      </c>
      <c r="C70" t="s">
        <v>33</v>
      </c>
      <c r="D70" s="1">
        <v>44584</v>
      </c>
      <c r="E70" t="s">
        <v>244</v>
      </c>
      <c r="F70" t="s">
        <v>13</v>
      </c>
      <c r="G70" t="s">
        <v>14</v>
      </c>
      <c r="H70" t="s">
        <v>15</v>
      </c>
      <c r="I70" t="s">
        <v>51</v>
      </c>
    </row>
    <row r="71" spans="1:9" x14ac:dyDescent="0.3">
      <c r="A71" t="s">
        <v>245</v>
      </c>
      <c r="B71" t="s">
        <v>246</v>
      </c>
      <c r="C71" t="s">
        <v>45</v>
      </c>
      <c r="D71" s="1">
        <v>44584</v>
      </c>
      <c r="E71" t="s">
        <v>247</v>
      </c>
      <c r="F71" t="s">
        <v>13</v>
      </c>
      <c r="G71" t="s">
        <v>14</v>
      </c>
      <c r="H71" t="s">
        <v>15</v>
      </c>
      <c r="I71" t="s">
        <v>248</v>
      </c>
    </row>
    <row r="72" spans="1:9" x14ac:dyDescent="0.3">
      <c r="A72" t="s">
        <v>249</v>
      </c>
      <c r="B72" t="s">
        <v>250</v>
      </c>
      <c r="C72" t="s">
        <v>33</v>
      </c>
      <c r="D72" s="1">
        <v>44584</v>
      </c>
      <c r="E72" t="s">
        <v>251</v>
      </c>
      <c r="F72" t="s">
        <v>13</v>
      </c>
      <c r="G72" t="s">
        <v>14</v>
      </c>
      <c r="H72" t="s">
        <v>15</v>
      </c>
      <c r="I72" t="s">
        <v>51</v>
      </c>
    </row>
    <row r="73" spans="1:9" x14ac:dyDescent="0.3">
      <c r="A73" t="s">
        <v>252</v>
      </c>
      <c r="B73" t="s">
        <v>253</v>
      </c>
      <c r="C73" t="s">
        <v>33</v>
      </c>
      <c r="D73" s="1">
        <v>44584</v>
      </c>
      <c r="E73" t="s">
        <v>254</v>
      </c>
      <c r="F73" t="s">
        <v>13</v>
      </c>
      <c r="G73" t="s">
        <v>14</v>
      </c>
      <c r="H73" t="s">
        <v>15</v>
      </c>
      <c r="I73" t="s">
        <v>94</v>
      </c>
    </row>
    <row r="74" spans="1:9" x14ac:dyDescent="0.3">
      <c r="A74" t="s">
        <v>255</v>
      </c>
      <c r="B74" t="s">
        <v>256</v>
      </c>
      <c r="C74" t="s">
        <v>11</v>
      </c>
      <c r="D74" s="1">
        <v>44584</v>
      </c>
      <c r="E74" t="s">
        <v>257</v>
      </c>
      <c r="F74" t="s">
        <v>13</v>
      </c>
      <c r="G74" t="s">
        <v>14</v>
      </c>
      <c r="H74" t="s">
        <v>15</v>
      </c>
      <c r="I74" t="s">
        <v>38</v>
      </c>
    </row>
    <row r="75" spans="1:9" x14ac:dyDescent="0.3">
      <c r="A75" t="s">
        <v>258</v>
      </c>
      <c r="B75" t="s">
        <v>259</v>
      </c>
      <c r="C75" t="s">
        <v>24</v>
      </c>
      <c r="D75" s="1">
        <v>44584</v>
      </c>
      <c r="E75" t="s">
        <v>260</v>
      </c>
      <c r="F75" t="s">
        <v>13</v>
      </c>
      <c r="G75" t="s">
        <v>14</v>
      </c>
      <c r="H75" t="s">
        <v>15</v>
      </c>
      <c r="I75" t="s">
        <v>63</v>
      </c>
    </row>
    <row r="76" spans="1:9" x14ac:dyDescent="0.3">
      <c r="A76" t="s">
        <v>261</v>
      </c>
      <c r="B76" t="s">
        <v>262</v>
      </c>
      <c r="C76" t="s">
        <v>69</v>
      </c>
      <c r="D76" s="1">
        <v>44585</v>
      </c>
      <c r="E76" t="s">
        <v>263</v>
      </c>
      <c r="F76" t="s">
        <v>13</v>
      </c>
      <c r="G76" t="s">
        <v>14</v>
      </c>
      <c r="H76" t="s">
        <v>15</v>
      </c>
      <c r="I76" t="s">
        <v>71</v>
      </c>
    </row>
    <row r="77" spans="1:9" x14ac:dyDescent="0.3">
      <c r="A77" t="s">
        <v>264</v>
      </c>
      <c r="B77" t="s">
        <v>265</v>
      </c>
      <c r="C77" t="s">
        <v>24</v>
      </c>
      <c r="D77" s="1">
        <v>44586</v>
      </c>
      <c r="E77" t="s">
        <v>266</v>
      </c>
      <c r="F77" t="s">
        <v>13</v>
      </c>
      <c r="G77" t="s">
        <v>174</v>
      </c>
      <c r="H77" t="s">
        <v>15</v>
      </c>
      <c r="I77" t="s">
        <v>59</v>
      </c>
    </row>
    <row r="78" spans="1:9" x14ac:dyDescent="0.3">
      <c r="A78" t="s">
        <v>267</v>
      </c>
      <c r="B78" t="s">
        <v>268</v>
      </c>
      <c r="C78" t="s">
        <v>45</v>
      </c>
      <c r="D78" s="1">
        <v>44586</v>
      </c>
      <c r="E78" t="s">
        <v>269</v>
      </c>
      <c r="F78" t="s">
        <v>13</v>
      </c>
      <c r="G78" t="s">
        <v>14</v>
      </c>
      <c r="H78" t="s">
        <v>15</v>
      </c>
    </row>
    <row r="79" spans="1:9" x14ac:dyDescent="0.3">
      <c r="A79" t="s">
        <v>270</v>
      </c>
      <c r="B79" t="s">
        <v>271</v>
      </c>
      <c r="C79" t="s">
        <v>69</v>
      </c>
      <c r="D79" s="1">
        <v>44586</v>
      </c>
      <c r="E79" t="s">
        <v>272</v>
      </c>
      <c r="F79" t="s">
        <v>13</v>
      </c>
      <c r="G79" t="s">
        <v>14</v>
      </c>
      <c r="H79" t="s">
        <v>15</v>
      </c>
      <c r="I79" t="s">
        <v>71</v>
      </c>
    </row>
    <row r="80" spans="1:9" x14ac:dyDescent="0.3">
      <c r="A80" t="s">
        <v>273</v>
      </c>
      <c r="B80" t="s">
        <v>274</v>
      </c>
      <c r="C80" t="s">
        <v>54</v>
      </c>
      <c r="D80" s="1">
        <v>44587</v>
      </c>
      <c r="E80" t="s">
        <v>275</v>
      </c>
      <c r="F80" t="s">
        <v>13</v>
      </c>
      <c r="G80" t="s">
        <v>14</v>
      </c>
      <c r="H80" t="s">
        <v>15</v>
      </c>
      <c r="I80" t="s">
        <v>238</v>
      </c>
    </row>
    <row r="81" spans="1:9" x14ac:dyDescent="0.3">
      <c r="A81" t="s">
        <v>276</v>
      </c>
      <c r="B81" t="s">
        <v>277</v>
      </c>
      <c r="C81" t="s">
        <v>29</v>
      </c>
      <c r="D81" s="1">
        <v>44588</v>
      </c>
      <c r="E81" t="s">
        <v>278</v>
      </c>
      <c r="F81" t="s">
        <v>13</v>
      </c>
      <c r="G81" t="s">
        <v>14</v>
      </c>
      <c r="H81" t="s">
        <v>15</v>
      </c>
      <c r="I81" t="s">
        <v>81</v>
      </c>
    </row>
    <row r="82" spans="1:9" x14ac:dyDescent="0.3">
      <c r="A82" t="s">
        <v>279</v>
      </c>
      <c r="B82" t="s">
        <v>280</v>
      </c>
      <c r="C82" t="s">
        <v>69</v>
      </c>
      <c r="D82" s="1">
        <v>44588</v>
      </c>
      <c r="E82" t="s">
        <v>281</v>
      </c>
      <c r="F82" t="s">
        <v>13</v>
      </c>
      <c r="G82" t="s">
        <v>14</v>
      </c>
      <c r="H82" t="s">
        <v>15</v>
      </c>
    </row>
    <row r="83" spans="1:9" x14ac:dyDescent="0.3">
      <c r="A83" t="s">
        <v>282</v>
      </c>
      <c r="B83" t="s">
        <v>283</v>
      </c>
      <c r="C83" t="s">
        <v>45</v>
      </c>
      <c r="D83" s="1">
        <v>44588</v>
      </c>
      <c r="E83" t="s">
        <v>284</v>
      </c>
      <c r="F83" t="s">
        <v>13</v>
      </c>
      <c r="G83" t="s">
        <v>14</v>
      </c>
      <c r="H83" t="s">
        <v>15</v>
      </c>
      <c r="I83" t="s">
        <v>47</v>
      </c>
    </row>
    <row r="84" spans="1:9" x14ac:dyDescent="0.3">
      <c r="A84" t="s">
        <v>285</v>
      </c>
      <c r="B84" t="s">
        <v>286</v>
      </c>
      <c r="C84" t="s">
        <v>33</v>
      </c>
      <c r="D84" s="1">
        <v>44588</v>
      </c>
      <c r="E84" t="s">
        <v>287</v>
      </c>
      <c r="F84" t="s">
        <v>13</v>
      </c>
      <c r="G84" t="s">
        <v>14</v>
      </c>
      <c r="H84" t="s">
        <v>15</v>
      </c>
      <c r="I84" t="s">
        <v>51</v>
      </c>
    </row>
    <row r="85" spans="1:9" x14ac:dyDescent="0.3">
      <c r="A85" t="s">
        <v>288</v>
      </c>
      <c r="B85" t="s">
        <v>289</v>
      </c>
      <c r="C85" t="s">
        <v>29</v>
      </c>
      <c r="D85" s="1">
        <v>44588</v>
      </c>
      <c r="E85" t="s">
        <v>290</v>
      </c>
      <c r="F85" t="s">
        <v>13</v>
      </c>
      <c r="G85" t="s">
        <v>14</v>
      </c>
      <c r="H85" t="s">
        <v>15</v>
      </c>
    </row>
    <row r="86" spans="1:9" x14ac:dyDescent="0.3">
      <c r="A86" t="s">
        <v>291</v>
      </c>
      <c r="B86" t="s">
        <v>292</v>
      </c>
      <c r="C86" t="s">
        <v>24</v>
      </c>
      <c r="D86" s="1">
        <v>44588</v>
      </c>
      <c r="E86" t="s">
        <v>293</v>
      </c>
      <c r="F86" t="s">
        <v>13</v>
      </c>
      <c r="G86" t="s">
        <v>14</v>
      </c>
      <c r="H86" t="s">
        <v>15</v>
      </c>
      <c r="I86" t="s">
        <v>26</v>
      </c>
    </row>
    <row r="87" spans="1:9" x14ac:dyDescent="0.3">
      <c r="A87" t="s">
        <v>294</v>
      </c>
      <c r="B87" t="s">
        <v>295</v>
      </c>
      <c r="C87" t="s">
        <v>45</v>
      </c>
      <c r="D87" s="1">
        <v>44588</v>
      </c>
      <c r="E87" t="s">
        <v>296</v>
      </c>
      <c r="F87" t="s">
        <v>13</v>
      </c>
      <c r="G87" t="s">
        <v>14</v>
      </c>
      <c r="H87" t="s">
        <v>15</v>
      </c>
      <c r="I87" t="s">
        <v>248</v>
      </c>
    </row>
    <row r="88" spans="1:9" x14ac:dyDescent="0.3">
      <c r="A88" t="s">
        <v>297</v>
      </c>
      <c r="B88" t="s">
        <v>298</v>
      </c>
      <c r="C88" t="s">
        <v>54</v>
      </c>
      <c r="D88" s="1">
        <v>44589</v>
      </c>
      <c r="E88" t="s">
        <v>299</v>
      </c>
      <c r="F88" t="s">
        <v>13</v>
      </c>
      <c r="G88" t="s">
        <v>14</v>
      </c>
      <c r="H88" t="s">
        <v>15</v>
      </c>
      <c r="I88" t="s">
        <v>181</v>
      </c>
    </row>
    <row r="89" spans="1:9" x14ac:dyDescent="0.3">
      <c r="A89" t="s">
        <v>300</v>
      </c>
      <c r="B89" t="s">
        <v>301</v>
      </c>
      <c r="C89" t="s">
        <v>11</v>
      </c>
      <c r="D89" s="1">
        <v>44589</v>
      </c>
      <c r="E89" t="s">
        <v>302</v>
      </c>
      <c r="F89" t="s">
        <v>13</v>
      </c>
      <c r="G89" t="s">
        <v>14</v>
      </c>
      <c r="H89" t="s">
        <v>15</v>
      </c>
      <c r="I89" t="s">
        <v>185</v>
      </c>
    </row>
    <row r="90" spans="1:9" x14ac:dyDescent="0.3">
      <c r="A90" t="s">
        <v>303</v>
      </c>
      <c r="B90" t="s">
        <v>304</v>
      </c>
      <c r="C90" t="s">
        <v>69</v>
      </c>
      <c r="D90" s="1">
        <v>44590</v>
      </c>
      <c r="E90" t="s">
        <v>305</v>
      </c>
      <c r="F90" t="s">
        <v>13</v>
      </c>
      <c r="G90" t="s">
        <v>14</v>
      </c>
      <c r="H90" t="s">
        <v>15</v>
      </c>
      <c r="I90" t="s">
        <v>71</v>
      </c>
    </row>
    <row r="91" spans="1:9" x14ac:dyDescent="0.3">
      <c r="A91" t="s">
        <v>306</v>
      </c>
      <c r="B91" t="s">
        <v>307</v>
      </c>
      <c r="C91" t="s">
        <v>24</v>
      </c>
      <c r="D91" s="1">
        <v>44590</v>
      </c>
      <c r="E91" t="s">
        <v>308</v>
      </c>
      <c r="F91" t="s">
        <v>13</v>
      </c>
      <c r="G91" t="s">
        <v>14</v>
      </c>
      <c r="H91" t="s">
        <v>15</v>
      </c>
    </row>
    <row r="92" spans="1:9" x14ac:dyDescent="0.3">
      <c r="A92" t="s">
        <v>309</v>
      </c>
      <c r="B92" t="s">
        <v>310</v>
      </c>
      <c r="C92" t="s">
        <v>11</v>
      </c>
      <c r="D92" s="1">
        <v>44591</v>
      </c>
      <c r="E92" t="s">
        <v>311</v>
      </c>
      <c r="F92" t="s">
        <v>13</v>
      </c>
      <c r="G92" t="s">
        <v>14</v>
      </c>
      <c r="H92" t="s">
        <v>15</v>
      </c>
    </row>
    <row r="93" spans="1:9" x14ac:dyDescent="0.3">
      <c r="A93" t="s">
        <v>312</v>
      </c>
      <c r="B93" t="s">
        <v>313</v>
      </c>
      <c r="C93" t="s">
        <v>33</v>
      </c>
      <c r="D93" s="1">
        <v>44591</v>
      </c>
      <c r="E93" t="s">
        <v>314</v>
      </c>
      <c r="F93" t="s">
        <v>13</v>
      </c>
      <c r="G93" t="s">
        <v>14</v>
      </c>
      <c r="H93" t="s">
        <v>15</v>
      </c>
      <c r="I93" t="s">
        <v>94</v>
      </c>
    </row>
    <row r="94" spans="1:9" x14ac:dyDescent="0.3">
      <c r="A94" t="s">
        <v>315</v>
      </c>
      <c r="B94" t="s">
        <v>316</v>
      </c>
      <c r="C94" t="s">
        <v>24</v>
      </c>
      <c r="D94" s="1">
        <v>44592</v>
      </c>
      <c r="E94" t="s">
        <v>317</v>
      </c>
      <c r="F94" t="s">
        <v>13</v>
      </c>
      <c r="G94" t="s">
        <v>14</v>
      </c>
      <c r="H94" t="s">
        <v>15</v>
      </c>
      <c r="I94" t="s">
        <v>59</v>
      </c>
    </row>
    <row r="95" spans="1:9" x14ac:dyDescent="0.3">
      <c r="A95" t="s">
        <v>318</v>
      </c>
      <c r="B95" t="s">
        <v>319</v>
      </c>
      <c r="C95" t="s">
        <v>29</v>
      </c>
      <c r="D95" s="1">
        <v>44593</v>
      </c>
      <c r="E95" t="s">
        <v>320</v>
      </c>
      <c r="F95" t="s">
        <v>13</v>
      </c>
      <c r="G95" t="s">
        <v>14</v>
      </c>
      <c r="H95" t="s">
        <v>15</v>
      </c>
      <c r="I95" t="s">
        <v>42</v>
      </c>
    </row>
    <row r="96" spans="1:9" x14ac:dyDescent="0.3">
      <c r="A96" t="s">
        <v>321</v>
      </c>
      <c r="B96" t="s">
        <v>322</v>
      </c>
      <c r="C96" t="s">
        <v>54</v>
      </c>
      <c r="D96" s="1">
        <v>44593</v>
      </c>
      <c r="E96" t="s">
        <v>323</v>
      </c>
      <c r="F96" t="s">
        <v>13</v>
      </c>
      <c r="G96" t="s">
        <v>14</v>
      </c>
      <c r="H96" t="s">
        <v>15</v>
      </c>
      <c r="I96" t="s">
        <v>238</v>
      </c>
    </row>
    <row r="97" spans="1:9" x14ac:dyDescent="0.3">
      <c r="A97" t="s">
        <v>324</v>
      </c>
      <c r="B97" t="s">
        <v>325</v>
      </c>
      <c r="C97" t="s">
        <v>54</v>
      </c>
      <c r="D97" s="1">
        <v>44593</v>
      </c>
      <c r="E97" t="s">
        <v>326</v>
      </c>
      <c r="F97" t="s">
        <v>13</v>
      </c>
      <c r="G97" t="s">
        <v>14</v>
      </c>
      <c r="H97" t="s">
        <v>15</v>
      </c>
      <c r="I97" t="s">
        <v>238</v>
      </c>
    </row>
    <row r="98" spans="1:9" x14ac:dyDescent="0.3">
      <c r="A98" t="s">
        <v>327</v>
      </c>
      <c r="B98" t="s">
        <v>328</v>
      </c>
      <c r="C98" t="s">
        <v>29</v>
      </c>
      <c r="D98" s="1">
        <v>44593</v>
      </c>
      <c r="E98" t="s">
        <v>329</v>
      </c>
      <c r="F98" t="s">
        <v>13</v>
      </c>
      <c r="G98" t="s">
        <v>14</v>
      </c>
      <c r="H98" t="s">
        <v>15</v>
      </c>
      <c r="I98" t="s">
        <v>81</v>
      </c>
    </row>
    <row r="99" spans="1:9" x14ac:dyDescent="0.3">
      <c r="A99" t="s">
        <v>330</v>
      </c>
      <c r="B99" t="s">
        <v>331</v>
      </c>
      <c r="C99" t="s">
        <v>24</v>
      </c>
      <c r="D99" s="1">
        <v>44593</v>
      </c>
      <c r="E99" t="s">
        <v>332</v>
      </c>
      <c r="F99" t="s">
        <v>13</v>
      </c>
      <c r="G99" t="s">
        <v>14</v>
      </c>
      <c r="H99" t="s">
        <v>15</v>
      </c>
    </row>
    <row r="100" spans="1:9" x14ac:dyDescent="0.3">
      <c r="A100" t="s">
        <v>333</v>
      </c>
      <c r="B100" t="s">
        <v>334</v>
      </c>
      <c r="C100" t="s">
        <v>54</v>
      </c>
      <c r="D100" s="1">
        <v>44593</v>
      </c>
      <c r="E100" t="s">
        <v>335</v>
      </c>
      <c r="F100" t="s">
        <v>13</v>
      </c>
      <c r="G100" t="s">
        <v>14</v>
      </c>
      <c r="H100" t="s">
        <v>15</v>
      </c>
    </row>
    <row r="101" spans="1:9" x14ac:dyDescent="0.3">
      <c r="A101" t="s">
        <v>336</v>
      </c>
      <c r="B101" t="s">
        <v>337</v>
      </c>
      <c r="C101" t="s">
        <v>33</v>
      </c>
      <c r="D101" s="1">
        <v>44594</v>
      </c>
      <c r="E101" t="s">
        <v>338</v>
      </c>
      <c r="F101" t="s">
        <v>13</v>
      </c>
      <c r="G101" t="s">
        <v>14</v>
      </c>
      <c r="H101" t="s">
        <v>15</v>
      </c>
      <c r="I101" t="s">
        <v>94</v>
      </c>
    </row>
    <row r="102" spans="1:9" x14ac:dyDescent="0.3">
      <c r="A102" t="s">
        <v>339</v>
      </c>
      <c r="B102" t="s">
        <v>340</v>
      </c>
      <c r="C102" t="s">
        <v>11</v>
      </c>
      <c r="D102" s="1">
        <v>44594</v>
      </c>
      <c r="E102" t="s">
        <v>341</v>
      </c>
      <c r="F102" t="s">
        <v>13</v>
      </c>
      <c r="G102" t="s">
        <v>14</v>
      </c>
      <c r="H102" t="s">
        <v>15</v>
      </c>
      <c r="I102" t="s">
        <v>38</v>
      </c>
    </row>
    <row r="103" spans="1:9" x14ac:dyDescent="0.3">
      <c r="A103" t="s">
        <v>342</v>
      </c>
      <c r="B103" t="s">
        <v>343</v>
      </c>
      <c r="C103" t="s">
        <v>29</v>
      </c>
      <c r="D103" s="1">
        <v>44596</v>
      </c>
      <c r="E103" t="s">
        <v>344</v>
      </c>
      <c r="F103" t="s">
        <v>13</v>
      </c>
      <c r="G103" t="s">
        <v>14</v>
      </c>
      <c r="H103" t="s">
        <v>15</v>
      </c>
    </row>
    <row r="104" spans="1:9" x14ac:dyDescent="0.3">
      <c r="A104" t="s">
        <v>345</v>
      </c>
      <c r="B104" t="s">
        <v>346</v>
      </c>
      <c r="C104" t="s">
        <v>11</v>
      </c>
      <c r="D104" s="1">
        <v>44596</v>
      </c>
      <c r="E104" t="s">
        <v>347</v>
      </c>
      <c r="F104" t="s">
        <v>13</v>
      </c>
      <c r="G104" t="s">
        <v>14</v>
      </c>
      <c r="H104" t="s">
        <v>15</v>
      </c>
      <c r="I104" t="s">
        <v>185</v>
      </c>
    </row>
    <row r="105" spans="1:9" x14ac:dyDescent="0.3">
      <c r="A105" t="s">
        <v>348</v>
      </c>
      <c r="B105" t="s">
        <v>349</v>
      </c>
      <c r="C105" t="s">
        <v>11</v>
      </c>
      <c r="D105" s="1">
        <v>44597</v>
      </c>
      <c r="E105" t="s">
        <v>350</v>
      </c>
      <c r="F105" t="s">
        <v>13</v>
      </c>
      <c r="G105" t="s">
        <v>14</v>
      </c>
      <c r="H105" t="s">
        <v>15</v>
      </c>
      <c r="I105" t="s">
        <v>38</v>
      </c>
    </row>
    <row r="106" spans="1:9" x14ac:dyDescent="0.3">
      <c r="A106" t="s">
        <v>351</v>
      </c>
      <c r="B106" t="s">
        <v>352</v>
      </c>
      <c r="C106" t="s">
        <v>45</v>
      </c>
      <c r="D106" s="1">
        <v>44597</v>
      </c>
      <c r="E106" t="s">
        <v>353</v>
      </c>
      <c r="F106" t="s">
        <v>13</v>
      </c>
      <c r="G106" t="s">
        <v>14</v>
      </c>
      <c r="H106" t="s">
        <v>15</v>
      </c>
      <c r="I106" t="s">
        <v>248</v>
      </c>
    </row>
    <row r="107" spans="1:9" x14ac:dyDescent="0.3">
      <c r="A107" t="s">
        <v>354</v>
      </c>
      <c r="B107" t="s">
        <v>355</v>
      </c>
      <c r="C107" t="s">
        <v>19</v>
      </c>
      <c r="D107" s="1">
        <v>44598</v>
      </c>
      <c r="E107" t="s">
        <v>356</v>
      </c>
      <c r="F107" t="s">
        <v>13</v>
      </c>
      <c r="G107" t="s">
        <v>174</v>
      </c>
      <c r="H107" t="s">
        <v>15</v>
      </c>
      <c r="I107" t="s">
        <v>116</v>
      </c>
    </row>
    <row r="108" spans="1:9" x14ac:dyDescent="0.3">
      <c r="A108" t="s">
        <v>357</v>
      </c>
      <c r="B108" t="s">
        <v>358</v>
      </c>
      <c r="C108" t="s">
        <v>54</v>
      </c>
      <c r="D108" s="1">
        <v>44599</v>
      </c>
      <c r="E108" t="s">
        <v>359</v>
      </c>
      <c r="F108" t="s">
        <v>13</v>
      </c>
      <c r="G108" t="s">
        <v>14</v>
      </c>
      <c r="H108" t="s">
        <v>15</v>
      </c>
    </row>
    <row r="109" spans="1:9" x14ac:dyDescent="0.3">
      <c r="A109" t="s">
        <v>360</v>
      </c>
      <c r="B109" t="s">
        <v>361</v>
      </c>
      <c r="C109" t="s">
        <v>11</v>
      </c>
      <c r="D109" s="1">
        <v>44600</v>
      </c>
      <c r="E109" t="s">
        <v>362</v>
      </c>
      <c r="F109" t="s">
        <v>13</v>
      </c>
      <c r="G109" t="s">
        <v>14</v>
      </c>
      <c r="H109" t="s">
        <v>15</v>
      </c>
      <c r="I109" t="s">
        <v>38</v>
      </c>
    </row>
    <row r="110" spans="1:9" x14ac:dyDescent="0.3">
      <c r="A110" t="s">
        <v>363</v>
      </c>
      <c r="B110" t="s">
        <v>364</v>
      </c>
      <c r="C110" t="s">
        <v>54</v>
      </c>
      <c r="D110" s="1">
        <v>44600</v>
      </c>
      <c r="E110" t="s">
        <v>365</v>
      </c>
      <c r="F110" t="s">
        <v>13</v>
      </c>
      <c r="G110" t="s">
        <v>14</v>
      </c>
      <c r="H110" t="s">
        <v>15</v>
      </c>
    </row>
    <row r="111" spans="1:9" x14ac:dyDescent="0.3">
      <c r="A111" t="s">
        <v>366</v>
      </c>
      <c r="B111" t="s">
        <v>367</v>
      </c>
      <c r="C111" t="s">
        <v>11</v>
      </c>
      <c r="D111" s="1">
        <v>44601</v>
      </c>
      <c r="E111" t="s">
        <v>368</v>
      </c>
      <c r="F111" t="s">
        <v>13</v>
      </c>
      <c r="G111" t="s">
        <v>14</v>
      </c>
      <c r="H111" t="s">
        <v>15</v>
      </c>
      <c r="I111" t="s">
        <v>38</v>
      </c>
    </row>
    <row r="112" spans="1:9" x14ac:dyDescent="0.3">
      <c r="A112" t="s">
        <v>369</v>
      </c>
      <c r="B112" t="s">
        <v>370</v>
      </c>
      <c r="C112" t="s">
        <v>45</v>
      </c>
      <c r="D112" s="1">
        <v>44602</v>
      </c>
      <c r="E112" t="s">
        <v>371</v>
      </c>
      <c r="F112" t="s">
        <v>13</v>
      </c>
      <c r="G112" t="s">
        <v>14</v>
      </c>
      <c r="H112" t="s">
        <v>15</v>
      </c>
      <c r="I112" t="s">
        <v>248</v>
      </c>
    </row>
    <row r="113" spans="1:9" x14ac:dyDescent="0.3">
      <c r="A113" t="s">
        <v>372</v>
      </c>
      <c r="B113" t="s">
        <v>373</v>
      </c>
      <c r="C113" t="s">
        <v>54</v>
      </c>
      <c r="D113" s="1">
        <v>44602</v>
      </c>
      <c r="E113" t="s">
        <v>374</v>
      </c>
      <c r="F113" t="s">
        <v>13</v>
      </c>
      <c r="G113" t="s">
        <v>14</v>
      </c>
      <c r="H113" t="s">
        <v>15</v>
      </c>
      <c r="I113" t="s">
        <v>181</v>
      </c>
    </row>
    <row r="114" spans="1:9" x14ac:dyDescent="0.3">
      <c r="A114" t="s">
        <v>375</v>
      </c>
      <c r="B114" t="s">
        <v>376</v>
      </c>
      <c r="C114" t="s">
        <v>11</v>
      </c>
      <c r="D114" s="1">
        <v>44602</v>
      </c>
      <c r="E114" t="s">
        <v>377</v>
      </c>
      <c r="F114" t="s">
        <v>13</v>
      </c>
      <c r="G114" t="s">
        <v>14</v>
      </c>
      <c r="H114" t="s">
        <v>15</v>
      </c>
    </row>
    <row r="115" spans="1:9" x14ac:dyDescent="0.3">
      <c r="A115" t="s">
        <v>378</v>
      </c>
      <c r="B115" t="s">
        <v>379</v>
      </c>
      <c r="C115" t="s">
        <v>29</v>
      </c>
      <c r="D115" s="1">
        <v>44602</v>
      </c>
      <c r="E115" t="s">
        <v>380</v>
      </c>
      <c r="F115" t="s">
        <v>13</v>
      </c>
      <c r="G115" t="s">
        <v>14</v>
      </c>
      <c r="H115" t="s">
        <v>15</v>
      </c>
      <c r="I115" t="s">
        <v>42</v>
      </c>
    </row>
    <row r="116" spans="1:9" x14ac:dyDescent="0.3">
      <c r="A116" t="s">
        <v>381</v>
      </c>
      <c r="B116" t="s">
        <v>382</v>
      </c>
      <c r="C116" t="s">
        <v>19</v>
      </c>
      <c r="D116" s="1">
        <v>44602</v>
      </c>
      <c r="E116" t="s">
        <v>383</v>
      </c>
      <c r="F116" t="s">
        <v>13</v>
      </c>
      <c r="G116" t="s">
        <v>14</v>
      </c>
      <c r="H116" t="s">
        <v>15</v>
      </c>
      <c r="I116" t="s">
        <v>116</v>
      </c>
    </row>
    <row r="117" spans="1:9" x14ac:dyDescent="0.3">
      <c r="A117" t="s">
        <v>384</v>
      </c>
      <c r="B117" t="s">
        <v>385</v>
      </c>
      <c r="C117" t="s">
        <v>69</v>
      </c>
      <c r="D117" s="1">
        <v>44602</v>
      </c>
      <c r="E117" t="s">
        <v>386</v>
      </c>
      <c r="F117" t="s">
        <v>13</v>
      </c>
      <c r="G117" t="s">
        <v>14</v>
      </c>
      <c r="H117" t="s">
        <v>15</v>
      </c>
      <c r="I117" t="s">
        <v>71</v>
      </c>
    </row>
    <row r="118" spans="1:9" x14ac:dyDescent="0.3">
      <c r="A118" t="s">
        <v>387</v>
      </c>
      <c r="B118" t="s">
        <v>388</v>
      </c>
      <c r="C118" t="s">
        <v>45</v>
      </c>
      <c r="D118" s="1">
        <v>44602</v>
      </c>
      <c r="E118" t="s">
        <v>389</v>
      </c>
      <c r="F118" t="s">
        <v>13</v>
      </c>
      <c r="G118" t="s">
        <v>14</v>
      </c>
      <c r="H118" t="s">
        <v>15</v>
      </c>
      <c r="I118" t="s">
        <v>47</v>
      </c>
    </row>
    <row r="119" spans="1:9" x14ac:dyDescent="0.3">
      <c r="A119" t="s">
        <v>390</v>
      </c>
      <c r="B119" t="s">
        <v>391</v>
      </c>
      <c r="C119" t="s">
        <v>69</v>
      </c>
      <c r="D119" s="1">
        <v>44603</v>
      </c>
      <c r="E119" t="s">
        <v>392</v>
      </c>
      <c r="F119" t="s">
        <v>13</v>
      </c>
      <c r="G119" t="s">
        <v>14</v>
      </c>
      <c r="H119" t="s">
        <v>15</v>
      </c>
      <c r="I119" t="s">
        <v>71</v>
      </c>
    </row>
    <row r="120" spans="1:9" x14ac:dyDescent="0.3">
      <c r="A120" t="s">
        <v>393</v>
      </c>
      <c r="B120" t="s">
        <v>394</v>
      </c>
      <c r="C120" t="s">
        <v>45</v>
      </c>
      <c r="D120" s="1">
        <v>44603</v>
      </c>
      <c r="E120" t="s">
        <v>395</v>
      </c>
      <c r="F120" t="s">
        <v>13</v>
      </c>
      <c r="G120" t="s">
        <v>14</v>
      </c>
      <c r="H120" t="s">
        <v>15</v>
      </c>
      <c r="I120" t="s">
        <v>47</v>
      </c>
    </row>
    <row r="121" spans="1:9" x14ac:dyDescent="0.3">
      <c r="A121" t="s">
        <v>396</v>
      </c>
      <c r="B121" t="s">
        <v>397</v>
      </c>
      <c r="C121" t="s">
        <v>19</v>
      </c>
      <c r="D121" s="1">
        <v>44603</v>
      </c>
      <c r="E121" t="s">
        <v>398</v>
      </c>
      <c r="F121" t="s">
        <v>13</v>
      </c>
      <c r="G121" t="s">
        <v>14</v>
      </c>
      <c r="H121" t="s">
        <v>15</v>
      </c>
      <c r="I121" t="s">
        <v>116</v>
      </c>
    </row>
    <row r="122" spans="1:9" x14ac:dyDescent="0.3">
      <c r="A122" t="s">
        <v>399</v>
      </c>
      <c r="B122" t="s">
        <v>400</v>
      </c>
      <c r="C122" t="s">
        <v>45</v>
      </c>
      <c r="D122" s="1">
        <v>44604</v>
      </c>
      <c r="E122" t="s">
        <v>401</v>
      </c>
      <c r="F122" t="s">
        <v>13</v>
      </c>
      <c r="G122" t="s">
        <v>14</v>
      </c>
      <c r="H122" t="s">
        <v>15</v>
      </c>
      <c r="I122" t="s">
        <v>47</v>
      </c>
    </row>
    <row r="123" spans="1:9" x14ac:dyDescent="0.3">
      <c r="A123" t="s">
        <v>402</v>
      </c>
      <c r="B123" t="s">
        <v>403</v>
      </c>
      <c r="C123" t="s">
        <v>69</v>
      </c>
      <c r="D123" s="1">
        <v>44604</v>
      </c>
      <c r="E123" t="s">
        <v>404</v>
      </c>
      <c r="F123" t="s">
        <v>13</v>
      </c>
      <c r="G123" t="s">
        <v>14</v>
      </c>
      <c r="H123" t="s">
        <v>15</v>
      </c>
    </row>
    <row r="124" spans="1:9" x14ac:dyDescent="0.3">
      <c r="A124" t="s">
        <v>405</v>
      </c>
      <c r="B124" t="s">
        <v>406</v>
      </c>
      <c r="C124" t="s">
        <v>45</v>
      </c>
      <c r="D124" s="1">
        <v>44605</v>
      </c>
      <c r="E124" t="s">
        <v>407</v>
      </c>
      <c r="F124" t="s">
        <v>13</v>
      </c>
      <c r="G124" t="s">
        <v>14</v>
      </c>
      <c r="H124" t="s">
        <v>15</v>
      </c>
    </row>
    <row r="125" spans="1:9" x14ac:dyDescent="0.3">
      <c r="A125" t="s">
        <v>408</v>
      </c>
      <c r="B125" t="s">
        <v>409</v>
      </c>
      <c r="C125" t="s">
        <v>54</v>
      </c>
      <c r="D125" s="1">
        <v>44605</v>
      </c>
      <c r="E125" t="s">
        <v>410</v>
      </c>
      <c r="F125" t="s">
        <v>13</v>
      </c>
      <c r="G125" t="s">
        <v>14</v>
      </c>
      <c r="H125" t="s">
        <v>15</v>
      </c>
    </row>
    <row r="126" spans="1:9" x14ac:dyDescent="0.3">
      <c r="A126" t="s">
        <v>411</v>
      </c>
      <c r="B126" t="s">
        <v>412</v>
      </c>
      <c r="C126" t="s">
        <v>24</v>
      </c>
      <c r="D126" s="1">
        <v>44606</v>
      </c>
      <c r="E126" t="s">
        <v>413</v>
      </c>
      <c r="F126" t="s">
        <v>13</v>
      </c>
      <c r="G126" t="s">
        <v>14</v>
      </c>
      <c r="H126" t="s">
        <v>15</v>
      </c>
      <c r="I126" t="s">
        <v>26</v>
      </c>
    </row>
    <row r="127" spans="1:9" x14ac:dyDescent="0.3">
      <c r="A127" t="s">
        <v>414</v>
      </c>
      <c r="B127" t="s">
        <v>415</v>
      </c>
      <c r="C127" t="s">
        <v>24</v>
      </c>
      <c r="D127" s="1">
        <v>44606</v>
      </c>
      <c r="E127" t="s">
        <v>416</v>
      </c>
      <c r="F127" t="s">
        <v>13</v>
      </c>
      <c r="G127" t="s">
        <v>14</v>
      </c>
      <c r="H127" t="s">
        <v>15</v>
      </c>
      <c r="I127" t="s">
        <v>63</v>
      </c>
    </row>
    <row r="128" spans="1:9" x14ac:dyDescent="0.3">
      <c r="A128" t="s">
        <v>417</v>
      </c>
      <c r="B128" t="s">
        <v>418</v>
      </c>
      <c r="C128" t="s">
        <v>24</v>
      </c>
      <c r="D128" s="1">
        <v>44606</v>
      </c>
      <c r="E128" t="s">
        <v>419</v>
      </c>
      <c r="F128" t="s">
        <v>13</v>
      </c>
      <c r="G128" t="s">
        <v>14</v>
      </c>
      <c r="H128" t="s">
        <v>15</v>
      </c>
      <c r="I128" t="s">
        <v>26</v>
      </c>
    </row>
    <row r="129" spans="1:9" x14ac:dyDescent="0.3">
      <c r="A129" t="s">
        <v>420</v>
      </c>
      <c r="B129" t="s">
        <v>421</v>
      </c>
      <c r="C129" t="s">
        <v>33</v>
      </c>
      <c r="D129" s="1">
        <v>44607</v>
      </c>
      <c r="E129" t="s">
        <v>422</v>
      </c>
      <c r="F129" t="s">
        <v>13</v>
      </c>
      <c r="G129" t="s">
        <v>14</v>
      </c>
      <c r="H129" t="s">
        <v>15</v>
      </c>
    </row>
    <row r="130" spans="1:9" x14ac:dyDescent="0.3">
      <c r="A130" t="s">
        <v>423</v>
      </c>
      <c r="B130" t="s">
        <v>424</v>
      </c>
      <c r="C130" t="s">
        <v>45</v>
      </c>
      <c r="D130" s="1">
        <v>44607</v>
      </c>
      <c r="E130" t="s">
        <v>425</v>
      </c>
      <c r="F130" t="s">
        <v>13</v>
      </c>
      <c r="G130" t="s">
        <v>14</v>
      </c>
      <c r="H130" t="s">
        <v>15</v>
      </c>
      <c r="I130" t="s">
        <v>248</v>
      </c>
    </row>
    <row r="131" spans="1:9" x14ac:dyDescent="0.3">
      <c r="A131" t="s">
        <v>426</v>
      </c>
      <c r="B131" t="s">
        <v>427</v>
      </c>
      <c r="C131" t="s">
        <v>29</v>
      </c>
      <c r="D131" s="1">
        <v>44608</v>
      </c>
      <c r="E131" t="s">
        <v>428</v>
      </c>
      <c r="F131" t="s">
        <v>13</v>
      </c>
      <c r="G131" t="s">
        <v>14</v>
      </c>
      <c r="H131" t="s">
        <v>15</v>
      </c>
      <c r="I131" t="s">
        <v>204</v>
      </c>
    </row>
    <row r="132" spans="1:9" x14ac:dyDescent="0.3">
      <c r="A132" t="s">
        <v>429</v>
      </c>
      <c r="B132" t="s">
        <v>430</v>
      </c>
      <c r="C132" t="s">
        <v>33</v>
      </c>
      <c r="D132" s="1">
        <v>44609</v>
      </c>
      <c r="E132" t="s">
        <v>431</v>
      </c>
      <c r="F132" t="s">
        <v>13</v>
      </c>
      <c r="G132" t="s">
        <v>14</v>
      </c>
      <c r="H132" t="s">
        <v>15</v>
      </c>
      <c r="I132" t="s">
        <v>51</v>
      </c>
    </row>
    <row r="133" spans="1:9" x14ac:dyDescent="0.3">
      <c r="A133" t="s">
        <v>113</v>
      </c>
      <c r="B133" t="s">
        <v>432</v>
      </c>
      <c r="C133" t="s">
        <v>19</v>
      </c>
      <c r="D133" s="1">
        <v>44609</v>
      </c>
      <c r="E133" t="s">
        <v>433</v>
      </c>
      <c r="F133" t="s">
        <v>13</v>
      </c>
      <c r="G133" t="s">
        <v>14</v>
      </c>
      <c r="H133" t="s">
        <v>15</v>
      </c>
      <c r="I133" t="s">
        <v>116</v>
      </c>
    </row>
    <row r="134" spans="1:9" x14ac:dyDescent="0.3">
      <c r="A134" t="s">
        <v>434</v>
      </c>
      <c r="B134" t="s">
        <v>435</v>
      </c>
      <c r="C134" t="s">
        <v>45</v>
      </c>
      <c r="D134" s="1">
        <v>44609</v>
      </c>
      <c r="E134" t="s">
        <v>436</v>
      </c>
      <c r="F134" t="s">
        <v>13</v>
      </c>
      <c r="G134" t="s">
        <v>14</v>
      </c>
      <c r="H134" t="s">
        <v>15</v>
      </c>
      <c r="I134" t="s">
        <v>47</v>
      </c>
    </row>
    <row r="135" spans="1:9" x14ac:dyDescent="0.3">
      <c r="A135" t="s">
        <v>437</v>
      </c>
      <c r="B135" t="s">
        <v>438</v>
      </c>
      <c r="C135" t="s">
        <v>24</v>
      </c>
      <c r="D135" s="1">
        <v>44610</v>
      </c>
      <c r="E135" t="s">
        <v>439</v>
      </c>
      <c r="F135" t="s">
        <v>13</v>
      </c>
      <c r="G135" t="s">
        <v>14</v>
      </c>
      <c r="H135" t="s">
        <v>15</v>
      </c>
      <c r="I135" t="s">
        <v>26</v>
      </c>
    </row>
    <row r="136" spans="1:9" x14ac:dyDescent="0.3">
      <c r="A136" t="s">
        <v>440</v>
      </c>
      <c r="B136" t="s">
        <v>441</v>
      </c>
      <c r="C136" t="s">
        <v>29</v>
      </c>
      <c r="D136" s="1">
        <v>44611</v>
      </c>
      <c r="E136" t="s">
        <v>442</v>
      </c>
      <c r="F136" t="s">
        <v>13</v>
      </c>
      <c r="G136" t="s">
        <v>14</v>
      </c>
      <c r="H136" t="s">
        <v>15</v>
      </c>
      <c r="I136" t="s">
        <v>42</v>
      </c>
    </row>
    <row r="137" spans="1:9" x14ac:dyDescent="0.3">
      <c r="A137" t="s">
        <v>443</v>
      </c>
      <c r="B137" t="s">
        <v>444</v>
      </c>
      <c r="C137" t="s">
        <v>24</v>
      </c>
      <c r="D137" s="1">
        <v>44611</v>
      </c>
      <c r="E137" t="s">
        <v>445</v>
      </c>
      <c r="F137" t="s">
        <v>13</v>
      </c>
      <c r="G137" t="s">
        <v>14</v>
      </c>
      <c r="H137" t="s">
        <v>15</v>
      </c>
      <c r="I137" t="s">
        <v>26</v>
      </c>
    </row>
    <row r="138" spans="1:9" x14ac:dyDescent="0.3">
      <c r="A138" t="s">
        <v>446</v>
      </c>
      <c r="B138" t="s">
        <v>447</v>
      </c>
      <c r="C138" t="s">
        <v>69</v>
      </c>
      <c r="D138" s="1">
        <v>44611</v>
      </c>
      <c r="E138" t="s">
        <v>448</v>
      </c>
      <c r="F138" t="s">
        <v>13</v>
      </c>
      <c r="G138" t="s">
        <v>14</v>
      </c>
      <c r="H138" t="s">
        <v>15</v>
      </c>
      <c r="I138" t="s">
        <v>71</v>
      </c>
    </row>
    <row r="139" spans="1:9" x14ac:dyDescent="0.3">
      <c r="A139" t="s">
        <v>449</v>
      </c>
      <c r="B139" t="s">
        <v>450</v>
      </c>
      <c r="C139" t="s">
        <v>29</v>
      </c>
      <c r="D139" s="1">
        <v>44612</v>
      </c>
      <c r="E139" t="s">
        <v>451</v>
      </c>
      <c r="F139" t="s">
        <v>13</v>
      </c>
      <c r="G139" t="s">
        <v>14</v>
      </c>
      <c r="H139" t="s">
        <v>15</v>
      </c>
      <c r="I139" t="s">
        <v>42</v>
      </c>
    </row>
    <row r="140" spans="1:9" x14ac:dyDescent="0.3">
      <c r="A140" t="s">
        <v>452</v>
      </c>
      <c r="B140" t="s">
        <v>453</v>
      </c>
      <c r="C140" t="s">
        <v>19</v>
      </c>
      <c r="D140" s="1">
        <v>44612</v>
      </c>
      <c r="E140" t="s">
        <v>454</v>
      </c>
      <c r="F140" t="s">
        <v>13</v>
      </c>
      <c r="G140" t="s">
        <v>14</v>
      </c>
      <c r="H140" t="s">
        <v>15</v>
      </c>
      <c r="I140" t="s">
        <v>116</v>
      </c>
    </row>
    <row r="141" spans="1:9" x14ac:dyDescent="0.3">
      <c r="A141" t="s">
        <v>455</v>
      </c>
      <c r="B141" t="s">
        <v>456</v>
      </c>
      <c r="C141" t="s">
        <v>11</v>
      </c>
      <c r="D141" s="1">
        <v>44613</v>
      </c>
      <c r="E141" t="s">
        <v>457</v>
      </c>
      <c r="F141" t="s">
        <v>13</v>
      </c>
      <c r="G141" t="s">
        <v>14</v>
      </c>
      <c r="H141" t="s">
        <v>15</v>
      </c>
      <c r="I141" t="s">
        <v>185</v>
      </c>
    </row>
    <row r="142" spans="1:9" x14ac:dyDescent="0.3">
      <c r="A142" t="s">
        <v>458</v>
      </c>
      <c r="B142" t="s">
        <v>459</v>
      </c>
      <c r="C142" t="s">
        <v>19</v>
      </c>
      <c r="D142" s="1">
        <v>44613</v>
      </c>
      <c r="E142" t="s">
        <v>460</v>
      </c>
      <c r="F142" t="s">
        <v>13</v>
      </c>
      <c r="G142" t="s">
        <v>14</v>
      </c>
      <c r="H142" t="s">
        <v>15</v>
      </c>
      <c r="I142" t="s">
        <v>21</v>
      </c>
    </row>
    <row r="143" spans="1:9" x14ac:dyDescent="0.3">
      <c r="A143" t="s">
        <v>461</v>
      </c>
      <c r="B143" t="s">
        <v>462</v>
      </c>
      <c r="C143" t="s">
        <v>69</v>
      </c>
      <c r="D143" s="1">
        <v>44614</v>
      </c>
      <c r="E143" t="s">
        <v>463</v>
      </c>
      <c r="F143" t="s">
        <v>13</v>
      </c>
      <c r="G143" t="s">
        <v>14</v>
      </c>
      <c r="H143" t="s">
        <v>15</v>
      </c>
      <c r="I143" t="s">
        <v>71</v>
      </c>
    </row>
    <row r="144" spans="1:9" x14ac:dyDescent="0.3">
      <c r="A144" t="s">
        <v>464</v>
      </c>
      <c r="B144" t="s">
        <v>465</v>
      </c>
      <c r="C144" t="s">
        <v>29</v>
      </c>
      <c r="D144" s="1">
        <v>44614</v>
      </c>
      <c r="E144" t="s">
        <v>466</v>
      </c>
      <c r="F144" t="s">
        <v>13</v>
      </c>
      <c r="G144" t="s">
        <v>14</v>
      </c>
      <c r="H144" t="s">
        <v>15</v>
      </c>
      <c r="I144" t="s">
        <v>81</v>
      </c>
    </row>
    <row r="145" spans="1:9" x14ac:dyDescent="0.3">
      <c r="A145" t="s">
        <v>467</v>
      </c>
      <c r="B145" t="s">
        <v>468</v>
      </c>
      <c r="C145" t="s">
        <v>69</v>
      </c>
      <c r="D145" s="1">
        <v>44615</v>
      </c>
      <c r="E145" t="s">
        <v>469</v>
      </c>
      <c r="F145" t="s">
        <v>13</v>
      </c>
      <c r="G145" t="s">
        <v>14</v>
      </c>
      <c r="H145" t="s">
        <v>15</v>
      </c>
      <c r="I145" t="s">
        <v>71</v>
      </c>
    </row>
    <row r="146" spans="1:9" x14ac:dyDescent="0.3">
      <c r="A146" t="s">
        <v>470</v>
      </c>
      <c r="B146" t="s">
        <v>471</v>
      </c>
      <c r="C146" t="s">
        <v>19</v>
      </c>
      <c r="D146" s="1">
        <v>44615</v>
      </c>
      <c r="E146" t="s">
        <v>472</v>
      </c>
      <c r="F146" t="s">
        <v>13</v>
      </c>
      <c r="G146" t="s">
        <v>14</v>
      </c>
      <c r="H146" t="s">
        <v>15</v>
      </c>
      <c r="I146" t="s">
        <v>21</v>
      </c>
    </row>
    <row r="147" spans="1:9" x14ac:dyDescent="0.3">
      <c r="A147" t="s">
        <v>473</v>
      </c>
      <c r="B147" t="s">
        <v>474</v>
      </c>
      <c r="C147" t="s">
        <v>24</v>
      </c>
      <c r="D147" s="1">
        <v>44615</v>
      </c>
      <c r="E147" t="s">
        <v>475</v>
      </c>
      <c r="F147" t="s">
        <v>13</v>
      </c>
      <c r="G147" t="s">
        <v>14</v>
      </c>
      <c r="H147" t="s">
        <v>15</v>
      </c>
      <c r="I147" t="s">
        <v>26</v>
      </c>
    </row>
    <row r="148" spans="1:9" x14ac:dyDescent="0.3">
      <c r="A148" t="s">
        <v>476</v>
      </c>
      <c r="B148" t="s">
        <v>477</v>
      </c>
      <c r="C148" t="s">
        <v>54</v>
      </c>
      <c r="D148" s="1">
        <v>44615</v>
      </c>
      <c r="E148" t="s">
        <v>478</v>
      </c>
      <c r="F148" t="s">
        <v>13</v>
      </c>
      <c r="G148" t="s">
        <v>14</v>
      </c>
      <c r="H148" t="s">
        <v>15</v>
      </c>
      <c r="I148" t="s">
        <v>181</v>
      </c>
    </row>
    <row r="149" spans="1:9" x14ac:dyDescent="0.3">
      <c r="A149" t="s">
        <v>479</v>
      </c>
      <c r="B149" t="s">
        <v>480</v>
      </c>
      <c r="C149" t="s">
        <v>45</v>
      </c>
      <c r="D149" s="1">
        <v>44615</v>
      </c>
      <c r="E149" t="s">
        <v>481</v>
      </c>
      <c r="F149" t="s">
        <v>13</v>
      </c>
      <c r="G149" t="s">
        <v>14</v>
      </c>
      <c r="H149" t="s">
        <v>15</v>
      </c>
      <c r="I149" t="s">
        <v>248</v>
      </c>
    </row>
    <row r="150" spans="1:9" x14ac:dyDescent="0.3">
      <c r="A150" t="s">
        <v>482</v>
      </c>
      <c r="B150" t="s">
        <v>483</v>
      </c>
      <c r="C150" t="s">
        <v>33</v>
      </c>
      <c r="D150" s="1">
        <v>44616</v>
      </c>
      <c r="E150" t="s">
        <v>484</v>
      </c>
      <c r="F150" t="s">
        <v>13</v>
      </c>
      <c r="G150" t="s">
        <v>14</v>
      </c>
      <c r="H150" t="s">
        <v>15</v>
      </c>
      <c r="I150" t="s">
        <v>51</v>
      </c>
    </row>
    <row r="151" spans="1:9" x14ac:dyDescent="0.3">
      <c r="A151" t="s">
        <v>485</v>
      </c>
      <c r="B151" t="s">
        <v>486</v>
      </c>
      <c r="C151" t="s">
        <v>29</v>
      </c>
      <c r="D151" s="1">
        <v>44616</v>
      </c>
      <c r="E151" t="s">
        <v>487</v>
      </c>
      <c r="F151" t="s">
        <v>13</v>
      </c>
      <c r="G151" t="s">
        <v>14</v>
      </c>
      <c r="H151" t="s">
        <v>15</v>
      </c>
      <c r="I151" t="s">
        <v>204</v>
      </c>
    </row>
    <row r="152" spans="1:9" x14ac:dyDescent="0.3">
      <c r="A152" t="s">
        <v>488</v>
      </c>
      <c r="B152" t="s">
        <v>489</v>
      </c>
      <c r="C152" t="s">
        <v>11</v>
      </c>
      <c r="D152" s="1">
        <v>44616</v>
      </c>
      <c r="E152" t="s">
        <v>490</v>
      </c>
      <c r="F152" t="s">
        <v>13</v>
      </c>
      <c r="G152" t="s">
        <v>14</v>
      </c>
      <c r="H152" t="s">
        <v>15</v>
      </c>
    </row>
    <row r="153" spans="1:9" x14ac:dyDescent="0.3">
      <c r="A153" t="s">
        <v>491</v>
      </c>
      <c r="B153" t="s">
        <v>492</v>
      </c>
      <c r="C153" t="s">
        <v>24</v>
      </c>
      <c r="D153" s="1">
        <v>44617</v>
      </c>
      <c r="E153" t="s">
        <v>493</v>
      </c>
      <c r="F153" t="s">
        <v>13</v>
      </c>
      <c r="G153" t="s">
        <v>14</v>
      </c>
      <c r="H153" t="s">
        <v>15</v>
      </c>
      <c r="I153" t="s">
        <v>59</v>
      </c>
    </row>
    <row r="154" spans="1:9" x14ac:dyDescent="0.3">
      <c r="A154" t="s">
        <v>494</v>
      </c>
      <c r="B154" t="s">
        <v>495</v>
      </c>
      <c r="C154" t="s">
        <v>24</v>
      </c>
      <c r="D154" s="1">
        <v>44618</v>
      </c>
      <c r="E154" t="s">
        <v>496</v>
      </c>
      <c r="F154" t="s">
        <v>13</v>
      </c>
      <c r="G154" t="s">
        <v>14</v>
      </c>
      <c r="H154" t="s">
        <v>15</v>
      </c>
      <c r="I154" t="s">
        <v>63</v>
      </c>
    </row>
    <row r="155" spans="1:9" x14ac:dyDescent="0.3">
      <c r="A155" t="s">
        <v>497</v>
      </c>
      <c r="B155" t="s">
        <v>498</v>
      </c>
      <c r="C155" t="s">
        <v>54</v>
      </c>
      <c r="D155" s="1">
        <v>44618</v>
      </c>
      <c r="E155" t="s">
        <v>499</v>
      </c>
      <c r="F155" t="s">
        <v>13</v>
      </c>
      <c r="G155" t="s">
        <v>14</v>
      </c>
      <c r="H155" t="s">
        <v>15</v>
      </c>
      <c r="I155" t="s">
        <v>181</v>
      </c>
    </row>
    <row r="156" spans="1:9" x14ac:dyDescent="0.3">
      <c r="A156" t="s">
        <v>500</v>
      </c>
      <c r="B156" t="s">
        <v>501</v>
      </c>
      <c r="C156" t="s">
        <v>19</v>
      </c>
      <c r="D156" s="1">
        <v>44618</v>
      </c>
      <c r="E156" t="s">
        <v>502</v>
      </c>
      <c r="F156" t="s">
        <v>13</v>
      </c>
      <c r="G156" t="s">
        <v>14</v>
      </c>
      <c r="H156" t="s">
        <v>15</v>
      </c>
      <c r="I156" t="s">
        <v>21</v>
      </c>
    </row>
    <row r="157" spans="1:9" x14ac:dyDescent="0.3">
      <c r="A157" t="s">
        <v>503</v>
      </c>
      <c r="B157" t="s">
        <v>504</v>
      </c>
      <c r="C157" t="s">
        <v>54</v>
      </c>
      <c r="D157" s="1">
        <v>44620</v>
      </c>
      <c r="E157" t="s">
        <v>505</v>
      </c>
      <c r="F157" t="s">
        <v>13</v>
      </c>
      <c r="G157" t="s">
        <v>14</v>
      </c>
      <c r="H157" t="s">
        <v>15</v>
      </c>
    </row>
    <row r="158" spans="1:9" x14ac:dyDescent="0.3">
      <c r="A158" t="s">
        <v>506</v>
      </c>
      <c r="B158" t="s">
        <v>507</v>
      </c>
      <c r="C158" t="s">
        <v>11</v>
      </c>
      <c r="D158" s="1">
        <v>44620</v>
      </c>
      <c r="E158" t="s">
        <v>508</v>
      </c>
      <c r="F158" t="s">
        <v>13</v>
      </c>
      <c r="G158" t="s">
        <v>14</v>
      </c>
      <c r="H158" t="s">
        <v>15</v>
      </c>
      <c r="I158" t="s">
        <v>38</v>
      </c>
    </row>
    <row r="159" spans="1:9" x14ac:dyDescent="0.3">
      <c r="A159" t="s">
        <v>509</v>
      </c>
      <c r="B159" t="s">
        <v>510</v>
      </c>
      <c r="C159" t="s">
        <v>11</v>
      </c>
      <c r="D159" s="1">
        <v>44620</v>
      </c>
      <c r="E159" t="s">
        <v>511</v>
      </c>
      <c r="F159" t="s">
        <v>13</v>
      </c>
      <c r="G159" t="s">
        <v>14</v>
      </c>
      <c r="H159" t="s">
        <v>15</v>
      </c>
      <c r="I159" t="s">
        <v>38</v>
      </c>
    </row>
    <row r="160" spans="1:9" x14ac:dyDescent="0.3">
      <c r="A160" t="s">
        <v>512</v>
      </c>
      <c r="B160" t="s">
        <v>513</v>
      </c>
      <c r="C160" t="s">
        <v>19</v>
      </c>
      <c r="D160" s="1">
        <v>44620</v>
      </c>
      <c r="E160" t="s">
        <v>514</v>
      </c>
      <c r="F160" t="s">
        <v>13</v>
      </c>
      <c r="G160" t="s">
        <v>14</v>
      </c>
      <c r="H160" t="s">
        <v>15</v>
      </c>
    </row>
    <row r="161" spans="1:9" x14ac:dyDescent="0.3">
      <c r="A161" t="s">
        <v>515</v>
      </c>
      <c r="B161" t="s">
        <v>516</v>
      </c>
      <c r="C161" t="s">
        <v>54</v>
      </c>
      <c r="D161" s="1">
        <v>44620</v>
      </c>
      <c r="E161" t="s">
        <v>517</v>
      </c>
      <c r="F161" t="s">
        <v>13</v>
      </c>
      <c r="G161" t="s">
        <v>14</v>
      </c>
      <c r="H161" t="s">
        <v>15</v>
      </c>
      <c r="I161" t="s">
        <v>181</v>
      </c>
    </row>
    <row r="162" spans="1:9" x14ac:dyDescent="0.3">
      <c r="A162" t="s">
        <v>518</v>
      </c>
      <c r="B162" t="s">
        <v>519</v>
      </c>
      <c r="C162" t="s">
        <v>24</v>
      </c>
      <c r="D162" s="1">
        <v>44620</v>
      </c>
      <c r="E162" t="s">
        <v>520</v>
      </c>
      <c r="F162" t="s">
        <v>13</v>
      </c>
      <c r="G162" t="s">
        <v>14</v>
      </c>
      <c r="H162" t="s">
        <v>15</v>
      </c>
    </row>
    <row r="163" spans="1:9" x14ac:dyDescent="0.3">
      <c r="A163" t="s">
        <v>521</v>
      </c>
      <c r="B163" t="s">
        <v>522</v>
      </c>
      <c r="C163" t="s">
        <v>45</v>
      </c>
      <c r="D163" s="1">
        <v>44620</v>
      </c>
      <c r="E163" t="s">
        <v>523</v>
      </c>
      <c r="F163" t="s">
        <v>13</v>
      </c>
      <c r="G163" t="s">
        <v>14</v>
      </c>
      <c r="H163" t="s">
        <v>15</v>
      </c>
      <c r="I163" t="s">
        <v>248</v>
      </c>
    </row>
    <row r="164" spans="1:9" x14ac:dyDescent="0.3">
      <c r="A164" t="s">
        <v>524</v>
      </c>
      <c r="B164" t="s">
        <v>525</v>
      </c>
      <c r="C164" t="s">
        <v>24</v>
      </c>
      <c r="D164" s="1">
        <v>44621</v>
      </c>
      <c r="E164" t="s">
        <v>526</v>
      </c>
      <c r="F164" t="s">
        <v>13</v>
      </c>
      <c r="G164" t="s">
        <v>14</v>
      </c>
      <c r="H164" t="s">
        <v>15</v>
      </c>
      <c r="I164" t="s">
        <v>59</v>
      </c>
    </row>
    <row r="165" spans="1:9" x14ac:dyDescent="0.3">
      <c r="A165" t="s">
        <v>527</v>
      </c>
      <c r="B165" t="s">
        <v>528</v>
      </c>
      <c r="C165" t="s">
        <v>19</v>
      </c>
      <c r="D165" s="1">
        <v>44621</v>
      </c>
      <c r="E165" t="s">
        <v>529</v>
      </c>
      <c r="F165" t="s">
        <v>13</v>
      </c>
      <c r="G165" t="s">
        <v>14</v>
      </c>
      <c r="H165" t="s">
        <v>15</v>
      </c>
      <c r="I165" t="s">
        <v>21</v>
      </c>
    </row>
    <row r="166" spans="1:9" x14ac:dyDescent="0.3">
      <c r="A166" t="s">
        <v>530</v>
      </c>
      <c r="B166" t="s">
        <v>531</v>
      </c>
      <c r="C166" t="s">
        <v>11</v>
      </c>
      <c r="D166" s="1">
        <v>44621</v>
      </c>
      <c r="E166" t="s">
        <v>532</v>
      </c>
      <c r="F166" t="s">
        <v>13</v>
      </c>
      <c r="G166" t="s">
        <v>14</v>
      </c>
      <c r="H166" t="s">
        <v>15</v>
      </c>
    </row>
    <row r="167" spans="1:9" x14ac:dyDescent="0.3">
      <c r="A167" t="s">
        <v>533</v>
      </c>
      <c r="B167" t="s">
        <v>534</v>
      </c>
      <c r="C167" t="s">
        <v>29</v>
      </c>
      <c r="D167" s="1">
        <v>44621</v>
      </c>
      <c r="E167" t="s">
        <v>535</v>
      </c>
      <c r="F167" t="s">
        <v>13</v>
      </c>
      <c r="G167" t="s">
        <v>14</v>
      </c>
      <c r="H167" t="s">
        <v>15</v>
      </c>
      <c r="I167" t="s">
        <v>42</v>
      </c>
    </row>
    <row r="168" spans="1:9" x14ac:dyDescent="0.3">
      <c r="A168" t="s">
        <v>536</v>
      </c>
      <c r="B168" t="s">
        <v>537</v>
      </c>
      <c r="C168" t="s">
        <v>54</v>
      </c>
      <c r="D168" s="1">
        <v>44622</v>
      </c>
      <c r="E168" t="s">
        <v>538</v>
      </c>
      <c r="F168" t="s">
        <v>13</v>
      </c>
      <c r="G168" t="s">
        <v>14</v>
      </c>
      <c r="H168" t="s">
        <v>15</v>
      </c>
      <c r="I168" t="s">
        <v>238</v>
      </c>
    </row>
    <row r="169" spans="1:9" x14ac:dyDescent="0.3">
      <c r="A169" t="s">
        <v>539</v>
      </c>
      <c r="B169" t="s">
        <v>540</v>
      </c>
      <c r="C169" t="s">
        <v>29</v>
      </c>
      <c r="D169" s="1">
        <v>44623</v>
      </c>
      <c r="E169" t="s">
        <v>541</v>
      </c>
      <c r="F169" t="s">
        <v>13</v>
      </c>
      <c r="G169" t="s">
        <v>14</v>
      </c>
      <c r="H169" t="s">
        <v>15</v>
      </c>
      <c r="I169" t="s">
        <v>81</v>
      </c>
    </row>
    <row r="170" spans="1:9" x14ac:dyDescent="0.3">
      <c r="A170" t="s">
        <v>542</v>
      </c>
      <c r="B170" t="s">
        <v>543</v>
      </c>
      <c r="C170" t="s">
        <v>54</v>
      </c>
      <c r="D170" s="1">
        <v>44623</v>
      </c>
      <c r="E170" t="s">
        <v>544</v>
      </c>
      <c r="F170" t="s">
        <v>13</v>
      </c>
      <c r="G170" t="s">
        <v>14</v>
      </c>
      <c r="H170" t="s">
        <v>15</v>
      </c>
      <c r="I170" t="s">
        <v>181</v>
      </c>
    </row>
    <row r="171" spans="1:9" x14ac:dyDescent="0.3">
      <c r="A171" t="s">
        <v>545</v>
      </c>
      <c r="B171" t="s">
        <v>546</v>
      </c>
      <c r="C171" t="s">
        <v>24</v>
      </c>
      <c r="D171" s="1">
        <v>44623</v>
      </c>
      <c r="E171" t="s">
        <v>547</v>
      </c>
      <c r="F171" t="s">
        <v>13</v>
      </c>
      <c r="G171" t="s">
        <v>14</v>
      </c>
      <c r="H171" t="s">
        <v>15</v>
      </c>
      <c r="I171" t="s">
        <v>26</v>
      </c>
    </row>
    <row r="172" spans="1:9" x14ac:dyDescent="0.3">
      <c r="A172" t="s">
        <v>110</v>
      </c>
      <c r="B172" t="s">
        <v>548</v>
      </c>
      <c r="C172" t="s">
        <v>19</v>
      </c>
      <c r="D172" s="1">
        <v>44624</v>
      </c>
      <c r="E172" t="s">
        <v>549</v>
      </c>
      <c r="F172" t="s">
        <v>13</v>
      </c>
      <c r="G172" t="s">
        <v>14</v>
      </c>
      <c r="H172" t="s">
        <v>15</v>
      </c>
      <c r="I172" t="s">
        <v>116</v>
      </c>
    </row>
    <row r="173" spans="1:9" x14ac:dyDescent="0.3">
      <c r="A173" t="s">
        <v>550</v>
      </c>
      <c r="B173" t="s">
        <v>551</v>
      </c>
      <c r="C173" t="s">
        <v>45</v>
      </c>
      <c r="D173" s="1">
        <v>44624</v>
      </c>
      <c r="E173" t="s">
        <v>552</v>
      </c>
      <c r="F173" t="s">
        <v>13</v>
      </c>
      <c r="G173" t="s">
        <v>14</v>
      </c>
      <c r="H173" t="s">
        <v>15</v>
      </c>
      <c r="I173" t="s">
        <v>248</v>
      </c>
    </row>
    <row r="174" spans="1:9" x14ac:dyDescent="0.3">
      <c r="A174" t="s">
        <v>553</v>
      </c>
      <c r="B174" t="s">
        <v>554</v>
      </c>
      <c r="C174" t="s">
        <v>11</v>
      </c>
      <c r="D174" s="1">
        <v>44624</v>
      </c>
      <c r="E174" t="s">
        <v>555</v>
      </c>
      <c r="F174" t="s">
        <v>13</v>
      </c>
      <c r="G174" t="s">
        <v>14</v>
      </c>
      <c r="H174" t="s">
        <v>15</v>
      </c>
      <c r="I174" t="s">
        <v>38</v>
      </c>
    </row>
    <row r="175" spans="1:9" x14ac:dyDescent="0.3">
      <c r="A175" t="s">
        <v>556</v>
      </c>
      <c r="B175" t="s">
        <v>557</v>
      </c>
      <c r="C175" t="s">
        <v>45</v>
      </c>
      <c r="D175" s="1">
        <v>44624</v>
      </c>
      <c r="E175" t="s">
        <v>558</v>
      </c>
      <c r="F175" t="s">
        <v>13</v>
      </c>
      <c r="G175" t="s">
        <v>14</v>
      </c>
      <c r="H175" t="s">
        <v>15</v>
      </c>
      <c r="I175" t="s">
        <v>47</v>
      </c>
    </row>
    <row r="176" spans="1:9" x14ac:dyDescent="0.3">
      <c r="A176" t="s">
        <v>559</v>
      </c>
      <c r="B176" t="s">
        <v>560</v>
      </c>
      <c r="C176" t="s">
        <v>11</v>
      </c>
      <c r="D176" s="1">
        <v>44624</v>
      </c>
      <c r="E176" t="s">
        <v>561</v>
      </c>
      <c r="F176" t="s">
        <v>13</v>
      </c>
      <c r="G176" t="s">
        <v>14</v>
      </c>
      <c r="H176" t="s">
        <v>15</v>
      </c>
      <c r="I176" t="s">
        <v>38</v>
      </c>
    </row>
    <row r="177" spans="1:9" x14ac:dyDescent="0.3">
      <c r="A177" t="s">
        <v>562</v>
      </c>
      <c r="B177" t="s">
        <v>563</v>
      </c>
      <c r="C177" t="s">
        <v>11</v>
      </c>
      <c r="D177" s="1">
        <v>44625</v>
      </c>
      <c r="E177" t="s">
        <v>564</v>
      </c>
      <c r="F177" t="s">
        <v>13</v>
      </c>
      <c r="G177" t="s">
        <v>14</v>
      </c>
      <c r="H177" t="s">
        <v>15</v>
      </c>
    </row>
    <row r="178" spans="1:9" x14ac:dyDescent="0.3">
      <c r="A178" t="s">
        <v>565</v>
      </c>
      <c r="B178" t="s">
        <v>566</v>
      </c>
      <c r="C178" t="s">
        <v>24</v>
      </c>
      <c r="D178" s="1">
        <v>44625</v>
      </c>
      <c r="E178" t="s">
        <v>567</v>
      </c>
      <c r="F178" t="s">
        <v>13</v>
      </c>
      <c r="G178" t="s">
        <v>14</v>
      </c>
      <c r="H178" t="s">
        <v>15</v>
      </c>
      <c r="I178" t="s">
        <v>59</v>
      </c>
    </row>
    <row r="179" spans="1:9" x14ac:dyDescent="0.3">
      <c r="A179" t="s">
        <v>568</v>
      </c>
      <c r="B179" t="s">
        <v>569</v>
      </c>
      <c r="C179" t="s">
        <v>11</v>
      </c>
      <c r="D179" s="1">
        <v>44625</v>
      </c>
      <c r="E179" t="s">
        <v>570</v>
      </c>
      <c r="F179" t="s">
        <v>13</v>
      </c>
      <c r="G179" t="s">
        <v>14</v>
      </c>
      <c r="H179" t="s">
        <v>15</v>
      </c>
      <c r="I179" t="s">
        <v>16</v>
      </c>
    </row>
    <row r="180" spans="1:9" x14ac:dyDescent="0.3">
      <c r="A180" t="s">
        <v>571</v>
      </c>
      <c r="B180" t="s">
        <v>572</v>
      </c>
      <c r="C180" t="s">
        <v>24</v>
      </c>
      <c r="D180" s="1">
        <v>44626</v>
      </c>
      <c r="E180" t="s">
        <v>573</v>
      </c>
      <c r="F180" t="s">
        <v>13</v>
      </c>
      <c r="G180" t="s">
        <v>14</v>
      </c>
      <c r="H180" t="s">
        <v>15</v>
      </c>
    </row>
    <row r="181" spans="1:9" x14ac:dyDescent="0.3">
      <c r="A181" t="s">
        <v>574</v>
      </c>
      <c r="B181" t="s">
        <v>575</v>
      </c>
      <c r="C181" t="s">
        <v>45</v>
      </c>
      <c r="D181" s="1">
        <v>44627</v>
      </c>
      <c r="E181" t="s">
        <v>576</v>
      </c>
      <c r="F181" t="s">
        <v>13</v>
      </c>
      <c r="G181" t="s">
        <v>14</v>
      </c>
      <c r="H181" t="s">
        <v>15</v>
      </c>
      <c r="I181" t="s">
        <v>248</v>
      </c>
    </row>
    <row r="182" spans="1:9" x14ac:dyDescent="0.3">
      <c r="A182" t="s">
        <v>577</v>
      </c>
      <c r="B182" t="s">
        <v>578</v>
      </c>
      <c r="C182" t="s">
        <v>19</v>
      </c>
      <c r="D182" s="1">
        <v>44627</v>
      </c>
      <c r="E182" t="s">
        <v>579</v>
      </c>
      <c r="F182" t="s">
        <v>13</v>
      </c>
      <c r="G182" t="s">
        <v>14</v>
      </c>
      <c r="H182" t="s">
        <v>15</v>
      </c>
    </row>
    <row r="183" spans="1:9" x14ac:dyDescent="0.3">
      <c r="A183" t="s">
        <v>580</v>
      </c>
      <c r="B183" t="s">
        <v>581</v>
      </c>
      <c r="C183" t="s">
        <v>45</v>
      </c>
      <c r="D183" s="1">
        <v>44627</v>
      </c>
      <c r="E183" t="s">
        <v>582</v>
      </c>
      <c r="F183" t="s">
        <v>13</v>
      </c>
      <c r="G183" t="s">
        <v>14</v>
      </c>
      <c r="H183" t="s">
        <v>15</v>
      </c>
      <c r="I183" t="s">
        <v>47</v>
      </c>
    </row>
    <row r="184" spans="1:9" x14ac:dyDescent="0.3">
      <c r="A184" t="s">
        <v>583</v>
      </c>
      <c r="B184" t="s">
        <v>584</v>
      </c>
      <c r="C184" t="s">
        <v>11</v>
      </c>
      <c r="D184" s="1">
        <v>44628</v>
      </c>
      <c r="E184" t="s">
        <v>585</v>
      </c>
      <c r="F184" t="s">
        <v>13</v>
      </c>
      <c r="G184" t="s">
        <v>14</v>
      </c>
      <c r="H184" t="s">
        <v>15</v>
      </c>
      <c r="I184" t="s">
        <v>38</v>
      </c>
    </row>
    <row r="185" spans="1:9" x14ac:dyDescent="0.3">
      <c r="A185" t="s">
        <v>586</v>
      </c>
      <c r="B185" t="s">
        <v>587</v>
      </c>
      <c r="C185" t="s">
        <v>11</v>
      </c>
      <c r="D185" s="1">
        <v>44628</v>
      </c>
      <c r="E185" t="s">
        <v>588</v>
      </c>
      <c r="F185" t="s">
        <v>13</v>
      </c>
      <c r="G185" t="s">
        <v>14</v>
      </c>
      <c r="H185" t="s">
        <v>15</v>
      </c>
      <c r="I185" t="s">
        <v>16</v>
      </c>
    </row>
    <row r="186" spans="1:9" x14ac:dyDescent="0.3">
      <c r="A186" t="s">
        <v>589</v>
      </c>
      <c r="B186" t="s">
        <v>590</v>
      </c>
      <c r="C186" t="s">
        <v>69</v>
      </c>
      <c r="D186" s="1">
        <v>44628</v>
      </c>
      <c r="E186" t="s">
        <v>591</v>
      </c>
      <c r="F186" t="s">
        <v>13</v>
      </c>
      <c r="G186" t="s">
        <v>14</v>
      </c>
      <c r="H186" t="s">
        <v>15</v>
      </c>
      <c r="I186" t="s">
        <v>71</v>
      </c>
    </row>
    <row r="187" spans="1:9" x14ac:dyDescent="0.3">
      <c r="A187" t="s">
        <v>592</v>
      </c>
      <c r="B187" t="s">
        <v>593</v>
      </c>
      <c r="C187" t="s">
        <v>29</v>
      </c>
      <c r="D187" s="1">
        <v>44628</v>
      </c>
      <c r="E187" t="s">
        <v>594</v>
      </c>
      <c r="F187" t="s">
        <v>13</v>
      </c>
      <c r="G187" t="s">
        <v>14</v>
      </c>
      <c r="H187" t="s">
        <v>15</v>
      </c>
      <c r="I187" t="s">
        <v>81</v>
      </c>
    </row>
    <row r="188" spans="1:9" x14ac:dyDescent="0.3">
      <c r="A188" t="s">
        <v>595</v>
      </c>
      <c r="B188" t="s">
        <v>596</v>
      </c>
      <c r="C188" t="s">
        <v>54</v>
      </c>
      <c r="D188" s="1">
        <v>44629</v>
      </c>
      <c r="E188" t="s">
        <v>597</v>
      </c>
      <c r="F188" t="s">
        <v>13</v>
      </c>
      <c r="G188" t="s">
        <v>14</v>
      </c>
      <c r="H188" t="s">
        <v>15</v>
      </c>
      <c r="I188" t="s">
        <v>181</v>
      </c>
    </row>
    <row r="189" spans="1:9" x14ac:dyDescent="0.3">
      <c r="A189" t="s">
        <v>598</v>
      </c>
      <c r="B189" t="s">
        <v>599</v>
      </c>
      <c r="C189" t="s">
        <v>69</v>
      </c>
      <c r="D189" s="1">
        <v>44630</v>
      </c>
      <c r="E189" t="s">
        <v>600</v>
      </c>
      <c r="F189" t="s">
        <v>13</v>
      </c>
      <c r="G189" t="s">
        <v>14</v>
      </c>
      <c r="H189" t="s">
        <v>15</v>
      </c>
      <c r="I189" t="s">
        <v>71</v>
      </c>
    </row>
    <row r="190" spans="1:9" x14ac:dyDescent="0.3">
      <c r="A190" t="s">
        <v>601</v>
      </c>
      <c r="B190" t="s">
        <v>602</v>
      </c>
      <c r="C190" t="s">
        <v>54</v>
      </c>
      <c r="D190" s="1">
        <v>44630</v>
      </c>
      <c r="E190" t="s">
        <v>603</v>
      </c>
      <c r="F190" t="s">
        <v>13</v>
      </c>
      <c r="G190" t="s">
        <v>14</v>
      </c>
      <c r="H190" t="s">
        <v>15</v>
      </c>
      <c r="I190" t="s">
        <v>238</v>
      </c>
    </row>
    <row r="191" spans="1:9" x14ac:dyDescent="0.3">
      <c r="A191" t="s">
        <v>604</v>
      </c>
      <c r="B191" t="s">
        <v>605</v>
      </c>
      <c r="C191" t="s">
        <v>69</v>
      </c>
      <c r="D191" s="1">
        <v>44631</v>
      </c>
      <c r="E191" t="s">
        <v>606</v>
      </c>
      <c r="F191" t="s">
        <v>13</v>
      </c>
      <c r="G191" t="s">
        <v>14</v>
      </c>
      <c r="H191" t="s">
        <v>15</v>
      </c>
    </row>
    <row r="192" spans="1:9" x14ac:dyDescent="0.3">
      <c r="A192" t="s">
        <v>607</v>
      </c>
      <c r="B192" t="s">
        <v>608</v>
      </c>
      <c r="C192" t="s">
        <v>54</v>
      </c>
      <c r="D192" s="1">
        <v>44631</v>
      </c>
      <c r="E192" t="s">
        <v>609</v>
      </c>
      <c r="F192" t="s">
        <v>13</v>
      </c>
      <c r="G192" t="s">
        <v>14</v>
      </c>
      <c r="H192" t="s">
        <v>15</v>
      </c>
      <c r="I192" t="s">
        <v>238</v>
      </c>
    </row>
    <row r="193" spans="1:9" x14ac:dyDescent="0.3">
      <c r="A193" t="s">
        <v>610</v>
      </c>
      <c r="B193" t="s">
        <v>611</v>
      </c>
      <c r="C193" t="s">
        <v>19</v>
      </c>
      <c r="D193" s="1">
        <v>44632</v>
      </c>
      <c r="E193" t="s">
        <v>612</v>
      </c>
      <c r="F193" t="s">
        <v>13</v>
      </c>
      <c r="G193" t="s">
        <v>14</v>
      </c>
      <c r="H193" t="s">
        <v>15</v>
      </c>
      <c r="I193" t="s">
        <v>116</v>
      </c>
    </row>
    <row r="194" spans="1:9" x14ac:dyDescent="0.3">
      <c r="A194" t="s">
        <v>613</v>
      </c>
      <c r="B194" t="s">
        <v>614</v>
      </c>
      <c r="C194" t="s">
        <v>29</v>
      </c>
      <c r="D194" s="1">
        <v>44632</v>
      </c>
      <c r="E194" t="s">
        <v>615</v>
      </c>
      <c r="F194" t="s">
        <v>13</v>
      </c>
      <c r="G194" t="s">
        <v>14</v>
      </c>
      <c r="H194" t="s">
        <v>15</v>
      </c>
    </row>
    <row r="195" spans="1:9" x14ac:dyDescent="0.3">
      <c r="A195" t="s">
        <v>616</v>
      </c>
      <c r="B195" t="s">
        <v>617</v>
      </c>
      <c r="C195" t="s">
        <v>24</v>
      </c>
      <c r="D195" s="1">
        <v>44632</v>
      </c>
      <c r="E195" t="s">
        <v>618</v>
      </c>
      <c r="F195" t="s">
        <v>13</v>
      </c>
      <c r="G195" t="s">
        <v>14</v>
      </c>
      <c r="H195" t="s">
        <v>15</v>
      </c>
    </row>
    <row r="196" spans="1:9" x14ac:dyDescent="0.3">
      <c r="A196" t="s">
        <v>619</v>
      </c>
      <c r="B196" t="s">
        <v>620</v>
      </c>
      <c r="C196" t="s">
        <v>29</v>
      </c>
      <c r="D196" s="1">
        <v>44632</v>
      </c>
      <c r="E196" t="s">
        <v>621</v>
      </c>
      <c r="F196" t="s">
        <v>13</v>
      </c>
      <c r="G196" t="s">
        <v>14</v>
      </c>
      <c r="H196" t="s">
        <v>15</v>
      </c>
      <c r="I196" t="s">
        <v>204</v>
      </c>
    </row>
    <row r="197" spans="1:9" x14ac:dyDescent="0.3">
      <c r="A197" t="s">
        <v>622</v>
      </c>
      <c r="B197" t="s">
        <v>623</v>
      </c>
      <c r="C197" t="s">
        <v>24</v>
      </c>
      <c r="D197" s="1">
        <v>44632</v>
      </c>
      <c r="E197" t="s">
        <v>624</v>
      </c>
      <c r="F197" t="s">
        <v>13</v>
      </c>
      <c r="G197" t="s">
        <v>14</v>
      </c>
      <c r="H197" t="s">
        <v>15</v>
      </c>
      <c r="I197" t="s">
        <v>59</v>
      </c>
    </row>
    <row r="198" spans="1:9" x14ac:dyDescent="0.3">
      <c r="A198" t="s">
        <v>625</v>
      </c>
      <c r="B198" t="s">
        <v>626</v>
      </c>
      <c r="C198" t="s">
        <v>24</v>
      </c>
      <c r="D198" s="1">
        <v>44633</v>
      </c>
      <c r="E198" t="s">
        <v>627</v>
      </c>
      <c r="F198" t="s">
        <v>13</v>
      </c>
      <c r="G198" t="s">
        <v>14</v>
      </c>
      <c r="H198" t="s">
        <v>15</v>
      </c>
      <c r="I198" t="s">
        <v>63</v>
      </c>
    </row>
    <row r="199" spans="1:9" x14ac:dyDescent="0.3">
      <c r="A199" t="s">
        <v>628</v>
      </c>
      <c r="B199" t="s">
        <v>629</v>
      </c>
      <c r="C199" t="s">
        <v>69</v>
      </c>
      <c r="D199" s="1">
        <v>44633</v>
      </c>
      <c r="E199" t="s">
        <v>630</v>
      </c>
      <c r="F199" t="s">
        <v>13</v>
      </c>
      <c r="G199" t="s">
        <v>14</v>
      </c>
      <c r="H199" t="s">
        <v>15</v>
      </c>
      <c r="I199" t="s">
        <v>71</v>
      </c>
    </row>
    <row r="200" spans="1:9" x14ac:dyDescent="0.3">
      <c r="A200" t="s">
        <v>631</v>
      </c>
      <c r="B200" t="s">
        <v>632</v>
      </c>
      <c r="C200" t="s">
        <v>11</v>
      </c>
      <c r="D200" s="1">
        <v>44634</v>
      </c>
      <c r="E200" t="s">
        <v>633</v>
      </c>
      <c r="F200" t="s">
        <v>13</v>
      </c>
      <c r="G200" t="s">
        <v>14</v>
      </c>
      <c r="H200" t="s">
        <v>15</v>
      </c>
      <c r="I200" t="s">
        <v>185</v>
      </c>
    </row>
    <row r="201" spans="1:9" x14ac:dyDescent="0.3">
      <c r="A201" t="s">
        <v>634</v>
      </c>
      <c r="B201" t="s">
        <v>635</v>
      </c>
      <c r="C201" t="s">
        <v>45</v>
      </c>
      <c r="D201" s="1">
        <v>44635</v>
      </c>
      <c r="E201" t="s">
        <v>636</v>
      </c>
      <c r="F201" t="s">
        <v>13</v>
      </c>
      <c r="G201" t="s">
        <v>14</v>
      </c>
      <c r="H201" t="s">
        <v>15</v>
      </c>
      <c r="I201" t="s">
        <v>248</v>
      </c>
    </row>
    <row r="202" spans="1:9" x14ac:dyDescent="0.3">
      <c r="A202" t="s">
        <v>637</v>
      </c>
      <c r="B202" t="s">
        <v>638</v>
      </c>
      <c r="C202" t="s">
        <v>29</v>
      </c>
      <c r="D202" s="1">
        <v>44635</v>
      </c>
      <c r="E202" t="s">
        <v>639</v>
      </c>
      <c r="F202" t="s">
        <v>13</v>
      </c>
      <c r="G202" t="s">
        <v>14</v>
      </c>
      <c r="H202" t="s">
        <v>15</v>
      </c>
      <c r="I202" t="s">
        <v>42</v>
      </c>
    </row>
    <row r="203" spans="1:9" x14ac:dyDescent="0.3">
      <c r="A203" t="s">
        <v>640</v>
      </c>
      <c r="B203" t="s">
        <v>641</v>
      </c>
      <c r="C203" t="s">
        <v>69</v>
      </c>
      <c r="D203" s="1">
        <v>44635</v>
      </c>
      <c r="E203" t="s">
        <v>642</v>
      </c>
      <c r="F203" t="s">
        <v>13</v>
      </c>
      <c r="G203" t="s">
        <v>14</v>
      </c>
      <c r="H203" t="s">
        <v>15</v>
      </c>
      <c r="I203" t="s">
        <v>71</v>
      </c>
    </row>
    <row r="204" spans="1:9" x14ac:dyDescent="0.3">
      <c r="A204" t="s">
        <v>643</v>
      </c>
      <c r="B204" t="s">
        <v>644</v>
      </c>
      <c r="C204" t="s">
        <v>11</v>
      </c>
      <c r="D204" s="1">
        <v>44636</v>
      </c>
      <c r="E204" t="s">
        <v>645</v>
      </c>
      <c r="F204" t="s">
        <v>13</v>
      </c>
      <c r="G204" t="s">
        <v>14</v>
      </c>
      <c r="H204" t="s">
        <v>15</v>
      </c>
      <c r="I204" t="s">
        <v>38</v>
      </c>
    </row>
    <row r="205" spans="1:9" x14ac:dyDescent="0.3">
      <c r="A205" t="s">
        <v>646</v>
      </c>
      <c r="B205" t="s">
        <v>647</v>
      </c>
      <c r="C205" t="s">
        <v>33</v>
      </c>
      <c r="D205" s="1">
        <v>44636</v>
      </c>
      <c r="E205" t="s">
        <v>648</v>
      </c>
      <c r="F205" t="s">
        <v>13</v>
      </c>
      <c r="G205" t="s">
        <v>14</v>
      </c>
      <c r="H205" t="s">
        <v>15</v>
      </c>
      <c r="I205" t="s">
        <v>51</v>
      </c>
    </row>
    <row r="206" spans="1:9" x14ac:dyDescent="0.3">
      <c r="A206" t="s">
        <v>649</v>
      </c>
      <c r="B206" t="s">
        <v>650</v>
      </c>
      <c r="C206" t="s">
        <v>54</v>
      </c>
      <c r="D206" s="1">
        <v>44636</v>
      </c>
      <c r="E206" t="s">
        <v>651</v>
      </c>
      <c r="F206" t="s">
        <v>13</v>
      </c>
      <c r="G206" t="s">
        <v>14</v>
      </c>
      <c r="H206" t="s">
        <v>15</v>
      </c>
      <c r="I206" t="s">
        <v>238</v>
      </c>
    </row>
    <row r="207" spans="1:9" x14ac:dyDescent="0.3">
      <c r="A207" t="s">
        <v>652</v>
      </c>
      <c r="B207" t="s">
        <v>653</v>
      </c>
      <c r="C207" t="s">
        <v>24</v>
      </c>
      <c r="D207" s="1">
        <v>44637</v>
      </c>
      <c r="E207" t="s">
        <v>654</v>
      </c>
      <c r="F207" t="s">
        <v>13</v>
      </c>
      <c r="G207" t="s">
        <v>14</v>
      </c>
      <c r="H207" t="s">
        <v>15</v>
      </c>
      <c r="I207" t="s">
        <v>26</v>
      </c>
    </row>
    <row r="208" spans="1:9" x14ac:dyDescent="0.3">
      <c r="A208" t="s">
        <v>655</v>
      </c>
      <c r="B208" t="s">
        <v>656</v>
      </c>
      <c r="C208" t="s">
        <v>19</v>
      </c>
      <c r="D208" s="1">
        <v>44637</v>
      </c>
      <c r="E208" t="s">
        <v>657</v>
      </c>
      <c r="F208" t="s">
        <v>13</v>
      </c>
      <c r="G208" t="s">
        <v>14</v>
      </c>
      <c r="H208" t="s">
        <v>15</v>
      </c>
    </row>
    <row r="209" spans="1:9" x14ac:dyDescent="0.3">
      <c r="A209" t="s">
        <v>658</v>
      </c>
      <c r="B209" t="s">
        <v>659</v>
      </c>
      <c r="C209" t="s">
        <v>11</v>
      </c>
      <c r="D209" s="1">
        <v>44637</v>
      </c>
      <c r="E209" t="s">
        <v>660</v>
      </c>
      <c r="F209" t="s">
        <v>13</v>
      </c>
      <c r="G209" t="s">
        <v>14</v>
      </c>
      <c r="H209" t="s">
        <v>15</v>
      </c>
      <c r="I209" t="s">
        <v>16</v>
      </c>
    </row>
    <row r="210" spans="1:9" x14ac:dyDescent="0.3">
      <c r="A210" t="s">
        <v>661</v>
      </c>
      <c r="B210" t="s">
        <v>662</v>
      </c>
      <c r="C210" t="s">
        <v>24</v>
      </c>
      <c r="D210" s="1">
        <v>44637</v>
      </c>
      <c r="E210" t="s">
        <v>663</v>
      </c>
      <c r="F210" t="s">
        <v>13</v>
      </c>
      <c r="G210" t="s">
        <v>14</v>
      </c>
      <c r="H210" t="s">
        <v>15</v>
      </c>
      <c r="I210" t="s">
        <v>59</v>
      </c>
    </row>
    <row r="211" spans="1:9" x14ac:dyDescent="0.3">
      <c r="A211" t="s">
        <v>664</v>
      </c>
      <c r="B211" t="s">
        <v>665</v>
      </c>
      <c r="C211" t="s">
        <v>29</v>
      </c>
      <c r="D211" s="1">
        <v>44637</v>
      </c>
      <c r="E211" t="s">
        <v>666</v>
      </c>
      <c r="F211" t="s">
        <v>13</v>
      </c>
      <c r="G211" t="s">
        <v>14</v>
      </c>
      <c r="H211" t="s">
        <v>15</v>
      </c>
      <c r="I211" t="s">
        <v>42</v>
      </c>
    </row>
    <row r="212" spans="1:9" x14ac:dyDescent="0.3">
      <c r="A212" t="s">
        <v>667</v>
      </c>
      <c r="B212" t="s">
        <v>668</v>
      </c>
      <c r="C212" t="s">
        <v>45</v>
      </c>
      <c r="D212" s="1">
        <v>44637</v>
      </c>
      <c r="E212" t="s">
        <v>669</v>
      </c>
      <c r="F212" t="s">
        <v>13</v>
      </c>
      <c r="G212" t="s">
        <v>14</v>
      </c>
      <c r="H212" t="s">
        <v>15</v>
      </c>
    </row>
    <row r="213" spans="1:9" x14ac:dyDescent="0.3">
      <c r="A213" t="s">
        <v>670</v>
      </c>
      <c r="B213" t="s">
        <v>671</v>
      </c>
      <c r="C213" t="s">
        <v>29</v>
      </c>
      <c r="D213" s="1">
        <v>44638</v>
      </c>
      <c r="E213" t="s">
        <v>672</v>
      </c>
      <c r="F213" t="s">
        <v>13</v>
      </c>
      <c r="G213" t="s">
        <v>14</v>
      </c>
      <c r="H213" t="s">
        <v>15</v>
      </c>
    </row>
    <row r="214" spans="1:9" x14ac:dyDescent="0.3">
      <c r="A214" t="s">
        <v>673</v>
      </c>
      <c r="B214" t="s">
        <v>674</v>
      </c>
      <c r="C214" t="s">
        <v>54</v>
      </c>
      <c r="D214" s="1">
        <v>44639</v>
      </c>
      <c r="E214" t="s">
        <v>675</v>
      </c>
      <c r="F214" t="s">
        <v>13</v>
      </c>
      <c r="G214" t="s">
        <v>14</v>
      </c>
      <c r="H214" t="s">
        <v>15</v>
      </c>
    </row>
    <row r="215" spans="1:9" x14ac:dyDescent="0.3">
      <c r="A215" t="s">
        <v>676</v>
      </c>
      <c r="B215" t="s">
        <v>677</v>
      </c>
      <c r="C215" t="s">
        <v>69</v>
      </c>
      <c r="D215" s="1">
        <v>44640</v>
      </c>
      <c r="E215" t="s">
        <v>678</v>
      </c>
      <c r="F215" t="s">
        <v>13</v>
      </c>
      <c r="G215" t="s">
        <v>14</v>
      </c>
      <c r="H215" t="s">
        <v>15</v>
      </c>
    </row>
    <row r="216" spans="1:9" x14ac:dyDescent="0.3">
      <c r="A216" t="s">
        <v>679</v>
      </c>
      <c r="B216" t="s">
        <v>680</v>
      </c>
      <c r="C216" t="s">
        <v>11</v>
      </c>
      <c r="D216" s="1">
        <v>44641</v>
      </c>
      <c r="E216" t="s">
        <v>681</v>
      </c>
      <c r="F216" t="s">
        <v>13</v>
      </c>
      <c r="G216" t="s">
        <v>14</v>
      </c>
      <c r="H216" t="s">
        <v>15</v>
      </c>
      <c r="I216" t="s">
        <v>185</v>
      </c>
    </row>
    <row r="217" spans="1:9" x14ac:dyDescent="0.3">
      <c r="A217" t="s">
        <v>682</v>
      </c>
      <c r="B217" t="s">
        <v>683</v>
      </c>
      <c r="C217" t="s">
        <v>69</v>
      </c>
      <c r="D217" s="1">
        <v>44641</v>
      </c>
      <c r="E217" t="s">
        <v>684</v>
      </c>
      <c r="F217" t="s">
        <v>13</v>
      </c>
      <c r="G217" t="s">
        <v>14</v>
      </c>
      <c r="H217" t="s">
        <v>15</v>
      </c>
      <c r="I217" t="s">
        <v>71</v>
      </c>
    </row>
    <row r="218" spans="1:9" x14ac:dyDescent="0.3">
      <c r="A218" t="s">
        <v>685</v>
      </c>
      <c r="B218" t="s">
        <v>686</v>
      </c>
      <c r="C218" t="s">
        <v>11</v>
      </c>
      <c r="D218" s="1">
        <v>44641</v>
      </c>
      <c r="E218" t="s">
        <v>687</v>
      </c>
      <c r="F218" t="s">
        <v>13</v>
      </c>
      <c r="G218" t="s">
        <v>14</v>
      </c>
      <c r="H218" t="s">
        <v>15</v>
      </c>
      <c r="I218" t="s">
        <v>185</v>
      </c>
    </row>
    <row r="219" spans="1:9" x14ac:dyDescent="0.3">
      <c r="A219" t="s">
        <v>688</v>
      </c>
      <c r="B219" t="s">
        <v>689</v>
      </c>
      <c r="C219" t="s">
        <v>54</v>
      </c>
      <c r="D219" s="1">
        <v>44641</v>
      </c>
      <c r="E219" t="s">
        <v>690</v>
      </c>
      <c r="F219" t="s">
        <v>13</v>
      </c>
      <c r="G219" t="s">
        <v>14</v>
      </c>
      <c r="H219" t="s">
        <v>15</v>
      </c>
      <c r="I219" t="s">
        <v>238</v>
      </c>
    </row>
    <row r="220" spans="1:9" x14ac:dyDescent="0.3">
      <c r="A220" t="s">
        <v>691</v>
      </c>
      <c r="B220" t="s">
        <v>692</v>
      </c>
      <c r="C220" t="s">
        <v>11</v>
      </c>
      <c r="D220" s="1">
        <v>44642</v>
      </c>
      <c r="E220" t="s">
        <v>693</v>
      </c>
      <c r="F220" t="s">
        <v>13</v>
      </c>
      <c r="G220" t="s">
        <v>14</v>
      </c>
      <c r="H220" t="s">
        <v>15</v>
      </c>
    </row>
    <row r="221" spans="1:9" x14ac:dyDescent="0.3">
      <c r="A221" t="s">
        <v>694</v>
      </c>
      <c r="B221" t="s">
        <v>695</v>
      </c>
      <c r="C221" t="s">
        <v>19</v>
      </c>
      <c r="D221" s="1">
        <v>44642</v>
      </c>
      <c r="E221" t="s">
        <v>231</v>
      </c>
      <c r="F221" t="s">
        <v>13</v>
      </c>
      <c r="G221" t="s">
        <v>14</v>
      </c>
      <c r="H221" t="s">
        <v>15</v>
      </c>
    </row>
    <row r="222" spans="1:9" x14ac:dyDescent="0.3">
      <c r="A222" t="s">
        <v>696</v>
      </c>
      <c r="B222" t="s">
        <v>697</v>
      </c>
      <c r="C222" t="s">
        <v>29</v>
      </c>
      <c r="D222" s="1">
        <v>44642</v>
      </c>
      <c r="E222" t="s">
        <v>698</v>
      </c>
      <c r="F222" t="s">
        <v>13</v>
      </c>
      <c r="G222" t="s">
        <v>14</v>
      </c>
      <c r="H222" t="s">
        <v>15</v>
      </c>
      <c r="I222" t="s">
        <v>81</v>
      </c>
    </row>
    <row r="223" spans="1:9" x14ac:dyDescent="0.3">
      <c r="A223" t="s">
        <v>699</v>
      </c>
      <c r="B223" t="s">
        <v>700</v>
      </c>
      <c r="C223" t="s">
        <v>11</v>
      </c>
      <c r="D223" s="1">
        <v>44642</v>
      </c>
      <c r="E223" t="s">
        <v>701</v>
      </c>
      <c r="F223" t="s">
        <v>13</v>
      </c>
      <c r="G223" t="s">
        <v>14</v>
      </c>
      <c r="H223" t="s">
        <v>15</v>
      </c>
      <c r="I223" t="s">
        <v>16</v>
      </c>
    </row>
    <row r="224" spans="1:9" x14ac:dyDescent="0.3">
      <c r="A224" t="s">
        <v>702</v>
      </c>
      <c r="B224" t="s">
        <v>703</v>
      </c>
      <c r="C224" t="s">
        <v>45</v>
      </c>
      <c r="D224" s="1">
        <v>44642</v>
      </c>
      <c r="E224" t="s">
        <v>704</v>
      </c>
      <c r="F224" t="s">
        <v>13</v>
      </c>
      <c r="G224" t="s">
        <v>14</v>
      </c>
      <c r="H224" t="s">
        <v>15</v>
      </c>
    </row>
    <row r="225" spans="1:9" x14ac:dyDescent="0.3">
      <c r="A225" t="s">
        <v>705</v>
      </c>
      <c r="B225" t="s">
        <v>706</v>
      </c>
      <c r="C225" t="s">
        <v>45</v>
      </c>
      <c r="D225" s="1">
        <v>44643</v>
      </c>
      <c r="E225" t="s">
        <v>707</v>
      </c>
      <c r="F225" t="s">
        <v>13</v>
      </c>
      <c r="G225" t="s">
        <v>14</v>
      </c>
      <c r="H225" t="s">
        <v>15</v>
      </c>
      <c r="I225" t="s">
        <v>248</v>
      </c>
    </row>
    <row r="226" spans="1:9" x14ac:dyDescent="0.3">
      <c r="A226" t="s">
        <v>708</v>
      </c>
      <c r="B226" t="s">
        <v>709</v>
      </c>
      <c r="C226" t="s">
        <v>69</v>
      </c>
      <c r="D226" s="1">
        <v>44643</v>
      </c>
      <c r="E226" t="s">
        <v>710</v>
      </c>
      <c r="F226" t="s">
        <v>13</v>
      </c>
      <c r="G226" t="s">
        <v>14</v>
      </c>
      <c r="H226" t="s">
        <v>15</v>
      </c>
      <c r="I226" t="s">
        <v>71</v>
      </c>
    </row>
    <row r="227" spans="1:9" x14ac:dyDescent="0.3">
      <c r="A227" t="s">
        <v>655</v>
      </c>
      <c r="B227" t="s">
        <v>711</v>
      </c>
      <c r="C227" t="s">
        <v>19</v>
      </c>
      <c r="D227" s="1">
        <v>44643</v>
      </c>
      <c r="E227" t="s">
        <v>712</v>
      </c>
      <c r="F227" t="s">
        <v>13</v>
      </c>
      <c r="G227" t="s">
        <v>14</v>
      </c>
      <c r="H227" t="s">
        <v>15</v>
      </c>
      <c r="I227" t="s">
        <v>116</v>
      </c>
    </row>
    <row r="228" spans="1:9" x14ac:dyDescent="0.3">
      <c r="A228" t="s">
        <v>713</v>
      </c>
      <c r="B228" t="s">
        <v>714</v>
      </c>
      <c r="C228" t="s">
        <v>11</v>
      </c>
      <c r="D228" s="1">
        <v>44644</v>
      </c>
      <c r="E228" t="s">
        <v>715</v>
      </c>
      <c r="F228" t="s">
        <v>13</v>
      </c>
      <c r="G228" t="s">
        <v>14</v>
      </c>
      <c r="H228" t="s">
        <v>15</v>
      </c>
      <c r="I228" t="s">
        <v>185</v>
      </c>
    </row>
    <row r="229" spans="1:9" x14ac:dyDescent="0.3">
      <c r="A229" t="s">
        <v>716</v>
      </c>
      <c r="B229" t="s">
        <v>717</v>
      </c>
      <c r="C229" t="s">
        <v>19</v>
      </c>
      <c r="D229" s="1">
        <v>44644</v>
      </c>
      <c r="E229" t="s">
        <v>718</v>
      </c>
      <c r="F229" t="s">
        <v>13</v>
      </c>
      <c r="G229" t="s">
        <v>14</v>
      </c>
      <c r="H229" t="s">
        <v>15</v>
      </c>
      <c r="I229" t="s">
        <v>21</v>
      </c>
    </row>
    <row r="230" spans="1:9" x14ac:dyDescent="0.3">
      <c r="A230" t="s">
        <v>719</v>
      </c>
      <c r="B230" t="s">
        <v>720</v>
      </c>
      <c r="C230" t="s">
        <v>11</v>
      </c>
      <c r="D230" s="1">
        <v>44644</v>
      </c>
      <c r="E230" t="s">
        <v>721</v>
      </c>
      <c r="F230" t="s">
        <v>13</v>
      </c>
      <c r="G230" t="s">
        <v>14</v>
      </c>
      <c r="H230" t="s">
        <v>15</v>
      </c>
      <c r="I230" t="s">
        <v>38</v>
      </c>
    </row>
    <row r="231" spans="1:9" x14ac:dyDescent="0.3">
      <c r="A231" t="s">
        <v>722</v>
      </c>
      <c r="B231" t="s">
        <v>723</v>
      </c>
      <c r="C231" t="s">
        <v>54</v>
      </c>
      <c r="D231" s="1">
        <v>44644</v>
      </c>
      <c r="E231" t="s">
        <v>724</v>
      </c>
      <c r="F231" t="s">
        <v>13</v>
      </c>
      <c r="G231" t="s">
        <v>14</v>
      </c>
      <c r="H231" t="s">
        <v>15</v>
      </c>
    </row>
    <row r="232" spans="1:9" x14ac:dyDescent="0.3">
      <c r="A232" t="s">
        <v>725</v>
      </c>
      <c r="B232" t="s">
        <v>726</v>
      </c>
      <c r="C232" t="s">
        <v>19</v>
      </c>
      <c r="D232" s="1">
        <v>44645</v>
      </c>
      <c r="E232" t="s">
        <v>727</v>
      </c>
      <c r="F232" t="s">
        <v>13</v>
      </c>
      <c r="G232" t="s">
        <v>14</v>
      </c>
      <c r="H232" t="s">
        <v>15</v>
      </c>
      <c r="I232" t="s">
        <v>21</v>
      </c>
    </row>
    <row r="233" spans="1:9" x14ac:dyDescent="0.3">
      <c r="A233" t="s">
        <v>728</v>
      </c>
      <c r="B233" t="s">
        <v>729</v>
      </c>
      <c r="C233" t="s">
        <v>19</v>
      </c>
      <c r="D233" s="1">
        <v>44646</v>
      </c>
      <c r="E233" t="s">
        <v>730</v>
      </c>
      <c r="F233" t="s">
        <v>13</v>
      </c>
      <c r="G233" t="s">
        <v>14</v>
      </c>
      <c r="H233" t="s">
        <v>15</v>
      </c>
      <c r="I233" t="s">
        <v>21</v>
      </c>
    </row>
    <row r="234" spans="1:9" x14ac:dyDescent="0.3">
      <c r="A234" t="s">
        <v>731</v>
      </c>
      <c r="B234" t="s">
        <v>732</v>
      </c>
      <c r="C234" t="s">
        <v>19</v>
      </c>
      <c r="D234" s="1">
        <v>44646</v>
      </c>
      <c r="E234" t="s">
        <v>733</v>
      </c>
      <c r="F234" t="s">
        <v>13</v>
      </c>
      <c r="G234" t="s">
        <v>14</v>
      </c>
      <c r="H234" t="s">
        <v>15</v>
      </c>
    </row>
    <row r="235" spans="1:9" x14ac:dyDescent="0.3">
      <c r="A235" t="s">
        <v>734</v>
      </c>
      <c r="B235" t="s">
        <v>735</v>
      </c>
      <c r="C235" t="s">
        <v>11</v>
      </c>
      <c r="D235" s="1">
        <v>44646</v>
      </c>
      <c r="E235" t="s">
        <v>736</v>
      </c>
      <c r="F235" t="s">
        <v>13</v>
      </c>
      <c r="G235" t="s">
        <v>14</v>
      </c>
      <c r="H235" t="s">
        <v>15</v>
      </c>
    </row>
    <row r="236" spans="1:9" x14ac:dyDescent="0.3">
      <c r="A236" t="s">
        <v>737</v>
      </c>
      <c r="B236" t="s">
        <v>738</v>
      </c>
      <c r="C236" t="s">
        <v>24</v>
      </c>
      <c r="D236" s="1">
        <v>44646</v>
      </c>
      <c r="E236" t="s">
        <v>739</v>
      </c>
      <c r="F236" t="s">
        <v>13</v>
      </c>
      <c r="G236" t="s">
        <v>14</v>
      </c>
      <c r="H236" t="s">
        <v>15</v>
      </c>
    </row>
    <row r="237" spans="1:9" x14ac:dyDescent="0.3">
      <c r="A237" t="s">
        <v>740</v>
      </c>
      <c r="B237" t="s">
        <v>741</v>
      </c>
      <c r="C237" t="s">
        <v>45</v>
      </c>
      <c r="D237" s="1">
        <v>44646</v>
      </c>
      <c r="E237" t="s">
        <v>742</v>
      </c>
      <c r="F237" t="s">
        <v>13</v>
      </c>
      <c r="G237" t="s">
        <v>14</v>
      </c>
      <c r="H237" t="s">
        <v>15</v>
      </c>
      <c r="I237" t="s">
        <v>47</v>
      </c>
    </row>
    <row r="238" spans="1:9" x14ac:dyDescent="0.3">
      <c r="A238" t="s">
        <v>743</v>
      </c>
      <c r="B238" t="s">
        <v>744</v>
      </c>
      <c r="C238" t="s">
        <v>54</v>
      </c>
      <c r="D238" s="1">
        <v>44647</v>
      </c>
      <c r="E238" t="s">
        <v>745</v>
      </c>
      <c r="F238" t="s">
        <v>13</v>
      </c>
      <c r="G238" t="s">
        <v>14</v>
      </c>
      <c r="H238" t="s">
        <v>15</v>
      </c>
    </row>
    <row r="239" spans="1:9" x14ac:dyDescent="0.3">
      <c r="A239" t="s">
        <v>746</v>
      </c>
      <c r="B239" t="s">
        <v>747</v>
      </c>
      <c r="C239" t="s">
        <v>54</v>
      </c>
      <c r="D239" s="1">
        <v>44647</v>
      </c>
      <c r="E239" t="s">
        <v>748</v>
      </c>
      <c r="F239" t="s">
        <v>13</v>
      </c>
      <c r="G239" t="s">
        <v>14</v>
      </c>
      <c r="H239" t="s">
        <v>15</v>
      </c>
    </row>
    <row r="240" spans="1:9" x14ac:dyDescent="0.3">
      <c r="A240" t="s">
        <v>749</v>
      </c>
      <c r="B240" t="s">
        <v>750</v>
      </c>
      <c r="C240" t="s">
        <v>33</v>
      </c>
      <c r="D240" s="1">
        <v>44647</v>
      </c>
      <c r="E240" t="s">
        <v>751</v>
      </c>
      <c r="F240" t="s">
        <v>13</v>
      </c>
      <c r="G240" t="s">
        <v>14</v>
      </c>
      <c r="H240" t="s">
        <v>15</v>
      </c>
      <c r="I240" t="s">
        <v>51</v>
      </c>
    </row>
    <row r="241" spans="1:9" x14ac:dyDescent="0.3">
      <c r="A241" t="s">
        <v>752</v>
      </c>
      <c r="B241" t="s">
        <v>753</v>
      </c>
      <c r="C241" t="s">
        <v>69</v>
      </c>
      <c r="D241" s="1">
        <v>44648</v>
      </c>
      <c r="E241" t="s">
        <v>754</v>
      </c>
      <c r="F241" t="s">
        <v>13</v>
      </c>
      <c r="G241" t="s">
        <v>14</v>
      </c>
      <c r="H241" t="s">
        <v>15</v>
      </c>
      <c r="I241" t="s">
        <v>71</v>
      </c>
    </row>
    <row r="242" spans="1:9" x14ac:dyDescent="0.3">
      <c r="A242" t="s">
        <v>755</v>
      </c>
      <c r="B242" t="s">
        <v>756</v>
      </c>
      <c r="C242" t="s">
        <v>11</v>
      </c>
      <c r="D242" s="1">
        <v>44648</v>
      </c>
      <c r="E242" t="s">
        <v>757</v>
      </c>
      <c r="F242" t="s">
        <v>13</v>
      </c>
      <c r="G242" t="s">
        <v>14</v>
      </c>
      <c r="H242" t="s">
        <v>15</v>
      </c>
      <c r="I242" t="s">
        <v>38</v>
      </c>
    </row>
    <row r="243" spans="1:9" x14ac:dyDescent="0.3">
      <c r="A243" t="s">
        <v>758</v>
      </c>
      <c r="B243" t="s">
        <v>759</v>
      </c>
      <c r="C243" t="s">
        <v>54</v>
      </c>
      <c r="D243" s="1">
        <v>44648</v>
      </c>
      <c r="E243" t="s">
        <v>760</v>
      </c>
      <c r="F243" t="s">
        <v>13</v>
      </c>
      <c r="G243" t="s">
        <v>14</v>
      </c>
      <c r="H243" t="s">
        <v>15</v>
      </c>
      <c r="I243" t="s">
        <v>238</v>
      </c>
    </row>
    <row r="244" spans="1:9" x14ac:dyDescent="0.3">
      <c r="A244" t="s">
        <v>761</v>
      </c>
      <c r="B244" t="s">
        <v>762</v>
      </c>
      <c r="C244" t="s">
        <v>24</v>
      </c>
      <c r="D244" s="1">
        <v>44648</v>
      </c>
      <c r="E244" t="s">
        <v>763</v>
      </c>
      <c r="F244" t="s">
        <v>13</v>
      </c>
      <c r="G244" t="s">
        <v>174</v>
      </c>
      <c r="H244" t="s">
        <v>15</v>
      </c>
      <c r="I244" t="s">
        <v>63</v>
      </c>
    </row>
    <row r="245" spans="1:9" x14ac:dyDescent="0.3">
      <c r="A245" t="s">
        <v>764</v>
      </c>
      <c r="B245" t="s">
        <v>765</v>
      </c>
      <c r="C245" t="s">
        <v>69</v>
      </c>
      <c r="D245" s="1">
        <v>44648</v>
      </c>
      <c r="E245" t="s">
        <v>766</v>
      </c>
      <c r="F245" t="s">
        <v>13</v>
      </c>
      <c r="G245" t="s">
        <v>14</v>
      </c>
      <c r="H245" t="s">
        <v>15</v>
      </c>
      <c r="I245" t="s">
        <v>71</v>
      </c>
    </row>
    <row r="246" spans="1:9" x14ac:dyDescent="0.3">
      <c r="A246" t="s">
        <v>767</v>
      </c>
      <c r="B246" t="s">
        <v>768</v>
      </c>
      <c r="C246" t="s">
        <v>29</v>
      </c>
      <c r="D246" s="1">
        <v>44649</v>
      </c>
      <c r="E246" t="s">
        <v>769</v>
      </c>
      <c r="F246" t="s">
        <v>13</v>
      </c>
      <c r="G246" t="s">
        <v>14</v>
      </c>
      <c r="H246" t="s">
        <v>15</v>
      </c>
      <c r="I246" t="s">
        <v>204</v>
      </c>
    </row>
    <row r="247" spans="1:9" x14ac:dyDescent="0.3">
      <c r="A247" t="s">
        <v>770</v>
      </c>
      <c r="B247" t="s">
        <v>771</v>
      </c>
      <c r="C247" t="s">
        <v>33</v>
      </c>
      <c r="D247" s="1">
        <v>44649</v>
      </c>
      <c r="E247" t="s">
        <v>772</v>
      </c>
      <c r="F247" t="s">
        <v>13</v>
      </c>
      <c r="G247" t="s">
        <v>174</v>
      </c>
      <c r="H247" t="s">
        <v>15</v>
      </c>
      <c r="I247" t="s">
        <v>94</v>
      </c>
    </row>
    <row r="248" spans="1:9" x14ac:dyDescent="0.3">
      <c r="A248" t="s">
        <v>773</v>
      </c>
      <c r="B248" t="s">
        <v>774</v>
      </c>
      <c r="C248" t="s">
        <v>54</v>
      </c>
      <c r="D248" s="1">
        <v>44650</v>
      </c>
      <c r="E248" t="s">
        <v>775</v>
      </c>
      <c r="F248" t="s">
        <v>13</v>
      </c>
      <c r="G248" t="s">
        <v>14</v>
      </c>
      <c r="H248" t="s">
        <v>15</v>
      </c>
      <c r="I248" t="s">
        <v>181</v>
      </c>
    </row>
    <row r="249" spans="1:9" x14ac:dyDescent="0.3">
      <c r="A249" t="s">
        <v>776</v>
      </c>
      <c r="B249" t="s">
        <v>777</v>
      </c>
      <c r="C249" t="s">
        <v>69</v>
      </c>
      <c r="D249" s="1">
        <v>44650</v>
      </c>
      <c r="E249" t="s">
        <v>778</v>
      </c>
      <c r="F249" t="s">
        <v>13</v>
      </c>
      <c r="G249" t="s">
        <v>14</v>
      </c>
      <c r="H249" t="s">
        <v>15</v>
      </c>
      <c r="I249" t="s">
        <v>71</v>
      </c>
    </row>
    <row r="250" spans="1:9" x14ac:dyDescent="0.3">
      <c r="A250" t="s">
        <v>779</v>
      </c>
      <c r="B250" t="s">
        <v>780</v>
      </c>
      <c r="C250" t="s">
        <v>54</v>
      </c>
      <c r="D250" s="1">
        <v>44651</v>
      </c>
      <c r="E250" t="s">
        <v>781</v>
      </c>
      <c r="F250" t="s">
        <v>13</v>
      </c>
      <c r="G250" t="s">
        <v>14</v>
      </c>
      <c r="H250" t="s">
        <v>15</v>
      </c>
    </row>
    <row r="251" spans="1:9" x14ac:dyDescent="0.3">
      <c r="A251" t="s">
        <v>782</v>
      </c>
      <c r="B251" t="s">
        <v>783</v>
      </c>
      <c r="C251" t="s">
        <v>19</v>
      </c>
      <c r="D251" s="1">
        <v>44652</v>
      </c>
      <c r="E251" t="s">
        <v>784</v>
      </c>
      <c r="F251" t="s">
        <v>13</v>
      </c>
      <c r="G251" t="s">
        <v>14</v>
      </c>
      <c r="H251" t="s">
        <v>15</v>
      </c>
      <c r="I251" t="s">
        <v>21</v>
      </c>
    </row>
    <row r="252" spans="1:9" x14ac:dyDescent="0.3">
      <c r="A252" t="s">
        <v>785</v>
      </c>
      <c r="B252" t="s">
        <v>786</v>
      </c>
      <c r="C252" t="s">
        <v>69</v>
      </c>
      <c r="D252" s="1">
        <v>44652</v>
      </c>
      <c r="E252" t="s">
        <v>787</v>
      </c>
      <c r="F252" t="s">
        <v>13</v>
      </c>
      <c r="G252" t="s">
        <v>14</v>
      </c>
      <c r="H252" t="s">
        <v>15</v>
      </c>
      <c r="I252" t="s">
        <v>71</v>
      </c>
    </row>
    <row r="253" spans="1:9" x14ac:dyDescent="0.3">
      <c r="A253" t="s">
        <v>788</v>
      </c>
      <c r="B253" t="s">
        <v>789</v>
      </c>
      <c r="C253" t="s">
        <v>19</v>
      </c>
      <c r="D253" s="1">
        <v>44652</v>
      </c>
      <c r="E253" t="s">
        <v>790</v>
      </c>
      <c r="F253" t="s">
        <v>13</v>
      </c>
      <c r="G253" t="s">
        <v>14</v>
      </c>
      <c r="H253" t="s">
        <v>15</v>
      </c>
      <c r="I253" t="s">
        <v>116</v>
      </c>
    </row>
    <row r="254" spans="1:9" x14ac:dyDescent="0.3">
      <c r="A254" t="s">
        <v>791</v>
      </c>
      <c r="B254" t="s">
        <v>792</v>
      </c>
      <c r="C254" t="s">
        <v>33</v>
      </c>
      <c r="D254" s="1">
        <v>44653</v>
      </c>
      <c r="E254" t="s">
        <v>793</v>
      </c>
      <c r="F254" t="s">
        <v>13</v>
      </c>
      <c r="G254" t="s">
        <v>14</v>
      </c>
      <c r="H254" t="s">
        <v>15</v>
      </c>
    </row>
    <row r="255" spans="1:9" x14ac:dyDescent="0.3">
      <c r="A255" t="s">
        <v>794</v>
      </c>
      <c r="B255" t="s">
        <v>795</v>
      </c>
      <c r="C255" t="s">
        <v>69</v>
      </c>
      <c r="D255" s="1">
        <v>44653</v>
      </c>
      <c r="E255" t="s">
        <v>796</v>
      </c>
      <c r="F255" t="s">
        <v>13</v>
      </c>
      <c r="G255" t="s">
        <v>14</v>
      </c>
      <c r="H255" t="s">
        <v>15</v>
      </c>
    </row>
    <row r="256" spans="1:9" x14ac:dyDescent="0.3">
      <c r="A256" t="s">
        <v>797</v>
      </c>
      <c r="B256" t="s">
        <v>798</v>
      </c>
      <c r="C256" t="s">
        <v>24</v>
      </c>
      <c r="D256" s="1">
        <v>44654</v>
      </c>
      <c r="E256" t="s">
        <v>799</v>
      </c>
      <c r="F256" t="s">
        <v>13</v>
      </c>
      <c r="G256" t="s">
        <v>14</v>
      </c>
      <c r="H256" t="s">
        <v>15</v>
      </c>
      <c r="I256" t="s">
        <v>26</v>
      </c>
    </row>
    <row r="257" spans="1:9" x14ac:dyDescent="0.3">
      <c r="A257" t="s">
        <v>800</v>
      </c>
      <c r="B257" t="s">
        <v>801</v>
      </c>
      <c r="C257" t="s">
        <v>29</v>
      </c>
      <c r="D257" s="1">
        <v>44654</v>
      </c>
      <c r="E257" t="s">
        <v>802</v>
      </c>
      <c r="F257" t="s">
        <v>13</v>
      </c>
      <c r="G257" t="s">
        <v>14</v>
      </c>
      <c r="H257" t="s">
        <v>15</v>
      </c>
      <c r="I257" t="s">
        <v>204</v>
      </c>
    </row>
    <row r="258" spans="1:9" x14ac:dyDescent="0.3">
      <c r="A258" t="s">
        <v>803</v>
      </c>
      <c r="B258" t="s">
        <v>804</v>
      </c>
      <c r="C258" t="s">
        <v>69</v>
      </c>
      <c r="D258" s="1">
        <v>44654</v>
      </c>
      <c r="E258" t="s">
        <v>805</v>
      </c>
      <c r="F258" t="s">
        <v>13</v>
      </c>
      <c r="G258" t="s">
        <v>14</v>
      </c>
      <c r="H258" t="s">
        <v>15</v>
      </c>
      <c r="I258" t="s">
        <v>71</v>
      </c>
    </row>
    <row r="259" spans="1:9" x14ac:dyDescent="0.3">
      <c r="A259" t="s">
        <v>806</v>
      </c>
      <c r="B259" t="s">
        <v>807</v>
      </c>
      <c r="C259" t="s">
        <v>54</v>
      </c>
      <c r="D259" s="1">
        <v>44655</v>
      </c>
      <c r="E259" t="s">
        <v>808</v>
      </c>
      <c r="F259" t="s">
        <v>13</v>
      </c>
      <c r="G259" t="s">
        <v>14</v>
      </c>
      <c r="H259" t="s">
        <v>15</v>
      </c>
    </row>
    <row r="260" spans="1:9" x14ac:dyDescent="0.3">
      <c r="A260" t="s">
        <v>809</v>
      </c>
      <c r="B260" t="s">
        <v>810</v>
      </c>
      <c r="C260" t="s">
        <v>54</v>
      </c>
      <c r="D260" s="1">
        <v>44655</v>
      </c>
      <c r="E260" t="s">
        <v>811</v>
      </c>
      <c r="F260" t="s">
        <v>13</v>
      </c>
      <c r="G260" t="s">
        <v>14</v>
      </c>
      <c r="H260" t="s">
        <v>15</v>
      </c>
      <c r="I260" t="s">
        <v>238</v>
      </c>
    </row>
    <row r="261" spans="1:9" x14ac:dyDescent="0.3">
      <c r="A261" t="s">
        <v>812</v>
      </c>
      <c r="B261" t="s">
        <v>813</v>
      </c>
      <c r="C261" t="s">
        <v>19</v>
      </c>
      <c r="D261" s="1">
        <v>44655</v>
      </c>
      <c r="E261" t="s">
        <v>814</v>
      </c>
      <c r="F261" t="s">
        <v>13</v>
      </c>
      <c r="G261" t="s">
        <v>14</v>
      </c>
      <c r="H261" t="s">
        <v>15</v>
      </c>
    </row>
    <row r="262" spans="1:9" x14ac:dyDescent="0.3">
      <c r="A262" t="s">
        <v>815</v>
      </c>
      <c r="B262" t="s">
        <v>816</v>
      </c>
      <c r="C262" t="s">
        <v>45</v>
      </c>
      <c r="D262" s="1">
        <v>44655</v>
      </c>
      <c r="E262" t="s">
        <v>817</v>
      </c>
      <c r="F262" t="s">
        <v>13</v>
      </c>
      <c r="G262" t="s">
        <v>14</v>
      </c>
      <c r="H262" t="s">
        <v>15</v>
      </c>
      <c r="I262" t="s">
        <v>47</v>
      </c>
    </row>
    <row r="263" spans="1:9" x14ac:dyDescent="0.3">
      <c r="A263" t="s">
        <v>818</v>
      </c>
      <c r="B263" t="s">
        <v>819</v>
      </c>
      <c r="C263" t="s">
        <v>69</v>
      </c>
      <c r="D263" s="1">
        <v>44655</v>
      </c>
      <c r="E263" t="s">
        <v>820</v>
      </c>
      <c r="F263" t="s">
        <v>13</v>
      </c>
      <c r="G263" t="s">
        <v>174</v>
      </c>
      <c r="H263" t="s">
        <v>15</v>
      </c>
      <c r="I263" t="s">
        <v>71</v>
      </c>
    </row>
    <row r="264" spans="1:9" x14ac:dyDescent="0.3">
      <c r="A264" t="s">
        <v>821</v>
      </c>
      <c r="B264" t="s">
        <v>822</v>
      </c>
      <c r="C264" t="s">
        <v>11</v>
      </c>
      <c r="D264" s="1">
        <v>44656</v>
      </c>
      <c r="E264" t="s">
        <v>823</v>
      </c>
      <c r="F264" t="s">
        <v>13</v>
      </c>
      <c r="G264" t="s">
        <v>14</v>
      </c>
      <c r="H264" t="s">
        <v>15</v>
      </c>
      <c r="I264" t="s">
        <v>185</v>
      </c>
    </row>
    <row r="265" spans="1:9" x14ac:dyDescent="0.3">
      <c r="A265" t="s">
        <v>824</v>
      </c>
      <c r="B265" t="s">
        <v>825</v>
      </c>
      <c r="C265" t="s">
        <v>33</v>
      </c>
      <c r="D265" s="1">
        <v>44657</v>
      </c>
      <c r="E265" t="s">
        <v>826</v>
      </c>
      <c r="F265" t="s">
        <v>13</v>
      </c>
      <c r="G265" t="s">
        <v>14</v>
      </c>
      <c r="H265" t="s">
        <v>15</v>
      </c>
      <c r="I265" t="s">
        <v>94</v>
      </c>
    </row>
    <row r="266" spans="1:9" x14ac:dyDescent="0.3">
      <c r="A266" t="s">
        <v>827</v>
      </c>
      <c r="B266" t="s">
        <v>828</v>
      </c>
      <c r="C266" t="s">
        <v>69</v>
      </c>
      <c r="D266" s="1">
        <v>44657</v>
      </c>
      <c r="E266" t="s">
        <v>829</v>
      </c>
      <c r="F266" t="s">
        <v>13</v>
      </c>
      <c r="G266" t="s">
        <v>174</v>
      </c>
      <c r="H266" t="s">
        <v>15</v>
      </c>
      <c r="I266" t="s">
        <v>71</v>
      </c>
    </row>
    <row r="267" spans="1:9" x14ac:dyDescent="0.3">
      <c r="A267" t="s">
        <v>830</v>
      </c>
      <c r="B267" t="s">
        <v>831</v>
      </c>
      <c r="C267" t="s">
        <v>24</v>
      </c>
      <c r="D267" s="1">
        <v>44658</v>
      </c>
      <c r="E267" t="s">
        <v>832</v>
      </c>
      <c r="F267" t="s">
        <v>13</v>
      </c>
      <c r="G267" t="s">
        <v>14</v>
      </c>
      <c r="H267" t="s">
        <v>15</v>
      </c>
      <c r="I267" t="s">
        <v>59</v>
      </c>
    </row>
    <row r="268" spans="1:9" x14ac:dyDescent="0.3">
      <c r="A268" t="s">
        <v>833</v>
      </c>
      <c r="B268" t="s">
        <v>834</v>
      </c>
      <c r="C268" t="s">
        <v>29</v>
      </c>
      <c r="D268" s="1">
        <v>44659</v>
      </c>
      <c r="E268" t="s">
        <v>835</v>
      </c>
      <c r="F268" t="s">
        <v>13</v>
      </c>
      <c r="G268" t="s">
        <v>14</v>
      </c>
      <c r="H268" t="s">
        <v>15</v>
      </c>
      <c r="I268" t="s">
        <v>81</v>
      </c>
    </row>
    <row r="269" spans="1:9" x14ac:dyDescent="0.3">
      <c r="A269" t="s">
        <v>836</v>
      </c>
      <c r="B269" t="s">
        <v>837</v>
      </c>
      <c r="C269" t="s">
        <v>69</v>
      </c>
      <c r="D269" s="1">
        <v>44659</v>
      </c>
      <c r="E269" t="s">
        <v>838</v>
      </c>
      <c r="F269" t="s">
        <v>13</v>
      </c>
      <c r="G269" t="s">
        <v>14</v>
      </c>
      <c r="H269" t="s">
        <v>15</v>
      </c>
      <c r="I269" t="s">
        <v>71</v>
      </c>
    </row>
    <row r="270" spans="1:9" x14ac:dyDescent="0.3">
      <c r="A270" t="s">
        <v>452</v>
      </c>
      <c r="B270" t="s">
        <v>839</v>
      </c>
      <c r="C270" t="s">
        <v>19</v>
      </c>
      <c r="D270" s="1">
        <v>44659</v>
      </c>
      <c r="E270" t="s">
        <v>840</v>
      </c>
      <c r="F270" t="s">
        <v>13</v>
      </c>
      <c r="G270" t="s">
        <v>14</v>
      </c>
      <c r="H270" t="s">
        <v>15</v>
      </c>
      <c r="I270" t="s">
        <v>116</v>
      </c>
    </row>
    <row r="271" spans="1:9" x14ac:dyDescent="0.3">
      <c r="A271" t="s">
        <v>841</v>
      </c>
      <c r="B271" t="s">
        <v>842</v>
      </c>
      <c r="C271" t="s">
        <v>54</v>
      </c>
      <c r="D271" s="1">
        <v>44659</v>
      </c>
      <c r="E271" t="s">
        <v>843</v>
      </c>
      <c r="F271" t="s">
        <v>13</v>
      </c>
      <c r="G271" t="s">
        <v>14</v>
      </c>
      <c r="H271" t="s">
        <v>15</v>
      </c>
      <c r="I271" t="s">
        <v>181</v>
      </c>
    </row>
    <row r="272" spans="1:9" x14ac:dyDescent="0.3">
      <c r="A272" t="s">
        <v>844</v>
      </c>
      <c r="B272" t="s">
        <v>845</v>
      </c>
      <c r="C272" t="s">
        <v>11</v>
      </c>
      <c r="D272" s="1">
        <v>44660</v>
      </c>
      <c r="E272" t="s">
        <v>846</v>
      </c>
      <c r="F272" t="s">
        <v>13</v>
      </c>
      <c r="G272" t="s">
        <v>14</v>
      </c>
      <c r="H272" t="s">
        <v>15</v>
      </c>
      <c r="I272" t="s">
        <v>16</v>
      </c>
    </row>
    <row r="273" spans="1:9" x14ac:dyDescent="0.3">
      <c r="A273" t="s">
        <v>847</v>
      </c>
      <c r="B273" t="s">
        <v>848</v>
      </c>
      <c r="C273" t="s">
        <v>19</v>
      </c>
      <c r="D273" s="1">
        <v>44660</v>
      </c>
      <c r="E273" t="s">
        <v>849</v>
      </c>
      <c r="F273" t="s">
        <v>13</v>
      </c>
      <c r="G273" t="s">
        <v>14</v>
      </c>
      <c r="H273" t="s">
        <v>15</v>
      </c>
      <c r="I273" t="s">
        <v>116</v>
      </c>
    </row>
    <row r="274" spans="1:9" x14ac:dyDescent="0.3">
      <c r="A274" t="s">
        <v>850</v>
      </c>
      <c r="B274" t="s">
        <v>851</v>
      </c>
      <c r="C274" t="s">
        <v>45</v>
      </c>
      <c r="D274" s="1">
        <v>44660</v>
      </c>
      <c r="E274" t="s">
        <v>852</v>
      </c>
      <c r="F274" t="s">
        <v>13</v>
      </c>
      <c r="G274" t="s">
        <v>14</v>
      </c>
      <c r="H274" t="s">
        <v>15</v>
      </c>
    </row>
    <row r="275" spans="1:9" x14ac:dyDescent="0.3">
      <c r="A275" t="s">
        <v>853</v>
      </c>
      <c r="B275" t="s">
        <v>854</v>
      </c>
      <c r="C275" t="s">
        <v>24</v>
      </c>
      <c r="D275" s="1">
        <v>44660</v>
      </c>
      <c r="E275" t="s">
        <v>855</v>
      </c>
      <c r="F275" t="s">
        <v>13</v>
      </c>
      <c r="G275" t="s">
        <v>14</v>
      </c>
      <c r="H275" t="s">
        <v>15</v>
      </c>
      <c r="I275" t="s">
        <v>26</v>
      </c>
    </row>
    <row r="276" spans="1:9" x14ac:dyDescent="0.3">
      <c r="A276" t="s">
        <v>856</v>
      </c>
      <c r="B276" t="s">
        <v>857</v>
      </c>
      <c r="C276" t="s">
        <v>24</v>
      </c>
      <c r="D276" s="1">
        <v>44661</v>
      </c>
      <c r="E276" t="s">
        <v>858</v>
      </c>
      <c r="F276" t="s">
        <v>13</v>
      </c>
      <c r="G276" t="s">
        <v>14</v>
      </c>
      <c r="H276" t="s">
        <v>15</v>
      </c>
      <c r="I276" t="s">
        <v>26</v>
      </c>
    </row>
    <row r="277" spans="1:9" x14ac:dyDescent="0.3">
      <c r="A277" t="s">
        <v>859</v>
      </c>
      <c r="B277" t="s">
        <v>860</v>
      </c>
      <c r="C277" t="s">
        <v>29</v>
      </c>
      <c r="D277" s="1">
        <v>44661</v>
      </c>
      <c r="E277" t="s">
        <v>861</v>
      </c>
      <c r="F277" t="s">
        <v>13</v>
      </c>
      <c r="G277" t="s">
        <v>14</v>
      </c>
      <c r="H277" t="s">
        <v>15</v>
      </c>
      <c r="I277" t="s">
        <v>42</v>
      </c>
    </row>
    <row r="278" spans="1:9" x14ac:dyDescent="0.3">
      <c r="A278" t="s">
        <v>862</v>
      </c>
      <c r="B278" t="s">
        <v>863</v>
      </c>
      <c r="C278" t="s">
        <v>24</v>
      </c>
      <c r="D278" s="1">
        <v>44662</v>
      </c>
      <c r="E278" t="s">
        <v>864</v>
      </c>
      <c r="F278" t="s">
        <v>13</v>
      </c>
      <c r="G278" t="s">
        <v>14</v>
      </c>
      <c r="H278" t="s">
        <v>15</v>
      </c>
      <c r="I278" t="s">
        <v>63</v>
      </c>
    </row>
    <row r="279" spans="1:9" x14ac:dyDescent="0.3">
      <c r="A279" t="s">
        <v>865</v>
      </c>
      <c r="B279" t="s">
        <v>866</v>
      </c>
      <c r="C279" t="s">
        <v>29</v>
      </c>
      <c r="D279" s="1">
        <v>44662</v>
      </c>
      <c r="E279" t="s">
        <v>867</v>
      </c>
      <c r="F279" t="s">
        <v>13</v>
      </c>
      <c r="G279" t="s">
        <v>14</v>
      </c>
      <c r="H279" t="s">
        <v>15</v>
      </c>
      <c r="I279" t="s">
        <v>42</v>
      </c>
    </row>
    <row r="280" spans="1:9" x14ac:dyDescent="0.3">
      <c r="A280" t="s">
        <v>868</v>
      </c>
      <c r="B280" t="s">
        <v>869</v>
      </c>
      <c r="C280" t="s">
        <v>19</v>
      </c>
      <c r="D280" s="1">
        <v>44663</v>
      </c>
      <c r="E280" t="s">
        <v>870</v>
      </c>
      <c r="F280" t="s">
        <v>13</v>
      </c>
      <c r="G280" t="s">
        <v>14</v>
      </c>
      <c r="H280" t="s">
        <v>15</v>
      </c>
      <c r="I280" t="s">
        <v>21</v>
      </c>
    </row>
    <row r="281" spans="1:9" x14ac:dyDescent="0.3">
      <c r="A281" t="s">
        <v>871</v>
      </c>
      <c r="B281" t="s">
        <v>872</v>
      </c>
      <c r="C281" t="s">
        <v>19</v>
      </c>
      <c r="D281" s="1">
        <v>44663</v>
      </c>
      <c r="E281" t="s">
        <v>873</v>
      </c>
      <c r="F281" t="s">
        <v>13</v>
      </c>
      <c r="G281" t="s">
        <v>14</v>
      </c>
      <c r="H281" t="s">
        <v>15</v>
      </c>
    </row>
    <row r="282" spans="1:9" x14ac:dyDescent="0.3">
      <c r="A282" t="s">
        <v>874</v>
      </c>
      <c r="B282" t="s">
        <v>875</v>
      </c>
      <c r="C282" t="s">
        <v>19</v>
      </c>
      <c r="D282" s="1">
        <v>44663</v>
      </c>
      <c r="E282" t="s">
        <v>876</v>
      </c>
      <c r="F282" t="s">
        <v>13</v>
      </c>
      <c r="G282" t="s">
        <v>14</v>
      </c>
      <c r="H282" t="s">
        <v>15</v>
      </c>
      <c r="I282" t="s">
        <v>116</v>
      </c>
    </row>
    <row r="283" spans="1:9" x14ac:dyDescent="0.3">
      <c r="A283" t="s">
        <v>877</v>
      </c>
      <c r="B283" t="s">
        <v>878</v>
      </c>
      <c r="C283" t="s">
        <v>29</v>
      </c>
      <c r="D283" s="1">
        <v>44664</v>
      </c>
      <c r="E283" t="s">
        <v>879</v>
      </c>
      <c r="F283" t="s">
        <v>13</v>
      </c>
      <c r="G283" t="s">
        <v>14</v>
      </c>
      <c r="H283" t="s">
        <v>15</v>
      </c>
    </row>
    <row r="284" spans="1:9" x14ac:dyDescent="0.3">
      <c r="A284" t="s">
        <v>880</v>
      </c>
      <c r="B284" t="s">
        <v>881</v>
      </c>
      <c r="C284" t="s">
        <v>33</v>
      </c>
      <c r="D284" s="1">
        <v>44664</v>
      </c>
      <c r="E284" t="s">
        <v>882</v>
      </c>
      <c r="F284" t="s">
        <v>13</v>
      </c>
      <c r="G284" t="s">
        <v>14</v>
      </c>
      <c r="H284" t="s">
        <v>15</v>
      </c>
    </row>
    <row r="285" spans="1:9" x14ac:dyDescent="0.3">
      <c r="A285" t="s">
        <v>883</v>
      </c>
      <c r="B285" t="s">
        <v>884</v>
      </c>
      <c r="C285" t="s">
        <v>33</v>
      </c>
      <c r="D285" s="1">
        <v>44664</v>
      </c>
      <c r="E285" t="s">
        <v>885</v>
      </c>
      <c r="F285" t="s">
        <v>13</v>
      </c>
      <c r="G285" t="s">
        <v>14</v>
      </c>
      <c r="H285" t="s">
        <v>15</v>
      </c>
      <c r="I285" t="s">
        <v>51</v>
      </c>
    </row>
    <row r="286" spans="1:9" x14ac:dyDescent="0.3">
      <c r="A286" t="s">
        <v>886</v>
      </c>
      <c r="B286" t="s">
        <v>887</v>
      </c>
      <c r="C286" t="s">
        <v>19</v>
      </c>
      <c r="D286" s="1">
        <v>44665</v>
      </c>
      <c r="E286" t="s">
        <v>888</v>
      </c>
      <c r="F286" t="s">
        <v>13</v>
      </c>
      <c r="G286" t="s">
        <v>14</v>
      </c>
      <c r="H286" t="s">
        <v>15</v>
      </c>
    </row>
    <row r="287" spans="1:9" x14ac:dyDescent="0.3">
      <c r="A287" t="s">
        <v>889</v>
      </c>
      <c r="B287" t="s">
        <v>890</v>
      </c>
      <c r="C287" t="s">
        <v>54</v>
      </c>
      <c r="D287" s="1">
        <v>44665</v>
      </c>
      <c r="E287" t="s">
        <v>891</v>
      </c>
      <c r="F287" t="s">
        <v>13</v>
      </c>
      <c r="G287" t="s">
        <v>14</v>
      </c>
      <c r="H287" t="s">
        <v>15</v>
      </c>
      <c r="I287" t="s">
        <v>181</v>
      </c>
    </row>
    <row r="288" spans="1:9" x14ac:dyDescent="0.3">
      <c r="A288" t="s">
        <v>892</v>
      </c>
      <c r="B288" t="s">
        <v>893</v>
      </c>
      <c r="C288" t="s">
        <v>24</v>
      </c>
      <c r="D288" s="1">
        <v>44665</v>
      </c>
      <c r="E288" t="s">
        <v>894</v>
      </c>
      <c r="F288" t="s">
        <v>13</v>
      </c>
      <c r="G288" t="s">
        <v>14</v>
      </c>
      <c r="H288" t="s">
        <v>15</v>
      </c>
      <c r="I288" t="s">
        <v>63</v>
      </c>
    </row>
    <row r="289" spans="1:9" x14ac:dyDescent="0.3">
      <c r="A289" t="s">
        <v>895</v>
      </c>
      <c r="B289" t="s">
        <v>896</v>
      </c>
      <c r="C289" t="s">
        <v>54</v>
      </c>
      <c r="D289" s="1">
        <v>44666</v>
      </c>
      <c r="E289" t="s">
        <v>897</v>
      </c>
      <c r="F289" t="s">
        <v>13</v>
      </c>
      <c r="G289" t="s">
        <v>14</v>
      </c>
      <c r="H289" t="s">
        <v>15</v>
      </c>
      <c r="I289" t="s">
        <v>238</v>
      </c>
    </row>
    <row r="290" spans="1:9" x14ac:dyDescent="0.3">
      <c r="A290" t="s">
        <v>898</v>
      </c>
      <c r="B290" t="s">
        <v>899</v>
      </c>
      <c r="C290" t="s">
        <v>33</v>
      </c>
      <c r="D290" s="1">
        <v>44667</v>
      </c>
      <c r="E290" t="s">
        <v>900</v>
      </c>
      <c r="F290" t="s">
        <v>13</v>
      </c>
      <c r="G290" t="s">
        <v>14</v>
      </c>
      <c r="H290" t="s">
        <v>15</v>
      </c>
      <c r="I290" t="s">
        <v>94</v>
      </c>
    </row>
    <row r="291" spans="1:9" x14ac:dyDescent="0.3">
      <c r="A291" t="s">
        <v>901</v>
      </c>
      <c r="B291" t="s">
        <v>902</v>
      </c>
      <c r="C291" t="s">
        <v>54</v>
      </c>
      <c r="D291" s="1">
        <v>44667</v>
      </c>
      <c r="E291" t="s">
        <v>903</v>
      </c>
      <c r="F291" t="s">
        <v>13</v>
      </c>
      <c r="G291" t="s">
        <v>174</v>
      </c>
      <c r="H291" t="s">
        <v>15</v>
      </c>
      <c r="I291" t="s">
        <v>238</v>
      </c>
    </row>
    <row r="292" spans="1:9" x14ac:dyDescent="0.3">
      <c r="A292" t="s">
        <v>904</v>
      </c>
      <c r="B292" t="s">
        <v>905</v>
      </c>
      <c r="C292" t="s">
        <v>19</v>
      </c>
      <c r="D292" s="1">
        <v>44667</v>
      </c>
      <c r="E292" t="s">
        <v>906</v>
      </c>
      <c r="F292" t="s">
        <v>13</v>
      </c>
      <c r="G292" t="s">
        <v>14</v>
      </c>
      <c r="H292" t="s">
        <v>15</v>
      </c>
      <c r="I292" t="s">
        <v>21</v>
      </c>
    </row>
    <row r="293" spans="1:9" x14ac:dyDescent="0.3">
      <c r="A293" t="s">
        <v>907</v>
      </c>
      <c r="B293" t="s">
        <v>908</v>
      </c>
      <c r="C293" t="s">
        <v>24</v>
      </c>
      <c r="D293" s="1">
        <v>44668</v>
      </c>
      <c r="E293" t="s">
        <v>909</v>
      </c>
      <c r="F293" t="s">
        <v>13</v>
      </c>
      <c r="G293" t="s">
        <v>14</v>
      </c>
      <c r="H293" t="s">
        <v>15</v>
      </c>
      <c r="I293" t="s">
        <v>26</v>
      </c>
    </row>
    <row r="294" spans="1:9" x14ac:dyDescent="0.3">
      <c r="A294" t="s">
        <v>910</v>
      </c>
      <c r="B294" t="s">
        <v>911</v>
      </c>
      <c r="C294" t="s">
        <v>45</v>
      </c>
      <c r="D294" s="1">
        <v>44668</v>
      </c>
      <c r="E294" t="s">
        <v>912</v>
      </c>
      <c r="F294" t="s">
        <v>13</v>
      </c>
      <c r="G294" t="s">
        <v>14</v>
      </c>
      <c r="H294" t="s">
        <v>15</v>
      </c>
      <c r="I294" t="s">
        <v>47</v>
      </c>
    </row>
    <row r="295" spans="1:9" x14ac:dyDescent="0.3">
      <c r="A295" t="s">
        <v>913</v>
      </c>
      <c r="B295" t="s">
        <v>914</v>
      </c>
      <c r="C295" t="s">
        <v>69</v>
      </c>
      <c r="D295" s="1">
        <v>44668</v>
      </c>
      <c r="E295" t="s">
        <v>915</v>
      </c>
      <c r="F295" t="s">
        <v>13</v>
      </c>
      <c r="G295" t="s">
        <v>14</v>
      </c>
      <c r="H295" t="s">
        <v>15</v>
      </c>
    </row>
    <row r="296" spans="1:9" x14ac:dyDescent="0.3">
      <c r="A296" t="s">
        <v>916</v>
      </c>
      <c r="B296" t="s">
        <v>917</v>
      </c>
      <c r="C296" t="s">
        <v>54</v>
      </c>
      <c r="D296" s="1">
        <v>44668</v>
      </c>
      <c r="E296" t="s">
        <v>918</v>
      </c>
      <c r="F296" t="s">
        <v>13</v>
      </c>
      <c r="G296" t="s">
        <v>14</v>
      </c>
      <c r="H296" t="s">
        <v>15</v>
      </c>
      <c r="I296" t="s">
        <v>238</v>
      </c>
    </row>
    <row r="297" spans="1:9" x14ac:dyDescent="0.3">
      <c r="A297" t="s">
        <v>919</v>
      </c>
      <c r="B297" t="s">
        <v>920</v>
      </c>
      <c r="C297" t="s">
        <v>33</v>
      </c>
      <c r="D297" s="1">
        <v>44668</v>
      </c>
      <c r="E297" t="s">
        <v>921</v>
      </c>
      <c r="F297" t="s">
        <v>13</v>
      </c>
      <c r="G297" t="s">
        <v>14</v>
      </c>
      <c r="H297" t="s">
        <v>15</v>
      </c>
      <c r="I297" t="s">
        <v>94</v>
      </c>
    </row>
    <row r="298" spans="1:9" x14ac:dyDescent="0.3">
      <c r="A298" t="s">
        <v>922</v>
      </c>
      <c r="B298" t="s">
        <v>923</v>
      </c>
      <c r="C298" t="s">
        <v>33</v>
      </c>
      <c r="D298" s="1">
        <v>44669</v>
      </c>
      <c r="E298" t="s">
        <v>924</v>
      </c>
      <c r="F298" t="s">
        <v>13</v>
      </c>
      <c r="G298" t="s">
        <v>14</v>
      </c>
      <c r="H298" t="s">
        <v>15</v>
      </c>
      <c r="I298" t="s">
        <v>51</v>
      </c>
    </row>
    <row r="299" spans="1:9" x14ac:dyDescent="0.3">
      <c r="A299" t="s">
        <v>925</v>
      </c>
      <c r="B299" t="s">
        <v>926</v>
      </c>
      <c r="C299" t="s">
        <v>24</v>
      </c>
      <c r="D299" s="1">
        <v>44669</v>
      </c>
      <c r="E299" t="s">
        <v>927</v>
      </c>
      <c r="F299" t="s">
        <v>13</v>
      </c>
      <c r="G299" t="s">
        <v>14</v>
      </c>
      <c r="H299" t="s">
        <v>15</v>
      </c>
      <c r="I299" t="s">
        <v>63</v>
      </c>
    </row>
    <row r="300" spans="1:9" x14ac:dyDescent="0.3">
      <c r="A300" t="s">
        <v>928</v>
      </c>
      <c r="B300" t="s">
        <v>929</v>
      </c>
      <c r="C300" t="s">
        <v>54</v>
      </c>
      <c r="D300" s="1">
        <v>44669</v>
      </c>
      <c r="E300" t="s">
        <v>930</v>
      </c>
      <c r="F300" t="s">
        <v>13</v>
      </c>
      <c r="G300" t="s">
        <v>14</v>
      </c>
      <c r="H300" t="s">
        <v>15</v>
      </c>
      <c r="I300" t="s">
        <v>238</v>
      </c>
    </row>
    <row r="301" spans="1:9" x14ac:dyDescent="0.3">
      <c r="A301" t="s">
        <v>931</v>
      </c>
      <c r="B301" t="s">
        <v>932</v>
      </c>
      <c r="C301" t="s">
        <v>54</v>
      </c>
      <c r="D301" s="1">
        <v>44670</v>
      </c>
      <c r="E301" t="s">
        <v>933</v>
      </c>
      <c r="F301" t="s">
        <v>13</v>
      </c>
      <c r="G301" t="s">
        <v>14</v>
      </c>
      <c r="H301" t="s">
        <v>15</v>
      </c>
      <c r="I301" t="s">
        <v>238</v>
      </c>
    </row>
    <row r="302" spans="1:9" x14ac:dyDescent="0.3">
      <c r="A302" t="s">
        <v>934</v>
      </c>
      <c r="B302" t="s">
        <v>935</v>
      </c>
      <c r="C302" t="s">
        <v>24</v>
      </c>
      <c r="D302" s="1">
        <v>44670</v>
      </c>
      <c r="E302" t="s">
        <v>936</v>
      </c>
      <c r="F302" t="s">
        <v>13</v>
      </c>
      <c r="G302" t="s">
        <v>14</v>
      </c>
      <c r="H302" t="s">
        <v>15</v>
      </c>
    </row>
    <row r="303" spans="1:9" x14ac:dyDescent="0.3">
      <c r="A303" t="s">
        <v>937</v>
      </c>
      <c r="B303" t="s">
        <v>938</v>
      </c>
      <c r="C303" t="s">
        <v>69</v>
      </c>
      <c r="D303" s="1">
        <v>44672</v>
      </c>
      <c r="E303" t="s">
        <v>939</v>
      </c>
      <c r="F303" t="s">
        <v>13</v>
      </c>
      <c r="G303" t="s">
        <v>14</v>
      </c>
      <c r="H303" t="s">
        <v>15</v>
      </c>
      <c r="I303" t="s">
        <v>71</v>
      </c>
    </row>
    <row r="304" spans="1:9" x14ac:dyDescent="0.3">
      <c r="A304" t="s">
        <v>940</v>
      </c>
      <c r="B304" t="s">
        <v>941</v>
      </c>
      <c r="C304" t="s">
        <v>69</v>
      </c>
      <c r="D304" s="1">
        <v>44673</v>
      </c>
      <c r="E304" t="s">
        <v>942</v>
      </c>
      <c r="F304" t="s">
        <v>13</v>
      </c>
      <c r="G304" t="s">
        <v>14</v>
      </c>
      <c r="H304" t="s">
        <v>15</v>
      </c>
      <c r="I304" t="s">
        <v>71</v>
      </c>
    </row>
    <row r="305" spans="1:9" x14ac:dyDescent="0.3">
      <c r="A305" t="s">
        <v>943</v>
      </c>
      <c r="B305" t="s">
        <v>944</v>
      </c>
      <c r="C305" t="s">
        <v>24</v>
      </c>
      <c r="D305" s="1">
        <v>44673</v>
      </c>
      <c r="E305" t="s">
        <v>945</v>
      </c>
      <c r="F305" t="s">
        <v>13</v>
      </c>
      <c r="G305" t="s">
        <v>14</v>
      </c>
      <c r="H305" t="s">
        <v>15</v>
      </c>
      <c r="I305" t="s">
        <v>26</v>
      </c>
    </row>
    <row r="306" spans="1:9" x14ac:dyDescent="0.3">
      <c r="A306" t="s">
        <v>946</v>
      </c>
      <c r="B306" t="s">
        <v>947</v>
      </c>
      <c r="C306" t="s">
        <v>54</v>
      </c>
      <c r="D306" s="1">
        <v>44673</v>
      </c>
      <c r="E306" t="s">
        <v>948</v>
      </c>
      <c r="F306" t="s">
        <v>13</v>
      </c>
      <c r="G306" t="s">
        <v>14</v>
      </c>
      <c r="H306" t="s">
        <v>15</v>
      </c>
      <c r="I306" t="s">
        <v>238</v>
      </c>
    </row>
    <row r="307" spans="1:9" x14ac:dyDescent="0.3">
      <c r="A307" t="s">
        <v>949</v>
      </c>
      <c r="B307" t="s">
        <v>950</v>
      </c>
      <c r="C307" t="s">
        <v>54</v>
      </c>
      <c r="D307" s="1">
        <v>44675</v>
      </c>
      <c r="E307" t="s">
        <v>951</v>
      </c>
      <c r="F307" t="s">
        <v>13</v>
      </c>
      <c r="G307" t="s">
        <v>14</v>
      </c>
      <c r="H307" t="s">
        <v>15</v>
      </c>
      <c r="I307" t="s">
        <v>181</v>
      </c>
    </row>
    <row r="308" spans="1:9" x14ac:dyDescent="0.3">
      <c r="A308" t="s">
        <v>952</v>
      </c>
      <c r="B308" t="s">
        <v>953</v>
      </c>
      <c r="C308" t="s">
        <v>33</v>
      </c>
      <c r="D308" s="1">
        <v>44675</v>
      </c>
      <c r="E308" t="s">
        <v>954</v>
      </c>
      <c r="F308" t="s">
        <v>13</v>
      </c>
      <c r="G308" t="s">
        <v>14</v>
      </c>
      <c r="H308" t="s">
        <v>15</v>
      </c>
      <c r="I308" t="s">
        <v>94</v>
      </c>
    </row>
    <row r="309" spans="1:9" x14ac:dyDescent="0.3">
      <c r="A309" t="s">
        <v>955</v>
      </c>
      <c r="B309" t="s">
        <v>956</v>
      </c>
      <c r="C309" t="s">
        <v>69</v>
      </c>
      <c r="D309" s="1">
        <v>44675</v>
      </c>
      <c r="E309" t="s">
        <v>957</v>
      </c>
      <c r="F309" t="s">
        <v>13</v>
      </c>
      <c r="G309" t="s">
        <v>14</v>
      </c>
      <c r="H309" t="s">
        <v>15</v>
      </c>
      <c r="I309" t="s">
        <v>71</v>
      </c>
    </row>
    <row r="310" spans="1:9" x14ac:dyDescent="0.3">
      <c r="A310" t="s">
        <v>205</v>
      </c>
      <c r="B310" t="s">
        <v>958</v>
      </c>
      <c r="C310" t="s">
        <v>19</v>
      </c>
      <c r="D310" s="1">
        <v>44675</v>
      </c>
      <c r="E310" t="s">
        <v>959</v>
      </c>
      <c r="F310" t="s">
        <v>13</v>
      </c>
      <c r="G310" t="s">
        <v>14</v>
      </c>
      <c r="H310" t="s">
        <v>15</v>
      </c>
      <c r="I310" t="s">
        <v>21</v>
      </c>
    </row>
    <row r="311" spans="1:9" x14ac:dyDescent="0.3">
      <c r="A311" t="s">
        <v>960</v>
      </c>
      <c r="B311" t="s">
        <v>961</v>
      </c>
      <c r="C311" t="s">
        <v>69</v>
      </c>
      <c r="D311" s="1">
        <v>44676</v>
      </c>
      <c r="E311" t="s">
        <v>962</v>
      </c>
      <c r="F311" t="s">
        <v>13</v>
      </c>
      <c r="G311" t="s">
        <v>14</v>
      </c>
      <c r="H311" t="s">
        <v>15</v>
      </c>
    </row>
    <row r="312" spans="1:9" x14ac:dyDescent="0.3">
      <c r="A312" t="s">
        <v>963</v>
      </c>
      <c r="B312" t="s">
        <v>964</v>
      </c>
      <c r="C312" t="s">
        <v>29</v>
      </c>
      <c r="D312" s="1">
        <v>44676</v>
      </c>
      <c r="E312" t="s">
        <v>965</v>
      </c>
      <c r="F312" t="s">
        <v>13</v>
      </c>
      <c r="G312" t="s">
        <v>14</v>
      </c>
      <c r="H312" t="s">
        <v>15</v>
      </c>
      <c r="I312" t="s">
        <v>81</v>
      </c>
    </row>
    <row r="313" spans="1:9" x14ac:dyDescent="0.3">
      <c r="A313" t="s">
        <v>966</v>
      </c>
      <c r="B313" t="s">
        <v>967</v>
      </c>
      <c r="C313" t="s">
        <v>24</v>
      </c>
      <c r="D313" s="1">
        <v>44676</v>
      </c>
      <c r="E313" t="s">
        <v>968</v>
      </c>
      <c r="F313" t="s">
        <v>13</v>
      </c>
      <c r="G313" t="s">
        <v>14</v>
      </c>
      <c r="H313" t="s">
        <v>15</v>
      </c>
    </row>
    <row r="314" spans="1:9" x14ac:dyDescent="0.3">
      <c r="A314" t="s">
        <v>969</v>
      </c>
      <c r="B314" t="s">
        <v>970</v>
      </c>
      <c r="C314" t="s">
        <v>45</v>
      </c>
      <c r="D314" s="1">
        <v>44677</v>
      </c>
      <c r="E314" t="s">
        <v>971</v>
      </c>
      <c r="F314" t="s">
        <v>13</v>
      </c>
      <c r="G314" t="s">
        <v>14</v>
      </c>
      <c r="H314" t="s">
        <v>15</v>
      </c>
    </row>
    <row r="315" spans="1:9" x14ac:dyDescent="0.3">
      <c r="A315" t="s">
        <v>972</v>
      </c>
      <c r="B315" t="s">
        <v>973</v>
      </c>
      <c r="C315" t="s">
        <v>45</v>
      </c>
      <c r="D315" s="1">
        <v>44677</v>
      </c>
      <c r="E315" t="s">
        <v>974</v>
      </c>
      <c r="F315" t="s">
        <v>13</v>
      </c>
      <c r="G315" t="s">
        <v>14</v>
      </c>
      <c r="H315" t="s">
        <v>15</v>
      </c>
      <c r="I315" t="s">
        <v>47</v>
      </c>
    </row>
    <row r="316" spans="1:9" x14ac:dyDescent="0.3">
      <c r="A316" t="s">
        <v>975</v>
      </c>
      <c r="B316" t="s">
        <v>976</v>
      </c>
      <c r="C316" t="s">
        <v>29</v>
      </c>
      <c r="D316" s="1">
        <v>44678</v>
      </c>
      <c r="E316" t="s">
        <v>977</v>
      </c>
      <c r="F316" t="s">
        <v>13</v>
      </c>
      <c r="G316" t="s">
        <v>14</v>
      </c>
      <c r="H316" t="s">
        <v>15</v>
      </c>
      <c r="I316" t="s">
        <v>204</v>
      </c>
    </row>
    <row r="317" spans="1:9" x14ac:dyDescent="0.3">
      <c r="A317" t="s">
        <v>978</v>
      </c>
      <c r="B317" t="s">
        <v>979</v>
      </c>
      <c r="C317" t="s">
        <v>33</v>
      </c>
      <c r="D317" s="1">
        <v>44679</v>
      </c>
      <c r="E317" t="s">
        <v>980</v>
      </c>
      <c r="F317" t="s">
        <v>13</v>
      </c>
      <c r="G317" t="s">
        <v>14</v>
      </c>
      <c r="H317" t="s">
        <v>15</v>
      </c>
      <c r="I317" t="s">
        <v>94</v>
      </c>
    </row>
    <row r="318" spans="1:9" x14ac:dyDescent="0.3">
      <c r="A318" t="s">
        <v>981</v>
      </c>
      <c r="B318" t="s">
        <v>982</v>
      </c>
      <c r="C318" t="s">
        <v>11</v>
      </c>
      <c r="D318" s="1">
        <v>44679</v>
      </c>
      <c r="E318" t="s">
        <v>983</v>
      </c>
      <c r="F318" t="s">
        <v>13</v>
      </c>
      <c r="G318" t="s">
        <v>14</v>
      </c>
      <c r="H318" t="s">
        <v>15</v>
      </c>
    </row>
    <row r="319" spans="1:9" x14ac:dyDescent="0.3">
      <c r="A319" t="s">
        <v>984</v>
      </c>
      <c r="B319" t="s">
        <v>985</v>
      </c>
      <c r="C319" t="s">
        <v>45</v>
      </c>
      <c r="D319" s="1">
        <v>44680</v>
      </c>
      <c r="E319" t="s">
        <v>986</v>
      </c>
      <c r="F319" t="s">
        <v>13</v>
      </c>
      <c r="G319" t="s">
        <v>14</v>
      </c>
      <c r="H319" t="s">
        <v>15</v>
      </c>
      <c r="I319" t="s">
        <v>47</v>
      </c>
    </row>
    <row r="320" spans="1:9" x14ac:dyDescent="0.3">
      <c r="A320" t="s">
        <v>987</v>
      </c>
      <c r="B320" t="s">
        <v>988</v>
      </c>
      <c r="C320" t="s">
        <v>33</v>
      </c>
      <c r="D320" s="1">
        <v>44680</v>
      </c>
      <c r="E320" t="s">
        <v>989</v>
      </c>
      <c r="F320" t="s">
        <v>13</v>
      </c>
      <c r="G320" t="s">
        <v>14</v>
      </c>
      <c r="H320" t="s">
        <v>15</v>
      </c>
      <c r="I320" t="s">
        <v>51</v>
      </c>
    </row>
    <row r="321" spans="1:9" x14ac:dyDescent="0.3">
      <c r="A321" t="s">
        <v>990</v>
      </c>
      <c r="B321" t="s">
        <v>991</v>
      </c>
      <c r="C321" t="s">
        <v>11</v>
      </c>
      <c r="D321" s="1">
        <v>44680</v>
      </c>
      <c r="E321" t="s">
        <v>992</v>
      </c>
      <c r="F321" t="s">
        <v>13</v>
      </c>
      <c r="G321" t="s">
        <v>14</v>
      </c>
      <c r="H321" t="s">
        <v>15</v>
      </c>
      <c r="I321" t="s">
        <v>185</v>
      </c>
    </row>
    <row r="322" spans="1:9" x14ac:dyDescent="0.3">
      <c r="A322" t="s">
        <v>993</v>
      </c>
      <c r="B322" t="s">
        <v>994</v>
      </c>
      <c r="C322" t="s">
        <v>11</v>
      </c>
      <c r="D322" s="1">
        <v>44681</v>
      </c>
      <c r="E322" t="s">
        <v>995</v>
      </c>
      <c r="F322" t="s">
        <v>13</v>
      </c>
      <c r="G322" t="s">
        <v>14</v>
      </c>
      <c r="H322" t="s">
        <v>15</v>
      </c>
      <c r="I322" t="s">
        <v>38</v>
      </c>
    </row>
    <row r="323" spans="1:9" x14ac:dyDescent="0.3">
      <c r="A323" t="s">
        <v>996</v>
      </c>
      <c r="B323" t="s">
        <v>997</v>
      </c>
      <c r="C323" t="s">
        <v>45</v>
      </c>
      <c r="D323" s="1">
        <v>44681</v>
      </c>
      <c r="E323" t="s">
        <v>998</v>
      </c>
      <c r="F323" t="s">
        <v>13</v>
      </c>
      <c r="G323" t="s">
        <v>14</v>
      </c>
      <c r="H323" t="s">
        <v>15</v>
      </c>
      <c r="I323" t="s">
        <v>248</v>
      </c>
    </row>
    <row r="324" spans="1:9" x14ac:dyDescent="0.3">
      <c r="A324" t="s">
        <v>999</v>
      </c>
      <c r="B324" t="s">
        <v>1000</v>
      </c>
      <c r="C324" t="s">
        <v>33</v>
      </c>
      <c r="D324" s="1">
        <v>44681</v>
      </c>
      <c r="E324" t="s">
        <v>1001</v>
      </c>
      <c r="F324" t="s">
        <v>13</v>
      </c>
      <c r="G324" t="s">
        <v>14</v>
      </c>
      <c r="H324" t="s">
        <v>15</v>
      </c>
      <c r="I324" t="s">
        <v>94</v>
      </c>
    </row>
    <row r="325" spans="1:9" x14ac:dyDescent="0.3">
      <c r="A325" t="s">
        <v>1002</v>
      </c>
      <c r="B325" t="s">
        <v>1003</v>
      </c>
      <c r="C325" t="s">
        <v>33</v>
      </c>
      <c r="D325" s="1">
        <v>44681</v>
      </c>
      <c r="E325" t="s">
        <v>1004</v>
      </c>
      <c r="F325" t="s">
        <v>13</v>
      </c>
      <c r="G325" t="s">
        <v>14</v>
      </c>
      <c r="H325" t="s">
        <v>15</v>
      </c>
      <c r="I325" t="s">
        <v>51</v>
      </c>
    </row>
    <row r="326" spans="1:9" x14ac:dyDescent="0.3">
      <c r="A326" t="s">
        <v>1005</v>
      </c>
      <c r="B326" t="s">
        <v>1006</v>
      </c>
      <c r="C326" t="s">
        <v>33</v>
      </c>
      <c r="D326" s="1">
        <v>44681</v>
      </c>
      <c r="E326" t="s">
        <v>1007</v>
      </c>
      <c r="F326" t="s">
        <v>13</v>
      </c>
      <c r="G326" t="s">
        <v>14</v>
      </c>
      <c r="H326" t="s">
        <v>15</v>
      </c>
      <c r="I326" t="s">
        <v>51</v>
      </c>
    </row>
    <row r="327" spans="1:9" x14ac:dyDescent="0.3">
      <c r="A327" t="s">
        <v>1008</v>
      </c>
      <c r="B327" t="s">
        <v>1009</v>
      </c>
      <c r="C327" t="s">
        <v>33</v>
      </c>
      <c r="D327" s="1">
        <v>44682</v>
      </c>
      <c r="E327" t="s">
        <v>1010</v>
      </c>
      <c r="F327" t="s">
        <v>13</v>
      </c>
      <c r="G327" t="s">
        <v>14</v>
      </c>
      <c r="H327" t="s">
        <v>15</v>
      </c>
      <c r="I327" t="s">
        <v>51</v>
      </c>
    </row>
    <row r="328" spans="1:9" x14ac:dyDescent="0.3">
      <c r="A328" t="s">
        <v>1011</v>
      </c>
      <c r="B328" t="s">
        <v>1012</v>
      </c>
      <c r="C328" t="s">
        <v>11</v>
      </c>
      <c r="D328" s="1">
        <v>44683</v>
      </c>
      <c r="E328" t="s">
        <v>1013</v>
      </c>
      <c r="F328" t="s">
        <v>13</v>
      </c>
      <c r="G328" t="s">
        <v>14</v>
      </c>
      <c r="H328" t="s">
        <v>15</v>
      </c>
      <c r="I328" t="s">
        <v>16</v>
      </c>
    </row>
    <row r="329" spans="1:9" x14ac:dyDescent="0.3">
      <c r="A329" t="s">
        <v>1014</v>
      </c>
      <c r="B329" t="s">
        <v>1015</v>
      </c>
      <c r="C329" t="s">
        <v>11</v>
      </c>
      <c r="D329" s="1">
        <v>44683</v>
      </c>
      <c r="E329" t="s">
        <v>1016</v>
      </c>
      <c r="F329" t="s">
        <v>13</v>
      </c>
      <c r="G329" t="s">
        <v>14</v>
      </c>
      <c r="H329" t="s">
        <v>15</v>
      </c>
      <c r="I329" t="s">
        <v>185</v>
      </c>
    </row>
    <row r="330" spans="1:9" x14ac:dyDescent="0.3">
      <c r="A330" t="s">
        <v>1017</v>
      </c>
      <c r="B330" t="s">
        <v>1018</v>
      </c>
      <c r="C330" t="s">
        <v>19</v>
      </c>
      <c r="D330" s="1">
        <v>44683</v>
      </c>
      <c r="E330" t="s">
        <v>1019</v>
      </c>
      <c r="F330" t="s">
        <v>13</v>
      </c>
      <c r="G330" t="s">
        <v>174</v>
      </c>
      <c r="H330" t="s">
        <v>15</v>
      </c>
    </row>
    <row r="331" spans="1:9" x14ac:dyDescent="0.3">
      <c r="A331" t="s">
        <v>1020</v>
      </c>
      <c r="B331" t="s">
        <v>1021</v>
      </c>
      <c r="C331" t="s">
        <v>45</v>
      </c>
      <c r="D331" s="1">
        <v>44683</v>
      </c>
      <c r="E331" t="s">
        <v>1022</v>
      </c>
      <c r="F331" t="s">
        <v>13</v>
      </c>
      <c r="G331" t="s">
        <v>14</v>
      </c>
      <c r="H331" t="s">
        <v>15</v>
      </c>
      <c r="I331" t="s">
        <v>47</v>
      </c>
    </row>
    <row r="332" spans="1:9" x14ac:dyDescent="0.3">
      <c r="A332" t="s">
        <v>1023</v>
      </c>
      <c r="B332" t="s">
        <v>1024</v>
      </c>
      <c r="C332" t="s">
        <v>45</v>
      </c>
      <c r="D332" s="1">
        <v>44683</v>
      </c>
      <c r="E332" t="s">
        <v>1025</v>
      </c>
      <c r="F332" t="s">
        <v>13</v>
      </c>
      <c r="G332" t="s">
        <v>14</v>
      </c>
      <c r="H332" t="s">
        <v>15</v>
      </c>
      <c r="I332" t="s">
        <v>47</v>
      </c>
    </row>
    <row r="333" spans="1:9" x14ac:dyDescent="0.3">
      <c r="A333" t="s">
        <v>1026</v>
      </c>
      <c r="B333" t="s">
        <v>1027</v>
      </c>
      <c r="C333" t="s">
        <v>33</v>
      </c>
      <c r="D333" s="1">
        <v>44683</v>
      </c>
      <c r="E333" t="s">
        <v>1028</v>
      </c>
      <c r="F333" t="s">
        <v>13</v>
      </c>
      <c r="G333" t="s">
        <v>14</v>
      </c>
      <c r="H333" t="s">
        <v>15</v>
      </c>
      <c r="I333" t="s">
        <v>51</v>
      </c>
    </row>
    <row r="334" spans="1:9" x14ac:dyDescent="0.3">
      <c r="A334" t="s">
        <v>1029</v>
      </c>
      <c r="B334" t="s">
        <v>1030</v>
      </c>
      <c r="C334" t="s">
        <v>24</v>
      </c>
      <c r="D334" s="1">
        <v>44683</v>
      </c>
      <c r="E334" t="s">
        <v>1031</v>
      </c>
      <c r="F334" t="s">
        <v>13</v>
      </c>
      <c r="G334" t="s">
        <v>174</v>
      </c>
      <c r="H334" t="s">
        <v>15</v>
      </c>
      <c r="I334" t="s">
        <v>59</v>
      </c>
    </row>
    <row r="335" spans="1:9" x14ac:dyDescent="0.3">
      <c r="A335" t="s">
        <v>1032</v>
      </c>
      <c r="B335" t="s">
        <v>1033</v>
      </c>
      <c r="C335" t="s">
        <v>19</v>
      </c>
      <c r="D335" s="1">
        <v>44684</v>
      </c>
      <c r="E335" t="s">
        <v>1034</v>
      </c>
      <c r="F335" t="s">
        <v>13</v>
      </c>
      <c r="G335" t="s">
        <v>14</v>
      </c>
      <c r="H335" t="s">
        <v>15</v>
      </c>
      <c r="I335" t="s">
        <v>116</v>
      </c>
    </row>
    <row r="336" spans="1:9" x14ac:dyDescent="0.3">
      <c r="A336" t="s">
        <v>1035</v>
      </c>
      <c r="B336" t="s">
        <v>1036</v>
      </c>
      <c r="C336" t="s">
        <v>24</v>
      </c>
      <c r="D336" s="1">
        <v>44684</v>
      </c>
      <c r="E336" t="s">
        <v>1037</v>
      </c>
      <c r="F336" t="s">
        <v>13</v>
      </c>
      <c r="G336" t="s">
        <v>14</v>
      </c>
      <c r="H336" t="s">
        <v>15</v>
      </c>
      <c r="I336" t="s">
        <v>63</v>
      </c>
    </row>
    <row r="337" spans="1:9" x14ac:dyDescent="0.3">
      <c r="A337" t="s">
        <v>1038</v>
      </c>
      <c r="B337" t="s">
        <v>1039</v>
      </c>
      <c r="C337" t="s">
        <v>24</v>
      </c>
      <c r="D337" s="1">
        <v>44685</v>
      </c>
      <c r="E337" t="s">
        <v>1040</v>
      </c>
      <c r="F337" t="s">
        <v>13</v>
      </c>
      <c r="G337" t="s">
        <v>14</v>
      </c>
      <c r="H337" t="s">
        <v>15</v>
      </c>
      <c r="I337" t="s">
        <v>63</v>
      </c>
    </row>
    <row r="338" spans="1:9" x14ac:dyDescent="0.3">
      <c r="A338" t="s">
        <v>1041</v>
      </c>
      <c r="B338" t="s">
        <v>1042</v>
      </c>
      <c r="C338" t="s">
        <v>24</v>
      </c>
      <c r="D338" s="1">
        <v>44685</v>
      </c>
      <c r="E338" t="s">
        <v>1043</v>
      </c>
      <c r="F338" t="s">
        <v>13</v>
      </c>
      <c r="G338" t="s">
        <v>14</v>
      </c>
      <c r="H338" t="s">
        <v>15</v>
      </c>
      <c r="I338" t="s">
        <v>26</v>
      </c>
    </row>
    <row r="339" spans="1:9" x14ac:dyDescent="0.3">
      <c r="A339" t="s">
        <v>1044</v>
      </c>
      <c r="B339" t="s">
        <v>1045</v>
      </c>
      <c r="C339" t="s">
        <v>29</v>
      </c>
      <c r="D339" s="1">
        <v>44685</v>
      </c>
      <c r="E339" t="s">
        <v>1046</v>
      </c>
      <c r="F339" t="s">
        <v>13</v>
      </c>
      <c r="G339" t="s">
        <v>14</v>
      </c>
      <c r="H339" t="s">
        <v>15</v>
      </c>
      <c r="I339" t="s">
        <v>81</v>
      </c>
    </row>
    <row r="340" spans="1:9" x14ac:dyDescent="0.3">
      <c r="A340" t="s">
        <v>1047</v>
      </c>
      <c r="B340" t="s">
        <v>1048</v>
      </c>
      <c r="C340" t="s">
        <v>24</v>
      </c>
      <c r="D340" s="1">
        <v>44685</v>
      </c>
      <c r="E340" t="s">
        <v>1049</v>
      </c>
      <c r="F340" t="s">
        <v>13</v>
      </c>
      <c r="G340" t="s">
        <v>14</v>
      </c>
      <c r="H340" t="s">
        <v>15</v>
      </c>
      <c r="I340" t="s">
        <v>26</v>
      </c>
    </row>
    <row r="341" spans="1:9" x14ac:dyDescent="0.3">
      <c r="A341" t="s">
        <v>1050</v>
      </c>
      <c r="B341" t="s">
        <v>1051</v>
      </c>
      <c r="C341" t="s">
        <v>24</v>
      </c>
      <c r="D341" s="1">
        <v>44686</v>
      </c>
      <c r="E341" t="s">
        <v>1052</v>
      </c>
      <c r="F341" t="s">
        <v>13</v>
      </c>
      <c r="G341" t="s">
        <v>14</v>
      </c>
      <c r="H341" t="s">
        <v>15</v>
      </c>
      <c r="I341" t="s">
        <v>63</v>
      </c>
    </row>
    <row r="342" spans="1:9" x14ac:dyDescent="0.3">
      <c r="A342" t="s">
        <v>1053</v>
      </c>
      <c r="B342" t="s">
        <v>1054</v>
      </c>
      <c r="C342" t="s">
        <v>33</v>
      </c>
      <c r="D342" s="1">
        <v>44686</v>
      </c>
      <c r="E342" t="s">
        <v>1055</v>
      </c>
      <c r="F342" t="s">
        <v>13</v>
      </c>
      <c r="G342" t="s">
        <v>14</v>
      </c>
      <c r="H342" t="s">
        <v>15</v>
      </c>
      <c r="I342" t="s">
        <v>51</v>
      </c>
    </row>
    <row r="343" spans="1:9" x14ac:dyDescent="0.3">
      <c r="A343" t="s">
        <v>1056</v>
      </c>
      <c r="B343" t="s">
        <v>1057</v>
      </c>
      <c r="C343" t="s">
        <v>33</v>
      </c>
      <c r="D343" s="1">
        <v>44687</v>
      </c>
      <c r="E343" t="s">
        <v>1058</v>
      </c>
      <c r="F343" t="s">
        <v>13</v>
      </c>
      <c r="G343" t="s">
        <v>14</v>
      </c>
      <c r="H343" t="s">
        <v>15</v>
      </c>
    </row>
    <row r="344" spans="1:9" x14ac:dyDescent="0.3">
      <c r="A344" t="s">
        <v>1059</v>
      </c>
      <c r="B344" t="s">
        <v>1060</v>
      </c>
      <c r="C344" t="s">
        <v>45</v>
      </c>
      <c r="D344" s="1">
        <v>44687</v>
      </c>
      <c r="E344" t="s">
        <v>1061</v>
      </c>
      <c r="F344" t="s">
        <v>13</v>
      </c>
      <c r="G344" t="s">
        <v>14</v>
      </c>
      <c r="H344" t="s">
        <v>15</v>
      </c>
      <c r="I344" t="s">
        <v>248</v>
      </c>
    </row>
    <row r="345" spans="1:9" x14ac:dyDescent="0.3">
      <c r="A345" t="s">
        <v>1062</v>
      </c>
      <c r="B345" t="s">
        <v>1063</v>
      </c>
      <c r="C345" t="s">
        <v>19</v>
      </c>
      <c r="D345" s="1">
        <v>44687</v>
      </c>
      <c r="E345" t="s">
        <v>1064</v>
      </c>
      <c r="F345" t="s">
        <v>13</v>
      </c>
      <c r="G345" t="s">
        <v>14</v>
      </c>
      <c r="H345" t="s">
        <v>15</v>
      </c>
    </row>
    <row r="346" spans="1:9" x14ac:dyDescent="0.3">
      <c r="A346" t="s">
        <v>1065</v>
      </c>
      <c r="B346" t="s">
        <v>1066</v>
      </c>
      <c r="C346" t="s">
        <v>45</v>
      </c>
      <c r="D346" s="1">
        <v>44689</v>
      </c>
      <c r="E346" t="s">
        <v>1067</v>
      </c>
      <c r="F346" t="s">
        <v>13</v>
      </c>
      <c r="G346" t="s">
        <v>14</v>
      </c>
      <c r="H346" t="s">
        <v>15</v>
      </c>
    </row>
    <row r="347" spans="1:9" x14ac:dyDescent="0.3">
      <c r="A347" t="s">
        <v>1068</v>
      </c>
      <c r="B347" t="s">
        <v>1069</v>
      </c>
      <c r="C347" t="s">
        <v>45</v>
      </c>
      <c r="D347" s="1">
        <v>44689</v>
      </c>
      <c r="E347" t="s">
        <v>1070</v>
      </c>
      <c r="F347" t="s">
        <v>13</v>
      </c>
      <c r="G347" t="s">
        <v>14</v>
      </c>
      <c r="H347" t="s">
        <v>15</v>
      </c>
    </row>
    <row r="348" spans="1:9" x14ac:dyDescent="0.3">
      <c r="A348" t="s">
        <v>1071</v>
      </c>
      <c r="B348" t="s">
        <v>1072</v>
      </c>
      <c r="C348" t="s">
        <v>33</v>
      </c>
      <c r="D348" s="1">
        <v>44690</v>
      </c>
      <c r="E348" t="s">
        <v>1073</v>
      </c>
      <c r="F348" t="s">
        <v>13</v>
      </c>
      <c r="G348" t="s">
        <v>14</v>
      </c>
      <c r="H348" t="s">
        <v>15</v>
      </c>
      <c r="I348" t="s">
        <v>94</v>
      </c>
    </row>
    <row r="349" spans="1:9" x14ac:dyDescent="0.3">
      <c r="A349" t="s">
        <v>1074</v>
      </c>
      <c r="B349" t="s">
        <v>1075</v>
      </c>
      <c r="C349" t="s">
        <v>11</v>
      </c>
      <c r="D349" s="1">
        <v>44690</v>
      </c>
      <c r="E349" t="s">
        <v>1076</v>
      </c>
      <c r="F349" t="s">
        <v>13</v>
      </c>
      <c r="G349" t="s">
        <v>14</v>
      </c>
      <c r="H349" t="s">
        <v>15</v>
      </c>
      <c r="I349" t="s">
        <v>16</v>
      </c>
    </row>
    <row r="350" spans="1:9" x14ac:dyDescent="0.3">
      <c r="A350" t="s">
        <v>1077</v>
      </c>
      <c r="B350" t="s">
        <v>1078</v>
      </c>
      <c r="C350" t="s">
        <v>33</v>
      </c>
      <c r="D350" s="1">
        <v>44690</v>
      </c>
      <c r="E350" t="s">
        <v>1079</v>
      </c>
      <c r="F350" t="s">
        <v>13</v>
      </c>
      <c r="G350" t="s">
        <v>14</v>
      </c>
      <c r="H350" t="s">
        <v>15</v>
      </c>
      <c r="I350" t="s">
        <v>51</v>
      </c>
    </row>
    <row r="351" spans="1:9" x14ac:dyDescent="0.3">
      <c r="A351" t="s">
        <v>1080</v>
      </c>
      <c r="B351" t="s">
        <v>1081</v>
      </c>
      <c r="C351" t="s">
        <v>45</v>
      </c>
      <c r="D351" s="1">
        <v>44691</v>
      </c>
      <c r="E351" t="s">
        <v>1082</v>
      </c>
      <c r="F351" t="s">
        <v>13</v>
      </c>
      <c r="G351" t="s">
        <v>14</v>
      </c>
      <c r="H351" t="s">
        <v>15</v>
      </c>
      <c r="I351" t="s">
        <v>248</v>
      </c>
    </row>
    <row r="352" spans="1:9" x14ac:dyDescent="0.3">
      <c r="A352" t="s">
        <v>1083</v>
      </c>
      <c r="B352" t="s">
        <v>1084</v>
      </c>
      <c r="C352" t="s">
        <v>24</v>
      </c>
      <c r="D352" s="1">
        <v>44691</v>
      </c>
      <c r="E352" t="s">
        <v>1085</v>
      </c>
      <c r="F352" t="s">
        <v>13</v>
      </c>
      <c r="G352" t="s">
        <v>14</v>
      </c>
      <c r="H352" t="s">
        <v>15</v>
      </c>
      <c r="I352" t="s">
        <v>63</v>
      </c>
    </row>
    <row r="353" spans="1:9" x14ac:dyDescent="0.3">
      <c r="A353" t="s">
        <v>1086</v>
      </c>
      <c r="B353" t="s">
        <v>1087</v>
      </c>
      <c r="C353" t="s">
        <v>69</v>
      </c>
      <c r="D353" s="1">
        <v>44691</v>
      </c>
      <c r="E353" t="s">
        <v>1088</v>
      </c>
      <c r="F353" t="s">
        <v>13</v>
      </c>
      <c r="G353" t="s">
        <v>14</v>
      </c>
      <c r="H353" t="s">
        <v>15</v>
      </c>
      <c r="I353" t="s">
        <v>71</v>
      </c>
    </row>
    <row r="354" spans="1:9" x14ac:dyDescent="0.3">
      <c r="A354" t="s">
        <v>1089</v>
      </c>
      <c r="B354" t="s">
        <v>1090</v>
      </c>
      <c r="C354" t="s">
        <v>33</v>
      </c>
      <c r="D354" s="1">
        <v>44692</v>
      </c>
      <c r="E354" t="s">
        <v>1091</v>
      </c>
      <c r="F354" t="s">
        <v>13</v>
      </c>
      <c r="G354" t="s">
        <v>14</v>
      </c>
      <c r="H354" t="s">
        <v>15</v>
      </c>
      <c r="I354" t="s">
        <v>51</v>
      </c>
    </row>
    <row r="355" spans="1:9" x14ac:dyDescent="0.3">
      <c r="A355" t="s">
        <v>1092</v>
      </c>
      <c r="B355" t="s">
        <v>1093</v>
      </c>
      <c r="C355" t="s">
        <v>33</v>
      </c>
      <c r="D355" s="1">
        <v>44692</v>
      </c>
      <c r="E355" t="s">
        <v>1094</v>
      </c>
      <c r="F355" t="s">
        <v>13</v>
      </c>
      <c r="G355" t="s">
        <v>14</v>
      </c>
      <c r="H355" t="s">
        <v>15</v>
      </c>
      <c r="I355" t="s">
        <v>94</v>
      </c>
    </row>
    <row r="356" spans="1:9" x14ac:dyDescent="0.3">
      <c r="A356" t="s">
        <v>1095</v>
      </c>
      <c r="B356" t="s">
        <v>1096</v>
      </c>
      <c r="C356" t="s">
        <v>45</v>
      </c>
      <c r="D356" s="1">
        <v>44693</v>
      </c>
      <c r="E356" t="s">
        <v>1097</v>
      </c>
      <c r="F356" t="s">
        <v>13</v>
      </c>
      <c r="G356" t="s">
        <v>14</v>
      </c>
      <c r="H356" t="s">
        <v>15</v>
      </c>
      <c r="I356" t="s">
        <v>47</v>
      </c>
    </row>
    <row r="357" spans="1:9" x14ac:dyDescent="0.3">
      <c r="A357" t="s">
        <v>1098</v>
      </c>
      <c r="B357" t="s">
        <v>1099</v>
      </c>
      <c r="C357" t="s">
        <v>69</v>
      </c>
      <c r="D357" s="1">
        <v>44693</v>
      </c>
      <c r="E357" t="s">
        <v>1100</v>
      </c>
      <c r="F357" t="s">
        <v>13</v>
      </c>
      <c r="G357" t="s">
        <v>14</v>
      </c>
      <c r="H357" t="s">
        <v>15</v>
      </c>
      <c r="I357" t="s">
        <v>71</v>
      </c>
    </row>
    <row r="358" spans="1:9" x14ac:dyDescent="0.3">
      <c r="A358" t="s">
        <v>1101</v>
      </c>
      <c r="B358" t="s">
        <v>1102</v>
      </c>
      <c r="C358" t="s">
        <v>11</v>
      </c>
      <c r="D358" s="1">
        <v>44693</v>
      </c>
      <c r="E358" t="s">
        <v>1103</v>
      </c>
      <c r="F358" t="s">
        <v>13</v>
      </c>
      <c r="G358" t="s">
        <v>14</v>
      </c>
      <c r="H358" t="s">
        <v>15</v>
      </c>
      <c r="I358" t="s">
        <v>16</v>
      </c>
    </row>
    <row r="359" spans="1:9" x14ac:dyDescent="0.3">
      <c r="A359" t="s">
        <v>1104</v>
      </c>
      <c r="B359" t="s">
        <v>1105</v>
      </c>
      <c r="C359" t="s">
        <v>69</v>
      </c>
      <c r="D359" s="1">
        <v>44693</v>
      </c>
      <c r="E359" t="s">
        <v>1106</v>
      </c>
      <c r="F359" t="s">
        <v>13</v>
      </c>
      <c r="G359" t="s">
        <v>14</v>
      </c>
      <c r="H359" t="s">
        <v>15</v>
      </c>
      <c r="I359" t="s">
        <v>71</v>
      </c>
    </row>
    <row r="360" spans="1:9" x14ac:dyDescent="0.3">
      <c r="A360" t="s">
        <v>1107</v>
      </c>
      <c r="B360" t="s">
        <v>1108</v>
      </c>
      <c r="C360" t="s">
        <v>24</v>
      </c>
      <c r="D360" s="1">
        <v>44694</v>
      </c>
      <c r="E360" t="s">
        <v>1109</v>
      </c>
      <c r="F360" t="s">
        <v>13</v>
      </c>
      <c r="G360" t="s">
        <v>14</v>
      </c>
      <c r="H360" t="s">
        <v>15</v>
      </c>
      <c r="I360" t="s">
        <v>26</v>
      </c>
    </row>
    <row r="361" spans="1:9" x14ac:dyDescent="0.3">
      <c r="A361" t="s">
        <v>1110</v>
      </c>
      <c r="B361" t="s">
        <v>1111</v>
      </c>
      <c r="C361" t="s">
        <v>69</v>
      </c>
      <c r="D361" s="1">
        <v>44694</v>
      </c>
      <c r="E361" t="s">
        <v>1112</v>
      </c>
      <c r="F361" t="s">
        <v>13</v>
      </c>
      <c r="G361" t="s">
        <v>14</v>
      </c>
      <c r="H361" t="s">
        <v>15</v>
      </c>
      <c r="I361" t="s">
        <v>71</v>
      </c>
    </row>
    <row r="362" spans="1:9" x14ac:dyDescent="0.3">
      <c r="A362" t="s">
        <v>64</v>
      </c>
      <c r="B362" t="s">
        <v>1113</v>
      </c>
      <c r="C362" t="s">
        <v>19</v>
      </c>
      <c r="D362" s="1">
        <v>44695</v>
      </c>
      <c r="E362" t="s">
        <v>1114</v>
      </c>
      <c r="F362" t="s">
        <v>13</v>
      </c>
      <c r="G362" t="s">
        <v>14</v>
      </c>
      <c r="H362" t="s">
        <v>15</v>
      </c>
      <c r="I362" t="s">
        <v>21</v>
      </c>
    </row>
    <row r="363" spans="1:9" x14ac:dyDescent="0.3">
      <c r="A363" t="s">
        <v>1115</v>
      </c>
      <c r="B363" t="s">
        <v>1116</v>
      </c>
      <c r="C363" t="s">
        <v>24</v>
      </c>
      <c r="D363" s="1">
        <v>44695</v>
      </c>
      <c r="E363" t="s">
        <v>1117</v>
      </c>
      <c r="F363" t="s">
        <v>13</v>
      </c>
      <c r="G363" t="s">
        <v>14</v>
      </c>
      <c r="H363" t="s">
        <v>15</v>
      </c>
      <c r="I363" t="s">
        <v>59</v>
      </c>
    </row>
    <row r="364" spans="1:9" x14ac:dyDescent="0.3">
      <c r="A364" t="s">
        <v>1118</v>
      </c>
      <c r="B364" t="s">
        <v>1119</v>
      </c>
      <c r="C364" t="s">
        <v>45</v>
      </c>
      <c r="D364" s="1">
        <v>44695</v>
      </c>
      <c r="E364" t="s">
        <v>1120</v>
      </c>
      <c r="F364" t="s">
        <v>13</v>
      </c>
      <c r="G364" t="s">
        <v>14</v>
      </c>
      <c r="H364" t="s">
        <v>15</v>
      </c>
      <c r="I364" t="s">
        <v>248</v>
      </c>
    </row>
    <row r="365" spans="1:9" x14ac:dyDescent="0.3">
      <c r="A365" t="s">
        <v>1121</v>
      </c>
      <c r="B365" t="s">
        <v>1122</v>
      </c>
      <c r="C365" t="s">
        <v>54</v>
      </c>
      <c r="D365" s="1">
        <v>44696</v>
      </c>
      <c r="E365" t="s">
        <v>1123</v>
      </c>
      <c r="F365" t="s">
        <v>13</v>
      </c>
      <c r="G365" t="s">
        <v>14</v>
      </c>
      <c r="H365" t="s">
        <v>15</v>
      </c>
      <c r="I365" t="s">
        <v>238</v>
      </c>
    </row>
    <row r="366" spans="1:9" x14ac:dyDescent="0.3">
      <c r="A366" t="s">
        <v>1124</v>
      </c>
      <c r="B366" t="s">
        <v>1125</v>
      </c>
      <c r="C366" t="s">
        <v>54</v>
      </c>
      <c r="D366" s="1">
        <v>44696</v>
      </c>
      <c r="E366" t="s">
        <v>1126</v>
      </c>
      <c r="F366" t="s">
        <v>13</v>
      </c>
      <c r="G366" t="s">
        <v>14</v>
      </c>
      <c r="H366" t="s">
        <v>15</v>
      </c>
      <c r="I366" t="s">
        <v>181</v>
      </c>
    </row>
    <row r="367" spans="1:9" x14ac:dyDescent="0.3">
      <c r="A367" t="s">
        <v>1127</v>
      </c>
      <c r="B367" t="s">
        <v>1128</v>
      </c>
      <c r="C367" t="s">
        <v>69</v>
      </c>
      <c r="D367" s="1">
        <v>44697</v>
      </c>
      <c r="E367" t="s">
        <v>1129</v>
      </c>
      <c r="F367" t="s">
        <v>13</v>
      </c>
      <c r="G367" t="s">
        <v>14</v>
      </c>
      <c r="H367" t="s">
        <v>15</v>
      </c>
      <c r="I367" t="s">
        <v>71</v>
      </c>
    </row>
    <row r="368" spans="1:9" x14ac:dyDescent="0.3">
      <c r="A368" t="s">
        <v>1130</v>
      </c>
      <c r="B368" t="s">
        <v>1131</v>
      </c>
      <c r="C368" t="s">
        <v>69</v>
      </c>
      <c r="D368" s="1">
        <v>44697</v>
      </c>
      <c r="E368" t="s">
        <v>1132</v>
      </c>
      <c r="F368" t="s">
        <v>13</v>
      </c>
      <c r="G368" t="s">
        <v>14</v>
      </c>
      <c r="H368" t="s">
        <v>15</v>
      </c>
      <c r="I368" t="s">
        <v>71</v>
      </c>
    </row>
    <row r="369" spans="1:9" x14ac:dyDescent="0.3">
      <c r="A369" t="s">
        <v>1133</v>
      </c>
      <c r="B369" t="s">
        <v>1134</v>
      </c>
      <c r="C369" t="s">
        <v>69</v>
      </c>
      <c r="D369" s="1">
        <v>44697</v>
      </c>
      <c r="E369" t="s">
        <v>1135</v>
      </c>
      <c r="F369" t="s">
        <v>13</v>
      </c>
      <c r="G369" t="s">
        <v>14</v>
      </c>
      <c r="H369" t="s">
        <v>15</v>
      </c>
      <c r="I369" t="s">
        <v>71</v>
      </c>
    </row>
    <row r="370" spans="1:9" x14ac:dyDescent="0.3">
      <c r="A370" t="s">
        <v>1136</v>
      </c>
      <c r="B370" t="s">
        <v>1137</v>
      </c>
      <c r="C370" t="s">
        <v>69</v>
      </c>
      <c r="D370" s="1">
        <v>44697</v>
      </c>
      <c r="E370" t="s">
        <v>1138</v>
      </c>
      <c r="F370" t="s">
        <v>13</v>
      </c>
      <c r="G370" t="s">
        <v>14</v>
      </c>
      <c r="H370" t="s">
        <v>15</v>
      </c>
    </row>
    <row r="371" spans="1:9" x14ac:dyDescent="0.3">
      <c r="A371" t="s">
        <v>1139</v>
      </c>
      <c r="B371" t="s">
        <v>1140</v>
      </c>
      <c r="C371" t="s">
        <v>45</v>
      </c>
      <c r="D371" s="1">
        <v>44698</v>
      </c>
      <c r="E371" t="s">
        <v>1141</v>
      </c>
      <c r="F371" t="s">
        <v>13</v>
      </c>
      <c r="G371" t="s">
        <v>14</v>
      </c>
      <c r="H371" t="s">
        <v>15</v>
      </c>
      <c r="I371" t="s">
        <v>47</v>
      </c>
    </row>
    <row r="372" spans="1:9" x14ac:dyDescent="0.3">
      <c r="A372" t="s">
        <v>1142</v>
      </c>
      <c r="B372" t="s">
        <v>1143</v>
      </c>
      <c r="C372" t="s">
        <v>24</v>
      </c>
      <c r="D372" s="1">
        <v>44698</v>
      </c>
      <c r="E372" t="s">
        <v>1144</v>
      </c>
      <c r="F372" t="s">
        <v>13</v>
      </c>
      <c r="G372" t="s">
        <v>14</v>
      </c>
      <c r="H372" t="s">
        <v>15</v>
      </c>
      <c r="I372" t="s">
        <v>59</v>
      </c>
    </row>
    <row r="373" spans="1:9" x14ac:dyDescent="0.3">
      <c r="A373" t="s">
        <v>1145</v>
      </c>
      <c r="B373" t="s">
        <v>1146</v>
      </c>
      <c r="C373" t="s">
        <v>11</v>
      </c>
      <c r="D373" s="1">
        <v>44698</v>
      </c>
      <c r="E373" t="s">
        <v>1147</v>
      </c>
      <c r="F373" t="s">
        <v>13</v>
      </c>
      <c r="G373" t="s">
        <v>14</v>
      </c>
      <c r="H373" t="s">
        <v>15</v>
      </c>
      <c r="I373" t="s">
        <v>185</v>
      </c>
    </row>
    <row r="374" spans="1:9" x14ac:dyDescent="0.3">
      <c r="A374" t="s">
        <v>1148</v>
      </c>
      <c r="B374" t="s">
        <v>1149</v>
      </c>
      <c r="C374" t="s">
        <v>54</v>
      </c>
      <c r="D374" s="1">
        <v>44699</v>
      </c>
      <c r="E374" t="s">
        <v>1150</v>
      </c>
      <c r="F374" t="s">
        <v>13</v>
      </c>
      <c r="G374" t="s">
        <v>14</v>
      </c>
      <c r="H374" t="s">
        <v>15</v>
      </c>
      <c r="I374" t="s">
        <v>238</v>
      </c>
    </row>
    <row r="375" spans="1:9" x14ac:dyDescent="0.3">
      <c r="A375" t="s">
        <v>1151</v>
      </c>
      <c r="B375" t="s">
        <v>1152</v>
      </c>
      <c r="C375" t="s">
        <v>69</v>
      </c>
      <c r="D375" s="1">
        <v>44699</v>
      </c>
      <c r="E375" t="s">
        <v>1153</v>
      </c>
      <c r="F375" t="s">
        <v>13</v>
      </c>
      <c r="G375" t="s">
        <v>14</v>
      </c>
      <c r="H375" t="s">
        <v>15</v>
      </c>
    </row>
    <row r="376" spans="1:9" x14ac:dyDescent="0.3">
      <c r="A376" t="s">
        <v>1154</v>
      </c>
      <c r="B376" t="s">
        <v>1155</v>
      </c>
      <c r="C376" t="s">
        <v>11</v>
      </c>
      <c r="D376" s="1">
        <v>44700</v>
      </c>
      <c r="E376" t="s">
        <v>1156</v>
      </c>
      <c r="F376" t="s">
        <v>13</v>
      </c>
      <c r="G376" t="s">
        <v>14</v>
      </c>
      <c r="H376" t="s">
        <v>15</v>
      </c>
      <c r="I376" t="s">
        <v>38</v>
      </c>
    </row>
    <row r="377" spans="1:9" x14ac:dyDescent="0.3">
      <c r="A377" t="s">
        <v>1157</v>
      </c>
      <c r="B377" t="s">
        <v>1158</v>
      </c>
      <c r="C377" t="s">
        <v>24</v>
      </c>
      <c r="D377" s="1">
        <v>44700</v>
      </c>
      <c r="E377" t="s">
        <v>1159</v>
      </c>
      <c r="F377" t="s">
        <v>13</v>
      </c>
      <c r="G377" t="s">
        <v>14</v>
      </c>
      <c r="H377" t="s">
        <v>15</v>
      </c>
      <c r="I377" t="s">
        <v>59</v>
      </c>
    </row>
    <row r="378" spans="1:9" x14ac:dyDescent="0.3">
      <c r="A378" t="s">
        <v>1160</v>
      </c>
      <c r="B378" t="s">
        <v>1161</v>
      </c>
      <c r="C378" t="s">
        <v>19</v>
      </c>
      <c r="D378" s="1">
        <v>44700</v>
      </c>
      <c r="E378" t="s">
        <v>1162</v>
      </c>
      <c r="F378" t="s">
        <v>13</v>
      </c>
      <c r="G378" t="s">
        <v>174</v>
      </c>
      <c r="H378" t="s">
        <v>15</v>
      </c>
    </row>
    <row r="379" spans="1:9" x14ac:dyDescent="0.3">
      <c r="A379" t="s">
        <v>1163</v>
      </c>
      <c r="B379" t="s">
        <v>1164</v>
      </c>
      <c r="C379" t="s">
        <v>29</v>
      </c>
      <c r="D379" s="1">
        <v>44700</v>
      </c>
      <c r="E379" t="s">
        <v>1165</v>
      </c>
      <c r="F379" t="s">
        <v>13</v>
      </c>
      <c r="G379" t="s">
        <v>14</v>
      </c>
      <c r="H379" t="s">
        <v>15</v>
      </c>
      <c r="I379" t="s">
        <v>81</v>
      </c>
    </row>
    <row r="380" spans="1:9" x14ac:dyDescent="0.3">
      <c r="A380" t="s">
        <v>1166</v>
      </c>
      <c r="B380" t="s">
        <v>1167</v>
      </c>
      <c r="C380" t="s">
        <v>45</v>
      </c>
      <c r="D380" s="1">
        <v>44701</v>
      </c>
      <c r="E380" t="s">
        <v>1168</v>
      </c>
      <c r="F380" t="s">
        <v>13</v>
      </c>
      <c r="G380" t="s">
        <v>14</v>
      </c>
      <c r="H380" t="s">
        <v>15</v>
      </c>
      <c r="I380" t="s">
        <v>47</v>
      </c>
    </row>
    <row r="381" spans="1:9" x14ac:dyDescent="0.3">
      <c r="A381" t="s">
        <v>1169</v>
      </c>
      <c r="B381" t="s">
        <v>1170</v>
      </c>
      <c r="C381" t="s">
        <v>24</v>
      </c>
      <c r="D381" s="1">
        <v>44701</v>
      </c>
      <c r="E381" t="s">
        <v>1171</v>
      </c>
      <c r="F381" t="s">
        <v>13</v>
      </c>
      <c r="G381" t="s">
        <v>14</v>
      </c>
      <c r="H381" t="s">
        <v>15</v>
      </c>
      <c r="I381" t="s">
        <v>59</v>
      </c>
    </row>
    <row r="382" spans="1:9" x14ac:dyDescent="0.3">
      <c r="A382" t="s">
        <v>1172</v>
      </c>
      <c r="B382" t="s">
        <v>1173</v>
      </c>
      <c r="C382" t="s">
        <v>29</v>
      </c>
      <c r="D382" s="1">
        <v>44702</v>
      </c>
      <c r="E382" t="s">
        <v>1174</v>
      </c>
      <c r="F382" t="s">
        <v>13</v>
      </c>
      <c r="G382" t="s">
        <v>14</v>
      </c>
      <c r="H382" t="s">
        <v>15</v>
      </c>
      <c r="I382" t="s">
        <v>204</v>
      </c>
    </row>
    <row r="383" spans="1:9" x14ac:dyDescent="0.3">
      <c r="A383" t="s">
        <v>1175</v>
      </c>
      <c r="B383" t="s">
        <v>1176</v>
      </c>
      <c r="C383" t="s">
        <v>54</v>
      </c>
      <c r="D383" s="1">
        <v>44702</v>
      </c>
      <c r="E383" t="s">
        <v>1177</v>
      </c>
      <c r="F383" t="s">
        <v>13</v>
      </c>
      <c r="G383" t="s">
        <v>14</v>
      </c>
      <c r="H383" t="s">
        <v>15</v>
      </c>
      <c r="I383" t="s">
        <v>181</v>
      </c>
    </row>
    <row r="384" spans="1:9" x14ac:dyDescent="0.3">
      <c r="A384" t="s">
        <v>1178</v>
      </c>
      <c r="B384" t="s">
        <v>1179</v>
      </c>
      <c r="C384" t="s">
        <v>54</v>
      </c>
      <c r="D384" s="1">
        <v>44702</v>
      </c>
      <c r="E384" t="s">
        <v>1180</v>
      </c>
      <c r="F384" t="s">
        <v>13</v>
      </c>
      <c r="G384" t="s">
        <v>14</v>
      </c>
      <c r="H384" t="s">
        <v>15</v>
      </c>
      <c r="I384" t="s">
        <v>181</v>
      </c>
    </row>
    <row r="385" spans="1:9" x14ac:dyDescent="0.3">
      <c r="A385" t="s">
        <v>1181</v>
      </c>
      <c r="B385" t="s">
        <v>1182</v>
      </c>
      <c r="C385" t="s">
        <v>54</v>
      </c>
      <c r="D385" s="1">
        <v>44702</v>
      </c>
      <c r="E385" t="s">
        <v>1183</v>
      </c>
      <c r="F385" t="s">
        <v>13</v>
      </c>
      <c r="G385" t="s">
        <v>14</v>
      </c>
      <c r="H385" t="s">
        <v>15</v>
      </c>
      <c r="I385" t="s">
        <v>238</v>
      </c>
    </row>
    <row r="386" spans="1:9" x14ac:dyDescent="0.3">
      <c r="A386" t="s">
        <v>1184</v>
      </c>
      <c r="B386" t="s">
        <v>1185</v>
      </c>
      <c r="C386" t="s">
        <v>45</v>
      </c>
      <c r="D386" s="1">
        <v>44703</v>
      </c>
      <c r="E386" t="s">
        <v>1186</v>
      </c>
      <c r="F386" t="s">
        <v>13</v>
      </c>
      <c r="G386" t="s">
        <v>14</v>
      </c>
      <c r="H386" t="s">
        <v>15</v>
      </c>
    </row>
    <row r="387" spans="1:9" x14ac:dyDescent="0.3">
      <c r="A387" t="s">
        <v>512</v>
      </c>
      <c r="B387" t="s">
        <v>1187</v>
      </c>
      <c r="C387" t="s">
        <v>19</v>
      </c>
      <c r="D387" s="1">
        <v>44703</v>
      </c>
      <c r="E387" t="s">
        <v>1188</v>
      </c>
      <c r="F387" t="s">
        <v>13</v>
      </c>
      <c r="G387" t="s">
        <v>14</v>
      </c>
      <c r="H387" t="s">
        <v>15</v>
      </c>
      <c r="I387" t="s">
        <v>116</v>
      </c>
    </row>
    <row r="388" spans="1:9" x14ac:dyDescent="0.3">
      <c r="A388" t="s">
        <v>1189</v>
      </c>
      <c r="B388" t="s">
        <v>1190</v>
      </c>
      <c r="C388" t="s">
        <v>29</v>
      </c>
      <c r="D388" s="1">
        <v>44703</v>
      </c>
      <c r="E388" t="s">
        <v>1191</v>
      </c>
      <c r="F388" t="s">
        <v>13</v>
      </c>
      <c r="G388" t="s">
        <v>14</v>
      </c>
      <c r="H388" t="s">
        <v>15</v>
      </c>
      <c r="I388" t="s">
        <v>42</v>
      </c>
    </row>
    <row r="389" spans="1:9" x14ac:dyDescent="0.3">
      <c r="A389" t="s">
        <v>458</v>
      </c>
      <c r="B389" t="s">
        <v>1192</v>
      </c>
      <c r="C389" t="s">
        <v>19</v>
      </c>
      <c r="D389" s="1">
        <v>44703</v>
      </c>
      <c r="E389" t="s">
        <v>1193</v>
      </c>
      <c r="F389" t="s">
        <v>13</v>
      </c>
      <c r="G389" t="s">
        <v>14</v>
      </c>
      <c r="H389" t="s">
        <v>15</v>
      </c>
      <c r="I389" t="s">
        <v>21</v>
      </c>
    </row>
    <row r="390" spans="1:9" x14ac:dyDescent="0.3">
      <c r="A390" t="s">
        <v>1194</v>
      </c>
      <c r="B390" t="s">
        <v>1195</v>
      </c>
      <c r="C390" t="s">
        <v>11</v>
      </c>
      <c r="D390" s="1">
        <v>44705</v>
      </c>
      <c r="E390" t="s">
        <v>1196</v>
      </c>
      <c r="F390" t="s">
        <v>13</v>
      </c>
      <c r="G390" t="s">
        <v>14</v>
      </c>
      <c r="H390" t="s">
        <v>15</v>
      </c>
      <c r="I390" t="s">
        <v>16</v>
      </c>
    </row>
    <row r="391" spans="1:9" x14ac:dyDescent="0.3">
      <c r="A391" t="s">
        <v>1197</v>
      </c>
      <c r="B391" t="s">
        <v>1198</v>
      </c>
      <c r="C391" t="s">
        <v>11</v>
      </c>
      <c r="D391" s="1">
        <v>44705</v>
      </c>
      <c r="E391" t="s">
        <v>1199</v>
      </c>
      <c r="F391" t="s">
        <v>13</v>
      </c>
      <c r="G391" t="s">
        <v>14</v>
      </c>
      <c r="H391" t="s">
        <v>15</v>
      </c>
      <c r="I391" t="s">
        <v>16</v>
      </c>
    </row>
    <row r="392" spans="1:9" x14ac:dyDescent="0.3">
      <c r="A392" t="s">
        <v>1200</v>
      </c>
      <c r="B392" t="s">
        <v>1201</v>
      </c>
      <c r="C392" t="s">
        <v>33</v>
      </c>
      <c r="D392" s="1">
        <v>44705</v>
      </c>
      <c r="E392" t="s">
        <v>1202</v>
      </c>
      <c r="F392" t="s">
        <v>13</v>
      </c>
      <c r="G392" t="s">
        <v>14</v>
      </c>
      <c r="H392" t="s">
        <v>15</v>
      </c>
      <c r="I392" t="s">
        <v>94</v>
      </c>
    </row>
    <row r="393" spans="1:9" x14ac:dyDescent="0.3">
      <c r="A393" t="s">
        <v>1203</v>
      </c>
      <c r="B393" t="s">
        <v>1204</v>
      </c>
      <c r="C393" t="s">
        <v>33</v>
      </c>
      <c r="D393" s="1">
        <v>44706</v>
      </c>
      <c r="E393" t="s">
        <v>1205</v>
      </c>
      <c r="F393" t="s">
        <v>13</v>
      </c>
      <c r="G393" t="s">
        <v>14</v>
      </c>
      <c r="H393" t="s">
        <v>15</v>
      </c>
      <c r="I393" t="s">
        <v>51</v>
      </c>
    </row>
    <row r="394" spans="1:9" x14ac:dyDescent="0.3">
      <c r="A394" t="s">
        <v>1206</v>
      </c>
      <c r="B394" t="s">
        <v>1207</v>
      </c>
      <c r="C394" t="s">
        <v>45</v>
      </c>
      <c r="D394" s="1">
        <v>44706</v>
      </c>
      <c r="E394" t="s">
        <v>1208</v>
      </c>
      <c r="F394" t="s">
        <v>13</v>
      </c>
      <c r="G394" t="s">
        <v>14</v>
      </c>
      <c r="H394" t="s">
        <v>15</v>
      </c>
      <c r="I394" t="s">
        <v>248</v>
      </c>
    </row>
    <row r="395" spans="1:9" x14ac:dyDescent="0.3">
      <c r="A395" t="s">
        <v>1209</v>
      </c>
      <c r="B395" t="s">
        <v>1210</v>
      </c>
      <c r="C395" t="s">
        <v>33</v>
      </c>
      <c r="D395" s="1">
        <v>44707</v>
      </c>
      <c r="E395" t="s">
        <v>1211</v>
      </c>
      <c r="F395" t="s">
        <v>13</v>
      </c>
      <c r="G395" t="s">
        <v>14</v>
      </c>
      <c r="H395" t="s">
        <v>15</v>
      </c>
      <c r="I395" t="s">
        <v>94</v>
      </c>
    </row>
    <row r="396" spans="1:9" x14ac:dyDescent="0.3">
      <c r="A396" t="s">
        <v>1212</v>
      </c>
      <c r="B396" t="s">
        <v>1213</v>
      </c>
      <c r="C396" t="s">
        <v>24</v>
      </c>
      <c r="D396" s="1">
        <v>44707</v>
      </c>
      <c r="E396" t="s">
        <v>1214</v>
      </c>
      <c r="F396" t="s">
        <v>13</v>
      </c>
      <c r="G396" t="s">
        <v>14</v>
      </c>
      <c r="H396" t="s">
        <v>15</v>
      </c>
    </row>
    <row r="397" spans="1:9" x14ac:dyDescent="0.3">
      <c r="A397" t="s">
        <v>1215</v>
      </c>
      <c r="B397" t="s">
        <v>1216</v>
      </c>
      <c r="C397" t="s">
        <v>45</v>
      </c>
      <c r="D397" s="1">
        <v>44708</v>
      </c>
      <c r="E397" t="s">
        <v>1217</v>
      </c>
      <c r="F397" t="s">
        <v>13</v>
      </c>
      <c r="G397" t="s">
        <v>14</v>
      </c>
      <c r="H397" t="s">
        <v>15</v>
      </c>
    </row>
    <row r="398" spans="1:9" x14ac:dyDescent="0.3">
      <c r="A398" t="s">
        <v>1218</v>
      </c>
      <c r="B398" t="s">
        <v>1219</v>
      </c>
      <c r="C398" t="s">
        <v>11</v>
      </c>
      <c r="D398" s="1">
        <v>44708</v>
      </c>
      <c r="E398" t="s">
        <v>1220</v>
      </c>
      <c r="F398" t="s">
        <v>13</v>
      </c>
      <c r="G398" t="s">
        <v>14</v>
      </c>
      <c r="H398" t="s">
        <v>15</v>
      </c>
      <c r="I398" t="s">
        <v>16</v>
      </c>
    </row>
    <row r="399" spans="1:9" x14ac:dyDescent="0.3">
      <c r="A399" t="s">
        <v>1221</v>
      </c>
      <c r="B399" t="s">
        <v>1222</v>
      </c>
      <c r="C399" t="s">
        <v>29</v>
      </c>
      <c r="D399" s="1">
        <v>44708</v>
      </c>
      <c r="E399" t="s">
        <v>1223</v>
      </c>
      <c r="F399" t="s">
        <v>13</v>
      </c>
      <c r="G399" t="s">
        <v>14</v>
      </c>
      <c r="H399" t="s">
        <v>15</v>
      </c>
    </row>
    <row r="400" spans="1:9" x14ac:dyDescent="0.3">
      <c r="A400" t="s">
        <v>1224</v>
      </c>
      <c r="B400" t="s">
        <v>1225</v>
      </c>
      <c r="C400" t="s">
        <v>45</v>
      </c>
      <c r="D400" s="1">
        <v>44708</v>
      </c>
      <c r="E400" t="s">
        <v>1226</v>
      </c>
      <c r="F400" t="s">
        <v>13</v>
      </c>
      <c r="G400" t="s">
        <v>14</v>
      </c>
      <c r="H400" t="s">
        <v>15</v>
      </c>
      <c r="I400" t="s">
        <v>248</v>
      </c>
    </row>
    <row r="401" spans="1:9" x14ac:dyDescent="0.3">
      <c r="A401" t="s">
        <v>1227</v>
      </c>
      <c r="B401" t="s">
        <v>1228</v>
      </c>
      <c r="C401" t="s">
        <v>11</v>
      </c>
      <c r="D401" s="1">
        <v>44709</v>
      </c>
      <c r="E401" t="s">
        <v>1229</v>
      </c>
      <c r="F401" t="s">
        <v>13</v>
      </c>
      <c r="G401" t="s">
        <v>14</v>
      </c>
      <c r="H401" t="s">
        <v>15</v>
      </c>
      <c r="I401" t="s">
        <v>185</v>
      </c>
    </row>
    <row r="402" spans="1:9" x14ac:dyDescent="0.3">
      <c r="A402" t="s">
        <v>1230</v>
      </c>
      <c r="B402" t="s">
        <v>1231</v>
      </c>
      <c r="C402" t="s">
        <v>69</v>
      </c>
      <c r="D402" s="1">
        <v>44709</v>
      </c>
      <c r="E402" t="s">
        <v>1232</v>
      </c>
      <c r="F402" t="s">
        <v>13</v>
      </c>
      <c r="G402" t="s">
        <v>14</v>
      </c>
      <c r="H402" t="s">
        <v>15</v>
      </c>
    </row>
    <row r="403" spans="1:9" x14ac:dyDescent="0.3">
      <c r="A403" t="s">
        <v>1233</v>
      </c>
      <c r="B403" t="s">
        <v>1234</v>
      </c>
      <c r="C403" t="s">
        <v>11</v>
      </c>
      <c r="D403" s="1">
        <v>44710</v>
      </c>
      <c r="E403" t="s">
        <v>1235</v>
      </c>
      <c r="F403" t="s">
        <v>13</v>
      </c>
      <c r="G403" t="s">
        <v>14</v>
      </c>
      <c r="H403" t="s">
        <v>15</v>
      </c>
      <c r="I403" t="s">
        <v>185</v>
      </c>
    </row>
    <row r="404" spans="1:9" x14ac:dyDescent="0.3">
      <c r="A404" t="s">
        <v>1236</v>
      </c>
      <c r="B404" t="s">
        <v>1237</v>
      </c>
      <c r="C404" t="s">
        <v>19</v>
      </c>
      <c r="D404" s="1">
        <v>44710</v>
      </c>
      <c r="E404" t="s">
        <v>1238</v>
      </c>
      <c r="F404" t="s">
        <v>13</v>
      </c>
      <c r="G404" t="s">
        <v>14</v>
      </c>
      <c r="H404" t="s">
        <v>15</v>
      </c>
    </row>
    <row r="405" spans="1:9" x14ac:dyDescent="0.3">
      <c r="A405" t="s">
        <v>1239</v>
      </c>
      <c r="B405" t="s">
        <v>1240</v>
      </c>
      <c r="C405" t="s">
        <v>11</v>
      </c>
      <c r="D405" s="1">
        <v>44710</v>
      </c>
      <c r="E405" t="s">
        <v>1241</v>
      </c>
      <c r="F405" t="s">
        <v>13</v>
      </c>
      <c r="G405" t="s">
        <v>14</v>
      </c>
      <c r="H405" t="s">
        <v>15</v>
      </c>
      <c r="I405" t="s">
        <v>185</v>
      </c>
    </row>
    <row r="406" spans="1:9" x14ac:dyDescent="0.3">
      <c r="A406" t="s">
        <v>1242</v>
      </c>
      <c r="B406" t="s">
        <v>1243</v>
      </c>
      <c r="C406" t="s">
        <v>54</v>
      </c>
      <c r="D406" s="1">
        <v>44710</v>
      </c>
      <c r="E406" t="s">
        <v>1244</v>
      </c>
      <c r="F406" t="s">
        <v>13</v>
      </c>
      <c r="G406" t="s">
        <v>14</v>
      </c>
      <c r="H406" t="s">
        <v>15</v>
      </c>
      <c r="I406" t="s">
        <v>238</v>
      </c>
    </row>
    <row r="407" spans="1:9" x14ac:dyDescent="0.3">
      <c r="A407" t="s">
        <v>1245</v>
      </c>
      <c r="B407" t="s">
        <v>1246</v>
      </c>
      <c r="C407" t="s">
        <v>29</v>
      </c>
      <c r="D407" s="1">
        <v>44711</v>
      </c>
      <c r="E407" t="s">
        <v>1247</v>
      </c>
      <c r="F407" t="s">
        <v>13</v>
      </c>
      <c r="G407" t="s">
        <v>14</v>
      </c>
      <c r="H407" t="s">
        <v>15</v>
      </c>
      <c r="I407" t="s">
        <v>81</v>
      </c>
    </row>
    <row r="408" spans="1:9" x14ac:dyDescent="0.3">
      <c r="A408" t="s">
        <v>1062</v>
      </c>
      <c r="B408" t="s">
        <v>1248</v>
      </c>
      <c r="C408" t="s">
        <v>19</v>
      </c>
      <c r="D408" s="1">
        <v>44711</v>
      </c>
      <c r="E408" t="s">
        <v>1249</v>
      </c>
      <c r="F408" t="s">
        <v>13</v>
      </c>
      <c r="G408" t="s">
        <v>14</v>
      </c>
      <c r="H408" t="s">
        <v>15</v>
      </c>
    </row>
    <row r="409" spans="1:9" x14ac:dyDescent="0.3">
      <c r="A409" t="s">
        <v>1250</v>
      </c>
      <c r="B409" t="s">
        <v>1251</v>
      </c>
      <c r="C409" t="s">
        <v>29</v>
      </c>
      <c r="D409" s="1">
        <v>44711</v>
      </c>
      <c r="E409" t="s">
        <v>1252</v>
      </c>
      <c r="F409" t="s">
        <v>13</v>
      </c>
      <c r="G409" t="s">
        <v>14</v>
      </c>
      <c r="H409" t="s">
        <v>15</v>
      </c>
    </row>
    <row r="410" spans="1:9" x14ac:dyDescent="0.3">
      <c r="A410" t="s">
        <v>1253</v>
      </c>
      <c r="B410" t="s">
        <v>1254</v>
      </c>
      <c r="C410" t="s">
        <v>54</v>
      </c>
      <c r="D410" s="1">
        <v>44711</v>
      </c>
      <c r="E410" t="s">
        <v>1255</v>
      </c>
      <c r="F410" t="s">
        <v>13</v>
      </c>
      <c r="G410" t="s">
        <v>14</v>
      </c>
      <c r="H410" t="s">
        <v>15</v>
      </c>
    </row>
    <row r="411" spans="1:9" x14ac:dyDescent="0.3">
      <c r="A411" t="s">
        <v>1256</v>
      </c>
      <c r="B411" t="s">
        <v>1257</v>
      </c>
      <c r="C411" t="s">
        <v>33</v>
      </c>
      <c r="D411" s="1">
        <v>44712</v>
      </c>
      <c r="E411" t="s">
        <v>1258</v>
      </c>
      <c r="F411" t="s">
        <v>13</v>
      </c>
      <c r="G411" t="s">
        <v>14</v>
      </c>
      <c r="H411" t="s">
        <v>15</v>
      </c>
      <c r="I411" t="s">
        <v>51</v>
      </c>
    </row>
    <row r="412" spans="1:9" x14ac:dyDescent="0.3">
      <c r="A412" t="s">
        <v>1259</v>
      </c>
      <c r="B412" t="s">
        <v>1260</v>
      </c>
      <c r="C412" t="s">
        <v>45</v>
      </c>
      <c r="D412" s="1">
        <v>44713</v>
      </c>
      <c r="E412" t="s">
        <v>1261</v>
      </c>
      <c r="F412" t="s">
        <v>13</v>
      </c>
      <c r="G412" t="s">
        <v>14</v>
      </c>
      <c r="H412" t="s">
        <v>15</v>
      </c>
      <c r="I412" t="s">
        <v>47</v>
      </c>
    </row>
    <row r="413" spans="1:9" x14ac:dyDescent="0.3">
      <c r="A413" t="s">
        <v>1262</v>
      </c>
      <c r="B413" t="s">
        <v>1263</v>
      </c>
      <c r="C413" t="s">
        <v>33</v>
      </c>
      <c r="D413" s="1">
        <v>44713</v>
      </c>
      <c r="E413" t="s">
        <v>1264</v>
      </c>
      <c r="F413" t="s">
        <v>13</v>
      </c>
      <c r="G413" t="s">
        <v>14</v>
      </c>
      <c r="H413" t="s">
        <v>15</v>
      </c>
      <c r="I413" t="s">
        <v>94</v>
      </c>
    </row>
    <row r="414" spans="1:9" x14ac:dyDescent="0.3">
      <c r="A414" t="s">
        <v>1265</v>
      </c>
      <c r="B414" t="s">
        <v>1266</v>
      </c>
      <c r="C414" t="s">
        <v>54</v>
      </c>
      <c r="D414" s="1">
        <v>44713</v>
      </c>
      <c r="E414" t="s">
        <v>1267</v>
      </c>
      <c r="F414" t="s">
        <v>13</v>
      </c>
      <c r="G414" t="s">
        <v>14</v>
      </c>
      <c r="H414" t="s">
        <v>15</v>
      </c>
      <c r="I414" t="s">
        <v>238</v>
      </c>
    </row>
    <row r="415" spans="1:9" x14ac:dyDescent="0.3">
      <c r="A415" t="s">
        <v>1268</v>
      </c>
      <c r="B415" t="s">
        <v>1269</v>
      </c>
      <c r="C415" t="s">
        <v>54</v>
      </c>
      <c r="D415" s="1">
        <v>44714</v>
      </c>
      <c r="E415" t="s">
        <v>1270</v>
      </c>
      <c r="F415" t="s">
        <v>13</v>
      </c>
      <c r="G415" t="s">
        <v>14</v>
      </c>
      <c r="H415" t="s">
        <v>15</v>
      </c>
      <c r="I415" t="s">
        <v>181</v>
      </c>
    </row>
    <row r="416" spans="1:9" x14ac:dyDescent="0.3">
      <c r="A416" t="s">
        <v>1271</v>
      </c>
      <c r="B416" t="s">
        <v>1272</v>
      </c>
      <c r="C416" t="s">
        <v>11</v>
      </c>
      <c r="D416" s="1">
        <v>44714</v>
      </c>
      <c r="E416" t="s">
        <v>1273</v>
      </c>
      <c r="F416" t="s">
        <v>13</v>
      </c>
      <c r="G416" t="s">
        <v>14</v>
      </c>
      <c r="H416" t="s">
        <v>15</v>
      </c>
      <c r="I416" t="s">
        <v>16</v>
      </c>
    </row>
    <row r="417" spans="1:9" x14ac:dyDescent="0.3">
      <c r="A417" t="s">
        <v>1274</v>
      </c>
      <c r="B417" t="s">
        <v>1275</v>
      </c>
      <c r="C417" t="s">
        <v>33</v>
      </c>
      <c r="D417" s="1">
        <v>44714</v>
      </c>
      <c r="E417" t="s">
        <v>1276</v>
      </c>
      <c r="F417" t="s">
        <v>13</v>
      </c>
      <c r="G417" t="s">
        <v>14</v>
      </c>
      <c r="H417" t="s">
        <v>15</v>
      </c>
      <c r="I417" t="s">
        <v>51</v>
      </c>
    </row>
    <row r="418" spans="1:9" x14ac:dyDescent="0.3">
      <c r="A418" t="s">
        <v>1277</v>
      </c>
      <c r="B418" t="s">
        <v>1278</v>
      </c>
      <c r="C418" t="s">
        <v>33</v>
      </c>
      <c r="D418" s="1">
        <v>44715</v>
      </c>
      <c r="E418" t="s">
        <v>1279</v>
      </c>
      <c r="F418" t="s">
        <v>13</v>
      </c>
      <c r="G418" t="s">
        <v>14</v>
      </c>
      <c r="H418" t="s">
        <v>15</v>
      </c>
    </row>
    <row r="419" spans="1:9" x14ac:dyDescent="0.3">
      <c r="A419" t="s">
        <v>812</v>
      </c>
      <c r="B419" t="s">
        <v>1280</v>
      </c>
      <c r="C419" t="s">
        <v>19</v>
      </c>
      <c r="D419" s="1">
        <v>44715</v>
      </c>
      <c r="E419" t="s">
        <v>1281</v>
      </c>
      <c r="F419" t="s">
        <v>13</v>
      </c>
      <c r="G419" t="s">
        <v>14</v>
      </c>
      <c r="H419" t="s">
        <v>15</v>
      </c>
      <c r="I419" t="s">
        <v>21</v>
      </c>
    </row>
    <row r="420" spans="1:9" x14ac:dyDescent="0.3">
      <c r="A420" t="s">
        <v>1282</v>
      </c>
      <c r="B420" t="s">
        <v>1283</v>
      </c>
      <c r="C420" t="s">
        <v>69</v>
      </c>
      <c r="D420" s="1">
        <v>44715</v>
      </c>
      <c r="E420" t="s">
        <v>1284</v>
      </c>
      <c r="F420" t="s">
        <v>13</v>
      </c>
      <c r="G420" t="s">
        <v>14</v>
      </c>
      <c r="H420" t="s">
        <v>15</v>
      </c>
      <c r="I420" t="s">
        <v>71</v>
      </c>
    </row>
    <row r="421" spans="1:9" x14ac:dyDescent="0.3">
      <c r="A421" t="s">
        <v>1285</v>
      </c>
      <c r="B421" t="s">
        <v>1286</v>
      </c>
      <c r="C421" t="s">
        <v>33</v>
      </c>
      <c r="D421" s="1">
        <v>44716</v>
      </c>
      <c r="E421" t="s">
        <v>1287</v>
      </c>
      <c r="F421" t="s">
        <v>13</v>
      </c>
      <c r="G421" t="s">
        <v>14</v>
      </c>
      <c r="H421" t="s">
        <v>15</v>
      </c>
      <c r="I421" t="s">
        <v>94</v>
      </c>
    </row>
    <row r="422" spans="1:9" x14ac:dyDescent="0.3">
      <c r="A422" t="s">
        <v>1288</v>
      </c>
      <c r="B422" t="s">
        <v>1289</v>
      </c>
      <c r="C422" t="s">
        <v>11</v>
      </c>
      <c r="D422" s="1">
        <v>44716</v>
      </c>
      <c r="E422" t="s">
        <v>1290</v>
      </c>
      <c r="F422" t="s">
        <v>13</v>
      </c>
      <c r="G422" t="s">
        <v>14</v>
      </c>
      <c r="H422" t="s">
        <v>15</v>
      </c>
      <c r="I422" t="s">
        <v>38</v>
      </c>
    </row>
    <row r="423" spans="1:9" x14ac:dyDescent="0.3">
      <c r="A423" t="s">
        <v>1291</v>
      </c>
      <c r="B423" t="s">
        <v>1292</v>
      </c>
      <c r="C423" t="s">
        <v>69</v>
      </c>
      <c r="D423" s="1">
        <v>44716</v>
      </c>
      <c r="E423" t="s">
        <v>1293</v>
      </c>
      <c r="F423" t="s">
        <v>13</v>
      </c>
      <c r="G423" t="s">
        <v>14</v>
      </c>
      <c r="H423" t="s">
        <v>15</v>
      </c>
      <c r="I423" t="s">
        <v>71</v>
      </c>
    </row>
    <row r="424" spans="1:9" x14ac:dyDescent="0.3">
      <c r="A424" t="s">
        <v>1294</v>
      </c>
      <c r="B424" t="s">
        <v>1295</v>
      </c>
      <c r="C424" t="s">
        <v>19</v>
      </c>
      <c r="D424" s="1">
        <v>44716</v>
      </c>
      <c r="E424" t="s">
        <v>1296</v>
      </c>
      <c r="F424" t="s">
        <v>13</v>
      </c>
      <c r="G424" t="s">
        <v>14</v>
      </c>
      <c r="H424" t="s">
        <v>15</v>
      </c>
      <c r="I424" t="s">
        <v>21</v>
      </c>
    </row>
    <row r="425" spans="1:9" x14ac:dyDescent="0.3">
      <c r="A425" t="s">
        <v>1297</v>
      </c>
      <c r="B425" t="s">
        <v>1298</v>
      </c>
      <c r="C425" t="s">
        <v>24</v>
      </c>
      <c r="D425" s="1">
        <v>44717</v>
      </c>
      <c r="E425" t="s">
        <v>1299</v>
      </c>
      <c r="F425" t="s">
        <v>13</v>
      </c>
      <c r="G425" t="s">
        <v>14</v>
      </c>
      <c r="H425" t="s">
        <v>15</v>
      </c>
      <c r="I425" t="s">
        <v>59</v>
      </c>
    </row>
    <row r="426" spans="1:9" x14ac:dyDescent="0.3">
      <c r="A426" t="s">
        <v>1300</v>
      </c>
      <c r="B426" t="s">
        <v>1301</v>
      </c>
      <c r="C426" t="s">
        <v>45</v>
      </c>
      <c r="D426" s="1">
        <v>44718</v>
      </c>
      <c r="E426" t="s">
        <v>1302</v>
      </c>
      <c r="F426" t="s">
        <v>13</v>
      </c>
      <c r="G426" t="s">
        <v>14</v>
      </c>
      <c r="H426" t="s">
        <v>15</v>
      </c>
      <c r="I426" t="s">
        <v>248</v>
      </c>
    </row>
    <row r="427" spans="1:9" x14ac:dyDescent="0.3">
      <c r="A427" t="s">
        <v>1303</v>
      </c>
      <c r="B427" t="s">
        <v>1304</v>
      </c>
      <c r="C427" t="s">
        <v>19</v>
      </c>
      <c r="D427" s="1">
        <v>44718</v>
      </c>
      <c r="E427" t="s">
        <v>1305</v>
      </c>
      <c r="F427" t="s">
        <v>13</v>
      </c>
      <c r="G427" t="s">
        <v>174</v>
      </c>
      <c r="H427" t="s">
        <v>15</v>
      </c>
      <c r="I427" t="s">
        <v>116</v>
      </c>
    </row>
    <row r="428" spans="1:9" x14ac:dyDescent="0.3">
      <c r="A428" t="s">
        <v>1306</v>
      </c>
      <c r="B428" t="s">
        <v>1307</v>
      </c>
      <c r="C428" t="s">
        <v>45</v>
      </c>
      <c r="D428" s="1">
        <v>44718</v>
      </c>
      <c r="E428" t="s">
        <v>1308</v>
      </c>
      <c r="F428" t="s">
        <v>13</v>
      </c>
      <c r="G428" t="s">
        <v>14</v>
      </c>
      <c r="H428" t="s">
        <v>15</v>
      </c>
      <c r="I428" t="s">
        <v>248</v>
      </c>
    </row>
    <row r="429" spans="1:9" x14ac:dyDescent="0.3">
      <c r="A429" t="s">
        <v>1309</v>
      </c>
      <c r="B429" t="s">
        <v>1310</v>
      </c>
      <c r="C429" t="s">
        <v>33</v>
      </c>
      <c r="D429" s="1">
        <v>44718</v>
      </c>
      <c r="E429" t="s">
        <v>1311</v>
      </c>
      <c r="F429" t="s">
        <v>13</v>
      </c>
      <c r="G429" t="s">
        <v>14</v>
      </c>
      <c r="H429" t="s">
        <v>15</v>
      </c>
      <c r="I429" t="s">
        <v>94</v>
      </c>
    </row>
    <row r="430" spans="1:9" x14ac:dyDescent="0.3">
      <c r="A430" t="s">
        <v>1312</v>
      </c>
      <c r="B430" t="s">
        <v>1313</v>
      </c>
      <c r="C430" t="s">
        <v>54</v>
      </c>
      <c r="D430" s="1">
        <v>44718</v>
      </c>
      <c r="E430" t="s">
        <v>1314</v>
      </c>
      <c r="F430" t="s">
        <v>13</v>
      </c>
      <c r="G430" t="s">
        <v>14</v>
      </c>
      <c r="H430" t="s">
        <v>15</v>
      </c>
      <c r="I430" t="s">
        <v>238</v>
      </c>
    </row>
    <row r="431" spans="1:9" x14ac:dyDescent="0.3">
      <c r="A431" t="s">
        <v>1315</v>
      </c>
      <c r="B431" t="s">
        <v>1316</v>
      </c>
      <c r="C431" t="s">
        <v>19</v>
      </c>
      <c r="D431" s="1">
        <v>44719</v>
      </c>
      <c r="E431" t="s">
        <v>1317</v>
      </c>
      <c r="F431" t="s">
        <v>13</v>
      </c>
      <c r="G431" t="s">
        <v>14</v>
      </c>
      <c r="H431" t="s">
        <v>15</v>
      </c>
    </row>
    <row r="432" spans="1:9" x14ac:dyDescent="0.3">
      <c r="A432" t="s">
        <v>1318</v>
      </c>
      <c r="B432" t="s">
        <v>1319</v>
      </c>
      <c r="C432" t="s">
        <v>19</v>
      </c>
      <c r="D432" s="1">
        <v>44720</v>
      </c>
      <c r="E432" t="s">
        <v>1320</v>
      </c>
      <c r="F432" t="s">
        <v>13</v>
      </c>
      <c r="G432" t="s">
        <v>14</v>
      </c>
      <c r="H432" t="s">
        <v>15</v>
      </c>
    </row>
    <row r="433" spans="1:9" x14ac:dyDescent="0.3">
      <c r="A433" t="s">
        <v>1321</v>
      </c>
      <c r="B433" t="s">
        <v>1322</v>
      </c>
      <c r="C433" t="s">
        <v>11</v>
      </c>
      <c r="D433" s="1">
        <v>44720</v>
      </c>
      <c r="E433" t="s">
        <v>1323</v>
      </c>
      <c r="F433" t="s">
        <v>13</v>
      </c>
      <c r="G433" t="s">
        <v>14</v>
      </c>
      <c r="H433" t="s">
        <v>15</v>
      </c>
      <c r="I433" t="s">
        <v>38</v>
      </c>
    </row>
    <row r="434" spans="1:9" x14ac:dyDescent="0.3">
      <c r="A434" t="s">
        <v>1324</v>
      </c>
      <c r="B434" t="s">
        <v>1325</v>
      </c>
      <c r="C434" t="s">
        <v>45</v>
      </c>
      <c r="D434" s="1">
        <v>44722</v>
      </c>
      <c r="E434" t="s">
        <v>1326</v>
      </c>
      <c r="F434" t="s">
        <v>13</v>
      </c>
      <c r="G434" t="s">
        <v>14</v>
      </c>
      <c r="H434" t="s">
        <v>15</v>
      </c>
      <c r="I434" t="s">
        <v>248</v>
      </c>
    </row>
    <row r="435" spans="1:9" x14ac:dyDescent="0.3">
      <c r="A435" t="s">
        <v>1327</v>
      </c>
      <c r="B435" t="s">
        <v>1328</v>
      </c>
      <c r="C435" t="s">
        <v>33</v>
      </c>
      <c r="D435" s="1">
        <v>44722</v>
      </c>
      <c r="E435" t="s">
        <v>1329</v>
      </c>
      <c r="F435" t="s">
        <v>13</v>
      </c>
      <c r="G435" t="s">
        <v>14</v>
      </c>
      <c r="H435" t="s">
        <v>15</v>
      </c>
      <c r="I435" t="s">
        <v>94</v>
      </c>
    </row>
    <row r="436" spans="1:9" x14ac:dyDescent="0.3">
      <c r="A436" t="s">
        <v>1330</v>
      </c>
      <c r="B436" t="s">
        <v>1331</v>
      </c>
      <c r="C436" t="s">
        <v>24</v>
      </c>
      <c r="D436" s="1">
        <v>44722</v>
      </c>
      <c r="E436" t="s">
        <v>1332</v>
      </c>
      <c r="F436" t="s">
        <v>13</v>
      </c>
      <c r="G436" t="s">
        <v>14</v>
      </c>
      <c r="H436" t="s">
        <v>15</v>
      </c>
    </row>
    <row r="437" spans="1:9" x14ac:dyDescent="0.3">
      <c r="A437" t="s">
        <v>1333</v>
      </c>
      <c r="B437" t="s">
        <v>1334</v>
      </c>
      <c r="C437" t="s">
        <v>29</v>
      </c>
      <c r="D437" s="1">
        <v>44723</v>
      </c>
      <c r="E437" t="s">
        <v>1335</v>
      </c>
      <c r="F437" t="s">
        <v>13</v>
      </c>
      <c r="G437" t="s">
        <v>14</v>
      </c>
      <c r="H437" t="s">
        <v>15</v>
      </c>
    </row>
    <row r="438" spans="1:9" x14ac:dyDescent="0.3">
      <c r="A438" t="s">
        <v>1336</v>
      </c>
      <c r="B438" t="s">
        <v>1337</v>
      </c>
      <c r="C438" t="s">
        <v>24</v>
      </c>
      <c r="D438" s="1">
        <v>44723</v>
      </c>
      <c r="E438" t="s">
        <v>1338</v>
      </c>
      <c r="F438" t="s">
        <v>13</v>
      </c>
      <c r="G438" t="s">
        <v>14</v>
      </c>
      <c r="H438" t="s">
        <v>15</v>
      </c>
      <c r="I438" t="s">
        <v>59</v>
      </c>
    </row>
    <row r="439" spans="1:9" x14ac:dyDescent="0.3">
      <c r="A439" t="s">
        <v>1339</v>
      </c>
      <c r="B439" t="s">
        <v>1340</v>
      </c>
      <c r="C439" t="s">
        <v>29</v>
      </c>
      <c r="D439" s="1">
        <v>44723</v>
      </c>
      <c r="E439" t="s">
        <v>1341</v>
      </c>
      <c r="F439" t="s">
        <v>13</v>
      </c>
      <c r="G439" t="s">
        <v>14</v>
      </c>
      <c r="H439" t="s">
        <v>15</v>
      </c>
      <c r="I439" t="s">
        <v>42</v>
      </c>
    </row>
    <row r="440" spans="1:9" x14ac:dyDescent="0.3">
      <c r="A440" t="s">
        <v>123</v>
      </c>
      <c r="B440" t="s">
        <v>1342</v>
      </c>
      <c r="C440" t="s">
        <v>19</v>
      </c>
      <c r="D440" s="1">
        <v>44723</v>
      </c>
      <c r="E440" t="s">
        <v>1343</v>
      </c>
      <c r="F440" t="s">
        <v>13</v>
      </c>
      <c r="G440" t="s">
        <v>174</v>
      </c>
      <c r="H440" t="s">
        <v>15</v>
      </c>
      <c r="I440" t="s">
        <v>116</v>
      </c>
    </row>
    <row r="441" spans="1:9" x14ac:dyDescent="0.3">
      <c r="A441" t="s">
        <v>1344</v>
      </c>
      <c r="B441" t="s">
        <v>1345</v>
      </c>
      <c r="C441" t="s">
        <v>11</v>
      </c>
      <c r="D441" s="1">
        <v>44724</v>
      </c>
      <c r="E441" t="s">
        <v>1346</v>
      </c>
      <c r="F441" t="s">
        <v>13</v>
      </c>
      <c r="G441" t="s">
        <v>14</v>
      </c>
      <c r="H441" t="s">
        <v>15</v>
      </c>
    </row>
    <row r="442" spans="1:9" x14ac:dyDescent="0.3">
      <c r="A442" t="s">
        <v>1347</v>
      </c>
      <c r="B442" t="s">
        <v>1348</v>
      </c>
      <c r="C442" t="s">
        <v>54</v>
      </c>
      <c r="D442" s="1">
        <v>44725</v>
      </c>
      <c r="E442" t="s">
        <v>1349</v>
      </c>
      <c r="F442" t="s">
        <v>13</v>
      </c>
      <c r="G442" t="s">
        <v>14</v>
      </c>
      <c r="H442" t="s">
        <v>15</v>
      </c>
    </row>
    <row r="443" spans="1:9" x14ac:dyDescent="0.3">
      <c r="A443" t="s">
        <v>1350</v>
      </c>
      <c r="B443" t="s">
        <v>1351</v>
      </c>
      <c r="C443" t="s">
        <v>24</v>
      </c>
      <c r="D443" s="1">
        <v>44725</v>
      </c>
      <c r="E443" t="s">
        <v>1352</v>
      </c>
      <c r="F443" t="s">
        <v>13</v>
      </c>
      <c r="G443" t="s">
        <v>14</v>
      </c>
      <c r="H443" t="s">
        <v>15</v>
      </c>
      <c r="I443" t="s">
        <v>59</v>
      </c>
    </row>
    <row r="444" spans="1:9" x14ac:dyDescent="0.3">
      <c r="A444" t="s">
        <v>1353</v>
      </c>
      <c r="B444" t="s">
        <v>1354</v>
      </c>
      <c r="C444" t="s">
        <v>45</v>
      </c>
      <c r="D444" s="1">
        <v>44726</v>
      </c>
      <c r="E444" t="s">
        <v>1355</v>
      </c>
      <c r="F444" t="s">
        <v>13</v>
      </c>
      <c r="G444" t="s">
        <v>14</v>
      </c>
      <c r="H444" t="s">
        <v>15</v>
      </c>
    </row>
    <row r="445" spans="1:9" x14ac:dyDescent="0.3">
      <c r="A445" t="s">
        <v>1356</v>
      </c>
      <c r="B445" t="s">
        <v>1357</v>
      </c>
      <c r="C445" t="s">
        <v>11</v>
      </c>
      <c r="D445" s="1">
        <v>44726</v>
      </c>
      <c r="E445" t="s">
        <v>1358</v>
      </c>
      <c r="F445" t="s">
        <v>13</v>
      </c>
      <c r="G445" t="s">
        <v>174</v>
      </c>
      <c r="H445" t="s">
        <v>15</v>
      </c>
      <c r="I445" t="s">
        <v>38</v>
      </c>
    </row>
    <row r="446" spans="1:9" x14ac:dyDescent="0.3">
      <c r="A446" t="s">
        <v>1359</v>
      </c>
      <c r="B446" t="s">
        <v>1360</v>
      </c>
      <c r="C446" t="s">
        <v>69</v>
      </c>
      <c r="D446" s="1">
        <v>44726</v>
      </c>
      <c r="E446" t="s">
        <v>1361</v>
      </c>
      <c r="F446" t="s">
        <v>13</v>
      </c>
      <c r="G446" t="s">
        <v>14</v>
      </c>
      <c r="H446" t="s">
        <v>15</v>
      </c>
      <c r="I446" t="s">
        <v>71</v>
      </c>
    </row>
    <row r="447" spans="1:9" x14ac:dyDescent="0.3">
      <c r="A447" t="s">
        <v>1362</v>
      </c>
      <c r="B447" t="s">
        <v>1363</v>
      </c>
      <c r="C447" t="s">
        <v>19</v>
      </c>
      <c r="D447" s="1">
        <v>44727</v>
      </c>
      <c r="E447" t="s">
        <v>1364</v>
      </c>
      <c r="F447" t="s">
        <v>13</v>
      </c>
      <c r="G447" t="s">
        <v>14</v>
      </c>
      <c r="H447" t="s">
        <v>15</v>
      </c>
      <c r="I447" t="s">
        <v>21</v>
      </c>
    </row>
    <row r="448" spans="1:9" x14ac:dyDescent="0.3">
      <c r="A448" t="s">
        <v>1365</v>
      </c>
      <c r="B448" t="s">
        <v>1366</v>
      </c>
      <c r="C448" t="s">
        <v>29</v>
      </c>
      <c r="D448" s="1">
        <v>44727</v>
      </c>
      <c r="E448" t="s">
        <v>1367</v>
      </c>
      <c r="F448" t="s">
        <v>13</v>
      </c>
      <c r="G448" t="s">
        <v>14</v>
      </c>
      <c r="H448" t="s">
        <v>15</v>
      </c>
      <c r="I448" t="s">
        <v>204</v>
      </c>
    </row>
    <row r="449" spans="1:9" x14ac:dyDescent="0.3">
      <c r="A449" t="s">
        <v>1368</v>
      </c>
      <c r="B449" t="s">
        <v>1369</v>
      </c>
      <c r="C449" t="s">
        <v>19</v>
      </c>
      <c r="D449" s="1">
        <v>44727</v>
      </c>
      <c r="E449" t="s">
        <v>1370</v>
      </c>
      <c r="F449" t="s">
        <v>13</v>
      </c>
      <c r="G449" t="s">
        <v>14</v>
      </c>
      <c r="H449" t="s">
        <v>15</v>
      </c>
    </row>
    <row r="450" spans="1:9" x14ac:dyDescent="0.3">
      <c r="A450" t="s">
        <v>886</v>
      </c>
      <c r="B450" t="s">
        <v>1371</v>
      </c>
      <c r="C450" t="s">
        <v>19</v>
      </c>
      <c r="D450" s="1">
        <v>44728</v>
      </c>
      <c r="E450" t="s">
        <v>1372</v>
      </c>
      <c r="F450" t="s">
        <v>13</v>
      </c>
      <c r="G450" t="s">
        <v>174</v>
      </c>
      <c r="H450" t="s">
        <v>15</v>
      </c>
      <c r="I450" t="s">
        <v>21</v>
      </c>
    </row>
    <row r="451" spans="1:9" x14ac:dyDescent="0.3">
      <c r="A451" t="s">
        <v>1373</v>
      </c>
      <c r="B451" t="s">
        <v>1374</v>
      </c>
      <c r="C451" t="s">
        <v>45</v>
      </c>
      <c r="D451" s="1">
        <v>44728</v>
      </c>
      <c r="E451" t="s">
        <v>1375</v>
      </c>
      <c r="F451" t="s">
        <v>13</v>
      </c>
      <c r="G451" t="s">
        <v>14</v>
      </c>
      <c r="H451" t="s">
        <v>15</v>
      </c>
      <c r="I451" t="s">
        <v>47</v>
      </c>
    </row>
    <row r="452" spans="1:9" x14ac:dyDescent="0.3">
      <c r="A452" t="s">
        <v>1376</v>
      </c>
      <c r="B452" t="s">
        <v>1377</v>
      </c>
      <c r="C452" t="s">
        <v>11</v>
      </c>
      <c r="D452" s="1">
        <v>44728</v>
      </c>
      <c r="E452" t="s">
        <v>1378</v>
      </c>
      <c r="F452" t="s">
        <v>13</v>
      </c>
      <c r="G452" t="s">
        <v>14</v>
      </c>
      <c r="H452" t="s">
        <v>15</v>
      </c>
      <c r="I452" t="s">
        <v>185</v>
      </c>
    </row>
    <row r="453" spans="1:9" x14ac:dyDescent="0.3">
      <c r="A453" t="s">
        <v>1379</v>
      </c>
      <c r="B453" t="s">
        <v>1380</v>
      </c>
      <c r="C453" t="s">
        <v>24</v>
      </c>
      <c r="D453" s="1">
        <v>44728</v>
      </c>
      <c r="E453" t="s">
        <v>1381</v>
      </c>
      <c r="F453" t="s">
        <v>13</v>
      </c>
      <c r="G453" t="s">
        <v>14</v>
      </c>
      <c r="H453" t="s">
        <v>15</v>
      </c>
      <c r="I453" t="s">
        <v>59</v>
      </c>
    </row>
    <row r="454" spans="1:9" x14ac:dyDescent="0.3">
      <c r="A454" t="s">
        <v>1382</v>
      </c>
      <c r="B454" t="s">
        <v>1383</v>
      </c>
      <c r="C454" t="s">
        <v>11</v>
      </c>
      <c r="D454" s="1">
        <v>44729</v>
      </c>
      <c r="E454" t="s">
        <v>1384</v>
      </c>
      <c r="F454" t="s">
        <v>13</v>
      </c>
      <c r="G454" t="s">
        <v>14</v>
      </c>
      <c r="H454" t="s">
        <v>15</v>
      </c>
    </row>
    <row r="455" spans="1:9" x14ac:dyDescent="0.3">
      <c r="A455" t="s">
        <v>1385</v>
      </c>
      <c r="B455" t="s">
        <v>1386</v>
      </c>
      <c r="C455" t="s">
        <v>11</v>
      </c>
      <c r="D455" s="1">
        <v>44729</v>
      </c>
      <c r="E455" t="s">
        <v>1387</v>
      </c>
      <c r="F455" t="s">
        <v>13</v>
      </c>
      <c r="G455" t="s">
        <v>14</v>
      </c>
      <c r="H455" t="s">
        <v>15</v>
      </c>
      <c r="I455" t="s">
        <v>16</v>
      </c>
    </row>
    <row r="456" spans="1:9" x14ac:dyDescent="0.3">
      <c r="A456" t="s">
        <v>868</v>
      </c>
      <c r="B456" t="s">
        <v>1388</v>
      </c>
      <c r="C456" t="s">
        <v>19</v>
      </c>
      <c r="D456" s="1">
        <v>44729</v>
      </c>
      <c r="E456" t="s">
        <v>1389</v>
      </c>
      <c r="F456" t="s">
        <v>13</v>
      </c>
      <c r="G456" t="s">
        <v>14</v>
      </c>
      <c r="H456" t="s">
        <v>15</v>
      </c>
      <c r="I456" t="s">
        <v>21</v>
      </c>
    </row>
    <row r="457" spans="1:9" x14ac:dyDescent="0.3">
      <c r="A457" t="s">
        <v>1390</v>
      </c>
      <c r="B457" t="s">
        <v>1391</v>
      </c>
      <c r="C457" t="s">
        <v>11</v>
      </c>
      <c r="D457" s="1">
        <v>44729</v>
      </c>
      <c r="E457" t="s">
        <v>1392</v>
      </c>
      <c r="F457" t="s">
        <v>13</v>
      </c>
      <c r="G457" t="s">
        <v>14</v>
      </c>
      <c r="H457" t="s">
        <v>15</v>
      </c>
      <c r="I457" t="s">
        <v>185</v>
      </c>
    </row>
    <row r="458" spans="1:9" x14ac:dyDescent="0.3">
      <c r="A458" t="s">
        <v>1393</v>
      </c>
      <c r="B458" t="s">
        <v>1394</v>
      </c>
      <c r="C458" t="s">
        <v>69</v>
      </c>
      <c r="D458" s="1">
        <v>44729</v>
      </c>
      <c r="E458" t="s">
        <v>1395</v>
      </c>
      <c r="F458" t="s">
        <v>13</v>
      </c>
      <c r="G458" t="s">
        <v>14</v>
      </c>
      <c r="H458" t="s">
        <v>15</v>
      </c>
      <c r="I458" t="s">
        <v>71</v>
      </c>
    </row>
    <row r="459" spans="1:9" x14ac:dyDescent="0.3">
      <c r="A459" t="s">
        <v>1396</v>
      </c>
      <c r="B459" t="s">
        <v>1397</v>
      </c>
      <c r="C459" t="s">
        <v>19</v>
      </c>
      <c r="D459" s="1">
        <v>44729</v>
      </c>
      <c r="E459" t="s">
        <v>1398</v>
      </c>
      <c r="F459" t="s">
        <v>13</v>
      </c>
      <c r="G459" t="s">
        <v>14</v>
      </c>
      <c r="H459" t="s">
        <v>15</v>
      </c>
      <c r="I459" t="s">
        <v>21</v>
      </c>
    </row>
    <row r="460" spans="1:9" x14ac:dyDescent="0.3">
      <c r="A460" t="s">
        <v>1399</v>
      </c>
      <c r="B460" t="s">
        <v>1400</v>
      </c>
      <c r="C460" t="s">
        <v>24</v>
      </c>
      <c r="D460" s="1">
        <v>44730</v>
      </c>
      <c r="E460" t="s">
        <v>1401</v>
      </c>
      <c r="F460" t="s">
        <v>13</v>
      </c>
      <c r="G460" t="s">
        <v>14</v>
      </c>
      <c r="H460" t="s">
        <v>15</v>
      </c>
      <c r="I460" t="s">
        <v>59</v>
      </c>
    </row>
    <row r="461" spans="1:9" x14ac:dyDescent="0.3">
      <c r="A461" t="s">
        <v>1402</v>
      </c>
      <c r="B461" t="s">
        <v>1403</v>
      </c>
      <c r="C461" t="s">
        <v>54</v>
      </c>
      <c r="D461" s="1">
        <v>44730</v>
      </c>
      <c r="E461" t="s">
        <v>1404</v>
      </c>
      <c r="F461" t="s">
        <v>13</v>
      </c>
      <c r="G461" t="s">
        <v>14</v>
      </c>
      <c r="H461" t="s">
        <v>15</v>
      </c>
      <c r="I461" t="s">
        <v>181</v>
      </c>
    </row>
    <row r="462" spans="1:9" x14ac:dyDescent="0.3">
      <c r="A462" t="s">
        <v>1405</v>
      </c>
      <c r="B462" t="s">
        <v>1406</v>
      </c>
      <c r="C462" t="s">
        <v>54</v>
      </c>
      <c r="D462" s="1">
        <v>44730</v>
      </c>
      <c r="E462" t="s">
        <v>1407</v>
      </c>
      <c r="F462" t="s">
        <v>13</v>
      </c>
      <c r="G462" t="s">
        <v>14</v>
      </c>
      <c r="H462" t="s">
        <v>15</v>
      </c>
    </row>
    <row r="463" spans="1:9" x14ac:dyDescent="0.3">
      <c r="A463" t="s">
        <v>1408</v>
      </c>
      <c r="B463" t="s">
        <v>1409</v>
      </c>
      <c r="C463" t="s">
        <v>45</v>
      </c>
      <c r="D463" s="1">
        <v>44731</v>
      </c>
      <c r="E463" t="s">
        <v>1410</v>
      </c>
      <c r="F463" t="s">
        <v>13</v>
      </c>
      <c r="G463" t="s">
        <v>14</v>
      </c>
      <c r="H463" t="s">
        <v>15</v>
      </c>
      <c r="I463" t="s">
        <v>248</v>
      </c>
    </row>
    <row r="464" spans="1:9" x14ac:dyDescent="0.3">
      <c r="A464" t="s">
        <v>1411</v>
      </c>
      <c r="B464" t="s">
        <v>1412</v>
      </c>
      <c r="C464" t="s">
        <v>69</v>
      </c>
      <c r="D464" s="1">
        <v>44732</v>
      </c>
      <c r="E464" t="s">
        <v>1413</v>
      </c>
      <c r="F464" t="s">
        <v>13</v>
      </c>
      <c r="G464" t="s">
        <v>14</v>
      </c>
      <c r="H464" t="s">
        <v>15</v>
      </c>
    </row>
    <row r="465" spans="1:9" x14ac:dyDescent="0.3">
      <c r="A465" t="s">
        <v>17</v>
      </c>
      <c r="B465" t="s">
        <v>1414</v>
      </c>
      <c r="C465" t="s">
        <v>19</v>
      </c>
      <c r="D465" s="1">
        <v>44732</v>
      </c>
      <c r="E465" t="s">
        <v>1415</v>
      </c>
      <c r="F465" t="s">
        <v>13</v>
      </c>
      <c r="G465" t="s">
        <v>174</v>
      </c>
      <c r="H465" t="s">
        <v>15</v>
      </c>
      <c r="I465" t="s">
        <v>116</v>
      </c>
    </row>
    <row r="466" spans="1:9" x14ac:dyDescent="0.3">
      <c r="A466" t="s">
        <v>1416</v>
      </c>
      <c r="B466" t="s">
        <v>1417</v>
      </c>
      <c r="C466" t="s">
        <v>45</v>
      </c>
      <c r="D466" s="1">
        <v>44732</v>
      </c>
      <c r="E466" t="s">
        <v>1418</v>
      </c>
      <c r="F466" t="s">
        <v>13</v>
      </c>
      <c r="G466" t="s">
        <v>14</v>
      </c>
      <c r="H466" t="s">
        <v>15</v>
      </c>
      <c r="I466" t="s">
        <v>248</v>
      </c>
    </row>
    <row r="467" spans="1:9" x14ac:dyDescent="0.3">
      <c r="A467" t="s">
        <v>1419</v>
      </c>
      <c r="B467" t="s">
        <v>1420</v>
      </c>
      <c r="C467" t="s">
        <v>11</v>
      </c>
      <c r="D467" s="1">
        <v>44732</v>
      </c>
      <c r="E467" t="s">
        <v>1421</v>
      </c>
      <c r="F467" t="s">
        <v>13</v>
      </c>
      <c r="G467" t="s">
        <v>14</v>
      </c>
      <c r="H467" t="s">
        <v>15</v>
      </c>
      <c r="I467" t="s">
        <v>185</v>
      </c>
    </row>
    <row r="468" spans="1:9" x14ac:dyDescent="0.3">
      <c r="A468" t="s">
        <v>1422</v>
      </c>
      <c r="B468" t="s">
        <v>1423</v>
      </c>
      <c r="C468" t="s">
        <v>33</v>
      </c>
      <c r="D468" s="1">
        <v>44732</v>
      </c>
      <c r="E468" t="s">
        <v>1424</v>
      </c>
      <c r="F468" t="s">
        <v>13</v>
      </c>
      <c r="G468" t="s">
        <v>14</v>
      </c>
      <c r="H468" t="s">
        <v>15</v>
      </c>
      <c r="I468" t="s">
        <v>94</v>
      </c>
    </row>
    <row r="469" spans="1:9" x14ac:dyDescent="0.3">
      <c r="A469" t="s">
        <v>1425</v>
      </c>
      <c r="B469" t="s">
        <v>1426</v>
      </c>
      <c r="C469" t="s">
        <v>24</v>
      </c>
      <c r="D469" s="1">
        <v>44733</v>
      </c>
      <c r="E469" t="s">
        <v>1427</v>
      </c>
      <c r="F469" t="s">
        <v>13</v>
      </c>
      <c r="G469" t="s">
        <v>14</v>
      </c>
      <c r="H469" t="s">
        <v>15</v>
      </c>
    </row>
    <row r="470" spans="1:9" x14ac:dyDescent="0.3">
      <c r="A470" t="s">
        <v>1428</v>
      </c>
      <c r="B470" t="s">
        <v>1429</v>
      </c>
      <c r="C470" t="s">
        <v>54</v>
      </c>
      <c r="D470" s="1">
        <v>44733</v>
      </c>
      <c r="E470" t="s">
        <v>1430</v>
      </c>
      <c r="F470" t="s">
        <v>13</v>
      </c>
      <c r="G470" t="s">
        <v>14</v>
      </c>
      <c r="H470" t="s">
        <v>15</v>
      </c>
    </row>
    <row r="471" spans="1:9" x14ac:dyDescent="0.3">
      <c r="A471" t="s">
        <v>1431</v>
      </c>
      <c r="B471" t="s">
        <v>1432</v>
      </c>
      <c r="C471" t="s">
        <v>33</v>
      </c>
      <c r="D471" s="1">
        <v>44734</v>
      </c>
      <c r="E471" t="s">
        <v>1433</v>
      </c>
      <c r="F471" t="s">
        <v>13</v>
      </c>
      <c r="G471" t="s">
        <v>174</v>
      </c>
      <c r="H471" t="s">
        <v>15</v>
      </c>
      <c r="I471" t="s">
        <v>51</v>
      </c>
    </row>
    <row r="472" spans="1:9" x14ac:dyDescent="0.3">
      <c r="A472" t="s">
        <v>1434</v>
      </c>
      <c r="B472" t="s">
        <v>1435</v>
      </c>
      <c r="C472" t="s">
        <v>33</v>
      </c>
      <c r="D472" s="1">
        <v>44735</v>
      </c>
      <c r="E472" t="s">
        <v>1436</v>
      </c>
      <c r="F472" t="s">
        <v>13</v>
      </c>
      <c r="G472" t="s">
        <v>14</v>
      </c>
      <c r="H472" t="s">
        <v>15</v>
      </c>
      <c r="I472" t="s">
        <v>51</v>
      </c>
    </row>
    <row r="473" spans="1:9" x14ac:dyDescent="0.3">
      <c r="A473" t="s">
        <v>1437</v>
      </c>
      <c r="B473" t="s">
        <v>1438</v>
      </c>
      <c r="C473" t="s">
        <v>29</v>
      </c>
      <c r="D473" s="1">
        <v>44735</v>
      </c>
      <c r="E473" t="s">
        <v>1439</v>
      </c>
      <c r="F473" t="s">
        <v>13</v>
      </c>
      <c r="G473" t="s">
        <v>14</v>
      </c>
      <c r="H473" t="s">
        <v>15</v>
      </c>
      <c r="I473" t="s">
        <v>204</v>
      </c>
    </row>
    <row r="474" spans="1:9" x14ac:dyDescent="0.3">
      <c r="A474" t="s">
        <v>1440</v>
      </c>
      <c r="B474" t="s">
        <v>1441</v>
      </c>
      <c r="C474" t="s">
        <v>33</v>
      </c>
      <c r="D474" s="1">
        <v>44735</v>
      </c>
      <c r="E474" t="s">
        <v>1442</v>
      </c>
      <c r="F474" t="s">
        <v>13</v>
      </c>
      <c r="G474" t="s">
        <v>14</v>
      </c>
      <c r="H474" t="s">
        <v>15</v>
      </c>
    </row>
    <row r="475" spans="1:9" x14ac:dyDescent="0.3">
      <c r="A475" t="s">
        <v>64</v>
      </c>
      <c r="B475" t="s">
        <v>1443</v>
      </c>
      <c r="C475" t="s">
        <v>19</v>
      </c>
      <c r="D475" s="1">
        <v>44735</v>
      </c>
      <c r="E475" t="s">
        <v>1444</v>
      </c>
      <c r="F475" t="s">
        <v>13</v>
      </c>
      <c r="G475" t="s">
        <v>14</v>
      </c>
      <c r="H475" t="s">
        <v>15</v>
      </c>
      <c r="I475" t="s">
        <v>116</v>
      </c>
    </row>
    <row r="476" spans="1:9" x14ac:dyDescent="0.3">
      <c r="A476" t="s">
        <v>1445</v>
      </c>
      <c r="B476" t="s">
        <v>1446</v>
      </c>
      <c r="C476" t="s">
        <v>54</v>
      </c>
      <c r="D476" s="1">
        <v>44735</v>
      </c>
      <c r="E476" t="s">
        <v>1447</v>
      </c>
      <c r="F476" t="s">
        <v>13</v>
      </c>
      <c r="G476" t="s">
        <v>14</v>
      </c>
      <c r="H476" t="s">
        <v>15</v>
      </c>
    </row>
    <row r="477" spans="1:9" x14ac:dyDescent="0.3">
      <c r="A477" t="s">
        <v>1448</v>
      </c>
      <c r="B477" t="s">
        <v>1449</v>
      </c>
      <c r="C477" t="s">
        <v>24</v>
      </c>
      <c r="D477" s="1">
        <v>44736</v>
      </c>
      <c r="E477" t="s">
        <v>1450</v>
      </c>
      <c r="F477" t="s">
        <v>13</v>
      </c>
      <c r="G477" t="s">
        <v>14</v>
      </c>
      <c r="H477" t="s">
        <v>15</v>
      </c>
      <c r="I477" t="s">
        <v>26</v>
      </c>
    </row>
    <row r="478" spans="1:9" x14ac:dyDescent="0.3">
      <c r="A478" t="s">
        <v>1451</v>
      </c>
      <c r="B478" t="s">
        <v>1452</v>
      </c>
      <c r="C478" t="s">
        <v>24</v>
      </c>
      <c r="D478" s="1">
        <v>44736</v>
      </c>
      <c r="E478" t="s">
        <v>1453</v>
      </c>
      <c r="F478" t="s">
        <v>13</v>
      </c>
      <c r="G478" t="s">
        <v>14</v>
      </c>
      <c r="H478" t="s">
        <v>15</v>
      </c>
      <c r="I478" t="s">
        <v>63</v>
      </c>
    </row>
    <row r="479" spans="1:9" x14ac:dyDescent="0.3">
      <c r="A479" t="s">
        <v>1454</v>
      </c>
      <c r="B479" t="s">
        <v>1455</v>
      </c>
      <c r="C479" t="s">
        <v>33</v>
      </c>
      <c r="D479" s="1">
        <v>44737</v>
      </c>
      <c r="E479" t="s">
        <v>1456</v>
      </c>
      <c r="F479" t="s">
        <v>13</v>
      </c>
      <c r="G479" t="s">
        <v>14</v>
      </c>
      <c r="H479" t="s">
        <v>15</v>
      </c>
      <c r="I479" t="s">
        <v>94</v>
      </c>
    </row>
    <row r="480" spans="1:9" x14ac:dyDescent="0.3">
      <c r="A480" t="s">
        <v>1457</v>
      </c>
      <c r="B480" t="s">
        <v>1458</v>
      </c>
      <c r="C480" t="s">
        <v>54</v>
      </c>
      <c r="D480" s="1">
        <v>44738</v>
      </c>
      <c r="E480" t="s">
        <v>1459</v>
      </c>
      <c r="F480" t="s">
        <v>13</v>
      </c>
      <c r="G480" t="s">
        <v>14</v>
      </c>
      <c r="H480" t="s">
        <v>15</v>
      </c>
      <c r="I480" t="s">
        <v>181</v>
      </c>
    </row>
    <row r="481" spans="1:9" x14ac:dyDescent="0.3">
      <c r="A481" t="s">
        <v>1460</v>
      </c>
      <c r="B481" t="s">
        <v>1461</v>
      </c>
      <c r="C481" t="s">
        <v>54</v>
      </c>
      <c r="D481" s="1">
        <v>44738</v>
      </c>
      <c r="E481" t="s">
        <v>1462</v>
      </c>
      <c r="F481" t="s">
        <v>13</v>
      </c>
      <c r="G481" t="s">
        <v>14</v>
      </c>
      <c r="H481" t="s">
        <v>15</v>
      </c>
      <c r="I481" t="s">
        <v>181</v>
      </c>
    </row>
    <row r="482" spans="1:9" x14ac:dyDescent="0.3">
      <c r="A482" t="s">
        <v>1463</v>
      </c>
      <c r="B482" t="s">
        <v>1464</v>
      </c>
      <c r="C482" t="s">
        <v>54</v>
      </c>
      <c r="D482" s="1">
        <v>44739</v>
      </c>
      <c r="E482" t="s">
        <v>1465</v>
      </c>
      <c r="F482" t="s">
        <v>13</v>
      </c>
      <c r="G482" t="s">
        <v>14</v>
      </c>
      <c r="H482" t="s">
        <v>15</v>
      </c>
    </row>
    <row r="483" spans="1:9" x14ac:dyDescent="0.3">
      <c r="A483" t="s">
        <v>1466</v>
      </c>
      <c r="B483" t="s">
        <v>1467</v>
      </c>
      <c r="C483" t="s">
        <v>33</v>
      </c>
      <c r="D483" s="1">
        <v>44739</v>
      </c>
      <c r="E483" t="s">
        <v>1468</v>
      </c>
      <c r="F483" t="s">
        <v>13</v>
      </c>
      <c r="G483" t="s">
        <v>14</v>
      </c>
      <c r="H483" t="s">
        <v>15</v>
      </c>
      <c r="I483" t="s">
        <v>94</v>
      </c>
    </row>
    <row r="484" spans="1:9" x14ac:dyDescent="0.3">
      <c r="A484" t="s">
        <v>1469</v>
      </c>
      <c r="B484" t="s">
        <v>1470</v>
      </c>
      <c r="C484" t="s">
        <v>33</v>
      </c>
      <c r="D484" s="1">
        <v>44740</v>
      </c>
      <c r="E484" t="s">
        <v>1471</v>
      </c>
      <c r="F484" t="s">
        <v>13</v>
      </c>
      <c r="G484" t="s">
        <v>14</v>
      </c>
      <c r="H484" t="s">
        <v>15</v>
      </c>
      <c r="I484" t="s">
        <v>94</v>
      </c>
    </row>
    <row r="485" spans="1:9" x14ac:dyDescent="0.3">
      <c r="A485" t="s">
        <v>1472</v>
      </c>
      <c r="B485" t="s">
        <v>1473</v>
      </c>
      <c r="C485" t="s">
        <v>45</v>
      </c>
      <c r="D485" s="1">
        <v>44741</v>
      </c>
      <c r="E485" t="s">
        <v>1474</v>
      </c>
      <c r="F485" t="s">
        <v>13</v>
      </c>
      <c r="G485" t="s">
        <v>14</v>
      </c>
      <c r="H485" t="s">
        <v>15</v>
      </c>
    </row>
    <row r="486" spans="1:9" x14ac:dyDescent="0.3">
      <c r="A486" t="s">
        <v>1475</v>
      </c>
      <c r="B486" t="s">
        <v>1476</v>
      </c>
      <c r="C486" t="s">
        <v>24</v>
      </c>
      <c r="D486" s="1">
        <v>44741</v>
      </c>
      <c r="E486" t="s">
        <v>1477</v>
      </c>
      <c r="F486" t="s">
        <v>13</v>
      </c>
      <c r="G486" t="s">
        <v>14</v>
      </c>
      <c r="H486" t="s">
        <v>15</v>
      </c>
    </row>
    <row r="487" spans="1:9" x14ac:dyDescent="0.3">
      <c r="A487" t="s">
        <v>1478</v>
      </c>
      <c r="B487" t="s">
        <v>1479</v>
      </c>
      <c r="C487" t="s">
        <v>33</v>
      </c>
      <c r="D487" s="1">
        <v>44741</v>
      </c>
      <c r="E487" t="s">
        <v>1480</v>
      </c>
      <c r="F487" t="s">
        <v>13</v>
      </c>
      <c r="G487" t="s">
        <v>14</v>
      </c>
      <c r="H487" t="s">
        <v>15</v>
      </c>
    </row>
    <row r="488" spans="1:9" x14ac:dyDescent="0.3">
      <c r="A488" t="s">
        <v>1481</v>
      </c>
      <c r="B488" t="s">
        <v>1482</v>
      </c>
      <c r="C488" t="s">
        <v>11</v>
      </c>
      <c r="D488" s="1">
        <v>44741</v>
      </c>
      <c r="E488" t="s">
        <v>1483</v>
      </c>
      <c r="F488" t="s">
        <v>13</v>
      </c>
      <c r="G488" t="s">
        <v>14</v>
      </c>
      <c r="H488" t="s">
        <v>15</v>
      </c>
      <c r="I488" t="s">
        <v>16</v>
      </c>
    </row>
    <row r="489" spans="1:9" x14ac:dyDescent="0.3">
      <c r="A489" t="s">
        <v>1484</v>
      </c>
      <c r="B489" t="s">
        <v>1485</v>
      </c>
      <c r="C489" t="s">
        <v>54</v>
      </c>
      <c r="D489" s="1">
        <v>44742</v>
      </c>
      <c r="E489" t="s">
        <v>1486</v>
      </c>
      <c r="F489" t="s">
        <v>13</v>
      </c>
      <c r="G489" t="s">
        <v>174</v>
      </c>
      <c r="H489" t="s">
        <v>15</v>
      </c>
      <c r="I489" t="s">
        <v>238</v>
      </c>
    </row>
    <row r="490" spans="1:9" x14ac:dyDescent="0.3">
      <c r="A490" t="s">
        <v>1487</v>
      </c>
      <c r="B490" t="s">
        <v>1488</v>
      </c>
      <c r="C490" t="s">
        <v>11</v>
      </c>
      <c r="D490" s="1">
        <v>44742</v>
      </c>
      <c r="E490" t="s">
        <v>1489</v>
      </c>
      <c r="F490" t="s">
        <v>13</v>
      </c>
      <c r="G490" t="s">
        <v>14</v>
      </c>
      <c r="H490" t="s">
        <v>15</v>
      </c>
      <c r="I490" t="s">
        <v>16</v>
      </c>
    </row>
    <row r="491" spans="1:9" x14ac:dyDescent="0.3">
      <c r="A491" t="s">
        <v>1490</v>
      </c>
      <c r="B491" t="s">
        <v>1491</v>
      </c>
      <c r="C491" t="s">
        <v>33</v>
      </c>
      <c r="D491" s="1">
        <v>44742</v>
      </c>
      <c r="E491" t="s">
        <v>1492</v>
      </c>
      <c r="F491" t="s">
        <v>13</v>
      </c>
      <c r="G491" t="s">
        <v>14</v>
      </c>
      <c r="H491" t="s">
        <v>15</v>
      </c>
      <c r="I491" t="s">
        <v>51</v>
      </c>
    </row>
    <row r="492" spans="1:9" x14ac:dyDescent="0.3">
      <c r="A492" t="s">
        <v>1493</v>
      </c>
      <c r="B492" t="s">
        <v>1494</v>
      </c>
      <c r="C492" t="s">
        <v>54</v>
      </c>
      <c r="D492" s="1">
        <v>44742</v>
      </c>
      <c r="E492" t="s">
        <v>1495</v>
      </c>
      <c r="F492" t="s">
        <v>13</v>
      </c>
      <c r="G492" t="s">
        <v>14</v>
      </c>
      <c r="H492" t="s">
        <v>15</v>
      </c>
      <c r="I492" t="s">
        <v>238</v>
      </c>
    </row>
    <row r="493" spans="1:9" x14ac:dyDescent="0.3">
      <c r="A493" t="s">
        <v>1496</v>
      </c>
      <c r="B493" t="s">
        <v>1497</v>
      </c>
      <c r="C493" t="s">
        <v>19</v>
      </c>
      <c r="D493" s="1">
        <v>44743</v>
      </c>
      <c r="E493" t="s">
        <v>1498</v>
      </c>
      <c r="F493" t="s">
        <v>13</v>
      </c>
      <c r="G493" t="s">
        <v>14</v>
      </c>
      <c r="H493" t="s">
        <v>15</v>
      </c>
      <c r="I493" t="s">
        <v>116</v>
      </c>
    </row>
    <row r="494" spans="1:9" x14ac:dyDescent="0.3">
      <c r="A494" t="s">
        <v>1499</v>
      </c>
      <c r="B494" t="s">
        <v>1500</v>
      </c>
      <c r="C494" t="s">
        <v>45</v>
      </c>
      <c r="D494" s="1">
        <v>44743</v>
      </c>
      <c r="E494" t="s">
        <v>1501</v>
      </c>
      <c r="F494" t="s">
        <v>13</v>
      </c>
      <c r="G494" t="s">
        <v>14</v>
      </c>
      <c r="H494" t="s">
        <v>15</v>
      </c>
      <c r="I494" t="s">
        <v>47</v>
      </c>
    </row>
    <row r="495" spans="1:9" x14ac:dyDescent="0.3">
      <c r="A495" t="s">
        <v>1502</v>
      </c>
      <c r="B495" t="s">
        <v>1503</v>
      </c>
      <c r="C495" t="s">
        <v>29</v>
      </c>
      <c r="D495" s="1">
        <v>44743</v>
      </c>
      <c r="E495" t="s">
        <v>1504</v>
      </c>
      <c r="F495" t="s">
        <v>13</v>
      </c>
      <c r="G495" t="s">
        <v>14</v>
      </c>
      <c r="H495" t="s">
        <v>15</v>
      </c>
      <c r="I495" t="s">
        <v>81</v>
      </c>
    </row>
    <row r="496" spans="1:9" x14ac:dyDescent="0.3">
      <c r="A496" t="s">
        <v>1505</v>
      </c>
      <c r="B496" t="s">
        <v>1506</v>
      </c>
      <c r="C496" t="s">
        <v>33</v>
      </c>
      <c r="D496" s="1">
        <v>44744</v>
      </c>
      <c r="E496" t="s">
        <v>1507</v>
      </c>
      <c r="F496" t="s">
        <v>13</v>
      </c>
      <c r="G496" t="s">
        <v>14</v>
      </c>
      <c r="H496" t="s">
        <v>15</v>
      </c>
      <c r="I496" t="s">
        <v>51</v>
      </c>
    </row>
    <row r="497" spans="1:9" x14ac:dyDescent="0.3">
      <c r="A497" t="s">
        <v>1508</v>
      </c>
      <c r="B497" t="s">
        <v>1509</v>
      </c>
      <c r="C497" t="s">
        <v>54</v>
      </c>
      <c r="D497" s="1">
        <v>44744</v>
      </c>
      <c r="E497" t="s">
        <v>1510</v>
      </c>
      <c r="F497" t="s">
        <v>13</v>
      </c>
      <c r="G497" t="s">
        <v>14</v>
      </c>
      <c r="H497" t="s">
        <v>15</v>
      </c>
    </row>
    <row r="498" spans="1:9" x14ac:dyDescent="0.3">
      <c r="A498" t="s">
        <v>1511</v>
      </c>
      <c r="B498" t="s">
        <v>1512</v>
      </c>
      <c r="C498" t="s">
        <v>29</v>
      </c>
      <c r="D498" s="1">
        <v>44745</v>
      </c>
      <c r="E498" t="s">
        <v>1513</v>
      </c>
      <c r="F498" t="s">
        <v>13</v>
      </c>
      <c r="G498" t="s">
        <v>14</v>
      </c>
      <c r="H498" t="s">
        <v>15</v>
      </c>
      <c r="I498" t="s">
        <v>204</v>
      </c>
    </row>
    <row r="499" spans="1:9" x14ac:dyDescent="0.3">
      <c r="A499" t="s">
        <v>1514</v>
      </c>
      <c r="B499" t="s">
        <v>1515</v>
      </c>
      <c r="C499" t="s">
        <v>54</v>
      </c>
      <c r="D499" s="1">
        <v>44746</v>
      </c>
      <c r="E499" t="s">
        <v>1516</v>
      </c>
      <c r="F499" t="s">
        <v>13</v>
      </c>
      <c r="G499" t="s">
        <v>14</v>
      </c>
      <c r="H499" t="s">
        <v>15</v>
      </c>
      <c r="I499" t="s">
        <v>238</v>
      </c>
    </row>
    <row r="500" spans="1:9" x14ac:dyDescent="0.3">
      <c r="A500" t="s">
        <v>1517</v>
      </c>
      <c r="B500" t="s">
        <v>1518</v>
      </c>
      <c r="C500" t="s">
        <v>69</v>
      </c>
      <c r="D500" s="1">
        <v>44746</v>
      </c>
      <c r="E500" t="s">
        <v>1519</v>
      </c>
      <c r="F500" t="s">
        <v>13</v>
      </c>
      <c r="G500" t="s">
        <v>174</v>
      </c>
      <c r="H500" t="s">
        <v>15</v>
      </c>
      <c r="I500" t="s">
        <v>71</v>
      </c>
    </row>
    <row r="501" spans="1:9" x14ac:dyDescent="0.3">
      <c r="A501" t="s">
        <v>1520</v>
      </c>
      <c r="B501" t="s">
        <v>1521</v>
      </c>
      <c r="C501" t="s">
        <v>29</v>
      </c>
      <c r="D501" s="1">
        <v>44746</v>
      </c>
      <c r="E501" t="s">
        <v>1522</v>
      </c>
      <c r="F501" t="s">
        <v>13</v>
      </c>
      <c r="G501" t="s">
        <v>14</v>
      </c>
      <c r="H501" t="s">
        <v>15</v>
      </c>
      <c r="I501" t="s">
        <v>204</v>
      </c>
    </row>
    <row r="502" spans="1:9" x14ac:dyDescent="0.3">
      <c r="A502" t="s">
        <v>1017</v>
      </c>
      <c r="B502" t="s">
        <v>1523</v>
      </c>
      <c r="C502" t="s">
        <v>19</v>
      </c>
      <c r="D502" s="1">
        <v>44747</v>
      </c>
      <c r="E502" t="s">
        <v>1524</v>
      </c>
      <c r="F502" t="s">
        <v>13</v>
      </c>
      <c r="G502" t="s">
        <v>14</v>
      </c>
      <c r="H502" t="s">
        <v>15</v>
      </c>
      <c r="I502" t="s">
        <v>21</v>
      </c>
    </row>
    <row r="503" spans="1:9" x14ac:dyDescent="0.3">
      <c r="A503" t="s">
        <v>1525</v>
      </c>
      <c r="B503" t="s">
        <v>1526</v>
      </c>
      <c r="C503" t="s">
        <v>11</v>
      </c>
      <c r="D503" s="1">
        <v>44747</v>
      </c>
      <c r="E503" t="s">
        <v>1527</v>
      </c>
      <c r="F503" t="s">
        <v>13</v>
      </c>
      <c r="G503" t="s">
        <v>14</v>
      </c>
      <c r="H503" t="s">
        <v>15</v>
      </c>
      <c r="I503" t="s">
        <v>38</v>
      </c>
    </row>
    <row r="504" spans="1:9" x14ac:dyDescent="0.3">
      <c r="A504" t="s">
        <v>1528</v>
      </c>
      <c r="B504" t="s">
        <v>1529</v>
      </c>
      <c r="C504" t="s">
        <v>69</v>
      </c>
      <c r="D504" s="1">
        <v>44748</v>
      </c>
      <c r="E504" t="s">
        <v>1530</v>
      </c>
      <c r="F504" t="s">
        <v>13</v>
      </c>
      <c r="G504" t="s">
        <v>14</v>
      </c>
      <c r="H504" t="s">
        <v>15</v>
      </c>
      <c r="I504" t="s">
        <v>71</v>
      </c>
    </row>
    <row r="505" spans="1:9" x14ac:dyDescent="0.3">
      <c r="A505" t="s">
        <v>1531</v>
      </c>
      <c r="B505" t="s">
        <v>1532</v>
      </c>
      <c r="C505" t="s">
        <v>33</v>
      </c>
      <c r="D505" s="1">
        <v>44748</v>
      </c>
      <c r="E505" t="s">
        <v>1533</v>
      </c>
      <c r="F505" t="s">
        <v>13</v>
      </c>
      <c r="G505" t="s">
        <v>14</v>
      </c>
      <c r="H505" t="s">
        <v>15</v>
      </c>
      <c r="I505" t="s">
        <v>94</v>
      </c>
    </row>
    <row r="506" spans="1:9" x14ac:dyDescent="0.3">
      <c r="A506" t="s">
        <v>1534</v>
      </c>
      <c r="B506" t="s">
        <v>1535</v>
      </c>
      <c r="C506" t="s">
        <v>11</v>
      </c>
      <c r="D506" s="1">
        <v>44748</v>
      </c>
      <c r="E506" t="s">
        <v>1536</v>
      </c>
      <c r="F506" t="s">
        <v>13</v>
      </c>
      <c r="G506" t="s">
        <v>14</v>
      </c>
      <c r="H506" t="s">
        <v>15</v>
      </c>
      <c r="I506" t="s">
        <v>16</v>
      </c>
    </row>
    <row r="507" spans="1:9" x14ac:dyDescent="0.3">
      <c r="A507" t="s">
        <v>1537</v>
      </c>
      <c r="B507" t="s">
        <v>1538</v>
      </c>
      <c r="C507" t="s">
        <v>19</v>
      </c>
      <c r="D507" s="1">
        <v>44749</v>
      </c>
      <c r="E507" t="s">
        <v>1539</v>
      </c>
      <c r="F507" t="s">
        <v>13</v>
      </c>
      <c r="G507" t="s">
        <v>14</v>
      </c>
      <c r="H507" t="s">
        <v>15</v>
      </c>
      <c r="I507" t="s">
        <v>21</v>
      </c>
    </row>
    <row r="508" spans="1:9" x14ac:dyDescent="0.3">
      <c r="A508" t="s">
        <v>1540</v>
      </c>
      <c r="B508" t="s">
        <v>1541</v>
      </c>
      <c r="C508" t="s">
        <v>33</v>
      </c>
      <c r="D508" s="1">
        <v>44750</v>
      </c>
      <c r="E508" t="s">
        <v>1542</v>
      </c>
      <c r="F508" t="s">
        <v>13</v>
      </c>
      <c r="G508" t="s">
        <v>14</v>
      </c>
      <c r="H508" t="s">
        <v>15</v>
      </c>
      <c r="I508" t="s">
        <v>94</v>
      </c>
    </row>
    <row r="509" spans="1:9" x14ac:dyDescent="0.3">
      <c r="A509" t="s">
        <v>1543</v>
      </c>
      <c r="B509" t="s">
        <v>1544</v>
      </c>
      <c r="C509" t="s">
        <v>24</v>
      </c>
      <c r="D509" s="1">
        <v>44750</v>
      </c>
      <c r="E509" t="s">
        <v>1545</v>
      </c>
      <c r="F509" t="s">
        <v>13</v>
      </c>
      <c r="G509" t="s">
        <v>14</v>
      </c>
      <c r="H509" t="s">
        <v>15</v>
      </c>
      <c r="I509" t="s">
        <v>63</v>
      </c>
    </row>
    <row r="510" spans="1:9" x14ac:dyDescent="0.3">
      <c r="A510" t="s">
        <v>868</v>
      </c>
      <c r="B510" t="s">
        <v>1546</v>
      </c>
      <c r="C510" t="s">
        <v>19</v>
      </c>
      <c r="D510" s="1">
        <v>44750</v>
      </c>
      <c r="E510" t="s">
        <v>1547</v>
      </c>
      <c r="F510" t="s">
        <v>13</v>
      </c>
      <c r="G510" t="s">
        <v>14</v>
      </c>
      <c r="H510" t="s">
        <v>15</v>
      </c>
      <c r="I510" t="s">
        <v>116</v>
      </c>
    </row>
    <row r="511" spans="1:9" x14ac:dyDescent="0.3">
      <c r="A511" t="s">
        <v>1548</v>
      </c>
      <c r="B511" t="s">
        <v>1549</v>
      </c>
      <c r="C511" t="s">
        <v>54</v>
      </c>
      <c r="D511" s="1">
        <v>44750</v>
      </c>
      <c r="E511" t="s">
        <v>1550</v>
      </c>
      <c r="F511" t="s">
        <v>13</v>
      </c>
      <c r="G511" t="s">
        <v>14</v>
      </c>
      <c r="H511" t="s">
        <v>15</v>
      </c>
    </row>
    <row r="512" spans="1:9" x14ac:dyDescent="0.3">
      <c r="A512" t="s">
        <v>1551</v>
      </c>
      <c r="B512" t="s">
        <v>1552</v>
      </c>
      <c r="C512" t="s">
        <v>69</v>
      </c>
      <c r="D512" s="1">
        <v>44750</v>
      </c>
      <c r="E512" t="s">
        <v>1553</v>
      </c>
      <c r="F512" t="s">
        <v>13</v>
      </c>
      <c r="G512" t="s">
        <v>14</v>
      </c>
      <c r="H512" t="s">
        <v>15</v>
      </c>
      <c r="I512" t="s">
        <v>71</v>
      </c>
    </row>
    <row r="513" spans="1:9" x14ac:dyDescent="0.3">
      <c r="A513" t="s">
        <v>1554</v>
      </c>
      <c r="B513" t="s">
        <v>1555</v>
      </c>
      <c r="C513" t="s">
        <v>69</v>
      </c>
      <c r="D513" s="1">
        <v>44750</v>
      </c>
      <c r="E513" t="s">
        <v>1556</v>
      </c>
      <c r="F513" t="s">
        <v>13</v>
      </c>
      <c r="G513" t="s">
        <v>14</v>
      </c>
      <c r="H513" t="s">
        <v>15</v>
      </c>
      <c r="I513" t="s">
        <v>71</v>
      </c>
    </row>
    <row r="514" spans="1:9" x14ac:dyDescent="0.3">
      <c r="A514" t="s">
        <v>1557</v>
      </c>
      <c r="B514" t="s">
        <v>1558</v>
      </c>
      <c r="C514" t="s">
        <v>29</v>
      </c>
      <c r="D514" s="1">
        <v>44750</v>
      </c>
      <c r="E514" t="s">
        <v>1559</v>
      </c>
      <c r="F514" t="s">
        <v>13</v>
      </c>
      <c r="G514" t="s">
        <v>174</v>
      </c>
      <c r="H514" t="s">
        <v>15</v>
      </c>
      <c r="I514" t="s">
        <v>42</v>
      </c>
    </row>
    <row r="515" spans="1:9" x14ac:dyDescent="0.3">
      <c r="A515" t="s">
        <v>655</v>
      </c>
      <c r="B515" t="s">
        <v>1560</v>
      </c>
      <c r="C515" t="s">
        <v>19</v>
      </c>
      <c r="D515" s="1">
        <v>44751</v>
      </c>
      <c r="E515" t="s">
        <v>1561</v>
      </c>
      <c r="F515" t="s">
        <v>13</v>
      </c>
      <c r="G515" t="s">
        <v>14</v>
      </c>
      <c r="H515" t="s">
        <v>15</v>
      </c>
      <c r="I515" t="s">
        <v>116</v>
      </c>
    </row>
    <row r="516" spans="1:9" x14ac:dyDescent="0.3">
      <c r="A516" t="s">
        <v>1562</v>
      </c>
      <c r="B516" t="s">
        <v>1563</v>
      </c>
      <c r="C516" t="s">
        <v>29</v>
      </c>
      <c r="D516" s="1">
        <v>44752</v>
      </c>
      <c r="E516" t="s">
        <v>1564</v>
      </c>
      <c r="F516" t="s">
        <v>13</v>
      </c>
      <c r="G516" t="s">
        <v>14</v>
      </c>
      <c r="H516" t="s">
        <v>15</v>
      </c>
      <c r="I516" t="s">
        <v>81</v>
      </c>
    </row>
    <row r="517" spans="1:9" x14ac:dyDescent="0.3">
      <c r="A517" t="s">
        <v>1565</v>
      </c>
      <c r="B517" t="s">
        <v>1566</v>
      </c>
      <c r="C517" t="s">
        <v>54</v>
      </c>
      <c r="D517" s="1">
        <v>44752</v>
      </c>
      <c r="E517" t="s">
        <v>1567</v>
      </c>
      <c r="F517" t="s">
        <v>13</v>
      </c>
      <c r="G517" t="s">
        <v>14</v>
      </c>
      <c r="H517" t="s">
        <v>15</v>
      </c>
      <c r="I517" t="s">
        <v>238</v>
      </c>
    </row>
    <row r="518" spans="1:9" x14ac:dyDescent="0.3">
      <c r="A518" t="s">
        <v>1568</v>
      </c>
      <c r="B518" t="s">
        <v>1569</v>
      </c>
      <c r="C518" t="s">
        <v>24</v>
      </c>
      <c r="D518" s="1">
        <v>44752</v>
      </c>
      <c r="E518" t="s">
        <v>1570</v>
      </c>
      <c r="F518" t="s">
        <v>13</v>
      </c>
      <c r="G518" t="s">
        <v>14</v>
      </c>
      <c r="H518" t="s">
        <v>15</v>
      </c>
      <c r="I518" t="s">
        <v>59</v>
      </c>
    </row>
    <row r="519" spans="1:9" x14ac:dyDescent="0.3">
      <c r="A519" t="s">
        <v>1571</v>
      </c>
      <c r="B519" t="s">
        <v>1572</v>
      </c>
      <c r="C519" t="s">
        <v>11</v>
      </c>
      <c r="D519" s="1">
        <v>44752</v>
      </c>
      <c r="E519" t="s">
        <v>1573</v>
      </c>
      <c r="F519" t="s">
        <v>13</v>
      </c>
      <c r="G519" t="s">
        <v>14</v>
      </c>
      <c r="H519" t="s">
        <v>15</v>
      </c>
      <c r="I519" t="s">
        <v>16</v>
      </c>
    </row>
    <row r="520" spans="1:9" x14ac:dyDescent="0.3">
      <c r="A520" t="s">
        <v>1574</v>
      </c>
      <c r="B520" t="s">
        <v>1575</v>
      </c>
      <c r="C520" t="s">
        <v>54</v>
      </c>
      <c r="D520" s="1">
        <v>44752</v>
      </c>
      <c r="E520" t="s">
        <v>1576</v>
      </c>
      <c r="F520" t="s">
        <v>13</v>
      </c>
      <c r="G520" t="s">
        <v>14</v>
      </c>
      <c r="H520" t="s">
        <v>15</v>
      </c>
    </row>
    <row r="521" spans="1:9" x14ac:dyDescent="0.3">
      <c r="A521" t="s">
        <v>1577</v>
      </c>
      <c r="B521" t="s">
        <v>1578</v>
      </c>
      <c r="C521" t="s">
        <v>54</v>
      </c>
      <c r="D521" s="1">
        <v>44752</v>
      </c>
      <c r="E521" t="s">
        <v>1579</v>
      </c>
      <c r="F521" t="s">
        <v>13</v>
      </c>
      <c r="G521" t="s">
        <v>174</v>
      </c>
      <c r="H521" t="s">
        <v>15</v>
      </c>
      <c r="I521" t="s">
        <v>238</v>
      </c>
    </row>
    <row r="522" spans="1:9" x14ac:dyDescent="0.3">
      <c r="A522" t="s">
        <v>1580</v>
      </c>
      <c r="B522" t="s">
        <v>1581</v>
      </c>
      <c r="C522" t="s">
        <v>29</v>
      </c>
      <c r="D522" s="1">
        <v>44753</v>
      </c>
      <c r="E522" t="s">
        <v>1582</v>
      </c>
      <c r="F522" t="s">
        <v>13</v>
      </c>
      <c r="G522" t="s">
        <v>14</v>
      </c>
      <c r="H522" t="s">
        <v>15</v>
      </c>
    </row>
    <row r="523" spans="1:9" x14ac:dyDescent="0.3">
      <c r="A523" t="s">
        <v>1583</v>
      </c>
      <c r="B523" t="s">
        <v>1584</v>
      </c>
      <c r="C523" t="s">
        <v>11</v>
      </c>
      <c r="D523" s="1">
        <v>44753</v>
      </c>
      <c r="E523" t="s">
        <v>1585</v>
      </c>
      <c r="F523" t="s">
        <v>13</v>
      </c>
      <c r="G523" t="s">
        <v>14</v>
      </c>
      <c r="H523" t="s">
        <v>15</v>
      </c>
      <c r="I523" t="s">
        <v>16</v>
      </c>
    </row>
    <row r="524" spans="1:9" x14ac:dyDescent="0.3">
      <c r="A524" t="s">
        <v>1586</v>
      </c>
      <c r="B524" t="s">
        <v>1587</v>
      </c>
      <c r="C524" t="s">
        <v>29</v>
      </c>
      <c r="D524" s="1">
        <v>44754</v>
      </c>
      <c r="E524" t="s">
        <v>1588</v>
      </c>
      <c r="F524" t="s">
        <v>13</v>
      </c>
      <c r="G524" t="s">
        <v>14</v>
      </c>
      <c r="H524" t="s">
        <v>15</v>
      </c>
      <c r="I524" t="s">
        <v>81</v>
      </c>
    </row>
    <row r="525" spans="1:9" x14ac:dyDescent="0.3">
      <c r="A525" t="s">
        <v>1589</v>
      </c>
      <c r="B525" t="s">
        <v>1590</v>
      </c>
      <c r="C525" t="s">
        <v>33</v>
      </c>
      <c r="D525" s="1">
        <v>44754</v>
      </c>
      <c r="E525" t="s">
        <v>1591</v>
      </c>
      <c r="F525" t="s">
        <v>13</v>
      </c>
      <c r="G525" t="s">
        <v>14</v>
      </c>
      <c r="H525" t="s">
        <v>15</v>
      </c>
      <c r="I525" t="s">
        <v>51</v>
      </c>
    </row>
    <row r="526" spans="1:9" x14ac:dyDescent="0.3">
      <c r="A526" t="s">
        <v>1592</v>
      </c>
      <c r="B526" t="s">
        <v>1593</v>
      </c>
      <c r="C526" t="s">
        <v>19</v>
      </c>
      <c r="D526" s="1">
        <v>44754</v>
      </c>
      <c r="E526" t="s">
        <v>1594</v>
      </c>
      <c r="F526" t="s">
        <v>13</v>
      </c>
      <c r="G526" t="s">
        <v>14</v>
      </c>
      <c r="H526" t="s">
        <v>15</v>
      </c>
      <c r="I526" t="s">
        <v>116</v>
      </c>
    </row>
    <row r="527" spans="1:9" x14ac:dyDescent="0.3">
      <c r="A527" t="s">
        <v>1595</v>
      </c>
      <c r="B527" t="s">
        <v>1596</v>
      </c>
      <c r="C527" t="s">
        <v>24</v>
      </c>
      <c r="D527" s="1">
        <v>44755</v>
      </c>
      <c r="E527" t="s">
        <v>1597</v>
      </c>
      <c r="F527" t="s">
        <v>13</v>
      </c>
      <c r="G527" t="s">
        <v>14</v>
      </c>
      <c r="H527" t="s">
        <v>15</v>
      </c>
      <c r="I527" t="s">
        <v>63</v>
      </c>
    </row>
    <row r="528" spans="1:9" x14ac:dyDescent="0.3">
      <c r="A528" t="s">
        <v>1598</v>
      </c>
      <c r="B528" t="s">
        <v>1599</v>
      </c>
      <c r="C528" t="s">
        <v>29</v>
      </c>
      <c r="D528" s="1">
        <v>44755</v>
      </c>
      <c r="E528" t="s">
        <v>1600</v>
      </c>
      <c r="F528" t="s">
        <v>13</v>
      </c>
      <c r="G528" t="s">
        <v>14</v>
      </c>
      <c r="H528" t="s">
        <v>15</v>
      </c>
      <c r="I528" t="s">
        <v>81</v>
      </c>
    </row>
    <row r="529" spans="1:9" x14ac:dyDescent="0.3">
      <c r="A529" t="s">
        <v>1601</v>
      </c>
      <c r="B529" t="s">
        <v>1602</v>
      </c>
      <c r="C529" t="s">
        <v>54</v>
      </c>
      <c r="D529" s="1">
        <v>44757</v>
      </c>
      <c r="E529" t="s">
        <v>1603</v>
      </c>
      <c r="F529" t="s">
        <v>13</v>
      </c>
      <c r="G529" t="s">
        <v>14</v>
      </c>
      <c r="H529" t="s">
        <v>15</v>
      </c>
    </row>
    <row r="530" spans="1:9" x14ac:dyDescent="0.3">
      <c r="A530" t="s">
        <v>1604</v>
      </c>
      <c r="B530" t="s">
        <v>1605</v>
      </c>
      <c r="C530" t="s">
        <v>11</v>
      </c>
      <c r="D530" s="1">
        <v>44757</v>
      </c>
      <c r="E530" t="s">
        <v>1606</v>
      </c>
      <c r="F530" t="s">
        <v>13</v>
      </c>
      <c r="G530" t="s">
        <v>14</v>
      </c>
      <c r="H530" t="s">
        <v>15</v>
      </c>
      <c r="I530" t="s">
        <v>16</v>
      </c>
    </row>
    <row r="531" spans="1:9" x14ac:dyDescent="0.3">
      <c r="A531" t="s">
        <v>1607</v>
      </c>
      <c r="B531" t="s">
        <v>1608</v>
      </c>
      <c r="C531" t="s">
        <v>24</v>
      </c>
      <c r="D531" s="1">
        <v>44757</v>
      </c>
      <c r="E531" t="s">
        <v>1609</v>
      </c>
      <c r="F531" t="s">
        <v>13</v>
      </c>
      <c r="G531" t="s">
        <v>14</v>
      </c>
      <c r="H531" t="s">
        <v>15</v>
      </c>
      <c r="I531" t="s">
        <v>26</v>
      </c>
    </row>
    <row r="532" spans="1:9" x14ac:dyDescent="0.3">
      <c r="A532" t="s">
        <v>64</v>
      </c>
      <c r="B532" t="s">
        <v>1610</v>
      </c>
      <c r="C532" t="s">
        <v>19</v>
      </c>
      <c r="D532" s="1">
        <v>44758</v>
      </c>
      <c r="E532" t="s">
        <v>1611</v>
      </c>
      <c r="F532" t="s">
        <v>13</v>
      </c>
      <c r="G532" t="s">
        <v>174</v>
      </c>
      <c r="H532" t="s">
        <v>15</v>
      </c>
      <c r="I532" t="s">
        <v>116</v>
      </c>
    </row>
    <row r="533" spans="1:9" x14ac:dyDescent="0.3">
      <c r="A533" t="s">
        <v>1612</v>
      </c>
      <c r="B533" t="s">
        <v>1613</v>
      </c>
      <c r="C533" t="s">
        <v>19</v>
      </c>
      <c r="D533" s="1">
        <v>44758</v>
      </c>
      <c r="E533" t="s">
        <v>1614</v>
      </c>
      <c r="F533" t="s">
        <v>13</v>
      </c>
      <c r="G533" t="s">
        <v>14</v>
      </c>
      <c r="H533" t="s">
        <v>15</v>
      </c>
    </row>
    <row r="534" spans="1:9" x14ac:dyDescent="0.3">
      <c r="A534" t="s">
        <v>1615</v>
      </c>
      <c r="B534" t="s">
        <v>1616</v>
      </c>
      <c r="C534" t="s">
        <v>33</v>
      </c>
      <c r="D534" s="1">
        <v>44758</v>
      </c>
      <c r="E534" t="s">
        <v>1617</v>
      </c>
      <c r="F534" t="s">
        <v>13</v>
      </c>
      <c r="G534" t="s">
        <v>14</v>
      </c>
      <c r="H534" t="s">
        <v>15</v>
      </c>
      <c r="I534" t="s">
        <v>94</v>
      </c>
    </row>
    <row r="535" spans="1:9" x14ac:dyDescent="0.3">
      <c r="A535" t="s">
        <v>1618</v>
      </c>
      <c r="B535" t="s">
        <v>1619</v>
      </c>
      <c r="C535" t="s">
        <v>54</v>
      </c>
      <c r="D535" s="1">
        <v>44759</v>
      </c>
      <c r="E535" t="s">
        <v>1620</v>
      </c>
      <c r="F535" t="s">
        <v>13</v>
      </c>
      <c r="G535" t="s">
        <v>14</v>
      </c>
      <c r="H535" t="s">
        <v>15</v>
      </c>
    </row>
    <row r="536" spans="1:9" x14ac:dyDescent="0.3">
      <c r="A536" t="s">
        <v>1621</v>
      </c>
      <c r="B536" t="s">
        <v>1622</v>
      </c>
      <c r="C536" t="s">
        <v>11</v>
      </c>
      <c r="D536" s="1">
        <v>44759</v>
      </c>
      <c r="E536" t="s">
        <v>1623</v>
      </c>
      <c r="F536" t="s">
        <v>13</v>
      </c>
      <c r="G536" t="s">
        <v>14</v>
      </c>
      <c r="H536" t="s">
        <v>15</v>
      </c>
      <c r="I536" t="s">
        <v>185</v>
      </c>
    </row>
    <row r="537" spans="1:9" x14ac:dyDescent="0.3">
      <c r="A537" t="s">
        <v>1624</v>
      </c>
      <c r="B537" t="s">
        <v>1625</v>
      </c>
      <c r="C537" t="s">
        <v>11</v>
      </c>
      <c r="D537" s="1">
        <v>44759</v>
      </c>
      <c r="E537" t="s">
        <v>1626</v>
      </c>
      <c r="F537" t="s">
        <v>13</v>
      </c>
      <c r="G537" t="s">
        <v>14</v>
      </c>
      <c r="H537" t="s">
        <v>15</v>
      </c>
      <c r="I537" t="s">
        <v>16</v>
      </c>
    </row>
    <row r="538" spans="1:9" x14ac:dyDescent="0.3">
      <c r="A538" t="s">
        <v>886</v>
      </c>
      <c r="B538" t="s">
        <v>1627</v>
      </c>
      <c r="C538" t="s">
        <v>19</v>
      </c>
      <c r="D538" s="1">
        <v>44759</v>
      </c>
      <c r="E538" t="s">
        <v>1628</v>
      </c>
      <c r="F538" t="s">
        <v>13</v>
      </c>
      <c r="G538" t="s">
        <v>14</v>
      </c>
      <c r="H538" t="s">
        <v>15</v>
      </c>
      <c r="I538" t="s">
        <v>21</v>
      </c>
    </row>
    <row r="539" spans="1:9" x14ac:dyDescent="0.3">
      <c r="A539" t="s">
        <v>1629</v>
      </c>
      <c r="B539" t="s">
        <v>1630</v>
      </c>
      <c r="C539" t="s">
        <v>29</v>
      </c>
      <c r="D539" s="1">
        <v>44760</v>
      </c>
      <c r="E539" t="s">
        <v>1631</v>
      </c>
      <c r="F539" t="s">
        <v>13</v>
      </c>
      <c r="G539" t="s">
        <v>14</v>
      </c>
      <c r="H539" t="s">
        <v>15</v>
      </c>
      <c r="I539" t="s">
        <v>204</v>
      </c>
    </row>
    <row r="540" spans="1:9" x14ac:dyDescent="0.3">
      <c r="A540" t="s">
        <v>1632</v>
      </c>
      <c r="B540" t="s">
        <v>1633</v>
      </c>
      <c r="C540" t="s">
        <v>33</v>
      </c>
      <c r="D540" s="1">
        <v>44761</v>
      </c>
      <c r="E540" t="s">
        <v>1634</v>
      </c>
      <c r="F540" t="s">
        <v>13</v>
      </c>
      <c r="G540" t="s">
        <v>14</v>
      </c>
      <c r="H540" t="s">
        <v>15</v>
      </c>
    </row>
    <row r="541" spans="1:9" x14ac:dyDescent="0.3">
      <c r="A541" t="s">
        <v>1635</v>
      </c>
      <c r="B541" t="s">
        <v>1636</v>
      </c>
      <c r="C541" t="s">
        <v>69</v>
      </c>
      <c r="D541" s="1">
        <v>44761</v>
      </c>
      <c r="E541" t="s">
        <v>1637</v>
      </c>
      <c r="F541" t="s">
        <v>13</v>
      </c>
      <c r="G541" t="s">
        <v>14</v>
      </c>
      <c r="H541" t="s">
        <v>15</v>
      </c>
      <c r="I541" t="s">
        <v>71</v>
      </c>
    </row>
    <row r="542" spans="1:9" x14ac:dyDescent="0.3">
      <c r="A542" t="s">
        <v>1638</v>
      </c>
      <c r="B542" t="s">
        <v>1639</v>
      </c>
      <c r="C542" t="s">
        <v>29</v>
      </c>
      <c r="D542" s="1">
        <v>44761</v>
      </c>
      <c r="E542" t="s">
        <v>1640</v>
      </c>
      <c r="F542" t="s">
        <v>13</v>
      </c>
      <c r="G542" t="s">
        <v>14</v>
      </c>
      <c r="H542" t="s">
        <v>15</v>
      </c>
      <c r="I542" t="s">
        <v>204</v>
      </c>
    </row>
    <row r="543" spans="1:9" x14ac:dyDescent="0.3">
      <c r="A543" t="s">
        <v>1641</v>
      </c>
      <c r="B543" t="s">
        <v>1642</v>
      </c>
      <c r="C543" t="s">
        <v>45</v>
      </c>
      <c r="D543" s="1">
        <v>44762</v>
      </c>
      <c r="E543" t="s">
        <v>1643</v>
      </c>
      <c r="F543" t="s">
        <v>13</v>
      </c>
      <c r="G543" t="s">
        <v>14</v>
      </c>
      <c r="H543" t="s">
        <v>15</v>
      </c>
      <c r="I543" t="s">
        <v>47</v>
      </c>
    </row>
    <row r="544" spans="1:9" x14ac:dyDescent="0.3">
      <c r="A544" t="s">
        <v>1644</v>
      </c>
      <c r="B544" t="s">
        <v>1645</v>
      </c>
      <c r="C544" t="s">
        <v>24</v>
      </c>
      <c r="D544" s="1">
        <v>44762</v>
      </c>
      <c r="E544" t="s">
        <v>1646</v>
      </c>
      <c r="F544" t="s">
        <v>13</v>
      </c>
      <c r="G544" t="s">
        <v>14</v>
      </c>
      <c r="H544" t="s">
        <v>15</v>
      </c>
      <c r="I544" t="s">
        <v>59</v>
      </c>
    </row>
    <row r="545" spans="1:9" x14ac:dyDescent="0.3">
      <c r="A545" t="s">
        <v>1303</v>
      </c>
      <c r="B545" t="s">
        <v>1647</v>
      </c>
      <c r="C545" t="s">
        <v>19</v>
      </c>
      <c r="D545" s="1">
        <v>44763</v>
      </c>
      <c r="E545" t="s">
        <v>1648</v>
      </c>
      <c r="F545" t="s">
        <v>13</v>
      </c>
      <c r="G545" t="s">
        <v>14</v>
      </c>
      <c r="H545" t="s">
        <v>15</v>
      </c>
      <c r="I545" t="s">
        <v>116</v>
      </c>
    </row>
    <row r="546" spans="1:9" x14ac:dyDescent="0.3">
      <c r="A546" t="s">
        <v>1649</v>
      </c>
      <c r="B546" t="s">
        <v>1650</v>
      </c>
      <c r="C546" t="s">
        <v>11</v>
      </c>
      <c r="D546" s="1">
        <v>44764</v>
      </c>
      <c r="E546" t="s">
        <v>1651</v>
      </c>
      <c r="F546" t="s">
        <v>13</v>
      </c>
      <c r="G546" t="s">
        <v>14</v>
      </c>
      <c r="H546" t="s">
        <v>15</v>
      </c>
      <c r="I546" t="s">
        <v>38</v>
      </c>
    </row>
    <row r="547" spans="1:9" x14ac:dyDescent="0.3">
      <c r="A547" t="s">
        <v>1652</v>
      </c>
      <c r="B547" t="s">
        <v>1653</v>
      </c>
      <c r="C547" t="s">
        <v>29</v>
      </c>
      <c r="D547" s="1">
        <v>44764</v>
      </c>
      <c r="E547" t="s">
        <v>1654</v>
      </c>
      <c r="F547" t="s">
        <v>13</v>
      </c>
      <c r="G547" t="s">
        <v>174</v>
      </c>
      <c r="H547" t="s">
        <v>15</v>
      </c>
    </row>
    <row r="548" spans="1:9" x14ac:dyDescent="0.3">
      <c r="A548" t="s">
        <v>64</v>
      </c>
      <c r="B548" t="s">
        <v>1655</v>
      </c>
      <c r="C548" t="s">
        <v>19</v>
      </c>
      <c r="D548" s="1">
        <v>44764</v>
      </c>
      <c r="E548" t="s">
        <v>1656</v>
      </c>
      <c r="F548" t="s">
        <v>13</v>
      </c>
      <c r="G548" t="s">
        <v>14</v>
      </c>
      <c r="H548" t="s">
        <v>15</v>
      </c>
      <c r="I548" t="s">
        <v>116</v>
      </c>
    </row>
    <row r="549" spans="1:9" x14ac:dyDescent="0.3">
      <c r="A549" t="s">
        <v>1657</v>
      </c>
      <c r="B549" t="s">
        <v>1658</v>
      </c>
      <c r="C549" t="s">
        <v>24</v>
      </c>
      <c r="D549" s="1">
        <v>44764</v>
      </c>
      <c r="E549" t="s">
        <v>1659</v>
      </c>
      <c r="F549" t="s">
        <v>13</v>
      </c>
      <c r="G549" t="s">
        <v>14</v>
      </c>
      <c r="H549" t="s">
        <v>15</v>
      </c>
    </row>
    <row r="550" spans="1:9" x14ac:dyDescent="0.3">
      <c r="A550" t="s">
        <v>1294</v>
      </c>
      <c r="B550" t="s">
        <v>1660</v>
      </c>
      <c r="C550" t="s">
        <v>19</v>
      </c>
      <c r="D550" s="1">
        <v>44764</v>
      </c>
      <c r="E550" t="s">
        <v>1661</v>
      </c>
      <c r="F550" t="s">
        <v>13</v>
      </c>
      <c r="G550" t="s">
        <v>14</v>
      </c>
      <c r="H550" t="s">
        <v>15</v>
      </c>
      <c r="I550" t="s">
        <v>116</v>
      </c>
    </row>
    <row r="551" spans="1:9" x14ac:dyDescent="0.3">
      <c r="A551" t="s">
        <v>1662</v>
      </c>
      <c r="B551" t="s">
        <v>1663</v>
      </c>
      <c r="C551" t="s">
        <v>11</v>
      </c>
      <c r="D551" s="1">
        <v>44765</v>
      </c>
      <c r="E551" t="s">
        <v>1664</v>
      </c>
      <c r="F551" t="s">
        <v>13</v>
      </c>
      <c r="G551" t="s">
        <v>174</v>
      </c>
      <c r="H551" t="s">
        <v>15</v>
      </c>
      <c r="I551" t="s">
        <v>185</v>
      </c>
    </row>
    <row r="552" spans="1:9" x14ac:dyDescent="0.3">
      <c r="A552" t="s">
        <v>1665</v>
      </c>
      <c r="B552" t="s">
        <v>1666</v>
      </c>
      <c r="C552" t="s">
        <v>24</v>
      </c>
      <c r="D552" s="1">
        <v>44766</v>
      </c>
      <c r="E552" t="s">
        <v>1667</v>
      </c>
      <c r="F552" t="s">
        <v>13</v>
      </c>
      <c r="G552" t="s">
        <v>14</v>
      </c>
      <c r="H552" t="s">
        <v>15</v>
      </c>
      <c r="I552" t="s">
        <v>59</v>
      </c>
    </row>
    <row r="553" spans="1:9" x14ac:dyDescent="0.3">
      <c r="A553" t="s">
        <v>1668</v>
      </c>
      <c r="B553" t="s">
        <v>1669</v>
      </c>
      <c r="C553" t="s">
        <v>11</v>
      </c>
      <c r="D553" s="1">
        <v>44768</v>
      </c>
      <c r="E553" t="s">
        <v>1670</v>
      </c>
      <c r="F553" t="s">
        <v>13</v>
      </c>
      <c r="G553" t="s">
        <v>14</v>
      </c>
      <c r="H553" t="s">
        <v>15</v>
      </c>
      <c r="I553" t="s">
        <v>16</v>
      </c>
    </row>
    <row r="554" spans="1:9" x14ac:dyDescent="0.3">
      <c r="A554" t="s">
        <v>1671</v>
      </c>
      <c r="B554" t="s">
        <v>1672</v>
      </c>
      <c r="C554" t="s">
        <v>19</v>
      </c>
      <c r="D554" s="1">
        <v>44768</v>
      </c>
      <c r="E554" t="s">
        <v>1673</v>
      </c>
      <c r="F554" t="s">
        <v>13</v>
      </c>
      <c r="G554" t="s">
        <v>14</v>
      </c>
      <c r="H554" t="s">
        <v>15</v>
      </c>
      <c r="I554" t="s">
        <v>21</v>
      </c>
    </row>
    <row r="555" spans="1:9" x14ac:dyDescent="0.3">
      <c r="A555" t="s">
        <v>812</v>
      </c>
      <c r="B555" t="s">
        <v>1674</v>
      </c>
      <c r="C555" t="s">
        <v>19</v>
      </c>
      <c r="D555" s="1">
        <v>44768</v>
      </c>
      <c r="E555" t="s">
        <v>1675</v>
      </c>
      <c r="F555" t="s">
        <v>13</v>
      </c>
      <c r="G555" t="s">
        <v>14</v>
      </c>
      <c r="H555" t="s">
        <v>15</v>
      </c>
      <c r="I555" t="s">
        <v>116</v>
      </c>
    </row>
    <row r="556" spans="1:9" x14ac:dyDescent="0.3">
      <c r="A556" t="s">
        <v>1676</v>
      </c>
      <c r="B556" t="s">
        <v>1677</v>
      </c>
      <c r="C556" t="s">
        <v>45</v>
      </c>
      <c r="D556" s="1">
        <v>44768</v>
      </c>
      <c r="E556" t="s">
        <v>1678</v>
      </c>
      <c r="F556" t="s">
        <v>13</v>
      </c>
      <c r="G556" t="s">
        <v>14</v>
      </c>
      <c r="H556" t="s">
        <v>15</v>
      </c>
    </row>
    <row r="557" spans="1:9" x14ac:dyDescent="0.3">
      <c r="A557" t="s">
        <v>1679</v>
      </c>
      <c r="B557" t="s">
        <v>1680</v>
      </c>
      <c r="C557" t="s">
        <v>33</v>
      </c>
      <c r="D557" s="1">
        <v>44768</v>
      </c>
      <c r="E557" t="s">
        <v>1681</v>
      </c>
      <c r="F557" t="s">
        <v>13</v>
      </c>
      <c r="G557" t="s">
        <v>14</v>
      </c>
      <c r="H557" t="s">
        <v>15</v>
      </c>
      <c r="I557" t="s">
        <v>94</v>
      </c>
    </row>
    <row r="558" spans="1:9" x14ac:dyDescent="0.3">
      <c r="A558" t="s">
        <v>1682</v>
      </c>
      <c r="B558" t="s">
        <v>1683</v>
      </c>
      <c r="C558" t="s">
        <v>29</v>
      </c>
      <c r="D558" s="1">
        <v>44769</v>
      </c>
      <c r="E558" t="s">
        <v>1684</v>
      </c>
      <c r="F558" t="s">
        <v>13</v>
      </c>
      <c r="G558" t="s">
        <v>14</v>
      </c>
      <c r="H558" t="s">
        <v>15</v>
      </c>
      <c r="I558" t="s">
        <v>204</v>
      </c>
    </row>
    <row r="559" spans="1:9" x14ac:dyDescent="0.3">
      <c r="A559" t="s">
        <v>1685</v>
      </c>
      <c r="B559" t="s">
        <v>1686</v>
      </c>
      <c r="C559" t="s">
        <v>54</v>
      </c>
      <c r="D559" s="1">
        <v>44770</v>
      </c>
      <c r="E559" t="s">
        <v>1687</v>
      </c>
      <c r="F559" t="s">
        <v>13</v>
      </c>
      <c r="G559" t="s">
        <v>14</v>
      </c>
      <c r="H559" t="s">
        <v>15</v>
      </c>
      <c r="I559" t="s">
        <v>238</v>
      </c>
    </row>
    <row r="560" spans="1:9" x14ac:dyDescent="0.3">
      <c r="A560" t="s">
        <v>1688</v>
      </c>
      <c r="B560" t="s">
        <v>1689</v>
      </c>
      <c r="C560" t="s">
        <v>29</v>
      </c>
      <c r="D560" s="1">
        <v>44770</v>
      </c>
      <c r="E560" t="s">
        <v>1690</v>
      </c>
      <c r="F560" t="s">
        <v>13</v>
      </c>
      <c r="G560" t="s">
        <v>14</v>
      </c>
      <c r="H560" t="s">
        <v>15</v>
      </c>
      <c r="I560" t="s">
        <v>42</v>
      </c>
    </row>
    <row r="561" spans="1:9" x14ac:dyDescent="0.3">
      <c r="A561" t="s">
        <v>1691</v>
      </c>
      <c r="B561" t="s">
        <v>1692</v>
      </c>
      <c r="C561" t="s">
        <v>45</v>
      </c>
      <c r="D561" s="1">
        <v>44771</v>
      </c>
      <c r="E561" t="s">
        <v>1693</v>
      </c>
      <c r="F561" t="s">
        <v>13</v>
      </c>
      <c r="G561" t="s">
        <v>14</v>
      </c>
      <c r="H561" t="s">
        <v>15</v>
      </c>
    </row>
    <row r="562" spans="1:9" x14ac:dyDescent="0.3">
      <c r="A562" t="s">
        <v>1694</v>
      </c>
      <c r="B562" t="s">
        <v>1695</v>
      </c>
      <c r="C562" t="s">
        <v>11</v>
      </c>
      <c r="D562" s="1">
        <v>44772</v>
      </c>
      <c r="E562" t="s">
        <v>1696</v>
      </c>
      <c r="F562" t="s">
        <v>13</v>
      </c>
      <c r="G562" t="s">
        <v>14</v>
      </c>
      <c r="H562" t="s">
        <v>15</v>
      </c>
      <c r="I562" t="s">
        <v>185</v>
      </c>
    </row>
    <row r="563" spans="1:9" x14ac:dyDescent="0.3">
      <c r="A563" t="s">
        <v>1697</v>
      </c>
      <c r="B563" t="s">
        <v>1698</v>
      </c>
      <c r="C563" t="s">
        <v>69</v>
      </c>
      <c r="D563" s="1">
        <v>44772</v>
      </c>
      <c r="E563" t="s">
        <v>1699</v>
      </c>
      <c r="F563" t="s">
        <v>13</v>
      </c>
      <c r="G563" t="s">
        <v>14</v>
      </c>
      <c r="H563" t="s">
        <v>15</v>
      </c>
      <c r="I563" t="s">
        <v>71</v>
      </c>
    </row>
    <row r="564" spans="1:9" x14ac:dyDescent="0.3">
      <c r="A564" t="s">
        <v>788</v>
      </c>
      <c r="B564" t="s">
        <v>1700</v>
      </c>
      <c r="C564" t="s">
        <v>19</v>
      </c>
      <c r="D564" s="1">
        <v>44772</v>
      </c>
      <c r="E564" t="s">
        <v>1701</v>
      </c>
      <c r="F564" t="s">
        <v>13</v>
      </c>
      <c r="G564" t="s">
        <v>14</v>
      </c>
      <c r="H564" t="s">
        <v>15</v>
      </c>
      <c r="I564" t="s">
        <v>116</v>
      </c>
    </row>
    <row r="565" spans="1:9" x14ac:dyDescent="0.3">
      <c r="A565" t="s">
        <v>1702</v>
      </c>
      <c r="B565" t="s">
        <v>1703</v>
      </c>
      <c r="C565" t="s">
        <v>69</v>
      </c>
      <c r="D565" s="1">
        <v>44772</v>
      </c>
      <c r="E565" t="s">
        <v>1704</v>
      </c>
      <c r="F565" t="s">
        <v>13</v>
      </c>
      <c r="G565" t="s">
        <v>14</v>
      </c>
      <c r="H565" t="s">
        <v>15</v>
      </c>
    </row>
    <row r="566" spans="1:9" x14ac:dyDescent="0.3">
      <c r="A566" t="s">
        <v>1705</v>
      </c>
      <c r="B566" t="s">
        <v>1706</v>
      </c>
      <c r="C566" t="s">
        <v>11</v>
      </c>
      <c r="D566" s="1">
        <v>44773</v>
      </c>
      <c r="E566" t="s">
        <v>1707</v>
      </c>
      <c r="F566" t="s">
        <v>13</v>
      </c>
      <c r="G566" t="s">
        <v>14</v>
      </c>
      <c r="H566" t="s">
        <v>15</v>
      </c>
      <c r="I566" t="s">
        <v>16</v>
      </c>
    </row>
    <row r="567" spans="1:9" x14ac:dyDescent="0.3">
      <c r="A567" t="s">
        <v>1708</v>
      </c>
      <c r="B567" t="s">
        <v>1709</v>
      </c>
      <c r="C567" t="s">
        <v>33</v>
      </c>
      <c r="D567" s="1">
        <v>44773</v>
      </c>
      <c r="E567" t="s">
        <v>1710</v>
      </c>
      <c r="F567" t="s">
        <v>13</v>
      </c>
      <c r="G567" t="s">
        <v>14</v>
      </c>
      <c r="H567" t="s">
        <v>15</v>
      </c>
      <c r="I567" t="s">
        <v>94</v>
      </c>
    </row>
    <row r="568" spans="1:9" x14ac:dyDescent="0.3">
      <c r="A568" t="s">
        <v>1711</v>
      </c>
      <c r="B568" t="s">
        <v>1712</v>
      </c>
      <c r="C568" t="s">
        <v>19</v>
      </c>
      <c r="D568" s="1">
        <v>44774</v>
      </c>
      <c r="E568" t="s">
        <v>1713</v>
      </c>
      <c r="F568" t="s">
        <v>13</v>
      </c>
      <c r="G568" t="s">
        <v>14</v>
      </c>
      <c r="H568" t="s">
        <v>15</v>
      </c>
      <c r="I568" t="s">
        <v>21</v>
      </c>
    </row>
    <row r="569" spans="1:9" x14ac:dyDescent="0.3">
      <c r="A569" t="s">
        <v>1714</v>
      </c>
      <c r="B569" t="s">
        <v>1715</v>
      </c>
      <c r="C569" t="s">
        <v>19</v>
      </c>
      <c r="D569" s="1">
        <v>44775</v>
      </c>
      <c r="E569" t="s">
        <v>1716</v>
      </c>
      <c r="F569" t="s">
        <v>13</v>
      </c>
      <c r="G569" t="s">
        <v>14</v>
      </c>
      <c r="H569" t="s">
        <v>15</v>
      </c>
    </row>
    <row r="570" spans="1:9" x14ac:dyDescent="0.3">
      <c r="A570" t="s">
        <v>1717</v>
      </c>
      <c r="B570" t="s">
        <v>1718</v>
      </c>
      <c r="C570" t="s">
        <v>69</v>
      </c>
      <c r="D570" s="1">
        <v>44776</v>
      </c>
      <c r="E570" t="s">
        <v>1719</v>
      </c>
      <c r="F570" t="s">
        <v>13</v>
      </c>
      <c r="G570" t="s">
        <v>14</v>
      </c>
      <c r="H570" t="s">
        <v>15</v>
      </c>
      <c r="I570" t="s">
        <v>71</v>
      </c>
    </row>
    <row r="571" spans="1:9" x14ac:dyDescent="0.3">
      <c r="A571" t="s">
        <v>1720</v>
      </c>
      <c r="B571" t="s">
        <v>1721</v>
      </c>
      <c r="C571" t="s">
        <v>45</v>
      </c>
      <c r="D571" s="1">
        <v>44776</v>
      </c>
      <c r="E571" t="s">
        <v>1722</v>
      </c>
      <c r="F571" t="s">
        <v>13</v>
      </c>
      <c r="G571" t="s">
        <v>14</v>
      </c>
      <c r="H571" t="s">
        <v>15</v>
      </c>
      <c r="I571" t="s">
        <v>248</v>
      </c>
    </row>
    <row r="572" spans="1:9" x14ac:dyDescent="0.3">
      <c r="A572" t="s">
        <v>1723</v>
      </c>
      <c r="B572" t="s">
        <v>1724</v>
      </c>
      <c r="C572" t="s">
        <v>11</v>
      </c>
      <c r="D572" s="1">
        <v>44776</v>
      </c>
      <c r="E572" t="s">
        <v>1725</v>
      </c>
      <c r="F572" t="s">
        <v>13</v>
      </c>
      <c r="G572" t="s">
        <v>174</v>
      </c>
      <c r="H572" t="s">
        <v>15</v>
      </c>
    </row>
    <row r="573" spans="1:9" x14ac:dyDescent="0.3">
      <c r="A573" t="s">
        <v>1726</v>
      </c>
      <c r="B573" t="s">
        <v>1727</v>
      </c>
      <c r="C573" t="s">
        <v>29</v>
      </c>
      <c r="D573" s="1">
        <v>44777</v>
      </c>
      <c r="E573" t="s">
        <v>1728</v>
      </c>
      <c r="F573" t="s">
        <v>13</v>
      </c>
      <c r="G573" t="s">
        <v>14</v>
      </c>
      <c r="H573" t="s">
        <v>15</v>
      </c>
      <c r="I573" t="s">
        <v>204</v>
      </c>
    </row>
    <row r="574" spans="1:9" x14ac:dyDescent="0.3">
      <c r="A574" t="s">
        <v>1729</v>
      </c>
      <c r="B574" t="s">
        <v>1730</v>
      </c>
      <c r="C574" t="s">
        <v>19</v>
      </c>
      <c r="D574" s="1">
        <v>44777</v>
      </c>
      <c r="E574" t="s">
        <v>1731</v>
      </c>
      <c r="F574" t="s">
        <v>13</v>
      </c>
      <c r="G574" t="s">
        <v>14</v>
      </c>
      <c r="H574" t="s">
        <v>15</v>
      </c>
      <c r="I574" t="s">
        <v>21</v>
      </c>
    </row>
    <row r="575" spans="1:9" x14ac:dyDescent="0.3">
      <c r="A575" t="s">
        <v>1732</v>
      </c>
      <c r="B575" t="s">
        <v>1733</v>
      </c>
      <c r="C575" t="s">
        <v>69</v>
      </c>
      <c r="D575" s="1">
        <v>44777</v>
      </c>
      <c r="E575" t="s">
        <v>1734</v>
      </c>
      <c r="F575" t="s">
        <v>13</v>
      </c>
      <c r="G575" t="s">
        <v>174</v>
      </c>
      <c r="H575" t="s">
        <v>15</v>
      </c>
      <c r="I575" t="s">
        <v>71</v>
      </c>
    </row>
    <row r="576" spans="1:9" x14ac:dyDescent="0.3">
      <c r="A576" t="s">
        <v>1735</v>
      </c>
      <c r="B576" t="s">
        <v>1736</v>
      </c>
      <c r="C576" t="s">
        <v>45</v>
      </c>
      <c r="D576" s="1">
        <v>44777</v>
      </c>
      <c r="E576" t="s">
        <v>1737</v>
      </c>
      <c r="F576" t="s">
        <v>13</v>
      </c>
      <c r="G576" t="s">
        <v>14</v>
      </c>
      <c r="H576" t="s">
        <v>15</v>
      </c>
      <c r="I576" t="s">
        <v>47</v>
      </c>
    </row>
    <row r="577" spans="1:9" x14ac:dyDescent="0.3">
      <c r="A577" t="s">
        <v>1738</v>
      </c>
      <c r="B577" t="s">
        <v>1739</v>
      </c>
      <c r="C577" t="s">
        <v>54</v>
      </c>
      <c r="D577" s="1">
        <v>44777</v>
      </c>
      <c r="E577" t="s">
        <v>1740</v>
      </c>
      <c r="F577" t="s">
        <v>13</v>
      </c>
      <c r="G577" t="s">
        <v>14</v>
      </c>
      <c r="H577" t="s">
        <v>15</v>
      </c>
      <c r="I577" t="s">
        <v>238</v>
      </c>
    </row>
    <row r="578" spans="1:9" x14ac:dyDescent="0.3">
      <c r="A578" t="s">
        <v>1741</v>
      </c>
      <c r="B578" t="s">
        <v>1742</v>
      </c>
      <c r="C578" t="s">
        <v>33</v>
      </c>
      <c r="D578" s="1">
        <v>44777</v>
      </c>
      <c r="E578" t="s">
        <v>1743</v>
      </c>
      <c r="F578" t="s">
        <v>13</v>
      </c>
      <c r="G578" t="s">
        <v>14</v>
      </c>
      <c r="H578" t="s">
        <v>15</v>
      </c>
      <c r="I578" t="s">
        <v>94</v>
      </c>
    </row>
    <row r="579" spans="1:9" x14ac:dyDescent="0.3">
      <c r="A579" t="s">
        <v>1744</v>
      </c>
      <c r="B579" t="s">
        <v>1745</v>
      </c>
      <c r="C579" t="s">
        <v>33</v>
      </c>
      <c r="D579" s="1">
        <v>44778</v>
      </c>
      <c r="E579" t="s">
        <v>1746</v>
      </c>
      <c r="F579" t="s">
        <v>13</v>
      </c>
      <c r="G579" t="s">
        <v>14</v>
      </c>
      <c r="H579" t="s">
        <v>15</v>
      </c>
      <c r="I579" t="s">
        <v>94</v>
      </c>
    </row>
    <row r="580" spans="1:9" x14ac:dyDescent="0.3">
      <c r="A580" t="s">
        <v>610</v>
      </c>
      <c r="B580" t="s">
        <v>1747</v>
      </c>
      <c r="C580" t="s">
        <v>19</v>
      </c>
      <c r="D580" s="1">
        <v>44779</v>
      </c>
      <c r="E580" t="s">
        <v>1748</v>
      </c>
      <c r="F580" t="s">
        <v>13</v>
      </c>
      <c r="G580" t="s">
        <v>14</v>
      </c>
      <c r="H580" t="s">
        <v>15</v>
      </c>
    </row>
    <row r="581" spans="1:9" x14ac:dyDescent="0.3">
      <c r="A581" t="s">
        <v>1749</v>
      </c>
      <c r="B581" t="s">
        <v>1750</v>
      </c>
      <c r="C581" t="s">
        <v>45</v>
      </c>
      <c r="D581" s="1">
        <v>44779</v>
      </c>
      <c r="E581" t="s">
        <v>1751</v>
      </c>
      <c r="F581" t="s">
        <v>13</v>
      </c>
      <c r="G581" t="s">
        <v>14</v>
      </c>
      <c r="H581" t="s">
        <v>15</v>
      </c>
    </row>
    <row r="582" spans="1:9" x14ac:dyDescent="0.3">
      <c r="A582" t="s">
        <v>1752</v>
      </c>
      <c r="B582" t="s">
        <v>1753</v>
      </c>
      <c r="C582" t="s">
        <v>29</v>
      </c>
      <c r="D582" s="1">
        <v>44779</v>
      </c>
      <c r="E582" t="s">
        <v>1754</v>
      </c>
      <c r="F582" t="s">
        <v>13</v>
      </c>
      <c r="G582" t="s">
        <v>14</v>
      </c>
      <c r="H582" t="s">
        <v>15</v>
      </c>
      <c r="I582" t="s">
        <v>204</v>
      </c>
    </row>
    <row r="583" spans="1:9" x14ac:dyDescent="0.3">
      <c r="A583" t="s">
        <v>1755</v>
      </c>
      <c r="B583" t="s">
        <v>1756</v>
      </c>
      <c r="C583" t="s">
        <v>54</v>
      </c>
      <c r="D583" s="1">
        <v>44780</v>
      </c>
      <c r="E583" t="s">
        <v>1757</v>
      </c>
      <c r="F583" t="s">
        <v>13</v>
      </c>
      <c r="G583" t="s">
        <v>14</v>
      </c>
      <c r="H583" t="s">
        <v>15</v>
      </c>
      <c r="I583" t="s">
        <v>238</v>
      </c>
    </row>
    <row r="584" spans="1:9" x14ac:dyDescent="0.3">
      <c r="A584" t="s">
        <v>1758</v>
      </c>
      <c r="B584" t="s">
        <v>1759</v>
      </c>
      <c r="C584" t="s">
        <v>24</v>
      </c>
      <c r="D584" s="1">
        <v>44780</v>
      </c>
      <c r="E584" t="s">
        <v>1760</v>
      </c>
      <c r="F584" t="s">
        <v>13</v>
      </c>
      <c r="G584" t="s">
        <v>14</v>
      </c>
      <c r="H584" t="s">
        <v>15</v>
      </c>
      <c r="I584" t="s">
        <v>63</v>
      </c>
    </row>
    <row r="585" spans="1:9" x14ac:dyDescent="0.3">
      <c r="A585" t="s">
        <v>1761</v>
      </c>
      <c r="B585" t="s">
        <v>1762</v>
      </c>
      <c r="C585" t="s">
        <v>33</v>
      </c>
      <c r="D585" s="1">
        <v>44781</v>
      </c>
      <c r="E585" t="s">
        <v>1763</v>
      </c>
      <c r="F585" t="s">
        <v>13</v>
      </c>
      <c r="G585" t="s">
        <v>14</v>
      </c>
      <c r="H585" t="s">
        <v>15</v>
      </c>
      <c r="I585" t="s">
        <v>51</v>
      </c>
    </row>
    <row r="586" spans="1:9" x14ac:dyDescent="0.3">
      <c r="A586" t="s">
        <v>1764</v>
      </c>
      <c r="B586" t="s">
        <v>1765</v>
      </c>
      <c r="C586" t="s">
        <v>45</v>
      </c>
      <c r="D586" s="1">
        <v>44781</v>
      </c>
      <c r="E586" t="s">
        <v>1766</v>
      </c>
      <c r="F586" t="s">
        <v>13</v>
      </c>
      <c r="G586" t="s">
        <v>14</v>
      </c>
      <c r="H586" t="s">
        <v>15</v>
      </c>
      <c r="I586" t="s">
        <v>248</v>
      </c>
    </row>
    <row r="587" spans="1:9" x14ac:dyDescent="0.3">
      <c r="A587" t="s">
        <v>1767</v>
      </c>
      <c r="B587" t="s">
        <v>1768</v>
      </c>
      <c r="C587" t="s">
        <v>45</v>
      </c>
      <c r="D587" s="1">
        <v>44782</v>
      </c>
      <c r="E587" t="s">
        <v>1769</v>
      </c>
      <c r="F587" t="s">
        <v>13</v>
      </c>
      <c r="G587" t="s">
        <v>174</v>
      </c>
      <c r="H587" t="s">
        <v>15</v>
      </c>
    </row>
    <row r="588" spans="1:9" x14ac:dyDescent="0.3">
      <c r="A588" t="s">
        <v>1770</v>
      </c>
      <c r="B588" t="s">
        <v>1771</v>
      </c>
      <c r="C588" t="s">
        <v>29</v>
      </c>
      <c r="D588" s="1">
        <v>44782</v>
      </c>
      <c r="E588" t="s">
        <v>1772</v>
      </c>
      <c r="F588" t="s">
        <v>13</v>
      </c>
      <c r="G588" t="s">
        <v>14</v>
      </c>
      <c r="H588" t="s">
        <v>15</v>
      </c>
      <c r="I588" t="s">
        <v>204</v>
      </c>
    </row>
    <row r="589" spans="1:9" x14ac:dyDescent="0.3">
      <c r="A589" t="s">
        <v>1773</v>
      </c>
      <c r="B589" t="s">
        <v>1774</v>
      </c>
      <c r="C589" t="s">
        <v>29</v>
      </c>
      <c r="D589" s="1">
        <v>44782</v>
      </c>
      <c r="E589" t="s">
        <v>1775</v>
      </c>
      <c r="F589" t="s">
        <v>13</v>
      </c>
      <c r="G589" t="s">
        <v>14</v>
      </c>
      <c r="H589" t="s">
        <v>15</v>
      </c>
      <c r="I589" t="s">
        <v>204</v>
      </c>
    </row>
    <row r="590" spans="1:9" x14ac:dyDescent="0.3">
      <c r="A590" t="s">
        <v>1776</v>
      </c>
      <c r="B590" t="s">
        <v>1777</v>
      </c>
      <c r="C590" t="s">
        <v>54</v>
      </c>
      <c r="D590" s="1">
        <v>44782</v>
      </c>
      <c r="E590" t="s">
        <v>1778</v>
      </c>
      <c r="F590" t="s">
        <v>13</v>
      </c>
      <c r="G590" t="s">
        <v>14</v>
      </c>
      <c r="H590" t="s">
        <v>15</v>
      </c>
      <c r="I590" t="s">
        <v>181</v>
      </c>
    </row>
    <row r="591" spans="1:9" x14ac:dyDescent="0.3">
      <c r="A591" t="s">
        <v>1779</v>
      </c>
      <c r="B591" t="s">
        <v>1780</v>
      </c>
      <c r="C591" t="s">
        <v>33</v>
      </c>
      <c r="D591" s="1">
        <v>44784</v>
      </c>
      <c r="E591" t="s">
        <v>1781</v>
      </c>
      <c r="F591" t="s">
        <v>13</v>
      </c>
      <c r="G591" t="s">
        <v>14</v>
      </c>
      <c r="H591" t="s">
        <v>15</v>
      </c>
      <c r="I591" t="s">
        <v>51</v>
      </c>
    </row>
    <row r="592" spans="1:9" x14ac:dyDescent="0.3">
      <c r="A592" t="s">
        <v>1782</v>
      </c>
      <c r="B592" t="s">
        <v>1783</v>
      </c>
      <c r="C592" t="s">
        <v>33</v>
      </c>
      <c r="D592" s="1">
        <v>44784</v>
      </c>
      <c r="E592" t="s">
        <v>1784</v>
      </c>
      <c r="F592" t="s">
        <v>13</v>
      </c>
      <c r="G592" t="s">
        <v>14</v>
      </c>
      <c r="H592" t="s">
        <v>15</v>
      </c>
      <c r="I592" t="s">
        <v>94</v>
      </c>
    </row>
    <row r="593" spans="1:9" x14ac:dyDescent="0.3">
      <c r="A593" t="s">
        <v>1785</v>
      </c>
      <c r="B593" t="s">
        <v>1786</v>
      </c>
      <c r="C593" t="s">
        <v>11</v>
      </c>
      <c r="D593" s="1">
        <v>44784</v>
      </c>
      <c r="E593" t="s">
        <v>1787</v>
      </c>
      <c r="F593" t="s">
        <v>13</v>
      </c>
      <c r="G593" t="s">
        <v>14</v>
      </c>
      <c r="H593" t="s">
        <v>15</v>
      </c>
    </row>
    <row r="594" spans="1:9" x14ac:dyDescent="0.3">
      <c r="A594" t="s">
        <v>1788</v>
      </c>
      <c r="B594" t="s">
        <v>1789</v>
      </c>
      <c r="C594" t="s">
        <v>11</v>
      </c>
      <c r="D594" s="1">
        <v>44784</v>
      </c>
      <c r="E594" t="s">
        <v>1790</v>
      </c>
      <c r="F594" t="s">
        <v>13</v>
      </c>
      <c r="G594" t="s">
        <v>14</v>
      </c>
      <c r="H594" t="s">
        <v>15</v>
      </c>
      <c r="I594" t="s">
        <v>16</v>
      </c>
    </row>
    <row r="595" spans="1:9" x14ac:dyDescent="0.3">
      <c r="A595" t="s">
        <v>1791</v>
      </c>
      <c r="B595" t="s">
        <v>1792</v>
      </c>
      <c r="C595" t="s">
        <v>11</v>
      </c>
      <c r="D595" s="1">
        <v>44784</v>
      </c>
      <c r="E595" t="s">
        <v>1793</v>
      </c>
      <c r="F595" t="s">
        <v>13</v>
      </c>
      <c r="G595" t="s">
        <v>14</v>
      </c>
      <c r="H595" t="s">
        <v>15</v>
      </c>
      <c r="I595" t="s">
        <v>185</v>
      </c>
    </row>
    <row r="596" spans="1:9" x14ac:dyDescent="0.3">
      <c r="A596" t="s">
        <v>1794</v>
      </c>
      <c r="B596" t="s">
        <v>1795</v>
      </c>
      <c r="C596" t="s">
        <v>29</v>
      </c>
      <c r="D596" s="1">
        <v>44784</v>
      </c>
      <c r="E596" t="s">
        <v>1796</v>
      </c>
      <c r="F596" t="s">
        <v>13</v>
      </c>
      <c r="G596" t="s">
        <v>14</v>
      </c>
      <c r="H596" t="s">
        <v>15</v>
      </c>
      <c r="I596" t="s">
        <v>204</v>
      </c>
    </row>
    <row r="597" spans="1:9" x14ac:dyDescent="0.3">
      <c r="A597" t="s">
        <v>64</v>
      </c>
      <c r="B597" t="s">
        <v>1797</v>
      </c>
      <c r="C597" t="s">
        <v>19</v>
      </c>
      <c r="D597" s="1">
        <v>44785</v>
      </c>
      <c r="E597" t="s">
        <v>1798</v>
      </c>
      <c r="F597" t="s">
        <v>13</v>
      </c>
      <c r="G597" t="s">
        <v>14</v>
      </c>
      <c r="H597" t="s">
        <v>15</v>
      </c>
      <c r="I597" t="s">
        <v>116</v>
      </c>
    </row>
    <row r="598" spans="1:9" x14ac:dyDescent="0.3">
      <c r="A598" t="s">
        <v>812</v>
      </c>
      <c r="B598" t="s">
        <v>1799</v>
      </c>
      <c r="C598" t="s">
        <v>19</v>
      </c>
      <c r="D598" s="1">
        <v>44785</v>
      </c>
      <c r="E598" t="s">
        <v>1800</v>
      </c>
      <c r="F598" t="s">
        <v>13</v>
      </c>
      <c r="G598" t="s">
        <v>14</v>
      </c>
      <c r="H598" t="s">
        <v>15</v>
      </c>
      <c r="I598" t="s">
        <v>116</v>
      </c>
    </row>
    <row r="599" spans="1:9" x14ac:dyDescent="0.3">
      <c r="A599" t="s">
        <v>1801</v>
      </c>
      <c r="B599" t="s">
        <v>1802</v>
      </c>
      <c r="C599" t="s">
        <v>29</v>
      </c>
      <c r="D599" s="1">
        <v>44785</v>
      </c>
      <c r="E599" t="s">
        <v>1803</v>
      </c>
      <c r="F599" t="s">
        <v>13</v>
      </c>
      <c r="G599" t="s">
        <v>14</v>
      </c>
      <c r="H599" t="s">
        <v>15</v>
      </c>
      <c r="I599" t="s">
        <v>81</v>
      </c>
    </row>
    <row r="600" spans="1:9" x14ac:dyDescent="0.3">
      <c r="A600" t="s">
        <v>1804</v>
      </c>
      <c r="B600" t="s">
        <v>1805</v>
      </c>
      <c r="C600" t="s">
        <v>24</v>
      </c>
      <c r="D600" s="1">
        <v>44785</v>
      </c>
      <c r="E600" t="s">
        <v>1806</v>
      </c>
      <c r="F600" t="s">
        <v>13</v>
      </c>
      <c r="G600" t="s">
        <v>14</v>
      </c>
      <c r="H600" t="s">
        <v>15</v>
      </c>
      <c r="I600" t="s">
        <v>59</v>
      </c>
    </row>
    <row r="601" spans="1:9" x14ac:dyDescent="0.3">
      <c r="A601" t="s">
        <v>694</v>
      </c>
      <c r="B601" t="s">
        <v>1807</v>
      </c>
      <c r="C601" t="s">
        <v>19</v>
      </c>
      <c r="D601" s="1">
        <v>44787</v>
      </c>
      <c r="E601" t="s">
        <v>1808</v>
      </c>
      <c r="F601" t="s">
        <v>13</v>
      </c>
      <c r="G601" t="s">
        <v>14</v>
      </c>
      <c r="H601" t="s">
        <v>15</v>
      </c>
    </row>
    <row r="602" spans="1:9" x14ac:dyDescent="0.3">
      <c r="A602" t="s">
        <v>1809</v>
      </c>
      <c r="B602" t="s">
        <v>1810</v>
      </c>
      <c r="C602" t="s">
        <v>29</v>
      </c>
      <c r="D602" s="1">
        <v>44787</v>
      </c>
      <c r="E602" t="s">
        <v>1811</v>
      </c>
      <c r="F602" t="s">
        <v>13</v>
      </c>
      <c r="G602" t="s">
        <v>14</v>
      </c>
      <c r="H602" t="s">
        <v>15</v>
      </c>
    </row>
    <row r="603" spans="1:9" x14ac:dyDescent="0.3">
      <c r="A603" t="s">
        <v>1812</v>
      </c>
      <c r="B603" t="s">
        <v>1813</v>
      </c>
      <c r="C603" t="s">
        <v>54</v>
      </c>
      <c r="D603" s="1">
        <v>44787</v>
      </c>
      <c r="E603" t="s">
        <v>1814</v>
      </c>
      <c r="F603" t="s">
        <v>13</v>
      </c>
      <c r="G603" t="s">
        <v>14</v>
      </c>
      <c r="H603" t="s">
        <v>15</v>
      </c>
    </row>
    <row r="604" spans="1:9" x14ac:dyDescent="0.3">
      <c r="A604" t="s">
        <v>1815</v>
      </c>
      <c r="B604" t="s">
        <v>1816</v>
      </c>
      <c r="C604" t="s">
        <v>29</v>
      </c>
      <c r="D604" s="1">
        <v>44787</v>
      </c>
      <c r="E604" t="s">
        <v>1817</v>
      </c>
      <c r="F604" t="s">
        <v>13</v>
      </c>
      <c r="G604" t="s">
        <v>14</v>
      </c>
      <c r="H604" t="s">
        <v>15</v>
      </c>
      <c r="I604" t="s">
        <v>81</v>
      </c>
    </row>
    <row r="605" spans="1:9" x14ac:dyDescent="0.3">
      <c r="A605" t="s">
        <v>1818</v>
      </c>
      <c r="B605" t="s">
        <v>1819</v>
      </c>
      <c r="C605" t="s">
        <v>11</v>
      </c>
      <c r="D605" s="1">
        <v>44788</v>
      </c>
      <c r="E605" t="s">
        <v>1820</v>
      </c>
      <c r="F605" t="s">
        <v>13</v>
      </c>
      <c r="G605" t="s">
        <v>14</v>
      </c>
      <c r="H605" t="s">
        <v>15</v>
      </c>
    </row>
    <row r="606" spans="1:9" x14ac:dyDescent="0.3">
      <c r="A606" t="s">
        <v>1821</v>
      </c>
      <c r="B606" t="s">
        <v>1822</v>
      </c>
      <c r="C606" t="s">
        <v>54</v>
      </c>
      <c r="D606" s="1">
        <v>44788</v>
      </c>
      <c r="E606" t="s">
        <v>1823</v>
      </c>
      <c r="F606" t="s">
        <v>13</v>
      </c>
      <c r="G606" t="s">
        <v>14</v>
      </c>
      <c r="H606" t="s">
        <v>15</v>
      </c>
      <c r="I606" t="s">
        <v>238</v>
      </c>
    </row>
    <row r="607" spans="1:9" x14ac:dyDescent="0.3">
      <c r="A607" t="s">
        <v>725</v>
      </c>
      <c r="B607" t="s">
        <v>1824</v>
      </c>
      <c r="C607" t="s">
        <v>19</v>
      </c>
      <c r="D607" s="1">
        <v>44788</v>
      </c>
      <c r="E607" t="s">
        <v>1825</v>
      </c>
      <c r="F607" t="s">
        <v>13</v>
      </c>
      <c r="G607" t="s">
        <v>14</v>
      </c>
      <c r="H607" t="s">
        <v>15</v>
      </c>
      <c r="I607" t="s">
        <v>21</v>
      </c>
    </row>
    <row r="608" spans="1:9" x14ac:dyDescent="0.3">
      <c r="A608" t="s">
        <v>1826</v>
      </c>
      <c r="B608" t="s">
        <v>1827</v>
      </c>
      <c r="C608" t="s">
        <v>29</v>
      </c>
      <c r="D608" s="1">
        <v>44789</v>
      </c>
      <c r="E608" t="s">
        <v>1828</v>
      </c>
      <c r="F608" t="s">
        <v>13</v>
      </c>
      <c r="G608" t="s">
        <v>14</v>
      </c>
      <c r="H608" t="s">
        <v>15</v>
      </c>
    </row>
    <row r="609" spans="1:9" x14ac:dyDescent="0.3">
      <c r="A609" t="s">
        <v>1829</v>
      </c>
      <c r="B609" t="s">
        <v>1830</v>
      </c>
      <c r="C609" t="s">
        <v>54</v>
      </c>
      <c r="D609" s="1">
        <v>44789</v>
      </c>
      <c r="E609" t="s">
        <v>1831</v>
      </c>
      <c r="F609" t="s">
        <v>13</v>
      </c>
      <c r="G609" t="s">
        <v>14</v>
      </c>
      <c r="H609" t="s">
        <v>15</v>
      </c>
      <c r="I609" t="s">
        <v>238</v>
      </c>
    </row>
    <row r="610" spans="1:9" x14ac:dyDescent="0.3">
      <c r="A610" t="s">
        <v>1832</v>
      </c>
      <c r="B610" t="s">
        <v>1833</v>
      </c>
      <c r="C610" t="s">
        <v>24</v>
      </c>
      <c r="D610" s="1">
        <v>44789</v>
      </c>
      <c r="E610" t="s">
        <v>1834</v>
      </c>
      <c r="F610" t="s">
        <v>13</v>
      </c>
      <c r="G610" t="s">
        <v>14</v>
      </c>
      <c r="H610" t="s">
        <v>15</v>
      </c>
      <c r="I610" t="s">
        <v>63</v>
      </c>
    </row>
    <row r="611" spans="1:9" x14ac:dyDescent="0.3">
      <c r="A611" t="s">
        <v>1835</v>
      </c>
      <c r="B611" t="s">
        <v>1836</v>
      </c>
      <c r="C611" t="s">
        <v>24</v>
      </c>
      <c r="D611" s="1">
        <v>44789</v>
      </c>
      <c r="E611" t="s">
        <v>1837</v>
      </c>
      <c r="F611" t="s">
        <v>13</v>
      </c>
      <c r="G611" t="s">
        <v>14</v>
      </c>
      <c r="H611" t="s">
        <v>15</v>
      </c>
    </row>
    <row r="612" spans="1:9" x14ac:dyDescent="0.3">
      <c r="A612" t="s">
        <v>64</v>
      </c>
      <c r="B612" t="s">
        <v>1838</v>
      </c>
      <c r="C612" t="s">
        <v>19</v>
      </c>
      <c r="D612" s="1">
        <v>44789</v>
      </c>
      <c r="E612" t="s">
        <v>1839</v>
      </c>
      <c r="F612" t="s">
        <v>13</v>
      </c>
      <c r="G612" t="s">
        <v>14</v>
      </c>
      <c r="H612" t="s">
        <v>15</v>
      </c>
    </row>
    <row r="613" spans="1:9" x14ac:dyDescent="0.3">
      <c r="A613" t="s">
        <v>1840</v>
      </c>
      <c r="B613" t="s">
        <v>1841</v>
      </c>
      <c r="C613" t="s">
        <v>19</v>
      </c>
      <c r="D613" s="1">
        <v>44789</v>
      </c>
      <c r="E613" t="s">
        <v>1842</v>
      </c>
      <c r="F613" t="s">
        <v>13</v>
      </c>
      <c r="G613" t="s">
        <v>14</v>
      </c>
      <c r="H613" t="s">
        <v>15</v>
      </c>
    </row>
    <row r="614" spans="1:9" x14ac:dyDescent="0.3">
      <c r="A614" t="s">
        <v>1843</v>
      </c>
      <c r="B614" t="s">
        <v>1844</v>
      </c>
      <c r="C614" t="s">
        <v>11</v>
      </c>
      <c r="D614" s="1">
        <v>44790</v>
      </c>
      <c r="E614" t="s">
        <v>1845</v>
      </c>
      <c r="F614" t="s">
        <v>13</v>
      </c>
      <c r="G614" t="s">
        <v>14</v>
      </c>
      <c r="H614" t="s">
        <v>15</v>
      </c>
      <c r="I614" t="s">
        <v>16</v>
      </c>
    </row>
    <row r="615" spans="1:9" x14ac:dyDescent="0.3">
      <c r="A615" t="s">
        <v>1846</v>
      </c>
      <c r="B615" t="s">
        <v>1847</v>
      </c>
      <c r="C615" t="s">
        <v>45</v>
      </c>
      <c r="D615" s="1">
        <v>44790</v>
      </c>
      <c r="E615" t="s">
        <v>1848</v>
      </c>
      <c r="F615" t="s">
        <v>13</v>
      </c>
      <c r="G615" t="s">
        <v>14</v>
      </c>
      <c r="H615" t="s">
        <v>15</v>
      </c>
      <c r="I615" t="s">
        <v>47</v>
      </c>
    </row>
    <row r="616" spans="1:9" x14ac:dyDescent="0.3">
      <c r="A616" t="s">
        <v>1849</v>
      </c>
      <c r="B616" t="s">
        <v>1850</v>
      </c>
      <c r="C616" t="s">
        <v>33</v>
      </c>
      <c r="D616" s="1">
        <v>44791</v>
      </c>
      <c r="E616" t="s">
        <v>1851</v>
      </c>
      <c r="F616" t="s">
        <v>13</v>
      </c>
      <c r="G616" t="s">
        <v>14</v>
      </c>
      <c r="H616" t="s">
        <v>15</v>
      </c>
    </row>
    <row r="617" spans="1:9" x14ac:dyDescent="0.3">
      <c r="A617" t="s">
        <v>1852</v>
      </c>
      <c r="B617" t="s">
        <v>1853</v>
      </c>
      <c r="C617" t="s">
        <v>54</v>
      </c>
      <c r="D617" s="1">
        <v>44791</v>
      </c>
      <c r="E617" t="s">
        <v>1854</v>
      </c>
      <c r="F617" t="s">
        <v>13</v>
      </c>
      <c r="G617" t="s">
        <v>14</v>
      </c>
      <c r="H617" t="s">
        <v>15</v>
      </c>
      <c r="I617" t="s">
        <v>181</v>
      </c>
    </row>
    <row r="618" spans="1:9" x14ac:dyDescent="0.3">
      <c r="A618" t="s">
        <v>1855</v>
      </c>
      <c r="B618" t="s">
        <v>1856</v>
      </c>
      <c r="C618" t="s">
        <v>24</v>
      </c>
      <c r="D618" s="1">
        <v>44791</v>
      </c>
      <c r="E618" t="s">
        <v>1857</v>
      </c>
      <c r="F618" t="s">
        <v>13</v>
      </c>
      <c r="G618" t="s">
        <v>14</v>
      </c>
      <c r="H618" t="s">
        <v>15</v>
      </c>
      <c r="I618" t="s">
        <v>63</v>
      </c>
    </row>
    <row r="619" spans="1:9" x14ac:dyDescent="0.3">
      <c r="A619" t="s">
        <v>1858</v>
      </c>
      <c r="B619" t="s">
        <v>1859</v>
      </c>
      <c r="C619" t="s">
        <v>45</v>
      </c>
      <c r="D619" s="1">
        <v>44791</v>
      </c>
      <c r="E619" t="s">
        <v>1860</v>
      </c>
      <c r="F619" t="s">
        <v>13</v>
      </c>
      <c r="G619" t="s">
        <v>14</v>
      </c>
      <c r="H619" t="s">
        <v>15</v>
      </c>
      <c r="I619" t="s">
        <v>47</v>
      </c>
    </row>
    <row r="620" spans="1:9" x14ac:dyDescent="0.3">
      <c r="A620" t="s">
        <v>1861</v>
      </c>
      <c r="B620" t="s">
        <v>1862</v>
      </c>
      <c r="C620" t="s">
        <v>69</v>
      </c>
      <c r="D620" s="1">
        <v>44791</v>
      </c>
      <c r="E620" t="s">
        <v>1863</v>
      </c>
      <c r="F620" t="s">
        <v>13</v>
      </c>
      <c r="G620" t="s">
        <v>14</v>
      </c>
      <c r="H620" t="s">
        <v>15</v>
      </c>
      <c r="I620" t="s">
        <v>71</v>
      </c>
    </row>
    <row r="621" spans="1:9" x14ac:dyDescent="0.3">
      <c r="A621" t="s">
        <v>1864</v>
      </c>
      <c r="B621" t="s">
        <v>1865</v>
      </c>
      <c r="C621" t="s">
        <v>69</v>
      </c>
      <c r="D621" s="1">
        <v>44791</v>
      </c>
      <c r="E621" t="s">
        <v>1866</v>
      </c>
      <c r="F621" t="s">
        <v>13</v>
      </c>
      <c r="G621" t="s">
        <v>14</v>
      </c>
      <c r="H621" t="s">
        <v>15</v>
      </c>
      <c r="I621" t="s">
        <v>71</v>
      </c>
    </row>
    <row r="622" spans="1:9" x14ac:dyDescent="0.3">
      <c r="A622" t="s">
        <v>1867</v>
      </c>
      <c r="B622" t="s">
        <v>1868</v>
      </c>
      <c r="C622" t="s">
        <v>24</v>
      </c>
      <c r="D622" s="1">
        <v>44792</v>
      </c>
      <c r="E622" t="s">
        <v>1869</v>
      </c>
      <c r="F622" t="s">
        <v>13</v>
      </c>
      <c r="G622" t="s">
        <v>14</v>
      </c>
      <c r="H622" t="s">
        <v>15</v>
      </c>
      <c r="I622" t="s">
        <v>63</v>
      </c>
    </row>
    <row r="623" spans="1:9" x14ac:dyDescent="0.3">
      <c r="A623" t="s">
        <v>1870</v>
      </c>
      <c r="B623" t="s">
        <v>1871</v>
      </c>
      <c r="C623" t="s">
        <v>29</v>
      </c>
      <c r="D623" s="1">
        <v>44792</v>
      </c>
      <c r="E623" t="s">
        <v>1872</v>
      </c>
      <c r="F623" t="s">
        <v>13</v>
      </c>
      <c r="G623" t="s">
        <v>14</v>
      </c>
      <c r="H623" t="s">
        <v>15</v>
      </c>
      <c r="I623" t="s">
        <v>204</v>
      </c>
    </row>
    <row r="624" spans="1:9" x14ac:dyDescent="0.3">
      <c r="A624" t="s">
        <v>1873</v>
      </c>
      <c r="B624" t="s">
        <v>1874</v>
      </c>
      <c r="C624" t="s">
        <v>24</v>
      </c>
      <c r="D624" s="1">
        <v>44792</v>
      </c>
      <c r="E624" t="s">
        <v>1875</v>
      </c>
      <c r="F624" t="s">
        <v>13</v>
      </c>
      <c r="G624" t="s">
        <v>14</v>
      </c>
      <c r="H624" t="s">
        <v>15</v>
      </c>
      <c r="I624" t="s">
        <v>26</v>
      </c>
    </row>
    <row r="625" spans="1:9" x14ac:dyDescent="0.3">
      <c r="A625" t="s">
        <v>1876</v>
      </c>
      <c r="B625" t="s">
        <v>1877</v>
      </c>
      <c r="C625" t="s">
        <v>33</v>
      </c>
      <c r="D625" s="1">
        <v>44793</v>
      </c>
      <c r="E625" t="s">
        <v>1878</v>
      </c>
      <c r="F625" t="s">
        <v>13</v>
      </c>
      <c r="G625" t="s">
        <v>14</v>
      </c>
      <c r="H625" t="s">
        <v>15</v>
      </c>
      <c r="I625" t="s">
        <v>51</v>
      </c>
    </row>
    <row r="626" spans="1:9" x14ac:dyDescent="0.3">
      <c r="A626" t="s">
        <v>1879</v>
      </c>
      <c r="B626" t="s">
        <v>1880</v>
      </c>
      <c r="C626" t="s">
        <v>11</v>
      </c>
      <c r="D626" s="1">
        <v>44793</v>
      </c>
      <c r="E626" t="s">
        <v>1881</v>
      </c>
      <c r="F626" t="s">
        <v>13</v>
      </c>
      <c r="G626" t="s">
        <v>14</v>
      </c>
      <c r="H626" t="s">
        <v>15</v>
      </c>
      <c r="I626" t="s">
        <v>16</v>
      </c>
    </row>
    <row r="627" spans="1:9" x14ac:dyDescent="0.3">
      <c r="A627" t="s">
        <v>1294</v>
      </c>
      <c r="B627" t="s">
        <v>1882</v>
      </c>
      <c r="C627" t="s">
        <v>19</v>
      </c>
      <c r="D627" s="1">
        <v>44793</v>
      </c>
      <c r="E627" t="s">
        <v>1883</v>
      </c>
      <c r="F627" t="s">
        <v>13</v>
      </c>
      <c r="G627" t="s">
        <v>14</v>
      </c>
      <c r="H627" t="s">
        <v>15</v>
      </c>
    </row>
    <row r="628" spans="1:9" x14ac:dyDescent="0.3">
      <c r="A628" t="s">
        <v>1884</v>
      </c>
      <c r="B628" t="s">
        <v>1885</v>
      </c>
      <c r="C628" t="s">
        <v>45</v>
      </c>
      <c r="D628" s="1">
        <v>44794</v>
      </c>
      <c r="E628" t="s">
        <v>1886</v>
      </c>
      <c r="F628" t="s">
        <v>13</v>
      </c>
      <c r="G628" t="s">
        <v>14</v>
      </c>
      <c r="H628" t="s">
        <v>15</v>
      </c>
      <c r="I628" t="s">
        <v>248</v>
      </c>
    </row>
    <row r="629" spans="1:9" x14ac:dyDescent="0.3">
      <c r="A629" t="s">
        <v>1315</v>
      </c>
      <c r="B629" t="s">
        <v>1887</v>
      </c>
      <c r="C629" t="s">
        <v>19</v>
      </c>
      <c r="D629" s="1">
        <v>44795</v>
      </c>
      <c r="E629" t="s">
        <v>1888</v>
      </c>
      <c r="F629" t="s">
        <v>13</v>
      </c>
      <c r="G629" t="s">
        <v>14</v>
      </c>
      <c r="H629" t="s">
        <v>15</v>
      </c>
    </row>
    <row r="630" spans="1:9" x14ac:dyDescent="0.3">
      <c r="A630" t="s">
        <v>1889</v>
      </c>
      <c r="B630" t="s">
        <v>1890</v>
      </c>
      <c r="C630" t="s">
        <v>45</v>
      </c>
      <c r="D630" s="1">
        <v>44796</v>
      </c>
      <c r="E630" t="s">
        <v>1891</v>
      </c>
      <c r="F630" t="s">
        <v>13</v>
      </c>
      <c r="G630" t="s">
        <v>14</v>
      </c>
      <c r="H630" t="s">
        <v>15</v>
      </c>
      <c r="I630" t="s">
        <v>248</v>
      </c>
    </row>
    <row r="631" spans="1:9" x14ac:dyDescent="0.3">
      <c r="A631" t="s">
        <v>1892</v>
      </c>
      <c r="B631" t="s">
        <v>1893</v>
      </c>
      <c r="C631" t="s">
        <v>29</v>
      </c>
      <c r="D631" s="1">
        <v>44796</v>
      </c>
      <c r="E631" t="s">
        <v>1894</v>
      </c>
      <c r="F631" t="s">
        <v>13</v>
      </c>
      <c r="G631" t="s">
        <v>14</v>
      </c>
      <c r="H631" t="s">
        <v>15</v>
      </c>
      <c r="I631" t="s">
        <v>42</v>
      </c>
    </row>
    <row r="632" spans="1:9" x14ac:dyDescent="0.3">
      <c r="A632" t="s">
        <v>1895</v>
      </c>
      <c r="B632" t="s">
        <v>1896</v>
      </c>
      <c r="C632" t="s">
        <v>45</v>
      </c>
      <c r="D632" s="1">
        <v>44798</v>
      </c>
      <c r="E632" t="s">
        <v>1897</v>
      </c>
      <c r="F632" t="s">
        <v>13</v>
      </c>
      <c r="G632" t="s">
        <v>14</v>
      </c>
      <c r="H632" t="s">
        <v>15</v>
      </c>
    </row>
    <row r="633" spans="1:9" x14ac:dyDescent="0.3">
      <c r="A633" t="s">
        <v>1898</v>
      </c>
      <c r="B633" t="s">
        <v>1899</v>
      </c>
      <c r="C633" t="s">
        <v>69</v>
      </c>
      <c r="D633" s="1">
        <v>44798</v>
      </c>
      <c r="E633" t="s">
        <v>1900</v>
      </c>
      <c r="F633" t="s">
        <v>13</v>
      </c>
      <c r="G633" t="s">
        <v>174</v>
      </c>
      <c r="H633" t="s">
        <v>15</v>
      </c>
      <c r="I633" t="s">
        <v>71</v>
      </c>
    </row>
    <row r="634" spans="1:9" x14ac:dyDescent="0.3">
      <c r="A634" t="s">
        <v>1901</v>
      </c>
      <c r="B634" t="s">
        <v>1902</v>
      </c>
      <c r="C634" t="s">
        <v>24</v>
      </c>
      <c r="D634" s="1">
        <v>44799</v>
      </c>
      <c r="E634" t="s">
        <v>1903</v>
      </c>
      <c r="F634" t="s">
        <v>13</v>
      </c>
      <c r="G634" t="s">
        <v>14</v>
      </c>
      <c r="H634" t="s">
        <v>15</v>
      </c>
      <c r="I634" t="s">
        <v>63</v>
      </c>
    </row>
    <row r="635" spans="1:9" x14ac:dyDescent="0.3">
      <c r="A635" t="s">
        <v>1904</v>
      </c>
      <c r="B635" t="s">
        <v>1905</v>
      </c>
      <c r="C635" t="s">
        <v>54</v>
      </c>
      <c r="D635" s="1">
        <v>44799</v>
      </c>
      <c r="E635" t="s">
        <v>1906</v>
      </c>
      <c r="F635" t="s">
        <v>13</v>
      </c>
      <c r="G635" t="s">
        <v>14</v>
      </c>
      <c r="H635" t="s">
        <v>15</v>
      </c>
      <c r="I635" t="s">
        <v>238</v>
      </c>
    </row>
    <row r="636" spans="1:9" x14ac:dyDescent="0.3">
      <c r="A636" t="s">
        <v>1907</v>
      </c>
      <c r="B636" t="s">
        <v>1908</v>
      </c>
      <c r="C636" t="s">
        <v>69</v>
      </c>
      <c r="D636" s="1">
        <v>44799</v>
      </c>
      <c r="E636" t="s">
        <v>1909</v>
      </c>
      <c r="F636" t="s">
        <v>13</v>
      </c>
      <c r="G636" t="s">
        <v>14</v>
      </c>
      <c r="H636" t="s">
        <v>15</v>
      </c>
      <c r="I636" t="s">
        <v>71</v>
      </c>
    </row>
    <row r="637" spans="1:9" x14ac:dyDescent="0.3">
      <c r="A637" t="s">
        <v>1910</v>
      </c>
      <c r="B637" t="s">
        <v>1911</v>
      </c>
      <c r="C637" t="s">
        <v>29</v>
      </c>
      <c r="D637" s="1">
        <v>44800</v>
      </c>
      <c r="E637" t="s">
        <v>1912</v>
      </c>
      <c r="F637" t="s">
        <v>13</v>
      </c>
      <c r="G637" t="s">
        <v>14</v>
      </c>
      <c r="H637" t="s">
        <v>15</v>
      </c>
      <c r="I637" t="s">
        <v>204</v>
      </c>
    </row>
    <row r="638" spans="1:9" x14ac:dyDescent="0.3">
      <c r="A638" t="s">
        <v>1913</v>
      </c>
      <c r="B638" t="s">
        <v>1914</v>
      </c>
      <c r="C638" t="s">
        <v>33</v>
      </c>
      <c r="D638" s="1">
        <v>44800</v>
      </c>
      <c r="E638" t="s">
        <v>1915</v>
      </c>
      <c r="F638" t="s">
        <v>13</v>
      </c>
      <c r="G638" t="s">
        <v>14</v>
      </c>
      <c r="H638" t="s">
        <v>15</v>
      </c>
    </row>
    <row r="639" spans="1:9" x14ac:dyDescent="0.3">
      <c r="A639" t="s">
        <v>1729</v>
      </c>
      <c r="B639" t="s">
        <v>1916</v>
      </c>
      <c r="C639" t="s">
        <v>19</v>
      </c>
      <c r="D639" s="1">
        <v>44801</v>
      </c>
      <c r="E639" t="s">
        <v>1917</v>
      </c>
      <c r="F639" t="s">
        <v>13</v>
      </c>
      <c r="G639" t="s">
        <v>14</v>
      </c>
      <c r="H639" t="s">
        <v>15</v>
      </c>
    </row>
    <row r="640" spans="1:9" x14ac:dyDescent="0.3">
      <c r="A640" t="s">
        <v>1918</v>
      </c>
      <c r="B640" t="s">
        <v>1919</v>
      </c>
      <c r="C640" t="s">
        <v>19</v>
      </c>
      <c r="D640" s="1">
        <v>44801</v>
      </c>
      <c r="E640" t="s">
        <v>1920</v>
      </c>
      <c r="F640" t="s">
        <v>13</v>
      </c>
      <c r="G640" t="s">
        <v>14</v>
      </c>
      <c r="H640" t="s">
        <v>15</v>
      </c>
      <c r="I640" t="s">
        <v>116</v>
      </c>
    </row>
    <row r="641" spans="1:9" x14ac:dyDescent="0.3">
      <c r="A641" t="s">
        <v>1921</v>
      </c>
      <c r="B641" t="s">
        <v>1922</v>
      </c>
      <c r="C641" t="s">
        <v>69</v>
      </c>
      <c r="D641" s="1">
        <v>44801</v>
      </c>
      <c r="E641" t="s">
        <v>1923</v>
      </c>
      <c r="F641" t="s">
        <v>13</v>
      </c>
      <c r="G641" t="s">
        <v>14</v>
      </c>
      <c r="H641" t="s">
        <v>15</v>
      </c>
      <c r="I641" t="s">
        <v>71</v>
      </c>
    </row>
    <row r="642" spans="1:9" x14ac:dyDescent="0.3">
      <c r="A642" t="s">
        <v>1924</v>
      </c>
      <c r="B642" t="s">
        <v>1925</v>
      </c>
      <c r="C642" t="s">
        <v>45</v>
      </c>
      <c r="D642" s="1">
        <v>44802</v>
      </c>
      <c r="E642" t="s">
        <v>1926</v>
      </c>
      <c r="F642" t="s">
        <v>13</v>
      </c>
      <c r="G642" t="s">
        <v>14</v>
      </c>
      <c r="H642" t="s">
        <v>15</v>
      </c>
      <c r="I642" t="s">
        <v>248</v>
      </c>
    </row>
    <row r="643" spans="1:9" x14ac:dyDescent="0.3">
      <c r="A643" t="s">
        <v>1927</v>
      </c>
      <c r="B643" t="s">
        <v>1928</v>
      </c>
      <c r="C643" t="s">
        <v>45</v>
      </c>
      <c r="D643" s="1">
        <v>44802</v>
      </c>
      <c r="E643" t="s">
        <v>1929</v>
      </c>
      <c r="F643" t="s">
        <v>13</v>
      </c>
      <c r="G643" t="s">
        <v>14</v>
      </c>
      <c r="H643" t="s">
        <v>15</v>
      </c>
      <c r="I643" t="s">
        <v>47</v>
      </c>
    </row>
    <row r="644" spans="1:9" x14ac:dyDescent="0.3">
      <c r="A644" t="s">
        <v>1930</v>
      </c>
      <c r="B644" t="s">
        <v>1931</v>
      </c>
      <c r="C644" t="s">
        <v>29</v>
      </c>
      <c r="D644" s="1">
        <v>44803</v>
      </c>
      <c r="E644" t="s">
        <v>1932</v>
      </c>
      <c r="F644" t="s">
        <v>13</v>
      </c>
      <c r="G644" t="s">
        <v>14</v>
      </c>
      <c r="H644" t="s">
        <v>15</v>
      </c>
      <c r="I644" t="s">
        <v>42</v>
      </c>
    </row>
    <row r="645" spans="1:9" x14ac:dyDescent="0.3">
      <c r="A645" t="s">
        <v>354</v>
      </c>
      <c r="B645" t="s">
        <v>1933</v>
      </c>
      <c r="C645" t="s">
        <v>19</v>
      </c>
      <c r="D645" s="1">
        <v>44803</v>
      </c>
      <c r="E645" t="s">
        <v>1934</v>
      </c>
      <c r="F645" t="s">
        <v>13</v>
      </c>
      <c r="G645" t="s">
        <v>14</v>
      </c>
      <c r="H645" t="s">
        <v>15</v>
      </c>
    </row>
    <row r="646" spans="1:9" x14ac:dyDescent="0.3">
      <c r="A646" t="s">
        <v>1935</v>
      </c>
      <c r="B646" t="s">
        <v>1936</v>
      </c>
      <c r="C646" t="s">
        <v>29</v>
      </c>
      <c r="D646" s="1">
        <v>44805</v>
      </c>
      <c r="E646" t="s">
        <v>1937</v>
      </c>
      <c r="F646" t="s">
        <v>13</v>
      </c>
      <c r="G646" t="s">
        <v>14</v>
      </c>
      <c r="H646" t="s">
        <v>15</v>
      </c>
      <c r="I646" t="s">
        <v>204</v>
      </c>
    </row>
    <row r="647" spans="1:9" x14ac:dyDescent="0.3">
      <c r="A647" t="s">
        <v>1938</v>
      </c>
      <c r="B647" t="s">
        <v>1939</v>
      </c>
      <c r="C647" t="s">
        <v>29</v>
      </c>
      <c r="D647" s="1">
        <v>44805</v>
      </c>
      <c r="E647" t="s">
        <v>1940</v>
      </c>
      <c r="F647" t="s">
        <v>13</v>
      </c>
      <c r="G647" t="s">
        <v>14</v>
      </c>
      <c r="H647" t="s">
        <v>15</v>
      </c>
      <c r="I647" t="s">
        <v>81</v>
      </c>
    </row>
    <row r="648" spans="1:9" x14ac:dyDescent="0.3">
      <c r="A648" t="s">
        <v>1941</v>
      </c>
      <c r="B648" t="s">
        <v>1942</v>
      </c>
      <c r="C648" t="s">
        <v>29</v>
      </c>
      <c r="D648" s="1">
        <v>44806</v>
      </c>
      <c r="E648" t="s">
        <v>1943</v>
      </c>
      <c r="F648" t="s">
        <v>13</v>
      </c>
      <c r="G648" t="s">
        <v>14</v>
      </c>
      <c r="H648" t="s">
        <v>15</v>
      </c>
    </row>
    <row r="649" spans="1:9" x14ac:dyDescent="0.3">
      <c r="A649" t="s">
        <v>1944</v>
      </c>
      <c r="B649" t="s">
        <v>1945</v>
      </c>
      <c r="C649" t="s">
        <v>24</v>
      </c>
      <c r="D649" s="1">
        <v>44806</v>
      </c>
      <c r="E649" t="s">
        <v>1946</v>
      </c>
      <c r="F649" t="s">
        <v>13</v>
      </c>
      <c r="G649" t="s">
        <v>14</v>
      </c>
      <c r="H649" t="s">
        <v>15</v>
      </c>
      <c r="I649" t="s">
        <v>26</v>
      </c>
    </row>
    <row r="650" spans="1:9" x14ac:dyDescent="0.3">
      <c r="A650" t="s">
        <v>1947</v>
      </c>
      <c r="B650" t="s">
        <v>1948</v>
      </c>
      <c r="C650" t="s">
        <v>29</v>
      </c>
      <c r="D650" s="1">
        <v>44807</v>
      </c>
      <c r="E650" t="s">
        <v>1949</v>
      </c>
      <c r="F650" t="s">
        <v>13</v>
      </c>
      <c r="G650" t="s">
        <v>14</v>
      </c>
      <c r="H650" t="s">
        <v>15</v>
      </c>
      <c r="I650" t="s">
        <v>42</v>
      </c>
    </row>
    <row r="651" spans="1:9" x14ac:dyDescent="0.3">
      <c r="A651" t="s">
        <v>1950</v>
      </c>
      <c r="B651" t="s">
        <v>1951</v>
      </c>
      <c r="C651" t="s">
        <v>69</v>
      </c>
      <c r="D651" s="1">
        <v>44807</v>
      </c>
      <c r="E651" t="s">
        <v>1952</v>
      </c>
      <c r="F651" t="s">
        <v>13</v>
      </c>
      <c r="G651" t="s">
        <v>14</v>
      </c>
      <c r="H651" t="s">
        <v>15</v>
      </c>
      <c r="I651" t="s">
        <v>71</v>
      </c>
    </row>
    <row r="652" spans="1:9" x14ac:dyDescent="0.3">
      <c r="A652" t="s">
        <v>1953</v>
      </c>
      <c r="B652" t="s">
        <v>1954</v>
      </c>
      <c r="C652" t="s">
        <v>33</v>
      </c>
      <c r="D652" s="1">
        <v>44808</v>
      </c>
      <c r="E652" t="s">
        <v>1955</v>
      </c>
      <c r="F652" t="s">
        <v>13</v>
      </c>
      <c r="G652" t="s">
        <v>14</v>
      </c>
      <c r="H652" t="s">
        <v>15</v>
      </c>
      <c r="I652" t="s">
        <v>94</v>
      </c>
    </row>
    <row r="653" spans="1:9" x14ac:dyDescent="0.3">
      <c r="A653" t="s">
        <v>1956</v>
      </c>
      <c r="B653" t="s">
        <v>1957</v>
      </c>
      <c r="C653" t="s">
        <v>54</v>
      </c>
      <c r="D653" s="1">
        <v>44808</v>
      </c>
      <c r="E653" t="s">
        <v>1958</v>
      </c>
      <c r="F653" t="s">
        <v>13</v>
      </c>
      <c r="G653" t="s">
        <v>14</v>
      </c>
      <c r="H653" t="s">
        <v>15</v>
      </c>
      <c r="I653" t="s">
        <v>181</v>
      </c>
    </row>
    <row r="654" spans="1:9" x14ac:dyDescent="0.3">
      <c r="A654" t="s">
        <v>1959</v>
      </c>
      <c r="B654" t="s">
        <v>1960</v>
      </c>
      <c r="C654" t="s">
        <v>45</v>
      </c>
      <c r="D654" s="1">
        <v>44808</v>
      </c>
      <c r="E654" t="s">
        <v>1961</v>
      </c>
      <c r="F654" t="s">
        <v>13</v>
      </c>
      <c r="G654" t="s">
        <v>14</v>
      </c>
      <c r="H654" t="s">
        <v>15</v>
      </c>
    </row>
    <row r="655" spans="1:9" x14ac:dyDescent="0.3">
      <c r="A655" t="s">
        <v>1962</v>
      </c>
      <c r="B655" t="s">
        <v>1963</v>
      </c>
      <c r="C655" t="s">
        <v>11</v>
      </c>
      <c r="D655" s="1">
        <v>44808</v>
      </c>
      <c r="E655" t="s">
        <v>1964</v>
      </c>
      <c r="F655" t="s">
        <v>13</v>
      </c>
      <c r="G655" t="s">
        <v>14</v>
      </c>
      <c r="H655" t="s">
        <v>15</v>
      </c>
      <c r="I655" t="s">
        <v>38</v>
      </c>
    </row>
    <row r="656" spans="1:9" x14ac:dyDescent="0.3">
      <c r="A656" t="s">
        <v>1965</v>
      </c>
      <c r="B656" t="s">
        <v>1966</v>
      </c>
      <c r="C656" t="s">
        <v>54</v>
      </c>
      <c r="D656" s="1">
        <v>44809</v>
      </c>
      <c r="E656" t="s">
        <v>1967</v>
      </c>
      <c r="F656" t="s">
        <v>13</v>
      </c>
      <c r="G656" t="s">
        <v>14</v>
      </c>
      <c r="H656" t="s">
        <v>15</v>
      </c>
    </row>
    <row r="657" spans="1:9" x14ac:dyDescent="0.3">
      <c r="A657" t="s">
        <v>1968</v>
      </c>
      <c r="B657" t="s">
        <v>1969</v>
      </c>
      <c r="C657" t="s">
        <v>11</v>
      </c>
      <c r="D657" s="1">
        <v>44809</v>
      </c>
      <c r="E657" t="s">
        <v>1970</v>
      </c>
      <c r="F657" t="s">
        <v>13</v>
      </c>
      <c r="G657" t="s">
        <v>14</v>
      </c>
      <c r="H657" t="s">
        <v>15</v>
      </c>
      <c r="I657" t="s">
        <v>38</v>
      </c>
    </row>
    <row r="658" spans="1:9" x14ac:dyDescent="0.3">
      <c r="A658" t="s">
        <v>1971</v>
      </c>
      <c r="B658" t="s">
        <v>1972</v>
      </c>
      <c r="C658" t="s">
        <v>24</v>
      </c>
      <c r="D658" s="1">
        <v>44809</v>
      </c>
      <c r="E658" t="s">
        <v>1973</v>
      </c>
      <c r="F658" t="s">
        <v>13</v>
      </c>
      <c r="G658" t="s">
        <v>14</v>
      </c>
      <c r="H658" t="s">
        <v>15</v>
      </c>
      <c r="I658" t="s">
        <v>26</v>
      </c>
    </row>
    <row r="659" spans="1:9" x14ac:dyDescent="0.3">
      <c r="A659" t="s">
        <v>1974</v>
      </c>
      <c r="B659" t="s">
        <v>1975</v>
      </c>
      <c r="C659" t="s">
        <v>54</v>
      </c>
      <c r="D659" s="1">
        <v>44809</v>
      </c>
      <c r="E659" t="s">
        <v>1976</v>
      </c>
      <c r="F659" t="s">
        <v>13</v>
      </c>
      <c r="G659" t="s">
        <v>14</v>
      </c>
      <c r="H659" t="s">
        <v>15</v>
      </c>
      <c r="I659" t="s">
        <v>238</v>
      </c>
    </row>
    <row r="660" spans="1:9" x14ac:dyDescent="0.3">
      <c r="A660" t="s">
        <v>1977</v>
      </c>
      <c r="B660" t="s">
        <v>1978</v>
      </c>
      <c r="C660" t="s">
        <v>54</v>
      </c>
      <c r="D660" s="1">
        <v>44809</v>
      </c>
      <c r="E660" t="s">
        <v>1979</v>
      </c>
      <c r="F660" t="s">
        <v>13</v>
      </c>
      <c r="G660" t="s">
        <v>14</v>
      </c>
      <c r="H660" t="s">
        <v>15</v>
      </c>
      <c r="I660" t="s">
        <v>181</v>
      </c>
    </row>
    <row r="661" spans="1:9" x14ac:dyDescent="0.3">
      <c r="A661" t="s">
        <v>1980</v>
      </c>
      <c r="B661" t="s">
        <v>1981</v>
      </c>
      <c r="C661" t="s">
        <v>29</v>
      </c>
      <c r="D661" s="1">
        <v>44809</v>
      </c>
      <c r="E661" t="s">
        <v>1982</v>
      </c>
      <c r="F661" t="s">
        <v>13</v>
      </c>
      <c r="G661" t="s">
        <v>14</v>
      </c>
      <c r="H661" t="s">
        <v>15</v>
      </c>
      <c r="I661" t="s">
        <v>81</v>
      </c>
    </row>
    <row r="662" spans="1:9" x14ac:dyDescent="0.3">
      <c r="A662" t="s">
        <v>1983</v>
      </c>
      <c r="B662" t="s">
        <v>1984</v>
      </c>
      <c r="C662" t="s">
        <v>45</v>
      </c>
      <c r="D662" s="1">
        <v>44810</v>
      </c>
      <c r="E662" t="s">
        <v>1985</v>
      </c>
      <c r="F662" t="s">
        <v>13</v>
      </c>
      <c r="G662" t="s">
        <v>14</v>
      </c>
      <c r="H662" t="s">
        <v>15</v>
      </c>
      <c r="I662" t="s">
        <v>47</v>
      </c>
    </row>
    <row r="663" spans="1:9" x14ac:dyDescent="0.3">
      <c r="A663" t="s">
        <v>1986</v>
      </c>
      <c r="B663" t="s">
        <v>1987</v>
      </c>
      <c r="C663" t="s">
        <v>29</v>
      </c>
      <c r="D663" s="1">
        <v>44810</v>
      </c>
      <c r="E663" t="s">
        <v>1988</v>
      </c>
      <c r="F663" t="s">
        <v>13</v>
      </c>
      <c r="G663" t="s">
        <v>14</v>
      </c>
      <c r="H663" t="s">
        <v>15</v>
      </c>
      <c r="I663" t="s">
        <v>42</v>
      </c>
    </row>
    <row r="664" spans="1:9" x14ac:dyDescent="0.3">
      <c r="A664" t="s">
        <v>1989</v>
      </c>
      <c r="B664" t="s">
        <v>1990</v>
      </c>
      <c r="C664" t="s">
        <v>29</v>
      </c>
      <c r="D664" s="1">
        <v>44811</v>
      </c>
      <c r="E664" t="s">
        <v>1991</v>
      </c>
      <c r="F664" t="s">
        <v>13</v>
      </c>
      <c r="G664" t="s">
        <v>14</v>
      </c>
      <c r="H664" t="s">
        <v>15</v>
      </c>
      <c r="I664" t="s">
        <v>42</v>
      </c>
    </row>
    <row r="665" spans="1:9" x14ac:dyDescent="0.3">
      <c r="A665" t="s">
        <v>1992</v>
      </c>
      <c r="B665" t="s">
        <v>1993</v>
      </c>
      <c r="C665" t="s">
        <v>33</v>
      </c>
      <c r="D665" s="1">
        <v>44811</v>
      </c>
      <c r="E665" t="s">
        <v>1994</v>
      </c>
      <c r="F665" t="s">
        <v>13</v>
      </c>
      <c r="G665" t="s">
        <v>14</v>
      </c>
      <c r="H665" t="s">
        <v>15</v>
      </c>
      <c r="I665" t="s">
        <v>51</v>
      </c>
    </row>
    <row r="666" spans="1:9" x14ac:dyDescent="0.3">
      <c r="A666" t="s">
        <v>1995</v>
      </c>
      <c r="B666" t="s">
        <v>1996</v>
      </c>
      <c r="C666" t="s">
        <v>33</v>
      </c>
      <c r="D666" s="1">
        <v>44811</v>
      </c>
      <c r="E666" t="s">
        <v>1997</v>
      </c>
      <c r="F666" t="s">
        <v>13</v>
      </c>
      <c r="G666" t="s">
        <v>14</v>
      </c>
      <c r="H666" t="s">
        <v>15</v>
      </c>
      <c r="I666" t="s">
        <v>94</v>
      </c>
    </row>
    <row r="667" spans="1:9" x14ac:dyDescent="0.3">
      <c r="A667" t="s">
        <v>1998</v>
      </c>
      <c r="B667" t="s">
        <v>1999</v>
      </c>
      <c r="C667" t="s">
        <v>69</v>
      </c>
      <c r="D667" s="1">
        <v>44812</v>
      </c>
      <c r="E667" t="s">
        <v>2000</v>
      </c>
      <c r="F667" t="s">
        <v>13</v>
      </c>
      <c r="G667" t="s">
        <v>14</v>
      </c>
      <c r="H667" t="s">
        <v>15</v>
      </c>
      <c r="I667" t="s">
        <v>71</v>
      </c>
    </row>
    <row r="668" spans="1:9" x14ac:dyDescent="0.3">
      <c r="A668" t="s">
        <v>2001</v>
      </c>
      <c r="B668" t="s">
        <v>2002</v>
      </c>
      <c r="C668" t="s">
        <v>24</v>
      </c>
      <c r="D668" s="1">
        <v>44812</v>
      </c>
      <c r="E668" t="s">
        <v>2003</v>
      </c>
      <c r="F668" t="s">
        <v>13</v>
      </c>
      <c r="G668" t="s">
        <v>14</v>
      </c>
      <c r="H668" t="s">
        <v>15</v>
      </c>
      <c r="I668" t="s">
        <v>26</v>
      </c>
    </row>
    <row r="669" spans="1:9" x14ac:dyDescent="0.3">
      <c r="A669" t="s">
        <v>2004</v>
      </c>
      <c r="B669" t="s">
        <v>2005</v>
      </c>
      <c r="C669" t="s">
        <v>54</v>
      </c>
      <c r="D669" s="1">
        <v>44812</v>
      </c>
      <c r="E669" t="s">
        <v>2006</v>
      </c>
      <c r="F669" t="s">
        <v>13</v>
      </c>
      <c r="G669" t="s">
        <v>14</v>
      </c>
      <c r="H669" t="s">
        <v>15</v>
      </c>
    </row>
    <row r="670" spans="1:9" x14ac:dyDescent="0.3">
      <c r="A670" t="s">
        <v>2007</v>
      </c>
      <c r="B670" t="s">
        <v>2008</v>
      </c>
      <c r="C670" t="s">
        <v>24</v>
      </c>
      <c r="D670" s="1">
        <v>44812</v>
      </c>
      <c r="E670" t="s">
        <v>2009</v>
      </c>
      <c r="F670" t="s">
        <v>13</v>
      </c>
      <c r="G670" t="s">
        <v>14</v>
      </c>
      <c r="H670" t="s">
        <v>15</v>
      </c>
      <c r="I670" t="s">
        <v>63</v>
      </c>
    </row>
    <row r="671" spans="1:9" x14ac:dyDescent="0.3">
      <c r="A671" t="s">
        <v>64</v>
      </c>
      <c r="B671" t="s">
        <v>2010</v>
      </c>
      <c r="C671" t="s">
        <v>19</v>
      </c>
      <c r="D671" s="1">
        <v>44813</v>
      </c>
      <c r="E671" t="s">
        <v>2011</v>
      </c>
      <c r="F671" t="s">
        <v>13</v>
      </c>
      <c r="G671" t="s">
        <v>14</v>
      </c>
      <c r="H671" t="s">
        <v>15</v>
      </c>
    </row>
    <row r="672" spans="1:9" x14ac:dyDescent="0.3">
      <c r="A672" t="s">
        <v>2012</v>
      </c>
      <c r="B672" t="s">
        <v>2013</v>
      </c>
      <c r="C672" t="s">
        <v>29</v>
      </c>
      <c r="D672" s="1">
        <v>44813</v>
      </c>
      <c r="E672" t="s">
        <v>2014</v>
      </c>
      <c r="F672" t="s">
        <v>13</v>
      </c>
      <c r="G672" t="s">
        <v>14</v>
      </c>
      <c r="H672" t="s">
        <v>15</v>
      </c>
      <c r="I672" t="s">
        <v>42</v>
      </c>
    </row>
    <row r="673" spans="1:9" x14ac:dyDescent="0.3">
      <c r="A673" t="s">
        <v>2015</v>
      </c>
      <c r="B673" t="s">
        <v>2016</v>
      </c>
      <c r="C673" t="s">
        <v>45</v>
      </c>
      <c r="D673" s="1">
        <v>44813</v>
      </c>
      <c r="E673" t="s">
        <v>2017</v>
      </c>
      <c r="F673" t="s">
        <v>13</v>
      </c>
      <c r="G673" t="s">
        <v>14</v>
      </c>
      <c r="H673" t="s">
        <v>15</v>
      </c>
      <c r="I673" t="s">
        <v>248</v>
      </c>
    </row>
    <row r="674" spans="1:9" x14ac:dyDescent="0.3">
      <c r="A674" t="s">
        <v>2018</v>
      </c>
      <c r="B674" t="s">
        <v>2019</v>
      </c>
      <c r="C674" t="s">
        <v>33</v>
      </c>
      <c r="D674" s="1">
        <v>44813</v>
      </c>
      <c r="E674" t="s">
        <v>2020</v>
      </c>
      <c r="F674" t="s">
        <v>13</v>
      </c>
      <c r="G674" t="s">
        <v>14</v>
      </c>
      <c r="H674" t="s">
        <v>15</v>
      </c>
      <c r="I674" t="s">
        <v>94</v>
      </c>
    </row>
    <row r="675" spans="1:9" x14ac:dyDescent="0.3">
      <c r="A675" t="s">
        <v>2021</v>
      </c>
      <c r="B675" t="s">
        <v>2022</v>
      </c>
      <c r="C675" t="s">
        <v>24</v>
      </c>
      <c r="D675" s="1">
        <v>44814</v>
      </c>
      <c r="E675" t="s">
        <v>2023</v>
      </c>
      <c r="F675" t="s">
        <v>13</v>
      </c>
      <c r="G675" t="s">
        <v>14</v>
      </c>
      <c r="H675" t="s">
        <v>15</v>
      </c>
      <c r="I675" t="s">
        <v>59</v>
      </c>
    </row>
    <row r="676" spans="1:9" x14ac:dyDescent="0.3">
      <c r="A676" t="s">
        <v>2024</v>
      </c>
      <c r="B676" t="s">
        <v>2025</v>
      </c>
      <c r="C676" t="s">
        <v>33</v>
      </c>
      <c r="D676" s="1">
        <v>44814</v>
      </c>
      <c r="E676" t="s">
        <v>2026</v>
      </c>
      <c r="F676" t="s">
        <v>13</v>
      </c>
      <c r="G676" t="s">
        <v>14</v>
      </c>
      <c r="H676" t="s">
        <v>15</v>
      </c>
      <c r="I676" t="s">
        <v>94</v>
      </c>
    </row>
    <row r="677" spans="1:9" x14ac:dyDescent="0.3">
      <c r="A677" t="s">
        <v>2027</v>
      </c>
      <c r="B677" t="s">
        <v>2028</v>
      </c>
      <c r="C677" t="s">
        <v>69</v>
      </c>
      <c r="D677" s="1">
        <v>44814</v>
      </c>
      <c r="E677" t="s">
        <v>2029</v>
      </c>
      <c r="F677" t="s">
        <v>13</v>
      </c>
      <c r="G677" t="s">
        <v>14</v>
      </c>
      <c r="H677" t="s">
        <v>15</v>
      </c>
      <c r="I677" t="s">
        <v>71</v>
      </c>
    </row>
    <row r="678" spans="1:9" x14ac:dyDescent="0.3">
      <c r="A678" t="s">
        <v>2030</v>
      </c>
      <c r="B678" t="s">
        <v>2031</v>
      </c>
      <c r="C678" t="s">
        <v>24</v>
      </c>
      <c r="D678" s="1">
        <v>44814</v>
      </c>
      <c r="E678" t="s">
        <v>2032</v>
      </c>
      <c r="F678" t="s">
        <v>13</v>
      </c>
      <c r="G678" t="s">
        <v>14</v>
      </c>
      <c r="H678" t="s">
        <v>15</v>
      </c>
    </row>
    <row r="679" spans="1:9" x14ac:dyDescent="0.3">
      <c r="A679" t="s">
        <v>2033</v>
      </c>
      <c r="B679" t="s">
        <v>2034</v>
      </c>
      <c r="C679" t="s">
        <v>45</v>
      </c>
      <c r="D679" s="1">
        <v>44814</v>
      </c>
      <c r="E679" t="s">
        <v>2035</v>
      </c>
      <c r="F679" t="s">
        <v>13</v>
      </c>
      <c r="G679" t="s">
        <v>174</v>
      </c>
      <c r="H679" t="s">
        <v>15</v>
      </c>
      <c r="I679" t="s">
        <v>248</v>
      </c>
    </row>
    <row r="680" spans="1:9" x14ac:dyDescent="0.3">
      <c r="A680" t="s">
        <v>1303</v>
      </c>
      <c r="B680" t="s">
        <v>2036</v>
      </c>
      <c r="C680" t="s">
        <v>19</v>
      </c>
      <c r="D680" s="1">
        <v>44815</v>
      </c>
      <c r="E680" t="s">
        <v>2037</v>
      </c>
      <c r="F680" t="s">
        <v>13</v>
      </c>
      <c r="G680" t="s">
        <v>14</v>
      </c>
      <c r="H680" t="s">
        <v>15</v>
      </c>
      <c r="I680" t="s">
        <v>21</v>
      </c>
    </row>
    <row r="681" spans="1:9" x14ac:dyDescent="0.3">
      <c r="A681" t="s">
        <v>1368</v>
      </c>
      <c r="B681" t="s">
        <v>2038</v>
      </c>
      <c r="C681" t="s">
        <v>19</v>
      </c>
      <c r="D681" s="1">
        <v>44816</v>
      </c>
      <c r="E681" t="s">
        <v>2039</v>
      </c>
      <c r="F681" t="s">
        <v>13</v>
      </c>
      <c r="G681" t="s">
        <v>14</v>
      </c>
      <c r="H681" t="s">
        <v>15</v>
      </c>
      <c r="I681" t="s">
        <v>21</v>
      </c>
    </row>
    <row r="682" spans="1:9" x14ac:dyDescent="0.3">
      <c r="A682" t="s">
        <v>2040</v>
      </c>
      <c r="B682" t="s">
        <v>2041</v>
      </c>
      <c r="C682" t="s">
        <v>33</v>
      </c>
      <c r="D682" s="1">
        <v>44817</v>
      </c>
      <c r="E682" t="s">
        <v>2042</v>
      </c>
      <c r="F682" t="s">
        <v>13</v>
      </c>
      <c r="G682" t="s">
        <v>14</v>
      </c>
      <c r="H682" t="s">
        <v>15</v>
      </c>
    </row>
    <row r="683" spans="1:9" x14ac:dyDescent="0.3">
      <c r="A683" t="s">
        <v>2043</v>
      </c>
      <c r="B683" t="s">
        <v>2044</v>
      </c>
      <c r="C683" t="s">
        <v>24</v>
      </c>
      <c r="D683" s="1">
        <v>44818</v>
      </c>
      <c r="E683" t="s">
        <v>2045</v>
      </c>
      <c r="F683" t="s">
        <v>13</v>
      </c>
      <c r="G683" t="s">
        <v>14</v>
      </c>
      <c r="H683" t="s">
        <v>15</v>
      </c>
    </row>
    <row r="684" spans="1:9" x14ac:dyDescent="0.3">
      <c r="A684" t="s">
        <v>2046</v>
      </c>
      <c r="B684" t="s">
        <v>2047</v>
      </c>
      <c r="C684" t="s">
        <v>69</v>
      </c>
      <c r="D684" s="1">
        <v>44818</v>
      </c>
      <c r="E684" t="s">
        <v>2048</v>
      </c>
      <c r="F684" t="s">
        <v>13</v>
      </c>
      <c r="G684" t="s">
        <v>14</v>
      </c>
      <c r="H684" t="s">
        <v>15</v>
      </c>
      <c r="I684" t="s">
        <v>71</v>
      </c>
    </row>
    <row r="685" spans="1:9" x14ac:dyDescent="0.3">
      <c r="A685" t="s">
        <v>1671</v>
      </c>
      <c r="B685" t="s">
        <v>2049</v>
      </c>
      <c r="C685" t="s">
        <v>19</v>
      </c>
      <c r="D685" s="1">
        <v>44818</v>
      </c>
      <c r="E685" t="s">
        <v>2050</v>
      </c>
      <c r="F685" t="s">
        <v>13</v>
      </c>
      <c r="G685" t="s">
        <v>14</v>
      </c>
      <c r="H685" t="s">
        <v>15</v>
      </c>
    </row>
    <row r="686" spans="1:9" x14ac:dyDescent="0.3">
      <c r="A686" t="s">
        <v>2051</v>
      </c>
      <c r="B686" t="s">
        <v>2052</v>
      </c>
      <c r="C686" t="s">
        <v>33</v>
      </c>
      <c r="D686" s="1">
        <v>44818</v>
      </c>
      <c r="E686" t="s">
        <v>2053</v>
      </c>
      <c r="F686" t="s">
        <v>13</v>
      </c>
      <c r="G686" t="s">
        <v>14</v>
      </c>
      <c r="H686" t="s">
        <v>15</v>
      </c>
    </row>
    <row r="687" spans="1:9" x14ac:dyDescent="0.3">
      <c r="A687" t="s">
        <v>2054</v>
      </c>
      <c r="B687" t="s">
        <v>2055</v>
      </c>
      <c r="C687" t="s">
        <v>33</v>
      </c>
      <c r="D687" s="1">
        <v>44819</v>
      </c>
      <c r="E687" t="s">
        <v>2056</v>
      </c>
      <c r="F687" t="s">
        <v>13</v>
      </c>
      <c r="G687" t="s">
        <v>14</v>
      </c>
      <c r="H687" t="s">
        <v>15</v>
      </c>
    </row>
    <row r="688" spans="1:9" x14ac:dyDescent="0.3">
      <c r="A688" t="s">
        <v>2057</v>
      </c>
      <c r="B688" t="s">
        <v>2058</v>
      </c>
      <c r="C688" t="s">
        <v>69</v>
      </c>
      <c r="D688" s="1">
        <v>44819</v>
      </c>
      <c r="E688" t="s">
        <v>2059</v>
      </c>
      <c r="F688" t="s">
        <v>13</v>
      </c>
      <c r="G688" t="s">
        <v>14</v>
      </c>
      <c r="H688" t="s">
        <v>15</v>
      </c>
      <c r="I688" t="s">
        <v>71</v>
      </c>
    </row>
    <row r="689" spans="1:9" x14ac:dyDescent="0.3">
      <c r="A689" t="s">
        <v>2060</v>
      </c>
      <c r="B689" t="s">
        <v>2061</v>
      </c>
      <c r="C689" t="s">
        <v>69</v>
      </c>
      <c r="D689" s="1">
        <v>44820</v>
      </c>
      <c r="E689" t="s">
        <v>2062</v>
      </c>
      <c r="F689" t="s">
        <v>13</v>
      </c>
      <c r="G689" t="s">
        <v>14</v>
      </c>
      <c r="H689" t="s">
        <v>15</v>
      </c>
    </row>
    <row r="690" spans="1:9" x14ac:dyDescent="0.3">
      <c r="A690" t="s">
        <v>2063</v>
      </c>
      <c r="B690" t="s">
        <v>2064</v>
      </c>
      <c r="C690" t="s">
        <v>33</v>
      </c>
      <c r="D690" s="1">
        <v>44820</v>
      </c>
      <c r="E690" t="s">
        <v>2065</v>
      </c>
      <c r="F690" t="s">
        <v>13</v>
      </c>
      <c r="G690" t="s">
        <v>14</v>
      </c>
      <c r="H690" t="s">
        <v>15</v>
      </c>
      <c r="I690" t="s">
        <v>51</v>
      </c>
    </row>
    <row r="691" spans="1:9" x14ac:dyDescent="0.3">
      <c r="A691" t="s">
        <v>2066</v>
      </c>
      <c r="B691" t="s">
        <v>2067</v>
      </c>
      <c r="C691" t="s">
        <v>69</v>
      </c>
      <c r="D691" s="1">
        <v>44820</v>
      </c>
      <c r="E691" t="s">
        <v>2068</v>
      </c>
      <c r="F691" t="s">
        <v>13</v>
      </c>
      <c r="G691" t="s">
        <v>14</v>
      </c>
      <c r="H691" t="s">
        <v>15</v>
      </c>
      <c r="I691" t="s">
        <v>71</v>
      </c>
    </row>
    <row r="692" spans="1:9" x14ac:dyDescent="0.3">
      <c r="A692" t="s">
        <v>2069</v>
      </c>
      <c r="B692" t="s">
        <v>2070</v>
      </c>
      <c r="C692" t="s">
        <v>11</v>
      </c>
      <c r="D692" s="1">
        <v>44821</v>
      </c>
      <c r="E692" t="s">
        <v>2071</v>
      </c>
      <c r="F692" t="s">
        <v>13</v>
      </c>
      <c r="G692" t="s">
        <v>14</v>
      </c>
      <c r="H692" t="s">
        <v>15</v>
      </c>
      <c r="I692" t="s">
        <v>38</v>
      </c>
    </row>
    <row r="693" spans="1:9" x14ac:dyDescent="0.3">
      <c r="A693" t="s">
        <v>2072</v>
      </c>
      <c r="B693" t="s">
        <v>2073</v>
      </c>
      <c r="C693" t="s">
        <v>45</v>
      </c>
      <c r="D693" s="1">
        <v>44821</v>
      </c>
      <c r="E693" t="s">
        <v>2074</v>
      </c>
      <c r="F693" t="s">
        <v>13</v>
      </c>
      <c r="G693" t="s">
        <v>14</v>
      </c>
      <c r="H693" t="s">
        <v>15</v>
      </c>
      <c r="I693" t="s">
        <v>248</v>
      </c>
    </row>
    <row r="694" spans="1:9" x14ac:dyDescent="0.3">
      <c r="A694" t="s">
        <v>1671</v>
      </c>
      <c r="B694" t="s">
        <v>2075</v>
      </c>
      <c r="C694" t="s">
        <v>19</v>
      </c>
      <c r="D694" s="1">
        <v>44822</v>
      </c>
      <c r="E694" t="s">
        <v>2076</v>
      </c>
      <c r="F694" t="s">
        <v>13</v>
      </c>
      <c r="G694" t="s">
        <v>14</v>
      </c>
      <c r="H694" t="s">
        <v>15</v>
      </c>
      <c r="I694" t="s">
        <v>21</v>
      </c>
    </row>
    <row r="695" spans="1:9" x14ac:dyDescent="0.3">
      <c r="A695" t="s">
        <v>2077</v>
      </c>
      <c r="B695" t="s">
        <v>2078</v>
      </c>
      <c r="C695" t="s">
        <v>29</v>
      </c>
      <c r="D695" s="1">
        <v>44822</v>
      </c>
      <c r="E695" t="s">
        <v>2079</v>
      </c>
      <c r="F695" t="s">
        <v>13</v>
      </c>
      <c r="G695" t="s">
        <v>174</v>
      </c>
      <c r="H695" t="s">
        <v>15</v>
      </c>
      <c r="I695" t="s">
        <v>81</v>
      </c>
    </row>
    <row r="696" spans="1:9" x14ac:dyDescent="0.3">
      <c r="A696" t="s">
        <v>2080</v>
      </c>
      <c r="B696" t="s">
        <v>2081</v>
      </c>
      <c r="C696" t="s">
        <v>33</v>
      </c>
      <c r="D696" s="1">
        <v>44822</v>
      </c>
      <c r="E696" t="s">
        <v>2082</v>
      </c>
      <c r="F696" t="s">
        <v>13</v>
      </c>
      <c r="G696" t="s">
        <v>14</v>
      </c>
      <c r="H696" t="s">
        <v>15</v>
      </c>
      <c r="I696" t="s">
        <v>94</v>
      </c>
    </row>
    <row r="697" spans="1:9" x14ac:dyDescent="0.3">
      <c r="A697" t="s">
        <v>2083</v>
      </c>
      <c r="B697" t="s">
        <v>2084</v>
      </c>
      <c r="C697" t="s">
        <v>11</v>
      </c>
      <c r="D697" s="1">
        <v>44822</v>
      </c>
      <c r="E697" t="s">
        <v>2085</v>
      </c>
      <c r="F697" t="s">
        <v>13</v>
      </c>
      <c r="G697" t="s">
        <v>14</v>
      </c>
      <c r="H697" t="s">
        <v>15</v>
      </c>
      <c r="I697" t="s">
        <v>185</v>
      </c>
    </row>
    <row r="698" spans="1:9" x14ac:dyDescent="0.3">
      <c r="A698" t="s">
        <v>2086</v>
      </c>
      <c r="B698" t="s">
        <v>2087</v>
      </c>
      <c r="C698" t="s">
        <v>11</v>
      </c>
      <c r="D698" s="1">
        <v>44822</v>
      </c>
      <c r="E698" t="s">
        <v>2088</v>
      </c>
      <c r="F698" t="s">
        <v>13</v>
      </c>
      <c r="G698" t="s">
        <v>14</v>
      </c>
      <c r="H698" t="s">
        <v>15</v>
      </c>
      <c r="I698" t="s">
        <v>185</v>
      </c>
    </row>
    <row r="699" spans="1:9" x14ac:dyDescent="0.3">
      <c r="A699" t="s">
        <v>2089</v>
      </c>
      <c r="B699" t="s">
        <v>2090</v>
      </c>
      <c r="C699" t="s">
        <v>33</v>
      </c>
      <c r="D699" s="1">
        <v>44823</v>
      </c>
      <c r="E699" t="s">
        <v>2091</v>
      </c>
      <c r="F699" t="s">
        <v>13</v>
      </c>
      <c r="G699" t="s">
        <v>14</v>
      </c>
      <c r="H699" t="s">
        <v>15</v>
      </c>
    </row>
    <row r="700" spans="1:9" x14ac:dyDescent="0.3">
      <c r="A700" t="s">
        <v>2092</v>
      </c>
      <c r="B700" t="s">
        <v>2093</v>
      </c>
      <c r="C700" t="s">
        <v>11</v>
      </c>
      <c r="D700" s="1">
        <v>44824</v>
      </c>
      <c r="E700" t="s">
        <v>2094</v>
      </c>
      <c r="F700" t="s">
        <v>13</v>
      </c>
      <c r="G700" t="s">
        <v>14</v>
      </c>
      <c r="H700" t="s">
        <v>15</v>
      </c>
    </row>
    <row r="701" spans="1:9" x14ac:dyDescent="0.3">
      <c r="A701" t="s">
        <v>2095</v>
      </c>
      <c r="B701" t="s">
        <v>2096</v>
      </c>
      <c r="C701" t="s">
        <v>54</v>
      </c>
      <c r="D701" s="1">
        <v>44824</v>
      </c>
      <c r="E701" t="s">
        <v>2097</v>
      </c>
      <c r="F701" t="s">
        <v>13</v>
      </c>
      <c r="G701" t="s">
        <v>14</v>
      </c>
      <c r="H701" t="s">
        <v>15</v>
      </c>
      <c r="I701" t="s">
        <v>238</v>
      </c>
    </row>
    <row r="702" spans="1:9" x14ac:dyDescent="0.3">
      <c r="A702" t="s">
        <v>2098</v>
      </c>
      <c r="B702" t="s">
        <v>2099</v>
      </c>
      <c r="C702" t="s">
        <v>29</v>
      </c>
      <c r="D702" s="1">
        <v>44824</v>
      </c>
      <c r="E702" t="s">
        <v>2100</v>
      </c>
      <c r="F702" t="s">
        <v>13</v>
      </c>
      <c r="G702" t="s">
        <v>14</v>
      </c>
      <c r="H702" t="s">
        <v>15</v>
      </c>
      <c r="I702" t="s">
        <v>81</v>
      </c>
    </row>
    <row r="703" spans="1:9" x14ac:dyDescent="0.3">
      <c r="A703" t="s">
        <v>2101</v>
      </c>
      <c r="B703" t="s">
        <v>2102</v>
      </c>
      <c r="C703" t="s">
        <v>24</v>
      </c>
      <c r="D703" s="1">
        <v>44825</v>
      </c>
      <c r="E703" t="s">
        <v>2103</v>
      </c>
      <c r="F703" t="s">
        <v>13</v>
      </c>
      <c r="G703" t="s">
        <v>14</v>
      </c>
      <c r="H703" t="s">
        <v>15</v>
      </c>
    </row>
    <row r="704" spans="1:9" x14ac:dyDescent="0.3">
      <c r="A704" t="s">
        <v>2104</v>
      </c>
      <c r="B704" t="s">
        <v>2105</v>
      </c>
      <c r="C704" t="s">
        <v>54</v>
      </c>
      <c r="D704" s="1">
        <v>44825</v>
      </c>
      <c r="E704" t="s">
        <v>2106</v>
      </c>
      <c r="F704" t="s">
        <v>13</v>
      </c>
      <c r="G704" t="s">
        <v>14</v>
      </c>
      <c r="H704" t="s">
        <v>15</v>
      </c>
      <c r="I704" t="s">
        <v>181</v>
      </c>
    </row>
    <row r="705" spans="1:9" x14ac:dyDescent="0.3">
      <c r="A705" t="s">
        <v>2107</v>
      </c>
      <c r="B705" t="s">
        <v>2108</v>
      </c>
      <c r="C705" t="s">
        <v>24</v>
      </c>
      <c r="D705" s="1">
        <v>44825</v>
      </c>
      <c r="E705" t="s">
        <v>2109</v>
      </c>
      <c r="F705" t="s">
        <v>13</v>
      </c>
      <c r="G705" t="s">
        <v>14</v>
      </c>
      <c r="H705" t="s">
        <v>15</v>
      </c>
    </row>
    <row r="706" spans="1:9" x14ac:dyDescent="0.3">
      <c r="A706" t="s">
        <v>2110</v>
      </c>
      <c r="B706" t="s">
        <v>2111</v>
      </c>
      <c r="C706" t="s">
        <v>24</v>
      </c>
      <c r="D706" s="1">
        <v>44826</v>
      </c>
      <c r="E706" t="s">
        <v>2112</v>
      </c>
      <c r="F706" t="s">
        <v>13</v>
      </c>
      <c r="G706" t="s">
        <v>14</v>
      </c>
      <c r="H706" t="s">
        <v>15</v>
      </c>
      <c r="I706" t="s">
        <v>59</v>
      </c>
    </row>
    <row r="707" spans="1:9" x14ac:dyDescent="0.3">
      <c r="A707" t="s">
        <v>2113</v>
      </c>
      <c r="B707" t="s">
        <v>2114</v>
      </c>
      <c r="C707" t="s">
        <v>24</v>
      </c>
      <c r="D707" s="1">
        <v>44826</v>
      </c>
      <c r="E707" t="s">
        <v>2115</v>
      </c>
      <c r="F707" t="s">
        <v>13</v>
      </c>
      <c r="G707" t="s">
        <v>14</v>
      </c>
      <c r="H707" t="s">
        <v>15</v>
      </c>
      <c r="I707" t="s">
        <v>26</v>
      </c>
    </row>
    <row r="708" spans="1:9" x14ac:dyDescent="0.3">
      <c r="A708" t="s">
        <v>2116</v>
      </c>
      <c r="B708" t="s">
        <v>2117</v>
      </c>
      <c r="C708" t="s">
        <v>24</v>
      </c>
      <c r="D708" s="1">
        <v>44826</v>
      </c>
      <c r="E708" t="s">
        <v>2118</v>
      </c>
      <c r="F708" t="s">
        <v>13</v>
      </c>
      <c r="G708" t="s">
        <v>14</v>
      </c>
      <c r="H708" t="s">
        <v>15</v>
      </c>
    </row>
    <row r="709" spans="1:9" x14ac:dyDescent="0.3">
      <c r="A709" t="s">
        <v>2119</v>
      </c>
      <c r="B709" t="s">
        <v>2120</v>
      </c>
      <c r="C709" t="s">
        <v>24</v>
      </c>
      <c r="D709" s="1">
        <v>44827</v>
      </c>
      <c r="E709" t="s">
        <v>2121</v>
      </c>
      <c r="F709" t="s">
        <v>13</v>
      </c>
      <c r="G709" t="s">
        <v>14</v>
      </c>
      <c r="H709" t="s">
        <v>15</v>
      </c>
      <c r="I709" t="s">
        <v>26</v>
      </c>
    </row>
    <row r="710" spans="1:9" x14ac:dyDescent="0.3">
      <c r="A710" t="s">
        <v>2122</v>
      </c>
      <c r="B710" t="s">
        <v>2123</v>
      </c>
      <c r="C710" t="s">
        <v>29</v>
      </c>
      <c r="D710" s="1">
        <v>44829</v>
      </c>
      <c r="E710" t="s">
        <v>2124</v>
      </c>
      <c r="F710" t="s">
        <v>13</v>
      </c>
      <c r="G710" t="s">
        <v>14</v>
      </c>
      <c r="H710" t="s">
        <v>15</v>
      </c>
      <c r="I710" t="s">
        <v>42</v>
      </c>
    </row>
    <row r="711" spans="1:9" x14ac:dyDescent="0.3">
      <c r="A711" t="s">
        <v>2125</v>
      </c>
      <c r="B711" t="s">
        <v>2126</v>
      </c>
      <c r="C711" t="s">
        <v>33</v>
      </c>
      <c r="D711" s="1">
        <v>44829</v>
      </c>
      <c r="E711" t="s">
        <v>2127</v>
      </c>
      <c r="F711" t="s">
        <v>13</v>
      </c>
      <c r="G711" t="s">
        <v>14</v>
      </c>
      <c r="H711" t="s">
        <v>15</v>
      </c>
      <c r="I711" t="s">
        <v>94</v>
      </c>
    </row>
    <row r="712" spans="1:9" x14ac:dyDescent="0.3">
      <c r="A712" t="s">
        <v>2128</v>
      </c>
      <c r="B712" t="s">
        <v>2129</v>
      </c>
      <c r="C712" t="s">
        <v>24</v>
      </c>
      <c r="D712" s="1">
        <v>44830</v>
      </c>
      <c r="E712" t="s">
        <v>2130</v>
      </c>
      <c r="F712" t="s">
        <v>13</v>
      </c>
      <c r="G712" t="s">
        <v>14</v>
      </c>
      <c r="H712" t="s">
        <v>15</v>
      </c>
      <c r="I712" t="s">
        <v>63</v>
      </c>
    </row>
    <row r="713" spans="1:9" x14ac:dyDescent="0.3">
      <c r="A713" t="s">
        <v>2131</v>
      </c>
      <c r="B713" t="s">
        <v>2132</v>
      </c>
      <c r="C713" t="s">
        <v>19</v>
      </c>
      <c r="D713" s="1">
        <v>44830</v>
      </c>
      <c r="E713" t="s">
        <v>2133</v>
      </c>
      <c r="F713" t="s">
        <v>13</v>
      </c>
      <c r="G713" t="s">
        <v>14</v>
      </c>
      <c r="H713" t="s">
        <v>15</v>
      </c>
    </row>
    <row r="714" spans="1:9" x14ac:dyDescent="0.3">
      <c r="A714" t="s">
        <v>2134</v>
      </c>
      <c r="B714" t="s">
        <v>2135</v>
      </c>
      <c r="C714" t="s">
        <v>54</v>
      </c>
      <c r="D714" s="1">
        <v>44830</v>
      </c>
      <c r="E714" t="s">
        <v>2136</v>
      </c>
      <c r="F714" t="s">
        <v>13</v>
      </c>
      <c r="G714" t="s">
        <v>14</v>
      </c>
      <c r="H714" t="s">
        <v>15</v>
      </c>
      <c r="I714" t="s">
        <v>238</v>
      </c>
    </row>
    <row r="715" spans="1:9" x14ac:dyDescent="0.3">
      <c r="A715" t="s">
        <v>904</v>
      </c>
      <c r="B715" t="s">
        <v>2137</v>
      </c>
      <c r="C715" t="s">
        <v>19</v>
      </c>
      <c r="D715" s="1">
        <v>44830</v>
      </c>
      <c r="E715" t="s">
        <v>2138</v>
      </c>
      <c r="F715" t="s">
        <v>13</v>
      </c>
      <c r="G715" t="s">
        <v>14</v>
      </c>
      <c r="H715" t="s">
        <v>15</v>
      </c>
      <c r="I715" t="s">
        <v>116</v>
      </c>
    </row>
    <row r="716" spans="1:9" x14ac:dyDescent="0.3">
      <c r="A716" t="s">
        <v>2139</v>
      </c>
      <c r="B716" t="s">
        <v>2140</v>
      </c>
      <c r="C716" t="s">
        <v>29</v>
      </c>
      <c r="D716" s="1">
        <v>44830</v>
      </c>
      <c r="E716" t="s">
        <v>2141</v>
      </c>
      <c r="F716" t="s">
        <v>13</v>
      </c>
      <c r="G716" t="s">
        <v>14</v>
      </c>
      <c r="H716" t="s">
        <v>15</v>
      </c>
      <c r="I716" t="s">
        <v>204</v>
      </c>
    </row>
    <row r="717" spans="1:9" x14ac:dyDescent="0.3">
      <c r="A717" t="s">
        <v>527</v>
      </c>
      <c r="B717" t="s">
        <v>2142</v>
      </c>
      <c r="C717" t="s">
        <v>19</v>
      </c>
      <c r="D717" s="1">
        <v>44831</v>
      </c>
      <c r="E717" t="s">
        <v>2143</v>
      </c>
      <c r="F717" t="s">
        <v>13</v>
      </c>
      <c r="G717" t="s">
        <v>14</v>
      </c>
      <c r="H717" t="s">
        <v>15</v>
      </c>
      <c r="I717" t="s">
        <v>21</v>
      </c>
    </row>
    <row r="718" spans="1:9" x14ac:dyDescent="0.3">
      <c r="A718" t="s">
        <v>871</v>
      </c>
      <c r="B718" t="s">
        <v>2144</v>
      </c>
      <c r="C718" t="s">
        <v>19</v>
      </c>
      <c r="D718" s="1">
        <v>44831</v>
      </c>
      <c r="E718" t="s">
        <v>2145</v>
      </c>
      <c r="F718" t="s">
        <v>13</v>
      </c>
      <c r="G718" t="s">
        <v>14</v>
      </c>
      <c r="H718" t="s">
        <v>15</v>
      </c>
      <c r="I718" t="s">
        <v>21</v>
      </c>
    </row>
    <row r="719" spans="1:9" x14ac:dyDescent="0.3">
      <c r="A719" t="s">
        <v>2146</v>
      </c>
      <c r="B719" t="s">
        <v>2147</v>
      </c>
      <c r="C719" t="s">
        <v>45</v>
      </c>
      <c r="D719" s="1">
        <v>44831</v>
      </c>
      <c r="E719" t="s">
        <v>2148</v>
      </c>
      <c r="F719" t="s">
        <v>13</v>
      </c>
      <c r="G719" t="s">
        <v>14</v>
      </c>
      <c r="H719" t="s">
        <v>15</v>
      </c>
      <c r="I719" t="s">
        <v>248</v>
      </c>
    </row>
    <row r="720" spans="1:9" x14ac:dyDescent="0.3">
      <c r="A720" t="s">
        <v>2149</v>
      </c>
      <c r="B720" t="s">
        <v>2150</v>
      </c>
      <c r="C720" t="s">
        <v>69</v>
      </c>
      <c r="D720" s="1">
        <v>44831</v>
      </c>
      <c r="E720" t="s">
        <v>2151</v>
      </c>
      <c r="F720" t="s">
        <v>13</v>
      </c>
      <c r="G720" t="s">
        <v>14</v>
      </c>
      <c r="H720" t="s">
        <v>15</v>
      </c>
      <c r="I720" t="s">
        <v>71</v>
      </c>
    </row>
    <row r="721" spans="1:9" x14ac:dyDescent="0.3">
      <c r="A721" t="s">
        <v>2152</v>
      </c>
      <c r="B721" t="s">
        <v>2153</v>
      </c>
      <c r="C721" t="s">
        <v>33</v>
      </c>
      <c r="D721" s="1">
        <v>44832</v>
      </c>
      <c r="E721" t="s">
        <v>2154</v>
      </c>
      <c r="F721" t="s">
        <v>13</v>
      </c>
      <c r="G721" t="s">
        <v>14</v>
      </c>
      <c r="H721" t="s">
        <v>15</v>
      </c>
      <c r="I721" t="s">
        <v>51</v>
      </c>
    </row>
    <row r="722" spans="1:9" x14ac:dyDescent="0.3">
      <c r="A722" t="s">
        <v>2155</v>
      </c>
      <c r="B722" t="s">
        <v>2156</v>
      </c>
      <c r="C722" t="s">
        <v>33</v>
      </c>
      <c r="D722" s="1">
        <v>44832</v>
      </c>
      <c r="E722" t="s">
        <v>2157</v>
      </c>
      <c r="F722" t="s">
        <v>13</v>
      </c>
      <c r="G722" t="s">
        <v>14</v>
      </c>
      <c r="H722" t="s">
        <v>15</v>
      </c>
      <c r="I722" t="s">
        <v>51</v>
      </c>
    </row>
    <row r="723" spans="1:9" x14ac:dyDescent="0.3">
      <c r="A723" t="s">
        <v>2158</v>
      </c>
      <c r="B723" t="s">
        <v>2159</v>
      </c>
      <c r="C723" t="s">
        <v>29</v>
      </c>
      <c r="D723" s="1">
        <v>44832</v>
      </c>
      <c r="E723" t="s">
        <v>2160</v>
      </c>
      <c r="F723" t="s">
        <v>13</v>
      </c>
      <c r="G723" t="s">
        <v>14</v>
      </c>
      <c r="H723" t="s">
        <v>15</v>
      </c>
      <c r="I723" t="s">
        <v>81</v>
      </c>
    </row>
    <row r="724" spans="1:9" x14ac:dyDescent="0.3">
      <c r="A724" t="s">
        <v>2161</v>
      </c>
      <c r="B724" t="s">
        <v>2162</v>
      </c>
      <c r="C724" t="s">
        <v>11</v>
      </c>
      <c r="D724" s="1">
        <v>44834</v>
      </c>
      <c r="E724" t="s">
        <v>2163</v>
      </c>
      <c r="F724" t="s">
        <v>13</v>
      </c>
      <c r="G724" t="s">
        <v>174</v>
      </c>
      <c r="H724" t="s">
        <v>15</v>
      </c>
      <c r="I724" t="s">
        <v>16</v>
      </c>
    </row>
    <row r="725" spans="1:9" x14ac:dyDescent="0.3">
      <c r="A725" t="s">
        <v>2164</v>
      </c>
      <c r="B725" t="s">
        <v>2165</v>
      </c>
      <c r="C725" t="s">
        <v>54</v>
      </c>
      <c r="D725" s="1">
        <v>44834</v>
      </c>
      <c r="E725" t="s">
        <v>2166</v>
      </c>
      <c r="F725" t="s">
        <v>13</v>
      </c>
      <c r="G725" t="s">
        <v>14</v>
      </c>
      <c r="H725" t="s">
        <v>15</v>
      </c>
      <c r="I725" t="s">
        <v>181</v>
      </c>
    </row>
    <row r="726" spans="1:9" x14ac:dyDescent="0.3">
      <c r="A726" t="s">
        <v>2167</v>
      </c>
      <c r="B726" t="s">
        <v>2168</v>
      </c>
      <c r="C726" t="s">
        <v>33</v>
      </c>
      <c r="D726" s="1">
        <v>44834</v>
      </c>
      <c r="E726" t="s">
        <v>2169</v>
      </c>
      <c r="F726" t="s">
        <v>13</v>
      </c>
      <c r="G726" t="s">
        <v>14</v>
      </c>
      <c r="H726" t="s">
        <v>15</v>
      </c>
      <c r="I726" t="s">
        <v>94</v>
      </c>
    </row>
    <row r="727" spans="1:9" x14ac:dyDescent="0.3">
      <c r="A727" t="s">
        <v>2170</v>
      </c>
      <c r="B727" t="s">
        <v>2171</v>
      </c>
      <c r="C727" t="s">
        <v>69</v>
      </c>
      <c r="D727" s="1">
        <v>44834</v>
      </c>
      <c r="E727" t="s">
        <v>2172</v>
      </c>
      <c r="F727" t="s">
        <v>13</v>
      </c>
      <c r="G727" t="s">
        <v>14</v>
      </c>
      <c r="H727" t="s">
        <v>15</v>
      </c>
    </row>
    <row r="728" spans="1:9" x14ac:dyDescent="0.3">
      <c r="A728" t="s">
        <v>2173</v>
      </c>
      <c r="B728" t="s">
        <v>2174</v>
      </c>
      <c r="C728" t="s">
        <v>33</v>
      </c>
      <c r="D728" s="1">
        <v>44836</v>
      </c>
      <c r="E728" t="s">
        <v>2175</v>
      </c>
      <c r="F728" t="s">
        <v>13</v>
      </c>
      <c r="G728" t="s">
        <v>14</v>
      </c>
      <c r="H728" t="s">
        <v>15</v>
      </c>
      <c r="I728" t="s">
        <v>51</v>
      </c>
    </row>
    <row r="729" spans="1:9" x14ac:dyDescent="0.3">
      <c r="A729" t="s">
        <v>1368</v>
      </c>
      <c r="B729" t="s">
        <v>2176</v>
      </c>
      <c r="C729" t="s">
        <v>19</v>
      </c>
      <c r="D729" s="1">
        <v>44836</v>
      </c>
      <c r="E729" t="s">
        <v>2177</v>
      </c>
      <c r="F729" t="s">
        <v>13</v>
      </c>
      <c r="G729" t="s">
        <v>14</v>
      </c>
      <c r="H729" t="s">
        <v>15</v>
      </c>
      <c r="I729" t="s">
        <v>21</v>
      </c>
    </row>
    <row r="730" spans="1:9" x14ac:dyDescent="0.3">
      <c r="A730" t="s">
        <v>2178</v>
      </c>
      <c r="B730" t="s">
        <v>2179</v>
      </c>
      <c r="C730" t="s">
        <v>29</v>
      </c>
      <c r="D730" s="1">
        <v>44836</v>
      </c>
      <c r="E730" t="s">
        <v>2180</v>
      </c>
      <c r="F730" t="s">
        <v>13</v>
      </c>
      <c r="G730" t="s">
        <v>14</v>
      </c>
      <c r="H730" t="s">
        <v>15</v>
      </c>
      <c r="I730" t="s">
        <v>204</v>
      </c>
    </row>
    <row r="731" spans="1:9" x14ac:dyDescent="0.3">
      <c r="A731" t="s">
        <v>2181</v>
      </c>
      <c r="B731" t="s">
        <v>2182</v>
      </c>
      <c r="C731" t="s">
        <v>45</v>
      </c>
      <c r="D731" s="1">
        <v>44836</v>
      </c>
      <c r="E731" t="s">
        <v>2183</v>
      </c>
      <c r="F731" t="s">
        <v>13</v>
      </c>
      <c r="G731" t="s">
        <v>14</v>
      </c>
      <c r="H731" t="s">
        <v>15</v>
      </c>
      <c r="I731" t="s">
        <v>47</v>
      </c>
    </row>
    <row r="732" spans="1:9" x14ac:dyDescent="0.3">
      <c r="A732" t="s">
        <v>2184</v>
      </c>
      <c r="B732" t="s">
        <v>2185</v>
      </c>
      <c r="C732" t="s">
        <v>24</v>
      </c>
      <c r="D732" s="1">
        <v>44837</v>
      </c>
      <c r="E732" t="s">
        <v>2186</v>
      </c>
      <c r="F732" t="s">
        <v>13</v>
      </c>
      <c r="G732" t="s">
        <v>14</v>
      </c>
      <c r="H732" t="s">
        <v>15</v>
      </c>
      <c r="I732" t="s">
        <v>26</v>
      </c>
    </row>
    <row r="733" spans="1:9" x14ac:dyDescent="0.3">
      <c r="A733" t="s">
        <v>2187</v>
      </c>
      <c r="B733" t="s">
        <v>2188</v>
      </c>
      <c r="C733" t="s">
        <v>54</v>
      </c>
      <c r="D733" s="1">
        <v>44837</v>
      </c>
      <c r="E733" t="s">
        <v>2189</v>
      </c>
      <c r="F733" t="s">
        <v>13</v>
      </c>
      <c r="G733" t="s">
        <v>14</v>
      </c>
      <c r="H733" t="s">
        <v>15</v>
      </c>
      <c r="I733" t="s">
        <v>181</v>
      </c>
    </row>
    <row r="734" spans="1:9" x14ac:dyDescent="0.3">
      <c r="A734" t="s">
        <v>2190</v>
      </c>
      <c r="B734" t="s">
        <v>2191</v>
      </c>
      <c r="C734" t="s">
        <v>69</v>
      </c>
      <c r="D734" s="1">
        <v>44837</v>
      </c>
      <c r="E734" t="s">
        <v>2192</v>
      </c>
      <c r="F734" t="s">
        <v>13</v>
      </c>
      <c r="G734" t="s">
        <v>14</v>
      </c>
      <c r="H734" t="s">
        <v>15</v>
      </c>
      <c r="I734" t="s">
        <v>71</v>
      </c>
    </row>
    <row r="735" spans="1:9" x14ac:dyDescent="0.3">
      <c r="A735" t="s">
        <v>2193</v>
      </c>
      <c r="B735" t="s">
        <v>2194</v>
      </c>
      <c r="C735" t="s">
        <v>11</v>
      </c>
      <c r="D735" s="1">
        <v>44837</v>
      </c>
      <c r="E735" t="s">
        <v>2195</v>
      </c>
      <c r="F735" t="s">
        <v>13</v>
      </c>
      <c r="G735" t="s">
        <v>14</v>
      </c>
      <c r="H735" t="s">
        <v>15</v>
      </c>
      <c r="I735" t="s">
        <v>38</v>
      </c>
    </row>
    <row r="736" spans="1:9" x14ac:dyDescent="0.3">
      <c r="A736" t="s">
        <v>1676</v>
      </c>
      <c r="B736" t="s">
        <v>2196</v>
      </c>
      <c r="C736" t="s">
        <v>45</v>
      </c>
      <c r="D736" s="1">
        <v>44837</v>
      </c>
      <c r="E736" t="s">
        <v>2197</v>
      </c>
      <c r="F736" t="s">
        <v>13</v>
      </c>
      <c r="G736" t="s">
        <v>14</v>
      </c>
      <c r="H736" t="s">
        <v>15</v>
      </c>
      <c r="I736" t="s">
        <v>248</v>
      </c>
    </row>
    <row r="737" spans="1:9" x14ac:dyDescent="0.3">
      <c r="A737" t="s">
        <v>2198</v>
      </c>
      <c r="B737" t="s">
        <v>2199</v>
      </c>
      <c r="C737" t="s">
        <v>45</v>
      </c>
      <c r="D737" s="1">
        <v>44838</v>
      </c>
      <c r="E737" t="s">
        <v>2200</v>
      </c>
      <c r="F737" t="s">
        <v>13</v>
      </c>
      <c r="G737" t="s">
        <v>14</v>
      </c>
      <c r="H737" t="s">
        <v>15</v>
      </c>
    </row>
    <row r="738" spans="1:9" x14ac:dyDescent="0.3">
      <c r="A738" t="s">
        <v>2201</v>
      </c>
      <c r="B738" t="s">
        <v>2202</v>
      </c>
      <c r="C738" t="s">
        <v>54</v>
      </c>
      <c r="D738" s="1">
        <v>44838</v>
      </c>
      <c r="E738" t="s">
        <v>2203</v>
      </c>
      <c r="F738" t="s">
        <v>13</v>
      </c>
      <c r="G738" t="s">
        <v>14</v>
      </c>
      <c r="H738" t="s">
        <v>15</v>
      </c>
      <c r="I738" t="s">
        <v>238</v>
      </c>
    </row>
    <row r="739" spans="1:9" x14ac:dyDescent="0.3">
      <c r="A739" t="s">
        <v>2204</v>
      </c>
      <c r="B739" t="s">
        <v>2205</v>
      </c>
      <c r="C739" t="s">
        <v>11</v>
      </c>
      <c r="D739" s="1">
        <v>44838</v>
      </c>
      <c r="E739" t="s">
        <v>2206</v>
      </c>
      <c r="F739" t="s">
        <v>13</v>
      </c>
      <c r="G739" t="s">
        <v>14</v>
      </c>
      <c r="H739" t="s">
        <v>15</v>
      </c>
      <c r="I739" t="s">
        <v>185</v>
      </c>
    </row>
    <row r="740" spans="1:9" x14ac:dyDescent="0.3">
      <c r="A740" t="s">
        <v>2207</v>
      </c>
      <c r="B740" t="s">
        <v>2208</v>
      </c>
      <c r="C740" t="s">
        <v>54</v>
      </c>
      <c r="D740" s="1">
        <v>44838</v>
      </c>
      <c r="E740" t="s">
        <v>2209</v>
      </c>
      <c r="F740" t="s">
        <v>13</v>
      </c>
      <c r="G740" t="s">
        <v>14</v>
      </c>
      <c r="H740" t="s">
        <v>15</v>
      </c>
      <c r="I740" t="s">
        <v>181</v>
      </c>
    </row>
    <row r="741" spans="1:9" x14ac:dyDescent="0.3">
      <c r="A741" t="s">
        <v>2210</v>
      </c>
      <c r="B741" t="s">
        <v>2211</v>
      </c>
      <c r="C741" t="s">
        <v>11</v>
      </c>
      <c r="D741" s="1">
        <v>44838</v>
      </c>
      <c r="E741" t="s">
        <v>2212</v>
      </c>
      <c r="F741" t="s">
        <v>13</v>
      </c>
      <c r="G741" t="s">
        <v>14</v>
      </c>
      <c r="H741" t="s">
        <v>15</v>
      </c>
    </row>
    <row r="742" spans="1:9" x14ac:dyDescent="0.3">
      <c r="A742" t="s">
        <v>2213</v>
      </c>
      <c r="B742" t="s">
        <v>2214</v>
      </c>
      <c r="C742" t="s">
        <v>29</v>
      </c>
      <c r="D742" s="1">
        <v>44839</v>
      </c>
      <c r="E742" t="s">
        <v>2215</v>
      </c>
      <c r="F742" t="s">
        <v>13</v>
      </c>
      <c r="G742" t="s">
        <v>14</v>
      </c>
      <c r="H742" t="s">
        <v>15</v>
      </c>
      <c r="I742" t="s">
        <v>81</v>
      </c>
    </row>
    <row r="743" spans="1:9" x14ac:dyDescent="0.3">
      <c r="A743" t="s">
        <v>2216</v>
      </c>
      <c r="B743" t="s">
        <v>2217</v>
      </c>
      <c r="C743" t="s">
        <v>33</v>
      </c>
      <c r="D743" s="1">
        <v>44839</v>
      </c>
      <c r="E743" t="s">
        <v>2218</v>
      </c>
      <c r="F743" t="s">
        <v>13</v>
      </c>
      <c r="G743" t="s">
        <v>14</v>
      </c>
      <c r="H743" t="s">
        <v>15</v>
      </c>
      <c r="I743" t="s">
        <v>94</v>
      </c>
    </row>
    <row r="744" spans="1:9" x14ac:dyDescent="0.3">
      <c r="A744" t="s">
        <v>2219</v>
      </c>
      <c r="B744" t="s">
        <v>2220</v>
      </c>
      <c r="C744" t="s">
        <v>69</v>
      </c>
      <c r="D744" s="1">
        <v>44840</v>
      </c>
      <c r="E744" t="s">
        <v>2221</v>
      </c>
      <c r="F744" t="s">
        <v>13</v>
      </c>
      <c r="G744" t="s">
        <v>14</v>
      </c>
      <c r="H744" t="s">
        <v>15</v>
      </c>
    </row>
    <row r="745" spans="1:9" x14ac:dyDescent="0.3">
      <c r="A745" t="s">
        <v>610</v>
      </c>
      <c r="B745" t="s">
        <v>2222</v>
      </c>
      <c r="C745" t="s">
        <v>19</v>
      </c>
      <c r="D745" s="1">
        <v>44840</v>
      </c>
      <c r="E745" t="s">
        <v>2223</v>
      </c>
      <c r="F745" t="s">
        <v>13</v>
      </c>
      <c r="G745" t="s">
        <v>14</v>
      </c>
      <c r="H745" t="s">
        <v>15</v>
      </c>
      <c r="I745" t="s">
        <v>116</v>
      </c>
    </row>
    <row r="746" spans="1:9" x14ac:dyDescent="0.3">
      <c r="A746" t="s">
        <v>2224</v>
      </c>
      <c r="B746" t="s">
        <v>2225</v>
      </c>
      <c r="C746" t="s">
        <v>69</v>
      </c>
      <c r="D746" s="1">
        <v>44841</v>
      </c>
      <c r="E746" t="s">
        <v>2226</v>
      </c>
      <c r="F746" t="s">
        <v>13</v>
      </c>
      <c r="G746" t="s">
        <v>14</v>
      </c>
      <c r="H746" t="s">
        <v>15</v>
      </c>
      <c r="I746" t="s">
        <v>71</v>
      </c>
    </row>
    <row r="747" spans="1:9" x14ac:dyDescent="0.3">
      <c r="A747" t="s">
        <v>2227</v>
      </c>
      <c r="B747" t="s">
        <v>2228</v>
      </c>
      <c r="C747" t="s">
        <v>54</v>
      </c>
      <c r="D747" s="1">
        <v>44841</v>
      </c>
      <c r="E747" t="s">
        <v>2229</v>
      </c>
      <c r="F747" t="s">
        <v>13</v>
      </c>
      <c r="G747" t="s">
        <v>14</v>
      </c>
      <c r="H747" t="s">
        <v>15</v>
      </c>
      <c r="I747" t="s">
        <v>238</v>
      </c>
    </row>
    <row r="748" spans="1:9" x14ac:dyDescent="0.3">
      <c r="A748" t="s">
        <v>2230</v>
      </c>
      <c r="B748" t="s">
        <v>2231</v>
      </c>
      <c r="C748" t="s">
        <v>11</v>
      </c>
      <c r="D748" s="1">
        <v>44841</v>
      </c>
      <c r="E748" t="s">
        <v>2232</v>
      </c>
      <c r="F748" t="s">
        <v>13</v>
      </c>
      <c r="G748" t="s">
        <v>14</v>
      </c>
      <c r="H748" t="s">
        <v>15</v>
      </c>
      <c r="I748" t="s">
        <v>38</v>
      </c>
    </row>
    <row r="749" spans="1:9" x14ac:dyDescent="0.3">
      <c r="A749" t="s">
        <v>2233</v>
      </c>
      <c r="B749" t="s">
        <v>2234</v>
      </c>
      <c r="C749" t="s">
        <v>33</v>
      </c>
      <c r="D749" s="1">
        <v>44841</v>
      </c>
      <c r="E749" t="s">
        <v>2235</v>
      </c>
      <c r="F749" t="s">
        <v>13</v>
      </c>
      <c r="G749" t="s">
        <v>14</v>
      </c>
      <c r="H749" t="s">
        <v>15</v>
      </c>
      <c r="I749" t="s">
        <v>94</v>
      </c>
    </row>
    <row r="750" spans="1:9" x14ac:dyDescent="0.3">
      <c r="A750" t="s">
        <v>2236</v>
      </c>
      <c r="B750" t="s">
        <v>2237</v>
      </c>
      <c r="C750" t="s">
        <v>33</v>
      </c>
      <c r="D750" s="1">
        <v>44843</v>
      </c>
      <c r="E750" t="s">
        <v>2238</v>
      </c>
      <c r="F750" t="s">
        <v>13</v>
      </c>
      <c r="G750" t="s">
        <v>14</v>
      </c>
      <c r="H750" t="s">
        <v>15</v>
      </c>
      <c r="I750" t="s">
        <v>51</v>
      </c>
    </row>
    <row r="751" spans="1:9" x14ac:dyDescent="0.3">
      <c r="A751" t="s">
        <v>2239</v>
      </c>
      <c r="B751" t="s">
        <v>2240</v>
      </c>
      <c r="C751" t="s">
        <v>24</v>
      </c>
      <c r="D751" s="1">
        <v>44843</v>
      </c>
      <c r="E751" t="s">
        <v>2241</v>
      </c>
      <c r="F751" t="s">
        <v>13</v>
      </c>
      <c r="G751" t="s">
        <v>14</v>
      </c>
      <c r="H751" t="s">
        <v>15</v>
      </c>
      <c r="I751" t="s">
        <v>59</v>
      </c>
    </row>
    <row r="752" spans="1:9" x14ac:dyDescent="0.3">
      <c r="A752" t="s">
        <v>2242</v>
      </c>
      <c r="B752" t="s">
        <v>2243</v>
      </c>
      <c r="C752" t="s">
        <v>29</v>
      </c>
      <c r="D752" s="1">
        <v>44844</v>
      </c>
      <c r="E752" t="s">
        <v>2244</v>
      </c>
      <c r="F752" t="s">
        <v>13</v>
      </c>
      <c r="G752" t="s">
        <v>14</v>
      </c>
      <c r="H752" t="s">
        <v>15</v>
      </c>
      <c r="I752" t="s">
        <v>81</v>
      </c>
    </row>
    <row r="753" spans="1:9" x14ac:dyDescent="0.3">
      <c r="A753" t="s">
        <v>2245</v>
      </c>
      <c r="B753" t="s">
        <v>2246</v>
      </c>
      <c r="C753" t="s">
        <v>54</v>
      </c>
      <c r="D753" s="1">
        <v>44844</v>
      </c>
      <c r="E753" t="s">
        <v>2247</v>
      </c>
      <c r="F753" t="s">
        <v>13</v>
      </c>
      <c r="G753" t="s">
        <v>14</v>
      </c>
      <c r="H753" t="s">
        <v>15</v>
      </c>
    </row>
    <row r="754" spans="1:9" x14ac:dyDescent="0.3">
      <c r="A754" t="s">
        <v>2248</v>
      </c>
      <c r="B754" t="s">
        <v>2249</v>
      </c>
      <c r="C754" t="s">
        <v>45</v>
      </c>
      <c r="D754" s="1">
        <v>44844</v>
      </c>
      <c r="E754" t="s">
        <v>2250</v>
      </c>
      <c r="F754" t="s">
        <v>13</v>
      </c>
      <c r="G754" t="s">
        <v>14</v>
      </c>
      <c r="H754" t="s">
        <v>15</v>
      </c>
    </row>
    <row r="755" spans="1:9" x14ac:dyDescent="0.3">
      <c r="A755" t="s">
        <v>2251</v>
      </c>
      <c r="B755" t="s">
        <v>2252</v>
      </c>
      <c r="C755" t="s">
        <v>54</v>
      </c>
      <c r="D755" s="1">
        <v>44845</v>
      </c>
      <c r="E755" t="s">
        <v>2253</v>
      </c>
      <c r="F755" t="s">
        <v>13</v>
      </c>
      <c r="G755" t="s">
        <v>14</v>
      </c>
      <c r="H755" t="s">
        <v>15</v>
      </c>
      <c r="I755" t="s">
        <v>181</v>
      </c>
    </row>
    <row r="756" spans="1:9" x14ac:dyDescent="0.3">
      <c r="A756" t="s">
        <v>2254</v>
      </c>
      <c r="B756" t="s">
        <v>2255</v>
      </c>
      <c r="C756" t="s">
        <v>45</v>
      </c>
      <c r="D756" s="1">
        <v>44845</v>
      </c>
      <c r="E756" t="s">
        <v>2256</v>
      </c>
      <c r="F756" t="s">
        <v>13</v>
      </c>
      <c r="G756" t="s">
        <v>14</v>
      </c>
      <c r="H756" t="s">
        <v>15</v>
      </c>
      <c r="I756" t="s">
        <v>47</v>
      </c>
    </row>
    <row r="757" spans="1:9" x14ac:dyDescent="0.3">
      <c r="A757" t="s">
        <v>2257</v>
      </c>
      <c r="B757" t="s">
        <v>2258</v>
      </c>
      <c r="C757" t="s">
        <v>29</v>
      </c>
      <c r="D757" s="1">
        <v>44845</v>
      </c>
      <c r="E757" t="s">
        <v>2259</v>
      </c>
      <c r="F757" t="s">
        <v>13</v>
      </c>
      <c r="G757" t="s">
        <v>14</v>
      </c>
      <c r="H757" t="s">
        <v>15</v>
      </c>
      <c r="I757" t="s">
        <v>204</v>
      </c>
    </row>
    <row r="758" spans="1:9" x14ac:dyDescent="0.3">
      <c r="A758" t="s">
        <v>2260</v>
      </c>
      <c r="B758" t="s">
        <v>2261</v>
      </c>
      <c r="C758" t="s">
        <v>45</v>
      </c>
      <c r="D758" s="1">
        <v>44845</v>
      </c>
      <c r="E758" t="s">
        <v>2262</v>
      </c>
      <c r="F758" t="s">
        <v>13</v>
      </c>
      <c r="G758" t="s">
        <v>14</v>
      </c>
      <c r="H758" t="s">
        <v>15</v>
      </c>
      <c r="I758" t="s">
        <v>47</v>
      </c>
    </row>
    <row r="759" spans="1:9" x14ac:dyDescent="0.3">
      <c r="A759" t="s">
        <v>610</v>
      </c>
      <c r="B759" t="s">
        <v>2263</v>
      </c>
      <c r="C759" t="s">
        <v>19</v>
      </c>
      <c r="D759" s="1">
        <v>44845</v>
      </c>
      <c r="E759" t="s">
        <v>2264</v>
      </c>
      <c r="F759" t="s">
        <v>13</v>
      </c>
      <c r="G759" t="s">
        <v>14</v>
      </c>
      <c r="H759" t="s">
        <v>15</v>
      </c>
    </row>
    <row r="760" spans="1:9" x14ac:dyDescent="0.3">
      <c r="A760" t="s">
        <v>2265</v>
      </c>
      <c r="B760" t="s">
        <v>2266</v>
      </c>
      <c r="C760" t="s">
        <v>24</v>
      </c>
      <c r="D760" s="1">
        <v>44846</v>
      </c>
      <c r="E760" t="s">
        <v>2267</v>
      </c>
      <c r="F760" t="s">
        <v>13</v>
      </c>
      <c r="G760" t="s">
        <v>14</v>
      </c>
      <c r="H760" t="s">
        <v>15</v>
      </c>
      <c r="I760" t="s">
        <v>59</v>
      </c>
    </row>
    <row r="761" spans="1:9" x14ac:dyDescent="0.3">
      <c r="A761" t="s">
        <v>2268</v>
      </c>
      <c r="B761" t="s">
        <v>2269</v>
      </c>
      <c r="C761" t="s">
        <v>45</v>
      </c>
      <c r="D761" s="1">
        <v>44846</v>
      </c>
      <c r="E761" t="s">
        <v>2270</v>
      </c>
      <c r="F761" t="s">
        <v>13</v>
      </c>
      <c r="G761" t="s">
        <v>14</v>
      </c>
      <c r="H761" t="s">
        <v>15</v>
      </c>
      <c r="I761" t="s">
        <v>248</v>
      </c>
    </row>
    <row r="762" spans="1:9" x14ac:dyDescent="0.3">
      <c r="A762" t="s">
        <v>2271</v>
      </c>
      <c r="B762" t="s">
        <v>2272</v>
      </c>
      <c r="C762" t="s">
        <v>11</v>
      </c>
      <c r="D762" s="1">
        <v>44847</v>
      </c>
      <c r="E762" t="s">
        <v>2273</v>
      </c>
      <c r="F762" t="s">
        <v>13</v>
      </c>
      <c r="G762" t="s">
        <v>14</v>
      </c>
      <c r="H762" t="s">
        <v>15</v>
      </c>
    </row>
    <row r="763" spans="1:9" x14ac:dyDescent="0.3">
      <c r="A763" t="s">
        <v>2274</v>
      </c>
      <c r="B763" t="s">
        <v>2275</v>
      </c>
      <c r="C763" t="s">
        <v>54</v>
      </c>
      <c r="D763" s="1">
        <v>44848</v>
      </c>
      <c r="E763" t="s">
        <v>2276</v>
      </c>
      <c r="F763" t="s">
        <v>13</v>
      </c>
      <c r="G763" t="s">
        <v>14</v>
      </c>
      <c r="H763" t="s">
        <v>15</v>
      </c>
    </row>
    <row r="764" spans="1:9" x14ac:dyDescent="0.3">
      <c r="A764" t="s">
        <v>2277</v>
      </c>
      <c r="B764" t="s">
        <v>2278</v>
      </c>
      <c r="C764" t="s">
        <v>24</v>
      </c>
      <c r="D764" s="1">
        <v>44848</v>
      </c>
      <c r="E764" t="s">
        <v>2279</v>
      </c>
      <c r="F764" t="s">
        <v>13</v>
      </c>
      <c r="G764" t="s">
        <v>14</v>
      </c>
      <c r="H764" t="s">
        <v>15</v>
      </c>
      <c r="I764" t="s">
        <v>59</v>
      </c>
    </row>
    <row r="765" spans="1:9" x14ac:dyDescent="0.3">
      <c r="A765" t="s">
        <v>2280</v>
      </c>
      <c r="B765" t="s">
        <v>2281</v>
      </c>
      <c r="C765" t="s">
        <v>69</v>
      </c>
      <c r="D765" s="1">
        <v>44848</v>
      </c>
      <c r="E765" t="s">
        <v>2282</v>
      </c>
      <c r="F765" t="s">
        <v>13</v>
      </c>
      <c r="G765" t="s">
        <v>14</v>
      </c>
      <c r="H765" t="s">
        <v>15</v>
      </c>
      <c r="I765" t="s">
        <v>71</v>
      </c>
    </row>
    <row r="766" spans="1:9" x14ac:dyDescent="0.3">
      <c r="A766" t="s">
        <v>2283</v>
      </c>
      <c r="B766" t="s">
        <v>2284</v>
      </c>
      <c r="C766" t="s">
        <v>54</v>
      </c>
      <c r="D766" s="1">
        <v>44849</v>
      </c>
      <c r="E766" t="s">
        <v>2285</v>
      </c>
      <c r="F766" t="s">
        <v>13</v>
      </c>
      <c r="G766" t="s">
        <v>14</v>
      </c>
      <c r="H766" t="s">
        <v>15</v>
      </c>
      <c r="I766" t="s">
        <v>238</v>
      </c>
    </row>
    <row r="767" spans="1:9" x14ac:dyDescent="0.3">
      <c r="A767" t="s">
        <v>2286</v>
      </c>
      <c r="B767" t="s">
        <v>2287</v>
      </c>
      <c r="C767" t="s">
        <v>24</v>
      </c>
      <c r="D767" s="1">
        <v>44849</v>
      </c>
      <c r="E767" t="s">
        <v>2288</v>
      </c>
      <c r="F767" t="s">
        <v>13</v>
      </c>
      <c r="G767" t="s">
        <v>14</v>
      </c>
      <c r="H767" t="s">
        <v>15</v>
      </c>
      <c r="I767" t="s">
        <v>63</v>
      </c>
    </row>
    <row r="768" spans="1:9" x14ac:dyDescent="0.3">
      <c r="A768" t="s">
        <v>2289</v>
      </c>
      <c r="B768" t="s">
        <v>2290</v>
      </c>
      <c r="C768" t="s">
        <v>29</v>
      </c>
      <c r="D768" s="1">
        <v>44849</v>
      </c>
      <c r="E768" t="s">
        <v>2291</v>
      </c>
      <c r="F768" t="s">
        <v>13</v>
      </c>
      <c r="G768" t="s">
        <v>14</v>
      </c>
      <c r="H768" t="s">
        <v>15</v>
      </c>
      <c r="I768" t="s">
        <v>42</v>
      </c>
    </row>
    <row r="769" spans="1:9" x14ac:dyDescent="0.3">
      <c r="A769" t="s">
        <v>2292</v>
      </c>
      <c r="B769" t="s">
        <v>2293</v>
      </c>
      <c r="C769" t="s">
        <v>19</v>
      </c>
      <c r="D769" s="1">
        <v>44850</v>
      </c>
      <c r="E769" t="s">
        <v>2294</v>
      </c>
      <c r="F769" t="s">
        <v>13</v>
      </c>
      <c r="G769" t="s">
        <v>14</v>
      </c>
      <c r="H769" t="s">
        <v>15</v>
      </c>
      <c r="I769" t="s">
        <v>116</v>
      </c>
    </row>
    <row r="770" spans="1:9" x14ac:dyDescent="0.3">
      <c r="A770" t="s">
        <v>2295</v>
      </c>
      <c r="B770" t="s">
        <v>2296</v>
      </c>
      <c r="C770" t="s">
        <v>11</v>
      </c>
      <c r="D770" s="1">
        <v>44850</v>
      </c>
      <c r="E770" t="s">
        <v>2297</v>
      </c>
      <c r="F770" t="s">
        <v>13</v>
      </c>
      <c r="G770" t="s">
        <v>14</v>
      </c>
      <c r="H770" t="s">
        <v>15</v>
      </c>
      <c r="I770" t="s">
        <v>185</v>
      </c>
    </row>
    <row r="771" spans="1:9" x14ac:dyDescent="0.3">
      <c r="A771" t="s">
        <v>2298</v>
      </c>
      <c r="B771" t="s">
        <v>2299</v>
      </c>
      <c r="C771" t="s">
        <v>19</v>
      </c>
      <c r="D771" s="1">
        <v>44850</v>
      </c>
      <c r="E771" t="s">
        <v>2300</v>
      </c>
      <c r="F771" t="s">
        <v>13</v>
      </c>
      <c r="G771" t="s">
        <v>14</v>
      </c>
      <c r="H771" t="s">
        <v>15</v>
      </c>
      <c r="I771" t="s">
        <v>21</v>
      </c>
    </row>
    <row r="772" spans="1:9" x14ac:dyDescent="0.3">
      <c r="A772" t="s">
        <v>2301</v>
      </c>
      <c r="B772" t="s">
        <v>2302</v>
      </c>
      <c r="C772" t="s">
        <v>24</v>
      </c>
      <c r="D772" s="1">
        <v>44850</v>
      </c>
      <c r="E772" t="s">
        <v>2303</v>
      </c>
      <c r="F772" t="s">
        <v>13</v>
      </c>
      <c r="G772" t="s">
        <v>14</v>
      </c>
      <c r="H772" t="s">
        <v>15</v>
      </c>
    </row>
    <row r="773" spans="1:9" x14ac:dyDescent="0.3">
      <c r="A773" t="s">
        <v>2304</v>
      </c>
      <c r="B773" t="s">
        <v>2305</v>
      </c>
      <c r="C773" t="s">
        <v>11</v>
      </c>
      <c r="D773" s="1">
        <v>44851</v>
      </c>
      <c r="E773" t="s">
        <v>2306</v>
      </c>
      <c r="F773" t="s">
        <v>13</v>
      </c>
      <c r="G773" t="s">
        <v>14</v>
      </c>
      <c r="H773" t="s">
        <v>15</v>
      </c>
      <c r="I773" t="s">
        <v>185</v>
      </c>
    </row>
    <row r="774" spans="1:9" x14ac:dyDescent="0.3">
      <c r="A774" t="s">
        <v>2307</v>
      </c>
      <c r="B774" t="s">
        <v>2308</v>
      </c>
      <c r="C774" t="s">
        <v>54</v>
      </c>
      <c r="D774" s="1">
        <v>44851</v>
      </c>
      <c r="E774" t="s">
        <v>2309</v>
      </c>
      <c r="F774" t="s">
        <v>13</v>
      </c>
      <c r="G774" t="s">
        <v>14</v>
      </c>
      <c r="H774" t="s">
        <v>15</v>
      </c>
      <c r="I774" t="s">
        <v>181</v>
      </c>
    </row>
    <row r="775" spans="1:9" x14ac:dyDescent="0.3">
      <c r="A775" t="s">
        <v>2310</v>
      </c>
      <c r="B775" t="s">
        <v>2311</v>
      </c>
      <c r="C775" t="s">
        <v>45</v>
      </c>
      <c r="D775" s="1">
        <v>44851</v>
      </c>
      <c r="E775" t="s">
        <v>2312</v>
      </c>
      <c r="F775" t="s">
        <v>13</v>
      </c>
      <c r="G775" t="s">
        <v>14</v>
      </c>
      <c r="H775" t="s">
        <v>15</v>
      </c>
      <c r="I775" t="s">
        <v>248</v>
      </c>
    </row>
    <row r="776" spans="1:9" x14ac:dyDescent="0.3">
      <c r="A776" t="s">
        <v>2313</v>
      </c>
      <c r="B776" t="s">
        <v>2314</v>
      </c>
      <c r="C776" t="s">
        <v>24</v>
      </c>
      <c r="D776" s="1">
        <v>44851</v>
      </c>
      <c r="E776" t="s">
        <v>2315</v>
      </c>
      <c r="F776" t="s">
        <v>13</v>
      </c>
      <c r="G776" t="s">
        <v>14</v>
      </c>
      <c r="H776" t="s">
        <v>15</v>
      </c>
      <c r="I776" t="s">
        <v>26</v>
      </c>
    </row>
    <row r="777" spans="1:9" x14ac:dyDescent="0.3">
      <c r="A777" t="s">
        <v>2316</v>
      </c>
      <c r="B777" t="s">
        <v>2317</v>
      </c>
      <c r="C777" t="s">
        <v>19</v>
      </c>
      <c r="D777" s="1">
        <v>44852</v>
      </c>
      <c r="E777" t="s">
        <v>2318</v>
      </c>
      <c r="F777" t="s">
        <v>13</v>
      </c>
      <c r="G777" t="s">
        <v>14</v>
      </c>
      <c r="H777" t="s">
        <v>15</v>
      </c>
    </row>
    <row r="778" spans="1:9" x14ac:dyDescent="0.3">
      <c r="A778" t="s">
        <v>2319</v>
      </c>
      <c r="B778" t="s">
        <v>2320</v>
      </c>
      <c r="C778" t="s">
        <v>11</v>
      </c>
      <c r="D778" s="1">
        <v>44852</v>
      </c>
      <c r="E778" t="s">
        <v>2321</v>
      </c>
      <c r="F778" t="s">
        <v>13</v>
      </c>
      <c r="G778" t="s">
        <v>14</v>
      </c>
      <c r="H778" t="s">
        <v>15</v>
      </c>
      <c r="I778" t="s">
        <v>16</v>
      </c>
    </row>
    <row r="779" spans="1:9" x14ac:dyDescent="0.3">
      <c r="A779" t="s">
        <v>2322</v>
      </c>
      <c r="B779" t="s">
        <v>2323</v>
      </c>
      <c r="C779" t="s">
        <v>24</v>
      </c>
      <c r="D779" s="1">
        <v>44853</v>
      </c>
      <c r="E779" t="s">
        <v>2324</v>
      </c>
      <c r="F779" t="s">
        <v>13</v>
      </c>
      <c r="G779" t="s">
        <v>14</v>
      </c>
      <c r="H779" t="s">
        <v>15</v>
      </c>
      <c r="I779" t="s">
        <v>26</v>
      </c>
    </row>
    <row r="780" spans="1:9" x14ac:dyDescent="0.3">
      <c r="A780" t="s">
        <v>2325</v>
      </c>
      <c r="B780" t="s">
        <v>2326</v>
      </c>
      <c r="C780" t="s">
        <v>45</v>
      </c>
      <c r="D780" s="1">
        <v>44853</v>
      </c>
      <c r="E780" t="s">
        <v>2327</v>
      </c>
      <c r="F780" t="s">
        <v>13</v>
      </c>
      <c r="G780" t="s">
        <v>14</v>
      </c>
      <c r="H780" t="s">
        <v>15</v>
      </c>
      <c r="I780" t="s">
        <v>47</v>
      </c>
    </row>
    <row r="781" spans="1:9" x14ac:dyDescent="0.3">
      <c r="A781" t="s">
        <v>2328</v>
      </c>
      <c r="B781" t="s">
        <v>2329</v>
      </c>
      <c r="C781" t="s">
        <v>69</v>
      </c>
      <c r="D781" s="1">
        <v>44853</v>
      </c>
      <c r="E781" t="s">
        <v>2330</v>
      </c>
      <c r="F781" t="s">
        <v>13</v>
      </c>
      <c r="G781" t="s">
        <v>14</v>
      </c>
      <c r="H781" t="s">
        <v>15</v>
      </c>
    </row>
    <row r="782" spans="1:9" x14ac:dyDescent="0.3">
      <c r="A782" t="s">
        <v>2331</v>
      </c>
      <c r="B782" t="s">
        <v>2332</v>
      </c>
      <c r="C782" t="s">
        <v>33</v>
      </c>
      <c r="D782" s="1">
        <v>44854</v>
      </c>
      <c r="E782" t="s">
        <v>2333</v>
      </c>
      <c r="F782" t="s">
        <v>13</v>
      </c>
      <c r="G782" t="s">
        <v>14</v>
      </c>
      <c r="H782" t="s">
        <v>15</v>
      </c>
      <c r="I782" t="s">
        <v>94</v>
      </c>
    </row>
    <row r="783" spans="1:9" x14ac:dyDescent="0.3">
      <c r="A783" t="s">
        <v>2334</v>
      </c>
      <c r="B783" t="s">
        <v>2335</v>
      </c>
      <c r="C783" t="s">
        <v>54</v>
      </c>
      <c r="D783" s="1">
        <v>44854</v>
      </c>
      <c r="E783" t="s">
        <v>2336</v>
      </c>
      <c r="F783" t="s">
        <v>13</v>
      </c>
      <c r="G783" t="s">
        <v>14</v>
      </c>
      <c r="H783" t="s">
        <v>15</v>
      </c>
      <c r="I783" t="s">
        <v>238</v>
      </c>
    </row>
    <row r="784" spans="1:9" x14ac:dyDescent="0.3">
      <c r="A784" t="s">
        <v>2337</v>
      </c>
      <c r="B784" t="s">
        <v>2338</v>
      </c>
      <c r="C784" t="s">
        <v>45</v>
      </c>
      <c r="D784" s="1">
        <v>44854</v>
      </c>
      <c r="E784" t="s">
        <v>2339</v>
      </c>
      <c r="F784" t="s">
        <v>13</v>
      </c>
      <c r="G784" t="s">
        <v>14</v>
      </c>
      <c r="H784" t="s">
        <v>15</v>
      </c>
      <c r="I784" t="s">
        <v>47</v>
      </c>
    </row>
    <row r="785" spans="1:9" x14ac:dyDescent="0.3">
      <c r="A785" t="s">
        <v>2340</v>
      </c>
      <c r="B785" t="s">
        <v>2341</v>
      </c>
      <c r="C785" t="s">
        <v>29</v>
      </c>
      <c r="D785" s="1">
        <v>44854</v>
      </c>
      <c r="E785" t="s">
        <v>2342</v>
      </c>
      <c r="F785" t="s">
        <v>13</v>
      </c>
      <c r="G785" t="s">
        <v>14</v>
      </c>
      <c r="H785" t="s">
        <v>15</v>
      </c>
      <c r="I785" t="s">
        <v>204</v>
      </c>
    </row>
    <row r="786" spans="1:9" x14ac:dyDescent="0.3">
      <c r="A786" t="s">
        <v>88</v>
      </c>
      <c r="B786" t="s">
        <v>2343</v>
      </c>
      <c r="C786" t="s">
        <v>45</v>
      </c>
      <c r="D786" s="1">
        <v>44856</v>
      </c>
      <c r="E786" t="s">
        <v>2344</v>
      </c>
      <c r="F786" t="s">
        <v>13</v>
      </c>
      <c r="G786" t="s">
        <v>14</v>
      </c>
      <c r="H786" t="s">
        <v>15</v>
      </c>
      <c r="I786" t="s">
        <v>248</v>
      </c>
    </row>
    <row r="787" spans="1:9" x14ac:dyDescent="0.3">
      <c r="A787" t="s">
        <v>2345</v>
      </c>
      <c r="B787" t="s">
        <v>2346</v>
      </c>
      <c r="C787" t="s">
        <v>54</v>
      </c>
      <c r="D787" s="1">
        <v>44856</v>
      </c>
      <c r="E787" t="s">
        <v>2347</v>
      </c>
      <c r="F787" t="s">
        <v>13</v>
      </c>
      <c r="G787" t="s">
        <v>14</v>
      </c>
      <c r="H787" t="s">
        <v>15</v>
      </c>
      <c r="I787" t="s">
        <v>238</v>
      </c>
    </row>
    <row r="788" spans="1:9" x14ac:dyDescent="0.3">
      <c r="A788" t="s">
        <v>2348</v>
      </c>
      <c r="B788" t="s">
        <v>2349</v>
      </c>
      <c r="C788" t="s">
        <v>33</v>
      </c>
      <c r="D788" s="1">
        <v>44856</v>
      </c>
      <c r="E788" t="s">
        <v>2350</v>
      </c>
      <c r="F788" t="s">
        <v>13</v>
      </c>
      <c r="G788" t="s">
        <v>174</v>
      </c>
      <c r="H788" t="s">
        <v>15</v>
      </c>
      <c r="I788" t="s">
        <v>51</v>
      </c>
    </row>
    <row r="789" spans="1:9" x14ac:dyDescent="0.3">
      <c r="A789" t="s">
        <v>2351</v>
      </c>
      <c r="B789" t="s">
        <v>2352</v>
      </c>
      <c r="C789" t="s">
        <v>45</v>
      </c>
      <c r="D789" s="1">
        <v>44856</v>
      </c>
      <c r="E789" t="s">
        <v>2353</v>
      </c>
      <c r="F789" t="s">
        <v>13</v>
      </c>
      <c r="G789" t="s">
        <v>14</v>
      </c>
      <c r="H789" t="s">
        <v>15</v>
      </c>
      <c r="I789" t="s">
        <v>248</v>
      </c>
    </row>
    <row r="790" spans="1:9" x14ac:dyDescent="0.3">
      <c r="A790" t="s">
        <v>2354</v>
      </c>
      <c r="B790" t="s">
        <v>2355</v>
      </c>
      <c r="C790" t="s">
        <v>29</v>
      </c>
      <c r="D790" s="1">
        <v>44857</v>
      </c>
      <c r="E790" t="s">
        <v>2356</v>
      </c>
      <c r="F790" t="s">
        <v>13</v>
      </c>
      <c r="G790" t="s">
        <v>14</v>
      </c>
      <c r="H790" t="s">
        <v>15</v>
      </c>
      <c r="I790" t="s">
        <v>204</v>
      </c>
    </row>
    <row r="791" spans="1:9" x14ac:dyDescent="0.3">
      <c r="A791" t="s">
        <v>2357</v>
      </c>
      <c r="B791" t="s">
        <v>2358</v>
      </c>
      <c r="C791" t="s">
        <v>29</v>
      </c>
      <c r="D791" s="1">
        <v>44858</v>
      </c>
      <c r="E791" t="s">
        <v>2359</v>
      </c>
      <c r="F791" t="s">
        <v>13</v>
      </c>
      <c r="G791" t="s">
        <v>14</v>
      </c>
      <c r="H791" t="s">
        <v>15</v>
      </c>
      <c r="I791" t="s">
        <v>42</v>
      </c>
    </row>
    <row r="792" spans="1:9" x14ac:dyDescent="0.3">
      <c r="A792" t="s">
        <v>2360</v>
      </c>
      <c r="B792" t="s">
        <v>2361</v>
      </c>
      <c r="C792" t="s">
        <v>54</v>
      </c>
      <c r="D792" s="1">
        <v>44858</v>
      </c>
      <c r="E792" t="s">
        <v>2362</v>
      </c>
      <c r="F792" t="s">
        <v>13</v>
      </c>
      <c r="G792" t="s">
        <v>14</v>
      </c>
      <c r="H792" t="s">
        <v>15</v>
      </c>
      <c r="I792" t="s">
        <v>181</v>
      </c>
    </row>
    <row r="793" spans="1:9" x14ac:dyDescent="0.3">
      <c r="A793" t="s">
        <v>2363</v>
      </c>
      <c r="B793" t="s">
        <v>2364</v>
      </c>
      <c r="C793" t="s">
        <v>29</v>
      </c>
      <c r="D793" s="1">
        <v>44858</v>
      </c>
      <c r="E793" t="s">
        <v>2365</v>
      </c>
      <c r="F793" t="s">
        <v>13</v>
      </c>
      <c r="G793" t="s">
        <v>14</v>
      </c>
      <c r="H793" t="s">
        <v>15</v>
      </c>
      <c r="I793" t="s">
        <v>204</v>
      </c>
    </row>
    <row r="794" spans="1:9" x14ac:dyDescent="0.3">
      <c r="A794" t="s">
        <v>2366</v>
      </c>
      <c r="B794" t="s">
        <v>2367</v>
      </c>
      <c r="C794" t="s">
        <v>24</v>
      </c>
      <c r="D794" s="1">
        <v>44858</v>
      </c>
      <c r="E794" t="s">
        <v>2368</v>
      </c>
      <c r="F794" t="s">
        <v>13</v>
      </c>
      <c r="G794" t="s">
        <v>14</v>
      </c>
      <c r="H794" t="s">
        <v>15</v>
      </c>
      <c r="I794" t="s">
        <v>59</v>
      </c>
    </row>
    <row r="795" spans="1:9" x14ac:dyDescent="0.3">
      <c r="A795" t="s">
        <v>2369</v>
      </c>
      <c r="B795" t="s">
        <v>2370</v>
      </c>
      <c r="C795" t="s">
        <v>24</v>
      </c>
      <c r="D795" s="1">
        <v>44858</v>
      </c>
      <c r="E795" t="s">
        <v>2371</v>
      </c>
      <c r="F795" t="s">
        <v>13</v>
      </c>
      <c r="G795" t="s">
        <v>14</v>
      </c>
      <c r="H795" t="s">
        <v>15</v>
      </c>
      <c r="I795" t="s">
        <v>63</v>
      </c>
    </row>
    <row r="796" spans="1:9" x14ac:dyDescent="0.3">
      <c r="A796" t="s">
        <v>458</v>
      </c>
      <c r="B796" t="s">
        <v>2372</v>
      </c>
      <c r="C796" t="s">
        <v>19</v>
      </c>
      <c r="D796" s="1">
        <v>44858</v>
      </c>
      <c r="E796" t="s">
        <v>2373</v>
      </c>
      <c r="F796" t="s">
        <v>13</v>
      </c>
      <c r="G796" t="s">
        <v>14</v>
      </c>
      <c r="H796" t="s">
        <v>15</v>
      </c>
    </row>
    <row r="797" spans="1:9" x14ac:dyDescent="0.3">
      <c r="A797" t="s">
        <v>2374</v>
      </c>
      <c r="B797" t="s">
        <v>2375</v>
      </c>
      <c r="C797" t="s">
        <v>45</v>
      </c>
      <c r="D797" s="1">
        <v>44859</v>
      </c>
      <c r="E797" t="s">
        <v>2376</v>
      </c>
      <c r="F797" t="s">
        <v>13</v>
      </c>
      <c r="G797" t="s">
        <v>14</v>
      </c>
      <c r="H797" t="s">
        <v>15</v>
      </c>
    </row>
    <row r="798" spans="1:9" x14ac:dyDescent="0.3">
      <c r="A798" t="s">
        <v>2377</v>
      </c>
      <c r="B798" t="s">
        <v>2378</v>
      </c>
      <c r="C798" t="s">
        <v>45</v>
      </c>
      <c r="D798" s="1">
        <v>44859</v>
      </c>
      <c r="E798" t="s">
        <v>2379</v>
      </c>
      <c r="F798" t="s">
        <v>13</v>
      </c>
      <c r="G798" t="s">
        <v>14</v>
      </c>
      <c r="H798" t="s">
        <v>15</v>
      </c>
    </row>
    <row r="799" spans="1:9" x14ac:dyDescent="0.3">
      <c r="A799" t="s">
        <v>2380</v>
      </c>
      <c r="B799" t="s">
        <v>2381</v>
      </c>
      <c r="C799" t="s">
        <v>29</v>
      </c>
      <c r="D799" s="1">
        <v>44859</v>
      </c>
      <c r="E799" t="s">
        <v>2382</v>
      </c>
      <c r="F799" t="s">
        <v>13</v>
      </c>
      <c r="G799" t="s">
        <v>14</v>
      </c>
      <c r="H799" t="s">
        <v>15</v>
      </c>
      <c r="I799" t="s">
        <v>81</v>
      </c>
    </row>
    <row r="800" spans="1:9" x14ac:dyDescent="0.3">
      <c r="A800" t="s">
        <v>2383</v>
      </c>
      <c r="B800" t="s">
        <v>2384</v>
      </c>
      <c r="C800" t="s">
        <v>45</v>
      </c>
      <c r="D800" s="1">
        <v>44859</v>
      </c>
      <c r="E800" t="s">
        <v>2385</v>
      </c>
      <c r="F800" t="s">
        <v>13</v>
      </c>
      <c r="G800" t="s">
        <v>14</v>
      </c>
      <c r="H800" t="s">
        <v>15</v>
      </c>
      <c r="I800" t="s">
        <v>248</v>
      </c>
    </row>
    <row r="801" spans="1:9" x14ac:dyDescent="0.3">
      <c r="A801" t="s">
        <v>2386</v>
      </c>
      <c r="B801" t="s">
        <v>2387</v>
      </c>
      <c r="C801" t="s">
        <v>69</v>
      </c>
      <c r="D801" s="1">
        <v>44860</v>
      </c>
      <c r="E801" t="s">
        <v>2388</v>
      </c>
      <c r="F801" t="s">
        <v>13</v>
      </c>
      <c r="G801" t="s">
        <v>14</v>
      </c>
      <c r="H801" t="s">
        <v>15</v>
      </c>
      <c r="I801" t="s">
        <v>71</v>
      </c>
    </row>
    <row r="802" spans="1:9" x14ac:dyDescent="0.3">
      <c r="A802" t="s">
        <v>2389</v>
      </c>
      <c r="B802" t="s">
        <v>2390</v>
      </c>
      <c r="C802" t="s">
        <v>24</v>
      </c>
      <c r="D802" s="1">
        <v>44860</v>
      </c>
      <c r="E802" t="s">
        <v>2391</v>
      </c>
      <c r="F802" t="s">
        <v>13</v>
      </c>
      <c r="G802" t="s">
        <v>14</v>
      </c>
      <c r="H802" t="s">
        <v>15</v>
      </c>
      <c r="I802" t="s">
        <v>63</v>
      </c>
    </row>
    <row r="803" spans="1:9" x14ac:dyDescent="0.3">
      <c r="A803" t="s">
        <v>2392</v>
      </c>
      <c r="B803" t="s">
        <v>2393</v>
      </c>
      <c r="C803" t="s">
        <v>11</v>
      </c>
      <c r="D803" s="1">
        <v>44860</v>
      </c>
      <c r="E803" t="s">
        <v>2394</v>
      </c>
      <c r="F803" t="s">
        <v>13</v>
      </c>
      <c r="G803" t="s">
        <v>14</v>
      </c>
      <c r="H803" t="s">
        <v>15</v>
      </c>
    </row>
    <row r="804" spans="1:9" x14ac:dyDescent="0.3">
      <c r="A804" t="s">
        <v>2395</v>
      </c>
      <c r="B804" t="s">
        <v>2396</v>
      </c>
      <c r="C804" t="s">
        <v>33</v>
      </c>
      <c r="D804" s="1">
        <v>44861</v>
      </c>
      <c r="E804" t="s">
        <v>2397</v>
      </c>
      <c r="F804" t="s">
        <v>13</v>
      </c>
      <c r="G804" t="s">
        <v>174</v>
      </c>
      <c r="H804" t="s">
        <v>15</v>
      </c>
      <c r="I804" t="s">
        <v>51</v>
      </c>
    </row>
    <row r="805" spans="1:9" x14ac:dyDescent="0.3">
      <c r="A805" t="s">
        <v>2398</v>
      </c>
      <c r="B805" t="s">
        <v>2399</v>
      </c>
      <c r="C805" t="s">
        <v>11</v>
      </c>
      <c r="D805" s="1">
        <v>44861</v>
      </c>
      <c r="E805" t="s">
        <v>2400</v>
      </c>
      <c r="F805" t="s">
        <v>13</v>
      </c>
      <c r="G805" t="s">
        <v>14</v>
      </c>
      <c r="H805" t="s">
        <v>15</v>
      </c>
      <c r="I805" t="s">
        <v>38</v>
      </c>
    </row>
    <row r="806" spans="1:9" x14ac:dyDescent="0.3">
      <c r="A806" t="s">
        <v>2401</v>
      </c>
      <c r="B806" t="s">
        <v>2402</v>
      </c>
      <c r="C806" t="s">
        <v>11</v>
      </c>
      <c r="D806" s="1">
        <v>44861</v>
      </c>
      <c r="E806" t="s">
        <v>2403</v>
      </c>
      <c r="F806" t="s">
        <v>13</v>
      </c>
      <c r="G806" t="s">
        <v>14</v>
      </c>
      <c r="H806" t="s">
        <v>15</v>
      </c>
      <c r="I806" t="s">
        <v>16</v>
      </c>
    </row>
    <row r="807" spans="1:9" x14ac:dyDescent="0.3">
      <c r="A807" t="s">
        <v>2404</v>
      </c>
      <c r="B807" t="s">
        <v>2405</v>
      </c>
      <c r="C807" t="s">
        <v>69</v>
      </c>
      <c r="D807" s="1">
        <v>44862</v>
      </c>
      <c r="E807" t="s">
        <v>2406</v>
      </c>
      <c r="F807" t="s">
        <v>13</v>
      </c>
      <c r="G807" t="s">
        <v>14</v>
      </c>
      <c r="H807" t="s">
        <v>15</v>
      </c>
    </row>
    <row r="808" spans="1:9" x14ac:dyDescent="0.3">
      <c r="A808" t="s">
        <v>2407</v>
      </c>
      <c r="B808" t="s">
        <v>2408</v>
      </c>
      <c r="C808" t="s">
        <v>11</v>
      </c>
      <c r="D808" s="1">
        <v>44862</v>
      </c>
      <c r="E808" t="s">
        <v>2409</v>
      </c>
      <c r="F808" t="s">
        <v>13</v>
      </c>
      <c r="G808" t="s">
        <v>14</v>
      </c>
      <c r="H808" t="s">
        <v>15</v>
      </c>
      <c r="I808" t="s">
        <v>185</v>
      </c>
    </row>
    <row r="809" spans="1:9" x14ac:dyDescent="0.3">
      <c r="A809" t="s">
        <v>2410</v>
      </c>
      <c r="B809" t="s">
        <v>2411</v>
      </c>
      <c r="C809" t="s">
        <v>69</v>
      </c>
      <c r="D809" s="1">
        <v>44862</v>
      </c>
      <c r="E809" t="s">
        <v>2412</v>
      </c>
      <c r="F809" t="s">
        <v>13</v>
      </c>
      <c r="G809" t="s">
        <v>14</v>
      </c>
      <c r="H809" t="s">
        <v>15</v>
      </c>
      <c r="I809" t="s">
        <v>71</v>
      </c>
    </row>
    <row r="810" spans="1:9" x14ac:dyDescent="0.3">
      <c r="A810" t="s">
        <v>2413</v>
      </c>
      <c r="B810" t="s">
        <v>2414</v>
      </c>
      <c r="C810" t="s">
        <v>24</v>
      </c>
      <c r="D810" s="1">
        <v>44863</v>
      </c>
      <c r="E810" t="s">
        <v>2415</v>
      </c>
      <c r="F810" t="s">
        <v>13</v>
      </c>
      <c r="G810" t="s">
        <v>14</v>
      </c>
      <c r="H810" t="s">
        <v>15</v>
      </c>
      <c r="I810" t="s">
        <v>59</v>
      </c>
    </row>
    <row r="811" spans="1:9" x14ac:dyDescent="0.3">
      <c r="A811" t="s">
        <v>2416</v>
      </c>
      <c r="B811" t="s">
        <v>2417</v>
      </c>
      <c r="C811" t="s">
        <v>29</v>
      </c>
      <c r="D811" s="1">
        <v>44863</v>
      </c>
      <c r="E811" t="s">
        <v>2418</v>
      </c>
      <c r="F811" t="s">
        <v>13</v>
      </c>
      <c r="G811" t="s">
        <v>14</v>
      </c>
      <c r="H811" t="s">
        <v>15</v>
      </c>
      <c r="I811" t="s">
        <v>204</v>
      </c>
    </row>
    <row r="812" spans="1:9" x14ac:dyDescent="0.3">
      <c r="A812" t="s">
        <v>2419</v>
      </c>
      <c r="B812" t="s">
        <v>2420</v>
      </c>
      <c r="C812" t="s">
        <v>54</v>
      </c>
      <c r="D812" s="1">
        <v>44864</v>
      </c>
      <c r="E812" t="s">
        <v>2421</v>
      </c>
      <c r="F812" t="s">
        <v>13</v>
      </c>
      <c r="G812" t="s">
        <v>14</v>
      </c>
      <c r="H812" t="s">
        <v>15</v>
      </c>
      <c r="I812" t="s">
        <v>181</v>
      </c>
    </row>
    <row r="813" spans="1:9" x14ac:dyDescent="0.3">
      <c r="A813" t="s">
        <v>2422</v>
      </c>
      <c r="B813" t="s">
        <v>2423</v>
      </c>
      <c r="C813" t="s">
        <v>54</v>
      </c>
      <c r="D813" s="1">
        <v>44864</v>
      </c>
      <c r="E813" t="s">
        <v>2424</v>
      </c>
      <c r="F813" t="s">
        <v>13</v>
      </c>
      <c r="G813" t="s">
        <v>14</v>
      </c>
      <c r="H813" t="s">
        <v>15</v>
      </c>
      <c r="I813" t="s">
        <v>238</v>
      </c>
    </row>
    <row r="814" spans="1:9" x14ac:dyDescent="0.3">
      <c r="A814" t="s">
        <v>2425</v>
      </c>
      <c r="B814" t="s">
        <v>2426</v>
      </c>
      <c r="C814" t="s">
        <v>69</v>
      </c>
      <c r="D814" s="1">
        <v>44864</v>
      </c>
      <c r="E814" t="s">
        <v>2427</v>
      </c>
      <c r="F814" t="s">
        <v>13</v>
      </c>
      <c r="G814" t="s">
        <v>14</v>
      </c>
      <c r="H814" t="s">
        <v>15</v>
      </c>
      <c r="I814" t="s">
        <v>71</v>
      </c>
    </row>
    <row r="815" spans="1:9" x14ac:dyDescent="0.3">
      <c r="A815" t="s">
        <v>2428</v>
      </c>
      <c r="B815" t="s">
        <v>2429</v>
      </c>
      <c r="C815" t="s">
        <v>29</v>
      </c>
      <c r="D815" s="1">
        <v>44865</v>
      </c>
      <c r="E815" t="s">
        <v>2430</v>
      </c>
      <c r="F815" t="s">
        <v>13</v>
      </c>
      <c r="G815" t="s">
        <v>14</v>
      </c>
      <c r="H815" t="s">
        <v>15</v>
      </c>
      <c r="I815" t="s">
        <v>204</v>
      </c>
    </row>
    <row r="816" spans="1:9" x14ac:dyDescent="0.3">
      <c r="A816" t="s">
        <v>2431</v>
      </c>
      <c r="B816" t="s">
        <v>2432</v>
      </c>
      <c r="C816" t="s">
        <v>29</v>
      </c>
      <c r="D816" s="1">
        <v>44867</v>
      </c>
      <c r="E816" t="s">
        <v>2433</v>
      </c>
      <c r="F816" t="s">
        <v>13</v>
      </c>
      <c r="G816" t="s">
        <v>14</v>
      </c>
      <c r="H816" t="s">
        <v>15</v>
      </c>
      <c r="I816" t="s">
        <v>42</v>
      </c>
    </row>
    <row r="817" spans="1:9" x14ac:dyDescent="0.3">
      <c r="A817" t="s">
        <v>2434</v>
      </c>
      <c r="B817" t="s">
        <v>2435</v>
      </c>
      <c r="C817" t="s">
        <v>69</v>
      </c>
      <c r="D817" s="1">
        <v>44867</v>
      </c>
      <c r="E817" t="s">
        <v>2436</v>
      </c>
      <c r="F817" t="s">
        <v>13</v>
      </c>
      <c r="G817" t="s">
        <v>14</v>
      </c>
      <c r="H817" t="s">
        <v>15</v>
      </c>
      <c r="I817" t="s">
        <v>71</v>
      </c>
    </row>
    <row r="818" spans="1:9" x14ac:dyDescent="0.3">
      <c r="A818" t="s">
        <v>2437</v>
      </c>
      <c r="B818" t="s">
        <v>2438</v>
      </c>
      <c r="C818" t="s">
        <v>29</v>
      </c>
      <c r="D818" s="1">
        <v>44868</v>
      </c>
      <c r="E818" t="s">
        <v>2439</v>
      </c>
      <c r="F818" t="s">
        <v>13</v>
      </c>
      <c r="G818" t="s">
        <v>14</v>
      </c>
      <c r="H818" t="s">
        <v>15</v>
      </c>
      <c r="I818" t="s">
        <v>42</v>
      </c>
    </row>
    <row r="819" spans="1:9" x14ac:dyDescent="0.3">
      <c r="A819" t="s">
        <v>2440</v>
      </c>
      <c r="B819" t="s">
        <v>2441</v>
      </c>
      <c r="C819" t="s">
        <v>33</v>
      </c>
      <c r="D819" s="1">
        <v>44868</v>
      </c>
      <c r="E819" t="s">
        <v>2442</v>
      </c>
      <c r="F819" t="s">
        <v>13</v>
      </c>
      <c r="G819" t="s">
        <v>14</v>
      </c>
      <c r="H819" t="s">
        <v>15</v>
      </c>
      <c r="I819" t="s">
        <v>94</v>
      </c>
    </row>
    <row r="820" spans="1:9" x14ac:dyDescent="0.3">
      <c r="A820" t="s">
        <v>2443</v>
      </c>
      <c r="B820" t="s">
        <v>2444</v>
      </c>
      <c r="C820" t="s">
        <v>54</v>
      </c>
      <c r="D820" s="1">
        <v>44868</v>
      </c>
      <c r="E820" t="s">
        <v>2445</v>
      </c>
      <c r="F820" t="s">
        <v>13</v>
      </c>
      <c r="G820" t="s">
        <v>14</v>
      </c>
      <c r="H820" t="s">
        <v>15</v>
      </c>
    </row>
    <row r="821" spans="1:9" x14ac:dyDescent="0.3">
      <c r="A821" t="s">
        <v>812</v>
      </c>
      <c r="B821" t="s">
        <v>2446</v>
      </c>
      <c r="C821" t="s">
        <v>19</v>
      </c>
      <c r="D821" s="1">
        <v>44868</v>
      </c>
      <c r="E821" t="s">
        <v>2447</v>
      </c>
      <c r="F821" t="s">
        <v>13</v>
      </c>
      <c r="G821" t="s">
        <v>14</v>
      </c>
      <c r="H821" t="s">
        <v>15</v>
      </c>
      <c r="I821" t="s">
        <v>116</v>
      </c>
    </row>
    <row r="822" spans="1:9" x14ac:dyDescent="0.3">
      <c r="A822" t="s">
        <v>2448</v>
      </c>
      <c r="B822" t="s">
        <v>2449</v>
      </c>
      <c r="C822" t="s">
        <v>11</v>
      </c>
      <c r="D822" s="1">
        <v>44869</v>
      </c>
      <c r="E822" t="s">
        <v>2450</v>
      </c>
      <c r="F822" t="s">
        <v>13</v>
      </c>
      <c r="G822" t="s">
        <v>14</v>
      </c>
      <c r="H822" t="s">
        <v>15</v>
      </c>
      <c r="I822" t="s">
        <v>16</v>
      </c>
    </row>
    <row r="823" spans="1:9" x14ac:dyDescent="0.3">
      <c r="A823" t="s">
        <v>2451</v>
      </c>
      <c r="B823" t="s">
        <v>2452</v>
      </c>
      <c r="C823" t="s">
        <v>24</v>
      </c>
      <c r="D823" s="1">
        <v>44869</v>
      </c>
      <c r="E823" t="s">
        <v>2453</v>
      </c>
      <c r="F823" t="s">
        <v>13</v>
      </c>
      <c r="G823" t="s">
        <v>14</v>
      </c>
      <c r="H823" t="s">
        <v>15</v>
      </c>
      <c r="I823" t="s">
        <v>59</v>
      </c>
    </row>
    <row r="824" spans="1:9" x14ac:dyDescent="0.3">
      <c r="A824" t="s">
        <v>2454</v>
      </c>
      <c r="B824" t="s">
        <v>2455</v>
      </c>
      <c r="C824" t="s">
        <v>24</v>
      </c>
      <c r="D824" s="1">
        <v>44869</v>
      </c>
      <c r="E824" t="s">
        <v>2456</v>
      </c>
      <c r="F824" t="s">
        <v>13</v>
      </c>
      <c r="G824" t="s">
        <v>14</v>
      </c>
      <c r="H824" t="s">
        <v>15</v>
      </c>
      <c r="I824" t="s">
        <v>59</v>
      </c>
    </row>
    <row r="825" spans="1:9" x14ac:dyDescent="0.3">
      <c r="A825" t="s">
        <v>1396</v>
      </c>
      <c r="B825" t="s">
        <v>2457</v>
      </c>
      <c r="C825" t="s">
        <v>19</v>
      </c>
      <c r="D825" s="1">
        <v>44869</v>
      </c>
      <c r="E825" t="s">
        <v>2458</v>
      </c>
      <c r="F825" t="s">
        <v>13</v>
      </c>
      <c r="G825" t="s">
        <v>14</v>
      </c>
      <c r="H825" t="s">
        <v>15</v>
      </c>
    </row>
    <row r="826" spans="1:9" x14ac:dyDescent="0.3">
      <c r="A826" t="s">
        <v>2459</v>
      </c>
      <c r="B826" t="s">
        <v>2460</v>
      </c>
      <c r="C826" t="s">
        <v>45</v>
      </c>
      <c r="D826" s="1">
        <v>44870</v>
      </c>
      <c r="E826" t="s">
        <v>2461</v>
      </c>
      <c r="F826" t="s">
        <v>13</v>
      </c>
      <c r="G826" t="s">
        <v>14</v>
      </c>
      <c r="H826" t="s">
        <v>15</v>
      </c>
      <c r="I826" t="s">
        <v>47</v>
      </c>
    </row>
    <row r="827" spans="1:9" x14ac:dyDescent="0.3">
      <c r="A827" t="s">
        <v>2462</v>
      </c>
      <c r="B827" t="s">
        <v>2463</v>
      </c>
      <c r="C827" t="s">
        <v>24</v>
      </c>
      <c r="D827" s="1">
        <v>44870</v>
      </c>
      <c r="E827" t="s">
        <v>2464</v>
      </c>
      <c r="F827" t="s">
        <v>13</v>
      </c>
      <c r="G827" t="s">
        <v>14</v>
      </c>
      <c r="H827" t="s">
        <v>15</v>
      </c>
      <c r="I827" t="s">
        <v>63</v>
      </c>
    </row>
    <row r="828" spans="1:9" x14ac:dyDescent="0.3">
      <c r="A828" t="s">
        <v>2465</v>
      </c>
      <c r="B828" t="s">
        <v>2466</v>
      </c>
      <c r="C828" t="s">
        <v>11</v>
      </c>
      <c r="D828" s="1">
        <v>44871</v>
      </c>
      <c r="E828" t="s">
        <v>2467</v>
      </c>
      <c r="F828" t="s">
        <v>13</v>
      </c>
      <c r="G828" t="s">
        <v>14</v>
      </c>
      <c r="H828" t="s">
        <v>15</v>
      </c>
      <c r="I828" t="s">
        <v>185</v>
      </c>
    </row>
    <row r="829" spans="1:9" x14ac:dyDescent="0.3">
      <c r="A829" t="s">
        <v>2468</v>
      </c>
      <c r="B829" t="s">
        <v>2469</v>
      </c>
      <c r="C829" t="s">
        <v>69</v>
      </c>
      <c r="D829" s="1">
        <v>44871</v>
      </c>
      <c r="E829" t="s">
        <v>2470</v>
      </c>
      <c r="F829" t="s">
        <v>13</v>
      </c>
      <c r="G829" t="s">
        <v>14</v>
      </c>
      <c r="H829" t="s">
        <v>15</v>
      </c>
      <c r="I829" t="s">
        <v>71</v>
      </c>
    </row>
    <row r="830" spans="1:9" x14ac:dyDescent="0.3">
      <c r="A830" t="s">
        <v>2471</v>
      </c>
      <c r="B830" t="s">
        <v>2472</v>
      </c>
      <c r="C830" t="s">
        <v>33</v>
      </c>
      <c r="D830" s="1">
        <v>44871</v>
      </c>
      <c r="E830" t="s">
        <v>2473</v>
      </c>
      <c r="F830" t="s">
        <v>13</v>
      </c>
      <c r="G830" t="s">
        <v>14</v>
      </c>
      <c r="H830" t="s">
        <v>15</v>
      </c>
      <c r="I830" t="s">
        <v>94</v>
      </c>
    </row>
    <row r="831" spans="1:9" x14ac:dyDescent="0.3">
      <c r="A831" t="s">
        <v>2474</v>
      </c>
      <c r="B831" t="s">
        <v>2475</v>
      </c>
      <c r="C831" t="s">
        <v>29</v>
      </c>
      <c r="D831" s="1">
        <v>44871</v>
      </c>
      <c r="E831" t="s">
        <v>2476</v>
      </c>
      <c r="F831" t="s">
        <v>13</v>
      </c>
      <c r="G831" t="s">
        <v>14</v>
      </c>
      <c r="H831" t="s">
        <v>15</v>
      </c>
      <c r="I831" t="s">
        <v>42</v>
      </c>
    </row>
    <row r="832" spans="1:9" x14ac:dyDescent="0.3">
      <c r="A832" t="s">
        <v>2477</v>
      </c>
      <c r="B832" t="s">
        <v>2478</v>
      </c>
      <c r="C832" t="s">
        <v>11</v>
      </c>
      <c r="D832" s="1">
        <v>44871</v>
      </c>
      <c r="E832" t="s">
        <v>2479</v>
      </c>
      <c r="F832" t="s">
        <v>13</v>
      </c>
      <c r="G832" t="s">
        <v>14</v>
      </c>
      <c r="H832" t="s">
        <v>15</v>
      </c>
      <c r="I832" t="s">
        <v>185</v>
      </c>
    </row>
    <row r="833" spans="1:9" x14ac:dyDescent="0.3">
      <c r="A833" t="s">
        <v>2480</v>
      </c>
      <c r="B833" t="s">
        <v>2481</v>
      </c>
      <c r="C833" t="s">
        <v>11</v>
      </c>
      <c r="D833" s="1">
        <v>44871</v>
      </c>
      <c r="E833" t="s">
        <v>2482</v>
      </c>
      <c r="F833" t="s">
        <v>13</v>
      </c>
      <c r="G833" t="s">
        <v>14</v>
      </c>
      <c r="H833" t="s">
        <v>15</v>
      </c>
      <c r="I833" t="s">
        <v>38</v>
      </c>
    </row>
    <row r="834" spans="1:9" x14ac:dyDescent="0.3">
      <c r="A834" t="s">
        <v>2483</v>
      </c>
      <c r="B834" t="s">
        <v>2484</v>
      </c>
      <c r="C834" t="s">
        <v>54</v>
      </c>
      <c r="D834" s="1">
        <v>44871</v>
      </c>
      <c r="E834" t="s">
        <v>2485</v>
      </c>
      <c r="F834" t="s">
        <v>13</v>
      </c>
      <c r="G834" t="s">
        <v>14</v>
      </c>
      <c r="H834" t="s">
        <v>15</v>
      </c>
    </row>
    <row r="835" spans="1:9" x14ac:dyDescent="0.3">
      <c r="A835" t="s">
        <v>2486</v>
      </c>
      <c r="B835" t="s">
        <v>2487</v>
      </c>
      <c r="C835" t="s">
        <v>69</v>
      </c>
      <c r="D835" s="1">
        <v>44872</v>
      </c>
      <c r="E835" t="s">
        <v>2488</v>
      </c>
      <c r="F835" t="s">
        <v>13</v>
      </c>
      <c r="G835" t="s">
        <v>14</v>
      </c>
      <c r="H835" t="s">
        <v>15</v>
      </c>
      <c r="I835" t="s">
        <v>71</v>
      </c>
    </row>
    <row r="836" spans="1:9" x14ac:dyDescent="0.3">
      <c r="A836" t="s">
        <v>2489</v>
      </c>
      <c r="B836" t="s">
        <v>2490</v>
      </c>
      <c r="C836" t="s">
        <v>69</v>
      </c>
      <c r="D836" s="1">
        <v>44872</v>
      </c>
      <c r="E836" t="s">
        <v>2491</v>
      </c>
      <c r="F836" t="s">
        <v>13</v>
      </c>
      <c r="G836" t="s">
        <v>14</v>
      </c>
      <c r="H836" t="s">
        <v>15</v>
      </c>
      <c r="I836" t="s">
        <v>71</v>
      </c>
    </row>
    <row r="837" spans="1:9" x14ac:dyDescent="0.3">
      <c r="A837" t="s">
        <v>2492</v>
      </c>
      <c r="B837" t="s">
        <v>2493</v>
      </c>
      <c r="C837" t="s">
        <v>11</v>
      </c>
      <c r="D837" s="1">
        <v>44872</v>
      </c>
      <c r="E837" t="s">
        <v>2494</v>
      </c>
      <c r="F837" t="s">
        <v>13</v>
      </c>
      <c r="G837" t="s">
        <v>14</v>
      </c>
      <c r="H837" t="s">
        <v>15</v>
      </c>
    </row>
    <row r="838" spans="1:9" x14ac:dyDescent="0.3">
      <c r="A838" t="s">
        <v>2495</v>
      </c>
      <c r="B838" t="s">
        <v>2496</v>
      </c>
      <c r="C838" t="s">
        <v>19</v>
      </c>
      <c r="D838" s="1">
        <v>44872</v>
      </c>
      <c r="E838" t="s">
        <v>2497</v>
      </c>
      <c r="F838" t="s">
        <v>13</v>
      </c>
      <c r="G838" t="s">
        <v>14</v>
      </c>
      <c r="H838" t="s">
        <v>15</v>
      </c>
      <c r="I838" t="s">
        <v>116</v>
      </c>
    </row>
    <row r="839" spans="1:9" x14ac:dyDescent="0.3">
      <c r="A839" t="s">
        <v>2498</v>
      </c>
      <c r="B839" t="s">
        <v>2499</v>
      </c>
      <c r="C839" t="s">
        <v>54</v>
      </c>
      <c r="D839" s="1">
        <v>44872</v>
      </c>
      <c r="E839" t="s">
        <v>2500</v>
      </c>
      <c r="F839" t="s">
        <v>13</v>
      </c>
      <c r="G839" t="s">
        <v>14</v>
      </c>
      <c r="H839" t="s">
        <v>15</v>
      </c>
      <c r="I839" t="s">
        <v>181</v>
      </c>
    </row>
    <row r="840" spans="1:9" x14ac:dyDescent="0.3">
      <c r="A840" t="s">
        <v>2292</v>
      </c>
      <c r="B840" t="s">
        <v>2501</v>
      </c>
      <c r="C840" t="s">
        <v>19</v>
      </c>
      <c r="D840" s="1">
        <v>44874</v>
      </c>
      <c r="E840" t="s">
        <v>2502</v>
      </c>
      <c r="F840" t="s">
        <v>13</v>
      </c>
      <c r="G840" t="s">
        <v>14</v>
      </c>
      <c r="H840" t="s">
        <v>15</v>
      </c>
      <c r="I840" t="s">
        <v>116</v>
      </c>
    </row>
    <row r="841" spans="1:9" x14ac:dyDescent="0.3">
      <c r="A841" t="s">
        <v>2503</v>
      </c>
      <c r="B841" t="s">
        <v>2504</v>
      </c>
      <c r="C841" t="s">
        <v>11</v>
      </c>
      <c r="D841" s="1">
        <v>44874</v>
      </c>
      <c r="E841" t="s">
        <v>2505</v>
      </c>
      <c r="F841" t="s">
        <v>13</v>
      </c>
      <c r="G841" t="s">
        <v>14</v>
      </c>
      <c r="H841" t="s">
        <v>15</v>
      </c>
      <c r="I841" t="s">
        <v>16</v>
      </c>
    </row>
    <row r="842" spans="1:9" x14ac:dyDescent="0.3">
      <c r="A842" t="s">
        <v>2506</v>
      </c>
      <c r="B842" t="s">
        <v>2507</v>
      </c>
      <c r="C842" t="s">
        <v>33</v>
      </c>
      <c r="D842" s="1">
        <v>44874</v>
      </c>
      <c r="E842" t="s">
        <v>2508</v>
      </c>
      <c r="F842" t="s">
        <v>13</v>
      </c>
      <c r="G842" t="s">
        <v>14</v>
      </c>
      <c r="H842" t="s">
        <v>15</v>
      </c>
      <c r="I842" t="s">
        <v>94</v>
      </c>
    </row>
    <row r="843" spans="1:9" x14ac:dyDescent="0.3">
      <c r="A843" t="s">
        <v>2509</v>
      </c>
      <c r="B843" t="s">
        <v>2510</v>
      </c>
      <c r="C843" t="s">
        <v>54</v>
      </c>
      <c r="D843" s="1">
        <v>44874</v>
      </c>
      <c r="E843" t="s">
        <v>2511</v>
      </c>
      <c r="F843" t="s">
        <v>13</v>
      </c>
      <c r="G843" t="s">
        <v>14</v>
      </c>
      <c r="H843" t="s">
        <v>15</v>
      </c>
      <c r="I843" t="s">
        <v>181</v>
      </c>
    </row>
    <row r="844" spans="1:9" x14ac:dyDescent="0.3">
      <c r="A844" t="s">
        <v>2512</v>
      </c>
      <c r="B844" t="s">
        <v>2513</v>
      </c>
      <c r="C844" t="s">
        <v>29</v>
      </c>
      <c r="D844" s="1">
        <v>44875</v>
      </c>
      <c r="E844" t="s">
        <v>2514</v>
      </c>
      <c r="F844" t="s">
        <v>13</v>
      </c>
      <c r="G844" t="s">
        <v>14</v>
      </c>
      <c r="H844" t="s">
        <v>15</v>
      </c>
      <c r="I844" t="s">
        <v>42</v>
      </c>
    </row>
    <row r="845" spans="1:9" x14ac:dyDescent="0.3">
      <c r="A845" t="s">
        <v>2515</v>
      </c>
      <c r="B845" t="s">
        <v>2516</v>
      </c>
      <c r="C845" t="s">
        <v>29</v>
      </c>
      <c r="D845" s="1">
        <v>44875</v>
      </c>
      <c r="E845" t="s">
        <v>2517</v>
      </c>
      <c r="F845" t="s">
        <v>13</v>
      </c>
      <c r="G845" t="s">
        <v>14</v>
      </c>
      <c r="H845" t="s">
        <v>15</v>
      </c>
    </row>
    <row r="846" spans="1:9" x14ac:dyDescent="0.3">
      <c r="A846" t="s">
        <v>2518</v>
      </c>
      <c r="B846" t="s">
        <v>2519</v>
      </c>
      <c r="C846" t="s">
        <v>45</v>
      </c>
      <c r="D846" s="1">
        <v>44875</v>
      </c>
      <c r="E846" t="s">
        <v>2520</v>
      </c>
      <c r="F846" t="s">
        <v>13</v>
      </c>
      <c r="G846" t="s">
        <v>14</v>
      </c>
      <c r="H846" t="s">
        <v>15</v>
      </c>
      <c r="I846" t="s">
        <v>248</v>
      </c>
    </row>
    <row r="847" spans="1:9" x14ac:dyDescent="0.3">
      <c r="A847" t="s">
        <v>2521</v>
      </c>
      <c r="B847" t="s">
        <v>2522</v>
      </c>
      <c r="C847" t="s">
        <v>69</v>
      </c>
      <c r="D847" s="1">
        <v>44875</v>
      </c>
      <c r="E847" t="s">
        <v>2523</v>
      </c>
      <c r="F847" t="s">
        <v>13</v>
      </c>
      <c r="G847" t="s">
        <v>14</v>
      </c>
      <c r="H847" t="s">
        <v>15</v>
      </c>
      <c r="I847" t="s">
        <v>71</v>
      </c>
    </row>
    <row r="848" spans="1:9" x14ac:dyDescent="0.3">
      <c r="A848" t="s">
        <v>2524</v>
      </c>
      <c r="B848" t="s">
        <v>2525</v>
      </c>
      <c r="C848" t="s">
        <v>19</v>
      </c>
      <c r="D848" s="1">
        <v>44875</v>
      </c>
      <c r="E848" t="s">
        <v>2526</v>
      </c>
      <c r="F848" t="s">
        <v>13</v>
      </c>
      <c r="G848" t="s">
        <v>14</v>
      </c>
      <c r="H848" t="s">
        <v>15</v>
      </c>
      <c r="I848" t="s">
        <v>116</v>
      </c>
    </row>
    <row r="849" spans="1:9" x14ac:dyDescent="0.3">
      <c r="A849" t="s">
        <v>2527</v>
      </c>
      <c r="B849" t="s">
        <v>2528</v>
      </c>
      <c r="C849" t="s">
        <v>11</v>
      </c>
      <c r="D849" s="1">
        <v>44876</v>
      </c>
      <c r="E849" t="s">
        <v>2529</v>
      </c>
      <c r="F849" t="s">
        <v>13</v>
      </c>
      <c r="G849" t="s">
        <v>14</v>
      </c>
      <c r="H849" t="s">
        <v>15</v>
      </c>
      <c r="I849" t="s">
        <v>16</v>
      </c>
    </row>
    <row r="850" spans="1:9" x14ac:dyDescent="0.3">
      <c r="A850" t="s">
        <v>2530</v>
      </c>
      <c r="B850" t="s">
        <v>2531</v>
      </c>
      <c r="C850" t="s">
        <v>69</v>
      </c>
      <c r="D850" s="1">
        <v>44876</v>
      </c>
      <c r="E850" t="s">
        <v>2532</v>
      </c>
      <c r="F850" t="s">
        <v>13</v>
      </c>
      <c r="G850" t="s">
        <v>14</v>
      </c>
      <c r="H850" t="s">
        <v>15</v>
      </c>
      <c r="I850" t="s">
        <v>71</v>
      </c>
    </row>
    <row r="851" spans="1:9" x14ac:dyDescent="0.3">
      <c r="A851" t="s">
        <v>2533</v>
      </c>
      <c r="B851" t="s">
        <v>2534</v>
      </c>
      <c r="C851" t="s">
        <v>69</v>
      </c>
      <c r="D851" s="1">
        <v>44876</v>
      </c>
      <c r="E851" t="s">
        <v>2535</v>
      </c>
      <c r="F851" t="s">
        <v>13</v>
      </c>
      <c r="G851" t="s">
        <v>14</v>
      </c>
      <c r="H851" t="s">
        <v>15</v>
      </c>
      <c r="I851" t="s">
        <v>71</v>
      </c>
    </row>
    <row r="852" spans="1:9" x14ac:dyDescent="0.3">
      <c r="A852" t="s">
        <v>1294</v>
      </c>
      <c r="B852" t="s">
        <v>2536</v>
      </c>
      <c r="C852" t="s">
        <v>19</v>
      </c>
      <c r="D852" s="1">
        <v>44877</v>
      </c>
      <c r="E852" t="s">
        <v>2537</v>
      </c>
      <c r="F852" t="s">
        <v>13</v>
      </c>
      <c r="G852" t="s">
        <v>14</v>
      </c>
      <c r="H852" t="s">
        <v>15</v>
      </c>
      <c r="I852" t="s">
        <v>21</v>
      </c>
    </row>
    <row r="853" spans="1:9" x14ac:dyDescent="0.3">
      <c r="A853" t="s">
        <v>2538</v>
      </c>
      <c r="B853" t="s">
        <v>2539</v>
      </c>
      <c r="C853" t="s">
        <v>69</v>
      </c>
      <c r="D853" s="1">
        <v>44877</v>
      </c>
      <c r="E853" t="s">
        <v>2540</v>
      </c>
      <c r="F853" t="s">
        <v>13</v>
      </c>
      <c r="G853" t="s">
        <v>14</v>
      </c>
      <c r="H853" t="s">
        <v>15</v>
      </c>
      <c r="I853" t="s">
        <v>71</v>
      </c>
    </row>
    <row r="854" spans="1:9" x14ac:dyDescent="0.3">
      <c r="A854" t="s">
        <v>2541</v>
      </c>
      <c r="B854" t="s">
        <v>2542</v>
      </c>
      <c r="C854" t="s">
        <v>11</v>
      </c>
      <c r="D854" s="1">
        <v>44877</v>
      </c>
      <c r="E854" t="s">
        <v>2543</v>
      </c>
      <c r="F854" t="s">
        <v>13</v>
      </c>
      <c r="G854" t="s">
        <v>14</v>
      </c>
      <c r="H854" t="s">
        <v>15</v>
      </c>
      <c r="I854" t="s">
        <v>38</v>
      </c>
    </row>
    <row r="855" spans="1:9" x14ac:dyDescent="0.3">
      <c r="A855" t="s">
        <v>2544</v>
      </c>
      <c r="B855" t="s">
        <v>2545</v>
      </c>
      <c r="C855" t="s">
        <v>24</v>
      </c>
      <c r="D855" s="1">
        <v>44877</v>
      </c>
      <c r="E855" t="s">
        <v>2546</v>
      </c>
      <c r="F855" t="s">
        <v>13</v>
      </c>
      <c r="G855" t="s">
        <v>14</v>
      </c>
      <c r="H855" t="s">
        <v>15</v>
      </c>
      <c r="I855" t="s">
        <v>59</v>
      </c>
    </row>
    <row r="856" spans="1:9" x14ac:dyDescent="0.3">
      <c r="A856" t="s">
        <v>2547</v>
      </c>
      <c r="B856" t="s">
        <v>2548</v>
      </c>
      <c r="C856" t="s">
        <v>33</v>
      </c>
      <c r="D856" s="1">
        <v>44877</v>
      </c>
      <c r="E856" t="s">
        <v>2549</v>
      </c>
      <c r="F856" t="s">
        <v>13</v>
      </c>
      <c r="G856" t="s">
        <v>14</v>
      </c>
      <c r="H856" t="s">
        <v>15</v>
      </c>
      <c r="I856" t="s">
        <v>51</v>
      </c>
    </row>
    <row r="857" spans="1:9" x14ac:dyDescent="0.3">
      <c r="A857" t="s">
        <v>2550</v>
      </c>
      <c r="B857" t="s">
        <v>2551</v>
      </c>
      <c r="C857" t="s">
        <v>69</v>
      </c>
      <c r="D857" s="1">
        <v>44877</v>
      </c>
      <c r="E857" t="s">
        <v>2552</v>
      </c>
      <c r="F857" t="s">
        <v>13</v>
      </c>
      <c r="G857" t="s">
        <v>14</v>
      </c>
      <c r="H857" t="s">
        <v>15</v>
      </c>
    </row>
    <row r="858" spans="1:9" x14ac:dyDescent="0.3">
      <c r="A858" t="s">
        <v>2553</v>
      </c>
      <c r="B858" t="s">
        <v>2554</v>
      </c>
      <c r="C858" t="s">
        <v>24</v>
      </c>
      <c r="D858" s="1">
        <v>44878</v>
      </c>
      <c r="E858" t="s">
        <v>2555</v>
      </c>
      <c r="F858" t="s">
        <v>13</v>
      </c>
      <c r="G858" t="s">
        <v>14</v>
      </c>
      <c r="H858" t="s">
        <v>15</v>
      </c>
      <c r="I858" t="s">
        <v>63</v>
      </c>
    </row>
    <row r="859" spans="1:9" x14ac:dyDescent="0.3">
      <c r="A859" t="s">
        <v>2556</v>
      </c>
      <c r="B859" t="s">
        <v>2557</v>
      </c>
      <c r="C859" t="s">
        <v>33</v>
      </c>
      <c r="D859" s="1">
        <v>44879</v>
      </c>
      <c r="E859" t="s">
        <v>2558</v>
      </c>
      <c r="F859" t="s">
        <v>13</v>
      </c>
      <c r="G859" t="s">
        <v>14</v>
      </c>
      <c r="H859" t="s">
        <v>15</v>
      </c>
      <c r="I859" t="s">
        <v>51</v>
      </c>
    </row>
    <row r="860" spans="1:9" x14ac:dyDescent="0.3">
      <c r="A860" t="s">
        <v>2559</v>
      </c>
      <c r="B860" t="s">
        <v>2560</v>
      </c>
      <c r="C860" t="s">
        <v>54</v>
      </c>
      <c r="D860" s="1">
        <v>44880</v>
      </c>
      <c r="E860" t="s">
        <v>2561</v>
      </c>
      <c r="F860" t="s">
        <v>13</v>
      </c>
      <c r="G860" t="s">
        <v>14</v>
      </c>
      <c r="H860" t="s">
        <v>15</v>
      </c>
      <c r="I860" t="s">
        <v>181</v>
      </c>
    </row>
    <row r="861" spans="1:9" x14ac:dyDescent="0.3">
      <c r="A861" t="s">
        <v>2562</v>
      </c>
      <c r="B861" t="s">
        <v>2563</v>
      </c>
      <c r="C861" t="s">
        <v>54</v>
      </c>
      <c r="D861" s="1">
        <v>44881</v>
      </c>
      <c r="E861" t="s">
        <v>2564</v>
      </c>
      <c r="F861" t="s">
        <v>13</v>
      </c>
      <c r="G861" t="s">
        <v>14</v>
      </c>
      <c r="H861" t="s">
        <v>15</v>
      </c>
      <c r="I861" t="s">
        <v>181</v>
      </c>
    </row>
    <row r="862" spans="1:9" x14ac:dyDescent="0.3">
      <c r="A862" t="s">
        <v>2565</v>
      </c>
      <c r="B862" t="s">
        <v>2566</v>
      </c>
      <c r="C862" t="s">
        <v>45</v>
      </c>
      <c r="D862" s="1">
        <v>44881</v>
      </c>
      <c r="E862" t="s">
        <v>2567</v>
      </c>
      <c r="F862" t="s">
        <v>13</v>
      </c>
      <c r="G862" t="s">
        <v>14</v>
      </c>
      <c r="H862" t="s">
        <v>15</v>
      </c>
      <c r="I862" t="s">
        <v>248</v>
      </c>
    </row>
    <row r="863" spans="1:9" x14ac:dyDescent="0.3">
      <c r="A863" t="s">
        <v>2568</v>
      </c>
      <c r="B863" t="s">
        <v>2569</v>
      </c>
      <c r="C863" t="s">
        <v>33</v>
      </c>
      <c r="D863" s="1">
        <v>44881</v>
      </c>
      <c r="E863" t="s">
        <v>2570</v>
      </c>
      <c r="F863" t="s">
        <v>13</v>
      </c>
      <c r="G863" t="s">
        <v>14</v>
      </c>
      <c r="H863" t="s">
        <v>15</v>
      </c>
      <c r="I863" t="s">
        <v>51</v>
      </c>
    </row>
    <row r="864" spans="1:9" x14ac:dyDescent="0.3">
      <c r="A864" t="s">
        <v>2571</v>
      </c>
      <c r="B864" t="s">
        <v>2572</v>
      </c>
      <c r="C864" t="s">
        <v>45</v>
      </c>
      <c r="D864" s="1">
        <v>44881</v>
      </c>
      <c r="E864" t="s">
        <v>2573</v>
      </c>
      <c r="F864" t="s">
        <v>13</v>
      </c>
      <c r="G864" t="s">
        <v>14</v>
      </c>
      <c r="H864" t="s">
        <v>15</v>
      </c>
      <c r="I864" t="s">
        <v>248</v>
      </c>
    </row>
    <row r="865" spans="1:9" x14ac:dyDescent="0.3">
      <c r="A865" t="s">
        <v>2574</v>
      </c>
      <c r="B865" t="s">
        <v>2575</v>
      </c>
      <c r="C865" t="s">
        <v>29</v>
      </c>
      <c r="D865" s="1">
        <v>44881</v>
      </c>
      <c r="E865" t="s">
        <v>2576</v>
      </c>
      <c r="F865" t="s">
        <v>13</v>
      </c>
      <c r="G865" t="s">
        <v>14</v>
      </c>
      <c r="H865" t="s">
        <v>15</v>
      </c>
      <c r="I865" t="s">
        <v>81</v>
      </c>
    </row>
    <row r="866" spans="1:9" x14ac:dyDescent="0.3">
      <c r="A866" t="s">
        <v>2577</v>
      </c>
      <c r="B866" t="s">
        <v>2578</v>
      </c>
      <c r="C866" t="s">
        <v>24</v>
      </c>
      <c r="D866" s="1">
        <v>44881</v>
      </c>
      <c r="E866" t="s">
        <v>2579</v>
      </c>
      <c r="F866" t="s">
        <v>13</v>
      </c>
      <c r="G866" t="s">
        <v>14</v>
      </c>
      <c r="H866" t="s">
        <v>15</v>
      </c>
      <c r="I866" t="s">
        <v>63</v>
      </c>
    </row>
    <row r="867" spans="1:9" x14ac:dyDescent="0.3">
      <c r="A867" t="s">
        <v>2580</v>
      </c>
      <c r="B867" t="s">
        <v>2581</v>
      </c>
      <c r="C867" t="s">
        <v>45</v>
      </c>
      <c r="D867" s="1">
        <v>44882</v>
      </c>
      <c r="E867" t="s">
        <v>2582</v>
      </c>
      <c r="F867" t="s">
        <v>13</v>
      </c>
      <c r="G867" t="s">
        <v>14</v>
      </c>
      <c r="H867" t="s">
        <v>15</v>
      </c>
    </row>
    <row r="868" spans="1:9" x14ac:dyDescent="0.3">
      <c r="A868" t="s">
        <v>2583</v>
      </c>
      <c r="B868" t="s">
        <v>2584</v>
      </c>
      <c r="C868" t="s">
        <v>33</v>
      </c>
      <c r="D868" s="1">
        <v>44883</v>
      </c>
      <c r="E868" t="s">
        <v>2585</v>
      </c>
      <c r="F868" t="s">
        <v>13</v>
      </c>
      <c r="G868" t="s">
        <v>14</v>
      </c>
      <c r="H868" t="s">
        <v>15</v>
      </c>
      <c r="I868" t="s">
        <v>51</v>
      </c>
    </row>
    <row r="869" spans="1:9" x14ac:dyDescent="0.3">
      <c r="A869" t="s">
        <v>2586</v>
      </c>
      <c r="B869" t="s">
        <v>2587</v>
      </c>
      <c r="C869" t="s">
        <v>11</v>
      </c>
      <c r="D869" s="1">
        <v>44883</v>
      </c>
      <c r="E869" t="s">
        <v>2588</v>
      </c>
      <c r="F869" t="s">
        <v>13</v>
      </c>
      <c r="G869" t="s">
        <v>14</v>
      </c>
      <c r="H869" t="s">
        <v>15</v>
      </c>
      <c r="I869" t="s">
        <v>185</v>
      </c>
    </row>
    <row r="870" spans="1:9" x14ac:dyDescent="0.3">
      <c r="A870" t="s">
        <v>2589</v>
      </c>
      <c r="B870" t="s">
        <v>2590</v>
      </c>
      <c r="C870" t="s">
        <v>33</v>
      </c>
      <c r="D870" s="1">
        <v>44883</v>
      </c>
      <c r="E870" t="s">
        <v>2591</v>
      </c>
      <c r="F870" t="s">
        <v>13</v>
      </c>
      <c r="G870" t="s">
        <v>14</v>
      </c>
      <c r="H870" t="s">
        <v>15</v>
      </c>
      <c r="I870" t="s">
        <v>51</v>
      </c>
    </row>
    <row r="871" spans="1:9" x14ac:dyDescent="0.3">
      <c r="A871" t="s">
        <v>2592</v>
      </c>
      <c r="B871" t="s">
        <v>2593</v>
      </c>
      <c r="C871" t="s">
        <v>54</v>
      </c>
      <c r="D871" s="1">
        <v>44883</v>
      </c>
      <c r="E871" t="s">
        <v>2594</v>
      </c>
      <c r="F871" t="s">
        <v>13</v>
      </c>
      <c r="G871" t="s">
        <v>14</v>
      </c>
      <c r="H871" t="s">
        <v>15</v>
      </c>
      <c r="I871" t="s">
        <v>181</v>
      </c>
    </row>
    <row r="872" spans="1:9" x14ac:dyDescent="0.3">
      <c r="A872" t="s">
        <v>2595</v>
      </c>
      <c r="B872" t="s">
        <v>2596</v>
      </c>
      <c r="C872" t="s">
        <v>69</v>
      </c>
      <c r="D872" s="1">
        <v>44884</v>
      </c>
      <c r="E872" t="s">
        <v>2597</v>
      </c>
      <c r="F872" t="s">
        <v>13</v>
      </c>
      <c r="G872" t="s">
        <v>14</v>
      </c>
      <c r="H872" t="s">
        <v>15</v>
      </c>
    </row>
    <row r="873" spans="1:9" x14ac:dyDescent="0.3">
      <c r="A873" t="s">
        <v>2598</v>
      </c>
      <c r="B873" t="s">
        <v>2599</v>
      </c>
      <c r="C873" t="s">
        <v>29</v>
      </c>
      <c r="D873" s="1">
        <v>44884</v>
      </c>
      <c r="E873" t="s">
        <v>2600</v>
      </c>
      <c r="F873" t="s">
        <v>13</v>
      </c>
      <c r="G873" t="s">
        <v>14</v>
      </c>
      <c r="H873" t="s">
        <v>15</v>
      </c>
      <c r="I873" t="s">
        <v>204</v>
      </c>
    </row>
    <row r="874" spans="1:9" x14ac:dyDescent="0.3">
      <c r="A874" t="s">
        <v>2601</v>
      </c>
      <c r="B874" t="s">
        <v>2602</v>
      </c>
      <c r="C874" t="s">
        <v>33</v>
      </c>
      <c r="D874" s="1">
        <v>44884</v>
      </c>
      <c r="E874" t="s">
        <v>2603</v>
      </c>
      <c r="F874" t="s">
        <v>13</v>
      </c>
      <c r="G874" t="s">
        <v>14</v>
      </c>
      <c r="H874" t="s">
        <v>15</v>
      </c>
      <c r="I874" t="s">
        <v>51</v>
      </c>
    </row>
    <row r="875" spans="1:9" x14ac:dyDescent="0.3">
      <c r="A875" t="s">
        <v>2604</v>
      </c>
      <c r="B875" t="s">
        <v>2605</v>
      </c>
      <c r="C875" t="s">
        <v>54</v>
      </c>
      <c r="D875" s="1">
        <v>44885</v>
      </c>
      <c r="E875" t="s">
        <v>2606</v>
      </c>
      <c r="F875" t="s">
        <v>13</v>
      </c>
      <c r="G875" t="s">
        <v>174</v>
      </c>
      <c r="H875" t="s">
        <v>15</v>
      </c>
      <c r="I875" t="s">
        <v>181</v>
      </c>
    </row>
    <row r="876" spans="1:9" x14ac:dyDescent="0.3">
      <c r="A876" t="s">
        <v>2607</v>
      </c>
      <c r="B876" t="s">
        <v>2608</v>
      </c>
      <c r="C876" t="s">
        <v>11</v>
      </c>
      <c r="D876" s="1">
        <v>44885</v>
      </c>
      <c r="E876" t="s">
        <v>2609</v>
      </c>
      <c r="F876" t="s">
        <v>13</v>
      </c>
      <c r="G876" t="s">
        <v>14</v>
      </c>
      <c r="H876" t="s">
        <v>15</v>
      </c>
      <c r="I876" t="s">
        <v>185</v>
      </c>
    </row>
    <row r="877" spans="1:9" x14ac:dyDescent="0.3">
      <c r="A877" t="s">
        <v>2610</v>
      </c>
      <c r="B877" t="s">
        <v>2611</v>
      </c>
      <c r="C877" t="s">
        <v>24</v>
      </c>
      <c r="D877" s="1">
        <v>44885</v>
      </c>
      <c r="E877" t="s">
        <v>2612</v>
      </c>
      <c r="F877" t="s">
        <v>13</v>
      </c>
      <c r="G877" t="s">
        <v>14</v>
      </c>
      <c r="H877" t="s">
        <v>15</v>
      </c>
    </row>
    <row r="878" spans="1:9" x14ac:dyDescent="0.3">
      <c r="A878" t="s">
        <v>2613</v>
      </c>
      <c r="B878" t="s">
        <v>2614</v>
      </c>
      <c r="C878" t="s">
        <v>69</v>
      </c>
      <c r="D878" s="1">
        <v>44885</v>
      </c>
      <c r="E878" t="s">
        <v>2615</v>
      </c>
      <c r="F878" t="s">
        <v>13</v>
      </c>
      <c r="G878" t="s">
        <v>14</v>
      </c>
      <c r="H878" t="s">
        <v>15</v>
      </c>
      <c r="I878" t="s">
        <v>71</v>
      </c>
    </row>
    <row r="879" spans="1:9" x14ac:dyDescent="0.3">
      <c r="A879" t="s">
        <v>2616</v>
      </c>
      <c r="B879" t="s">
        <v>2617</v>
      </c>
      <c r="C879" t="s">
        <v>69</v>
      </c>
      <c r="D879" s="1">
        <v>44886</v>
      </c>
      <c r="E879" t="s">
        <v>2618</v>
      </c>
      <c r="F879" t="s">
        <v>13</v>
      </c>
      <c r="G879" t="s">
        <v>14</v>
      </c>
      <c r="H879" t="s">
        <v>15</v>
      </c>
    </row>
    <row r="880" spans="1:9" x14ac:dyDescent="0.3">
      <c r="A880" t="s">
        <v>2619</v>
      </c>
      <c r="B880" t="s">
        <v>2620</v>
      </c>
      <c r="C880" t="s">
        <v>24</v>
      </c>
      <c r="D880" s="1">
        <v>44887</v>
      </c>
      <c r="E880" t="s">
        <v>2621</v>
      </c>
      <c r="F880" t="s">
        <v>13</v>
      </c>
      <c r="G880" t="s">
        <v>14</v>
      </c>
      <c r="H880" t="s">
        <v>15</v>
      </c>
      <c r="I880" t="s">
        <v>59</v>
      </c>
    </row>
    <row r="881" spans="1:9" x14ac:dyDescent="0.3">
      <c r="A881" t="s">
        <v>2622</v>
      </c>
      <c r="B881" t="s">
        <v>2623</v>
      </c>
      <c r="C881" t="s">
        <v>45</v>
      </c>
      <c r="D881" s="1">
        <v>44887</v>
      </c>
      <c r="E881" t="s">
        <v>2624</v>
      </c>
      <c r="F881" t="s">
        <v>13</v>
      </c>
      <c r="G881" t="s">
        <v>14</v>
      </c>
      <c r="H881" t="s">
        <v>15</v>
      </c>
      <c r="I881" t="s">
        <v>248</v>
      </c>
    </row>
    <row r="882" spans="1:9" x14ac:dyDescent="0.3">
      <c r="A882" t="s">
        <v>2625</v>
      </c>
      <c r="B882" t="s">
        <v>2626</v>
      </c>
      <c r="C882" t="s">
        <v>69</v>
      </c>
      <c r="D882" s="1">
        <v>44887</v>
      </c>
      <c r="E882" t="s">
        <v>2627</v>
      </c>
      <c r="F882" t="s">
        <v>13</v>
      </c>
      <c r="G882" t="s">
        <v>14</v>
      </c>
      <c r="H882" t="s">
        <v>15</v>
      </c>
      <c r="I882" t="s">
        <v>71</v>
      </c>
    </row>
    <row r="883" spans="1:9" x14ac:dyDescent="0.3">
      <c r="A883" t="s">
        <v>2628</v>
      </c>
      <c r="B883" t="s">
        <v>2629</v>
      </c>
      <c r="C883" t="s">
        <v>33</v>
      </c>
      <c r="D883" s="1">
        <v>44888</v>
      </c>
      <c r="E883" t="s">
        <v>2630</v>
      </c>
      <c r="F883" t="s">
        <v>13</v>
      </c>
      <c r="G883" t="s">
        <v>14</v>
      </c>
      <c r="H883" t="s">
        <v>15</v>
      </c>
      <c r="I883" t="s">
        <v>51</v>
      </c>
    </row>
    <row r="884" spans="1:9" x14ac:dyDescent="0.3">
      <c r="A884" t="s">
        <v>2631</v>
      </c>
      <c r="B884" t="s">
        <v>2632</v>
      </c>
      <c r="C884" t="s">
        <v>29</v>
      </c>
      <c r="D884" s="1">
        <v>44888</v>
      </c>
      <c r="E884" t="s">
        <v>2633</v>
      </c>
      <c r="F884" t="s">
        <v>13</v>
      </c>
      <c r="G884" t="s">
        <v>14</v>
      </c>
      <c r="H884" t="s">
        <v>15</v>
      </c>
    </row>
    <row r="885" spans="1:9" x14ac:dyDescent="0.3">
      <c r="A885" t="s">
        <v>2634</v>
      </c>
      <c r="B885" t="s">
        <v>2635</v>
      </c>
      <c r="C885" t="s">
        <v>11</v>
      </c>
      <c r="D885" s="1">
        <v>44889</v>
      </c>
      <c r="E885" t="s">
        <v>2636</v>
      </c>
      <c r="F885" t="s">
        <v>13</v>
      </c>
      <c r="G885" t="s">
        <v>14</v>
      </c>
      <c r="H885" t="s">
        <v>15</v>
      </c>
      <c r="I885" t="s">
        <v>185</v>
      </c>
    </row>
    <row r="886" spans="1:9" x14ac:dyDescent="0.3">
      <c r="A886" t="s">
        <v>2637</v>
      </c>
      <c r="B886" t="s">
        <v>2638</v>
      </c>
      <c r="C886" t="s">
        <v>24</v>
      </c>
      <c r="D886" s="1">
        <v>44889</v>
      </c>
      <c r="E886" t="s">
        <v>2639</v>
      </c>
      <c r="F886" t="s">
        <v>13</v>
      </c>
      <c r="G886" t="s">
        <v>14</v>
      </c>
      <c r="H886" t="s">
        <v>15</v>
      </c>
      <c r="I886" t="s">
        <v>26</v>
      </c>
    </row>
    <row r="887" spans="1:9" x14ac:dyDescent="0.3">
      <c r="A887" t="s">
        <v>2640</v>
      </c>
      <c r="B887" t="s">
        <v>2641</v>
      </c>
      <c r="C887" t="s">
        <v>24</v>
      </c>
      <c r="D887" s="1">
        <v>44890</v>
      </c>
      <c r="E887" t="s">
        <v>2642</v>
      </c>
      <c r="F887" t="s">
        <v>13</v>
      </c>
      <c r="G887" t="s">
        <v>174</v>
      </c>
      <c r="H887" t="s">
        <v>15</v>
      </c>
      <c r="I887" t="s">
        <v>26</v>
      </c>
    </row>
    <row r="888" spans="1:9" x14ac:dyDescent="0.3">
      <c r="A888" t="s">
        <v>2643</v>
      </c>
      <c r="B888" t="s">
        <v>2644</v>
      </c>
      <c r="C888" t="s">
        <v>11</v>
      </c>
      <c r="D888" s="1">
        <v>44890</v>
      </c>
      <c r="E888" t="s">
        <v>2645</v>
      </c>
      <c r="F888" t="s">
        <v>13</v>
      </c>
      <c r="G888" t="s">
        <v>14</v>
      </c>
      <c r="H888" t="s">
        <v>15</v>
      </c>
      <c r="I888" t="s">
        <v>185</v>
      </c>
    </row>
    <row r="889" spans="1:9" x14ac:dyDescent="0.3">
      <c r="A889" t="s">
        <v>2646</v>
      </c>
      <c r="B889" t="s">
        <v>2647</v>
      </c>
      <c r="C889" t="s">
        <v>33</v>
      </c>
      <c r="D889" s="1">
        <v>44890</v>
      </c>
      <c r="E889" t="s">
        <v>2648</v>
      </c>
      <c r="F889" t="s">
        <v>13</v>
      </c>
      <c r="G889" t="s">
        <v>14</v>
      </c>
      <c r="H889" t="s">
        <v>15</v>
      </c>
      <c r="I889" t="s">
        <v>94</v>
      </c>
    </row>
    <row r="890" spans="1:9" x14ac:dyDescent="0.3">
      <c r="A890" t="s">
        <v>2649</v>
      </c>
      <c r="B890" t="s">
        <v>2650</v>
      </c>
      <c r="C890" t="s">
        <v>29</v>
      </c>
      <c r="D890" s="1">
        <v>44890</v>
      </c>
      <c r="E890" t="s">
        <v>2651</v>
      </c>
      <c r="F890" t="s">
        <v>13</v>
      </c>
      <c r="G890" t="s">
        <v>14</v>
      </c>
      <c r="H890" t="s">
        <v>15</v>
      </c>
      <c r="I890" t="s">
        <v>204</v>
      </c>
    </row>
    <row r="891" spans="1:9" x14ac:dyDescent="0.3">
      <c r="A891" t="s">
        <v>2652</v>
      </c>
      <c r="B891" t="s">
        <v>2653</v>
      </c>
      <c r="C891" t="s">
        <v>24</v>
      </c>
      <c r="D891" s="1">
        <v>44891</v>
      </c>
      <c r="E891" t="s">
        <v>2654</v>
      </c>
      <c r="F891" t="s">
        <v>13</v>
      </c>
      <c r="G891" t="s">
        <v>14</v>
      </c>
      <c r="H891" t="s">
        <v>15</v>
      </c>
    </row>
    <row r="892" spans="1:9" x14ac:dyDescent="0.3">
      <c r="A892" t="s">
        <v>2655</v>
      </c>
      <c r="B892" t="s">
        <v>2656</v>
      </c>
      <c r="C892" t="s">
        <v>54</v>
      </c>
      <c r="D892" s="1">
        <v>44892</v>
      </c>
      <c r="E892" t="s">
        <v>2657</v>
      </c>
      <c r="F892" t="s">
        <v>13</v>
      </c>
      <c r="G892" t="s">
        <v>14</v>
      </c>
      <c r="H892" t="s">
        <v>15</v>
      </c>
      <c r="I892" t="s">
        <v>181</v>
      </c>
    </row>
    <row r="893" spans="1:9" x14ac:dyDescent="0.3">
      <c r="A893" t="s">
        <v>2658</v>
      </c>
      <c r="B893" t="s">
        <v>2659</v>
      </c>
      <c r="C893" t="s">
        <v>45</v>
      </c>
      <c r="D893" s="1">
        <v>44892</v>
      </c>
      <c r="E893" t="s">
        <v>2660</v>
      </c>
      <c r="F893" t="s">
        <v>13</v>
      </c>
      <c r="G893" t="s">
        <v>14</v>
      </c>
      <c r="H893" t="s">
        <v>15</v>
      </c>
      <c r="I893" t="s">
        <v>248</v>
      </c>
    </row>
    <row r="894" spans="1:9" x14ac:dyDescent="0.3">
      <c r="A894" t="s">
        <v>2661</v>
      </c>
      <c r="B894" t="s">
        <v>2662</v>
      </c>
      <c r="C894" t="s">
        <v>24</v>
      </c>
      <c r="D894" s="1">
        <v>44893</v>
      </c>
      <c r="E894" t="s">
        <v>2663</v>
      </c>
      <c r="F894" t="s">
        <v>13</v>
      </c>
      <c r="G894" t="s">
        <v>14</v>
      </c>
      <c r="H894" t="s">
        <v>15</v>
      </c>
      <c r="I894" t="s">
        <v>26</v>
      </c>
    </row>
    <row r="895" spans="1:9" x14ac:dyDescent="0.3">
      <c r="A895" t="s">
        <v>2664</v>
      </c>
      <c r="B895" t="s">
        <v>2665</v>
      </c>
      <c r="C895" t="s">
        <v>29</v>
      </c>
      <c r="D895" s="1">
        <v>44893</v>
      </c>
      <c r="E895" t="s">
        <v>2666</v>
      </c>
      <c r="F895" t="s">
        <v>13</v>
      </c>
      <c r="G895" t="s">
        <v>14</v>
      </c>
      <c r="H895" t="s">
        <v>15</v>
      </c>
    </row>
    <row r="896" spans="1:9" x14ac:dyDescent="0.3">
      <c r="A896" t="s">
        <v>2667</v>
      </c>
      <c r="B896" t="s">
        <v>2668</v>
      </c>
      <c r="C896" t="s">
        <v>24</v>
      </c>
      <c r="D896" s="1">
        <v>44894</v>
      </c>
      <c r="E896" t="s">
        <v>2669</v>
      </c>
      <c r="F896" t="s">
        <v>13</v>
      </c>
      <c r="G896" t="s">
        <v>14</v>
      </c>
      <c r="H896" t="s">
        <v>15</v>
      </c>
      <c r="I896" t="s">
        <v>59</v>
      </c>
    </row>
    <row r="897" spans="1:9" x14ac:dyDescent="0.3">
      <c r="A897" t="s">
        <v>2670</v>
      </c>
      <c r="B897" t="s">
        <v>2671</v>
      </c>
      <c r="C897" t="s">
        <v>29</v>
      </c>
      <c r="D897" s="1">
        <v>44895</v>
      </c>
      <c r="E897" t="s">
        <v>2672</v>
      </c>
      <c r="F897" t="s">
        <v>13</v>
      </c>
      <c r="G897" t="s">
        <v>14</v>
      </c>
      <c r="H897" t="s">
        <v>15</v>
      </c>
      <c r="I897" t="s">
        <v>81</v>
      </c>
    </row>
    <row r="898" spans="1:9" x14ac:dyDescent="0.3">
      <c r="A898" t="s">
        <v>2673</v>
      </c>
      <c r="B898" t="s">
        <v>2674</v>
      </c>
      <c r="C898" t="s">
        <v>24</v>
      </c>
      <c r="D898" s="1">
        <v>44895</v>
      </c>
      <c r="E898" t="s">
        <v>2675</v>
      </c>
      <c r="F898" t="s">
        <v>13</v>
      </c>
      <c r="G898" t="s">
        <v>14</v>
      </c>
      <c r="H898" t="s">
        <v>15</v>
      </c>
      <c r="I898" t="s">
        <v>59</v>
      </c>
    </row>
    <row r="899" spans="1:9" x14ac:dyDescent="0.3">
      <c r="A899" t="s">
        <v>2676</v>
      </c>
      <c r="B899" t="s">
        <v>2677</v>
      </c>
      <c r="C899" t="s">
        <v>54</v>
      </c>
      <c r="D899" s="1">
        <v>44895</v>
      </c>
      <c r="E899" t="s">
        <v>2678</v>
      </c>
      <c r="F899" t="s">
        <v>13</v>
      </c>
      <c r="G899" t="s">
        <v>14</v>
      </c>
      <c r="H899" t="s">
        <v>15</v>
      </c>
    </row>
    <row r="900" spans="1:9" x14ac:dyDescent="0.3">
      <c r="A900" t="s">
        <v>2679</v>
      </c>
      <c r="B900" t="s">
        <v>2680</v>
      </c>
      <c r="C900" t="s">
        <v>29</v>
      </c>
      <c r="D900" s="1">
        <v>44896</v>
      </c>
      <c r="E900" t="s">
        <v>2681</v>
      </c>
      <c r="F900" t="s">
        <v>13</v>
      </c>
      <c r="G900" t="s">
        <v>14</v>
      </c>
      <c r="H900" t="s">
        <v>15</v>
      </c>
    </row>
    <row r="901" spans="1:9" x14ac:dyDescent="0.3">
      <c r="A901" t="s">
        <v>2682</v>
      </c>
      <c r="B901" t="s">
        <v>2683</v>
      </c>
      <c r="C901" t="s">
        <v>54</v>
      </c>
      <c r="D901" s="1">
        <v>44896</v>
      </c>
      <c r="E901" t="s">
        <v>2684</v>
      </c>
      <c r="F901" t="s">
        <v>13</v>
      </c>
      <c r="G901" t="s">
        <v>14</v>
      </c>
      <c r="H901" t="s">
        <v>15</v>
      </c>
      <c r="I901" t="s">
        <v>238</v>
      </c>
    </row>
    <row r="902" spans="1:9" x14ac:dyDescent="0.3">
      <c r="A902" t="s">
        <v>2685</v>
      </c>
      <c r="B902" t="s">
        <v>2686</v>
      </c>
      <c r="C902" t="s">
        <v>33</v>
      </c>
      <c r="D902" s="1">
        <v>44896</v>
      </c>
      <c r="E902" t="s">
        <v>2687</v>
      </c>
      <c r="F902" t="s">
        <v>13</v>
      </c>
      <c r="G902" t="s">
        <v>14</v>
      </c>
      <c r="H902" t="s">
        <v>15</v>
      </c>
    </row>
    <row r="903" spans="1:9" x14ac:dyDescent="0.3">
      <c r="A903" t="s">
        <v>2688</v>
      </c>
      <c r="B903" t="s">
        <v>2689</v>
      </c>
      <c r="C903" t="s">
        <v>24</v>
      </c>
      <c r="D903" s="1">
        <v>44896</v>
      </c>
      <c r="E903" t="s">
        <v>2690</v>
      </c>
      <c r="F903" t="s">
        <v>13</v>
      </c>
      <c r="G903" t="s">
        <v>14</v>
      </c>
      <c r="H903" t="s">
        <v>15</v>
      </c>
      <c r="I903" t="s">
        <v>59</v>
      </c>
    </row>
    <row r="904" spans="1:9" x14ac:dyDescent="0.3">
      <c r="A904" t="s">
        <v>2691</v>
      </c>
      <c r="B904" t="s">
        <v>2692</v>
      </c>
      <c r="C904" t="s">
        <v>45</v>
      </c>
      <c r="D904" s="1">
        <v>44897</v>
      </c>
      <c r="E904" t="s">
        <v>2693</v>
      </c>
      <c r="F904" t="s">
        <v>13</v>
      </c>
      <c r="G904" t="s">
        <v>174</v>
      </c>
      <c r="H904" t="s">
        <v>15</v>
      </c>
      <c r="I904" t="s">
        <v>47</v>
      </c>
    </row>
    <row r="905" spans="1:9" x14ac:dyDescent="0.3">
      <c r="A905" t="s">
        <v>2694</v>
      </c>
      <c r="B905" t="s">
        <v>2695</v>
      </c>
      <c r="C905" t="s">
        <v>29</v>
      </c>
      <c r="D905" s="1">
        <v>44897</v>
      </c>
      <c r="E905" t="s">
        <v>2696</v>
      </c>
      <c r="F905" t="s">
        <v>13</v>
      </c>
      <c r="G905" t="s">
        <v>14</v>
      </c>
      <c r="H905" t="s">
        <v>15</v>
      </c>
      <c r="I905" t="s">
        <v>204</v>
      </c>
    </row>
    <row r="906" spans="1:9" x14ac:dyDescent="0.3">
      <c r="A906" t="s">
        <v>2697</v>
      </c>
      <c r="B906" t="s">
        <v>2698</v>
      </c>
      <c r="C906" t="s">
        <v>29</v>
      </c>
      <c r="D906" s="1">
        <v>44897</v>
      </c>
      <c r="E906" t="s">
        <v>2699</v>
      </c>
      <c r="F906" t="s">
        <v>13</v>
      </c>
      <c r="G906" t="s">
        <v>14</v>
      </c>
      <c r="H906" t="s">
        <v>15</v>
      </c>
      <c r="I906" t="s">
        <v>42</v>
      </c>
    </row>
    <row r="907" spans="1:9" x14ac:dyDescent="0.3">
      <c r="A907" t="s">
        <v>2700</v>
      </c>
      <c r="B907" t="s">
        <v>2701</v>
      </c>
      <c r="C907" t="s">
        <v>19</v>
      </c>
      <c r="D907" s="1">
        <v>44898</v>
      </c>
      <c r="E907" t="s">
        <v>2702</v>
      </c>
      <c r="F907" t="s">
        <v>13</v>
      </c>
      <c r="G907" t="s">
        <v>14</v>
      </c>
      <c r="H907" t="s">
        <v>15</v>
      </c>
      <c r="I907" t="s">
        <v>21</v>
      </c>
    </row>
    <row r="908" spans="1:9" x14ac:dyDescent="0.3">
      <c r="A908" t="s">
        <v>2703</v>
      </c>
      <c r="B908" t="s">
        <v>2704</v>
      </c>
      <c r="C908" t="s">
        <v>33</v>
      </c>
      <c r="D908" s="1">
        <v>44898</v>
      </c>
      <c r="E908" t="s">
        <v>2705</v>
      </c>
      <c r="F908" t="s">
        <v>13</v>
      </c>
      <c r="G908" t="s">
        <v>14</v>
      </c>
      <c r="H908" t="s">
        <v>15</v>
      </c>
      <c r="I908" t="s">
        <v>94</v>
      </c>
    </row>
    <row r="909" spans="1:9" x14ac:dyDescent="0.3">
      <c r="A909" t="s">
        <v>2316</v>
      </c>
      <c r="B909" t="s">
        <v>2706</v>
      </c>
      <c r="C909" t="s">
        <v>19</v>
      </c>
      <c r="D909" s="1">
        <v>44899</v>
      </c>
      <c r="E909" t="s">
        <v>2707</v>
      </c>
      <c r="F909" t="s">
        <v>13</v>
      </c>
      <c r="G909" t="s">
        <v>14</v>
      </c>
      <c r="H909" t="s">
        <v>15</v>
      </c>
      <c r="I909" t="s">
        <v>116</v>
      </c>
    </row>
    <row r="910" spans="1:9" x14ac:dyDescent="0.3">
      <c r="A910" t="s">
        <v>2708</v>
      </c>
      <c r="B910" t="s">
        <v>2709</v>
      </c>
      <c r="C910" t="s">
        <v>33</v>
      </c>
      <c r="D910" s="1">
        <v>44899</v>
      </c>
      <c r="E910" t="s">
        <v>2710</v>
      </c>
      <c r="F910" t="s">
        <v>13</v>
      </c>
      <c r="G910" t="s">
        <v>14</v>
      </c>
      <c r="H910" t="s">
        <v>15</v>
      </c>
      <c r="I910" t="s">
        <v>51</v>
      </c>
    </row>
    <row r="911" spans="1:9" x14ac:dyDescent="0.3">
      <c r="A911" t="s">
        <v>2711</v>
      </c>
      <c r="B911" t="s">
        <v>2712</v>
      </c>
      <c r="C911" t="s">
        <v>33</v>
      </c>
      <c r="D911" s="1">
        <v>44899</v>
      </c>
      <c r="E911" t="s">
        <v>2713</v>
      </c>
      <c r="F911" t="s">
        <v>13</v>
      </c>
      <c r="G911" t="s">
        <v>14</v>
      </c>
      <c r="H911" t="s">
        <v>15</v>
      </c>
      <c r="I911" t="s">
        <v>94</v>
      </c>
    </row>
    <row r="912" spans="1:9" x14ac:dyDescent="0.3">
      <c r="A912" t="s">
        <v>2714</v>
      </c>
      <c r="B912" t="s">
        <v>2715</v>
      </c>
      <c r="C912" t="s">
        <v>33</v>
      </c>
      <c r="D912" s="1">
        <v>44899</v>
      </c>
      <c r="E912" t="s">
        <v>2716</v>
      </c>
      <c r="F912" t="s">
        <v>13</v>
      </c>
      <c r="G912" t="s">
        <v>14</v>
      </c>
      <c r="H912" t="s">
        <v>15</v>
      </c>
    </row>
    <row r="913" spans="1:9" x14ac:dyDescent="0.3">
      <c r="A913" t="s">
        <v>2717</v>
      </c>
      <c r="B913" t="s">
        <v>2718</v>
      </c>
      <c r="C913" t="s">
        <v>29</v>
      </c>
      <c r="D913" s="1">
        <v>44900</v>
      </c>
      <c r="E913" t="s">
        <v>2719</v>
      </c>
      <c r="F913" t="s">
        <v>13</v>
      </c>
      <c r="G913" t="s">
        <v>14</v>
      </c>
      <c r="H913" t="s">
        <v>15</v>
      </c>
      <c r="I913" t="s">
        <v>81</v>
      </c>
    </row>
    <row r="914" spans="1:9" x14ac:dyDescent="0.3">
      <c r="A914" t="s">
        <v>2720</v>
      </c>
      <c r="B914" t="s">
        <v>2721</v>
      </c>
      <c r="C914" t="s">
        <v>33</v>
      </c>
      <c r="D914" s="1">
        <v>44900</v>
      </c>
      <c r="E914" t="s">
        <v>2722</v>
      </c>
      <c r="F914" t="s">
        <v>13</v>
      </c>
      <c r="G914" t="s">
        <v>14</v>
      </c>
      <c r="H914" t="s">
        <v>15</v>
      </c>
      <c r="I914" t="s">
        <v>94</v>
      </c>
    </row>
    <row r="915" spans="1:9" x14ac:dyDescent="0.3">
      <c r="A915" t="s">
        <v>2723</v>
      </c>
      <c r="B915" t="s">
        <v>2724</v>
      </c>
      <c r="C915" t="s">
        <v>33</v>
      </c>
      <c r="D915" s="1">
        <v>44901</v>
      </c>
      <c r="E915" t="s">
        <v>2725</v>
      </c>
      <c r="F915" t="s">
        <v>13</v>
      </c>
      <c r="G915" t="s">
        <v>14</v>
      </c>
      <c r="H915" t="s">
        <v>15</v>
      </c>
      <c r="I915" t="s">
        <v>94</v>
      </c>
    </row>
    <row r="916" spans="1:9" x14ac:dyDescent="0.3">
      <c r="A916" t="s">
        <v>2726</v>
      </c>
      <c r="B916" t="s">
        <v>2727</v>
      </c>
      <c r="C916" t="s">
        <v>45</v>
      </c>
      <c r="D916" s="1">
        <v>44901</v>
      </c>
      <c r="E916" t="s">
        <v>2728</v>
      </c>
      <c r="F916" t="s">
        <v>13</v>
      </c>
      <c r="G916" t="s">
        <v>14</v>
      </c>
      <c r="H916" t="s">
        <v>15</v>
      </c>
      <c r="I916" t="s">
        <v>47</v>
      </c>
    </row>
    <row r="917" spans="1:9" x14ac:dyDescent="0.3">
      <c r="A917" t="s">
        <v>2729</v>
      </c>
      <c r="B917" t="s">
        <v>2730</v>
      </c>
      <c r="C917" t="s">
        <v>29</v>
      </c>
      <c r="D917" s="1">
        <v>44901</v>
      </c>
      <c r="E917" t="s">
        <v>2731</v>
      </c>
      <c r="F917" t="s">
        <v>13</v>
      </c>
      <c r="G917" t="s">
        <v>14</v>
      </c>
      <c r="H917" t="s">
        <v>15</v>
      </c>
      <c r="I917" t="s">
        <v>81</v>
      </c>
    </row>
    <row r="918" spans="1:9" x14ac:dyDescent="0.3">
      <c r="A918" t="s">
        <v>2732</v>
      </c>
      <c r="B918" t="s">
        <v>2733</v>
      </c>
      <c r="C918" t="s">
        <v>54</v>
      </c>
      <c r="D918" s="1">
        <v>44902</v>
      </c>
      <c r="E918" t="s">
        <v>2734</v>
      </c>
      <c r="F918" t="s">
        <v>13</v>
      </c>
      <c r="G918" t="s">
        <v>14</v>
      </c>
      <c r="H918" t="s">
        <v>15</v>
      </c>
      <c r="I918" t="s">
        <v>181</v>
      </c>
    </row>
    <row r="919" spans="1:9" x14ac:dyDescent="0.3">
      <c r="A919" t="s">
        <v>2735</v>
      </c>
      <c r="B919" t="s">
        <v>2736</v>
      </c>
      <c r="C919" t="s">
        <v>33</v>
      </c>
      <c r="D919" s="1">
        <v>44902</v>
      </c>
      <c r="E919" t="s">
        <v>2737</v>
      </c>
      <c r="F919" t="s">
        <v>13</v>
      </c>
      <c r="G919" t="s">
        <v>14</v>
      </c>
      <c r="H919" t="s">
        <v>15</v>
      </c>
      <c r="I919" t="s">
        <v>94</v>
      </c>
    </row>
    <row r="920" spans="1:9" x14ac:dyDescent="0.3">
      <c r="A920" t="s">
        <v>2738</v>
      </c>
      <c r="B920" t="s">
        <v>2739</v>
      </c>
      <c r="C920" t="s">
        <v>24</v>
      </c>
      <c r="D920" s="1">
        <v>44902</v>
      </c>
      <c r="E920" t="s">
        <v>2740</v>
      </c>
      <c r="F920" t="s">
        <v>13</v>
      </c>
      <c r="G920" t="s">
        <v>14</v>
      </c>
      <c r="H920" t="s">
        <v>15</v>
      </c>
      <c r="I920" t="s">
        <v>63</v>
      </c>
    </row>
    <row r="921" spans="1:9" x14ac:dyDescent="0.3">
      <c r="A921" t="s">
        <v>2741</v>
      </c>
      <c r="B921" t="s">
        <v>2742</v>
      </c>
      <c r="C921" t="s">
        <v>33</v>
      </c>
      <c r="D921" s="1">
        <v>44902</v>
      </c>
      <c r="E921" t="s">
        <v>2743</v>
      </c>
      <c r="F921" t="s">
        <v>13</v>
      </c>
      <c r="G921" t="s">
        <v>14</v>
      </c>
      <c r="H921" t="s">
        <v>15</v>
      </c>
    </row>
    <row r="922" spans="1:9" x14ac:dyDescent="0.3">
      <c r="A922" t="s">
        <v>2744</v>
      </c>
      <c r="B922" t="s">
        <v>2745</v>
      </c>
      <c r="C922" t="s">
        <v>24</v>
      </c>
      <c r="D922" s="1">
        <v>44902</v>
      </c>
      <c r="E922" t="s">
        <v>2746</v>
      </c>
      <c r="F922" t="s">
        <v>13</v>
      </c>
      <c r="G922" t="s">
        <v>14</v>
      </c>
      <c r="H922" t="s">
        <v>15</v>
      </c>
    </row>
    <row r="923" spans="1:9" x14ac:dyDescent="0.3">
      <c r="A923" t="s">
        <v>2747</v>
      </c>
      <c r="B923" t="s">
        <v>2748</v>
      </c>
      <c r="C923" t="s">
        <v>69</v>
      </c>
      <c r="D923" s="1">
        <v>44902</v>
      </c>
      <c r="E923" t="s">
        <v>2749</v>
      </c>
      <c r="F923" t="s">
        <v>13</v>
      </c>
      <c r="G923" t="s">
        <v>14</v>
      </c>
      <c r="H923" t="s">
        <v>15</v>
      </c>
      <c r="I923" t="s">
        <v>71</v>
      </c>
    </row>
    <row r="924" spans="1:9" x14ac:dyDescent="0.3">
      <c r="A924" t="s">
        <v>2750</v>
      </c>
      <c r="B924" t="s">
        <v>2751</v>
      </c>
      <c r="C924" t="s">
        <v>33</v>
      </c>
      <c r="D924" s="1">
        <v>44902</v>
      </c>
      <c r="E924" t="s">
        <v>2752</v>
      </c>
      <c r="F924" t="s">
        <v>13</v>
      </c>
      <c r="G924" t="s">
        <v>14</v>
      </c>
      <c r="H924" t="s">
        <v>15</v>
      </c>
    </row>
    <row r="925" spans="1:9" x14ac:dyDescent="0.3">
      <c r="A925" t="s">
        <v>2753</v>
      </c>
      <c r="B925" t="s">
        <v>2754</v>
      </c>
      <c r="C925" t="s">
        <v>11</v>
      </c>
      <c r="D925" s="1">
        <v>44902</v>
      </c>
      <c r="E925" t="s">
        <v>2755</v>
      </c>
      <c r="F925" t="s">
        <v>13</v>
      </c>
      <c r="G925" t="s">
        <v>14</v>
      </c>
      <c r="H925" t="s">
        <v>15</v>
      </c>
      <c r="I925" t="s">
        <v>16</v>
      </c>
    </row>
    <row r="926" spans="1:9" x14ac:dyDescent="0.3">
      <c r="A926" t="s">
        <v>2756</v>
      </c>
      <c r="B926" t="s">
        <v>2757</v>
      </c>
      <c r="C926" t="s">
        <v>54</v>
      </c>
      <c r="D926" s="1">
        <v>44902</v>
      </c>
      <c r="E926" t="s">
        <v>2758</v>
      </c>
      <c r="F926" t="s">
        <v>13</v>
      </c>
      <c r="G926" t="s">
        <v>14</v>
      </c>
      <c r="H926" t="s">
        <v>15</v>
      </c>
      <c r="I926" t="s">
        <v>238</v>
      </c>
    </row>
    <row r="927" spans="1:9" x14ac:dyDescent="0.3">
      <c r="A927" t="s">
        <v>2759</v>
      </c>
      <c r="B927" t="s">
        <v>2760</v>
      </c>
      <c r="C927" t="s">
        <v>54</v>
      </c>
      <c r="D927" s="1">
        <v>44903</v>
      </c>
      <c r="E927" t="s">
        <v>2761</v>
      </c>
      <c r="F927" t="s">
        <v>13</v>
      </c>
      <c r="G927" t="s">
        <v>14</v>
      </c>
      <c r="H927" t="s">
        <v>15</v>
      </c>
      <c r="I927" t="s">
        <v>238</v>
      </c>
    </row>
    <row r="928" spans="1:9" x14ac:dyDescent="0.3">
      <c r="A928" t="s">
        <v>2762</v>
      </c>
      <c r="B928" t="s">
        <v>2763</v>
      </c>
      <c r="C928" t="s">
        <v>24</v>
      </c>
      <c r="D928" s="1">
        <v>44903</v>
      </c>
      <c r="E928" t="s">
        <v>2764</v>
      </c>
      <c r="F928" t="s">
        <v>13</v>
      </c>
      <c r="G928" t="s">
        <v>14</v>
      </c>
      <c r="H928" t="s">
        <v>15</v>
      </c>
      <c r="I928" t="s">
        <v>26</v>
      </c>
    </row>
    <row r="929" spans="1:9" x14ac:dyDescent="0.3">
      <c r="A929" t="s">
        <v>2765</v>
      </c>
      <c r="B929" t="s">
        <v>2766</v>
      </c>
      <c r="C929" t="s">
        <v>69</v>
      </c>
      <c r="D929" s="1">
        <v>44904</v>
      </c>
      <c r="E929" t="s">
        <v>2767</v>
      </c>
      <c r="F929" t="s">
        <v>13</v>
      </c>
      <c r="G929" t="s">
        <v>14</v>
      </c>
      <c r="H929" t="s">
        <v>15</v>
      </c>
      <c r="I929" t="s">
        <v>71</v>
      </c>
    </row>
    <row r="930" spans="1:9" x14ac:dyDescent="0.3">
      <c r="A930" t="s">
        <v>2768</v>
      </c>
      <c r="B930" t="s">
        <v>2769</v>
      </c>
      <c r="C930" t="s">
        <v>45</v>
      </c>
      <c r="D930" s="1">
        <v>44904</v>
      </c>
      <c r="E930" t="s">
        <v>2770</v>
      </c>
      <c r="F930" t="s">
        <v>13</v>
      </c>
      <c r="G930" t="s">
        <v>14</v>
      </c>
      <c r="H930" t="s">
        <v>15</v>
      </c>
      <c r="I930" t="s">
        <v>248</v>
      </c>
    </row>
    <row r="931" spans="1:9" x14ac:dyDescent="0.3">
      <c r="A931" t="s">
        <v>2771</v>
      </c>
      <c r="B931" t="s">
        <v>2772</v>
      </c>
      <c r="C931" t="s">
        <v>69</v>
      </c>
      <c r="D931" s="1">
        <v>44904</v>
      </c>
      <c r="E931" t="s">
        <v>2773</v>
      </c>
      <c r="F931" t="s">
        <v>13</v>
      </c>
      <c r="G931" t="s">
        <v>14</v>
      </c>
      <c r="H931" t="s">
        <v>15</v>
      </c>
      <c r="I931" t="s">
        <v>71</v>
      </c>
    </row>
    <row r="932" spans="1:9" x14ac:dyDescent="0.3">
      <c r="A932" t="s">
        <v>2774</v>
      </c>
      <c r="B932" t="s">
        <v>2775</v>
      </c>
      <c r="C932" t="s">
        <v>24</v>
      </c>
      <c r="D932" s="1">
        <v>44904</v>
      </c>
      <c r="E932" t="s">
        <v>2776</v>
      </c>
      <c r="F932" t="s">
        <v>13</v>
      </c>
      <c r="G932" t="s">
        <v>14</v>
      </c>
      <c r="H932" t="s">
        <v>15</v>
      </c>
      <c r="I932" t="s">
        <v>59</v>
      </c>
    </row>
    <row r="933" spans="1:9" x14ac:dyDescent="0.3">
      <c r="A933" t="s">
        <v>2777</v>
      </c>
      <c r="B933" t="s">
        <v>2778</v>
      </c>
      <c r="C933" t="s">
        <v>54</v>
      </c>
      <c r="D933" s="1">
        <v>44905</v>
      </c>
      <c r="E933" t="s">
        <v>2779</v>
      </c>
      <c r="F933" t="s">
        <v>13</v>
      </c>
      <c r="G933" t="s">
        <v>14</v>
      </c>
      <c r="H933" t="s">
        <v>15</v>
      </c>
    </row>
    <row r="934" spans="1:9" x14ac:dyDescent="0.3">
      <c r="A934" t="s">
        <v>2780</v>
      </c>
      <c r="B934" t="s">
        <v>2781</v>
      </c>
      <c r="C934" t="s">
        <v>45</v>
      </c>
      <c r="D934" s="1">
        <v>44905</v>
      </c>
      <c r="E934" t="s">
        <v>2782</v>
      </c>
      <c r="F934" t="s">
        <v>13</v>
      </c>
      <c r="G934" t="s">
        <v>14</v>
      </c>
      <c r="H934" t="s">
        <v>15</v>
      </c>
      <c r="I934" t="s">
        <v>248</v>
      </c>
    </row>
    <row r="935" spans="1:9" x14ac:dyDescent="0.3">
      <c r="A935" t="s">
        <v>2783</v>
      </c>
      <c r="B935" t="s">
        <v>2784</v>
      </c>
      <c r="C935" t="s">
        <v>29</v>
      </c>
      <c r="D935" s="1">
        <v>44906</v>
      </c>
      <c r="E935" t="s">
        <v>2785</v>
      </c>
      <c r="F935" t="s">
        <v>13</v>
      </c>
      <c r="G935" t="s">
        <v>14</v>
      </c>
      <c r="H935" t="s">
        <v>15</v>
      </c>
      <c r="I935" t="s">
        <v>42</v>
      </c>
    </row>
    <row r="936" spans="1:9" x14ac:dyDescent="0.3">
      <c r="A936" t="s">
        <v>2786</v>
      </c>
      <c r="B936" t="s">
        <v>2787</v>
      </c>
      <c r="C936" t="s">
        <v>11</v>
      </c>
      <c r="D936" s="1">
        <v>44906</v>
      </c>
      <c r="E936" t="s">
        <v>2788</v>
      </c>
      <c r="F936" t="s">
        <v>13</v>
      </c>
      <c r="G936" t="s">
        <v>14</v>
      </c>
      <c r="H936" t="s">
        <v>15</v>
      </c>
      <c r="I936" t="s">
        <v>185</v>
      </c>
    </row>
    <row r="937" spans="1:9" x14ac:dyDescent="0.3">
      <c r="A937" t="s">
        <v>2789</v>
      </c>
      <c r="B937" t="s">
        <v>2790</v>
      </c>
      <c r="C937" t="s">
        <v>69</v>
      </c>
      <c r="D937" s="1">
        <v>44906</v>
      </c>
      <c r="E937" t="s">
        <v>2791</v>
      </c>
      <c r="F937" t="s">
        <v>13</v>
      </c>
      <c r="G937" t="s">
        <v>14</v>
      </c>
      <c r="H937" t="s">
        <v>15</v>
      </c>
      <c r="I937" t="s">
        <v>71</v>
      </c>
    </row>
    <row r="938" spans="1:9" x14ac:dyDescent="0.3">
      <c r="A938" t="s">
        <v>2792</v>
      </c>
      <c r="B938" t="s">
        <v>2793</v>
      </c>
      <c r="C938" t="s">
        <v>45</v>
      </c>
      <c r="D938" s="1">
        <v>44906</v>
      </c>
      <c r="E938" t="s">
        <v>2794</v>
      </c>
      <c r="F938" t="s">
        <v>13</v>
      </c>
      <c r="G938" t="s">
        <v>14</v>
      </c>
      <c r="H938" t="s">
        <v>15</v>
      </c>
      <c r="I938" t="s">
        <v>47</v>
      </c>
    </row>
    <row r="939" spans="1:9" x14ac:dyDescent="0.3">
      <c r="A939" t="s">
        <v>470</v>
      </c>
      <c r="B939" t="s">
        <v>2795</v>
      </c>
      <c r="C939" t="s">
        <v>19</v>
      </c>
      <c r="D939" s="1">
        <v>44906</v>
      </c>
      <c r="E939" t="s">
        <v>2796</v>
      </c>
      <c r="F939" t="s">
        <v>13</v>
      </c>
      <c r="G939" t="s">
        <v>14</v>
      </c>
      <c r="H939" t="s">
        <v>15</v>
      </c>
      <c r="I939" t="s">
        <v>21</v>
      </c>
    </row>
    <row r="940" spans="1:9" x14ac:dyDescent="0.3">
      <c r="A940" t="s">
        <v>113</v>
      </c>
      <c r="B940" t="s">
        <v>2797</v>
      </c>
      <c r="C940" t="s">
        <v>19</v>
      </c>
      <c r="D940" s="1">
        <v>44907</v>
      </c>
      <c r="E940" t="s">
        <v>2798</v>
      </c>
      <c r="F940" t="s">
        <v>13</v>
      </c>
      <c r="G940" t="s">
        <v>14</v>
      </c>
      <c r="H940" t="s">
        <v>15</v>
      </c>
      <c r="I940" t="s">
        <v>116</v>
      </c>
    </row>
    <row r="941" spans="1:9" x14ac:dyDescent="0.3">
      <c r="A941" t="s">
        <v>2799</v>
      </c>
      <c r="B941" t="s">
        <v>2800</v>
      </c>
      <c r="C941" t="s">
        <v>54</v>
      </c>
      <c r="D941" s="1">
        <v>44907</v>
      </c>
      <c r="E941" t="s">
        <v>2801</v>
      </c>
      <c r="F941" t="s">
        <v>13</v>
      </c>
      <c r="G941" t="s">
        <v>14</v>
      </c>
      <c r="H941" t="s">
        <v>15</v>
      </c>
      <c r="I941" t="s">
        <v>238</v>
      </c>
    </row>
    <row r="942" spans="1:9" x14ac:dyDescent="0.3">
      <c r="A942" t="s">
        <v>2802</v>
      </c>
      <c r="B942" t="s">
        <v>2803</v>
      </c>
      <c r="C942" t="s">
        <v>45</v>
      </c>
      <c r="D942" s="1">
        <v>44907</v>
      </c>
      <c r="E942" t="s">
        <v>2804</v>
      </c>
      <c r="F942" t="s">
        <v>13</v>
      </c>
      <c r="G942" t="s">
        <v>14</v>
      </c>
      <c r="H942" t="s">
        <v>15</v>
      </c>
    </row>
    <row r="943" spans="1:9" x14ac:dyDescent="0.3">
      <c r="A943" t="s">
        <v>2805</v>
      </c>
      <c r="B943" t="s">
        <v>2806</v>
      </c>
      <c r="C943" t="s">
        <v>33</v>
      </c>
      <c r="D943" s="1">
        <v>44907</v>
      </c>
      <c r="E943" t="s">
        <v>2807</v>
      </c>
      <c r="F943" t="s">
        <v>13</v>
      </c>
      <c r="G943" t="s">
        <v>14</v>
      </c>
      <c r="H943" t="s">
        <v>15</v>
      </c>
      <c r="I943" t="s">
        <v>51</v>
      </c>
    </row>
    <row r="944" spans="1:9" x14ac:dyDescent="0.3">
      <c r="A944" t="s">
        <v>1396</v>
      </c>
      <c r="B944" t="s">
        <v>2808</v>
      </c>
      <c r="C944" t="s">
        <v>19</v>
      </c>
      <c r="D944" s="1">
        <v>44908</v>
      </c>
      <c r="E944" t="s">
        <v>2809</v>
      </c>
      <c r="F944" t="s">
        <v>13</v>
      </c>
      <c r="G944" t="s">
        <v>14</v>
      </c>
      <c r="H944" t="s">
        <v>15</v>
      </c>
      <c r="I944" t="s">
        <v>116</v>
      </c>
    </row>
    <row r="945" spans="1:9" x14ac:dyDescent="0.3">
      <c r="A945" t="s">
        <v>2810</v>
      </c>
      <c r="B945" t="s">
        <v>2811</v>
      </c>
      <c r="C945" t="s">
        <v>24</v>
      </c>
      <c r="D945" s="1">
        <v>44908</v>
      </c>
      <c r="E945" t="s">
        <v>2812</v>
      </c>
      <c r="F945" t="s">
        <v>13</v>
      </c>
      <c r="G945" t="s">
        <v>14</v>
      </c>
      <c r="H945" t="s">
        <v>15</v>
      </c>
      <c r="I945" t="s">
        <v>59</v>
      </c>
    </row>
    <row r="946" spans="1:9" x14ac:dyDescent="0.3">
      <c r="A946" t="s">
        <v>2813</v>
      </c>
      <c r="B946" t="s">
        <v>2814</v>
      </c>
      <c r="C946" t="s">
        <v>54</v>
      </c>
      <c r="D946" s="1">
        <v>44908</v>
      </c>
      <c r="E946" t="s">
        <v>2815</v>
      </c>
      <c r="F946" t="s">
        <v>13</v>
      </c>
      <c r="G946" t="s">
        <v>14</v>
      </c>
      <c r="H946" t="s">
        <v>15</v>
      </c>
      <c r="I946" t="s">
        <v>238</v>
      </c>
    </row>
    <row r="947" spans="1:9" x14ac:dyDescent="0.3">
      <c r="A947" t="s">
        <v>2816</v>
      </c>
      <c r="B947" t="s">
        <v>2817</v>
      </c>
      <c r="C947" t="s">
        <v>11</v>
      </c>
      <c r="D947" s="1">
        <v>44910</v>
      </c>
      <c r="E947" t="s">
        <v>2818</v>
      </c>
      <c r="F947" t="s">
        <v>13</v>
      </c>
      <c r="G947" t="s">
        <v>14</v>
      </c>
      <c r="H947" t="s">
        <v>15</v>
      </c>
      <c r="I947" t="s">
        <v>16</v>
      </c>
    </row>
    <row r="948" spans="1:9" x14ac:dyDescent="0.3">
      <c r="A948" t="s">
        <v>2819</v>
      </c>
      <c r="B948" t="s">
        <v>2820</v>
      </c>
      <c r="C948" t="s">
        <v>69</v>
      </c>
      <c r="D948" s="1">
        <v>44912</v>
      </c>
      <c r="E948" t="s">
        <v>2821</v>
      </c>
      <c r="F948" t="s">
        <v>13</v>
      </c>
      <c r="G948" t="s">
        <v>14</v>
      </c>
      <c r="H948" t="s">
        <v>15</v>
      </c>
      <c r="I948" t="s">
        <v>71</v>
      </c>
    </row>
    <row r="949" spans="1:9" x14ac:dyDescent="0.3">
      <c r="A949" t="s">
        <v>2822</v>
      </c>
      <c r="B949" t="s">
        <v>2823</v>
      </c>
      <c r="C949" t="s">
        <v>69</v>
      </c>
      <c r="D949" s="1">
        <v>44912</v>
      </c>
      <c r="E949" t="s">
        <v>2824</v>
      </c>
      <c r="F949" t="s">
        <v>13</v>
      </c>
      <c r="G949" t="s">
        <v>14</v>
      </c>
      <c r="H949" t="s">
        <v>15</v>
      </c>
      <c r="I949" t="s">
        <v>71</v>
      </c>
    </row>
    <row r="950" spans="1:9" x14ac:dyDescent="0.3">
      <c r="A950" t="s">
        <v>2825</v>
      </c>
      <c r="B950" t="s">
        <v>2826</v>
      </c>
      <c r="C950" t="s">
        <v>69</v>
      </c>
      <c r="D950" s="1">
        <v>44912</v>
      </c>
      <c r="E950" t="s">
        <v>2827</v>
      </c>
      <c r="F950" t="s">
        <v>13</v>
      </c>
      <c r="G950" t="s">
        <v>14</v>
      </c>
      <c r="H950" t="s">
        <v>15</v>
      </c>
    </row>
    <row r="951" spans="1:9" x14ac:dyDescent="0.3">
      <c r="A951" t="s">
        <v>2828</v>
      </c>
      <c r="B951" t="s">
        <v>2829</v>
      </c>
      <c r="C951" t="s">
        <v>33</v>
      </c>
      <c r="D951" s="1">
        <v>44913</v>
      </c>
      <c r="E951" t="s">
        <v>2830</v>
      </c>
      <c r="F951" t="s">
        <v>13</v>
      </c>
      <c r="G951" t="s">
        <v>14</v>
      </c>
      <c r="H951" t="s">
        <v>15</v>
      </c>
      <c r="I951" t="s">
        <v>94</v>
      </c>
    </row>
    <row r="952" spans="1:9" x14ac:dyDescent="0.3">
      <c r="A952" t="s">
        <v>2831</v>
      </c>
      <c r="B952" t="s">
        <v>2832</v>
      </c>
      <c r="C952" t="s">
        <v>29</v>
      </c>
      <c r="D952" s="1">
        <v>44913</v>
      </c>
      <c r="E952" t="s">
        <v>2833</v>
      </c>
      <c r="F952" t="s">
        <v>13</v>
      </c>
      <c r="G952" t="s">
        <v>14</v>
      </c>
      <c r="H952" t="s">
        <v>15</v>
      </c>
    </row>
    <row r="953" spans="1:9" x14ac:dyDescent="0.3">
      <c r="A953" t="s">
        <v>2834</v>
      </c>
      <c r="B953" t="s">
        <v>2835</v>
      </c>
      <c r="C953" t="s">
        <v>45</v>
      </c>
      <c r="D953" s="1">
        <v>44913</v>
      </c>
      <c r="E953" t="s">
        <v>2836</v>
      </c>
      <c r="F953" t="s">
        <v>13</v>
      </c>
      <c r="G953" t="s">
        <v>14</v>
      </c>
      <c r="H953" t="s">
        <v>15</v>
      </c>
      <c r="I953" t="s">
        <v>47</v>
      </c>
    </row>
    <row r="954" spans="1:9" x14ac:dyDescent="0.3">
      <c r="A954" t="s">
        <v>2837</v>
      </c>
      <c r="B954" t="s">
        <v>2838</v>
      </c>
      <c r="C954" t="s">
        <v>24</v>
      </c>
      <c r="D954" s="1">
        <v>44913</v>
      </c>
      <c r="E954" t="s">
        <v>2839</v>
      </c>
      <c r="F954" t="s">
        <v>13</v>
      </c>
      <c r="G954" t="s">
        <v>14</v>
      </c>
      <c r="H954" t="s">
        <v>15</v>
      </c>
      <c r="I954" t="s">
        <v>63</v>
      </c>
    </row>
    <row r="955" spans="1:9" x14ac:dyDescent="0.3">
      <c r="A955" t="s">
        <v>2840</v>
      </c>
      <c r="B955" t="s">
        <v>2841</v>
      </c>
      <c r="C955" t="s">
        <v>29</v>
      </c>
      <c r="D955" s="1">
        <v>44913</v>
      </c>
      <c r="E955" t="s">
        <v>2842</v>
      </c>
      <c r="F955" t="s">
        <v>13</v>
      </c>
      <c r="G955" t="s">
        <v>14</v>
      </c>
      <c r="H955" t="s">
        <v>15</v>
      </c>
      <c r="I955" t="s">
        <v>81</v>
      </c>
    </row>
    <row r="956" spans="1:9" x14ac:dyDescent="0.3">
      <c r="A956" t="s">
        <v>458</v>
      </c>
      <c r="B956" t="s">
        <v>2843</v>
      </c>
      <c r="C956" t="s">
        <v>19</v>
      </c>
      <c r="D956" s="1">
        <v>44913</v>
      </c>
      <c r="E956" t="s">
        <v>2844</v>
      </c>
      <c r="F956" t="s">
        <v>13</v>
      </c>
      <c r="G956" t="s">
        <v>14</v>
      </c>
      <c r="H956" t="s">
        <v>15</v>
      </c>
      <c r="I956" t="s">
        <v>116</v>
      </c>
    </row>
    <row r="957" spans="1:9" x14ac:dyDescent="0.3">
      <c r="A957" t="s">
        <v>1062</v>
      </c>
      <c r="B957" t="s">
        <v>2845</v>
      </c>
      <c r="C957" t="s">
        <v>19</v>
      </c>
      <c r="D957" s="1">
        <v>44914</v>
      </c>
      <c r="E957" t="s">
        <v>2846</v>
      </c>
      <c r="F957" t="s">
        <v>13</v>
      </c>
      <c r="G957" t="s">
        <v>14</v>
      </c>
      <c r="H957" t="s">
        <v>15</v>
      </c>
      <c r="I957" t="s">
        <v>116</v>
      </c>
    </row>
    <row r="958" spans="1:9" x14ac:dyDescent="0.3">
      <c r="A958" t="s">
        <v>2847</v>
      </c>
      <c r="B958" t="s">
        <v>2848</v>
      </c>
      <c r="C958" t="s">
        <v>11</v>
      </c>
      <c r="D958" s="1">
        <v>44914</v>
      </c>
      <c r="E958" t="s">
        <v>2849</v>
      </c>
      <c r="F958" t="s">
        <v>13</v>
      </c>
      <c r="G958" t="s">
        <v>14</v>
      </c>
      <c r="H958" t="s">
        <v>15</v>
      </c>
      <c r="I958" t="s">
        <v>16</v>
      </c>
    </row>
    <row r="959" spans="1:9" x14ac:dyDescent="0.3">
      <c r="A959" t="s">
        <v>2850</v>
      </c>
      <c r="B959" t="s">
        <v>2851</v>
      </c>
      <c r="C959" t="s">
        <v>11</v>
      </c>
      <c r="D959" s="1">
        <v>44914</v>
      </c>
      <c r="E959" t="s">
        <v>2852</v>
      </c>
      <c r="F959" t="s">
        <v>13</v>
      </c>
      <c r="G959" t="s">
        <v>14</v>
      </c>
      <c r="H959" t="s">
        <v>15</v>
      </c>
      <c r="I959" t="s">
        <v>16</v>
      </c>
    </row>
    <row r="960" spans="1:9" x14ac:dyDescent="0.3">
      <c r="A960" t="s">
        <v>2853</v>
      </c>
      <c r="B960" t="s">
        <v>2854</v>
      </c>
      <c r="C960" t="s">
        <v>24</v>
      </c>
      <c r="D960" s="1">
        <v>44914</v>
      </c>
      <c r="E960" t="s">
        <v>2855</v>
      </c>
      <c r="F960" t="s">
        <v>13</v>
      </c>
      <c r="G960" t="s">
        <v>14</v>
      </c>
      <c r="H960" t="s">
        <v>15</v>
      </c>
      <c r="I960" t="s">
        <v>59</v>
      </c>
    </row>
    <row r="961" spans="1:9" x14ac:dyDescent="0.3">
      <c r="A961" t="s">
        <v>2856</v>
      </c>
      <c r="B961" t="s">
        <v>2857</v>
      </c>
      <c r="C961" t="s">
        <v>24</v>
      </c>
      <c r="D961" s="1">
        <v>44914</v>
      </c>
      <c r="E961" t="s">
        <v>2858</v>
      </c>
      <c r="F961" t="s">
        <v>13</v>
      </c>
      <c r="G961" t="s">
        <v>14</v>
      </c>
      <c r="H961" t="s">
        <v>15</v>
      </c>
      <c r="I961" t="s">
        <v>59</v>
      </c>
    </row>
    <row r="962" spans="1:9" x14ac:dyDescent="0.3">
      <c r="A962" t="s">
        <v>2859</v>
      </c>
      <c r="B962" t="s">
        <v>2860</v>
      </c>
      <c r="C962" t="s">
        <v>29</v>
      </c>
      <c r="D962" s="1">
        <v>44914</v>
      </c>
      <c r="E962" t="s">
        <v>2861</v>
      </c>
      <c r="F962" t="s">
        <v>13</v>
      </c>
      <c r="G962" t="s">
        <v>14</v>
      </c>
      <c r="H962" t="s">
        <v>15</v>
      </c>
      <c r="I962" t="s">
        <v>81</v>
      </c>
    </row>
    <row r="963" spans="1:9" x14ac:dyDescent="0.3">
      <c r="A963" t="s">
        <v>2862</v>
      </c>
      <c r="B963" t="s">
        <v>2863</v>
      </c>
      <c r="C963" t="s">
        <v>69</v>
      </c>
      <c r="D963" s="1">
        <v>44915</v>
      </c>
      <c r="E963" t="s">
        <v>2864</v>
      </c>
      <c r="F963" t="s">
        <v>13</v>
      </c>
      <c r="G963" t="s">
        <v>14</v>
      </c>
      <c r="H963" t="s">
        <v>15</v>
      </c>
    </row>
    <row r="964" spans="1:9" x14ac:dyDescent="0.3">
      <c r="A964" t="s">
        <v>2865</v>
      </c>
      <c r="B964" t="s">
        <v>2866</v>
      </c>
      <c r="C964" t="s">
        <v>11</v>
      </c>
      <c r="D964" s="1">
        <v>44915</v>
      </c>
      <c r="E964" t="s">
        <v>2867</v>
      </c>
      <c r="F964" t="s">
        <v>13</v>
      </c>
      <c r="G964" t="s">
        <v>14</v>
      </c>
      <c r="H964" t="s">
        <v>15</v>
      </c>
      <c r="I964" t="s">
        <v>185</v>
      </c>
    </row>
    <row r="965" spans="1:9" x14ac:dyDescent="0.3">
      <c r="A965" t="s">
        <v>2868</v>
      </c>
      <c r="B965" t="s">
        <v>2869</v>
      </c>
      <c r="C965" t="s">
        <v>33</v>
      </c>
      <c r="D965" s="1">
        <v>44917</v>
      </c>
      <c r="E965" t="s">
        <v>2870</v>
      </c>
      <c r="F965" t="s">
        <v>13</v>
      </c>
      <c r="G965" t="s">
        <v>14</v>
      </c>
      <c r="H965" t="s">
        <v>15</v>
      </c>
      <c r="I965" t="s">
        <v>51</v>
      </c>
    </row>
    <row r="966" spans="1:9" x14ac:dyDescent="0.3">
      <c r="A966" t="s">
        <v>2871</v>
      </c>
      <c r="B966" t="s">
        <v>2872</v>
      </c>
      <c r="C966" t="s">
        <v>54</v>
      </c>
      <c r="D966" s="1">
        <v>44918</v>
      </c>
      <c r="E966" t="s">
        <v>2873</v>
      </c>
      <c r="F966" t="s">
        <v>13</v>
      </c>
      <c r="G966" t="s">
        <v>14</v>
      </c>
      <c r="H966" t="s">
        <v>15</v>
      </c>
      <c r="I966" t="s">
        <v>238</v>
      </c>
    </row>
    <row r="967" spans="1:9" x14ac:dyDescent="0.3">
      <c r="A967" t="s">
        <v>2874</v>
      </c>
      <c r="B967" t="s">
        <v>2875</v>
      </c>
      <c r="C967" t="s">
        <v>29</v>
      </c>
      <c r="D967" s="1">
        <v>44918</v>
      </c>
      <c r="E967" t="s">
        <v>2876</v>
      </c>
      <c r="F967" t="s">
        <v>13</v>
      </c>
      <c r="G967" t="s">
        <v>14</v>
      </c>
      <c r="H967" t="s">
        <v>15</v>
      </c>
      <c r="I967" t="s">
        <v>204</v>
      </c>
    </row>
    <row r="968" spans="1:9" x14ac:dyDescent="0.3">
      <c r="A968" t="s">
        <v>2877</v>
      </c>
      <c r="B968" t="s">
        <v>2878</v>
      </c>
      <c r="C968" t="s">
        <v>29</v>
      </c>
      <c r="D968" s="1">
        <v>44918</v>
      </c>
      <c r="E968" t="s">
        <v>2879</v>
      </c>
      <c r="F968" t="s">
        <v>13</v>
      </c>
      <c r="G968" t="s">
        <v>14</v>
      </c>
      <c r="H968" t="s">
        <v>15</v>
      </c>
    </row>
    <row r="969" spans="1:9" x14ac:dyDescent="0.3">
      <c r="A969" t="s">
        <v>2880</v>
      </c>
      <c r="B969" t="s">
        <v>2881</v>
      </c>
      <c r="C969" t="s">
        <v>11</v>
      </c>
      <c r="D969" s="1">
        <v>44918</v>
      </c>
      <c r="E969" t="s">
        <v>2882</v>
      </c>
      <c r="F969" t="s">
        <v>13</v>
      </c>
      <c r="G969" t="s">
        <v>14</v>
      </c>
      <c r="H969" t="s">
        <v>15</v>
      </c>
      <c r="I969" t="s">
        <v>16</v>
      </c>
    </row>
    <row r="970" spans="1:9" x14ac:dyDescent="0.3">
      <c r="A970" t="s">
        <v>2883</v>
      </c>
      <c r="B970" t="s">
        <v>2884</v>
      </c>
      <c r="C970" t="s">
        <v>24</v>
      </c>
      <c r="D970" s="1">
        <v>44918</v>
      </c>
      <c r="E970" t="s">
        <v>2885</v>
      </c>
      <c r="F970" t="s">
        <v>13</v>
      </c>
      <c r="G970" t="s">
        <v>14</v>
      </c>
      <c r="H970" t="s">
        <v>15</v>
      </c>
      <c r="I970" t="s">
        <v>63</v>
      </c>
    </row>
    <row r="971" spans="1:9" x14ac:dyDescent="0.3">
      <c r="A971" t="s">
        <v>2886</v>
      </c>
      <c r="B971" t="s">
        <v>2887</v>
      </c>
      <c r="C971" t="s">
        <v>33</v>
      </c>
      <c r="D971" s="1">
        <v>44919</v>
      </c>
      <c r="E971" t="s">
        <v>2888</v>
      </c>
      <c r="F971" t="s">
        <v>13</v>
      </c>
      <c r="G971" t="s">
        <v>14</v>
      </c>
      <c r="H971" t="s">
        <v>15</v>
      </c>
      <c r="I971" t="s">
        <v>51</v>
      </c>
    </row>
    <row r="972" spans="1:9" x14ac:dyDescent="0.3">
      <c r="A972" t="s">
        <v>2889</v>
      </c>
      <c r="B972" t="s">
        <v>2890</v>
      </c>
      <c r="C972" t="s">
        <v>33</v>
      </c>
      <c r="D972" s="1">
        <v>44919</v>
      </c>
      <c r="E972" t="s">
        <v>2891</v>
      </c>
      <c r="F972" t="s">
        <v>13</v>
      </c>
      <c r="G972" t="s">
        <v>174</v>
      </c>
      <c r="H972" t="s">
        <v>15</v>
      </c>
      <c r="I972" t="s">
        <v>51</v>
      </c>
    </row>
    <row r="973" spans="1:9" x14ac:dyDescent="0.3">
      <c r="A973" t="s">
        <v>2892</v>
      </c>
      <c r="B973" t="s">
        <v>2893</v>
      </c>
      <c r="C973" t="s">
        <v>45</v>
      </c>
      <c r="D973" s="1">
        <v>44919</v>
      </c>
      <c r="E973" t="s">
        <v>2894</v>
      </c>
      <c r="F973" t="s">
        <v>13</v>
      </c>
      <c r="G973" t="s">
        <v>14</v>
      </c>
      <c r="H973" t="s">
        <v>15</v>
      </c>
      <c r="I973" t="s">
        <v>47</v>
      </c>
    </row>
    <row r="974" spans="1:9" x14ac:dyDescent="0.3">
      <c r="A974" t="s">
        <v>2895</v>
      </c>
      <c r="B974" t="s">
        <v>2896</v>
      </c>
      <c r="C974" t="s">
        <v>29</v>
      </c>
      <c r="D974" s="1">
        <v>44919</v>
      </c>
      <c r="E974" t="s">
        <v>2897</v>
      </c>
      <c r="F974" t="s">
        <v>13</v>
      </c>
      <c r="G974" t="s">
        <v>14</v>
      </c>
      <c r="H974" t="s">
        <v>15</v>
      </c>
    </row>
    <row r="975" spans="1:9" x14ac:dyDescent="0.3">
      <c r="A975" t="s">
        <v>2898</v>
      </c>
      <c r="B975" t="s">
        <v>2899</v>
      </c>
      <c r="C975" t="s">
        <v>54</v>
      </c>
      <c r="D975" s="1">
        <v>44920</v>
      </c>
      <c r="E975" t="s">
        <v>2900</v>
      </c>
      <c r="F975" t="s">
        <v>13</v>
      </c>
      <c r="G975" t="s">
        <v>14</v>
      </c>
      <c r="H975" t="s">
        <v>15</v>
      </c>
      <c r="I975" t="s">
        <v>238</v>
      </c>
    </row>
    <row r="976" spans="1:9" x14ac:dyDescent="0.3">
      <c r="A976" t="s">
        <v>2901</v>
      </c>
      <c r="B976" t="s">
        <v>2902</v>
      </c>
      <c r="C976" t="s">
        <v>11</v>
      </c>
      <c r="D976" s="1">
        <v>44920</v>
      </c>
      <c r="E976" t="s">
        <v>2903</v>
      </c>
      <c r="F976" t="s">
        <v>13</v>
      </c>
      <c r="G976" t="s">
        <v>14</v>
      </c>
      <c r="H976" t="s">
        <v>15</v>
      </c>
      <c r="I976" t="s">
        <v>185</v>
      </c>
    </row>
    <row r="977" spans="1:9" x14ac:dyDescent="0.3">
      <c r="A977" t="s">
        <v>2904</v>
      </c>
      <c r="B977" t="s">
        <v>2905</v>
      </c>
      <c r="C977" t="s">
        <v>29</v>
      </c>
      <c r="D977" s="1">
        <v>44920</v>
      </c>
      <c r="E977" t="s">
        <v>2906</v>
      </c>
      <c r="F977" t="s">
        <v>13</v>
      </c>
      <c r="G977" t="s">
        <v>14</v>
      </c>
      <c r="H977" t="s">
        <v>15</v>
      </c>
      <c r="I977" t="s">
        <v>81</v>
      </c>
    </row>
    <row r="978" spans="1:9" x14ac:dyDescent="0.3">
      <c r="A978" t="s">
        <v>2907</v>
      </c>
      <c r="B978" t="s">
        <v>2908</v>
      </c>
      <c r="C978" t="s">
        <v>33</v>
      </c>
      <c r="D978" s="1">
        <v>44921</v>
      </c>
      <c r="E978" t="s">
        <v>2909</v>
      </c>
      <c r="F978" t="s">
        <v>13</v>
      </c>
      <c r="G978" t="s">
        <v>14</v>
      </c>
      <c r="H978" t="s">
        <v>15</v>
      </c>
      <c r="I978" t="s">
        <v>94</v>
      </c>
    </row>
    <row r="979" spans="1:9" x14ac:dyDescent="0.3">
      <c r="A979" t="s">
        <v>2700</v>
      </c>
      <c r="B979" t="s">
        <v>2910</v>
      </c>
      <c r="C979" t="s">
        <v>19</v>
      </c>
      <c r="D979" s="1">
        <v>44921</v>
      </c>
      <c r="E979" t="s">
        <v>2911</v>
      </c>
      <c r="F979" t="s">
        <v>13</v>
      </c>
      <c r="G979" t="s">
        <v>14</v>
      </c>
      <c r="H979" t="s">
        <v>15</v>
      </c>
    </row>
    <row r="980" spans="1:9" x14ac:dyDescent="0.3">
      <c r="A980" t="s">
        <v>2912</v>
      </c>
      <c r="B980" t="s">
        <v>2913</v>
      </c>
      <c r="C980" t="s">
        <v>29</v>
      </c>
      <c r="D980" s="1">
        <v>44921</v>
      </c>
      <c r="E980" t="s">
        <v>2914</v>
      </c>
      <c r="F980" t="s">
        <v>13</v>
      </c>
      <c r="G980" t="s">
        <v>14</v>
      </c>
      <c r="H980" t="s">
        <v>15</v>
      </c>
      <c r="I980" t="s">
        <v>42</v>
      </c>
    </row>
    <row r="981" spans="1:9" x14ac:dyDescent="0.3">
      <c r="A981" t="s">
        <v>2915</v>
      </c>
      <c r="B981" t="s">
        <v>2916</v>
      </c>
      <c r="C981" t="s">
        <v>45</v>
      </c>
      <c r="D981" s="1">
        <v>44921</v>
      </c>
      <c r="E981" t="s">
        <v>2917</v>
      </c>
      <c r="F981" t="s">
        <v>13</v>
      </c>
      <c r="G981" t="s">
        <v>14</v>
      </c>
      <c r="H981" t="s">
        <v>15</v>
      </c>
      <c r="I981" t="s">
        <v>47</v>
      </c>
    </row>
    <row r="982" spans="1:9" x14ac:dyDescent="0.3">
      <c r="A982" t="s">
        <v>2918</v>
      </c>
      <c r="B982" t="s">
        <v>2919</v>
      </c>
      <c r="C982" t="s">
        <v>11</v>
      </c>
      <c r="D982" s="1">
        <v>44922</v>
      </c>
      <c r="E982" t="s">
        <v>2920</v>
      </c>
      <c r="F982" t="s">
        <v>13</v>
      </c>
      <c r="G982" t="s">
        <v>14</v>
      </c>
      <c r="H982" t="s">
        <v>15</v>
      </c>
      <c r="I982" t="s">
        <v>16</v>
      </c>
    </row>
    <row r="983" spans="1:9" x14ac:dyDescent="0.3">
      <c r="A983" t="s">
        <v>2921</v>
      </c>
      <c r="B983" t="s">
        <v>2922</v>
      </c>
      <c r="C983" t="s">
        <v>54</v>
      </c>
      <c r="D983" s="1">
        <v>44922</v>
      </c>
      <c r="E983" t="s">
        <v>2923</v>
      </c>
      <c r="F983" t="s">
        <v>13</v>
      </c>
      <c r="G983" t="s">
        <v>14</v>
      </c>
      <c r="H983" t="s">
        <v>15</v>
      </c>
    </row>
    <row r="984" spans="1:9" x14ac:dyDescent="0.3">
      <c r="A984" t="s">
        <v>2924</v>
      </c>
      <c r="B984" t="s">
        <v>2925</v>
      </c>
      <c r="C984" t="s">
        <v>24</v>
      </c>
      <c r="D984" s="1">
        <v>44922</v>
      </c>
      <c r="E984" t="s">
        <v>2926</v>
      </c>
      <c r="F984" t="s">
        <v>13</v>
      </c>
      <c r="G984" t="s">
        <v>14</v>
      </c>
      <c r="H984" t="s">
        <v>15</v>
      </c>
      <c r="I984" t="s">
        <v>59</v>
      </c>
    </row>
    <row r="985" spans="1:9" x14ac:dyDescent="0.3">
      <c r="A985" t="s">
        <v>2927</v>
      </c>
      <c r="B985" t="s">
        <v>2928</v>
      </c>
      <c r="C985" t="s">
        <v>69</v>
      </c>
      <c r="D985" s="1">
        <v>44922</v>
      </c>
      <c r="E985" t="s">
        <v>2929</v>
      </c>
      <c r="F985" t="s">
        <v>13</v>
      </c>
      <c r="G985" t="s">
        <v>14</v>
      </c>
      <c r="H985" t="s">
        <v>15</v>
      </c>
      <c r="I985" t="s">
        <v>71</v>
      </c>
    </row>
    <row r="986" spans="1:9" x14ac:dyDescent="0.3">
      <c r="A986" t="s">
        <v>1303</v>
      </c>
      <c r="B986" t="s">
        <v>2930</v>
      </c>
      <c r="C986" t="s">
        <v>19</v>
      </c>
      <c r="D986" s="1">
        <v>44923</v>
      </c>
      <c r="E986" t="s">
        <v>2931</v>
      </c>
      <c r="F986" t="s">
        <v>13</v>
      </c>
      <c r="G986" t="s">
        <v>14</v>
      </c>
      <c r="H986" t="s">
        <v>15</v>
      </c>
      <c r="I986" t="s">
        <v>21</v>
      </c>
    </row>
    <row r="987" spans="1:9" x14ac:dyDescent="0.3">
      <c r="A987" t="s">
        <v>2932</v>
      </c>
      <c r="B987" t="s">
        <v>2933</v>
      </c>
      <c r="C987" t="s">
        <v>19</v>
      </c>
      <c r="D987" s="1">
        <v>44923</v>
      </c>
      <c r="E987" t="s">
        <v>2934</v>
      </c>
      <c r="F987" t="s">
        <v>13</v>
      </c>
      <c r="G987" t="s">
        <v>14</v>
      </c>
      <c r="H987" t="s">
        <v>15</v>
      </c>
    </row>
    <row r="988" spans="1:9" x14ac:dyDescent="0.3">
      <c r="A988" t="s">
        <v>731</v>
      </c>
      <c r="B988" t="s">
        <v>2935</v>
      </c>
      <c r="C988" t="s">
        <v>19</v>
      </c>
      <c r="D988" s="1">
        <v>44923</v>
      </c>
      <c r="E988" t="s">
        <v>2936</v>
      </c>
      <c r="F988" t="s">
        <v>13</v>
      </c>
      <c r="G988" t="s">
        <v>14</v>
      </c>
      <c r="H988" t="s">
        <v>15</v>
      </c>
      <c r="I988" t="s">
        <v>116</v>
      </c>
    </row>
    <row r="989" spans="1:9" x14ac:dyDescent="0.3">
      <c r="A989" t="s">
        <v>2937</v>
      </c>
      <c r="B989" t="s">
        <v>2938</v>
      </c>
      <c r="C989" t="s">
        <v>33</v>
      </c>
      <c r="D989" s="1">
        <v>44923</v>
      </c>
      <c r="E989" t="s">
        <v>2939</v>
      </c>
      <c r="F989" t="s">
        <v>13</v>
      </c>
      <c r="G989" t="s">
        <v>14</v>
      </c>
      <c r="H989" t="s">
        <v>15</v>
      </c>
      <c r="I989" t="s">
        <v>51</v>
      </c>
    </row>
    <row r="990" spans="1:9" x14ac:dyDescent="0.3">
      <c r="A990" t="s">
        <v>2940</v>
      </c>
      <c r="B990" t="s">
        <v>2941</v>
      </c>
      <c r="C990" t="s">
        <v>45</v>
      </c>
      <c r="D990" s="1">
        <v>44924</v>
      </c>
      <c r="E990" t="s">
        <v>2942</v>
      </c>
      <c r="F990" t="s">
        <v>13</v>
      </c>
      <c r="G990" t="s">
        <v>14</v>
      </c>
      <c r="H990" t="s">
        <v>15</v>
      </c>
      <c r="I990" t="s">
        <v>248</v>
      </c>
    </row>
    <row r="991" spans="1:9" x14ac:dyDescent="0.3">
      <c r="A991" t="s">
        <v>725</v>
      </c>
      <c r="B991" t="s">
        <v>2943</v>
      </c>
      <c r="C991" t="s">
        <v>19</v>
      </c>
      <c r="D991" s="1">
        <v>44924</v>
      </c>
      <c r="E991" t="s">
        <v>2944</v>
      </c>
      <c r="F991" t="s">
        <v>13</v>
      </c>
      <c r="G991" t="s">
        <v>14</v>
      </c>
      <c r="H991" t="s">
        <v>15</v>
      </c>
    </row>
    <row r="992" spans="1:9" x14ac:dyDescent="0.3">
      <c r="A992" t="s">
        <v>2945</v>
      </c>
      <c r="B992" t="s">
        <v>2946</v>
      </c>
      <c r="C992" t="s">
        <v>45</v>
      </c>
      <c r="D992" s="1">
        <v>44925</v>
      </c>
      <c r="E992" t="s">
        <v>2947</v>
      </c>
      <c r="F992" t="s">
        <v>13</v>
      </c>
      <c r="G992" t="s">
        <v>14</v>
      </c>
      <c r="H992" t="s">
        <v>15</v>
      </c>
      <c r="I992" t="s">
        <v>47</v>
      </c>
    </row>
    <row r="993" spans="1:9" x14ac:dyDescent="0.3">
      <c r="A993" t="s">
        <v>2948</v>
      </c>
      <c r="B993" t="s">
        <v>2949</v>
      </c>
      <c r="C993" t="s">
        <v>29</v>
      </c>
      <c r="D993" s="1">
        <v>44925</v>
      </c>
      <c r="E993" t="s">
        <v>2950</v>
      </c>
      <c r="F993" t="s">
        <v>13</v>
      </c>
      <c r="G993" t="s">
        <v>14</v>
      </c>
      <c r="H993" t="s">
        <v>15</v>
      </c>
      <c r="I993" t="s">
        <v>204</v>
      </c>
    </row>
    <row r="994" spans="1:9" x14ac:dyDescent="0.3">
      <c r="A994" t="s">
        <v>2951</v>
      </c>
      <c r="B994" t="s">
        <v>2952</v>
      </c>
      <c r="C994" t="s">
        <v>69</v>
      </c>
      <c r="D994" s="1">
        <v>44925</v>
      </c>
      <c r="E994" t="s">
        <v>2953</v>
      </c>
      <c r="F994" t="s">
        <v>13</v>
      </c>
      <c r="G994" t="s">
        <v>14</v>
      </c>
      <c r="H994" t="s">
        <v>15</v>
      </c>
    </row>
    <row r="995" spans="1:9" x14ac:dyDescent="0.3">
      <c r="A995" t="s">
        <v>2954</v>
      </c>
      <c r="B995" t="s">
        <v>2955</v>
      </c>
      <c r="C995" t="s">
        <v>45</v>
      </c>
      <c r="D995" s="1">
        <v>44925</v>
      </c>
      <c r="E995" t="s">
        <v>2956</v>
      </c>
      <c r="F995" t="s">
        <v>13</v>
      </c>
      <c r="G995" t="s">
        <v>14</v>
      </c>
      <c r="H995" t="s">
        <v>15</v>
      </c>
      <c r="I995" t="s">
        <v>47</v>
      </c>
    </row>
    <row r="996" spans="1:9" x14ac:dyDescent="0.3">
      <c r="A996" t="s">
        <v>2957</v>
      </c>
      <c r="B996" t="s">
        <v>2958</v>
      </c>
      <c r="C996" t="s">
        <v>69</v>
      </c>
      <c r="D996" s="1">
        <v>44925</v>
      </c>
      <c r="E996" t="s">
        <v>2959</v>
      </c>
      <c r="F996" t="s">
        <v>13</v>
      </c>
      <c r="G996" t="s">
        <v>14</v>
      </c>
      <c r="H996" t="s">
        <v>15</v>
      </c>
      <c r="I996" t="s">
        <v>71</v>
      </c>
    </row>
    <row r="997" spans="1:9" x14ac:dyDescent="0.3">
      <c r="A997" t="s">
        <v>2960</v>
      </c>
      <c r="B997" t="s">
        <v>2961</v>
      </c>
      <c r="C997" t="s">
        <v>33</v>
      </c>
      <c r="D997" s="1">
        <v>44926</v>
      </c>
      <c r="E997" t="s">
        <v>2962</v>
      </c>
      <c r="F997" t="s">
        <v>13</v>
      </c>
      <c r="G997" t="s">
        <v>14</v>
      </c>
      <c r="H997" t="s">
        <v>15</v>
      </c>
      <c r="I997" t="s">
        <v>94</v>
      </c>
    </row>
    <row r="998" spans="1:9" x14ac:dyDescent="0.3">
      <c r="A998" t="s">
        <v>2963</v>
      </c>
      <c r="B998" t="s">
        <v>2964</v>
      </c>
      <c r="C998" t="s">
        <v>29</v>
      </c>
      <c r="D998" s="1">
        <v>44926</v>
      </c>
      <c r="E998" t="s">
        <v>2965</v>
      </c>
      <c r="F998" t="s">
        <v>13</v>
      </c>
      <c r="G998" t="s">
        <v>174</v>
      </c>
      <c r="H998" t="s">
        <v>15</v>
      </c>
      <c r="I998" t="s">
        <v>204</v>
      </c>
    </row>
    <row r="999" spans="1:9" x14ac:dyDescent="0.3">
      <c r="A999" t="s">
        <v>2966</v>
      </c>
      <c r="B999" t="s">
        <v>2967</v>
      </c>
      <c r="C999" t="s">
        <v>54</v>
      </c>
      <c r="D999" s="1">
        <v>44926</v>
      </c>
      <c r="E999" t="s">
        <v>2968</v>
      </c>
      <c r="F999" t="s">
        <v>13</v>
      </c>
      <c r="G999" t="s">
        <v>14</v>
      </c>
      <c r="H999" t="s">
        <v>15</v>
      </c>
      <c r="I999" t="s">
        <v>181</v>
      </c>
    </row>
    <row r="1000" spans="1:9" x14ac:dyDescent="0.3">
      <c r="A1000" t="s">
        <v>2969</v>
      </c>
      <c r="B1000" t="s">
        <v>2970</v>
      </c>
      <c r="C1000" t="s">
        <v>24</v>
      </c>
      <c r="D1000" s="1">
        <v>44926</v>
      </c>
      <c r="E1000" t="s">
        <v>2971</v>
      </c>
      <c r="F1000" t="s">
        <v>13</v>
      </c>
      <c r="G1000" t="s">
        <v>14</v>
      </c>
      <c r="H1000" t="s">
        <v>15</v>
      </c>
    </row>
    <row r="1001" spans="1:9" x14ac:dyDescent="0.3">
      <c r="A1001" t="s">
        <v>2972</v>
      </c>
      <c r="B1001" t="s">
        <v>2973</v>
      </c>
      <c r="C1001" t="s">
        <v>24</v>
      </c>
      <c r="D1001" s="1">
        <v>44927</v>
      </c>
      <c r="E1001" t="s">
        <v>2974</v>
      </c>
      <c r="F1001" t="s">
        <v>13</v>
      </c>
      <c r="G1001" t="s">
        <v>14</v>
      </c>
      <c r="H1001" t="s">
        <v>15</v>
      </c>
    </row>
    <row r="1002" spans="1:9" x14ac:dyDescent="0.3">
      <c r="A1002" t="s">
        <v>2975</v>
      </c>
      <c r="B1002" t="s">
        <v>2976</v>
      </c>
      <c r="C1002" t="s">
        <v>69</v>
      </c>
      <c r="D1002" s="1">
        <v>44927</v>
      </c>
      <c r="E1002" t="s">
        <v>2977</v>
      </c>
      <c r="F1002" t="s">
        <v>13</v>
      </c>
      <c r="G1002" t="s">
        <v>14</v>
      </c>
      <c r="H1002" t="s">
        <v>15</v>
      </c>
    </row>
    <row r="1003" spans="1:9" x14ac:dyDescent="0.3">
      <c r="A1003" t="s">
        <v>2978</v>
      </c>
      <c r="B1003" t="s">
        <v>2979</v>
      </c>
      <c r="C1003" t="s">
        <v>29</v>
      </c>
      <c r="D1003" s="1">
        <v>44927</v>
      </c>
      <c r="E1003" t="s">
        <v>2980</v>
      </c>
      <c r="F1003" t="s">
        <v>13</v>
      </c>
      <c r="G1003" t="s">
        <v>14</v>
      </c>
      <c r="H1003" t="s">
        <v>15</v>
      </c>
      <c r="I1003" t="s">
        <v>81</v>
      </c>
    </row>
    <row r="1004" spans="1:9" x14ac:dyDescent="0.3">
      <c r="A1004" t="s">
        <v>2981</v>
      </c>
      <c r="B1004" t="s">
        <v>2982</v>
      </c>
      <c r="C1004" t="s">
        <v>19</v>
      </c>
      <c r="D1004" s="1">
        <v>44927</v>
      </c>
      <c r="E1004" t="s">
        <v>2983</v>
      </c>
      <c r="F1004" t="s">
        <v>13</v>
      </c>
      <c r="G1004" t="s">
        <v>14</v>
      </c>
      <c r="H1004" t="s">
        <v>15</v>
      </c>
      <c r="I1004" t="s">
        <v>116</v>
      </c>
    </row>
    <row r="1005" spans="1:9" x14ac:dyDescent="0.3">
      <c r="A1005" t="s">
        <v>2984</v>
      </c>
      <c r="B1005" t="s">
        <v>2985</v>
      </c>
      <c r="C1005" t="s">
        <v>45</v>
      </c>
      <c r="D1005" s="1">
        <v>44927</v>
      </c>
      <c r="E1005" t="s">
        <v>2986</v>
      </c>
      <c r="F1005" t="s">
        <v>13</v>
      </c>
      <c r="G1005" t="s">
        <v>14</v>
      </c>
      <c r="H1005" t="s">
        <v>15</v>
      </c>
      <c r="I1005" t="s">
        <v>47</v>
      </c>
    </row>
    <row r="1006" spans="1:9" x14ac:dyDescent="0.3">
      <c r="A1006" t="s">
        <v>2987</v>
      </c>
      <c r="B1006" t="s">
        <v>2988</v>
      </c>
      <c r="C1006" t="s">
        <v>29</v>
      </c>
      <c r="D1006" s="1">
        <v>44928</v>
      </c>
      <c r="E1006" t="s">
        <v>2989</v>
      </c>
      <c r="F1006" t="s">
        <v>13</v>
      </c>
      <c r="G1006" t="s">
        <v>14</v>
      </c>
      <c r="H1006" t="s">
        <v>15</v>
      </c>
      <c r="I1006" t="s">
        <v>81</v>
      </c>
    </row>
    <row r="1007" spans="1:9" x14ac:dyDescent="0.3">
      <c r="A1007" t="s">
        <v>2990</v>
      </c>
      <c r="B1007" t="s">
        <v>2991</v>
      </c>
      <c r="C1007" t="s">
        <v>24</v>
      </c>
      <c r="D1007" s="1">
        <v>44928</v>
      </c>
      <c r="E1007" t="s">
        <v>2992</v>
      </c>
      <c r="F1007" t="s">
        <v>13</v>
      </c>
      <c r="G1007" t="s">
        <v>14</v>
      </c>
      <c r="H1007" t="s">
        <v>15</v>
      </c>
      <c r="I1007" t="s">
        <v>26</v>
      </c>
    </row>
    <row r="1008" spans="1:9" x14ac:dyDescent="0.3">
      <c r="A1008" t="s">
        <v>2993</v>
      </c>
      <c r="B1008" t="s">
        <v>2994</v>
      </c>
      <c r="C1008" t="s">
        <v>11</v>
      </c>
      <c r="D1008" s="1">
        <v>44928</v>
      </c>
      <c r="E1008" t="s">
        <v>2995</v>
      </c>
      <c r="F1008" t="s">
        <v>13</v>
      </c>
      <c r="G1008" t="s">
        <v>14</v>
      </c>
      <c r="H1008" t="s">
        <v>15</v>
      </c>
      <c r="I1008" t="s">
        <v>185</v>
      </c>
    </row>
    <row r="1009" spans="1:9" x14ac:dyDescent="0.3">
      <c r="A1009" t="s">
        <v>2996</v>
      </c>
      <c r="B1009" t="s">
        <v>2997</v>
      </c>
      <c r="C1009" t="s">
        <v>24</v>
      </c>
      <c r="D1009" s="1">
        <v>44929</v>
      </c>
      <c r="E1009" t="s">
        <v>2998</v>
      </c>
      <c r="F1009" t="s">
        <v>13</v>
      </c>
      <c r="G1009" t="s">
        <v>14</v>
      </c>
      <c r="H1009" t="s">
        <v>15</v>
      </c>
      <c r="I1009" t="s">
        <v>59</v>
      </c>
    </row>
    <row r="1010" spans="1:9" x14ac:dyDescent="0.3">
      <c r="A1010" t="s">
        <v>2999</v>
      </c>
      <c r="B1010" t="s">
        <v>3000</v>
      </c>
      <c r="C1010" t="s">
        <v>24</v>
      </c>
      <c r="D1010" s="1">
        <v>44929</v>
      </c>
      <c r="E1010" t="s">
        <v>3001</v>
      </c>
      <c r="F1010" t="s">
        <v>13</v>
      </c>
      <c r="G1010" t="s">
        <v>14</v>
      </c>
      <c r="H1010" t="s">
        <v>15</v>
      </c>
      <c r="I1010" t="s">
        <v>26</v>
      </c>
    </row>
    <row r="1011" spans="1:9" x14ac:dyDescent="0.3">
      <c r="A1011" t="s">
        <v>3002</v>
      </c>
      <c r="B1011" t="s">
        <v>3003</v>
      </c>
      <c r="C1011" t="s">
        <v>33</v>
      </c>
      <c r="D1011" s="1">
        <v>44930</v>
      </c>
      <c r="E1011" t="s">
        <v>3004</v>
      </c>
      <c r="F1011" t="s">
        <v>13</v>
      </c>
      <c r="G1011" t="s">
        <v>14</v>
      </c>
      <c r="H1011" t="s">
        <v>15</v>
      </c>
      <c r="I1011" t="s">
        <v>51</v>
      </c>
    </row>
    <row r="1012" spans="1:9" x14ac:dyDescent="0.3">
      <c r="A1012" t="s">
        <v>3005</v>
      </c>
      <c r="B1012" t="s">
        <v>3006</v>
      </c>
      <c r="C1012" t="s">
        <v>45</v>
      </c>
      <c r="D1012" s="1">
        <v>44930</v>
      </c>
      <c r="E1012" t="s">
        <v>3007</v>
      </c>
      <c r="F1012" t="s">
        <v>13</v>
      </c>
      <c r="G1012" t="s">
        <v>14</v>
      </c>
      <c r="H1012" t="s">
        <v>15</v>
      </c>
    </row>
    <row r="1013" spans="1:9" x14ac:dyDescent="0.3">
      <c r="A1013" t="s">
        <v>3008</v>
      </c>
      <c r="B1013" t="s">
        <v>3009</v>
      </c>
      <c r="C1013" t="s">
        <v>69</v>
      </c>
      <c r="D1013" s="1">
        <v>44930</v>
      </c>
      <c r="E1013" t="s">
        <v>3010</v>
      </c>
      <c r="F1013" t="s">
        <v>13</v>
      </c>
      <c r="G1013" t="s">
        <v>14</v>
      </c>
      <c r="H1013" t="s">
        <v>15</v>
      </c>
      <c r="I1013" t="s">
        <v>71</v>
      </c>
    </row>
    <row r="1014" spans="1:9" x14ac:dyDescent="0.3">
      <c r="A1014" t="s">
        <v>3011</v>
      </c>
      <c r="B1014" t="s">
        <v>3012</v>
      </c>
      <c r="C1014" t="s">
        <v>29</v>
      </c>
      <c r="D1014" s="1">
        <v>44932</v>
      </c>
      <c r="E1014" t="s">
        <v>3013</v>
      </c>
      <c r="F1014" t="s">
        <v>13</v>
      </c>
      <c r="G1014" t="s">
        <v>14</v>
      </c>
      <c r="H1014" t="s">
        <v>15</v>
      </c>
      <c r="I1014" t="s">
        <v>204</v>
      </c>
    </row>
    <row r="1015" spans="1:9" x14ac:dyDescent="0.3">
      <c r="A1015" t="s">
        <v>3014</v>
      </c>
      <c r="B1015" t="s">
        <v>3015</v>
      </c>
      <c r="C1015" t="s">
        <v>19</v>
      </c>
      <c r="D1015" s="1">
        <v>44932</v>
      </c>
      <c r="E1015" t="s">
        <v>3016</v>
      </c>
      <c r="F1015" t="s">
        <v>13</v>
      </c>
      <c r="G1015" t="s">
        <v>14</v>
      </c>
      <c r="H1015" t="s">
        <v>15</v>
      </c>
      <c r="I1015" t="s">
        <v>116</v>
      </c>
    </row>
    <row r="1016" spans="1:9" x14ac:dyDescent="0.3">
      <c r="A1016" t="s">
        <v>3017</v>
      </c>
      <c r="B1016" t="s">
        <v>3018</v>
      </c>
      <c r="C1016" t="s">
        <v>24</v>
      </c>
      <c r="D1016" s="1">
        <v>44932</v>
      </c>
      <c r="E1016" t="s">
        <v>3019</v>
      </c>
      <c r="F1016" t="s">
        <v>13</v>
      </c>
      <c r="G1016" t="s">
        <v>14</v>
      </c>
      <c r="H1016" t="s">
        <v>15</v>
      </c>
      <c r="I1016" t="s">
        <v>26</v>
      </c>
    </row>
    <row r="1017" spans="1:9" x14ac:dyDescent="0.3">
      <c r="A1017" t="s">
        <v>3020</v>
      </c>
      <c r="B1017" t="s">
        <v>3021</v>
      </c>
      <c r="C1017" t="s">
        <v>11</v>
      </c>
      <c r="D1017" s="1">
        <v>44932</v>
      </c>
      <c r="E1017" t="s">
        <v>3022</v>
      </c>
      <c r="F1017" t="s">
        <v>13</v>
      </c>
      <c r="G1017" t="s">
        <v>14</v>
      </c>
      <c r="H1017" t="s">
        <v>15</v>
      </c>
      <c r="I1017" t="s">
        <v>16</v>
      </c>
    </row>
    <row r="1018" spans="1:9" x14ac:dyDescent="0.3">
      <c r="A1018" t="s">
        <v>3023</v>
      </c>
      <c r="B1018" t="s">
        <v>3024</v>
      </c>
      <c r="C1018" t="s">
        <v>11</v>
      </c>
      <c r="D1018" s="1">
        <v>44933</v>
      </c>
      <c r="E1018" t="s">
        <v>3025</v>
      </c>
      <c r="F1018" t="s">
        <v>13</v>
      </c>
      <c r="G1018" t="s">
        <v>14</v>
      </c>
      <c r="H1018" t="s">
        <v>15</v>
      </c>
      <c r="I1018" t="s">
        <v>38</v>
      </c>
    </row>
    <row r="1019" spans="1:9" x14ac:dyDescent="0.3">
      <c r="A1019" t="s">
        <v>3026</v>
      </c>
      <c r="B1019" t="s">
        <v>3027</v>
      </c>
      <c r="C1019" t="s">
        <v>69</v>
      </c>
      <c r="D1019" s="1">
        <v>44933</v>
      </c>
      <c r="E1019" t="s">
        <v>3028</v>
      </c>
      <c r="F1019" t="s">
        <v>13</v>
      </c>
      <c r="G1019" t="s">
        <v>14</v>
      </c>
      <c r="H1019" t="s">
        <v>15</v>
      </c>
      <c r="I1019" t="s">
        <v>71</v>
      </c>
    </row>
    <row r="1020" spans="1:9" x14ac:dyDescent="0.3">
      <c r="A1020" t="s">
        <v>3029</v>
      </c>
      <c r="B1020" t="s">
        <v>3030</v>
      </c>
      <c r="C1020" t="s">
        <v>33</v>
      </c>
      <c r="D1020" s="1">
        <v>44933</v>
      </c>
      <c r="E1020" t="s">
        <v>3031</v>
      </c>
      <c r="F1020" t="s">
        <v>13</v>
      </c>
      <c r="G1020" t="s">
        <v>14</v>
      </c>
      <c r="H1020" t="s">
        <v>15</v>
      </c>
    </row>
    <row r="1021" spans="1:9" x14ac:dyDescent="0.3">
      <c r="A1021" t="s">
        <v>3032</v>
      </c>
      <c r="B1021" t="s">
        <v>3033</v>
      </c>
      <c r="C1021" t="s">
        <v>54</v>
      </c>
      <c r="D1021" s="1">
        <v>44933</v>
      </c>
      <c r="E1021" t="s">
        <v>3034</v>
      </c>
      <c r="F1021" t="s">
        <v>13</v>
      </c>
      <c r="G1021" t="s">
        <v>14</v>
      </c>
      <c r="H1021" t="s">
        <v>15</v>
      </c>
      <c r="I1021" t="s">
        <v>238</v>
      </c>
    </row>
    <row r="1022" spans="1:9" x14ac:dyDescent="0.3">
      <c r="A1022" t="s">
        <v>3035</v>
      </c>
      <c r="B1022" t="s">
        <v>3036</v>
      </c>
      <c r="C1022" t="s">
        <v>45</v>
      </c>
      <c r="D1022" s="1">
        <v>44933</v>
      </c>
      <c r="E1022" t="s">
        <v>3037</v>
      </c>
      <c r="F1022" t="s">
        <v>13</v>
      </c>
      <c r="G1022" t="s">
        <v>14</v>
      </c>
      <c r="H1022" t="s">
        <v>15</v>
      </c>
      <c r="I1022" t="s">
        <v>47</v>
      </c>
    </row>
    <row r="1023" spans="1:9" x14ac:dyDescent="0.3">
      <c r="A1023" t="s">
        <v>3038</v>
      </c>
      <c r="B1023" t="s">
        <v>3039</v>
      </c>
      <c r="C1023" t="s">
        <v>19</v>
      </c>
      <c r="D1023" s="1">
        <v>44934</v>
      </c>
      <c r="E1023" t="s">
        <v>3040</v>
      </c>
      <c r="F1023" t="s">
        <v>13</v>
      </c>
      <c r="G1023" t="s">
        <v>174</v>
      </c>
      <c r="H1023" t="s">
        <v>15</v>
      </c>
      <c r="I1023" t="s">
        <v>21</v>
      </c>
    </row>
    <row r="1024" spans="1:9" x14ac:dyDescent="0.3">
      <c r="A1024" t="s">
        <v>3041</v>
      </c>
      <c r="B1024" t="s">
        <v>3042</v>
      </c>
      <c r="C1024" t="s">
        <v>29</v>
      </c>
      <c r="D1024" s="1">
        <v>44934</v>
      </c>
      <c r="E1024" t="s">
        <v>3043</v>
      </c>
      <c r="F1024" t="s">
        <v>13</v>
      </c>
      <c r="G1024" t="s">
        <v>14</v>
      </c>
      <c r="H1024" t="s">
        <v>15</v>
      </c>
    </row>
    <row r="1025" spans="1:9" x14ac:dyDescent="0.3">
      <c r="A1025" t="s">
        <v>3044</v>
      </c>
      <c r="B1025" t="s">
        <v>3045</v>
      </c>
      <c r="C1025" t="s">
        <v>33</v>
      </c>
      <c r="D1025" s="1">
        <v>44935</v>
      </c>
      <c r="E1025" t="s">
        <v>3046</v>
      </c>
      <c r="F1025" t="s">
        <v>13</v>
      </c>
      <c r="G1025" t="s">
        <v>14</v>
      </c>
      <c r="H1025" t="s">
        <v>15</v>
      </c>
      <c r="I1025" t="s">
        <v>94</v>
      </c>
    </row>
    <row r="1026" spans="1:9" x14ac:dyDescent="0.3">
      <c r="A1026" t="s">
        <v>3047</v>
      </c>
      <c r="B1026" t="s">
        <v>3048</v>
      </c>
      <c r="C1026" t="s">
        <v>11</v>
      </c>
      <c r="D1026" s="1">
        <v>44935</v>
      </c>
      <c r="E1026" t="s">
        <v>3049</v>
      </c>
      <c r="F1026" t="s">
        <v>13</v>
      </c>
      <c r="G1026" t="s">
        <v>14</v>
      </c>
      <c r="H1026" t="s">
        <v>15</v>
      </c>
      <c r="I1026" t="s">
        <v>16</v>
      </c>
    </row>
    <row r="1027" spans="1:9" x14ac:dyDescent="0.3">
      <c r="A1027" t="s">
        <v>3050</v>
      </c>
      <c r="B1027" t="s">
        <v>3051</v>
      </c>
      <c r="C1027" t="s">
        <v>24</v>
      </c>
      <c r="D1027" s="1">
        <v>44936</v>
      </c>
      <c r="E1027" t="s">
        <v>3052</v>
      </c>
      <c r="F1027" t="s">
        <v>13</v>
      </c>
      <c r="G1027" t="s">
        <v>14</v>
      </c>
      <c r="H1027" t="s">
        <v>15</v>
      </c>
    </row>
    <row r="1028" spans="1:9" x14ac:dyDescent="0.3">
      <c r="A1028" t="s">
        <v>3053</v>
      </c>
      <c r="B1028" t="s">
        <v>3054</v>
      </c>
      <c r="C1028" t="s">
        <v>54</v>
      </c>
      <c r="D1028" s="1">
        <v>44936</v>
      </c>
      <c r="E1028" t="s">
        <v>3055</v>
      </c>
      <c r="F1028" t="s">
        <v>13</v>
      </c>
      <c r="G1028" t="s">
        <v>14</v>
      </c>
      <c r="H1028" t="s">
        <v>15</v>
      </c>
      <c r="I1028" t="s">
        <v>238</v>
      </c>
    </row>
    <row r="1029" spans="1:9" x14ac:dyDescent="0.3">
      <c r="A1029" t="s">
        <v>3056</v>
      </c>
      <c r="B1029" t="s">
        <v>3057</v>
      </c>
      <c r="C1029" t="s">
        <v>11</v>
      </c>
      <c r="D1029" s="1">
        <v>44937</v>
      </c>
      <c r="E1029" t="s">
        <v>3058</v>
      </c>
      <c r="F1029" t="s">
        <v>13</v>
      </c>
      <c r="G1029" t="s">
        <v>174</v>
      </c>
      <c r="H1029" t="s">
        <v>15</v>
      </c>
    </row>
    <row r="1030" spans="1:9" x14ac:dyDescent="0.3">
      <c r="A1030" t="s">
        <v>3059</v>
      </c>
      <c r="B1030" t="s">
        <v>3060</v>
      </c>
      <c r="C1030" t="s">
        <v>29</v>
      </c>
      <c r="D1030" s="1">
        <v>44937</v>
      </c>
      <c r="E1030" t="s">
        <v>3061</v>
      </c>
      <c r="F1030" t="s">
        <v>13</v>
      </c>
      <c r="G1030" t="s">
        <v>174</v>
      </c>
      <c r="H1030" t="s">
        <v>15</v>
      </c>
    </row>
    <row r="1031" spans="1:9" x14ac:dyDescent="0.3">
      <c r="A1031" t="s">
        <v>3062</v>
      </c>
      <c r="B1031" t="s">
        <v>3063</v>
      </c>
      <c r="C1031" t="s">
        <v>33</v>
      </c>
      <c r="D1031" s="1">
        <v>44937</v>
      </c>
      <c r="E1031" t="s">
        <v>3064</v>
      </c>
      <c r="F1031" t="s">
        <v>13</v>
      </c>
      <c r="G1031" t="s">
        <v>14</v>
      </c>
      <c r="H1031" t="s">
        <v>15</v>
      </c>
      <c r="I1031" t="s">
        <v>94</v>
      </c>
    </row>
    <row r="1032" spans="1:9" x14ac:dyDescent="0.3">
      <c r="A1032" t="s">
        <v>3065</v>
      </c>
      <c r="B1032" t="s">
        <v>3066</v>
      </c>
      <c r="C1032" t="s">
        <v>29</v>
      </c>
      <c r="D1032" s="1">
        <v>44938</v>
      </c>
      <c r="E1032" t="s">
        <v>3067</v>
      </c>
      <c r="F1032" t="s">
        <v>13</v>
      </c>
      <c r="G1032" t="s">
        <v>14</v>
      </c>
      <c r="H1032" t="s">
        <v>15</v>
      </c>
      <c r="I1032" t="s">
        <v>81</v>
      </c>
    </row>
    <row r="1033" spans="1:9" x14ac:dyDescent="0.3">
      <c r="A1033" t="s">
        <v>3068</v>
      </c>
      <c r="B1033" t="s">
        <v>3069</v>
      </c>
      <c r="C1033" t="s">
        <v>33</v>
      </c>
      <c r="D1033" s="1">
        <v>44939</v>
      </c>
      <c r="E1033" t="s">
        <v>3070</v>
      </c>
      <c r="F1033" t="s">
        <v>13</v>
      </c>
      <c r="G1033" t="s">
        <v>14</v>
      </c>
      <c r="H1033" t="s">
        <v>15</v>
      </c>
      <c r="I1033" t="s">
        <v>51</v>
      </c>
    </row>
    <row r="1034" spans="1:9" x14ac:dyDescent="0.3">
      <c r="A1034" t="s">
        <v>3071</v>
      </c>
      <c r="B1034" t="s">
        <v>3072</v>
      </c>
      <c r="C1034" t="s">
        <v>29</v>
      </c>
      <c r="D1034" s="1">
        <v>44939</v>
      </c>
      <c r="E1034" t="s">
        <v>3073</v>
      </c>
      <c r="F1034" t="s">
        <v>13</v>
      </c>
      <c r="G1034" t="s">
        <v>14</v>
      </c>
      <c r="H1034" t="s">
        <v>15</v>
      </c>
      <c r="I1034" t="s">
        <v>204</v>
      </c>
    </row>
    <row r="1035" spans="1:9" x14ac:dyDescent="0.3">
      <c r="A1035" t="s">
        <v>3074</v>
      </c>
      <c r="B1035" t="s">
        <v>3075</v>
      </c>
      <c r="C1035" t="s">
        <v>29</v>
      </c>
      <c r="D1035" s="1">
        <v>44940</v>
      </c>
      <c r="E1035" t="s">
        <v>3076</v>
      </c>
      <c r="F1035" t="s">
        <v>13</v>
      </c>
      <c r="G1035" t="s">
        <v>14</v>
      </c>
      <c r="H1035" t="s">
        <v>15</v>
      </c>
    </row>
    <row r="1036" spans="1:9" x14ac:dyDescent="0.3">
      <c r="A1036" t="s">
        <v>3077</v>
      </c>
      <c r="B1036" t="s">
        <v>3078</v>
      </c>
      <c r="C1036" t="s">
        <v>33</v>
      </c>
      <c r="D1036" s="1">
        <v>44940</v>
      </c>
      <c r="E1036" t="s">
        <v>3079</v>
      </c>
      <c r="F1036" t="s">
        <v>13</v>
      </c>
      <c r="G1036" t="s">
        <v>14</v>
      </c>
      <c r="H1036" t="s">
        <v>15</v>
      </c>
      <c r="I1036" t="s">
        <v>94</v>
      </c>
    </row>
    <row r="1037" spans="1:9" x14ac:dyDescent="0.3">
      <c r="A1037" t="s">
        <v>3080</v>
      </c>
      <c r="B1037" t="s">
        <v>3081</v>
      </c>
      <c r="C1037" t="s">
        <v>19</v>
      </c>
      <c r="D1037" s="1">
        <v>44940</v>
      </c>
      <c r="E1037" t="s">
        <v>3082</v>
      </c>
      <c r="F1037" t="s">
        <v>13</v>
      </c>
      <c r="G1037" t="s">
        <v>14</v>
      </c>
      <c r="H1037" t="s">
        <v>15</v>
      </c>
      <c r="I1037" t="s">
        <v>21</v>
      </c>
    </row>
    <row r="1038" spans="1:9" x14ac:dyDescent="0.3">
      <c r="A1038" t="s">
        <v>3083</v>
      </c>
      <c r="B1038" t="s">
        <v>3084</v>
      </c>
      <c r="C1038" t="s">
        <v>29</v>
      </c>
      <c r="D1038" s="1">
        <v>44940</v>
      </c>
      <c r="E1038" t="s">
        <v>3085</v>
      </c>
      <c r="F1038" t="s">
        <v>13</v>
      </c>
      <c r="G1038" t="s">
        <v>14</v>
      </c>
      <c r="H1038" t="s">
        <v>15</v>
      </c>
      <c r="I1038" t="s">
        <v>81</v>
      </c>
    </row>
    <row r="1039" spans="1:9" x14ac:dyDescent="0.3">
      <c r="A1039" t="s">
        <v>3086</v>
      </c>
      <c r="B1039" t="s">
        <v>3087</v>
      </c>
      <c r="C1039" t="s">
        <v>24</v>
      </c>
      <c r="D1039" s="1">
        <v>44941</v>
      </c>
      <c r="E1039" t="s">
        <v>3088</v>
      </c>
      <c r="F1039" t="s">
        <v>13</v>
      </c>
      <c r="G1039" t="s">
        <v>14</v>
      </c>
      <c r="H1039" t="s">
        <v>15</v>
      </c>
      <c r="I1039" t="s">
        <v>59</v>
      </c>
    </row>
    <row r="1040" spans="1:9" x14ac:dyDescent="0.3">
      <c r="A1040" t="s">
        <v>3089</v>
      </c>
      <c r="B1040" t="s">
        <v>3090</v>
      </c>
      <c r="C1040" t="s">
        <v>11</v>
      </c>
      <c r="D1040" s="1">
        <v>44941</v>
      </c>
      <c r="E1040" t="s">
        <v>3091</v>
      </c>
      <c r="F1040" t="s">
        <v>13</v>
      </c>
      <c r="G1040" t="s">
        <v>14</v>
      </c>
      <c r="H1040" t="s">
        <v>15</v>
      </c>
      <c r="I1040" t="s">
        <v>185</v>
      </c>
    </row>
    <row r="1041" spans="1:9" x14ac:dyDescent="0.3">
      <c r="A1041" t="s">
        <v>3092</v>
      </c>
      <c r="B1041" t="s">
        <v>3093</v>
      </c>
      <c r="C1041" t="s">
        <v>19</v>
      </c>
      <c r="D1041" s="1">
        <v>44942</v>
      </c>
      <c r="E1041" t="s">
        <v>3094</v>
      </c>
      <c r="F1041" t="s">
        <v>13</v>
      </c>
      <c r="G1041" t="s">
        <v>14</v>
      </c>
      <c r="H1041" t="s">
        <v>15</v>
      </c>
      <c r="I1041" t="s">
        <v>21</v>
      </c>
    </row>
    <row r="1042" spans="1:9" x14ac:dyDescent="0.3">
      <c r="A1042" t="s">
        <v>3095</v>
      </c>
      <c r="B1042" t="s">
        <v>3096</v>
      </c>
      <c r="C1042" t="s">
        <v>54</v>
      </c>
      <c r="D1042" s="1">
        <v>44943</v>
      </c>
      <c r="E1042" t="s">
        <v>3097</v>
      </c>
      <c r="F1042" t="s">
        <v>13</v>
      </c>
      <c r="G1042" t="s">
        <v>14</v>
      </c>
      <c r="H1042" t="s">
        <v>15</v>
      </c>
      <c r="I1042" t="s">
        <v>181</v>
      </c>
    </row>
    <row r="1043" spans="1:9" x14ac:dyDescent="0.3">
      <c r="A1043" t="s">
        <v>3098</v>
      </c>
      <c r="B1043" t="s">
        <v>3099</v>
      </c>
      <c r="C1043" t="s">
        <v>45</v>
      </c>
      <c r="D1043" s="1">
        <v>44944</v>
      </c>
      <c r="E1043" t="s">
        <v>3100</v>
      </c>
      <c r="F1043" t="s">
        <v>13</v>
      </c>
      <c r="G1043" t="s">
        <v>14</v>
      </c>
      <c r="H1043" t="s">
        <v>15</v>
      </c>
      <c r="I1043" t="s">
        <v>248</v>
      </c>
    </row>
    <row r="1044" spans="1:9" x14ac:dyDescent="0.3">
      <c r="A1044" t="s">
        <v>3101</v>
      </c>
      <c r="B1044" t="s">
        <v>3102</v>
      </c>
      <c r="C1044" t="s">
        <v>33</v>
      </c>
      <c r="D1044" s="1">
        <v>44944</v>
      </c>
      <c r="E1044" t="s">
        <v>3103</v>
      </c>
      <c r="F1044" t="s">
        <v>13</v>
      </c>
      <c r="G1044" t="s">
        <v>14</v>
      </c>
      <c r="H1044" t="s">
        <v>15</v>
      </c>
      <c r="I1044" t="s">
        <v>51</v>
      </c>
    </row>
    <row r="1045" spans="1:9" x14ac:dyDescent="0.3">
      <c r="A1045" t="s">
        <v>3104</v>
      </c>
      <c r="B1045" t="s">
        <v>3105</v>
      </c>
      <c r="C1045" t="s">
        <v>45</v>
      </c>
      <c r="D1045" s="1">
        <v>44945</v>
      </c>
      <c r="E1045" t="s">
        <v>3106</v>
      </c>
      <c r="F1045" t="s">
        <v>13</v>
      </c>
      <c r="G1045" t="s">
        <v>14</v>
      </c>
      <c r="H1045" t="s">
        <v>15</v>
      </c>
      <c r="I1045" t="s">
        <v>47</v>
      </c>
    </row>
    <row r="1046" spans="1:9" x14ac:dyDescent="0.3">
      <c r="A1046" t="s">
        <v>3107</v>
      </c>
      <c r="B1046" t="s">
        <v>3108</v>
      </c>
      <c r="C1046" t="s">
        <v>29</v>
      </c>
      <c r="D1046" s="1">
        <v>44945</v>
      </c>
      <c r="E1046" t="s">
        <v>3109</v>
      </c>
      <c r="F1046" t="s">
        <v>13</v>
      </c>
      <c r="G1046" t="s">
        <v>14</v>
      </c>
      <c r="H1046" t="s">
        <v>15</v>
      </c>
    </row>
    <row r="1047" spans="1:9" x14ac:dyDescent="0.3">
      <c r="A1047" t="s">
        <v>3110</v>
      </c>
      <c r="B1047" t="s">
        <v>3111</v>
      </c>
      <c r="C1047" t="s">
        <v>33</v>
      </c>
      <c r="D1047" s="1">
        <v>44945</v>
      </c>
      <c r="E1047" t="s">
        <v>3112</v>
      </c>
      <c r="F1047" t="s">
        <v>13</v>
      </c>
      <c r="G1047" t="s">
        <v>14</v>
      </c>
      <c r="H1047" t="s">
        <v>15</v>
      </c>
      <c r="I1047" t="s">
        <v>51</v>
      </c>
    </row>
    <row r="1048" spans="1:9" x14ac:dyDescent="0.3">
      <c r="A1048" t="s">
        <v>3113</v>
      </c>
      <c r="B1048" t="s">
        <v>3114</v>
      </c>
      <c r="C1048" t="s">
        <v>54</v>
      </c>
      <c r="D1048" s="1">
        <v>44946</v>
      </c>
      <c r="E1048" t="s">
        <v>3115</v>
      </c>
      <c r="F1048" t="s">
        <v>13</v>
      </c>
      <c r="G1048" t="s">
        <v>14</v>
      </c>
      <c r="H1048" t="s">
        <v>15</v>
      </c>
      <c r="I1048" t="s">
        <v>238</v>
      </c>
    </row>
    <row r="1049" spans="1:9" x14ac:dyDescent="0.3">
      <c r="A1049" t="s">
        <v>3116</v>
      </c>
      <c r="B1049" t="s">
        <v>3117</v>
      </c>
      <c r="C1049" t="s">
        <v>69</v>
      </c>
      <c r="D1049" s="1">
        <v>44946</v>
      </c>
      <c r="E1049" t="s">
        <v>3118</v>
      </c>
      <c r="F1049" t="s">
        <v>13</v>
      </c>
      <c r="G1049" t="s">
        <v>14</v>
      </c>
      <c r="H1049" t="s">
        <v>15</v>
      </c>
      <c r="I1049" t="s">
        <v>71</v>
      </c>
    </row>
    <row r="1050" spans="1:9" x14ac:dyDescent="0.3">
      <c r="A1050" t="s">
        <v>3119</v>
      </c>
      <c r="B1050" t="s">
        <v>3120</v>
      </c>
      <c r="C1050" t="s">
        <v>33</v>
      </c>
      <c r="D1050" s="1">
        <v>44946</v>
      </c>
      <c r="E1050" t="s">
        <v>3121</v>
      </c>
      <c r="F1050" t="s">
        <v>13</v>
      </c>
      <c r="G1050" t="s">
        <v>14</v>
      </c>
      <c r="H1050" t="s">
        <v>15</v>
      </c>
      <c r="I1050" t="s">
        <v>94</v>
      </c>
    </row>
    <row r="1051" spans="1:9" x14ac:dyDescent="0.3">
      <c r="A1051" t="s">
        <v>3122</v>
      </c>
      <c r="B1051" t="s">
        <v>3123</v>
      </c>
      <c r="C1051" t="s">
        <v>29</v>
      </c>
      <c r="D1051" s="1">
        <v>44947</v>
      </c>
      <c r="E1051" t="s">
        <v>3124</v>
      </c>
      <c r="F1051" t="s">
        <v>13</v>
      </c>
      <c r="G1051" t="s">
        <v>14</v>
      </c>
      <c r="H1051" t="s">
        <v>15</v>
      </c>
      <c r="I1051" t="s">
        <v>42</v>
      </c>
    </row>
    <row r="1052" spans="1:9" x14ac:dyDescent="0.3">
      <c r="A1052" t="s">
        <v>3125</v>
      </c>
      <c r="B1052" t="s">
        <v>3126</v>
      </c>
      <c r="C1052" t="s">
        <v>33</v>
      </c>
      <c r="D1052" s="1">
        <v>44947</v>
      </c>
      <c r="E1052" t="s">
        <v>3127</v>
      </c>
      <c r="F1052" t="s">
        <v>13</v>
      </c>
      <c r="G1052" t="s">
        <v>14</v>
      </c>
      <c r="H1052" t="s">
        <v>15</v>
      </c>
      <c r="I1052" t="s">
        <v>51</v>
      </c>
    </row>
    <row r="1053" spans="1:9" x14ac:dyDescent="0.3">
      <c r="A1053" t="s">
        <v>3128</v>
      </c>
      <c r="B1053" t="s">
        <v>3129</v>
      </c>
      <c r="C1053" t="s">
        <v>45</v>
      </c>
      <c r="D1053" s="1">
        <v>44947</v>
      </c>
      <c r="E1053" t="s">
        <v>3130</v>
      </c>
      <c r="F1053" t="s">
        <v>13</v>
      </c>
      <c r="G1053" t="s">
        <v>14</v>
      </c>
      <c r="H1053" t="s">
        <v>15</v>
      </c>
      <c r="I1053" t="s">
        <v>47</v>
      </c>
    </row>
    <row r="1054" spans="1:9" x14ac:dyDescent="0.3">
      <c r="A1054" t="s">
        <v>3131</v>
      </c>
      <c r="B1054" t="s">
        <v>3132</v>
      </c>
      <c r="C1054" t="s">
        <v>54</v>
      </c>
      <c r="D1054" s="1">
        <v>44948</v>
      </c>
      <c r="E1054" t="s">
        <v>3133</v>
      </c>
      <c r="F1054" t="s">
        <v>13</v>
      </c>
      <c r="G1054" t="s">
        <v>14</v>
      </c>
      <c r="H1054" t="s">
        <v>15</v>
      </c>
      <c r="I1054" t="s">
        <v>238</v>
      </c>
    </row>
    <row r="1055" spans="1:9" x14ac:dyDescent="0.3">
      <c r="A1055" t="s">
        <v>3134</v>
      </c>
      <c r="B1055" t="s">
        <v>3135</v>
      </c>
      <c r="C1055" t="s">
        <v>11</v>
      </c>
      <c r="D1055" s="1">
        <v>44948</v>
      </c>
      <c r="E1055" t="s">
        <v>3136</v>
      </c>
      <c r="F1055" t="s">
        <v>13</v>
      </c>
      <c r="G1055" t="s">
        <v>14</v>
      </c>
      <c r="H1055" t="s">
        <v>15</v>
      </c>
      <c r="I1055" t="s">
        <v>16</v>
      </c>
    </row>
    <row r="1056" spans="1:9" x14ac:dyDescent="0.3">
      <c r="A1056" t="s">
        <v>3137</v>
      </c>
      <c r="B1056" t="s">
        <v>3138</v>
      </c>
      <c r="C1056" t="s">
        <v>33</v>
      </c>
      <c r="D1056" s="1">
        <v>44949</v>
      </c>
      <c r="E1056" t="s">
        <v>3139</v>
      </c>
      <c r="F1056" t="s">
        <v>13</v>
      </c>
      <c r="G1056" t="s">
        <v>14</v>
      </c>
      <c r="H1056" t="s">
        <v>15</v>
      </c>
      <c r="I1056" t="s">
        <v>51</v>
      </c>
    </row>
    <row r="1057" spans="1:9" x14ac:dyDescent="0.3">
      <c r="A1057" t="s">
        <v>3140</v>
      </c>
      <c r="B1057" t="s">
        <v>3141</v>
      </c>
      <c r="C1057" t="s">
        <v>54</v>
      </c>
      <c r="D1057" s="1">
        <v>44949</v>
      </c>
      <c r="E1057" t="s">
        <v>3142</v>
      </c>
      <c r="F1057" t="s">
        <v>13</v>
      </c>
      <c r="G1057" t="s">
        <v>14</v>
      </c>
      <c r="H1057" t="s">
        <v>15</v>
      </c>
      <c r="I1057" t="s">
        <v>238</v>
      </c>
    </row>
    <row r="1058" spans="1:9" x14ac:dyDescent="0.3">
      <c r="A1058" t="s">
        <v>3143</v>
      </c>
      <c r="B1058" t="s">
        <v>3144</v>
      </c>
      <c r="C1058" t="s">
        <v>29</v>
      </c>
      <c r="D1058" s="1">
        <v>44949</v>
      </c>
      <c r="E1058" t="s">
        <v>3145</v>
      </c>
      <c r="F1058" t="s">
        <v>13</v>
      </c>
      <c r="G1058" t="s">
        <v>14</v>
      </c>
      <c r="H1058" t="s">
        <v>15</v>
      </c>
      <c r="I1058" t="s">
        <v>204</v>
      </c>
    </row>
    <row r="1059" spans="1:9" x14ac:dyDescent="0.3">
      <c r="A1059" t="s">
        <v>3146</v>
      </c>
      <c r="B1059" t="s">
        <v>3147</v>
      </c>
      <c r="C1059" t="s">
        <v>45</v>
      </c>
      <c r="D1059" s="1">
        <v>44949</v>
      </c>
      <c r="E1059" t="s">
        <v>3148</v>
      </c>
      <c r="F1059" t="s">
        <v>13</v>
      </c>
      <c r="G1059" t="s">
        <v>14</v>
      </c>
      <c r="H1059" t="s">
        <v>15</v>
      </c>
      <c r="I1059" t="s">
        <v>248</v>
      </c>
    </row>
    <row r="1060" spans="1:9" x14ac:dyDescent="0.3">
      <c r="A1060" t="s">
        <v>3149</v>
      </c>
      <c r="B1060" t="s">
        <v>3150</v>
      </c>
      <c r="C1060" t="s">
        <v>54</v>
      </c>
      <c r="D1060" s="1">
        <v>44951</v>
      </c>
      <c r="E1060" t="s">
        <v>3151</v>
      </c>
      <c r="F1060" t="s">
        <v>13</v>
      </c>
      <c r="G1060" t="s">
        <v>174</v>
      </c>
      <c r="H1060" t="s">
        <v>15</v>
      </c>
    </row>
    <row r="1061" spans="1:9" x14ac:dyDescent="0.3">
      <c r="A1061" t="s">
        <v>3152</v>
      </c>
      <c r="B1061" t="s">
        <v>3153</v>
      </c>
      <c r="C1061" t="s">
        <v>29</v>
      </c>
      <c r="D1061" s="1">
        <v>44951</v>
      </c>
      <c r="E1061" t="s">
        <v>3154</v>
      </c>
      <c r="F1061" t="s">
        <v>13</v>
      </c>
      <c r="G1061" t="s">
        <v>14</v>
      </c>
      <c r="H1061" t="s">
        <v>15</v>
      </c>
      <c r="I1061" t="s">
        <v>204</v>
      </c>
    </row>
    <row r="1062" spans="1:9" x14ac:dyDescent="0.3">
      <c r="A1062" t="s">
        <v>3155</v>
      </c>
      <c r="B1062" t="s">
        <v>3156</v>
      </c>
      <c r="C1062" t="s">
        <v>54</v>
      </c>
      <c r="D1062" s="1">
        <v>44951</v>
      </c>
      <c r="E1062" t="s">
        <v>3157</v>
      </c>
      <c r="F1062" t="s">
        <v>13</v>
      </c>
      <c r="G1062" t="s">
        <v>14</v>
      </c>
      <c r="H1062" t="s">
        <v>15</v>
      </c>
      <c r="I1062" t="s">
        <v>238</v>
      </c>
    </row>
    <row r="1063" spans="1:9" x14ac:dyDescent="0.3">
      <c r="A1063" t="s">
        <v>3158</v>
      </c>
      <c r="B1063" t="s">
        <v>3159</v>
      </c>
      <c r="C1063" t="s">
        <v>19</v>
      </c>
      <c r="D1063" s="1">
        <v>44951</v>
      </c>
      <c r="E1063" t="s">
        <v>3160</v>
      </c>
      <c r="F1063" t="s">
        <v>13</v>
      </c>
      <c r="G1063" t="s">
        <v>14</v>
      </c>
      <c r="H1063" t="s">
        <v>15</v>
      </c>
      <c r="I1063" t="s">
        <v>21</v>
      </c>
    </row>
    <row r="1064" spans="1:9" x14ac:dyDescent="0.3">
      <c r="A1064" t="s">
        <v>3161</v>
      </c>
      <c r="B1064" t="s">
        <v>3162</v>
      </c>
      <c r="C1064" t="s">
        <v>69</v>
      </c>
      <c r="D1064" s="1">
        <v>44952</v>
      </c>
      <c r="E1064" t="s">
        <v>3163</v>
      </c>
      <c r="F1064" t="s">
        <v>13</v>
      </c>
      <c r="G1064" t="s">
        <v>14</v>
      </c>
      <c r="H1064" t="s">
        <v>15</v>
      </c>
      <c r="I1064" t="s">
        <v>71</v>
      </c>
    </row>
    <row r="1065" spans="1:9" x14ac:dyDescent="0.3">
      <c r="A1065" t="s">
        <v>3164</v>
      </c>
      <c r="B1065" t="s">
        <v>3165</v>
      </c>
      <c r="C1065" t="s">
        <v>54</v>
      </c>
      <c r="D1065" s="1">
        <v>44952</v>
      </c>
      <c r="E1065" t="s">
        <v>3166</v>
      </c>
      <c r="F1065" t="s">
        <v>13</v>
      </c>
      <c r="G1065" t="s">
        <v>14</v>
      </c>
      <c r="H1065" t="s">
        <v>15</v>
      </c>
      <c r="I1065" t="s">
        <v>181</v>
      </c>
    </row>
    <row r="1066" spans="1:9" x14ac:dyDescent="0.3">
      <c r="A1066" t="s">
        <v>3167</v>
      </c>
      <c r="B1066" t="s">
        <v>3168</v>
      </c>
      <c r="C1066" t="s">
        <v>19</v>
      </c>
      <c r="D1066" s="1">
        <v>44952</v>
      </c>
      <c r="E1066" t="s">
        <v>3169</v>
      </c>
      <c r="F1066" t="s">
        <v>13</v>
      </c>
      <c r="G1066" t="s">
        <v>14</v>
      </c>
      <c r="H1066" t="s">
        <v>15</v>
      </c>
    </row>
    <row r="1067" spans="1:9" x14ac:dyDescent="0.3">
      <c r="A1067" t="s">
        <v>3170</v>
      </c>
      <c r="B1067" t="s">
        <v>3171</v>
      </c>
      <c r="C1067" t="s">
        <v>45</v>
      </c>
      <c r="D1067" s="1">
        <v>44952</v>
      </c>
      <c r="E1067" t="s">
        <v>3172</v>
      </c>
      <c r="F1067" t="s">
        <v>13</v>
      </c>
      <c r="G1067" t="s">
        <v>14</v>
      </c>
      <c r="H1067" t="s">
        <v>15</v>
      </c>
      <c r="I1067" t="s">
        <v>248</v>
      </c>
    </row>
    <row r="1068" spans="1:9" x14ac:dyDescent="0.3">
      <c r="A1068" t="s">
        <v>3173</v>
      </c>
      <c r="B1068" t="s">
        <v>3174</v>
      </c>
      <c r="C1068" t="s">
        <v>69</v>
      </c>
      <c r="D1068" s="1">
        <v>44953</v>
      </c>
      <c r="E1068" t="s">
        <v>3175</v>
      </c>
      <c r="F1068" t="s">
        <v>13</v>
      </c>
      <c r="G1068" t="s">
        <v>14</v>
      </c>
      <c r="H1068" t="s">
        <v>15</v>
      </c>
      <c r="I1068" t="s">
        <v>71</v>
      </c>
    </row>
    <row r="1069" spans="1:9" x14ac:dyDescent="0.3">
      <c r="A1069" t="s">
        <v>3176</v>
      </c>
      <c r="B1069" t="s">
        <v>3177</v>
      </c>
      <c r="C1069" t="s">
        <v>69</v>
      </c>
      <c r="D1069" s="1">
        <v>44953</v>
      </c>
      <c r="E1069" t="s">
        <v>3178</v>
      </c>
      <c r="F1069" t="s">
        <v>13</v>
      </c>
      <c r="G1069" t="s">
        <v>14</v>
      </c>
      <c r="H1069" t="s">
        <v>15</v>
      </c>
      <c r="I1069" t="s">
        <v>71</v>
      </c>
    </row>
    <row r="1070" spans="1:9" x14ac:dyDescent="0.3">
      <c r="A1070" t="s">
        <v>3179</v>
      </c>
      <c r="B1070" t="s">
        <v>3180</v>
      </c>
      <c r="C1070" t="s">
        <v>29</v>
      </c>
      <c r="D1070" s="1">
        <v>44954</v>
      </c>
      <c r="E1070" t="s">
        <v>3181</v>
      </c>
      <c r="F1070" t="s">
        <v>13</v>
      </c>
      <c r="G1070" t="s">
        <v>14</v>
      </c>
      <c r="H1070" t="s">
        <v>15</v>
      </c>
      <c r="I1070" t="s">
        <v>204</v>
      </c>
    </row>
    <row r="1071" spans="1:9" x14ac:dyDescent="0.3">
      <c r="A1071" t="s">
        <v>3182</v>
      </c>
      <c r="B1071" t="s">
        <v>3183</v>
      </c>
      <c r="C1071" t="s">
        <v>45</v>
      </c>
      <c r="D1071" s="1">
        <v>44955</v>
      </c>
      <c r="E1071" t="s">
        <v>3184</v>
      </c>
      <c r="F1071" t="s">
        <v>13</v>
      </c>
      <c r="G1071" t="s">
        <v>14</v>
      </c>
      <c r="H1071" t="s">
        <v>15</v>
      </c>
      <c r="I1071" t="s">
        <v>47</v>
      </c>
    </row>
    <row r="1072" spans="1:9" x14ac:dyDescent="0.3">
      <c r="A1072" t="s">
        <v>3185</v>
      </c>
      <c r="B1072" t="s">
        <v>3186</v>
      </c>
      <c r="C1072" t="s">
        <v>11</v>
      </c>
      <c r="D1072" s="1">
        <v>44955</v>
      </c>
      <c r="E1072" t="s">
        <v>3187</v>
      </c>
      <c r="F1072" t="s">
        <v>13</v>
      </c>
      <c r="G1072" t="s">
        <v>14</v>
      </c>
      <c r="H1072" t="s">
        <v>15</v>
      </c>
      <c r="I1072" t="s">
        <v>16</v>
      </c>
    </row>
    <row r="1073" spans="1:9" x14ac:dyDescent="0.3">
      <c r="A1073" t="s">
        <v>3188</v>
      </c>
      <c r="B1073" t="s">
        <v>3189</v>
      </c>
      <c r="C1073" t="s">
        <v>33</v>
      </c>
      <c r="D1073" s="1">
        <v>44955</v>
      </c>
      <c r="E1073" t="s">
        <v>3190</v>
      </c>
      <c r="F1073" t="s">
        <v>13</v>
      </c>
      <c r="G1073" t="s">
        <v>14</v>
      </c>
      <c r="H1073" t="s">
        <v>15</v>
      </c>
      <c r="I1073" t="s">
        <v>51</v>
      </c>
    </row>
    <row r="1074" spans="1:9" x14ac:dyDescent="0.3">
      <c r="A1074" t="s">
        <v>3191</v>
      </c>
      <c r="B1074" t="s">
        <v>3192</v>
      </c>
      <c r="C1074" t="s">
        <v>29</v>
      </c>
      <c r="D1074" s="1">
        <v>44956</v>
      </c>
      <c r="E1074" t="s">
        <v>3193</v>
      </c>
      <c r="F1074" t="s">
        <v>13</v>
      </c>
      <c r="G1074" t="s">
        <v>14</v>
      </c>
      <c r="H1074" t="s">
        <v>15</v>
      </c>
      <c r="I1074" t="s">
        <v>81</v>
      </c>
    </row>
    <row r="1075" spans="1:9" x14ac:dyDescent="0.3">
      <c r="A1075" t="s">
        <v>3194</v>
      </c>
      <c r="B1075" t="s">
        <v>3195</v>
      </c>
      <c r="C1075" t="s">
        <v>19</v>
      </c>
      <c r="D1075" s="1">
        <v>44956</v>
      </c>
      <c r="E1075" t="s">
        <v>3196</v>
      </c>
      <c r="F1075" t="s">
        <v>13</v>
      </c>
      <c r="G1075" t="s">
        <v>14</v>
      </c>
      <c r="H1075" t="s">
        <v>15</v>
      </c>
      <c r="I1075" t="s">
        <v>116</v>
      </c>
    </row>
    <row r="1076" spans="1:9" x14ac:dyDescent="0.3">
      <c r="A1076" t="s">
        <v>3197</v>
      </c>
      <c r="B1076" t="s">
        <v>3198</v>
      </c>
      <c r="C1076" t="s">
        <v>33</v>
      </c>
      <c r="D1076" s="1">
        <v>44956</v>
      </c>
      <c r="E1076" t="s">
        <v>3199</v>
      </c>
      <c r="F1076" t="s">
        <v>13</v>
      </c>
      <c r="G1076" t="s">
        <v>14</v>
      </c>
      <c r="H1076" t="s">
        <v>15</v>
      </c>
      <c r="I1076" t="s">
        <v>51</v>
      </c>
    </row>
    <row r="1077" spans="1:9" x14ac:dyDescent="0.3">
      <c r="A1077" t="s">
        <v>3200</v>
      </c>
      <c r="B1077" t="s">
        <v>3201</v>
      </c>
      <c r="C1077" t="s">
        <v>54</v>
      </c>
      <c r="D1077" s="1">
        <v>44956</v>
      </c>
      <c r="E1077" t="s">
        <v>3202</v>
      </c>
      <c r="F1077" t="s">
        <v>13</v>
      </c>
      <c r="G1077" t="s">
        <v>14</v>
      </c>
      <c r="H1077" t="s">
        <v>15</v>
      </c>
      <c r="I1077" t="s">
        <v>181</v>
      </c>
    </row>
    <row r="1078" spans="1:9" x14ac:dyDescent="0.3">
      <c r="A1078" t="s">
        <v>3203</v>
      </c>
      <c r="B1078" t="s">
        <v>3204</v>
      </c>
      <c r="C1078" t="s">
        <v>33</v>
      </c>
      <c r="D1078" s="1">
        <v>44956</v>
      </c>
      <c r="E1078" t="s">
        <v>3205</v>
      </c>
      <c r="F1078" t="s">
        <v>13</v>
      </c>
      <c r="G1078" t="s">
        <v>14</v>
      </c>
      <c r="H1078" t="s">
        <v>15</v>
      </c>
      <c r="I1078" t="s">
        <v>51</v>
      </c>
    </row>
    <row r="1079" spans="1:9" x14ac:dyDescent="0.3">
      <c r="A1079" t="s">
        <v>3206</v>
      </c>
      <c r="B1079" t="s">
        <v>3207</v>
      </c>
      <c r="C1079" t="s">
        <v>29</v>
      </c>
      <c r="D1079" s="1">
        <v>44957</v>
      </c>
      <c r="E1079" t="s">
        <v>3208</v>
      </c>
      <c r="F1079" t="s">
        <v>13</v>
      </c>
      <c r="G1079" t="s">
        <v>14</v>
      </c>
      <c r="H1079" t="s">
        <v>15</v>
      </c>
      <c r="I1079" t="s">
        <v>42</v>
      </c>
    </row>
    <row r="1080" spans="1:9" x14ac:dyDescent="0.3">
      <c r="A1080" t="s">
        <v>3209</v>
      </c>
      <c r="B1080" t="s">
        <v>3210</v>
      </c>
      <c r="C1080" t="s">
        <v>11</v>
      </c>
      <c r="D1080" s="1">
        <v>44957</v>
      </c>
      <c r="E1080" t="s">
        <v>3211</v>
      </c>
      <c r="F1080" t="s">
        <v>13</v>
      </c>
      <c r="G1080" t="s">
        <v>14</v>
      </c>
      <c r="H1080" t="s">
        <v>15</v>
      </c>
      <c r="I1080" t="s">
        <v>16</v>
      </c>
    </row>
    <row r="1081" spans="1:9" x14ac:dyDescent="0.3">
      <c r="A1081" t="s">
        <v>3212</v>
      </c>
      <c r="B1081" t="s">
        <v>3213</v>
      </c>
      <c r="C1081" t="s">
        <v>11</v>
      </c>
      <c r="D1081" s="1">
        <v>44958</v>
      </c>
      <c r="E1081" t="s">
        <v>3214</v>
      </c>
      <c r="F1081" t="s">
        <v>13</v>
      </c>
      <c r="G1081" t="s">
        <v>14</v>
      </c>
      <c r="H1081" t="s">
        <v>15</v>
      </c>
      <c r="I1081" t="s">
        <v>16</v>
      </c>
    </row>
    <row r="1082" spans="1:9" x14ac:dyDescent="0.3">
      <c r="A1082" t="s">
        <v>3215</v>
      </c>
      <c r="B1082" t="s">
        <v>3216</v>
      </c>
      <c r="C1082" t="s">
        <v>29</v>
      </c>
      <c r="D1082" s="1">
        <v>44958</v>
      </c>
      <c r="E1082" t="s">
        <v>3217</v>
      </c>
      <c r="F1082" t="s">
        <v>13</v>
      </c>
      <c r="G1082" t="s">
        <v>14</v>
      </c>
      <c r="H1082" t="s">
        <v>15</v>
      </c>
      <c r="I1082" t="s">
        <v>81</v>
      </c>
    </row>
    <row r="1083" spans="1:9" x14ac:dyDescent="0.3">
      <c r="A1083" t="s">
        <v>3167</v>
      </c>
      <c r="B1083" t="s">
        <v>3218</v>
      </c>
      <c r="C1083" t="s">
        <v>19</v>
      </c>
      <c r="D1083" s="1">
        <v>44959</v>
      </c>
      <c r="E1083" t="s">
        <v>3219</v>
      </c>
      <c r="F1083" t="s">
        <v>13</v>
      </c>
      <c r="G1083" t="s">
        <v>14</v>
      </c>
      <c r="H1083" t="s">
        <v>15</v>
      </c>
      <c r="I1083" t="s">
        <v>21</v>
      </c>
    </row>
    <row r="1084" spans="1:9" x14ac:dyDescent="0.3">
      <c r="A1084" t="s">
        <v>3220</v>
      </c>
      <c r="B1084" t="s">
        <v>3221</v>
      </c>
      <c r="C1084" t="s">
        <v>54</v>
      </c>
      <c r="D1084" s="1">
        <v>44960</v>
      </c>
      <c r="E1084" t="s">
        <v>3222</v>
      </c>
      <c r="F1084" t="s">
        <v>13</v>
      </c>
      <c r="G1084" t="s">
        <v>14</v>
      </c>
      <c r="H1084" t="s">
        <v>15</v>
      </c>
    </row>
    <row r="1085" spans="1:9" x14ac:dyDescent="0.3">
      <c r="A1085" t="s">
        <v>3223</v>
      </c>
      <c r="B1085" t="s">
        <v>3224</v>
      </c>
      <c r="C1085" t="s">
        <v>69</v>
      </c>
      <c r="D1085" s="1">
        <v>44960</v>
      </c>
      <c r="E1085" t="s">
        <v>3225</v>
      </c>
      <c r="F1085" t="s">
        <v>13</v>
      </c>
      <c r="G1085" t="s">
        <v>14</v>
      </c>
      <c r="H1085" t="s">
        <v>15</v>
      </c>
      <c r="I1085" t="s">
        <v>71</v>
      </c>
    </row>
    <row r="1086" spans="1:9" x14ac:dyDescent="0.3">
      <c r="A1086" t="s">
        <v>3226</v>
      </c>
      <c r="B1086" t="s">
        <v>3227</v>
      </c>
      <c r="C1086" t="s">
        <v>29</v>
      </c>
      <c r="D1086" s="1">
        <v>44961</v>
      </c>
      <c r="E1086" t="s">
        <v>3228</v>
      </c>
      <c r="F1086" t="s">
        <v>13</v>
      </c>
      <c r="G1086" t="s">
        <v>14</v>
      </c>
      <c r="H1086" t="s">
        <v>15</v>
      </c>
      <c r="I1086" t="s">
        <v>81</v>
      </c>
    </row>
    <row r="1087" spans="1:9" x14ac:dyDescent="0.3">
      <c r="A1087" t="s">
        <v>3229</v>
      </c>
      <c r="B1087" t="s">
        <v>3230</v>
      </c>
      <c r="C1087" t="s">
        <v>11</v>
      </c>
      <c r="D1087" s="1">
        <v>44961</v>
      </c>
      <c r="E1087" t="s">
        <v>3231</v>
      </c>
      <c r="F1087" t="s">
        <v>13</v>
      </c>
      <c r="G1087" t="s">
        <v>14</v>
      </c>
      <c r="H1087" t="s">
        <v>15</v>
      </c>
      <c r="I1087" t="s">
        <v>38</v>
      </c>
    </row>
    <row r="1088" spans="1:9" x14ac:dyDescent="0.3">
      <c r="A1088" t="s">
        <v>3232</v>
      </c>
      <c r="B1088" t="s">
        <v>3233</v>
      </c>
      <c r="C1088" t="s">
        <v>69</v>
      </c>
      <c r="D1088" s="1">
        <v>44961</v>
      </c>
      <c r="E1088" t="s">
        <v>3234</v>
      </c>
      <c r="F1088" t="s">
        <v>13</v>
      </c>
      <c r="G1088" t="s">
        <v>14</v>
      </c>
      <c r="H1088" t="s">
        <v>15</v>
      </c>
    </row>
    <row r="1089" spans="1:9" x14ac:dyDescent="0.3">
      <c r="A1089" t="s">
        <v>3235</v>
      </c>
      <c r="B1089" t="s">
        <v>3236</v>
      </c>
      <c r="C1089" t="s">
        <v>69</v>
      </c>
      <c r="D1089" s="1">
        <v>44962</v>
      </c>
      <c r="E1089" t="s">
        <v>3237</v>
      </c>
      <c r="F1089" t="s">
        <v>13</v>
      </c>
      <c r="G1089" t="s">
        <v>14</v>
      </c>
      <c r="H1089" t="s">
        <v>15</v>
      </c>
      <c r="I1089" t="s">
        <v>71</v>
      </c>
    </row>
    <row r="1090" spans="1:9" x14ac:dyDescent="0.3">
      <c r="A1090" t="s">
        <v>3238</v>
      </c>
      <c r="B1090" t="s">
        <v>3239</v>
      </c>
      <c r="C1090" t="s">
        <v>54</v>
      </c>
      <c r="D1090" s="1">
        <v>44963</v>
      </c>
      <c r="E1090" t="s">
        <v>3240</v>
      </c>
      <c r="F1090" t="s">
        <v>13</v>
      </c>
      <c r="G1090" t="s">
        <v>14</v>
      </c>
      <c r="H1090" t="s">
        <v>15</v>
      </c>
      <c r="I1090" t="s">
        <v>181</v>
      </c>
    </row>
    <row r="1091" spans="1:9" x14ac:dyDescent="0.3">
      <c r="A1091" t="s">
        <v>3241</v>
      </c>
      <c r="B1091" t="s">
        <v>3242</v>
      </c>
      <c r="C1091" t="s">
        <v>45</v>
      </c>
      <c r="D1091" s="1">
        <v>44963</v>
      </c>
      <c r="E1091" t="s">
        <v>3243</v>
      </c>
      <c r="F1091" t="s">
        <v>13</v>
      </c>
      <c r="G1091" t="s">
        <v>14</v>
      </c>
      <c r="H1091" t="s">
        <v>15</v>
      </c>
      <c r="I1091" t="s">
        <v>248</v>
      </c>
    </row>
    <row r="1092" spans="1:9" x14ac:dyDescent="0.3">
      <c r="A1092" t="s">
        <v>3244</v>
      </c>
      <c r="B1092" t="s">
        <v>3245</v>
      </c>
      <c r="C1092" t="s">
        <v>29</v>
      </c>
      <c r="D1092" s="1">
        <v>44964</v>
      </c>
      <c r="E1092" t="s">
        <v>3246</v>
      </c>
      <c r="F1092" t="s">
        <v>13</v>
      </c>
      <c r="G1092" t="s">
        <v>14</v>
      </c>
      <c r="H1092" t="s">
        <v>15</v>
      </c>
      <c r="I1092" t="s">
        <v>42</v>
      </c>
    </row>
    <row r="1093" spans="1:9" x14ac:dyDescent="0.3">
      <c r="A1093" t="s">
        <v>3247</v>
      </c>
      <c r="B1093" t="s">
        <v>3248</v>
      </c>
      <c r="C1093" t="s">
        <v>45</v>
      </c>
      <c r="D1093" s="1">
        <v>44965</v>
      </c>
      <c r="E1093" t="s">
        <v>3249</v>
      </c>
      <c r="F1093" t="s">
        <v>13</v>
      </c>
      <c r="G1093" t="s">
        <v>14</v>
      </c>
      <c r="H1093" t="s">
        <v>15</v>
      </c>
      <c r="I1093" t="s">
        <v>47</v>
      </c>
    </row>
    <row r="1094" spans="1:9" x14ac:dyDescent="0.3">
      <c r="A1094" t="s">
        <v>3250</v>
      </c>
      <c r="B1094" t="s">
        <v>3251</v>
      </c>
      <c r="C1094" t="s">
        <v>33</v>
      </c>
      <c r="D1094" s="1">
        <v>44965</v>
      </c>
      <c r="E1094" t="s">
        <v>3252</v>
      </c>
      <c r="F1094" t="s">
        <v>13</v>
      </c>
      <c r="G1094" t="s">
        <v>14</v>
      </c>
      <c r="H1094" t="s">
        <v>15</v>
      </c>
      <c r="I1094" t="s">
        <v>94</v>
      </c>
    </row>
    <row r="1095" spans="1:9" x14ac:dyDescent="0.3">
      <c r="A1095" t="s">
        <v>3253</v>
      </c>
      <c r="B1095" t="s">
        <v>3254</v>
      </c>
      <c r="C1095" t="s">
        <v>29</v>
      </c>
      <c r="D1095" s="1">
        <v>44966</v>
      </c>
      <c r="E1095" t="s">
        <v>3255</v>
      </c>
      <c r="F1095" t="s">
        <v>13</v>
      </c>
      <c r="G1095" t="s">
        <v>14</v>
      </c>
      <c r="H1095" t="s">
        <v>15</v>
      </c>
      <c r="I1095" t="s">
        <v>81</v>
      </c>
    </row>
    <row r="1096" spans="1:9" x14ac:dyDescent="0.3">
      <c r="A1096" t="s">
        <v>3256</v>
      </c>
      <c r="B1096" t="s">
        <v>3257</v>
      </c>
      <c r="C1096" t="s">
        <v>11</v>
      </c>
      <c r="D1096" s="1">
        <v>44966</v>
      </c>
      <c r="E1096" t="s">
        <v>3258</v>
      </c>
      <c r="F1096" t="s">
        <v>13</v>
      </c>
      <c r="G1096" t="s">
        <v>14</v>
      </c>
      <c r="H1096" t="s">
        <v>15</v>
      </c>
      <c r="I1096" t="s">
        <v>16</v>
      </c>
    </row>
    <row r="1097" spans="1:9" x14ac:dyDescent="0.3">
      <c r="A1097" t="s">
        <v>3259</v>
      </c>
      <c r="B1097" t="s">
        <v>3260</v>
      </c>
      <c r="C1097" t="s">
        <v>69</v>
      </c>
      <c r="D1097" s="1">
        <v>44966</v>
      </c>
      <c r="E1097" t="s">
        <v>3261</v>
      </c>
      <c r="F1097" t="s">
        <v>13</v>
      </c>
      <c r="G1097" t="s">
        <v>14</v>
      </c>
      <c r="H1097" t="s">
        <v>15</v>
      </c>
      <c r="I1097" t="s">
        <v>71</v>
      </c>
    </row>
    <row r="1098" spans="1:9" x14ac:dyDescent="0.3">
      <c r="A1098" t="s">
        <v>3262</v>
      </c>
      <c r="B1098" t="s">
        <v>3263</v>
      </c>
      <c r="C1098" t="s">
        <v>11</v>
      </c>
      <c r="D1098" s="1">
        <v>44967</v>
      </c>
      <c r="E1098" t="s">
        <v>3264</v>
      </c>
      <c r="F1098" t="s">
        <v>13</v>
      </c>
      <c r="G1098" t="s">
        <v>14</v>
      </c>
      <c r="H1098" t="s">
        <v>15</v>
      </c>
      <c r="I1098" t="s">
        <v>185</v>
      </c>
    </row>
    <row r="1099" spans="1:9" x14ac:dyDescent="0.3">
      <c r="A1099" t="s">
        <v>3265</v>
      </c>
      <c r="B1099" t="s">
        <v>3266</v>
      </c>
      <c r="C1099" t="s">
        <v>45</v>
      </c>
      <c r="D1099" s="1">
        <v>44967</v>
      </c>
      <c r="E1099" t="s">
        <v>3267</v>
      </c>
      <c r="F1099" t="s">
        <v>13</v>
      </c>
      <c r="G1099" t="s">
        <v>14</v>
      </c>
      <c r="H1099" t="s">
        <v>15</v>
      </c>
    </row>
    <row r="1100" spans="1:9" x14ac:dyDescent="0.3">
      <c r="A1100" t="s">
        <v>3268</v>
      </c>
      <c r="B1100" t="s">
        <v>3269</v>
      </c>
      <c r="C1100" t="s">
        <v>33</v>
      </c>
      <c r="D1100" s="1">
        <v>44968</v>
      </c>
      <c r="E1100" t="s">
        <v>3270</v>
      </c>
      <c r="F1100" t="s">
        <v>13</v>
      </c>
      <c r="G1100" t="s">
        <v>14</v>
      </c>
      <c r="H1100" t="s">
        <v>15</v>
      </c>
      <c r="I1100" t="s">
        <v>94</v>
      </c>
    </row>
    <row r="1101" spans="1:9" x14ac:dyDescent="0.3">
      <c r="A1101" t="s">
        <v>3271</v>
      </c>
      <c r="B1101" t="s">
        <v>3272</v>
      </c>
      <c r="C1101" t="s">
        <v>11</v>
      </c>
      <c r="D1101" s="1">
        <v>44968</v>
      </c>
      <c r="E1101" t="s">
        <v>3273</v>
      </c>
      <c r="F1101" t="s">
        <v>13</v>
      </c>
      <c r="G1101" t="s">
        <v>14</v>
      </c>
      <c r="H1101" t="s">
        <v>15</v>
      </c>
    </row>
    <row r="1102" spans="1:9" x14ac:dyDescent="0.3">
      <c r="A1102" t="s">
        <v>3274</v>
      </c>
      <c r="B1102" t="s">
        <v>3275</v>
      </c>
      <c r="C1102" t="s">
        <v>29</v>
      </c>
      <c r="D1102" s="1">
        <v>44968</v>
      </c>
      <c r="E1102" t="s">
        <v>3276</v>
      </c>
      <c r="F1102" t="s">
        <v>13</v>
      </c>
      <c r="G1102" t="s">
        <v>14</v>
      </c>
      <c r="H1102" t="s">
        <v>15</v>
      </c>
    </row>
    <row r="1103" spans="1:9" x14ac:dyDescent="0.3">
      <c r="A1103" t="s">
        <v>3277</v>
      </c>
      <c r="B1103" t="s">
        <v>3278</v>
      </c>
      <c r="C1103" t="s">
        <v>69</v>
      </c>
      <c r="D1103" s="1">
        <v>44968</v>
      </c>
      <c r="E1103" t="s">
        <v>3279</v>
      </c>
      <c r="F1103" t="s">
        <v>13</v>
      </c>
      <c r="G1103" t="s">
        <v>14</v>
      </c>
      <c r="H1103" t="s">
        <v>15</v>
      </c>
      <c r="I1103" t="s">
        <v>71</v>
      </c>
    </row>
    <row r="1104" spans="1:9" x14ac:dyDescent="0.3">
      <c r="A1104" t="s">
        <v>3280</v>
      </c>
      <c r="B1104" t="s">
        <v>3281</v>
      </c>
      <c r="C1104" t="s">
        <v>19</v>
      </c>
      <c r="D1104" s="1">
        <v>44968</v>
      </c>
      <c r="E1104" t="s">
        <v>3282</v>
      </c>
      <c r="F1104" t="s">
        <v>13</v>
      </c>
      <c r="G1104" t="s">
        <v>174</v>
      </c>
      <c r="H1104" t="s">
        <v>15</v>
      </c>
      <c r="I1104" t="s">
        <v>21</v>
      </c>
    </row>
    <row r="1105" spans="1:9" x14ac:dyDescent="0.3">
      <c r="A1105" t="s">
        <v>3283</v>
      </c>
      <c r="B1105" t="s">
        <v>3284</v>
      </c>
      <c r="C1105" t="s">
        <v>69</v>
      </c>
      <c r="D1105" s="1">
        <v>44968</v>
      </c>
      <c r="E1105" t="s">
        <v>3285</v>
      </c>
      <c r="F1105" t="s">
        <v>13</v>
      </c>
      <c r="G1105" t="s">
        <v>14</v>
      </c>
      <c r="H1105" t="s">
        <v>15</v>
      </c>
      <c r="I1105" t="s">
        <v>71</v>
      </c>
    </row>
    <row r="1106" spans="1:9" x14ac:dyDescent="0.3">
      <c r="A1106" t="s">
        <v>3286</v>
      </c>
      <c r="B1106" t="s">
        <v>3287</v>
      </c>
      <c r="C1106" t="s">
        <v>33</v>
      </c>
      <c r="D1106" s="1">
        <v>44969</v>
      </c>
      <c r="E1106" t="s">
        <v>3288</v>
      </c>
      <c r="F1106" t="s">
        <v>13</v>
      </c>
      <c r="G1106" t="s">
        <v>14</v>
      </c>
      <c r="H1106" t="s">
        <v>15</v>
      </c>
      <c r="I1106" t="s">
        <v>51</v>
      </c>
    </row>
    <row r="1107" spans="1:9" x14ac:dyDescent="0.3">
      <c r="A1107" t="s">
        <v>3289</v>
      </c>
      <c r="B1107" t="s">
        <v>3290</v>
      </c>
      <c r="C1107" t="s">
        <v>33</v>
      </c>
      <c r="D1107" s="1">
        <v>44969</v>
      </c>
      <c r="E1107" t="s">
        <v>3291</v>
      </c>
      <c r="F1107" t="s">
        <v>13</v>
      </c>
      <c r="G1107" t="s">
        <v>14</v>
      </c>
      <c r="H1107" t="s">
        <v>15</v>
      </c>
    </row>
    <row r="1108" spans="1:9" x14ac:dyDescent="0.3">
      <c r="A1108" t="s">
        <v>3292</v>
      </c>
      <c r="B1108" t="s">
        <v>3293</v>
      </c>
      <c r="C1108" t="s">
        <v>19</v>
      </c>
      <c r="D1108" s="1">
        <v>44969</v>
      </c>
      <c r="E1108" t="s">
        <v>3294</v>
      </c>
      <c r="F1108" t="s">
        <v>13</v>
      </c>
      <c r="G1108" t="s">
        <v>14</v>
      </c>
      <c r="H1108" t="s">
        <v>15</v>
      </c>
      <c r="I1108" t="s">
        <v>116</v>
      </c>
    </row>
    <row r="1109" spans="1:9" x14ac:dyDescent="0.3">
      <c r="A1109" t="s">
        <v>3295</v>
      </c>
      <c r="B1109" t="s">
        <v>3296</v>
      </c>
      <c r="C1109" t="s">
        <v>54</v>
      </c>
      <c r="D1109" s="1">
        <v>44969</v>
      </c>
      <c r="E1109" t="s">
        <v>3297</v>
      </c>
      <c r="F1109" t="s">
        <v>13</v>
      </c>
      <c r="G1109" t="s">
        <v>14</v>
      </c>
      <c r="H1109" t="s">
        <v>15</v>
      </c>
    </row>
    <row r="1110" spans="1:9" x14ac:dyDescent="0.3">
      <c r="A1110" t="s">
        <v>3298</v>
      </c>
      <c r="B1110" t="s">
        <v>3299</v>
      </c>
      <c r="C1110" t="s">
        <v>54</v>
      </c>
      <c r="D1110" s="1">
        <v>44969</v>
      </c>
      <c r="E1110" t="s">
        <v>3300</v>
      </c>
      <c r="F1110" t="s">
        <v>13</v>
      </c>
      <c r="G1110" t="s">
        <v>14</v>
      </c>
      <c r="H1110" t="s">
        <v>15</v>
      </c>
      <c r="I1110" t="s">
        <v>238</v>
      </c>
    </row>
    <row r="1111" spans="1:9" x14ac:dyDescent="0.3">
      <c r="A1111" t="s">
        <v>3301</v>
      </c>
      <c r="B1111" t="s">
        <v>3302</v>
      </c>
      <c r="C1111" t="s">
        <v>33</v>
      </c>
      <c r="D1111" s="1">
        <v>44970</v>
      </c>
      <c r="E1111" t="s">
        <v>3303</v>
      </c>
      <c r="F1111" t="s">
        <v>13</v>
      </c>
      <c r="G1111" t="s">
        <v>14</v>
      </c>
      <c r="H1111" t="s">
        <v>15</v>
      </c>
      <c r="I1111" t="s">
        <v>94</v>
      </c>
    </row>
    <row r="1112" spans="1:9" x14ac:dyDescent="0.3">
      <c r="A1112" t="s">
        <v>3304</v>
      </c>
      <c r="B1112" t="s">
        <v>3305</v>
      </c>
      <c r="C1112" t="s">
        <v>19</v>
      </c>
      <c r="D1112" s="1">
        <v>44970</v>
      </c>
      <c r="E1112" t="s">
        <v>3306</v>
      </c>
      <c r="F1112" t="s">
        <v>13</v>
      </c>
      <c r="G1112" t="s">
        <v>14</v>
      </c>
      <c r="H1112" t="s">
        <v>15</v>
      </c>
      <c r="I1112" t="s">
        <v>21</v>
      </c>
    </row>
    <row r="1113" spans="1:9" x14ac:dyDescent="0.3">
      <c r="A1113" t="s">
        <v>3307</v>
      </c>
      <c r="B1113" t="s">
        <v>3308</v>
      </c>
      <c r="C1113" t="s">
        <v>33</v>
      </c>
      <c r="D1113" s="1">
        <v>44971</v>
      </c>
      <c r="E1113" t="s">
        <v>3309</v>
      </c>
      <c r="F1113" t="s">
        <v>13</v>
      </c>
      <c r="G1113" t="s">
        <v>14</v>
      </c>
      <c r="H1113" t="s">
        <v>15</v>
      </c>
    </row>
    <row r="1114" spans="1:9" x14ac:dyDescent="0.3">
      <c r="A1114" t="s">
        <v>3310</v>
      </c>
      <c r="B1114" t="s">
        <v>3311</v>
      </c>
      <c r="C1114" t="s">
        <v>11</v>
      </c>
      <c r="D1114" s="1">
        <v>44971</v>
      </c>
      <c r="E1114" t="s">
        <v>3312</v>
      </c>
      <c r="F1114" t="s">
        <v>13</v>
      </c>
      <c r="G1114" t="s">
        <v>14</v>
      </c>
      <c r="H1114" t="s">
        <v>15</v>
      </c>
      <c r="I1114" t="s">
        <v>16</v>
      </c>
    </row>
    <row r="1115" spans="1:9" x14ac:dyDescent="0.3">
      <c r="A1115" t="s">
        <v>3313</v>
      </c>
      <c r="B1115" t="s">
        <v>3314</v>
      </c>
      <c r="C1115" t="s">
        <v>29</v>
      </c>
      <c r="D1115" s="1">
        <v>44971</v>
      </c>
      <c r="E1115" t="s">
        <v>3315</v>
      </c>
      <c r="F1115" t="s">
        <v>13</v>
      </c>
      <c r="G1115" t="s">
        <v>14</v>
      </c>
      <c r="H1115" t="s">
        <v>15</v>
      </c>
    </row>
    <row r="1116" spans="1:9" x14ac:dyDescent="0.3">
      <c r="A1116" t="s">
        <v>3316</v>
      </c>
      <c r="B1116" t="s">
        <v>3317</v>
      </c>
      <c r="C1116" t="s">
        <v>29</v>
      </c>
      <c r="D1116" s="1">
        <v>44971</v>
      </c>
      <c r="E1116" t="s">
        <v>3318</v>
      </c>
      <c r="F1116" t="s">
        <v>13</v>
      </c>
      <c r="G1116" t="s">
        <v>14</v>
      </c>
      <c r="H1116" t="s">
        <v>15</v>
      </c>
      <c r="I1116" t="s">
        <v>81</v>
      </c>
    </row>
    <row r="1117" spans="1:9" x14ac:dyDescent="0.3">
      <c r="A1117" t="s">
        <v>3319</v>
      </c>
      <c r="B1117" t="s">
        <v>3320</v>
      </c>
      <c r="C1117" t="s">
        <v>33</v>
      </c>
      <c r="D1117" s="1">
        <v>44972</v>
      </c>
      <c r="E1117" t="s">
        <v>3321</v>
      </c>
      <c r="F1117" t="s">
        <v>13</v>
      </c>
      <c r="G1117" t="s">
        <v>14</v>
      </c>
      <c r="H1117" t="s">
        <v>15</v>
      </c>
    </row>
    <row r="1118" spans="1:9" x14ac:dyDescent="0.3">
      <c r="A1118" t="s">
        <v>3322</v>
      </c>
      <c r="B1118" t="s">
        <v>3323</v>
      </c>
      <c r="C1118" t="s">
        <v>45</v>
      </c>
      <c r="D1118" s="1">
        <v>44972</v>
      </c>
      <c r="E1118" t="s">
        <v>3324</v>
      </c>
      <c r="F1118" t="s">
        <v>13</v>
      </c>
      <c r="G1118" t="s">
        <v>14</v>
      </c>
      <c r="H1118" t="s">
        <v>15</v>
      </c>
    </row>
    <row r="1119" spans="1:9" x14ac:dyDescent="0.3">
      <c r="A1119" t="s">
        <v>3325</v>
      </c>
      <c r="B1119" t="s">
        <v>3326</v>
      </c>
      <c r="C1119" t="s">
        <v>45</v>
      </c>
      <c r="D1119" s="1">
        <v>44973</v>
      </c>
      <c r="E1119" t="s">
        <v>3327</v>
      </c>
      <c r="F1119" t="s">
        <v>13</v>
      </c>
      <c r="G1119" t="s">
        <v>14</v>
      </c>
      <c r="H1119" t="s">
        <v>15</v>
      </c>
      <c r="I1119" t="s">
        <v>248</v>
      </c>
    </row>
    <row r="1120" spans="1:9" x14ac:dyDescent="0.3">
      <c r="A1120" t="s">
        <v>3328</v>
      </c>
      <c r="B1120" t="s">
        <v>3329</v>
      </c>
      <c r="C1120" t="s">
        <v>24</v>
      </c>
      <c r="D1120" s="1">
        <v>44973</v>
      </c>
      <c r="E1120" t="s">
        <v>3330</v>
      </c>
      <c r="F1120" t="s">
        <v>13</v>
      </c>
      <c r="G1120" t="s">
        <v>14</v>
      </c>
      <c r="H1120" t="s">
        <v>15</v>
      </c>
      <c r="I1120" t="s">
        <v>59</v>
      </c>
    </row>
    <row r="1121" spans="1:9" x14ac:dyDescent="0.3">
      <c r="A1121" t="s">
        <v>3331</v>
      </c>
      <c r="B1121" t="s">
        <v>3332</v>
      </c>
      <c r="C1121" t="s">
        <v>69</v>
      </c>
      <c r="D1121" s="1">
        <v>44974</v>
      </c>
      <c r="E1121" t="s">
        <v>3333</v>
      </c>
      <c r="F1121" t="s">
        <v>13</v>
      </c>
      <c r="G1121" t="s">
        <v>14</v>
      </c>
      <c r="H1121" t="s">
        <v>15</v>
      </c>
    </row>
    <row r="1122" spans="1:9" x14ac:dyDescent="0.3">
      <c r="A1122" t="s">
        <v>3334</v>
      </c>
      <c r="B1122" t="s">
        <v>3335</v>
      </c>
      <c r="C1122" t="s">
        <v>54</v>
      </c>
      <c r="D1122" s="1">
        <v>44975</v>
      </c>
      <c r="E1122" t="s">
        <v>3336</v>
      </c>
      <c r="F1122" t="s">
        <v>13</v>
      </c>
      <c r="G1122" t="s">
        <v>14</v>
      </c>
      <c r="H1122" t="s">
        <v>15</v>
      </c>
      <c r="I1122" t="s">
        <v>181</v>
      </c>
    </row>
    <row r="1123" spans="1:9" x14ac:dyDescent="0.3">
      <c r="A1123" t="s">
        <v>3337</v>
      </c>
      <c r="B1123" t="s">
        <v>3338</v>
      </c>
      <c r="C1123" t="s">
        <v>24</v>
      </c>
      <c r="D1123" s="1">
        <v>44975</v>
      </c>
      <c r="E1123" t="s">
        <v>3339</v>
      </c>
      <c r="F1123" t="s">
        <v>13</v>
      </c>
      <c r="G1123" t="s">
        <v>14</v>
      </c>
      <c r="H1123" t="s">
        <v>15</v>
      </c>
      <c r="I1123" t="s">
        <v>59</v>
      </c>
    </row>
    <row r="1124" spans="1:9" x14ac:dyDescent="0.3">
      <c r="A1124" t="s">
        <v>3340</v>
      </c>
      <c r="B1124" t="s">
        <v>3341</v>
      </c>
      <c r="C1124" t="s">
        <v>29</v>
      </c>
      <c r="D1124" s="1">
        <v>44975</v>
      </c>
      <c r="E1124" t="s">
        <v>3342</v>
      </c>
      <c r="F1124" t="s">
        <v>13</v>
      </c>
      <c r="G1124" t="s">
        <v>14</v>
      </c>
      <c r="H1124" t="s">
        <v>15</v>
      </c>
      <c r="I1124" t="s">
        <v>204</v>
      </c>
    </row>
    <row r="1125" spans="1:9" x14ac:dyDescent="0.3">
      <c r="A1125" t="s">
        <v>3343</v>
      </c>
      <c r="B1125" t="s">
        <v>3344</v>
      </c>
      <c r="C1125" t="s">
        <v>11</v>
      </c>
      <c r="D1125" s="1">
        <v>44975</v>
      </c>
      <c r="E1125" t="s">
        <v>3345</v>
      </c>
      <c r="F1125" t="s">
        <v>13</v>
      </c>
      <c r="G1125" t="s">
        <v>14</v>
      </c>
      <c r="H1125" t="s">
        <v>15</v>
      </c>
      <c r="I1125" t="s">
        <v>38</v>
      </c>
    </row>
    <row r="1126" spans="1:9" x14ac:dyDescent="0.3">
      <c r="A1126" t="s">
        <v>3346</v>
      </c>
      <c r="B1126" t="s">
        <v>3347</v>
      </c>
      <c r="C1126" t="s">
        <v>33</v>
      </c>
      <c r="D1126" s="1">
        <v>44975</v>
      </c>
      <c r="E1126" t="s">
        <v>3348</v>
      </c>
      <c r="F1126" t="s">
        <v>13</v>
      </c>
      <c r="G1126" t="s">
        <v>14</v>
      </c>
      <c r="H1126" t="s">
        <v>15</v>
      </c>
      <c r="I1126" t="s">
        <v>94</v>
      </c>
    </row>
    <row r="1127" spans="1:9" x14ac:dyDescent="0.3">
      <c r="A1127" t="s">
        <v>3349</v>
      </c>
      <c r="B1127" t="s">
        <v>3350</v>
      </c>
      <c r="C1127" t="s">
        <v>24</v>
      </c>
      <c r="D1127" s="1">
        <v>44976</v>
      </c>
      <c r="E1127" t="s">
        <v>3351</v>
      </c>
      <c r="F1127" t="s">
        <v>13</v>
      </c>
      <c r="G1127" t="s">
        <v>14</v>
      </c>
      <c r="H1127" t="s">
        <v>15</v>
      </c>
      <c r="I1127" t="s">
        <v>63</v>
      </c>
    </row>
    <row r="1128" spans="1:9" x14ac:dyDescent="0.3">
      <c r="A1128" t="s">
        <v>3352</v>
      </c>
      <c r="B1128" t="s">
        <v>3353</v>
      </c>
      <c r="C1128" t="s">
        <v>11</v>
      </c>
      <c r="D1128" s="1">
        <v>44976</v>
      </c>
      <c r="E1128" t="s">
        <v>3354</v>
      </c>
      <c r="F1128" t="s">
        <v>13</v>
      </c>
      <c r="G1128" t="s">
        <v>14</v>
      </c>
      <c r="H1128" t="s">
        <v>15</v>
      </c>
      <c r="I1128" t="s">
        <v>185</v>
      </c>
    </row>
    <row r="1129" spans="1:9" x14ac:dyDescent="0.3">
      <c r="A1129" t="s">
        <v>3355</v>
      </c>
      <c r="B1129" t="s">
        <v>3356</v>
      </c>
      <c r="C1129" t="s">
        <v>24</v>
      </c>
      <c r="D1129" s="1">
        <v>44976</v>
      </c>
      <c r="E1129" t="s">
        <v>3357</v>
      </c>
      <c r="F1129" t="s">
        <v>13</v>
      </c>
      <c r="G1129" t="s">
        <v>14</v>
      </c>
      <c r="H1129" t="s">
        <v>15</v>
      </c>
      <c r="I1129" t="s">
        <v>63</v>
      </c>
    </row>
    <row r="1130" spans="1:9" x14ac:dyDescent="0.3">
      <c r="A1130" t="s">
        <v>3358</v>
      </c>
      <c r="B1130" t="s">
        <v>3359</v>
      </c>
      <c r="C1130" t="s">
        <v>11</v>
      </c>
      <c r="D1130" s="1">
        <v>44976</v>
      </c>
      <c r="E1130" t="s">
        <v>3360</v>
      </c>
      <c r="F1130" t="s">
        <v>13</v>
      </c>
      <c r="G1130" t="s">
        <v>14</v>
      </c>
      <c r="H1130" t="s">
        <v>15</v>
      </c>
      <c r="I1130" t="s">
        <v>38</v>
      </c>
    </row>
    <row r="1131" spans="1:9" x14ac:dyDescent="0.3">
      <c r="A1131" t="s">
        <v>3361</v>
      </c>
      <c r="B1131" t="s">
        <v>3362</v>
      </c>
      <c r="C1131" t="s">
        <v>11</v>
      </c>
      <c r="D1131" s="1">
        <v>44976</v>
      </c>
      <c r="E1131" t="s">
        <v>3363</v>
      </c>
      <c r="F1131" t="s">
        <v>13</v>
      </c>
      <c r="G1131" t="s">
        <v>14</v>
      </c>
      <c r="H1131" t="s">
        <v>15</v>
      </c>
    </row>
    <row r="1132" spans="1:9" x14ac:dyDescent="0.3">
      <c r="A1132" t="s">
        <v>3364</v>
      </c>
      <c r="B1132" t="s">
        <v>3365</v>
      </c>
      <c r="C1132" t="s">
        <v>11</v>
      </c>
      <c r="D1132" s="1">
        <v>44977</v>
      </c>
      <c r="E1132" t="s">
        <v>3366</v>
      </c>
      <c r="F1132" t="s">
        <v>13</v>
      </c>
      <c r="G1132" t="s">
        <v>14</v>
      </c>
      <c r="H1132" t="s">
        <v>15</v>
      </c>
      <c r="I1132" t="s">
        <v>16</v>
      </c>
    </row>
    <row r="1133" spans="1:9" x14ac:dyDescent="0.3">
      <c r="A1133" t="s">
        <v>3367</v>
      </c>
      <c r="B1133" t="s">
        <v>3368</v>
      </c>
      <c r="C1133" t="s">
        <v>11</v>
      </c>
      <c r="D1133" s="1">
        <v>44977</v>
      </c>
      <c r="E1133" t="s">
        <v>3369</v>
      </c>
      <c r="F1133" t="s">
        <v>13</v>
      </c>
      <c r="G1133" t="s">
        <v>14</v>
      </c>
      <c r="H1133" t="s">
        <v>15</v>
      </c>
      <c r="I1133" t="s">
        <v>16</v>
      </c>
    </row>
    <row r="1134" spans="1:9" x14ac:dyDescent="0.3">
      <c r="A1134" t="s">
        <v>3370</v>
      </c>
      <c r="B1134" t="s">
        <v>3371</v>
      </c>
      <c r="C1134" t="s">
        <v>19</v>
      </c>
      <c r="D1134" s="1">
        <v>44978</v>
      </c>
      <c r="E1134" t="s">
        <v>3372</v>
      </c>
      <c r="F1134" t="s">
        <v>13</v>
      </c>
      <c r="G1134" t="s">
        <v>14</v>
      </c>
      <c r="H1134" t="s">
        <v>15</v>
      </c>
      <c r="I1134" t="s">
        <v>21</v>
      </c>
    </row>
    <row r="1135" spans="1:9" x14ac:dyDescent="0.3">
      <c r="A1135" t="s">
        <v>3373</v>
      </c>
      <c r="B1135" t="s">
        <v>3374</v>
      </c>
      <c r="C1135" t="s">
        <v>19</v>
      </c>
      <c r="D1135" s="1">
        <v>44978</v>
      </c>
      <c r="E1135" t="s">
        <v>3375</v>
      </c>
      <c r="F1135" t="s">
        <v>13</v>
      </c>
      <c r="G1135" t="s">
        <v>14</v>
      </c>
      <c r="H1135" t="s">
        <v>15</v>
      </c>
    </row>
    <row r="1136" spans="1:9" x14ac:dyDescent="0.3">
      <c r="A1136" t="s">
        <v>3376</v>
      </c>
      <c r="B1136" t="s">
        <v>3377</v>
      </c>
      <c r="C1136" t="s">
        <v>24</v>
      </c>
      <c r="D1136" s="1">
        <v>44978</v>
      </c>
      <c r="E1136" t="s">
        <v>3378</v>
      </c>
      <c r="F1136" t="s">
        <v>13</v>
      </c>
      <c r="G1136" t="s">
        <v>14</v>
      </c>
      <c r="H1136" t="s">
        <v>15</v>
      </c>
      <c r="I1136" t="s">
        <v>26</v>
      </c>
    </row>
    <row r="1137" spans="1:9" x14ac:dyDescent="0.3">
      <c r="A1137" t="s">
        <v>3379</v>
      </c>
      <c r="B1137" t="s">
        <v>3380</v>
      </c>
      <c r="C1137" t="s">
        <v>19</v>
      </c>
      <c r="D1137" s="1">
        <v>44979</v>
      </c>
      <c r="E1137" t="s">
        <v>3381</v>
      </c>
      <c r="F1137" t="s">
        <v>13</v>
      </c>
      <c r="G1137" t="s">
        <v>14</v>
      </c>
      <c r="H1137" t="s">
        <v>15</v>
      </c>
      <c r="I1137" t="s">
        <v>21</v>
      </c>
    </row>
    <row r="1138" spans="1:9" x14ac:dyDescent="0.3">
      <c r="A1138" t="s">
        <v>3382</v>
      </c>
      <c r="B1138" t="s">
        <v>3383</v>
      </c>
      <c r="C1138" t="s">
        <v>29</v>
      </c>
      <c r="D1138" s="1">
        <v>44979</v>
      </c>
      <c r="E1138" t="s">
        <v>3384</v>
      </c>
      <c r="F1138" t="s">
        <v>13</v>
      </c>
      <c r="G1138" t="s">
        <v>14</v>
      </c>
      <c r="H1138" t="s">
        <v>15</v>
      </c>
      <c r="I1138" t="s">
        <v>42</v>
      </c>
    </row>
    <row r="1139" spans="1:9" x14ac:dyDescent="0.3">
      <c r="A1139" t="s">
        <v>3385</v>
      </c>
      <c r="B1139" t="s">
        <v>3386</v>
      </c>
      <c r="C1139" t="s">
        <v>45</v>
      </c>
      <c r="D1139" s="1">
        <v>44980</v>
      </c>
      <c r="E1139" t="s">
        <v>3387</v>
      </c>
      <c r="F1139" t="s">
        <v>13</v>
      </c>
      <c r="G1139" t="s">
        <v>14</v>
      </c>
      <c r="H1139" t="s">
        <v>15</v>
      </c>
      <c r="I1139" t="s">
        <v>248</v>
      </c>
    </row>
    <row r="1140" spans="1:9" x14ac:dyDescent="0.3">
      <c r="A1140" t="s">
        <v>3388</v>
      </c>
      <c r="B1140" t="s">
        <v>3389</v>
      </c>
      <c r="C1140" t="s">
        <v>33</v>
      </c>
      <c r="D1140" s="1">
        <v>44980</v>
      </c>
      <c r="E1140" t="s">
        <v>3390</v>
      </c>
      <c r="F1140" t="s">
        <v>13</v>
      </c>
      <c r="G1140" t="s">
        <v>14</v>
      </c>
      <c r="H1140" t="s">
        <v>15</v>
      </c>
      <c r="I1140" t="s">
        <v>51</v>
      </c>
    </row>
    <row r="1141" spans="1:9" x14ac:dyDescent="0.3">
      <c r="A1141" t="s">
        <v>3391</v>
      </c>
      <c r="B1141" t="s">
        <v>3392</v>
      </c>
      <c r="C1141" t="s">
        <v>54</v>
      </c>
      <c r="D1141" s="1">
        <v>44980</v>
      </c>
      <c r="E1141" t="s">
        <v>3393</v>
      </c>
      <c r="F1141" t="s">
        <v>13</v>
      </c>
      <c r="G1141" t="s">
        <v>14</v>
      </c>
      <c r="H1141" t="s">
        <v>15</v>
      </c>
      <c r="I1141" t="s">
        <v>181</v>
      </c>
    </row>
    <row r="1142" spans="1:9" x14ac:dyDescent="0.3">
      <c r="A1142" t="s">
        <v>3394</v>
      </c>
      <c r="B1142" t="s">
        <v>3395</v>
      </c>
      <c r="C1142" t="s">
        <v>24</v>
      </c>
      <c r="D1142" s="1">
        <v>44981</v>
      </c>
      <c r="E1142" t="s">
        <v>3396</v>
      </c>
      <c r="F1142" t="s">
        <v>13</v>
      </c>
      <c r="G1142" t="s">
        <v>14</v>
      </c>
      <c r="H1142" t="s">
        <v>15</v>
      </c>
      <c r="I1142" t="s">
        <v>26</v>
      </c>
    </row>
    <row r="1143" spans="1:9" x14ac:dyDescent="0.3">
      <c r="A1143" t="s">
        <v>3397</v>
      </c>
      <c r="B1143" t="s">
        <v>3398</v>
      </c>
      <c r="C1143" t="s">
        <v>33</v>
      </c>
      <c r="D1143" s="1">
        <v>44981</v>
      </c>
      <c r="E1143" t="s">
        <v>3399</v>
      </c>
      <c r="F1143" t="s">
        <v>13</v>
      </c>
      <c r="G1143" t="s">
        <v>14</v>
      </c>
      <c r="H1143" t="s">
        <v>15</v>
      </c>
    </row>
    <row r="1144" spans="1:9" x14ac:dyDescent="0.3">
      <c r="A1144" t="s">
        <v>3400</v>
      </c>
      <c r="B1144" t="s">
        <v>3401</v>
      </c>
      <c r="C1144" t="s">
        <v>69</v>
      </c>
      <c r="D1144" s="1">
        <v>44981</v>
      </c>
      <c r="E1144" t="s">
        <v>3402</v>
      </c>
      <c r="F1144" t="s">
        <v>13</v>
      </c>
      <c r="G1144" t="s">
        <v>14</v>
      </c>
      <c r="H1144" t="s">
        <v>15</v>
      </c>
      <c r="I1144" t="s">
        <v>71</v>
      </c>
    </row>
    <row r="1145" spans="1:9" x14ac:dyDescent="0.3">
      <c r="A1145" t="s">
        <v>3403</v>
      </c>
      <c r="B1145" t="s">
        <v>3404</v>
      </c>
      <c r="C1145" t="s">
        <v>45</v>
      </c>
      <c r="D1145" s="1">
        <v>44981</v>
      </c>
      <c r="E1145" t="s">
        <v>3405</v>
      </c>
      <c r="F1145" t="s">
        <v>13</v>
      </c>
      <c r="G1145" t="s">
        <v>14</v>
      </c>
      <c r="H1145" t="s">
        <v>15</v>
      </c>
    </row>
    <row r="1146" spans="1:9" x14ac:dyDescent="0.3">
      <c r="A1146" t="s">
        <v>3406</v>
      </c>
      <c r="B1146" t="s">
        <v>3407</v>
      </c>
      <c r="C1146" t="s">
        <v>45</v>
      </c>
      <c r="D1146" s="1">
        <v>44981</v>
      </c>
      <c r="E1146" t="s">
        <v>3408</v>
      </c>
      <c r="F1146" t="s">
        <v>13</v>
      </c>
      <c r="G1146" t="s">
        <v>14</v>
      </c>
      <c r="H1146" t="s">
        <v>15</v>
      </c>
      <c r="I1146" t="s">
        <v>248</v>
      </c>
    </row>
    <row r="1147" spans="1:9" x14ac:dyDescent="0.3">
      <c r="A1147" t="s">
        <v>3409</v>
      </c>
      <c r="B1147" t="s">
        <v>3410</v>
      </c>
      <c r="C1147" t="s">
        <v>11</v>
      </c>
      <c r="D1147" s="1">
        <v>44981</v>
      </c>
      <c r="E1147" t="s">
        <v>3411</v>
      </c>
      <c r="F1147" t="s">
        <v>13</v>
      </c>
      <c r="G1147" t="s">
        <v>14</v>
      </c>
      <c r="H1147" t="s">
        <v>15</v>
      </c>
    </row>
    <row r="1148" spans="1:9" x14ac:dyDescent="0.3">
      <c r="A1148" t="s">
        <v>3412</v>
      </c>
      <c r="B1148" t="s">
        <v>3413</v>
      </c>
      <c r="C1148" t="s">
        <v>29</v>
      </c>
      <c r="D1148" s="1">
        <v>44982</v>
      </c>
      <c r="E1148" t="s">
        <v>3414</v>
      </c>
      <c r="F1148" t="s">
        <v>13</v>
      </c>
      <c r="G1148" t="s">
        <v>14</v>
      </c>
      <c r="H1148" t="s">
        <v>15</v>
      </c>
      <c r="I1148" t="s">
        <v>81</v>
      </c>
    </row>
    <row r="1149" spans="1:9" x14ac:dyDescent="0.3">
      <c r="A1149" t="s">
        <v>3415</v>
      </c>
      <c r="B1149" t="s">
        <v>3416</v>
      </c>
      <c r="C1149" t="s">
        <v>29</v>
      </c>
      <c r="D1149" s="1">
        <v>44982</v>
      </c>
      <c r="E1149" t="s">
        <v>3417</v>
      </c>
      <c r="F1149" t="s">
        <v>13</v>
      </c>
      <c r="G1149" t="s">
        <v>14</v>
      </c>
      <c r="H1149" t="s">
        <v>15</v>
      </c>
      <c r="I1149" t="s">
        <v>204</v>
      </c>
    </row>
    <row r="1150" spans="1:9" x14ac:dyDescent="0.3">
      <c r="A1150" t="s">
        <v>3418</v>
      </c>
      <c r="B1150" t="s">
        <v>3419</v>
      </c>
      <c r="C1150" t="s">
        <v>69</v>
      </c>
      <c r="D1150" s="1">
        <v>44982</v>
      </c>
      <c r="E1150" t="s">
        <v>3420</v>
      </c>
      <c r="F1150" t="s">
        <v>13</v>
      </c>
      <c r="G1150" t="s">
        <v>14</v>
      </c>
      <c r="H1150" t="s">
        <v>15</v>
      </c>
      <c r="I1150" t="s">
        <v>71</v>
      </c>
    </row>
    <row r="1151" spans="1:9" x14ac:dyDescent="0.3">
      <c r="A1151" t="s">
        <v>3421</v>
      </c>
      <c r="B1151" t="s">
        <v>3422</v>
      </c>
      <c r="C1151" t="s">
        <v>11</v>
      </c>
      <c r="D1151" s="1">
        <v>44982</v>
      </c>
      <c r="E1151" t="s">
        <v>3423</v>
      </c>
      <c r="F1151" t="s">
        <v>13</v>
      </c>
      <c r="G1151" t="s">
        <v>14</v>
      </c>
      <c r="H1151" t="s">
        <v>15</v>
      </c>
      <c r="I1151" t="s">
        <v>38</v>
      </c>
    </row>
    <row r="1152" spans="1:9" x14ac:dyDescent="0.3">
      <c r="A1152" t="s">
        <v>3424</v>
      </c>
      <c r="B1152" t="s">
        <v>3425</v>
      </c>
      <c r="C1152" t="s">
        <v>33</v>
      </c>
      <c r="D1152" s="1">
        <v>44982</v>
      </c>
      <c r="E1152" t="s">
        <v>3426</v>
      </c>
      <c r="F1152" t="s">
        <v>13</v>
      </c>
      <c r="G1152" t="s">
        <v>14</v>
      </c>
      <c r="H1152" t="s">
        <v>15</v>
      </c>
      <c r="I1152" t="s">
        <v>94</v>
      </c>
    </row>
    <row r="1153" spans="1:9" x14ac:dyDescent="0.3">
      <c r="A1153" t="s">
        <v>3427</v>
      </c>
      <c r="B1153" t="s">
        <v>3428</v>
      </c>
      <c r="C1153" t="s">
        <v>33</v>
      </c>
      <c r="D1153" s="1">
        <v>44983</v>
      </c>
      <c r="E1153" t="s">
        <v>3429</v>
      </c>
      <c r="F1153" t="s">
        <v>13</v>
      </c>
      <c r="G1153" t="s">
        <v>14</v>
      </c>
      <c r="H1153" t="s">
        <v>15</v>
      </c>
      <c r="I1153" t="s">
        <v>51</v>
      </c>
    </row>
    <row r="1154" spans="1:9" x14ac:dyDescent="0.3">
      <c r="A1154" t="s">
        <v>3430</v>
      </c>
      <c r="B1154" t="s">
        <v>3431</v>
      </c>
      <c r="C1154" t="s">
        <v>19</v>
      </c>
      <c r="D1154" s="1">
        <v>44983</v>
      </c>
      <c r="E1154" t="s">
        <v>3432</v>
      </c>
      <c r="F1154" t="s">
        <v>13</v>
      </c>
      <c r="G1154" t="s">
        <v>14</v>
      </c>
      <c r="H1154" t="s">
        <v>15</v>
      </c>
      <c r="I1154" t="s">
        <v>21</v>
      </c>
    </row>
    <row r="1155" spans="1:9" x14ac:dyDescent="0.3">
      <c r="A1155" t="s">
        <v>3433</v>
      </c>
      <c r="B1155" t="s">
        <v>3434</v>
      </c>
      <c r="C1155" t="s">
        <v>24</v>
      </c>
      <c r="D1155" s="1">
        <v>44984</v>
      </c>
      <c r="E1155" t="s">
        <v>3435</v>
      </c>
      <c r="F1155" t="s">
        <v>13</v>
      </c>
      <c r="G1155" t="s">
        <v>14</v>
      </c>
      <c r="H1155" t="s">
        <v>15</v>
      </c>
    </row>
    <row r="1156" spans="1:9" x14ac:dyDescent="0.3">
      <c r="A1156" t="s">
        <v>3436</v>
      </c>
      <c r="B1156" t="s">
        <v>3437</v>
      </c>
      <c r="C1156" t="s">
        <v>11</v>
      </c>
      <c r="D1156" s="1">
        <v>44984</v>
      </c>
      <c r="E1156" t="s">
        <v>3438</v>
      </c>
      <c r="F1156" t="s">
        <v>13</v>
      </c>
      <c r="G1156" t="s">
        <v>14</v>
      </c>
      <c r="H1156" t="s">
        <v>15</v>
      </c>
      <c r="I1156" t="s">
        <v>16</v>
      </c>
    </row>
    <row r="1157" spans="1:9" x14ac:dyDescent="0.3">
      <c r="A1157" t="s">
        <v>3439</v>
      </c>
      <c r="B1157" t="s">
        <v>3440</v>
      </c>
      <c r="C1157" t="s">
        <v>45</v>
      </c>
      <c r="D1157" s="1">
        <v>44984</v>
      </c>
      <c r="E1157" t="s">
        <v>3441</v>
      </c>
      <c r="F1157" t="s">
        <v>13</v>
      </c>
      <c r="G1157" t="s">
        <v>14</v>
      </c>
      <c r="H1157" t="s">
        <v>15</v>
      </c>
      <c r="I1157" t="s">
        <v>47</v>
      </c>
    </row>
    <row r="1158" spans="1:9" x14ac:dyDescent="0.3">
      <c r="A1158" t="s">
        <v>3442</v>
      </c>
      <c r="B1158" t="s">
        <v>3443</v>
      </c>
      <c r="C1158" t="s">
        <v>54</v>
      </c>
      <c r="D1158" s="1">
        <v>44985</v>
      </c>
      <c r="E1158" t="s">
        <v>3444</v>
      </c>
      <c r="F1158" t="s">
        <v>13</v>
      </c>
      <c r="G1158" t="s">
        <v>14</v>
      </c>
      <c r="H1158" t="s">
        <v>15</v>
      </c>
      <c r="I1158" t="s">
        <v>181</v>
      </c>
    </row>
    <row r="1159" spans="1:9" x14ac:dyDescent="0.3">
      <c r="A1159" t="s">
        <v>3445</v>
      </c>
      <c r="B1159" t="s">
        <v>3446</v>
      </c>
      <c r="C1159" t="s">
        <v>24</v>
      </c>
      <c r="D1159" s="1">
        <v>44985</v>
      </c>
      <c r="E1159" t="s">
        <v>3447</v>
      </c>
      <c r="F1159" t="s">
        <v>13</v>
      </c>
      <c r="G1159" t="s">
        <v>14</v>
      </c>
      <c r="H1159" t="s">
        <v>15</v>
      </c>
      <c r="I1159" t="s">
        <v>63</v>
      </c>
    </row>
    <row r="1160" spans="1:9" x14ac:dyDescent="0.3">
      <c r="A1160" t="s">
        <v>3448</v>
      </c>
      <c r="B1160" t="s">
        <v>3449</v>
      </c>
      <c r="C1160" t="s">
        <v>45</v>
      </c>
      <c r="D1160" s="1">
        <v>44985</v>
      </c>
      <c r="E1160" t="s">
        <v>3450</v>
      </c>
      <c r="F1160" t="s">
        <v>13</v>
      </c>
      <c r="G1160" t="s">
        <v>14</v>
      </c>
      <c r="H1160" t="s">
        <v>15</v>
      </c>
      <c r="I1160" t="s">
        <v>47</v>
      </c>
    </row>
    <row r="1161" spans="1:9" x14ac:dyDescent="0.3">
      <c r="A1161" t="s">
        <v>3451</v>
      </c>
      <c r="B1161" t="s">
        <v>3452</v>
      </c>
      <c r="C1161" t="s">
        <v>69</v>
      </c>
      <c r="D1161" s="1">
        <v>44986</v>
      </c>
      <c r="E1161" t="s">
        <v>3453</v>
      </c>
      <c r="F1161" t="s">
        <v>13</v>
      </c>
      <c r="G1161" t="s">
        <v>14</v>
      </c>
      <c r="H1161" t="s">
        <v>15</v>
      </c>
      <c r="I1161" t="s">
        <v>71</v>
      </c>
    </row>
    <row r="1162" spans="1:9" x14ac:dyDescent="0.3">
      <c r="A1162" t="s">
        <v>3454</v>
      </c>
      <c r="B1162" t="s">
        <v>3455</v>
      </c>
      <c r="C1162" t="s">
        <v>33</v>
      </c>
      <c r="D1162" s="1">
        <v>44986</v>
      </c>
      <c r="E1162" t="s">
        <v>3456</v>
      </c>
      <c r="F1162" t="s">
        <v>13</v>
      </c>
      <c r="G1162" t="s">
        <v>14</v>
      </c>
      <c r="H1162" t="s">
        <v>15</v>
      </c>
      <c r="I1162" t="s">
        <v>94</v>
      </c>
    </row>
    <row r="1163" spans="1:9" x14ac:dyDescent="0.3">
      <c r="A1163" t="s">
        <v>3457</v>
      </c>
      <c r="B1163" t="s">
        <v>3458</v>
      </c>
      <c r="C1163" t="s">
        <v>69</v>
      </c>
      <c r="D1163" s="1">
        <v>44986</v>
      </c>
      <c r="E1163" t="s">
        <v>3459</v>
      </c>
      <c r="F1163" t="s">
        <v>13</v>
      </c>
      <c r="G1163" t="s">
        <v>14</v>
      </c>
      <c r="H1163" t="s">
        <v>15</v>
      </c>
    </row>
    <row r="1164" spans="1:9" x14ac:dyDescent="0.3">
      <c r="A1164" t="s">
        <v>3460</v>
      </c>
      <c r="B1164" t="s">
        <v>3461</v>
      </c>
      <c r="C1164" t="s">
        <v>19</v>
      </c>
      <c r="D1164" s="1">
        <v>44986</v>
      </c>
      <c r="E1164" t="s">
        <v>3462</v>
      </c>
      <c r="F1164" t="s">
        <v>13</v>
      </c>
      <c r="G1164" t="s">
        <v>14</v>
      </c>
      <c r="H1164" t="s">
        <v>15</v>
      </c>
      <c r="I1164" t="s">
        <v>21</v>
      </c>
    </row>
    <row r="1165" spans="1:9" x14ac:dyDescent="0.3">
      <c r="A1165" t="s">
        <v>3463</v>
      </c>
      <c r="B1165" t="s">
        <v>3464</v>
      </c>
      <c r="C1165" t="s">
        <v>69</v>
      </c>
      <c r="D1165" s="1">
        <v>44987</v>
      </c>
      <c r="E1165" t="s">
        <v>3465</v>
      </c>
      <c r="F1165" t="s">
        <v>13</v>
      </c>
      <c r="G1165" t="s">
        <v>14</v>
      </c>
      <c r="H1165" t="s">
        <v>15</v>
      </c>
      <c r="I1165" t="s">
        <v>71</v>
      </c>
    </row>
    <row r="1166" spans="1:9" x14ac:dyDescent="0.3">
      <c r="A1166" t="s">
        <v>3466</v>
      </c>
      <c r="B1166" t="s">
        <v>3467</v>
      </c>
      <c r="C1166" t="s">
        <v>45</v>
      </c>
      <c r="D1166" s="1">
        <v>44987</v>
      </c>
      <c r="E1166" t="s">
        <v>3468</v>
      </c>
      <c r="F1166" t="s">
        <v>13</v>
      </c>
      <c r="G1166" t="s">
        <v>14</v>
      </c>
      <c r="H1166" t="s">
        <v>15</v>
      </c>
      <c r="I1166" t="s">
        <v>248</v>
      </c>
    </row>
    <row r="1167" spans="1:9" x14ac:dyDescent="0.3">
      <c r="A1167" t="s">
        <v>3469</v>
      </c>
      <c r="B1167" t="s">
        <v>3470</v>
      </c>
      <c r="C1167" t="s">
        <v>45</v>
      </c>
      <c r="D1167" s="1">
        <v>44987</v>
      </c>
      <c r="E1167" t="s">
        <v>3471</v>
      </c>
      <c r="F1167" t="s">
        <v>13</v>
      </c>
      <c r="G1167" t="s">
        <v>14</v>
      </c>
      <c r="H1167" t="s">
        <v>15</v>
      </c>
      <c r="I1167" t="s">
        <v>47</v>
      </c>
    </row>
    <row r="1168" spans="1:9" x14ac:dyDescent="0.3">
      <c r="A1168" t="s">
        <v>3472</v>
      </c>
      <c r="B1168" t="s">
        <v>3473</v>
      </c>
      <c r="C1168" t="s">
        <v>11</v>
      </c>
      <c r="D1168" s="1">
        <v>44987</v>
      </c>
      <c r="E1168" t="s">
        <v>3474</v>
      </c>
      <c r="F1168" t="s">
        <v>13</v>
      </c>
      <c r="G1168" t="s">
        <v>14</v>
      </c>
      <c r="H1168" t="s">
        <v>15</v>
      </c>
      <c r="I1168" t="s">
        <v>185</v>
      </c>
    </row>
    <row r="1169" spans="1:9" x14ac:dyDescent="0.3">
      <c r="A1169" t="s">
        <v>3475</v>
      </c>
      <c r="B1169" t="s">
        <v>3476</v>
      </c>
      <c r="C1169" t="s">
        <v>45</v>
      </c>
      <c r="D1169" s="1">
        <v>44987</v>
      </c>
      <c r="E1169" t="s">
        <v>3477</v>
      </c>
      <c r="F1169" t="s">
        <v>13</v>
      </c>
      <c r="G1169" t="s">
        <v>14</v>
      </c>
      <c r="H1169" t="s">
        <v>15</v>
      </c>
      <c r="I1169" t="s">
        <v>47</v>
      </c>
    </row>
    <row r="1170" spans="1:9" x14ac:dyDescent="0.3">
      <c r="A1170" t="s">
        <v>3478</v>
      </c>
      <c r="B1170" t="s">
        <v>3479</v>
      </c>
      <c r="C1170" t="s">
        <v>33</v>
      </c>
      <c r="D1170" s="1">
        <v>44988</v>
      </c>
      <c r="E1170" t="s">
        <v>3480</v>
      </c>
      <c r="F1170" t="s">
        <v>13</v>
      </c>
      <c r="G1170" t="s">
        <v>14</v>
      </c>
      <c r="H1170" t="s">
        <v>15</v>
      </c>
    </row>
    <row r="1171" spans="1:9" x14ac:dyDescent="0.3">
      <c r="A1171" t="s">
        <v>3481</v>
      </c>
      <c r="B1171" t="s">
        <v>3482</v>
      </c>
      <c r="C1171" t="s">
        <v>29</v>
      </c>
      <c r="D1171" s="1">
        <v>44988</v>
      </c>
      <c r="E1171" t="s">
        <v>3483</v>
      </c>
      <c r="F1171" t="s">
        <v>13</v>
      </c>
      <c r="G1171" t="s">
        <v>14</v>
      </c>
      <c r="H1171" t="s">
        <v>15</v>
      </c>
      <c r="I1171" t="s">
        <v>204</v>
      </c>
    </row>
    <row r="1172" spans="1:9" x14ac:dyDescent="0.3">
      <c r="A1172" t="s">
        <v>3484</v>
      </c>
      <c r="B1172" t="s">
        <v>3485</v>
      </c>
      <c r="C1172" t="s">
        <v>11</v>
      </c>
      <c r="D1172" s="1">
        <v>44988</v>
      </c>
      <c r="E1172" t="s">
        <v>3486</v>
      </c>
      <c r="F1172" t="s">
        <v>13</v>
      </c>
      <c r="G1172" t="s">
        <v>174</v>
      </c>
      <c r="H1172" t="s">
        <v>15</v>
      </c>
    </row>
    <row r="1173" spans="1:9" x14ac:dyDescent="0.3">
      <c r="A1173" t="s">
        <v>3487</v>
      </c>
      <c r="B1173" t="s">
        <v>3488</v>
      </c>
      <c r="C1173" t="s">
        <v>54</v>
      </c>
      <c r="D1173" s="1">
        <v>44988</v>
      </c>
      <c r="E1173" t="s">
        <v>3489</v>
      </c>
      <c r="F1173" t="s">
        <v>13</v>
      </c>
      <c r="G1173" t="s">
        <v>14</v>
      </c>
      <c r="H1173" t="s">
        <v>15</v>
      </c>
      <c r="I1173" t="s">
        <v>238</v>
      </c>
    </row>
    <row r="1174" spans="1:9" x14ac:dyDescent="0.3">
      <c r="A1174" t="s">
        <v>3490</v>
      </c>
      <c r="B1174" t="s">
        <v>3491</v>
      </c>
      <c r="C1174" t="s">
        <v>33</v>
      </c>
      <c r="D1174" s="1">
        <v>44988</v>
      </c>
      <c r="E1174" t="s">
        <v>3492</v>
      </c>
      <c r="F1174" t="s">
        <v>13</v>
      </c>
      <c r="G1174" t="s">
        <v>14</v>
      </c>
      <c r="H1174" t="s">
        <v>15</v>
      </c>
      <c r="I1174" t="s">
        <v>51</v>
      </c>
    </row>
    <row r="1175" spans="1:9" x14ac:dyDescent="0.3">
      <c r="A1175" t="s">
        <v>3493</v>
      </c>
      <c r="B1175" t="s">
        <v>3494</v>
      </c>
      <c r="C1175" t="s">
        <v>11</v>
      </c>
      <c r="D1175" s="1">
        <v>44989</v>
      </c>
      <c r="E1175" t="s">
        <v>3495</v>
      </c>
      <c r="F1175" t="s">
        <v>13</v>
      </c>
      <c r="G1175" t="s">
        <v>174</v>
      </c>
      <c r="H1175" t="s">
        <v>15</v>
      </c>
      <c r="I1175" t="s">
        <v>185</v>
      </c>
    </row>
    <row r="1176" spans="1:9" x14ac:dyDescent="0.3">
      <c r="A1176" t="s">
        <v>3496</v>
      </c>
      <c r="B1176" t="s">
        <v>3497</v>
      </c>
      <c r="C1176" t="s">
        <v>69</v>
      </c>
      <c r="D1176" s="1">
        <v>44989</v>
      </c>
      <c r="E1176" t="s">
        <v>3498</v>
      </c>
      <c r="F1176" t="s">
        <v>13</v>
      </c>
      <c r="G1176" t="s">
        <v>14</v>
      </c>
      <c r="H1176" t="s">
        <v>15</v>
      </c>
      <c r="I1176" t="s">
        <v>71</v>
      </c>
    </row>
    <row r="1177" spans="1:9" x14ac:dyDescent="0.3">
      <c r="A1177" t="s">
        <v>3499</v>
      </c>
      <c r="B1177" t="s">
        <v>3500</v>
      </c>
      <c r="C1177" t="s">
        <v>11</v>
      </c>
      <c r="D1177" s="1">
        <v>44989</v>
      </c>
      <c r="E1177" t="s">
        <v>3501</v>
      </c>
      <c r="F1177" t="s">
        <v>13</v>
      </c>
      <c r="G1177" t="s">
        <v>14</v>
      </c>
      <c r="H1177" t="s">
        <v>15</v>
      </c>
      <c r="I1177" t="s">
        <v>38</v>
      </c>
    </row>
    <row r="1178" spans="1:9" x14ac:dyDescent="0.3">
      <c r="A1178" t="s">
        <v>3502</v>
      </c>
      <c r="B1178" t="s">
        <v>3503</v>
      </c>
      <c r="C1178" t="s">
        <v>19</v>
      </c>
      <c r="D1178" s="1">
        <v>44990</v>
      </c>
      <c r="E1178" t="s">
        <v>3504</v>
      </c>
      <c r="F1178" t="s">
        <v>13</v>
      </c>
      <c r="G1178" t="s">
        <v>14</v>
      </c>
      <c r="H1178" t="s">
        <v>15</v>
      </c>
      <c r="I1178" t="s">
        <v>116</v>
      </c>
    </row>
    <row r="1179" spans="1:9" x14ac:dyDescent="0.3">
      <c r="A1179" t="s">
        <v>3292</v>
      </c>
      <c r="B1179" t="s">
        <v>3505</v>
      </c>
      <c r="C1179" t="s">
        <v>19</v>
      </c>
      <c r="D1179" s="1">
        <v>44990</v>
      </c>
      <c r="E1179" t="s">
        <v>3506</v>
      </c>
      <c r="F1179" t="s">
        <v>13</v>
      </c>
      <c r="G1179" t="s">
        <v>14</v>
      </c>
      <c r="H1179" t="s">
        <v>15</v>
      </c>
      <c r="I1179" t="s">
        <v>116</v>
      </c>
    </row>
    <row r="1180" spans="1:9" x14ac:dyDescent="0.3">
      <c r="A1180" t="s">
        <v>3507</v>
      </c>
      <c r="B1180" t="s">
        <v>3508</v>
      </c>
      <c r="C1180" t="s">
        <v>45</v>
      </c>
      <c r="D1180" s="1">
        <v>44990</v>
      </c>
      <c r="E1180" t="s">
        <v>3509</v>
      </c>
      <c r="F1180" t="s">
        <v>13</v>
      </c>
      <c r="G1180" t="s">
        <v>14</v>
      </c>
      <c r="H1180" t="s">
        <v>15</v>
      </c>
      <c r="I1180" t="s">
        <v>47</v>
      </c>
    </row>
    <row r="1181" spans="1:9" x14ac:dyDescent="0.3">
      <c r="A1181" t="s">
        <v>3460</v>
      </c>
      <c r="B1181" t="s">
        <v>3510</v>
      </c>
      <c r="C1181" t="s">
        <v>19</v>
      </c>
      <c r="D1181" s="1">
        <v>44991</v>
      </c>
      <c r="E1181" t="s">
        <v>3511</v>
      </c>
      <c r="F1181" t="s">
        <v>13</v>
      </c>
      <c r="G1181" t="s">
        <v>14</v>
      </c>
      <c r="H1181" t="s">
        <v>15</v>
      </c>
      <c r="I1181" t="s">
        <v>116</v>
      </c>
    </row>
    <row r="1182" spans="1:9" x14ac:dyDescent="0.3">
      <c r="A1182" t="s">
        <v>3512</v>
      </c>
      <c r="B1182" t="s">
        <v>3513</v>
      </c>
      <c r="C1182" t="s">
        <v>24</v>
      </c>
      <c r="D1182" s="1">
        <v>44993</v>
      </c>
      <c r="E1182" t="s">
        <v>3514</v>
      </c>
      <c r="F1182" t="s">
        <v>13</v>
      </c>
      <c r="G1182" t="s">
        <v>174</v>
      </c>
      <c r="H1182" t="s">
        <v>15</v>
      </c>
      <c r="I1182" t="s">
        <v>63</v>
      </c>
    </row>
    <row r="1183" spans="1:9" x14ac:dyDescent="0.3">
      <c r="A1183" t="s">
        <v>3515</v>
      </c>
      <c r="B1183" t="s">
        <v>3516</v>
      </c>
      <c r="C1183" t="s">
        <v>69</v>
      </c>
      <c r="D1183" s="1">
        <v>44993</v>
      </c>
      <c r="E1183" t="s">
        <v>3517</v>
      </c>
      <c r="F1183" t="s">
        <v>13</v>
      </c>
      <c r="G1183" t="s">
        <v>14</v>
      </c>
      <c r="H1183" t="s">
        <v>15</v>
      </c>
      <c r="I1183" t="s">
        <v>71</v>
      </c>
    </row>
    <row r="1184" spans="1:9" x14ac:dyDescent="0.3">
      <c r="A1184" t="s">
        <v>3518</v>
      </c>
      <c r="B1184" t="s">
        <v>3519</v>
      </c>
      <c r="C1184" t="s">
        <v>19</v>
      </c>
      <c r="D1184" s="1">
        <v>44993</v>
      </c>
      <c r="E1184" t="s">
        <v>3520</v>
      </c>
      <c r="F1184" t="s">
        <v>13</v>
      </c>
      <c r="G1184" t="s">
        <v>14</v>
      </c>
      <c r="H1184" t="s">
        <v>15</v>
      </c>
      <c r="I1184" t="s">
        <v>116</v>
      </c>
    </row>
    <row r="1185" spans="1:9" x14ac:dyDescent="0.3">
      <c r="A1185" t="s">
        <v>3521</v>
      </c>
      <c r="B1185" t="s">
        <v>3522</v>
      </c>
      <c r="C1185" t="s">
        <v>33</v>
      </c>
      <c r="D1185" s="1">
        <v>44993</v>
      </c>
      <c r="E1185" t="s">
        <v>3523</v>
      </c>
      <c r="F1185" t="s">
        <v>13</v>
      </c>
      <c r="G1185" t="s">
        <v>14</v>
      </c>
      <c r="H1185" t="s">
        <v>15</v>
      </c>
      <c r="I1185" t="s">
        <v>51</v>
      </c>
    </row>
    <row r="1186" spans="1:9" x14ac:dyDescent="0.3">
      <c r="A1186" t="s">
        <v>3524</v>
      </c>
      <c r="B1186" t="s">
        <v>3525</v>
      </c>
      <c r="C1186" t="s">
        <v>69</v>
      </c>
      <c r="D1186" s="1">
        <v>44993</v>
      </c>
      <c r="E1186" t="s">
        <v>3526</v>
      </c>
      <c r="F1186" t="s">
        <v>13</v>
      </c>
      <c r="G1186" t="s">
        <v>14</v>
      </c>
      <c r="H1186" t="s">
        <v>15</v>
      </c>
      <c r="I1186" t="s">
        <v>71</v>
      </c>
    </row>
    <row r="1187" spans="1:9" x14ac:dyDescent="0.3">
      <c r="A1187" t="s">
        <v>3527</v>
      </c>
      <c r="B1187" t="s">
        <v>3528</v>
      </c>
      <c r="C1187" t="s">
        <v>24</v>
      </c>
      <c r="D1187" s="1">
        <v>44993</v>
      </c>
      <c r="E1187" t="s">
        <v>3529</v>
      </c>
      <c r="F1187" t="s">
        <v>13</v>
      </c>
      <c r="G1187" t="s">
        <v>14</v>
      </c>
      <c r="H1187" t="s">
        <v>15</v>
      </c>
    </row>
    <row r="1188" spans="1:9" x14ac:dyDescent="0.3">
      <c r="A1188" t="s">
        <v>3530</v>
      </c>
      <c r="B1188" t="s">
        <v>3531</v>
      </c>
      <c r="C1188" t="s">
        <v>69</v>
      </c>
      <c r="D1188" s="1">
        <v>44993</v>
      </c>
      <c r="E1188" t="s">
        <v>3532</v>
      </c>
      <c r="F1188" t="s">
        <v>13</v>
      </c>
      <c r="G1188" t="s">
        <v>14</v>
      </c>
      <c r="H1188" t="s">
        <v>15</v>
      </c>
      <c r="I1188" t="s">
        <v>71</v>
      </c>
    </row>
    <row r="1189" spans="1:9" x14ac:dyDescent="0.3">
      <c r="A1189" t="s">
        <v>3533</v>
      </c>
      <c r="B1189" t="s">
        <v>3534</v>
      </c>
      <c r="C1189" t="s">
        <v>24</v>
      </c>
      <c r="D1189" s="1">
        <v>44994</v>
      </c>
      <c r="E1189" t="s">
        <v>3535</v>
      </c>
      <c r="F1189" t="s">
        <v>13</v>
      </c>
      <c r="G1189" t="s">
        <v>174</v>
      </c>
      <c r="H1189" t="s">
        <v>15</v>
      </c>
    </row>
    <row r="1190" spans="1:9" x14ac:dyDescent="0.3">
      <c r="A1190" t="s">
        <v>3536</v>
      </c>
      <c r="B1190" t="s">
        <v>3537</v>
      </c>
      <c r="C1190" t="s">
        <v>69</v>
      </c>
      <c r="D1190" s="1">
        <v>44994</v>
      </c>
      <c r="E1190" t="s">
        <v>3538</v>
      </c>
      <c r="F1190" t="s">
        <v>13</v>
      </c>
      <c r="G1190" t="s">
        <v>14</v>
      </c>
      <c r="H1190" t="s">
        <v>15</v>
      </c>
      <c r="I1190" t="s">
        <v>71</v>
      </c>
    </row>
    <row r="1191" spans="1:9" x14ac:dyDescent="0.3">
      <c r="A1191" t="s">
        <v>3539</v>
      </c>
      <c r="B1191" t="s">
        <v>3540</v>
      </c>
      <c r="C1191" t="s">
        <v>19</v>
      </c>
      <c r="D1191" s="1">
        <v>44994</v>
      </c>
      <c r="E1191" t="s">
        <v>3541</v>
      </c>
      <c r="F1191" t="s">
        <v>13</v>
      </c>
      <c r="G1191" t="s">
        <v>14</v>
      </c>
      <c r="H1191" t="s">
        <v>15</v>
      </c>
      <c r="I1191" t="s">
        <v>21</v>
      </c>
    </row>
    <row r="1192" spans="1:9" x14ac:dyDescent="0.3">
      <c r="A1192" t="s">
        <v>3542</v>
      </c>
      <c r="B1192" t="s">
        <v>3543</v>
      </c>
      <c r="C1192" t="s">
        <v>33</v>
      </c>
      <c r="D1192" s="1">
        <v>44994</v>
      </c>
      <c r="E1192" t="s">
        <v>3544</v>
      </c>
      <c r="F1192" t="s">
        <v>13</v>
      </c>
      <c r="G1192" t="s">
        <v>14</v>
      </c>
      <c r="H1192" t="s">
        <v>15</v>
      </c>
      <c r="I1192" t="s">
        <v>51</v>
      </c>
    </row>
    <row r="1193" spans="1:9" x14ac:dyDescent="0.3">
      <c r="A1193" t="s">
        <v>3545</v>
      </c>
      <c r="B1193" t="s">
        <v>3546</v>
      </c>
      <c r="C1193" t="s">
        <v>33</v>
      </c>
      <c r="D1193" s="1">
        <v>44995</v>
      </c>
      <c r="E1193" t="s">
        <v>3547</v>
      </c>
      <c r="F1193" t="s">
        <v>13</v>
      </c>
      <c r="G1193" t="s">
        <v>14</v>
      </c>
      <c r="H1193" t="s">
        <v>15</v>
      </c>
      <c r="I1193" t="s">
        <v>51</v>
      </c>
    </row>
    <row r="1194" spans="1:9" x14ac:dyDescent="0.3">
      <c r="A1194" t="s">
        <v>3548</v>
      </c>
      <c r="B1194" t="s">
        <v>3549</v>
      </c>
      <c r="C1194" t="s">
        <v>24</v>
      </c>
      <c r="D1194" s="1">
        <v>44995</v>
      </c>
      <c r="E1194" t="s">
        <v>3550</v>
      </c>
      <c r="F1194" t="s">
        <v>13</v>
      </c>
      <c r="G1194" t="s">
        <v>174</v>
      </c>
      <c r="H1194" t="s">
        <v>15</v>
      </c>
      <c r="I1194" t="s">
        <v>63</v>
      </c>
    </row>
    <row r="1195" spans="1:9" x14ac:dyDescent="0.3">
      <c r="A1195" t="s">
        <v>3551</v>
      </c>
      <c r="B1195" t="s">
        <v>3552</v>
      </c>
      <c r="C1195" t="s">
        <v>45</v>
      </c>
      <c r="D1195" s="1">
        <v>44996</v>
      </c>
      <c r="E1195" t="s">
        <v>3553</v>
      </c>
      <c r="F1195" t="s">
        <v>13</v>
      </c>
      <c r="G1195" t="s">
        <v>14</v>
      </c>
      <c r="H1195" t="s">
        <v>15</v>
      </c>
      <c r="I1195" t="s">
        <v>248</v>
      </c>
    </row>
    <row r="1196" spans="1:9" x14ac:dyDescent="0.3">
      <c r="A1196" t="s">
        <v>3539</v>
      </c>
      <c r="B1196" t="s">
        <v>3554</v>
      </c>
      <c r="C1196" t="s">
        <v>19</v>
      </c>
      <c r="D1196" s="1">
        <v>44996</v>
      </c>
      <c r="E1196" t="s">
        <v>3555</v>
      </c>
      <c r="F1196" t="s">
        <v>13</v>
      </c>
      <c r="G1196" t="s">
        <v>14</v>
      </c>
      <c r="H1196" t="s">
        <v>15</v>
      </c>
      <c r="I1196" t="s">
        <v>21</v>
      </c>
    </row>
    <row r="1197" spans="1:9" x14ac:dyDescent="0.3">
      <c r="A1197" t="s">
        <v>3556</v>
      </c>
      <c r="B1197" t="s">
        <v>3557</v>
      </c>
      <c r="C1197" t="s">
        <v>19</v>
      </c>
      <c r="D1197" s="1">
        <v>44997</v>
      </c>
      <c r="E1197" t="s">
        <v>3558</v>
      </c>
      <c r="F1197" t="s">
        <v>13</v>
      </c>
      <c r="G1197" t="s">
        <v>14</v>
      </c>
      <c r="H1197" t="s">
        <v>15</v>
      </c>
      <c r="I1197" t="s">
        <v>116</v>
      </c>
    </row>
    <row r="1198" spans="1:9" x14ac:dyDescent="0.3">
      <c r="A1198" t="s">
        <v>3559</v>
      </c>
      <c r="B1198" t="s">
        <v>3560</v>
      </c>
      <c r="C1198" t="s">
        <v>54</v>
      </c>
      <c r="D1198" s="1">
        <v>44998</v>
      </c>
      <c r="E1198" t="s">
        <v>3561</v>
      </c>
      <c r="F1198" t="s">
        <v>13</v>
      </c>
      <c r="G1198" t="s">
        <v>14</v>
      </c>
      <c r="H1198" t="s">
        <v>15</v>
      </c>
    </row>
    <row r="1199" spans="1:9" x14ac:dyDescent="0.3">
      <c r="A1199" t="s">
        <v>3562</v>
      </c>
      <c r="B1199" t="s">
        <v>3563</v>
      </c>
      <c r="C1199" t="s">
        <v>24</v>
      </c>
      <c r="D1199" s="1">
        <v>44998</v>
      </c>
      <c r="E1199" t="s">
        <v>3564</v>
      </c>
      <c r="F1199" t="s">
        <v>13</v>
      </c>
      <c r="G1199" t="s">
        <v>14</v>
      </c>
      <c r="H1199" t="s">
        <v>15</v>
      </c>
      <c r="I1199" t="s">
        <v>63</v>
      </c>
    </row>
    <row r="1200" spans="1:9" x14ac:dyDescent="0.3">
      <c r="A1200" t="s">
        <v>3565</v>
      </c>
      <c r="B1200" t="s">
        <v>3566</v>
      </c>
      <c r="C1200" t="s">
        <v>33</v>
      </c>
      <c r="D1200" s="1">
        <v>44999</v>
      </c>
      <c r="E1200" t="s">
        <v>3567</v>
      </c>
      <c r="F1200" t="s">
        <v>13</v>
      </c>
      <c r="G1200" t="s">
        <v>14</v>
      </c>
      <c r="H1200" t="s">
        <v>15</v>
      </c>
      <c r="I1200" t="s">
        <v>94</v>
      </c>
    </row>
    <row r="1201" spans="1:9" x14ac:dyDescent="0.3">
      <c r="A1201" t="s">
        <v>3568</v>
      </c>
      <c r="B1201" t="s">
        <v>3569</v>
      </c>
      <c r="C1201" t="s">
        <v>11</v>
      </c>
      <c r="D1201" s="1">
        <v>44999</v>
      </c>
      <c r="E1201" t="s">
        <v>3570</v>
      </c>
      <c r="F1201" t="s">
        <v>13</v>
      </c>
      <c r="G1201" t="s">
        <v>14</v>
      </c>
      <c r="H1201" t="s">
        <v>15</v>
      </c>
      <c r="I1201" t="s">
        <v>38</v>
      </c>
    </row>
    <row r="1202" spans="1:9" x14ac:dyDescent="0.3">
      <c r="A1202" t="s">
        <v>3571</v>
      </c>
      <c r="B1202" t="s">
        <v>3572</v>
      </c>
      <c r="C1202" t="s">
        <v>29</v>
      </c>
      <c r="D1202" s="1">
        <v>45000</v>
      </c>
      <c r="E1202" t="s">
        <v>3573</v>
      </c>
      <c r="F1202" t="s">
        <v>13</v>
      </c>
      <c r="G1202" t="s">
        <v>14</v>
      </c>
      <c r="H1202" t="s">
        <v>15</v>
      </c>
    </row>
    <row r="1203" spans="1:9" x14ac:dyDescent="0.3">
      <c r="A1203" t="s">
        <v>3574</v>
      </c>
      <c r="B1203" t="s">
        <v>3575</v>
      </c>
      <c r="C1203" t="s">
        <v>33</v>
      </c>
      <c r="D1203" s="1">
        <v>45000</v>
      </c>
      <c r="E1203" t="s">
        <v>3576</v>
      </c>
      <c r="F1203" t="s">
        <v>13</v>
      </c>
      <c r="G1203" t="s">
        <v>14</v>
      </c>
      <c r="H1203" t="s">
        <v>15</v>
      </c>
    </row>
    <row r="1204" spans="1:9" x14ac:dyDescent="0.3">
      <c r="A1204" t="s">
        <v>3577</v>
      </c>
      <c r="B1204" t="s">
        <v>3578</v>
      </c>
      <c r="C1204" t="s">
        <v>33</v>
      </c>
      <c r="D1204" s="1">
        <v>45001</v>
      </c>
      <c r="E1204" t="s">
        <v>3579</v>
      </c>
      <c r="F1204" t="s">
        <v>13</v>
      </c>
      <c r="G1204" t="s">
        <v>14</v>
      </c>
      <c r="H1204" t="s">
        <v>15</v>
      </c>
    </row>
    <row r="1205" spans="1:9" x14ac:dyDescent="0.3">
      <c r="A1205" t="s">
        <v>3580</v>
      </c>
      <c r="B1205" t="s">
        <v>3581</v>
      </c>
      <c r="C1205" t="s">
        <v>19</v>
      </c>
      <c r="D1205" s="1">
        <v>45001</v>
      </c>
      <c r="E1205" t="s">
        <v>3582</v>
      </c>
      <c r="F1205" t="s">
        <v>13</v>
      </c>
      <c r="G1205" t="s">
        <v>14</v>
      </c>
      <c r="H1205" t="s">
        <v>15</v>
      </c>
      <c r="I1205" t="s">
        <v>116</v>
      </c>
    </row>
    <row r="1206" spans="1:9" x14ac:dyDescent="0.3">
      <c r="A1206" t="s">
        <v>3583</v>
      </c>
      <c r="B1206" t="s">
        <v>3584</v>
      </c>
      <c r="C1206" t="s">
        <v>54</v>
      </c>
      <c r="D1206" s="1">
        <v>45001</v>
      </c>
      <c r="E1206" t="s">
        <v>3585</v>
      </c>
      <c r="F1206" t="s">
        <v>13</v>
      </c>
      <c r="G1206" t="s">
        <v>14</v>
      </c>
      <c r="H1206" t="s">
        <v>15</v>
      </c>
      <c r="I1206" t="s">
        <v>238</v>
      </c>
    </row>
    <row r="1207" spans="1:9" x14ac:dyDescent="0.3">
      <c r="A1207" t="s">
        <v>3586</v>
      </c>
      <c r="B1207" t="s">
        <v>3587</v>
      </c>
      <c r="C1207" t="s">
        <v>29</v>
      </c>
      <c r="D1207" s="1">
        <v>45003</v>
      </c>
      <c r="E1207" t="s">
        <v>3588</v>
      </c>
      <c r="F1207" t="s">
        <v>13</v>
      </c>
      <c r="G1207" t="s">
        <v>14</v>
      </c>
      <c r="H1207" t="s">
        <v>15</v>
      </c>
      <c r="I1207" t="s">
        <v>204</v>
      </c>
    </row>
    <row r="1208" spans="1:9" x14ac:dyDescent="0.3">
      <c r="A1208" t="s">
        <v>3589</v>
      </c>
      <c r="B1208" t="s">
        <v>3590</v>
      </c>
      <c r="C1208" t="s">
        <v>29</v>
      </c>
      <c r="D1208" s="1">
        <v>45003</v>
      </c>
      <c r="E1208" t="s">
        <v>3591</v>
      </c>
      <c r="F1208" t="s">
        <v>13</v>
      </c>
      <c r="G1208" t="s">
        <v>174</v>
      </c>
      <c r="H1208" t="s">
        <v>15</v>
      </c>
      <c r="I1208" t="s">
        <v>81</v>
      </c>
    </row>
    <row r="1209" spans="1:9" x14ac:dyDescent="0.3">
      <c r="A1209" t="s">
        <v>3592</v>
      </c>
      <c r="B1209" t="s">
        <v>3593</v>
      </c>
      <c r="C1209" t="s">
        <v>54</v>
      </c>
      <c r="D1209" s="1">
        <v>45003</v>
      </c>
      <c r="E1209" t="s">
        <v>3594</v>
      </c>
      <c r="F1209" t="s">
        <v>13</v>
      </c>
      <c r="G1209" t="s">
        <v>174</v>
      </c>
      <c r="H1209" t="s">
        <v>15</v>
      </c>
    </row>
    <row r="1210" spans="1:9" x14ac:dyDescent="0.3">
      <c r="A1210" t="s">
        <v>3595</v>
      </c>
      <c r="B1210" t="s">
        <v>3596</v>
      </c>
      <c r="C1210" t="s">
        <v>69</v>
      </c>
      <c r="D1210" s="1">
        <v>45003</v>
      </c>
      <c r="E1210" t="s">
        <v>3597</v>
      </c>
      <c r="F1210" t="s">
        <v>13</v>
      </c>
      <c r="G1210" t="s">
        <v>14</v>
      </c>
      <c r="H1210" t="s">
        <v>15</v>
      </c>
      <c r="I1210" t="s">
        <v>71</v>
      </c>
    </row>
    <row r="1211" spans="1:9" x14ac:dyDescent="0.3">
      <c r="A1211" t="s">
        <v>3598</v>
      </c>
      <c r="B1211" t="s">
        <v>3599</v>
      </c>
      <c r="C1211" t="s">
        <v>29</v>
      </c>
      <c r="D1211" s="1">
        <v>45003</v>
      </c>
      <c r="E1211" t="s">
        <v>3600</v>
      </c>
      <c r="F1211" t="s">
        <v>13</v>
      </c>
      <c r="G1211" t="s">
        <v>14</v>
      </c>
      <c r="H1211" t="s">
        <v>15</v>
      </c>
    </row>
    <row r="1212" spans="1:9" x14ac:dyDescent="0.3">
      <c r="A1212" t="s">
        <v>3601</v>
      </c>
      <c r="B1212" t="s">
        <v>3602</v>
      </c>
      <c r="C1212" t="s">
        <v>69</v>
      </c>
      <c r="D1212" s="1">
        <v>45003</v>
      </c>
      <c r="E1212" t="s">
        <v>3603</v>
      </c>
      <c r="F1212" t="s">
        <v>13</v>
      </c>
      <c r="G1212" t="s">
        <v>14</v>
      </c>
      <c r="H1212" t="s">
        <v>15</v>
      </c>
      <c r="I1212" t="s">
        <v>71</v>
      </c>
    </row>
    <row r="1213" spans="1:9" x14ac:dyDescent="0.3">
      <c r="A1213" t="s">
        <v>3604</v>
      </c>
      <c r="B1213" t="s">
        <v>3605</v>
      </c>
      <c r="C1213" t="s">
        <v>19</v>
      </c>
      <c r="D1213" s="1">
        <v>45005</v>
      </c>
      <c r="E1213" t="s">
        <v>3606</v>
      </c>
      <c r="F1213" t="s">
        <v>13</v>
      </c>
      <c r="G1213" t="s">
        <v>14</v>
      </c>
      <c r="H1213" t="s">
        <v>15</v>
      </c>
      <c r="I1213" t="s">
        <v>21</v>
      </c>
    </row>
    <row r="1214" spans="1:9" x14ac:dyDescent="0.3">
      <c r="A1214" t="s">
        <v>3607</v>
      </c>
      <c r="B1214" t="s">
        <v>3608</v>
      </c>
      <c r="C1214" t="s">
        <v>11</v>
      </c>
      <c r="D1214" s="1">
        <v>45005</v>
      </c>
      <c r="E1214" t="s">
        <v>3609</v>
      </c>
      <c r="F1214" t="s">
        <v>13</v>
      </c>
      <c r="G1214" t="s">
        <v>14</v>
      </c>
      <c r="H1214" t="s">
        <v>15</v>
      </c>
      <c r="I1214" t="s">
        <v>38</v>
      </c>
    </row>
    <row r="1215" spans="1:9" x14ac:dyDescent="0.3">
      <c r="A1215" t="s">
        <v>3610</v>
      </c>
      <c r="B1215" t="s">
        <v>3611</v>
      </c>
      <c r="C1215" t="s">
        <v>33</v>
      </c>
      <c r="D1215" s="1">
        <v>45005</v>
      </c>
      <c r="E1215" t="s">
        <v>3612</v>
      </c>
      <c r="F1215" t="s">
        <v>13</v>
      </c>
      <c r="G1215" t="s">
        <v>14</v>
      </c>
      <c r="H1215" t="s">
        <v>15</v>
      </c>
      <c r="I1215" t="s">
        <v>94</v>
      </c>
    </row>
    <row r="1216" spans="1:9" x14ac:dyDescent="0.3">
      <c r="A1216" t="s">
        <v>3613</v>
      </c>
      <c r="B1216" t="s">
        <v>3614</v>
      </c>
      <c r="C1216" t="s">
        <v>29</v>
      </c>
      <c r="D1216" s="1">
        <v>45005</v>
      </c>
      <c r="E1216" t="s">
        <v>3615</v>
      </c>
      <c r="F1216" t="s">
        <v>13</v>
      </c>
      <c r="G1216" t="s">
        <v>14</v>
      </c>
      <c r="H1216" t="s">
        <v>15</v>
      </c>
      <c r="I1216" t="s">
        <v>81</v>
      </c>
    </row>
    <row r="1217" spans="1:9" x14ac:dyDescent="0.3">
      <c r="A1217" t="s">
        <v>3616</v>
      </c>
      <c r="B1217" t="s">
        <v>3617</v>
      </c>
      <c r="C1217" t="s">
        <v>45</v>
      </c>
      <c r="D1217" s="1">
        <v>45005</v>
      </c>
      <c r="E1217" t="s">
        <v>3618</v>
      </c>
      <c r="F1217" t="s">
        <v>13</v>
      </c>
      <c r="G1217" t="s">
        <v>14</v>
      </c>
      <c r="H1217" t="s">
        <v>15</v>
      </c>
    </row>
    <row r="1218" spans="1:9" x14ac:dyDescent="0.3">
      <c r="A1218" t="s">
        <v>3619</v>
      </c>
      <c r="B1218" t="s">
        <v>3620</v>
      </c>
      <c r="C1218" t="s">
        <v>29</v>
      </c>
      <c r="D1218" s="1">
        <v>45005</v>
      </c>
      <c r="E1218" t="s">
        <v>3621</v>
      </c>
      <c r="F1218" t="s">
        <v>13</v>
      </c>
      <c r="G1218" t="s">
        <v>14</v>
      </c>
      <c r="H1218" t="s">
        <v>15</v>
      </c>
      <c r="I1218" t="s">
        <v>204</v>
      </c>
    </row>
    <row r="1219" spans="1:9" x14ac:dyDescent="0.3">
      <c r="A1219" t="s">
        <v>3622</v>
      </c>
      <c r="B1219" t="s">
        <v>3623</v>
      </c>
      <c r="C1219" t="s">
        <v>11</v>
      </c>
      <c r="D1219" s="1">
        <v>45006</v>
      </c>
      <c r="E1219" t="s">
        <v>3624</v>
      </c>
      <c r="F1219" t="s">
        <v>13</v>
      </c>
      <c r="G1219" t="s">
        <v>14</v>
      </c>
      <c r="H1219" t="s">
        <v>15</v>
      </c>
      <c r="I1219" t="s">
        <v>38</v>
      </c>
    </row>
    <row r="1220" spans="1:9" x14ac:dyDescent="0.3">
      <c r="A1220" t="s">
        <v>3625</v>
      </c>
      <c r="B1220" t="s">
        <v>3626</v>
      </c>
      <c r="C1220" t="s">
        <v>33</v>
      </c>
      <c r="D1220" s="1">
        <v>45006</v>
      </c>
      <c r="E1220" t="s">
        <v>3627</v>
      </c>
      <c r="F1220" t="s">
        <v>13</v>
      </c>
      <c r="G1220" t="s">
        <v>14</v>
      </c>
      <c r="H1220" t="s">
        <v>15</v>
      </c>
      <c r="I1220" t="s">
        <v>51</v>
      </c>
    </row>
    <row r="1221" spans="1:9" x14ac:dyDescent="0.3">
      <c r="A1221" t="s">
        <v>3628</v>
      </c>
      <c r="B1221" t="s">
        <v>3629</v>
      </c>
      <c r="C1221" t="s">
        <v>24</v>
      </c>
      <c r="D1221" s="1">
        <v>45006</v>
      </c>
      <c r="E1221" t="s">
        <v>3630</v>
      </c>
      <c r="F1221" t="s">
        <v>13</v>
      </c>
      <c r="G1221" t="s">
        <v>14</v>
      </c>
      <c r="H1221" t="s">
        <v>15</v>
      </c>
      <c r="I1221" t="s">
        <v>26</v>
      </c>
    </row>
    <row r="1222" spans="1:9" x14ac:dyDescent="0.3">
      <c r="A1222" t="s">
        <v>3631</v>
      </c>
      <c r="B1222" t="s">
        <v>3632</v>
      </c>
      <c r="C1222" t="s">
        <v>29</v>
      </c>
      <c r="D1222" s="1">
        <v>45007</v>
      </c>
      <c r="E1222" t="s">
        <v>3633</v>
      </c>
      <c r="F1222" t="s">
        <v>13</v>
      </c>
      <c r="G1222" t="s">
        <v>14</v>
      </c>
      <c r="H1222" t="s">
        <v>15</v>
      </c>
      <c r="I1222" t="s">
        <v>42</v>
      </c>
    </row>
    <row r="1223" spans="1:9" x14ac:dyDescent="0.3">
      <c r="A1223" t="s">
        <v>3634</v>
      </c>
      <c r="B1223" t="s">
        <v>3635</v>
      </c>
      <c r="C1223" t="s">
        <v>24</v>
      </c>
      <c r="D1223" s="1">
        <v>45007</v>
      </c>
      <c r="E1223" t="s">
        <v>3636</v>
      </c>
      <c r="F1223" t="s">
        <v>13</v>
      </c>
      <c r="G1223" t="s">
        <v>14</v>
      </c>
      <c r="H1223" t="s">
        <v>15</v>
      </c>
      <c r="I1223" t="s">
        <v>59</v>
      </c>
    </row>
    <row r="1224" spans="1:9" x14ac:dyDescent="0.3">
      <c r="A1224" t="s">
        <v>3637</v>
      </c>
      <c r="B1224" t="s">
        <v>3638</v>
      </c>
      <c r="C1224" t="s">
        <v>69</v>
      </c>
      <c r="D1224" s="1">
        <v>45007</v>
      </c>
      <c r="E1224" t="s">
        <v>3639</v>
      </c>
      <c r="F1224" t="s">
        <v>13</v>
      </c>
      <c r="G1224" t="s">
        <v>14</v>
      </c>
      <c r="H1224" t="s">
        <v>15</v>
      </c>
      <c r="I1224" t="s">
        <v>71</v>
      </c>
    </row>
    <row r="1225" spans="1:9" x14ac:dyDescent="0.3">
      <c r="A1225" t="s">
        <v>3640</v>
      </c>
      <c r="B1225" t="s">
        <v>3641</v>
      </c>
      <c r="C1225" t="s">
        <v>24</v>
      </c>
      <c r="D1225" s="1">
        <v>45007</v>
      </c>
      <c r="E1225" t="s">
        <v>3642</v>
      </c>
      <c r="F1225" t="s">
        <v>13</v>
      </c>
      <c r="G1225" t="s">
        <v>14</v>
      </c>
      <c r="H1225" t="s">
        <v>15</v>
      </c>
    </row>
    <row r="1226" spans="1:9" x14ac:dyDescent="0.3">
      <c r="A1226" t="s">
        <v>3643</v>
      </c>
      <c r="B1226" t="s">
        <v>3644</v>
      </c>
      <c r="C1226" t="s">
        <v>24</v>
      </c>
      <c r="D1226" s="1">
        <v>45008</v>
      </c>
      <c r="E1226" t="s">
        <v>3645</v>
      </c>
      <c r="F1226" t="s">
        <v>13</v>
      </c>
      <c r="G1226" t="s">
        <v>14</v>
      </c>
      <c r="H1226" t="s">
        <v>15</v>
      </c>
      <c r="I1226" t="s">
        <v>63</v>
      </c>
    </row>
    <row r="1227" spans="1:9" x14ac:dyDescent="0.3">
      <c r="A1227" t="s">
        <v>3646</v>
      </c>
      <c r="B1227" t="s">
        <v>3647</v>
      </c>
      <c r="C1227" t="s">
        <v>33</v>
      </c>
      <c r="D1227" s="1">
        <v>45009</v>
      </c>
      <c r="E1227" t="s">
        <v>3648</v>
      </c>
      <c r="F1227" t="s">
        <v>13</v>
      </c>
      <c r="G1227" t="s">
        <v>14</v>
      </c>
      <c r="H1227" t="s">
        <v>15</v>
      </c>
      <c r="I1227" t="s">
        <v>94</v>
      </c>
    </row>
    <row r="1228" spans="1:9" x14ac:dyDescent="0.3">
      <c r="A1228" t="s">
        <v>3038</v>
      </c>
      <c r="B1228" t="s">
        <v>3649</v>
      </c>
      <c r="C1228" t="s">
        <v>19</v>
      </c>
      <c r="D1228" s="1">
        <v>45009</v>
      </c>
      <c r="E1228" t="s">
        <v>3650</v>
      </c>
      <c r="F1228" t="s">
        <v>13</v>
      </c>
      <c r="G1228" t="s">
        <v>14</v>
      </c>
      <c r="H1228" t="s">
        <v>15</v>
      </c>
      <c r="I1228" t="s">
        <v>21</v>
      </c>
    </row>
    <row r="1229" spans="1:9" x14ac:dyDescent="0.3">
      <c r="A1229" t="s">
        <v>3651</v>
      </c>
      <c r="B1229" t="s">
        <v>3652</v>
      </c>
      <c r="C1229" t="s">
        <v>29</v>
      </c>
      <c r="D1229" s="1">
        <v>45009</v>
      </c>
      <c r="E1229" t="s">
        <v>3653</v>
      </c>
      <c r="F1229" t="s">
        <v>13</v>
      </c>
      <c r="G1229" t="s">
        <v>14</v>
      </c>
      <c r="H1229" t="s">
        <v>15</v>
      </c>
      <c r="I1229" t="s">
        <v>42</v>
      </c>
    </row>
    <row r="1230" spans="1:9" x14ac:dyDescent="0.3">
      <c r="A1230" t="s">
        <v>3654</v>
      </c>
      <c r="B1230" t="s">
        <v>3655</v>
      </c>
      <c r="C1230" t="s">
        <v>24</v>
      </c>
      <c r="D1230" s="1">
        <v>45009</v>
      </c>
      <c r="E1230" t="s">
        <v>3656</v>
      </c>
      <c r="F1230" t="s">
        <v>13</v>
      </c>
      <c r="G1230" t="s">
        <v>14</v>
      </c>
      <c r="H1230" t="s">
        <v>15</v>
      </c>
      <c r="I1230" t="s">
        <v>63</v>
      </c>
    </row>
    <row r="1231" spans="1:9" x14ac:dyDescent="0.3">
      <c r="A1231" t="s">
        <v>3657</v>
      </c>
      <c r="B1231" t="s">
        <v>3658</v>
      </c>
      <c r="C1231" t="s">
        <v>33</v>
      </c>
      <c r="D1231" s="1">
        <v>45009</v>
      </c>
      <c r="E1231" t="s">
        <v>3659</v>
      </c>
      <c r="F1231" t="s">
        <v>13</v>
      </c>
      <c r="G1231" t="s">
        <v>14</v>
      </c>
      <c r="H1231" t="s">
        <v>15</v>
      </c>
      <c r="I1231" t="s">
        <v>51</v>
      </c>
    </row>
    <row r="1232" spans="1:9" x14ac:dyDescent="0.3">
      <c r="A1232" t="s">
        <v>3660</v>
      </c>
      <c r="B1232" t="s">
        <v>3661</v>
      </c>
      <c r="C1232" t="s">
        <v>54</v>
      </c>
      <c r="D1232" s="1">
        <v>45010</v>
      </c>
      <c r="E1232" t="s">
        <v>3662</v>
      </c>
      <c r="F1232" t="s">
        <v>13</v>
      </c>
      <c r="G1232" t="s">
        <v>14</v>
      </c>
      <c r="H1232" t="s">
        <v>15</v>
      </c>
      <c r="I1232" t="s">
        <v>181</v>
      </c>
    </row>
    <row r="1233" spans="1:9" x14ac:dyDescent="0.3">
      <c r="A1233" t="s">
        <v>3663</v>
      </c>
      <c r="B1233" t="s">
        <v>3664</v>
      </c>
      <c r="C1233" t="s">
        <v>19</v>
      </c>
      <c r="D1233" s="1">
        <v>45010</v>
      </c>
      <c r="E1233" t="s">
        <v>3665</v>
      </c>
      <c r="F1233" t="s">
        <v>13</v>
      </c>
      <c r="G1233" t="s">
        <v>14</v>
      </c>
      <c r="H1233" t="s">
        <v>15</v>
      </c>
      <c r="I1233" t="s">
        <v>116</v>
      </c>
    </row>
    <row r="1234" spans="1:9" x14ac:dyDescent="0.3">
      <c r="A1234" t="s">
        <v>3666</v>
      </c>
      <c r="B1234" t="s">
        <v>3667</v>
      </c>
      <c r="C1234" t="s">
        <v>29</v>
      </c>
      <c r="D1234" s="1">
        <v>45011</v>
      </c>
      <c r="E1234" t="s">
        <v>3668</v>
      </c>
      <c r="F1234" t="s">
        <v>13</v>
      </c>
      <c r="G1234" t="s">
        <v>14</v>
      </c>
      <c r="H1234" t="s">
        <v>15</v>
      </c>
      <c r="I1234" t="s">
        <v>81</v>
      </c>
    </row>
    <row r="1235" spans="1:9" x14ac:dyDescent="0.3">
      <c r="A1235" t="s">
        <v>3669</v>
      </c>
      <c r="B1235" t="s">
        <v>3670</v>
      </c>
      <c r="C1235" t="s">
        <v>11</v>
      </c>
      <c r="D1235" s="1">
        <v>45011</v>
      </c>
      <c r="E1235" t="s">
        <v>3671</v>
      </c>
      <c r="F1235" t="s">
        <v>13</v>
      </c>
      <c r="G1235" t="s">
        <v>14</v>
      </c>
      <c r="H1235" t="s">
        <v>15</v>
      </c>
      <c r="I1235" t="s">
        <v>16</v>
      </c>
    </row>
    <row r="1236" spans="1:9" x14ac:dyDescent="0.3">
      <c r="A1236" t="s">
        <v>3672</v>
      </c>
      <c r="B1236" t="s">
        <v>3673</v>
      </c>
      <c r="C1236" t="s">
        <v>45</v>
      </c>
      <c r="D1236" s="1">
        <v>45011</v>
      </c>
      <c r="E1236" t="s">
        <v>3674</v>
      </c>
      <c r="F1236" t="s">
        <v>13</v>
      </c>
      <c r="G1236" t="s">
        <v>14</v>
      </c>
      <c r="H1236" t="s">
        <v>15</v>
      </c>
      <c r="I1236" t="s">
        <v>47</v>
      </c>
    </row>
    <row r="1237" spans="1:9" x14ac:dyDescent="0.3">
      <c r="A1237" t="s">
        <v>3675</v>
      </c>
      <c r="B1237" t="s">
        <v>3676</v>
      </c>
      <c r="C1237" t="s">
        <v>33</v>
      </c>
      <c r="D1237" s="1">
        <v>45011</v>
      </c>
      <c r="E1237" t="s">
        <v>3677</v>
      </c>
      <c r="F1237" t="s">
        <v>13</v>
      </c>
      <c r="G1237" t="s">
        <v>14</v>
      </c>
      <c r="H1237" t="s">
        <v>15</v>
      </c>
      <c r="I1237" t="s">
        <v>51</v>
      </c>
    </row>
    <row r="1238" spans="1:9" x14ac:dyDescent="0.3">
      <c r="A1238" t="s">
        <v>3678</v>
      </c>
      <c r="B1238" t="s">
        <v>3679</v>
      </c>
      <c r="C1238" t="s">
        <v>24</v>
      </c>
      <c r="D1238" s="1">
        <v>45012</v>
      </c>
      <c r="E1238" t="s">
        <v>3680</v>
      </c>
      <c r="F1238" t="s">
        <v>13</v>
      </c>
      <c r="G1238" t="s">
        <v>174</v>
      </c>
      <c r="H1238" t="s">
        <v>15</v>
      </c>
      <c r="I1238" t="s">
        <v>26</v>
      </c>
    </row>
    <row r="1239" spans="1:9" x14ac:dyDescent="0.3">
      <c r="A1239" t="s">
        <v>3681</v>
      </c>
      <c r="B1239" t="s">
        <v>3682</v>
      </c>
      <c r="C1239" t="s">
        <v>45</v>
      </c>
      <c r="D1239" s="1">
        <v>45012</v>
      </c>
      <c r="E1239" t="s">
        <v>3683</v>
      </c>
      <c r="F1239" t="s">
        <v>13</v>
      </c>
      <c r="G1239" t="s">
        <v>14</v>
      </c>
      <c r="H1239" t="s">
        <v>15</v>
      </c>
    </row>
    <row r="1240" spans="1:9" x14ac:dyDescent="0.3">
      <c r="A1240" t="s">
        <v>3684</v>
      </c>
      <c r="B1240" t="s">
        <v>3685</v>
      </c>
      <c r="C1240" t="s">
        <v>45</v>
      </c>
      <c r="D1240" s="1">
        <v>45013</v>
      </c>
      <c r="E1240" t="s">
        <v>3686</v>
      </c>
      <c r="F1240" t="s">
        <v>13</v>
      </c>
      <c r="G1240" t="s">
        <v>14</v>
      </c>
      <c r="H1240" t="s">
        <v>15</v>
      </c>
      <c r="I1240" t="s">
        <v>248</v>
      </c>
    </row>
    <row r="1241" spans="1:9" x14ac:dyDescent="0.3">
      <c r="A1241" t="s">
        <v>3687</v>
      </c>
      <c r="B1241" t="s">
        <v>3688</v>
      </c>
      <c r="C1241" t="s">
        <v>45</v>
      </c>
      <c r="D1241" s="1">
        <v>45013</v>
      </c>
      <c r="E1241" t="s">
        <v>3689</v>
      </c>
      <c r="F1241" t="s">
        <v>13</v>
      </c>
      <c r="G1241" t="s">
        <v>14</v>
      </c>
      <c r="H1241" t="s">
        <v>15</v>
      </c>
    </row>
    <row r="1242" spans="1:9" x14ac:dyDescent="0.3">
      <c r="A1242" t="s">
        <v>3690</v>
      </c>
      <c r="B1242" t="s">
        <v>3691</v>
      </c>
      <c r="C1242" t="s">
        <v>24</v>
      </c>
      <c r="D1242" s="1">
        <v>45014</v>
      </c>
      <c r="E1242" t="s">
        <v>3692</v>
      </c>
      <c r="F1242" t="s">
        <v>13</v>
      </c>
      <c r="G1242" t="s">
        <v>14</v>
      </c>
      <c r="H1242" t="s">
        <v>15</v>
      </c>
      <c r="I1242" t="s">
        <v>26</v>
      </c>
    </row>
    <row r="1243" spans="1:9" x14ac:dyDescent="0.3">
      <c r="A1243" t="s">
        <v>3693</v>
      </c>
      <c r="B1243" t="s">
        <v>3694</v>
      </c>
      <c r="C1243" t="s">
        <v>45</v>
      </c>
      <c r="D1243" s="1">
        <v>45014</v>
      </c>
      <c r="E1243" t="s">
        <v>3695</v>
      </c>
      <c r="F1243" t="s">
        <v>13</v>
      </c>
      <c r="G1243" t="s">
        <v>14</v>
      </c>
      <c r="H1243" t="s">
        <v>15</v>
      </c>
    </row>
    <row r="1244" spans="1:9" x14ac:dyDescent="0.3">
      <c r="A1244" t="s">
        <v>3696</v>
      </c>
      <c r="B1244" t="s">
        <v>3697</v>
      </c>
      <c r="C1244" t="s">
        <v>69</v>
      </c>
      <c r="D1244" s="1">
        <v>45014</v>
      </c>
      <c r="E1244" t="s">
        <v>3698</v>
      </c>
      <c r="F1244" t="s">
        <v>13</v>
      </c>
      <c r="G1244" t="s">
        <v>14</v>
      </c>
      <c r="H1244" t="s">
        <v>15</v>
      </c>
      <c r="I1244" t="s">
        <v>71</v>
      </c>
    </row>
    <row r="1245" spans="1:9" x14ac:dyDescent="0.3">
      <c r="A1245" t="s">
        <v>3699</v>
      </c>
      <c r="B1245" t="s">
        <v>3700</v>
      </c>
      <c r="C1245" t="s">
        <v>24</v>
      </c>
      <c r="D1245" s="1">
        <v>45014</v>
      </c>
      <c r="E1245" t="s">
        <v>3701</v>
      </c>
      <c r="F1245" t="s">
        <v>13</v>
      </c>
      <c r="G1245" t="s">
        <v>14</v>
      </c>
      <c r="H1245" t="s">
        <v>15</v>
      </c>
      <c r="I1245" t="s">
        <v>59</v>
      </c>
    </row>
    <row r="1246" spans="1:9" x14ac:dyDescent="0.3">
      <c r="A1246" t="s">
        <v>3702</v>
      </c>
      <c r="B1246" t="s">
        <v>3703</v>
      </c>
      <c r="C1246" t="s">
        <v>69</v>
      </c>
      <c r="D1246" s="1">
        <v>45015</v>
      </c>
      <c r="E1246" t="s">
        <v>3704</v>
      </c>
      <c r="F1246" t="s">
        <v>13</v>
      </c>
      <c r="G1246" t="s">
        <v>14</v>
      </c>
      <c r="H1246" t="s">
        <v>15</v>
      </c>
      <c r="I1246" t="s">
        <v>71</v>
      </c>
    </row>
    <row r="1247" spans="1:9" x14ac:dyDescent="0.3">
      <c r="A1247" t="s">
        <v>3705</v>
      </c>
      <c r="B1247" t="s">
        <v>3706</v>
      </c>
      <c r="C1247" t="s">
        <v>24</v>
      </c>
      <c r="D1247" s="1">
        <v>45015</v>
      </c>
      <c r="E1247" t="s">
        <v>3707</v>
      </c>
      <c r="F1247" t="s">
        <v>13</v>
      </c>
      <c r="G1247" t="s">
        <v>14</v>
      </c>
      <c r="H1247" t="s">
        <v>15</v>
      </c>
      <c r="I1247" t="s">
        <v>59</v>
      </c>
    </row>
    <row r="1248" spans="1:9" x14ac:dyDescent="0.3">
      <c r="A1248" t="s">
        <v>3708</v>
      </c>
      <c r="B1248" t="s">
        <v>3709</v>
      </c>
      <c r="C1248" t="s">
        <v>69</v>
      </c>
      <c r="D1248" s="1">
        <v>45015</v>
      </c>
      <c r="E1248" t="s">
        <v>3710</v>
      </c>
      <c r="F1248" t="s">
        <v>13</v>
      </c>
      <c r="G1248" t="s">
        <v>14</v>
      </c>
      <c r="H1248" t="s">
        <v>15</v>
      </c>
      <c r="I1248" t="s">
        <v>71</v>
      </c>
    </row>
    <row r="1249" spans="1:9" x14ac:dyDescent="0.3">
      <c r="A1249" t="s">
        <v>3711</v>
      </c>
      <c r="B1249" t="s">
        <v>3712</v>
      </c>
      <c r="C1249" t="s">
        <v>24</v>
      </c>
      <c r="D1249" s="1">
        <v>45015</v>
      </c>
      <c r="E1249" t="s">
        <v>3713</v>
      </c>
      <c r="F1249" t="s">
        <v>13</v>
      </c>
      <c r="G1249" t="s">
        <v>14</v>
      </c>
      <c r="H1249" t="s">
        <v>15</v>
      </c>
      <c r="I1249" t="s">
        <v>63</v>
      </c>
    </row>
    <row r="1250" spans="1:9" x14ac:dyDescent="0.3">
      <c r="A1250" t="s">
        <v>3714</v>
      </c>
      <c r="B1250" t="s">
        <v>3715</v>
      </c>
      <c r="C1250" t="s">
        <v>29</v>
      </c>
      <c r="D1250" s="1">
        <v>45016</v>
      </c>
      <c r="E1250" t="s">
        <v>3716</v>
      </c>
      <c r="F1250" t="s">
        <v>13</v>
      </c>
      <c r="G1250" t="s">
        <v>14</v>
      </c>
      <c r="H1250" t="s">
        <v>15</v>
      </c>
      <c r="I1250" t="s">
        <v>81</v>
      </c>
    </row>
    <row r="1251" spans="1:9" x14ac:dyDescent="0.3">
      <c r="A1251" t="s">
        <v>3717</v>
      </c>
      <c r="B1251" t="s">
        <v>3718</v>
      </c>
      <c r="C1251" t="s">
        <v>54</v>
      </c>
      <c r="D1251" s="1">
        <v>45016</v>
      </c>
      <c r="E1251" t="s">
        <v>3719</v>
      </c>
      <c r="F1251" t="s">
        <v>13</v>
      </c>
      <c r="G1251" t="s">
        <v>14</v>
      </c>
      <c r="H1251" t="s">
        <v>15</v>
      </c>
      <c r="I1251" t="s">
        <v>181</v>
      </c>
    </row>
    <row r="1252" spans="1:9" x14ac:dyDescent="0.3">
      <c r="A1252" t="s">
        <v>3720</v>
      </c>
      <c r="B1252" t="s">
        <v>3721</v>
      </c>
      <c r="C1252" t="s">
        <v>29</v>
      </c>
      <c r="D1252" s="1">
        <v>45017</v>
      </c>
      <c r="E1252" t="s">
        <v>3722</v>
      </c>
      <c r="F1252" t="s">
        <v>13</v>
      </c>
      <c r="G1252" t="s">
        <v>14</v>
      </c>
      <c r="H1252" t="s">
        <v>15</v>
      </c>
      <c r="I1252" t="s">
        <v>204</v>
      </c>
    </row>
    <row r="1253" spans="1:9" x14ac:dyDescent="0.3">
      <c r="A1253" t="s">
        <v>3723</v>
      </c>
      <c r="B1253" t="s">
        <v>3724</v>
      </c>
      <c r="C1253" t="s">
        <v>54</v>
      </c>
      <c r="D1253" s="1">
        <v>45018</v>
      </c>
      <c r="E1253" t="s">
        <v>3725</v>
      </c>
      <c r="F1253" t="s">
        <v>13</v>
      </c>
      <c r="G1253" t="s">
        <v>14</v>
      </c>
      <c r="H1253" t="s">
        <v>15</v>
      </c>
      <c r="I1253" t="s">
        <v>238</v>
      </c>
    </row>
    <row r="1254" spans="1:9" x14ac:dyDescent="0.3">
      <c r="A1254" t="s">
        <v>3726</v>
      </c>
      <c r="B1254" t="s">
        <v>3727</v>
      </c>
      <c r="C1254" t="s">
        <v>33</v>
      </c>
      <c r="D1254" s="1">
        <v>45018</v>
      </c>
      <c r="E1254" t="s">
        <v>3728</v>
      </c>
      <c r="F1254" t="s">
        <v>13</v>
      </c>
      <c r="G1254" t="s">
        <v>14</v>
      </c>
      <c r="H1254" t="s">
        <v>15</v>
      </c>
      <c r="I1254" t="s">
        <v>94</v>
      </c>
    </row>
    <row r="1255" spans="1:9" x14ac:dyDescent="0.3">
      <c r="A1255" t="s">
        <v>3729</v>
      </c>
      <c r="B1255" t="s">
        <v>3730</v>
      </c>
      <c r="C1255" t="s">
        <v>69</v>
      </c>
      <c r="D1255" s="1">
        <v>45019</v>
      </c>
      <c r="E1255" t="s">
        <v>3731</v>
      </c>
      <c r="F1255" t="s">
        <v>13</v>
      </c>
      <c r="G1255" t="s">
        <v>14</v>
      </c>
      <c r="H1255" t="s">
        <v>15</v>
      </c>
      <c r="I1255" t="s">
        <v>71</v>
      </c>
    </row>
    <row r="1256" spans="1:9" x14ac:dyDescent="0.3">
      <c r="A1256" t="s">
        <v>3732</v>
      </c>
      <c r="B1256" t="s">
        <v>3733</v>
      </c>
      <c r="C1256" t="s">
        <v>45</v>
      </c>
      <c r="D1256" s="1">
        <v>45020</v>
      </c>
      <c r="E1256" t="s">
        <v>3734</v>
      </c>
      <c r="F1256" t="s">
        <v>13</v>
      </c>
      <c r="G1256" t="s">
        <v>14</v>
      </c>
      <c r="H1256" t="s">
        <v>15</v>
      </c>
      <c r="I1256" t="s">
        <v>248</v>
      </c>
    </row>
    <row r="1257" spans="1:9" x14ac:dyDescent="0.3">
      <c r="A1257" t="s">
        <v>3735</v>
      </c>
      <c r="B1257" t="s">
        <v>3736</v>
      </c>
      <c r="C1257" t="s">
        <v>54</v>
      </c>
      <c r="D1257" s="1">
        <v>45020</v>
      </c>
      <c r="E1257" t="s">
        <v>3737</v>
      </c>
      <c r="F1257" t="s">
        <v>13</v>
      </c>
      <c r="G1257" t="s">
        <v>14</v>
      </c>
      <c r="H1257" t="s">
        <v>15</v>
      </c>
      <c r="I1257" t="s">
        <v>238</v>
      </c>
    </row>
    <row r="1258" spans="1:9" x14ac:dyDescent="0.3">
      <c r="A1258" t="s">
        <v>3738</v>
      </c>
      <c r="B1258" t="s">
        <v>3739</v>
      </c>
      <c r="C1258" t="s">
        <v>33</v>
      </c>
      <c r="D1258" s="1">
        <v>45020</v>
      </c>
      <c r="E1258" t="s">
        <v>3740</v>
      </c>
      <c r="F1258" t="s">
        <v>13</v>
      </c>
      <c r="G1258" t="s">
        <v>14</v>
      </c>
      <c r="H1258" t="s">
        <v>15</v>
      </c>
      <c r="I1258" t="s">
        <v>51</v>
      </c>
    </row>
    <row r="1259" spans="1:9" x14ac:dyDescent="0.3">
      <c r="A1259" t="s">
        <v>3741</v>
      </c>
      <c r="B1259" t="s">
        <v>3742</v>
      </c>
      <c r="C1259" t="s">
        <v>33</v>
      </c>
      <c r="D1259" s="1">
        <v>45020</v>
      </c>
      <c r="E1259" t="s">
        <v>3743</v>
      </c>
      <c r="F1259" t="s">
        <v>13</v>
      </c>
      <c r="G1259" t="s">
        <v>14</v>
      </c>
      <c r="H1259" t="s">
        <v>15</v>
      </c>
    </row>
    <row r="1260" spans="1:9" x14ac:dyDescent="0.3">
      <c r="A1260" t="s">
        <v>3744</v>
      </c>
      <c r="B1260" t="s">
        <v>3745</v>
      </c>
      <c r="C1260" t="s">
        <v>69</v>
      </c>
      <c r="D1260" s="1">
        <v>45020</v>
      </c>
      <c r="E1260" t="s">
        <v>3746</v>
      </c>
      <c r="F1260" t="s">
        <v>13</v>
      </c>
      <c r="G1260" t="s">
        <v>14</v>
      </c>
      <c r="H1260" t="s">
        <v>15</v>
      </c>
      <c r="I1260" t="s">
        <v>71</v>
      </c>
    </row>
    <row r="1261" spans="1:9" x14ac:dyDescent="0.3">
      <c r="A1261" t="s">
        <v>3747</v>
      </c>
      <c r="B1261" t="s">
        <v>3748</v>
      </c>
      <c r="C1261" t="s">
        <v>54</v>
      </c>
      <c r="D1261" s="1">
        <v>45020</v>
      </c>
      <c r="E1261" t="s">
        <v>3749</v>
      </c>
      <c r="F1261" t="s">
        <v>13</v>
      </c>
      <c r="G1261" t="s">
        <v>14</v>
      </c>
      <c r="H1261" t="s">
        <v>15</v>
      </c>
      <c r="I1261" t="s">
        <v>238</v>
      </c>
    </row>
    <row r="1262" spans="1:9" x14ac:dyDescent="0.3">
      <c r="A1262" t="s">
        <v>3750</v>
      </c>
      <c r="B1262" t="s">
        <v>3751</v>
      </c>
      <c r="C1262" t="s">
        <v>19</v>
      </c>
      <c r="D1262" s="1">
        <v>45021</v>
      </c>
      <c r="E1262" t="s">
        <v>3752</v>
      </c>
      <c r="F1262" t="s">
        <v>13</v>
      </c>
      <c r="G1262" t="s">
        <v>14</v>
      </c>
      <c r="H1262" t="s">
        <v>15</v>
      </c>
      <c r="I1262" t="s">
        <v>116</v>
      </c>
    </row>
    <row r="1263" spans="1:9" x14ac:dyDescent="0.3">
      <c r="A1263" t="s">
        <v>3753</v>
      </c>
      <c r="B1263" t="s">
        <v>3754</v>
      </c>
      <c r="C1263" t="s">
        <v>54</v>
      </c>
      <c r="D1263" s="1">
        <v>45021</v>
      </c>
      <c r="E1263" t="s">
        <v>3755</v>
      </c>
      <c r="F1263" t="s">
        <v>13</v>
      </c>
      <c r="G1263" t="s">
        <v>14</v>
      </c>
      <c r="H1263" t="s">
        <v>15</v>
      </c>
    </row>
    <row r="1264" spans="1:9" x14ac:dyDescent="0.3">
      <c r="A1264" t="s">
        <v>3756</v>
      </c>
      <c r="B1264" t="s">
        <v>3757</v>
      </c>
      <c r="C1264" t="s">
        <v>54</v>
      </c>
      <c r="D1264" s="1">
        <v>45022</v>
      </c>
      <c r="E1264" t="s">
        <v>3758</v>
      </c>
      <c r="F1264" t="s">
        <v>13</v>
      </c>
      <c r="G1264" t="s">
        <v>14</v>
      </c>
      <c r="H1264" t="s">
        <v>15</v>
      </c>
    </row>
    <row r="1265" spans="1:9" x14ac:dyDescent="0.3">
      <c r="A1265" t="s">
        <v>3759</v>
      </c>
      <c r="B1265" t="s">
        <v>3760</v>
      </c>
      <c r="C1265" t="s">
        <v>11</v>
      </c>
      <c r="D1265" s="1">
        <v>45023</v>
      </c>
      <c r="E1265" t="s">
        <v>3761</v>
      </c>
      <c r="F1265" t="s">
        <v>13</v>
      </c>
      <c r="G1265" t="s">
        <v>14</v>
      </c>
      <c r="H1265" t="s">
        <v>15</v>
      </c>
      <c r="I1265" t="s">
        <v>185</v>
      </c>
    </row>
    <row r="1266" spans="1:9" x14ac:dyDescent="0.3">
      <c r="A1266" t="s">
        <v>3762</v>
      </c>
      <c r="B1266" t="s">
        <v>3763</v>
      </c>
      <c r="C1266" t="s">
        <v>24</v>
      </c>
      <c r="D1266" s="1">
        <v>45023</v>
      </c>
      <c r="E1266" t="s">
        <v>3764</v>
      </c>
      <c r="F1266" t="s">
        <v>13</v>
      </c>
      <c r="G1266" t="s">
        <v>14</v>
      </c>
      <c r="H1266" t="s">
        <v>15</v>
      </c>
    </row>
    <row r="1267" spans="1:9" x14ac:dyDescent="0.3">
      <c r="A1267" t="s">
        <v>3765</v>
      </c>
      <c r="B1267" t="s">
        <v>3766</v>
      </c>
      <c r="C1267" t="s">
        <v>69</v>
      </c>
      <c r="D1267" s="1">
        <v>45023</v>
      </c>
      <c r="E1267" t="s">
        <v>3767</v>
      </c>
      <c r="F1267" t="s">
        <v>13</v>
      </c>
      <c r="G1267" t="s">
        <v>14</v>
      </c>
      <c r="H1267" t="s">
        <v>15</v>
      </c>
      <c r="I1267" t="s">
        <v>71</v>
      </c>
    </row>
    <row r="1268" spans="1:9" x14ac:dyDescent="0.3">
      <c r="A1268" t="s">
        <v>3768</v>
      </c>
      <c r="B1268" t="s">
        <v>3769</v>
      </c>
      <c r="C1268" t="s">
        <v>69</v>
      </c>
      <c r="D1268" s="1">
        <v>45023</v>
      </c>
      <c r="E1268" t="s">
        <v>3770</v>
      </c>
      <c r="F1268" t="s">
        <v>13</v>
      </c>
      <c r="G1268" t="s">
        <v>14</v>
      </c>
      <c r="H1268" t="s">
        <v>15</v>
      </c>
      <c r="I1268" t="s">
        <v>71</v>
      </c>
    </row>
    <row r="1269" spans="1:9" x14ac:dyDescent="0.3">
      <c r="A1269" t="s">
        <v>3771</v>
      </c>
      <c r="B1269" t="s">
        <v>3772</v>
      </c>
      <c r="C1269" t="s">
        <v>29</v>
      </c>
      <c r="D1269" s="1">
        <v>45024</v>
      </c>
      <c r="E1269" t="s">
        <v>3773</v>
      </c>
      <c r="F1269" t="s">
        <v>13</v>
      </c>
      <c r="G1269" t="s">
        <v>14</v>
      </c>
      <c r="H1269" t="s">
        <v>15</v>
      </c>
    </row>
    <row r="1270" spans="1:9" x14ac:dyDescent="0.3">
      <c r="A1270" t="s">
        <v>3774</v>
      </c>
      <c r="B1270" t="s">
        <v>3775</v>
      </c>
      <c r="C1270" t="s">
        <v>54</v>
      </c>
      <c r="D1270" s="1">
        <v>45024</v>
      </c>
      <c r="E1270" t="s">
        <v>3776</v>
      </c>
      <c r="F1270" t="s">
        <v>13</v>
      </c>
      <c r="G1270" t="s">
        <v>14</v>
      </c>
      <c r="H1270" t="s">
        <v>15</v>
      </c>
      <c r="I1270" t="s">
        <v>238</v>
      </c>
    </row>
    <row r="1271" spans="1:9" x14ac:dyDescent="0.3">
      <c r="A1271" t="s">
        <v>3777</v>
      </c>
      <c r="B1271" t="s">
        <v>3778</v>
      </c>
      <c r="C1271" t="s">
        <v>33</v>
      </c>
      <c r="D1271" s="1">
        <v>45024</v>
      </c>
      <c r="E1271" t="s">
        <v>3779</v>
      </c>
      <c r="F1271" t="s">
        <v>13</v>
      </c>
      <c r="G1271" t="s">
        <v>14</v>
      </c>
      <c r="H1271" t="s">
        <v>15</v>
      </c>
    </row>
    <row r="1272" spans="1:9" x14ac:dyDescent="0.3">
      <c r="A1272" t="s">
        <v>3780</v>
      </c>
      <c r="B1272" t="s">
        <v>3781</v>
      </c>
      <c r="C1272" t="s">
        <v>45</v>
      </c>
      <c r="D1272" s="1">
        <v>45025</v>
      </c>
      <c r="E1272" t="s">
        <v>3782</v>
      </c>
      <c r="F1272" t="s">
        <v>13</v>
      </c>
      <c r="G1272" t="s">
        <v>14</v>
      </c>
      <c r="H1272" t="s">
        <v>15</v>
      </c>
      <c r="I1272" t="s">
        <v>47</v>
      </c>
    </row>
    <row r="1273" spans="1:9" x14ac:dyDescent="0.3">
      <c r="A1273" t="s">
        <v>3783</v>
      </c>
      <c r="B1273" t="s">
        <v>3784</v>
      </c>
      <c r="C1273" t="s">
        <v>33</v>
      </c>
      <c r="D1273" s="1">
        <v>45025</v>
      </c>
      <c r="E1273" t="s">
        <v>3785</v>
      </c>
      <c r="F1273" t="s">
        <v>13</v>
      </c>
      <c r="G1273" t="s">
        <v>14</v>
      </c>
      <c r="H1273" t="s">
        <v>15</v>
      </c>
    </row>
    <row r="1274" spans="1:9" x14ac:dyDescent="0.3">
      <c r="A1274" t="s">
        <v>3786</v>
      </c>
      <c r="B1274" t="s">
        <v>3787</v>
      </c>
      <c r="C1274" t="s">
        <v>69</v>
      </c>
      <c r="D1274" s="1">
        <v>45025</v>
      </c>
      <c r="E1274" t="s">
        <v>3788</v>
      </c>
      <c r="F1274" t="s">
        <v>13</v>
      </c>
      <c r="G1274" t="s">
        <v>174</v>
      </c>
      <c r="H1274" t="s">
        <v>15</v>
      </c>
      <c r="I1274" t="s">
        <v>71</v>
      </c>
    </row>
    <row r="1275" spans="1:9" x14ac:dyDescent="0.3">
      <c r="A1275" t="s">
        <v>3789</v>
      </c>
      <c r="B1275" t="s">
        <v>3790</v>
      </c>
      <c r="C1275" t="s">
        <v>11</v>
      </c>
      <c r="D1275" s="1">
        <v>45026</v>
      </c>
      <c r="E1275" t="s">
        <v>3791</v>
      </c>
      <c r="F1275" t="s">
        <v>13</v>
      </c>
      <c r="G1275" t="s">
        <v>14</v>
      </c>
      <c r="H1275" t="s">
        <v>15</v>
      </c>
      <c r="I1275" t="s">
        <v>38</v>
      </c>
    </row>
    <row r="1276" spans="1:9" x14ac:dyDescent="0.3">
      <c r="A1276" t="s">
        <v>3792</v>
      </c>
      <c r="B1276" t="s">
        <v>3793</v>
      </c>
      <c r="C1276" t="s">
        <v>24</v>
      </c>
      <c r="D1276" s="1">
        <v>45028</v>
      </c>
      <c r="E1276" t="s">
        <v>3794</v>
      </c>
      <c r="F1276" t="s">
        <v>13</v>
      </c>
      <c r="G1276" t="s">
        <v>14</v>
      </c>
      <c r="H1276" t="s">
        <v>15</v>
      </c>
      <c r="I1276" t="s">
        <v>63</v>
      </c>
    </row>
    <row r="1277" spans="1:9" x14ac:dyDescent="0.3">
      <c r="A1277" t="s">
        <v>3795</v>
      </c>
      <c r="B1277" t="s">
        <v>3796</v>
      </c>
      <c r="C1277" t="s">
        <v>69</v>
      </c>
      <c r="D1277" s="1">
        <v>45029</v>
      </c>
      <c r="E1277" t="s">
        <v>3797</v>
      </c>
      <c r="F1277" t="s">
        <v>13</v>
      </c>
      <c r="G1277" t="s">
        <v>14</v>
      </c>
      <c r="H1277" t="s">
        <v>15</v>
      </c>
      <c r="I1277" t="s">
        <v>71</v>
      </c>
    </row>
    <row r="1278" spans="1:9" x14ac:dyDescent="0.3">
      <c r="A1278" t="s">
        <v>3798</v>
      </c>
      <c r="B1278" t="s">
        <v>3799</v>
      </c>
      <c r="C1278" t="s">
        <v>19</v>
      </c>
      <c r="D1278" s="1">
        <v>45029</v>
      </c>
      <c r="E1278" t="s">
        <v>3800</v>
      </c>
      <c r="F1278" t="s">
        <v>13</v>
      </c>
      <c r="G1278" t="s">
        <v>14</v>
      </c>
      <c r="H1278" t="s">
        <v>15</v>
      </c>
      <c r="I1278" t="s">
        <v>21</v>
      </c>
    </row>
    <row r="1279" spans="1:9" x14ac:dyDescent="0.3">
      <c r="A1279" t="s">
        <v>3801</v>
      </c>
      <c r="B1279" t="s">
        <v>3802</v>
      </c>
      <c r="C1279" t="s">
        <v>69</v>
      </c>
      <c r="D1279" s="1">
        <v>45029</v>
      </c>
      <c r="E1279" t="s">
        <v>3803</v>
      </c>
      <c r="F1279" t="s">
        <v>13</v>
      </c>
      <c r="G1279" t="s">
        <v>14</v>
      </c>
      <c r="H1279" t="s">
        <v>15</v>
      </c>
      <c r="I1279" t="s">
        <v>71</v>
      </c>
    </row>
    <row r="1280" spans="1:9" x14ac:dyDescent="0.3">
      <c r="A1280" t="s">
        <v>3804</v>
      </c>
      <c r="B1280" t="s">
        <v>3805</v>
      </c>
      <c r="C1280" t="s">
        <v>29</v>
      </c>
      <c r="D1280" s="1">
        <v>45029</v>
      </c>
      <c r="E1280" t="s">
        <v>3806</v>
      </c>
      <c r="F1280" t="s">
        <v>13</v>
      </c>
      <c r="G1280" t="s">
        <v>14</v>
      </c>
      <c r="H1280" t="s">
        <v>15</v>
      </c>
      <c r="I1280" t="s">
        <v>42</v>
      </c>
    </row>
    <row r="1281" spans="1:9" x14ac:dyDescent="0.3">
      <c r="A1281" t="s">
        <v>3807</v>
      </c>
      <c r="B1281" t="s">
        <v>3808</v>
      </c>
      <c r="C1281" t="s">
        <v>19</v>
      </c>
      <c r="D1281" s="1">
        <v>45030</v>
      </c>
      <c r="E1281" t="s">
        <v>3809</v>
      </c>
      <c r="F1281" t="s">
        <v>13</v>
      </c>
      <c r="G1281" t="s">
        <v>174</v>
      </c>
      <c r="H1281" t="s">
        <v>15</v>
      </c>
      <c r="I1281" t="s">
        <v>21</v>
      </c>
    </row>
    <row r="1282" spans="1:9" x14ac:dyDescent="0.3">
      <c r="A1282" t="s">
        <v>3810</v>
      </c>
      <c r="B1282" t="s">
        <v>3811</v>
      </c>
      <c r="C1282" t="s">
        <v>19</v>
      </c>
      <c r="D1282" s="1">
        <v>45030</v>
      </c>
      <c r="E1282" t="s">
        <v>3812</v>
      </c>
      <c r="F1282" t="s">
        <v>13</v>
      </c>
      <c r="G1282" t="s">
        <v>14</v>
      </c>
      <c r="H1282" t="s">
        <v>15</v>
      </c>
      <c r="I1282" t="s">
        <v>116</v>
      </c>
    </row>
    <row r="1283" spans="1:9" x14ac:dyDescent="0.3">
      <c r="A1283" t="s">
        <v>3813</v>
      </c>
      <c r="B1283" t="s">
        <v>3814</v>
      </c>
      <c r="C1283" t="s">
        <v>45</v>
      </c>
      <c r="D1283" s="1">
        <v>45030</v>
      </c>
      <c r="E1283" t="s">
        <v>3815</v>
      </c>
      <c r="F1283" t="s">
        <v>13</v>
      </c>
      <c r="G1283" t="s">
        <v>14</v>
      </c>
      <c r="H1283" t="s">
        <v>15</v>
      </c>
      <c r="I1283" t="s">
        <v>248</v>
      </c>
    </row>
    <row r="1284" spans="1:9" x14ac:dyDescent="0.3">
      <c r="A1284" t="s">
        <v>3816</v>
      </c>
      <c r="B1284" t="s">
        <v>3817</v>
      </c>
      <c r="C1284" t="s">
        <v>54</v>
      </c>
      <c r="D1284" s="1">
        <v>45031</v>
      </c>
      <c r="E1284" t="s">
        <v>3818</v>
      </c>
      <c r="F1284" t="s">
        <v>13</v>
      </c>
      <c r="G1284" t="s">
        <v>14</v>
      </c>
      <c r="H1284" t="s">
        <v>15</v>
      </c>
      <c r="I1284" t="s">
        <v>181</v>
      </c>
    </row>
    <row r="1285" spans="1:9" x14ac:dyDescent="0.3">
      <c r="A1285" t="s">
        <v>3819</v>
      </c>
      <c r="B1285" t="s">
        <v>3820</v>
      </c>
      <c r="C1285" t="s">
        <v>33</v>
      </c>
      <c r="D1285" s="1">
        <v>45031</v>
      </c>
      <c r="E1285" t="s">
        <v>3821</v>
      </c>
      <c r="F1285" t="s">
        <v>13</v>
      </c>
      <c r="G1285" t="s">
        <v>14</v>
      </c>
      <c r="H1285" t="s">
        <v>15</v>
      </c>
      <c r="I1285" t="s">
        <v>51</v>
      </c>
    </row>
    <row r="1286" spans="1:9" x14ac:dyDescent="0.3">
      <c r="A1286" t="s">
        <v>3822</v>
      </c>
      <c r="B1286" t="s">
        <v>3823</v>
      </c>
      <c r="C1286" t="s">
        <v>11</v>
      </c>
      <c r="D1286" s="1">
        <v>45032</v>
      </c>
      <c r="E1286" t="s">
        <v>3824</v>
      </c>
      <c r="F1286" t="s">
        <v>13</v>
      </c>
      <c r="G1286" t="s">
        <v>14</v>
      </c>
      <c r="H1286" t="s">
        <v>15</v>
      </c>
      <c r="I1286" t="s">
        <v>16</v>
      </c>
    </row>
    <row r="1287" spans="1:9" x14ac:dyDescent="0.3">
      <c r="A1287" t="s">
        <v>3825</v>
      </c>
      <c r="B1287" t="s">
        <v>3826</v>
      </c>
      <c r="C1287" t="s">
        <v>11</v>
      </c>
      <c r="D1287" s="1">
        <v>45032</v>
      </c>
      <c r="E1287" t="s">
        <v>3827</v>
      </c>
      <c r="F1287" t="s">
        <v>13</v>
      </c>
      <c r="G1287" t="s">
        <v>14</v>
      </c>
      <c r="H1287" t="s">
        <v>15</v>
      </c>
      <c r="I1287" t="s">
        <v>16</v>
      </c>
    </row>
    <row r="1288" spans="1:9" x14ac:dyDescent="0.3">
      <c r="A1288" t="s">
        <v>3828</v>
      </c>
      <c r="B1288" t="s">
        <v>3829</v>
      </c>
      <c r="C1288" t="s">
        <v>24</v>
      </c>
      <c r="D1288" s="1">
        <v>45032</v>
      </c>
      <c r="E1288" t="s">
        <v>3830</v>
      </c>
      <c r="F1288" t="s">
        <v>13</v>
      </c>
      <c r="G1288" t="s">
        <v>14</v>
      </c>
      <c r="H1288" t="s">
        <v>15</v>
      </c>
      <c r="I1288" t="s">
        <v>26</v>
      </c>
    </row>
    <row r="1289" spans="1:9" x14ac:dyDescent="0.3">
      <c r="A1289" t="s">
        <v>3831</v>
      </c>
      <c r="B1289" t="s">
        <v>3832</v>
      </c>
      <c r="C1289" t="s">
        <v>33</v>
      </c>
      <c r="D1289" s="1">
        <v>45034</v>
      </c>
      <c r="E1289" t="s">
        <v>3833</v>
      </c>
      <c r="F1289" t="s">
        <v>13</v>
      </c>
      <c r="G1289" t="s">
        <v>174</v>
      </c>
      <c r="H1289" t="s">
        <v>15</v>
      </c>
      <c r="I1289" t="s">
        <v>51</v>
      </c>
    </row>
    <row r="1290" spans="1:9" x14ac:dyDescent="0.3">
      <c r="A1290" t="s">
        <v>3834</v>
      </c>
      <c r="B1290" t="s">
        <v>3835</v>
      </c>
      <c r="C1290" t="s">
        <v>11</v>
      </c>
      <c r="D1290" s="1">
        <v>45034</v>
      </c>
      <c r="E1290" t="s">
        <v>3836</v>
      </c>
      <c r="F1290" t="s">
        <v>13</v>
      </c>
      <c r="G1290" t="s">
        <v>14</v>
      </c>
      <c r="H1290" t="s">
        <v>15</v>
      </c>
    </row>
    <row r="1291" spans="1:9" x14ac:dyDescent="0.3">
      <c r="A1291" t="s">
        <v>3837</v>
      </c>
      <c r="B1291" t="s">
        <v>3838</v>
      </c>
      <c r="C1291" t="s">
        <v>54</v>
      </c>
      <c r="D1291" s="1">
        <v>45035</v>
      </c>
      <c r="E1291" t="s">
        <v>3839</v>
      </c>
      <c r="F1291" t="s">
        <v>13</v>
      </c>
      <c r="G1291" t="s">
        <v>14</v>
      </c>
      <c r="H1291" t="s">
        <v>15</v>
      </c>
      <c r="I1291" t="s">
        <v>238</v>
      </c>
    </row>
    <row r="1292" spans="1:9" x14ac:dyDescent="0.3">
      <c r="A1292" t="s">
        <v>3840</v>
      </c>
      <c r="B1292" t="s">
        <v>3841</v>
      </c>
      <c r="C1292" t="s">
        <v>54</v>
      </c>
      <c r="D1292" s="1">
        <v>45035</v>
      </c>
      <c r="E1292" t="s">
        <v>3842</v>
      </c>
      <c r="F1292" t="s">
        <v>13</v>
      </c>
      <c r="G1292" t="s">
        <v>14</v>
      </c>
      <c r="H1292" t="s">
        <v>15</v>
      </c>
      <c r="I1292" t="s">
        <v>181</v>
      </c>
    </row>
    <row r="1293" spans="1:9" x14ac:dyDescent="0.3">
      <c r="A1293" t="s">
        <v>3843</v>
      </c>
      <c r="B1293" t="s">
        <v>3844</v>
      </c>
      <c r="C1293" t="s">
        <v>24</v>
      </c>
      <c r="D1293" s="1">
        <v>45035</v>
      </c>
      <c r="E1293" t="s">
        <v>3845</v>
      </c>
      <c r="F1293" t="s">
        <v>13</v>
      </c>
      <c r="G1293" t="s">
        <v>14</v>
      </c>
      <c r="H1293" t="s">
        <v>15</v>
      </c>
    </row>
    <row r="1294" spans="1:9" x14ac:dyDescent="0.3">
      <c r="A1294" t="s">
        <v>3846</v>
      </c>
      <c r="B1294" t="s">
        <v>3847</v>
      </c>
      <c r="C1294" t="s">
        <v>69</v>
      </c>
      <c r="D1294" s="1">
        <v>45035</v>
      </c>
      <c r="E1294" t="s">
        <v>3848</v>
      </c>
      <c r="F1294" t="s">
        <v>13</v>
      </c>
      <c r="G1294" t="s">
        <v>14</v>
      </c>
      <c r="H1294" t="s">
        <v>15</v>
      </c>
    </row>
    <row r="1295" spans="1:9" x14ac:dyDescent="0.3">
      <c r="A1295" t="s">
        <v>3849</v>
      </c>
      <c r="B1295" t="s">
        <v>3850</v>
      </c>
      <c r="C1295" t="s">
        <v>29</v>
      </c>
      <c r="D1295" s="1">
        <v>45036</v>
      </c>
      <c r="E1295" t="s">
        <v>3851</v>
      </c>
      <c r="F1295" t="s">
        <v>13</v>
      </c>
      <c r="G1295" t="s">
        <v>14</v>
      </c>
      <c r="H1295" t="s">
        <v>15</v>
      </c>
      <c r="I1295" t="s">
        <v>204</v>
      </c>
    </row>
    <row r="1296" spans="1:9" x14ac:dyDescent="0.3">
      <c r="A1296" t="s">
        <v>3852</v>
      </c>
      <c r="B1296" t="s">
        <v>3853</v>
      </c>
      <c r="C1296" t="s">
        <v>29</v>
      </c>
      <c r="D1296" s="1">
        <v>45036</v>
      </c>
      <c r="E1296" t="s">
        <v>3854</v>
      </c>
      <c r="F1296" t="s">
        <v>13</v>
      </c>
      <c r="G1296" t="s">
        <v>14</v>
      </c>
      <c r="H1296" t="s">
        <v>15</v>
      </c>
      <c r="I1296" t="s">
        <v>42</v>
      </c>
    </row>
    <row r="1297" spans="1:9" x14ac:dyDescent="0.3">
      <c r="A1297" t="s">
        <v>3855</v>
      </c>
      <c r="B1297" t="s">
        <v>3856</v>
      </c>
      <c r="C1297" t="s">
        <v>69</v>
      </c>
      <c r="D1297" s="1">
        <v>45036</v>
      </c>
      <c r="E1297" t="s">
        <v>3857</v>
      </c>
      <c r="F1297" t="s">
        <v>13</v>
      </c>
      <c r="G1297" t="s">
        <v>14</v>
      </c>
      <c r="H1297" t="s">
        <v>15</v>
      </c>
    </row>
    <row r="1298" spans="1:9" x14ac:dyDescent="0.3">
      <c r="A1298" t="s">
        <v>3858</v>
      </c>
      <c r="B1298" t="s">
        <v>3859</v>
      </c>
      <c r="C1298" t="s">
        <v>33</v>
      </c>
      <c r="D1298" s="1">
        <v>45037</v>
      </c>
      <c r="E1298" t="s">
        <v>3860</v>
      </c>
      <c r="F1298" t="s">
        <v>13</v>
      </c>
      <c r="G1298" t="s">
        <v>14</v>
      </c>
      <c r="H1298" t="s">
        <v>15</v>
      </c>
    </row>
    <row r="1299" spans="1:9" x14ac:dyDescent="0.3">
      <c r="A1299" t="s">
        <v>3861</v>
      </c>
      <c r="B1299" t="s">
        <v>3862</v>
      </c>
      <c r="C1299" t="s">
        <v>24</v>
      </c>
      <c r="D1299" s="1">
        <v>45038</v>
      </c>
      <c r="E1299" t="s">
        <v>3863</v>
      </c>
      <c r="F1299" t="s">
        <v>13</v>
      </c>
      <c r="G1299" t="s">
        <v>14</v>
      </c>
      <c r="H1299" t="s">
        <v>15</v>
      </c>
      <c r="I1299" t="s">
        <v>63</v>
      </c>
    </row>
    <row r="1300" spans="1:9" x14ac:dyDescent="0.3">
      <c r="A1300" t="s">
        <v>3864</v>
      </c>
      <c r="B1300" t="s">
        <v>3865</v>
      </c>
      <c r="C1300" t="s">
        <v>24</v>
      </c>
      <c r="D1300" s="1">
        <v>45038</v>
      </c>
      <c r="E1300" t="s">
        <v>3866</v>
      </c>
      <c r="F1300" t="s">
        <v>13</v>
      </c>
      <c r="G1300" t="s">
        <v>14</v>
      </c>
      <c r="H1300" t="s">
        <v>15</v>
      </c>
    </row>
    <row r="1301" spans="1:9" x14ac:dyDescent="0.3">
      <c r="A1301" t="s">
        <v>3867</v>
      </c>
      <c r="B1301" t="s">
        <v>3868</v>
      </c>
      <c r="C1301" t="s">
        <v>19</v>
      </c>
      <c r="D1301" s="1">
        <v>45038</v>
      </c>
      <c r="E1301" t="s">
        <v>3869</v>
      </c>
      <c r="F1301" t="s">
        <v>13</v>
      </c>
      <c r="G1301" t="s">
        <v>14</v>
      </c>
      <c r="H1301" t="s">
        <v>15</v>
      </c>
      <c r="I1301" t="s">
        <v>21</v>
      </c>
    </row>
    <row r="1302" spans="1:9" x14ac:dyDescent="0.3">
      <c r="A1302" t="s">
        <v>3870</v>
      </c>
      <c r="B1302" t="s">
        <v>3871</v>
      </c>
      <c r="C1302" t="s">
        <v>33</v>
      </c>
      <c r="D1302" s="1">
        <v>45039</v>
      </c>
      <c r="E1302" t="s">
        <v>3872</v>
      </c>
      <c r="F1302" t="s">
        <v>13</v>
      </c>
      <c r="G1302" t="s">
        <v>14</v>
      </c>
      <c r="H1302" t="s">
        <v>15</v>
      </c>
    </row>
    <row r="1303" spans="1:9" x14ac:dyDescent="0.3">
      <c r="A1303" t="s">
        <v>3873</v>
      </c>
      <c r="B1303" t="s">
        <v>3874</v>
      </c>
      <c r="C1303" t="s">
        <v>54</v>
      </c>
      <c r="D1303" s="1">
        <v>45039</v>
      </c>
      <c r="E1303" t="s">
        <v>3875</v>
      </c>
      <c r="F1303" t="s">
        <v>13</v>
      </c>
      <c r="G1303" t="s">
        <v>14</v>
      </c>
      <c r="H1303" t="s">
        <v>15</v>
      </c>
    </row>
    <row r="1304" spans="1:9" x14ac:dyDescent="0.3">
      <c r="A1304" t="s">
        <v>3876</v>
      </c>
      <c r="B1304" t="s">
        <v>3877</v>
      </c>
      <c r="C1304" t="s">
        <v>11</v>
      </c>
      <c r="D1304" s="1">
        <v>45039</v>
      </c>
      <c r="E1304" t="s">
        <v>3878</v>
      </c>
      <c r="F1304" t="s">
        <v>13</v>
      </c>
      <c r="G1304" t="s">
        <v>14</v>
      </c>
      <c r="H1304" t="s">
        <v>15</v>
      </c>
    </row>
    <row r="1305" spans="1:9" x14ac:dyDescent="0.3">
      <c r="A1305" t="s">
        <v>3879</v>
      </c>
      <c r="B1305" t="s">
        <v>3880</v>
      </c>
      <c r="C1305" t="s">
        <v>24</v>
      </c>
      <c r="D1305" s="1">
        <v>45040</v>
      </c>
      <c r="E1305" t="s">
        <v>3881</v>
      </c>
      <c r="F1305" t="s">
        <v>13</v>
      </c>
      <c r="G1305" t="s">
        <v>14</v>
      </c>
      <c r="H1305" t="s">
        <v>15</v>
      </c>
      <c r="I1305" t="s">
        <v>63</v>
      </c>
    </row>
    <row r="1306" spans="1:9" x14ac:dyDescent="0.3">
      <c r="A1306" t="s">
        <v>3882</v>
      </c>
      <c r="B1306" t="s">
        <v>3883</v>
      </c>
      <c r="C1306" t="s">
        <v>11</v>
      </c>
      <c r="D1306" s="1">
        <v>45041</v>
      </c>
      <c r="E1306" t="s">
        <v>3884</v>
      </c>
      <c r="F1306" t="s">
        <v>13</v>
      </c>
      <c r="G1306" t="s">
        <v>14</v>
      </c>
      <c r="H1306" t="s">
        <v>15</v>
      </c>
    </row>
    <row r="1307" spans="1:9" x14ac:dyDescent="0.3">
      <c r="A1307" t="s">
        <v>3810</v>
      </c>
      <c r="B1307" t="s">
        <v>3885</v>
      </c>
      <c r="C1307" t="s">
        <v>19</v>
      </c>
      <c r="D1307" s="1">
        <v>45041</v>
      </c>
      <c r="E1307" t="s">
        <v>3886</v>
      </c>
      <c r="F1307" t="s">
        <v>13</v>
      </c>
      <c r="G1307" t="s">
        <v>14</v>
      </c>
      <c r="H1307" t="s">
        <v>15</v>
      </c>
      <c r="I1307" t="s">
        <v>116</v>
      </c>
    </row>
    <row r="1308" spans="1:9" x14ac:dyDescent="0.3">
      <c r="A1308" t="s">
        <v>3887</v>
      </c>
      <c r="B1308" t="s">
        <v>3888</v>
      </c>
      <c r="C1308" t="s">
        <v>19</v>
      </c>
      <c r="D1308" s="1">
        <v>45041</v>
      </c>
      <c r="E1308" t="s">
        <v>3889</v>
      </c>
      <c r="F1308" t="s">
        <v>13</v>
      </c>
      <c r="G1308" t="s">
        <v>14</v>
      </c>
      <c r="H1308" t="s">
        <v>15</v>
      </c>
      <c r="I1308" t="s">
        <v>116</v>
      </c>
    </row>
    <row r="1309" spans="1:9" x14ac:dyDescent="0.3">
      <c r="A1309" t="s">
        <v>3890</v>
      </c>
      <c r="B1309" t="s">
        <v>3891</v>
      </c>
      <c r="C1309" t="s">
        <v>45</v>
      </c>
      <c r="D1309" s="1">
        <v>45042</v>
      </c>
      <c r="E1309" t="s">
        <v>3892</v>
      </c>
      <c r="F1309" t="s">
        <v>13</v>
      </c>
      <c r="G1309" t="s">
        <v>14</v>
      </c>
      <c r="H1309" t="s">
        <v>15</v>
      </c>
      <c r="I1309" t="s">
        <v>248</v>
      </c>
    </row>
    <row r="1310" spans="1:9" x14ac:dyDescent="0.3">
      <c r="A1310" t="s">
        <v>3893</v>
      </c>
      <c r="B1310" t="s">
        <v>3894</v>
      </c>
      <c r="C1310" t="s">
        <v>69</v>
      </c>
      <c r="D1310" s="1">
        <v>45042</v>
      </c>
      <c r="E1310" t="s">
        <v>3895</v>
      </c>
      <c r="F1310" t="s">
        <v>13</v>
      </c>
      <c r="G1310" t="s">
        <v>174</v>
      </c>
      <c r="H1310" t="s">
        <v>15</v>
      </c>
      <c r="I1310" t="s">
        <v>71</v>
      </c>
    </row>
    <row r="1311" spans="1:9" x14ac:dyDescent="0.3">
      <c r="A1311" t="s">
        <v>3896</v>
      </c>
      <c r="B1311" t="s">
        <v>3897</v>
      </c>
      <c r="C1311" t="s">
        <v>33</v>
      </c>
      <c r="D1311" s="1">
        <v>45042</v>
      </c>
      <c r="E1311" t="s">
        <v>3898</v>
      </c>
      <c r="F1311" t="s">
        <v>13</v>
      </c>
      <c r="G1311" t="s">
        <v>14</v>
      </c>
      <c r="H1311" t="s">
        <v>15</v>
      </c>
      <c r="I1311" t="s">
        <v>94</v>
      </c>
    </row>
    <row r="1312" spans="1:9" x14ac:dyDescent="0.3">
      <c r="A1312" t="s">
        <v>3899</v>
      </c>
      <c r="B1312" t="s">
        <v>3900</v>
      </c>
      <c r="C1312" t="s">
        <v>19</v>
      </c>
      <c r="D1312" s="1">
        <v>45042</v>
      </c>
      <c r="E1312" t="s">
        <v>3901</v>
      </c>
      <c r="F1312" t="s">
        <v>13</v>
      </c>
      <c r="G1312" t="s">
        <v>14</v>
      </c>
      <c r="H1312" t="s">
        <v>15</v>
      </c>
    </row>
    <row r="1313" spans="1:9" x14ac:dyDescent="0.3">
      <c r="A1313" t="s">
        <v>3292</v>
      </c>
      <c r="B1313" t="s">
        <v>3902</v>
      </c>
      <c r="C1313" t="s">
        <v>19</v>
      </c>
      <c r="D1313" s="1">
        <v>45043</v>
      </c>
      <c r="E1313" t="s">
        <v>3903</v>
      </c>
      <c r="F1313" t="s">
        <v>13</v>
      </c>
      <c r="G1313" t="s">
        <v>14</v>
      </c>
      <c r="H1313" t="s">
        <v>15</v>
      </c>
    </row>
    <row r="1314" spans="1:9" x14ac:dyDescent="0.3">
      <c r="A1314" t="s">
        <v>3904</v>
      </c>
      <c r="B1314" t="s">
        <v>3905</v>
      </c>
      <c r="C1314" t="s">
        <v>54</v>
      </c>
      <c r="D1314" s="1">
        <v>45043</v>
      </c>
      <c r="E1314" t="s">
        <v>3906</v>
      </c>
      <c r="F1314" t="s">
        <v>13</v>
      </c>
      <c r="G1314" t="s">
        <v>14</v>
      </c>
      <c r="H1314" t="s">
        <v>15</v>
      </c>
      <c r="I1314" t="s">
        <v>181</v>
      </c>
    </row>
    <row r="1315" spans="1:9" x14ac:dyDescent="0.3">
      <c r="A1315" t="s">
        <v>3907</v>
      </c>
      <c r="B1315" t="s">
        <v>3908</v>
      </c>
      <c r="C1315" t="s">
        <v>24</v>
      </c>
      <c r="D1315" s="1">
        <v>45043</v>
      </c>
      <c r="E1315" t="s">
        <v>3909</v>
      </c>
      <c r="F1315" t="s">
        <v>13</v>
      </c>
      <c r="G1315" t="s">
        <v>14</v>
      </c>
      <c r="H1315" t="s">
        <v>15</v>
      </c>
    </row>
    <row r="1316" spans="1:9" x14ac:dyDescent="0.3">
      <c r="A1316" t="s">
        <v>3910</v>
      </c>
      <c r="B1316" t="s">
        <v>3911</v>
      </c>
      <c r="C1316" t="s">
        <v>11</v>
      </c>
      <c r="D1316" s="1">
        <v>45044</v>
      </c>
      <c r="E1316" t="s">
        <v>3912</v>
      </c>
      <c r="F1316" t="s">
        <v>13</v>
      </c>
      <c r="G1316" t="s">
        <v>14</v>
      </c>
      <c r="H1316" t="s">
        <v>15</v>
      </c>
      <c r="I1316" t="s">
        <v>185</v>
      </c>
    </row>
    <row r="1317" spans="1:9" x14ac:dyDescent="0.3">
      <c r="A1317" t="s">
        <v>3913</v>
      </c>
      <c r="B1317" t="s">
        <v>3914</v>
      </c>
      <c r="C1317" t="s">
        <v>29</v>
      </c>
      <c r="D1317" s="1">
        <v>45044</v>
      </c>
      <c r="E1317" t="s">
        <v>3915</v>
      </c>
      <c r="F1317" t="s">
        <v>13</v>
      </c>
      <c r="G1317" t="s">
        <v>14</v>
      </c>
      <c r="H1317" t="s">
        <v>15</v>
      </c>
      <c r="I1317" t="s">
        <v>81</v>
      </c>
    </row>
    <row r="1318" spans="1:9" x14ac:dyDescent="0.3">
      <c r="A1318" t="s">
        <v>3916</v>
      </c>
      <c r="B1318" t="s">
        <v>3917</v>
      </c>
      <c r="C1318" t="s">
        <v>29</v>
      </c>
      <c r="D1318" s="1">
        <v>45044</v>
      </c>
      <c r="E1318" t="s">
        <v>3918</v>
      </c>
      <c r="F1318" t="s">
        <v>13</v>
      </c>
      <c r="G1318" t="s">
        <v>14</v>
      </c>
      <c r="H1318" t="s">
        <v>15</v>
      </c>
      <c r="I1318" t="s">
        <v>42</v>
      </c>
    </row>
    <row r="1319" spans="1:9" x14ac:dyDescent="0.3">
      <c r="A1319" t="s">
        <v>3919</v>
      </c>
      <c r="B1319" t="s">
        <v>3920</v>
      </c>
      <c r="C1319" t="s">
        <v>11</v>
      </c>
      <c r="D1319" s="1">
        <v>45044</v>
      </c>
      <c r="E1319" t="s">
        <v>3921</v>
      </c>
      <c r="F1319" t="s">
        <v>13</v>
      </c>
      <c r="G1319" t="s">
        <v>14</v>
      </c>
      <c r="H1319" t="s">
        <v>15</v>
      </c>
      <c r="I1319" t="s">
        <v>185</v>
      </c>
    </row>
    <row r="1320" spans="1:9" x14ac:dyDescent="0.3">
      <c r="A1320" t="s">
        <v>3922</v>
      </c>
      <c r="B1320" t="s">
        <v>3923</v>
      </c>
      <c r="C1320" t="s">
        <v>29</v>
      </c>
      <c r="D1320" s="1">
        <v>45044</v>
      </c>
      <c r="E1320" t="s">
        <v>3924</v>
      </c>
      <c r="F1320" t="s">
        <v>13</v>
      </c>
      <c r="G1320" t="s">
        <v>14</v>
      </c>
      <c r="H1320" t="s">
        <v>15</v>
      </c>
    </row>
    <row r="1321" spans="1:9" x14ac:dyDescent="0.3">
      <c r="A1321" t="s">
        <v>3925</v>
      </c>
      <c r="B1321" t="s">
        <v>3926</v>
      </c>
      <c r="C1321" t="s">
        <v>54</v>
      </c>
      <c r="D1321" s="1">
        <v>45045</v>
      </c>
      <c r="E1321" t="s">
        <v>3927</v>
      </c>
      <c r="F1321" t="s">
        <v>13</v>
      </c>
      <c r="G1321" t="s">
        <v>14</v>
      </c>
      <c r="H1321" t="s">
        <v>15</v>
      </c>
    </row>
    <row r="1322" spans="1:9" x14ac:dyDescent="0.3">
      <c r="A1322" t="s">
        <v>3928</v>
      </c>
      <c r="B1322" t="s">
        <v>3929</v>
      </c>
      <c r="C1322" t="s">
        <v>33</v>
      </c>
      <c r="D1322" s="1">
        <v>45045</v>
      </c>
      <c r="E1322" t="s">
        <v>3930</v>
      </c>
      <c r="F1322" t="s">
        <v>13</v>
      </c>
      <c r="G1322" t="s">
        <v>14</v>
      </c>
      <c r="H1322" t="s">
        <v>15</v>
      </c>
      <c r="I1322" t="s">
        <v>94</v>
      </c>
    </row>
    <row r="1323" spans="1:9" x14ac:dyDescent="0.3">
      <c r="A1323" t="s">
        <v>3931</v>
      </c>
      <c r="B1323" t="s">
        <v>3932</v>
      </c>
      <c r="C1323" t="s">
        <v>33</v>
      </c>
      <c r="D1323" s="1">
        <v>45045</v>
      </c>
      <c r="E1323" t="s">
        <v>3933</v>
      </c>
      <c r="F1323" t="s">
        <v>13</v>
      </c>
      <c r="G1323" t="s">
        <v>14</v>
      </c>
      <c r="H1323" t="s">
        <v>15</v>
      </c>
      <c r="I1323" t="s">
        <v>51</v>
      </c>
    </row>
    <row r="1324" spans="1:9" x14ac:dyDescent="0.3">
      <c r="A1324" t="s">
        <v>3934</v>
      </c>
      <c r="B1324" t="s">
        <v>3935</v>
      </c>
      <c r="C1324" t="s">
        <v>45</v>
      </c>
      <c r="D1324" s="1">
        <v>45046</v>
      </c>
      <c r="E1324" t="s">
        <v>3936</v>
      </c>
      <c r="F1324" t="s">
        <v>13</v>
      </c>
      <c r="G1324" t="s">
        <v>14</v>
      </c>
      <c r="H1324" t="s">
        <v>15</v>
      </c>
      <c r="I1324" t="s">
        <v>47</v>
      </c>
    </row>
    <row r="1325" spans="1:9" x14ac:dyDescent="0.3">
      <c r="A1325" t="s">
        <v>3937</v>
      </c>
      <c r="B1325" t="s">
        <v>3938</v>
      </c>
      <c r="C1325" t="s">
        <v>11</v>
      </c>
      <c r="D1325" s="1">
        <v>45046</v>
      </c>
      <c r="E1325" t="s">
        <v>3939</v>
      </c>
      <c r="F1325" t="s">
        <v>13</v>
      </c>
      <c r="G1325" t="s">
        <v>14</v>
      </c>
      <c r="H1325" t="s">
        <v>15</v>
      </c>
      <c r="I1325" t="s">
        <v>16</v>
      </c>
    </row>
    <row r="1326" spans="1:9" x14ac:dyDescent="0.3">
      <c r="A1326" t="s">
        <v>3940</v>
      </c>
      <c r="B1326" t="s">
        <v>3941</v>
      </c>
      <c r="C1326" t="s">
        <v>29</v>
      </c>
      <c r="D1326" s="1">
        <v>45047</v>
      </c>
      <c r="E1326" t="s">
        <v>3942</v>
      </c>
      <c r="F1326" t="s">
        <v>13</v>
      </c>
      <c r="G1326" t="s">
        <v>14</v>
      </c>
      <c r="H1326" t="s">
        <v>15</v>
      </c>
      <c r="I1326" t="s">
        <v>204</v>
      </c>
    </row>
    <row r="1327" spans="1:9" x14ac:dyDescent="0.3">
      <c r="A1327" t="s">
        <v>3943</v>
      </c>
      <c r="B1327" t="s">
        <v>3944</v>
      </c>
      <c r="C1327" t="s">
        <v>19</v>
      </c>
      <c r="D1327" s="1">
        <v>45048</v>
      </c>
      <c r="E1327" t="s">
        <v>3945</v>
      </c>
      <c r="F1327" t="s">
        <v>13</v>
      </c>
      <c r="G1327" t="s">
        <v>14</v>
      </c>
      <c r="H1327" t="s">
        <v>15</v>
      </c>
      <c r="I1327" t="s">
        <v>21</v>
      </c>
    </row>
    <row r="1328" spans="1:9" x14ac:dyDescent="0.3">
      <c r="A1328" t="s">
        <v>3946</v>
      </c>
      <c r="B1328" t="s">
        <v>3947</v>
      </c>
      <c r="C1328" t="s">
        <v>45</v>
      </c>
      <c r="D1328" s="1">
        <v>45048</v>
      </c>
      <c r="E1328" t="s">
        <v>3948</v>
      </c>
      <c r="F1328" t="s">
        <v>13</v>
      </c>
      <c r="G1328" t="s">
        <v>14</v>
      </c>
      <c r="H1328" t="s">
        <v>15</v>
      </c>
      <c r="I1328" t="s">
        <v>248</v>
      </c>
    </row>
    <row r="1329" spans="1:9" x14ac:dyDescent="0.3">
      <c r="A1329" t="s">
        <v>3949</v>
      </c>
      <c r="B1329" t="s">
        <v>3950</v>
      </c>
      <c r="C1329" t="s">
        <v>33</v>
      </c>
      <c r="D1329" s="1">
        <v>45048</v>
      </c>
      <c r="E1329" t="s">
        <v>3951</v>
      </c>
      <c r="F1329" t="s">
        <v>13</v>
      </c>
      <c r="G1329" t="s">
        <v>14</v>
      </c>
      <c r="H1329" t="s">
        <v>15</v>
      </c>
    </row>
    <row r="1330" spans="1:9" x14ac:dyDescent="0.3">
      <c r="A1330" t="s">
        <v>3952</v>
      </c>
      <c r="B1330" t="s">
        <v>3953</v>
      </c>
      <c r="C1330" t="s">
        <v>45</v>
      </c>
      <c r="D1330" s="1">
        <v>45049</v>
      </c>
      <c r="E1330" t="s">
        <v>3954</v>
      </c>
      <c r="F1330" t="s">
        <v>13</v>
      </c>
      <c r="G1330" t="s">
        <v>14</v>
      </c>
      <c r="H1330" t="s">
        <v>15</v>
      </c>
      <c r="I1330" t="s">
        <v>248</v>
      </c>
    </row>
    <row r="1331" spans="1:9" x14ac:dyDescent="0.3">
      <c r="A1331" t="s">
        <v>3955</v>
      </c>
      <c r="B1331" t="s">
        <v>3956</v>
      </c>
      <c r="C1331" t="s">
        <v>54</v>
      </c>
      <c r="D1331" s="1">
        <v>45049</v>
      </c>
      <c r="E1331" t="s">
        <v>3957</v>
      </c>
      <c r="F1331" t="s">
        <v>13</v>
      </c>
      <c r="G1331" t="s">
        <v>14</v>
      </c>
      <c r="H1331" t="s">
        <v>15</v>
      </c>
    </row>
    <row r="1332" spans="1:9" x14ac:dyDescent="0.3">
      <c r="A1332" t="s">
        <v>3958</v>
      </c>
      <c r="B1332" t="s">
        <v>3959</v>
      </c>
      <c r="C1332" t="s">
        <v>24</v>
      </c>
      <c r="D1332" s="1">
        <v>45051</v>
      </c>
      <c r="E1332" t="s">
        <v>3960</v>
      </c>
      <c r="F1332" t="s">
        <v>13</v>
      </c>
      <c r="G1332" t="s">
        <v>14</v>
      </c>
      <c r="H1332" t="s">
        <v>15</v>
      </c>
      <c r="I1332" t="s">
        <v>59</v>
      </c>
    </row>
    <row r="1333" spans="1:9" x14ac:dyDescent="0.3">
      <c r="A1333" t="s">
        <v>3961</v>
      </c>
      <c r="B1333" t="s">
        <v>3962</v>
      </c>
      <c r="C1333" t="s">
        <v>69</v>
      </c>
      <c r="D1333" s="1">
        <v>45051</v>
      </c>
      <c r="E1333" t="s">
        <v>3963</v>
      </c>
      <c r="F1333" t="s">
        <v>13</v>
      </c>
      <c r="G1333" t="s">
        <v>14</v>
      </c>
      <c r="H1333" t="s">
        <v>15</v>
      </c>
      <c r="I1333" t="s">
        <v>71</v>
      </c>
    </row>
    <row r="1334" spans="1:9" x14ac:dyDescent="0.3">
      <c r="A1334" t="s">
        <v>3964</v>
      </c>
      <c r="B1334" t="s">
        <v>3965</v>
      </c>
      <c r="C1334" t="s">
        <v>45</v>
      </c>
      <c r="D1334" s="1">
        <v>45051</v>
      </c>
      <c r="E1334" t="s">
        <v>3966</v>
      </c>
      <c r="F1334" t="s">
        <v>13</v>
      </c>
      <c r="G1334" t="s">
        <v>14</v>
      </c>
      <c r="H1334" t="s">
        <v>15</v>
      </c>
      <c r="I1334" t="s">
        <v>47</v>
      </c>
    </row>
    <row r="1335" spans="1:9" x14ac:dyDescent="0.3">
      <c r="A1335" t="s">
        <v>3967</v>
      </c>
      <c r="B1335" t="s">
        <v>3968</v>
      </c>
      <c r="C1335" t="s">
        <v>54</v>
      </c>
      <c r="D1335" s="1">
        <v>45052</v>
      </c>
      <c r="E1335" t="s">
        <v>3969</v>
      </c>
      <c r="F1335" t="s">
        <v>13</v>
      </c>
      <c r="G1335" t="s">
        <v>14</v>
      </c>
      <c r="H1335" t="s">
        <v>15</v>
      </c>
      <c r="I1335" t="s">
        <v>181</v>
      </c>
    </row>
    <row r="1336" spans="1:9" x14ac:dyDescent="0.3">
      <c r="A1336" t="s">
        <v>3970</v>
      </c>
      <c r="B1336" t="s">
        <v>3971</v>
      </c>
      <c r="C1336" t="s">
        <v>69</v>
      </c>
      <c r="D1336" s="1">
        <v>45052</v>
      </c>
      <c r="E1336" t="s">
        <v>3972</v>
      </c>
      <c r="F1336" t="s">
        <v>13</v>
      </c>
      <c r="G1336" t="s">
        <v>14</v>
      </c>
      <c r="H1336" t="s">
        <v>15</v>
      </c>
      <c r="I1336" t="s">
        <v>71</v>
      </c>
    </row>
    <row r="1337" spans="1:9" x14ac:dyDescent="0.3">
      <c r="A1337" t="s">
        <v>2981</v>
      </c>
      <c r="B1337" t="s">
        <v>3973</v>
      </c>
      <c r="C1337" t="s">
        <v>19</v>
      </c>
      <c r="D1337" s="1">
        <v>45052</v>
      </c>
      <c r="E1337" t="s">
        <v>3974</v>
      </c>
      <c r="F1337" t="s">
        <v>13</v>
      </c>
      <c r="G1337" t="s">
        <v>14</v>
      </c>
      <c r="H1337" t="s">
        <v>15</v>
      </c>
      <c r="I1337" t="s">
        <v>21</v>
      </c>
    </row>
    <row r="1338" spans="1:9" x14ac:dyDescent="0.3">
      <c r="A1338" t="s">
        <v>3975</v>
      </c>
      <c r="B1338" t="s">
        <v>3976</v>
      </c>
      <c r="C1338" t="s">
        <v>29</v>
      </c>
      <c r="D1338" s="1">
        <v>45053</v>
      </c>
      <c r="E1338" t="s">
        <v>3977</v>
      </c>
      <c r="F1338" t="s">
        <v>13</v>
      </c>
      <c r="G1338" t="s">
        <v>14</v>
      </c>
      <c r="H1338" t="s">
        <v>15</v>
      </c>
    </row>
    <row r="1339" spans="1:9" x14ac:dyDescent="0.3">
      <c r="A1339" t="s">
        <v>3978</v>
      </c>
      <c r="B1339" t="s">
        <v>3979</v>
      </c>
      <c r="C1339" t="s">
        <v>33</v>
      </c>
      <c r="D1339" s="1">
        <v>45053</v>
      </c>
      <c r="E1339" t="s">
        <v>3980</v>
      </c>
      <c r="F1339" t="s">
        <v>13</v>
      </c>
      <c r="G1339" t="s">
        <v>14</v>
      </c>
      <c r="H1339" t="s">
        <v>15</v>
      </c>
      <c r="I1339" t="s">
        <v>94</v>
      </c>
    </row>
    <row r="1340" spans="1:9" x14ac:dyDescent="0.3">
      <c r="A1340" t="s">
        <v>3981</v>
      </c>
      <c r="B1340" t="s">
        <v>3982</v>
      </c>
      <c r="C1340" t="s">
        <v>29</v>
      </c>
      <c r="D1340" s="1">
        <v>45054</v>
      </c>
      <c r="E1340" t="s">
        <v>3983</v>
      </c>
      <c r="F1340" t="s">
        <v>13</v>
      </c>
      <c r="G1340" t="s">
        <v>14</v>
      </c>
      <c r="H1340" t="s">
        <v>15</v>
      </c>
      <c r="I1340" t="s">
        <v>42</v>
      </c>
    </row>
    <row r="1341" spans="1:9" x14ac:dyDescent="0.3">
      <c r="A1341" t="s">
        <v>3984</v>
      </c>
      <c r="B1341" t="s">
        <v>3985</v>
      </c>
      <c r="C1341" t="s">
        <v>19</v>
      </c>
      <c r="D1341" s="1">
        <v>45055</v>
      </c>
      <c r="E1341" t="s">
        <v>3986</v>
      </c>
      <c r="F1341" t="s">
        <v>13</v>
      </c>
      <c r="G1341" t="s">
        <v>14</v>
      </c>
      <c r="H1341" t="s">
        <v>15</v>
      </c>
      <c r="I1341" t="s">
        <v>116</v>
      </c>
    </row>
    <row r="1342" spans="1:9" x14ac:dyDescent="0.3">
      <c r="A1342" t="s">
        <v>3987</v>
      </c>
      <c r="B1342" t="s">
        <v>3988</v>
      </c>
      <c r="C1342" t="s">
        <v>11</v>
      </c>
      <c r="D1342" s="1">
        <v>45055</v>
      </c>
      <c r="E1342" t="s">
        <v>3989</v>
      </c>
      <c r="F1342" t="s">
        <v>13</v>
      </c>
      <c r="G1342" t="s">
        <v>14</v>
      </c>
      <c r="H1342" t="s">
        <v>15</v>
      </c>
      <c r="I1342" t="s">
        <v>16</v>
      </c>
    </row>
    <row r="1343" spans="1:9" x14ac:dyDescent="0.3">
      <c r="A1343" t="s">
        <v>3990</v>
      </c>
      <c r="B1343" t="s">
        <v>3991</v>
      </c>
      <c r="C1343" t="s">
        <v>11</v>
      </c>
      <c r="D1343" s="1">
        <v>45055</v>
      </c>
      <c r="E1343" t="s">
        <v>3992</v>
      </c>
      <c r="F1343" t="s">
        <v>13</v>
      </c>
      <c r="G1343" t="s">
        <v>14</v>
      </c>
      <c r="H1343" t="s">
        <v>15</v>
      </c>
      <c r="I1343" t="s">
        <v>38</v>
      </c>
    </row>
    <row r="1344" spans="1:9" x14ac:dyDescent="0.3">
      <c r="A1344" t="s">
        <v>3993</v>
      </c>
      <c r="B1344" t="s">
        <v>3994</v>
      </c>
      <c r="C1344" t="s">
        <v>54</v>
      </c>
      <c r="D1344" s="1">
        <v>45056</v>
      </c>
      <c r="E1344" t="s">
        <v>3995</v>
      </c>
      <c r="F1344" t="s">
        <v>13</v>
      </c>
      <c r="G1344" t="s">
        <v>14</v>
      </c>
      <c r="H1344" t="s">
        <v>15</v>
      </c>
      <c r="I1344" t="s">
        <v>238</v>
      </c>
    </row>
    <row r="1345" spans="1:9" x14ac:dyDescent="0.3">
      <c r="A1345" t="s">
        <v>3996</v>
      </c>
      <c r="B1345" t="s">
        <v>3997</v>
      </c>
      <c r="C1345" t="s">
        <v>11</v>
      </c>
      <c r="D1345" s="1">
        <v>45056</v>
      </c>
      <c r="E1345" t="s">
        <v>3998</v>
      </c>
      <c r="F1345" t="s">
        <v>13</v>
      </c>
      <c r="G1345" t="s">
        <v>14</v>
      </c>
      <c r="H1345" t="s">
        <v>15</v>
      </c>
      <c r="I1345" t="s">
        <v>38</v>
      </c>
    </row>
    <row r="1346" spans="1:9" x14ac:dyDescent="0.3">
      <c r="A1346" t="s">
        <v>3999</v>
      </c>
      <c r="B1346" t="s">
        <v>4000</v>
      </c>
      <c r="C1346" t="s">
        <v>54</v>
      </c>
      <c r="D1346" s="1">
        <v>45057</v>
      </c>
      <c r="E1346" t="s">
        <v>4001</v>
      </c>
      <c r="F1346" t="s">
        <v>13</v>
      </c>
      <c r="G1346" t="s">
        <v>14</v>
      </c>
      <c r="H1346" t="s">
        <v>15</v>
      </c>
    </row>
    <row r="1347" spans="1:9" x14ac:dyDescent="0.3">
      <c r="A1347" t="s">
        <v>4002</v>
      </c>
      <c r="B1347" t="s">
        <v>4003</v>
      </c>
      <c r="C1347" t="s">
        <v>29</v>
      </c>
      <c r="D1347" s="1">
        <v>45057</v>
      </c>
      <c r="E1347" t="s">
        <v>4004</v>
      </c>
      <c r="F1347" t="s">
        <v>13</v>
      </c>
      <c r="G1347" t="s">
        <v>14</v>
      </c>
      <c r="H1347" t="s">
        <v>15</v>
      </c>
      <c r="I1347" t="s">
        <v>42</v>
      </c>
    </row>
    <row r="1348" spans="1:9" x14ac:dyDescent="0.3">
      <c r="A1348" t="s">
        <v>4005</v>
      </c>
      <c r="B1348" t="s">
        <v>4006</v>
      </c>
      <c r="C1348" t="s">
        <v>69</v>
      </c>
      <c r="D1348" s="1">
        <v>45057</v>
      </c>
      <c r="E1348" t="s">
        <v>4007</v>
      </c>
      <c r="F1348" t="s">
        <v>13</v>
      </c>
      <c r="G1348" t="s">
        <v>14</v>
      </c>
      <c r="H1348" t="s">
        <v>15</v>
      </c>
      <c r="I1348" t="s">
        <v>71</v>
      </c>
    </row>
    <row r="1349" spans="1:9" x14ac:dyDescent="0.3">
      <c r="A1349" t="s">
        <v>4008</v>
      </c>
      <c r="B1349" t="s">
        <v>4009</v>
      </c>
      <c r="C1349" t="s">
        <v>19</v>
      </c>
      <c r="D1349" s="1">
        <v>45057</v>
      </c>
      <c r="E1349" t="s">
        <v>4010</v>
      </c>
      <c r="F1349" t="s">
        <v>13</v>
      </c>
      <c r="G1349" t="s">
        <v>14</v>
      </c>
      <c r="H1349" t="s">
        <v>15</v>
      </c>
      <c r="I1349" t="s">
        <v>116</v>
      </c>
    </row>
    <row r="1350" spans="1:9" x14ac:dyDescent="0.3">
      <c r="A1350" t="s">
        <v>4011</v>
      </c>
      <c r="B1350" t="s">
        <v>4012</v>
      </c>
      <c r="C1350" t="s">
        <v>33</v>
      </c>
      <c r="D1350" s="1">
        <v>45057</v>
      </c>
      <c r="E1350" t="s">
        <v>4013</v>
      </c>
      <c r="F1350" t="s">
        <v>13</v>
      </c>
      <c r="G1350" t="s">
        <v>14</v>
      </c>
      <c r="H1350" t="s">
        <v>15</v>
      </c>
      <c r="I1350" t="s">
        <v>94</v>
      </c>
    </row>
    <row r="1351" spans="1:9" x14ac:dyDescent="0.3">
      <c r="A1351" t="s">
        <v>4014</v>
      </c>
      <c r="B1351" t="s">
        <v>4015</v>
      </c>
      <c r="C1351" t="s">
        <v>24</v>
      </c>
      <c r="D1351" s="1">
        <v>45058</v>
      </c>
      <c r="E1351" t="s">
        <v>4016</v>
      </c>
      <c r="F1351" t="s">
        <v>13</v>
      </c>
      <c r="G1351" t="s">
        <v>14</v>
      </c>
      <c r="H1351" t="s">
        <v>15</v>
      </c>
      <c r="I1351" t="s">
        <v>63</v>
      </c>
    </row>
    <row r="1352" spans="1:9" x14ac:dyDescent="0.3">
      <c r="A1352" t="s">
        <v>4017</v>
      </c>
      <c r="B1352" t="s">
        <v>4018</v>
      </c>
      <c r="C1352" t="s">
        <v>29</v>
      </c>
      <c r="D1352" s="1">
        <v>45058</v>
      </c>
      <c r="E1352" t="s">
        <v>4019</v>
      </c>
      <c r="F1352" t="s">
        <v>13</v>
      </c>
      <c r="G1352" t="s">
        <v>14</v>
      </c>
      <c r="H1352" t="s">
        <v>15</v>
      </c>
      <c r="I1352" t="s">
        <v>204</v>
      </c>
    </row>
    <row r="1353" spans="1:9" x14ac:dyDescent="0.3">
      <c r="A1353" t="s">
        <v>3580</v>
      </c>
      <c r="B1353" t="s">
        <v>4020</v>
      </c>
      <c r="C1353" t="s">
        <v>19</v>
      </c>
      <c r="D1353" s="1">
        <v>45059</v>
      </c>
      <c r="E1353" t="s">
        <v>4021</v>
      </c>
      <c r="F1353" t="s">
        <v>13</v>
      </c>
      <c r="G1353" t="s">
        <v>14</v>
      </c>
      <c r="H1353" t="s">
        <v>15</v>
      </c>
      <c r="I1353" t="s">
        <v>116</v>
      </c>
    </row>
    <row r="1354" spans="1:9" x14ac:dyDescent="0.3">
      <c r="A1354" t="s">
        <v>4022</v>
      </c>
      <c r="B1354" t="s">
        <v>4023</v>
      </c>
      <c r="C1354" t="s">
        <v>11</v>
      </c>
      <c r="D1354" s="1">
        <v>45059</v>
      </c>
      <c r="E1354" t="s">
        <v>4024</v>
      </c>
      <c r="F1354" t="s">
        <v>13</v>
      </c>
      <c r="G1354" t="s">
        <v>14</v>
      </c>
      <c r="H1354" t="s">
        <v>15</v>
      </c>
      <c r="I1354" t="s">
        <v>38</v>
      </c>
    </row>
    <row r="1355" spans="1:9" x14ac:dyDescent="0.3">
      <c r="A1355" t="s">
        <v>4025</v>
      </c>
      <c r="B1355" t="s">
        <v>4026</v>
      </c>
      <c r="C1355" t="s">
        <v>33</v>
      </c>
      <c r="D1355" s="1">
        <v>45059</v>
      </c>
      <c r="E1355" t="s">
        <v>4027</v>
      </c>
      <c r="F1355" t="s">
        <v>13</v>
      </c>
      <c r="G1355" t="s">
        <v>14</v>
      </c>
      <c r="H1355" t="s">
        <v>15</v>
      </c>
      <c r="I1355" t="s">
        <v>51</v>
      </c>
    </row>
    <row r="1356" spans="1:9" x14ac:dyDescent="0.3">
      <c r="A1356" t="s">
        <v>4028</v>
      </c>
      <c r="B1356" t="s">
        <v>4029</v>
      </c>
      <c r="C1356" t="s">
        <v>11</v>
      </c>
      <c r="D1356" s="1">
        <v>45059</v>
      </c>
      <c r="E1356" t="s">
        <v>4030</v>
      </c>
      <c r="F1356" t="s">
        <v>13</v>
      </c>
      <c r="G1356" t="s">
        <v>14</v>
      </c>
      <c r="H1356" t="s">
        <v>15</v>
      </c>
      <c r="I1356" t="s">
        <v>16</v>
      </c>
    </row>
    <row r="1357" spans="1:9" x14ac:dyDescent="0.3">
      <c r="A1357" t="s">
        <v>4031</v>
      </c>
      <c r="B1357" t="s">
        <v>4032</v>
      </c>
      <c r="C1357" t="s">
        <v>33</v>
      </c>
      <c r="D1357" s="1">
        <v>45059</v>
      </c>
      <c r="E1357" t="s">
        <v>4033</v>
      </c>
      <c r="F1357" t="s">
        <v>13</v>
      </c>
      <c r="G1357" t="s">
        <v>14</v>
      </c>
      <c r="H1357" t="s">
        <v>15</v>
      </c>
      <c r="I1357" t="s">
        <v>94</v>
      </c>
    </row>
    <row r="1358" spans="1:9" x14ac:dyDescent="0.3">
      <c r="A1358" t="s">
        <v>4034</v>
      </c>
      <c r="B1358" t="s">
        <v>4035</v>
      </c>
      <c r="C1358" t="s">
        <v>33</v>
      </c>
      <c r="D1358" s="1">
        <v>45059</v>
      </c>
      <c r="E1358" t="s">
        <v>4036</v>
      </c>
      <c r="F1358" t="s">
        <v>13</v>
      </c>
      <c r="G1358" t="s">
        <v>14</v>
      </c>
      <c r="H1358" t="s">
        <v>15</v>
      </c>
      <c r="I1358" t="s">
        <v>94</v>
      </c>
    </row>
    <row r="1359" spans="1:9" x14ac:dyDescent="0.3">
      <c r="A1359" t="s">
        <v>4037</v>
      </c>
      <c r="B1359" t="s">
        <v>4038</v>
      </c>
      <c r="C1359" t="s">
        <v>45</v>
      </c>
      <c r="D1359" s="1">
        <v>45059</v>
      </c>
      <c r="E1359" t="s">
        <v>4039</v>
      </c>
      <c r="F1359" t="s">
        <v>13</v>
      </c>
      <c r="G1359" t="s">
        <v>14</v>
      </c>
      <c r="H1359" t="s">
        <v>15</v>
      </c>
      <c r="I1359" t="s">
        <v>47</v>
      </c>
    </row>
    <row r="1360" spans="1:9" x14ac:dyDescent="0.3">
      <c r="A1360" t="s">
        <v>4040</v>
      </c>
      <c r="B1360" t="s">
        <v>4041</v>
      </c>
      <c r="C1360" t="s">
        <v>69</v>
      </c>
      <c r="D1360" s="1">
        <v>45060</v>
      </c>
      <c r="E1360" t="s">
        <v>4042</v>
      </c>
      <c r="F1360" t="s">
        <v>13</v>
      </c>
      <c r="G1360" t="s">
        <v>14</v>
      </c>
      <c r="H1360" t="s">
        <v>15</v>
      </c>
    </row>
    <row r="1361" spans="1:9" x14ac:dyDescent="0.3">
      <c r="A1361" t="s">
        <v>4043</v>
      </c>
      <c r="B1361" t="s">
        <v>4044</v>
      </c>
      <c r="C1361" t="s">
        <v>69</v>
      </c>
      <c r="D1361" s="1">
        <v>45060</v>
      </c>
      <c r="E1361" t="s">
        <v>4045</v>
      </c>
      <c r="F1361" t="s">
        <v>13</v>
      </c>
      <c r="G1361" t="s">
        <v>14</v>
      </c>
      <c r="H1361" t="s">
        <v>15</v>
      </c>
      <c r="I1361" t="s">
        <v>71</v>
      </c>
    </row>
    <row r="1362" spans="1:9" x14ac:dyDescent="0.3">
      <c r="A1362" t="s">
        <v>4046</v>
      </c>
      <c r="B1362" t="s">
        <v>4047</v>
      </c>
      <c r="C1362" t="s">
        <v>69</v>
      </c>
      <c r="D1362" s="1">
        <v>45061</v>
      </c>
      <c r="E1362" t="s">
        <v>4048</v>
      </c>
      <c r="F1362" t="s">
        <v>13</v>
      </c>
      <c r="G1362" t="s">
        <v>14</v>
      </c>
      <c r="H1362" t="s">
        <v>15</v>
      </c>
      <c r="I1362" t="s">
        <v>71</v>
      </c>
    </row>
    <row r="1363" spans="1:9" x14ac:dyDescent="0.3">
      <c r="A1363" t="s">
        <v>4049</v>
      </c>
      <c r="B1363" t="s">
        <v>4050</v>
      </c>
      <c r="C1363" t="s">
        <v>69</v>
      </c>
      <c r="D1363" s="1">
        <v>45061</v>
      </c>
      <c r="E1363" t="s">
        <v>4051</v>
      </c>
      <c r="F1363" t="s">
        <v>13</v>
      </c>
      <c r="G1363" t="s">
        <v>14</v>
      </c>
      <c r="H1363" t="s">
        <v>15</v>
      </c>
      <c r="I1363" t="s">
        <v>71</v>
      </c>
    </row>
    <row r="1364" spans="1:9" x14ac:dyDescent="0.3">
      <c r="A1364" t="s">
        <v>4052</v>
      </c>
      <c r="B1364" t="s">
        <v>4053</v>
      </c>
      <c r="C1364" t="s">
        <v>29</v>
      </c>
      <c r="D1364" s="1">
        <v>45061</v>
      </c>
      <c r="E1364" t="s">
        <v>4054</v>
      </c>
      <c r="F1364" t="s">
        <v>13</v>
      </c>
      <c r="G1364" t="s">
        <v>14</v>
      </c>
      <c r="H1364" t="s">
        <v>15</v>
      </c>
    </row>
    <row r="1365" spans="1:9" x14ac:dyDescent="0.3">
      <c r="A1365" t="s">
        <v>4055</v>
      </c>
      <c r="B1365" t="s">
        <v>4056</v>
      </c>
      <c r="C1365" t="s">
        <v>11</v>
      </c>
      <c r="D1365" s="1">
        <v>45061</v>
      </c>
      <c r="E1365" t="s">
        <v>4057</v>
      </c>
      <c r="F1365" t="s">
        <v>13</v>
      </c>
      <c r="G1365" t="s">
        <v>14</v>
      </c>
      <c r="H1365" t="s">
        <v>15</v>
      </c>
    </row>
    <row r="1366" spans="1:9" x14ac:dyDescent="0.3">
      <c r="A1366" t="s">
        <v>4058</v>
      </c>
      <c r="B1366" t="s">
        <v>4059</v>
      </c>
      <c r="C1366" t="s">
        <v>29</v>
      </c>
      <c r="D1366" s="1">
        <v>45062</v>
      </c>
      <c r="E1366" t="s">
        <v>4060</v>
      </c>
      <c r="F1366" t="s">
        <v>13</v>
      </c>
      <c r="G1366" t="s">
        <v>14</v>
      </c>
      <c r="H1366" t="s">
        <v>15</v>
      </c>
      <c r="I1366" t="s">
        <v>42</v>
      </c>
    </row>
    <row r="1367" spans="1:9" x14ac:dyDescent="0.3">
      <c r="A1367" t="s">
        <v>4061</v>
      </c>
      <c r="B1367" t="s">
        <v>4062</v>
      </c>
      <c r="C1367" t="s">
        <v>24</v>
      </c>
      <c r="D1367" s="1">
        <v>45062</v>
      </c>
      <c r="E1367" t="s">
        <v>4063</v>
      </c>
      <c r="F1367" t="s">
        <v>13</v>
      </c>
      <c r="G1367" t="s">
        <v>14</v>
      </c>
      <c r="H1367" t="s">
        <v>15</v>
      </c>
      <c r="I1367" t="s">
        <v>59</v>
      </c>
    </row>
    <row r="1368" spans="1:9" x14ac:dyDescent="0.3">
      <c r="A1368" t="s">
        <v>4064</v>
      </c>
      <c r="B1368" t="s">
        <v>4065</v>
      </c>
      <c r="C1368" t="s">
        <v>11</v>
      </c>
      <c r="D1368" s="1">
        <v>45062</v>
      </c>
      <c r="E1368" t="s">
        <v>4066</v>
      </c>
      <c r="F1368" t="s">
        <v>13</v>
      </c>
      <c r="G1368" t="s">
        <v>14</v>
      </c>
      <c r="H1368" t="s">
        <v>15</v>
      </c>
      <c r="I1368" t="s">
        <v>185</v>
      </c>
    </row>
    <row r="1369" spans="1:9" x14ac:dyDescent="0.3">
      <c r="A1369" t="s">
        <v>4067</v>
      </c>
      <c r="B1369" t="s">
        <v>4068</v>
      </c>
      <c r="C1369" t="s">
        <v>54</v>
      </c>
      <c r="D1369" s="1">
        <v>45062</v>
      </c>
      <c r="E1369" t="s">
        <v>4069</v>
      </c>
      <c r="F1369" t="s">
        <v>13</v>
      </c>
      <c r="G1369" t="s">
        <v>14</v>
      </c>
      <c r="H1369" t="s">
        <v>15</v>
      </c>
      <c r="I1369" t="s">
        <v>181</v>
      </c>
    </row>
    <row r="1370" spans="1:9" x14ac:dyDescent="0.3">
      <c r="A1370" t="s">
        <v>4070</v>
      </c>
      <c r="B1370" t="s">
        <v>4071</v>
      </c>
      <c r="C1370" t="s">
        <v>54</v>
      </c>
      <c r="D1370" s="1">
        <v>45063</v>
      </c>
      <c r="E1370" t="s">
        <v>4072</v>
      </c>
      <c r="F1370" t="s">
        <v>13</v>
      </c>
      <c r="G1370" t="s">
        <v>14</v>
      </c>
      <c r="H1370" t="s">
        <v>15</v>
      </c>
      <c r="I1370" t="s">
        <v>238</v>
      </c>
    </row>
    <row r="1371" spans="1:9" x14ac:dyDescent="0.3">
      <c r="A1371" t="s">
        <v>4073</v>
      </c>
      <c r="B1371" t="s">
        <v>4074</v>
      </c>
      <c r="C1371" t="s">
        <v>11</v>
      </c>
      <c r="D1371" s="1">
        <v>45063</v>
      </c>
      <c r="E1371" t="s">
        <v>4075</v>
      </c>
      <c r="F1371" t="s">
        <v>13</v>
      </c>
      <c r="G1371" t="s">
        <v>14</v>
      </c>
      <c r="H1371" t="s">
        <v>15</v>
      </c>
      <c r="I1371" t="s">
        <v>38</v>
      </c>
    </row>
    <row r="1372" spans="1:9" x14ac:dyDescent="0.3">
      <c r="A1372" t="s">
        <v>4076</v>
      </c>
      <c r="B1372" t="s">
        <v>4077</v>
      </c>
      <c r="C1372" t="s">
        <v>54</v>
      </c>
      <c r="D1372" s="1">
        <v>45064</v>
      </c>
      <c r="E1372" t="s">
        <v>4078</v>
      </c>
      <c r="F1372" t="s">
        <v>13</v>
      </c>
      <c r="G1372" t="s">
        <v>14</v>
      </c>
      <c r="H1372" t="s">
        <v>15</v>
      </c>
      <c r="I1372" t="s">
        <v>238</v>
      </c>
    </row>
    <row r="1373" spans="1:9" x14ac:dyDescent="0.3">
      <c r="A1373" t="s">
        <v>4079</v>
      </c>
      <c r="B1373" t="s">
        <v>4080</v>
      </c>
      <c r="C1373" t="s">
        <v>69</v>
      </c>
      <c r="D1373" s="1">
        <v>45064</v>
      </c>
      <c r="E1373" t="s">
        <v>4081</v>
      </c>
      <c r="F1373" t="s">
        <v>13</v>
      </c>
      <c r="G1373" t="s">
        <v>14</v>
      </c>
      <c r="H1373" t="s">
        <v>15</v>
      </c>
    </row>
    <row r="1374" spans="1:9" x14ac:dyDescent="0.3">
      <c r="A1374" t="s">
        <v>4082</v>
      </c>
      <c r="B1374" t="s">
        <v>4083</v>
      </c>
      <c r="C1374" t="s">
        <v>54</v>
      </c>
      <c r="D1374" s="1">
        <v>45064</v>
      </c>
      <c r="E1374" t="s">
        <v>4084</v>
      </c>
      <c r="F1374" t="s">
        <v>13</v>
      </c>
      <c r="G1374" t="s">
        <v>14</v>
      </c>
      <c r="H1374" t="s">
        <v>15</v>
      </c>
    </row>
    <row r="1375" spans="1:9" x14ac:dyDescent="0.3">
      <c r="A1375" t="s">
        <v>4085</v>
      </c>
      <c r="B1375" t="s">
        <v>4086</v>
      </c>
      <c r="C1375" t="s">
        <v>29</v>
      </c>
      <c r="D1375" s="1">
        <v>45064</v>
      </c>
      <c r="E1375" t="s">
        <v>4087</v>
      </c>
      <c r="F1375" t="s">
        <v>13</v>
      </c>
      <c r="G1375" t="s">
        <v>14</v>
      </c>
      <c r="H1375" t="s">
        <v>15</v>
      </c>
      <c r="I1375" t="s">
        <v>81</v>
      </c>
    </row>
    <row r="1376" spans="1:9" x14ac:dyDescent="0.3">
      <c r="A1376" t="s">
        <v>4088</v>
      </c>
      <c r="B1376" t="s">
        <v>4089</v>
      </c>
      <c r="C1376" t="s">
        <v>19</v>
      </c>
      <c r="D1376" s="1">
        <v>45064</v>
      </c>
      <c r="E1376" t="s">
        <v>4090</v>
      </c>
      <c r="F1376" t="s">
        <v>13</v>
      </c>
      <c r="G1376" t="s">
        <v>14</v>
      </c>
      <c r="H1376" t="s">
        <v>15</v>
      </c>
      <c r="I1376" t="s">
        <v>21</v>
      </c>
    </row>
    <row r="1377" spans="1:9" x14ac:dyDescent="0.3">
      <c r="A1377" t="s">
        <v>4091</v>
      </c>
      <c r="B1377" t="s">
        <v>4092</v>
      </c>
      <c r="C1377" t="s">
        <v>33</v>
      </c>
      <c r="D1377" s="1">
        <v>45064</v>
      </c>
      <c r="E1377" t="s">
        <v>4093</v>
      </c>
      <c r="F1377" t="s">
        <v>13</v>
      </c>
      <c r="G1377" t="s">
        <v>14</v>
      </c>
      <c r="H1377" t="s">
        <v>15</v>
      </c>
      <c r="I1377" t="s">
        <v>51</v>
      </c>
    </row>
    <row r="1378" spans="1:9" x14ac:dyDescent="0.3">
      <c r="A1378" t="s">
        <v>4094</v>
      </c>
      <c r="B1378" t="s">
        <v>4095</v>
      </c>
      <c r="C1378" t="s">
        <v>45</v>
      </c>
      <c r="D1378" s="1">
        <v>45065</v>
      </c>
      <c r="E1378" t="s">
        <v>4096</v>
      </c>
      <c r="F1378" t="s">
        <v>13</v>
      </c>
      <c r="G1378" t="s">
        <v>14</v>
      </c>
      <c r="H1378" t="s">
        <v>15</v>
      </c>
      <c r="I1378" t="s">
        <v>248</v>
      </c>
    </row>
    <row r="1379" spans="1:9" x14ac:dyDescent="0.3">
      <c r="A1379" t="s">
        <v>4097</v>
      </c>
      <c r="B1379" t="s">
        <v>4098</v>
      </c>
      <c r="C1379" t="s">
        <v>45</v>
      </c>
      <c r="D1379" s="1">
        <v>45065</v>
      </c>
      <c r="E1379" t="s">
        <v>4099</v>
      </c>
      <c r="F1379" t="s">
        <v>13</v>
      </c>
      <c r="G1379" t="s">
        <v>14</v>
      </c>
      <c r="H1379" t="s">
        <v>15</v>
      </c>
      <c r="I1379" t="s">
        <v>47</v>
      </c>
    </row>
    <row r="1380" spans="1:9" x14ac:dyDescent="0.3">
      <c r="A1380" t="s">
        <v>4100</v>
      </c>
      <c r="B1380" t="s">
        <v>4101</v>
      </c>
      <c r="C1380" t="s">
        <v>33</v>
      </c>
      <c r="D1380" s="1">
        <v>45065</v>
      </c>
      <c r="E1380" t="s">
        <v>4102</v>
      </c>
      <c r="F1380" t="s">
        <v>13</v>
      </c>
      <c r="G1380" t="s">
        <v>14</v>
      </c>
      <c r="H1380" t="s">
        <v>15</v>
      </c>
    </row>
    <row r="1381" spans="1:9" x14ac:dyDescent="0.3">
      <c r="A1381" t="s">
        <v>4103</v>
      </c>
      <c r="B1381" t="s">
        <v>4104</v>
      </c>
      <c r="C1381" t="s">
        <v>33</v>
      </c>
      <c r="D1381" s="1">
        <v>45065</v>
      </c>
      <c r="E1381" t="s">
        <v>4105</v>
      </c>
      <c r="F1381" t="s">
        <v>13</v>
      </c>
      <c r="G1381" t="s">
        <v>14</v>
      </c>
      <c r="H1381" t="s">
        <v>15</v>
      </c>
      <c r="I1381" t="s">
        <v>94</v>
      </c>
    </row>
    <row r="1382" spans="1:9" x14ac:dyDescent="0.3">
      <c r="A1382" t="s">
        <v>4106</v>
      </c>
      <c r="B1382" t="s">
        <v>4107</v>
      </c>
      <c r="C1382" t="s">
        <v>54</v>
      </c>
      <c r="D1382" s="1">
        <v>45065</v>
      </c>
      <c r="E1382" t="s">
        <v>4108</v>
      </c>
      <c r="F1382" t="s">
        <v>13</v>
      </c>
      <c r="G1382" t="s">
        <v>14</v>
      </c>
      <c r="H1382" t="s">
        <v>15</v>
      </c>
      <c r="I1382" t="s">
        <v>238</v>
      </c>
    </row>
    <row r="1383" spans="1:9" x14ac:dyDescent="0.3">
      <c r="A1383" t="s">
        <v>4109</v>
      </c>
      <c r="B1383" t="s">
        <v>4110</v>
      </c>
      <c r="C1383" t="s">
        <v>45</v>
      </c>
      <c r="D1383" s="1">
        <v>45066</v>
      </c>
      <c r="E1383" t="s">
        <v>4111</v>
      </c>
      <c r="F1383" t="s">
        <v>13</v>
      </c>
      <c r="G1383" t="s">
        <v>14</v>
      </c>
      <c r="H1383" t="s">
        <v>15</v>
      </c>
      <c r="I1383" t="s">
        <v>248</v>
      </c>
    </row>
    <row r="1384" spans="1:9" x14ac:dyDescent="0.3">
      <c r="A1384" t="s">
        <v>4112</v>
      </c>
      <c r="B1384" t="s">
        <v>4113</v>
      </c>
      <c r="C1384" t="s">
        <v>19</v>
      </c>
      <c r="D1384" s="1">
        <v>45066</v>
      </c>
      <c r="E1384" t="s">
        <v>4114</v>
      </c>
      <c r="F1384" t="s">
        <v>13</v>
      </c>
      <c r="G1384" t="s">
        <v>14</v>
      </c>
      <c r="H1384" t="s">
        <v>15</v>
      </c>
      <c r="I1384" t="s">
        <v>21</v>
      </c>
    </row>
    <row r="1385" spans="1:9" x14ac:dyDescent="0.3">
      <c r="A1385" t="s">
        <v>4115</v>
      </c>
      <c r="B1385" t="s">
        <v>4116</v>
      </c>
      <c r="C1385" t="s">
        <v>24</v>
      </c>
      <c r="D1385" s="1">
        <v>45066</v>
      </c>
      <c r="E1385" t="s">
        <v>4117</v>
      </c>
      <c r="F1385" t="s">
        <v>13</v>
      </c>
      <c r="G1385" t="s">
        <v>14</v>
      </c>
      <c r="H1385" t="s">
        <v>15</v>
      </c>
      <c r="I1385" t="s">
        <v>63</v>
      </c>
    </row>
    <row r="1386" spans="1:9" x14ac:dyDescent="0.3">
      <c r="A1386" t="s">
        <v>4118</v>
      </c>
      <c r="B1386" t="s">
        <v>4119</v>
      </c>
      <c r="C1386" t="s">
        <v>33</v>
      </c>
      <c r="D1386" s="1">
        <v>45066</v>
      </c>
      <c r="E1386" t="s">
        <v>4120</v>
      </c>
      <c r="F1386" t="s">
        <v>13</v>
      </c>
      <c r="G1386" t="s">
        <v>14</v>
      </c>
      <c r="H1386" t="s">
        <v>15</v>
      </c>
      <c r="I1386" t="s">
        <v>94</v>
      </c>
    </row>
    <row r="1387" spans="1:9" x14ac:dyDescent="0.3">
      <c r="A1387" t="s">
        <v>4121</v>
      </c>
      <c r="B1387" t="s">
        <v>4122</v>
      </c>
      <c r="C1387" t="s">
        <v>33</v>
      </c>
      <c r="D1387" s="1">
        <v>45066</v>
      </c>
      <c r="E1387" t="s">
        <v>4123</v>
      </c>
      <c r="F1387" t="s">
        <v>13</v>
      </c>
      <c r="G1387" t="s">
        <v>14</v>
      </c>
      <c r="H1387" t="s">
        <v>15</v>
      </c>
      <c r="I1387" t="s">
        <v>51</v>
      </c>
    </row>
    <row r="1388" spans="1:9" x14ac:dyDescent="0.3">
      <c r="A1388" t="s">
        <v>4124</v>
      </c>
      <c r="B1388" t="s">
        <v>4125</v>
      </c>
      <c r="C1388" t="s">
        <v>54</v>
      </c>
      <c r="D1388" s="1">
        <v>45067</v>
      </c>
      <c r="E1388" t="s">
        <v>4126</v>
      </c>
      <c r="F1388" t="s">
        <v>13</v>
      </c>
      <c r="G1388" t="s">
        <v>14</v>
      </c>
      <c r="H1388" t="s">
        <v>15</v>
      </c>
      <c r="I1388" t="s">
        <v>181</v>
      </c>
    </row>
    <row r="1389" spans="1:9" x14ac:dyDescent="0.3">
      <c r="A1389" t="s">
        <v>4127</v>
      </c>
      <c r="B1389" t="s">
        <v>4128</v>
      </c>
      <c r="C1389" t="s">
        <v>29</v>
      </c>
      <c r="D1389" s="1">
        <v>45067</v>
      </c>
      <c r="E1389" t="s">
        <v>4129</v>
      </c>
      <c r="F1389" t="s">
        <v>13</v>
      </c>
      <c r="G1389" t="s">
        <v>14</v>
      </c>
      <c r="H1389" t="s">
        <v>15</v>
      </c>
      <c r="I1389" t="s">
        <v>81</v>
      </c>
    </row>
    <row r="1390" spans="1:9" x14ac:dyDescent="0.3">
      <c r="A1390" t="s">
        <v>4130</v>
      </c>
      <c r="B1390" t="s">
        <v>4131</v>
      </c>
      <c r="C1390" t="s">
        <v>11</v>
      </c>
      <c r="D1390" s="1">
        <v>45067</v>
      </c>
      <c r="E1390" t="s">
        <v>4132</v>
      </c>
      <c r="F1390" t="s">
        <v>13</v>
      </c>
      <c r="G1390" t="s">
        <v>14</v>
      </c>
      <c r="H1390" t="s">
        <v>15</v>
      </c>
      <c r="I1390" t="s">
        <v>38</v>
      </c>
    </row>
    <row r="1391" spans="1:9" x14ac:dyDescent="0.3">
      <c r="A1391" t="s">
        <v>4133</v>
      </c>
      <c r="B1391" t="s">
        <v>4134</v>
      </c>
      <c r="C1391" t="s">
        <v>19</v>
      </c>
      <c r="D1391" s="1">
        <v>45067</v>
      </c>
      <c r="E1391" t="s">
        <v>4135</v>
      </c>
      <c r="F1391" t="s">
        <v>13</v>
      </c>
      <c r="G1391" t="s">
        <v>14</v>
      </c>
      <c r="H1391" t="s">
        <v>15</v>
      </c>
      <c r="I1391" t="s">
        <v>21</v>
      </c>
    </row>
    <row r="1392" spans="1:9" x14ac:dyDescent="0.3">
      <c r="A1392" t="s">
        <v>4136</v>
      </c>
      <c r="B1392" t="s">
        <v>4137</v>
      </c>
      <c r="C1392" t="s">
        <v>45</v>
      </c>
      <c r="D1392" s="1">
        <v>45067</v>
      </c>
      <c r="E1392" t="s">
        <v>4138</v>
      </c>
      <c r="F1392" t="s">
        <v>13</v>
      </c>
      <c r="G1392" t="s">
        <v>14</v>
      </c>
      <c r="H1392" t="s">
        <v>15</v>
      </c>
      <c r="I1392" t="s">
        <v>248</v>
      </c>
    </row>
    <row r="1393" spans="1:9" x14ac:dyDescent="0.3">
      <c r="A1393" t="s">
        <v>4139</v>
      </c>
      <c r="B1393" t="s">
        <v>4140</v>
      </c>
      <c r="C1393" t="s">
        <v>11</v>
      </c>
      <c r="D1393" s="1">
        <v>45067</v>
      </c>
      <c r="E1393" t="s">
        <v>4141</v>
      </c>
      <c r="F1393" t="s">
        <v>13</v>
      </c>
      <c r="G1393" t="s">
        <v>14</v>
      </c>
      <c r="H1393" t="s">
        <v>15</v>
      </c>
    </row>
    <row r="1394" spans="1:9" x14ac:dyDescent="0.3">
      <c r="A1394" t="s">
        <v>4142</v>
      </c>
      <c r="B1394" t="s">
        <v>4143</v>
      </c>
      <c r="C1394" t="s">
        <v>33</v>
      </c>
      <c r="D1394" s="1">
        <v>45068</v>
      </c>
      <c r="E1394" t="s">
        <v>4144</v>
      </c>
      <c r="F1394" t="s">
        <v>13</v>
      </c>
      <c r="G1394" t="s">
        <v>14</v>
      </c>
      <c r="H1394" t="s">
        <v>15</v>
      </c>
    </row>
    <row r="1395" spans="1:9" x14ac:dyDescent="0.3">
      <c r="A1395" t="s">
        <v>4145</v>
      </c>
      <c r="B1395" t="s">
        <v>4146</v>
      </c>
      <c r="C1395" t="s">
        <v>69</v>
      </c>
      <c r="D1395" s="1">
        <v>45068</v>
      </c>
      <c r="E1395" t="s">
        <v>4147</v>
      </c>
      <c r="F1395" t="s">
        <v>13</v>
      </c>
      <c r="G1395" t="s">
        <v>14</v>
      </c>
      <c r="H1395" t="s">
        <v>15</v>
      </c>
    </row>
    <row r="1396" spans="1:9" x14ac:dyDescent="0.3">
      <c r="A1396" t="s">
        <v>4148</v>
      </c>
      <c r="B1396" t="s">
        <v>4149</v>
      </c>
      <c r="C1396" t="s">
        <v>45</v>
      </c>
      <c r="D1396" s="1">
        <v>45068</v>
      </c>
      <c r="E1396" t="s">
        <v>4150</v>
      </c>
      <c r="F1396" t="s">
        <v>13</v>
      </c>
      <c r="G1396" t="s">
        <v>14</v>
      </c>
      <c r="H1396" t="s">
        <v>15</v>
      </c>
      <c r="I1396" t="s">
        <v>47</v>
      </c>
    </row>
    <row r="1397" spans="1:9" x14ac:dyDescent="0.3">
      <c r="A1397" t="s">
        <v>4151</v>
      </c>
      <c r="B1397" t="s">
        <v>4152</v>
      </c>
      <c r="C1397" t="s">
        <v>24</v>
      </c>
      <c r="D1397" s="1">
        <v>45068</v>
      </c>
      <c r="E1397" t="s">
        <v>4153</v>
      </c>
      <c r="F1397" t="s">
        <v>13</v>
      </c>
      <c r="G1397" t="s">
        <v>14</v>
      </c>
      <c r="H1397" t="s">
        <v>15</v>
      </c>
      <c r="I1397" t="s">
        <v>63</v>
      </c>
    </row>
    <row r="1398" spans="1:9" x14ac:dyDescent="0.3">
      <c r="A1398" t="s">
        <v>4154</v>
      </c>
      <c r="B1398" t="s">
        <v>4155</v>
      </c>
      <c r="C1398" t="s">
        <v>54</v>
      </c>
      <c r="D1398" s="1">
        <v>45069</v>
      </c>
      <c r="E1398" t="s">
        <v>4156</v>
      </c>
      <c r="F1398" t="s">
        <v>13</v>
      </c>
      <c r="G1398" t="s">
        <v>14</v>
      </c>
      <c r="H1398" t="s">
        <v>15</v>
      </c>
      <c r="I1398" t="s">
        <v>181</v>
      </c>
    </row>
    <row r="1399" spans="1:9" x14ac:dyDescent="0.3">
      <c r="A1399" t="s">
        <v>4157</v>
      </c>
      <c r="B1399" t="s">
        <v>4158</v>
      </c>
      <c r="C1399" t="s">
        <v>45</v>
      </c>
      <c r="D1399" s="1">
        <v>45069</v>
      </c>
      <c r="E1399" t="s">
        <v>4159</v>
      </c>
      <c r="F1399" t="s">
        <v>13</v>
      </c>
      <c r="G1399" t="s">
        <v>14</v>
      </c>
      <c r="H1399" t="s">
        <v>15</v>
      </c>
      <c r="I1399" t="s">
        <v>47</v>
      </c>
    </row>
    <row r="1400" spans="1:9" x14ac:dyDescent="0.3">
      <c r="A1400" t="s">
        <v>4160</v>
      </c>
      <c r="B1400" t="s">
        <v>4161</v>
      </c>
      <c r="C1400" t="s">
        <v>29</v>
      </c>
      <c r="D1400" s="1">
        <v>45069</v>
      </c>
      <c r="E1400" t="s">
        <v>4162</v>
      </c>
      <c r="F1400" t="s">
        <v>13</v>
      </c>
      <c r="G1400" t="s">
        <v>14</v>
      </c>
      <c r="H1400" t="s">
        <v>15</v>
      </c>
      <c r="I1400" t="s">
        <v>42</v>
      </c>
    </row>
    <row r="1401" spans="1:9" x14ac:dyDescent="0.3">
      <c r="A1401" t="s">
        <v>4163</v>
      </c>
      <c r="B1401" t="s">
        <v>4164</v>
      </c>
      <c r="C1401" t="s">
        <v>33</v>
      </c>
      <c r="D1401" s="1">
        <v>45069</v>
      </c>
      <c r="E1401" t="s">
        <v>4165</v>
      </c>
      <c r="F1401" t="s">
        <v>13</v>
      </c>
      <c r="G1401" t="s">
        <v>14</v>
      </c>
      <c r="H1401" t="s">
        <v>15</v>
      </c>
      <c r="I1401" t="s">
        <v>51</v>
      </c>
    </row>
    <row r="1402" spans="1:9" x14ac:dyDescent="0.3">
      <c r="A1402" t="s">
        <v>4166</v>
      </c>
      <c r="B1402" t="s">
        <v>4167</v>
      </c>
      <c r="C1402" t="s">
        <v>33</v>
      </c>
      <c r="D1402" s="1">
        <v>45070</v>
      </c>
      <c r="E1402" t="s">
        <v>4168</v>
      </c>
      <c r="F1402" t="s">
        <v>13</v>
      </c>
      <c r="G1402" t="s">
        <v>14</v>
      </c>
      <c r="H1402" t="s">
        <v>15</v>
      </c>
      <c r="I1402" t="s">
        <v>51</v>
      </c>
    </row>
    <row r="1403" spans="1:9" x14ac:dyDescent="0.3">
      <c r="A1403" t="s">
        <v>4169</v>
      </c>
      <c r="B1403" t="s">
        <v>4170</v>
      </c>
      <c r="C1403" t="s">
        <v>11</v>
      </c>
      <c r="D1403" s="1">
        <v>45070</v>
      </c>
      <c r="E1403" t="s">
        <v>4171</v>
      </c>
      <c r="F1403" t="s">
        <v>13</v>
      </c>
      <c r="G1403" t="s">
        <v>14</v>
      </c>
      <c r="H1403" t="s">
        <v>15</v>
      </c>
      <c r="I1403" t="s">
        <v>185</v>
      </c>
    </row>
    <row r="1404" spans="1:9" x14ac:dyDescent="0.3">
      <c r="A1404" t="s">
        <v>4172</v>
      </c>
      <c r="B1404" t="s">
        <v>4173</v>
      </c>
      <c r="C1404" t="s">
        <v>19</v>
      </c>
      <c r="D1404" s="1">
        <v>45070</v>
      </c>
      <c r="E1404" t="s">
        <v>4174</v>
      </c>
      <c r="F1404" t="s">
        <v>13</v>
      </c>
      <c r="G1404" t="s">
        <v>14</v>
      </c>
      <c r="H1404" t="s">
        <v>15</v>
      </c>
      <c r="I1404" t="s">
        <v>21</v>
      </c>
    </row>
    <row r="1405" spans="1:9" x14ac:dyDescent="0.3">
      <c r="A1405" t="s">
        <v>4175</v>
      </c>
      <c r="B1405" t="s">
        <v>4176</v>
      </c>
      <c r="C1405" t="s">
        <v>69</v>
      </c>
      <c r="D1405" s="1">
        <v>45070</v>
      </c>
      <c r="E1405" t="s">
        <v>4177</v>
      </c>
      <c r="F1405" t="s">
        <v>13</v>
      </c>
      <c r="G1405" t="s">
        <v>14</v>
      </c>
      <c r="H1405" t="s">
        <v>15</v>
      </c>
      <c r="I1405" t="s">
        <v>71</v>
      </c>
    </row>
    <row r="1406" spans="1:9" x14ac:dyDescent="0.3">
      <c r="A1406" t="s">
        <v>4178</v>
      </c>
      <c r="B1406" t="s">
        <v>4179</v>
      </c>
      <c r="C1406" t="s">
        <v>69</v>
      </c>
      <c r="D1406" s="1">
        <v>45070</v>
      </c>
      <c r="E1406" t="s">
        <v>4180</v>
      </c>
      <c r="F1406" t="s">
        <v>13</v>
      </c>
      <c r="G1406" t="s">
        <v>14</v>
      </c>
      <c r="H1406" t="s">
        <v>15</v>
      </c>
      <c r="I1406" t="s">
        <v>71</v>
      </c>
    </row>
    <row r="1407" spans="1:9" x14ac:dyDescent="0.3">
      <c r="A1407" t="s">
        <v>4181</v>
      </c>
      <c r="B1407" t="s">
        <v>4182</v>
      </c>
      <c r="C1407" t="s">
        <v>33</v>
      </c>
      <c r="D1407" s="1">
        <v>45071</v>
      </c>
      <c r="E1407" t="s">
        <v>4183</v>
      </c>
      <c r="F1407" t="s">
        <v>13</v>
      </c>
      <c r="G1407" t="s">
        <v>14</v>
      </c>
      <c r="H1407" t="s">
        <v>15</v>
      </c>
      <c r="I1407" t="s">
        <v>94</v>
      </c>
    </row>
    <row r="1408" spans="1:9" x14ac:dyDescent="0.3">
      <c r="A1408" t="s">
        <v>4184</v>
      </c>
      <c r="B1408" t="s">
        <v>4185</v>
      </c>
      <c r="C1408" t="s">
        <v>69</v>
      </c>
      <c r="D1408" s="1">
        <v>45071</v>
      </c>
      <c r="E1408" t="s">
        <v>4186</v>
      </c>
      <c r="F1408" t="s">
        <v>13</v>
      </c>
      <c r="G1408" t="s">
        <v>14</v>
      </c>
      <c r="H1408" t="s">
        <v>15</v>
      </c>
    </row>
    <row r="1409" spans="1:9" x14ac:dyDescent="0.3">
      <c r="A1409" t="s">
        <v>4187</v>
      </c>
      <c r="B1409" t="s">
        <v>4188</v>
      </c>
      <c r="C1409" t="s">
        <v>54</v>
      </c>
      <c r="D1409" s="1">
        <v>45072</v>
      </c>
      <c r="E1409" t="s">
        <v>4189</v>
      </c>
      <c r="F1409" t="s">
        <v>13</v>
      </c>
      <c r="G1409" t="s">
        <v>14</v>
      </c>
      <c r="H1409" t="s">
        <v>15</v>
      </c>
      <c r="I1409" t="s">
        <v>181</v>
      </c>
    </row>
    <row r="1410" spans="1:9" x14ac:dyDescent="0.3">
      <c r="A1410" t="s">
        <v>4190</v>
      </c>
      <c r="B1410" t="s">
        <v>4191</v>
      </c>
      <c r="C1410" t="s">
        <v>19</v>
      </c>
      <c r="D1410" s="1">
        <v>45072</v>
      </c>
      <c r="E1410" t="s">
        <v>4192</v>
      </c>
      <c r="F1410" t="s">
        <v>13</v>
      </c>
      <c r="G1410" t="s">
        <v>14</v>
      </c>
      <c r="H1410" t="s">
        <v>15</v>
      </c>
      <c r="I1410" t="s">
        <v>21</v>
      </c>
    </row>
    <row r="1411" spans="1:9" x14ac:dyDescent="0.3">
      <c r="A1411" t="s">
        <v>4193</v>
      </c>
      <c r="B1411" t="s">
        <v>4194</v>
      </c>
      <c r="C1411" t="s">
        <v>33</v>
      </c>
      <c r="D1411" s="1">
        <v>45073</v>
      </c>
      <c r="E1411" t="s">
        <v>4195</v>
      </c>
      <c r="F1411" t="s">
        <v>13</v>
      </c>
      <c r="G1411" t="s">
        <v>14</v>
      </c>
      <c r="H1411" t="s">
        <v>15</v>
      </c>
      <c r="I1411" t="s">
        <v>51</v>
      </c>
    </row>
    <row r="1412" spans="1:9" x14ac:dyDescent="0.3">
      <c r="A1412" t="s">
        <v>4196</v>
      </c>
      <c r="B1412" t="s">
        <v>4197</v>
      </c>
      <c r="C1412" t="s">
        <v>45</v>
      </c>
      <c r="D1412" s="1">
        <v>45073</v>
      </c>
      <c r="E1412" t="s">
        <v>4198</v>
      </c>
      <c r="F1412" t="s">
        <v>13</v>
      </c>
      <c r="G1412" t="s">
        <v>14</v>
      </c>
      <c r="H1412" t="s">
        <v>15</v>
      </c>
      <c r="I1412" t="s">
        <v>248</v>
      </c>
    </row>
    <row r="1413" spans="1:9" x14ac:dyDescent="0.3">
      <c r="A1413" t="s">
        <v>4199</v>
      </c>
      <c r="B1413" t="s">
        <v>4200</v>
      </c>
      <c r="C1413" t="s">
        <v>29</v>
      </c>
      <c r="D1413" s="1">
        <v>45073</v>
      </c>
      <c r="E1413" t="s">
        <v>4201</v>
      </c>
      <c r="F1413" t="s">
        <v>13</v>
      </c>
      <c r="G1413" t="s">
        <v>14</v>
      </c>
      <c r="H1413" t="s">
        <v>15</v>
      </c>
      <c r="I1413" t="s">
        <v>204</v>
      </c>
    </row>
    <row r="1414" spans="1:9" x14ac:dyDescent="0.3">
      <c r="A1414" t="s">
        <v>4202</v>
      </c>
      <c r="B1414" t="s">
        <v>4203</v>
      </c>
      <c r="C1414" t="s">
        <v>69</v>
      </c>
      <c r="D1414" s="1">
        <v>45073</v>
      </c>
      <c r="E1414" t="s">
        <v>4204</v>
      </c>
      <c r="F1414" t="s">
        <v>13</v>
      </c>
      <c r="G1414" t="s">
        <v>14</v>
      </c>
      <c r="H1414" t="s">
        <v>15</v>
      </c>
      <c r="I1414" t="s">
        <v>71</v>
      </c>
    </row>
    <row r="1415" spans="1:9" x14ac:dyDescent="0.3">
      <c r="A1415" t="s">
        <v>4205</v>
      </c>
      <c r="B1415" t="s">
        <v>4206</v>
      </c>
      <c r="C1415" t="s">
        <v>29</v>
      </c>
      <c r="D1415" s="1">
        <v>45073</v>
      </c>
      <c r="E1415" t="s">
        <v>4207</v>
      </c>
      <c r="F1415" t="s">
        <v>13</v>
      </c>
      <c r="G1415" t="s">
        <v>14</v>
      </c>
      <c r="H1415" t="s">
        <v>15</v>
      </c>
      <c r="I1415" t="s">
        <v>204</v>
      </c>
    </row>
    <row r="1416" spans="1:9" x14ac:dyDescent="0.3">
      <c r="A1416" t="s">
        <v>4208</v>
      </c>
      <c r="B1416" t="s">
        <v>4209</v>
      </c>
      <c r="C1416" t="s">
        <v>19</v>
      </c>
      <c r="D1416" s="1">
        <v>45073</v>
      </c>
      <c r="E1416" t="s">
        <v>4210</v>
      </c>
      <c r="F1416" t="s">
        <v>13</v>
      </c>
      <c r="G1416" t="s">
        <v>14</v>
      </c>
      <c r="H1416" t="s">
        <v>15</v>
      </c>
    </row>
    <row r="1417" spans="1:9" x14ac:dyDescent="0.3">
      <c r="A1417" t="s">
        <v>4211</v>
      </c>
      <c r="B1417" t="s">
        <v>4212</v>
      </c>
      <c r="C1417" t="s">
        <v>45</v>
      </c>
      <c r="D1417" s="1">
        <v>45073</v>
      </c>
      <c r="E1417" t="s">
        <v>4213</v>
      </c>
      <c r="F1417" t="s">
        <v>13</v>
      </c>
      <c r="G1417" t="s">
        <v>14</v>
      </c>
      <c r="H1417" t="s">
        <v>15</v>
      </c>
    </row>
    <row r="1418" spans="1:9" x14ac:dyDescent="0.3">
      <c r="A1418" t="s">
        <v>4214</v>
      </c>
      <c r="B1418" t="s">
        <v>4215</v>
      </c>
      <c r="C1418" t="s">
        <v>11</v>
      </c>
      <c r="D1418" s="1">
        <v>45074</v>
      </c>
      <c r="E1418" t="s">
        <v>4216</v>
      </c>
      <c r="F1418" t="s">
        <v>13</v>
      </c>
      <c r="G1418" t="s">
        <v>14</v>
      </c>
      <c r="H1418" t="s">
        <v>15</v>
      </c>
    </row>
    <row r="1419" spans="1:9" x14ac:dyDescent="0.3">
      <c r="A1419" t="s">
        <v>4217</v>
      </c>
      <c r="B1419" t="s">
        <v>4218</v>
      </c>
      <c r="C1419" t="s">
        <v>24</v>
      </c>
      <c r="D1419" s="1">
        <v>45074</v>
      </c>
      <c r="E1419" t="s">
        <v>4219</v>
      </c>
      <c r="F1419" t="s">
        <v>13</v>
      </c>
      <c r="G1419" t="s">
        <v>14</v>
      </c>
      <c r="H1419" t="s">
        <v>15</v>
      </c>
    </row>
    <row r="1420" spans="1:9" x14ac:dyDescent="0.3">
      <c r="A1420" t="s">
        <v>4220</v>
      </c>
      <c r="B1420" t="s">
        <v>4221</v>
      </c>
      <c r="C1420" t="s">
        <v>33</v>
      </c>
      <c r="D1420" s="1">
        <v>45075</v>
      </c>
      <c r="E1420" t="s">
        <v>4222</v>
      </c>
      <c r="F1420" t="s">
        <v>13</v>
      </c>
      <c r="G1420" t="s">
        <v>14</v>
      </c>
      <c r="H1420" t="s">
        <v>15</v>
      </c>
      <c r="I1420" t="s">
        <v>94</v>
      </c>
    </row>
    <row r="1421" spans="1:9" x14ac:dyDescent="0.3">
      <c r="A1421" t="s">
        <v>4223</v>
      </c>
      <c r="B1421" t="s">
        <v>4224</v>
      </c>
      <c r="C1421" t="s">
        <v>19</v>
      </c>
      <c r="D1421" s="1">
        <v>45075</v>
      </c>
      <c r="E1421" t="s">
        <v>4225</v>
      </c>
      <c r="F1421" t="s">
        <v>13</v>
      </c>
      <c r="G1421" t="s">
        <v>14</v>
      </c>
      <c r="H1421" t="s">
        <v>15</v>
      </c>
    </row>
    <row r="1422" spans="1:9" x14ac:dyDescent="0.3">
      <c r="A1422" t="s">
        <v>4226</v>
      </c>
      <c r="B1422" t="s">
        <v>4227</v>
      </c>
      <c r="C1422" t="s">
        <v>54</v>
      </c>
      <c r="D1422" s="1">
        <v>45076</v>
      </c>
      <c r="E1422" t="s">
        <v>4228</v>
      </c>
      <c r="F1422" t="s">
        <v>13</v>
      </c>
      <c r="G1422" t="s">
        <v>14</v>
      </c>
      <c r="H1422" t="s">
        <v>15</v>
      </c>
      <c r="I1422" t="s">
        <v>238</v>
      </c>
    </row>
    <row r="1423" spans="1:9" x14ac:dyDescent="0.3">
      <c r="A1423" t="s">
        <v>4229</v>
      </c>
      <c r="B1423" t="s">
        <v>4230</v>
      </c>
      <c r="C1423" t="s">
        <v>69</v>
      </c>
      <c r="D1423" s="1">
        <v>45076</v>
      </c>
      <c r="E1423" t="s">
        <v>4231</v>
      </c>
      <c r="F1423" t="s">
        <v>13</v>
      </c>
      <c r="G1423" t="s">
        <v>14</v>
      </c>
      <c r="H1423" t="s">
        <v>15</v>
      </c>
      <c r="I1423" t="s">
        <v>71</v>
      </c>
    </row>
    <row r="1424" spans="1:9" x14ac:dyDescent="0.3">
      <c r="A1424" t="s">
        <v>4232</v>
      </c>
      <c r="B1424" t="s">
        <v>4233</v>
      </c>
      <c r="C1424" t="s">
        <v>11</v>
      </c>
      <c r="D1424" s="1">
        <v>45076</v>
      </c>
      <c r="E1424" t="s">
        <v>4234</v>
      </c>
      <c r="F1424" t="s">
        <v>13</v>
      </c>
      <c r="G1424" t="s">
        <v>14</v>
      </c>
      <c r="H1424" t="s">
        <v>15</v>
      </c>
      <c r="I1424" t="s">
        <v>185</v>
      </c>
    </row>
    <row r="1425" spans="1:9" x14ac:dyDescent="0.3">
      <c r="A1425" t="s">
        <v>3580</v>
      </c>
      <c r="B1425" t="s">
        <v>4235</v>
      </c>
      <c r="C1425" t="s">
        <v>19</v>
      </c>
      <c r="D1425" s="1">
        <v>45076</v>
      </c>
      <c r="E1425" t="s">
        <v>4236</v>
      </c>
      <c r="F1425" t="s">
        <v>13</v>
      </c>
      <c r="G1425" t="s">
        <v>14</v>
      </c>
      <c r="H1425" t="s">
        <v>15</v>
      </c>
      <c r="I1425" t="s">
        <v>21</v>
      </c>
    </row>
    <row r="1426" spans="1:9" x14ac:dyDescent="0.3">
      <c r="A1426" t="s">
        <v>4237</v>
      </c>
      <c r="B1426" t="s">
        <v>4238</v>
      </c>
      <c r="C1426" t="s">
        <v>33</v>
      </c>
      <c r="D1426" s="1">
        <v>45076</v>
      </c>
      <c r="E1426" t="s">
        <v>4239</v>
      </c>
      <c r="F1426" t="s">
        <v>13</v>
      </c>
      <c r="G1426" t="s">
        <v>14</v>
      </c>
      <c r="H1426" t="s">
        <v>15</v>
      </c>
      <c r="I1426" t="s">
        <v>94</v>
      </c>
    </row>
    <row r="1427" spans="1:9" x14ac:dyDescent="0.3">
      <c r="A1427" t="s">
        <v>4240</v>
      </c>
      <c r="B1427" t="s">
        <v>4241</v>
      </c>
      <c r="C1427" t="s">
        <v>24</v>
      </c>
      <c r="D1427" s="1">
        <v>45077</v>
      </c>
      <c r="E1427" t="s">
        <v>4242</v>
      </c>
      <c r="F1427" t="s">
        <v>13</v>
      </c>
      <c r="G1427" t="s">
        <v>14</v>
      </c>
      <c r="H1427" t="s">
        <v>15</v>
      </c>
      <c r="I1427" t="s">
        <v>26</v>
      </c>
    </row>
    <row r="1428" spans="1:9" x14ac:dyDescent="0.3">
      <c r="A1428" t="s">
        <v>4243</v>
      </c>
      <c r="B1428" t="s">
        <v>4244</v>
      </c>
      <c r="C1428" t="s">
        <v>54</v>
      </c>
      <c r="D1428" s="1">
        <v>45078</v>
      </c>
      <c r="E1428" t="s">
        <v>4245</v>
      </c>
      <c r="F1428" t="s">
        <v>13</v>
      </c>
      <c r="G1428" t="s">
        <v>14</v>
      </c>
      <c r="H1428" t="s">
        <v>15</v>
      </c>
      <c r="I1428" t="s">
        <v>238</v>
      </c>
    </row>
    <row r="1429" spans="1:9" x14ac:dyDescent="0.3">
      <c r="A1429" t="s">
        <v>4246</v>
      </c>
      <c r="B1429" t="s">
        <v>4247</v>
      </c>
      <c r="C1429" t="s">
        <v>29</v>
      </c>
      <c r="D1429" s="1">
        <v>45079</v>
      </c>
      <c r="E1429" t="s">
        <v>4248</v>
      </c>
      <c r="F1429" t="s">
        <v>13</v>
      </c>
      <c r="G1429" t="s">
        <v>14</v>
      </c>
      <c r="H1429" t="s">
        <v>15</v>
      </c>
      <c r="I1429" t="s">
        <v>42</v>
      </c>
    </row>
    <row r="1430" spans="1:9" x14ac:dyDescent="0.3">
      <c r="A1430" t="s">
        <v>4249</v>
      </c>
      <c r="B1430" t="s">
        <v>4250</v>
      </c>
      <c r="C1430" t="s">
        <v>11</v>
      </c>
      <c r="D1430" s="1">
        <v>45079</v>
      </c>
      <c r="E1430" t="s">
        <v>4251</v>
      </c>
      <c r="F1430" t="s">
        <v>13</v>
      </c>
      <c r="G1430" t="s">
        <v>14</v>
      </c>
      <c r="H1430" t="s">
        <v>15</v>
      </c>
      <c r="I1430" t="s">
        <v>16</v>
      </c>
    </row>
    <row r="1431" spans="1:9" x14ac:dyDescent="0.3">
      <c r="A1431" t="s">
        <v>4252</v>
      </c>
      <c r="B1431" t="s">
        <v>4253</v>
      </c>
      <c r="C1431" t="s">
        <v>29</v>
      </c>
      <c r="D1431" s="1">
        <v>45079</v>
      </c>
      <c r="E1431" t="s">
        <v>4254</v>
      </c>
      <c r="F1431" t="s">
        <v>13</v>
      </c>
      <c r="G1431" t="s">
        <v>14</v>
      </c>
      <c r="H1431" t="s">
        <v>15</v>
      </c>
      <c r="I1431" t="s">
        <v>42</v>
      </c>
    </row>
    <row r="1432" spans="1:9" x14ac:dyDescent="0.3">
      <c r="A1432" t="s">
        <v>4255</v>
      </c>
      <c r="B1432" t="s">
        <v>4256</v>
      </c>
      <c r="C1432" t="s">
        <v>19</v>
      </c>
      <c r="D1432" s="1">
        <v>45080</v>
      </c>
      <c r="E1432" t="s">
        <v>4257</v>
      </c>
      <c r="F1432" t="s">
        <v>13</v>
      </c>
      <c r="G1432" t="s">
        <v>14</v>
      </c>
      <c r="H1432" t="s">
        <v>15</v>
      </c>
      <c r="I1432" t="s">
        <v>21</v>
      </c>
    </row>
    <row r="1433" spans="1:9" x14ac:dyDescent="0.3">
      <c r="A1433" t="s">
        <v>4258</v>
      </c>
      <c r="B1433" t="s">
        <v>4259</v>
      </c>
      <c r="C1433" t="s">
        <v>33</v>
      </c>
      <c r="D1433" s="1">
        <v>45080</v>
      </c>
      <c r="E1433" t="s">
        <v>4260</v>
      </c>
      <c r="F1433" t="s">
        <v>13</v>
      </c>
      <c r="G1433" t="s">
        <v>14</v>
      </c>
      <c r="H1433" t="s">
        <v>15</v>
      </c>
      <c r="I1433" t="s">
        <v>94</v>
      </c>
    </row>
    <row r="1434" spans="1:9" x14ac:dyDescent="0.3">
      <c r="A1434" t="s">
        <v>4261</v>
      </c>
      <c r="B1434" t="s">
        <v>4262</v>
      </c>
      <c r="C1434" t="s">
        <v>45</v>
      </c>
      <c r="D1434" s="1">
        <v>45082</v>
      </c>
      <c r="E1434" t="s">
        <v>4263</v>
      </c>
      <c r="F1434" t="s">
        <v>13</v>
      </c>
      <c r="G1434" t="s">
        <v>14</v>
      </c>
      <c r="H1434" t="s">
        <v>15</v>
      </c>
    </row>
    <row r="1435" spans="1:9" x14ac:dyDescent="0.3">
      <c r="A1435" t="s">
        <v>4264</v>
      </c>
      <c r="B1435" t="s">
        <v>4265</v>
      </c>
      <c r="C1435" t="s">
        <v>11</v>
      </c>
      <c r="D1435" s="1">
        <v>45082</v>
      </c>
      <c r="E1435" t="s">
        <v>4266</v>
      </c>
      <c r="F1435" t="s">
        <v>13</v>
      </c>
      <c r="G1435" t="s">
        <v>174</v>
      </c>
      <c r="H1435" t="s">
        <v>15</v>
      </c>
      <c r="I1435" t="s">
        <v>38</v>
      </c>
    </row>
    <row r="1436" spans="1:9" x14ac:dyDescent="0.3">
      <c r="A1436" t="s">
        <v>4267</v>
      </c>
      <c r="B1436" t="s">
        <v>4268</v>
      </c>
      <c r="C1436" t="s">
        <v>11</v>
      </c>
      <c r="D1436" s="1">
        <v>45082</v>
      </c>
      <c r="E1436" t="s">
        <v>4269</v>
      </c>
      <c r="F1436" t="s">
        <v>13</v>
      </c>
      <c r="G1436" t="s">
        <v>14</v>
      </c>
      <c r="H1436" t="s">
        <v>15</v>
      </c>
    </row>
    <row r="1437" spans="1:9" x14ac:dyDescent="0.3">
      <c r="A1437" t="s">
        <v>4270</v>
      </c>
      <c r="B1437" t="s">
        <v>4271</v>
      </c>
      <c r="C1437" t="s">
        <v>19</v>
      </c>
      <c r="D1437" s="1">
        <v>45083</v>
      </c>
      <c r="E1437" t="s">
        <v>4272</v>
      </c>
      <c r="F1437" t="s">
        <v>13</v>
      </c>
      <c r="G1437" t="s">
        <v>14</v>
      </c>
      <c r="H1437" t="s">
        <v>15</v>
      </c>
      <c r="I1437" t="s">
        <v>21</v>
      </c>
    </row>
    <row r="1438" spans="1:9" x14ac:dyDescent="0.3">
      <c r="A1438" t="s">
        <v>4273</v>
      </c>
      <c r="B1438" t="s">
        <v>4274</v>
      </c>
      <c r="C1438" t="s">
        <v>33</v>
      </c>
      <c r="D1438" s="1">
        <v>45083</v>
      </c>
      <c r="E1438" t="s">
        <v>4275</v>
      </c>
      <c r="F1438" t="s">
        <v>13</v>
      </c>
      <c r="G1438" t="s">
        <v>14</v>
      </c>
      <c r="H1438" t="s">
        <v>15</v>
      </c>
      <c r="I1438" t="s">
        <v>94</v>
      </c>
    </row>
    <row r="1439" spans="1:9" x14ac:dyDescent="0.3">
      <c r="A1439" t="s">
        <v>4276</v>
      </c>
      <c r="B1439" t="s">
        <v>4277</v>
      </c>
      <c r="C1439" t="s">
        <v>11</v>
      </c>
      <c r="D1439" s="1">
        <v>45083</v>
      </c>
      <c r="E1439" t="s">
        <v>4278</v>
      </c>
      <c r="F1439" t="s">
        <v>13</v>
      </c>
      <c r="G1439" t="s">
        <v>14</v>
      </c>
      <c r="H1439" t="s">
        <v>15</v>
      </c>
      <c r="I1439" t="s">
        <v>185</v>
      </c>
    </row>
    <row r="1440" spans="1:9" x14ac:dyDescent="0.3">
      <c r="A1440" t="s">
        <v>4279</v>
      </c>
      <c r="B1440" t="s">
        <v>4280</v>
      </c>
      <c r="C1440" t="s">
        <v>11</v>
      </c>
      <c r="D1440" s="1">
        <v>45083</v>
      </c>
      <c r="E1440" t="s">
        <v>4281</v>
      </c>
      <c r="F1440" t="s">
        <v>13</v>
      </c>
      <c r="G1440" t="s">
        <v>14</v>
      </c>
      <c r="H1440" t="s">
        <v>15</v>
      </c>
      <c r="I1440" t="s">
        <v>185</v>
      </c>
    </row>
    <row r="1441" spans="1:9" x14ac:dyDescent="0.3">
      <c r="A1441" t="s">
        <v>4282</v>
      </c>
      <c r="B1441" t="s">
        <v>4283</v>
      </c>
      <c r="C1441" t="s">
        <v>45</v>
      </c>
      <c r="D1441" s="1">
        <v>45083</v>
      </c>
      <c r="E1441" t="s">
        <v>4284</v>
      </c>
      <c r="F1441" t="s">
        <v>13</v>
      </c>
      <c r="G1441" t="s">
        <v>14</v>
      </c>
      <c r="H1441" t="s">
        <v>15</v>
      </c>
      <c r="I1441" t="s">
        <v>248</v>
      </c>
    </row>
    <row r="1442" spans="1:9" x14ac:dyDescent="0.3">
      <c r="A1442" t="s">
        <v>3887</v>
      </c>
      <c r="B1442" t="s">
        <v>4285</v>
      </c>
      <c r="C1442" t="s">
        <v>19</v>
      </c>
      <c r="D1442" s="1">
        <v>45084</v>
      </c>
      <c r="E1442" t="s">
        <v>4286</v>
      </c>
      <c r="F1442" t="s">
        <v>13</v>
      </c>
      <c r="G1442" t="s">
        <v>14</v>
      </c>
      <c r="H1442" t="s">
        <v>15</v>
      </c>
      <c r="I1442" t="s">
        <v>116</v>
      </c>
    </row>
    <row r="1443" spans="1:9" x14ac:dyDescent="0.3">
      <c r="A1443" t="s">
        <v>4287</v>
      </c>
      <c r="B1443" t="s">
        <v>4288</v>
      </c>
      <c r="C1443" t="s">
        <v>11</v>
      </c>
      <c r="D1443" s="1">
        <v>45084</v>
      </c>
      <c r="E1443" t="s">
        <v>4289</v>
      </c>
      <c r="F1443" t="s">
        <v>13</v>
      </c>
      <c r="G1443" t="s">
        <v>14</v>
      </c>
      <c r="H1443" t="s">
        <v>15</v>
      </c>
    </row>
    <row r="1444" spans="1:9" x14ac:dyDescent="0.3">
      <c r="A1444" t="s">
        <v>4290</v>
      </c>
      <c r="B1444" t="s">
        <v>4291</v>
      </c>
      <c r="C1444" t="s">
        <v>29</v>
      </c>
      <c r="D1444" s="1">
        <v>45084</v>
      </c>
      <c r="E1444" t="s">
        <v>4292</v>
      </c>
      <c r="F1444" t="s">
        <v>13</v>
      </c>
      <c r="G1444" t="s">
        <v>14</v>
      </c>
      <c r="H1444" t="s">
        <v>15</v>
      </c>
      <c r="I1444" t="s">
        <v>204</v>
      </c>
    </row>
    <row r="1445" spans="1:9" x14ac:dyDescent="0.3">
      <c r="A1445" t="s">
        <v>4293</v>
      </c>
      <c r="B1445" t="s">
        <v>4294</v>
      </c>
      <c r="C1445" t="s">
        <v>33</v>
      </c>
      <c r="D1445" s="1">
        <v>45084</v>
      </c>
      <c r="E1445" t="s">
        <v>4295</v>
      </c>
      <c r="F1445" t="s">
        <v>13</v>
      </c>
      <c r="G1445" t="s">
        <v>14</v>
      </c>
      <c r="H1445" t="s">
        <v>15</v>
      </c>
      <c r="I1445" t="s">
        <v>51</v>
      </c>
    </row>
    <row r="1446" spans="1:9" x14ac:dyDescent="0.3">
      <c r="A1446" t="s">
        <v>4296</v>
      </c>
      <c r="B1446" t="s">
        <v>4297</v>
      </c>
      <c r="C1446" t="s">
        <v>29</v>
      </c>
      <c r="D1446" s="1">
        <v>45085</v>
      </c>
      <c r="E1446" t="s">
        <v>4298</v>
      </c>
      <c r="F1446" t="s">
        <v>13</v>
      </c>
      <c r="G1446" t="s">
        <v>14</v>
      </c>
      <c r="H1446" t="s">
        <v>15</v>
      </c>
      <c r="I1446" t="s">
        <v>81</v>
      </c>
    </row>
    <row r="1447" spans="1:9" x14ac:dyDescent="0.3">
      <c r="A1447" t="s">
        <v>4299</v>
      </c>
      <c r="B1447" t="s">
        <v>4300</v>
      </c>
      <c r="C1447" t="s">
        <v>19</v>
      </c>
      <c r="D1447" s="1">
        <v>45085</v>
      </c>
      <c r="E1447" t="s">
        <v>4301</v>
      </c>
      <c r="F1447" t="s">
        <v>13</v>
      </c>
      <c r="G1447" t="s">
        <v>14</v>
      </c>
      <c r="H1447" t="s">
        <v>15</v>
      </c>
      <c r="I1447" t="s">
        <v>116</v>
      </c>
    </row>
    <row r="1448" spans="1:9" x14ac:dyDescent="0.3">
      <c r="A1448" t="s">
        <v>4302</v>
      </c>
      <c r="B1448" t="s">
        <v>4303</v>
      </c>
      <c r="C1448" t="s">
        <v>33</v>
      </c>
      <c r="D1448" s="1">
        <v>45085</v>
      </c>
      <c r="E1448" t="s">
        <v>4304</v>
      </c>
      <c r="F1448" t="s">
        <v>13</v>
      </c>
      <c r="G1448" t="s">
        <v>14</v>
      </c>
      <c r="H1448" t="s">
        <v>15</v>
      </c>
    </row>
    <row r="1449" spans="1:9" x14ac:dyDescent="0.3">
      <c r="A1449" t="s">
        <v>3750</v>
      </c>
      <c r="B1449" t="s">
        <v>4305</v>
      </c>
      <c r="C1449" t="s">
        <v>19</v>
      </c>
      <c r="D1449" s="1">
        <v>45086</v>
      </c>
      <c r="E1449" t="s">
        <v>4306</v>
      </c>
      <c r="F1449" t="s">
        <v>13</v>
      </c>
      <c r="G1449" t="s">
        <v>14</v>
      </c>
      <c r="H1449" t="s">
        <v>15</v>
      </c>
      <c r="I1449" t="s">
        <v>21</v>
      </c>
    </row>
    <row r="1450" spans="1:9" x14ac:dyDescent="0.3">
      <c r="A1450" t="s">
        <v>4307</v>
      </c>
      <c r="B1450" t="s">
        <v>4308</v>
      </c>
      <c r="C1450" t="s">
        <v>11</v>
      </c>
      <c r="D1450" s="1">
        <v>45086</v>
      </c>
      <c r="E1450" t="s">
        <v>4309</v>
      </c>
      <c r="F1450" t="s">
        <v>13</v>
      </c>
      <c r="G1450" t="s">
        <v>14</v>
      </c>
      <c r="H1450" t="s">
        <v>15</v>
      </c>
      <c r="I1450" t="s">
        <v>16</v>
      </c>
    </row>
    <row r="1451" spans="1:9" x14ac:dyDescent="0.3">
      <c r="A1451" t="s">
        <v>4310</v>
      </c>
      <c r="B1451" t="s">
        <v>4311</v>
      </c>
      <c r="C1451" t="s">
        <v>24</v>
      </c>
      <c r="D1451" s="1">
        <v>45086</v>
      </c>
      <c r="E1451" t="s">
        <v>4312</v>
      </c>
      <c r="F1451" t="s">
        <v>13</v>
      </c>
      <c r="G1451" t="s">
        <v>14</v>
      </c>
      <c r="H1451" t="s">
        <v>15</v>
      </c>
      <c r="I1451" t="s">
        <v>59</v>
      </c>
    </row>
    <row r="1452" spans="1:9" x14ac:dyDescent="0.3">
      <c r="A1452" t="s">
        <v>4313</v>
      </c>
      <c r="B1452" t="s">
        <v>4314</v>
      </c>
      <c r="C1452" t="s">
        <v>33</v>
      </c>
      <c r="D1452" s="1">
        <v>45086</v>
      </c>
      <c r="E1452" t="s">
        <v>4315</v>
      </c>
      <c r="F1452" t="s">
        <v>13</v>
      </c>
      <c r="G1452" t="s">
        <v>14</v>
      </c>
      <c r="H1452" t="s">
        <v>15</v>
      </c>
      <c r="I1452" t="s">
        <v>94</v>
      </c>
    </row>
    <row r="1453" spans="1:9" x14ac:dyDescent="0.3">
      <c r="A1453" t="s">
        <v>3194</v>
      </c>
      <c r="B1453" t="s">
        <v>4316</v>
      </c>
      <c r="C1453" t="s">
        <v>19</v>
      </c>
      <c r="D1453" s="1">
        <v>45088</v>
      </c>
      <c r="E1453" t="s">
        <v>4317</v>
      </c>
      <c r="F1453" t="s">
        <v>13</v>
      </c>
      <c r="G1453" t="s">
        <v>14</v>
      </c>
      <c r="H1453" t="s">
        <v>15</v>
      </c>
    </row>
    <row r="1454" spans="1:9" x14ac:dyDescent="0.3">
      <c r="A1454" t="s">
        <v>4318</v>
      </c>
      <c r="B1454" t="s">
        <v>4319</v>
      </c>
      <c r="C1454" t="s">
        <v>54</v>
      </c>
      <c r="D1454" s="1">
        <v>45088</v>
      </c>
      <c r="E1454" t="s">
        <v>4320</v>
      </c>
      <c r="F1454" t="s">
        <v>13</v>
      </c>
      <c r="G1454" t="s">
        <v>14</v>
      </c>
      <c r="H1454" t="s">
        <v>15</v>
      </c>
    </row>
    <row r="1455" spans="1:9" x14ac:dyDescent="0.3">
      <c r="A1455" t="s">
        <v>4321</v>
      </c>
      <c r="B1455" t="s">
        <v>4322</v>
      </c>
      <c r="C1455" t="s">
        <v>69</v>
      </c>
      <c r="D1455" s="1">
        <v>45088</v>
      </c>
      <c r="E1455" t="s">
        <v>4323</v>
      </c>
      <c r="F1455" t="s">
        <v>13</v>
      </c>
      <c r="G1455" t="s">
        <v>14</v>
      </c>
      <c r="H1455" t="s">
        <v>15</v>
      </c>
      <c r="I1455" t="s">
        <v>71</v>
      </c>
    </row>
    <row r="1456" spans="1:9" x14ac:dyDescent="0.3">
      <c r="A1456" t="s">
        <v>4324</v>
      </c>
      <c r="B1456" t="s">
        <v>4325</v>
      </c>
      <c r="C1456" t="s">
        <v>33</v>
      </c>
      <c r="D1456" s="1">
        <v>45088</v>
      </c>
      <c r="E1456" t="s">
        <v>4326</v>
      </c>
      <c r="F1456" t="s">
        <v>13</v>
      </c>
      <c r="G1456" t="s">
        <v>14</v>
      </c>
      <c r="H1456" t="s">
        <v>15</v>
      </c>
      <c r="I1456" t="s">
        <v>94</v>
      </c>
    </row>
    <row r="1457" spans="1:9" x14ac:dyDescent="0.3">
      <c r="A1457" t="s">
        <v>4327</v>
      </c>
      <c r="B1457" t="s">
        <v>4328</v>
      </c>
      <c r="C1457" t="s">
        <v>24</v>
      </c>
      <c r="D1457" s="1">
        <v>45088</v>
      </c>
      <c r="E1457" t="s">
        <v>4329</v>
      </c>
      <c r="F1457" t="s">
        <v>13</v>
      </c>
      <c r="G1457" t="s">
        <v>14</v>
      </c>
      <c r="H1457" t="s">
        <v>15</v>
      </c>
    </row>
    <row r="1458" spans="1:9" x14ac:dyDescent="0.3">
      <c r="A1458" t="s">
        <v>4330</v>
      </c>
      <c r="B1458" t="s">
        <v>4331</v>
      </c>
      <c r="C1458" t="s">
        <v>54</v>
      </c>
      <c r="D1458" s="1">
        <v>45089</v>
      </c>
      <c r="E1458" t="s">
        <v>4332</v>
      </c>
      <c r="F1458" t="s">
        <v>13</v>
      </c>
      <c r="G1458" t="s">
        <v>14</v>
      </c>
      <c r="H1458" t="s">
        <v>15</v>
      </c>
      <c r="I1458" t="s">
        <v>238</v>
      </c>
    </row>
    <row r="1459" spans="1:9" x14ac:dyDescent="0.3">
      <c r="A1459" t="s">
        <v>4333</v>
      </c>
      <c r="B1459" t="s">
        <v>4334</v>
      </c>
      <c r="C1459" t="s">
        <v>69</v>
      </c>
      <c r="D1459" s="1">
        <v>45090</v>
      </c>
      <c r="E1459" t="s">
        <v>4335</v>
      </c>
      <c r="F1459" t="s">
        <v>13</v>
      </c>
      <c r="G1459" t="s">
        <v>14</v>
      </c>
      <c r="H1459" t="s">
        <v>15</v>
      </c>
      <c r="I1459" t="s">
        <v>71</v>
      </c>
    </row>
    <row r="1460" spans="1:9" x14ac:dyDescent="0.3">
      <c r="A1460" t="s">
        <v>4336</v>
      </c>
      <c r="B1460" t="s">
        <v>4337</v>
      </c>
      <c r="C1460" t="s">
        <v>54</v>
      </c>
      <c r="D1460" s="1">
        <v>45090</v>
      </c>
      <c r="E1460" t="s">
        <v>4338</v>
      </c>
      <c r="F1460" t="s">
        <v>13</v>
      </c>
      <c r="G1460" t="s">
        <v>14</v>
      </c>
      <c r="H1460" t="s">
        <v>15</v>
      </c>
      <c r="I1460" t="s">
        <v>238</v>
      </c>
    </row>
    <row r="1461" spans="1:9" x14ac:dyDescent="0.3">
      <c r="A1461" t="s">
        <v>4339</v>
      </c>
      <c r="B1461" t="s">
        <v>4340</v>
      </c>
      <c r="C1461" t="s">
        <v>29</v>
      </c>
      <c r="D1461" s="1">
        <v>45090</v>
      </c>
      <c r="E1461" t="s">
        <v>4341</v>
      </c>
      <c r="F1461" t="s">
        <v>13</v>
      </c>
      <c r="G1461" t="s">
        <v>14</v>
      </c>
      <c r="H1461" t="s">
        <v>15</v>
      </c>
      <c r="I1461" t="s">
        <v>42</v>
      </c>
    </row>
    <row r="1462" spans="1:9" x14ac:dyDescent="0.3">
      <c r="A1462" t="s">
        <v>4342</v>
      </c>
      <c r="B1462" t="s">
        <v>4343</v>
      </c>
      <c r="C1462" t="s">
        <v>54</v>
      </c>
      <c r="D1462" s="1">
        <v>45090</v>
      </c>
      <c r="E1462" t="s">
        <v>4344</v>
      </c>
      <c r="F1462" t="s">
        <v>13</v>
      </c>
      <c r="G1462" t="s">
        <v>14</v>
      </c>
      <c r="H1462" t="s">
        <v>15</v>
      </c>
      <c r="I1462" t="s">
        <v>238</v>
      </c>
    </row>
    <row r="1463" spans="1:9" x14ac:dyDescent="0.3">
      <c r="A1463" t="s">
        <v>4270</v>
      </c>
      <c r="B1463" t="s">
        <v>4345</v>
      </c>
      <c r="C1463" t="s">
        <v>19</v>
      </c>
      <c r="D1463" s="1">
        <v>45090</v>
      </c>
      <c r="E1463" t="s">
        <v>4346</v>
      </c>
      <c r="F1463" t="s">
        <v>13</v>
      </c>
      <c r="G1463" t="s">
        <v>14</v>
      </c>
      <c r="H1463" t="s">
        <v>15</v>
      </c>
      <c r="I1463" t="s">
        <v>116</v>
      </c>
    </row>
    <row r="1464" spans="1:9" x14ac:dyDescent="0.3">
      <c r="A1464" t="s">
        <v>4347</v>
      </c>
      <c r="B1464" t="s">
        <v>4348</v>
      </c>
      <c r="C1464" t="s">
        <v>11</v>
      </c>
      <c r="D1464" s="1">
        <v>45090</v>
      </c>
      <c r="E1464" t="s">
        <v>4349</v>
      </c>
      <c r="F1464" t="s">
        <v>13</v>
      </c>
      <c r="G1464" t="s">
        <v>14</v>
      </c>
      <c r="H1464" t="s">
        <v>15</v>
      </c>
      <c r="I1464" t="s">
        <v>16</v>
      </c>
    </row>
    <row r="1465" spans="1:9" x14ac:dyDescent="0.3">
      <c r="A1465" t="s">
        <v>4350</v>
      </c>
      <c r="B1465" t="s">
        <v>4351</v>
      </c>
      <c r="C1465" t="s">
        <v>19</v>
      </c>
      <c r="D1465" s="1">
        <v>45091</v>
      </c>
      <c r="E1465" t="s">
        <v>4352</v>
      </c>
      <c r="F1465" t="s">
        <v>13</v>
      </c>
      <c r="G1465" t="s">
        <v>14</v>
      </c>
      <c r="H1465" t="s">
        <v>15</v>
      </c>
      <c r="I1465" t="s">
        <v>21</v>
      </c>
    </row>
    <row r="1466" spans="1:9" x14ac:dyDescent="0.3">
      <c r="A1466" t="s">
        <v>4353</v>
      </c>
      <c r="B1466" t="s">
        <v>4354</v>
      </c>
      <c r="C1466" t="s">
        <v>19</v>
      </c>
      <c r="D1466" s="1">
        <v>45091</v>
      </c>
      <c r="E1466" t="s">
        <v>4355</v>
      </c>
      <c r="F1466" t="s">
        <v>13</v>
      </c>
      <c r="G1466" t="s">
        <v>14</v>
      </c>
      <c r="H1466" t="s">
        <v>15</v>
      </c>
      <c r="I1466" t="s">
        <v>21</v>
      </c>
    </row>
    <row r="1467" spans="1:9" x14ac:dyDescent="0.3">
      <c r="A1467" t="s">
        <v>4356</v>
      </c>
      <c r="B1467" t="s">
        <v>4357</v>
      </c>
      <c r="C1467" t="s">
        <v>11</v>
      </c>
      <c r="D1467" s="1">
        <v>45092</v>
      </c>
      <c r="E1467" t="s">
        <v>4358</v>
      </c>
      <c r="F1467" t="s">
        <v>13</v>
      </c>
      <c r="G1467" t="s">
        <v>14</v>
      </c>
      <c r="H1467" t="s">
        <v>15</v>
      </c>
    </row>
    <row r="1468" spans="1:9" x14ac:dyDescent="0.3">
      <c r="A1468" t="s">
        <v>4359</v>
      </c>
      <c r="B1468" t="s">
        <v>4360</v>
      </c>
      <c r="C1468" t="s">
        <v>29</v>
      </c>
      <c r="D1468" s="1">
        <v>45092</v>
      </c>
      <c r="E1468" t="s">
        <v>4361</v>
      </c>
      <c r="F1468" t="s">
        <v>13</v>
      </c>
      <c r="G1468" t="s">
        <v>14</v>
      </c>
      <c r="H1468" t="s">
        <v>15</v>
      </c>
      <c r="I1468" t="s">
        <v>42</v>
      </c>
    </row>
    <row r="1469" spans="1:9" x14ac:dyDescent="0.3">
      <c r="A1469" t="s">
        <v>4362</v>
      </c>
      <c r="B1469" t="s">
        <v>4363</v>
      </c>
      <c r="C1469" t="s">
        <v>33</v>
      </c>
      <c r="D1469" s="1">
        <v>45093</v>
      </c>
      <c r="E1469" t="s">
        <v>4364</v>
      </c>
      <c r="F1469" t="s">
        <v>13</v>
      </c>
      <c r="G1469" t="s">
        <v>14</v>
      </c>
      <c r="H1469" t="s">
        <v>15</v>
      </c>
    </row>
    <row r="1470" spans="1:9" x14ac:dyDescent="0.3">
      <c r="A1470" t="s">
        <v>4365</v>
      </c>
      <c r="B1470" t="s">
        <v>4366</v>
      </c>
      <c r="C1470" t="s">
        <v>54</v>
      </c>
      <c r="D1470" s="1">
        <v>45093</v>
      </c>
      <c r="E1470" t="s">
        <v>4367</v>
      </c>
      <c r="F1470" t="s">
        <v>13</v>
      </c>
      <c r="G1470" t="s">
        <v>14</v>
      </c>
      <c r="H1470" t="s">
        <v>15</v>
      </c>
      <c r="I1470" t="s">
        <v>181</v>
      </c>
    </row>
    <row r="1471" spans="1:9" x14ac:dyDescent="0.3">
      <c r="A1471" t="s">
        <v>4368</v>
      </c>
      <c r="B1471" t="s">
        <v>4369</v>
      </c>
      <c r="C1471" t="s">
        <v>19</v>
      </c>
      <c r="D1471" s="1">
        <v>45093</v>
      </c>
      <c r="E1471" t="s">
        <v>4370</v>
      </c>
      <c r="F1471" t="s">
        <v>13</v>
      </c>
      <c r="G1471" t="s">
        <v>14</v>
      </c>
      <c r="H1471" t="s">
        <v>15</v>
      </c>
      <c r="I1471" t="s">
        <v>21</v>
      </c>
    </row>
    <row r="1472" spans="1:9" x14ac:dyDescent="0.3">
      <c r="A1472" t="s">
        <v>2981</v>
      </c>
      <c r="B1472" t="s">
        <v>4371</v>
      </c>
      <c r="C1472" t="s">
        <v>19</v>
      </c>
      <c r="D1472" s="1">
        <v>45094</v>
      </c>
      <c r="E1472" t="s">
        <v>4372</v>
      </c>
      <c r="F1472" t="s">
        <v>13</v>
      </c>
      <c r="G1472" t="s">
        <v>14</v>
      </c>
      <c r="H1472" t="s">
        <v>15</v>
      </c>
      <c r="I1472" t="s">
        <v>116</v>
      </c>
    </row>
    <row r="1473" spans="1:9" x14ac:dyDescent="0.3">
      <c r="A1473" t="s">
        <v>4373</v>
      </c>
      <c r="B1473" t="s">
        <v>4374</v>
      </c>
      <c r="C1473" t="s">
        <v>24</v>
      </c>
      <c r="D1473" s="1">
        <v>45094</v>
      </c>
      <c r="E1473" t="s">
        <v>4375</v>
      </c>
      <c r="F1473" t="s">
        <v>13</v>
      </c>
      <c r="G1473" t="s">
        <v>14</v>
      </c>
      <c r="H1473" t="s">
        <v>15</v>
      </c>
      <c r="I1473" t="s">
        <v>63</v>
      </c>
    </row>
    <row r="1474" spans="1:9" x14ac:dyDescent="0.3">
      <c r="A1474" t="s">
        <v>4376</v>
      </c>
      <c r="B1474" t="s">
        <v>4377</v>
      </c>
      <c r="C1474" t="s">
        <v>29</v>
      </c>
      <c r="D1474" s="1">
        <v>45094</v>
      </c>
      <c r="E1474" t="s">
        <v>4378</v>
      </c>
      <c r="F1474" t="s">
        <v>13</v>
      </c>
      <c r="G1474" t="s">
        <v>14</v>
      </c>
      <c r="H1474" t="s">
        <v>15</v>
      </c>
      <c r="I1474" t="s">
        <v>81</v>
      </c>
    </row>
    <row r="1475" spans="1:9" x14ac:dyDescent="0.3">
      <c r="A1475" t="s">
        <v>4379</v>
      </c>
      <c r="B1475" t="s">
        <v>4380</v>
      </c>
      <c r="C1475" t="s">
        <v>24</v>
      </c>
      <c r="D1475" s="1">
        <v>45096</v>
      </c>
      <c r="E1475" t="s">
        <v>4381</v>
      </c>
      <c r="F1475" t="s">
        <v>13</v>
      </c>
      <c r="G1475" t="s">
        <v>14</v>
      </c>
      <c r="H1475" t="s">
        <v>15</v>
      </c>
      <c r="I1475" t="s">
        <v>63</v>
      </c>
    </row>
    <row r="1476" spans="1:9" x14ac:dyDescent="0.3">
      <c r="A1476" t="s">
        <v>4382</v>
      </c>
      <c r="B1476" t="s">
        <v>4383</v>
      </c>
      <c r="C1476" t="s">
        <v>11</v>
      </c>
      <c r="D1476" s="1">
        <v>45096</v>
      </c>
      <c r="E1476" t="s">
        <v>4384</v>
      </c>
      <c r="F1476" t="s">
        <v>13</v>
      </c>
      <c r="G1476" t="s">
        <v>14</v>
      </c>
      <c r="H1476" t="s">
        <v>15</v>
      </c>
      <c r="I1476" t="s">
        <v>16</v>
      </c>
    </row>
    <row r="1477" spans="1:9" x14ac:dyDescent="0.3">
      <c r="A1477" t="s">
        <v>4385</v>
      </c>
      <c r="B1477" t="s">
        <v>4386</v>
      </c>
      <c r="C1477" t="s">
        <v>24</v>
      </c>
      <c r="D1477" s="1">
        <v>45097</v>
      </c>
      <c r="E1477" t="s">
        <v>4387</v>
      </c>
      <c r="F1477" t="s">
        <v>13</v>
      </c>
      <c r="G1477" t="s">
        <v>14</v>
      </c>
      <c r="H1477" t="s">
        <v>15</v>
      </c>
      <c r="I1477" t="s">
        <v>59</v>
      </c>
    </row>
    <row r="1478" spans="1:9" x14ac:dyDescent="0.3">
      <c r="A1478" t="s">
        <v>4388</v>
      </c>
      <c r="B1478" t="s">
        <v>4389</v>
      </c>
      <c r="C1478" t="s">
        <v>33</v>
      </c>
      <c r="D1478" s="1">
        <v>45097</v>
      </c>
      <c r="E1478" t="s">
        <v>4390</v>
      </c>
      <c r="F1478" t="s">
        <v>13</v>
      </c>
      <c r="G1478" t="s">
        <v>14</v>
      </c>
      <c r="H1478" t="s">
        <v>15</v>
      </c>
      <c r="I1478" t="s">
        <v>94</v>
      </c>
    </row>
    <row r="1479" spans="1:9" x14ac:dyDescent="0.3">
      <c r="A1479" t="s">
        <v>4391</v>
      </c>
      <c r="B1479" t="s">
        <v>4392</v>
      </c>
      <c r="C1479" t="s">
        <v>54</v>
      </c>
      <c r="D1479" s="1">
        <v>45097</v>
      </c>
      <c r="E1479" t="s">
        <v>4393</v>
      </c>
      <c r="F1479" t="s">
        <v>13</v>
      </c>
      <c r="G1479" t="s">
        <v>14</v>
      </c>
      <c r="H1479" t="s">
        <v>15</v>
      </c>
    </row>
    <row r="1480" spans="1:9" x14ac:dyDescent="0.3">
      <c r="A1480" t="s">
        <v>3167</v>
      </c>
      <c r="B1480" t="s">
        <v>4394</v>
      </c>
      <c r="C1480" t="s">
        <v>19</v>
      </c>
      <c r="D1480" s="1">
        <v>45097</v>
      </c>
      <c r="E1480" t="s">
        <v>4395</v>
      </c>
      <c r="F1480" t="s">
        <v>13</v>
      </c>
      <c r="G1480" t="s">
        <v>14</v>
      </c>
      <c r="H1480" t="s">
        <v>15</v>
      </c>
    </row>
    <row r="1481" spans="1:9" x14ac:dyDescent="0.3">
      <c r="A1481" t="s">
        <v>4396</v>
      </c>
      <c r="B1481" t="s">
        <v>4397</v>
      </c>
      <c r="C1481" t="s">
        <v>19</v>
      </c>
      <c r="D1481" s="1">
        <v>45097</v>
      </c>
      <c r="E1481" t="s">
        <v>4398</v>
      </c>
      <c r="F1481" t="s">
        <v>13</v>
      </c>
      <c r="G1481" t="s">
        <v>14</v>
      </c>
      <c r="H1481" t="s">
        <v>15</v>
      </c>
      <c r="I1481" t="s">
        <v>116</v>
      </c>
    </row>
    <row r="1482" spans="1:9" x14ac:dyDescent="0.3">
      <c r="A1482" t="s">
        <v>4399</v>
      </c>
      <c r="B1482" t="s">
        <v>4400</v>
      </c>
      <c r="C1482" t="s">
        <v>24</v>
      </c>
      <c r="D1482" s="1">
        <v>45098</v>
      </c>
      <c r="E1482" t="s">
        <v>4401</v>
      </c>
      <c r="F1482" t="s">
        <v>13</v>
      </c>
      <c r="G1482" t="s">
        <v>14</v>
      </c>
      <c r="H1482" t="s">
        <v>15</v>
      </c>
    </row>
    <row r="1483" spans="1:9" x14ac:dyDescent="0.3">
      <c r="A1483" t="s">
        <v>4223</v>
      </c>
      <c r="B1483" t="s">
        <v>4402</v>
      </c>
      <c r="C1483" t="s">
        <v>19</v>
      </c>
      <c r="D1483" s="1">
        <v>45098</v>
      </c>
      <c r="E1483" t="s">
        <v>4403</v>
      </c>
      <c r="F1483" t="s">
        <v>13</v>
      </c>
      <c r="G1483" t="s">
        <v>14</v>
      </c>
      <c r="H1483" t="s">
        <v>15</v>
      </c>
    </row>
    <row r="1484" spans="1:9" x14ac:dyDescent="0.3">
      <c r="A1484" t="s">
        <v>4404</v>
      </c>
      <c r="B1484" t="s">
        <v>4405</v>
      </c>
      <c r="C1484" t="s">
        <v>11</v>
      </c>
      <c r="D1484" s="1">
        <v>45098</v>
      </c>
      <c r="E1484" t="s">
        <v>4406</v>
      </c>
      <c r="F1484" t="s">
        <v>13</v>
      </c>
      <c r="G1484" t="s">
        <v>14</v>
      </c>
      <c r="H1484" t="s">
        <v>15</v>
      </c>
      <c r="I1484" t="s">
        <v>16</v>
      </c>
    </row>
    <row r="1485" spans="1:9" x14ac:dyDescent="0.3">
      <c r="A1485" t="s">
        <v>4407</v>
      </c>
      <c r="B1485" t="s">
        <v>4408</v>
      </c>
      <c r="C1485" t="s">
        <v>19</v>
      </c>
      <c r="D1485" s="1">
        <v>45098</v>
      </c>
      <c r="E1485" t="s">
        <v>4409</v>
      </c>
      <c r="F1485" t="s">
        <v>13</v>
      </c>
      <c r="G1485" t="s">
        <v>174</v>
      </c>
      <c r="H1485" t="s">
        <v>15</v>
      </c>
      <c r="I1485" t="s">
        <v>21</v>
      </c>
    </row>
    <row r="1486" spans="1:9" x14ac:dyDescent="0.3">
      <c r="A1486" t="s">
        <v>4410</v>
      </c>
      <c r="B1486" t="s">
        <v>4411</v>
      </c>
      <c r="C1486" t="s">
        <v>54</v>
      </c>
      <c r="D1486" s="1">
        <v>45098</v>
      </c>
      <c r="E1486" t="s">
        <v>4412</v>
      </c>
      <c r="F1486" t="s">
        <v>13</v>
      </c>
      <c r="G1486" t="s">
        <v>14</v>
      </c>
      <c r="H1486" t="s">
        <v>15</v>
      </c>
      <c r="I1486" t="s">
        <v>181</v>
      </c>
    </row>
    <row r="1487" spans="1:9" x14ac:dyDescent="0.3">
      <c r="A1487" t="s">
        <v>4413</v>
      </c>
      <c r="B1487" t="s">
        <v>4414</v>
      </c>
      <c r="C1487" t="s">
        <v>33</v>
      </c>
      <c r="D1487" s="1">
        <v>45099</v>
      </c>
      <c r="E1487" t="s">
        <v>4415</v>
      </c>
      <c r="F1487" t="s">
        <v>13</v>
      </c>
      <c r="G1487" t="s">
        <v>14</v>
      </c>
      <c r="H1487" t="s">
        <v>15</v>
      </c>
    </row>
    <row r="1488" spans="1:9" x14ac:dyDescent="0.3">
      <c r="A1488" t="s">
        <v>4416</v>
      </c>
      <c r="B1488" t="s">
        <v>4417</v>
      </c>
      <c r="C1488" t="s">
        <v>19</v>
      </c>
      <c r="D1488" s="1">
        <v>45099</v>
      </c>
      <c r="E1488" t="s">
        <v>4418</v>
      </c>
      <c r="F1488" t="s">
        <v>13</v>
      </c>
      <c r="G1488" t="s">
        <v>14</v>
      </c>
      <c r="H1488" t="s">
        <v>15</v>
      </c>
    </row>
    <row r="1489" spans="1:9" x14ac:dyDescent="0.3">
      <c r="A1489" t="s">
        <v>4419</v>
      </c>
      <c r="B1489" t="s">
        <v>4420</v>
      </c>
      <c r="C1489" t="s">
        <v>24</v>
      </c>
      <c r="D1489" s="1">
        <v>45099</v>
      </c>
      <c r="E1489" t="s">
        <v>4421</v>
      </c>
      <c r="F1489" t="s">
        <v>13</v>
      </c>
      <c r="G1489" t="s">
        <v>14</v>
      </c>
      <c r="H1489" t="s">
        <v>15</v>
      </c>
      <c r="I1489" t="s">
        <v>63</v>
      </c>
    </row>
    <row r="1490" spans="1:9" x14ac:dyDescent="0.3">
      <c r="A1490" t="s">
        <v>4299</v>
      </c>
      <c r="B1490" t="s">
        <v>4422</v>
      </c>
      <c r="C1490" t="s">
        <v>19</v>
      </c>
      <c r="D1490" s="1">
        <v>45099</v>
      </c>
      <c r="E1490" t="s">
        <v>4423</v>
      </c>
      <c r="F1490" t="s">
        <v>13</v>
      </c>
      <c r="G1490" t="s">
        <v>14</v>
      </c>
      <c r="H1490" t="s">
        <v>15</v>
      </c>
      <c r="I1490" t="s">
        <v>21</v>
      </c>
    </row>
    <row r="1491" spans="1:9" x14ac:dyDescent="0.3">
      <c r="A1491" t="s">
        <v>4424</v>
      </c>
      <c r="B1491" t="s">
        <v>4425</v>
      </c>
      <c r="C1491" t="s">
        <v>19</v>
      </c>
      <c r="D1491" s="1">
        <v>45100</v>
      </c>
      <c r="E1491" t="s">
        <v>4426</v>
      </c>
      <c r="F1491" t="s">
        <v>13</v>
      </c>
      <c r="G1491" t="s">
        <v>14</v>
      </c>
      <c r="H1491" t="s">
        <v>15</v>
      </c>
    </row>
    <row r="1492" spans="1:9" x14ac:dyDescent="0.3">
      <c r="A1492" t="s">
        <v>4427</v>
      </c>
      <c r="B1492" t="s">
        <v>4428</v>
      </c>
      <c r="C1492" t="s">
        <v>24</v>
      </c>
      <c r="D1492" s="1">
        <v>45100</v>
      </c>
      <c r="E1492" t="s">
        <v>4429</v>
      </c>
      <c r="F1492" t="s">
        <v>13</v>
      </c>
      <c r="G1492" t="s">
        <v>14</v>
      </c>
      <c r="H1492" t="s">
        <v>15</v>
      </c>
      <c r="I1492" t="s">
        <v>59</v>
      </c>
    </row>
    <row r="1493" spans="1:9" x14ac:dyDescent="0.3">
      <c r="A1493" t="s">
        <v>4430</v>
      </c>
      <c r="B1493" t="s">
        <v>4431</v>
      </c>
      <c r="C1493" t="s">
        <v>33</v>
      </c>
      <c r="D1493" s="1">
        <v>45100</v>
      </c>
      <c r="E1493" t="s">
        <v>4432</v>
      </c>
      <c r="F1493" t="s">
        <v>13</v>
      </c>
      <c r="G1493" t="s">
        <v>174</v>
      </c>
      <c r="H1493" t="s">
        <v>15</v>
      </c>
    </row>
    <row r="1494" spans="1:9" x14ac:dyDescent="0.3">
      <c r="A1494" t="s">
        <v>4433</v>
      </c>
      <c r="B1494" t="s">
        <v>4434</v>
      </c>
      <c r="C1494" t="s">
        <v>11</v>
      </c>
      <c r="D1494" s="1">
        <v>45100</v>
      </c>
      <c r="E1494" t="s">
        <v>4435</v>
      </c>
      <c r="F1494" t="s">
        <v>13</v>
      </c>
      <c r="G1494" t="s">
        <v>14</v>
      </c>
      <c r="H1494" t="s">
        <v>15</v>
      </c>
      <c r="I1494" t="s">
        <v>16</v>
      </c>
    </row>
    <row r="1495" spans="1:9" x14ac:dyDescent="0.3">
      <c r="A1495" t="s">
        <v>4436</v>
      </c>
      <c r="B1495" t="s">
        <v>4437</v>
      </c>
      <c r="C1495" t="s">
        <v>33</v>
      </c>
      <c r="D1495" s="1">
        <v>45101</v>
      </c>
      <c r="E1495" t="s">
        <v>4438</v>
      </c>
      <c r="F1495" t="s">
        <v>13</v>
      </c>
      <c r="G1495" t="s">
        <v>14</v>
      </c>
      <c r="H1495" t="s">
        <v>15</v>
      </c>
      <c r="I1495" t="s">
        <v>51</v>
      </c>
    </row>
    <row r="1496" spans="1:9" x14ac:dyDescent="0.3">
      <c r="A1496" t="s">
        <v>4439</v>
      </c>
      <c r="B1496" t="s">
        <v>4440</v>
      </c>
      <c r="C1496" t="s">
        <v>19</v>
      </c>
      <c r="D1496" s="1">
        <v>45101</v>
      </c>
      <c r="E1496" t="s">
        <v>4441</v>
      </c>
      <c r="F1496" t="s">
        <v>13</v>
      </c>
      <c r="G1496" t="s">
        <v>14</v>
      </c>
      <c r="H1496" t="s">
        <v>15</v>
      </c>
    </row>
    <row r="1497" spans="1:9" x14ac:dyDescent="0.3">
      <c r="A1497" t="s">
        <v>4439</v>
      </c>
      <c r="B1497" t="s">
        <v>4442</v>
      </c>
      <c r="C1497" t="s">
        <v>19</v>
      </c>
      <c r="D1497" s="1">
        <v>45101</v>
      </c>
      <c r="E1497" t="s">
        <v>4443</v>
      </c>
      <c r="F1497" t="s">
        <v>13</v>
      </c>
      <c r="G1497" t="s">
        <v>14</v>
      </c>
      <c r="H1497" t="s">
        <v>15</v>
      </c>
    </row>
    <row r="1498" spans="1:9" x14ac:dyDescent="0.3">
      <c r="A1498" t="s">
        <v>4444</v>
      </c>
      <c r="B1498" t="s">
        <v>4445</v>
      </c>
      <c r="C1498" t="s">
        <v>33</v>
      </c>
      <c r="D1498" s="1">
        <v>45101</v>
      </c>
      <c r="E1498" t="s">
        <v>4446</v>
      </c>
      <c r="F1498" t="s">
        <v>13</v>
      </c>
      <c r="G1498" t="s">
        <v>14</v>
      </c>
      <c r="H1498" t="s">
        <v>15</v>
      </c>
      <c r="I1498" t="s">
        <v>51</v>
      </c>
    </row>
    <row r="1499" spans="1:9" x14ac:dyDescent="0.3">
      <c r="A1499" t="s">
        <v>3810</v>
      </c>
      <c r="B1499" t="s">
        <v>4447</v>
      </c>
      <c r="C1499" t="s">
        <v>19</v>
      </c>
      <c r="D1499" s="1">
        <v>45102</v>
      </c>
      <c r="E1499" t="s">
        <v>4448</v>
      </c>
      <c r="F1499" t="s">
        <v>13</v>
      </c>
      <c r="G1499" t="s">
        <v>14</v>
      </c>
      <c r="H1499" t="s">
        <v>15</v>
      </c>
      <c r="I1499" t="s">
        <v>116</v>
      </c>
    </row>
    <row r="1500" spans="1:9" x14ac:dyDescent="0.3">
      <c r="A1500" t="s">
        <v>4190</v>
      </c>
      <c r="B1500" t="s">
        <v>4449</v>
      </c>
      <c r="C1500" t="s">
        <v>19</v>
      </c>
      <c r="D1500" s="1">
        <v>45102</v>
      </c>
      <c r="E1500" t="s">
        <v>4450</v>
      </c>
      <c r="F1500" t="s">
        <v>13</v>
      </c>
      <c r="G1500" t="s">
        <v>14</v>
      </c>
      <c r="H1500" t="s">
        <v>15</v>
      </c>
      <c r="I1500" t="s">
        <v>21</v>
      </c>
    </row>
    <row r="1501" spans="1:9" x14ac:dyDescent="0.3">
      <c r="A1501" t="s">
        <v>4451</v>
      </c>
      <c r="B1501" t="s">
        <v>4452</v>
      </c>
      <c r="C1501" t="s">
        <v>24</v>
      </c>
      <c r="D1501" s="1">
        <v>45103</v>
      </c>
      <c r="E1501" t="s">
        <v>4453</v>
      </c>
      <c r="F1501" t="s">
        <v>13</v>
      </c>
      <c r="G1501" t="s">
        <v>14</v>
      </c>
      <c r="H1501" t="s">
        <v>15</v>
      </c>
      <c r="I1501" t="s">
        <v>59</v>
      </c>
    </row>
    <row r="1502" spans="1:9" x14ac:dyDescent="0.3">
      <c r="A1502" t="s">
        <v>4454</v>
      </c>
      <c r="B1502" t="s">
        <v>4455</v>
      </c>
      <c r="C1502" t="s">
        <v>54</v>
      </c>
      <c r="D1502" s="1">
        <v>45104</v>
      </c>
      <c r="E1502" t="s">
        <v>4456</v>
      </c>
      <c r="F1502" t="s">
        <v>13</v>
      </c>
      <c r="G1502" t="s">
        <v>14</v>
      </c>
      <c r="H1502" t="s">
        <v>15</v>
      </c>
      <c r="I1502" t="s">
        <v>238</v>
      </c>
    </row>
    <row r="1503" spans="1:9" x14ac:dyDescent="0.3">
      <c r="A1503" t="s">
        <v>4457</v>
      </c>
      <c r="B1503" t="s">
        <v>4458</v>
      </c>
      <c r="C1503" t="s">
        <v>54</v>
      </c>
      <c r="D1503" s="1">
        <v>45105</v>
      </c>
      <c r="E1503" t="s">
        <v>4459</v>
      </c>
      <c r="F1503" t="s">
        <v>13</v>
      </c>
      <c r="G1503" t="s">
        <v>14</v>
      </c>
      <c r="H1503" t="s">
        <v>15</v>
      </c>
    </row>
    <row r="1504" spans="1:9" x14ac:dyDescent="0.3">
      <c r="A1504" t="s">
        <v>4460</v>
      </c>
      <c r="B1504" t="s">
        <v>4461</v>
      </c>
      <c r="C1504" t="s">
        <v>45</v>
      </c>
      <c r="D1504" s="1">
        <v>45105</v>
      </c>
      <c r="E1504" t="s">
        <v>4462</v>
      </c>
      <c r="F1504" t="s">
        <v>13</v>
      </c>
      <c r="G1504" t="s">
        <v>14</v>
      </c>
      <c r="H1504" t="s">
        <v>15</v>
      </c>
      <c r="I1504" t="s">
        <v>47</v>
      </c>
    </row>
    <row r="1505" spans="1:9" x14ac:dyDescent="0.3">
      <c r="A1505" t="s">
        <v>4463</v>
      </c>
      <c r="B1505" t="s">
        <v>4464</v>
      </c>
      <c r="C1505" t="s">
        <v>24</v>
      </c>
      <c r="D1505" s="1">
        <v>45105</v>
      </c>
      <c r="E1505" t="s">
        <v>4465</v>
      </c>
      <c r="F1505" t="s">
        <v>13</v>
      </c>
      <c r="G1505" t="s">
        <v>14</v>
      </c>
      <c r="H1505" t="s">
        <v>15</v>
      </c>
      <c r="I1505" t="s">
        <v>59</v>
      </c>
    </row>
    <row r="1506" spans="1:9" x14ac:dyDescent="0.3">
      <c r="A1506" t="s">
        <v>4466</v>
      </c>
      <c r="B1506" t="s">
        <v>4467</v>
      </c>
      <c r="C1506" t="s">
        <v>11</v>
      </c>
      <c r="D1506" s="1">
        <v>45106</v>
      </c>
      <c r="E1506" t="s">
        <v>4468</v>
      </c>
      <c r="F1506" t="s">
        <v>13</v>
      </c>
      <c r="G1506" t="s">
        <v>14</v>
      </c>
      <c r="H1506" t="s">
        <v>15</v>
      </c>
      <c r="I1506" t="s">
        <v>16</v>
      </c>
    </row>
    <row r="1507" spans="1:9" x14ac:dyDescent="0.3">
      <c r="A1507" t="s">
        <v>4469</v>
      </c>
      <c r="B1507" t="s">
        <v>4470</v>
      </c>
      <c r="C1507" t="s">
        <v>24</v>
      </c>
      <c r="D1507" s="1">
        <v>45106</v>
      </c>
      <c r="E1507" t="s">
        <v>4471</v>
      </c>
      <c r="F1507" t="s">
        <v>13</v>
      </c>
      <c r="G1507" t="s">
        <v>14</v>
      </c>
      <c r="H1507" t="s">
        <v>15</v>
      </c>
    </row>
    <row r="1508" spans="1:9" x14ac:dyDescent="0.3">
      <c r="A1508" t="s">
        <v>3604</v>
      </c>
      <c r="B1508" t="s">
        <v>4472</v>
      </c>
      <c r="C1508" t="s">
        <v>19</v>
      </c>
      <c r="D1508" s="1">
        <v>45107</v>
      </c>
      <c r="E1508" t="s">
        <v>4473</v>
      </c>
      <c r="F1508" t="s">
        <v>13</v>
      </c>
      <c r="G1508" t="s">
        <v>14</v>
      </c>
      <c r="H1508" t="s">
        <v>15</v>
      </c>
      <c r="I1508" t="s">
        <v>116</v>
      </c>
    </row>
    <row r="1509" spans="1:9" x14ac:dyDescent="0.3">
      <c r="A1509" t="s">
        <v>4474</v>
      </c>
      <c r="B1509" t="s">
        <v>4475</v>
      </c>
      <c r="C1509" t="s">
        <v>24</v>
      </c>
      <c r="D1509" s="1">
        <v>45107</v>
      </c>
      <c r="E1509" t="s">
        <v>4476</v>
      </c>
      <c r="F1509" t="s">
        <v>13</v>
      </c>
      <c r="G1509" t="s">
        <v>14</v>
      </c>
      <c r="H1509" t="s">
        <v>15</v>
      </c>
      <c r="I1509" t="s">
        <v>63</v>
      </c>
    </row>
    <row r="1510" spans="1:9" x14ac:dyDescent="0.3">
      <c r="A1510" t="s">
        <v>4477</v>
      </c>
      <c r="B1510" t="s">
        <v>4478</v>
      </c>
      <c r="C1510" t="s">
        <v>45</v>
      </c>
      <c r="D1510" s="1">
        <v>45107</v>
      </c>
      <c r="E1510" t="s">
        <v>4479</v>
      </c>
      <c r="F1510" t="s">
        <v>13</v>
      </c>
      <c r="G1510" t="s">
        <v>14</v>
      </c>
      <c r="H1510" t="s">
        <v>15</v>
      </c>
    </row>
    <row r="1511" spans="1:9" x14ac:dyDescent="0.3">
      <c r="A1511" t="s">
        <v>4480</v>
      </c>
      <c r="B1511" t="s">
        <v>4481</v>
      </c>
      <c r="C1511" t="s">
        <v>19</v>
      </c>
      <c r="D1511" s="1">
        <v>45107</v>
      </c>
      <c r="E1511" t="s">
        <v>4482</v>
      </c>
      <c r="F1511" t="s">
        <v>13</v>
      </c>
      <c r="G1511" t="s">
        <v>14</v>
      </c>
      <c r="H1511" t="s">
        <v>15</v>
      </c>
      <c r="I1511" t="s">
        <v>21</v>
      </c>
    </row>
    <row r="1512" spans="1:9" x14ac:dyDescent="0.3">
      <c r="A1512" t="s">
        <v>4483</v>
      </c>
      <c r="B1512" t="s">
        <v>4484</v>
      </c>
      <c r="C1512" t="s">
        <v>33</v>
      </c>
      <c r="D1512" s="1">
        <v>45107</v>
      </c>
      <c r="E1512" t="s">
        <v>4485</v>
      </c>
      <c r="F1512" t="s">
        <v>13</v>
      </c>
      <c r="G1512" t="s">
        <v>14</v>
      </c>
      <c r="H1512" t="s">
        <v>15</v>
      </c>
      <c r="I1512" t="s">
        <v>51</v>
      </c>
    </row>
    <row r="1513" spans="1:9" x14ac:dyDescent="0.3">
      <c r="A1513" t="s">
        <v>4486</v>
      </c>
      <c r="B1513" t="s">
        <v>4487</v>
      </c>
      <c r="C1513" t="s">
        <v>69</v>
      </c>
      <c r="D1513" s="1">
        <v>45108</v>
      </c>
      <c r="E1513" t="s">
        <v>4488</v>
      </c>
      <c r="F1513" t="s">
        <v>13</v>
      </c>
      <c r="G1513" t="s">
        <v>14</v>
      </c>
      <c r="H1513" t="s">
        <v>15</v>
      </c>
      <c r="I1513" t="s">
        <v>71</v>
      </c>
    </row>
    <row r="1514" spans="1:9" x14ac:dyDescent="0.3">
      <c r="A1514" t="s">
        <v>4489</v>
      </c>
      <c r="B1514" t="s">
        <v>4490</v>
      </c>
      <c r="C1514" t="s">
        <v>54</v>
      </c>
      <c r="D1514" s="1">
        <v>45109</v>
      </c>
      <c r="E1514" t="s">
        <v>4491</v>
      </c>
      <c r="F1514" t="s">
        <v>13</v>
      </c>
      <c r="G1514" t="s">
        <v>14</v>
      </c>
      <c r="H1514" t="s">
        <v>15</v>
      </c>
      <c r="I1514" t="s">
        <v>238</v>
      </c>
    </row>
    <row r="1515" spans="1:9" x14ac:dyDescent="0.3">
      <c r="A1515" t="s">
        <v>4492</v>
      </c>
      <c r="B1515" t="s">
        <v>4493</v>
      </c>
      <c r="C1515" t="s">
        <v>69</v>
      </c>
      <c r="D1515" s="1">
        <v>45109</v>
      </c>
      <c r="E1515" t="s">
        <v>4494</v>
      </c>
      <c r="F1515" t="s">
        <v>13</v>
      </c>
      <c r="G1515" t="s">
        <v>14</v>
      </c>
      <c r="H1515" t="s">
        <v>15</v>
      </c>
    </row>
    <row r="1516" spans="1:9" x14ac:dyDescent="0.3">
      <c r="A1516" t="s">
        <v>4495</v>
      </c>
      <c r="B1516" t="s">
        <v>4496</v>
      </c>
      <c r="C1516" t="s">
        <v>24</v>
      </c>
      <c r="D1516" s="1">
        <v>45109</v>
      </c>
      <c r="E1516" t="s">
        <v>4497</v>
      </c>
      <c r="F1516" t="s">
        <v>13</v>
      </c>
      <c r="G1516" t="s">
        <v>14</v>
      </c>
      <c r="H1516" t="s">
        <v>15</v>
      </c>
    </row>
    <row r="1517" spans="1:9" x14ac:dyDescent="0.3">
      <c r="A1517" t="s">
        <v>4498</v>
      </c>
      <c r="B1517" t="s">
        <v>4499</v>
      </c>
      <c r="C1517" t="s">
        <v>69</v>
      </c>
      <c r="D1517" s="1">
        <v>45109</v>
      </c>
      <c r="E1517" t="s">
        <v>4500</v>
      </c>
      <c r="F1517" t="s">
        <v>13</v>
      </c>
      <c r="G1517" t="s">
        <v>14</v>
      </c>
      <c r="H1517" t="s">
        <v>15</v>
      </c>
    </row>
    <row r="1518" spans="1:9" x14ac:dyDescent="0.3">
      <c r="A1518" t="s">
        <v>4501</v>
      </c>
      <c r="B1518" t="s">
        <v>4502</v>
      </c>
      <c r="C1518" t="s">
        <v>69</v>
      </c>
      <c r="D1518" s="1">
        <v>45110</v>
      </c>
      <c r="E1518" t="s">
        <v>4503</v>
      </c>
      <c r="F1518" t="s">
        <v>13</v>
      </c>
      <c r="G1518" t="s">
        <v>14</v>
      </c>
      <c r="H1518" t="s">
        <v>15</v>
      </c>
      <c r="I1518" t="s">
        <v>71</v>
      </c>
    </row>
    <row r="1519" spans="1:9" x14ac:dyDescent="0.3">
      <c r="A1519" t="s">
        <v>4504</v>
      </c>
      <c r="B1519" t="s">
        <v>4505</v>
      </c>
      <c r="C1519" t="s">
        <v>33</v>
      </c>
      <c r="D1519" s="1">
        <v>45110</v>
      </c>
      <c r="E1519" t="s">
        <v>4506</v>
      </c>
      <c r="F1519" t="s">
        <v>13</v>
      </c>
      <c r="G1519" t="s">
        <v>14</v>
      </c>
      <c r="H1519" t="s">
        <v>15</v>
      </c>
      <c r="I1519" t="s">
        <v>94</v>
      </c>
    </row>
    <row r="1520" spans="1:9" x14ac:dyDescent="0.3">
      <c r="A1520" t="s">
        <v>4507</v>
      </c>
      <c r="B1520" t="s">
        <v>4508</v>
      </c>
      <c r="C1520" t="s">
        <v>33</v>
      </c>
      <c r="D1520" s="1">
        <v>45110</v>
      </c>
      <c r="E1520" t="s">
        <v>4509</v>
      </c>
      <c r="F1520" t="s">
        <v>13</v>
      </c>
      <c r="G1520" t="s">
        <v>14</v>
      </c>
      <c r="H1520" t="s">
        <v>15</v>
      </c>
      <c r="I1520" t="s">
        <v>94</v>
      </c>
    </row>
    <row r="1521" spans="1:9" x14ac:dyDescent="0.3">
      <c r="A1521" t="s">
        <v>4510</v>
      </c>
      <c r="B1521" t="s">
        <v>4511</v>
      </c>
      <c r="C1521" t="s">
        <v>33</v>
      </c>
      <c r="D1521" s="1">
        <v>45111</v>
      </c>
      <c r="E1521" t="s">
        <v>4512</v>
      </c>
      <c r="F1521" t="s">
        <v>13</v>
      </c>
      <c r="G1521" t="s">
        <v>14</v>
      </c>
      <c r="H1521" t="s">
        <v>15</v>
      </c>
    </row>
    <row r="1522" spans="1:9" x14ac:dyDescent="0.3">
      <c r="A1522" t="s">
        <v>4513</v>
      </c>
      <c r="B1522" t="s">
        <v>4514</v>
      </c>
      <c r="C1522" t="s">
        <v>33</v>
      </c>
      <c r="D1522" s="1">
        <v>45111</v>
      </c>
      <c r="E1522" t="s">
        <v>4515</v>
      </c>
      <c r="F1522" t="s">
        <v>13</v>
      </c>
      <c r="G1522" t="s">
        <v>14</v>
      </c>
      <c r="H1522" t="s">
        <v>15</v>
      </c>
      <c r="I1522" t="s">
        <v>51</v>
      </c>
    </row>
    <row r="1523" spans="1:9" x14ac:dyDescent="0.3">
      <c r="A1523" t="s">
        <v>3539</v>
      </c>
      <c r="B1523" t="s">
        <v>4516</v>
      </c>
      <c r="C1523" t="s">
        <v>19</v>
      </c>
      <c r="D1523" s="1">
        <v>45111</v>
      </c>
      <c r="E1523" t="s">
        <v>4517</v>
      </c>
      <c r="F1523" t="s">
        <v>13</v>
      </c>
      <c r="G1523" t="s">
        <v>14</v>
      </c>
      <c r="H1523" t="s">
        <v>15</v>
      </c>
      <c r="I1523" t="s">
        <v>21</v>
      </c>
    </row>
    <row r="1524" spans="1:9" x14ac:dyDescent="0.3">
      <c r="A1524" t="s">
        <v>4518</v>
      </c>
      <c r="B1524" t="s">
        <v>4519</v>
      </c>
      <c r="C1524" t="s">
        <v>45</v>
      </c>
      <c r="D1524" s="1">
        <v>45111</v>
      </c>
      <c r="E1524" t="s">
        <v>4520</v>
      </c>
      <c r="F1524" t="s">
        <v>13</v>
      </c>
      <c r="G1524" t="s">
        <v>14</v>
      </c>
      <c r="H1524" t="s">
        <v>15</v>
      </c>
      <c r="I1524" t="s">
        <v>248</v>
      </c>
    </row>
    <row r="1525" spans="1:9" x14ac:dyDescent="0.3">
      <c r="A1525" t="s">
        <v>4521</v>
      </c>
      <c r="B1525" t="s">
        <v>4522</v>
      </c>
      <c r="C1525" t="s">
        <v>29</v>
      </c>
      <c r="D1525" s="1">
        <v>45113</v>
      </c>
      <c r="E1525" t="s">
        <v>4523</v>
      </c>
      <c r="F1525" t="s">
        <v>13</v>
      </c>
      <c r="G1525" t="s">
        <v>14</v>
      </c>
      <c r="H1525" t="s">
        <v>15</v>
      </c>
      <c r="I1525" t="s">
        <v>42</v>
      </c>
    </row>
    <row r="1526" spans="1:9" x14ac:dyDescent="0.3">
      <c r="A1526" t="s">
        <v>4524</v>
      </c>
      <c r="B1526" t="s">
        <v>4525</v>
      </c>
      <c r="C1526" t="s">
        <v>45</v>
      </c>
      <c r="D1526" s="1">
        <v>45113</v>
      </c>
      <c r="E1526" t="s">
        <v>4526</v>
      </c>
      <c r="F1526" t="s">
        <v>13</v>
      </c>
      <c r="G1526" t="s">
        <v>14</v>
      </c>
      <c r="H1526" t="s">
        <v>15</v>
      </c>
      <c r="I1526" t="s">
        <v>47</v>
      </c>
    </row>
    <row r="1527" spans="1:9" x14ac:dyDescent="0.3">
      <c r="A1527" t="s">
        <v>4527</v>
      </c>
      <c r="B1527" t="s">
        <v>4528</v>
      </c>
      <c r="C1527" t="s">
        <v>33</v>
      </c>
      <c r="D1527" s="1">
        <v>45113</v>
      </c>
      <c r="E1527" t="s">
        <v>4529</v>
      </c>
      <c r="F1527" t="s">
        <v>13</v>
      </c>
      <c r="G1527" t="s">
        <v>14</v>
      </c>
      <c r="H1527" t="s">
        <v>15</v>
      </c>
      <c r="I1527" t="s">
        <v>94</v>
      </c>
    </row>
    <row r="1528" spans="1:9" x14ac:dyDescent="0.3">
      <c r="A1528" t="s">
        <v>4530</v>
      </c>
      <c r="B1528" t="s">
        <v>4531</v>
      </c>
      <c r="C1528" t="s">
        <v>29</v>
      </c>
      <c r="D1528" s="1">
        <v>45113</v>
      </c>
      <c r="E1528" t="s">
        <v>4532</v>
      </c>
      <c r="F1528" t="s">
        <v>13</v>
      </c>
      <c r="G1528" t="s">
        <v>14</v>
      </c>
      <c r="H1528" t="s">
        <v>15</v>
      </c>
    </row>
    <row r="1529" spans="1:9" x14ac:dyDescent="0.3">
      <c r="A1529" t="s">
        <v>3539</v>
      </c>
      <c r="B1529" t="s">
        <v>4533</v>
      </c>
      <c r="C1529" t="s">
        <v>19</v>
      </c>
      <c r="D1529" s="1">
        <v>45114</v>
      </c>
      <c r="E1529" t="s">
        <v>4534</v>
      </c>
      <c r="F1529" t="s">
        <v>13</v>
      </c>
      <c r="G1529" t="s">
        <v>14</v>
      </c>
      <c r="H1529" t="s">
        <v>15</v>
      </c>
      <c r="I1529" t="s">
        <v>21</v>
      </c>
    </row>
    <row r="1530" spans="1:9" x14ac:dyDescent="0.3">
      <c r="A1530" t="s">
        <v>3580</v>
      </c>
      <c r="B1530" t="s">
        <v>4535</v>
      </c>
      <c r="C1530" t="s">
        <v>19</v>
      </c>
      <c r="D1530" s="1">
        <v>45114</v>
      </c>
      <c r="E1530" t="s">
        <v>4536</v>
      </c>
      <c r="F1530" t="s">
        <v>13</v>
      </c>
      <c r="G1530" t="s">
        <v>14</v>
      </c>
      <c r="H1530" t="s">
        <v>15</v>
      </c>
      <c r="I1530" t="s">
        <v>21</v>
      </c>
    </row>
    <row r="1531" spans="1:9" x14ac:dyDescent="0.3">
      <c r="A1531" t="s">
        <v>4537</v>
      </c>
      <c r="B1531" t="s">
        <v>4538</v>
      </c>
      <c r="C1531" t="s">
        <v>33</v>
      </c>
      <c r="D1531" s="1">
        <v>45114</v>
      </c>
      <c r="E1531" t="s">
        <v>4539</v>
      </c>
      <c r="F1531" t="s">
        <v>13</v>
      </c>
      <c r="G1531" t="s">
        <v>14</v>
      </c>
      <c r="H1531" t="s">
        <v>15</v>
      </c>
    </row>
    <row r="1532" spans="1:9" x14ac:dyDescent="0.3">
      <c r="A1532" t="s">
        <v>3379</v>
      </c>
      <c r="B1532" t="s">
        <v>4540</v>
      </c>
      <c r="C1532" t="s">
        <v>19</v>
      </c>
      <c r="D1532" s="1">
        <v>45115</v>
      </c>
      <c r="E1532" t="s">
        <v>4541</v>
      </c>
      <c r="F1532" t="s">
        <v>13</v>
      </c>
      <c r="G1532" t="s">
        <v>14</v>
      </c>
      <c r="H1532" t="s">
        <v>15</v>
      </c>
    </row>
    <row r="1533" spans="1:9" x14ac:dyDescent="0.3">
      <c r="A1533" t="s">
        <v>4542</v>
      </c>
      <c r="B1533" t="s">
        <v>4543</v>
      </c>
      <c r="C1533" t="s">
        <v>11</v>
      </c>
      <c r="D1533" s="1">
        <v>45115</v>
      </c>
      <c r="E1533" t="s">
        <v>4544</v>
      </c>
      <c r="F1533" t="s">
        <v>13</v>
      </c>
      <c r="G1533" t="s">
        <v>14</v>
      </c>
      <c r="H1533" t="s">
        <v>15</v>
      </c>
    </row>
    <row r="1534" spans="1:9" x14ac:dyDescent="0.3">
      <c r="A1534" t="s">
        <v>4545</v>
      </c>
      <c r="B1534" t="s">
        <v>4546</v>
      </c>
      <c r="C1534" t="s">
        <v>45</v>
      </c>
      <c r="D1534" s="1">
        <v>45115</v>
      </c>
      <c r="E1534" t="s">
        <v>4547</v>
      </c>
      <c r="F1534" t="s">
        <v>13</v>
      </c>
      <c r="G1534" t="s">
        <v>14</v>
      </c>
      <c r="H1534" t="s">
        <v>15</v>
      </c>
      <c r="I1534" t="s">
        <v>248</v>
      </c>
    </row>
    <row r="1535" spans="1:9" x14ac:dyDescent="0.3">
      <c r="A1535" t="s">
        <v>3167</v>
      </c>
      <c r="B1535" t="s">
        <v>4548</v>
      </c>
      <c r="C1535" t="s">
        <v>19</v>
      </c>
      <c r="D1535" s="1">
        <v>45116</v>
      </c>
      <c r="E1535" t="s">
        <v>4549</v>
      </c>
      <c r="F1535" t="s">
        <v>13</v>
      </c>
      <c r="G1535" t="s">
        <v>174</v>
      </c>
      <c r="H1535" t="s">
        <v>15</v>
      </c>
    </row>
    <row r="1536" spans="1:9" x14ac:dyDescent="0.3">
      <c r="A1536" t="s">
        <v>4550</v>
      </c>
      <c r="B1536" t="s">
        <v>4551</v>
      </c>
      <c r="C1536" t="s">
        <v>69</v>
      </c>
      <c r="D1536" s="1">
        <v>45116</v>
      </c>
      <c r="E1536" t="s">
        <v>4552</v>
      </c>
      <c r="F1536" t="s">
        <v>13</v>
      </c>
      <c r="G1536" t="s">
        <v>14</v>
      </c>
      <c r="H1536" t="s">
        <v>15</v>
      </c>
      <c r="I1536" t="s">
        <v>71</v>
      </c>
    </row>
    <row r="1537" spans="1:9" x14ac:dyDescent="0.3">
      <c r="A1537" t="s">
        <v>4553</v>
      </c>
      <c r="B1537" t="s">
        <v>4554</v>
      </c>
      <c r="C1537" t="s">
        <v>33</v>
      </c>
      <c r="D1537" s="1">
        <v>45117</v>
      </c>
      <c r="E1537" t="s">
        <v>4555</v>
      </c>
      <c r="F1537" t="s">
        <v>13</v>
      </c>
      <c r="G1537" t="s">
        <v>14</v>
      </c>
      <c r="H1537" t="s">
        <v>15</v>
      </c>
      <c r="I1537" t="s">
        <v>94</v>
      </c>
    </row>
    <row r="1538" spans="1:9" x14ac:dyDescent="0.3">
      <c r="A1538" t="s">
        <v>4556</v>
      </c>
      <c r="B1538" t="s">
        <v>4557</v>
      </c>
      <c r="C1538" t="s">
        <v>29</v>
      </c>
      <c r="D1538" s="1">
        <v>45117</v>
      </c>
      <c r="E1538" t="s">
        <v>4558</v>
      </c>
      <c r="F1538" t="s">
        <v>13</v>
      </c>
      <c r="G1538" t="s">
        <v>14</v>
      </c>
      <c r="H1538" t="s">
        <v>15</v>
      </c>
    </row>
    <row r="1539" spans="1:9" x14ac:dyDescent="0.3">
      <c r="A1539" t="s">
        <v>4559</v>
      </c>
      <c r="B1539" t="s">
        <v>4560</v>
      </c>
      <c r="C1539" t="s">
        <v>33</v>
      </c>
      <c r="D1539" s="1">
        <v>45118</v>
      </c>
      <c r="E1539" t="s">
        <v>4561</v>
      </c>
      <c r="F1539" t="s">
        <v>13</v>
      </c>
      <c r="G1539" t="s">
        <v>14</v>
      </c>
      <c r="H1539" t="s">
        <v>15</v>
      </c>
    </row>
    <row r="1540" spans="1:9" x14ac:dyDescent="0.3">
      <c r="A1540" t="s">
        <v>4562</v>
      </c>
      <c r="B1540" t="s">
        <v>4563</v>
      </c>
      <c r="C1540" t="s">
        <v>69</v>
      </c>
      <c r="D1540" s="1">
        <v>45118</v>
      </c>
      <c r="E1540" t="s">
        <v>4564</v>
      </c>
      <c r="F1540" t="s">
        <v>13</v>
      </c>
      <c r="G1540" t="s">
        <v>14</v>
      </c>
      <c r="H1540" t="s">
        <v>15</v>
      </c>
      <c r="I1540" t="s">
        <v>71</v>
      </c>
    </row>
    <row r="1541" spans="1:9" x14ac:dyDescent="0.3">
      <c r="A1541" t="s">
        <v>4565</v>
      </c>
      <c r="B1541" t="s">
        <v>4566</v>
      </c>
      <c r="C1541" t="s">
        <v>11</v>
      </c>
      <c r="D1541" s="1">
        <v>45119</v>
      </c>
      <c r="E1541" t="s">
        <v>4567</v>
      </c>
      <c r="F1541" t="s">
        <v>13</v>
      </c>
      <c r="G1541" t="s">
        <v>14</v>
      </c>
      <c r="H1541" t="s">
        <v>15</v>
      </c>
      <c r="I1541" t="s">
        <v>38</v>
      </c>
    </row>
    <row r="1542" spans="1:9" x14ac:dyDescent="0.3">
      <c r="A1542" t="s">
        <v>4568</v>
      </c>
      <c r="B1542" t="s">
        <v>4569</v>
      </c>
      <c r="C1542" t="s">
        <v>29</v>
      </c>
      <c r="D1542" s="1">
        <v>45119</v>
      </c>
      <c r="E1542" t="s">
        <v>4570</v>
      </c>
      <c r="F1542" t="s">
        <v>13</v>
      </c>
      <c r="G1542" t="s">
        <v>14</v>
      </c>
      <c r="H1542" t="s">
        <v>15</v>
      </c>
      <c r="I1542" t="s">
        <v>81</v>
      </c>
    </row>
    <row r="1543" spans="1:9" x14ac:dyDescent="0.3">
      <c r="A1543" t="s">
        <v>4571</v>
      </c>
      <c r="B1543" t="s">
        <v>4572</v>
      </c>
      <c r="C1543" t="s">
        <v>45</v>
      </c>
      <c r="D1543" s="1">
        <v>45120</v>
      </c>
      <c r="E1543" t="s">
        <v>4573</v>
      </c>
      <c r="F1543" t="s">
        <v>13</v>
      </c>
      <c r="G1543" t="s">
        <v>14</v>
      </c>
      <c r="H1543" t="s">
        <v>15</v>
      </c>
    </row>
    <row r="1544" spans="1:9" x14ac:dyDescent="0.3">
      <c r="A1544" t="s">
        <v>4574</v>
      </c>
      <c r="B1544" t="s">
        <v>4575</v>
      </c>
      <c r="C1544" t="s">
        <v>69</v>
      </c>
      <c r="D1544" s="1">
        <v>45120</v>
      </c>
      <c r="E1544" t="s">
        <v>4576</v>
      </c>
      <c r="F1544" t="s">
        <v>13</v>
      </c>
      <c r="G1544" t="s">
        <v>14</v>
      </c>
      <c r="H1544" t="s">
        <v>15</v>
      </c>
      <c r="I1544" t="s">
        <v>71</v>
      </c>
    </row>
    <row r="1545" spans="1:9" x14ac:dyDescent="0.3">
      <c r="A1545" t="s">
        <v>3158</v>
      </c>
      <c r="B1545" t="s">
        <v>4577</v>
      </c>
      <c r="C1545" t="s">
        <v>19</v>
      </c>
      <c r="D1545" s="1">
        <v>45120</v>
      </c>
      <c r="E1545" t="s">
        <v>4578</v>
      </c>
      <c r="F1545" t="s">
        <v>13</v>
      </c>
      <c r="G1545" t="s">
        <v>14</v>
      </c>
      <c r="H1545" t="s">
        <v>15</v>
      </c>
      <c r="I1545" t="s">
        <v>21</v>
      </c>
    </row>
    <row r="1546" spans="1:9" x14ac:dyDescent="0.3">
      <c r="A1546" t="s">
        <v>4579</v>
      </c>
      <c r="B1546" t="s">
        <v>4580</v>
      </c>
      <c r="C1546" t="s">
        <v>33</v>
      </c>
      <c r="D1546" s="1">
        <v>45120</v>
      </c>
      <c r="E1546" t="s">
        <v>4581</v>
      </c>
      <c r="F1546" t="s">
        <v>13</v>
      </c>
      <c r="G1546" t="s">
        <v>14</v>
      </c>
      <c r="H1546" t="s">
        <v>15</v>
      </c>
    </row>
    <row r="1547" spans="1:9" x14ac:dyDescent="0.3">
      <c r="A1547" t="s">
        <v>4582</v>
      </c>
      <c r="B1547" t="s">
        <v>4583</v>
      </c>
      <c r="C1547" t="s">
        <v>69</v>
      </c>
      <c r="D1547" s="1">
        <v>45121</v>
      </c>
      <c r="E1547" t="s">
        <v>4584</v>
      </c>
      <c r="F1547" t="s">
        <v>13</v>
      </c>
      <c r="G1547" t="s">
        <v>14</v>
      </c>
      <c r="H1547" t="s">
        <v>15</v>
      </c>
      <c r="I1547" t="s">
        <v>71</v>
      </c>
    </row>
    <row r="1548" spans="1:9" x14ac:dyDescent="0.3">
      <c r="A1548" t="s">
        <v>4585</v>
      </c>
      <c r="B1548" t="s">
        <v>4586</v>
      </c>
      <c r="C1548" t="s">
        <v>11</v>
      </c>
      <c r="D1548" s="1">
        <v>45122</v>
      </c>
      <c r="E1548" t="s">
        <v>4587</v>
      </c>
      <c r="F1548" t="s">
        <v>13</v>
      </c>
      <c r="G1548" t="s">
        <v>14</v>
      </c>
      <c r="H1548" t="s">
        <v>15</v>
      </c>
      <c r="I1548" t="s">
        <v>185</v>
      </c>
    </row>
    <row r="1549" spans="1:9" x14ac:dyDescent="0.3">
      <c r="A1549" t="s">
        <v>4588</v>
      </c>
      <c r="B1549" t="s">
        <v>4589</v>
      </c>
      <c r="C1549" t="s">
        <v>24</v>
      </c>
      <c r="D1549" s="1">
        <v>45122</v>
      </c>
      <c r="E1549" t="s">
        <v>4590</v>
      </c>
      <c r="F1549" t="s">
        <v>13</v>
      </c>
      <c r="G1549" t="s">
        <v>14</v>
      </c>
      <c r="H1549" t="s">
        <v>15</v>
      </c>
      <c r="I1549" t="s">
        <v>59</v>
      </c>
    </row>
    <row r="1550" spans="1:9" x14ac:dyDescent="0.3">
      <c r="A1550" t="s">
        <v>4591</v>
      </c>
      <c r="B1550" t="s">
        <v>4592</v>
      </c>
      <c r="C1550" t="s">
        <v>33</v>
      </c>
      <c r="D1550" s="1">
        <v>45123</v>
      </c>
      <c r="E1550" t="s">
        <v>4593</v>
      </c>
      <c r="F1550" t="s">
        <v>13</v>
      </c>
      <c r="G1550" t="s">
        <v>14</v>
      </c>
      <c r="H1550" t="s">
        <v>15</v>
      </c>
    </row>
    <row r="1551" spans="1:9" x14ac:dyDescent="0.3">
      <c r="A1551" t="s">
        <v>3663</v>
      </c>
      <c r="B1551" t="s">
        <v>4594</v>
      </c>
      <c r="C1551" t="s">
        <v>19</v>
      </c>
      <c r="D1551" s="1">
        <v>45123</v>
      </c>
      <c r="E1551" t="s">
        <v>4595</v>
      </c>
      <c r="F1551" t="s">
        <v>13</v>
      </c>
      <c r="G1551" t="s">
        <v>14</v>
      </c>
      <c r="H1551" t="s">
        <v>15</v>
      </c>
      <c r="I1551" t="s">
        <v>21</v>
      </c>
    </row>
    <row r="1552" spans="1:9" x14ac:dyDescent="0.3">
      <c r="A1552" t="s">
        <v>4596</v>
      </c>
      <c r="B1552" t="s">
        <v>4597</v>
      </c>
      <c r="C1552" t="s">
        <v>11</v>
      </c>
      <c r="D1552" s="1">
        <v>45123</v>
      </c>
      <c r="E1552" t="s">
        <v>4598</v>
      </c>
      <c r="F1552" t="s">
        <v>13</v>
      </c>
      <c r="G1552" t="s">
        <v>14</v>
      </c>
      <c r="H1552" t="s">
        <v>15</v>
      </c>
      <c r="I1552" t="s">
        <v>185</v>
      </c>
    </row>
    <row r="1553" spans="1:9" x14ac:dyDescent="0.3">
      <c r="A1553" t="s">
        <v>4599</v>
      </c>
      <c r="B1553" t="s">
        <v>4600</v>
      </c>
      <c r="C1553" t="s">
        <v>24</v>
      </c>
      <c r="D1553" s="1">
        <v>45124</v>
      </c>
      <c r="E1553" t="s">
        <v>4601</v>
      </c>
      <c r="F1553" t="s">
        <v>13</v>
      </c>
      <c r="G1553" t="s">
        <v>14</v>
      </c>
      <c r="H1553" t="s">
        <v>15</v>
      </c>
      <c r="I1553" t="s">
        <v>63</v>
      </c>
    </row>
    <row r="1554" spans="1:9" x14ac:dyDescent="0.3">
      <c r="A1554" t="s">
        <v>4602</v>
      </c>
      <c r="B1554" t="s">
        <v>4603</v>
      </c>
      <c r="C1554" t="s">
        <v>54</v>
      </c>
      <c r="D1554" s="1">
        <v>45124</v>
      </c>
      <c r="E1554" t="s">
        <v>4604</v>
      </c>
      <c r="F1554" t="s">
        <v>13</v>
      </c>
      <c r="G1554" t="s">
        <v>14</v>
      </c>
      <c r="H1554" t="s">
        <v>15</v>
      </c>
      <c r="I1554" t="s">
        <v>181</v>
      </c>
    </row>
    <row r="1555" spans="1:9" x14ac:dyDescent="0.3">
      <c r="A1555" t="s">
        <v>4605</v>
      </c>
      <c r="B1555" t="s">
        <v>4606</v>
      </c>
      <c r="C1555" t="s">
        <v>24</v>
      </c>
      <c r="D1555" s="1">
        <v>45125</v>
      </c>
      <c r="E1555" t="s">
        <v>4607</v>
      </c>
      <c r="F1555" t="s">
        <v>13</v>
      </c>
      <c r="G1555" t="s">
        <v>14</v>
      </c>
      <c r="H1555" t="s">
        <v>15</v>
      </c>
      <c r="I1555" t="s">
        <v>63</v>
      </c>
    </row>
    <row r="1556" spans="1:9" x14ac:dyDescent="0.3">
      <c r="A1556" t="s">
        <v>4608</v>
      </c>
      <c r="B1556" t="s">
        <v>4609</v>
      </c>
      <c r="C1556" t="s">
        <v>24</v>
      </c>
      <c r="D1556" s="1">
        <v>45125</v>
      </c>
      <c r="E1556" t="s">
        <v>4610</v>
      </c>
      <c r="F1556" t="s">
        <v>13</v>
      </c>
      <c r="G1556" t="s">
        <v>14</v>
      </c>
      <c r="H1556" t="s">
        <v>15</v>
      </c>
      <c r="I1556" t="s">
        <v>63</v>
      </c>
    </row>
    <row r="1557" spans="1:9" x14ac:dyDescent="0.3">
      <c r="A1557" t="s">
        <v>4611</v>
      </c>
      <c r="B1557" t="s">
        <v>4612</v>
      </c>
      <c r="C1557" t="s">
        <v>11</v>
      </c>
      <c r="D1557" s="1">
        <v>45126</v>
      </c>
      <c r="E1557" t="s">
        <v>4613</v>
      </c>
      <c r="F1557" t="s">
        <v>13</v>
      </c>
      <c r="G1557" t="s">
        <v>14</v>
      </c>
      <c r="H1557" t="s">
        <v>15</v>
      </c>
      <c r="I1557" t="s">
        <v>38</v>
      </c>
    </row>
    <row r="1558" spans="1:9" x14ac:dyDescent="0.3">
      <c r="A1558" t="s">
        <v>4368</v>
      </c>
      <c r="B1558" t="s">
        <v>4614</v>
      </c>
      <c r="C1558" t="s">
        <v>19</v>
      </c>
      <c r="D1558" s="1">
        <v>45126</v>
      </c>
      <c r="E1558" t="s">
        <v>4615</v>
      </c>
      <c r="F1558" t="s">
        <v>13</v>
      </c>
      <c r="G1558" t="s">
        <v>14</v>
      </c>
      <c r="H1558" t="s">
        <v>15</v>
      </c>
      <c r="I1558" t="s">
        <v>116</v>
      </c>
    </row>
    <row r="1559" spans="1:9" x14ac:dyDescent="0.3">
      <c r="A1559" t="s">
        <v>3539</v>
      </c>
      <c r="B1559" t="s">
        <v>4616</v>
      </c>
      <c r="C1559" t="s">
        <v>19</v>
      </c>
      <c r="D1559" s="1">
        <v>45126</v>
      </c>
      <c r="E1559" t="s">
        <v>4617</v>
      </c>
      <c r="F1559" t="s">
        <v>13</v>
      </c>
      <c r="G1559" t="s">
        <v>14</v>
      </c>
      <c r="H1559" t="s">
        <v>15</v>
      </c>
      <c r="I1559" t="s">
        <v>21</v>
      </c>
    </row>
    <row r="1560" spans="1:9" x14ac:dyDescent="0.3">
      <c r="A1560" t="s">
        <v>4618</v>
      </c>
      <c r="B1560" t="s">
        <v>4619</v>
      </c>
      <c r="C1560" t="s">
        <v>11</v>
      </c>
      <c r="D1560" s="1">
        <v>45127</v>
      </c>
      <c r="E1560" t="s">
        <v>4620</v>
      </c>
      <c r="F1560" t="s">
        <v>13</v>
      </c>
      <c r="G1560" t="s">
        <v>14</v>
      </c>
      <c r="H1560" t="s">
        <v>15</v>
      </c>
      <c r="I1560" t="s">
        <v>185</v>
      </c>
    </row>
    <row r="1561" spans="1:9" x14ac:dyDescent="0.3">
      <c r="A1561" t="s">
        <v>4621</v>
      </c>
      <c r="B1561" t="s">
        <v>4622</v>
      </c>
      <c r="C1561" t="s">
        <v>45</v>
      </c>
      <c r="D1561" s="1">
        <v>45127</v>
      </c>
      <c r="E1561" t="s">
        <v>4623</v>
      </c>
      <c r="F1561" t="s">
        <v>13</v>
      </c>
      <c r="G1561" t="s">
        <v>14</v>
      </c>
      <c r="H1561" t="s">
        <v>15</v>
      </c>
      <c r="I1561" t="s">
        <v>248</v>
      </c>
    </row>
    <row r="1562" spans="1:9" x14ac:dyDescent="0.3">
      <c r="A1562" t="s">
        <v>4624</v>
      </c>
      <c r="B1562" t="s">
        <v>4625</v>
      </c>
      <c r="C1562" t="s">
        <v>11</v>
      </c>
      <c r="D1562" s="1">
        <v>45127</v>
      </c>
      <c r="E1562" t="s">
        <v>4626</v>
      </c>
      <c r="F1562" t="s">
        <v>13</v>
      </c>
      <c r="G1562" t="s">
        <v>14</v>
      </c>
      <c r="H1562" t="s">
        <v>15</v>
      </c>
    </row>
    <row r="1563" spans="1:9" x14ac:dyDescent="0.3">
      <c r="A1563" t="s">
        <v>4627</v>
      </c>
      <c r="B1563" t="s">
        <v>4628</v>
      </c>
      <c r="C1563" t="s">
        <v>29</v>
      </c>
      <c r="D1563" s="1">
        <v>45128</v>
      </c>
      <c r="E1563" t="s">
        <v>4629</v>
      </c>
      <c r="F1563" t="s">
        <v>13</v>
      </c>
      <c r="G1563" t="s">
        <v>14</v>
      </c>
      <c r="H1563" t="s">
        <v>15</v>
      </c>
      <c r="I1563" t="s">
        <v>81</v>
      </c>
    </row>
    <row r="1564" spans="1:9" x14ac:dyDescent="0.3">
      <c r="A1564" t="s">
        <v>4630</v>
      </c>
      <c r="B1564" t="s">
        <v>4631</v>
      </c>
      <c r="C1564" t="s">
        <v>11</v>
      </c>
      <c r="D1564" s="1">
        <v>45129</v>
      </c>
      <c r="E1564" t="s">
        <v>4632</v>
      </c>
      <c r="F1564" t="s">
        <v>13</v>
      </c>
      <c r="G1564" t="s">
        <v>14</v>
      </c>
      <c r="H1564" t="s">
        <v>15</v>
      </c>
      <c r="I1564" t="s">
        <v>38</v>
      </c>
    </row>
    <row r="1565" spans="1:9" x14ac:dyDescent="0.3">
      <c r="A1565" t="s">
        <v>4633</v>
      </c>
      <c r="B1565" t="s">
        <v>4634</v>
      </c>
      <c r="C1565" t="s">
        <v>54</v>
      </c>
      <c r="D1565" s="1">
        <v>45129</v>
      </c>
      <c r="E1565" t="s">
        <v>4635</v>
      </c>
      <c r="F1565" t="s">
        <v>13</v>
      </c>
      <c r="G1565" t="s">
        <v>14</v>
      </c>
      <c r="H1565" t="s">
        <v>15</v>
      </c>
      <c r="I1565" t="s">
        <v>181</v>
      </c>
    </row>
    <row r="1566" spans="1:9" x14ac:dyDescent="0.3">
      <c r="A1566" t="s">
        <v>4636</v>
      </c>
      <c r="B1566" t="s">
        <v>4637</v>
      </c>
      <c r="C1566" t="s">
        <v>11</v>
      </c>
      <c r="D1566" s="1">
        <v>45129</v>
      </c>
      <c r="E1566" t="s">
        <v>4638</v>
      </c>
      <c r="F1566" t="s">
        <v>13</v>
      </c>
      <c r="G1566" t="s">
        <v>14</v>
      </c>
      <c r="H1566" t="s">
        <v>15</v>
      </c>
      <c r="I1566" t="s">
        <v>16</v>
      </c>
    </row>
    <row r="1567" spans="1:9" x14ac:dyDescent="0.3">
      <c r="A1567" t="s">
        <v>4639</v>
      </c>
      <c r="B1567" t="s">
        <v>4640</v>
      </c>
      <c r="C1567" t="s">
        <v>24</v>
      </c>
      <c r="D1567" s="1">
        <v>45129</v>
      </c>
      <c r="E1567" t="s">
        <v>4641</v>
      </c>
      <c r="F1567" t="s">
        <v>13</v>
      </c>
      <c r="G1567" t="s">
        <v>14</v>
      </c>
      <c r="H1567" t="s">
        <v>15</v>
      </c>
      <c r="I1567" t="s">
        <v>26</v>
      </c>
    </row>
    <row r="1568" spans="1:9" x14ac:dyDescent="0.3">
      <c r="A1568" t="s">
        <v>3807</v>
      </c>
      <c r="B1568" t="s">
        <v>4642</v>
      </c>
      <c r="C1568" t="s">
        <v>19</v>
      </c>
      <c r="D1568" s="1">
        <v>45130</v>
      </c>
      <c r="E1568" t="s">
        <v>4643</v>
      </c>
      <c r="F1568" t="s">
        <v>13</v>
      </c>
      <c r="G1568" t="s">
        <v>14</v>
      </c>
      <c r="H1568" t="s">
        <v>15</v>
      </c>
      <c r="I1568" t="s">
        <v>21</v>
      </c>
    </row>
    <row r="1569" spans="1:9" x14ac:dyDescent="0.3">
      <c r="A1569" t="s">
        <v>4644</v>
      </c>
      <c r="B1569" t="s">
        <v>4645</v>
      </c>
      <c r="C1569" t="s">
        <v>11</v>
      </c>
      <c r="D1569" s="1">
        <v>45131</v>
      </c>
      <c r="E1569" t="s">
        <v>4646</v>
      </c>
      <c r="F1569" t="s">
        <v>13</v>
      </c>
      <c r="G1569" t="s">
        <v>14</v>
      </c>
      <c r="H1569" t="s">
        <v>15</v>
      </c>
      <c r="I1569" t="s">
        <v>185</v>
      </c>
    </row>
    <row r="1570" spans="1:9" x14ac:dyDescent="0.3">
      <c r="A1570" t="s">
        <v>4647</v>
      </c>
      <c r="B1570" t="s">
        <v>4648</v>
      </c>
      <c r="C1570" t="s">
        <v>24</v>
      </c>
      <c r="D1570" s="1">
        <v>45131</v>
      </c>
      <c r="E1570" t="s">
        <v>4649</v>
      </c>
      <c r="F1570" t="s">
        <v>13</v>
      </c>
      <c r="G1570" t="s">
        <v>14</v>
      </c>
      <c r="H1570" t="s">
        <v>15</v>
      </c>
      <c r="I1570" t="s">
        <v>26</v>
      </c>
    </row>
    <row r="1571" spans="1:9" x14ac:dyDescent="0.3">
      <c r="A1571" t="s">
        <v>4650</v>
      </c>
      <c r="B1571" t="s">
        <v>4651</v>
      </c>
      <c r="C1571" t="s">
        <v>29</v>
      </c>
      <c r="D1571" s="1">
        <v>45131</v>
      </c>
      <c r="E1571" t="s">
        <v>4652</v>
      </c>
      <c r="F1571" t="s">
        <v>13</v>
      </c>
      <c r="G1571" t="s">
        <v>14</v>
      </c>
      <c r="H1571" t="s">
        <v>15</v>
      </c>
    </row>
    <row r="1572" spans="1:9" x14ac:dyDescent="0.3">
      <c r="A1572" t="s">
        <v>4653</v>
      </c>
      <c r="B1572" t="s">
        <v>4654</v>
      </c>
      <c r="C1572" t="s">
        <v>24</v>
      </c>
      <c r="D1572" s="1">
        <v>45132</v>
      </c>
      <c r="E1572" t="s">
        <v>4655</v>
      </c>
      <c r="F1572" t="s">
        <v>13</v>
      </c>
      <c r="G1572" t="s">
        <v>14</v>
      </c>
      <c r="H1572" t="s">
        <v>15</v>
      </c>
      <c r="I1572" t="s">
        <v>59</v>
      </c>
    </row>
    <row r="1573" spans="1:9" x14ac:dyDescent="0.3">
      <c r="A1573" t="s">
        <v>4656</v>
      </c>
      <c r="B1573" t="s">
        <v>4657</v>
      </c>
      <c r="C1573" t="s">
        <v>54</v>
      </c>
      <c r="D1573" s="1">
        <v>45132</v>
      </c>
      <c r="E1573" t="s">
        <v>4658</v>
      </c>
      <c r="F1573" t="s">
        <v>13</v>
      </c>
      <c r="G1573" t="s">
        <v>14</v>
      </c>
      <c r="H1573" t="s">
        <v>15</v>
      </c>
    </row>
    <row r="1574" spans="1:9" x14ac:dyDescent="0.3">
      <c r="A1574" t="s">
        <v>4659</v>
      </c>
      <c r="B1574" t="s">
        <v>4660</v>
      </c>
      <c r="C1574" t="s">
        <v>11</v>
      </c>
      <c r="D1574" s="1">
        <v>45132</v>
      </c>
      <c r="E1574" t="s">
        <v>4661</v>
      </c>
      <c r="F1574" t="s">
        <v>13</v>
      </c>
      <c r="G1574" t="s">
        <v>14</v>
      </c>
      <c r="H1574" t="s">
        <v>15</v>
      </c>
      <c r="I1574" t="s">
        <v>16</v>
      </c>
    </row>
    <row r="1575" spans="1:9" x14ac:dyDescent="0.3">
      <c r="A1575" t="s">
        <v>4662</v>
      </c>
      <c r="B1575" t="s">
        <v>4663</v>
      </c>
      <c r="C1575" t="s">
        <v>29</v>
      </c>
      <c r="D1575" s="1">
        <v>45132</v>
      </c>
      <c r="E1575" t="s">
        <v>4664</v>
      </c>
      <c r="F1575" t="s">
        <v>13</v>
      </c>
      <c r="G1575" t="s">
        <v>14</v>
      </c>
      <c r="H1575" t="s">
        <v>15</v>
      </c>
      <c r="I1575" t="s">
        <v>204</v>
      </c>
    </row>
    <row r="1576" spans="1:9" x14ac:dyDescent="0.3">
      <c r="A1576" t="s">
        <v>4665</v>
      </c>
      <c r="B1576" t="s">
        <v>4666</v>
      </c>
      <c r="C1576" t="s">
        <v>69</v>
      </c>
      <c r="D1576" s="1">
        <v>45133</v>
      </c>
      <c r="E1576" t="s">
        <v>4667</v>
      </c>
      <c r="F1576" t="s">
        <v>13</v>
      </c>
      <c r="G1576" t="s">
        <v>14</v>
      </c>
      <c r="H1576" t="s">
        <v>15</v>
      </c>
      <c r="I1576" t="s">
        <v>71</v>
      </c>
    </row>
    <row r="1577" spans="1:9" x14ac:dyDescent="0.3">
      <c r="A1577" t="s">
        <v>4668</v>
      </c>
      <c r="B1577" t="s">
        <v>4669</v>
      </c>
      <c r="C1577" t="s">
        <v>54</v>
      </c>
      <c r="D1577" s="1">
        <v>45133</v>
      </c>
      <c r="E1577" t="s">
        <v>4670</v>
      </c>
      <c r="F1577" t="s">
        <v>13</v>
      </c>
      <c r="G1577" t="s">
        <v>14</v>
      </c>
      <c r="H1577" t="s">
        <v>15</v>
      </c>
      <c r="I1577" t="s">
        <v>238</v>
      </c>
    </row>
    <row r="1578" spans="1:9" x14ac:dyDescent="0.3">
      <c r="A1578" t="s">
        <v>3867</v>
      </c>
      <c r="B1578" t="s">
        <v>4671</v>
      </c>
      <c r="C1578" t="s">
        <v>19</v>
      </c>
      <c r="D1578" s="1">
        <v>45133</v>
      </c>
      <c r="E1578" t="s">
        <v>4672</v>
      </c>
      <c r="F1578" t="s">
        <v>13</v>
      </c>
      <c r="G1578" t="s">
        <v>14</v>
      </c>
      <c r="H1578" t="s">
        <v>15</v>
      </c>
      <c r="I1578" t="s">
        <v>21</v>
      </c>
    </row>
    <row r="1579" spans="1:9" x14ac:dyDescent="0.3">
      <c r="A1579" t="s">
        <v>4673</v>
      </c>
      <c r="B1579" t="s">
        <v>4674</v>
      </c>
      <c r="C1579" t="s">
        <v>33</v>
      </c>
      <c r="D1579" s="1">
        <v>45133</v>
      </c>
      <c r="E1579" t="s">
        <v>4675</v>
      </c>
      <c r="F1579" t="s">
        <v>13</v>
      </c>
      <c r="G1579" t="s">
        <v>14</v>
      </c>
      <c r="H1579" t="s">
        <v>15</v>
      </c>
      <c r="I1579" t="s">
        <v>51</v>
      </c>
    </row>
    <row r="1580" spans="1:9" x14ac:dyDescent="0.3">
      <c r="A1580" t="s">
        <v>4676</v>
      </c>
      <c r="B1580" t="s">
        <v>4677</v>
      </c>
      <c r="C1580" t="s">
        <v>45</v>
      </c>
      <c r="D1580" s="1">
        <v>45134</v>
      </c>
      <c r="E1580" t="s">
        <v>4678</v>
      </c>
      <c r="F1580" t="s">
        <v>13</v>
      </c>
      <c r="G1580" t="s">
        <v>14</v>
      </c>
      <c r="H1580" t="s">
        <v>15</v>
      </c>
      <c r="I1580" t="s">
        <v>47</v>
      </c>
    </row>
    <row r="1581" spans="1:9" x14ac:dyDescent="0.3">
      <c r="A1581" t="s">
        <v>4679</v>
      </c>
      <c r="B1581" t="s">
        <v>4680</v>
      </c>
      <c r="C1581" t="s">
        <v>29</v>
      </c>
      <c r="D1581" s="1">
        <v>45134</v>
      </c>
      <c r="E1581" t="s">
        <v>4681</v>
      </c>
      <c r="F1581" t="s">
        <v>13</v>
      </c>
      <c r="G1581" t="s">
        <v>14</v>
      </c>
      <c r="H1581" t="s">
        <v>15</v>
      </c>
      <c r="I1581" t="s">
        <v>42</v>
      </c>
    </row>
    <row r="1582" spans="1:9" x14ac:dyDescent="0.3">
      <c r="A1582" t="s">
        <v>4682</v>
      </c>
      <c r="B1582" t="s">
        <v>4683</v>
      </c>
      <c r="C1582" t="s">
        <v>24</v>
      </c>
      <c r="D1582" s="1">
        <v>45134</v>
      </c>
      <c r="E1582" t="s">
        <v>4684</v>
      </c>
      <c r="F1582" t="s">
        <v>13</v>
      </c>
      <c r="G1582" t="s">
        <v>14</v>
      </c>
      <c r="H1582" t="s">
        <v>15</v>
      </c>
      <c r="I1582" t="s">
        <v>59</v>
      </c>
    </row>
    <row r="1583" spans="1:9" x14ac:dyDescent="0.3">
      <c r="A1583" t="s">
        <v>4685</v>
      </c>
      <c r="B1583" t="s">
        <v>4686</v>
      </c>
      <c r="C1583" t="s">
        <v>45</v>
      </c>
      <c r="D1583" s="1">
        <v>45135</v>
      </c>
      <c r="E1583" t="s">
        <v>4687</v>
      </c>
      <c r="F1583" t="s">
        <v>13</v>
      </c>
      <c r="G1583" t="s">
        <v>14</v>
      </c>
      <c r="H1583" t="s">
        <v>15</v>
      </c>
      <c r="I1583" t="s">
        <v>47</v>
      </c>
    </row>
    <row r="1584" spans="1:9" x14ac:dyDescent="0.3">
      <c r="A1584" t="s">
        <v>4688</v>
      </c>
      <c r="B1584" t="s">
        <v>4689</v>
      </c>
      <c r="C1584" t="s">
        <v>24</v>
      </c>
      <c r="D1584" s="1">
        <v>45136</v>
      </c>
      <c r="E1584" t="s">
        <v>4690</v>
      </c>
      <c r="F1584" t="s">
        <v>13</v>
      </c>
      <c r="G1584" t="s">
        <v>14</v>
      </c>
      <c r="H1584" t="s">
        <v>15</v>
      </c>
      <c r="I1584" t="s">
        <v>26</v>
      </c>
    </row>
    <row r="1585" spans="1:9" x14ac:dyDescent="0.3">
      <c r="A1585" t="s">
        <v>4133</v>
      </c>
      <c r="B1585" t="s">
        <v>4691</v>
      </c>
      <c r="C1585" t="s">
        <v>19</v>
      </c>
      <c r="D1585" s="1">
        <v>45136</v>
      </c>
      <c r="E1585" t="s">
        <v>4692</v>
      </c>
      <c r="F1585" t="s">
        <v>13</v>
      </c>
      <c r="G1585" t="s">
        <v>14</v>
      </c>
      <c r="H1585" t="s">
        <v>15</v>
      </c>
      <c r="I1585" t="s">
        <v>21</v>
      </c>
    </row>
    <row r="1586" spans="1:9" x14ac:dyDescent="0.3">
      <c r="A1586" t="s">
        <v>4693</v>
      </c>
      <c r="B1586" t="s">
        <v>4694</v>
      </c>
      <c r="C1586" t="s">
        <v>54</v>
      </c>
      <c r="D1586" s="1">
        <v>45136</v>
      </c>
      <c r="E1586" t="s">
        <v>4695</v>
      </c>
      <c r="F1586" t="s">
        <v>13</v>
      </c>
      <c r="G1586" t="s">
        <v>14</v>
      </c>
      <c r="H1586" t="s">
        <v>15</v>
      </c>
    </row>
    <row r="1587" spans="1:9" x14ac:dyDescent="0.3">
      <c r="A1587" t="s">
        <v>4696</v>
      </c>
      <c r="B1587" t="s">
        <v>4697</v>
      </c>
      <c r="C1587" t="s">
        <v>69</v>
      </c>
      <c r="D1587" s="1">
        <v>45136</v>
      </c>
      <c r="E1587" t="s">
        <v>4698</v>
      </c>
      <c r="F1587" t="s">
        <v>13</v>
      </c>
      <c r="G1587" t="s">
        <v>14</v>
      </c>
      <c r="H1587" t="s">
        <v>15</v>
      </c>
      <c r="I1587" t="s">
        <v>71</v>
      </c>
    </row>
    <row r="1588" spans="1:9" x14ac:dyDescent="0.3">
      <c r="A1588" t="s">
        <v>4699</v>
      </c>
      <c r="B1588" t="s">
        <v>4700</v>
      </c>
      <c r="C1588" t="s">
        <v>29</v>
      </c>
      <c r="D1588" s="1">
        <v>45137</v>
      </c>
      <c r="E1588" t="s">
        <v>4701</v>
      </c>
      <c r="F1588" t="s">
        <v>13</v>
      </c>
      <c r="G1588" t="s">
        <v>14</v>
      </c>
      <c r="H1588" t="s">
        <v>15</v>
      </c>
      <c r="I1588" t="s">
        <v>42</v>
      </c>
    </row>
    <row r="1589" spans="1:9" x14ac:dyDescent="0.3">
      <c r="A1589" t="s">
        <v>4702</v>
      </c>
      <c r="B1589" t="s">
        <v>4703</v>
      </c>
      <c r="C1589" t="s">
        <v>45</v>
      </c>
      <c r="D1589" s="1">
        <v>45137</v>
      </c>
      <c r="E1589" t="s">
        <v>4704</v>
      </c>
      <c r="F1589" t="s">
        <v>13</v>
      </c>
      <c r="G1589" t="s">
        <v>14</v>
      </c>
      <c r="H1589" t="s">
        <v>15</v>
      </c>
      <c r="I1589" t="s">
        <v>248</v>
      </c>
    </row>
    <row r="1590" spans="1:9" x14ac:dyDescent="0.3">
      <c r="A1590" t="s">
        <v>4705</v>
      </c>
      <c r="B1590" t="s">
        <v>4706</v>
      </c>
      <c r="C1590" t="s">
        <v>69</v>
      </c>
      <c r="D1590" s="1">
        <v>45138</v>
      </c>
      <c r="E1590" t="s">
        <v>4707</v>
      </c>
      <c r="F1590" t="s">
        <v>13</v>
      </c>
      <c r="G1590" t="s">
        <v>14</v>
      </c>
      <c r="H1590" t="s">
        <v>15</v>
      </c>
    </row>
    <row r="1591" spans="1:9" x14ac:dyDescent="0.3">
      <c r="A1591" t="s">
        <v>4708</v>
      </c>
      <c r="B1591" t="s">
        <v>4709</v>
      </c>
      <c r="C1591" t="s">
        <v>54</v>
      </c>
      <c r="D1591" s="1">
        <v>45138</v>
      </c>
      <c r="E1591" t="s">
        <v>4710</v>
      </c>
      <c r="F1591" t="s">
        <v>13</v>
      </c>
      <c r="G1591" t="s">
        <v>14</v>
      </c>
      <c r="H1591" t="s">
        <v>15</v>
      </c>
      <c r="I1591" t="s">
        <v>238</v>
      </c>
    </row>
    <row r="1592" spans="1:9" x14ac:dyDescent="0.3">
      <c r="A1592" t="s">
        <v>4711</v>
      </c>
      <c r="B1592" t="s">
        <v>4712</v>
      </c>
      <c r="C1592" t="s">
        <v>24</v>
      </c>
      <c r="D1592" s="1">
        <v>45140</v>
      </c>
      <c r="E1592" t="s">
        <v>4713</v>
      </c>
      <c r="F1592" t="s">
        <v>13</v>
      </c>
      <c r="G1592" t="s">
        <v>14</v>
      </c>
      <c r="H1592" t="s">
        <v>15</v>
      </c>
      <c r="I1592" t="s">
        <v>59</v>
      </c>
    </row>
    <row r="1593" spans="1:9" x14ac:dyDescent="0.3">
      <c r="A1593" t="s">
        <v>4714</v>
      </c>
      <c r="B1593" t="s">
        <v>4715</v>
      </c>
      <c r="C1593" t="s">
        <v>69</v>
      </c>
      <c r="D1593" s="1">
        <v>45140</v>
      </c>
      <c r="E1593" t="s">
        <v>4716</v>
      </c>
      <c r="F1593" t="s">
        <v>13</v>
      </c>
      <c r="G1593" t="s">
        <v>14</v>
      </c>
      <c r="H1593" t="s">
        <v>15</v>
      </c>
      <c r="I1593" t="s">
        <v>71</v>
      </c>
    </row>
    <row r="1594" spans="1:9" x14ac:dyDescent="0.3">
      <c r="A1594" t="s">
        <v>4717</v>
      </c>
      <c r="B1594" t="s">
        <v>4718</v>
      </c>
      <c r="C1594" t="s">
        <v>24</v>
      </c>
      <c r="D1594" s="1">
        <v>45140</v>
      </c>
      <c r="E1594" t="s">
        <v>4719</v>
      </c>
      <c r="F1594" t="s">
        <v>13</v>
      </c>
      <c r="G1594" t="s">
        <v>14</v>
      </c>
      <c r="H1594" t="s">
        <v>15</v>
      </c>
      <c r="I1594" t="s">
        <v>63</v>
      </c>
    </row>
    <row r="1595" spans="1:9" x14ac:dyDescent="0.3">
      <c r="A1595" t="s">
        <v>4720</v>
      </c>
      <c r="B1595" t="s">
        <v>4721</v>
      </c>
      <c r="C1595" t="s">
        <v>45</v>
      </c>
      <c r="D1595" s="1">
        <v>45140</v>
      </c>
      <c r="E1595" t="s">
        <v>4722</v>
      </c>
      <c r="F1595" t="s">
        <v>13</v>
      </c>
      <c r="G1595" t="s">
        <v>14</v>
      </c>
      <c r="H1595" t="s">
        <v>15</v>
      </c>
      <c r="I1595" t="s">
        <v>248</v>
      </c>
    </row>
    <row r="1596" spans="1:9" x14ac:dyDescent="0.3">
      <c r="A1596" t="s">
        <v>4723</v>
      </c>
      <c r="B1596" t="s">
        <v>4724</v>
      </c>
      <c r="C1596" t="s">
        <v>45</v>
      </c>
      <c r="D1596" s="1">
        <v>45141</v>
      </c>
      <c r="E1596" t="s">
        <v>4725</v>
      </c>
      <c r="F1596" t="s">
        <v>13</v>
      </c>
      <c r="G1596" t="s">
        <v>14</v>
      </c>
      <c r="H1596" t="s">
        <v>15</v>
      </c>
    </row>
    <row r="1597" spans="1:9" x14ac:dyDescent="0.3">
      <c r="A1597" t="s">
        <v>4726</v>
      </c>
      <c r="B1597" t="s">
        <v>4727</v>
      </c>
      <c r="C1597" t="s">
        <v>24</v>
      </c>
      <c r="D1597" s="1">
        <v>45141</v>
      </c>
      <c r="E1597" t="s">
        <v>4728</v>
      </c>
      <c r="F1597" t="s">
        <v>13</v>
      </c>
      <c r="G1597" t="s">
        <v>14</v>
      </c>
      <c r="H1597" t="s">
        <v>15</v>
      </c>
      <c r="I1597" t="s">
        <v>59</v>
      </c>
    </row>
    <row r="1598" spans="1:9" x14ac:dyDescent="0.3">
      <c r="A1598" t="s">
        <v>4729</v>
      </c>
      <c r="B1598" t="s">
        <v>4730</v>
      </c>
      <c r="C1598" t="s">
        <v>69</v>
      </c>
      <c r="D1598" s="1">
        <v>45141</v>
      </c>
      <c r="E1598" t="s">
        <v>4731</v>
      </c>
      <c r="F1598" t="s">
        <v>13</v>
      </c>
      <c r="G1598" t="s">
        <v>14</v>
      </c>
      <c r="H1598" t="s">
        <v>15</v>
      </c>
      <c r="I1598" t="s">
        <v>71</v>
      </c>
    </row>
    <row r="1599" spans="1:9" x14ac:dyDescent="0.3">
      <c r="A1599" t="s">
        <v>4732</v>
      </c>
      <c r="B1599" t="s">
        <v>4733</v>
      </c>
      <c r="C1599" t="s">
        <v>54</v>
      </c>
      <c r="D1599" s="1">
        <v>45142</v>
      </c>
      <c r="E1599" t="s">
        <v>4734</v>
      </c>
      <c r="F1599" t="s">
        <v>13</v>
      </c>
      <c r="G1599" t="s">
        <v>14</v>
      </c>
      <c r="H1599" t="s">
        <v>15</v>
      </c>
      <c r="I1599" t="s">
        <v>181</v>
      </c>
    </row>
    <row r="1600" spans="1:9" x14ac:dyDescent="0.3">
      <c r="A1600" t="s">
        <v>4735</v>
      </c>
      <c r="B1600" t="s">
        <v>4736</v>
      </c>
      <c r="C1600" t="s">
        <v>33</v>
      </c>
      <c r="D1600" s="1">
        <v>45142</v>
      </c>
      <c r="E1600" t="s">
        <v>4737</v>
      </c>
      <c r="F1600" t="s">
        <v>13</v>
      </c>
      <c r="G1600" t="s">
        <v>14</v>
      </c>
      <c r="H1600" t="s">
        <v>15</v>
      </c>
    </row>
    <row r="1601" spans="1:9" x14ac:dyDescent="0.3">
      <c r="A1601" t="s">
        <v>4738</v>
      </c>
      <c r="B1601" t="s">
        <v>4739</v>
      </c>
      <c r="C1601" t="s">
        <v>11</v>
      </c>
      <c r="D1601" s="1">
        <v>45143</v>
      </c>
      <c r="E1601" t="s">
        <v>4740</v>
      </c>
      <c r="F1601" t="s">
        <v>13</v>
      </c>
      <c r="G1601" t="s">
        <v>14</v>
      </c>
      <c r="H1601" t="s">
        <v>15</v>
      </c>
      <c r="I1601" t="s">
        <v>38</v>
      </c>
    </row>
    <row r="1602" spans="1:9" x14ac:dyDescent="0.3">
      <c r="A1602" t="s">
        <v>4741</v>
      </c>
      <c r="B1602" t="s">
        <v>4742</v>
      </c>
      <c r="C1602" t="s">
        <v>69</v>
      </c>
      <c r="D1602" s="1">
        <v>45144</v>
      </c>
      <c r="E1602" t="s">
        <v>4743</v>
      </c>
      <c r="F1602" t="s">
        <v>13</v>
      </c>
      <c r="G1602" t="s">
        <v>14</v>
      </c>
      <c r="H1602" t="s">
        <v>15</v>
      </c>
      <c r="I1602" t="s">
        <v>71</v>
      </c>
    </row>
    <row r="1603" spans="1:9" x14ac:dyDescent="0.3">
      <c r="A1603" t="s">
        <v>4744</v>
      </c>
      <c r="B1603" t="s">
        <v>4745</v>
      </c>
      <c r="C1603" t="s">
        <v>24</v>
      </c>
      <c r="D1603" s="1">
        <v>45144</v>
      </c>
      <c r="E1603" t="s">
        <v>4746</v>
      </c>
      <c r="F1603" t="s">
        <v>13</v>
      </c>
      <c r="G1603" t="s">
        <v>14</v>
      </c>
      <c r="H1603" t="s">
        <v>15</v>
      </c>
      <c r="I1603" t="s">
        <v>63</v>
      </c>
    </row>
    <row r="1604" spans="1:9" x14ac:dyDescent="0.3">
      <c r="A1604" t="s">
        <v>4747</v>
      </c>
      <c r="B1604" t="s">
        <v>4748</v>
      </c>
      <c r="C1604" t="s">
        <v>33</v>
      </c>
      <c r="D1604" s="1">
        <v>45144</v>
      </c>
      <c r="E1604" t="s">
        <v>4749</v>
      </c>
      <c r="F1604" t="s">
        <v>13</v>
      </c>
      <c r="G1604" t="s">
        <v>14</v>
      </c>
      <c r="H1604" t="s">
        <v>15</v>
      </c>
      <c r="I1604" t="s">
        <v>94</v>
      </c>
    </row>
    <row r="1605" spans="1:9" x14ac:dyDescent="0.3">
      <c r="A1605" t="s">
        <v>4750</v>
      </c>
      <c r="B1605" t="s">
        <v>4751</v>
      </c>
      <c r="C1605" t="s">
        <v>54</v>
      </c>
      <c r="D1605" s="1">
        <v>45145</v>
      </c>
      <c r="E1605" t="s">
        <v>4752</v>
      </c>
      <c r="F1605" t="s">
        <v>13</v>
      </c>
      <c r="G1605" t="s">
        <v>14</v>
      </c>
      <c r="H1605" t="s">
        <v>15</v>
      </c>
      <c r="I1605" t="s">
        <v>238</v>
      </c>
    </row>
    <row r="1606" spans="1:9" x14ac:dyDescent="0.3">
      <c r="A1606" t="s">
        <v>4753</v>
      </c>
      <c r="B1606" t="s">
        <v>4754</v>
      </c>
      <c r="C1606" t="s">
        <v>54</v>
      </c>
      <c r="D1606" s="1">
        <v>45145</v>
      </c>
      <c r="E1606" t="s">
        <v>4755</v>
      </c>
      <c r="F1606" t="s">
        <v>13</v>
      </c>
      <c r="G1606" t="s">
        <v>14</v>
      </c>
      <c r="H1606" t="s">
        <v>15</v>
      </c>
      <c r="I1606" t="s">
        <v>181</v>
      </c>
    </row>
    <row r="1607" spans="1:9" x14ac:dyDescent="0.3">
      <c r="A1607" t="s">
        <v>4756</v>
      </c>
      <c r="B1607" t="s">
        <v>4757</v>
      </c>
      <c r="C1607" t="s">
        <v>45</v>
      </c>
      <c r="D1607" s="1">
        <v>45145</v>
      </c>
      <c r="E1607" t="s">
        <v>4758</v>
      </c>
      <c r="F1607" t="s">
        <v>13</v>
      </c>
      <c r="G1607" t="s">
        <v>14</v>
      </c>
      <c r="H1607" t="s">
        <v>15</v>
      </c>
      <c r="I1607" t="s">
        <v>47</v>
      </c>
    </row>
    <row r="1608" spans="1:9" x14ac:dyDescent="0.3">
      <c r="A1608" t="s">
        <v>4759</v>
      </c>
      <c r="B1608" t="s">
        <v>4760</v>
      </c>
      <c r="C1608" t="s">
        <v>33</v>
      </c>
      <c r="D1608" s="1">
        <v>45145</v>
      </c>
      <c r="E1608" t="s">
        <v>4761</v>
      </c>
      <c r="F1608" t="s">
        <v>13</v>
      </c>
      <c r="G1608" t="s">
        <v>14</v>
      </c>
      <c r="H1608" t="s">
        <v>15</v>
      </c>
    </row>
    <row r="1609" spans="1:9" x14ac:dyDescent="0.3">
      <c r="A1609" t="s">
        <v>4762</v>
      </c>
      <c r="B1609" t="s">
        <v>4763</v>
      </c>
      <c r="C1609" t="s">
        <v>29</v>
      </c>
      <c r="D1609" s="1">
        <v>45146</v>
      </c>
      <c r="E1609" t="s">
        <v>4764</v>
      </c>
      <c r="F1609" t="s">
        <v>13</v>
      </c>
      <c r="G1609" t="s">
        <v>14</v>
      </c>
      <c r="H1609" t="s">
        <v>15</v>
      </c>
      <c r="I1609" t="s">
        <v>81</v>
      </c>
    </row>
    <row r="1610" spans="1:9" x14ac:dyDescent="0.3">
      <c r="A1610" t="s">
        <v>4765</v>
      </c>
      <c r="B1610" t="s">
        <v>4766</v>
      </c>
      <c r="C1610" t="s">
        <v>33</v>
      </c>
      <c r="D1610" s="1">
        <v>45146</v>
      </c>
      <c r="E1610" t="s">
        <v>4767</v>
      </c>
      <c r="F1610" t="s">
        <v>13</v>
      </c>
      <c r="G1610" t="s">
        <v>14</v>
      </c>
      <c r="H1610" t="s">
        <v>15</v>
      </c>
    </row>
    <row r="1611" spans="1:9" x14ac:dyDescent="0.3">
      <c r="A1611" t="s">
        <v>4768</v>
      </c>
      <c r="B1611" t="s">
        <v>4769</v>
      </c>
      <c r="C1611" t="s">
        <v>29</v>
      </c>
      <c r="D1611" s="1">
        <v>45146</v>
      </c>
      <c r="E1611" t="s">
        <v>4770</v>
      </c>
      <c r="F1611" t="s">
        <v>13</v>
      </c>
      <c r="G1611" t="s">
        <v>14</v>
      </c>
      <c r="H1611" t="s">
        <v>15</v>
      </c>
    </row>
    <row r="1612" spans="1:9" x14ac:dyDescent="0.3">
      <c r="A1612" t="s">
        <v>4771</v>
      </c>
      <c r="B1612" t="s">
        <v>4772</v>
      </c>
      <c r="C1612" t="s">
        <v>24</v>
      </c>
      <c r="D1612" s="1">
        <v>45147</v>
      </c>
      <c r="E1612" t="s">
        <v>4773</v>
      </c>
      <c r="F1612" t="s">
        <v>13</v>
      </c>
      <c r="G1612" t="s">
        <v>14</v>
      </c>
      <c r="H1612" t="s">
        <v>15</v>
      </c>
      <c r="I1612" t="s">
        <v>26</v>
      </c>
    </row>
    <row r="1613" spans="1:9" x14ac:dyDescent="0.3">
      <c r="A1613" t="s">
        <v>4774</v>
      </c>
      <c r="B1613" t="s">
        <v>4775</v>
      </c>
      <c r="C1613" t="s">
        <v>19</v>
      </c>
      <c r="D1613" s="1">
        <v>45147</v>
      </c>
      <c r="E1613" t="s">
        <v>4776</v>
      </c>
      <c r="F1613" t="s">
        <v>13</v>
      </c>
      <c r="G1613" t="s">
        <v>14</v>
      </c>
      <c r="H1613" t="s">
        <v>15</v>
      </c>
      <c r="I1613" t="s">
        <v>116</v>
      </c>
    </row>
    <row r="1614" spans="1:9" x14ac:dyDescent="0.3">
      <c r="A1614" t="s">
        <v>4777</v>
      </c>
      <c r="B1614" t="s">
        <v>4778</v>
      </c>
      <c r="C1614" t="s">
        <v>69</v>
      </c>
      <c r="D1614" s="1">
        <v>45147</v>
      </c>
      <c r="E1614" t="s">
        <v>4779</v>
      </c>
      <c r="F1614" t="s">
        <v>13</v>
      </c>
      <c r="G1614" t="s">
        <v>14</v>
      </c>
      <c r="H1614" t="s">
        <v>15</v>
      </c>
      <c r="I1614" t="s">
        <v>71</v>
      </c>
    </row>
    <row r="1615" spans="1:9" x14ac:dyDescent="0.3">
      <c r="A1615" t="s">
        <v>4780</v>
      </c>
      <c r="B1615" t="s">
        <v>4781</v>
      </c>
      <c r="C1615" t="s">
        <v>19</v>
      </c>
      <c r="D1615" s="1">
        <v>45147</v>
      </c>
      <c r="E1615" t="s">
        <v>4782</v>
      </c>
      <c r="F1615" t="s">
        <v>13</v>
      </c>
      <c r="G1615" t="s">
        <v>14</v>
      </c>
      <c r="H1615" t="s">
        <v>15</v>
      </c>
      <c r="I1615" t="s">
        <v>21</v>
      </c>
    </row>
    <row r="1616" spans="1:9" x14ac:dyDescent="0.3">
      <c r="A1616" t="s">
        <v>4783</v>
      </c>
      <c r="B1616" t="s">
        <v>4784</v>
      </c>
      <c r="C1616" t="s">
        <v>54</v>
      </c>
      <c r="D1616" s="1">
        <v>45148</v>
      </c>
      <c r="E1616" t="s">
        <v>4785</v>
      </c>
      <c r="F1616" t="s">
        <v>13</v>
      </c>
      <c r="G1616" t="s">
        <v>14</v>
      </c>
      <c r="H1616" t="s">
        <v>15</v>
      </c>
      <c r="I1616" t="s">
        <v>238</v>
      </c>
    </row>
    <row r="1617" spans="1:9" x14ac:dyDescent="0.3">
      <c r="A1617" t="s">
        <v>4786</v>
      </c>
      <c r="B1617" t="s">
        <v>4787</v>
      </c>
      <c r="C1617" t="s">
        <v>11</v>
      </c>
      <c r="D1617" s="1">
        <v>45148</v>
      </c>
      <c r="E1617" t="s">
        <v>4788</v>
      </c>
      <c r="F1617" t="s">
        <v>13</v>
      </c>
      <c r="G1617" t="s">
        <v>14</v>
      </c>
      <c r="H1617" t="s">
        <v>15</v>
      </c>
      <c r="I1617" t="s">
        <v>185</v>
      </c>
    </row>
    <row r="1618" spans="1:9" x14ac:dyDescent="0.3">
      <c r="A1618" t="s">
        <v>4789</v>
      </c>
      <c r="B1618" t="s">
        <v>4790</v>
      </c>
      <c r="C1618" t="s">
        <v>24</v>
      </c>
      <c r="D1618" s="1">
        <v>45149</v>
      </c>
      <c r="E1618" t="s">
        <v>4791</v>
      </c>
      <c r="F1618" t="s">
        <v>13</v>
      </c>
      <c r="G1618" t="s">
        <v>14</v>
      </c>
      <c r="H1618" t="s">
        <v>15</v>
      </c>
      <c r="I1618" t="s">
        <v>59</v>
      </c>
    </row>
    <row r="1619" spans="1:9" x14ac:dyDescent="0.3">
      <c r="A1619" t="s">
        <v>4792</v>
      </c>
      <c r="B1619" t="s">
        <v>4793</v>
      </c>
      <c r="C1619" t="s">
        <v>29</v>
      </c>
      <c r="D1619" s="1">
        <v>45149</v>
      </c>
      <c r="E1619" t="s">
        <v>4794</v>
      </c>
      <c r="F1619" t="s">
        <v>13</v>
      </c>
      <c r="G1619" t="s">
        <v>14</v>
      </c>
      <c r="H1619" t="s">
        <v>15</v>
      </c>
    </row>
    <row r="1620" spans="1:9" x14ac:dyDescent="0.3">
      <c r="A1620" t="s">
        <v>4795</v>
      </c>
      <c r="B1620" t="s">
        <v>4796</v>
      </c>
      <c r="C1620" t="s">
        <v>33</v>
      </c>
      <c r="D1620" s="1">
        <v>45151</v>
      </c>
      <c r="E1620" t="s">
        <v>4797</v>
      </c>
      <c r="F1620" t="s">
        <v>13</v>
      </c>
      <c r="G1620" t="s">
        <v>14</v>
      </c>
      <c r="H1620" t="s">
        <v>15</v>
      </c>
    </row>
    <row r="1621" spans="1:9" x14ac:dyDescent="0.3">
      <c r="A1621" t="s">
        <v>4798</v>
      </c>
      <c r="B1621" t="s">
        <v>4799</v>
      </c>
      <c r="C1621" t="s">
        <v>33</v>
      </c>
      <c r="D1621" s="1">
        <v>45151</v>
      </c>
      <c r="E1621" t="s">
        <v>4800</v>
      </c>
      <c r="F1621" t="s">
        <v>13</v>
      </c>
      <c r="G1621" t="s">
        <v>14</v>
      </c>
      <c r="H1621" t="s">
        <v>15</v>
      </c>
    </row>
    <row r="1622" spans="1:9" x14ac:dyDescent="0.3">
      <c r="A1622" t="s">
        <v>4801</v>
      </c>
      <c r="B1622" t="s">
        <v>4802</v>
      </c>
      <c r="C1622" t="s">
        <v>33</v>
      </c>
      <c r="D1622" s="1">
        <v>45151</v>
      </c>
      <c r="E1622" t="s">
        <v>4803</v>
      </c>
      <c r="F1622" t="s">
        <v>13</v>
      </c>
      <c r="G1622" t="s">
        <v>14</v>
      </c>
      <c r="H1622" t="s">
        <v>15</v>
      </c>
      <c r="I1622" t="s">
        <v>51</v>
      </c>
    </row>
    <row r="1623" spans="1:9" x14ac:dyDescent="0.3">
      <c r="A1623" t="s">
        <v>3580</v>
      </c>
      <c r="B1623" t="s">
        <v>4804</v>
      </c>
      <c r="C1623" t="s">
        <v>19</v>
      </c>
      <c r="D1623" s="1">
        <v>45152</v>
      </c>
      <c r="E1623" t="s">
        <v>4805</v>
      </c>
      <c r="F1623" t="s">
        <v>13</v>
      </c>
      <c r="G1623" t="s">
        <v>14</v>
      </c>
      <c r="H1623" t="s">
        <v>15</v>
      </c>
      <c r="I1623" t="s">
        <v>21</v>
      </c>
    </row>
    <row r="1624" spans="1:9" x14ac:dyDescent="0.3">
      <c r="A1624" t="s">
        <v>4806</v>
      </c>
      <c r="B1624" t="s">
        <v>4807</v>
      </c>
      <c r="C1624" t="s">
        <v>33</v>
      </c>
      <c r="D1624" s="1">
        <v>45152</v>
      </c>
      <c r="E1624" t="s">
        <v>4808</v>
      </c>
      <c r="F1624" t="s">
        <v>13</v>
      </c>
      <c r="G1624" t="s">
        <v>14</v>
      </c>
      <c r="H1624" t="s">
        <v>15</v>
      </c>
      <c r="I1624" t="s">
        <v>51</v>
      </c>
    </row>
    <row r="1625" spans="1:9" x14ac:dyDescent="0.3">
      <c r="A1625" t="s">
        <v>4809</v>
      </c>
      <c r="B1625" t="s">
        <v>4810</v>
      </c>
      <c r="C1625" t="s">
        <v>69</v>
      </c>
      <c r="D1625" s="1">
        <v>45152</v>
      </c>
      <c r="E1625" t="s">
        <v>4811</v>
      </c>
      <c r="F1625" t="s">
        <v>13</v>
      </c>
      <c r="G1625" t="s">
        <v>14</v>
      </c>
      <c r="H1625" t="s">
        <v>15</v>
      </c>
      <c r="I1625" t="s">
        <v>71</v>
      </c>
    </row>
    <row r="1626" spans="1:9" x14ac:dyDescent="0.3">
      <c r="A1626" t="s">
        <v>4812</v>
      </c>
      <c r="B1626" t="s">
        <v>4813</v>
      </c>
      <c r="C1626" t="s">
        <v>11</v>
      </c>
      <c r="D1626" s="1">
        <v>45153</v>
      </c>
      <c r="E1626" t="s">
        <v>4814</v>
      </c>
      <c r="F1626" t="s">
        <v>13</v>
      </c>
      <c r="G1626" t="s">
        <v>14</v>
      </c>
      <c r="H1626" t="s">
        <v>15</v>
      </c>
      <c r="I1626" t="s">
        <v>38</v>
      </c>
    </row>
    <row r="1627" spans="1:9" x14ac:dyDescent="0.3">
      <c r="A1627" t="s">
        <v>4815</v>
      </c>
      <c r="B1627" t="s">
        <v>4816</v>
      </c>
      <c r="C1627" t="s">
        <v>29</v>
      </c>
      <c r="D1627" s="1">
        <v>45153</v>
      </c>
      <c r="E1627" t="s">
        <v>4817</v>
      </c>
      <c r="F1627" t="s">
        <v>13</v>
      </c>
      <c r="G1627" t="s">
        <v>14</v>
      </c>
      <c r="H1627" t="s">
        <v>15</v>
      </c>
      <c r="I1627" t="s">
        <v>204</v>
      </c>
    </row>
    <row r="1628" spans="1:9" x14ac:dyDescent="0.3">
      <c r="A1628" t="s">
        <v>4818</v>
      </c>
      <c r="B1628" t="s">
        <v>4819</v>
      </c>
      <c r="C1628" t="s">
        <v>29</v>
      </c>
      <c r="D1628" s="1">
        <v>45153</v>
      </c>
      <c r="E1628" t="s">
        <v>4820</v>
      </c>
      <c r="F1628" t="s">
        <v>13</v>
      </c>
      <c r="G1628" t="s">
        <v>14</v>
      </c>
      <c r="H1628" t="s">
        <v>15</v>
      </c>
      <c r="I1628" t="s">
        <v>81</v>
      </c>
    </row>
    <row r="1629" spans="1:9" x14ac:dyDescent="0.3">
      <c r="A1629" t="s">
        <v>4821</v>
      </c>
      <c r="B1629" t="s">
        <v>4822</v>
      </c>
      <c r="C1629" t="s">
        <v>24</v>
      </c>
      <c r="D1629" s="1">
        <v>45153</v>
      </c>
      <c r="E1629" t="s">
        <v>4823</v>
      </c>
      <c r="F1629" t="s">
        <v>13</v>
      </c>
      <c r="G1629" t="s">
        <v>14</v>
      </c>
      <c r="H1629" t="s">
        <v>15</v>
      </c>
      <c r="I1629" t="s">
        <v>63</v>
      </c>
    </row>
    <row r="1630" spans="1:9" x14ac:dyDescent="0.3">
      <c r="A1630" t="s">
        <v>4824</v>
      </c>
      <c r="B1630" t="s">
        <v>4825</v>
      </c>
      <c r="C1630" t="s">
        <v>45</v>
      </c>
      <c r="D1630" s="1">
        <v>45153</v>
      </c>
      <c r="E1630" t="s">
        <v>4826</v>
      </c>
      <c r="F1630" t="s">
        <v>13</v>
      </c>
      <c r="G1630" t="s">
        <v>14</v>
      </c>
      <c r="H1630" t="s">
        <v>15</v>
      </c>
      <c r="I1630" t="s">
        <v>248</v>
      </c>
    </row>
    <row r="1631" spans="1:9" x14ac:dyDescent="0.3">
      <c r="A1631" t="s">
        <v>4827</v>
      </c>
      <c r="B1631" t="s">
        <v>4828</v>
      </c>
      <c r="C1631" t="s">
        <v>19</v>
      </c>
      <c r="D1631" s="1">
        <v>45154</v>
      </c>
      <c r="E1631" t="s">
        <v>4829</v>
      </c>
      <c r="F1631" t="s">
        <v>13</v>
      </c>
      <c r="G1631" t="s">
        <v>14</v>
      </c>
      <c r="H1631" t="s">
        <v>15</v>
      </c>
      <c r="I1631" t="s">
        <v>21</v>
      </c>
    </row>
    <row r="1632" spans="1:9" x14ac:dyDescent="0.3">
      <c r="A1632" t="s">
        <v>4830</v>
      </c>
      <c r="B1632" t="s">
        <v>4831</v>
      </c>
      <c r="C1632" t="s">
        <v>24</v>
      </c>
      <c r="D1632" s="1">
        <v>45154</v>
      </c>
      <c r="E1632" t="s">
        <v>4832</v>
      </c>
      <c r="F1632" t="s">
        <v>13</v>
      </c>
      <c r="G1632" t="s">
        <v>14</v>
      </c>
      <c r="H1632" t="s">
        <v>15</v>
      </c>
      <c r="I1632" t="s">
        <v>26</v>
      </c>
    </row>
    <row r="1633" spans="1:9" x14ac:dyDescent="0.3">
      <c r="A1633" t="s">
        <v>4833</v>
      </c>
      <c r="B1633" t="s">
        <v>4834</v>
      </c>
      <c r="C1633" t="s">
        <v>33</v>
      </c>
      <c r="D1633" s="1">
        <v>45154</v>
      </c>
      <c r="E1633" t="s">
        <v>4835</v>
      </c>
      <c r="F1633" t="s">
        <v>13</v>
      </c>
      <c r="G1633" t="s">
        <v>14</v>
      </c>
      <c r="H1633" t="s">
        <v>15</v>
      </c>
    </row>
    <row r="1634" spans="1:9" x14ac:dyDescent="0.3">
      <c r="A1634" t="s">
        <v>4836</v>
      </c>
      <c r="B1634" t="s">
        <v>4837</v>
      </c>
      <c r="C1634" t="s">
        <v>11</v>
      </c>
      <c r="D1634" s="1">
        <v>45155</v>
      </c>
      <c r="E1634" t="s">
        <v>4838</v>
      </c>
      <c r="F1634" t="s">
        <v>13</v>
      </c>
      <c r="G1634" t="s">
        <v>174</v>
      </c>
      <c r="H1634" t="s">
        <v>15</v>
      </c>
      <c r="I1634" t="s">
        <v>185</v>
      </c>
    </row>
    <row r="1635" spans="1:9" x14ac:dyDescent="0.3">
      <c r="A1635" t="s">
        <v>4839</v>
      </c>
      <c r="B1635" t="s">
        <v>4840</v>
      </c>
      <c r="C1635" t="s">
        <v>24</v>
      </c>
      <c r="D1635" s="1">
        <v>45155</v>
      </c>
      <c r="E1635" t="s">
        <v>4841</v>
      </c>
      <c r="F1635" t="s">
        <v>13</v>
      </c>
      <c r="G1635" t="s">
        <v>14</v>
      </c>
      <c r="H1635" t="s">
        <v>15</v>
      </c>
    </row>
    <row r="1636" spans="1:9" x14ac:dyDescent="0.3">
      <c r="A1636" t="s">
        <v>4842</v>
      </c>
      <c r="B1636" t="s">
        <v>4843</v>
      </c>
      <c r="C1636" t="s">
        <v>45</v>
      </c>
      <c r="D1636" s="1">
        <v>45156</v>
      </c>
      <c r="E1636" t="s">
        <v>4844</v>
      </c>
      <c r="F1636" t="s">
        <v>13</v>
      </c>
      <c r="G1636" t="s">
        <v>14</v>
      </c>
      <c r="H1636" t="s">
        <v>15</v>
      </c>
    </row>
    <row r="1637" spans="1:9" x14ac:dyDescent="0.3">
      <c r="A1637" t="s">
        <v>4845</v>
      </c>
      <c r="B1637" t="s">
        <v>4846</v>
      </c>
      <c r="C1637" t="s">
        <v>19</v>
      </c>
      <c r="D1637" s="1">
        <v>45156</v>
      </c>
      <c r="E1637" t="s">
        <v>4847</v>
      </c>
      <c r="F1637" t="s">
        <v>13</v>
      </c>
      <c r="G1637" t="s">
        <v>14</v>
      </c>
      <c r="H1637" t="s">
        <v>15</v>
      </c>
    </row>
    <row r="1638" spans="1:9" x14ac:dyDescent="0.3">
      <c r="A1638" t="s">
        <v>4848</v>
      </c>
      <c r="B1638" t="s">
        <v>4849</v>
      </c>
      <c r="C1638" t="s">
        <v>69</v>
      </c>
      <c r="D1638" s="1">
        <v>45158</v>
      </c>
      <c r="E1638" t="s">
        <v>4850</v>
      </c>
      <c r="F1638" t="s">
        <v>13</v>
      </c>
      <c r="G1638" t="s">
        <v>14</v>
      </c>
      <c r="H1638" t="s">
        <v>15</v>
      </c>
      <c r="I1638" t="s">
        <v>71</v>
      </c>
    </row>
    <row r="1639" spans="1:9" x14ac:dyDescent="0.3">
      <c r="A1639" t="s">
        <v>4851</v>
      </c>
      <c r="B1639" t="s">
        <v>4852</v>
      </c>
      <c r="C1639" t="s">
        <v>24</v>
      </c>
      <c r="D1639" s="1">
        <v>45158</v>
      </c>
      <c r="E1639" t="s">
        <v>4853</v>
      </c>
      <c r="F1639" t="s">
        <v>13</v>
      </c>
      <c r="G1639" t="s">
        <v>14</v>
      </c>
      <c r="H1639" t="s">
        <v>15</v>
      </c>
      <c r="I1639" t="s">
        <v>26</v>
      </c>
    </row>
    <row r="1640" spans="1:9" x14ac:dyDescent="0.3">
      <c r="A1640" t="s">
        <v>4854</v>
      </c>
      <c r="B1640" t="s">
        <v>4855</v>
      </c>
      <c r="C1640" t="s">
        <v>45</v>
      </c>
      <c r="D1640" s="1">
        <v>45158</v>
      </c>
      <c r="E1640" t="s">
        <v>4856</v>
      </c>
      <c r="F1640" t="s">
        <v>13</v>
      </c>
      <c r="G1640" t="s">
        <v>14</v>
      </c>
      <c r="H1640" t="s">
        <v>15</v>
      </c>
      <c r="I1640" t="s">
        <v>248</v>
      </c>
    </row>
    <row r="1641" spans="1:9" x14ac:dyDescent="0.3">
      <c r="A1641" t="s">
        <v>4857</v>
      </c>
      <c r="B1641" t="s">
        <v>4858</v>
      </c>
      <c r="C1641" t="s">
        <v>11</v>
      </c>
      <c r="D1641" s="1">
        <v>45159</v>
      </c>
      <c r="E1641" t="s">
        <v>4859</v>
      </c>
      <c r="F1641" t="s">
        <v>13</v>
      </c>
      <c r="G1641" t="s">
        <v>14</v>
      </c>
      <c r="H1641" t="s">
        <v>15</v>
      </c>
      <c r="I1641" t="s">
        <v>38</v>
      </c>
    </row>
    <row r="1642" spans="1:9" x14ac:dyDescent="0.3">
      <c r="A1642" t="s">
        <v>4439</v>
      </c>
      <c r="B1642" t="s">
        <v>4860</v>
      </c>
      <c r="C1642" t="s">
        <v>19</v>
      </c>
      <c r="D1642" s="1">
        <v>45159</v>
      </c>
      <c r="E1642" t="s">
        <v>4861</v>
      </c>
      <c r="F1642" t="s">
        <v>13</v>
      </c>
      <c r="G1642" t="s">
        <v>14</v>
      </c>
      <c r="H1642" t="s">
        <v>15</v>
      </c>
      <c r="I1642" t="s">
        <v>116</v>
      </c>
    </row>
    <row r="1643" spans="1:9" x14ac:dyDescent="0.3">
      <c r="A1643" t="s">
        <v>4862</v>
      </c>
      <c r="B1643" t="s">
        <v>4863</v>
      </c>
      <c r="C1643" t="s">
        <v>11</v>
      </c>
      <c r="D1643" s="1">
        <v>45160</v>
      </c>
      <c r="E1643" t="s">
        <v>4864</v>
      </c>
      <c r="F1643" t="s">
        <v>13</v>
      </c>
      <c r="G1643" t="s">
        <v>14</v>
      </c>
      <c r="H1643" t="s">
        <v>15</v>
      </c>
      <c r="I1643" t="s">
        <v>16</v>
      </c>
    </row>
    <row r="1644" spans="1:9" x14ac:dyDescent="0.3">
      <c r="A1644" t="s">
        <v>4865</v>
      </c>
      <c r="B1644" t="s">
        <v>4866</v>
      </c>
      <c r="C1644" t="s">
        <v>24</v>
      </c>
      <c r="D1644" s="1">
        <v>45160</v>
      </c>
      <c r="E1644" t="s">
        <v>4867</v>
      </c>
      <c r="F1644" t="s">
        <v>13</v>
      </c>
      <c r="G1644" t="s">
        <v>14</v>
      </c>
      <c r="H1644" t="s">
        <v>15</v>
      </c>
      <c r="I1644" t="s">
        <v>26</v>
      </c>
    </row>
    <row r="1645" spans="1:9" x14ac:dyDescent="0.3">
      <c r="A1645" t="s">
        <v>4868</v>
      </c>
      <c r="B1645" t="s">
        <v>4869</v>
      </c>
      <c r="C1645" t="s">
        <v>11</v>
      </c>
      <c r="D1645" s="1">
        <v>45160</v>
      </c>
      <c r="E1645" t="s">
        <v>4870</v>
      </c>
      <c r="F1645" t="s">
        <v>13</v>
      </c>
      <c r="G1645" t="s">
        <v>14</v>
      </c>
      <c r="H1645" t="s">
        <v>15</v>
      </c>
      <c r="I1645" t="s">
        <v>38</v>
      </c>
    </row>
    <row r="1646" spans="1:9" x14ac:dyDescent="0.3">
      <c r="A1646" t="s">
        <v>4871</v>
      </c>
      <c r="B1646" t="s">
        <v>4872</v>
      </c>
      <c r="C1646" t="s">
        <v>29</v>
      </c>
      <c r="D1646" s="1">
        <v>45160</v>
      </c>
      <c r="E1646" t="s">
        <v>4873</v>
      </c>
      <c r="F1646" t="s">
        <v>13</v>
      </c>
      <c r="G1646" t="s">
        <v>14</v>
      </c>
      <c r="H1646" t="s">
        <v>15</v>
      </c>
    </row>
    <row r="1647" spans="1:9" x14ac:dyDescent="0.3">
      <c r="A1647" t="s">
        <v>4874</v>
      </c>
      <c r="B1647" t="s">
        <v>4875</v>
      </c>
      <c r="C1647" t="s">
        <v>29</v>
      </c>
      <c r="D1647" s="1">
        <v>45160</v>
      </c>
      <c r="E1647" t="s">
        <v>4876</v>
      </c>
      <c r="F1647" t="s">
        <v>13</v>
      </c>
      <c r="G1647" t="s">
        <v>14</v>
      </c>
      <c r="H1647" t="s">
        <v>15</v>
      </c>
      <c r="I1647" t="s">
        <v>204</v>
      </c>
    </row>
    <row r="1648" spans="1:9" x14ac:dyDescent="0.3">
      <c r="A1648" t="s">
        <v>4877</v>
      </c>
      <c r="B1648" t="s">
        <v>4878</v>
      </c>
      <c r="C1648" t="s">
        <v>33</v>
      </c>
      <c r="D1648" s="1">
        <v>45161</v>
      </c>
      <c r="E1648" t="s">
        <v>4879</v>
      </c>
      <c r="F1648" t="s">
        <v>13</v>
      </c>
      <c r="G1648" t="s">
        <v>14</v>
      </c>
      <c r="H1648" t="s">
        <v>15</v>
      </c>
    </row>
    <row r="1649" spans="1:9" x14ac:dyDescent="0.3">
      <c r="A1649" t="s">
        <v>4880</v>
      </c>
      <c r="B1649" t="s">
        <v>4881</v>
      </c>
      <c r="C1649" t="s">
        <v>69</v>
      </c>
      <c r="D1649" s="1">
        <v>45162</v>
      </c>
      <c r="E1649" t="s">
        <v>4882</v>
      </c>
      <c r="F1649" t="s">
        <v>13</v>
      </c>
      <c r="G1649" t="s">
        <v>14</v>
      </c>
      <c r="H1649" t="s">
        <v>15</v>
      </c>
      <c r="I1649" t="s">
        <v>71</v>
      </c>
    </row>
    <row r="1650" spans="1:9" x14ac:dyDescent="0.3">
      <c r="A1650" t="s">
        <v>4883</v>
      </c>
      <c r="B1650" t="s">
        <v>4884</v>
      </c>
      <c r="C1650" t="s">
        <v>11</v>
      </c>
      <c r="D1650" s="1">
        <v>45162</v>
      </c>
      <c r="E1650" t="s">
        <v>4885</v>
      </c>
      <c r="F1650" t="s">
        <v>13</v>
      </c>
      <c r="G1650" t="s">
        <v>14</v>
      </c>
      <c r="H1650" t="s">
        <v>15</v>
      </c>
      <c r="I1650" t="s">
        <v>185</v>
      </c>
    </row>
    <row r="1651" spans="1:9" x14ac:dyDescent="0.3">
      <c r="A1651" t="s">
        <v>4886</v>
      </c>
      <c r="B1651" t="s">
        <v>4887</v>
      </c>
      <c r="C1651" t="s">
        <v>19</v>
      </c>
      <c r="D1651" s="1">
        <v>45164</v>
      </c>
      <c r="E1651" t="s">
        <v>4888</v>
      </c>
      <c r="F1651" t="s">
        <v>13</v>
      </c>
      <c r="G1651" t="s">
        <v>14</v>
      </c>
      <c r="H1651" t="s">
        <v>15</v>
      </c>
    </row>
    <row r="1652" spans="1:9" x14ac:dyDescent="0.3">
      <c r="A1652" t="s">
        <v>4889</v>
      </c>
      <c r="B1652" t="s">
        <v>4890</v>
      </c>
      <c r="C1652" t="s">
        <v>24</v>
      </c>
      <c r="D1652" s="1">
        <v>45164</v>
      </c>
      <c r="E1652" t="s">
        <v>4891</v>
      </c>
      <c r="F1652" t="s">
        <v>13</v>
      </c>
      <c r="G1652" t="s">
        <v>14</v>
      </c>
      <c r="H1652" t="s">
        <v>15</v>
      </c>
    </row>
    <row r="1653" spans="1:9" x14ac:dyDescent="0.3">
      <c r="A1653" t="s">
        <v>4892</v>
      </c>
      <c r="B1653" t="s">
        <v>4893</v>
      </c>
      <c r="C1653" t="s">
        <v>24</v>
      </c>
      <c r="D1653" s="1">
        <v>45164</v>
      </c>
      <c r="E1653" t="s">
        <v>4894</v>
      </c>
      <c r="F1653" t="s">
        <v>13</v>
      </c>
      <c r="G1653" t="s">
        <v>14</v>
      </c>
      <c r="H1653" t="s">
        <v>15</v>
      </c>
      <c r="I1653" t="s">
        <v>59</v>
      </c>
    </row>
    <row r="1654" spans="1:9" x14ac:dyDescent="0.3">
      <c r="A1654" t="s">
        <v>4895</v>
      </c>
      <c r="B1654" t="s">
        <v>4896</v>
      </c>
      <c r="C1654" t="s">
        <v>45</v>
      </c>
      <c r="D1654" s="1">
        <v>45164</v>
      </c>
      <c r="E1654" t="s">
        <v>4897</v>
      </c>
      <c r="F1654" t="s">
        <v>13</v>
      </c>
      <c r="G1654" t="s">
        <v>14</v>
      </c>
      <c r="H1654" t="s">
        <v>15</v>
      </c>
      <c r="I1654" t="s">
        <v>248</v>
      </c>
    </row>
    <row r="1655" spans="1:9" x14ac:dyDescent="0.3">
      <c r="A1655" t="s">
        <v>4898</v>
      </c>
      <c r="B1655" t="s">
        <v>4899</v>
      </c>
      <c r="C1655" t="s">
        <v>54</v>
      </c>
      <c r="D1655" s="1">
        <v>45164</v>
      </c>
      <c r="E1655" t="s">
        <v>4900</v>
      </c>
      <c r="F1655" t="s">
        <v>13</v>
      </c>
      <c r="G1655" t="s">
        <v>14</v>
      </c>
      <c r="H1655" t="s">
        <v>15</v>
      </c>
    </row>
    <row r="1656" spans="1:9" x14ac:dyDescent="0.3">
      <c r="A1656" t="s">
        <v>4901</v>
      </c>
      <c r="B1656" t="s">
        <v>4902</v>
      </c>
      <c r="C1656" t="s">
        <v>11</v>
      </c>
      <c r="D1656" s="1">
        <v>45165</v>
      </c>
      <c r="E1656" t="s">
        <v>4903</v>
      </c>
      <c r="F1656" t="s">
        <v>13</v>
      </c>
      <c r="G1656" t="s">
        <v>14</v>
      </c>
      <c r="H1656" t="s">
        <v>15</v>
      </c>
    </row>
    <row r="1657" spans="1:9" x14ac:dyDescent="0.3">
      <c r="A1657" t="s">
        <v>4904</v>
      </c>
      <c r="B1657" t="s">
        <v>4905</v>
      </c>
      <c r="C1657" t="s">
        <v>19</v>
      </c>
      <c r="D1657" s="1">
        <v>45166</v>
      </c>
      <c r="E1657" t="s">
        <v>4906</v>
      </c>
      <c r="F1657" t="s">
        <v>13</v>
      </c>
      <c r="G1657" t="s">
        <v>14</v>
      </c>
      <c r="H1657" t="s">
        <v>15</v>
      </c>
    </row>
    <row r="1658" spans="1:9" x14ac:dyDescent="0.3">
      <c r="A1658" t="s">
        <v>4907</v>
      </c>
      <c r="B1658" t="s">
        <v>4908</v>
      </c>
      <c r="C1658" t="s">
        <v>54</v>
      </c>
      <c r="D1658" s="1">
        <v>45166</v>
      </c>
      <c r="E1658" t="s">
        <v>4909</v>
      </c>
      <c r="F1658" t="s">
        <v>13</v>
      </c>
      <c r="G1658" t="s">
        <v>14</v>
      </c>
      <c r="H1658" t="s">
        <v>15</v>
      </c>
      <c r="I1658" t="s">
        <v>181</v>
      </c>
    </row>
    <row r="1659" spans="1:9" x14ac:dyDescent="0.3">
      <c r="A1659" t="s">
        <v>4910</v>
      </c>
      <c r="B1659" t="s">
        <v>4911</v>
      </c>
      <c r="C1659" t="s">
        <v>54</v>
      </c>
      <c r="D1659" s="1">
        <v>45166</v>
      </c>
      <c r="E1659" t="s">
        <v>4912</v>
      </c>
      <c r="F1659" t="s">
        <v>13</v>
      </c>
      <c r="G1659" t="s">
        <v>14</v>
      </c>
      <c r="H1659" t="s">
        <v>15</v>
      </c>
      <c r="I1659" t="s">
        <v>238</v>
      </c>
    </row>
    <row r="1660" spans="1:9" x14ac:dyDescent="0.3">
      <c r="A1660" t="s">
        <v>4913</v>
      </c>
      <c r="B1660" t="s">
        <v>4914</v>
      </c>
      <c r="C1660" t="s">
        <v>33</v>
      </c>
      <c r="D1660" s="1">
        <v>45168</v>
      </c>
      <c r="E1660" t="s">
        <v>4915</v>
      </c>
      <c r="F1660" t="s">
        <v>13</v>
      </c>
      <c r="G1660" t="s">
        <v>14</v>
      </c>
      <c r="H1660" t="s">
        <v>15</v>
      </c>
      <c r="I1660" t="s">
        <v>94</v>
      </c>
    </row>
    <row r="1661" spans="1:9" x14ac:dyDescent="0.3">
      <c r="A1661" t="s">
        <v>4916</v>
      </c>
      <c r="B1661" t="s">
        <v>4917</v>
      </c>
      <c r="C1661" t="s">
        <v>11</v>
      </c>
      <c r="D1661" s="1">
        <v>45168</v>
      </c>
      <c r="E1661" t="s">
        <v>4918</v>
      </c>
      <c r="F1661" t="s">
        <v>13</v>
      </c>
      <c r="G1661" t="s">
        <v>14</v>
      </c>
      <c r="H1661" t="s">
        <v>15</v>
      </c>
      <c r="I1661" t="s">
        <v>38</v>
      </c>
    </row>
    <row r="1662" spans="1:9" x14ac:dyDescent="0.3">
      <c r="A1662" t="s">
        <v>4919</v>
      </c>
      <c r="B1662" t="s">
        <v>4920</v>
      </c>
      <c r="C1662" t="s">
        <v>54</v>
      </c>
      <c r="D1662" s="1">
        <v>45169</v>
      </c>
      <c r="E1662" t="s">
        <v>4921</v>
      </c>
      <c r="F1662" t="s">
        <v>13</v>
      </c>
      <c r="G1662" t="s">
        <v>14</v>
      </c>
      <c r="H1662" t="s">
        <v>15</v>
      </c>
      <c r="I1662" t="s">
        <v>181</v>
      </c>
    </row>
    <row r="1663" spans="1:9" x14ac:dyDescent="0.3">
      <c r="A1663" t="s">
        <v>4922</v>
      </c>
      <c r="B1663" t="s">
        <v>4923</v>
      </c>
      <c r="C1663" t="s">
        <v>24</v>
      </c>
      <c r="D1663" s="1">
        <v>45170</v>
      </c>
      <c r="E1663" t="s">
        <v>4924</v>
      </c>
      <c r="F1663" t="s">
        <v>13</v>
      </c>
      <c r="G1663" t="s">
        <v>14</v>
      </c>
      <c r="H1663" t="s">
        <v>15</v>
      </c>
      <c r="I1663" t="s">
        <v>63</v>
      </c>
    </row>
    <row r="1664" spans="1:9" x14ac:dyDescent="0.3">
      <c r="A1664" t="s">
        <v>4925</v>
      </c>
      <c r="B1664" t="s">
        <v>4926</v>
      </c>
      <c r="C1664" t="s">
        <v>33</v>
      </c>
      <c r="D1664" s="1">
        <v>45170</v>
      </c>
      <c r="E1664" t="s">
        <v>4927</v>
      </c>
      <c r="F1664" t="s">
        <v>13</v>
      </c>
      <c r="G1664" t="s">
        <v>14</v>
      </c>
      <c r="H1664" t="s">
        <v>15</v>
      </c>
      <c r="I1664" t="s">
        <v>94</v>
      </c>
    </row>
    <row r="1665" spans="1:9" x14ac:dyDescent="0.3">
      <c r="A1665" t="s">
        <v>4480</v>
      </c>
      <c r="B1665" t="s">
        <v>4928</v>
      </c>
      <c r="C1665" t="s">
        <v>19</v>
      </c>
      <c r="D1665" s="1">
        <v>45171</v>
      </c>
      <c r="E1665" t="s">
        <v>4929</v>
      </c>
      <c r="F1665" t="s">
        <v>13</v>
      </c>
      <c r="G1665" t="s">
        <v>14</v>
      </c>
      <c r="H1665" t="s">
        <v>15</v>
      </c>
    </row>
    <row r="1666" spans="1:9" x14ac:dyDescent="0.3">
      <c r="A1666" t="s">
        <v>4930</v>
      </c>
      <c r="B1666" t="s">
        <v>4931</v>
      </c>
      <c r="C1666" t="s">
        <v>24</v>
      </c>
      <c r="D1666" s="1">
        <v>45171</v>
      </c>
      <c r="E1666" t="s">
        <v>4932</v>
      </c>
      <c r="F1666" t="s">
        <v>13</v>
      </c>
      <c r="G1666" t="s">
        <v>14</v>
      </c>
      <c r="H1666" t="s">
        <v>15</v>
      </c>
      <c r="I1666" t="s">
        <v>63</v>
      </c>
    </row>
    <row r="1667" spans="1:9" x14ac:dyDescent="0.3">
      <c r="A1667" t="s">
        <v>4933</v>
      </c>
      <c r="B1667" t="s">
        <v>4934</v>
      </c>
      <c r="C1667" t="s">
        <v>54</v>
      </c>
      <c r="D1667" s="1">
        <v>45171</v>
      </c>
      <c r="E1667" t="s">
        <v>4935</v>
      </c>
      <c r="F1667" t="s">
        <v>13</v>
      </c>
      <c r="G1667" t="s">
        <v>174</v>
      </c>
      <c r="H1667" t="s">
        <v>15</v>
      </c>
    </row>
    <row r="1668" spans="1:9" x14ac:dyDescent="0.3">
      <c r="A1668" t="s">
        <v>4936</v>
      </c>
      <c r="B1668" t="s">
        <v>4937</v>
      </c>
      <c r="C1668" t="s">
        <v>11</v>
      </c>
      <c r="D1668" s="1">
        <v>45171</v>
      </c>
      <c r="E1668" t="s">
        <v>4938</v>
      </c>
      <c r="F1668" t="s">
        <v>13</v>
      </c>
      <c r="G1668" t="s">
        <v>14</v>
      </c>
      <c r="H1668" t="s">
        <v>15</v>
      </c>
      <c r="I1668" t="s">
        <v>38</v>
      </c>
    </row>
    <row r="1669" spans="1:9" x14ac:dyDescent="0.3">
      <c r="A1669" t="s">
        <v>4939</v>
      </c>
      <c r="B1669" t="s">
        <v>4940</v>
      </c>
      <c r="C1669" t="s">
        <v>45</v>
      </c>
      <c r="D1669" s="1">
        <v>45172</v>
      </c>
      <c r="E1669" t="s">
        <v>4941</v>
      </c>
      <c r="F1669" t="s">
        <v>13</v>
      </c>
      <c r="G1669" t="s">
        <v>14</v>
      </c>
      <c r="H1669" t="s">
        <v>15</v>
      </c>
      <c r="I1669" t="s">
        <v>47</v>
      </c>
    </row>
    <row r="1670" spans="1:9" x14ac:dyDescent="0.3">
      <c r="A1670" t="s">
        <v>4942</v>
      </c>
      <c r="B1670" t="s">
        <v>4943</v>
      </c>
      <c r="C1670" t="s">
        <v>33</v>
      </c>
      <c r="D1670" s="1">
        <v>45172</v>
      </c>
      <c r="E1670" t="s">
        <v>4944</v>
      </c>
      <c r="F1670" t="s">
        <v>13</v>
      </c>
      <c r="G1670" t="s">
        <v>14</v>
      </c>
      <c r="H1670" t="s">
        <v>15</v>
      </c>
      <c r="I1670" t="s">
        <v>94</v>
      </c>
    </row>
    <row r="1671" spans="1:9" x14ac:dyDescent="0.3">
      <c r="A1671" t="s">
        <v>4945</v>
      </c>
      <c r="B1671" t="s">
        <v>4946</v>
      </c>
      <c r="C1671" t="s">
        <v>69</v>
      </c>
      <c r="D1671" s="1">
        <v>45173</v>
      </c>
      <c r="E1671" t="s">
        <v>4947</v>
      </c>
      <c r="F1671" t="s">
        <v>13</v>
      </c>
      <c r="G1671" t="s">
        <v>14</v>
      </c>
      <c r="H1671" t="s">
        <v>15</v>
      </c>
      <c r="I1671" t="s">
        <v>71</v>
      </c>
    </row>
    <row r="1672" spans="1:9" x14ac:dyDescent="0.3">
      <c r="A1672" t="s">
        <v>4948</v>
      </c>
      <c r="B1672" t="s">
        <v>4949</v>
      </c>
      <c r="C1672" t="s">
        <v>54</v>
      </c>
      <c r="D1672" s="1">
        <v>45173</v>
      </c>
      <c r="E1672" t="s">
        <v>4950</v>
      </c>
      <c r="F1672" t="s">
        <v>13</v>
      </c>
      <c r="G1672" t="s">
        <v>14</v>
      </c>
      <c r="H1672" t="s">
        <v>15</v>
      </c>
      <c r="I1672" t="s">
        <v>238</v>
      </c>
    </row>
    <row r="1673" spans="1:9" x14ac:dyDescent="0.3">
      <c r="A1673" t="s">
        <v>4951</v>
      </c>
      <c r="B1673" t="s">
        <v>4952</v>
      </c>
      <c r="C1673" t="s">
        <v>24</v>
      </c>
      <c r="D1673" s="1">
        <v>45173</v>
      </c>
      <c r="E1673" t="s">
        <v>4953</v>
      </c>
      <c r="F1673" t="s">
        <v>13</v>
      </c>
      <c r="G1673" t="s">
        <v>14</v>
      </c>
      <c r="H1673" t="s">
        <v>15</v>
      </c>
    </row>
    <row r="1674" spans="1:9" x14ac:dyDescent="0.3">
      <c r="A1674" t="s">
        <v>4954</v>
      </c>
      <c r="B1674" t="s">
        <v>4955</v>
      </c>
      <c r="C1674" t="s">
        <v>29</v>
      </c>
      <c r="D1674" s="1">
        <v>45174</v>
      </c>
      <c r="E1674" t="s">
        <v>4956</v>
      </c>
      <c r="F1674" t="s">
        <v>13</v>
      </c>
      <c r="G1674" t="s">
        <v>14</v>
      </c>
      <c r="H1674" t="s">
        <v>15</v>
      </c>
      <c r="I1674" t="s">
        <v>81</v>
      </c>
    </row>
    <row r="1675" spans="1:9" x14ac:dyDescent="0.3">
      <c r="A1675" t="s">
        <v>4957</v>
      </c>
      <c r="B1675" t="s">
        <v>4958</v>
      </c>
      <c r="C1675" t="s">
        <v>29</v>
      </c>
      <c r="D1675" s="1">
        <v>45174</v>
      </c>
      <c r="E1675" t="s">
        <v>4959</v>
      </c>
      <c r="F1675" t="s">
        <v>13</v>
      </c>
      <c r="G1675" t="s">
        <v>14</v>
      </c>
      <c r="H1675" t="s">
        <v>15</v>
      </c>
      <c r="I1675" t="s">
        <v>81</v>
      </c>
    </row>
    <row r="1676" spans="1:9" x14ac:dyDescent="0.3">
      <c r="A1676" t="s">
        <v>4960</v>
      </c>
      <c r="B1676" t="s">
        <v>4961</v>
      </c>
      <c r="C1676" t="s">
        <v>54</v>
      </c>
      <c r="D1676" s="1">
        <v>45174</v>
      </c>
      <c r="E1676" t="s">
        <v>4962</v>
      </c>
      <c r="F1676" t="s">
        <v>13</v>
      </c>
      <c r="G1676" t="s">
        <v>14</v>
      </c>
      <c r="H1676" t="s">
        <v>15</v>
      </c>
    </row>
    <row r="1677" spans="1:9" x14ac:dyDescent="0.3">
      <c r="A1677" t="s">
        <v>4963</v>
      </c>
      <c r="B1677" t="s">
        <v>4964</v>
      </c>
      <c r="C1677" t="s">
        <v>69</v>
      </c>
      <c r="D1677" s="1">
        <v>45174</v>
      </c>
      <c r="E1677" t="s">
        <v>4965</v>
      </c>
      <c r="F1677" t="s">
        <v>13</v>
      </c>
      <c r="G1677" t="s">
        <v>14</v>
      </c>
      <c r="H1677" t="s">
        <v>15</v>
      </c>
      <c r="I1677" t="s">
        <v>71</v>
      </c>
    </row>
    <row r="1678" spans="1:9" x14ac:dyDescent="0.3">
      <c r="A1678" t="s">
        <v>4966</v>
      </c>
      <c r="B1678" t="s">
        <v>4967</v>
      </c>
      <c r="C1678" t="s">
        <v>29</v>
      </c>
      <c r="D1678" s="1">
        <v>45174</v>
      </c>
      <c r="E1678" t="s">
        <v>4968</v>
      </c>
      <c r="F1678" t="s">
        <v>13</v>
      </c>
      <c r="G1678" t="s">
        <v>14</v>
      </c>
      <c r="H1678" t="s">
        <v>15</v>
      </c>
      <c r="I1678" t="s">
        <v>42</v>
      </c>
    </row>
    <row r="1679" spans="1:9" x14ac:dyDescent="0.3">
      <c r="A1679" t="s">
        <v>4969</v>
      </c>
      <c r="B1679" t="s">
        <v>4970</v>
      </c>
      <c r="C1679" t="s">
        <v>33</v>
      </c>
      <c r="D1679" s="1">
        <v>45176</v>
      </c>
      <c r="E1679" t="s">
        <v>4971</v>
      </c>
      <c r="F1679" t="s">
        <v>13</v>
      </c>
      <c r="G1679" t="s">
        <v>14</v>
      </c>
      <c r="H1679" t="s">
        <v>15</v>
      </c>
      <c r="I1679" t="s">
        <v>51</v>
      </c>
    </row>
    <row r="1680" spans="1:9" x14ac:dyDescent="0.3">
      <c r="A1680" t="s">
        <v>4972</v>
      </c>
      <c r="B1680" t="s">
        <v>4973</v>
      </c>
      <c r="C1680" t="s">
        <v>45</v>
      </c>
      <c r="D1680" s="1">
        <v>45176</v>
      </c>
      <c r="E1680" t="s">
        <v>4974</v>
      </c>
      <c r="F1680" t="s">
        <v>13</v>
      </c>
      <c r="G1680" t="s">
        <v>14</v>
      </c>
      <c r="H1680" t="s">
        <v>15</v>
      </c>
    </row>
    <row r="1681" spans="1:9" x14ac:dyDescent="0.3">
      <c r="A1681" t="s">
        <v>4975</v>
      </c>
      <c r="B1681" t="s">
        <v>4976</v>
      </c>
      <c r="C1681" t="s">
        <v>45</v>
      </c>
      <c r="D1681" s="1">
        <v>45176</v>
      </c>
      <c r="E1681" t="s">
        <v>4977</v>
      </c>
      <c r="F1681" t="s">
        <v>13</v>
      </c>
      <c r="G1681" t="s">
        <v>14</v>
      </c>
      <c r="H1681" t="s">
        <v>15</v>
      </c>
      <c r="I1681" t="s">
        <v>47</v>
      </c>
    </row>
    <row r="1682" spans="1:9" x14ac:dyDescent="0.3">
      <c r="A1682" t="s">
        <v>4978</v>
      </c>
      <c r="B1682" t="s">
        <v>4979</v>
      </c>
      <c r="C1682" t="s">
        <v>29</v>
      </c>
      <c r="D1682" s="1">
        <v>45177</v>
      </c>
      <c r="E1682" t="s">
        <v>4980</v>
      </c>
      <c r="F1682" t="s">
        <v>13</v>
      </c>
      <c r="G1682" t="s">
        <v>14</v>
      </c>
      <c r="H1682" t="s">
        <v>15</v>
      </c>
      <c r="I1682" t="s">
        <v>204</v>
      </c>
    </row>
    <row r="1683" spans="1:9" x14ac:dyDescent="0.3">
      <c r="A1683" t="s">
        <v>4981</v>
      </c>
      <c r="B1683" t="s">
        <v>4982</v>
      </c>
      <c r="C1683" t="s">
        <v>29</v>
      </c>
      <c r="D1683" s="1">
        <v>45177</v>
      </c>
      <c r="E1683" t="s">
        <v>4983</v>
      </c>
      <c r="F1683" t="s">
        <v>13</v>
      </c>
      <c r="G1683" t="s">
        <v>14</v>
      </c>
      <c r="H1683" t="s">
        <v>15</v>
      </c>
      <c r="I1683" t="s">
        <v>42</v>
      </c>
    </row>
    <row r="1684" spans="1:9" x14ac:dyDescent="0.3">
      <c r="A1684" t="s">
        <v>4984</v>
      </c>
      <c r="B1684" t="s">
        <v>4985</v>
      </c>
      <c r="C1684" t="s">
        <v>54</v>
      </c>
      <c r="D1684" s="1">
        <v>45177</v>
      </c>
      <c r="E1684" t="s">
        <v>4986</v>
      </c>
      <c r="F1684" t="s">
        <v>13</v>
      </c>
      <c r="G1684" t="s">
        <v>14</v>
      </c>
      <c r="H1684" t="s">
        <v>15</v>
      </c>
      <c r="I1684" t="s">
        <v>238</v>
      </c>
    </row>
    <row r="1685" spans="1:9" x14ac:dyDescent="0.3">
      <c r="A1685" t="s">
        <v>4987</v>
      </c>
      <c r="B1685" t="s">
        <v>4988</v>
      </c>
      <c r="C1685" t="s">
        <v>24</v>
      </c>
      <c r="D1685" s="1">
        <v>45178</v>
      </c>
      <c r="E1685" t="s">
        <v>4989</v>
      </c>
      <c r="F1685" t="s">
        <v>13</v>
      </c>
      <c r="G1685" t="s">
        <v>14</v>
      </c>
      <c r="H1685" t="s">
        <v>15</v>
      </c>
      <c r="I1685" t="s">
        <v>26</v>
      </c>
    </row>
    <row r="1686" spans="1:9" x14ac:dyDescent="0.3">
      <c r="A1686" t="s">
        <v>4990</v>
      </c>
      <c r="B1686" t="s">
        <v>4991</v>
      </c>
      <c r="C1686" t="s">
        <v>11</v>
      </c>
      <c r="D1686" s="1">
        <v>45178</v>
      </c>
      <c r="E1686" t="s">
        <v>4992</v>
      </c>
      <c r="F1686" t="s">
        <v>13</v>
      </c>
      <c r="G1686" t="s">
        <v>14</v>
      </c>
      <c r="H1686" t="s">
        <v>15</v>
      </c>
      <c r="I1686" t="s">
        <v>16</v>
      </c>
    </row>
    <row r="1687" spans="1:9" x14ac:dyDescent="0.3">
      <c r="A1687" t="s">
        <v>4993</v>
      </c>
      <c r="B1687" t="s">
        <v>4994</v>
      </c>
      <c r="C1687" t="s">
        <v>69</v>
      </c>
      <c r="D1687" s="1">
        <v>45179</v>
      </c>
      <c r="E1687" t="s">
        <v>4995</v>
      </c>
      <c r="F1687" t="s">
        <v>13</v>
      </c>
      <c r="G1687" t="s">
        <v>14</v>
      </c>
      <c r="H1687" t="s">
        <v>15</v>
      </c>
    </row>
    <row r="1688" spans="1:9" x14ac:dyDescent="0.3">
      <c r="A1688" t="s">
        <v>4996</v>
      </c>
      <c r="B1688" t="s">
        <v>4997</v>
      </c>
      <c r="C1688" t="s">
        <v>29</v>
      </c>
      <c r="D1688" s="1">
        <v>45179</v>
      </c>
      <c r="E1688" t="s">
        <v>4998</v>
      </c>
      <c r="F1688" t="s">
        <v>13</v>
      </c>
      <c r="G1688" t="s">
        <v>14</v>
      </c>
      <c r="H1688" t="s">
        <v>15</v>
      </c>
      <c r="I1688" t="s">
        <v>81</v>
      </c>
    </row>
    <row r="1689" spans="1:9" x14ac:dyDescent="0.3">
      <c r="A1689" t="s">
        <v>4999</v>
      </c>
      <c r="B1689" t="s">
        <v>5000</v>
      </c>
      <c r="C1689" t="s">
        <v>54</v>
      </c>
      <c r="D1689" s="1">
        <v>45179</v>
      </c>
      <c r="E1689" t="s">
        <v>5001</v>
      </c>
      <c r="F1689" t="s">
        <v>13</v>
      </c>
      <c r="G1689" t="s">
        <v>14</v>
      </c>
      <c r="H1689" t="s">
        <v>15</v>
      </c>
      <c r="I1689" t="s">
        <v>238</v>
      </c>
    </row>
    <row r="1690" spans="1:9" x14ac:dyDescent="0.3">
      <c r="A1690" t="s">
        <v>5002</v>
      </c>
      <c r="B1690" t="s">
        <v>5003</v>
      </c>
      <c r="C1690" t="s">
        <v>54</v>
      </c>
      <c r="D1690" s="1">
        <v>45179</v>
      </c>
      <c r="E1690" t="s">
        <v>5004</v>
      </c>
      <c r="F1690" t="s">
        <v>13</v>
      </c>
      <c r="G1690" t="s">
        <v>14</v>
      </c>
      <c r="H1690" t="s">
        <v>15</v>
      </c>
      <c r="I1690" t="s">
        <v>238</v>
      </c>
    </row>
    <row r="1691" spans="1:9" x14ac:dyDescent="0.3">
      <c r="A1691" t="s">
        <v>5005</v>
      </c>
      <c r="B1691" t="s">
        <v>5006</v>
      </c>
      <c r="C1691" t="s">
        <v>33</v>
      </c>
      <c r="D1691" s="1">
        <v>45181</v>
      </c>
      <c r="E1691" t="s">
        <v>5007</v>
      </c>
      <c r="F1691" t="s">
        <v>13</v>
      </c>
      <c r="G1691" t="s">
        <v>14</v>
      </c>
      <c r="H1691" t="s">
        <v>15</v>
      </c>
      <c r="I1691" t="s">
        <v>94</v>
      </c>
    </row>
    <row r="1692" spans="1:9" x14ac:dyDescent="0.3">
      <c r="A1692" t="s">
        <v>4780</v>
      </c>
      <c r="B1692" t="s">
        <v>5008</v>
      </c>
      <c r="C1692" t="s">
        <v>19</v>
      </c>
      <c r="D1692" s="1">
        <v>45181</v>
      </c>
      <c r="E1692" t="s">
        <v>5009</v>
      </c>
      <c r="F1692" t="s">
        <v>13</v>
      </c>
      <c r="G1692" t="s">
        <v>14</v>
      </c>
      <c r="H1692" t="s">
        <v>15</v>
      </c>
      <c r="I1692" t="s">
        <v>21</v>
      </c>
    </row>
    <row r="1693" spans="1:9" x14ac:dyDescent="0.3">
      <c r="A1693" t="s">
        <v>5010</v>
      </c>
      <c r="B1693" t="s">
        <v>5011</v>
      </c>
      <c r="C1693" t="s">
        <v>54</v>
      </c>
      <c r="D1693" s="1">
        <v>45182</v>
      </c>
      <c r="E1693" t="s">
        <v>5012</v>
      </c>
      <c r="F1693" t="s">
        <v>13</v>
      </c>
      <c r="G1693" t="s">
        <v>14</v>
      </c>
      <c r="H1693" t="s">
        <v>15</v>
      </c>
      <c r="I1693" t="s">
        <v>181</v>
      </c>
    </row>
    <row r="1694" spans="1:9" x14ac:dyDescent="0.3">
      <c r="A1694" t="s">
        <v>5013</v>
      </c>
      <c r="B1694" t="s">
        <v>5014</v>
      </c>
      <c r="C1694" t="s">
        <v>45</v>
      </c>
      <c r="D1694" s="1">
        <v>45182</v>
      </c>
      <c r="E1694" t="s">
        <v>5015</v>
      </c>
      <c r="F1694" t="s">
        <v>13</v>
      </c>
      <c r="G1694" t="s">
        <v>14</v>
      </c>
      <c r="H1694" t="s">
        <v>15</v>
      </c>
      <c r="I1694" t="s">
        <v>47</v>
      </c>
    </row>
    <row r="1695" spans="1:9" x14ac:dyDescent="0.3">
      <c r="A1695" t="s">
        <v>5016</v>
      </c>
      <c r="B1695" t="s">
        <v>5017</v>
      </c>
      <c r="C1695" t="s">
        <v>24</v>
      </c>
      <c r="D1695" s="1">
        <v>45182</v>
      </c>
      <c r="E1695" t="s">
        <v>5018</v>
      </c>
      <c r="F1695" t="s">
        <v>13</v>
      </c>
      <c r="G1695" t="s">
        <v>14</v>
      </c>
      <c r="H1695" t="s">
        <v>15</v>
      </c>
    </row>
    <row r="1696" spans="1:9" x14ac:dyDescent="0.3">
      <c r="A1696" t="s">
        <v>5019</v>
      </c>
      <c r="B1696" t="s">
        <v>5020</v>
      </c>
      <c r="C1696" t="s">
        <v>69</v>
      </c>
      <c r="D1696" s="1">
        <v>45182</v>
      </c>
      <c r="E1696" t="s">
        <v>5021</v>
      </c>
      <c r="F1696" t="s">
        <v>13</v>
      </c>
      <c r="G1696" t="s">
        <v>14</v>
      </c>
      <c r="H1696" t="s">
        <v>15</v>
      </c>
    </row>
    <row r="1697" spans="1:9" x14ac:dyDescent="0.3">
      <c r="A1697" t="s">
        <v>5022</v>
      </c>
      <c r="B1697" t="s">
        <v>5023</v>
      </c>
      <c r="C1697" t="s">
        <v>33</v>
      </c>
      <c r="D1697" s="1">
        <v>45182</v>
      </c>
      <c r="E1697" t="s">
        <v>5024</v>
      </c>
      <c r="F1697" t="s">
        <v>13</v>
      </c>
      <c r="G1697" t="s">
        <v>14</v>
      </c>
      <c r="H1697" t="s">
        <v>15</v>
      </c>
    </row>
    <row r="1698" spans="1:9" x14ac:dyDescent="0.3">
      <c r="A1698" t="s">
        <v>5025</v>
      </c>
      <c r="B1698" t="s">
        <v>5026</v>
      </c>
      <c r="C1698" t="s">
        <v>69</v>
      </c>
      <c r="D1698" s="1">
        <v>45183</v>
      </c>
      <c r="E1698" t="s">
        <v>5027</v>
      </c>
      <c r="F1698" t="s">
        <v>13</v>
      </c>
      <c r="G1698" t="s">
        <v>14</v>
      </c>
      <c r="H1698" t="s">
        <v>15</v>
      </c>
      <c r="I1698" t="s">
        <v>71</v>
      </c>
    </row>
    <row r="1699" spans="1:9" x14ac:dyDescent="0.3">
      <c r="A1699" t="s">
        <v>3518</v>
      </c>
      <c r="B1699" t="s">
        <v>5028</v>
      </c>
      <c r="C1699" t="s">
        <v>19</v>
      </c>
      <c r="D1699" s="1">
        <v>45183</v>
      </c>
      <c r="E1699" t="s">
        <v>5029</v>
      </c>
      <c r="F1699" t="s">
        <v>13</v>
      </c>
      <c r="G1699" t="s">
        <v>14</v>
      </c>
      <c r="H1699" t="s">
        <v>15</v>
      </c>
      <c r="I1699" t="s">
        <v>116</v>
      </c>
    </row>
    <row r="1700" spans="1:9" x14ac:dyDescent="0.3">
      <c r="A1700" t="s">
        <v>5030</v>
      </c>
      <c r="B1700" t="s">
        <v>5031</v>
      </c>
      <c r="C1700" t="s">
        <v>54</v>
      </c>
      <c r="D1700" s="1">
        <v>45183</v>
      </c>
      <c r="E1700" t="s">
        <v>5032</v>
      </c>
      <c r="F1700" t="s">
        <v>13</v>
      </c>
      <c r="G1700" t="s">
        <v>14</v>
      </c>
      <c r="H1700" t="s">
        <v>15</v>
      </c>
    </row>
    <row r="1701" spans="1:9" x14ac:dyDescent="0.3">
      <c r="A1701" t="s">
        <v>5033</v>
      </c>
      <c r="B1701" t="s">
        <v>5034</v>
      </c>
      <c r="C1701" t="s">
        <v>24</v>
      </c>
      <c r="D1701" s="1">
        <v>45183</v>
      </c>
      <c r="E1701" t="s">
        <v>5035</v>
      </c>
      <c r="F1701" t="s">
        <v>13</v>
      </c>
      <c r="G1701" t="s">
        <v>14</v>
      </c>
      <c r="H1701" t="s">
        <v>15</v>
      </c>
      <c r="I1701" t="s">
        <v>26</v>
      </c>
    </row>
    <row r="1702" spans="1:9" x14ac:dyDescent="0.3">
      <c r="A1702" t="s">
        <v>5036</v>
      </c>
      <c r="B1702" t="s">
        <v>5037</v>
      </c>
      <c r="C1702" t="s">
        <v>45</v>
      </c>
      <c r="D1702" s="1">
        <v>45184</v>
      </c>
      <c r="E1702" t="s">
        <v>5038</v>
      </c>
      <c r="F1702" t="s">
        <v>13</v>
      </c>
      <c r="G1702" t="s">
        <v>14</v>
      </c>
      <c r="H1702" t="s">
        <v>15</v>
      </c>
      <c r="I1702" t="s">
        <v>47</v>
      </c>
    </row>
    <row r="1703" spans="1:9" x14ac:dyDescent="0.3">
      <c r="A1703" t="s">
        <v>5039</v>
      </c>
      <c r="B1703" t="s">
        <v>5040</v>
      </c>
      <c r="C1703" t="s">
        <v>29</v>
      </c>
      <c r="D1703" s="1">
        <v>45184</v>
      </c>
      <c r="E1703" t="s">
        <v>5041</v>
      </c>
      <c r="F1703" t="s">
        <v>13</v>
      </c>
      <c r="G1703" t="s">
        <v>14</v>
      </c>
      <c r="H1703" t="s">
        <v>15</v>
      </c>
      <c r="I1703" t="s">
        <v>81</v>
      </c>
    </row>
    <row r="1704" spans="1:9" x14ac:dyDescent="0.3">
      <c r="A1704" t="s">
        <v>5042</v>
      </c>
      <c r="B1704" t="s">
        <v>5043</v>
      </c>
      <c r="C1704" t="s">
        <v>24</v>
      </c>
      <c r="D1704" s="1">
        <v>45184</v>
      </c>
      <c r="E1704" t="s">
        <v>5044</v>
      </c>
      <c r="F1704" t="s">
        <v>13</v>
      </c>
      <c r="G1704" t="s">
        <v>14</v>
      </c>
      <c r="H1704" t="s">
        <v>15</v>
      </c>
      <c r="I1704" t="s">
        <v>63</v>
      </c>
    </row>
    <row r="1705" spans="1:9" x14ac:dyDescent="0.3">
      <c r="A1705" t="s">
        <v>3092</v>
      </c>
      <c r="B1705" t="s">
        <v>5045</v>
      </c>
      <c r="C1705" t="s">
        <v>19</v>
      </c>
      <c r="D1705" s="1">
        <v>45185</v>
      </c>
      <c r="E1705" t="s">
        <v>5046</v>
      </c>
      <c r="F1705" t="s">
        <v>13</v>
      </c>
      <c r="G1705" t="s">
        <v>14</v>
      </c>
      <c r="H1705" t="s">
        <v>15</v>
      </c>
      <c r="I1705" t="s">
        <v>116</v>
      </c>
    </row>
    <row r="1706" spans="1:9" x14ac:dyDescent="0.3">
      <c r="A1706" t="s">
        <v>5047</v>
      </c>
      <c r="B1706" t="s">
        <v>5048</v>
      </c>
      <c r="C1706" t="s">
        <v>69</v>
      </c>
      <c r="D1706" s="1">
        <v>45185</v>
      </c>
      <c r="E1706" t="s">
        <v>5049</v>
      </c>
      <c r="F1706" t="s">
        <v>13</v>
      </c>
      <c r="G1706" t="s">
        <v>14</v>
      </c>
      <c r="H1706" t="s">
        <v>15</v>
      </c>
    </row>
    <row r="1707" spans="1:9" x14ac:dyDescent="0.3">
      <c r="A1707" t="s">
        <v>5050</v>
      </c>
      <c r="B1707" t="s">
        <v>5051</v>
      </c>
      <c r="C1707" t="s">
        <v>29</v>
      </c>
      <c r="D1707" s="1">
        <v>45185</v>
      </c>
      <c r="E1707" t="s">
        <v>5052</v>
      </c>
      <c r="F1707" t="s">
        <v>13</v>
      </c>
      <c r="G1707" t="s">
        <v>14</v>
      </c>
      <c r="H1707" t="s">
        <v>15</v>
      </c>
      <c r="I1707" t="s">
        <v>81</v>
      </c>
    </row>
    <row r="1708" spans="1:9" x14ac:dyDescent="0.3">
      <c r="A1708" t="s">
        <v>5053</v>
      </c>
      <c r="B1708" t="s">
        <v>5054</v>
      </c>
      <c r="C1708" t="s">
        <v>29</v>
      </c>
      <c r="D1708" s="1">
        <v>45186</v>
      </c>
      <c r="E1708" t="s">
        <v>5055</v>
      </c>
      <c r="F1708" t="s">
        <v>13</v>
      </c>
      <c r="G1708" t="s">
        <v>14</v>
      </c>
      <c r="H1708" t="s">
        <v>15</v>
      </c>
      <c r="I1708" t="s">
        <v>81</v>
      </c>
    </row>
    <row r="1709" spans="1:9" x14ac:dyDescent="0.3">
      <c r="A1709" t="s">
        <v>5056</v>
      </c>
      <c r="B1709" t="s">
        <v>5057</v>
      </c>
      <c r="C1709" t="s">
        <v>29</v>
      </c>
      <c r="D1709" s="1">
        <v>45187</v>
      </c>
      <c r="E1709" t="s">
        <v>5058</v>
      </c>
      <c r="F1709" t="s">
        <v>13</v>
      </c>
      <c r="G1709" t="s">
        <v>14</v>
      </c>
      <c r="H1709" t="s">
        <v>15</v>
      </c>
    </row>
    <row r="1710" spans="1:9" x14ac:dyDescent="0.3">
      <c r="A1710" t="s">
        <v>5059</v>
      </c>
      <c r="B1710" t="s">
        <v>5060</v>
      </c>
      <c r="C1710" t="s">
        <v>24</v>
      </c>
      <c r="D1710" s="1">
        <v>45187</v>
      </c>
      <c r="E1710" t="s">
        <v>5061</v>
      </c>
      <c r="F1710" t="s">
        <v>13</v>
      </c>
      <c r="G1710" t="s">
        <v>14</v>
      </c>
      <c r="H1710" t="s">
        <v>15</v>
      </c>
    </row>
    <row r="1711" spans="1:9" x14ac:dyDescent="0.3">
      <c r="A1711" t="s">
        <v>5062</v>
      </c>
      <c r="B1711" t="s">
        <v>5063</v>
      </c>
      <c r="C1711" t="s">
        <v>33</v>
      </c>
      <c r="D1711" s="1">
        <v>45189</v>
      </c>
      <c r="E1711" t="s">
        <v>5064</v>
      </c>
      <c r="F1711" t="s">
        <v>13</v>
      </c>
      <c r="G1711" t="s">
        <v>174</v>
      </c>
      <c r="H1711" t="s">
        <v>15</v>
      </c>
      <c r="I1711" t="s">
        <v>94</v>
      </c>
    </row>
    <row r="1712" spans="1:9" x14ac:dyDescent="0.3">
      <c r="A1712" t="s">
        <v>5065</v>
      </c>
      <c r="B1712" t="s">
        <v>5066</v>
      </c>
      <c r="C1712" t="s">
        <v>33</v>
      </c>
      <c r="D1712" s="1">
        <v>45189</v>
      </c>
      <c r="E1712" t="s">
        <v>5067</v>
      </c>
      <c r="F1712" t="s">
        <v>13</v>
      </c>
      <c r="G1712" t="s">
        <v>14</v>
      </c>
      <c r="H1712" t="s">
        <v>15</v>
      </c>
      <c r="I1712" t="s">
        <v>94</v>
      </c>
    </row>
    <row r="1713" spans="1:9" x14ac:dyDescent="0.3">
      <c r="A1713" t="s">
        <v>5068</v>
      </c>
      <c r="B1713" t="s">
        <v>5069</v>
      </c>
      <c r="C1713" t="s">
        <v>11</v>
      </c>
      <c r="D1713" s="1">
        <v>45190</v>
      </c>
      <c r="E1713" t="s">
        <v>5070</v>
      </c>
      <c r="F1713" t="s">
        <v>13</v>
      </c>
      <c r="G1713" t="s">
        <v>14</v>
      </c>
      <c r="H1713" t="s">
        <v>15</v>
      </c>
      <c r="I1713" t="s">
        <v>16</v>
      </c>
    </row>
    <row r="1714" spans="1:9" x14ac:dyDescent="0.3">
      <c r="A1714" t="s">
        <v>5071</v>
      </c>
      <c r="B1714" t="s">
        <v>5072</v>
      </c>
      <c r="C1714" t="s">
        <v>54</v>
      </c>
      <c r="D1714" s="1">
        <v>45190</v>
      </c>
      <c r="E1714" t="s">
        <v>5073</v>
      </c>
      <c r="F1714" t="s">
        <v>13</v>
      </c>
      <c r="G1714" t="s">
        <v>14</v>
      </c>
      <c r="H1714" t="s">
        <v>15</v>
      </c>
      <c r="I1714" t="s">
        <v>181</v>
      </c>
    </row>
    <row r="1715" spans="1:9" x14ac:dyDescent="0.3">
      <c r="A1715" t="s">
        <v>5074</v>
      </c>
      <c r="B1715" t="s">
        <v>5075</v>
      </c>
      <c r="C1715" t="s">
        <v>45</v>
      </c>
      <c r="D1715" s="1">
        <v>45190</v>
      </c>
      <c r="E1715" t="s">
        <v>5076</v>
      </c>
      <c r="F1715" t="s">
        <v>13</v>
      </c>
      <c r="G1715" t="s">
        <v>14</v>
      </c>
      <c r="H1715" t="s">
        <v>15</v>
      </c>
    </row>
    <row r="1716" spans="1:9" x14ac:dyDescent="0.3">
      <c r="A1716" t="s">
        <v>3194</v>
      </c>
      <c r="B1716" t="s">
        <v>5077</v>
      </c>
      <c r="C1716" t="s">
        <v>19</v>
      </c>
      <c r="D1716" s="1">
        <v>45191</v>
      </c>
      <c r="E1716" t="s">
        <v>5078</v>
      </c>
      <c r="F1716" t="s">
        <v>13</v>
      </c>
      <c r="G1716" t="s">
        <v>14</v>
      </c>
      <c r="H1716" t="s">
        <v>15</v>
      </c>
      <c r="I1716" t="s">
        <v>116</v>
      </c>
    </row>
    <row r="1717" spans="1:9" x14ac:dyDescent="0.3">
      <c r="A1717" t="s">
        <v>5079</v>
      </c>
      <c r="B1717" t="s">
        <v>5080</v>
      </c>
      <c r="C1717" t="s">
        <v>45</v>
      </c>
      <c r="D1717" s="1">
        <v>45192</v>
      </c>
      <c r="E1717" t="s">
        <v>5081</v>
      </c>
      <c r="F1717" t="s">
        <v>13</v>
      </c>
      <c r="G1717" t="s">
        <v>174</v>
      </c>
      <c r="H1717" t="s">
        <v>15</v>
      </c>
      <c r="I1717" t="s">
        <v>47</v>
      </c>
    </row>
    <row r="1718" spans="1:9" x14ac:dyDescent="0.3">
      <c r="A1718" t="s">
        <v>5082</v>
      </c>
      <c r="B1718" t="s">
        <v>5083</v>
      </c>
      <c r="C1718" t="s">
        <v>19</v>
      </c>
      <c r="D1718" s="1">
        <v>45192</v>
      </c>
      <c r="E1718" t="s">
        <v>5084</v>
      </c>
      <c r="F1718" t="s">
        <v>13</v>
      </c>
      <c r="G1718" t="s">
        <v>14</v>
      </c>
      <c r="H1718" t="s">
        <v>15</v>
      </c>
      <c r="I1718" t="s">
        <v>116</v>
      </c>
    </row>
    <row r="1719" spans="1:9" x14ac:dyDescent="0.3">
      <c r="A1719" t="s">
        <v>5085</v>
      </c>
      <c r="B1719" t="s">
        <v>5086</v>
      </c>
      <c r="C1719" t="s">
        <v>54</v>
      </c>
      <c r="D1719" s="1">
        <v>45192</v>
      </c>
      <c r="E1719" t="s">
        <v>5087</v>
      </c>
      <c r="F1719" t="s">
        <v>13</v>
      </c>
      <c r="G1719" t="s">
        <v>14</v>
      </c>
      <c r="H1719" t="s">
        <v>15</v>
      </c>
      <c r="I1719" t="s">
        <v>181</v>
      </c>
    </row>
    <row r="1720" spans="1:9" x14ac:dyDescent="0.3">
      <c r="A1720" t="s">
        <v>5088</v>
      </c>
      <c r="B1720" t="s">
        <v>5089</v>
      </c>
      <c r="C1720" t="s">
        <v>24</v>
      </c>
      <c r="D1720" s="1">
        <v>45193</v>
      </c>
      <c r="E1720" t="s">
        <v>5090</v>
      </c>
      <c r="F1720" t="s">
        <v>13</v>
      </c>
      <c r="G1720" t="s">
        <v>14</v>
      </c>
      <c r="H1720" t="s">
        <v>15</v>
      </c>
      <c r="I1720" t="s">
        <v>59</v>
      </c>
    </row>
    <row r="1721" spans="1:9" x14ac:dyDescent="0.3">
      <c r="A1721" t="s">
        <v>5091</v>
      </c>
      <c r="B1721" t="s">
        <v>5092</v>
      </c>
      <c r="C1721" t="s">
        <v>11</v>
      </c>
      <c r="D1721" s="1">
        <v>45193</v>
      </c>
      <c r="E1721" t="s">
        <v>5093</v>
      </c>
      <c r="F1721" t="s">
        <v>13</v>
      </c>
      <c r="G1721" t="s">
        <v>174</v>
      </c>
      <c r="H1721" t="s">
        <v>15</v>
      </c>
      <c r="I1721" t="s">
        <v>16</v>
      </c>
    </row>
    <row r="1722" spans="1:9" x14ac:dyDescent="0.3">
      <c r="A1722" t="s">
        <v>5094</v>
      </c>
      <c r="B1722" t="s">
        <v>5095</v>
      </c>
      <c r="C1722" t="s">
        <v>11</v>
      </c>
      <c r="D1722" s="1">
        <v>45193</v>
      </c>
      <c r="E1722" t="s">
        <v>5096</v>
      </c>
      <c r="F1722" t="s">
        <v>13</v>
      </c>
      <c r="G1722" t="s">
        <v>14</v>
      </c>
      <c r="H1722" t="s">
        <v>15</v>
      </c>
      <c r="I1722" t="s">
        <v>185</v>
      </c>
    </row>
    <row r="1723" spans="1:9" x14ac:dyDescent="0.3">
      <c r="A1723" t="s">
        <v>4350</v>
      </c>
      <c r="B1723" t="s">
        <v>5097</v>
      </c>
      <c r="C1723" t="s">
        <v>19</v>
      </c>
      <c r="D1723" s="1">
        <v>45194</v>
      </c>
      <c r="E1723" t="s">
        <v>5098</v>
      </c>
      <c r="F1723" t="s">
        <v>13</v>
      </c>
      <c r="G1723" t="s">
        <v>14</v>
      </c>
      <c r="H1723" t="s">
        <v>15</v>
      </c>
      <c r="I1723" t="s">
        <v>21</v>
      </c>
    </row>
    <row r="1724" spans="1:9" x14ac:dyDescent="0.3">
      <c r="A1724" t="s">
        <v>5099</v>
      </c>
      <c r="B1724" t="s">
        <v>5100</v>
      </c>
      <c r="C1724" t="s">
        <v>69</v>
      </c>
      <c r="D1724" s="1">
        <v>45194</v>
      </c>
      <c r="E1724" t="s">
        <v>5101</v>
      </c>
      <c r="F1724" t="s">
        <v>13</v>
      </c>
      <c r="G1724" t="s">
        <v>14</v>
      </c>
      <c r="H1724" t="s">
        <v>15</v>
      </c>
      <c r="I1724" t="s">
        <v>71</v>
      </c>
    </row>
    <row r="1725" spans="1:9" x14ac:dyDescent="0.3">
      <c r="A1725" t="s">
        <v>3373</v>
      </c>
      <c r="B1725" t="s">
        <v>5102</v>
      </c>
      <c r="C1725" t="s">
        <v>19</v>
      </c>
      <c r="D1725" s="1">
        <v>45195</v>
      </c>
      <c r="E1725" t="s">
        <v>5103</v>
      </c>
      <c r="F1725" t="s">
        <v>13</v>
      </c>
      <c r="G1725" t="s">
        <v>14</v>
      </c>
      <c r="H1725" t="s">
        <v>15</v>
      </c>
      <c r="I1725" t="s">
        <v>116</v>
      </c>
    </row>
    <row r="1726" spans="1:9" x14ac:dyDescent="0.3">
      <c r="A1726" t="s">
        <v>5104</v>
      </c>
      <c r="B1726" t="s">
        <v>5105</v>
      </c>
      <c r="C1726" t="s">
        <v>69</v>
      </c>
      <c r="D1726" s="1">
        <v>45195</v>
      </c>
      <c r="E1726" t="s">
        <v>5106</v>
      </c>
      <c r="F1726" t="s">
        <v>13</v>
      </c>
      <c r="G1726" t="s">
        <v>14</v>
      </c>
      <c r="H1726" t="s">
        <v>15</v>
      </c>
    </row>
    <row r="1727" spans="1:9" x14ac:dyDescent="0.3">
      <c r="A1727" t="s">
        <v>5107</v>
      </c>
      <c r="B1727" t="s">
        <v>5108</v>
      </c>
      <c r="C1727" t="s">
        <v>54</v>
      </c>
      <c r="D1727" s="1">
        <v>45196</v>
      </c>
      <c r="E1727" t="s">
        <v>5109</v>
      </c>
      <c r="F1727" t="s">
        <v>13</v>
      </c>
      <c r="G1727" t="s">
        <v>14</v>
      </c>
      <c r="H1727" t="s">
        <v>15</v>
      </c>
      <c r="I1727" t="s">
        <v>181</v>
      </c>
    </row>
    <row r="1728" spans="1:9" x14ac:dyDescent="0.3">
      <c r="A1728" t="s">
        <v>5110</v>
      </c>
      <c r="B1728" t="s">
        <v>5111</v>
      </c>
      <c r="C1728" t="s">
        <v>19</v>
      </c>
      <c r="D1728" s="1">
        <v>45196</v>
      </c>
      <c r="E1728" t="s">
        <v>5112</v>
      </c>
      <c r="F1728" t="s">
        <v>13</v>
      </c>
      <c r="G1728" t="s">
        <v>14</v>
      </c>
      <c r="H1728" t="s">
        <v>15</v>
      </c>
      <c r="I1728" t="s">
        <v>21</v>
      </c>
    </row>
    <row r="1729" spans="1:9" x14ac:dyDescent="0.3">
      <c r="A1729" t="s">
        <v>5113</v>
      </c>
      <c r="B1729" t="s">
        <v>5114</v>
      </c>
      <c r="C1729" t="s">
        <v>33</v>
      </c>
      <c r="D1729" s="1">
        <v>45197</v>
      </c>
      <c r="E1729" t="s">
        <v>5115</v>
      </c>
      <c r="F1729" t="s">
        <v>13</v>
      </c>
      <c r="G1729" t="s">
        <v>14</v>
      </c>
      <c r="H1729" t="s">
        <v>15</v>
      </c>
      <c r="I1729" t="s">
        <v>51</v>
      </c>
    </row>
    <row r="1730" spans="1:9" x14ac:dyDescent="0.3">
      <c r="A1730" t="s">
        <v>5116</v>
      </c>
      <c r="B1730" t="s">
        <v>5117</v>
      </c>
      <c r="C1730" t="s">
        <v>69</v>
      </c>
      <c r="D1730" s="1">
        <v>45198</v>
      </c>
      <c r="E1730" t="s">
        <v>5118</v>
      </c>
      <c r="F1730" t="s">
        <v>13</v>
      </c>
      <c r="G1730" t="s">
        <v>14</v>
      </c>
      <c r="H1730" t="s">
        <v>15</v>
      </c>
    </row>
    <row r="1731" spans="1:9" x14ac:dyDescent="0.3">
      <c r="A1731" t="s">
        <v>5119</v>
      </c>
      <c r="B1731" t="s">
        <v>5120</v>
      </c>
      <c r="C1731" t="s">
        <v>45</v>
      </c>
      <c r="D1731" s="1">
        <v>45198</v>
      </c>
      <c r="E1731" t="s">
        <v>5121</v>
      </c>
      <c r="F1731" t="s">
        <v>13</v>
      </c>
      <c r="G1731" t="s">
        <v>14</v>
      </c>
      <c r="H1731" t="s">
        <v>15</v>
      </c>
      <c r="I1731" t="s">
        <v>47</v>
      </c>
    </row>
    <row r="1732" spans="1:9" x14ac:dyDescent="0.3">
      <c r="A1732" t="s">
        <v>3887</v>
      </c>
      <c r="B1732" t="s">
        <v>5122</v>
      </c>
      <c r="C1732" t="s">
        <v>19</v>
      </c>
      <c r="D1732" s="1">
        <v>45200</v>
      </c>
      <c r="E1732" t="s">
        <v>5123</v>
      </c>
      <c r="F1732" t="s">
        <v>13</v>
      </c>
      <c r="G1732" t="s">
        <v>14</v>
      </c>
      <c r="H1732" t="s">
        <v>15</v>
      </c>
      <c r="I1732" t="s">
        <v>116</v>
      </c>
    </row>
    <row r="1733" spans="1:9" x14ac:dyDescent="0.3">
      <c r="A1733" t="s">
        <v>5124</v>
      </c>
      <c r="B1733" t="s">
        <v>5125</v>
      </c>
      <c r="C1733" t="s">
        <v>54</v>
      </c>
      <c r="D1733" s="1">
        <v>45200</v>
      </c>
      <c r="E1733" t="s">
        <v>5126</v>
      </c>
      <c r="F1733" t="s">
        <v>13</v>
      </c>
      <c r="G1733" t="s">
        <v>14</v>
      </c>
      <c r="H1733" t="s">
        <v>15</v>
      </c>
      <c r="I1733" t="s">
        <v>181</v>
      </c>
    </row>
    <row r="1734" spans="1:9" x14ac:dyDescent="0.3">
      <c r="A1734" t="s">
        <v>3984</v>
      </c>
      <c r="B1734" t="s">
        <v>5127</v>
      </c>
      <c r="C1734" t="s">
        <v>19</v>
      </c>
      <c r="D1734" s="1">
        <v>45201</v>
      </c>
      <c r="E1734" t="s">
        <v>5128</v>
      </c>
      <c r="F1734" t="s">
        <v>13</v>
      </c>
      <c r="G1734" t="s">
        <v>14</v>
      </c>
      <c r="H1734" t="s">
        <v>15</v>
      </c>
      <c r="I1734" t="s">
        <v>116</v>
      </c>
    </row>
    <row r="1735" spans="1:9" x14ac:dyDescent="0.3">
      <c r="A1735" t="s">
        <v>5129</v>
      </c>
      <c r="B1735" t="s">
        <v>5130</v>
      </c>
      <c r="C1735" t="s">
        <v>24</v>
      </c>
      <c r="D1735" s="1">
        <v>45201</v>
      </c>
      <c r="E1735" t="s">
        <v>5131</v>
      </c>
      <c r="F1735" t="s">
        <v>13</v>
      </c>
      <c r="G1735" t="s">
        <v>14</v>
      </c>
      <c r="H1735" t="s">
        <v>15</v>
      </c>
    </row>
    <row r="1736" spans="1:9" x14ac:dyDescent="0.3">
      <c r="A1736" t="s">
        <v>5132</v>
      </c>
      <c r="B1736" t="s">
        <v>5133</v>
      </c>
      <c r="C1736" t="s">
        <v>54</v>
      </c>
      <c r="D1736" s="1">
        <v>45202</v>
      </c>
      <c r="E1736" t="s">
        <v>5134</v>
      </c>
      <c r="F1736" t="s">
        <v>13</v>
      </c>
      <c r="G1736" t="s">
        <v>14</v>
      </c>
      <c r="H1736" t="s">
        <v>15</v>
      </c>
      <c r="I1736" t="s">
        <v>238</v>
      </c>
    </row>
    <row r="1737" spans="1:9" x14ac:dyDescent="0.3">
      <c r="A1737" t="s">
        <v>5135</v>
      </c>
      <c r="B1737" t="s">
        <v>5136</v>
      </c>
      <c r="C1737" t="s">
        <v>33</v>
      </c>
      <c r="D1737" s="1">
        <v>45202</v>
      </c>
      <c r="E1737" t="s">
        <v>5137</v>
      </c>
      <c r="F1737" t="s">
        <v>13</v>
      </c>
      <c r="G1737" t="s">
        <v>14</v>
      </c>
      <c r="H1737" t="s">
        <v>15</v>
      </c>
    </row>
    <row r="1738" spans="1:9" x14ac:dyDescent="0.3">
      <c r="A1738" t="s">
        <v>4407</v>
      </c>
      <c r="B1738" t="s">
        <v>5138</v>
      </c>
      <c r="C1738" t="s">
        <v>19</v>
      </c>
      <c r="D1738" s="1">
        <v>45202</v>
      </c>
      <c r="E1738" t="s">
        <v>5139</v>
      </c>
      <c r="F1738" t="s">
        <v>13</v>
      </c>
      <c r="G1738" t="s">
        <v>14</v>
      </c>
      <c r="H1738" t="s">
        <v>15</v>
      </c>
      <c r="I1738" t="s">
        <v>21</v>
      </c>
    </row>
    <row r="1739" spans="1:9" x14ac:dyDescent="0.3">
      <c r="A1739" t="s">
        <v>5140</v>
      </c>
      <c r="B1739" t="s">
        <v>5141</v>
      </c>
      <c r="C1739" t="s">
        <v>29</v>
      </c>
      <c r="D1739" s="1">
        <v>45203</v>
      </c>
      <c r="E1739" t="s">
        <v>5142</v>
      </c>
      <c r="F1739" t="s">
        <v>13</v>
      </c>
      <c r="G1739" t="s">
        <v>174</v>
      </c>
      <c r="H1739" t="s">
        <v>15</v>
      </c>
      <c r="I1739" t="s">
        <v>81</v>
      </c>
    </row>
    <row r="1740" spans="1:9" x14ac:dyDescent="0.3">
      <c r="A1740" t="s">
        <v>4172</v>
      </c>
      <c r="B1740" t="s">
        <v>5143</v>
      </c>
      <c r="C1740" t="s">
        <v>19</v>
      </c>
      <c r="D1740" s="1">
        <v>45203</v>
      </c>
      <c r="E1740" t="s">
        <v>5144</v>
      </c>
      <c r="F1740" t="s">
        <v>13</v>
      </c>
      <c r="G1740" t="s">
        <v>14</v>
      </c>
      <c r="H1740" t="s">
        <v>15</v>
      </c>
      <c r="I1740" t="s">
        <v>21</v>
      </c>
    </row>
    <row r="1741" spans="1:9" x14ac:dyDescent="0.3">
      <c r="A1741" t="s">
        <v>5145</v>
      </c>
      <c r="B1741" t="s">
        <v>5146</v>
      </c>
      <c r="C1741" t="s">
        <v>69</v>
      </c>
      <c r="D1741" s="1">
        <v>45203</v>
      </c>
      <c r="E1741" t="s">
        <v>5147</v>
      </c>
      <c r="F1741" t="s">
        <v>13</v>
      </c>
      <c r="G1741" t="s">
        <v>14</v>
      </c>
      <c r="H1741" t="s">
        <v>15</v>
      </c>
      <c r="I1741" t="s">
        <v>71</v>
      </c>
    </row>
    <row r="1742" spans="1:9" x14ac:dyDescent="0.3">
      <c r="A1742" t="s">
        <v>5148</v>
      </c>
      <c r="B1742" t="s">
        <v>5149</v>
      </c>
      <c r="C1742" t="s">
        <v>29</v>
      </c>
      <c r="D1742" s="1">
        <v>45204</v>
      </c>
      <c r="E1742" t="s">
        <v>5150</v>
      </c>
      <c r="F1742" t="s">
        <v>13</v>
      </c>
      <c r="G1742" t="s">
        <v>14</v>
      </c>
      <c r="H1742" t="s">
        <v>15</v>
      </c>
    </row>
    <row r="1743" spans="1:9" x14ac:dyDescent="0.3">
      <c r="A1743" t="s">
        <v>5151</v>
      </c>
      <c r="B1743" t="s">
        <v>5152</v>
      </c>
      <c r="C1743" t="s">
        <v>33</v>
      </c>
      <c r="D1743" s="1">
        <v>45204</v>
      </c>
      <c r="E1743" t="s">
        <v>5153</v>
      </c>
      <c r="F1743" t="s">
        <v>13</v>
      </c>
      <c r="G1743" t="s">
        <v>14</v>
      </c>
      <c r="H1743" t="s">
        <v>15</v>
      </c>
    </row>
    <row r="1744" spans="1:9" x14ac:dyDescent="0.3">
      <c r="A1744" t="s">
        <v>5154</v>
      </c>
      <c r="B1744" t="s">
        <v>5155</v>
      </c>
      <c r="C1744" t="s">
        <v>24</v>
      </c>
      <c r="D1744" s="1">
        <v>45204</v>
      </c>
      <c r="E1744" t="s">
        <v>5156</v>
      </c>
      <c r="F1744" t="s">
        <v>13</v>
      </c>
      <c r="G1744" t="s">
        <v>14</v>
      </c>
      <c r="H1744" t="s">
        <v>15</v>
      </c>
      <c r="I1744" t="s">
        <v>26</v>
      </c>
    </row>
    <row r="1745" spans="1:9" x14ac:dyDescent="0.3">
      <c r="A1745" t="s">
        <v>5157</v>
      </c>
      <c r="B1745" t="s">
        <v>5158</v>
      </c>
      <c r="C1745" t="s">
        <v>54</v>
      </c>
      <c r="D1745" s="1">
        <v>45204</v>
      </c>
      <c r="E1745" t="s">
        <v>5159</v>
      </c>
      <c r="F1745" t="s">
        <v>13</v>
      </c>
      <c r="G1745" t="s">
        <v>14</v>
      </c>
      <c r="H1745" t="s">
        <v>15</v>
      </c>
      <c r="I1745" t="s">
        <v>238</v>
      </c>
    </row>
    <row r="1746" spans="1:9" x14ac:dyDescent="0.3">
      <c r="A1746" t="s">
        <v>5160</v>
      </c>
      <c r="B1746" t="s">
        <v>5161</v>
      </c>
      <c r="C1746" t="s">
        <v>11</v>
      </c>
      <c r="D1746" s="1">
        <v>45204</v>
      </c>
      <c r="E1746" t="s">
        <v>5162</v>
      </c>
      <c r="F1746" t="s">
        <v>13</v>
      </c>
      <c r="G1746" t="s">
        <v>14</v>
      </c>
      <c r="H1746" t="s">
        <v>15</v>
      </c>
      <c r="I1746" t="s">
        <v>38</v>
      </c>
    </row>
    <row r="1747" spans="1:9" x14ac:dyDescent="0.3">
      <c r="A1747" t="s">
        <v>5163</v>
      </c>
      <c r="B1747" t="s">
        <v>5164</v>
      </c>
      <c r="C1747" t="s">
        <v>33</v>
      </c>
      <c r="D1747" s="1">
        <v>45204</v>
      </c>
      <c r="E1747" t="s">
        <v>5165</v>
      </c>
      <c r="F1747" t="s">
        <v>13</v>
      </c>
      <c r="G1747" t="s">
        <v>14</v>
      </c>
      <c r="H1747" t="s">
        <v>15</v>
      </c>
      <c r="I1747" t="s">
        <v>51</v>
      </c>
    </row>
    <row r="1748" spans="1:9" x14ac:dyDescent="0.3">
      <c r="A1748" t="s">
        <v>5166</v>
      </c>
      <c r="B1748" t="s">
        <v>5167</v>
      </c>
      <c r="C1748" t="s">
        <v>19</v>
      </c>
      <c r="D1748" s="1">
        <v>45204</v>
      </c>
      <c r="E1748" t="s">
        <v>5168</v>
      </c>
      <c r="F1748" t="s">
        <v>13</v>
      </c>
      <c r="G1748" t="s">
        <v>14</v>
      </c>
      <c r="H1748" t="s">
        <v>15</v>
      </c>
      <c r="I1748" t="s">
        <v>21</v>
      </c>
    </row>
    <row r="1749" spans="1:9" x14ac:dyDescent="0.3">
      <c r="A1749" t="s">
        <v>5169</v>
      </c>
      <c r="B1749" t="s">
        <v>5170</v>
      </c>
      <c r="C1749" t="s">
        <v>54</v>
      </c>
      <c r="D1749" s="1">
        <v>45205</v>
      </c>
      <c r="E1749" t="s">
        <v>5171</v>
      </c>
      <c r="F1749" t="s">
        <v>13</v>
      </c>
      <c r="G1749" t="s">
        <v>14</v>
      </c>
      <c r="H1749" t="s">
        <v>15</v>
      </c>
      <c r="I1749" t="s">
        <v>238</v>
      </c>
    </row>
    <row r="1750" spans="1:9" x14ac:dyDescent="0.3">
      <c r="A1750" t="s">
        <v>5172</v>
      </c>
      <c r="B1750" t="s">
        <v>5173</v>
      </c>
      <c r="C1750" t="s">
        <v>45</v>
      </c>
      <c r="D1750" s="1">
        <v>45205</v>
      </c>
      <c r="E1750" t="s">
        <v>5174</v>
      </c>
      <c r="F1750" t="s">
        <v>13</v>
      </c>
      <c r="G1750" t="s">
        <v>174</v>
      </c>
      <c r="H1750" t="s">
        <v>15</v>
      </c>
      <c r="I1750" t="s">
        <v>47</v>
      </c>
    </row>
    <row r="1751" spans="1:9" x14ac:dyDescent="0.3">
      <c r="A1751" t="s">
        <v>5175</v>
      </c>
      <c r="B1751" t="s">
        <v>5176</v>
      </c>
      <c r="C1751" t="s">
        <v>11</v>
      </c>
      <c r="D1751" s="1">
        <v>45205</v>
      </c>
      <c r="E1751" t="s">
        <v>5177</v>
      </c>
      <c r="F1751" t="s">
        <v>13</v>
      </c>
      <c r="G1751" t="s">
        <v>14</v>
      </c>
      <c r="H1751" t="s">
        <v>15</v>
      </c>
      <c r="I1751" t="s">
        <v>38</v>
      </c>
    </row>
    <row r="1752" spans="1:9" x14ac:dyDescent="0.3">
      <c r="A1752" t="s">
        <v>5178</v>
      </c>
      <c r="B1752" t="s">
        <v>5179</v>
      </c>
      <c r="C1752" t="s">
        <v>24</v>
      </c>
      <c r="D1752" s="1">
        <v>45207</v>
      </c>
      <c r="E1752" t="s">
        <v>5180</v>
      </c>
      <c r="F1752" t="s">
        <v>13</v>
      </c>
      <c r="G1752" t="s">
        <v>14</v>
      </c>
      <c r="H1752" t="s">
        <v>15</v>
      </c>
      <c r="I1752" t="s">
        <v>63</v>
      </c>
    </row>
    <row r="1753" spans="1:9" x14ac:dyDescent="0.3">
      <c r="A1753" t="s">
        <v>5181</v>
      </c>
      <c r="B1753" t="s">
        <v>5182</v>
      </c>
      <c r="C1753" t="s">
        <v>54</v>
      </c>
      <c r="D1753" s="1">
        <v>45207</v>
      </c>
      <c r="E1753" t="s">
        <v>5183</v>
      </c>
      <c r="F1753" t="s">
        <v>13</v>
      </c>
      <c r="G1753" t="s">
        <v>14</v>
      </c>
      <c r="H1753" t="s">
        <v>15</v>
      </c>
    </row>
    <row r="1754" spans="1:9" x14ac:dyDescent="0.3">
      <c r="A1754" t="s">
        <v>5184</v>
      </c>
      <c r="B1754" t="s">
        <v>5185</v>
      </c>
      <c r="C1754" t="s">
        <v>24</v>
      </c>
      <c r="D1754" s="1">
        <v>45208</v>
      </c>
      <c r="E1754" t="s">
        <v>5186</v>
      </c>
      <c r="F1754" t="s">
        <v>13</v>
      </c>
      <c r="G1754" t="s">
        <v>14</v>
      </c>
      <c r="H1754" t="s">
        <v>15</v>
      </c>
      <c r="I1754" t="s">
        <v>59</v>
      </c>
    </row>
    <row r="1755" spans="1:9" x14ac:dyDescent="0.3">
      <c r="A1755" t="s">
        <v>5187</v>
      </c>
      <c r="B1755" t="s">
        <v>5188</v>
      </c>
      <c r="C1755" t="s">
        <v>45</v>
      </c>
      <c r="D1755" s="1">
        <v>45208</v>
      </c>
      <c r="E1755" t="s">
        <v>5189</v>
      </c>
      <c r="F1755" t="s">
        <v>13</v>
      </c>
      <c r="G1755" t="s">
        <v>14</v>
      </c>
      <c r="H1755" t="s">
        <v>15</v>
      </c>
      <c r="I1755" t="s">
        <v>47</v>
      </c>
    </row>
    <row r="1756" spans="1:9" x14ac:dyDescent="0.3">
      <c r="A1756" t="s">
        <v>5190</v>
      </c>
      <c r="B1756" t="s">
        <v>5191</v>
      </c>
      <c r="C1756" t="s">
        <v>29</v>
      </c>
      <c r="D1756" s="1">
        <v>45208</v>
      </c>
      <c r="E1756" t="s">
        <v>5192</v>
      </c>
      <c r="F1756" t="s">
        <v>13</v>
      </c>
      <c r="G1756" t="s">
        <v>14</v>
      </c>
      <c r="H1756" t="s">
        <v>15</v>
      </c>
      <c r="I1756" t="s">
        <v>204</v>
      </c>
    </row>
    <row r="1757" spans="1:9" x14ac:dyDescent="0.3">
      <c r="A1757" t="s">
        <v>5193</v>
      </c>
      <c r="B1757" t="s">
        <v>5194</v>
      </c>
      <c r="C1757" t="s">
        <v>33</v>
      </c>
      <c r="D1757" s="1">
        <v>45209</v>
      </c>
      <c r="E1757" t="s">
        <v>5195</v>
      </c>
      <c r="F1757" t="s">
        <v>13</v>
      </c>
      <c r="G1757" t="s">
        <v>14</v>
      </c>
      <c r="H1757" t="s">
        <v>15</v>
      </c>
      <c r="I1757" t="s">
        <v>51</v>
      </c>
    </row>
    <row r="1758" spans="1:9" x14ac:dyDescent="0.3">
      <c r="A1758" t="s">
        <v>5196</v>
      </c>
      <c r="B1758" t="s">
        <v>5197</v>
      </c>
      <c r="C1758" t="s">
        <v>29</v>
      </c>
      <c r="D1758" s="1">
        <v>45209</v>
      </c>
      <c r="E1758" t="s">
        <v>5198</v>
      </c>
      <c r="F1758" t="s">
        <v>13</v>
      </c>
      <c r="G1758" t="s">
        <v>14</v>
      </c>
      <c r="H1758" t="s">
        <v>15</v>
      </c>
      <c r="I1758" t="s">
        <v>204</v>
      </c>
    </row>
    <row r="1759" spans="1:9" x14ac:dyDescent="0.3">
      <c r="A1759" t="s">
        <v>5199</v>
      </c>
      <c r="B1759" t="s">
        <v>5200</v>
      </c>
      <c r="C1759" t="s">
        <v>33</v>
      </c>
      <c r="D1759" s="1">
        <v>45209</v>
      </c>
      <c r="E1759" t="s">
        <v>5201</v>
      </c>
      <c r="F1759" t="s">
        <v>13</v>
      </c>
      <c r="G1759" t="s">
        <v>14</v>
      </c>
      <c r="H1759" t="s">
        <v>15</v>
      </c>
      <c r="I1759" t="s">
        <v>94</v>
      </c>
    </row>
    <row r="1760" spans="1:9" x14ac:dyDescent="0.3">
      <c r="A1760" t="s">
        <v>3580</v>
      </c>
      <c r="B1760" t="s">
        <v>5202</v>
      </c>
      <c r="C1760" t="s">
        <v>19</v>
      </c>
      <c r="D1760" s="1">
        <v>45210</v>
      </c>
      <c r="E1760" t="s">
        <v>5203</v>
      </c>
      <c r="F1760" t="s">
        <v>13</v>
      </c>
      <c r="G1760" t="s">
        <v>14</v>
      </c>
      <c r="H1760" t="s">
        <v>15</v>
      </c>
      <c r="I1760" t="s">
        <v>116</v>
      </c>
    </row>
    <row r="1761" spans="1:9" x14ac:dyDescent="0.3">
      <c r="A1761" t="s">
        <v>5204</v>
      </c>
      <c r="B1761" t="s">
        <v>5205</v>
      </c>
      <c r="C1761" t="s">
        <v>69</v>
      </c>
      <c r="D1761" s="1">
        <v>45210</v>
      </c>
      <c r="E1761" t="s">
        <v>5206</v>
      </c>
      <c r="F1761" t="s">
        <v>13</v>
      </c>
      <c r="G1761" t="s">
        <v>14</v>
      </c>
      <c r="H1761" t="s">
        <v>15</v>
      </c>
      <c r="I1761" t="s">
        <v>71</v>
      </c>
    </row>
    <row r="1762" spans="1:9" x14ac:dyDescent="0.3">
      <c r="A1762" t="s">
        <v>5207</v>
      </c>
      <c r="B1762" t="s">
        <v>5208</v>
      </c>
      <c r="C1762" t="s">
        <v>33</v>
      </c>
      <c r="D1762" s="1">
        <v>45210</v>
      </c>
      <c r="E1762" t="s">
        <v>5209</v>
      </c>
      <c r="F1762" t="s">
        <v>13</v>
      </c>
      <c r="G1762" t="s">
        <v>14</v>
      </c>
      <c r="H1762" t="s">
        <v>15</v>
      </c>
      <c r="I1762" t="s">
        <v>94</v>
      </c>
    </row>
    <row r="1763" spans="1:9" x14ac:dyDescent="0.3">
      <c r="A1763" t="s">
        <v>3887</v>
      </c>
      <c r="B1763" t="s">
        <v>5210</v>
      </c>
      <c r="C1763" t="s">
        <v>19</v>
      </c>
      <c r="D1763" s="1">
        <v>45210</v>
      </c>
      <c r="E1763" t="s">
        <v>5211</v>
      </c>
      <c r="F1763" t="s">
        <v>13</v>
      </c>
      <c r="G1763" t="s">
        <v>14</v>
      </c>
      <c r="H1763" t="s">
        <v>15</v>
      </c>
      <c r="I1763" t="s">
        <v>21</v>
      </c>
    </row>
    <row r="1764" spans="1:9" x14ac:dyDescent="0.3">
      <c r="A1764" t="s">
        <v>5212</v>
      </c>
      <c r="B1764" t="s">
        <v>5213</v>
      </c>
      <c r="C1764" t="s">
        <v>54</v>
      </c>
      <c r="D1764" s="1">
        <v>45212</v>
      </c>
      <c r="E1764" t="s">
        <v>5214</v>
      </c>
      <c r="F1764" t="s">
        <v>13</v>
      </c>
      <c r="G1764" t="s">
        <v>14</v>
      </c>
      <c r="H1764" t="s">
        <v>15</v>
      </c>
      <c r="I1764" t="s">
        <v>181</v>
      </c>
    </row>
    <row r="1765" spans="1:9" x14ac:dyDescent="0.3">
      <c r="A1765" t="s">
        <v>5215</v>
      </c>
      <c r="B1765" t="s">
        <v>5216</v>
      </c>
      <c r="C1765" t="s">
        <v>19</v>
      </c>
      <c r="D1765" s="1">
        <v>45212</v>
      </c>
      <c r="E1765" t="s">
        <v>5217</v>
      </c>
      <c r="F1765" t="s">
        <v>13</v>
      </c>
      <c r="G1765" t="s">
        <v>14</v>
      </c>
      <c r="H1765" t="s">
        <v>15</v>
      </c>
      <c r="I1765" t="s">
        <v>116</v>
      </c>
    </row>
    <row r="1766" spans="1:9" x14ac:dyDescent="0.3">
      <c r="A1766" t="s">
        <v>5218</v>
      </c>
      <c r="B1766" t="s">
        <v>5219</v>
      </c>
      <c r="C1766" t="s">
        <v>54</v>
      </c>
      <c r="D1766" s="1">
        <v>45212</v>
      </c>
      <c r="E1766" t="s">
        <v>5220</v>
      </c>
      <c r="F1766" t="s">
        <v>13</v>
      </c>
      <c r="G1766" t="s">
        <v>14</v>
      </c>
      <c r="H1766" t="s">
        <v>15</v>
      </c>
    </row>
    <row r="1767" spans="1:9" x14ac:dyDescent="0.3">
      <c r="A1767" t="s">
        <v>5221</v>
      </c>
      <c r="B1767" t="s">
        <v>5222</v>
      </c>
      <c r="C1767" t="s">
        <v>54</v>
      </c>
      <c r="D1767" s="1">
        <v>45212</v>
      </c>
      <c r="E1767" t="s">
        <v>5223</v>
      </c>
      <c r="F1767" t="s">
        <v>13</v>
      </c>
      <c r="G1767" t="s">
        <v>14</v>
      </c>
      <c r="H1767" t="s">
        <v>15</v>
      </c>
      <c r="I1767" t="s">
        <v>238</v>
      </c>
    </row>
    <row r="1768" spans="1:9" x14ac:dyDescent="0.3">
      <c r="A1768" t="s">
        <v>5224</v>
      </c>
      <c r="B1768" t="s">
        <v>5225</v>
      </c>
      <c r="C1768" t="s">
        <v>24</v>
      </c>
      <c r="D1768" s="1">
        <v>45213</v>
      </c>
      <c r="E1768" t="s">
        <v>5226</v>
      </c>
      <c r="F1768" t="s">
        <v>13</v>
      </c>
      <c r="G1768" t="s">
        <v>14</v>
      </c>
      <c r="H1768" t="s">
        <v>15</v>
      </c>
      <c r="I1768" t="s">
        <v>26</v>
      </c>
    </row>
    <row r="1769" spans="1:9" x14ac:dyDescent="0.3">
      <c r="A1769" t="s">
        <v>5227</v>
      </c>
      <c r="B1769" t="s">
        <v>5228</v>
      </c>
      <c r="C1769" t="s">
        <v>24</v>
      </c>
      <c r="D1769" s="1">
        <v>45213</v>
      </c>
      <c r="E1769" t="s">
        <v>5229</v>
      </c>
      <c r="F1769" t="s">
        <v>13</v>
      </c>
      <c r="G1769" t="s">
        <v>14</v>
      </c>
      <c r="H1769" t="s">
        <v>15</v>
      </c>
      <c r="I1769" t="s">
        <v>26</v>
      </c>
    </row>
    <row r="1770" spans="1:9" x14ac:dyDescent="0.3">
      <c r="A1770" t="s">
        <v>5230</v>
      </c>
      <c r="B1770" t="s">
        <v>5231</v>
      </c>
      <c r="C1770" t="s">
        <v>69</v>
      </c>
      <c r="D1770" s="1">
        <v>45213</v>
      </c>
      <c r="E1770" t="s">
        <v>5232</v>
      </c>
      <c r="F1770" t="s">
        <v>13</v>
      </c>
      <c r="G1770" t="s">
        <v>14</v>
      </c>
      <c r="H1770" t="s">
        <v>15</v>
      </c>
      <c r="I1770" t="s">
        <v>71</v>
      </c>
    </row>
    <row r="1771" spans="1:9" x14ac:dyDescent="0.3">
      <c r="A1771" t="s">
        <v>5233</v>
      </c>
      <c r="B1771" t="s">
        <v>5234</v>
      </c>
      <c r="C1771" t="s">
        <v>33</v>
      </c>
      <c r="D1771" s="1">
        <v>45213</v>
      </c>
      <c r="E1771" t="s">
        <v>5235</v>
      </c>
      <c r="F1771" t="s">
        <v>13</v>
      </c>
      <c r="G1771" t="s">
        <v>14</v>
      </c>
      <c r="H1771" t="s">
        <v>15</v>
      </c>
      <c r="I1771" t="s">
        <v>94</v>
      </c>
    </row>
    <row r="1772" spans="1:9" x14ac:dyDescent="0.3">
      <c r="A1772" t="s">
        <v>5236</v>
      </c>
      <c r="B1772" t="s">
        <v>5237</v>
      </c>
      <c r="C1772" t="s">
        <v>54</v>
      </c>
      <c r="D1772" s="1">
        <v>45213</v>
      </c>
      <c r="E1772" t="s">
        <v>5238</v>
      </c>
      <c r="F1772" t="s">
        <v>13</v>
      </c>
      <c r="G1772" t="s">
        <v>14</v>
      </c>
      <c r="H1772" t="s">
        <v>15</v>
      </c>
      <c r="I1772" t="s">
        <v>238</v>
      </c>
    </row>
    <row r="1773" spans="1:9" x14ac:dyDescent="0.3">
      <c r="A1773" t="s">
        <v>5239</v>
      </c>
      <c r="B1773" t="s">
        <v>5240</v>
      </c>
      <c r="C1773" t="s">
        <v>45</v>
      </c>
      <c r="D1773" s="1">
        <v>45214</v>
      </c>
      <c r="E1773" t="s">
        <v>5241</v>
      </c>
      <c r="F1773" t="s">
        <v>13</v>
      </c>
      <c r="G1773" t="s">
        <v>14</v>
      </c>
      <c r="H1773" t="s">
        <v>15</v>
      </c>
      <c r="I1773" t="s">
        <v>248</v>
      </c>
    </row>
    <row r="1774" spans="1:9" x14ac:dyDescent="0.3">
      <c r="A1774" t="s">
        <v>5242</v>
      </c>
      <c r="B1774" t="s">
        <v>5243</v>
      </c>
      <c r="C1774" t="s">
        <v>24</v>
      </c>
      <c r="D1774" s="1">
        <v>45214</v>
      </c>
      <c r="E1774" t="s">
        <v>5244</v>
      </c>
      <c r="F1774" t="s">
        <v>13</v>
      </c>
      <c r="G1774" t="s">
        <v>14</v>
      </c>
      <c r="H1774" t="s">
        <v>15</v>
      </c>
      <c r="I1774" t="s">
        <v>63</v>
      </c>
    </row>
    <row r="1775" spans="1:9" x14ac:dyDescent="0.3">
      <c r="A1775" t="s">
        <v>5245</v>
      </c>
      <c r="B1775" t="s">
        <v>5246</v>
      </c>
      <c r="C1775" t="s">
        <v>24</v>
      </c>
      <c r="D1775" s="1">
        <v>45215</v>
      </c>
      <c r="E1775" t="s">
        <v>5247</v>
      </c>
      <c r="F1775" t="s">
        <v>13</v>
      </c>
      <c r="G1775" t="s">
        <v>14</v>
      </c>
      <c r="H1775" t="s">
        <v>15</v>
      </c>
      <c r="I1775" t="s">
        <v>26</v>
      </c>
    </row>
    <row r="1776" spans="1:9" x14ac:dyDescent="0.3">
      <c r="A1776" t="s">
        <v>5248</v>
      </c>
      <c r="B1776" t="s">
        <v>5249</v>
      </c>
      <c r="C1776" t="s">
        <v>69</v>
      </c>
      <c r="D1776" s="1">
        <v>45215</v>
      </c>
      <c r="E1776" t="s">
        <v>5250</v>
      </c>
      <c r="F1776" t="s">
        <v>13</v>
      </c>
      <c r="G1776" t="s">
        <v>14</v>
      </c>
      <c r="H1776" t="s">
        <v>15</v>
      </c>
      <c r="I1776" t="s">
        <v>71</v>
      </c>
    </row>
    <row r="1777" spans="1:9" x14ac:dyDescent="0.3">
      <c r="A1777" t="s">
        <v>5251</v>
      </c>
      <c r="B1777" t="s">
        <v>5252</v>
      </c>
      <c r="C1777" t="s">
        <v>45</v>
      </c>
      <c r="D1777" s="1">
        <v>45215</v>
      </c>
      <c r="E1777" t="s">
        <v>5253</v>
      </c>
      <c r="F1777" t="s">
        <v>13</v>
      </c>
      <c r="G1777" t="s">
        <v>14</v>
      </c>
      <c r="H1777" t="s">
        <v>15</v>
      </c>
      <c r="I1777" t="s">
        <v>47</v>
      </c>
    </row>
    <row r="1778" spans="1:9" x14ac:dyDescent="0.3">
      <c r="A1778" t="s">
        <v>5254</v>
      </c>
      <c r="B1778" t="s">
        <v>5255</v>
      </c>
      <c r="C1778" t="s">
        <v>69</v>
      </c>
      <c r="D1778" s="1">
        <v>45216</v>
      </c>
      <c r="E1778" t="s">
        <v>5256</v>
      </c>
      <c r="F1778" t="s">
        <v>13</v>
      </c>
      <c r="G1778" t="s">
        <v>14</v>
      </c>
      <c r="H1778" t="s">
        <v>15</v>
      </c>
      <c r="I1778" t="s">
        <v>71</v>
      </c>
    </row>
    <row r="1779" spans="1:9" x14ac:dyDescent="0.3">
      <c r="A1779" t="s">
        <v>5257</v>
      </c>
      <c r="B1779" t="s">
        <v>5258</v>
      </c>
      <c r="C1779" t="s">
        <v>54</v>
      </c>
      <c r="D1779" s="1">
        <v>45216</v>
      </c>
      <c r="E1779" t="s">
        <v>5259</v>
      </c>
      <c r="F1779" t="s">
        <v>13</v>
      </c>
      <c r="G1779" t="s">
        <v>14</v>
      </c>
      <c r="H1779" t="s">
        <v>15</v>
      </c>
      <c r="I1779" t="s">
        <v>181</v>
      </c>
    </row>
    <row r="1780" spans="1:9" x14ac:dyDescent="0.3">
      <c r="A1780" t="s">
        <v>5260</v>
      </c>
      <c r="B1780" t="s">
        <v>5261</v>
      </c>
      <c r="C1780" t="s">
        <v>33</v>
      </c>
      <c r="D1780" s="1">
        <v>45217</v>
      </c>
      <c r="E1780" t="s">
        <v>5262</v>
      </c>
      <c r="F1780" t="s">
        <v>13</v>
      </c>
      <c r="G1780" t="s">
        <v>14</v>
      </c>
      <c r="H1780" t="s">
        <v>15</v>
      </c>
      <c r="I1780" t="s">
        <v>51</v>
      </c>
    </row>
    <row r="1781" spans="1:9" x14ac:dyDescent="0.3">
      <c r="A1781" t="s">
        <v>5263</v>
      </c>
      <c r="B1781" t="s">
        <v>5264</v>
      </c>
      <c r="C1781" t="s">
        <v>11</v>
      </c>
      <c r="D1781" s="1">
        <v>45217</v>
      </c>
      <c r="E1781" t="s">
        <v>5265</v>
      </c>
      <c r="F1781" t="s">
        <v>13</v>
      </c>
      <c r="G1781" t="s">
        <v>14</v>
      </c>
      <c r="H1781" t="s">
        <v>15</v>
      </c>
    </row>
    <row r="1782" spans="1:9" x14ac:dyDescent="0.3">
      <c r="A1782" t="s">
        <v>5266</v>
      </c>
      <c r="B1782" t="s">
        <v>5267</v>
      </c>
      <c r="C1782" t="s">
        <v>33</v>
      </c>
      <c r="D1782" s="1">
        <v>45219</v>
      </c>
      <c r="E1782" t="s">
        <v>5268</v>
      </c>
      <c r="F1782" t="s">
        <v>13</v>
      </c>
      <c r="G1782" t="s">
        <v>14</v>
      </c>
      <c r="H1782" t="s">
        <v>15</v>
      </c>
      <c r="I1782" t="s">
        <v>94</v>
      </c>
    </row>
    <row r="1783" spans="1:9" x14ac:dyDescent="0.3">
      <c r="A1783" t="s">
        <v>5269</v>
      </c>
      <c r="B1783" t="s">
        <v>5270</v>
      </c>
      <c r="C1783" t="s">
        <v>29</v>
      </c>
      <c r="D1783" s="1">
        <v>45219</v>
      </c>
      <c r="E1783" t="s">
        <v>5271</v>
      </c>
      <c r="F1783" t="s">
        <v>13</v>
      </c>
      <c r="G1783" t="s">
        <v>14</v>
      </c>
      <c r="H1783" t="s">
        <v>15</v>
      </c>
      <c r="I1783" t="s">
        <v>81</v>
      </c>
    </row>
    <row r="1784" spans="1:9" x14ac:dyDescent="0.3">
      <c r="A1784" t="s">
        <v>5272</v>
      </c>
      <c r="B1784" t="s">
        <v>5273</v>
      </c>
      <c r="C1784" t="s">
        <v>29</v>
      </c>
      <c r="D1784" s="1">
        <v>45219</v>
      </c>
      <c r="E1784" t="s">
        <v>5274</v>
      </c>
      <c r="F1784" t="s">
        <v>13</v>
      </c>
      <c r="G1784" t="s">
        <v>14</v>
      </c>
      <c r="H1784" t="s">
        <v>15</v>
      </c>
      <c r="I1784" t="s">
        <v>81</v>
      </c>
    </row>
    <row r="1785" spans="1:9" x14ac:dyDescent="0.3">
      <c r="A1785" t="s">
        <v>5275</v>
      </c>
      <c r="B1785" t="s">
        <v>5276</v>
      </c>
      <c r="C1785" t="s">
        <v>11</v>
      </c>
      <c r="D1785" s="1">
        <v>45219</v>
      </c>
      <c r="E1785" t="s">
        <v>5277</v>
      </c>
      <c r="F1785" t="s">
        <v>13</v>
      </c>
      <c r="G1785" t="s">
        <v>14</v>
      </c>
      <c r="H1785" t="s">
        <v>15</v>
      </c>
      <c r="I1785" t="s">
        <v>16</v>
      </c>
    </row>
    <row r="1786" spans="1:9" x14ac:dyDescent="0.3">
      <c r="A1786" t="s">
        <v>3280</v>
      </c>
      <c r="B1786" t="s">
        <v>5278</v>
      </c>
      <c r="C1786" t="s">
        <v>19</v>
      </c>
      <c r="D1786" s="1">
        <v>45219</v>
      </c>
      <c r="E1786" t="s">
        <v>5279</v>
      </c>
      <c r="F1786" t="s">
        <v>13</v>
      </c>
      <c r="G1786" t="s">
        <v>14</v>
      </c>
      <c r="H1786" t="s">
        <v>15</v>
      </c>
      <c r="I1786" t="s">
        <v>21</v>
      </c>
    </row>
    <row r="1787" spans="1:9" x14ac:dyDescent="0.3">
      <c r="A1787" t="s">
        <v>5280</v>
      </c>
      <c r="B1787" t="s">
        <v>5281</v>
      </c>
      <c r="C1787" t="s">
        <v>45</v>
      </c>
      <c r="D1787" s="1">
        <v>45219</v>
      </c>
      <c r="E1787" t="s">
        <v>5282</v>
      </c>
      <c r="F1787" t="s">
        <v>13</v>
      </c>
      <c r="G1787" t="s">
        <v>14</v>
      </c>
      <c r="H1787" t="s">
        <v>15</v>
      </c>
      <c r="I1787" t="s">
        <v>47</v>
      </c>
    </row>
    <row r="1788" spans="1:9" x14ac:dyDescent="0.3">
      <c r="A1788" t="s">
        <v>3092</v>
      </c>
      <c r="B1788" t="s">
        <v>5283</v>
      </c>
      <c r="C1788" t="s">
        <v>19</v>
      </c>
      <c r="D1788" s="1">
        <v>45220</v>
      </c>
      <c r="E1788" t="s">
        <v>5284</v>
      </c>
      <c r="F1788" t="s">
        <v>13</v>
      </c>
      <c r="G1788" t="s">
        <v>14</v>
      </c>
      <c r="H1788" t="s">
        <v>15</v>
      </c>
      <c r="I1788" t="s">
        <v>21</v>
      </c>
    </row>
    <row r="1789" spans="1:9" x14ac:dyDescent="0.3">
      <c r="A1789" t="s">
        <v>3663</v>
      </c>
      <c r="B1789" t="s">
        <v>5285</v>
      </c>
      <c r="C1789" t="s">
        <v>19</v>
      </c>
      <c r="D1789" s="1">
        <v>45221</v>
      </c>
      <c r="E1789" t="s">
        <v>5286</v>
      </c>
      <c r="F1789" t="s">
        <v>13</v>
      </c>
      <c r="G1789" t="s">
        <v>14</v>
      </c>
      <c r="H1789" t="s">
        <v>15</v>
      </c>
    </row>
    <row r="1790" spans="1:9" x14ac:dyDescent="0.3">
      <c r="A1790" t="s">
        <v>5287</v>
      </c>
      <c r="B1790" t="s">
        <v>5288</v>
      </c>
      <c r="C1790" t="s">
        <v>45</v>
      </c>
      <c r="D1790" s="1">
        <v>45221</v>
      </c>
      <c r="E1790" t="s">
        <v>5289</v>
      </c>
      <c r="F1790" t="s">
        <v>13</v>
      </c>
      <c r="G1790" t="s">
        <v>14</v>
      </c>
      <c r="H1790" t="s">
        <v>15</v>
      </c>
      <c r="I1790" t="s">
        <v>248</v>
      </c>
    </row>
    <row r="1791" spans="1:9" x14ac:dyDescent="0.3">
      <c r="A1791" t="s">
        <v>5290</v>
      </c>
      <c r="B1791" t="s">
        <v>5291</v>
      </c>
      <c r="C1791" t="s">
        <v>45</v>
      </c>
      <c r="D1791" s="1">
        <v>45221</v>
      </c>
      <c r="E1791" t="s">
        <v>5292</v>
      </c>
      <c r="F1791" t="s">
        <v>13</v>
      </c>
      <c r="G1791" t="s">
        <v>14</v>
      </c>
      <c r="H1791" t="s">
        <v>15</v>
      </c>
    </row>
    <row r="1792" spans="1:9" x14ac:dyDescent="0.3">
      <c r="A1792" t="s">
        <v>5293</v>
      </c>
      <c r="B1792" t="s">
        <v>5294</v>
      </c>
      <c r="C1792" t="s">
        <v>54</v>
      </c>
      <c r="D1792" s="1">
        <v>45221</v>
      </c>
      <c r="E1792" t="s">
        <v>5295</v>
      </c>
      <c r="F1792" t="s">
        <v>13</v>
      </c>
      <c r="G1792" t="s">
        <v>14</v>
      </c>
      <c r="H1792" t="s">
        <v>15</v>
      </c>
      <c r="I1792" t="s">
        <v>181</v>
      </c>
    </row>
    <row r="1793" spans="1:9" x14ac:dyDescent="0.3">
      <c r="A1793" t="s">
        <v>5296</v>
      </c>
      <c r="B1793" t="s">
        <v>5297</v>
      </c>
      <c r="C1793" t="s">
        <v>33</v>
      </c>
      <c r="D1793" s="1">
        <v>45221</v>
      </c>
      <c r="E1793" t="s">
        <v>5298</v>
      </c>
      <c r="F1793" t="s">
        <v>13</v>
      </c>
      <c r="G1793" t="s">
        <v>14</v>
      </c>
      <c r="H1793" t="s">
        <v>15</v>
      </c>
      <c r="I1793" t="s">
        <v>51</v>
      </c>
    </row>
    <row r="1794" spans="1:9" x14ac:dyDescent="0.3">
      <c r="A1794" t="s">
        <v>5299</v>
      </c>
      <c r="B1794" t="s">
        <v>5300</v>
      </c>
      <c r="C1794" t="s">
        <v>33</v>
      </c>
      <c r="D1794" s="1">
        <v>45222</v>
      </c>
      <c r="E1794" t="s">
        <v>5301</v>
      </c>
      <c r="F1794" t="s">
        <v>13</v>
      </c>
      <c r="G1794" t="s">
        <v>14</v>
      </c>
      <c r="H1794" t="s">
        <v>15</v>
      </c>
      <c r="I1794" t="s">
        <v>94</v>
      </c>
    </row>
    <row r="1795" spans="1:9" x14ac:dyDescent="0.3">
      <c r="A1795" t="s">
        <v>3899</v>
      </c>
      <c r="B1795" t="s">
        <v>5302</v>
      </c>
      <c r="C1795" t="s">
        <v>19</v>
      </c>
      <c r="D1795" s="1">
        <v>45222</v>
      </c>
      <c r="E1795" t="s">
        <v>5303</v>
      </c>
      <c r="F1795" t="s">
        <v>13</v>
      </c>
      <c r="G1795" t="s">
        <v>14</v>
      </c>
      <c r="H1795" t="s">
        <v>15</v>
      </c>
      <c r="I1795" t="s">
        <v>21</v>
      </c>
    </row>
    <row r="1796" spans="1:9" x14ac:dyDescent="0.3">
      <c r="A1796" t="s">
        <v>5304</v>
      </c>
      <c r="B1796" t="s">
        <v>5305</v>
      </c>
      <c r="C1796" t="s">
        <v>54</v>
      </c>
      <c r="D1796" s="1">
        <v>45222</v>
      </c>
      <c r="E1796" t="s">
        <v>5306</v>
      </c>
      <c r="F1796" t="s">
        <v>13</v>
      </c>
      <c r="G1796" t="s">
        <v>14</v>
      </c>
      <c r="H1796" t="s">
        <v>15</v>
      </c>
    </row>
    <row r="1797" spans="1:9" x14ac:dyDescent="0.3">
      <c r="A1797" t="s">
        <v>5307</v>
      </c>
      <c r="B1797" t="s">
        <v>5308</v>
      </c>
      <c r="C1797" t="s">
        <v>24</v>
      </c>
      <c r="D1797" s="1">
        <v>45223</v>
      </c>
      <c r="E1797" t="s">
        <v>5309</v>
      </c>
      <c r="F1797" t="s">
        <v>13</v>
      </c>
      <c r="G1797" t="s">
        <v>14</v>
      </c>
      <c r="H1797" t="s">
        <v>15</v>
      </c>
      <c r="I1797" t="s">
        <v>63</v>
      </c>
    </row>
    <row r="1798" spans="1:9" x14ac:dyDescent="0.3">
      <c r="A1798" t="s">
        <v>5310</v>
      </c>
      <c r="B1798" t="s">
        <v>5311</v>
      </c>
      <c r="C1798" t="s">
        <v>33</v>
      </c>
      <c r="D1798" s="1">
        <v>45223</v>
      </c>
      <c r="E1798" t="s">
        <v>5312</v>
      </c>
      <c r="F1798" t="s">
        <v>13</v>
      </c>
      <c r="G1798" t="s">
        <v>14</v>
      </c>
      <c r="H1798" t="s">
        <v>15</v>
      </c>
      <c r="I1798" t="s">
        <v>51</v>
      </c>
    </row>
    <row r="1799" spans="1:9" x14ac:dyDescent="0.3">
      <c r="A1799" t="s">
        <v>5313</v>
      </c>
      <c r="B1799" t="s">
        <v>5314</v>
      </c>
      <c r="C1799" t="s">
        <v>54</v>
      </c>
      <c r="D1799" s="1">
        <v>45224</v>
      </c>
      <c r="E1799" t="s">
        <v>5315</v>
      </c>
      <c r="F1799" t="s">
        <v>13</v>
      </c>
      <c r="G1799" t="s">
        <v>14</v>
      </c>
      <c r="H1799" t="s">
        <v>15</v>
      </c>
    </row>
    <row r="1800" spans="1:9" x14ac:dyDescent="0.3">
      <c r="A1800" t="s">
        <v>5316</v>
      </c>
      <c r="B1800" t="s">
        <v>5317</v>
      </c>
      <c r="C1800" t="s">
        <v>24</v>
      </c>
      <c r="D1800" s="1">
        <v>45224</v>
      </c>
      <c r="E1800" t="s">
        <v>5318</v>
      </c>
      <c r="F1800" t="s">
        <v>13</v>
      </c>
      <c r="G1800" t="s">
        <v>14</v>
      </c>
      <c r="H1800" t="s">
        <v>15</v>
      </c>
      <c r="I1800" t="s">
        <v>59</v>
      </c>
    </row>
    <row r="1801" spans="1:9" x14ac:dyDescent="0.3">
      <c r="A1801" t="s">
        <v>5319</v>
      </c>
      <c r="B1801" t="s">
        <v>5320</v>
      </c>
      <c r="C1801" t="s">
        <v>11</v>
      </c>
      <c r="D1801" s="1">
        <v>45224</v>
      </c>
      <c r="E1801" t="s">
        <v>5321</v>
      </c>
      <c r="F1801" t="s">
        <v>13</v>
      </c>
      <c r="G1801" t="s">
        <v>14</v>
      </c>
      <c r="H1801" t="s">
        <v>15</v>
      </c>
      <c r="I1801" t="s">
        <v>38</v>
      </c>
    </row>
    <row r="1802" spans="1:9" x14ac:dyDescent="0.3">
      <c r="A1802" t="s">
        <v>5322</v>
      </c>
      <c r="B1802" t="s">
        <v>5323</v>
      </c>
      <c r="C1802" t="s">
        <v>45</v>
      </c>
      <c r="D1802" s="1">
        <v>45224</v>
      </c>
      <c r="E1802" t="s">
        <v>5324</v>
      </c>
      <c r="F1802" t="s">
        <v>13</v>
      </c>
      <c r="G1802" t="s">
        <v>14</v>
      </c>
      <c r="H1802" t="s">
        <v>15</v>
      </c>
      <c r="I1802" t="s">
        <v>47</v>
      </c>
    </row>
    <row r="1803" spans="1:9" x14ac:dyDescent="0.3">
      <c r="A1803" t="s">
        <v>5325</v>
      </c>
      <c r="B1803" t="s">
        <v>5326</v>
      </c>
      <c r="C1803" t="s">
        <v>69</v>
      </c>
      <c r="D1803" s="1">
        <v>45225</v>
      </c>
      <c r="E1803" t="s">
        <v>5327</v>
      </c>
      <c r="F1803" t="s">
        <v>13</v>
      </c>
      <c r="G1803" t="s">
        <v>14</v>
      </c>
      <c r="H1803" t="s">
        <v>15</v>
      </c>
      <c r="I1803" t="s">
        <v>71</v>
      </c>
    </row>
    <row r="1804" spans="1:9" x14ac:dyDescent="0.3">
      <c r="A1804" t="s">
        <v>5328</v>
      </c>
      <c r="B1804" t="s">
        <v>5329</v>
      </c>
      <c r="C1804" t="s">
        <v>24</v>
      </c>
      <c r="D1804" s="1">
        <v>45225</v>
      </c>
      <c r="E1804" t="s">
        <v>5330</v>
      </c>
      <c r="F1804" t="s">
        <v>13</v>
      </c>
      <c r="G1804" t="s">
        <v>14</v>
      </c>
      <c r="H1804" t="s">
        <v>15</v>
      </c>
      <c r="I1804" t="s">
        <v>26</v>
      </c>
    </row>
    <row r="1805" spans="1:9" x14ac:dyDescent="0.3">
      <c r="A1805" t="s">
        <v>5331</v>
      </c>
      <c r="B1805" t="s">
        <v>5332</v>
      </c>
      <c r="C1805" t="s">
        <v>45</v>
      </c>
      <c r="D1805" s="1">
        <v>45226</v>
      </c>
      <c r="E1805" t="s">
        <v>5333</v>
      </c>
      <c r="F1805" t="s">
        <v>13</v>
      </c>
      <c r="G1805" t="s">
        <v>14</v>
      </c>
      <c r="H1805" t="s">
        <v>15</v>
      </c>
    </row>
    <row r="1806" spans="1:9" x14ac:dyDescent="0.3">
      <c r="A1806" t="s">
        <v>5334</v>
      </c>
      <c r="B1806" t="s">
        <v>5335</v>
      </c>
      <c r="C1806" t="s">
        <v>54</v>
      </c>
      <c r="D1806" s="1">
        <v>45226</v>
      </c>
      <c r="E1806" t="s">
        <v>5336</v>
      </c>
      <c r="F1806" t="s">
        <v>13</v>
      </c>
      <c r="G1806" t="s">
        <v>14</v>
      </c>
      <c r="H1806" t="s">
        <v>15</v>
      </c>
      <c r="I1806" t="s">
        <v>238</v>
      </c>
    </row>
    <row r="1807" spans="1:9" x14ac:dyDescent="0.3">
      <c r="A1807" t="s">
        <v>3810</v>
      </c>
      <c r="B1807" t="s">
        <v>5337</v>
      </c>
      <c r="C1807" t="s">
        <v>19</v>
      </c>
      <c r="D1807" s="1">
        <v>45227</v>
      </c>
      <c r="E1807" t="s">
        <v>5338</v>
      </c>
      <c r="F1807" t="s">
        <v>13</v>
      </c>
      <c r="G1807" t="s">
        <v>14</v>
      </c>
      <c r="H1807" t="s">
        <v>15</v>
      </c>
      <c r="I1807" t="s">
        <v>116</v>
      </c>
    </row>
    <row r="1808" spans="1:9" x14ac:dyDescent="0.3">
      <c r="A1808" t="s">
        <v>5339</v>
      </c>
      <c r="B1808" t="s">
        <v>5340</v>
      </c>
      <c r="C1808" t="s">
        <v>33</v>
      </c>
      <c r="D1808" s="1">
        <v>45227</v>
      </c>
      <c r="E1808" t="s">
        <v>5341</v>
      </c>
      <c r="F1808" t="s">
        <v>13</v>
      </c>
      <c r="G1808" t="s">
        <v>14</v>
      </c>
      <c r="H1808" t="s">
        <v>15</v>
      </c>
    </row>
    <row r="1809" spans="1:9" x14ac:dyDescent="0.3">
      <c r="A1809" t="s">
        <v>4133</v>
      </c>
      <c r="B1809" t="s">
        <v>5342</v>
      </c>
      <c r="C1809" t="s">
        <v>19</v>
      </c>
      <c r="D1809" s="1">
        <v>45228</v>
      </c>
      <c r="E1809" t="s">
        <v>5343</v>
      </c>
      <c r="F1809" t="s">
        <v>13</v>
      </c>
      <c r="G1809" t="s">
        <v>174</v>
      </c>
      <c r="H1809" t="s">
        <v>15</v>
      </c>
      <c r="I1809" t="s">
        <v>116</v>
      </c>
    </row>
    <row r="1810" spans="1:9" x14ac:dyDescent="0.3">
      <c r="A1810" t="s">
        <v>5344</v>
      </c>
      <c r="B1810" t="s">
        <v>5345</v>
      </c>
      <c r="C1810" t="s">
        <v>11</v>
      </c>
      <c r="D1810" s="1">
        <v>45228</v>
      </c>
      <c r="E1810" t="s">
        <v>5346</v>
      </c>
      <c r="F1810" t="s">
        <v>13</v>
      </c>
      <c r="G1810" t="s">
        <v>14</v>
      </c>
      <c r="H1810" t="s">
        <v>15</v>
      </c>
      <c r="I1810" t="s">
        <v>38</v>
      </c>
    </row>
    <row r="1811" spans="1:9" x14ac:dyDescent="0.3">
      <c r="A1811" t="s">
        <v>5347</v>
      </c>
      <c r="B1811" t="s">
        <v>5348</v>
      </c>
      <c r="C1811" t="s">
        <v>54</v>
      </c>
      <c r="D1811" s="1">
        <v>45228</v>
      </c>
      <c r="E1811" t="s">
        <v>5349</v>
      </c>
      <c r="F1811" t="s">
        <v>13</v>
      </c>
      <c r="G1811" t="s">
        <v>14</v>
      </c>
      <c r="H1811" t="s">
        <v>15</v>
      </c>
      <c r="I1811" t="s">
        <v>181</v>
      </c>
    </row>
    <row r="1812" spans="1:9" x14ac:dyDescent="0.3">
      <c r="A1812" t="s">
        <v>5350</v>
      </c>
      <c r="B1812" t="s">
        <v>5351</v>
      </c>
      <c r="C1812" t="s">
        <v>45</v>
      </c>
      <c r="D1812" s="1">
        <v>45228</v>
      </c>
      <c r="E1812" t="s">
        <v>5352</v>
      </c>
      <c r="F1812" t="s">
        <v>13</v>
      </c>
      <c r="G1812" t="s">
        <v>14</v>
      </c>
      <c r="H1812" t="s">
        <v>15</v>
      </c>
      <c r="I1812" t="s">
        <v>47</v>
      </c>
    </row>
    <row r="1813" spans="1:9" x14ac:dyDescent="0.3">
      <c r="A1813" t="s">
        <v>4407</v>
      </c>
      <c r="B1813" t="s">
        <v>5353</v>
      </c>
      <c r="C1813" t="s">
        <v>19</v>
      </c>
      <c r="D1813" s="1">
        <v>45228</v>
      </c>
      <c r="E1813" t="s">
        <v>5354</v>
      </c>
      <c r="F1813" t="s">
        <v>13</v>
      </c>
      <c r="G1813" t="s">
        <v>14</v>
      </c>
      <c r="H1813" t="s">
        <v>15</v>
      </c>
      <c r="I1813" t="s">
        <v>116</v>
      </c>
    </row>
    <row r="1814" spans="1:9" x14ac:dyDescent="0.3">
      <c r="A1814" t="s">
        <v>5355</v>
      </c>
      <c r="B1814" t="s">
        <v>5356</v>
      </c>
      <c r="C1814" t="s">
        <v>33</v>
      </c>
      <c r="D1814" s="1">
        <v>45231</v>
      </c>
      <c r="E1814" t="s">
        <v>5357</v>
      </c>
      <c r="F1814" t="s">
        <v>13</v>
      </c>
      <c r="G1814" t="s">
        <v>14</v>
      </c>
      <c r="H1814" t="s">
        <v>15</v>
      </c>
      <c r="I1814" t="s">
        <v>51</v>
      </c>
    </row>
    <row r="1815" spans="1:9" x14ac:dyDescent="0.3">
      <c r="A1815" t="s">
        <v>5358</v>
      </c>
      <c r="B1815" t="s">
        <v>5359</v>
      </c>
      <c r="C1815" t="s">
        <v>19</v>
      </c>
      <c r="D1815" s="1">
        <v>45231</v>
      </c>
      <c r="E1815" t="s">
        <v>5360</v>
      </c>
      <c r="F1815" t="s">
        <v>13</v>
      </c>
      <c r="G1815" t="s">
        <v>14</v>
      </c>
      <c r="H1815" t="s">
        <v>15</v>
      </c>
    </row>
    <row r="1816" spans="1:9" x14ac:dyDescent="0.3">
      <c r="A1816" t="s">
        <v>5361</v>
      </c>
      <c r="B1816" t="s">
        <v>5362</v>
      </c>
      <c r="C1816" t="s">
        <v>69</v>
      </c>
      <c r="D1816" s="1">
        <v>45232</v>
      </c>
      <c r="E1816" t="s">
        <v>5363</v>
      </c>
      <c r="F1816" t="s">
        <v>13</v>
      </c>
      <c r="G1816" t="s">
        <v>14</v>
      </c>
      <c r="H1816" t="s">
        <v>15</v>
      </c>
    </row>
    <row r="1817" spans="1:9" x14ac:dyDescent="0.3">
      <c r="A1817" t="s">
        <v>5364</v>
      </c>
      <c r="B1817" t="s">
        <v>5365</v>
      </c>
      <c r="C1817" t="s">
        <v>69</v>
      </c>
      <c r="D1817" s="1">
        <v>45232</v>
      </c>
      <c r="E1817" t="s">
        <v>5366</v>
      </c>
      <c r="F1817" t="s">
        <v>13</v>
      </c>
      <c r="G1817" t="s">
        <v>14</v>
      </c>
      <c r="H1817" t="s">
        <v>15</v>
      </c>
      <c r="I1817" t="s">
        <v>71</v>
      </c>
    </row>
    <row r="1818" spans="1:9" x14ac:dyDescent="0.3">
      <c r="A1818" t="s">
        <v>3807</v>
      </c>
      <c r="B1818" t="s">
        <v>5367</v>
      </c>
      <c r="C1818" t="s">
        <v>19</v>
      </c>
      <c r="D1818" s="1">
        <v>45232</v>
      </c>
      <c r="E1818" t="s">
        <v>5368</v>
      </c>
      <c r="F1818" t="s">
        <v>13</v>
      </c>
      <c r="G1818" t="s">
        <v>14</v>
      </c>
      <c r="H1818" t="s">
        <v>15</v>
      </c>
    </row>
    <row r="1819" spans="1:9" x14ac:dyDescent="0.3">
      <c r="A1819" t="s">
        <v>5369</v>
      </c>
      <c r="B1819" t="s">
        <v>5370</v>
      </c>
      <c r="C1819" t="s">
        <v>29</v>
      </c>
      <c r="D1819" s="1">
        <v>45233</v>
      </c>
      <c r="E1819" t="s">
        <v>5371</v>
      </c>
      <c r="F1819" t="s">
        <v>13</v>
      </c>
      <c r="G1819" t="s">
        <v>14</v>
      </c>
      <c r="H1819" t="s">
        <v>15</v>
      </c>
    </row>
    <row r="1820" spans="1:9" x14ac:dyDescent="0.3">
      <c r="A1820" t="s">
        <v>5372</v>
      </c>
      <c r="B1820" t="s">
        <v>5373</v>
      </c>
      <c r="C1820" t="s">
        <v>19</v>
      </c>
      <c r="D1820" s="1">
        <v>45233</v>
      </c>
      <c r="E1820" t="s">
        <v>5374</v>
      </c>
      <c r="F1820" t="s">
        <v>13</v>
      </c>
      <c r="G1820" t="s">
        <v>14</v>
      </c>
      <c r="H1820" t="s">
        <v>15</v>
      </c>
      <c r="I1820" t="s">
        <v>21</v>
      </c>
    </row>
    <row r="1821" spans="1:9" x14ac:dyDescent="0.3">
      <c r="A1821" t="s">
        <v>5375</v>
      </c>
      <c r="B1821" t="s">
        <v>5376</v>
      </c>
      <c r="C1821" t="s">
        <v>24</v>
      </c>
      <c r="D1821" s="1">
        <v>45233</v>
      </c>
      <c r="E1821" t="s">
        <v>5377</v>
      </c>
      <c r="F1821" t="s">
        <v>13</v>
      </c>
      <c r="G1821" t="s">
        <v>14</v>
      </c>
      <c r="H1821" t="s">
        <v>15</v>
      </c>
      <c r="I1821" t="s">
        <v>59</v>
      </c>
    </row>
    <row r="1822" spans="1:9" x14ac:dyDescent="0.3">
      <c r="A1822" t="s">
        <v>5378</v>
      </c>
      <c r="B1822" t="s">
        <v>5379</v>
      </c>
      <c r="C1822" t="s">
        <v>45</v>
      </c>
      <c r="D1822" s="1">
        <v>45234</v>
      </c>
      <c r="E1822" t="s">
        <v>5380</v>
      </c>
      <c r="F1822" t="s">
        <v>13</v>
      </c>
      <c r="G1822" t="s">
        <v>14</v>
      </c>
      <c r="H1822" t="s">
        <v>15</v>
      </c>
      <c r="I1822" t="s">
        <v>47</v>
      </c>
    </row>
    <row r="1823" spans="1:9" x14ac:dyDescent="0.3">
      <c r="A1823" t="s">
        <v>5381</v>
      </c>
      <c r="B1823" t="s">
        <v>5382</v>
      </c>
      <c r="C1823" t="s">
        <v>45</v>
      </c>
      <c r="D1823" s="1">
        <v>45234</v>
      </c>
      <c r="E1823" t="s">
        <v>5383</v>
      </c>
      <c r="F1823" t="s">
        <v>13</v>
      </c>
      <c r="G1823" t="s">
        <v>14</v>
      </c>
      <c r="H1823" t="s">
        <v>15</v>
      </c>
      <c r="I1823" t="s">
        <v>47</v>
      </c>
    </row>
    <row r="1824" spans="1:9" x14ac:dyDescent="0.3">
      <c r="A1824" t="s">
        <v>5384</v>
      </c>
      <c r="B1824" t="s">
        <v>5385</v>
      </c>
      <c r="C1824" t="s">
        <v>29</v>
      </c>
      <c r="D1824" s="1">
        <v>45234</v>
      </c>
      <c r="E1824" t="s">
        <v>5386</v>
      </c>
      <c r="F1824" t="s">
        <v>13</v>
      </c>
      <c r="G1824" t="s">
        <v>14</v>
      </c>
      <c r="H1824" t="s">
        <v>15</v>
      </c>
      <c r="I1824" t="s">
        <v>42</v>
      </c>
    </row>
    <row r="1825" spans="1:9" x14ac:dyDescent="0.3">
      <c r="A1825" t="s">
        <v>4208</v>
      </c>
      <c r="B1825" t="s">
        <v>5387</v>
      </c>
      <c r="C1825" t="s">
        <v>19</v>
      </c>
      <c r="D1825" s="1">
        <v>45235</v>
      </c>
      <c r="E1825" t="s">
        <v>5388</v>
      </c>
      <c r="F1825" t="s">
        <v>13</v>
      </c>
      <c r="G1825" t="s">
        <v>14</v>
      </c>
      <c r="H1825" t="s">
        <v>15</v>
      </c>
      <c r="I1825" t="s">
        <v>116</v>
      </c>
    </row>
    <row r="1826" spans="1:9" x14ac:dyDescent="0.3">
      <c r="A1826" t="s">
        <v>5389</v>
      </c>
      <c r="B1826" t="s">
        <v>5390</v>
      </c>
      <c r="C1826" t="s">
        <v>24</v>
      </c>
      <c r="D1826" s="1">
        <v>45236</v>
      </c>
      <c r="E1826" t="s">
        <v>5391</v>
      </c>
      <c r="F1826" t="s">
        <v>13</v>
      </c>
      <c r="G1826" t="s">
        <v>14</v>
      </c>
      <c r="H1826" t="s">
        <v>15</v>
      </c>
      <c r="I1826" t="s">
        <v>26</v>
      </c>
    </row>
    <row r="1827" spans="1:9" x14ac:dyDescent="0.3">
      <c r="A1827" t="s">
        <v>5392</v>
      </c>
      <c r="B1827" t="s">
        <v>5393</v>
      </c>
      <c r="C1827" t="s">
        <v>11</v>
      </c>
      <c r="D1827" s="1">
        <v>45237</v>
      </c>
      <c r="E1827" t="s">
        <v>5394</v>
      </c>
      <c r="F1827" t="s">
        <v>13</v>
      </c>
      <c r="G1827" t="s">
        <v>14</v>
      </c>
      <c r="H1827" t="s">
        <v>15</v>
      </c>
      <c r="I1827" t="s">
        <v>16</v>
      </c>
    </row>
    <row r="1828" spans="1:9" x14ac:dyDescent="0.3">
      <c r="A1828" t="s">
        <v>5395</v>
      </c>
      <c r="B1828" t="s">
        <v>5396</v>
      </c>
      <c r="C1828" t="s">
        <v>45</v>
      </c>
      <c r="D1828" s="1">
        <v>45237</v>
      </c>
      <c r="E1828" t="s">
        <v>5397</v>
      </c>
      <c r="F1828" t="s">
        <v>13</v>
      </c>
      <c r="G1828" t="s">
        <v>14</v>
      </c>
      <c r="H1828" t="s">
        <v>15</v>
      </c>
      <c r="I1828" t="s">
        <v>47</v>
      </c>
    </row>
    <row r="1829" spans="1:9" x14ac:dyDescent="0.3">
      <c r="A1829" t="s">
        <v>5398</v>
      </c>
      <c r="B1829" t="s">
        <v>5399</v>
      </c>
      <c r="C1829" t="s">
        <v>33</v>
      </c>
      <c r="D1829" s="1">
        <v>45237</v>
      </c>
      <c r="E1829" t="s">
        <v>5400</v>
      </c>
      <c r="F1829" t="s">
        <v>13</v>
      </c>
      <c r="G1829" t="s">
        <v>14</v>
      </c>
      <c r="H1829" t="s">
        <v>15</v>
      </c>
      <c r="I1829" t="s">
        <v>94</v>
      </c>
    </row>
    <row r="1830" spans="1:9" x14ac:dyDescent="0.3">
      <c r="A1830" t="s">
        <v>5401</v>
      </c>
      <c r="B1830" t="s">
        <v>5402</v>
      </c>
      <c r="C1830" t="s">
        <v>29</v>
      </c>
      <c r="D1830" s="1">
        <v>45237</v>
      </c>
      <c r="E1830" t="s">
        <v>5403</v>
      </c>
      <c r="F1830" t="s">
        <v>13</v>
      </c>
      <c r="G1830" t="s">
        <v>14</v>
      </c>
      <c r="H1830" t="s">
        <v>15</v>
      </c>
      <c r="I1830" t="s">
        <v>81</v>
      </c>
    </row>
    <row r="1831" spans="1:9" x14ac:dyDescent="0.3">
      <c r="A1831" t="s">
        <v>5404</v>
      </c>
      <c r="B1831" t="s">
        <v>5405</v>
      </c>
      <c r="C1831" t="s">
        <v>33</v>
      </c>
      <c r="D1831" s="1">
        <v>45238</v>
      </c>
      <c r="E1831" t="s">
        <v>5406</v>
      </c>
      <c r="F1831" t="s">
        <v>13</v>
      </c>
      <c r="G1831" t="s">
        <v>14</v>
      </c>
      <c r="H1831" t="s">
        <v>15</v>
      </c>
      <c r="I1831" t="s">
        <v>51</v>
      </c>
    </row>
    <row r="1832" spans="1:9" x14ac:dyDescent="0.3">
      <c r="A1832" t="s">
        <v>5082</v>
      </c>
      <c r="B1832" t="s">
        <v>5407</v>
      </c>
      <c r="C1832" t="s">
        <v>19</v>
      </c>
      <c r="D1832" s="1">
        <v>45238</v>
      </c>
      <c r="E1832" t="s">
        <v>5408</v>
      </c>
      <c r="F1832" t="s">
        <v>13</v>
      </c>
      <c r="G1832" t="s">
        <v>14</v>
      </c>
      <c r="H1832" t="s">
        <v>15</v>
      </c>
      <c r="I1832" t="s">
        <v>116</v>
      </c>
    </row>
    <row r="1833" spans="1:9" x14ac:dyDescent="0.3">
      <c r="A1833" t="s">
        <v>5409</v>
      </c>
      <c r="B1833" t="s">
        <v>5410</v>
      </c>
      <c r="C1833" t="s">
        <v>45</v>
      </c>
      <c r="D1833" s="1">
        <v>45239</v>
      </c>
      <c r="E1833" t="s">
        <v>5411</v>
      </c>
      <c r="F1833" t="s">
        <v>13</v>
      </c>
      <c r="G1833" t="s">
        <v>14</v>
      </c>
      <c r="H1833" t="s">
        <v>15</v>
      </c>
      <c r="I1833" t="s">
        <v>47</v>
      </c>
    </row>
    <row r="1834" spans="1:9" x14ac:dyDescent="0.3">
      <c r="A1834" t="s">
        <v>5412</v>
      </c>
      <c r="B1834" t="s">
        <v>5413</v>
      </c>
      <c r="C1834" t="s">
        <v>24</v>
      </c>
      <c r="D1834" s="1">
        <v>45239</v>
      </c>
      <c r="E1834" t="s">
        <v>5414</v>
      </c>
      <c r="F1834" t="s">
        <v>13</v>
      </c>
      <c r="G1834" t="s">
        <v>14</v>
      </c>
      <c r="H1834" t="s">
        <v>15</v>
      </c>
      <c r="I1834" t="s">
        <v>59</v>
      </c>
    </row>
    <row r="1835" spans="1:9" x14ac:dyDescent="0.3">
      <c r="A1835" t="s">
        <v>5415</v>
      </c>
      <c r="B1835" t="s">
        <v>5416</v>
      </c>
      <c r="C1835" t="s">
        <v>45</v>
      </c>
      <c r="D1835" s="1">
        <v>45240</v>
      </c>
      <c r="E1835" t="s">
        <v>5417</v>
      </c>
      <c r="F1835" t="s">
        <v>13</v>
      </c>
      <c r="G1835" t="s">
        <v>14</v>
      </c>
      <c r="H1835" t="s">
        <v>15</v>
      </c>
      <c r="I1835" t="s">
        <v>248</v>
      </c>
    </row>
    <row r="1836" spans="1:9" x14ac:dyDescent="0.3">
      <c r="A1836" t="s">
        <v>5110</v>
      </c>
      <c r="B1836" t="s">
        <v>5418</v>
      </c>
      <c r="C1836" t="s">
        <v>19</v>
      </c>
      <c r="D1836" s="1">
        <v>45240</v>
      </c>
      <c r="E1836" t="s">
        <v>5419</v>
      </c>
      <c r="F1836" t="s">
        <v>13</v>
      </c>
      <c r="G1836" t="s">
        <v>14</v>
      </c>
      <c r="H1836" t="s">
        <v>15</v>
      </c>
      <c r="I1836" t="s">
        <v>116</v>
      </c>
    </row>
    <row r="1837" spans="1:9" x14ac:dyDescent="0.3">
      <c r="A1837" t="s">
        <v>5420</v>
      </c>
      <c r="B1837" t="s">
        <v>5421</v>
      </c>
      <c r="C1837" t="s">
        <v>45</v>
      </c>
      <c r="D1837" s="1">
        <v>45240</v>
      </c>
      <c r="E1837" t="s">
        <v>5422</v>
      </c>
      <c r="F1837" t="s">
        <v>13</v>
      </c>
      <c r="G1837" t="s">
        <v>14</v>
      </c>
      <c r="H1837" t="s">
        <v>15</v>
      </c>
      <c r="I1837" t="s">
        <v>47</v>
      </c>
    </row>
    <row r="1838" spans="1:9" x14ac:dyDescent="0.3">
      <c r="A1838" t="s">
        <v>5423</v>
      </c>
      <c r="B1838" t="s">
        <v>5424</v>
      </c>
      <c r="C1838" t="s">
        <v>19</v>
      </c>
      <c r="D1838" s="1">
        <v>45240</v>
      </c>
      <c r="E1838" t="s">
        <v>5425</v>
      </c>
      <c r="F1838" t="s">
        <v>13</v>
      </c>
      <c r="G1838" t="s">
        <v>14</v>
      </c>
      <c r="H1838" t="s">
        <v>15</v>
      </c>
    </row>
    <row r="1839" spans="1:9" x14ac:dyDescent="0.3">
      <c r="A1839" t="s">
        <v>5426</v>
      </c>
      <c r="B1839" t="s">
        <v>5427</v>
      </c>
      <c r="C1839" t="s">
        <v>33</v>
      </c>
      <c r="D1839" s="1">
        <v>45240</v>
      </c>
      <c r="E1839" t="s">
        <v>5428</v>
      </c>
      <c r="F1839" t="s">
        <v>13</v>
      </c>
      <c r="G1839" t="s">
        <v>14</v>
      </c>
      <c r="H1839" t="s">
        <v>15</v>
      </c>
      <c r="I1839" t="s">
        <v>94</v>
      </c>
    </row>
    <row r="1840" spans="1:9" x14ac:dyDescent="0.3">
      <c r="A1840" t="s">
        <v>5429</v>
      </c>
      <c r="B1840" t="s">
        <v>5430</v>
      </c>
      <c r="C1840" t="s">
        <v>11</v>
      </c>
      <c r="D1840" s="1">
        <v>45240</v>
      </c>
      <c r="E1840" t="s">
        <v>5431</v>
      </c>
      <c r="F1840" t="s">
        <v>13</v>
      </c>
      <c r="G1840" t="s">
        <v>14</v>
      </c>
      <c r="H1840" t="s">
        <v>15</v>
      </c>
      <c r="I1840" t="s">
        <v>185</v>
      </c>
    </row>
    <row r="1841" spans="1:9" x14ac:dyDescent="0.3">
      <c r="A1841" t="s">
        <v>5432</v>
      </c>
      <c r="B1841" t="s">
        <v>5433</v>
      </c>
      <c r="C1841" t="s">
        <v>29</v>
      </c>
      <c r="D1841" s="1">
        <v>45241</v>
      </c>
      <c r="E1841" t="s">
        <v>5434</v>
      </c>
      <c r="F1841" t="s">
        <v>13</v>
      </c>
      <c r="G1841" t="s">
        <v>14</v>
      </c>
      <c r="H1841" t="s">
        <v>15</v>
      </c>
      <c r="I1841" t="s">
        <v>204</v>
      </c>
    </row>
    <row r="1842" spans="1:9" x14ac:dyDescent="0.3">
      <c r="A1842" t="s">
        <v>5435</v>
      </c>
      <c r="B1842" t="s">
        <v>5436</v>
      </c>
      <c r="C1842" t="s">
        <v>11</v>
      </c>
      <c r="D1842" s="1">
        <v>45241</v>
      </c>
      <c r="E1842" t="s">
        <v>5437</v>
      </c>
      <c r="F1842" t="s">
        <v>13</v>
      </c>
      <c r="G1842" t="s">
        <v>14</v>
      </c>
      <c r="H1842" t="s">
        <v>15</v>
      </c>
    </row>
    <row r="1843" spans="1:9" x14ac:dyDescent="0.3">
      <c r="A1843" t="s">
        <v>5438</v>
      </c>
      <c r="B1843" t="s">
        <v>5439</v>
      </c>
      <c r="C1843" t="s">
        <v>29</v>
      </c>
      <c r="D1843" s="1">
        <v>45242</v>
      </c>
      <c r="E1843" t="s">
        <v>5440</v>
      </c>
      <c r="F1843" t="s">
        <v>13</v>
      </c>
      <c r="G1843" t="s">
        <v>14</v>
      </c>
      <c r="H1843" t="s">
        <v>15</v>
      </c>
      <c r="I1843" t="s">
        <v>204</v>
      </c>
    </row>
    <row r="1844" spans="1:9" x14ac:dyDescent="0.3">
      <c r="A1844" t="s">
        <v>5441</v>
      </c>
      <c r="B1844" t="s">
        <v>5442</v>
      </c>
      <c r="C1844" t="s">
        <v>45</v>
      </c>
      <c r="D1844" s="1">
        <v>45243</v>
      </c>
      <c r="E1844" t="s">
        <v>5443</v>
      </c>
      <c r="F1844" t="s">
        <v>13</v>
      </c>
      <c r="G1844" t="s">
        <v>14</v>
      </c>
      <c r="H1844" t="s">
        <v>15</v>
      </c>
      <c r="I1844" t="s">
        <v>47</v>
      </c>
    </row>
    <row r="1845" spans="1:9" x14ac:dyDescent="0.3">
      <c r="A1845" t="s">
        <v>5444</v>
      </c>
      <c r="B1845" t="s">
        <v>5445</v>
      </c>
      <c r="C1845" t="s">
        <v>33</v>
      </c>
      <c r="D1845" s="1">
        <v>45243</v>
      </c>
      <c r="E1845" t="s">
        <v>5446</v>
      </c>
      <c r="F1845" t="s">
        <v>13</v>
      </c>
      <c r="G1845" t="s">
        <v>14</v>
      </c>
      <c r="H1845" t="s">
        <v>15</v>
      </c>
      <c r="I1845" t="s">
        <v>94</v>
      </c>
    </row>
    <row r="1846" spans="1:9" x14ac:dyDescent="0.3">
      <c r="A1846" t="s">
        <v>5447</v>
      </c>
      <c r="B1846" t="s">
        <v>5448</v>
      </c>
      <c r="C1846" t="s">
        <v>24</v>
      </c>
      <c r="D1846" s="1">
        <v>45243</v>
      </c>
      <c r="E1846" t="s">
        <v>5449</v>
      </c>
      <c r="F1846" t="s">
        <v>13</v>
      </c>
      <c r="G1846" t="s">
        <v>14</v>
      </c>
      <c r="H1846" t="s">
        <v>15</v>
      </c>
      <c r="I1846" t="s">
        <v>63</v>
      </c>
    </row>
    <row r="1847" spans="1:9" x14ac:dyDescent="0.3">
      <c r="A1847" t="s">
        <v>5450</v>
      </c>
      <c r="B1847" t="s">
        <v>5451</v>
      </c>
      <c r="C1847" t="s">
        <v>54</v>
      </c>
      <c r="D1847" s="1">
        <v>45244</v>
      </c>
      <c r="E1847" t="s">
        <v>5452</v>
      </c>
      <c r="F1847" t="s">
        <v>13</v>
      </c>
      <c r="G1847" t="s">
        <v>14</v>
      </c>
      <c r="H1847" t="s">
        <v>15</v>
      </c>
      <c r="I1847" t="s">
        <v>238</v>
      </c>
    </row>
    <row r="1848" spans="1:9" x14ac:dyDescent="0.3">
      <c r="A1848" t="s">
        <v>4886</v>
      </c>
      <c r="B1848" t="s">
        <v>5453</v>
      </c>
      <c r="C1848" t="s">
        <v>19</v>
      </c>
      <c r="D1848" s="1">
        <v>45244</v>
      </c>
      <c r="E1848" t="s">
        <v>5454</v>
      </c>
      <c r="F1848" t="s">
        <v>13</v>
      </c>
      <c r="G1848" t="s">
        <v>14</v>
      </c>
      <c r="H1848" t="s">
        <v>15</v>
      </c>
      <c r="I1848" t="s">
        <v>21</v>
      </c>
    </row>
    <row r="1849" spans="1:9" x14ac:dyDescent="0.3">
      <c r="A1849" t="s">
        <v>5455</v>
      </c>
      <c r="B1849" t="s">
        <v>5456</v>
      </c>
      <c r="C1849" t="s">
        <v>29</v>
      </c>
      <c r="D1849" s="1">
        <v>45244</v>
      </c>
      <c r="E1849" t="s">
        <v>5457</v>
      </c>
      <c r="F1849" t="s">
        <v>13</v>
      </c>
      <c r="G1849" t="s">
        <v>14</v>
      </c>
      <c r="H1849" t="s">
        <v>15</v>
      </c>
      <c r="I1849" t="s">
        <v>81</v>
      </c>
    </row>
    <row r="1850" spans="1:9" x14ac:dyDescent="0.3">
      <c r="A1850" t="s">
        <v>5458</v>
      </c>
      <c r="B1850" t="s">
        <v>5459</v>
      </c>
      <c r="C1850" t="s">
        <v>29</v>
      </c>
      <c r="D1850" s="1">
        <v>45244</v>
      </c>
      <c r="E1850" t="s">
        <v>5460</v>
      </c>
      <c r="F1850" t="s">
        <v>13</v>
      </c>
      <c r="G1850" t="s">
        <v>14</v>
      </c>
      <c r="H1850" t="s">
        <v>15</v>
      </c>
      <c r="I1850" t="s">
        <v>81</v>
      </c>
    </row>
    <row r="1851" spans="1:9" x14ac:dyDescent="0.3">
      <c r="A1851" t="s">
        <v>3280</v>
      </c>
      <c r="B1851" t="s">
        <v>5461</v>
      </c>
      <c r="C1851" t="s">
        <v>19</v>
      </c>
      <c r="D1851" s="1">
        <v>45244</v>
      </c>
      <c r="E1851" t="s">
        <v>5462</v>
      </c>
      <c r="F1851" t="s">
        <v>13</v>
      </c>
      <c r="G1851" t="s">
        <v>14</v>
      </c>
      <c r="H1851" t="s">
        <v>15</v>
      </c>
    </row>
    <row r="1852" spans="1:9" x14ac:dyDescent="0.3">
      <c r="A1852" t="s">
        <v>4223</v>
      </c>
      <c r="B1852" t="s">
        <v>5463</v>
      </c>
      <c r="C1852" t="s">
        <v>19</v>
      </c>
      <c r="D1852" s="1">
        <v>45245</v>
      </c>
      <c r="E1852" t="s">
        <v>5464</v>
      </c>
      <c r="F1852" t="s">
        <v>13</v>
      </c>
      <c r="G1852" t="s">
        <v>14</v>
      </c>
      <c r="H1852" t="s">
        <v>15</v>
      </c>
      <c r="I1852" t="s">
        <v>21</v>
      </c>
    </row>
    <row r="1853" spans="1:9" x14ac:dyDescent="0.3">
      <c r="A1853" t="s">
        <v>5465</v>
      </c>
      <c r="B1853" t="s">
        <v>5466</v>
      </c>
      <c r="C1853" t="s">
        <v>69</v>
      </c>
      <c r="D1853" s="1">
        <v>45245</v>
      </c>
      <c r="E1853" t="s">
        <v>5467</v>
      </c>
      <c r="F1853" t="s">
        <v>13</v>
      </c>
      <c r="G1853" t="s">
        <v>14</v>
      </c>
      <c r="H1853" t="s">
        <v>15</v>
      </c>
      <c r="I1853" t="s">
        <v>71</v>
      </c>
    </row>
    <row r="1854" spans="1:9" x14ac:dyDescent="0.3">
      <c r="A1854" t="s">
        <v>5468</v>
      </c>
      <c r="B1854" t="s">
        <v>5469</v>
      </c>
      <c r="C1854" t="s">
        <v>24</v>
      </c>
      <c r="D1854" s="1">
        <v>45245</v>
      </c>
      <c r="E1854" t="s">
        <v>5470</v>
      </c>
      <c r="F1854" t="s">
        <v>13</v>
      </c>
      <c r="G1854" t="s">
        <v>14</v>
      </c>
      <c r="H1854" t="s">
        <v>15</v>
      </c>
      <c r="I1854" t="s">
        <v>26</v>
      </c>
    </row>
    <row r="1855" spans="1:9" x14ac:dyDescent="0.3">
      <c r="A1855" t="s">
        <v>5471</v>
      </c>
      <c r="B1855" t="s">
        <v>5472</v>
      </c>
      <c r="C1855" t="s">
        <v>11</v>
      </c>
      <c r="D1855" s="1">
        <v>45245</v>
      </c>
      <c r="E1855" t="s">
        <v>5473</v>
      </c>
      <c r="F1855" t="s">
        <v>13</v>
      </c>
      <c r="G1855" t="s">
        <v>14</v>
      </c>
      <c r="H1855" t="s">
        <v>15</v>
      </c>
    </row>
    <row r="1856" spans="1:9" x14ac:dyDescent="0.3">
      <c r="A1856" t="s">
        <v>5474</v>
      </c>
      <c r="B1856" t="s">
        <v>5475</v>
      </c>
      <c r="C1856" t="s">
        <v>45</v>
      </c>
      <c r="D1856" s="1">
        <v>45245</v>
      </c>
      <c r="E1856" t="s">
        <v>5476</v>
      </c>
      <c r="F1856" t="s">
        <v>13</v>
      </c>
      <c r="G1856" t="s">
        <v>14</v>
      </c>
      <c r="H1856" t="s">
        <v>15</v>
      </c>
      <c r="I1856" t="s">
        <v>47</v>
      </c>
    </row>
    <row r="1857" spans="1:9" x14ac:dyDescent="0.3">
      <c r="A1857" t="s">
        <v>5477</v>
      </c>
      <c r="B1857" t="s">
        <v>5478</v>
      </c>
      <c r="C1857" t="s">
        <v>11</v>
      </c>
      <c r="D1857" s="1">
        <v>45246</v>
      </c>
      <c r="E1857" t="s">
        <v>5479</v>
      </c>
      <c r="F1857" t="s">
        <v>13</v>
      </c>
      <c r="G1857" t="s">
        <v>14</v>
      </c>
      <c r="H1857" t="s">
        <v>15</v>
      </c>
      <c r="I1857" t="s">
        <v>185</v>
      </c>
    </row>
    <row r="1858" spans="1:9" x14ac:dyDescent="0.3">
      <c r="A1858" t="s">
        <v>5480</v>
      </c>
      <c r="B1858" t="s">
        <v>5481</v>
      </c>
      <c r="C1858" t="s">
        <v>33</v>
      </c>
      <c r="D1858" s="1">
        <v>45247</v>
      </c>
      <c r="E1858" t="s">
        <v>5482</v>
      </c>
      <c r="F1858" t="s">
        <v>13</v>
      </c>
      <c r="G1858" t="s">
        <v>14</v>
      </c>
      <c r="H1858" t="s">
        <v>15</v>
      </c>
      <c r="I1858" t="s">
        <v>94</v>
      </c>
    </row>
    <row r="1859" spans="1:9" x14ac:dyDescent="0.3">
      <c r="A1859" t="s">
        <v>5483</v>
      </c>
      <c r="B1859" t="s">
        <v>5484</v>
      </c>
      <c r="C1859" t="s">
        <v>54</v>
      </c>
      <c r="D1859" s="1">
        <v>45247</v>
      </c>
      <c r="E1859" t="s">
        <v>5485</v>
      </c>
      <c r="F1859" t="s">
        <v>13</v>
      </c>
      <c r="G1859" t="s">
        <v>14</v>
      </c>
      <c r="H1859" t="s">
        <v>15</v>
      </c>
      <c r="I1859" t="s">
        <v>181</v>
      </c>
    </row>
    <row r="1860" spans="1:9" x14ac:dyDescent="0.3">
      <c r="A1860" t="s">
        <v>5486</v>
      </c>
      <c r="B1860" t="s">
        <v>5487</v>
      </c>
      <c r="C1860" t="s">
        <v>24</v>
      </c>
      <c r="D1860" s="1">
        <v>45247</v>
      </c>
      <c r="E1860" t="s">
        <v>5488</v>
      </c>
      <c r="F1860" t="s">
        <v>13</v>
      </c>
      <c r="G1860" t="s">
        <v>14</v>
      </c>
      <c r="H1860" t="s">
        <v>15</v>
      </c>
      <c r="I1860" t="s">
        <v>26</v>
      </c>
    </row>
    <row r="1861" spans="1:9" x14ac:dyDescent="0.3">
      <c r="A1861" t="s">
        <v>5489</v>
      </c>
      <c r="B1861" t="s">
        <v>5490</v>
      </c>
      <c r="C1861" t="s">
        <v>24</v>
      </c>
      <c r="D1861" s="1">
        <v>45249</v>
      </c>
      <c r="E1861" t="s">
        <v>5491</v>
      </c>
      <c r="F1861" t="s">
        <v>13</v>
      </c>
      <c r="G1861" t="s">
        <v>14</v>
      </c>
      <c r="H1861" t="s">
        <v>15</v>
      </c>
      <c r="I1861" t="s">
        <v>59</v>
      </c>
    </row>
    <row r="1862" spans="1:9" x14ac:dyDescent="0.3">
      <c r="A1862" t="s">
        <v>5492</v>
      </c>
      <c r="B1862" t="s">
        <v>5493</v>
      </c>
      <c r="C1862" t="s">
        <v>11</v>
      </c>
      <c r="D1862" s="1">
        <v>45249</v>
      </c>
      <c r="E1862" t="s">
        <v>5494</v>
      </c>
      <c r="F1862" t="s">
        <v>13</v>
      </c>
      <c r="G1862" t="s">
        <v>14</v>
      </c>
      <c r="H1862" t="s">
        <v>15</v>
      </c>
      <c r="I1862" t="s">
        <v>16</v>
      </c>
    </row>
    <row r="1863" spans="1:9" x14ac:dyDescent="0.3">
      <c r="A1863" t="s">
        <v>5495</v>
      </c>
      <c r="B1863" t="s">
        <v>5496</v>
      </c>
      <c r="C1863" t="s">
        <v>54</v>
      </c>
      <c r="D1863" s="1">
        <v>45250</v>
      </c>
      <c r="E1863" t="s">
        <v>5497</v>
      </c>
      <c r="F1863" t="s">
        <v>13</v>
      </c>
      <c r="G1863" t="s">
        <v>14</v>
      </c>
      <c r="H1863" t="s">
        <v>15</v>
      </c>
    </row>
    <row r="1864" spans="1:9" x14ac:dyDescent="0.3">
      <c r="A1864" t="s">
        <v>3011</v>
      </c>
      <c r="B1864" t="s">
        <v>5498</v>
      </c>
      <c r="C1864" t="s">
        <v>29</v>
      </c>
      <c r="D1864" s="1">
        <v>45251</v>
      </c>
      <c r="E1864" t="s">
        <v>5499</v>
      </c>
      <c r="F1864" t="s">
        <v>13</v>
      </c>
      <c r="G1864" t="s">
        <v>14</v>
      </c>
      <c r="H1864" t="s">
        <v>15</v>
      </c>
    </row>
    <row r="1865" spans="1:9" x14ac:dyDescent="0.3">
      <c r="A1865" t="s">
        <v>5500</v>
      </c>
      <c r="B1865" t="s">
        <v>5501</v>
      </c>
      <c r="C1865" t="s">
        <v>45</v>
      </c>
      <c r="D1865" s="1">
        <v>45251</v>
      </c>
      <c r="E1865" t="s">
        <v>5502</v>
      </c>
      <c r="F1865" t="s">
        <v>13</v>
      </c>
      <c r="G1865" t="s">
        <v>14</v>
      </c>
      <c r="H1865" t="s">
        <v>15</v>
      </c>
      <c r="I1865" t="s">
        <v>47</v>
      </c>
    </row>
    <row r="1866" spans="1:9" x14ac:dyDescent="0.3">
      <c r="A1866" t="s">
        <v>5503</v>
      </c>
      <c r="B1866" t="s">
        <v>5504</v>
      </c>
      <c r="C1866" t="s">
        <v>45</v>
      </c>
      <c r="D1866" s="1">
        <v>45252</v>
      </c>
      <c r="E1866" t="s">
        <v>5505</v>
      </c>
      <c r="F1866" t="s">
        <v>13</v>
      </c>
      <c r="G1866" t="s">
        <v>14</v>
      </c>
      <c r="H1866" t="s">
        <v>15</v>
      </c>
    </row>
    <row r="1867" spans="1:9" x14ac:dyDescent="0.3">
      <c r="A1867" t="s">
        <v>5506</v>
      </c>
      <c r="B1867" t="s">
        <v>5507</v>
      </c>
      <c r="C1867" t="s">
        <v>54</v>
      </c>
      <c r="D1867" s="1">
        <v>45252</v>
      </c>
      <c r="E1867" t="s">
        <v>5508</v>
      </c>
      <c r="F1867" t="s">
        <v>13</v>
      </c>
      <c r="G1867" t="s">
        <v>14</v>
      </c>
      <c r="H1867" t="s">
        <v>15</v>
      </c>
      <c r="I1867" t="s">
        <v>181</v>
      </c>
    </row>
    <row r="1868" spans="1:9" x14ac:dyDescent="0.3">
      <c r="A1868" t="s">
        <v>5509</v>
      </c>
      <c r="B1868" t="s">
        <v>5510</v>
      </c>
      <c r="C1868" t="s">
        <v>11</v>
      </c>
      <c r="D1868" s="1">
        <v>45253</v>
      </c>
      <c r="E1868" t="s">
        <v>5511</v>
      </c>
      <c r="F1868" t="s">
        <v>13</v>
      </c>
      <c r="G1868" t="s">
        <v>14</v>
      </c>
      <c r="H1868" t="s">
        <v>15</v>
      </c>
    </row>
    <row r="1869" spans="1:9" x14ac:dyDescent="0.3">
      <c r="A1869" t="s">
        <v>5512</v>
      </c>
      <c r="B1869" t="s">
        <v>5513</v>
      </c>
      <c r="C1869" t="s">
        <v>69</v>
      </c>
      <c r="D1869" s="1">
        <v>45253</v>
      </c>
      <c r="E1869" t="s">
        <v>5514</v>
      </c>
      <c r="F1869" t="s">
        <v>13</v>
      </c>
      <c r="G1869" t="s">
        <v>14</v>
      </c>
      <c r="H1869" t="s">
        <v>15</v>
      </c>
      <c r="I1869" t="s">
        <v>71</v>
      </c>
    </row>
    <row r="1870" spans="1:9" x14ac:dyDescent="0.3">
      <c r="A1870" t="s">
        <v>5515</v>
      </c>
      <c r="B1870" t="s">
        <v>5516</v>
      </c>
      <c r="C1870" t="s">
        <v>33</v>
      </c>
      <c r="D1870" s="1">
        <v>45253</v>
      </c>
      <c r="E1870" t="s">
        <v>5517</v>
      </c>
      <c r="F1870" t="s">
        <v>13</v>
      </c>
      <c r="G1870" t="s">
        <v>14</v>
      </c>
      <c r="H1870" t="s">
        <v>15</v>
      </c>
      <c r="I1870" t="s">
        <v>94</v>
      </c>
    </row>
    <row r="1871" spans="1:9" x14ac:dyDescent="0.3">
      <c r="A1871" t="s">
        <v>5518</v>
      </c>
      <c r="B1871" t="s">
        <v>5519</v>
      </c>
      <c r="C1871" t="s">
        <v>69</v>
      </c>
      <c r="D1871" s="1">
        <v>45253</v>
      </c>
      <c r="E1871" t="s">
        <v>5520</v>
      </c>
      <c r="F1871" t="s">
        <v>13</v>
      </c>
      <c r="G1871" t="s">
        <v>14</v>
      </c>
      <c r="H1871" t="s">
        <v>15</v>
      </c>
      <c r="I1871" t="s">
        <v>71</v>
      </c>
    </row>
    <row r="1872" spans="1:9" x14ac:dyDescent="0.3">
      <c r="A1872" t="s">
        <v>5521</v>
      </c>
      <c r="B1872" t="s">
        <v>5522</v>
      </c>
      <c r="C1872" t="s">
        <v>24</v>
      </c>
      <c r="D1872" s="1">
        <v>45254</v>
      </c>
      <c r="E1872" t="s">
        <v>5523</v>
      </c>
      <c r="F1872" t="s">
        <v>13</v>
      </c>
      <c r="G1872" t="s">
        <v>14</v>
      </c>
      <c r="H1872" t="s">
        <v>15</v>
      </c>
      <c r="I1872" t="s">
        <v>59</v>
      </c>
    </row>
    <row r="1873" spans="1:9" x14ac:dyDescent="0.3">
      <c r="A1873" t="s">
        <v>5524</v>
      </c>
      <c r="B1873" t="s">
        <v>5525</v>
      </c>
      <c r="C1873" t="s">
        <v>11</v>
      </c>
      <c r="D1873" s="1">
        <v>45254</v>
      </c>
      <c r="E1873" t="s">
        <v>5526</v>
      </c>
      <c r="F1873" t="s">
        <v>13</v>
      </c>
      <c r="G1873" t="s">
        <v>14</v>
      </c>
      <c r="H1873" t="s">
        <v>15</v>
      </c>
      <c r="I1873" t="s">
        <v>185</v>
      </c>
    </row>
    <row r="1874" spans="1:9" x14ac:dyDescent="0.3">
      <c r="A1874" t="s">
        <v>5527</v>
      </c>
      <c r="B1874" t="s">
        <v>5528</v>
      </c>
      <c r="C1874" t="s">
        <v>33</v>
      </c>
      <c r="D1874" s="1">
        <v>45255</v>
      </c>
      <c r="E1874" t="s">
        <v>5529</v>
      </c>
      <c r="F1874" t="s">
        <v>13</v>
      </c>
      <c r="G1874" t="s">
        <v>14</v>
      </c>
      <c r="H1874" t="s">
        <v>15</v>
      </c>
      <c r="I1874" t="s">
        <v>94</v>
      </c>
    </row>
    <row r="1875" spans="1:9" x14ac:dyDescent="0.3">
      <c r="A1875" t="s">
        <v>5530</v>
      </c>
      <c r="B1875" t="s">
        <v>5531</v>
      </c>
      <c r="C1875" t="s">
        <v>33</v>
      </c>
      <c r="D1875" s="1">
        <v>45255</v>
      </c>
      <c r="E1875" t="s">
        <v>5532</v>
      </c>
      <c r="F1875" t="s">
        <v>13</v>
      </c>
      <c r="G1875" t="s">
        <v>14</v>
      </c>
      <c r="H1875" t="s">
        <v>15</v>
      </c>
      <c r="I1875" t="s">
        <v>94</v>
      </c>
    </row>
    <row r="1876" spans="1:9" x14ac:dyDescent="0.3">
      <c r="A1876" t="s">
        <v>5533</v>
      </c>
      <c r="B1876" t="s">
        <v>5534</v>
      </c>
      <c r="C1876" t="s">
        <v>69</v>
      </c>
      <c r="D1876" s="1">
        <v>45255</v>
      </c>
      <c r="E1876" t="s">
        <v>5535</v>
      </c>
      <c r="F1876" t="s">
        <v>13</v>
      </c>
      <c r="G1876" t="s">
        <v>14</v>
      </c>
      <c r="H1876" t="s">
        <v>15</v>
      </c>
      <c r="I1876" t="s">
        <v>71</v>
      </c>
    </row>
    <row r="1877" spans="1:9" x14ac:dyDescent="0.3">
      <c r="A1877" t="s">
        <v>5536</v>
      </c>
      <c r="B1877" t="s">
        <v>5537</v>
      </c>
      <c r="C1877" t="s">
        <v>33</v>
      </c>
      <c r="D1877" s="1">
        <v>45255</v>
      </c>
      <c r="E1877" t="s">
        <v>5538</v>
      </c>
      <c r="F1877" t="s">
        <v>13</v>
      </c>
      <c r="G1877" t="s">
        <v>14</v>
      </c>
      <c r="H1877" t="s">
        <v>15</v>
      </c>
      <c r="I1877" t="s">
        <v>94</v>
      </c>
    </row>
    <row r="1878" spans="1:9" x14ac:dyDescent="0.3">
      <c r="A1878" t="s">
        <v>5539</v>
      </c>
      <c r="B1878" t="s">
        <v>5540</v>
      </c>
      <c r="C1878" t="s">
        <v>11</v>
      </c>
      <c r="D1878" s="1">
        <v>45255</v>
      </c>
      <c r="E1878" t="s">
        <v>5541</v>
      </c>
      <c r="F1878" t="s">
        <v>13</v>
      </c>
      <c r="G1878" t="s">
        <v>14</v>
      </c>
      <c r="H1878" t="s">
        <v>15</v>
      </c>
      <c r="I1878" t="s">
        <v>16</v>
      </c>
    </row>
    <row r="1879" spans="1:9" x14ac:dyDescent="0.3">
      <c r="A1879" t="s">
        <v>5542</v>
      </c>
      <c r="B1879" t="s">
        <v>5543</v>
      </c>
      <c r="C1879" t="s">
        <v>45</v>
      </c>
      <c r="D1879" s="1">
        <v>45256</v>
      </c>
      <c r="E1879" t="s">
        <v>5544</v>
      </c>
      <c r="F1879" t="s">
        <v>13</v>
      </c>
      <c r="G1879" t="s">
        <v>14</v>
      </c>
      <c r="H1879" t="s">
        <v>15</v>
      </c>
      <c r="I1879" t="s">
        <v>47</v>
      </c>
    </row>
    <row r="1880" spans="1:9" x14ac:dyDescent="0.3">
      <c r="A1880" t="s">
        <v>5545</v>
      </c>
      <c r="B1880" t="s">
        <v>5546</v>
      </c>
      <c r="C1880" t="s">
        <v>29</v>
      </c>
      <c r="D1880" s="1">
        <v>45256</v>
      </c>
      <c r="E1880" t="s">
        <v>5547</v>
      </c>
      <c r="F1880" t="s">
        <v>13</v>
      </c>
      <c r="G1880" t="s">
        <v>174</v>
      </c>
      <c r="H1880" t="s">
        <v>15</v>
      </c>
      <c r="I1880" t="s">
        <v>204</v>
      </c>
    </row>
    <row r="1881" spans="1:9" x14ac:dyDescent="0.3">
      <c r="A1881" t="s">
        <v>5548</v>
      </c>
      <c r="B1881" t="s">
        <v>5549</v>
      </c>
      <c r="C1881" t="s">
        <v>24</v>
      </c>
      <c r="D1881" s="1">
        <v>45257</v>
      </c>
      <c r="E1881" t="s">
        <v>5550</v>
      </c>
      <c r="F1881" t="s">
        <v>13</v>
      </c>
      <c r="G1881" t="s">
        <v>14</v>
      </c>
      <c r="H1881" t="s">
        <v>15</v>
      </c>
    </row>
    <row r="1882" spans="1:9" x14ac:dyDescent="0.3">
      <c r="A1882" t="s">
        <v>5551</v>
      </c>
      <c r="B1882" t="s">
        <v>5552</v>
      </c>
      <c r="C1882" t="s">
        <v>54</v>
      </c>
      <c r="D1882" s="1">
        <v>45257</v>
      </c>
      <c r="E1882" t="s">
        <v>5553</v>
      </c>
      <c r="F1882" t="s">
        <v>13</v>
      </c>
      <c r="G1882" t="s">
        <v>14</v>
      </c>
      <c r="H1882" t="s">
        <v>15</v>
      </c>
    </row>
    <row r="1883" spans="1:9" x14ac:dyDescent="0.3">
      <c r="A1883" t="s">
        <v>5554</v>
      </c>
      <c r="B1883" t="s">
        <v>5555</v>
      </c>
      <c r="C1883" t="s">
        <v>11</v>
      </c>
      <c r="D1883" s="1">
        <v>45258</v>
      </c>
      <c r="E1883" t="s">
        <v>5556</v>
      </c>
      <c r="F1883" t="s">
        <v>13</v>
      </c>
      <c r="G1883" t="s">
        <v>14</v>
      </c>
      <c r="H1883" t="s">
        <v>15</v>
      </c>
      <c r="I1883" t="s">
        <v>16</v>
      </c>
    </row>
    <row r="1884" spans="1:9" x14ac:dyDescent="0.3">
      <c r="A1884" t="s">
        <v>3984</v>
      </c>
      <c r="B1884" t="s">
        <v>5557</v>
      </c>
      <c r="C1884" t="s">
        <v>19</v>
      </c>
      <c r="D1884" s="1">
        <v>45258</v>
      </c>
      <c r="E1884" t="s">
        <v>5558</v>
      </c>
      <c r="F1884" t="s">
        <v>13</v>
      </c>
      <c r="G1884" t="s">
        <v>14</v>
      </c>
      <c r="H1884" t="s">
        <v>15</v>
      </c>
      <c r="I1884" t="s">
        <v>21</v>
      </c>
    </row>
    <row r="1885" spans="1:9" x14ac:dyDescent="0.3">
      <c r="A1885" t="s">
        <v>5559</v>
      </c>
      <c r="B1885" t="s">
        <v>5560</v>
      </c>
      <c r="C1885" t="s">
        <v>33</v>
      </c>
      <c r="D1885" s="1">
        <v>45258</v>
      </c>
      <c r="E1885" t="s">
        <v>5561</v>
      </c>
      <c r="F1885" t="s">
        <v>13</v>
      </c>
      <c r="G1885" t="s">
        <v>14</v>
      </c>
      <c r="H1885" t="s">
        <v>15</v>
      </c>
      <c r="I1885" t="s">
        <v>51</v>
      </c>
    </row>
    <row r="1886" spans="1:9" x14ac:dyDescent="0.3">
      <c r="A1886" t="s">
        <v>5562</v>
      </c>
      <c r="B1886" t="s">
        <v>5563</v>
      </c>
      <c r="C1886" t="s">
        <v>33</v>
      </c>
      <c r="D1886" s="1">
        <v>45258</v>
      </c>
      <c r="E1886" t="s">
        <v>5564</v>
      </c>
      <c r="F1886" t="s">
        <v>13</v>
      </c>
      <c r="G1886" t="s">
        <v>14</v>
      </c>
      <c r="H1886" t="s">
        <v>15</v>
      </c>
      <c r="I1886" t="s">
        <v>51</v>
      </c>
    </row>
    <row r="1887" spans="1:9" x14ac:dyDescent="0.3">
      <c r="A1887" t="s">
        <v>5565</v>
      </c>
      <c r="B1887" t="s">
        <v>5566</v>
      </c>
      <c r="C1887" t="s">
        <v>45</v>
      </c>
      <c r="D1887" s="1">
        <v>45258</v>
      </c>
      <c r="E1887" t="s">
        <v>5567</v>
      </c>
      <c r="F1887" t="s">
        <v>13</v>
      </c>
      <c r="G1887" t="s">
        <v>14</v>
      </c>
      <c r="H1887" t="s">
        <v>15</v>
      </c>
    </row>
    <row r="1888" spans="1:9" x14ac:dyDescent="0.3">
      <c r="A1888" t="s">
        <v>5568</v>
      </c>
      <c r="B1888" t="s">
        <v>5569</v>
      </c>
      <c r="C1888" t="s">
        <v>24</v>
      </c>
      <c r="D1888" s="1">
        <v>45259</v>
      </c>
      <c r="E1888" t="s">
        <v>5570</v>
      </c>
      <c r="F1888" t="s">
        <v>13</v>
      </c>
      <c r="G1888" t="s">
        <v>14</v>
      </c>
      <c r="H1888" t="s">
        <v>15</v>
      </c>
      <c r="I1888" t="s">
        <v>63</v>
      </c>
    </row>
    <row r="1889" spans="1:9" x14ac:dyDescent="0.3">
      <c r="A1889" t="s">
        <v>5571</v>
      </c>
      <c r="B1889" t="s">
        <v>5572</v>
      </c>
      <c r="C1889" t="s">
        <v>33</v>
      </c>
      <c r="D1889" s="1">
        <v>45262</v>
      </c>
      <c r="E1889" t="s">
        <v>5573</v>
      </c>
      <c r="F1889" t="s">
        <v>13</v>
      </c>
      <c r="G1889" t="s">
        <v>14</v>
      </c>
      <c r="H1889" t="s">
        <v>15</v>
      </c>
      <c r="I1889" t="s">
        <v>51</v>
      </c>
    </row>
    <row r="1890" spans="1:9" x14ac:dyDescent="0.3">
      <c r="A1890" t="s">
        <v>5166</v>
      </c>
      <c r="B1890" t="s">
        <v>5574</v>
      </c>
      <c r="C1890" t="s">
        <v>19</v>
      </c>
      <c r="D1890" s="1">
        <v>45262</v>
      </c>
      <c r="E1890" t="s">
        <v>5575</v>
      </c>
      <c r="F1890" t="s">
        <v>13</v>
      </c>
      <c r="G1890" t="s">
        <v>14</v>
      </c>
      <c r="H1890" t="s">
        <v>15</v>
      </c>
      <c r="I1890" t="s">
        <v>116</v>
      </c>
    </row>
    <row r="1891" spans="1:9" x14ac:dyDescent="0.3">
      <c r="A1891" t="s">
        <v>5576</v>
      </c>
      <c r="B1891" t="s">
        <v>5577</v>
      </c>
      <c r="C1891" t="s">
        <v>45</v>
      </c>
      <c r="D1891" s="1">
        <v>45264</v>
      </c>
      <c r="E1891" t="s">
        <v>5578</v>
      </c>
      <c r="F1891" t="s">
        <v>13</v>
      </c>
      <c r="G1891" t="s">
        <v>14</v>
      </c>
      <c r="H1891" t="s">
        <v>15</v>
      </c>
      <c r="I1891" t="s">
        <v>248</v>
      </c>
    </row>
    <row r="1892" spans="1:9" x14ac:dyDescent="0.3">
      <c r="A1892" t="s">
        <v>5579</v>
      </c>
      <c r="B1892" t="s">
        <v>5580</v>
      </c>
      <c r="C1892" t="s">
        <v>29</v>
      </c>
      <c r="D1892" s="1">
        <v>45265</v>
      </c>
      <c r="E1892" t="s">
        <v>5581</v>
      </c>
      <c r="F1892" t="s">
        <v>13</v>
      </c>
      <c r="G1892" t="s">
        <v>14</v>
      </c>
      <c r="H1892" t="s">
        <v>15</v>
      </c>
    </row>
    <row r="1893" spans="1:9" x14ac:dyDescent="0.3">
      <c r="A1893" t="s">
        <v>5582</v>
      </c>
      <c r="B1893" t="s">
        <v>5583</v>
      </c>
      <c r="C1893" t="s">
        <v>33</v>
      </c>
      <c r="D1893" s="1">
        <v>45265</v>
      </c>
      <c r="E1893" t="s">
        <v>5584</v>
      </c>
      <c r="F1893" t="s">
        <v>13</v>
      </c>
      <c r="G1893" t="s">
        <v>14</v>
      </c>
      <c r="H1893" t="s">
        <v>15</v>
      </c>
      <c r="I1893" t="s">
        <v>51</v>
      </c>
    </row>
    <row r="1894" spans="1:9" x14ac:dyDescent="0.3">
      <c r="A1894" t="s">
        <v>5585</v>
      </c>
      <c r="B1894" t="s">
        <v>5586</v>
      </c>
      <c r="C1894" t="s">
        <v>69</v>
      </c>
      <c r="D1894" s="1">
        <v>45266</v>
      </c>
      <c r="E1894" t="s">
        <v>5587</v>
      </c>
      <c r="F1894" t="s">
        <v>13</v>
      </c>
      <c r="G1894" t="s">
        <v>14</v>
      </c>
      <c r="H1894" t="s">
        <v>15</v>
      </c>
      <c r="I1894" t="s">
        <v>71</v>
      </c>
    </row>
    <row r="1895" spans="1:9" x14ac:dyDescent="0.3">
      <c r="A1895" t="s">
        <v>5588</v>
      </c>
      <c r="B1895" t="s">
        <v>5589</v>
      </c>
      <c r="C1895" t="s">
        <v>45</v>
      </c>
      <c r="D1895" s="1">
        <v>45267</v>
      </c>
      <c r="E1895" t="s">
        <v>5590</v>
      </c>
      <c r="F1895" t="s">
        <v>13</v>
      </c>
      <c r="G1895" t="s">
        <v>14</v>
      </c>
      <c r="H1895" t="s">
        <v>15</v>
      </c>
      <c r="I1895" t="s">
        <v>47</v>
      </c>
    </row>
    <row r="1896" spans="1:9" x14ac:dyDescent="0.3">
      <c r="A1896" t="s">
        <v>5591</v>
      </c>
      <c r="B1896" t="s">
        <v>5592</v>
      </c>
      <c r="C1896" t="s">
        <v>69</v>
      </c>
      <c r="D1896" s="1">
        <v>45267</v>
      </c>
      <c r="E1896" t="s">
        <v>5593</v>
      </c>
      <c r="F1896" t="s">
        <v>13</v>
      </c>
      <c r="G1896" t="s">
        <v>14</v>
      </c>
      <c r="H1896" t="s">
        <v>15</v>
      </c>
      <c r="I1896" t="s">
        <v>71</v>
      </c>
    </row>
    <row r="1897" spans="1:9" x14ac:dyDescent="0.3">
      <c r="A1897" t="s">
        <v>5594</v>
      </c>
      <c r="B1897" t="s">
        <v>5595</v>
      </c>
      <c r="C1897" t="s">
        <v>33</v>
      </c>
      <c r="D1897" s="1">
        <v>45267</v>
      </c>
      <c r="E1897" t="s">
        <v>5596</v>
      </c>
      <c r="F1897" t="s">
        <v>13</v>
      </c>
      <c r="G1897" t="s">
        <v>14</v>
      </c>
      <c r="H1897" t="s">
        <v>15</v>
      </c>
      <c r="I1897" t="s">
        <v>94</v>
      </c>
    </row>
    <row r="1898" spans="1:9" x14ac:dyDescent="0.3">
      <c r="A1898" t="s">
        <v>5597</v>
      </c>
      <c r="B1898" t="s">
        <v>5598</v>
      </c>
      <c r="C1898" t="s">
        <v>11</v>
      </c>
      <c r="D1898" s="1">
        <v>45267</v>
      </c>
      <c r="E1898" t="s">
        <v>5599</v>
      </c>
      <c r="F1898" t="s">
        <v>13</v>
      </c>
      <c r="G1898" t="s">
        <v>14</v>
      </c>
      <c r="H1898" t="s">
        <v>15</v>
      </c>
      <c r="I1898" t="s">
        <v>16</v>
      </c>
    </row>
    <row r="1899" spans="1:9" x14ac:dyDescent="0.3">
      <c r="A1899" t="s">
        <v>5600</v>
      </c>
      <c r="B1899" t="s">
        <v>5601</v>
      </c>
      <c r="C1899" t="s">
        <v>45</v>
      </c>
      <c r="D1899" s="1">
        <v>45267</v>
      </c>
      <c r="E1899" t="s">
        <v>5602</v>
      </c>
      <c r="F1899" t="s">
        <v>13</v>
      </c>
      <c r="G1899" t="s">
        <v>14</v>
      </c>
      <c r="H1899" t="s">
        <v>15</v>
      </c>
      <c r="I1899" t="s">
        <v>248</v>
      </c>
    </row>
    <row r="1900" spans="1:9" x14ac:dyDescent="0.3">
      <c r="A1900" t="s">
        <v>5603</v>
      </c>
      <c r="B1900" t="s">
        <v>5604</v>
      </c>
      <c r="C1900" t="s">
        <v>11</v>
      </c>
      <c r="D1900" s="1">
        <v>45267</v>
      </c>
      <c r="E1900" t="s">
        <v>5605</v>
      </c>
      <c r="F1900" t="s">
        <v>13</v>
      </c>
      <c r="G1900" t="s">
        <v>14</v>
      </c>
      <c r="H1900" t="s">
        <v>15</v>
      </c>
      <c r="I1900" t="s">
        <v>38</v>
      </c>
    </row>
    <row r="1901" spans="1:9" x14ac:dyDescent="0.3">
      <c r="A1901" t="s">
        <v>5606</v>
      </c>
      <c r="B1901" t="s">
        <v>5607</v>
      </c>
      <c r="C1901" t="s">
        <v>69</v>
      </c>
      <c r="D1901" s="1">
        <v>45268</v>
      </c>
      <c r="E1901" t="s">
        <v>5608</v>
      </c>
      <c r="F1901" t="s">
        <v>13</v>
      </c>
      <c r="G1901" t="s">
        <v>14</v>
      </c>
      <c r="H1901" t="s">
        <v>15</v>
      </c>
      <c r="I1901" t="s">
        <v>71</v>
      </c>
    </row>
    <row r="1902" spans="1:9" x14ac:dyDescent="0.3">
      <c r="A1902" t="s">
        <v>5609</v>
      </c>
      <c r="B1902" t="s">
        <v>5610</v>
      </c>
      <c r="C1902" t="s">
        <v>69</v>
      </c>
      <c r="D1902" s="1">
        <v>45268</v>
      </c>
      <c r="E1902" t="s">
        <v>5611</v>
      </c>
      <c r="F1902" t="s">
        <v>13</v>
      </c>
      <c r="G1902" t="s">
        <v>14</v>
      </c>
      <c r="H1902" t="s">
        <v>15</v>
      </c>
      <c r="I1902" t="s">
        <v>71</v>
      </c>
    </row>
    <row r="1903" spans="1:9" x14ac:dyDescent="0.3">
      <c r="A1903" t="s">
        <v>5612</v>
      </c>
      <c r="B1903" t="s">
        <v>5613</v>
      </c>
      <c r="C1903" t="s">
        <v>69</v>
      </c>
      <c r="D1903" s="1">
        <v>45269</v>
      </c>
      <c r="E1903" t="s">
        <v>5614</v>
      </c>
      <c r="F1903" t="s">
        <v>13</v>
      </c>
      <c r="G1903" t="s">
        <v>14</v>
      </c>
      <c r="H1903" t="s">
        <v>15</v>
      </c>
      <c r="I1903" t="s">
        <v>71</v>
      </c>
    </row>
    <row r="1904" spans="1:9" x14ac:dyDescent="0.3">
      <c r="A1904" t="s">
        <v>5615</v>
      </c>
      <c r="B1904" t="s">
        <v>5616</v>
      </c>
      <c r="C1904" t="s">
        <v>69</v>
      </c>
      <c r="D1904" s="1">
        <v>45269</v>
      </c>
      <c r="E1904" t="s">
        <v>5617</v>
      </c>
      <c r="F1904" t="s">
        <v>13</v>
      </c>
      <c r="G1904" t="s">
        <v>14</v>
      </c>
      <c r="H1904" t="s">
        <v>15</v>
      </c>
      <c r="I1904" t="s">
        <v>71</v>
      </c>
    </row>
    <row r="1905" spans="1:9" x14ac:dyDescent="0.3">
      <c r="A1905" t="s">
        <v>5618</v>
      </c>
      <c r="B1905" t="s">
        <v>5619</v>
      </c>
      <c r="C1905" t="s">
        <v>24</v>
      </c>
      <c r="D1905" s="1">
        <v>45269</v>
      </c>
      <c r="E1905" t="s">
        <v>5620</v>
      </c>
      <c r="F1905" t="s">
        <v>13</v>
      </c>
      <c r="G1905" t="s">
        <v>14</v>
      </c>
      <c r="H1905" t="s">
        <v>15</v>
      </c>
      <c r="I1905" t="s">
        <v>59</v>
      </c>
    </row>
    <row r="1906" spans="1:9" x14ac:dyDescent="0.3">
      <c r="A1906" t="s">
        <v>5621</v>
      </c>
      <c r="B1906" t="s">
        <v>5622</v>
      </c>
      <c r="C1906" t="s">
        <v>24</v>
      </c>
      <c r="D1906" s="1">
        <v>45269</v>
      </c>
      <c r="E1906" t="s">
        <v>5623</v>
      </c>
      <c r="F1906" t="s">
        <v>13</v>
      </c>
      <c r="G1906" t="s">
        <v>14</v>
      </c>
      <c r="H1906" t="s">
        <v>15</v>
      </c>
      <c r="I1906" t="s">
        <v>26</v>
      </c>
    </row>
    <row r="1907" spans="1:9" x14ac:dyDescent="0.3">
      <c r="A1907" t="s">
        <v>5624</v>
      </c>
      <c r="B1907" t="s">
        <v>5625</v>
      </c>
      <c r="C1907" t="s">
        <v>11</v>
      </c>
      <c r="D1907" s="1">
        <v>45269</v>
      </c>
      <c r="E1907" t="s">
        <v>5626</v>
      </c>
      <c r="F1907" t="s">
        <v>13</v>
      </c>
      <c r="G1907" t="s">
        <v>14</v>
      </c>
      <c r="H1907" t="s">
        <v>15</v>
      </c>
      <c r="I1907" t="s">
        <v>38</v>
      </c>
    </row>
    <row r="1908" spans="1:9" x14ac:dyDescent="0.3">
      <c r="A1908" t="s">
        <v>5627</v>
      </c>
      <c r="B1908" t="s">
        <v>5628</v>
      </c>
      <c r="C1908" t="s">
        <v>11</v>
      </c>
      <c r="D1908" s="1">
        <v>45269</v>
      </c>
      <c r="E1908" t="s">
        <v>5629</v>
      </c>
      <c r="F1908" t="s">
        <v>13</v>
      </c>
      <c r="G1908" t="s">
        <v>14</v>
      </c>
      <c r="H1908" t="s">
        <v>15</v>
      </c>
      <c r="I1908" t="s">
        <v>16</v>
      </c>
    </row>
    <row r="1909" spans="1:9" x14ac:dyDescent="0.3">
      <c r="A1909" t="s">
        <v>5630</v>
      </c>
      <c r="B1909" t="s">
        <v>5631</v>
      </c>
      <c r="C1909" t="s">
        <v>45</v>
      </c>
      <c r="D1909" s="1">
        <v>45270</v>
      </c>
      <c r="E1909" t="s">
        <v>5632</v>
      </c>
      <c r="F1909" t="s">
        <v>13</v>
      </c>
      <c r="G1909" t="s">
        <v>14</v>
      </c>
      <c r="H1909" t="s">
        <v>15</v>
      </c>
      <c r="I1909" t="s">
        <v>47</v>
      </c>
    </row>
    <row r="1910" spans="1:9" x14ac:dyDescent="0.3">
      <c r="A1910" t="s">
        <v>5633</v>
      </c>
      <c r="B1910" t="s">
        <v>5634</v>
      </c>
      <c r="C1910" t="s">
        <v>33</v>
      </c>
      <c r="D1910" s="1">
        <v>45270</v>
      </c>
      <c r="E1910" t="s">
        <v>5635</v>
      </c>
      <c r="F1910" t="s">
        <v>13</v>
      </c>
      <c r="G1910" t="s">
        <v>14</v>
      </c>
      <c r="H1910" t="s">
        <v>15</v>
      </c>
      <c r="I1910" t="s">
        <v>94</v>
      </c>
    </row>
    <row r="1911" spans="1:9" x14ac:dyDescent="0.3">
      <c r="A1911" t="s">
        <v>5636</v>
      </c>
      <c r="B1911" t="s">
        <v>5637</v>
      </c>
      <c r="C1911" t="s">
        <v>69</v>
      </c>
      <c r="D1911" s="1">
        <v>45270</v>
      </c>
      <c r="E1911" t="s">
        <v>5638</v>
      </c>
      <c r="F1911" t="s">
        <v>13</v>
      </c>
      <c r="G1911" t="s">
        <v>14</v>
      </c>
      <c r="H1911" t="s">
        <v>15</v>
      </c>
      <c r="I1911" t="s">
        <v>71</v>
      </c>
    </row>
    <row r="1912" spans="1:9" x14ac:dyDescent="0.3">
      <c r="A1912" t="s">
        <v>5639</v>
      </c>
      <c r="B1912" t="s">
        <v>5640</v>
      </c>
      <c r="C1912" t="s">
        <v>54</v>
      </c>
      <c r="D1912" s="1">
        <v>45271</v>
      </c>
      <c r="E1912" t="s">
        <v>5641</v>
      </c>
      <c r="F1912" t="s">
        <v>13</v>
      </c>
      <c r="G1912" t="s">
        <v>14</v>
      </c>
      <c r="H1912" t="s">
        <v>15</v>
      </c>
      <c r="I1912" t="s">
        <v>238</v>
      </c>
    </row>
    <row r="1913" spans="1:9" x14ac:dyDescent="0.3">
      <c r="A1913" t="s">
        <v>5642</v>
      </c>
      <c r="B1913" t="s">
        <v>5643</v>
      </c>
      <c r="C1913" t="s">
        <v>11</v>
      </c>
      <c r="D1913" s="1">
        <v>45271</v>
      </c>
      <c r="E1913" t="s">
        <v>5644</v>
      </c>
      <c r="F1913" t="s">
        <v>13</v>
      </c>
      <c r="G1913" t="s">
        <v>14</v>
      </c>
      <c r="H1913" t="s">
        <v>15</v>
      </c>
    </row>
    <row r="1914" spans="1:9" x14ac:dyDescent="0.3">
      <c r="A1914" t="s">
        <v>5645</v>
      </c>
      <c r="B1914" t="s">
        <v>5646</v>
      </c>
      <c r="C1914" t="s">
        <v>11</v>
      </c>
      <c r="D1914" s="1">
        <v>45271</v>
      </c>
      <c r="E1914" t="s">
        <v>5647</v>
      </c>
      <c r="F1914" t="s">
        <v>13</v>
      </c>
      <c r="G1914" t="s">
        <v>14</v>
      </c>
      <c r="H1914" t="s">
        <v>15</v>
      </c>
    </row>
    <row r="1915" spans="1:9" x14ac:dyDescent="0.3">
      <c r="A1915" t="s">
        <v>5648</v>
      </c>
      <c r="B1915" t="s">
        <v>5649</v>
      </c>
      <c r="C1915" t="s">
        <v>29</v>
      </c>
      <c r="D1915" s="1">
        <v>45271</v>
      </c>
      <c r="E1915" t="s">
        <v>5650</v>
      </c>
      <c r="F1915" t="s">
        <v>13</v>
      </c>
      <c r="G1915" t="s">
        <v>14</v>
      </c>
      <c r="H1915" t="s">
        <v>15</v>
      </c>
      <c r="I1915" t="s">
        <v>81</v>
      </c>
    </row>
    <row r="1916" spans="1:9" x14ac:dyDescent="0.3">
      <c r="A1916" t="s">
        <v>5651</v>
      </c>
      <c r="B1916" t="s">
        <v>5652</v>
      </c>
      <c r="C1916" t="s">
        <v>29</v>
      </c>
      <c r="D1916" s="1">
        <v>45272</v>
      </c>
      <c r="E1916" t="s">
        <v>5653</v>
      </c>
      <c r="F1916" t="s">
        <v>13</v>
      </c>
      <c r="G1916" t="s">
        <v>14</v>
      </c>
      <c r="H1916" t="s">
        <v>15</v>
      </c>
      <c r="I1916" t="s">
        <v>204</v>
      </c>
    </row>
    <row r="1917" spans="1:9" x14ac:dyDescent="0.3">
      <c r="A1917" t="s">
        <v>5654</v>
      </c>
      <c r="B1917" t="s">
        <v>5655</v>
      </c>
      <c r="C1917" t="s">
        <v>29</v>
      </c>
      <c r="D1917" s="1">
        <v>45272</v>
      </c>
      <c r="E1917" t="s">
        <v>5656</v>
      </c>
      <c r="F1917" t="s">
        <v>13</v>
      </c>
      <c r="G1917" t="s">
        <v>14</v>
      </c>
      <c r="H1917" t="s">
        <v>15</v>
      </c>
      <c r="I1917" t="s">
        <v>42</v>
      </c>
    </row>
    <row r="1918" spans="1:9" x14ac:dyDescent="0.3">
      <c r="A1918" t="s">
        <v>5657</v>
      </c>
      <c r="B1918" t="s">
        <v>5658</v>
      </c>
      <c r="C1918" t="s">
        <v>29</v>
      </c>
      <c r="D1918" s="1">
        <v>45272</v>
      </c>
      <c r="E1918" t="s">
        <v>5659</v>
      </c>
      <c r="F1918" t="s">
        <v>13</v>
      </c>
      <c r="G1918" t="s">
        <v>14</v>
      </c>
      <c r="H1918" t="s">
        <v>15</v>
      </c>
      <c r="I1918" t="s">
        <v>42</v>
      </c>
    </row>
    <row r="1919" spans="1:9" x14ac:dyDescent="0.3">
      <c r="A1919" t="s">
        <v>5660</v>
      </c>
      <c r="B1919" t="s">
        <v>5661</v>
      </c>
      <c r="C1919" t="s">
        <v>33</v>
      </c>
      <c r="D1919" s="1">
        <v>45272</v>
      </c>
      <c r="E1919" t="s">
        <v>5662</v>
      </c>
      <c r="F1919" t="s">
        <v>13</v>
      </c>
      <c r="G1919" t="s">
        <v>14</v>
      </c>
      <c r="H1919" t="s">
        <v>15</v>
      </c>
      <c r="I1919" t="s">
        <v>94</v>
      </c>
    </row>
    <row r="1920" spans="1:9" x14ac:dyDescent="0.3">
      <c r="A1920" t="s">
        <v>5663</v>
      </c>
      <c r="B1920" t="s">
        <v>5664</v>
      </c>
      <c r="C1920" t="s">
        <v>11</v>
      </c>
      <c r="D1920" s="1">
        <v>45272</v>
      </c>
      <c r="E1920" t="s">
        <v>5665</v>
      </c>
      <c r="F1920" t="s">
        <v>13</v>
      </c>
      <c r="G1920" t="s">
        <v>14</v>
      </c>
      <c r="H1920" t="s">
        <v>15</v>
      </c>
      <c r="I1920" t="s">
        <v>38</v>
      </c>
    </row>
    <row r="1921" spans="1:9" x14ac:dyDescent="0.3">
      <c r="A1921" t="s">
        <v>5666</v>
      </c>
      <c r="B1921" t="s">
        <v>5667</v>
      </c>
      <c r="C1921" t="s">
        <v>69</v>
      </c>
      <c r="D1921" s="1">
        <v>45273</v>
      </c>
      <c r="E1921" t="s">
        <v>5668</v>
      </c>
      <c r="F1921" t="s">
        <v>13</v>
      </c>
      <c r="G1921" t="s">
        <v>14</v>
      </c>
      <c r="H1921" t="s">
        <v>15</v>
      </c>
      <c r="I1921" t="s">
        <v>71</v>
      </c>
    </row>
    <row r="1922" spans="1:9" x14ac:dyDescent="0.3">
      <c r="A1922" t="s">
        <v>5669</v>
      </c>
      <c r="B1922" t="s">
        <v>5670</v>
      </c>
      <c r="C1922" t="s">
        <v>54</v>
      </c>
      <c r="D1922" s="1">
        <v>45273</v>
      </c>
      <c r="E1922" t="s">
        <v>5671</v>
      </c>
      <c r="F1922" t="s">
        <v>13</v>
      </c>
      <c r="G1922" t="s">
        <v>14</v>
      </c>
      <c r="H1922" t="s">
        <v>15</v>
      </c>
      <c r="I1922" t="s">
        <v>238</v>
      </c>
    </row>
    <row r="1923" spans="1:9" x14ac:dyDescent="0.3">
      <c r="A1923" t="s">
        <v>5672</v>
      </c>
      <c r="B1923" t="s">
        <v>5673</v>
      </c>
      <c r="C1923" t="s">
        <v>11</v>
      </c>
      <c r="D1923" s="1">
        <v>45274</v>
      </c>
      <c r="E1923" t="s">
        <v>5674</v>
      </c>
      <c r="F1923" t="s">
        <v>13</v>
      </c>
      <c r="G1923" t="s">
        <v>14</v>
      </c>
      <c r="H1923" t="s">
        <v>15</v>
      </c>
      <c r="I1923" t="s">
        <v>16</v>
      </c>
    </row>
    <row r="1924" spans="1:9" x14ac:dyDescent="0.3">
      <c r="A1924" t="s">
        <v>5675</v>
      </c>
      <c r="B1924" t="s">
        <v>5676</v>
      </c>
      <c r="C1924" t="s">
        <v>33</v>
      </c>
      <c r="D1924" s="1">
        <v>45275</v>
      </c>
      <c r="E1924" t="s">
        <v>5677</v>
      </c>
      <c r="F1924" t="s">
        <v>13</v>
      </c>
      <c r="G1924" t="s">
        <v>14</v>
      </c>
      <c r="H1924" t="s">
        <v>15</v>
      </c>
      <c r="I1924" t="s">
        <v>94</v>
      </c>
    </row>
    <row r="1925" spans="1:9" x14ac:dyDescent="0.3">
      <c r="A1925" t="s">
        <v>5678</v>
      </c>
      <c r="B1925" t="s">
        <v>5679</v>
      </c>
      <c r="C1925" t="s">
        <v>45</v>
      </c>
      <c r="D1925" s="1">
        <v>45275</v>
      </c>
      <c r="E1925" t="s">
        <v>5680</v>
      </c>
      <c r="F1925" t="s">
        <v>13</v>
      </c>
      <c r="G1925" t="s">
        <v>14</v>
      </c>
      <c r="H1925" t="s">
        <v>15</v>
      </c>
      <c r="I1925" t="s">
        <v>47</v>
      </c>
    </row>
    <row r="1926" spans="1:9" x14ac:dyDescent="0.3">
      <c r="A1926" t="s">
        <v>5681</v>
      </c>
      <c r="B1926" t="s">
        <v>5682</v>
      </c>
      <c r="C1926" t="s">
        <v>54</v>
      </c>
      <c r="D1926" s="1">
        <v>45275</v>
      </c>
      <c r="E1926" t="s">
        <v>5683</v>
      </c>
      <c r="F1926" t="s">
        <v>13</v>
      </c>
      <c r="G1926" t="s">
        <v>14</v>
      </c>
      <c r="H1926" t="s">
        <v>15</v>
      </c>
      <c r="I1926" t="s">
        <v>238</v>
      </c>
    </row>
    <row r="1927" spans="1:9" x14ac:dyDescent="0.3">
      <c r="A1927" t="s">
        <v>5684</v>
      </c>
      <c r="B1927" t="s">
        <v>5685</v>
      </c>
      <c r="C1927" t="s">
        <v>69</v>
      </c>
      <c r="D1927" s="1">
        <v>45275</v>
      </c>
      <c r="E1927" t="s">
        <v>5686</v>
      </c>
      <c r="F1927" t="s">
        <v>13</v>
      </c>
      <c r="G1927" t="s">
        <v>14</v>
      </c>
      <c r="H1927" t="s">
        <v>15</v>
      </c>
      <c r="I1927" t="s">
        <v>71</v>
      </c>
    </row>
    <row r="1928" spans="1:9" x14ac:dyDescent="0.3">
      <c r="A1928" t="s">
        <v>5687</v>
      </c>
      <c r="B1928" t="s">
        <v>5688</v>
      </c>
      <c r="C1928" t="s">
        <v>29</v>
      </c>
      <c r="D1928" s="1">
        <v>45275</v>
      </c>
      <c r="E1928" t="s">
        <v>5689</v>
      </c>
      <c r="F1928" t="s">
        <v>13</v>
      </c>
      <c r="G1928" t="s">
        <v>174</v>
      </c>
      <c r="H1928" t="s">
        <v>15</v>
      </c>
    </row>
    <row r="1929" spans="1:9" x14ac:dyDescent="0.3">
      <c r="A1929" t="s">
        <v>5690</v>
      </c>
      <c r="B1929" t="s">
        <v>5691</v>
      </c>
      <c r="C1929" t="s">
        <v>33</v>
      </c>
      <c r="D1929" s="1">
        <v>45275</v>
      </c>
      <c r="E1929" t="s">
        <v>5692</v>
      </c>
      <c r="F1929" t="s">
        <v>13</v>
      </c>
      <c r="G1929" t="s">
        <v>14</v>
      </c>
      <c r="H1929" t="s">
        <v>15</v>
      </c>
      <c r="I1929" t="s">
        <v>94</v>
      </c>
    </row>
    <row r="1930" spans="1:9" x14ac:dyDescent="0.3">
      <c r="A1930" t="s">
        <v>5693</v>
      </c>
      <c r="B1930" t="s">
        <v>5694</v>
      </c>
      <c r="C1930" t="s">
        <v>24</v>
      </c>
      <c r="D1930" s="1">
        <v>45276</v>
      </c>
      <c r="E1930" t="s">
        <v>5695</v>
      </c>
      <c r="F1930" t="s">
        <v>13</v>
      </c>
      <c r="G1930" t="s">
        <v>14</v>
      </c>
      <c r="H1930" t="s">
        <v>15</v>
      </c>
    </row>
    <row r="1931" spans="1:9" x14ac:dyDescent="0.3">
      <c r="A1931" t="s">
        <v>4886</v>
      </c>
      <c r="B1931" t="s">
        <v>5696</v>
      </c>
      <c r="C1931" t="s">
        <v>19</v>
      </c>
      <c r="D1931" s="1">
        <v>45276</v>
      </c>
      <c r="E1931" t="s">
        <v>5697</v>
      </c>
      <c r="F1931" t="s">
        <v>13</v>
      </c>
      <c r="G1931" t="s">
        <v>14</v>
      </c>
      <c r="H1931" t="s">
        <v>15</v>
      </c>
      <c r="I1931" t="s">
        <v>116</v>
      </c>
    </row>
    <row r="1932" spans="1:9" x14ac:dyDescent="0.3">
      <c r="A1932" t="s">
        <v>5698</v>
      </c>
      <c r="B1932" t="s">
        <v>5699</v>
      </c>
      <c r="C1932" t="s">
        <v>24</v>
      </c>
      <c r="D1932" s="1">
        <v>45276</v>
      </c>
      <c r="E1932" t="s">
        <v>5700</v>
      </c>
      <c r="F1932" t="s">
        <v>13</v>
      </c>
      <c r="G1932" t="s">
        <v>14</v>
      </c>
      <c r="H1932" t="s">
        <v>15</v>
      </c>
      <c r="I1932" t="s">
        <v>63</v>
      </c>
    </row>
    <row r="1933" spans="1:9" x14ac:dyDescent="0.3">
      <c r="A1933" t="s">
        <v>5701</v>
      </c>
      <c r="B1933" t="s">
        <v>5702</v>
      </c>
      <c r="C1933" t="s">
        <v>29</v>
      </c>
      <c r="D1933" s="1">
        <v>45278</v>
      </c>
      <c r="E1933" t="s">
        <v>5703</v>
      </c>
      <c r="F1933" t="s">
        <v>13</v>
      </c>
      <c r="G1933" t="s">
        <v>14</v>
      </c>
      <c r="H1933" t="s">
        <v>15</v>
      </c>
    </row>
    <row r="1934" spans="1:9" x14ac:dyDescent="0.3">
      <c r="A1934" t="s">
        <v>5704</v>
      </c>
      <c r="B1934" t="s">
        <v>5705</v>
      </c>
      <c r="C1934" t="s">
        <v>54</v>
      </c>
      <c r="D1934" s="1">
        <v>45278</v>
      </c>
      <c r="E1934" t="s">
        <v>5706</v>
      </c>
      <c r="F1934" t="s">
        <v>13</v>
      </c>
      <c r="G1934" t="s">
        <v>14</v>
      </c>
      <c r="H1934" t="s">
        <v>15</v>
      </c>
      <c r="I1934" t="s">
        <v>238</v>
      </c>
    </row>
    <row r="1935" spans="1:9" x14ac:dyDescent="0.3">
      <c r="A1935" t="s">
        <v>5707</v>
      </c>
      <c r="B1935" t="s">
        <v>5708</v>
      </c>
      <c r="C1935" t="s">
        <v>54</v>
      </c>
      <c r="D1935" s="1">
        <v>45279</v>
      </c>
      <c r="E1935" t="s">
        <v>5709</v>
      </c>
      <c r="F1935" t="s">
        <v>13</v>
      </c>
      <c r="G1935" t="s">
        <v>14</v>
      </c>
      <c r="H1935" t="s">
        <v>15</v>
      </c>
      <c r="I1935" t="s">
        <v>238</v>
      </c>
    </row>
    <row r="1936" spans="1:9" x14ac:dyDescent="0.3">
      <c r="A1936" t="s">
        <v>3167</v>
      </c>
      <c r="B1936" t="s">
        <v>5710</v>
      </c>
      <c r="C1936" t="s">
        <v>19</v>
      </c>
      <c r="D1936" s="1">
        <v>45279</v>
      </c>
      <c r="E1936" t="s">
        <v>5711</v>
      </c>
      <c r="F1936" t="s">
        <v>13</v>
      </c>
      <c r="G1936" t="s">
        <v>14</v>
      </c>
      <c r="H1936" t="s">
        <v>15</v>
      </c>
      <c r="I1936" t="s">
        <v>21</v>
      </c>
    </row>
    <row r="1937" spans="1:9" x14ac:dyDescent="0.3">
      <c r="A1937" t="s">
        <v>5712</v>
      </c>
      <c r="B1937" t="s">
        <v>5713</v>
      </c>
      <c r="C1937" t="s">
        <v>54</v>
      </c>
      <c r="D1937" s="1">
        <v>45279</v>
      </c>
      <c r="E1937" t="s">
        <v>5714</v>
      </c>
      <c r="F1937" t="s">
        <v>13</v>
      </c>
      <c r="G1937" t="s">
        <v>14</v>
      </c>
      <c r="H1937" t="s">
        <v>15</v>
      </c>
    </row>
    <row r="1938" spans="1:9" x14ac:dyDescent="0.3">
      <c r="A1938" t="s">
        <v>5715</v>
      </c>
      <c r="B1938" t="s">
        <v>5716</v>
      </c>
      <c r="C1938" t="s">
        <v>11</v>
      </c>
      <c r="D1938" s="1">
        <v>45280</v>
      </c>
      <c r="E1938" t="s">
        <v>5717</v>
      </c>
      <c r="F1938" t="s">
        <v>13</v>
      </c>
      <c r="G1938" t="s">
        <v>14</v>
      </c>
      <c r="H1938" t="s">
        <v>15</v>
      </c>
    </row>
    <row r="1939" spans="1:9" x14ac:dyDescent="0.3">
      <c r="A1939" t="s">
        <v>5718</v>
      </c>
      <c r="B1939" t="s">
        <v>5719</v>
      </c>
      <c r="C1939" t="s">
        <v>33</v>
      </c>
      <c r="D1939" s="1">
        <v>45280</v>
      </c>
      <c r="E1939" t="s">
        <v>5720</v>
      </c>
      <c r="F1939" t="s">
        <v>13</v>
      </c>
      <c r="G1939" t="s">
        <v>14</v>
      </c>
      <c r="H1939" t="s">
        <v>15</v>
      </c>
      <c r="I1939" t="s">
        <v>94</v>
      </c>
    </row>
    <row r="1940" spans="1:9" x14ac:dyDescent="0.3">
      <c r="A1940" t="s">
        <v>5721</v>
      </c>
      <c r="B1940" t="s">
        <v>5722</v>
      </c>
      <c r="C1940" t="s">
        <v>69</v>
      </c>
      <c r="D1940" s="1">
        <v>45280</v>
      </c>
      <c r="E1940" t="s">
        <v>5723</v>
      </c>
      <c r="F1940" t="s">
        <v>13</v>
      </c>
      <c r="G1940" t="s">
        <v>14</v>
      </c>
      <c r="H1940" t="s">
        <v>15</v>
      </c>
      <c r="I1940" t="s">
        <v>71</v>
      </c>
    </row>
    <row r="1941" spans="1:9" x14ac:dyDescent="0.3">
      <c r="A1941" t="s">
        <v>5724</v>
      </c>
      <c r="B1941" t="s">
        <v>5725</v>
      </c>
      <c r="C1941" t="s">
        <v>19</v>
      </c>
      <c r="D1941" s="1">
        <v>45280</v>
      </c>
      <c r="E1941" t="s">
        <v>5726</v>
      </c>
      <c r="F1941" t="s">
        <v>13</v>
      </c>
      <c r="G1941" t="s">
        <v>14</v>
      </c>
      <c r="H1941" t="s">
        <v>15</v>
      </c>
      <c r="I1941" t="s">
        <v>116</v>
      </c>
    </row>
    <row r="1942" spans="1:9" x14ac:dyDescent="0.3">
      <c r="A1942" t="s">
        <v>5727</v>
      </c>
      <c r="B1942" t="s">
        <v>5728</v>
      </c>
      <c r="C1942" t="s">
        <v>33</v>
      </c>
      <c r="D1942" s="1">
        <v>45280</v>
      </c>
      <c r="E1942" t="s">
        <v>5729</v>
      </c>
      <c r="F1942" t="s">
        <v>13</v>
      </c>
      <c r="G1942" t="s">
        <v>14</v>
      </c>
      <c r="H1942" t="s">
        <v>15</v>
      </c>
      <c r="I1942" t="s">
        <v>94</v>
      </c>
    </row>
    <row r="1943" spans="1:9" x14ac:dyDescent="0.3">
      <c r="A1943" t="s">
        <v>5730</v>
      </c>
      <c r="B1943" t="s">
        <v>5731</v>
      </c>
      <c r="C1943" t="s">
        <v>29</v>
      </c>
      <c r="D1943" s="1">
        <v>45280</v>
      </c>
      <c r="E1943" t="s">
        <v>5732</v>
      </c>
      <c r="F1943" t="s">
        <v>13</v>
      </c>
      <c r="G1943" t="s">
        <v>14</v>
      </c>
      <c r="H1943" t="s">
        <v>15</v>
      </c>
      <c r="I1943" t="s">
        <v>42</v>
      </c>
    </row>
    <row r="1944" spans="1:9" x14ac:dyDescent="0.3">
      <c r="A1944" t="s">
        <v>5733</v>
      </c>
      <c r="B1944" t="s">
        <v>5734</v>
      </c>
      <c r="C1944" t="s">
        <v>24</v>
      </c>
      <c r="D1944" s="1">
        <v>45281</v>
      </c>
      <c r="E1944" t="s">
        <v>5735</v>
      </c>
      <c r="F1944" t="s">
        <v>13</v>
      </c>
      <c r="G1944" t="s">
        <v>14</v>
      </c>
      <c r="H1944" t="s">
        <v>15</v>
      </c>
      <c r="I1944" t="s">
        <v>26</v>
      </c>
    </row>
    <row r="1945" spans="1:9" x14ac:dyDescent="0.3">
      <c r="A1945" t="s">
        <v>5736</v>
      </c>
      <c r="B1945" t="s">
        <v>5737</v>
      </c>
      <c r="C1945" t="s">
        <v>54</v>
      </c>
      <c r="D1945" s="1">
        <v>45282</v>
      </c>
      <c r="E1945" t="s">
        <v>5738</v>
      </c>
      <c r="F1945" t="s">
        <v>13</v>
      </c>
      <c r="G1945" t="s">
        <v>14</v>
      </c>
      <c r="H1945" t="s">
        <v>15</v>
      </c>
      <c r="I1945" t="s">
        <v>238</v>
      </c>
    </row>
    <row r="1946" spans="1:9" x14ac:dyDescent="0.3">
      <c r="A1946" t="s">
        <v>3750</v>
      </c>
      <c r="B1946" t="s">
        <v>5739</v>
      </c>
      <c r="C1946" t="s">
        <v>19</v>
      </c>
      <c r="D1946" s="1">
        <v>45283</v>
      </c>
      <c r="E1946" t="s">
        <v>5740</v>
      </c>
      <c r="F1946" t="s">
        <v>13</v>
      </c>
      <c r="G1946" t="s">
        <v>14</v>
      </c>
      <c r="H1946" t="s">
        <v>15</v>
      </c>
      <c r="I1946" t="s">
        <v>116</v>
      </c>
    </row>
    <row r="1947" spans="1:9" x14ac:dyDescent="0.3">
      <c r="A1947" t="s">
        <v>5741</v>
      </c>
      <c r="B1947" t="s">
        <v>5742</v>
      </c>
      <c r="C1947" t="s">
        <v>11</v>
      </c>
      <c r="D1947" s="1">
        <v>45283</v>
      </c>
      <c r="E1947" t="s">
        <v>5743</v>
      </c>
      <c r="F1947" t="s">
        <v>13</v>
      </c>
      <c r="G1947" t="s">
        <v>14</v>
      </c>
      <c r="H1947" t="s">
        <v>15</v>
      </c>
      <c r="I1947" t="s">
        <v>16</v>
      </c>
    </row>
    <row r="1948" spans="1:9" x14ac:dyDescent="0.3">
      <c r="A1948" t="s">
        <v>5744</v>
      </c>
      <c r="B1948" t="s">
        <v>5745</v>
      </c>
      <c r="C1948" t="s">
        <v>33</v>
      </c>
      <c r="D1948" s="1">
        <v>45283</v>
      </c>
      <c r="E1948" t="s">
        <v>5746</v>
      </c>
      <c r="F1948" t="s">
        <v>13</v>
      </c>
      <c r="G1948" t="s">
        <v>14</v>
      </c>
      <c r="H1948" t="s">
        <v>15</v>
      </c>
      <c r="I1948" t="s">
        <v>51</v>
      </c>
    </row>
    <row r="1949" spans="1:9" x14ac:dyDescent="0.3">
      <c r="A1949" t="s">
        <v>5747</v>
      </c>
      <c r="B1949" t="s">
        <v>5748</v>
      </c>
      <c r="C1949" t="s">
        <v>69</v>
      </c>
      <c r="D1949" s="1">
        <v>45283</v>
      </c>
      <c r="E1949" t="s">
        <v>5749</v>
      </c>
      <c r="F1949" t="s">
        <v>13</v>
      </c>
      <c r="G1949" t="s">
        <v>14</v>
      </c>
      <c r="H1949" t="s">
        <v>15</v>
      </c>
      <c r="I1949" t="s">
        <v>71</v>
      </c>
    </row>
    <row r="1950" spans="1:9" x14ac:dyDescent="0.3">
      <c r="A1950" t="s">
        <v>5750</v>
      </c>
      <c r="B1950" t="s">
        <v>5751</v>
      </c>
      <c r="C1950" t="s">
        <v>24</v>
      </c>
      <c r="D1950" s="1">
        <v>45283</v>
      </c>
      <c r="E1950" t="s">
        <v>5752</v>
      </c>
      <c r="F1950" t="s">
        <v>13</v>
      </c>
      <c r="G1950" t="s">
        <v>14</v>
      </c>
      <c r="H1950" t="s">
        <v>15</v>
      </c>
      <c r="I1950" t="s">
        <v>63</v>
      </c>
    </row>
    <row r="1951" spans="1:9" x14ac:dyDescent="0.3">
      <c r="A1951" t="s">
        <v>5753</v>
      </c>
      <c r="B1951" t="s">
        <v>5754</v>
      </c>
      <c r="C1951" t="s">
        <v>69</v>
      </c>
      <c r="D1951" s="1">
        <v>45284</v>
      </c>
      <c r="E1951" t="s">
        <v>5755</v>
      </c>
      <c r="F1951" t="s">
        <v>13</v>
      </c>
      <c r="G1951" t="s">
        <v>14</v>
      </c>
      <c r="H1951" t="s">
        <v>15</v>
      </c>
      <c r="I1951" t="s">
        <v>71</v>
      </c>
    </row>
    <row r="1952" spans="1:9" x14ac:dyDescent="0.3">
      <c r="A1952" t="s">
        <v>5756</v>
      </c>
      <c r="B1952" t="s">
        <v>5757</v>
      </c>
      <c r="C1952" t="s">
        <v>45</v>
      </c>
      <c r="D1952" s="1">
        <v>45284</v>
      </c>
      <c r="E1952" t="s">
        <v>5758</v>
      </c>
      <c r="F1952" t="s">
        <v>13</v>
      </c>
      <c r="G1952" t="s">
        <v>14</v>
      </c>
      <c r="H1952" t="s">
        <v>15</v>
      </c>
      <c r="I1952" t="s">
        <v>47</v>
      </c>
    </row>
    <row r="1953" spans="1:9" x14ac:dyDescent="0.3">
      <c r="A1953" t="s">
        <v>5759</v>
      </c>
      <c r="B1953" t="s">
        <v>5760</v>
      </c>
      <c r="C1953" t="s">
        <v>29</v>
      </c>
      <c r="D1953" s="1">
        <v>45285</v>
      </c>
      <c r="E1953" t="s">
        <v>5761</v>
      </c>
      <c r="F1953" t="s">
        <v>13</v>
      </c>
      <c r="G1953" t="s">
        <v>14</v>
      </c>
      <c r="H1953" t="s">
        <v>15</v>
      </c>
    </row>
    <row r="1954" spans="1:9" x14ac:dyDescent="0.3">
      <c r="A1954" t="s">
        <v>5762</v>
      </c>
      <c r="B1954" t="s">
        <v>5763</v>
      </c>
      <c r="C1954" t="s">
        <v>69</v>
      </c>
      <c r="D1954" s="1">
        <v>45285</v>
      </c>
      <c r="E1954" t="s">
        <v>5764</v>
      </c>
      <c r="F1954" t="s">
        <v>13</v>
      </c>
      <c r="G1954" t="s">
        <v>174</v>
      </c>
      <c r="H1954" t="s">
        <v>15</v>
      </c>
      <c r="I1954" t="s">
        <v>71</v>
      </c>
    </row>
    <row r="1955" spans="1:9" x14ac:dyDescent="0.3">
      <c r="A1955" t="s">
        <v>5765</v>
      </c>
      <c r="B1955" t="s">
        <v>5766</v>
      </c>
      <c r="C1955" t="s">
        <v>33</v>
      </c>
      <c r="D1955" s="1">
        <v>45285</v>
      </c>
      <c r="E1955" t="s">
        <v>5767</v>
      </c>
      <c r="F1955" t="s">
        <v>13</v>
      </c>
      <c r="G1955" t="s">
        <v>14</v>
      </c>
      <c r="H1955" t="s">
        <v>15</v>
      </c>
    </row>
    <row r="1956" spans="1:9" x14ac:dyDescent="0.3">
      <c r="A1956" t="s">
        <v>5768</v>
      </c>
      <c r="B1956" t="s">
        <v>5769</v>
      </c>
      <c r="C1956" t="s">
        <v>69</v>
      </c>
      <c r="D1956" s="1">
        <v>45285</v>
      </c>
      <c r="E1956" t="s">
        <v>5770</v>
      </c>
      <c r="F1956" t="s">
        <v>13</v>
      </c>
      <c r="G1956" t="s">
        <v>14</v>
      </c>
      <c r="H1956" t="s">
        <v>15</v>
      </c>
      <c r="I1956" t="s">
        <v>71</v>
      </c>
    </row>
    <row r="1957" spans="1:9" x14ac:dyDescent="0.3">
      <c r="A1957" t="s">
        <v>5771</v>
      </c>
      <c r="B1957" t="s">
        <v>5772</v>
      </c>
      <c r="C1957" t="s">
        <v>24</v>
      </c>
      <c r="D1957" s="1">
        <v>45286</v>
      </c>
      <c r="E1957" t="s">
        <v>5773</v>
      </c>
      <c r="F1957" t="s">
        <v>13</v>
      </c>
      <c r="G1957" t="s">
        <v>14</v>
      </c>
      <c r="H1957" t="s">
        <v>15</v>
      </c>
      <c r="I1957" t="s">
        <v>59</v>
      </c>
    </row>
    <row r="1958" spans="1:9" x14ac:dyDescent="0.3">
      <c r="A1958" t="s">
        <v>4726</v>
      </c>
      <c r="B1958" t="s">
        <v>5774</v>
      </c>
      <c r="C1958" t="s">
        <v>24</v>
      </c>
      <c r="D1958" s="1">
        <v>45286</v>
      </c>
      <c r="E1958" t="s">
        <v>5775</v>
      </c>
      <c r="F1958" t="s">
        <v>13</v>
      </c>
      <c r="G1958" t="s">
        <v>14</v>
      </c>
      <c r="H1958" t="s">
        <v>15</v>
      </c>
      <c r="I1958" t="s">
        <v>63</v>
      </c>
    </row>
    <row r="1959" spans="1:9" x14ac:dyDescent="0.3">
      <c r="A1959" t="s">
        <v>5776</v>
      </c>
      <c r="B1959" t="s">
        <v>5777</v>
      </c>
      <c r="C1959" t="s">
        <v>45</v>
      </c>
      <c r="D1959" s="1">
        <v>45286</v>
      </c>
      <c r="E1959" t="s">
        <v>5778</v>
      </c>
      <c r="F1959" t="s">
        <v>13</v>
      </c>
      <c r="G1959" t="s">
        <v>14</v>
      </c>
      <c r="H1959" t="s">
        <v>15</v>
      </c>
    </row>
    <row r="1960" spans="1:9" x14ac:dyDescent="0.3">
      <c r="A1960" t="s">
        <v>5779</v>
      </c>
      <c r="B1960" t="s">
        <v>5780</v>
      </c>
      <c r="C1960" t="s">
        <v>54</v>
      </c>
      <c r="D1960" s="1">
        <v>45286</v>
      </c>
      <c r="E1960" t="s">
        <v>5781</v>
      </c>
      <c r="F1960" t="s">
        <v>13</v>
      </c>
      <c r="G1960" t="s">
        <v>14</v>
      </c>
      <c r="H1960" t="s">
        <v>15</v>
      </c>
      <c r="I1960" t="s">
        <v>238</v>
      </c>
    </row>
    <row r="1961" spans="1:9" x14ac:dyDescent="0.3">
      <c r="A1961" t="s">
        <v>5782</v>
      </c>
      <c r="B1961" t="s">
        <v>5783</v>
      </c>
      <c r="C1961" t="s">
        <v>11</v>
      </c>
      <c r="D1961" s="1">
        <v>45286</v>
      </c>
      <c r="E1961" t="s">
        <v>5784</v>
      </c>
      <c r="F1961" t="s">
        <v>13</v>
      </c>
      <c r="G1961" t="s">
        <v>174</v>
      </c>
      <c r="H1961" t="s">
        <v>15</v>
      </c>
      <c r="I1961" t="s">
        <v>16</v>
      </c>
    </row>
    <row r="1962" spans="1:9" x14ac:dyDescent="0.3">
      <c r="A1962" t="s">
        <v>5785</v>
      </c>
      <c r="B1962" t="s">
        <v>5786</v>
      </c>
      <c r="C1962" t="s">
        <v>24</v>
      </c>
      <c r="D1962" s="1">
        <v>45287</v>
      </c>
      <c r="E1962" t="s">
        <v>5787</v>
      </c>
      <c r="F1962" t="s">
        <v>13</v>
      </c>
      <c r="G1962" t="s">
        <v>14</v>
      </c>
      <c r="H1962" t="s">
        <v>15</v>
      </c>
      <c r="I1962" t="s">
        <v>26</v>
      </c>
    </row>
    <row r="1963" spans="1:9" x14ac:dyDescent="0.3">
      <c r="A1963" t="s">
        <v>5788</v>
      </c>
      <c r="B1963" t="s">
        <v>5789</v>
      </c>
      <c r="C1963" t="s">
        <v>24</v>
      </c>
      <c r="D1963" s="1">
        <v>45287</v>
      </c>
      <c r="E1963" t="s">
        <v>5790</v>
      </c>
      <c r="F1963" t="s">
        <v>13</v>
      </c>
      <c r="G1963" t="s">
        <v>14</v>
      </c>
      <c r="H1963" t="s">
        <v>15</v>
      </c>
      <c r="I1963" t="s">
        <v>26</v>
      </c>
    </row>
    <row r="1964" spans="1:9" x14ac:dyDescent="0.3">
      <c r="A1964" t="s">
        <v>5791</v>
      </c>
      <c r="B1964" t="s">
        <v>5792</v>
      </c>
      <c r="C1964" t="s">
        <v>11</v>
      </c>
      <c r="D1964" s="1">
        <v>45288</v>
      </c>
      <c r="E1964" t="s">
        <v>5793</v>
      </c>
      <c r="F1964" t="s">
        <v>13</v>
      </c>
      <c r="G1964" t="s">
        <v>14</v>
      </c>
      <c r="H1964" t="s">
        <v>15</v>
      </c>
    </row>
    <row r="1965" spans="1:9" x14ac:dyDescent="0.3">
      <c r="A1965" t="s">
        <v>5794</v>
      </c>
      <c r="B1965" t="s">
        <v>5795</v>
      </c>
      <c r="C1965" t="s">
        <v>11</v>
      </c>
      <c r="D1965" s="1">
        <v>45288</v>
      </c>
      <c r="E1965" t="s">
        <v>5796</v>
      </c>
      <c r="F1965" t="s">
        <v>13</v>
      </c>
      <c r="G1965" t="s">
        <v>14</v>
      </c>
      <c r="H1965" t="s">
        <v>15</v>
      </c>
      <c r="I1965" t="s">
        <v>185</v>
      </c>
    </row>
    <row r="1966" spans="1:9" x14ac:dyDescent="0.3">
      <c r="A1966" t="s">
        <v>5797</v>
      </c>
      <c r="B1966" t="s">
        <v>5798</v>
      </c>
      <c r="C1966" t="s">
        <v>54</v>
      </c>
      <c r="D1966" s="1">
        <v>45288</v>
      </c>
      <c r="E1966" t="s">
        <v>5799</v>
      </c>
      <c r="F1966" t="s">
        <v>13</v>
      </c>
      <c r="G1966" t="s">
        <v>14</v>
      </c>
      <c r="H1966" t="s">
        <v>15</v>
      </c>
      <c r="I1966" t="s">
        <v>181</v>
      </c>
    </row>
    <row r="1967" spans="1:9" x14ac:dyDescent="0.3">
      <c r="A1967" t="s">
        <v>5800</v>
      </c>
      <c r="B1967" t="s">
        <v>5801</v>
      </c>
      <c r="C1967" t="s">
        <v>54</v>
      </c>
      <c r="D1967" s="1">
        <v>45288</v>
      </c>
      <c r="E1967" t="s">
        <v>5802</v>
      </c>
      <c r="F1967" t="s">
        <v>13</v>
      </c>
      <c r="G1967" t="s">
        <v>14</v>
      </c>
      <c r="H1967" t="s">
        <v>15</v>
      </c>
      <c r="I1967" t="s">
        <v>238</v>
      </c>
    </row>
    <row r="1968" spans="1:9" x14ac:dyDescent="0.3">
      <c r="A1968" t="s">
        <v>5803</v>
      </c>
      <c r="B1968" t="s">
        <v>5804</v>
      </c>
      <c r="C1968" t="s">
        <v>11</v>
      </c>
      <c r="D1968" s="1">
        <v>45289</v>
      </c>
      <c r="E1968" t="s">
        <v>5805</v>
      </c>
      <c r="F1968" t="s">
        <v>13</v>
      </c>
      <c r="G1968" t="s">
        <v>14</v>
      </c>
      <c r="H1968" t="s">
        <v>15</v>
      </c>
      <c r="I1968" t="s">
        <v>38</v>
      </c>
    </row>
    <row r="1969" spans="1:9" x14ac:dyDescent="0.3">
      <c r="A1969" t="s">
        <v>5806</v>
      </c>
      <c r="B1969" t="s">
        <v>5807</v>
      </c>
      <c r="C1969" t="s">
        <v>54</v>
      </c>
      <c r="D1969" s="1">
        <v>45289</v>
      </c>
      <c r="E1969" t="s">
        <v>5808</v>
      </c>
      <c r="F1969" t="s">
        <v>13</v>
      </c>
      <c r="G1969" t="s">
        <v>14</v>
      </c>
      <c r="H1969" t="s">
        <v>15</v>
      </c>
      <c r="I1969" t="s">
        <v>238</v>
      </c>
    </row>
    <row r="1970" spans="1:9" x14ac:dyDescent="0.3">
      <c r="A1970" t="s">
        <v>5809</v>
      </c>
      <c r="B1970" t="s">
        <v>5810</v>
      </c>
      <c r="C1970" t="s">
        <v>45</v>
      </c>
      <c r="D1970" s="1">
        <v>45289</v>
      </c>
      <c r="E1970" t="s">
        <v>5811</v>
      </c>
      <c r="F1970" t="s">
        <v>13</v>
      </c>
      <c r="G1970" t="s">
        <v>14</v>
      </c>
      <c r="H1970" t="s">
        <v>15</v>
      </c>
      <c r="I1970" t="s">
        <v>47</v>
      </c>
    </row>
    <row r="1971" spans="1:9" x14ac:dyDescent="0.3">
      <c r="A1971" t="s">
        <v>5812</v>
      </c>
      <c r="B1971" t="s">
        <v>5813</v>
      </c>
      <c r="C1971" t="s">
        <v>54</v>
      </c>
      <c r="D1971" s="1">
        <v>45290</v>
      </c>
      <c r="E1971" t="s">
        <v>5814</v>
      </c>
      <c r="F1971" t="s">
        <v>13</v>
      </c>
      <c r="G1971" t="s">
        <v>14</v>
      </c>
      <c r="H1971" t="s">
        <v>15</v>
      </c>
      <c r="I1971" t="s">
        <v>238</v>
      </c>
    </row>
    <row r="1972" spans="1:9" x14ac:dyDescent="0.3">
      <c r="A1972" t="s">
        <v>5815</v>
      </c>
      <c r="B1972" t="s">
        <v>5816</v>
      </c>
      <c r="C1972" t="s">
        <v>45</v>
      </c>
      <c r="D1972" s="1">
        <v>45290</v>
      </c>
      <c r="E1972" t="s">
        <v>5817</v>
      </c>
      <c r="F1972" t="s">
        <v>13</v>
      </c>
      <c r="G1972" t="s">
        <v>14</v>
      </c>
      <c r="H1972" t="s">
        <v>15</v>
      </c>
      <c r="I1972" t="s">
        <v>47</v>
      </c>
    </row>
    <row r="1973" spans="1:9" x14ac:dyDescent="0.3">
      <c r="A1973" t="s">
        <v>5818</v>
      </c>
      <c r="B1973" t="s">
        <v>5819</v>
      </c>
      <c r="C1973" t="s">
        <v>33</v>
      </c>
      <c r="D1973" s="1">
        <v>45290</v>
      </c>
      <c r="E1973" t="s">
        <v>5820</v>
      </c>
      <c r="F1973" t="s">
        <v>13</v>
      </c>
      <c r="G1973" t="s">
        <v>14</v>
      </c>
      <c r="H1973" t="s">
        <v>15</v>
      </c>
    </row>
    <row r="1974" spans="1:9" x14ac:dyDescent="0.3">
      <c r="A1974" t="s">
        <v>5821</v>
      </c>
      <c r="B1974" t="s">
        <v>5822</v>
      </c>
      <c r="C1974" t="s">
        <v>69</v>
      </c>
      <c r="D1974" s="1">
        <v>45291</v>
      </c>
      <c r="E1974" t="s">
        <v>5823</v>
      </c>
      <c r="F1974" t="s">
        <v>13</v>
      </c>
      <c r="G1974" t="s">
        <v>14</v>
      </c>
      <c r="H1974" t="s">
        <v>15</v>
      </c>
    </row>
    <row r="1975" spans="1:9" x14ac:dyDescent="0.3">
      <c r="A1975" t="s">
        <v>5824</v>
      </c>
      <c r="B1975" t="s">
        <v>5825</v>
      </c>
      <c r="C1975" t="s">
        <v>69</v>
      </c>
      <c r="D1975" s="1">
        <v>45291</v>
      </c>
      <c r="E1975" t="s">
        <v>5826</v>
      </c>
      <c r="F1975" t="s">
        <v>13</v>
      </c>
      <c r="G1975" t="s">
        <v>14</v>
      </c>
      <c r="H1975" t="s">
        <v>15</v>
      </c>
    </row>
    <row r="1976" spans="1:9" x14ac:dyDescent="0.3">
      <c r="A1976" t="s">
        <v>5827</v>
      </c>
      <c r="B1976" t="s">
        <v>5828</v>
      </c>
      <c r="C1976" t="s">
        <v>19</v>
      </c>
      <c r="D1976" s="1">
        <v>45292</v>
      </c>
      <c r="E1976" t="s">
        <v>5829</v>
      </c>
      <c r="F1976" t="s">
        <v>13</v>
      </c>
      <c r="G1976" t="s">
        <v>14</v>
      </c>
      <c r="H1976" t="s">
        <v>15</v>
      </c>
      <c r="I1976" t="s">
        <v>116</v>
      </c>
    </row>
    <row r="1977" spans="1:9" x14ac:dyDescent="0.3">
      <c r="A1977" t="s">
        <v>5830</v>
      </c>
      <c r="B1977" t="s">
        <v>5831</v>
      </c>
      <c r="C1977" t="s">
        <v>19</v>
      </c>
      <c r="D1977" s="1">
        <v>45292</v>
      </c>
      <c r="E1977" t="s">
        <v>5832</v>
      </c>
      <c r="F1977" t="s">
        <v>13</v>
      </c>
      <c r="G1977" t="s">
        <v>14</v>
      </c>
      <c r="H1977" t="s">
        <v>15</v>
      </c>
      <c r="I1977" t="s">
        <v>21</v>
      </c>
    </row>
    <row r="1978" spans="1:9" x14ac:dyDescent="0.3">
      <c r="A1978" t="s">
        <v>5833</v>
      </c>
      <c r="B1978" t="s">
        <v>5834</v>
      </c>
      <c r="C1978" t="s">
        <v>69</v>
      </c>
      <c r="D1978" s="1">
        <v>45292</v>
      </c>
      <c r="E1978" t="s">
        <v>5835</v>
      </c>
      <c r="F1978" t="s">
        <v>13</v>
      </c>
      <c r="G1978" t="s">
        <v>14</v>
      </c>
      <c r="H1978" t="s">
        <v>15</v>
      </c>
      <c r="I1978" t="s">
        <v>71</v>
      </c>
    </row>
    <row r="1979" spans="1:9" x14ac:dyDescent="0.3">
      <c r="A1979" t="s">
        <v>5836</v>
      </c>
      <c r="B1979" t="s">
        <v>5837</v>
      </c>
      <c r="C1979" t="s">
        <v>11</v>
      </c>
      <c r="D1979" s="1">
        <v>45294</v>
      </c>
      <c r="E1979" t="s">
        <v>5838</v>
      </c>
      <c r="F1979" t="s">
        <v>13</v>
      </c>
      <c r="G1979" t="s">
        <v>14</v>
      </c>
      <c r="H1979" t="s">
        <v>15</v>
      </c>
      <c r="I1979" t="s">
        <v>185</v>
      </c>
    </row>
    <row r="1980" spans="1:9" x14ac:dyDescent="0.3">
      <c r="A1980" t="s">
        <v>5839</v>
      </c>
      <c r="B1980" t="s">
        <v>5840</v>
      </c>
      <c r="C1980" t="s">
        <v>54</v>
      </c>
      <c r="D1980" s="1">
        <v>45294</v>
      </c>
      <c r="E1980" t="s">
        <v>5841</v>
      </c>
      <c r="F1980" t="s">
        <v>13</v>
      </c>
      <c r="G1980" t="s">
        <v>14</v>
      </c>
      <c r="H1980" t="s">
        <v>15</v>
      </c>
      <c r="I1980" t="s">
        <v>238</v>
      </c>
    </row>
    <row r="1981" spans="1:9" x14ac:dyDescent="0.3">
      <c r="A1981" t="s">
        <v>5842</v>
      </c>
      <c r="B1981" t="s">
        <v>5843</v>
      </c>
      <c r="C1981" t="s">
        <v>33</v>
      </c>
      <c r="D1981" s="1">
        <v>45295</v>
      </c>
      <c r="E1981" t="s">
        <v>5844</v>
      </c>
      <c r="F1981" t="s">
        <v>13</v>
      </c>
      <c r="G1981" t="s">
        <v>14</v>
      </c>
      <c r="H1981" t="s">
        <v>15</v>
      </c>
      <c r="I1981" t="s">
        <v>94</v>
      </c>
    </row>
    <row r="1982" spans="1:9" x14ac:dyDescent="0.3">
      <c r="A1982" t="s">
        <v>5845</v>
      </c>
      <c r="B1982" t="s">
        <v>5846</v>
      </c>
      <c r="C1982" t="s">
        <v>33</v>
      </c>
      <c r="D1982" s="1">
        <v>45295</v>
      </c>
      <c r="E1982" t="s">
        <v>5847</v>
      </c>
      <c r="F1982" t="s">
        <v>13</v>
      </c>
      <c r="G1982" t="s">
        <v>14</v>
      </c>
      <c r="H1982" t="s">
        <v>15</v>
      </c>
    </row>
    <row r="1983" spans="1:9" x14ac:dyDescent="0.3">
      <c r="A1983" t="s">
        <v>5848</v>
      </c>
      <c r="B1983" t="s">
        <v>5849</v>
      </c>
      <c r="C1983" t="s">
        <v>24</v>
      </c>
      <c r="D1983" s="1">
        <v>45296</v>
      </c>
      <c r="E1983" t="s">
        <v>5850</v>
      </c>
      <c r="F1983" t="s">
        <v>13</v>
      </c>
      <c r="G1983" t="s">
        <v>14</v>
      </c>
      <c r="H1983" t="s">
        <v>15</v>
      </c>
      <c r="I1983" t="s">
        <v>63</v>
      </c>
    </row>
    <row r="1984" spans="1:9" x14ac:dyDescent="0.3">
      <c r="A1984" t="s">
        <v>5851</v>
      </c>
      <c r="B1984" t="s">
        <v>5852</v>
      </c>
      <c r="C1984" t="s">
        <v>19</v>
      </c>
      <c r="D1984" s="1">
        <v>45296</v>
      </c>
      <c r="E1984" t="s">
        <v>5853</v>
      </c>
      <c r="F1984" t="s">
        <v>13</v>
      </c>
      <c r="G1984" t="s">
        <v>14</v>
      </c>
      <c r="H1984" t="s">
        <v>15</v>
      </c>
      <c r="I1984" t="s">
        <v>116</v>
      </c>
    </row>
    <row r="1985" spans="1:9" x14ac:dyDescent="0.3">
      <c r="A1985" t="s">
        <v>5854</v>
      </c>
      <c r="B1985" t="s">
        <v>5855</v>
      </c>
      <c r="C1985" t="s">
        <v>11</v>
      </c>
      <c r="D1985" s="1">
        <v>45296</v>
      </c>
      <c r="E1985" t="s">
        <v>5856</v>
      </c>
      <c r="F1985" t="s">
        <v>13</v>
      </c>
      <c r="G1985" t="s">
        <v>14</v>
      </c>
      <c r="H1985" t="s">
        <v>15</v>
      </c>
      <c r="I1985" t="s">
        <v>38</v>
      </c>
    </row>
    <row r="1986" spans="1:9" x14ac:dyDescent="0.3">
      <c r="A1986" t="s">
        <v>5857</v>
      </c>
      <c r="B1986" t="s">
        <v>5858</v>
      </c>
      <c r="C1986" t="s">
        <v>11</v>
      </c>
      <c r="D1986" s="1">
        <v>45296</v>
      </c>
      <c r="E1986" t="s">
        <v>5859</v>
      </c>
      <c r="F1986" t="s">
        <v>13</v>
      </c>
      <c r="G1986" t="s">
        <v>174</v>
      </c>
      <c r="H1986" t="s">
        <v>15</v>
      </c>
    </row>
    <row r="1987" spans="1:9" x14ac:dyDescent="0.3">
      <c r="A1987" t="s">
        <v>5860</v>
      </c>
      <c r="B1987" t="s">
        <v>5861</v>
      </c>
      <c r="C1987" t="s">
        <v>19</v>
      </c>
      <c r="D1987" s="1">
        <v>45297</v>
      </c>
      <c r="E1987" t="s">
        <v>5862</v>
      </c>
      <c r="F1987" t="s">
        <v>13</v>
      </c>
      <c r="G1987" t="s">
        <v>14</v>
      </c>
      <c r="H1987" t="s">
        <v>15</v>
      </c>
      <c r="I1987" t="s">
        <v>116</v>
      </c>
    </row>
    <row r="1988" spans="1:9" x14ac:dyDescent="0.3">
      <c r="A1988" t="s">
        <v>5863</v>
      </c>
      <c r="B1988" t="s">
        <v>5864</v>
      </c>
      <c r="C1988" t="s">
        <v>29</v>
      </c>
      <c r="D1988" s="1">
        <v>45297</v>
      </c>
      <c r="E1988" t="s">
        <v>5865</v>
      </c>
      <c r="F1988" t="s">
        <v>13</v>
      </c>
      <c r="G1988" t="s">
        <v>14</v>
      </c>
      <c r="H1988" t="s">
        <v>15</v>
      </c>
      <c r="I1988" t="s">
        <v>42</v>
      </c>
    </row>
    <row r="1989" spans="1:9" x14ac:dyDescent="0.3">
      <c r="A1989" t="s">
        <v>5866</v>
      </c>
      <c r="B1989" t="s">
        <v>5867</v>
      </c>
      <c r="C1989" t="s">
        <v>11</v>
      </c>
      <c r="D1989" s="1">
        <v>45299</v>
      </c>
      <c r="E1989" t="s">
        <v>5868</v>
      </c>
      <c r="F1989" t="s">
        <v>13</v>
      </c>
      <c r="G1989" t="s">
        <v>14</v>
      </c>
      <c r="H1989" t="s">
        <v>15</v>
      </c>
    </row>
    <row r="1990" spans="1:9" x14ac:dyDescent="0.3">
      <c r="A1990" t="s">
        <v>5869</v>
      </c>
      <c r="B1990" t="s">
        <v>5870</v>
      </c>
      <c r="C1990" t="s">
        <v>33</v>
      </c>
      <c r="D1990" s="1">
        <v>45299</v>
      </c>
      <c r="E1990" t="s">
        <v>5871</v>
      </c>
      <c r="F1990" t="s">
        <v>13</v>
      </c>
      <c r="G1990" t="s">
        <v>14</v>
      </c>
      <c r="H1990" t="s">
        <v>15</v>
      </c>
      <c r="I1990" t="s">
        <v>94</v>
      </c>
    </row>
    <row r="1991" spans="1:9" x14ac:dyDescent="0.3">
      <c r="A1991" t="s">
        <v>5872</v>
      </c>
      <c r="B1991" t="s">
        <v>5873</v>
      </c>
      <c r="C1991" t="s">
        <v>45</v>
      </c>
      <c r="D1991" s="1">
        <v>45299</v>
      </c>
      <c r="E1991" t="s">
        <v>5874</v>
      </c>
      <c r="F1991" t="s">
        <v>13</v>
      </c>
      <c r="G1991" t="s">
        <v>14</v>
      </c>
      <c r="H1991" t="s">
        <v>15</v>
      </c>
    </row>
    <row r="1992" spans="1:9" x14ac:dyDescent="0.3">
      <c r="A1992" t="s">
        <v>5875</v>
      </c>
      <c r="B1992" t="s">
        <v>5876</v>
      </c>
      <c r="C1992" t="s">
        <v>69</v>
      </c>
      <c r="D1992" s="1">
        <v>45299</v>
      </c>
      <c r="E1992" t="s">
        <v>5877</v>
      </c>
      <c r="F1992" t="s">
        <v>13</v>
      </c>
      <c r="G1992" t="s">
        <v>14</v>
      </c>
      <c r="H1992" t="s">
        <v>15</v>
      </c>
    </row>
    <row r="1993" spans="1:9" x14ac:dyDescent="0.3">
      <c r="A1993" t="s">
        <v>5878</v>
      </c>
      <c r="B1993" t="s">
        <v>5879</v>
      </c>
      <c r="C1993" t="s">
        <v>45</v>
      </c>
      <c r="D1993" s="1">
        <v>45299</v>
      </c>
      <c r="E1993" t="s">
        <v>5880</v>
      </c>
      <c r="F1993" t="s">
        <v>13</v>
      </c>
      <c r="G1993" t="s">
        <v>14</v>
      </c>
      <c r="H1993" t="s">
        <v>15</v>
      </c>
      <c r="I1993" t="s">
        <v>47</v>
      </c>
    </row>
    <row r="1994" spans="1:9" x14ac:dyDescent="0.3">
      <c r="A1994" t="s">
        <v>5881</v>
      </c>
      <c r="B1994" t="s">
        <v>5882</v>
      </c>
      <c r="C1994" t="s">
        <v>11</v>
      </c>
      <c r="D1994" s="1">
        <v>45300</v>
      </c>
      <c r="E1994" t="s">
        <v>5883</v>
      </c>
      <c r="F1994" t="s">
        <v>13</v>
      </c>
      <c r="G1994" t="s">
        <v>14</v>
      </c>
      <c r="H1994" t="s">
        <v>15</v>
      </c>
      <c r="I1994" t="s">
        <v>16</v>
      </c>
    </row>
    <row r="1995" spans="1:9" x14ac:dyDescent="0.3">
      <c r="A1995" t="s">
        <v>5884</v>
      </c>
      <c r="B1995" t="s">
        <v>5885</v>
      </c>
      <c r="C1995" t="s">
        <v>54</v>
      </c>
      <c r="D1995" s="1">
        <v>45300</v>
      </c>
      <c r="E1995" t="s">
        <v>5886</v>
      </c>
      <c r="F1995" t="s">
        <v>13</v>
      </c>
      <c r="G1995" t="s">
        <v>14</v>
      </c>
      <c r="H1995" t="s">
        <v>15</v>
      </c>
    </row>
    <row r="1996" spans="1:9" x14ac:dyDescent="0.3">
      <c r="A1996" t="s">
        <v>5827</v>
      </c>
      <c r="B1996" t="s">
        <v>5887</v>
      </c>
      <c r="C1996" t="s">
        <v>19</v>
      </c>
      <c r="D1996" s="1">
        <v>45301</v>
      </c>
      <c r="E1996" t="s">
        <v>5888</v>
      </c>
      <c r="F1996" t="s">
        <v>13</v>
      </c>
      <c r="G1996" t="s">
        <v>14</v>
      </c>
      <c r="H1996" t="s">
        <v>15</v>
      </c>
      <c r="I1996" t="s">
        <v>116</v>
      </c>
    </row>
    <row r="1997" spans="1:9" x14ac:dyDescent="0.3">
      <c r="A1997" t="s">
        <v>5889</v>
      </c>
      <c r="B1997" t="s">
        <v>5890</v>
      </c>
      <c r="C1997" t="s">
        <v>45</v>
      </c>
      <c r="D1997" s="1">
        <v>45301</v>
      </c>
      <c r="E1997" t="s">
        <v>5891</v>
      </c>
      <c r="F1997" t="s">
        <v>13</v>
      </c>
      <c r="G1997" t="s">
        <v>14</v>
      </c>
      <c r="H1997" t="s">
        <v>15</v>
      </c>
      <c r="I1997" t="s">
        <v>248</v>
      </c>
    </row>
    <row r="1998" spans="1:9" x14ac:dyDescent="0.3">
      <c r="A1998" t="s">
        <v>5892</v>
      </c>
      <c r="B1998" t="s">
        <v>5893</v>
      </c>
      <c r="C1998" t="s">
        <v>29</v>
      </c>
      <c r="D1998" s="1">
        <v>45301</v>
      </c>
      <c r="E1998" t="s">
        <v>5894</v>
      </c>
      <c r="F1998" t="s">
        <v>13</v>
      </c>
      <c r="G1998" t="s">
        <v>14</v>
      </c>
      <c r="H1998" t="s">
        <v>15</v>
      </c>
      <c r="I1998" t="s">
        <v>42</v>
      </c>
    </row>
    <row r="1999" spans="1:9" x14ac:dyDescent="0.3">
      <c r="A1999" t="s">
        <v>5895</v>
      </c>
      <c r="B1999" t="s">
        <v>5896</v>
      </c>
      <c r="C1999" t="s">
        <v>45</v>
      </c>
      <c r="D1999" s="1">
        <v>45301</v>
      </c>
      <c r="E1999" t="s">
        <v>5897</v>
      </c>
      <c r="F1999" t="s">
        <v>13</v>
      </c>
      <c r="G1999" t="s">
        <v>14</v>
      </c>
      <c r="H1999" t="s">
        <v>15</v>
      </c>
      <c r="I1999" t="s">
        <v>248</v>
      </c>
    </row>
    <row r="2000" spans="1:9" x14ac:dyDescent="0.3">
      <c r="A2000" t="s">
        <v>5898</v>
      </c>
      <c r="B2000" t="s">
        <v>5899</v>
      </c>
      <c r="C2000" t="s">
        <v>11</v>
      </c>
      <c r="D2000" s="1">
        <v>45302</v>
      </c>
      <c r="E2000" t="s">
        <v>5900</v>
      </c>
      <c r="F2000" t="s">
        <v>13</v>
      </c>
      <c r="G2000" t="s">
        <v>14</v>
      </c>
      <c r="H2000" t="s">
        <v>15</v>
      </c>
      <c r="I2000" t="s">
        <v>38</v>
      </c>
    </row>
    <row r="2001" spans="1:9" x14ac:dyDescent="0.3">
      <c r="A2001" t="s">
        <v>5901</v>
      </c>
      <c r="B2001" t="s">
        <v>5902</v>
      </c>
      <c r="C2001" t="s">
        <v>29</v>
      </c>
      <c r="D2001" s="1">
        <v>45303</v>
      </c>
      <c r="E2001" t="s">
        <v>5903</v>
      </c>
      <c r="F2001" t="s">
        <v>13</v>
      </c>
      <c r="G2001" t="s">
        <v>14</v>
      </c>
      <c r="H2001" t="s">
        <v>15</v>
      </c>
      <c r="I2001" t="s">
        <v>42</v>
      </c>
    </row>
    <row r="2002" spans="1:9" x14ac:dyDescent="0.3">
      <c r="A2002" t="s">
        <v>5904</v>
      </c>
      <c r="B2002" t="s">
        <v>5905</v>
      </c>
      <c r="C2002" t="s">
        <v>69</v>
      </c>
      <c r="D2002" s="1">
        <v>45303</v>
      </c>
      <c r="E2002" t="s">
        <v>5906</v>
      </c>
      <c r="F2002" t="s">
        <v>13</v>
      </c>
      <c r="G2002" t="s">
        <v>14</v>
      </c>
      <c r="H2002" t="s">
        <v>15</v>
      </c>
      <c r="I2002" t="s">
        <v>71</v>
      </c>
    </row>
    <row r="2003" spans="1:9" x14ac:dyDescent="0.3">
      <c r="A2003" t="s">
        <v>5907</v>
      </c>
      <c r="B2003" t="s">
        <v>5908</v>
      </c>
      <c r="C2003" t="s">
        <v>33</v>
      </c>
      <c r="D2003" s="1">
        <v>45303</v>
      </c>
      <c r="E2003" t="s">
        <v>5909</v>
      </c>
      <c r="F2003" t="s">
        <v>13</v>
      </c>
      <c r="G2003" t="s">
        <v>174</v>
      </c>
      <c r="H2003" t="s">
        <v>15</v>
      </c>
    </row>
    <row r="2004" spans="1:9" x14ac:dyDescent="0.3">
      <c r="A2004" t="s">
        <v>5910</v>
      </c>
      <c r="B2004" t="s">
        <v>5911</v>
      </c>
      <c r="C2004" t="s">
        <v>19</v>
      </c>
      <c r="D2004" s="1">
        <v>45304</v>
      </c>
      <c r="E2004" t="s">
        <v>5912</v>
      </c>
      <c r="F2004" t="s">
        <v>13</v>
      </c>
      <c r="G2004" t="s">
        <v>174</v>
      </c>
      <c r="H2004" t="s">
        <v>15</v>
      </c>
      <c r="I2004" t="s">
        <v>21</v>
      </c>
    </row>
    <row r="2005" spans="1:9" x14ac:dyDescent="0.3">
      <c r="A2005" t="s">
        <v>5913</v>
      </c>
      <c r="B2005" t="s">
        <v>5914</v>
      </c>
      <c r="C2005" t="s">
        <v>69</v>
      </c>
      <c r="D2005" s="1">
        <v>45304</v>
      </c>
      <c r="E2005" t="s">
        <v>5915</v>
      </c>
      <c r="F2005" t="s">
        <v>13</v>
      </c>
      <c r="G2005" t="s">
        <v>14</v>
      </c>
      <c r="H2005" t="s">
        <v>15</v>
      </c>
    </row>
    <row r="2006" spans="1:9" x14ac:dyDescent="0.3">
      <c r="A2006" t="s">
        <v>5916</v>
      </c>
      <c r="B2006" t="s">
        <v>5917</v>
      </c>
      <c r="C2006" t="s">
        <v>45</v>
      </c>
      <c r="D2006" s="1">
        <v>45304</v>
      </c>
      <c r="E2006" t="s">
        <v>5918</v>
      </c>
      <c r="F2006" t="s">
        <v>13</v>
      </c>
      <c r="G2006" t="s">
        <v>14</v>
      </c>
      <c r="H2006" t="s">
        <v>15</v>
      </c>
      <c r="I2006" t="s">
        <v>47</v>
      </c>
    </row>
    <row r="2007" spans="1:9" x14ac:dyDescent="0.3">
      <c r="A2007" t="s">
        <v>5919</v>
      </c>
      <c r="B2007" t="s">
        <v>5920</v>
      </c>
      <c r="C2007" t="s">
        <v>69</v>
      </c>
      <c r="D2007" s="1">
        <v>45304</v>
      </c>
      <c r="E2007" t="s">
        <v>5921</v>
      </c>
      <c r="F2007" t="s">
        <v>13</v>
      </c>
      <c r="G2007" t="s">
        <v>174</v>
      </c>
      <c r="H2007" t="s">
        <v>15</v>
      </c>
      <c r="I2007" t="s">
        <v>71</v>
      </c>
    </row>
    <row r="2008" spans="1:9" x14ac:dyDescent="0.3">
      <c r="A2008" t="s">
        <v>5922</v>
      </c>
      <c r="B2008" t="s">
        <v>5923</v>
      </c>
      <c r="C2008" t="s">
        <v>19</v>
      </c>
      <c r="D2008" s="1">
        <v>45304</v>
      </c>
      <c r="E2008" t="s">
        <v>5924</v>
      </c>
      <c r="F2008" t="s">
        <v>13</v>
      </c>
      <c r="G2008" t="s">
        <v>14</v>
      </c>
      <c r="H2008" t="s">
        <v>15</v>
      </c>
      <c r="I2008" t="s">
        <v>21</v>
      </c>
    </row>
    <row r="2009" spans="1:9" x14ac:dyDescent="0.3">
      <c r="A2009" t="s">
        <v>5925</v>
      </c>
      <c r="B2009" t="s">
        <v>5926</v>
      </c>
      <c r="C2009" t="s">
        <v>69</v>
      </c>
      <c r="D2009" s="1">
        <v>45305</v>
      </c>
      <c r="E2009" t="s">
        <v>5927</v>
      </c>
      <c r="F2009" t="s">
        <v>13</v>
      </c>
      <c r="G2009" t="s">
        <v>14</v>
      </c>
      <c r="H2009" t="s">
        <v>15</v>
      </c>
    </row>
    <row r="2010" spans="1:9" x14ac:dyDescent="0.3">
      <c r="A2010" t="s">
        <v>5928</v>
      </c>
      <c r="B2010" t="s">
        <v>5929</v>
      </c>
      <c r="C2010" t="s">
        <v>69</v>
      </c>
      <c r="D2010" s="1">
        <v>45305</v>
      </c>
      <c r="E2010" t="s">
        <v>5930</v>
      </c>
      <c r="F2010" t="s">
        <v>13</v>
      </c>
      <c r="G2010" t="s">
        <v>14</v>
      </c>
      <c r="H2010" t="s">
        <v>15</v>
      </c>
      <c r="I2010" t="s">
        <v>71</v>
      </c>
    </row>
    <row r="2011" spans="1:9" x14ac:dyDescent="0.3">
      <c r="A2011" t="s">
        <v>5931</v>
      </c>
      <c r="B2011" t="s">
        <v>5932</v>
      </c>
      <c r="C2011" t="s">
        <v>69</v>
      </c>
      <c r="D2011" s="1">
        <v>45305</v>
      </c>
      <c r="E2011" t="s">
        <v>5933</v>
      </c>
      <c r="F2011" t="s">
        <v>13</v>
      </c>
      <c r="G2011" t="s">
        <v>14</v>
      </c>
      <c r="H2011" t="s">
        <v>15</v>
      </c>
      <c r="I2011" t="s">
        <v>71</v>
      </c>
    </row>
    <row r="2012" spans="1:9" x14ac:dyDescent="0.3">
      <c r="A2012" t="s">
        <v>5934</v>
      </c>
      <c r="B2012" t="s">
        <v>5935</v>
      </c>
      <c r="C2012" t="s">
        <v>11</v>
      </c>
      <c r="D2012" s="1">
        <v>45305</v>
      </c>
      <c r="E2012" t="s">
        <v>5936</v>
      </c>
      <c r="F2012" t="s">
        <v>13</v>
      </c>
      <c r="G2012" t="s">
        <v>14</v>
      </c>
      <c r="H2012" t="s">
        <v>15</v>
      </c>
    </row>
    <row r="2013" spans="1:9" x14ac:dyDescent="0.3">
      <c r="A2013" t="s">
        <v>5937</v>
      </c>
      <c r="B2013" t="s">
        <v>5938</v>
      </c>
      <c r="C2013" t="s">
        <v>45</v>
      </c>
      <c r="D2013" s="1">
        <v>45306</v>
      </c>
      <c r="E2013" t="s">
        <v>5939</v>
      </c>
      <c r="F2013" t="s">
        <v>13</v>
      </c>
      <c r="G2013" t="s">
        <v>14</v>
      </c>
      <c r="H2013" t="s">
        <v>15</v>
      </c>
      <c r="I2013" t="s">
        <v>47</v>
      </c>
    </row>
    <row r="2014" spans="1:9" x14ac:dyDescent="0.3">
      <c r="A2014" t="s">
        <v>5940</v>
      </c>
      <c r="B2014" t="s">
        <v>5941</v>
      </c>
      <c r="C2014" t="s">
        <v>54</v>
      </c>
      <c r="D2014" s="1">
        <v>45306</v>
      </c>
      <c r="E2014" t="s">
        <v>5942</v>
      </c>
      <c r="F2014" t="s">
        <v>13</v>
      </c>
      <c r="G2014" t="s">
        <v>14</v>
      </c>
      <c r="H2014" t="s">
        <v>15</v>
      </c>
      <c r="I2014" t="s">
        <v>238</v>
      </c>
    </row>
    <row r="2015" spans="1:9" x14ac:dyDescent="0.3">
      <c r="A2015" t="s">
        <v>5943</v>
      </c>
      <c r="B2015" t="s">
        <v>5944</v>
      </c>
      <c r="C2015" t="s">
        <v>24</v>
      </c>
      <c r="D2015" s="1">
        <v>45307</v>
      </c>
      <c r="E2015" t="s">
        <v>5945</v>
      </c>
      <c r="F2015" t="s">
        <v>13</v>
      </c>
      <c r="G2015" t="s">
        <v>14</v>
      </c>
      <c r="H2015" t="s">
        <v>15</v>
      </c>
      <c r="I2015" t="s">
        <v>63</v>
      </c>
    </row>
    <row r="2016" spans="1:9" x14ac:dyDescent="0.3">
      <c r="A2016" t="s">
        <v>5946</v>
      </c>
      <c r="B2016" t="s">
        <v>5947</v>
      </c>
      <c r="C2016" t="s">
        <v>45</v>
      </c>
      <c r="D2016" s="1">
        <v>45307</v>
      </c>
      <c r="E2016" t="s">
        <v>5948</v>
      </c>
      <c r="F2016" t="s">
        <v>13</v>
      </c>
      <c r="G2016" t="s">
        <v>14</v>
      </c>
      <c r="H2016" t="s">
        <v>15</v>
      </c>
      <c r="I2016" t="s">
        <v>248</v>
      </c>
    </row>
    <row r="2017" spans="1:9" x14ac:dyDescent="0.3">
      <c r="A2017" t="s">
        <v>5949</v>
      </c>
      <c r="B2017" t="s">
        <v>5950</v>
      </c>
      <c r="C2017" t="s">
        <v>54</v>
      </c>
      <c r="D2017" s="1">
        <v>45307</v>
      </c>
      <c r="E2017" t="s">
        <v>5951</v>
      </c>
      <c r="F2017" t="s">
        <v>13</v>
      </c>
      <c r="G2017" t="s">
        <v>14</v>
      </c>
      <c r="H2017" t="s">
        <v>15</v>
      </c>
      <c r="I2017" t="s">
        <v>238</v>
      </c>
    </row>
    <row r="2018" spans="1:9" x14ac:dyDescent="0.3">
      <c r="A2018" t="s">
        <v>5952</v>
      </c>
      <c r="B2018" t="s">
        <v>5953</v>
      </c>
      <c r="C2018" t="s">
        <v>29</v>
      </c>
      <c r="D2018" s="1">
        <v>45308</v>
      </c>
      <c r="E2018" t="s">
        <v>5954</v>
      </c>
      <c r="F2018" t="s">
        <v>13</v>
      </c>
      <c r="G2018" t="s">
        <v>14</v>
      </c>
      <c r="H2018" t="s">
        <v>15</v>
      </c>
      <c r="I2018" t="s">
        <v>42</v>
      </c>
    </row>
    <row r="2019" spans="1:9" x14ac:dyDescent="0.3">
      <c r="A2019" t="s">
        <v>5955</v>
      </c>
      <c r="B2019" t="s">
        <v>5956</v>
      </c>
      <c r="C2019" t="s">
        <v>11</v>
      </c>
      <c r="D2019" s="1">
        <v>45308</v>
      </c>
      <c r="E2019" t="s">
        <v>5957</v>
      </c>
      <c r="F2019" t="s">
        <v>13</v>
      </c>
      <c r="G2019" t="s">
        <v>14</v>
      </c>
      <c r="H2019" t="s">
        <v>15</v>
      </c>
      <c r="I2019" t="s">
        <v>185</v>
      </c>
    </row>
    <row r="2020" spans="1:9" x14ac:dyDescent="0.3">
      <c r="A2020" t="s">
        <v>5958</v>
      </c>
      <c r="B2020" t="s">
        <v>5959</v>
      </c>
      <c r="C2020" t="s">
        <v>33</v>
      </c>
      <c r="D2020" s="1">
        <v>45309</v>
      </c>
      <c r="E2020" t="s">
        <v>5960</v>
      </c>
      <c r="F2020" t="s">
        <v>13</v>
      </c>
      <c r="G2020" t="s">
        <v>14</v>
      </c>
      <c r="H2020" t="s">
        <v>15</v>
      </c>
      <c r="I2020" t="s">
        <v>51</v>
      </c>
    </row>
    <row r="2021" spans="1:9" x14ac:dyDescent="0.3">
      <c r="A2021" t="s">
        <v>5961</v>
      </c>
      <c r="B2021" t="s">
        <v>5962</v>
      </c>
      <c r="C2021" t="s">
        <v>11</v>
      </c>
      <c r="D2021" s="1">
        <v>45309</v>
      </c>
      <c r="E2021" t="s">
        <v>5963</v>
      </c>
      <c r="F2021" t="s">
        <v>13</v>
      </c>
      <c r="G2021" t="s">
        <v>14</v>
      </c>
      <c r="H2021" t="s">
        <v>15</v>
      </c>
      <c r="I2021" t="s">
        <v>16</v>
      </c>
    </row>
    <row r="2022" spans="1:9" x14ac:dyDescent="0.3">
      <c r="A2022" t="s">
        <v>5964</v>
      </c>
      <c r="B2022" t="s">
        <v>5965</v>
      </c>
      <c r="C2022" t="s">
        <v>11</v>
      </c>
      <c r="D2022" s="1">
        <v>45310</v>
      </c>
      <c r="E2022" t="s">
        <v>5966</v>
      </c>
      <c r="F2022" t="s">
        <v>13</v>
      </c>
      <c r="G2022" t="s">
        <v>14</v>
      </c>
      <c r="H2022" t="s">
        <v>15</v>
      </c>
    </row>
    <row r="2023" spans="1:9" x14ac:dyDescent="0.3">
      <c r="A2023" t="s">
        <v>5967</v>
      </c>
      <c r="B2023" t="s">
        <v>5968</v>
      </c>
      <c r="C2023" t="s">
        <v>54</v>
      </c>
      <c r="D2023" s="1">
        <v>45311</v>
      </c>
      <c r="E2023" t="s">
        <v>5969</v>
      </c>
      <c r="F2023" t="s">
        <v>13</v>
      </c>
      <c r="G2023" t="s">
        <v>14</v>
      </c>
      <c r="H2023" t="s">
        <v>15</v>
      </c>
      <c r="I2023" t="s">
        <v>181</v>
      </c>
    </row>
    <row r="2024" spans="1:9" x14ac:dyDescent="0.3">
      <c r="A2024" t="s">
        <v>5970</v>
      </c>
      <c r="B2024" t="s">
        <v>5971</v>
      </c>
      <c r="C2024" t="s">
        <v>19</v>
      </c>
      <c r="D2024" s="1">
        <v>45311</v>
      </c>
      <c r="E2024" t="s">
        <v>5972</v>
      </c>
      <c r="F2024" t="s">
        <v>13</v>
      </c>
      <c r="G2024" t="s">
        <v>14</v>
      </c>
      <c r="H2024" t="s">
        <v>15</v>
      </c>
      <c r="I2024" t="s">
        <v>116</v>
      </c>
    </row>
    <row r="2025" spans="1:9" x14ac:dyDescent="0.3">
      <c r="A2025" t="s">
        <v>5973</v>
      </c>
      <c r="B2025" t="s">
        <v>5974</v>
      </c>
      <c r="C2025" t="s">
        <v>69</v>
      </c>
      <c r="D2025" s="1">
        <v>45311</v>
      </c>
      <c r="E2025" t="s">
        <v>5975</v>
      </c>
      <c r="F2025" t="s">
        <v>13</v>
      </c>
      <c r="G2025" t="s">
        <v>14</v>
      </c>
      <c r="H2025" t="s">
        <v>15</v>
      </c>
      <c r="I2025" t="s">
        <v>71</v>
      </c>
    </row>
    <row r="2026" spans="1:9" x14ac:dyDescent="0.3">
      <c r="A2026" t="s">
        <v>5976</v>
      </c>
      <c r="B2026" t="s">
        <v>5977</v>
      </c>
      <c r="C2026" t="s">
        <v>29</v>
      </c>
      <c r="D2026" s="1">
        <v>45311</v>
      </c>
      <c r="E2026" t="s">
        <v>5978</v>
      </c>
      <c r="F2026" t="s">
        <v>13</v>
      </c>
      <c r="G2026" t="s">
        <v>14</v>
      </c>
      <c r="H2026" t="s">
        <v>15</v>
      </c>
      <c r="I2026" t="s">
        <v>81</v>
      </c>
    </row>
    <row r="2027" spans="1:9" x14ac:dyDescent="0.3">
      <c r="A2027" t="s">
        <v>5979</v>
      </c>
      <c r="B2027" t="s">
        <v>5980</v>
      </c>
      <c r="C2027" t="s">
        <v>45</v>
      </c>
      <c r="D2027" s="1">
        <v>45311</v>
      </c>
      <c r="E2027" t="s">
        <v>5981</v>
      </c>
      <c r="F2027" t="s">
        <v>13</v>
      </c>
      <c r="G2027" t="s">
        <v>14</v>
      </c>
      <c r="H2027" t="s">
        <v>15</v>
      </c>
      <c r="I2027" t="s">
        <v>47</v>
      </c>
    </row>
    <row r="2028" spans="1:9" x14ac:dyDescent="0.3">
      <c r="A2028" t="s">
        <v>5982</v>
      </c>
      <c r="B2028" t="s">
        <v>5983</v>
      </c>
      <c r="C2028" t="s">
        <v>45</v>
      </c>
      <c r="D2028" s="1">
        <v>45312</v>
      </c>
      <c r="E2028" t="s">
        <v>5984</v>
      </c>
      <c r="F2028" t="s">
        <v>13</v>
      </c>
      <c r="G2028" t="s">
        <v>14</v>
      </c>
      <c r="H2028" t="s">
        <v>15</v>
      </c>
      <c r="I2028" t="s">
        <v>248</v>
      </c>
    </row>
    <row r="2029" spans="1:9" x14ac:dyDescent="0.3">
      <c r="A2029" t="s">
        <v>5985</v>
      </c>
      <c r="B2029" t="s">
        <v>5986</v>
      </c>
      <c r="C2029" t="s">
        <v>24</v>
      </c>
      <c r="D2029" s="1">
        <v>45312</v>
      </c>
      <c r="E2029" t="s">
        <v>5987</v>
      </c>
      <c r="F2029" t="s">
        <v>13</v>
      </c>
      <c r="G2029" t="s">
        <v>14</v>
      </c>
      <c r="H2029" t="s">
        <v>15</v>
      </c>
      <c r="I2029" t="s">
        <v>59</v>
      </c>
    </row>
    <row r="2030" spans="1:9" x14ac:dyDescent="0.3">
      <c r="A2030" t="s">
        <v>5988</v>
      </c>
      <c r="B2030" t="s">
        <v>5989</v>
      </c>
      <c r="C2030" t="s">
        <v>19</v>
      </c>
      <c r="D2030" s="1">
        <v>45313</v>
      </c>
      <c r="E2030" t="s">
        <v>5990</v>
      </c>
      <c r="F2030" t="s">
        <v>13</v>
      </c>
      <c r="G2030" t="s">
        <v>14</v>
      </c>
      <c r="H2030" t="s">
        <v>15</v>
      </c>
    </row>
    <row r="2031" spans="1:9" x14ac:dyDescent="0.3">
      <c r="A2031" t="s">
        <v>5991</v>
      </c>
      <c r="B2031" t="s">
        <v>5992</v>
      </c>
      <c r="C2031" t="s">
        <v>33</v>
      </c>
      <c r="D2031" s="1">
        <v>45313</v>
      </c>
      <c r="E2031" t="s">
        <v>5993</v>
      </c>
      <c r="F2031" t="s">
        <v>13</v>
      </c>
      <c r="G2031" t="s">
        <v>14</v>
      </c>
      <c r="H2031" t="s">
        <v>15</v>
      </c>
      <c r="I2031" t="s">
        <v>51</v>
      </c>
    </row>
    <row r="2032" spans="1:9" x14ac:dyDescent="0.3">
      <c r="A2032" t="s">
        <v>5994</v>
      </c>
      <c r="B2032" t="s">
        <v>5995</v>
      </c>
      <c r="C2032" t="s">
        <v>11</v>
      </c>
      <c r="D2032" s="1">
        <v>45314</v>
      </c>
      <c r="E2032" t="s">
        <v>5996</v>
      </c>
      <c r="F2032" t="s">
        <v>13</v>
      </c>
      <c r="G2032" t="s">
        <v>14</v>
      </c>
      <c r="H2032" t="s">
        <v>15</v>
      </c>
      <c r="I2032" t="s">
        <v>38</v>
      </c>
    </row>
    <row r="2033" spans="1:9" x14ac:dyDescent="0.3">
      <c r="A2033" t="s">
        <v>5997</v>
      </c>
      <c r="B2033" t="s">
        <v>5998</v>
      </c>
      <c r="C2033" t="s">
        <v>19</v>
      </c>
      <c r="D2033" s="1">
        <v>45314</v>
      </c>
      <c r="E2033" t="s">
        <v>5999</v>
      </c>
      <c r="F2033" t="s">
        <v>13</v>
      </c>
      <c r="G2033" t="s">
        <v>14</v>
      </c>
      <c r="H2033" t="s">
        <v>15</v>
      </c>
    </row>
    <row r="2034" spans="1:9" x14ac:dyDescent="0.3">
      <c r="A2034" t="s">
        <v>6000</v>
      </c>
      <c r="B2034" t="s">
        <v>6001</v>
      </c>
      <c r="C2034" t="s">
        <v>54</v>
      </c>
      <c r="D2034" s="1">
        <v>45314</v>
      </c>
      <c r="E2034" t="s">
        <v>6002</v>
      </c>
      <c r="F2034" t="s">
        <v>13</v>
      </c>
      <c r="G2034" t="s">
        <v>14</v>
      </c>
      <c r="H2034" t="s">
        <v>15</v>
      </c>
      <c r="I2034" t="s">
        <v>181</v>
      </c>
    </row>
    <row r="2035" spans="1:9" x14ac:dyDescent="0.3">
      <c r="A2035" t="s">
        <v>6003</v>
      </c>
      <c r="B2035" t="s">
        <v>6004</v>
      </c>
      <c r="C2035" t="s">
        <v>24</v>
      </c>
      <c r="D2035" s="1">
        <v>45315</v>
      </c>
      <c r="E2035" t="s">
        <v>6005</v>
      </c>
      <c r="F2035" t="s">
        <v>13</v>
      </c>
      <c r="G2035" t="s">
        <v>14</v>
      </c>
      <c r="H2035" t="s">
        <v>15</v>
      </c>
      <c r="I2035" t="s">
        <v>59</v>
      </c>
    </row>
    <row r="2036" spans="1:9" x14ac:dyDescent="0.3">
      <c r="A2036" t="s">
        <v>6006</v>
      </c>
      <c r="B2036" t="s">
        <v>6007</v>
      </c>
      <c r="C2036" t="s">
        <v>24</v>
      </c>
      <c r="D2036" s="1">
        <v>45315</v>
      </c>
      <c r="E2036" t="s">
        <v>6008</v>
      </c>
      <c r="F2036" t="s">
        <v>13</v>
      </c>
      <c r="G2036" t="s">
        <v>14</v>
      </c>
      <c r="H2036" t="s">
        <v>15</v>
      </c>
      <c r="I2036" t="s">
        <v>63</v>
      </c>
    </row>
    <row r="2037" spans="1:9" x14ac:dyDescent="0.3">
      <c r="A2037" t="s">
        <v>6009</v>
      </c>
      <c r="B2037" t="s">
        <v>6010</v>
      </c>
      <c r="C2037" t="s">
        <v>19</v>
      </c>
      <c r="D2037" s="1">
        <v>45315</v>
      </c>
      <c r="E2037" t="s">
        <v>6011</v>
      </c>
      <c r="F2037" t="s">
        <v>13</v>
      </c>
      <c r="G2037" t="s">
        <v>14</v>
      </c>
      <c r="H2037" t="s">
        <v>15</v>
      </c>
      <c r="I2037" t="s">
        <v>21</v>
      </c>
    </row>
    <row r="2038" spans="1:9" x14ac:dyDescent="0.3">
      <c r="A2038" t="s">
        <v>6012</v>
      </c>
      <c r="B2038" t="s">
        <v>6013</v>
      </c>
      <c r="C2038" t="s">
        <v>19</v>
      </c>
      <c r="D2038" s="1">
        <v>45315</v>
      </c>
      <c r="E2038" t="s">
        <v>6014</v>
      </c>
      <c r="F2038" t="s">
        <v>13</v>
      </c>
      <c r="G2038" t="s">
        <v>14</v>
      </c>
      <c r="H2038" t="s">
        <v>15</v>
      </c>
      <c r="I2038" t="s">
        <v>116</v>
      </c>
    </row>
    <row r="2039" spans="1:9" x14ac:dyDescent="0.3">
      <c r="A2039" t="s">
        <v>6015</v>
      </c>
      <c r="B2039" t="s">
        <v>6016</v>
      </c>
      <c r="C2039" t="s">
        <v>69</v>
      </c>
      <c r="D2039" s="1">
        <v>45316</v>
      </c>
      <c r="E2039" t="s">
        <v>6017</v>
      </c>
      <c r="F2039" t="s">
        <v>13</v>
      </c>
      <c r="G2039" t="s">
        <v>14</v>
      </c>
      <c r="H2039" t="s">
        <v>15</v>
      </c>
      <c r="I2039" t="s">
        <v>71</v>
      </c>
    </row>
    <row r="2040" spans="1:9" x14ac:dyDescent="0.3">
      <c r="A2040" t="s">
        <v>6018</v>
      </c>
      <c r="B2040" t="s">
        <v>6019</v>
      </c>
      <c r="C2040" t="s">
        <v>54</v>
      </c>
      <c r="D2040" s="1">
        <v>45316</v>
      </c>
      <c r="E2040" t="s">
        <v>6020</v>
      </c>
      <c r="F2040" t="s">
        <v>13</v>
      </c>
      <c r="G2040" t="s">
        <v>14</v>
      </c>
      <c r="H2040" t="s">
        <v>15</v>
      </c>
      <c r="I2040" t="s">
        <v>238</v>
      </c>
    </row>
    <row r="2041" spans="1:9" x14ac:dyDescent="0.3">
      <c r="A2041" t="s">
        <v>6021</v>
      </c>
      <c r="B2041" t="s">
        <v>6022</v>
      </c>
      <c r="C2041" t="s">
        <v>33</v>
      </c>
      <c r="D2041" s="1">
        <v>45316</v>
      </c>
      <c r="E2041" t="s">
        <v>6023</v>
      </c>
      <c r="F2041" t="s">
        <v>13</v>
      </c>
      <c r="G2041" t="s">
        <v>14</v>
      </c>
      <c r="H2041" t="s">
        <v>15</v>
      </c>
      <c r="I2041" t="s">
        <v>51</v>
      </c>
    </row>
    <row r="2042" spans="1:9" x14ac:dyDescent="0.3">
      <c r="A2042" t="s">
        <v>6024</v>
      </c>
      <c r="B2042" t="s">
        <v>6025</v>
      </c>
      <c r="C2042" t="s">
        <v>33</v>
      </c>
      <c r="D2042" s="1">
        <v>45316</v>
      </c>
      <c r="E2042" t="s">
        <v>6026</v>
      </c>
      <c r="F2042" t="s">
        <v>13</v>
      </c>
      <c r="G2042" t="s">
        <v>14</v>
      </c>
      <c r="H2042" t="s">
        <v>15</v>
      </c>
    </row>
    <row r="2043" spans="1:9" x14ac:dyDescent="0.3">
      <c r="A2043" t="s">
        <v>6027</v>
      </c>
      <c r="B2043" t="s">
        <v>6028</v>
      </c>
      <c r="C2043" t="s">
        <v>69</v>
      </c>
      <c r="D2043" s="1">
        <v>45317</v>
      </c>
      <c r="E2043" t="s">
        <v>6029</v>
      </c>
      <c r="F2043" t="s">
        <v>13</v>
      </c>
      <c r="G2043" t="s">
        <v>14</v>
      </c>
      <c r="H2043" t="s">
        <v>15</v>
      </c>
      <c r="I2043" t="s">
        <v>71</v>
      </c>
    </row>
    <row r="2044" spans="1:9" x14ac:dyDescent="0.3">
      <c r="A2044" t="s">
        <v>6030</v>
      </c>
      <c r="B2044" t="s">
        <v>6031</v>
      </c>
      <c r="C2044" t="s">
        <v>11</v>
      </c>
      <c r="D2044" s="1">
        <v>45317</v>
      </c>
      <c r="E2044" t="s">
        <v>6032</v>
      </c>
      <c r="F2044" t="s">
        <v>13</v>
      </c>
      <c r="G2044" t="s">
        <v>14</v>
      </c>
      <c r="H2044" t="s">
        <v>15</v>
      </c>
    </row>
    <row r="2045" spans="1:9" x14ac:dyDescent="0.3">
      <c r="A2045" t="s">
        <v>6033</v>
      </c>
      <c r="B2045" t="s">
        <v>6034</v>
      </c>
      <c r="C2045" t="s">
        <v>69</v>
      </c>
      <c r="D2045" s="1">
        <v>45317</v>
      </c>
      <c r="E2045" t="s">
        <v>6035</v>
      </c>
      <c r="F2045" t="s">
        <v>13</v>
      </c>
      <c r="G2045" t="s">
        <v>14</v>
      </c>
      <c r="H2045" t="s">
        <v>15</v>
      </c>
    </row>
    <row r="2046" spans="1:9" x14ac:dyDescent="0.3">
      <c r="A2046" t="s">
        <v>6036</v>
      </c>
      <c r="B2046" t="s">
        <v>6037</v>
      </c>
      <c r="C2046" t="s">
        <v>69</v>
      </c>
      <c r="D2046" s="1">
        <v>45318</v>
      </c>
      <c r="E2046" t="s">
        <v>6038</v>
      </c>
      <c r="F2046" t="s">
        <v>13</v>
      </c>
      <c r="G2046" t="s">
        <v>174</v>
      </c>
      <c r="H2046" t="s">
        <v>15</v>
      </c>
      <c r="I2046" t="s">
        <v>71</v>
      </c>
    </row>
    <row r="2047" spans="1:9" x14ac:dyDescent="0.3">
      <c r="A2047" t="s">
        <v>6039</v>
      </c>
      <c r="B2047" t="s">
        <v>6040</v>
      </c>
      <c r="C2047" t="s">
        <v>19</v>
      </c>
      <c r="D2047" s="1">
        <v>45320</v>
      </c>
      <c r="E2047" t="s">
        <v>6041</v>
      </c>
      <c r="F2047" t="s">
        <v>13</v>
      </c>
      <c r="G2047" t="s">
        <v>14</v>
      </c>
      <c r="H2047" t="s">
        <v>15</v>
      </c>
      <c r="I2047" t="s">
        <v>116</v>
      </c>
    </row>
    <row r="2048" spans="1:9" x14ac:dyDescent="0.3">
      <c r="A2048" t="s">
        <v>6042</v>
      </c>
      <c r="B2048" t="s">
        <v>6043</v>
      </c>
      <c r="C2048" t="s">
        <v>19</v>
      </c>
      <c r="D2048" s="1">
        <v>45320</v>
      </c>
      <c r="E2048" t="s">
        <v>6044</v>
      </c>
      <c r="F2048" t="s">
        <v>13</v>
      </c>
      <c r="G2048" t="s">
        <v>14</v>
      </c>
      <c r="H2048" t="s">
        <v>15</v>
      </c>
      <c r="I2048" t="s">
        <v>21</v>
      </c>
    </row>
    <row r="2049" spans="1:9" x14ac:dyDescent="0.3">
      <c r="A2049" t="s">
        <v>6045</v>
      </c>
      <c r="B2049" t="s">
        <v>6046</v>
      </c>
      <c r="C2049" t="s">
        <v>33</v>
      </c>
      <c r="D2049" s="1">
        <v>45320</v>
      </c>
      <c r="E2049" t="s">
        <v>6047</v>
      </c>
      <c r="F2049" t="s">
        <v>13</v>
      </c>
      <c r="G2049" t="s">
        <v>14</v>
      </c>
      <c r="H2049" t="s">
        <v>15</v>
      </c>
      <c r="I2049" t="s">
        <v>94</v>
      </c>
    </row>
    <row r="2050" spans="1:9" x14ac:dyDescent="0.3">
      <c r="A2050" t="s">
        <v>6048</v>
      </c>
      <c r="B2050" t="s">
        <v>6049</v>
      </c>
      <c r="C2050" t="s">
        <v>45</v>
      </c>
      <c r="D2050" s="1">
        <v>45320</v>
      </c>
      <c r="E2050" t="s">
        <v>6050</v>
      </c>
      <c r="F2050" t="s">
        <v>13</v>
      </c>
      <c r="G2050" t="s">
        <v>14</v>
      </c>
      <c r="H2050" t="s">
        <v>15</v>
      </c>
      <c r="I2050" t="s">
        <v>47</v>
      </c>
    </row>
    <row r="2051" spans="1:9" x14ac:dyDescent="0.3">
      <c r="A2051" t="s">
        <v>6051</v>
      </c>
      <c r="B2051" t="s">
        <v>6052</v>
      </c>
      <c r="C2051" t="s">
        <v>19</v>
      </c>
      <c r="D2051" s="1">
        <v>45320</v>
      </c>
      <c r="E2051" t="s">
        <v>6053</v>
      </c>
      <c r="F2051" t="s">
        <v>13</v>
      </c>
      <c r="G2051" t="s">
        <v>14</v>
      </c>
      <c r="H2051" t="s">
        <v>15</v>
      </c>
      <c r="I2051" t="s">
        <v>21</v>
      </c>
    </row>
    <row r="2052" spans="1:9" x14ac:dyDescent="0.3">
      <c r="A2052" t="s">
        <v>6054</v>
      </c>
      <c r="B2052" t="s">
        <v>6055</v>
      </c>
      <c r="C2052" t="s">
        <v>33</v>
      </c>
      <c r="D2052" s="1">
        <v>45320</v>
      </c>
      <c r="E2052" t="s">
        <v>6056</v>
      </c>
      <c r="F2052" t="s">
        <v>13</v>
      </c>
      <c r="G2052" t="s">
        <v>14</v>
      </c>
      <c r="H2052" t="s">
        <v>15</v>
      </c>
      <c r="I2052" t="s">
        <v>94</v>
      </c>
    </row>
    <row r="2053" spans="1:9" x14ac:dyDescent="0.3">
      <c r="A2053" t="s">
        <v>6057</v>
      </c>
      <c r="B2053" t="s">
        <v>6058</v>
      </c>
      <c r="C2053" t="s">
        <v>45</v>
      </c>
      <c r="D2053" s="1">
        <v>45321</v>
      </c>
      <c r="E2053" t="s">
        <v>6059</v>
      </c>
      <c r="F2053" t="s">
        <v>13</v>
      </c>
      <c r="G2053" t="s">
        <v>14</v>
      </c>
      <c r="H2053" t="s">
        <v>15</v>
      </c>
      <c r="I2053" t="s">
        <v>248</v>
      </c>
    </row>
    <row r="2054" spans="1:9" x14ac:dyDescent="0.3">
      <c r="A2054" t="s">
        <v>6060</v>
      </c>
      <c r="B2054" t="s">
        <v>6061</v>
      </c>
      <c r="C2054" t="s">
        <v>33</v>
      </c>
      <c r="D2054" s="1">
        <v>45321</v>
      </c>
      <c r="E2054" t="s">
        <v>6062</v>
      </c>
      <c r="F2054" t="s">
        <v>13</v>
      </c>
      <c r="G2054" t="s">
        <v>14</v>
      </c>
      <c r="H2054" t="s">
        <v>15</v>
      </c>
    </row>
    <row r="2055" spans="1:9" x14ac:dyDescent="0.3">
      <c r="A2055" t="s">
        <v>6063</v>
      </c>
      <c r="B2055" t="s">
        <v>6064</v>
      </c>
      <c r="C2055" t="s">
        <v>29</v>
      </c>
      <c r="D2055" s="1">
        <v>45321</v>
      </c>
      <c r="E2055" t="s">
        <v>6065</v>
      </c>
      <c r="F2055" t="s">
        <v>13</v>
      </c>
      <c r="G2055" t="s">
        <v>14</v>
      </c>
      <c r="H2055" t="s">
        <v>15</v>
      </c>
      <c r="I2055" t="s">
        <v>42</v>
      </c>
    </row>
    <row r="2056" spans="1:9" x14ac:dyDescent="0.3">
      <c r="A2056" t="s">
        <v>6066</v>
      </c>
      <c r="B2056" t="s">
        <v>6067</v>
      </c>
      <c r="C2056" t="s">
        <v>11</v>
      </c>
      <c r="D2056" s="1">
        <v>45321</v>
      </c>
      <c r="E2056" t="s">
        <v>6068</v>
      </c>
      <c r="F2056" t="s">
        <v>13</v>
      </c>
      <c r="G2056" t="s">
        <v>14</v>
      </c>
      <c r="H2056" t="s">
        <v>15</v>
      </c>
    </row>
    <row r="2057" spans="1:9" x14ac:dyDescent="0.3">
      <c r="A2057" t="s">
        <v>6069</v>
      </c>
      <c r="B2057" t="s">
        <v>6070</v>
      </c>
      <c r="C2057" t="s">
        <v>33</v>
      </c>
      <c r="D2057" s="1">
        <v>45321</v>
      </c>
      <c r="E2057" t="s">
        <v>6071</v>
      </c>
      <c r="F2057" t="s">
        <v>13</v>
      </c>
      <c r="G2057" t="s">
        <v>14</v>
      </c>
      <c r="H2057" t="s">
        <v>15</v>
      </c>
    </row>
    <row r="2058" spans="1:9" x14ac:dyDescent="0.3">
      <c r="A2058" t="s">
        <v>6072</v>
      </c>
      <c r="B2058" t="s">
        <v>6073</v>
      </c>
      <c r="C2058" t="s">
        <v>69</v>
      </c>
      <c r="D2058" s="1">
        <v>45321</v>
      </c>
      <c r="E2058" t="s">
        <v>6074</v>
      </c>
      <c r="F2058" t="s">
        <v>13</v>
      </c>
      <c r="G2058" t="s">
        <v>14</v>
      </c>
      <c r="H2058" t="s">
        <v>15</v>
      </c>
      <c r="I2058" t="s">
        <v>71</v>
      </c>
    </row>
    <row r="2059" spans="1:9" x14ac:dyDescent="0.3">
      <c r="A2059" t="s">
        <v>6075</v>
      </c>
      <c r="B2059" t="s">
        <v>6076</v>
      </c>
      <c r="C2059" t="s">
        <v>24</v>
      </c>
      <c r="D2059" s="1">
        <v>45322</v>
      </c>
      <c r="E2059" t="s">
        <v>6077</v>
      </c>
      <c r="F2059" t="s">
        <v>13</v>
      </c>
      <c r="G2059" t="s">
        <v>14</v>
      </c>
      <c r="H2059" t="s">
        <v>15</v>
      </c>
      <c r="I2059" t="s">
        <v>63</v>
      </c>
    </row>
    <row r="2060" spans="1:9" x14ac:dyDescent="0.3">
      <c r="A2060" t="s">
        <v>6078</v>
      </c>
      <c r="B2060" t="s">
        <v>6079</v>
      </c>
      <c r="C2060" t="s">
        <v>24</v>
      </c>
      <c r="D2060" s="1">
        <v>45323</v>
      </c>
      <c r="E2060" t="s">
        <v>6080</v>
      </c>
      <c r="F2060" t="s">
        <v>13</v>
      </c>
      <c r="G2060" t="s">
        <v>14</v>
      </c>
      <c r="H2060" t="s">
        <v>15</v>
      </c>
      <c r="I2060" t="s">
        <v>59</v>
      </c>
    </row>
    <row r="2061" spans="1:9" x14ac:dyDescent="0.3">
      <c r="A2061" t="s">
        <v>6081</v>
      </c>
      <c r="B2061" t="s">
        <v>6082</v>
      </c>
      <c r="C2061" t="s">
        <v>29</v>
      </c>
      <c r="D2061" s="1">
        <v>45323</v>
      </c>
      <c r="E2061" t="s">
        <v>6083</v>
      </c>
      <c r="F2061" t="s">
        <v>13</v>
      </c>
      <c r="G2061" t="s">
        <v>14</v>
      </c>
      <c r="H2061" t="s">
        <v>15</v>
      </c>
    </row>
    <row r="2062" spans="1:9" x14ac:dyDescent="0.3">
      <c r="A2062" t="s">
        <v>6084</v>
      </c>
      <c r="B2062" t="s">
        <v>6085</v>
      </c>
      <c r="C2062" t="s">
        <v>24</v>
      </c>
      <c r="D2062" s="1">
        <v>45323</v>
      </c>
      <c r="E2062" t="s">
        <v>6086</v>
      </c>
      <c r="F2062" t="s">
        <v>13</v>
      </c>
      <c r="G2062" t="s">
        <v>14</v>
      </c>
      <c r="H2062" t="s">
        <v>15</v>
      </c>
    </row>
    <row r="2063" spans="1:9" x14ac:dyDescent="0.3">
      <c r="A2063" t="s">
        <v>6087</v>
      </c>
      <c r="B2063" t="s">
        <v>6088</v>
      </c>
      <c r="C2063" t="s">
        <v>11</v>
      </c>
      <c r="D2063" s="1">
        <v>45324</v>
      </c>
      <c r="E2063" t="s">
        <v>6089</v>
      </c>
      <c r="F2063" t="s">
        <v>13</v>
      </c>
      <c r="G2063" t="s">
        <v>14</v>
      </c>
      <c r="H2063" t="s">
        <v>15</v>
      </c>
    </row>
    <row r="2064" spans="1:9" x14ac:dyDescent="0.3">
      <c r="A2064" t="s">
        <v>6090</v>
      </c>
      <c r="B2064" t="s">
        <v>6091</v>
      </c>
      <c r="C2064" t="s">
        <v>69</v>
      </c>
      <c r="D2064" s="1">
        <v>45324</v>
      </c>
      <c r="E2064" t="s">
        <v>6092</v>
      </c>
      <c r="F2064" t="s">
        <v>13</v>
      </c>
      <c r="G2064" t="s">
        <v>14</v>
      </c>
      <c r="H2064" t="s">
        <v>15</v>
      </c>
      <c r="I2064" t="s">
        <v>71</v>
      </c>
    </row>
    <row r="2065" spans="1:9" x14ac:dyDescent="0.3">
      <c r="A2065" t="s">
        <v>6093</v>
      </c>
      <c r="B2065" t="s">
        <v>6094</v>
      </c>
      <c r="C2065" t="s">
        <v>11</v>
      </c>
      <c r="D2065" s="1">
        <v>45324</v>
      </c>
      <c r="E2065" t="s">
        <v>6095</v>
      </c>
      <c r="F2065" t="s">
        <v>13</v>
      </c>
      <c r="G2065" t="s">
        <v>14</v>
      </c>
      <c r="H2065" t="s">
        <v>15</v>
      </c>
      <c r="I2065" t="s">
        <v>185</v>
      </c>
    </row>
    <row r="2066" spans="1:9" x14ac:dyDescent="0.3">
      <c r="A2066" t="s">
        <v>6096</v>
      </c>
      <c r="B2066" t="s">
        <v>6097</v>
      </c>
      <c r="C2066" t="s">
        <v>24</v>
      </c>
      <c r="D2066" s="1">
        <v>45324</v>
      </c>
      <c r="E2066" t="s">
        <v>6098</v>
      </c>
      <c r="F2066" t="s">
        <v>13</v>
      </c>
      <c r="G2066" t="s">
        <v>14</v>
      </c>
      <c r="H2066" t="s">
        <v>15</v>
      </c>
      <c r="I2066" t="s">
        <v>26</v>
      </c>
    </row>
    <row r="2067" spans="1:9" x14ac:dyDescent="0.3">
      <c r="A2067" t="s">
        <v>6099</v>
      </c>
      <c r="B2067" t="s">
        <v>6100</v>
      </c>
      <c r="C2067" t="s">
        <v>54</v>
      </c>
      <c r="D2067" s="1">
        <v>45325</v>
      </c>
      <c r="E2067" t="s">
        <v>6101</v>
      </c>
      <c r="F2067" t="s">
        <v>13</v>
      </c>
      <c r="G2067" t="s">
        <v>14</v>
      </c>
      <c r="H2067" t="s">
        <v>15</v>
      </c>
    </row>
    <row r="2068" spans="1:9" x14ac:dyDescent="0.3">
      <c r="A2068" t="s">
        <v>6102</v>
      </c>
      <c r="B2068" t="s">
        <v>6103</v>
      </c>
      <c r="C2068" t="s">
        <v>54</v>
      </c>
      <c r="D2068" s="1">
        <v>45325</v>
      </c>
      <c r="E2068" t="s">
        <v>6104</v>
      </c>
      <c r="F2068" t="s">
        <v>13</v>
      </c>
      <c r="G2068" t="s">
        <v>14</v>
      </c>
      <c r="H2068" t="s">
        <v>15</v>
      </c>
      <c r="I2068" t="s">
        <v>181</v>
      </c>
    </row>
    <row r="2069" spans="1:9" x14ac:dyDescent="0.3">
      <c r="A2069" t="s">
        <v>6105</v>
      </c>
      <c r="B2069" t="s">
        <v>6106</v>
      </c>
      <c r="C2069" t="s">
        <v>29</v>
      </c>
      <c r="D2069" s="1">
        <v>45325</v>
      </c>
      <c r="E2069" t="s">
        <v>6107</v>
      </c>
      <c r="F2069" t="s">
        <v>13</v>
      </c>
      <c r="G2069" t="s">
        <v>14</v>
      </c>
      <c r="H2069" t="s">
        <v>15</v>
      </c>
    </row>
    <row r="2070" spans="1:9" x14ac:dyDescent="0.3">
      <c r="A2070" t="s">
        <v>6108</v>
      </c>
      <c r="B2070" t="s">
        <v>6109</v>
      </c>
      <c r="C2070" t="s">
        <v>24</v>
      </c>
      <c r="D2070" s="1">
        <v>45325</v>
      </c>
      <c r="E2070" t="s">
        <v>6110</v>
      </c>
      <c r="F2070" t="s">
        <v>13</v>
      </c>
      <c r="G2070" t="s">
        <v>14</v>
      </c>
      <c r="H2070" t="s">
        <v>15</v>
      </c>
    </row>
    <row r="2071" spans="1:9" x14ac:dyDescent="0.3">
      <c r="A2071" t="s">
        <v>6111</v>
      </c>
      <c r="B2071" t="s">
        <v>6112</v>
      </c>
      <c r="C2071" t="s">
        <v>29</v>
      </c>
      <c r="D2071" s="1">
        <v>45326</v>
      </c>
      <c r="E2071" t="s">
        <v>6113</v>
      </c>
      <c r="F2071" t="s">
        <v>13</v>
      </c>
      <c r="G2071" t="s">
        <v>14</v>
      </c>
      <c r="H2071" t="s">
        <v>15</v>
      </c>
      <c r="I2071" t="s">
        <v>42</v>
      </c>
    </row>
    <row r="2072" spans="1:9" x14ac:dyDescent="0.3">
      <c r="A2072" t="s">
        <v>6114</v>
      </c>
      <c r="B2072" t="s">
        <v>6115</v>
      </c>
      <c r="C2072" t="s">
        <v>69</v>
      </c>
      <c r="D2072" s="1">
        <v>45326</v>
      </c>
      <c r="E2072" t="s">
        <v>6116</v>
      </c>
      <c r="F2072" t="s">
        <v>13</v>
      </c>
      <c r="G2072" t="s">
        <v>14</v>
      </c>
      <c r="H2072" t="s">
        <v>15</v>
      </c>
      <c r="I2072" t="s">
        <v>71</v>
      </c>
    </row>
    <row r="2073" spans="1:9" x14ac:dyDescent="0.3">
      <c r="A2073" t="s">
        <v>6117</v>
      </c>
      <c r="B2073" t="s">
        <v>6118</v>
      </c>
      <c r="C2073" t="s">
        <v>45</v>
      </c>
      <c r="D2073" s="1">
        <v>45328</v>
      </c>
      <c r="E2073" t="s">
        <v>6119</v>
      </c>
      <c r="F2073" t="s">
        <v>13</v>
      </c>
      <c r="G2073" t="s">
        <v>174</v>
      </c>
      <c r="H2073" t="s">
        <v>15</v>
      </c>
    </row>
    <row r="2074" spans="1:9" x14ac:dyDescent="0.3">
      <c r="A2074" t="s">
        <v>6120</v>
      </c>
      <c r="B2074" t="s">
        <v>6121</v>
      </c>
      <c r="C2074" t="s">
        <v>33</v>
      </c>
      <c r="D2074" s="1">
        <v>45329</v>
      </c>
      <c r="E2074" t="s">
        <v>6122</v>
      </c>
      <c r="F2074" t="s">
        <v>13</v>
      </c>
      <c r="G2074" t="s">
        <v>14</v>
      </c>
      <c r="H2074" t="s">
        <v>15</v>
      </c>
      <c r="I2074" t="s">
        <v>94</v>
      </c>
    </row>
    <row r="2075" spans="1:9" x14ac:dyDescent="0.3">
      <c r="A2075" t="s">
        <v>6123</v>
      </c>
      <c r="B2075" t="s">
        <v>6124</v>
      </c>
      <c r="C2075" t="s">
        <v>45</v>
      </c>
      <c r="D2075" s="1">
        <v>45329</v>
      </c>
      <c r="E2075" t="s">
        <v>6125</v>
      </c>
      <c r="F2075" t="s">
        <v>13</v>
      </c>
      <c r="G2075" t="s">
        <v>14</v>
      </c>
      <c r="H2075" t="s">
        <v>15</v>
      </c>
      <c r="I2075" t="s">
        <v>248</v>
      </c>
    </row>
    <row r="2076" spans="1:9" x14ac:dyDescent="0.3">
      <c r="A2076" t="s">
        <v>6126</v>
      </c>
      <c r="B2076" t="s">
        <v>6127</v>
      </c>
      <c r="C2076" t="s">
        <v>29</v>
      </c>
      <c r="D2076" s="1">
        <v>45329</v>
      </c>
      <c r="E2076" t="s">
        <v>6128</v>
      </c>
      <c r="F2076" t="s">
        <v>13</v>
      </c>
      <c r="G2076" t="s">
        <v>14</v>
      </c>
      <c r="H2076" t="s">
        <v>15</v>
      </c>
      <c r="I2076" t="s">
        <v>42</v>
      </c>
    </row>
    <row r="2077" spans="1:9" x14ac:dyDescent="0.3">
      <c r="A2077" t="s">
        <v>6129</v>
      </c>
      <c r="B2077" t="s">
        <v>6130</v>
      </c>
      <c r="C2077" t="s">
        <v>29</v>
      </c>
      <c r="D2077" s="1">
        <v>45330</v>
      </c>
      <c r="E2077" t="s">
        <v>6131</v>
      </c>
      <c r="F2077" t="s">
        <v>13</v>
      </c>
      <c r="G2077" t="s">
        <v>14</v>
      </c>
      <c r="H2077" t="s">
        <v>15</v>
      </c>
      <c r="I2077" t="s">
        <v>42</v>
      </c>
    </row>
    <row r="2078" spans="1:9" x14ac:dyDescent="0.3">
      <c r="A2078" t="s">
        <v>6132</v>
      </c>
      <c r="B2078" t="s">
        <v>6133</v>
      </c>
      <c r="C2078" t="s">
        <v>11</v>
      </c>
      <c r="D2078" s="1">
        <v>45330</v>
      </c>
      <c r="E2078" t="s">
        <v>6134</v>
      </c>
      <c r="F2078" t="s">
        <v>13</v>
      </c>
      <c r="G2078" t="s">
        <v>14</v>
      </c>
      <c r="H2078" t="s">
        <v>15</v>
      </c>
      <c r="I2078" t="s">
        <v>38</v>
      </c>
    </row>
    <row r="2079" spans="1:9" x14ac:dyDescent="0.3">
      <c r="A2079" t="s">
        <v>6135</v>
      </c>
      <c r="B2079" t="s">
        <v>6136</v>
      </c>
      <c r="C2079" t="s">
        <v>29</v>
      </c>
      <c r="D2079" s="1">
        <v>45331</v>
      </c>
      <c r="E2079" t="s">
        <v>6137</v>
      </c>
      <c r="F2079" t="s">
        <v>13</v>
      </c>
      <c r="G2079" t="s">
        <v>14</v>
      </c>
      <c r="H2079" t="s">
        <v>15</v>
      </c>
      <c r="I2079" t="s">
        <v>81</v>
      </c>
    </row>
    <row r="2080" spans="1:9" x14ac:dyDescent="0.3">
      <c r="A2080" t="s">
        <v>6138</v>
      </c>
      <c r="B2080" t="s">
        <v>6139</v>
      </c>
      <c r="C2080" t="s">
        <v>24</v>
      </c>
      <c r="D2080" s="1">
        <v>45331</v>
      </c>
      <c r="E2080" t="s">
        <v>6140</v>
      </c>
      <c r="F2080" t="s">
        <v>13</v>
      </c>
      <c r="G2080" t="s">
        <v>14</v>
      </c>
      <c r="H2080" t="s">
        <v>15</v>
      </c>
      <c r="I2080" t="s">
        <v>63</v>
      </c>
    </row>
    <row r="2081" spans="1:9" x14ac:dyDescent="0.3">
      <c r="A2081" t="s">
        <v>6141</v>
      </c>
      <c r="B2081" t="s">
        <v>6142</v>
      </c>
      <c r="C2081" t="s">
        <v>11</v>
      </c>
      <c r="D2081" s="1">
        <v>45332</v>
      </c>
      <c r="E2081" t="s">
        <v>6143</v>
      </c>
      <c r="F2081" t="s">
        <v>13</v>
      </c>
      <c r="G2081" t="s">
        <v>174</v>
      </c>
      <c r="H2081" t="s">
        <v>15</v>
      </c>
      <c r="I2081" t="s">
        <v>185</v>
      </c>
    </row>
    <row r="2082" spans="1:9" x14ac:dyDescent="0.3">
      <c r="A2082" t="s">
        <v>6144</v>
      </c>
      <c r="B2082" t="s">
        <v>6145</v>
      </c>
      <c r="C2082" t="s">
        <v>29</v>
      </c>
      <c r="D2082" s="1">
        <v>45332</v>
      </c>
      <c r="E2082" t="s">
        <v>6146</v>
      </c>
      <c r="F2082" t="s">
        <v>13</v>
      </c>
      <c r="G2082" t="s">
        <v>174</v>
      </c>
      <c r="H2082" t="s">
        <v>15</v>
      </c>
      <c r="I2082" t="s">
        <v>81</v>
      </c>
    </row>
    <row r="2083" spans="1:9" x14ac:dyDescent="0.3">
      <c r="A2083" t="s">
        <v>5997</v>
      </c>
      <c r="B2083" t="s">
        <v>6147</v>
      </c>
      <c r="C2083" t="s">
        <v>19</v>
      </c>
      <c r="D2083" s="1">
        <v>45332</v>
      </c>
      <c r="E2083" t="s">
        <v>6148</v>
      </c>
      <c r="F2083" t="s">
        <v>13</v>
      </c>
      <c r="G2083" t="s">
        <v>14</v>
      </c>
      <c r="H2083" t="s">
        <v>15</v>
      </c>
      <c r="I2083" t="s">
        <v>116</v>
      </c>
    </row>
    <row r="2084" spans="1:9" x14ac:dyDescent="0.3">
      <c r="A2084" t="s">
        <v>6149</v>
      </c>
      <c r="B2084" t="s">
        <v>6150</v>
      </c>
      <c r="C2084" t="s">
        <v>69</v>
      </c>
      <c r="D2084" s="1">
        <v>45332</v>
      </c>
      <c r="E2084" t="s">
        <v>6151</v>
      </c>
      <c r="F2084" t="s">
        <v>13</v>
      </c>
      <c r="G2084" t="s">
        <v>14</v>
      </c>
      <c r="H2084" t="s">
        <v>15</v>
      </c>
    </row>
    <row r="2085" spans="1:9" x14ac:dyDescent="0.3">
      <c r="A2085" t="s">
        <v>6152</v>
      </c>
      <c r="B2085" t="s">
        <v>6153</v>
      </c>
      <c r="C2085" t="s">
        <v>19</v>
      </c>
      <c r="D2085" s="1">
        <v>45333</v>
      </c>
      <c r="E2085" t="s">
        <v>6154</v>
      </c>
      <c r="F2085" t="s">
        <v>13</v>
      </c>
      <c r="G2085" t="s">
        <v>14</v>
      </c>
      <c r="H2085" t="s">
        <v>15</v>
      </c>
    </row>
    <row r="2086" spans="1:9" x14ac:dyDescent="0.3">
      <c r="A2086" t="s">
        <v>6155</v>
      </c>
      <c r="B2086" t="s">
        <v>6156</v>
      </c>
      <c r="C2086" t="s">
        <v>11</v>
      </c>
      <c r="D2086" s="1">
        <v>45333</v>
      </c>
      <c r="E2086" t="s">
        <v>6157</v>
      </c>
      <c r="F2086" t="s">
        <v>13</v>
      </c>
      <c r="G2086" t="s">
        <v>14</v>
      </c>
      <c r="H2086" t="s">
        <v>15</v>
      </c>
      <c r="I2086" t="s">
        <v>185</v>
      </c>
    </row>
    <row r="2087" spans="1:9" x14ac:dyDescent="0.3">
      <c r="A2087" t="s">
        <v>6158</v>
      </c>
      <c r="B2087" t="s">
        <v>6159</v>
      </c>
      <c r="C2087" t="s">
        <v>45</v>
      </c>
      <c r="D2087" s="1">
        <v>45333</v>
      </c>
      <c r="E2087" t="s">
        <v>6160</v>
      </c>
      <c r="F2087" t="s">
        <v>13</v>
      </c>
      <c r="G2087" t="s">
        <v>14</v>
      </c>
      <c r="H2087" t="s">
        <v>15</v>
      </c>
    </row>
    <row r="2088" spans="1:9" x14ac:dyDescent="0.3">
      <c r="A2088" t="s">
        <v>6161</v>
      </c>
      <c r="B2088" t="s">
        <v>6162</v>
      </c>
      <c r="C2088" t="s">
        <v>69</v>
      </c>
      <c r="D2088" s="1">
        <v>45334</v>
      </c>
      <c r="E2088" t="s">
        <v>6163</v>
      </c>
      <c r="F2088" t="s">
        <v>13</v>
      </c>
      <c r="G2088" t="s">
        <v>14</v>
      </c>
      <c r="H2088" t="s">
        <v>15</v>
      </c>
      <c r="I2088" t="s">
        <v>71</v>
      </c>
    </row>
    <row r="2089" spans="1:9" x14ac:dyDescent="0.3">
      <c r="A2089" t="s">
        <v>6164</v>
      </c>
      <c r="B2089" t="s">
        <v>6165</v>
      </c>
      <c r="C2089" t="s">
        <v>29</v>
      </c>
      <c r="D2089" s="1">
        <v>45334</v>
      </c>
      <c r="E2089" t="s">
        <v>6166</v>
      </c>
      <c r="F2089" t="s">
        <v>13</v>
      </c>
      <c r="G2089" t="s">
        <v>14</v>
      </c>
      <c r="H2089" t="s">
        <v>15</v>
      </c>
      <c r="I2089" t="s">
        <v>204</v>
      </c>
    </row>
    <row r="2090" spans="1:9" x14ac:dyDescent="0.3">
      <c r="A2090" t="s">
        <v>6167</v>
      </c>
      <c r="B2090" t="s">
        <v>6168</v>
      </c>
      <c r="C2090" t="s">
        <v>29</v>
      </c>
      <c r="D2090" s="1">
        <v>45334</v>
      </c>
      <c r="E2090" t="s">
        <v>6169</v>
      </c>
      <c r="F2090" t="s">
        <v>13</v>
      </c>
      <c r="G2090" t="s">
        <v>14</v>
      </c>
      <c r="H2090" t="s">
        <v>15</v>
      </c>
      <c r="I2090" t="s">
        <v>204</v>
      </c>
    </row>
    <row r="2091" spans="1:9" x14ac:dyDescent="0.3">
      <c r="A2091" t="s">
        <v>6170</v>
      </c>
      <c r="B2091" t="s">
        <v>6171</v>
      </c>
      <c r="C2091" t="s">
        <v>24</v>
      </c>
      <c r="D2091" s="1">
        <v>45334</v>
      </c>
      <c r="E2091" t="s">
        <v>6172</v>
      </c>
      <c r="F2091" t="s">
        <v>13</v>
      </c>
      <c r="G2091" t="s">
        <v>14</v>
      </c>
      <c r="H2091" t="s">
        <v>15</v>
      </c>
    </row>
    <row r="2092" spans="1:9" x14ac:dyDescent="0.3">
      <c r="A2092" t="s">
        <v>6173</v>
      </c>
      <c r="B2092" t="s">
        <v>6174</v>
      </c>
      <c r="C2092" t="s">
        <v>54</v>
      </c>
      <c r="D2092" s="1">
        <v>45334</v>
      </c>
      <c r="E2092" t="s">
        <v>6175</v>
      </c>
      <c r="F2092" t="s">
        <v>13</v>
      </c>
      <c r="G2092" t="s">
        <v>14</v>
      </c>
      <c r="H2092" t="s">
        <v>15</v>
      </c>
    </row>
    <row r="2093" spans="1:9" x14ac:dyDescent="0.3">
      <c r="A2093" t="s">
        <v>6176</v>
      </c>
      <c r="B2093" t="s">
        <v>6177</v>
      </c>
      <c r="C2093" t="s">
        <v>19</v>
      </c>
      <c r="D2093" s="1">
        <v>45335</v>
      </c>
      <c r="E2093" t="s">
        <v>6178</v>
      </c>
      <c r="F2093" t="s">
        <v>13</v>
      </c>
      <c r="G2093" t="s">
        <v>14</v>
      </c>
      <c r="H2093" t="s">
        <v>15</v>
      </c>
      <c r="I2093" t="s">
        <v>116</v>
      </c>
    </row>
    <row r="2094" spans="1:9" x14ac:dyDescent="0.3">
      <c r="A2094" t="s">
        <v>6179</v>
      </c>
      <c r="B2094" t="s">
        <v>6180</v>
      </c>
      <c r="C2094" t="s">
        <v>19</v>
      </c>
      <c r="D2094" s="1">
        <v>45335</v>
      </c>
      <c r="E2094" t="s">
        <v>6181</v>
      </c>
      <c r="F2094" t="s">
        <v>13</v>
      </c>
      <c r="G2094" t="s">
        <v>14</v>
      </c>
      <c r="H2094" t="s">
        <v>15</v>
      </c>
      <c r="I2094" t="s">
        <v>21</v>
      </c>
    </row>
    <row r="2095" spans="1:9" x14ac:dyDescent="0.3">
      <c r="A2095" t="s">
        <v>6182</v>
      </c>
      <c r="B2095" t="s">
        <v>6183</v>
      </c>
      <c r="C2095" t="s">
        <v>29</v>
      </c>
      <c r="D2095" s="1">
        <v>45335</v>
      </c>
      <c r="E2095" t="s">
        <v>6184</v>
      </c>
      <c r="F2095" t="s">
        <v>13</v>
      </c>
      <c r="G2095" t="s">
        <v>14</v>
      </c>
      <c r="H2095" t="s">
        <v>15</v>
      </c>
    </row>
    <row r="2096" spans="1:9" x14ac:dyDescent="0.3">
      <c r="A2096" t="s">
        <v>6185</v>
      </c>
      <c r="B2096" t="s">
        <v>6186</v>
      </c>
      <c r="C2096" t="s">
        <v>69</v>
      </c>
      <c r="D2096" s="1">
        <v>45335</v>
      </c>
      <c r="E2096" t="s">
        <v>6187</v>
      </c>
      <c r="F2096" t="s">
        <v>13</v>
      </c>
      <c r="G2096" t="s">
        <v>14</v>
      </c>
      <c r="H2096" t="s">
        <v>15</v>
      </c>
      <c r="I2096" t="s">
        <v>71</v>
      </c>
    </row>
    <row r="2097" spans="1:9" x14ac:dyDescent="0.3">
      <c r="A2097" t="s">
        <v>6188</v>
      </c>
      <c r="B2097" t="s">
        <v>6189</v>
      </c>
      <c r="C2097" t="s">
        <v>19</v>
      </c>
      <c r="D2097" s="1">
        <v>45336</v>
      </c>
      <c r="E2097" t="s">
        <v>6190</v>
      </c>
      <c r="F2097" t="s">
        <v>13</v>
      </c>
      <c r="G2097" t="s">
        <v>14</v>
      </c>
      <c r="H2097" t="s">
        <v>15</v>
      </c>
    </row>
    <row r="2098" spans="1:9" x14ac:dyDescent="0.3">
      <c r="A2098" t="s">
        <v>6191</v>
      </c>
      <c r="B2098" t="s">
        <v>6192</v>
      </c>
      <c r="C2098" t="s">
        <v>29</v>
      </c>
      <c r="D2098" s="1">
        <v>45336</v>
      </c>
      <c r="E2098" t="s">
        <v>6193</v>
      </c>
      <c r="F2098" t="s">
        <v>13</v>
      </c>
      <c r="G2098" t="s">
        <v>14</v>
      </c>
      <c r="H2098" t="s">
        <v>15</v>
      </c>
      <c r="I2098" t="s">
        <v>81</v>
      </c>
    </row>
    <row r="2099" spans="1:9" x14ac:dyDescent="0.3">
      <c r="A2099" t="s">
        <v>6194</v>
      </c>
      <c r="B2099" t="s">
        <v>6195</v>
      </c>
      <c r="C2099" t="s">
        <v>54</v>
      </c>
      <c r="D2099" s="1">
        <v>45336</v>
      </c>
      <c r="E2099" t="s">
        <v>6196</v>
      </c>
      <c r="F2099" t="s">
        <v>13</v>
      </c>
      <c r="G2099" t="s">
        <v>14</v>
      </c>
      <c r="H2099" t="s">
        <v>15</v>
      </c>
      <c r="I2099" t="s">
        <v>181</v>
      </c>
    </row>
    <row r="2100" spans="1:9" x14ac:dyDescent="0.3">
      <c r="A2100" t="s">
        <v>6197</v>
      </c>
      <c r="B2100" t="s">
        <v>6198</v>
      </c>
      <c r="C2100" t="s">
        <v>45</v>
      </c>
      <c r="D2100" s="1">
        <v>45336</v>
      </c>
      <c r="E2100" t="s">
        <v>6199</v>
      </c>
      <c r="F2100" t="s">
        <v>13</v>
      </c>
      <c r="G2100" t="s">
        <v>14</v>
      </c>
      <c r="H2100" t="s">
        <v>15</v>
      </c>
    </row>
    <row r="2101" spans="1:9" x14ac:dyDescent="0.3">
      <c r="A2101" t="s">
        <v>6200</v>
      </c>
      <c r="B2101" t="s">
        <v>6201</v>
      </c>
      <c r="C2101" t="s">
        <v>11</v>
      </c>
      <c r="D2101" s="1">
        <v>45336</v>
      </c>
      <c r="E2101" t="s">
        <v>6202</v>
      </c>
      <c r="F2101" t="s">
        <v>13</v>
      </c>
      <c r="G2101" t="s">
        <v>14</v>
      </c>
      <c r="H2101" t="s">
        <v>15</v>
      </c>
      <c r="I2101" t="s">
        <v>38</v>
      </c>
    </row>
    <row r="2102" spans="1:9" x14ac:dyDescent="0.3">
      <c r="A2102" t="s">
        <v>6203</v>
      </c>
      <c r="B2102" t="s">
        <v>6204</v>
      </c>
      <c r="C2102" t="s">
        <v>69</v>
      </c>
      <c r="D2102" s="1">
        <v>45336</v>
      </c>
      <c r="E2102" t="s">
        <v>6205</v>
      </c>
      <c r="F2102" t="s">
        <v>13</v>
      </c>
      <c r="G2102" t="s">
        <v>14</v>
      </c>
      <c r="H2102" t="s">
        <v>15</v>
      </c>
      <c r="I2102" t="s">
        <v>71</v>
      </c>
    </row>
    <row r="2103" spans="1:9" x14ac:dyDescent="0.3">
      <c r="A2103" t="s">
        <v>6206</v>
      </c>
      <c r="B2103" t="s">
        <v>6207</v>
      </c>
      <c r="C2103" t="s">
        <v>11</v>
      </c>
      <c r="D2103" s="1">
        <v>45337</v>
      </c>
      <c r="E2103" t="s">
        <v>6208</v>
      </c>
      <c r="F2103" t="s">
        <v>13</v>
      </c>
      <c r="G2103" t="s">
        <v>14</v>
      </c>
      <c r="H2103" t="s">
        <v>15</v>
      </c>
    </row>
    <row r="2104" spans="1:9" x14ac:dyDescent="0.3">
      <c r="A2104" t="s">
        <v>6209</v>
      </c>
      <c r="B2104" t="s">
        <v>6210</v>
      </c>
      <c r="C2104" t="s">
        <v>69</v>
      </c>
      <c r="D2104" s="1">
        <v>45337</v>
      </c>
      <c r="E2104" t="s">
        <v>6211</v>
      </c>
      <c r="F2104" t="s">
        <v>13</v>
      </c>
      <c r="G2104" t="s">
        <v>14</v>
      </c>
      <c r="H2104" t="s">
        <v>15</v>
      </c>
      <c r="I2104" t="s">
        <v>71</v>
      </c>
    </row>
    <row r="2105" spans="1:9" x14ac:dyDescent="0.3">
      <c r="A2105" t="s">
        <v>6212</v>
      </c>
      <c r="B2105" t="s">
        <v>6213</v>
      </c>
      <c r="C2105" t="s">
        <v>11</v>
      </c>
      <c r="D2105" s="1">
        <v>45339</v>
      </c>
      <c r="E2105" t="s">
        <v>6214</v>
      </c>
      <c r="F2105" t="s">
        <v>13</v>
      </c>
      <c r="G2105" t="s">
        <v>174</v>
      </c>
      <c r="H2105" t="s">
        <v>15</v>
      </c>
      <c r="I2105" t="s">
        <v>38</v>
      </c>
    </row>
    <row r="2106" spans="1:9" x14ac:dyDescent="0.3">
      <c r="A2106" t="s">
        <v>6215</v>
      </c>
      <c r="B2106" t="s">
        <v>6216</v>
      </c>
      <c r="C2106" t="s">
        <v>29</v>
      </c>
      <c r="D2106" s="1">
        <v>45339</v>
      </c>
      <c r="E2106" t="s">
        <v>6217</v>
      </c>
      <c r="F2106" t="s">
        <v>13</v>
      </c>
      <c r="G2106" t="s">
        <v>14</v>
      </c>
      <c r="H2106" t="s">
        <v>15</v>
      </c>
      <c r="I2106" t="s">
        <v>204</v>
      </c>
    </row>
    <row r="2107" spans="1:9" x14ac:dyDescent="0.3">
      <c r="A2107" t="s">
        <v>6218</v>
      </c>
      <c r="B2107" t="s">
        <v>6219</v>
      </c>
      <c r="C2107" t="s">
        <v>45</v>
      </c>
      <c r="D2107" s="1">
        <v>45339</v>
      </c>
      <c r="E2107" t="s">
        <v>6220</v>
      </c>
      <c r="F2107" t="s">
        <v>13</v>
      </c>
      <c r="G2107" t="s">
        <v>14</v>
      </c>
      <c r="H2107" t="s">
        <v>15</v>
      </c>
      <c r="I2107" t="s">
        <v>47</v>
      </c>
    </row>
    <row r="2108" spans="1:9" x14ac:dyDescent="0.3">
      <c r="A2108" t="s">
        <v>6221</v>
      </c>
      <c r="B2108" t="s">
        <v>6222</v>
      </c>
      <c r="C2108" t="s">
        <v>29</v>
      </c>
      <c r="D2108" s="1">
        <v>45339</v>
      </c>
      <c r="E2108" t="s">
        <v>6223</v>
      </c>
      <c r="F2108" t="s">
        <v>13</v>
      </c>
      <c r="G2108" t="s">
        <v>14</v>
      </c>
      <c r="H2108" t="s">
        <v>15</v>
      </c>
      <c r="I2108" t="s">
        <v>81</v>
      </c>
    </row>
    <row r="2109" spans="1:9" x14ac:dyDescent="0.3">
      <c r="A2109" t="s">
        <v>6224</v>
      </c>
      <c r="B2109" t="s">
        <v>6225</v>
      </c>
      <c r="C2109" t="s">
        <v>11</v>
      </c>
      <c r="D2109" s="1">
        <v>45340</v>
      </c>
      <c r="E2109" t="s">
        <v>6226</v>
      </c>
      <c r="F2109" t="s">
        <v>13</v>
      </c>
      <c r="G2109" t="s">
        <v>14</v>
      </c>
      <c r="H2109" t="s">
        <v>15</v>
      </c>
    </row>
    <row r="2110" spans="1:9" x14ac:dyDescent="0.3">
      <c r="A2110" t="s">
        <v>6227</v>
      </c>
      <c r="B2110" t="s">
        <v>6228</v>
      </c>
      <c r="C2110" t="s">
        <v>54</v>
      </c>
      <c r="D2110" s="1">
        <v>45340</v>
      </c>
      <c r="E2110" t="s">
        <v>6229</v>
      </c>
      <c r="F2110" t="s">
        <v>13</v>
      </c>
      <c r="G2110" t="s">
        <v>14</v>
      </c>
      <c r="H2110" t="s">
        <v>15</v>
      </c>
      <c r="I2110" t="s">
        <v>181</v>
      </c>
    </row>
    <row r="2111" spans="1:9" x14ac:dyDescent="0.3">
      <c r="A2111" t="s">
        <v>6230</v>
      </c>
      <c r="B2111" t="s">
        <v>6231</v>
      </c>
      <c r="C2111" t="s">
        <v>33</v>
      </c>
      <c r="D2111" s="1">
        <v>45340</v>
      </c>
      <c r="E2111" t="s">
        <v>6232</v>
      </c>
      <c r="F2111" t="s">
        <v>13</v>
      </c>
      <c r="G2111" t="s">
        <v>14</v>
      </c>
      <c r="H2111" t="s">
        <v>15</v>
      </c>
      <c r="I2111" t="s">
        <v>94</v>
      </c>
    </row>
    <row r="2112" spans="1:9" x14ac:dyDescent="0.3">
      <c r="A2112" t="s">
        <v>6233</v>
      </c>
      <c r="B2112" t="s">
        <v>6234</v>
      </c>
      <c r="C2112" t="s">
        <v>45</v>
      </c>
      <c r="D2112" s="1">
        <v>45341</v>
      </c>
      <c r="E2112" t="s">
        <v>6235</v>
      </c>
      <c r="F2112" t="s">
        <v>13</v>
      </c>
      <c r="G2112" t="s">
        <v>14</v>
      </c>
      <c r="H2112" t="s">
        <v>15</v>
      </c>
    </row>
    <row r="2113" spans="1:9" x14ac:dyDescent="0.3">
      <c r="A2113" t="s">
        <v>6236</v>
      </c>
      <c r="B2113" t="s">
        <v>6237</v>
      </c>
      <c r="C2113" t="s">
        <v>19</v>
      </c>
      <c r="D2113" s="1">
        <v>45342</v>
      </c>
      <c r="E2113" t="s">
        <v>6238</v>
      </c>
      <c r="F2113" t="s">
        <v>13</v>
      </c>
      <c r="G2113" t="s">
        <v>14</v>
      </c>
      <c r="H2113" t="s">
        <v>15</v>
      </c>
      <c r="I2113" t="s">
        <v>116</v>
      </c>
    </row>
    <row r="2114" spans="1:9" x14ac:dyDescent="0.3">
      <c r="A2114" t="s">
        <v>6239</v>
      </c>
      <c r="B2114" t="s">
        <v>6240</v>
      </c>
      <c r="C2114" t="s">
        <v>24</v>
      </c>
      <c r="D2114" s="1">
        <v>45342</v>
      </c>
      <c r="E2114" t="s">
        <v>6241</v>
      </c>
      <c r="F2114" t="s">
        <v>13</v>
      </c>
      <c r="G2114" t="s">
        <v>14</v>
      </c>
      <c r="H2114" t="s">
        <v>15</v>
      </c>
    </row>
    <row r="2115" spans="1:9" x14ac:dyDescent="0.3">
      <c r="A2115" t="s">
        <v>6242</v>
      </c>
      <c r="B2115" t="s">
        <v>6243</v>
      </c>
      <c r="C2115" t="s">
        <v>24</v>
      </c>
      <c r="D2115" s="1">
        <v>45343</v>
      </c>
      <c r="E2115" t="s">
        <v>6244</v>
      </c>
      <c r="F2115" t="s">
        <v>13</v>
      </c>
      <c r="G2115" t="s">
        <v>14</v>
      </c>
      <c r="H2115" t="s">
        <v>15</v>
      </c>
      <c r="I2115" t="s">
        <v>63</v>
      </c>
    </row>
    <row r="2116" spans="1:9" x14ac:dyDescent="0.3">
      <c r="A2116" t="s">
        <v>6245</v>
      </c>
      <c r="B2116" t="s">
        <v>6246</v>
      </c>
      <c r="C2116" t="s">
        <v>29</v>
      </c>
      <c r="D2116" s="1">
        <v>45345</v>
      </c>
      <c r="E2116" t="s">
        <v>6247</v>
      </c>
      <c r="F2116" t="s">
        <v>13</v>
      </c>
      <c r="G2116" t="s">
        <v>14</v>
      </c>
      <c r="H2116" t="s">
        <v>15</v>
      </c>
    </row>
    <row r="2117" spans="1:9" x14ac:dyDescent="0.3">
      <c r="A2117" t="s">
        <v>6248</v>
      </c>
      <c r="B2117" t="s">
        <v>6249</v>
      </c>
      <c r="C2117" t="s">
        <v>54</v>
      </c>
      <c r="D2117" s="1">
        <v>45345</v>
      </c>
      <c r="E2117" t="s">
        <v>6250</v>
      </c>
      <c r="F2117" t="s">
        <v>13</v>
      </c>
      <c r="G2117" t="s">
        <v>14</v>
      </c>
      <c r="H2117" t="s">
        <v>15</v>
      </c>
      <c r="I2117" t="s">
        <v>238</v>
      </c>
    </row>
    <row r="2118" spans="1:9" x14ac:dyDescent="0.3">
      <c r="A2118" t="s">
        <v>6251</v>
      </c>
      <c r="B2118" t="s">
        <v>6252</v>
      </c>
      <c r="C2118" t="s">
        <v>33</v>
      </c>
      <c r="D2118" s="1">
        <v>45345</v>
      </c>
      <c r="E2118" t="s">
        <v>6253</v>
      </c>
      <c r="F2118" t="s">
        <v>13</v>
      </c>
      <c r="G2118" t="s">
        <v>14</v>
      </c>
      <c r="H2118" t="s">
        <v>15</v>
      </c>
      <c r="I2118" t="s">
        <v>51</v>
      </c>
    </row>
    <row r="2119" spans="1:9" x14ac:dyDescent="0.3">
      <c r="A2119" t="s">
        <v>6254</v>
      </c>
      <c r="B2119" t="s">
        <v>6255</v>
      </c>
      <c r="C2119" t="s">
        <v>24</v>
      </c>
      <c r="D2119" s="1">
        <v>45346</v>
      </c>
      <c r="E2119" t="s">
        <v>6256</v>
      </c>
      <c r="F2119" t="s">
        <v>13</v>
      </c>
      <c r="G2119" t="s">
        <v>14</v>
      </c>
      <c r="H2119" t="s">
        <v>15</v>
      </c>
      <c r="I2119" t="s">
        <v>59</v>
      </c>
    </row>
    <row r="2120" spans="1:9" x14ac:dyDescent="0.3">
      <c r="A2120" t="s">
        <v>6257</v>
      </c>
      <c r="B2120" t="s">
        <v>6258</v>
      </c>
      <c r="C2120" t="s">
        <v>24</v>
      </c>
      <c r="D2120" s="1">
        <v>45346</v>
      </c>
      <c r="E2120" t="s">
        <v>6259</v>
      </c>
      <c r="F2120" t="s">
        <v>13</v>
      </c>
      <c r="G2120" t="s">
        <v>14</v>
      </c>
      <c r="H2120" t="s">
        <v>15</v>
      </c>
    </row>
    <row r="2121" spans="1:9" x14ac:dyDescent="0.3">
      <c r="A2121" t="s">
        <v>6260</v>
      </c>
      <c r="B2121" t="s">
        <v>6261</v>
      </c>
      <c r="C2121" t="s">
        <v>33</v>
      </c>
      <c r="D2121" s="1">
        <v>45346</v>
      </c>
      <c r="E2121" t="s">
        <v>6262</v>
      </c>
      <c r="F2121" t="s">
        <v>13</v>
      </c>
      <c r="G2121" t="s">
        <v>14</v>
      </c>
      <c r="H2121" t="s">
        <v>15</v>
      </c>
    </row>
    <row r="2122" spans="1:9" x14ac:dyDescent="0.3">
      <c r="A2122" t="s">
        <v>6263</v>
      </c>
      <c r="B2122" t="s">
        <v>6264</v>
      </c>
      <c r="C2122" t="s">
        <v>24</v>
      </c>
      <c r="D2122" s="1">
        <v>45347</v>
      </c>
      <c r="E2122" t="s">
        <v>6265</v>
      </c>
      <c r="F2122" t="s">
        <v>13</v>
      </c>
      <c r="G2122" t="s">
        <v>14</v>
      </c>
      <c r="H2122" t="s">
        <v>15</v>
      </c>
      <c r="I2122" t="s">
        <v>63</v>
      </c>
    </row>
    <row r="2123" spans="1:9" x14ac:dyDescent="0.3">
      <c r="A2123" t="s">
        <v>6266</v>
      </c>
      <c r="B2123" t="s">
        <v>6267</v>
      </c>
      <c r="C2123" t="s">
        <v>69</v>
      </c>
      <c r="D2123" s="1">
        <v>45347</v>
      </c>
      <c r="E2123" t="s">
        <v>6268</v>
      </c>
      <c r="F2123" t="s">
        <v>13</v>
      </c>
      <c r="G2123" t="s">
        <v>14</v>
      </c>
      <c r="H2123" t="s">
        <v>15</v>
      </c>
      <c r="I2123" t="s">
        <v>71</v>
      </c>
    </row>
    <row r="2124" spans="1:9" x14ac:dyDescent="0.3">
      <c r="A2124" t="s">
        <v>6269</v>
      </c>
      <c r="B2124" t="s">
        <v>6270</v>
      </c>
      <c r="C2124" t="s">
        <v>54</v>
      </c>
      <c r="D2124" s="1">
        <v>45347</v>
      </c>
      <c r="E2124" t="s">
        <v>6271</v>
      </c>
      <c r="F2124" t="s">
        <v>13</v>
      </c>
      <c r="G2124" t="s">
        <v>14</v>
      </c>
      <c r="H2124" t="s">
        <v>15</v>
      </c>
      <c r="I2124" t="s">
        <v>238</v>
      </c>
    </row>
    <row r="2125" spans="1:9" x14ac:dyDescent="0.3">
      <c r="A2125" t="s">
        <v>6272</v>
      </c>
      <c r="B2125" t="s">
        <v>6273</v>
      </c>
      <c r="C2125" t="s">
        <v>69</v>
      </c>
      <c r="D2125" s="1">
        <v>45348</v>
      </c>
      <c r="E2125" t="s">
        <v>6274</v>
      </c>
      <c r="F2125" t="s">
        <v>13</v>
      </c>
      <c r="G2125" t="s">
        <v>14</v>
      </c>
      <c r="H2125" t="s">
        <v>15</v>
      </c>
      <c r="I2125" t="s">
        <v>71</v>
      </c>
    </row>
    <row r="2126" spans="1:9" x14ac:dyDescent="0.3">
      <c r="A2126" t="s">
        <v>6275</v>
      </c>
      <c r="B2126" t="s">
        <v>6276</v>
      </c>
      <c r="C2126" t="s">
        <v>45</v>
      </c>
      <c r="D2126" s="1">
        <v>45349</v>
      </c>
      <c r="E2126" t="s">
        <v>6277</v>
      </c>
      <c r="F2126" t="s">
        <v>13</v>
      </c>
      <c r="G2126" t="s">
        <v>14</v>
      </c>
      <c r="H2126" t="s">
        <v>15</v>
      </c>
    </row>
    <row r="2127" spans="1:9" x14ac:dyDescent="0.3">
      <c r="A2127" t="s">
        <v>6278</v>
      </c>
      <c r="B2127" t="s">
        <v>6279</v>
      </c>
      <c r="C2127" t="s">
        <v>33</v>
      </c>
      <c r="D2127" s="1">
        <v>45349</v>
      </c>
      <c r="E2127" t="s">
        <v>6280</v>
      </c>
      <c r="F2127" t="s">
        <v>13</v>
      </c>
      <c r="G2127" t="s">
        <v>14</v>
      </c>
      <c r="H2127" t="s">
        <v>15</v>
      </c>
      <c r="I2127" t="s">
        <v>51</v>
      </c>
    </row>
    <row r="2128" spans="1:9" x14ac:dyDescent="0.3">
      <c r="A2128" t="s">
        <v>6281</v>
      </c>
      <c r="B2128" t="s">
        <v>6282</v>
      </c>
      <c r="C2128" t="s">
        <v>54</v>
      </c>
      <c r="D2128" s="1">
        <v>45349</v>
      </c>
      <c r="E2128" t="s">
        <v>6283</v>
      </c>
      <c r="F2128" t="s">
        <v>13</v>
      </c>
      <c r="G2128" t="s">
        <v>14</v>
      </c>
      <c r="H2128" t="s">
        <v>15</v>
      </c>
      <c r="I2128" t="s">
        <v>181</v>
      </c>
    </row>
    <row r="2129" spans="1:9" x14ac:dyDescent="0.3">
      <c r="A2129" t="s">
        <v>6284</v>
      </c>
      <c r="B2129" t="s">
        <v>6285</v>
      </c>
      <c r="C2129" t="s">
        <v>29</v>
      </c>
      <c r="D2129" s="1">
        <v>45349</v>
      </c>
      <c r="E2129" t="s">
        <v>6286</v>
      </c>
      <c r="F2129" t="s">
        <v>13</v>
      </c>
      <c r="G2129" t="s">
        <v>14</v>
      </c>
      <c r="H2129" t="s">
        <v>15</v>
      </c>
      <c r="I2129" t="s">
        <v>42</v>
      </c>
    </row>
    <row r="2130" spans="1:9" x14ac:dyDescent="0.3">
      <c r="A2130" t="s">
        <v>6287</v>
      </c>
      <c r="B2130" t="s">
        <v>6288</v>
      </c>
      <c r="C2130" t="s">
        <v>11</v>
      </c>
      <c r="D2130" s="1">
        <v>45350</v>
      </c>
      <c r="E2130" t="s">
        <v>6289</v>
      </c>
      <c r="F2130" t="s">
        <v>13</v>
      </c>
      <c r="G2130" t="s">
        <v>14</v>
      </c>
      <c r="H2130" t="s">
        <v>15</v>
      </c>
      <c r="I2130" t="s">
        <v>16</v>
      </c>
    </row>
    <row r="2131" spans="1:9" x14ac:dyDescent="0.3">
      <c r="A2131" t="s">
        <v>6290</v>
      </c>
      <c r="B2131" t="s">
        <v>6291</v>
      </c>
      <c r="C2131" t="s">
        <v>24</v>
      </c>
      <c r="D2131" s="1">
        <v>45351</v>
      </c>
      <c r="E2131" t="s">
        <v>6292</v>
      </c>
      <c r="F2131" t="s">
        <v>13</v>
      </c>
      <c r="G2131" t="s">
        <v>14</v>
      </c>
      <c r="H2131" t="s">
        <v>15</v>
      </c>
      <c r="I2131" t="s">
        <v>63</v>
      </c>
    </row>
    <row r="2132" spans="1:9" x14ac:dyDescent="0.3">
      <c r="A2132" t="s">
        <v>6293</v>
      </c>
      <c r="B2132" t="s">
        <v>6294</v>
      </c>
      <c r="C2132" t="s">
        <v>24</v>
      </c>
      <c r="D2132" s="1">
        <v>45351</v>
      </c>
      <c r="E2132" t="s">
        <v>6295</v>
      </c>
      <c r="F2132" t="s">
        <v>13</v>
      </c>
      <c r="G2132" t="s">
        <v>14</v>
      </c>
      <c r="H2132" t="s">
        <v>15</v>
      </c>
      <c r="I2132" t="s">
        <v>26</v>
      </c>
    </row>
    <row r="2133" spans="1:9" x14ac:dyDescent="0.3">
      <c r="A2133" t="s">
        <v>6296</v>
      </c>
      <c r="B2133" t="s">
        <v>6297</v>
      </c>
      <c r="C2133" t="s">
        <v>69</v>
      </c>
      <c r="D2133" s="1">
        <v>45352</v>
      </c>
      <c r="E2133" t="s">
        <v>6298</v>
      </c>
      <c r="F2133" t="s">
        <v>13</v>
      </c>
      <c r="G2133" t="s">
        <v>174</v>
      </c>
      <c r="H2133" t="s">
        <v>15</v>
      </c>
      <c r="I2133" t="s">
        <v>71</v>
      </c>
    </row>
    <row r="2134" spans="1:9" x14ac:dyDescent="0.3">
      <c r="A2134" t="s">
        <v>6299</v>
      </c>
      <c r="B2134" t="s">
        <v>6300</v>
      </c>
      <c r="C2134" t="s">
        <v>54</v>
      </c>
      <c r="D2134" s="1">
        <v>45352</v>
      </c>
      <c r="E2134" t="s">
        <v>6301</v>
      </c>
      <c r="F2134" t="s">
        <v>13</v>
      </c>
      <c r="G2134" t="s">
        <v>14</v>
      </c>
      <c r="H2134" t="s">
        <v>15</v>
      </c>
      <c r="I2134" t="s">
        <v>181</v>
      </c>
    </row>
    <row r="2135" spans="1:9" x14ac:dyDescent="0.3">
      <c r="A2135" t="s">
        <v>6302</v>
      </c>
      <c r="B2135" t="s">
        <v>6303</v>
      </c>
      <c r="C2135" t="s">
        <v>54</v>
      </c>
      <c r="D2135" s="1">
        <v>45353</v>
      </c>
      <c r="E2135" t="s">
        <v>6304</v>
      </c>
      <c r="F2135" t="s">
        <v>13</v>
      </c>
      <c r="G2135" t="s">
        <v>14</v>
      </c>
      <c r="H2135" t="s">
        <v>15</v>
      </c>
      <c r="I2135" t="s">
        <v>181</v>
      </c>
    </row>
    <row r="2136" spans="1:9" x14ac:dyDescent="0.3">
      <c r="A2136" t="s">
        <v>6305</v>
      </c>
      <c r="B2136" t="s">
        <v>6306</v>
      </c>
      <c r="C2136" t="s">
        <v>45</v>
      </c>
      <c r="D2136" s="1">
        <v>45355</v>
      </c>
      <c r="E2136" t="s">
        <v>6307</v>
      </c>
      <c r="F2136" t="s">
        <v>13</v>
      </c>
      <c r="G2136" t="s">
        <v>14</v>
      </c>
      <c r="H2136" t="s">
        <v>15</v>
      </c>
      <c r="I2136" t="s">
        <v>248</v>
      </c>
    </row>
    <row r="2137" spans="1:9" x14ac:dyDescent="0.3">
      <c r="A2137" t="s">
        <v>6308</v>
      </c>
      <c r="B2137" t="s">
        <v>6309</v>
      </c>
      <c r="C2137" t="s">
        <v>54</v>
      </c>
      <c r="D2137" s="1">
        <v>45355</v>
      </c>
      <c r="E2137" t="s">
        <v>6310</v>
      </c>
      <c r="F2137" t="s">
        <v>13</v>
      </c>
      <c r="G2137" t="s">
        <v>14</v>
      </c>
      <c r="H2137" t="s">
        <v>15</v>
      </c>
      <c r="I2137" t="s">
        <v>181</v>
      </c>
    </row>
    <row r="2138" spans="1:9" x14ac:dyDescent="0.3">
      <c r="A2138" t="s">
        <v>6311</v>
      </c>
      <c r="B2138" t="s">
        <v>6312</v>
      </c>
      <c r="C2138" t="s">
        <v>33</v>
      </c>
      <c r="D2138" s="1">
        <v>45355</v>
      </c>
      <c r="E2138" t="s">
        <v>6313</v>
      </c>
      <c r="F2138" t="s">
        <v>13</v>
      </c>
      <c r="G2138" t="s">
        <v>14</v>
      </c>
      <c r="H2138" t="s">
        <v>15</v>
      </c>
      <c r="I2138" t="s">
        <v>94</v>
      </c>
    </row>
    <row r="2139" spans="1:9" x14ac:dyDescent="0.3">
      <c r="A2139" t="s">
        <v>6314</v>
      </c>
      <c r="B2139" t="s">
        <v>6315</v>
      </c>
      <c r="C2139" t="s">
        <v>29</v>
      </c>
      <c r="D2139" s="1">
        <v>45355</v>
      </c>
      <c r="E2139" t="s">
        <v>6316</v>
      </c>
      <c r="F2139" t="s">
        <v>13</v>
      </c>
      <c r="G2139" t="s">
        <v>14</v>
      </c>
      <c r="H2139" t="s">
        <v>15</v>
      </c>
      <c r="I2139" t="s">
        <v>42</v>
      </c>
    </row>
    <row r="2140" spans="1:9" x14ac:dyDescent="0.3">
      <c r="A2140" t="s">
        <v>6317</v>
      </c>
      <c r="B2140" t="s">
        <v>6318</v>
      </c>
      <c r="C2140" t="s">
        <v>45</v>
      </c>
      <c r="D2140" s="1">
        <v>45356</v>
      </c>
      <c r="E2140" t="s">
        <v>6319</v>
      </c>
      <c r="F2140" t="s">
        <v>13</v>
      </c>
      <c r="G2140" t="s">
        <v>14</v>
      </c>
      <c r="H2140" t="s">
        <v>15</v>
      </c>
      <c r="I2140" t="s">
        <v>248</v>
      </c>
    </row>
    <row r="2141" spans="1:9" x14ac:dyDescent="0.3">
      <c r="A2141" t="s">
        <v>6320</v>
      </c>
      <c r="B2141" t="s">
        <v>6321</v>
      </c>
      <c r="C2141" t="s">
        <v>33</v>
      </c>
      <c r="D2141" s="1">
        <v>45356</v>
      </c>
      <c r="E2141" t="s">
        <v>6322</v>
      </c>
      <c r="F2141" t="s">
        <v>13</v>
      </c>
      <c r="G2141" t="s">
        <v>14</v>
      </c>
      <c r="H2141" t="s">
        <v>15</v>
      </c>
      <c r="I2141" t="s">
        <v>94</v>
      </c>
    </row>
    <row r="2142" spans="1:9" x14ac:dyDescent="0.3">
      <c r="A2142" t="s">
        <v>6323</v>
      </c>
      <c r="B2142" t="s">
        <v>6324</v>
      </c>
      <c r="C2142" t="s">
        <v>29</v>
      </c>
      <c r="D2142" s="1">
        <v>45357</v>
      </c>
      <c r="E2142" t="s">
        <v>6325</v>
      </c>
      <c r="F2142" t="s">
        <v>13</v>
      </c>
      <c r="G2142" t="s">
        <v>14</v>
      </c>
      <c r="H2142" t="s">
        <v>15</v>
      </c>
      <c r="I2142" t="s">
        <v>81</v>
      </c>
    </row>
    <row r="2143" spans="1:9" x14ac:dyDescent="0.3">
      <c r="A2143" t="s">
        <v>6326</v>
      </c>
      <c r="B2143" t="s">
        <v>6327</v>
      </c>
      <c r="C2143" t="s">
        <v>54</v>
      </c>
      <c r="D2143" s="1">
        <v>45357</v>
      </c>
      <c r="E2143" t="s">
        <v>6328</v>
      </c>
      <c r="F2143" t="s">
        <v>13</v>
      </c>
      <c r="G2143" t="s">
        <v>14</v>
      </c>
      <c r="H2143" t="s">
        <v>15</v>
      </c>
      <c r="I2143" t="s">
        <v>238</v>
      </c>
    </row>
    <row r="2144" spans="1:9" x14ac:dyDescent="0.3">
      <c r="A2144" t="s">
        <v>6329</v>
      </c>
      <c r="B2144" t="s">
        <v>6330</v>
      </c>
      <c r="C2144" t="s">
        <v>19</v>
      </c>
      <c r="D2144" s="1">
        <v>45358</v>
      </c>
      <c r="E2144" t="s">
        <v>6331</v>
      </c>
      <c r="F2144" t="s">
        <v>13</v>
      </c>
      <c r="G2144" t="s">
        <v>14</v>
      </c>
      <c r="H2144" t="s">
        <v>15</v>
      </c>
      <c r="I2144" t="s">
        <v>21</v>
      </c>
    </row>
    <row r="2145" spans="1:9" x14ac:dyDescent="0.3">
      <c r="A2145" t="s">
        <v>6332</v>
      </c>
      <c r="B2145" t="s">
        <v>6333</v>
      </c>
      <c r="C2145" t="s">
        <v>45</v>
      </c>
      <c r="D2145" s="1">
        <v>45358</v>
      </c>
      <c r="E2145" t="s">
        <v>6334</v>
      </c>
      <c r="F2145" t="s">
        <v>13</v>
      </c>
      <c r="G2145" t="s">
        <v>14</v>
      </c>
      <c r="H2145" t="s">
        <v>15</v>
      </c>
      <c r="I2145" t="s">
        <v>47</v>
      </c>
    </row>
    <row r="2146" spans="1:9" x14ac:dyDescent="0.3">
      <c r="A2146" t="s">
        <v>6335</v>
      </c>
      <c r="B2146" t="s">
        <v>6336</v>
      </c>
      <c r="C2146" t="s">
        <v>69</v>
      </c>
      <c r="D2146" s="1">
        <v>45359</v>
      </c>
      <c r="E2146" t="s">
        <v>6337</v>
      </c>
      <c r="F2146" t="s">
        <v>13</v>
      </c>
      <c r="G2146" t="s">
        <v>14</v>
      </c>
      <c r="H2146" t="s">
        <v>15</v>
      </c>
      <c r="I2146" t="s">
        <v>71</v>
      </c>
    </row>
    <row r="2147" spans="1:9" x14ac:dyDescent="0.3">
      <c r="A2147" t="s">
        <v>6329</v>
      </c>
      <c r="B2147" t="s">
        <v>6338</v>
      </c>
      <c r="C2147" t="s">
        <v>19</v>
      </c>
      <c r="D2147" s="1">
        <v>45359</v>
      </c>
      <c r="E2147" t="s">
        <v>6339</v>
      </c>
      <c r="F2147" t="s">
        <v>13</v>
      </c>
      <c r="G2147" t="s">
        <v>14</v>
      </c>
      <c r="H2147" t="s">
        <v>15</v>
      </c>
      <c r="I2147" t="s">
        <v>21</v>
      </c>
    </row>
    <row r="2148" spans="1:9" x14ac:dyDescent="0.3">
      <c r="A2148" t="s">
        <v>6340</v>
      </c>
      <c r="B2148" t="s">
        <v>6341</v>
      </c>
      <c r="C2148" t="s">
        <v>33</v>
      </c>
      <c r="D2148" s="1">
        <v>45360</v>
      </c>
      <c r="E2148" t="s">
        <v>6342</v>
      </c>
      <c r="F2148" t="s">
        <v>13</v>
      </c>
      <c r="G2148" t="s">
        <v>14</v>
      </c>
      <c r="H2148" t="s">
        <v>15</v>
      </c>
      <c r="I2148" t="s">
        <v>51</v>
      </c>
    </row>
    <row r="2149" spans="1:9" x14ac:dyDescent="0.3">
      <c r="A2149" t="s">
        <v>6343</v>
      </c>
      <c r="B2149" t="s">
        <v>6344</v>
      </c>
      <c r="C2149" t="s">
        <v>45</v>
      </c>
      <c r="D2149" s="1">
        <v>45360</v>
      </c>
      <c r="E2149" t="s">
        <v>6345</v>
      </c>
      <c r="F2149" t="s">
        <v>13</v>
      </c>
      <c r="G2149" t="s">
        <v>14</v>
      </c>
      <c r="H2149" t="s">
        <v>15</v>
      </c>
      <c r="I2149" t="s">
        <v>248</v>
      </c>
    </row>
    <row r="2150" spans="1:9" x14ac:dyDescent="0.3">
      <c r="A2150" t="s">
        <v>6346</v>
      </c>
      <c r="B2150" t="s">
        <v>6347</v>
      </c>
      <c r="C2150" t="s">
        <v>29</v>
      </c>
      <c r="D2150" s="1">
        <v>45360</v>
      </c>
      <c r="E2150" t="s">
        <v>6348</v>
      </c>
      <c r="F2150" t="s">
        <v>13</v>
      </c>
      <c r="G2150" t="s">
        <v>14</v>
      </c>
      <c r="H2150" t="s">
        <v>15</v>
      </c>
      <c r="I2150" t="s">
        <v>81</v>
      </c>
    </row>
    <row r="2151" spans="1:9" x14ac:dyDescent="0.3">
      <c r="A2151" t="s">
        <v>6349</v>
      </c>
      <c r="B2151" t="s">
        <v>6350</v>
      </c>
      <c r="C2151" t="s">
        <v>29</v>
      </c>
      <c r="D2151" s="1">
        <v>45360</v>
      </c>
      <c r="E2151" t="s">
        <v>6351</v>
      </c>
      <c r="F2151" t="s">
        <v>13</v>
      </c>
      <c r="G2151" t="s">
        <v>14</v>
      </c>
      <c r="H2151" t="s">
        <v>15</v>
      </c>
      <c r="I2151" t="s">
        <v>204</v>
      </c>
    </row>
    <row r="2152" spans="1:9" x14ac:dyDescent="0.3">
      <c r="A2152" t="s">
        <v>6352</v>
      </c>
      <c r="B2152" t="s">
        <v>6353</v>
      </c>
      <c r="C2152" t="s">
        <v>11</v>
      </c>
      <c r="D2152" s="1">
        <v>45361</v>
      </c>
      <c r="E2152" t="s">
        <v>6354</v>
      </c>
      <c r="F2152" t="s">
        <v>13</v>
      </c>
      <c r="G2152" t="s">
        <v>14</v>
      </c>
      <c r="H2152" t="s">
        <v>15</v>
      </c>
      <c r="I2152" t="s">
        <v>38</v>
      </c>
    </row>
    <row r="2153" spans="1:9" x14ac:dyDescent="0.3">
      <c r="A2153" t="s">
        <v>6355</v>
      </c>
      <c r="B2153" t="s">
        <v>6356</v>
      </c>
      <c r="C2153" t="s">
        <v>54</v>
      </c>
      <c r="D2153" s="1">
        <v>45362</v>
      </c>
      <c r="E2153" t="s">
        <v>6357</v>
      </c>
      <c r="F2153" t="s">
        <v>13</v>
      </c>
      <c r="G2153" t="s">
        <v>14</v>
      </c>
      <c r="H2153" t="s">
        <v>15</v>
      </c>
      <c r="I2153" t="s">
        <v>238</v>
      </c>
    </row>
    <row r="2154" spans="1:9" x14ac:dyDescent="0.3">
      <c r="A2154" t="s">
        <v>6358</v>
      </c>
      <c r="B2154" t="s">
        <v>6359</v>
      </c>
      <c r="C2154" t="s">
        <v>11</v>
      </c>
      <c r="D2154" s="1">
        <v>45362</v>
      </c>
      <c r="E2154" t="s">
        <v>6360</v>
      </c>
      <c r="F2154" t="s">
        <v>13</v>
      </c>
      <c r="G2154" t="s">
        <v>14</v>
      </c>
      <c r="H2154" t="s">
        <v>15</v>
      </c>
      <c r="I2154" t="s">
        <v>38</v>
      </c>
    </row>
    <row r="2155" spans="1:9" x14ac:dyDescent="0.3">
      <c r="A2155" t="s">
        <v>6361</v>
      </c>
      <c r="B2155" t="s">
        <v>6362</v>
      </c>
      <c r="C2155" t="s">
        <v>33</v>
      </c>
      <c r="D2155" s="1">
        <v>45363</v>
      </c>
      <c r="E2155" t="s">
        <v>6363</v>
      </c>
      <c r="F2155" t="s">
        <v>13</v>
      </c>
      <c r="G2155" t="s">
        <v>14</v>
      </c>
      <c r="H2155" t="s">
        <v>15</v>
      </c>
    </row>
    <row r="2156" spans="1:9" x14ac:dyDescent="0.3">
      <c r="A2156" t="s">
        <v>6364</v>
      </c>
      <c r="B2156" t="s">
        <v>6365</v>
      </c>
      <c r="C2156" t="s">
        <v>33</v>
      </c>
      <c r="D2156" s="1">
        <v>45363</v>
      </c>
      <c r="E2156" t="s">
        <v>6366</v>
      </c>
      <c r="F2156" t="s">
        <v>13</v>
      </c>
      <c r="G2156" t="s">
        <v>14</v>
      </c>
      <c r="H2156" t="s">
        <v>15</v>
      </c>
    </row>
    <row r="2157" spans="1:9" x14ac:dyDescent="0.3">
      <c r="A2157" t="s">
        <v>6367</v>
      </c>
      <c r="B2157" t="s">
        <v>6368</v>
      </c>
      <c r="C2157" t="s">
        <v>29</v>
      </c>
      <c r="D2157" s="1">
        <v>45363</v>
      </c>
      <c r="E2157" t="s">
        <v>6369</v>
      </c>
      <c r="F2157" t="s">
        <v>13</v>
      </c>
      <c r="G2157" t="s">
        <v>14</v>
      </c>
      <c r="H2157" t="s">
        <v>15</v>
      </c>
    </row>
    <row r="2158" spans="1:9" x14ac:dyDescent="0.3">
      <c r="A2158" t="s">
        <v>6179</v>
      </c>
      <c r="B2158" t="s">
        <v>6370</v>
      </c>
      <c r="C2158" t="s">
        <v>19</v>
      </c>
      <c r="D2158" s="1">
        <v>45364</v>
      </c>
      <c r="E2158" t="s">
        <v>6371</v>
      </c>
      <c r="F2158" t="s">
        <v>13</v>
      </c>
      <c r="G2158" t="s">
        <v>14</v>
      </c>
      <c r="H2158" t="s">
        <v>15</v>
      </c>
      <c r="I2158" t="s">
        <v>116</v>
      </c>
    </row>
    <row r="2159" spans="1:9" x14ac:dyDescent="0.3">
      <c r="A2159" t="s">
        <v>6372</v>
      </c>
      <c r="B2159" t="s">
        <v>6373</v>
      </c>
      <c r="C2159" t="s">
        <v>69</v>
      </c>
      <c r="D2159" s="1">
        <v>45364</v>
      </c>
      <c r="E2159" t="s">
        <v>6374</v>
      </c>
      <c r="F2159" t="s">
        <v>13</v>
      </c>
      <c r="G2159" t="s">
        <v>14</v>
      </c>
      <c r="H2159" t="s">
        <v>15</v>
      </c>
      <c r="I2159" t="s">
        <v>71</v>
      </c>
    </row>
    <row r="2160" spans="1:9" x14ac:dyDescent="0.3">
      <c r="A2160" t="s">
        <v>6375</v>
      </c>
      <c r="B2160" t="s">
        <v>6376</v>
      </c>
      <c r="C2160" t="s">
        <v>45</v>
      </c>
      <c r="D2160" s="1">
        <v>45364</v>
      </c>
      <c r="E2160" t="s">
        <v>6377</v>
      </c>
      <c r="F2160" t="s">
        <v>13</v>
      </c>
      <c r="G2160" t="s">
        <v>14</v>
      </c>
      <c r="H2160" t="s">
        <v>15</v>
      </c>
      <c r="I2160" t="s">
        <v>47</v>
      </c>
    </row>
    <row r="2161" spans="1:9" x14ac:dyDescent="0.3">
      <c r="A2161" t="s">
        <v>6378</v>
      </c>
      <c r="B2161" t="s">
        <v>6379</v>
      </c>
      <c r="C2161" t="s">
        <v>33</v>
      </c>
      <c r="D2161" s="1">
        <v>45364</v>
      </c>
      <c r="E2161" t="s">
        <v>6380</v>
      </c>
      <c r="F2161" t="s">
        <v>13</v>
      </c>
      <c r="G2161" t="s">
        <v>14</v>
      </c>
      <c r="H2161" t="s">
        <v>15</v>
      </c>
      <c r="I2161" t="s">
        <v>94</v>
      </c>
    </row>
    <row r="2162" spans="1:9" x14ac:dyDescent="0.3">
      <c r="A2162" t="s">
        <v>6381</v>
      </c>
      <c r="B2162" t="s">
        <v>6382</v>
      </c>
      <c r="C2162" t="s">
        <v>69</v>
      </c>
      <c r="D2162" s="1">
        <v>45364</v>
      </c>
      <c r="E2162" t="s">
        <v>6383</v>
      </c>
      <c r="F2162" t="s">
        <v>13</v>
      </c>
      <c r="G2162" t="s">
        <v>14</v>
      </c>
      <c r="H2162" t="s">
        <v>15</v>
      </c>
      <c r="I2162" t="s">
        <v>71</v>
      </c>
    </row>
    <row r="2163" spans="1:9" x14ac:dyDescent="0.3">
      <c r="A2163" t="s">
        <v>6384</v>
      </c>
      <c r="B2163" t="s">
        <v>6385</v>
      </c>
      <c r="C2163" t="s">
        <v>19</v>
      </c>
      <c r="D2163" s="1">
        <v>45365</v>
      </c>
      <c r="E2163" t="s">
        <v>6386</v>
      </c>
      <c r="F2163" t="s">
        <v>13</v>
      </c>
      <c r="G2163" t="s">
        <v>14</v>
      </c>
      <c r="H2163" t="s">
        <v>15</v>
      </c>
      <c r="I2163" t="s">
        <v>21</v>
      </c>
    </row>
    <row r="2164" spans="1:9" x14ac:dyDescent="0.3">
      <c r="A2164" t="s">
        <v>6387</v>
      </c>
      <c r="B2164" t="s">
        <v>6388</v>
      </c>
      <c r="C2164" t="s">
        <v>45</v>
      </c>
      <c r="D2164" s="1">
        <v>45365</v>
      </c>
      <c r="E2164" t="s">
        <v>6389</v>
      </c>
      <c r="F2164" t="s">
        <v>13</v>
      </c>
      <c r="G2164" t="s">
        <v>14</v>
      </c>
      <c r="H2164" t="s">
        <v>15</v>
      </c>
      <c r="I2164" t="s">
        <v>47</v>
      </c>
    </row>
    <row r="2165" spans="1:9" x14ac:dyDescent="0.3">
      <c r="A2165" t="s">
        <v>6390</v>
      </c>
      <c r="B2165" t="s">
        <v>6391</v>
      </c>
      <c r="C2165" t="s">
        <v>54</v>
      </c>
      <c r="D2165" s="1">
        <v>45365</v>
      </c>
      <c r="E2165" t="s">
        <v>6392</v>
      </c>
      <c r="F2165" t="s">
        <v>13</v>
      </c>
      <c r="G2165" t="s">
        <v>14</v>
      </c>
      <c r="H2165" t="s">
        <v>15</v>
      </c>
      <c r="I2165" t="s">
        <v>181</v>
      </c>
    </row>
    <row r="2166" spans="1:9" x14ac:dyDescent="0.3">
      <c r="A2166" t="s">
        <v>6393</v>
      </c>
      <c r="B2166" t="s">
        <v>6394</v>
      </c>
      <c r="C2166" t="s">
        <v>11</v>
      </c>
      <c r="D2166" s="1">
        <v>45365</v>
      </c>
      <c r="E2166" t="s">
        <v>6395</v>
      </c>
      <c r="F2166" t="s">
        <v>13</v>
      </c>
      <c r="G2166" t="s">
        <v>14</v>
      </c>
      <c r="H2166" t="s">
        <v>15</v>
      </c>
      <c r="I2166" t="s">
        <v>38</v>
      </c>
    </row>
    <row r="2167" spans="1:9" x14ac:dyDescent="0.3">
      <c r="A2167" t="s">
        <v>6396</v>
      </c>
      <c r="B2167" t="s">
        <v>6397</v>
      </c>
      <c r="C2167" t="s">
        <v>29</v>
      </c>
      <c r="D2167" s="1">
        <v>45366</v>
      </c>
      <c r="E2167" t="s">
        <v>6398</v>
      </c>
      <c r="F2167" t="s">
        <v>13</v>
      </c>
      <c r="G2167" t="s">
        <v>14</v>
      </c>
      <c r="H2167" t="s">
        <v>15</v>
      </c>
      <c r="I2167" t="s">
        <v>81</v>
      </c>
    </row>
    <row r="2168" spans="1:9" x14ac:dyDescent="0.3">
      <c r="A2168" t="s">
        <v>6399</v>
      </c>
      <c r="B2168" t="s">
        <v>6400</v>
      </c>
      <c r="C2168" t="s">
        <v>45</v>
      </c>
      <c r="D2168" s="1">
        <v>45366</v>
      </c>
      <c r="E2168" t="s">
        <v>6401</v>
      </c>
      <c r="F2168" t="s">
        <v>13</v>
      </c>
      <c r="G2168" t="s">
        <v>14</v>
      </c>
      <c r="H2168" t="s">
        <v>15</v>
      </c>
      <c r="I2168" t="s">
        <v>248</v>
      </c>
    </row>
    <row r="2169" spans="1:9" x14ac:dyDescent="0.3">
      <c r="A2169" t="s">
        <v>6402</v>
      </c>
      <c r="B2169" t="s">
        <v>6403</v>
      </c>
      <c r="C2169" t="s">
        <v>54</v>
      </c>
      <c r="D2169" s="1">
        <v>45366</v>
      </c>
      <c r="E2169" t="s">
        <v>6404</v>
      </c>
      <c r="F2169" t="s">
        <v>13</v>
      </c>
      <c r="G2169" t="s">
        <v>14</v>
      </c>
      <c r="H2169" t="s">
        <v>15</v>
      </c>
      <c r="I2169" t="s">
        <v>181</v>
      </c>
    </row>
    <row r="2170" spans="1:9" x14ac:dyDescent="0.3">
      <c r="A2170" t="s">
        <v>6405</v>
      </c>
      <c r="B2170" t="s">
        <v>6406</v>
      </c>
      <c r="C2170" t="s">
        <v>33</v>
      </c>
      <c r="D2170" s="1">
        <v>45366</v>
      </c>
      <c r="E2170" t="s">
        <v>6407</v>
      </c>
      <c r="F2170" t="s">
        <v>13</v>
      </c>
      <c r="G2170" t="s">
        <v>14</v>
      </c>
      <c r="H2170" t="s">
        <v>15</v>
      </c>
      <c r="I2170" t="s">
        <v>51</v>
      </c>
    </row>
    <row r="2171" spans="1:9" x14ac:dyDescent="0.3">
      <c r="A2171" t="s">
        <v>6408</v>
      </c>
      <c r="B2171" t="s">
        <v>6409</v>
      </c>
      <c r="C2171" t="s">
        <v>24</v>
      </c>
      <c r="D2171" s="1">
        <v>45366</v>
      </c>
      <c r="E2171" t="s">
        <v>6410</v>
      </c>
      <c r="F2171" t="s">
        <v>13</v>
      </c>
      <c r="G2171" t="s">
        <v>14</v>
      </c>
      <c r="H2171" t="s">
        <v>15</v>
      </c>
      <c r="I2171" t="s">
        <v>59</v>
      </c>
    </row>
    <row r="2172" spans="1:9" x14ac:dyDescent="0.3">
      <c r="A2172" t="s">
        <v>6411</v>
      </c>
      <c r="B2172" t="s">
        <v>6412</v>
      </c>
      <c r="C2172" t="s">
        <v>69</v>
      </c>
      <c r="D2172" s="1">
        <v>45367</v>
      </c>
      <c r="E2172" t="s">
        <v>6413</v>
      </c>
      <c r="F2172" t="s">
        <v>13</v>
      </c>
      <c r="G2172" t="s">
        <v>14</v>
      </c>
      <c r="H2172" t="s">
        <v>15</v>
      </c>
      <c r="I2172" t="s">
        <v>71</v>
      </c>
    </row>
    <row r="2173" spans="1:9" x14ac:dyDescent="0.3">
      <c r="A2173" t="s">
        <v>6414</v>
      </c>
      <c r="B2173" t="s">
        <v>6415</v>
      </c>
      <c r="C2173" t="s">
        <v>45</v>
      </c>
      <c r="D2173" s="1">
        <v>45368</v>
      </c>
      <c r="E2173" t="s">
        <v>6416</v>
      </c>
      <c r="F2173" t="s">
        <v>13</v>
      </c>
      <c r="G2173" t="s">
        <v>14</v>
      </c>
      <c r="H2173" t="s">
        <v>15</v>
      </c>
      <c r="I2173" t="s">
        <v>248</v>
      </c>
    </row>
    <row r="2174" spans="1:9" x14ac:dyDescent="0.3">
      <c r="A2174" t="s">
        <v>6417</v>
      </c>
      <c r="B2174" t="s">
        <v>6418</v>
      </c>
      <c r="C2174" t="s">
        <v>54</v>
      </c>
      <c r="D2174" s="1">
        <v>45368</v>
      </c>
      <c r="E2174" t="s">
        <v>6419</v>
      </c>
      <c r="F2174" t="s">
        <v>13</v>
      </c>
      <c r="G2174" t="s">
        <v>14</v>
      </c>
      <c r="H2174" t="s">
        <v>15</v>
      </c>
      <c r="I2174" t="s">
        <v>238</v>
      </c>
    </row>
    <row r="2175" spans="1:9" x14ac:dyDescent="0.3">
      <c r="A2175" t="s">
        <v>6420</v>
      </c>
      <c r="B2175" t="s">
        <v>6421</v>
      </c>
      <c r="C2175" t="s">
        <v>45</v>
      </c>
      <c r="D2175" s="1">
        <v>45368</v>
      </c>
      <c r="E2175" t="s">
        <v>6422</v>
      </c>
      <c r="F2175" t="s">
        <v>13</v>
      </c>
      <c r="G2175" t="s">
        <v>14</v>
      </c>
      <c r="H2175" t="s">
        <v>15</v>
      </c>
      <c r="I2175" t="s">
        <v>47</v>
      </c>
    </row>
    <row r="2176" spans="1:9" x14ac:dyDescent="0.3">
      <c r="A2176" t="s">
        <v>6423</v>
      </c>
      <c r="B2176" t="s">
        <v>6424</v>
      </c>
      <c r="C2176" t="s">
        <v>11</v>
      </c>
      <c r="D2176" s="1">
        <v>45368</v>
      </c>
      <c r="E2176" t="s">
        <v>6425</v>
      </c>
      <c r="F2176" t="s">
        <v>13</v>
      </c>
      <c r="G2176" t="s">
        <v>14</v>
      </c>
      <c r="H2176" t="s">
        <v>15</v>
      </c>
      <c r="I2176" t="s">
        <v>16</v>
      </c>
    </row>
    <row r="2177" spans="1:9" x14ac:dyDescent="0.3">
      <c r="A2177" t="s">
        <v>6426</v>
      </c>
      <c r="B2177" t="s">
        <v>6427</v>
      </c>
      <c r="C2177" t="s">
        <v>45</v>
      </c>
      <c r="D2177" s="1">
        <v>45368</v>
      </c>
      <c r="E2177" t="s">
        <v>6428</v>
      </c>
      <c r="F2177" t="s">
        <v>13</v>
      </c>
      <c r="G2177" t="s">
        <v>14</v>
      </c>
      <c r="H2177" t="s">
        <v>15</v>
      </c>
    </row>
    <row r="2178" spans="1:9" x14ac:dyDescent="0.3">
      <c r="A2178" t="s">
        <v>6429</v>
      </c>
      <c r="B2178" t="s">
        <v>6430</v>
      </c>
      <c r="C2178" t="s">
        <v>33</v>
      </c>
      <c r="D2178" s="1">
        <v>45368</v>
      </c>
      <c r="E2178" t="s">
        <v>6431</v>
      </c>
      <c r="F2178" t="s">
        <v>13</v>
      </c>
      <c r="G2178" t="s">
        <v>14</v>
      </c>
      <c r="H2178" t="s">
        <v>15</v>
      </c>
      <c r="I2178" t="s">
        <v>94</v>
      </c>
    </row>
    <row r="2179" spans="1:9" x14ac:dyDescent="0.3">
      <c r="A2179" t="s">
        <v>5922</v>
      </c>
      <c r="B2179" t="s">
        <v>6432</v>
      </c>
      <c r="C2179" t="s">
        <v>19</v>
      </c>
      <c r="D2179" s="1">
        <v>45369</v>
      </c>
      <c r="E2179" t="s">
        <v>6433</v>
      </c>
      <c r="F2179" t="s">
        <v>13</v>
      </c>
      <c r="G2179" t="s">
        <v>14</v>
      </c>
      <c r="H2179" t="s">
        <v>15</v>
      </c>
      <c r="I2179" t="s">
        <v>116</v>
      </c>
    </row>
    <row r="2180" spans="1:9" x14ac:dyDescent="0.3">
      <c r="A2180" t="s">
        <v>6434</v>
      </c>
      <c r="B2180" t="s">
        <v>6435</v>
      </c>
      <c r="C2180" t="s">
        <v>33</v>
      </c>
      <c r="D2180" s="1">
        <v>45369</v>
      </c>
      <c r="E2180" t="s">
        <v>6436</v>
      </c>
      <c r="F2180" t="s">
        <v>13</v>
      </c>
      <c r="G2180" t="s">
        <v>14</v>
      </c>
      <c r="H2180" t="s">
        <v>15</v>
      </c>
      <c r="I2180" t="s">
        <v>51</v>
      </c>
    </row>
    <row r="2181" spans="1:9" x14ac:dyDescent="0.3">
      <c r="A2181" t="s">
        <v>6437</v>
      </c>
      <c r="B2181" t="s">
        <v>6438</v>
      </c>
      <c r="C2181" t="s">
        <v>19</v>
      </c>
      <c r="D2181" s="1">
        <v>45371</v>
      </c>
      <c r="E2181" t="s">
        <v>6439</v>
      </c>
      <c r="F2181" t="s">
        <v>13</v>
      </c>
      <c r="G2181" t="s">
        <v>14</v>
      </c>
      <c r="H2181" t="s">
        <v>15</v>
      </c>
      <c r="I2181" t="s">
        <v>21</v>
      </c>
    </row>
    <row r="2182" spans="1:9" x14ac:dyDescent="0.3">
      <c r="A2182" t="s">
        <v>6440</v>
      </c>
      <c r="B2182" t="s">
        <v>6441</v>
      </c>
      <c r="C2182" t="s">
        <v>11</v>
      </c>
      <c r="D2182" s="1">
        <v>45372</v>
      </c>
      <c r="E2182" t="s">
        <v>6442</v>
      </c>
      <c r="F2182" t="s">
        <v>13</v>
      </c>
      <c r="G2182" t="s">
        <v>14</v>
      </c>
      <c r="H2182" t="s">
        <v>15</v>
      </c>
    </row>
    <row r="2183" spans="1:9" x14ac:dyDescent="0.3">
      <c r="A2183" t="s">
        <v>6443</v>
      </c>
      <c r="B2183" t="s">
        <v>6444</v>
      </c>
      <c r="C2183" t="s">
        <v>54</v>
      </c>
      <c r="D2183" s="1">
        <v>45372</v>
      </c>
      <c r="E2183" t="s">
        <v>6445</v>
      </c>
      <c r="F2183" t="s">
        <v>13</v>
      </c>
      <c r="G2183" t="s">
        <v>14</v>
      </c>
      <c r="H2183" t="s">
        <v>15</v>
      </c>
      <c r="I2183" t="s">
        <v>238</v>
      </c>
    </row>
    <row r="2184" spans="1:9" x14ac:dyDescent="0.3">
      <c r="A2184" t="s">
        <v>6446</v>
      </c>
      <c r="B2184" t="s">
        <v>6447</v>
      </c>
      <c r="C2184" t="s">
        <v>24</v>
      </c>
      <c r="D2184" s="1">
        <v>45372</v>
      </c>
      <c r="E2184" t="s">
        <v>6448</v>
      </c>
      <c r="F2184" t="s">
        <v>13</v>
      </c>
      <c r="G2184" t="s">
        <v>14</v>
      </c>
      <c r="H2184" t="s">
        <v>15</v>
      </c>
      <c r="I2184" t="s">
        <v>59</v>
      </c>
    </row>
    <row r="2185" spans="1:9" x14ac:dyDescent="0.3">
      <c r="A2185" t="s">
        <v>6449</v>
      </c>
      <c r="B2185" t="s">
        <v>6450</v>
      </c>
      <c r="C2185" t="s">
        <v>19</v>
      </c>
      <c r="D2185" s="1">
        <v>45372</v>
      </c>
      <c r="E2185" t="s">
        <v>6451</v>
      </c>
      <c r="F2185" t="s">
        <v>13</v>
      </c>
      <c r="G2185" t="s">
        <v>14</v>
      </c>
      <c r="H2185" t="s">
        <v>15</v>
      </c>
      <c r="I2185" t="s">
        <v>116</v>
      </c>
    </row>
    <row r="2186" spans="1:9" x14ac:dyDescent="0.3">
      <c r="A2186" t="s">
        <v>6452</v>
      </c>
      <c r="B2186" t="s">
        <v>6453</v>
      </c>
      <c r="C2186" t="s">
        <v>24</v>
      </c>
      <c r="D2186" s="1">
        <v>45373</v>
      </c>
      <c r="E2186" t="s">
        <v>6454</v>
      </c>
      <c r="F2186" t="s">
        <v>13</v>
      </c>
      <c r="G2186" t="s">
        <v>14</v>
      </c>
      <c r="H2186" t="s">
        <v>15</v>
      </c>
      <c r="I2186" t="s">
        <v>59</v>
      </c>
    </row>
    <row r="2187" spans="1:9" x14ac:dyDescent="0.3">
      <c r="A2187" t="s">
        <v>6455</v>
      </c>
      <c r="B2187" t="s">
        <v>6456</v>
      </c>
      <c r="C2187" t="s">
        <v>29</v>
      </c>
      <c r="D2187" s="1">
        <v>45374</v>
      </c>
      <c r="E2187" t="s">
        <v>6457</v>
      </c>
      <c r="F2187" t="s">
        <v>13</v>
      </c>
      <c r="G2187" t="s">
        <v>14</v>
      </c>
      <c r="H2187" t="s">
        <v>15</v>
      </c>
      <c r="I2187" t="s">
        <v>204</v>
      </c>
    </row>
    <row r="2188" spans="1:9" x14ac:dyDescent="0.3">
      <c r="A2188" t="s">
        <v>6458</v>
      </c>
      <c r="B2188" t="s">
        <v>6459</v>
      </c>
      <c r="C2188" t="s">
        <v>69</v>
      </c>
      <c r="D2188" s="1">
        <v>45374</v>
      </c>
      <c r="E2188" t="s">
        <v>6460</v>
      </c>
      <c r="F2188" t="s">
        <v>13</v>
      </c>
      <c r="G2188" t="s">
        <v>14</v>
      </c>
      <c r="H2188" t="s">
        <v>15</v>
      </c>
      <c r="I2188" t="s">
        <v>71</v>
      </c>
    </row>
    <row r="2189" spans="1:9" x14ac:dyDescent="0.3">
      <c r="A2189" t="s">
        <v>6461</v>
      </c>
      <c r="B2189" t="s">
        <v>6462</v>
      </c>
      <c r="C2189" t="s">
        <v>33</v>
      </c>
      <c r="D2189" s="1">
        <v>45375</v>
      </c>
      <c r="E2189" t="s">
        <v>6463</v>
      </c>
      <c r="F2189" t="s">
        <v>13</v>
      </c>
      <c r="G2189" t="s">
        <v>14</v>
      </c>
      <c r="H2189" t="s">
        <v>15</v>
      </c>
    </row>
    <row r="2190" spans="1:9" x14ac:dyDescent="0.3">
      <c r="A2190" t="s">
        <v>6464</v>
      </c>
      <c r="B2190" t="s">
        <v>6465</v>
      </c>
      <c r="C2190" t="s">
        <v>69</v>
      </c>
      <c r="D2190" s="1">
        <v>45376</v>
      </c>
      <c r="E2190" t="s">
        <v>6466</v>
      </c>
      <c r="F2190" t="s">
        <v>13</v>
      </c>
      <c r="G2190" t="s">
        <v>14</v>
      </c>
      <c r="H2190" t="s">
        <v>15</v>
      </c>
    </row>
    <row r="2191" spans="1:9" x14ac:dyDescent="0.3">
      <c r="A2191" t="s">
        <v>6467</v>
      </c>
      <c r="B2191" t="s">
        <v>6468</v>
      </c>
      <c r="C2191" t="s">
        <v>69</v>
      </c>
      <c r="D2191" s="1">
        <v>45376</v>
      </c>
      <c r="E2191" t="s">
        <v>6469</v>
      </c>
      <c r="F2191" t="s">
        <v>13</v>
      </c>
      <c r="G2191" t="s">
        <v>14</v>
      </c>
      <c r="H2191" t="s">
        <v>15</v>
      </c>
      <c r="I2191" t="s">
        <v>71</v>
      </c>
    </row>
    <row r="2192" spans="1:9" x14ac:dyDescent="0.3">
      <c r="A2192" t="s">
        <v>6470</v>
      </c>
      <c r="B2192" t="s">
        <v>6471</v>
      </c>
      <c r="C2192" t="s">
        <v>29</v>
      </c>
      <c r="D2192" s="1">
        <v>45376</v>
      </c>
      <c r="E2192" t="s">
        <v>6472</v>
      </c>
      <c r="F2192" t="s">
        <v>13</v>
      </c>
      <c r="G2192" t="s">
        <v>174</v>
      </c>
      <c r="H2192" t="s">
        <v>15</v>
      </c>
      <c r="I2192" t="s">
        <v>81</v>
      </c>
    </row>
    <row r="2193" spans="1:9" x14ac:dyDescent="0.3">
      <c r="A2193" t="s">
        <v>6473</v>
      </c>
      <c r="B2193" t="s">
        <v>6474</v>
      </c>
      <c r="C2193" t="s">
        <v>33</v>
      </c>
      <c r="D2193" s="1">
        <v>45376</v>
      </c>
      <c r="E2193" t="s">
        <v>6475</v>
      </c>
      <c r="F2193" t="s">
        <v>13</v>
      </c>
      <c r="G2193" t="s">
        <v>14</v>
      </c>
      <c r="H2193" t="s">
        <v>15</v>
      </c>
      <c r="I2193" t="s">
        <v>94</v>
      </c>
    </row>
    <row r="2194" spans="1:9" x14ac:dyDescent="0.3">
      <c r="A2194" t="s">
        <v>6476</v>
      </c>
      <c r="B2194" t="s">
        <v>6477</v>
      </c>
      <c r="C2194" t="s">
        <v>54</v>
      </c>
      <c r="D2194" s="1">
        <v>45377</v>
      </c>
      <c r="E2194" t="s">
        <v>6478</v>
      </c>
      <c r="F2194" t="s">
        <v>13</v>
      </c>
      <c r="G2194" t="s">
        <v>14</v>
      </c>
      <c r="H2194" t="s">
        <v>15</v>
      </c>
      <c r="I2194" t="s">
        <v>181</v>
      </c>
    </row>
    <row r="2195" spans="1:9" x14ac:dyDescent="0.3">
      <c r="A2195" t="s">
        <v>6479</v>
      </c>
      <c r="B2195" t="s">
        <v>6480</v>
      </c>
      <c r="C2195" t="s">
        <v>33</v>
      </c>
      <c r="D2195" s="1">
        <v>45377</v>
      </c>
      <c r="E2195" t="s">
        <v>6481</v>
      </c>
      <c r="F2195" t="s">
        <v>13</v>
      </c>
      <c r="G2195" t="s">
        <v>14</v>
      </c>
      <c r="H2195" t="s">
        <v>15</v>
      </c>
      <c r="I2195" t="s">
        <v>94</v>
      </c>
    </row>
    <row r="2196" spans="1:9" x14ac:dyDescent="0.3">
      <c r="A2196" t="s">
        <v>6482</v>
      </c>
      <c r="B2196" t="s">
        <v>6483</v>
      </c>
      <c r="C2196" t="s">
        <v>24</v>
      </c>
      <c r="D2196" s="1">
        <v>45377</v>
      </c>
      <c r="E2196" t="s">
        <v>6484</v>
      </c>
      <c r="F2196" t="s">
        <v>13</v>
      </c>
      <c r="G2196" t="s">
        <v>14</v>
      </c>
      <c r="H2196" t="s">
        <v>15</v>
      </c>
      <c r="I2196" t="s">
        <v>59</v>
      </c>
    </row>
    <row r="2197" spans="1:9" x14ac:dyDescent="0.3">
      <c r="A2197" t="s">
        <v>6485</v>
      </c>
      <c r="B2197" t="s">
        <v>6486</v>
      </c>
      <c r="C2197" t="s">
        <v>11</v>
      </c>
      <c r="D2197" s="1">
        <v>45378</v>
      </c>
      <c r="E2197" t="s">
        <v>6487</v>
      </c>
      <c r="F2197" t="s">
        <v>13</v>
      </c>
      <c r="G2197" t="s">
        <v>14</v>
      </c>
      <c r="H2197" t="s">
        <v>15</v>
      </c>
      <c r="I2197" t="s">
        <v>16</v>
      </c>
    </row>
    <row r="2198" spans="1:9" x14ac:dyDescent="0.3">
      <c r="A2198" t="s">
        <v>6488</v>
      </c>
      <c r="B2198" t="s">
        <v>6489</v>
      </c>
      <c r="C2198" t="s">
        <v>24</v>
      </c>
      <c r="D2198" s="1">
        <v>45378</v>
      </c>
      <c r="E2198" t="s">
        <v>6490</v>
      </c>
      <c r="F2198" t="s">
        <v>13</v>
      </c>
      <c r="G2198" t="s">
        <v>14</v>
      </c>
      <c r="H2198" t="s">
        <v>15</v>
      </c>
      <c r="I2198" t="s">
        <v>59</v>
      </c>
    </row>
    <row r="2199" spans="1:9" x14ac:dyDescent="0.3">
      <c r="A2199" t="s">
        <v>6491</v>
      </c>
      <c r="B2199" t="s">
        <v>6492</v>
      </c>
      <c r="C2199" t="s">
        <v>29</v>
      </c>
      <c r="D2199" s="1">
        <v>45379</v>
      </c>
      <c r="E2199" t="s">
        <v>6493</v>
      </c>
      <c r="F2199" t="s">
        <v>13</v>
      </c>
      <c r="G2199" t="s">
        <v>174</v>
      </c>
      <c r="H2199" t="s">
        <v>15</v>
      </c>
      <c r="I2199" t="s">
        <v>204</v>
      </c>
    </row>
    <row r="2200" spans="1:9" x14ac:dyDescent="0.3">
      <c r="A2200" t="s">
        <v>6494</v>
      </c>
      <c r="B2200" t="s">
        <v>6495</v>
      </c>
      <c r="C2200" t="s">
        <v>19</v>
      </c>
      <c r="D2200" s="1">
        <v>45379</v>
      </c>
      <c r="E2200" t="s">
        <v>6496</v>
      </c>
      <c r="F2200" t="s">
        <v>13</v>
      </c>
      <c r="G2200" t="s">
        <v>14</v>
      </c>
      <c r="H2200" t="s">
        <v>15</v>
      </c>
      <c r="I2200" t="s">
        <v>116</v>
      </c>
    </row>
    <row r="2201" spans="1:9" x14ac:dyDescent="0.3">
      <c r="A2201" t="s">
        <v>6497</v>
      </c>
      <c r="B2201" t="s">
        <v>6498</v>
      </c>
      <c r="C2201" t="s">
        <v>11</v>
      </c>
      <c r="D2201" s="1">
        <v>45379</v>
      </c>
      <c r="E2201" t="s">
        <v>6499</v>
      </c>
      <c r="F2201" t="s">
        <v>13</v>
      </c>
      <c r="G2201" t="s">
        <v>14</v>
      </c>
      <c r="H2201" t="s">
        <v>15</v>
      </c>
      <c r="I2201" t="s">
        <v>16</v>
      </c>
    </row>
    <row r="2202" spans="1:9" x14ac:dyDescent="0.3">
      <c r="A2202" t="s">
        <v>6500</v>
      </c>
      <c r="B2202" t="s">
        <v>6501</v>
      </c>
      <c r="C2202" t="s">
        <v>29</v>
      </c>
      <c r="D2202" s="1">
        <v>45379</v>
      </c>
      <c r="E2202" t="s">
        <v>6502</v>
      </c>
      <c r="F2202" t="s">
        <v>13</v>
      </c>
      <c r="G2202" t="s">
        <v>14</v>
      </c>
      <c r="H2202" t="s">
        <v>15</v>
      </c>
      <c r="I2202" t="s">
        <v>42</v>
      </c>
    </row>
    <row r="2203" spans="1:9" x14ac:dyDescent="0.3">
      <c r="A2203" t="s">
        <v>6503</v>
      </c>
      <c r="B2203" t="s">
        <v>6504</v>
      </c>
      <c r="C2203" t="s">
        <v>54</v>
      </c>
      <c r="D2203" s="1">
        <v>45379</v>
      </c>
      <c r="E2203" t="s">
        <v>6505</v>
      </c>
      <c r="F2203" t="s">
        <v>13</v>
      </c>
      <c r="G2203" t="s">
        <v>14</v>
      </c>
      <c r="H2203" t="s">
        <v>15</v>
      </c>
      <c r="I2203" t="s">
        <v>181</v>
      </c>
    </row>
    <row r="2204" spans="1:9" x14ac:dyDescent="0.3">
      <c r="A2204" t="s">
        <v>6506</v>
      </c>
      <c r="B2204" t="s">
        <v>6507</v>
      </c>
      <c r="C2204" t="s">
        <v>54</v>
      </c>
      <c r="D2204" s="1">
        <v>45380</v>
      </c>
      <c r="E2204" t="s">
        <v>6508</v>
      </c>
      <c r="F2204" t="s">
        <v>13</v>
      </c>
      <c r="G2204" t="s">
        <v>14</v>
      </c>
      <c r="H2204" t="s">
        <v>15</v>
      </c>
      <c r="I2204" t="s">
        <v>181</v>
      </c>
    </row>
    <row r="2205" spans="1:9" x14ac:dyDescent="0.3">
      <c r="A2205" t="s">
        <v>6509</v>
      </c>
      <c r="B2205" t="s">
        <v>6510</v>
      </c>
      <c r="C2205" t="s">
        <v>69</v>
      </c>
      <c r="D2205" s="1">
        <v>45380</v>
      </c>
      <c r="E2205" t="s">
        <v>6511</v>
      </c>
      <c r="F2205" t="s">
        <v>13</v>
      </c>
      <c r="G2205" t="s">
        <v>14</v>
      </c>
      <c r="H2205" t="s">
        <v>15</v>
      </c>
      <c r="I2205" t="s">
        <v>71</v>
      </c>
    </row>
    <row r="2206" spans="1:9" x14ac:dyDescent="0.3">
      <c r="A2206" t="s">
        <v>6512</v>
      </c>
      <c r="B2206" t="s">
        <v>6513</v>
      </c>
      <c r="C2206" t="s">
        <v>69</v>
      </c>
      <c r="D2206" s="1">
        <v>45381</v>
      </c>
      <c r="E2206" t="s">
        <v>6514</v>
      </c>
      <c r="F2206" t="s">
        <v>13</v>
      </c>
      <c r="G2206" t="s">
        <v>14</v>
      </c>
      <c r="H2206" t="s">
        <v>15</v>
      </c>
      <c r="I2206" t="s">
        <v>71</v>
      </c>
    </row>
    <row r="2207" spans="1:9" x14ac:dyDescent="0.3">
      <c r="A2207" t="s">
        <v>6515</v>
      </c>
      <c r="B2207" t="s">
        <v>6516</v>
      </c>
      <c r="C2207" t="s">
        <v>33</v>
      </c>
      <c r="D2207" s="1">
        <v>45381</v>
      </c>
      <c r="E2207" t="s">
        <v>6517</v>
      </c>
      <c r="F2207" t="s">
        <v>13</v>
      </c>
      <c r="G2207" t="s">
        <v>14</v>
      </c>
      <c r="H2207" t="s">
        <v>15</v>
      </c>
      <c r="I2207" t="s">
        <v>51</v>
      </c>
    </row>
    <row r="2208" spans="1:9" x14ac:dyDescent="0.3">
      <c r="A2208" t="s">
        <v>6518</v>
      </c>
      <c r="B2208" t="s">
        <v>6519</v>
      </c>
      <c r="C2208" t="s">
        <v>69</v>
      </c>
      <c r="D2208" s="1">
        <v>45381</v>
      </c>
      <c r="E2208" t="s">
        <v>6520</v>
      </c>
      <c r="F2208" t="s">
        <v>13</v>
      </c>
      <c r="G2208" t="s">
        <v>14</v>
      </c>
      <c r="H2208" t="s">
        <v>15</v>
      </c>
    </row>
    <row r="2209" spans="1:9" x14ac:dyDescent="0.3">
      <c r="A2209" t="s">
        <v>6521</v>
      </c>
      <c r="B2209" t="s">
        <v>6522</v>
      </c>
      <c r="C2209" t="s">
        <v>69</v>
      </c>
      <c r="D2209" s="1">
        <v>45381</v>
      </c>
      <c r="E2209" t="s">
        <v>6523</v>
      </c>
      <c r="F2209" t="s">
        <v>13</v>
      </c>
      <c r="G2209" t="s">
        <v>14</v>
      </c>
      <c r="H2209" t="s">
        <v>15</v>
      </c>
      <c r="I2209" t="s">
        <v>71</v>
      </c>
    </row>
    <row r="2210" spans="1:9" x14ac:dyDescent="0.3">
      <c r="A2210" t="s">
        <v>6524</v>
      </c>
      <c r="B2210" t="s">
        <v>6525</v>
      </c>
      <c r="C2210" t="s">
        <v>54</v>
      </c>
      <c r="D2210" s="1">
        <v>45381</v>
      </c>
      <c r="E2210" t="s">
        <v>6526</v>
      </c>
      <c r="F2210" t="s">
        <v>13</v>
      </c>
      <c r="G2210" t="s">
        <v>14</v>
      </c>
      <c r="H2210" t="s">
        <v>15</v>
      </c>
      <c r="I2210" t="s">
        <v>181</v>
      </c>
    </row>
    <row r="2211" spans="1:9" x14ac:dyDescent="0.3">
      <c r="A2211" t="s">
        <v>6527</v>
      </c>
      <c r="B2211" t="s">
        <v>6528</v>
      </c>
      <c r="C2211" t="s">
        <v>33</v>
      </c>
      <c r="D2211" s="1">
        <v>45382</v>
      </c>
      <c r="E2211" t="s">
        <v>6529</v>
      </c>
      <c r="F2211" t="s">
        <v>13</v>
      </c>
      <c r="G2211" t="s">
        <v>14</v>
      </c>
      <c r="H2211" t="s">
        <v>15</v>
      </c>
      <c r="I2211" t="s">
        <v>51</v>
      </c>
    </row>
    <row r="2212" spans="1:9" x14ac:dyDescent="0.3">
      <c r="A2212" t="s">
        <v>6530</v>
      </c>
      <c r="B2212" t="s">
        <v>6531</v>
      </c>
      <c r="C2212" t="s">
        <v>19</v>
      </c>
      <c r="D2212" s="1">
        <v>45383</v>
      </c>
      <c r="E2212" t="s">
        <v>6532</v>
      </c>
      <c r="F2212" t="s">
        <v>13</v>
      </c>
      <c r="G2212" t="s">
        <v>14</v>
      </c>
      <c r="H2212" t="s">
        <v>15</v>
      </c>
      <c r="I2212" t="s">
        <v>21</v>
      </c>
    </row>
    <row r="2213" spans="1:9" x14ac:dyDescent="0.3">
      <c r="A2213" t="s">
        <v>6533</v>
      </c>
      <c r="B2213" t="s">
        <v>6534</v>
      </c>
      <c r="C2213" t="s">
        <v>11</v>
      </c>
      <c r="D2213" s="1">
        <v>45383</v>
      </c>
      <c r="E2213" t="s">
        <v>6535</v>
      </c>
      <c r="F2213" t="s">
        <v>13</v>
      </c>
      <c r="G2213" t="s">
        <v>14</v>
      </c>
      <c r="H2213" t="s">
        <v>15</v>
      </c>
      <c r="I2213" t="s">
        <v>185</v>
      </c>
    </row>
    <row r="2214" spans="1:9" x14ac:dyDescent="0.3">
      <c r="A2214" t="s">
        <v>6536</v>
      </c>
      <c r="B2214" t="s">
        <v>6537</v>
      </c>
      <c r="C2214" t="s">
        <v>45</v>
      </c>
      <c r="D2214" s="1">
        <v>45383</v>
      </c>
      <c r="E2214" t="s">
        <v>6538</v>
      </c>
      <c r="F2214" t="s">
        <v>13</v>
      </c>
      <c r="G2214" t="s">
        <v>14</v>
      </c>
      <c r="H2214" t="s">
        <v>15</v>
      </c>
      <c r="I2214" t="s">
        <v>47</v>
      </c>
    </row>
    <row r="2215" spans="1:9" x14ac:dyDescent="0.3">
      <c r="A2215" t="s">
        <v>6539</v>
      </c>
      <c r="B2215" t="s">
        <v>6540</v>
      </c>
      <c r="C2215" t="s">
        <v>24</v>
      </c>
      <c r="D2215" s="1">
        <v>45383</v>
      </c>
      <c r="E2215" t="s">
        <v>6541</v>
      </c>
      <c r="F2215" t="s">
        <v>13</v>
      </c>
      <c r="G2215" t="s">
        <v>14</v>
      </c>
      <c r="H2215" t="s">
        <v>15</v>
      </c>
      <c r="I2215" t="s">
        <v>59</v>
      </c>
    </row>
    <row r="2216" spans="1:9" x14ac:dyDescent="0.3">
      <c r="A2216" t="s">
        <v>6542</v>
      </c>
      <c r="B2216" t="s">
        <v>6543</v>
      </c>
      <c r="C2216" t="s">
        <v>19</v>
      </c>
      <c r="D2216" s="1">
        <v>45383</v>
      </c>
      <c r="E2216" t="s">
        <v>6544</v>
      </c>
      <c r="F2216" t="s">
        <v>13</v>
      </c>
      <c r="G2216" t="s">
        <v>14</v>
      </c>
      <c r="H2216" t="s">
        <v>15</v>
      </c>
      <c r="I2216" t="s">
        <v>116</v>
      </c>
    </row>
    <row r="2217" spans="1:9" x14ac:dyDescent="0.3">
      <c r="A2217" t="s">
        <v>6545</v>
      </c>
      <c r="B2217" t="s">
        <v>6546</v>
      </c>
      <c r="C2217" t="s">
        <v>33</v>
      </c>
      <c r="D2217" s="1">
        <v>45383</v>
      </c>
      <c r="E2217" t="s">
        <v>6547</v>
      </c>
      <c r="F2217" t="s">
        <v>13</v>
      </c>
      <c r="G2217" t="s">
        <v>14</v>
      </c>
      <c r="H2217" t="s">
        <v>15</v>
      </c>
      <c r="I2217" t="s">
        <v>94</v>
      </c>
    </row>
    <row r="2218" spans="1:9" x14ac:dyDescent="0.3">
      <c r="A2218" t="s">
        <v>6548</v>
      </c>
      <c r="B2218" t="s">
        <v>6549</v>
      </c>
      <c r="C2218" t="s">
        <v>69</v>
      </c>
      <c r="D2218" s="1">
        <v>45383</v>
      </c>
      <c r="E2218" t="s">
        <v>6550</v>
      </c>
      <c r="F2218" t="s">
        <v>13</v>
      </c>
      <c r="G2218" t="s">
        <v>14</v>
      </c>
      <c r="H2218" t="s">
        <v>15</v>
      </c>
      <c r="I2218" t="s">
        <v>71</v>
      </c>
    </row>
    <row r="2219" spans="1:9" x14ac:dyDescent="0.3">
      <c r="A2219" t="s">
        <v>6551</v>
      </c>
      <c r="B2219" t="s">
        <v>6552</v>
      </c>
      <c r="C2219" t="s">
        <v>69</v>
      </c>
      <c r="D2219" s="1">
        <v>45384</v>
      </c>
      <c r="E2219" t="s">
        <v>6553</v>
      </c>
      <c r="F2219" t="s">
        <v>13</v>
      </c>
      <c r="G2219" t="s">
        <v>14</v>
      </c>
      <c r="H2219" t="s">
        <v>15</v>
      </c>
    </row>
    <row r="2220" spans="1:9" x14ac:dyDescent="0.3">
      <c r="A2220" t="s">
        <v>6554</v>
      </c>
      <c r="B2220" t="s">
        <v>6555</v>
      </c>
      <c r="C2220" t="s">
        <v>33</v>
      </c>
      <c r="D2220" s="1">
        <v>45385</v>
      </c>
      <c r="E2220" t="s">
        <v>6556</v>
      </c>
      <c r="F2220" t="s">
        <v>13</v>
      </c>
      <c r="G2220" t="s">
        <v>14</v>
      </c>
      <c r="H2220" t="s">
        <v>15</v>
      </c>
      <c r="I2220" t="s">
        <v>51</v>
      </c>
    </row>
    <row r="2221" spans="1:9" x14ac:dyDescent="0.3">
      <c r="A2221" t="s">
        <v>6557</v>
      </c>
      <c r="B2221" t="s">
        <v>6558</v>
      </c>
      <c r="C2221" t="s">
        <v>54</v>
      </c>
      <c r="D2221" s="1">
        <v>45385</v>
      </c>
      <c r="E2221" t="s">
        <v>6559</v>
      </c>
      <c r="F2221" t="s">
        <v>13</v>
      </c>
      <c r="G2221" t="s">
        <v>14</v>
      </c>
      <c r="H2221" t="s">
        <v>15</v>
      </c>
    </row>
    <row r="2222" spans="1:9" x14ac:dyDescent="0.3">
      <c r="A2222" t="s">
        <v>6560</v>
      </c>
      <c r="B2222" t="s">
        <v>6561</v>
      </c>
      <c r="C2222" t="s">
        <v>69</v>
      </c>
      <c r="D2222" s="1">
        <v>45385</v>
      </c>
      <c r="E2222" t="s">
        <v>6562</v>
      </c>
      <c r="F2222" t="s">
        <v>13</v>
      </c>
      <c r="G2222" t="s">
        <v>14</v>
      </c>
      <c r="H2222" t="s">
        <v>15</v>
      </c>
      <c r="I2222" t="s">
        <v>71</v>
      </c>
    </row>
    <row r="2223" spans="1:9" x14ac:dyDescent="0.3">
      <c r="A2223" t="s">
        <v>6563</v>
      </c>
      <c r="B2223" t="s">
        <v>6564</v>
      </c>
      <c r="C2223" t="s">
        <v>29</v>
      </c>
      <c r="D2223" s="1">
        <v>45386</v>
      </c>
      <c r="E2223" t="s">
        <v>6565</v>
      </c>
      <c r="F2223" t="s">
        <v>13</v>
      </c>
      <c r="G2223" t="s">
        <v>14</v>
      </c>
      <c r="H2223" t="s">
        <v>15</v>
      </c>
      <c r="I2223" t="s">
        <v>204</v>
      </c>
    </row>
    <row r="2224" spans="1:9" x14ac:dyDescent="0.3">
      <c r="A2224" t="s">
        <v>6566</v>
      </c>
      <c r="B2224" t="s">
        <v>6567</v>
      </c>
      <c r="C2224" t="s">
        <v>33</v>
      </c>
      <c r="D2224" s="1">
        <v>45386</v>
      </c>
      <c r="E2224" t="s">
        <v>6568</v>
      </c>
      <c r="F2224" t="s">
        <v>13</v>
      </c>
      <c r="G2224" t="s">
        <v>14</v>
      </c>
      <c r="H2224" t="s">
        <v>15</v>
      </c>
      <c r="I2224" t="s">
        <v>51</v>
      </c>
    </row>
    <row r="2225" spans="1:9" x14ac:dyDescent="0.3">
      <c r="A2225" t="s">
        <v>6569</v>
      </c>
      <c r="B2225" t="s">
        <v>6570</v>
      </c>
      <c r="C2225" t="s">
        <v>19</v>
      </c>
      <c r="D2225" s="1">
        <v>45387</v>
      </c>
      <c r="E2225" t="s">
        <v>6571</v>
      </c>
      <c r="F2225" t="s">
        <v>13</v>
      </c>
      <c r="G2225" t="s">
        <v>14</v>
      </c>
      <c r="H2225" t="s">
        <v>15</v>
      </c>
      <c r="I2225" t="s">
        <v>21</v>
      </c>
    </row>
    <row r="2226" spans="1:9" x14ac:dyDescent="0.3">
      <c r="A2226" t="s">
        <v>6572</v>
      </c>
      <c r="B2226" t="s">
        <v>6573</v>
      </c>
      <c r="C2226" t="s">
        <v>69</v>
      </c>
      <c r="D2226" s="1">
        <v>45387</v>
      </c>
      <c r="E2226" t="s">
        <v>6574</v>
      </c>
      <c r="F2226" t="s">
        <v>13</v>
      </c>
      <c r="G2226" t="s">
        <v>14</v>
      </c>
      <c r="H2226" t="s">
        <v>15</v>
      </c>
      <c r="I2226" t="s">
        <v>71</v>
      </c>
    </row>
    <row r="2227" spans="1:9" x14ac:dyDescent="0.3">
      <c r="A2227" t="s">
        <v>6575</v>
      </c>
      <c r="B2227" t="s">
        <v>6576</v>
      </c>
      <c r="C2227" t="s">
        <v>19</v>
      </c>
      <c r="D2227" s="1">
        <v>45387</v>
      </c>
      <c r="E2227" t="s">
        <v>6577</v>
      </c>
      <c r="F2227" t="s">
        <v>13</v>
      </c>
      <c r="G2227" t="s">
        <v>14</v>
      </c>
      <c r="H2227" t="s">
        <v>15</v>
      </c>
      <c r="I2227" t="s">
        <v>21</v>
      </c>
    </row>
    <row r="2228" spans="1:9" x14ac:dyDescent="0.3">
      <c r="A2228" t="s">
        <v>6578</v>
      </c>
      <c r="B2228" t="s">
        <v>6579</v>
      </c>
      <c r="C2228" t="s">
        <v>11</v>
      </c>
      <c r="D2228" s="1">
        <v>45388</v>
      </c>
      <c r="E2228" t="s">
        <v>6580</v>
      </c>
      <c r="F2228" t="s">
        <v>13</v>
      </c>
      <c r="G2228" t="s">
        <v>14</v>
      </c>
      <c r="H2228" t="s">
        <v>15</v>
      </c>
      <c r="I2228" t="s">
        <v>38</v>
      </c>
    </row>
    <row r="2229" spans="1:9" x14ac:dyDescent="0.3">
      <c r="A2229" t="s">
        <v>6581</v>
      </c>
      <c r="B2229" t="s">
        <v>6582</v>
      </c>
      <c r="C2229" t="s">
        <v>45</v>
      </c>
      <c r="D2229" s="1">
        <v>45388</v>
      </c>
      <c r="E2229" t="s">
        <v>6583</v>
      </c>
      <c r="F2229" t="s">
        <v>13</v>
      </c>
      <c r="G2229" t="s">
        <v>14</v>
      </c>
      <c r="H2229" t="s">
        <v>15</v>
      </c>
      <c r="I2229" t="s">
        <v>248</v>
      </c>
    </row>
    <row r="2230" spans="1:9" x14ac:dyDescent="0.3">
      <c r="A2230" t="s">
        <v>6584</v>
      </c>
      <c r="B2230" t="s">
        <v>6585</v>
      </c>
      <c r="C2230" t="s">
        <v>54</v>
      </c>
      <c r="D2230" s="1">
        <v>45388</v>
      </c>
      <c r="E2230" t="s">
        <v>6586</v>
      </c>
      <c r="F2230" t="s">
        <v>13</v>
      </c>
      <c r="G2230" t="s">
        <v>14</v>
      </c>
      <c r="H2230" t="s">
        <v>15</v>
      </c>
    </row>
    <row r="2231" spans="1:9" x14ac:dyDescent="0.3">
      <c r="A2231" t="s">
        <v>6587</v>
      </c>
      <c r="B2231" t="s">
        <v>6588</v>
      </c>
      <c r="C2231" t="s">
        <v>54</v>
      </c>
      <c r="D2231" s="1">
        <v>45389</v>
      </c>
      <c r="E2231" t="s">
        <v>6589</v>
      </c>
      <c r="F2231" t="s">
        <v>13</v>
      </c>
      <c r="G2231" t="s">
        <v>14</v>
      </c>
      <c r="H2231" t="s">
        <v>15</v>
      </c>
      <c r="I2231" t="s">
        <v>181</v>
      </c>
    </row>
    <row r="2232" spans="1:9" x14ac:dyDescent="0.3">
      <c r="A2232" t="s">
        <v>6590</v>
      </c>
      <c r="B2232" t="s">
        <v>6591</v>
      </c>
      <c r="C2232" t="s">
        <v>24</v>
      </c>
      <c r="D2232" s="1">
        <v>45389</v>
      </c>
      <c r="E2232" t="s">
        <v>6592</v>
      </c>
      <c r="F2232" t="s">
        <v>13</v>
      </c>
      <c r="G2232" t="s">
        <v>14</v>
      </c>
      <c r="H2232" t="s">
        <v>15</v>
      </c>
      <c r="I2232" t="s">
        <v>59</v>
      </c>
    </row>
    <row r="2233" spans="1:9" x14ac:dyDescent="0.3">
      <c r="A2233" t="s">
        <v>6593</v>
      </c>
      <c r="B2233" t="s">
        <v>6594</v>
      </c>
      <c r="C2233" t="s">
        <v>54</v>
      </c>
      <c r="D2233" s="1">
        <v>45389</v>
      </c>
      <c r="E2233" t="s">
        <v>6595</v>
      </c>
      <c r="F2233" t="s">
        <v>13</v>
      </c>
      <c r="G2233" t="s">
        <v>14</v>
      </c>
      <c r="H2233" t="s">
        <v>15</v>
      </c>
      <c r="I2233" t="s">
        <v>181</v>
      </c>
    </row>
    <row r="2234" spans="1:9" x14ac:dyDescent="0.3">
      <c r="A2234" t="s">
        <v>6596</v>
      </c>
      <c r="B2234" t="s">
        <v>6597</v>
      </c>
      <c r="C2234" t="s">
        <v>24</v>
      </c>
      <c r="D2234" s="1">
        <v>45389</v>
      </c>
      <c r="E2234" t="s">
        <v>6598</v>
      </c>
      <c r="F2234" t="s">
        <v>13</v>
      </c>
      <c r="G2234" t="s">
        <v>14</v>
      </c>
      <c r="H2234" t="s">
        <v>15</v>
      </c>
    </row>
    <row r="2235" spans="1:9" x14ac:dyDescent="0.3">
      <c r="A2235" t="s">
        <v>6599</v>
      </c>
      <c r="B2235" t="s">
        <v>6600</v>
      </c>
      <c r="C2235" t="s">
        <v>33</v>
      </c>
      <c r="D2235" s="1">
        <v>45389</v>
      </c>
      <c r="E2235" t="s">
        <v>6601</v>
      </c>
      <c r="F2235" t="s">
        <v>13</v>
      </c>
      <c r="G2235" t="s">
        <v>14</v>
      </c>
      <c r="H2235" t="s">
        <v>15</v>
      </c>
      <c r="I2235" t="s">
        <v>51</v>
      </c>
    </row>
    <row r="2236" spans="1:9" x14ac:dyDescent="0.3">
      <c r="A2236" t="s">
        <v>6602</v>
      </c>
      <c r="B2236" t="s">
        <v>6603</v>
      </c>
      <c r="C2236" t="s">
        <v>69</v>
      </c>
      <c r="D2236" s="1">
        <v>45390</v>
      </c>
      <c r="E2236" t="s">
        <v>6604</v>
      </c>
      <c r="F2236" t="s">
        <v>13</v>
      </c>
      <c r="G2236" t="s">
        <v>14</v>
      </c>
      <c r="H2236" t="s">
        <v>15</v>
      </c>
      <c r="I2236" t="s">
        <v>71</v>
      </c>
    </row>
    <row r="2237" spans="1:9" x14ac:dyDescent="0.3">
      <c r="A2237" t="s">
        <v>6605</v>
      </c>
      <c r="B2237" t="s">
        <v>6606</v>
      </c>
      <c r="C2237" t="s">
        <v>54</v>
      </c>
      <c r="D2237" s="1">
        <v>45390</v>
      </c>
      <c r="E2237" t="s">
        <v>6607</v>
      </c>
      <c r="F2237" t="s">
        <v>13</v>
      </c>
      <c r="G2237" t="s">
        <v>174</v>
      </c>
      <c r="H2237" t="s">
        <v>15</v>
      </c>
      <c r="I2237" t="s">
        <v>238</v>
      </c>
    </row>
    <row r="2238" spans="1:9" x14ac:dyDescent="0.3">
      <c r="A2238" t="s">
        <v>6608</v>
      </c>
      <c r="B2238" t="s">
        <v>6609</v>
      </c>
      <c r="C2238" t="s">
        <v>33</v>
      </c>
      <c r="D2238" s="1">
        <v>45391</v>
      </c>
      <c r="E2238" t="s">
        <v>6610</v>
      </c>
      <c r="F2238" t="s">
        <v>13</v>
      </c>
      <c r="G2238" t="s">
        <v>14</v>
      </c>
      <c r="H2238" t="s">
        <v>15</v>
      </c>
      <c r="I2238" t="s">
        <v>94</v>
      </c>
    </row>
    <row r="2239" spans="1:9" x14ac:dyDescent="0.3">
      <c r="A2239" t="s">
        <v>6611</v>
      </c>
      <c r="B2239" t="s">
        <v>6612</v>
      </c>
      <c r="C2239" t="s">
        <v>11</v>
      </c>
      <c r="D2239" s="1">
        <v>45392</v>
      </c>
      <c r="E2239" t="s">
        <v>6613</v>
      </c>
      <c r="F2239" t="s">
        <v>13</v>
      </c>
      <c r="G2239" t="s">
        <v>14</v>
      </c>
      <c r="H2239" t="s">
        <v>15</v>
      </c>
      <c r="I2239" t="s">
        <v>185</v>
      </c>
    </row>
    <row r="2240" spans="1:9" x14ac:dyDescent="0.3">
      <c r="A2240" t="s">
        <v>6614</v>
      </c>
      <c r="B2240" t="s">
        <v>6615</v>
      </c>
      <c r="C2240" t="s">
        <v>54</v>
      </c>
      <c r="D2240" s="1">
        <v>45392</v>
      </c>
      <c r="E2240" t="s">
        <v>6616</v>
      </c>
      <c r="F2240" t="s">
        <v>13</v>
      </c>
      <c r="G2240" t="s">
        <v>14</v>
      </c>
      <c r="H2240" t="s">
        <v>15</v>
      </c>
      <c r="I2240" t="s">
        <v>238</v>
      </c>
    </row>
    <row r="2241" spans="1:9" x14ac:dyDescent="0.3">
      <c r="A2241" t="s">
        <v>6617</v>
      </c>
      <c r="B2241" t="s">
        <v>6618</v>
      </c>
      <c r="C2241" t="s">
        <v>24</v>
      </c>
      <c r="D2241" s="1">
        <v>45392</v>
      </c>
      <c r="E2241" t="s">
        <v>6619</v>
      </c>
      <c r="F2241" t="s">
        <v>13</v>
      </c>
      <c r="G2241" t="s">
        <v>14</v>
      </c>
      <c r="H2241" t="s">
        <v>15</v>
      </c>
      <c r="I2241" t="s">
        <v>59</v>
      </c>
    </row>
    <row r="2242" spans="1:9" x14ac:dyDescent="0.3">
      <c r="A2242" t="s">
        <v>6620</v>
      </c>
      <c r="B2242" t="s">
        <v>6621</v>
      </c>
      <c r="C2242" t="s">
        <v>11</v>
      </c>
      <c r="D2242" s="1">
        <v>45392</v>
      </c>
      <c r="E2242" t="s">
        <v>6622</v>
      </c>
      <c r="F2242" t="s">
        <v>13</v>
      </c>
      <c r="G2242" t="s">
        <v>14</v>
      </c>
      <c r="H2242" t="s">
        <v>15</v>
      </c>
    </row>
    <row r="2243" spans="1:9" x14ac:dyDescent="0.3">
      <c r="A2243" t="s">
        <v>6623</v>
      </c>
      <c r="B2243" t="s">
        <v>6624</v>
      </c>
      <c r="C2243" t="s">
        <v>29</v>
      </c>
      <c r="D2243" s="1">
        <v>45393</v>
      </c>
      <c r="E2243" t="s">
        <v>6625</v>
      </c>
      <c r="F2243" t="s">
        <v>13</v>
      </c>
      <c r="G2243" t="s">
        <v>14</v>
      </c>
      <c r="H2243" t="s">
        <v>15</v>
      </c>
      <c r="I2243" t="s">
        <v>42</v>
      </c>
    </row>
    <row r="2244" spans="1:9" x14ac:dyDescent="0.3">
      <c r="A2244" t="s">
        <v>6626</v>
      </c>
      <c r="B2244" t="s">
        <v>6627</v>
      </c>
      <c r="C2244" t="s">
        <v>24</v>
      </c>
      <c r="D2244" s="1">
        <v>45393</v>
      </c>
      <c r="E2244" t="s">
        <v>6628</v>
      </c>
      <c r="F2244" t="s">
        <v>13</v>
      </c>
      <c r="G2244" t="s">
        <v>14</v>
      </c>
      <c r="H2244" t="s">
        <v>15</v>
      </c>
      <c r="I2244" t="s">
        <v>59</v>
      </c>
    </row>
    <row r="2245" spans="1:9" x14ac:dyDescent="0.3">
      <c r="A2245" t="s">
        <v>6629</v>
      </c>
      <c r="B2245" t="s">
        <v>6630</v>
      </c>
      <c r="C2245" t="s">
        <v>33</v>
      </c>
      <c r="D2245" s="1">
        <v>45393</v>
      </c>
      <c r="E2245" t="s">
        <v>6631</v>
      </c>
      <c r="F2245" t="s">
        <v>13</v>
      </c>
      <c r="G2245" t="s">
        <v>14</v>
      </c>
      <c r="H2245" t="s">
        <v>15</v>
      </c>
      <c r="I2245" t="s">
        <v>51</v>
      </c>
    </row>
    <row r="2246" spans="1:9" x14ac:dyDescent="0.3">
      <c r="A2246" t="s">
        <v>6632</v>
      </c>
      <c r="B2246" t="s">
        <v>6633</v>
      </c>
      <c r="C2246" t="s">
        <v>19</v>
      </c>
      <c r="D2246" s="1">
        <v>45393</v>
      </c>
      <c r="E2246" t="s">
        <v>6634</v>
      </c>
      <c r="F2246" t="s">
        <v>13</v>
      </c>
      <c r="G2246" t="s">
        <v>14</v>
      </c>
      <c r="H2246" t="s">
        <v>15</v>
      </c>
    </row>
    <row r="2247" spans="1:9" x14ac:dyDescent="0.3">
      <c r="A2247" t="s">
        <v>6635</v>
      </c>
      <c r="B2247" t="s">
        <v>6636</v>
      </c>
      <c r="C2247" t="s">
        <v>69</v>
      </c>
      <c r="D2247" s="1">
        <v>45393</v>
      </c>
      <c r="E2247" t="s">
        <v>6637</v>
      </c>
      <c r="F2247" t="s">
        <v>13</v>
      </c>
      <c r="G2247" t="s">
        <v>14</v>
      </c>
      <c r="H2247" t="s">
        <v>15</v>
      </c>
      <c r="I2247" t="s">
        <v>71</v>
      </c>
    </row>
    <row r="2248" spans="1:9" x14ac:dyDescent="0.3">
      <c r="A2248" t="s">
        <v>6638</v>
      </c>
      <c r="B2248" t="s">
        <v>6639</v>
      </c>
      <c r="C2248" t="s">
        <v>29</v>
      </c>
      <c r="D2248" s="1">
        <v>45393</v>
      </c>
      <c r="E2248" t="s">
        <v>6640</v>
      </c>
      <c r="F2248" t="s">
        <v>13</v>
      </c>
      <c r="G2248" t="s">
        <v>14</v>
      </c>
      <c r="H2248" t="s">
        <v>15</v>
      </c>
      <c r="I2248" t="s">
        <v>42</v>
      </c>
    </row>
    <row r="2249" spans="1:9" x14ac:dyDescent="0.3">
      <c r="A2249" t="s">
        <v>6641</v>
      </c>
      <c r="B2249" t="s">
        <v>6642</v>
      </c>
      <c r="C2249" t="s">
        <v>24</v>
      </c>
      <c r="D2249" s="1">
        <v>45394</v>
      </c>
      <c r="E2249" t="s">
        <v>6643</v>
      </c>
      <c r="F2249" t="s">
        <v>13</v>
      </c>
      <c r="G2249" t="s">
        <v>14</v>
      </c>
      <c r="H2249" t="s">
        <v>15</v>
      </c>
      <c r="I2249" t="s">
        <v>26</v>
      </c>
    </row>
    <row r="2250" spans="1:9" x14ac:dyDescent="0.3">
      <c r="A2250" t="s">
        <v>6644</v>
      </c>
      <c r="B2250" t="s">
        <v>6645</v>
      </c>
      <c r="C2250" t="s">
        <v>33</v>
      </c>
      <c r="D2250" s="1">
        <v>45394</v>
      </c>
      <c r="E2250" t="s">
        <v>6646</v>
      </c>
      <c r="F2250" t="s">
        <v>13</v>
      </c>
      <c r="G2250" t="s">
        <v>14</v>
      </c>
      <c r="H2250" t="s">
        <v>15</v>
      </c>
      <c r="I2250" t="s">
        <v>94</v>
      </c>
    </row>
    <row r="2251" spans="1:9" x14ac:dyDescent="0.3">
      <c r="A2251" t="s">
        <v>6647</v>
      </c>
      <c r="B2251" t="s">
        <v>6648</v>
      </c>
      <c r="C2251" t="s">
        <v>24</v>
      </c>
      <c r="D2251" s="1">
        <v>45395</v>
      </c>
      <c r="E2251" t="s">
        <v>6649</v>
      </c>
      <c r="F2251" t="s">
        <v>13</v>
      </c>
      <c r="G2251" t="s">
        <v>14</v>
      </c>
      <c r="H2251" t="s">
        <v>15</v>
      </c>
      <c r="I2251" t="s">
        <v>59</v>
      </c>
    </row>
    <row r="2252" spans="1:9" x14ac:dyDescent="0.3">
      <c r="A2252" t="s">
        <v>6650</v>
      </c>
      <c r="B2252" t="s">
        <v>6651</v>
      </c>
      <c r="C2252" t="s">
        <v>29</v>
      </c>
      <c r="D2252" s="1">
        <v>45395</v>
      </c>
      <c r="E2252" t="s">
        <v>6652</v>
      </c>
      <c r="F2252" t="s">
        <v>13</v>
      </c>
      <c r="G2252" t="s">
        <v>14</v>
      </c>
      <c r="H2252" t="s">
        <v>15</v>
      </c>
      <c r="I2252" t="s">
        <v>204</v>
      </c>
    </row>
    <row r="2253" spans="1:9" x14ac:dyDescent="0.3">
      <c r="A2253" t="s">
        <v>6653</v>
      </c>
      <c r="B2253" t="s">
        <v>6654</v>
      </c>
      <c r="C2253" t="s">
        <v>33</v>
      </c>
      <c r="D2253" s="1">
        <v>45396</v>
      </c>
      <c r="E2253" t="s">
        <v>6655</v>
      </c>
      <c r="F2253" t="s">
        <v>13</v>
      </c>
      <c r="G2253" t="s">
        <v>14</v>
      </c>
      <c r="H2253" t="s">
        <v>15</v>
      </c>
      <c r="I2253" t="s">
        <v>94</v>
      </c>
    </row>
    <row r="2254" spans="1:9" x14ac:dyDescent="0.3">
      <c r="A2254" t="s">
        <v>6656</v>
      </c>
      <c r="B2254" t="s">
        <v>6657</v>
      </c>
      <c r="C2254" t="s">
        <v>54</v>
      </c>
      <c r="D2254" s="1">
        <v>45397</v>
      </c>
      <c r="E2254" t="s">
        <v>6658</v>
      </c>
      <c r="F2254" t="s">
        <v>13</v>
      </c>
      <c r="G2254" t="s">
        <v>174</v>
      </c>
      <c r="H2254" t="s">
        <v>15</v>
      </c>
      <c r="I2254" t="s">
        <v>238</v>
      </c>
    </row>
    <row r="2255" spans="1:9" x14ac:dyDescent="0.3">
      <c r="A2255" t="s">
        <v>6659</v>
      </c>
      <c r="B2255" t="s">
        <v>6660</v>
      </c>
      <c r="C2255" t="s">
        <v>33</v>
      </c>
      <c r="D2255" s="1">
        <v>45397</v>
      </c>
      <c r="E2255" t="s">
        <v>6661</v>
      </c>
      <c r="F2255" t="s">
        <v>13</v>
      </c>
      <c r="G2255" t="s">
        <v>14</v>
      </c>
      <c r="H2255" t="s">
        <v>15</v>
      </c>
      <c r="I2255" t="s">
        <v>51</v>
      </c>
    </row>
    <row r="2256" spans="1:9" x14ac:dyDescent="0.3">
      <c r="A2256" t="s">
        <v>6662</v>
      </c>
      <c r="B2256" t="s">
        <v>6663</v>
      </c>
      <c r="C2256" t="s">
        <v>11</v>
      </c>
      <c r="D2256" s="1">
        <v>45398</v>
      </c>
      <c r="E2256" t="s">
        <v>6664</v>
      </c>
      <c r="F2256" t="s">
        <v>13</v>
      </c>
      <c r="G2256" t="s">
        <v>14</v>
      </c>
      <c r="H2256" t="s">
        <v>15</v>
      </c>
      <c r="I2256" t="s">
        <v>185</v>
      </c>
    </row>
    <row r="2257" spans="1:9" x14ac:dyDescent="0.3">
      <c r="A2257" t="s">
        <v>6665</v>
      </c>
      <c r="B2257" t="s">
        <v>6666</v>
      </c>
      <c r="C2257" t="s">
        <v>29</v>
      </c>
      <c r="D2257" s="1">
        <v>45398</v>
      </c>
      <c r="E2257" t="s">
        <v>6667</v>
      </c>
      <c r="F2257" t="s">
        <v>13</v>
      </c>
      <c r="G2257" t="s">
        <v>14</v>
      </c>
      <c r="H2257" t="s">
        <v>15</v>
      </c>
      <c r="I2257" t="s">
        <v>204</v>
      </c>
    </row>
    <row r="2258" spans="1:9" x14ac:dyDescent="0.3">
      <c r="A2258" t="s">
        <v>6668</v>
      </c>
      <c r="B2258" t="s">
        <v>6669</v>
      </c>
      <c r="C2258" t="s">
        <v>24</v>
      </c>
      <c r="D2258" s="1">
        <v>45399</v>
      </c>
      <c r="E2258" t="s">
        <v>6670</v>
      </c>
      <c r="F2258" t="s">
        <v>13</v>
      </c>
      <c r="G2258" t="s">
        <v>174</v>
      </c>
      <c r="H2258" t="s">
        <v>15</v>
      </c>
      <c r="I2258" t="s">
        <v>26</v>
      </c>
    </row>
    <row r="2259" spans="1:9" x14ac:dyDescent="0.3">
      <c r="A2259" t="s">
        <v>6671</v>
      </c>
      <c r="B2259" t="s">
        <v>6672</v>
      </c>
      <c r="C2259" t="s">
        <v>29</v>
      </c>
      <c r="D2259" s="1">
        <v>45399</v>
      </c>
      <c r="E2259" t="s">
        <v>6673</v>
      </c>
      <c r="F2259" t="s">
        <v>13</v>
      </c>
      <c r="G2259" t="s">
        <v>14</v>
      </c>
      <c r="H2259" t="s">
        <v>15</v>
      </c>
      <c r="I2259" t="s">
        <v>81</v>
      </c>
    </row>
    <row r="2260" spans="1:9" x14ac:dyDescent="0.3">
      <c r="A2260" t="s">
        <v>6674</v>
      </c>
      <c r="B2260" t="s">
        <v>6675</v>
      </c>
      <c r="C2260" t="s">
        <v>45</v>
      </c>
      <c r="D2260" s="1">
        <v>45400</v>
      </c>
      <c r="E2260" t="s">
        <v>6676</v>
      </c>
      <c r="F2260" t="s">
        <v>13</v>
      </c>
      <c r="G2260" t="s">
        <v>14</v>
      </c>
      <c r="H2260" t="s">
        <v>15</v>
      </c>
      <c r="I2260" t="s">
        <v>47</v>
      </c>
    </row>
    <row r="2261" spans="1:9" x14ac:dyDescent="0.3">
      <c r="A2261" t="s">
        <v>6677</v>
      </c>
      <c r="B2261" t="s">
        <v>6678</v>
      </c>
      <c r="C2261" t="s">
        <v>33</v>
      </c>
      <c r="D2261" s="1">
        <v>45401</v>
      </c>
      <c r="E2261" t="s">
        <v>6679</v>
      </c>
      <c r="F2261" t="s">
        <v>13</v>
      </c>
      <c r="G2261" t="s">
        <v>14</v>
      </c>
      <c r="H2261" t="s">
        <v>15</v>
      </c>
      <c r="I2261" t="s">
        <v>51</v>
      </c>
    </row>
    <row r="2262" spans="1:9" x14ac:dyDescent="0.3">
      <c r="A2262" t="s">
        <v>6680</v>
      </c>
      <c r="B2262" t="s">
        <v>6681</v>
      </c>
      <c r="C2262" t="s">
        <v>54</v>
      </c>
      <c r="D2262" s="1">
        <v>45401</v>
      </c>
      <c r="E2262" t="s">
        <v>6682</v>
      </c>
      <c r="F2262" t="s">
        <v>13</v>
      </c>
      <c r="G2262" t="s">
        <v>14</v>
      </c>
      <c r="H2262" t="s">
        <v>15</v>
      </c>
      <c r="I2262" t="s">
        <v>181</v>
      </c>
    </row>
    <row r="2263" spans="1:9" x14ac:dyDescent="0.3">
      <c r="A2263" t="s">
        <v>6683</v>
      </c>
      <c r="B2263" t="s">
        <v>6684</v>
      </c>
      <c r="C2263" t="s">
        <v>19</v>
      </c>
      <c r="D2263" s="1">
        <v>45401</v>
      </c>
      <c r="E2263" t="s">
        <v>6685</v>
      </c>
      <c r="F2263" t="s">
        <v>13</v>
      </c>
      <c r="G2263" t="s">
        <v>14</v>
      </c>
      <c r="H2263" t="s">
        <v>15</v>
      </c>
      <c r="I2263" t="s">
        <v>21</v>
      </c>
    </row>
    <row r="2264" spans="1:9" x14ac:dyDescent="0.3">
      <c r="A2264" t="s">
        <v>6686</v>
      </c>
      <c r="B2264" t="s">
        <v>6687</v>
      </c>
      <c r="C2264" t="s">
        <v>33</v>
      </c>
      <c r="D2264" s="1">
        <v>45402</v>
      </c>
      <c r="E2264" t="s">
        <v>6688</v>
      </c>
      <c r="F2264" t="s">
        <v>13</v>
      </c>
      <c r="G2264" t="s">
        <v>14</v>
      </c>
      <c r="H2264" t="s">
        <v>15</v>
      </c>
      <c r="I2264" t="s">
        <v>94</v>
      </c>
    </row>
    <row r="2265" spans="1:9" x14ac:dyDescent="0.3">
      <c r="A2265" t="s">
        <v>6632</v>
      </c>
      <c r="B2265" t="s">
        <v>6689</v>
      </c>
      <c r="C2265" t="s">
        <v>19</v>
      </c>
      <c r="D2265" s="1">
        <v>45402</v>
      </c>
      <c r="E2265" t="s">
        <v>6690</v>
      </c>
      <c r="F2265" t="s">
        <v>13</v>
      </c>
      <c r="G2265" t="s">
        <v>14</v>
      </c>
      <c r="H2265" t="s">
        <v>15</v>
      </c>
    </row>
    <row r="2266" spans="1:9" x14ac:dyDescent="0.3">
      <c r="A2266" t="s">
        <v>6691</v>
      </c>
      <c r="B2266" t="s">
        <v>6692</v>
      </c>
      <c r="C2266" t="s">
        <v>54</v>
      </c>
      <c r="D2266" s="1">
        <v>45403</v>
      </c>
      <c r="E2266" t="s">
        <v>6693</v>
      </c>
      <c r="F2266" t="s">
        <v>13</v>
      </c>
      <c r="G2266" t="s">
        <v>14</v>
      </c>
      <c r="H2266" t="s">
        <v>15</v>
      </c>
      <c r="I2266" t="s">
        <v>238</v>
      </c>
    </row>
    <row r="2267" spans="1:9" x14ac:dyDescent="0.3">
      <c r="A2267" t="s">
        <v>6694</v>
      </c>
      <c r="B2267" t="s">
        <v>6695</v>
      </c>
      <c r="C2267" t="s">
        <v>29</v>
      </c>
      <c r="D2267" s="1">
        <v>45403</v>
      </c>
      <c r="E2267" t="s">
        <v>6696</v>
      </c>
      <c r="F2267" t="s">
        <v>13</v>
      </c>
      <c r="G2267" t="s">
        <v>14</v>
      </c>
      <c r="H2267" t="s">
        <v>15</v>
      </c>
      <c r="I2267" t="s">
        <v>81</v>
      </c>
    </row>
    <row r="2268" spans="1:9" x14ac:dyDescent="0.3">
      <c r="A2268" t="s">
        <v>6697</v>
      </c>
      <c r="B2268" t="s">
        <v>6698</v>
      </c>
      <c r="C2268" t="s">
        <v>11</v>
      </c>
      <c r="D2268" s="1">
        <v>45404</v>
      </c>
      <c r="E2268" t="s">
        <v>6699</v>
      </c>
      <c r="F2268" t="s">
        <v>13</v>
      </c>
      <c r="G2268" t="s">
        <v>14</v>
      </c>
      <c r="H2268" t="s">
        <v>15</v>
      </c>
      <c r="I2268" t="s">
        <v>16</v>
      </c>
    </row>
    <row r="2269" spans="1:9" x14ac:dyDescent="0.3">
      <c r="A2269" t="s">
        <v>6700</v>
      </c>
      <c r="B2269" t="s">
        <v>6701</v>
      </c>
      <c r="C2269" t="s">
        <v>11</v>
      </c>
      <c r="D2269" s="1">
        <v>45404</v>
      </c>
      <c r="E2269" t="s">
        <v>6702</v>
      </c>
      <c r="F2269" t="s">
        <v>13</v>
      </c>
      <c r="G2269" t="s">
        <v>14</v>
      </c>
      <c r="H2269" t="s">
        <v>15</v>
      </c>
      <c r="I2269" t="s">
        <v>38</v>
      </c>
    </row>
    <row r="2270" spans="1:9" x14ac:dyDescent="0.3">
      <c r="A2270" t="s">
        <v>6703</v>
      </c>
      <c r="B2270" t="s">
        <v>6704</v>
      </c>
      <c r="C2270" t="s">
        <v>29</v>
      </c>
      <c r="D2270" s="1">
        <v>45405</v>
      </c>
      <c r="E2270" t="s">
        <v>6705</v>
      </c>
      <c r="F2270" t="s">
        <v>13</v>
      </c>
      <c r="G2270" t="s">
        <v>14</v>
      </c>
      <c r="H2270" t="s">
        <v>15</v>
      </c>
      <c r="I2270" t="s">
        <v>42</v>
      </c>
    </row>
    <row r="2271" spans="1:9" x14ac:dyDescent="0.3">
      <c r="A2271" t="s">
        <v>6706</v>
      </c>
      <c r="B2271" t="s">
        <v>6707</v>
      </c>
      <c r="C2271" t="s">
        <v>24</v>
      </c>
      <c r="D2271" s="1">
        <v>45405</v>
      </c>
      <c r="E2271" t="s">
        <v>6708</v>
      </c>
      <c r="F2271" t="s">
        <v>13</v>
      </c>
      <c r="G2271" t="s">
        <v>14</v>
      </c>
      <c r="H2271" t="s">
        <v>15</v>
      </c>
      <c r="I2271" t="s">
        <v>26</v>
      </c>
    </row>
    <row r="2272" spans="1:9" x14ac:dyDescent="0.3">
      <c r="A2272" t="s">
        <v>6709</v>
      </c>
      <c r="B2272" t="s">
        <v>6710</v>
      </c>
      <c r="C2272" t="s">
        <v>33</v>
      </c>
      <c r="D2272" s="1">
        <v>45405</v>
      </c>
      <c r="E2272" t="s">
        <v>6711</v>
      </c>
      <c r="F2272" t="s">
        <v>13</v>
      </c>
      <c r="G2272" t="s">
        <v>14</v>
      </c>
      <c r="H2272" t="s">
        <v>15</v>
      </c>
      <c r="I2272" t="s">
        <v>94</v>
      </c>
    </row>
    <row r="2273" spans="1:9" x14ac:dyDescent="0.3">
      <c r="A2273" t="s">
        <v>6712</v>
      </c>
      <c r="B2273" t="s">
        <v>6713</v>
      </c>
      <c r="C2273" t="s">
        <v>11</v>
      </c>
      <c r="D2273" s="1">
        <v>45405</v>
      </c>
      <c r="E2273" t="s">
        <v>6714</v>
      </c>
      <c r="F2273" t="s">
        <v>13</v>
      </c>
      <c r="G2273" t="s">
        <v>14</v>
      </c>
      <c r="H2273" t="s">
        <v>15</v>
      </c>
      <c r="I2273" t="s">
        <v>16</v>
      </c>
    </row>
    <row r="2274" spans="1:9" x14ac:dyDescent="0.3">
      <c r="A2274" t="s">
        <v>6715</v>
      </c>
      <c r="B2274" t="s">
        <v>6716</v>
      </c>
      <c r="C2274" t="s">
        <v>19</v>
      </c>
      <c r="D2274" s="1">
        <v>45406</v>
      </c>
      <c r="E2274" t="s">
        <v>6717</v>
      </c>
      <c r="F2274" t="s">
        <v>13</v>
      </c>
      <c r="G2274" t="s">
        <v>14</v>
      </c>
      <c r="H2274" t="s">
        <v>15</v>
      </c>
      <c r="I2274" t="s">
        <v>21</v>
      </c>
    </row>
    <row r="2275" spans="1:9" x14ac:dyDescent="0.3">
      <c r="A2275" t="s">
        <v>6718</v>
      </c>
      <c r="B2275" t="s">
        <v>6719</v>
      </c>
      <c r="C2275" t="s">
        <v>11</v>
      </c>
      <c r="D2275" s="1">
        <v>45407</v>
      </c>
      <c r="E2275" t="s">
        <v>6720</v>
      </c>
      <c r="F2275" t="s">
        <v>13</v>
      </c>
      <c r="G2275" t="s">
        <v>14</v>
      </c>
      <c r="H2275" t="s">
        <v>15</v>
      </c>
      <c r="I2275" t="s">
        <v>185</v>
      </c>
    </row>
    <row r="2276" spans="1:9" x14ac:dyDescent="0.3">
      <c r="A2276" t="s">
        <v>6721</v>
      </c>
      <c r="B2276" t="s">
        <v>6722</v>
      </c>
      <c r="C2276" t="s">
        <v>54</v>
      </c>
      <c r="D2276" s="1">
        <v>45407</v>
      </c>
      <c r="E2276" t="s">
        <v>6723</v>
      </c>
      <c r="F2276" t="s">
        <v>13</v>
      </c>
      <c r="G2276" t="s">
        <v>14</v>
      </c>
      <c r="H2276" t="s">
        <v>15</v>
      </c>
      <c r="I2276" t="s">
        <v>238</v>
      </c>
    </row>
    <row r="2277" spans="1:9" x14ac:dyDescent="0.3">
      <c r="A2277" t="s">
        <v>6724</v>
      </c>
      <c r="B2277" t="s">
        <v>6725</v>
      </c>
      <c r="C2277" t="s">
        <v>33</v>
      </c>
      <c r="D2277" s="1">
        <v>45407</v>
      </c>
      <c r="E2277" t="s">
        <v>6726</v>
      </c>
      <c r="F2277" t="s">
        <v>13</v>
      </c>
      <c r="G2277" t="s">
        <v>14</v>
      </c>
      <c r="H2277" t="s">
        <v>15</v>
      </c>
      <c r="I2277" t="s">
        <v>51</v>
      </c>
    </row>
    <row r="2278" spans="1:9" x14ac:dyDescent="0.3">
      <c r="A2278" t="s">
        <v>6727</v>
      </c>
      <c r="B2278" t="s">
        <v>6728</v>
      </c>
      <c r="C2278" t="s">
        <v>45</v>
      </c>
      <c r="D2278" s="1">
        <v>45407</v>
      </c>
      <c r="E2278" t="s">
        <v>6729</v>
      </c>
      <c r="F2278" t="s">
        <v>13</v>
      </c>
      <c r="G2278" t="s">
        <v>14</v>
      </c>
      <c r="H2278" t="s">
        <v>15</v>
      </c>
    </row>
    <row r="2279" spans="1:9" x14ac:dyDescent="0.3">
      <c r="A2279" t="s">
        <v>6730</v>
      </c>
      <c r="B2279" t="s">
        <v>6731</v>
      </c>
      <c r="C2279" t="s">
        <v>29</v>
      </c>
      <c r="D2279" s="1">
        <v>45407</v>
      </c>
      <c r="E2279" t="s">
        <v>6732</v>
      </c>
      <c r="F2279" t="s">
        <v>13</v>
      </c>
      <c r="G2279" t="s">
        <v>14</v>
      </c>
      <c r="H2279" t="s">
        <v>15</v>
      </c>
    </row>
    <row r="2280" spans="1:9" x14ac:dyDescent="0.3">
      <c r="A2280" t="s">
        <v>6733</v>
      </c>
      <c r="B2280" t="s">
        <v>6734</v>
      </c>
      <c r="C2280" t="s">
        <v>69</v>
      </c>
      <c r="D2280" s="1">
        <v>45407</v>
      </c>
      <c r="E2280" t="s">
        <v>6735</v>
      </c>
      <c r="F2280" t="s">
        <v>13</v>
      </c>
      <c r="G2280" t="s">
        <v>14</v>
      </c>
      <c r="H2280" t="s">
        <v>15</v>
      </c>
      <c r="I2280" t="s">
        <v>71</v>
      </c>
    </row>
    <row r="2281" spans="1:9" x14ac:dyDescent="0.3">
      <c r="A2281" t="s">
        <v>6736</v>
      </c>
      <c r="B2281" t="s">
        <v>6737</v>
      </c>
      <c r="C2281" t="s">
        <v>29</v>
      </c>
      <c r="D2281" s="1">
        <v>45407</v>
      </c>
      <c r="E2281" t="s">
        <v>6738</v>
      </c>
      <c r="F2281" t="s">
        <v>13</v>
      </c>
      <c r="G2281" t="s">
        <v>14</v>
      </c>
      <c r="H2281" t="s">
        <v>15</v>
      </c>
      <c r="I2281" t="s">
        <v>42</v>
      </c>
    </row>
    <row r="2282" spans="1:9" x14ac:dyDescent="0.3">
      <c r="A2282" t="s">
        <v>6739</v>
      </c>
      <c r="B2282" t="s">
        <v>6740</v>
      </c>
      <c r="C2282" t="s">
        <v>69</v>
      </c>
      <c r="D2282" s="1">
        <v>45408</v>
      </c>
      <c r="E2282" t="s">
        <v>6741</v>
      </c>
      <c r="F2282" t="s">
        <v>13</v>
      </c>
      <c r="G2282" t="s">
        <v>14</v>
      </c>
      <c r="H2282" t="s">
        <v>15</v>
      </c>
      <c r="I2282" t="s">
        <v>71</v>
      </c>
    </row>
    <row r="2283" spans="1:9" x14ac:dyDescent="0.3">
      <c r="A2283" t="s">
        <v>6742</v>
      </c>
      <c r="B2283" t="s">
        <v>6743</v>
      </c>
      <c r="C2283" t="s">
        <v>45</v>
      </c>
      <c r="D2283" s="1">
        <v>45408</v>
      </c>
      <c r="E2283" t="s">
        <v>6744</v>
      </c>
      <c r="F2283" t="s">
        <v>13</v>
      </c>
      <c r="G2283" t="s">
        <v>14</v>
      </c>
      <c r="H2283" t="s">
        <v>15</v>
      </c>
      <c r="I2283" t="s">
        <v>248</v>
      </c>
    </row>
    <row r="2284" spans="1:9" x14ac:dyDescent="0.3">
      <c r="A2284" t="s">
        <v>6745</v>
      </c>
      <c r="B2284" t="s">
        <v>6746</v>
      </c>
      <c r="C2284" t="s">
        <v>33</v>
      </c>
      <c r="D2284" s="1">
        <v>45408</v>
      </c>
      <c r="E2284" t="s">
        <v>6747</v>
      </c>
      <c r="F2284" t="s">
        <v>13</v>
      </c>
      <c r="G2284" t="s">
        <v>14</v>
      </c>
      <c r="H2284" t="s">
        <v>15</v>
      </c>
      <c r="I2284" t="s">
        <v>51</v>
      </c>
    </row>
    <row r="2285" spans="1:9" x14ac:dyDescent="0.3">
      <c r="A2285" t="s">
        <v>6748</v>
      </c>
      <c r="B2285" t="s">
        <v>6749</v>
      </c>
      <c r="C2285" t="s">
        <v>11</v>
      </c>
      <c r="D2285" s="1">
        <v>45409</v>
      </c>
      <c r="E2285" t="s">
        <v>6750</v>
      </c>
      <c r="F2285" t="s">
        <v>13</v>
      </c>
      <c r="G2285" t="s">
        <v>14</v>
      </c>
      <c r="H2285" t="s">
        <v>15</v>
      </c>
    </row>
    <row r="2286" spans="1:9" x14ac:dyDescent="0.3">
      <c r="A2286" t="s">
        <v>6751</v>
      </c>
      <c r="B2286" t="s">
        <v>6752</v>
      </c>
      <c r="C2286" t="s">
        <v>33</v>
      </c>
      <c r="D2286" s="1">
        <v>45410</v>
      </c>
      <c r="E2286" t="s">
        <v>6753</v>
      </c>
      <c r="F2286" t="s">
        <v>13</v>
      </c>
      <c r="G2286" t="s">
        <v>14</v>
      </c>
      <c r="H2286" t="s">
        <v>15</v>
      </c>
      <c r="I2286" t="s">
        <v>51</v>
      </c>
    </row>
    <row r="2287" spans="1:9" x14ac:dyDescent="0.3">
      <c r="A2287" t="s">
        <v>6236</v>
      </c>
      <c r="B2287" t="s">
        <v>6754</v>
      </c>
      <c r="C2287" t="s">
        <v>19</v>
      </c>
      <c r="D2287" s="1">
        <v>45410</v>
      </c>
      <c r="E2287" t="s">
        <v>6755</v>
      </c>
      <c r="F2287" t="s">
        <v>13</v>
      </c>
      <c r="G2287" t="s">
        <v>14</v>
      </c>
      <c r="H2287" t="s">
        <v>15</v>
      </c>
    </row>
    <row r="2288" spans="1:9" x14ac:dyDescent="0.3">
      <c r="A2288" t="s">
        <v>6756</v>
      </c>
      <c r="B2288" t="s">
        <v>6757</v>
      </c>
      <c r="C2288" t="s">
        <v>29</v>
      </c>
      <c r="D2288" s="1">
        <v>45410</v>
      </c>
      <c r="E2288" t="s">
        <v>6758</v>
      </c>
      <c r="F2288" t="s">
        <v>13</v>
      </c>
      <c r="G2288" t="s">
        <v>14</v>
      </c>
      <c r="H2288" t="s">
        <v>15</v>
      </c>
      <c r="I2288" t="s">
        <v>204</v>
      </c>
    </row>
    <row r="2289" spans="1:9" x14ac:dyDescent="0.3">
      <c r="A2289" t="s">
        <v>6759</v>
      </c>
      <c r="B2289" t="s">
        <v>6760</v>
      </c>
      <c r="C2289" t="s">
        <v>29</v>
      </c>
      <c r="D2289" s="1">
        <v>45411</v>
      </c>
      <c r="E2289" t="s">
        <v>6761</v>
      </c>
      <c r="F2289" t="s">
        <v>13</v>
      </c>
      <c r="G2289" t="s">
        <v>14</v>
      </c>
      <c r="H2289" t="s">
        <v>15</v>
      </c>
      <c r="I2289" t="s">
        <v>204</v>
      </c>
    </row>
    <row r="2290" spans="1:9" x14ac:dyDescent="0.3">
      <c r="A2290" t="s">
        <v>6762</v>
      </c>
      <c r="B2290" t="s">
        <v>6763</v>
      </c>
      <c r="C2290" t="s">
        <v>33</v>
      </c>
      <c r="D2290" s="1">
        <v>45411</v>
      </c>
      <c r="E2290" t="s">
        <v>6764</v>
      </c>
      <c r="F2290" t="s">
        <v>13</v>
      </c>
      <c r="G2290" t="s">
        <v>14</v>
      </c>
      <c r="H2290" t="s">
        <v>15</v>
      </c>
    </row>
    <row r="2291" spans="1:9" x14ac:dyDescent="0.3">
      <c r="A2291" t="s">
        <v>6765</v>
      </c>
      <c r="B2291" t="s">
        <v>6766</v>
      </c>
      <c r="C2291" t="s">
        <v>33</v>
      </c>
      <c r="D2291" s="1">
        <v>45411</v>
      </c>
      <c r="E2291" t="s">
        <v>6767</v>
      </c>
      <c r="F2291" t="s">
        <v>13</v>
      </c>
      <c r="G2291" t="s">
        <v>14</v>
      </c>
      <c r="H2291" t="s">
        <v>15</v>
      </c>
      <c r="I2291" t="s">
        <v>51</v>
      </c>
    </row>
    <row r="2292" spans="1:9" x14ac:dyDescent="0.3">
      <c r="A2292" t="s">
        <v>6768</v>
      </c>
      <c r="B2292" t="s">
        <v>6769</v>
      </c>
      <c r="C2292" t="s">
        <v>33</v>
      </c>
      <c r="D2292" s="1">
        <v>45411</v>
      </c>
      <c r="E2292" t="s">
        <v>6770</v>
      </c>
      <c r="F2292" t="s">
        <v>13</v>
      </c>
      <c r="G2292" t="s">
        <v>14</v>
      </c>
      <c r="H2292" t="s">
        <v>15</v>
      </c>
      <c r="I2292" t="s">
        <v>94</v>
      </c>
    </row>
    <row r="2293" spans="1:9" x14ac:dyDescent="0.3">
      <c r="A2293" t="s">
        <v>6771</v>
      </c>
      <c r="B2293" t="s">
        <v>6772</v>
      </c>
      <c r="C2293" t="s">
        <v>29</v>
      </c>
      <c r="D2293" s="1">
        <v>45412</v>
      </c>
      <c r="E2293" t="s">
        <v>6773</v>
      </c>
      <c r="F2293" t="s">
        <v>13</v>
      </c>
      <c r="G2293" t="s">
        <v>14</v>
      </c>
      <c r="H2293" t="s">
        <v>15</v>
      </c>
      <c r="I2293" t="s">
        <v>204</v>
      </c>
    </row>
    <row r="2294" spans="1:9" x14ac:dyDescent="0.3">
      <c r="A2294" t="s">
        <v>6774</v>
      </c>
      <c r="B2294" t="s">
        <v>6775</v>
      </c>
      <c r="C2294" t="s">
        <v>19</v>
      </c>
      <c r="D2294" s="1">
        <v>45412</v>
      </c>
      <c r="E2294" t="s">
        <v>6776</v>
      </c>
      <c r="F2294" t="s">
        <v>13</v>
      </c>
      <c r="G2294" t="s">
        <v>14</v>
      </c>
      <c r="H2294" t="s">
        <v>15</v>
      </c>
      <c r="I2294" t="s">
        <v>116</v>
      </c>
    </row>
    <row r="2295" spans="1:9" x14ac:dyDescent="0.3">
      <c r="A2295" t="s">
        <v>6777</v>
      </c>
      <c r="B2295" t="s">
        <v>6778</v>
      </c>
      <c r="C2295" t="s">
        <v>29</v>
      </c>
      <c r="D2295" s="1">
        <v>45412</v>
      </c>
      <c r="E2295" t="s">
        <v>6779</v>
      </c>
      <c r="F2295" t="s">
        <v>13</v>
      </c>
      <c r="G2295" t="s">
        <v>14</v>
      </c>
      <c r="H2295" t="s">
        <v>15</v>
      </c>
      <c r="I2295" t="s">
        <v>81</v>
      </c>
    </row>
    <row r="2296" spans="1:9" x14ac:dyDescent="0.3">
      <c r="A2296" t="s">
        <v>6780</v>
      </c>
      <c r="B2296" t="s">
        <v>6781</v>
      </c>
      <c r="C2296" t="s">
        <v>54</v>
      </c>
      <c r="D2296" s="1">
        <v>45413</v>
      </c>
      <c r="E2296" t="s">
        <v>6782</v>
      </c>
      <c r="F2296" t="s">
        <v>13</v>
      </c>
      <c r="G2296" t="s">
        <v>14</v>
      </c>
      <c r="H2296" t="s">
        <v>15</v>
      </c>
      <c r="I2296" t="s">
        <v>238</v>
      </c>
    </row>
    <row r="2297" spans="1:9" x14ac:dyDescent="0.3">
      <c r="A2297" t="s">
        <v>6783</v>
      </c>
      <c r="B2297" t="s">
        <v>6784</v>
      </c>
      <c r="C2297" t="s">
        <v>19</v>
      </c>
      <c r="D2297" s="1">
        <v>45413</v>
      </c>
      <c r="E2297" t="s">
        <v>6785</v>
      </c>
      <c r="F2297" t="s">
        <v>13</v>
      </c>
      <c r="G2297" t="s">
        <v>14</v>
      </c>
      <c r="H2297" t="s">
        <v>15</v>
      </c>
      <c r="I2297" t="s">
        <v>21</v>
      </c>
    </row>
    <row r="2298" spans="1:9" x14ac:dyDescent="0.3">
      <c r="A2298" t="s">
        <v>6786</v>
      </c>
      <c r="B2298" t="s">
        <v>6787</v>
      </c>
      <c r="C2298" t="s">
        <v>11</v>
      </c>
      <c r="D2298" s="1">
        <v>45413</v>
      </c>
      <c r="E2298" t="s">
        <v>6788</v>
      </c>
      <c r="F2298" t="s">
        <v>13</v>
      </c>
      <c r="G2298" t="s">
        <v>14</v>
      </c>
      <c r="H2298" t="s">
        <v>15</v>
      </c>
    </row>
    <row r="2299" spans="1:9" x14ac:dyDescent="0.3">
      <c r="A2299" t="s">
        <v>6789</v>
      </c>
      <c r="B2299" t="s">
        <v>6790</v>
      </c>
      <c r="C2299" t="s">
        <v>69</v>
      </c>
      <c r="D2299" s="1">
        <v>45414</v>
      </c>
      <c r="E2299" t="s">
        <v>6791</v>
      </c>
      <c r="F2299" t="s">
        <v>13</v>
      </c>
      <c r="G2299" t="s">
        <v>14</v>
      </c>
      <c r="H2299" t="s">
        <v>15</v>
      </c>
      <c r="I2299" t="s">
        <v>71</v>
      </c>
    </row>
    <row r="2300" spans="1:9" x14ac:dyDescent="0.3">
      <c r="A2300" t="s">
        <v>6792</v>
      </c>
      <c r="B2300" t="s">
        <v>6793</v>
      </c>
      <c r="C2300" t="s">
        <v>69</v>
      </c>
      <c r="D2300" s="1">
        <v>45414</v>
      </c>
      <c r="E2300" t="s">
        <v>6794</v>
      </c>
      <c r="F2300" t="s">
        <v>13</v>
      </c>
      <c r="G2300" t="s">
        <v>14</v>
      </c>
      <c r="H2300" t="s">
        <v>15</v>
      </c>
      <c r="I2300" t="s">
        <v>71</v>
      </c>
    </row>
    <row r="2301" spans="1:9" x14ac:dyDescent="0.3">
      <c r="A2301" t="s">
        <v>6795</v>
      </c>
      <c r="B2301" t="s">
        <v>6796</v>
      </c>
      <c r="C2301" t="s">
        <v>33</v>
      </c>
      <c r="D2301" s="1">
        <v>45414</v>
      </c>
      <c r="E2301" t="s">
        <v>6797</v>
      </c>
      <c r="F2301" t="s">
        <v>13</v>
      </c>
      <c r="G2301" t="s">
        <v>14</v>
      </c>
      <c r="H2301" t="s">
        <v>15</v>
      </c>
      <c r="I2301" t="s">
        <v>94</v>
      </c>
    </row>
    <row r="2302" spans="1:9" x14ac:dyDescent="0.3">
      <c r="A2302" t="s">
        <v>6798</v>
      </c>
      <c r="B2302" t="s">
        <v>6799</v>
      </c>
      <c r="C2302" t="s">
        <v>69</v>
      </c>
      <c r="D2302" s="1">
        <v>45414</v>
      </c>
      <c r="E2302" t="s">
        <v>6800</v>
      </c>
      <c r="F2302" t="s">
        <v>13</v>
      </c>
      <c r="G2302" t="s">
        <v>14</v>
      </c>
      <c r="H2302" t="s">
        <v>15</v>
      </c>
      <c r="I2302" t="s">
        <v>71</v>
      </c>
    </row>
    <row r="2303" spans="1:9" x14ac:dyDescent="0.3">
      <c r="A2303" t="s">
        <v>6801</v>
      </c>
      <c r="B2303" t="s">
        <v>6802</v>
      </c>
      <c r="C2303" t="s">
        <v>69</v>
      </c>
      <c r="D2303" s="1">
        <v>45414</v>
      </c>
      <c r="E2303" t="s">
        <v>6803</v>
      </c>
      <c r="F2303" t="s">
        <v>13</v>
      </c>
      <c r="G2303" t="s">
        <v>14</v>
      </c>
      <c r="H2303" t="s">
        <v>15</v>
      </c>
      <c r="I2303" t="s">
        <v>71</v>
      </c>
    </row>
    <row r="2304" spans="1:9" x14ac:dyDescent="0.3">
      <c r="A2304" t="s">
        <v>6804</v>
      </c>
      <c r="B2304" t="s">
        <v>6805</v>
      </c>
      <c r="C2304" t="s">
        <v>33</v>
      </c>
      <c r="D2304" s="1">
        <v>45414</v>
      </c>
      <c r="E2304" t="s">
        <v>6806</v>
      </c>
      <c r="F2304" t="s">
        <v>13</v>
      </c>
      <c r="G2304" t="s">
        <v>14</v>
      </c>
      <c r="H2304" t="s">
        <v>15</v>
      </c>
      <c r="I2304" t="s">
        <v>94</v>
      </c>
    </row>
    <row r="2305" spans="1:9" x14ac:dyDescent="0.3">
      <c r="A2305" t="s">
        <v>6807</v>
      </c>
      <c r="B2305" t="s">
        <v>6808</v>
      </c>
      <c r="C2305" t="s">
        <v>69</v>
      </c>
      <c r="D2305" s="1">
        <v>45415</v>
      </c>
      <c r="E2305" t="s">
        <v>6809</v>
      </c>
      <c r="F2305" t="s">
        <v>13</v>
      </c>
      <c r="G2305" t="s">
        <v>14</v>
      </c>
      <c r="H2305" t="s">
        <v>15</v>
      </c>
    </row>
    <row r="2306" spans="1:9" x14ac:dyDescent="0.3">
      <c r="A2306" t="s">
        <v>6810</v>
      </c>
      <c r="B2306" t="s">
        <v>6811</v>
      </c>
      <c r="C2306" t="s">
        <v>69</v>
      </c>
      <c r="D2306" s="1">
        <v>45415</v>
      </c>
      <c r="E2306" t="s">
        <v>6812</v>
      </c>
      <c r="F2306" t="s">
        <v>13</v>
      </c>
      <c r="G2306" t="s">
        <v>14</v>
      </c>
      <c r="H2306" t="s">
        <v>15</v>
      </c>
      <c r="I2306" t="s">
        <v>71</v>
      </c>
    </row>
    <row r="2307" spans="1:9" x14ac:dyDescent="0.3">
      <c r="A2307" t="s">
        <v>6813</v>
      </c>
      <c r="B2307" t="s">
        <v>6814</v>
      </c>
      <c r="C2307" t="s">
        <v>33</v>
      </c>
      <c r="D2307" s="1">
        <v>45415</v>
      </c>
      <c r="E2307" t="s">
        <v>6815</v>
      </c>
      <c r="F2307" t="s">
        <v>13</v>
      </c>
      <c r="G2307" t="s">
        <v>14</v>
      </c>
      <c r="H2307" t="s">
        <v>15</v>
      </c>
    </row>
    <row r="2308" spans="1:9" x14ac:dyDescent="0.3">
      <c r="A2308" t="s">
        <v>6816</v>
      </c>
      <c r="B2308" t="s">
        <v>6817</v>
      </c>
      <c r="C2308" t="s">
        <v>29</v>
      </c>
      <c r="D2308" s="1">
        <v>45415</v>
      </c>
      <c r="E2308" t="s">
        <v>6818</v>
      </c>
      <c r="F2308" t="s">
        <v>13</v>
      </c>
      <c r="G2308" t="s">
        <v>14</v>
      </c>
      <c r="H2308" t="s">
        <v>15</v>
      </c>
      <c r="I2308" t="s">
        <v>81</v>
      </c>
    </row>
    <row r="2309" spans="1:9" x14ac:dyDescent="0.3">
      <c r="A2309" t="s">
        <v>6819</v>
      </c>
      <c r="B2309" t="s">
        <v>6820</v>
      </c>
      <c r="C2309" t="s">
        <v>69</v>
      </c>
      <c r="D2309" s="1">
        <v>45415</v>
      </c>
      <c r="E2309" t="s">
        <v>6821</v>
      </c>
      <c r="F2309" t="s">
        <v>13</v>
      </c>
      <c r="G2309" t="s">
        <v>14</v>
      </c>
      <c r="H2309" t="s">
        <v>15</v>
      </c>
      <c r="I2309" t="s">
        <v>71</v>
      </c>
    </row>
    <row r="2310" spans="1:9" x14ac:dyDescent="0.3">
      <c r="A2310" t="s">
        <v>6822</v>
      </c>
      <c r="B2310" t="s">
        <v>6823</v>
      </c>
      <c r="C2310" t="s">
        <v>33</v>
      </c>
      <c r="D2310" s="1">
        <v>45415</v>
      </c>
      <c r="E2310" t="s">
        <v>6824</v>
      </c>
      <c r="F2310" t="s">
        <v>13</v>
      </c>
      <c r="G2310" t="s">
        <v>14</v>
      </c>
      <c r="H2310" t="s">
        <v>15</v>
      </c>
      <c r="I2310" t="s">
        <v>51</v>
      </c>
    </row>
    <row r="2311" spans="1:9" x14ac:dyDescent="0.3">
      <c r="A2311" t="s">
        <v>6825</v>
      </c>
      <c r="B2311" t="s">
        <v>6826</v>
      </c>
      <c r="C2311" t="s">
        <v>29</v>
      </c>
      <c r="D2311" s="1">
        <v>45415</v>
      </c>
      <c r="E2311" t="s">
        <v>6827</v>
      </c>
      <c r="F2311" t="s">
        <v>13</v>
      </c>
      <c r="G2311" t="s">
        <v>14</v>
      </c>
      <c r="H2311" t="s">
        <v>15</v>
      </c>
      <c r="I2311" t="s">
        <v>42</v>
      </c>
    </row>
    <row r="2312" spans="1:9" x14ac:dyDescent="0.3">
      <c r="A2312" t="s">
        <v>6828</v>
      </c>
      <c r="B2312" t="s">
        <v>6829</v>
      </c>
      <c r="C2312" t="s">
        <v>69</v>
      </c>
      <c r="D2312" s="1">
        <v>45416</v>
      </c>
      <c r="E2312" t="s">
        <v>6830</v>
      </c>
      <c r="F2312" t="s">
        <v>13</v>
      </c>
      <c r="G2312" t="s">
        <v>14</v>
      </c>
      <c r="H2312" t="s">
        <v>15</v>
      </c>
      <c r="I2312" t="s">
        <v>71</v>
      </c>
    </row>
    <row r="2313" spans="1:9" x14ac:dyDescent="0.3">
      <c r="A2313" t="s">
        <v>6831</v>
      </c>
      <c r="B2313" t="s">
        <v>6832</v>
      </c>
      <c r="C2313" t="s">
        <v>69</v>
      </c>
      <c r="D2313" s="1">
        <v>45417</v>
      </c>
      <c r="E2313" t="s">
        <v>6833</v>
      </c>
      <c r="F2313" t="s">
        <v>13</v>
      </c>
      <c r="G2313" t="s">
        <v>14</v>
      </c>
      <c r="H2313" t="s">
        <v>15</v>
      </c>
    </row>
    <row r="2314" spans="1:9" x14ac:dyDescent="0.3">
      <c r="A2314" t="s">
        <v>5860</v>
      </c>
      <c r="B2314" t="s">
        <v>6834</v>
      </c>
      <c r="C2314" t="s">
        <v>19</v>
      </c>
      <c r="D2314" s="1">
        <v>45417</v>
      </c>
      <c r="E2314" t="s">
        <v>6835</v>
      </c>
      <c r="F2314" t="s">
        <v>13</v>
      </c>
      <c r="G2314" t="s">
        <v>14</v>
      </c>
      <c r="H2314" t="s">
        <v>15</v>
      </c>
      <c r="I2314" t="s">
        <v>116</v>
      </c>
    </row>
    <row r="2315" spans="1:9" x14ac:dyDescent="0.3">
      <c r="A2315" t="s">
        <v>6836</v>
      </c>
      <c r="B2315" t="s">
        <v>6837</v>
      </c>
      <c r="C2315" t="s">
        <v>33</v>
      </c>
      <c r="D2315" s="1">
        <v>45417</v>
      </c>
      <c r="E2315" t="s">
        <v>6838</v>
      </c>
      <c r="F2315" t="s">
        <v>13</v>
      </c>
      <c r="G2315" t="s">
        <v>14</v>
      </c>
      <c r="H2315" t="s">
        <v>15</v>
      </c>
    </row>
    <row r="2316" spans="1:9" x14ac:dyDescent="0.3">
      <c r="A2316" t="s">
        <v>6839</v>
      </c>
      <c r="B2316" t="s">
        <v>6840</v>
      </c>
      <c r="C2316" t="s">
        <v>45</v>
      </c>
      <c r="D2316" s="1">
        <v>45417</v>
      </c>
      <c r="E2316" t="s">
        <v>6841</v>
      </c>
      <c r="F2316" t="s">
        <v>13</v>
      </c>
      <c r="G2316" t="s">
        <v>14</v>
      </c>
      <c r="H2316" t="s">
        <v>15</v>
      </c>
      <c r="I2316" t="s">
        <v>47</v>
      </c>
    </row>
    <row r="2317" spans="1:9" x14ac:dyDescent="0.3">
      <c r="A2317" t="s">
        <v>6842</v>
      </c>
      <c r="B2317" t="s">
        <v>6843</v>
      </c>
      <c r="C2317" t="s">
        <v>33</v>
      </c>
      <c r="D2317" s="1">
        <v>45418</v>
      </c>
      <c r="E2317" t="s">
        <v>6844</v>
      </c>
      <c r="F2317" t="s">
        <v>13</v>
      </c>
      <c r="G2317" t="s">
        <v>14</v>
      </c>
      <c r="H2317" t="s">
        <v>15</v>
      </c>
      <c r="I2317" t="s">
        <v>94</v>
      </c>
    </row>
    <row r="2318" spans="1:9" x14ac:dyDescent="0.3">
      <c r="A2318" t="s">
        <v>6845</v>
      </c>
      <c r="B2318" t="s">
        <v>6846</v>
      </c>
      <c r="C2318" t="s">
        <v>24</v>
      </c>
      <c r="D2318" s="1">
        <v>45418</v>
      </c>
      <c r="E2318" t="s">
        <v>6847</v>
      </c>
      <c r="F2318" t="s">
        <v>13</v>
      </c>
      <c r="G2318" t="s">
        <v>14</v>
      </c>
      <c r="H2318" t="s">
        <v>15</v>
      </c>
    </row>
    <row r="2319" spans="1:9" x14ac:dyDescent="0.3">
      <c r="A2319" t="s">
        <v>6848</v>
      </c>
      <c r="B2319" t="s">
        <v>6849</v>
      </c>
      <c r="C2319" t="s">
        <v>11</v>
      </c>
      <c r="D2319" s="1">
        <v>45419</v>
      </c>
      <c r="E2319" t="s">
        <v>6850</v>
      </c>
      <c r="F2319" t="s">
        <v>13</v>
      </c>
      <c r="G2319" t="s">
        <v>14</v>
      </c>
      <c r="H2319" t="s">
        <v>15</v>
      </c>
      <c r="I2319" t="s">
        <v>185</v>
      </c>
    </row>
    <row r="2320" spans="1:9" x14ac:dyDescent="0.3">
      <c r="A2320" t="s">
        <v>6851</v>
      </c>
      <c r="B2320" t="s">
        <v>6852</v>
      </c>
      <c r="C2320" t="s">
        <v>69</v>
      </c>
      <c r="D2320" s="1">
        <v>45419</v>
      </c>
      <c r="E2320" t="s">
        <v>6853</v>
      </c>
      <c r="F2320" t="s">
        <v>13</v>
      </c>
      <c r="G2320" t="s">
        <v>14</v>
      </c>
      <c r="H2320" t="s">
        <v>15</v>
      </c>
      <c r="I2320" t="s">
        <v>71</v>
      </c>
    </row>
    <row r="2321" spans="1:9" x14ac:dyDescent="0.3">
      <c r="A2321" t="s">
        <v>6854</v>
      </c>
      <c r="B2321" t="s">
        <v>6855</v>
      </c>
      <c r="C2321" t="s">
        <v>11</v>
      </c>
      <c r="D2321" s="1">
        <v>45419</v>
      </c>
      <c r="E2321" t="s">
        <v>6856</v>
      </c>
      <c r="F2321" t="s">
        <v>13</v>
      </c>
      <c r="G2321" t="s">
        <v>14</v>
      </c>
      <c r="H2321" t="s">
        <v>15</v>
      </c>
      <c r="I2321" t="s">
        <v>185</v>
      </c>
    </row>
    <row r="2322" spans="1:9" x14ac:dyDescent="0.3">
      <c r="A2322" t="s">
        <v>6857</v>
      </c>
      <c r="B2322" t="s">
        <v>6858</v>
      </c>
      <c r="C2322" t="s">
        <v>45</v>
      </c>
      <c r="D2322" s="1">
        <v>45419</v>
      </c>
      <c r="E2322" t="s">
        <v>6859</v>
      </c>
      <c r="F2322" t="s">
        <v>13</v>
      </c>
      <c r="G2322" t="s">
        <v>14</v>
      </c>
      <c r="H2322" t="s">
        <v>15</v>
      </c>
      <c r="I2322" t="s">
        <v>47</v>
      </c>
    </row>
    <row r="2323" spans="1:9" x14ac:dyDescent="0.3">
      <c r="A2323" t="s">
        <v>6860</v>
      </c>
      <c r="B2323" t="s">
        <v>6861</v>
      </c>
      <c r="C2323" t="s">
        <v>29</v>
      </c>
      <c r="D2323" s="1">
        <v>45419</v>
      </c>
      <c r="E2323" t="s">
        <v>6862</v>
      </c>
      <c r="F2323" t="s">
        <v>13</v>
      </c>
      <c r="G2323" t="s">
        <v>14</v>
      </c>
      <c r="H2323" t="s">
        <v>15</v>
      </c>
      <c r="I2323" t="s">
        <v>42</v>
      </c>
    </row>
    <row r="2324" spans="1:9" x14ac:dyDescent="0.3">
      <c r="A2324" t="s">
        <v>6863</v>
      </c>
      <c r="B2324" t="s">
        <v>6864</v>
      </c>
      <c r="C2324" t="s">
        <v>19</v>
      </c>
      <c r="D2324" s="1">
        <v>45419</v>
      </c>
      <c r="E2324" t="s">
        <v>6865</v>
      </c>
      <c r="F2324" t="s">
        <v>13</v>
      </c>
      <c r="G2324" t="s">
        <v>14</v>
      </c>
      <c r="H2324" t="s">
        <v>15</v>
      </c>
      <c r="I2324" t="s">
        <v>116</v>
      </c>
    </row>
    <row r="2325" spans="1:9" x14ac:dyDescent="0.3">
      <c r="A2325" t="s">
        <v>6866</v>
      </c>
      <c r="B2325" t="s">
        <v>6867</v>
      </c>
      <c r="C2325" t="s">
        <v>33</v>
      </c>
      <c r="D2325" s="1">
        <v>45420</v>
      </c>
      <c r="E2325" t="s">
        <v>6868</v>
      </c>
      <c r="F2325" t="s">
        <v>13</v>
      </c>
      <c r="G2325" t="s">
        <v>14</v>
      </c>
      <c r="H2325" t="s">
        <v>15</v>
      </c>
      <c r="I2325" t="s">
        <v>94</v>
      </c>
    </row>
    <row r="2326" spans="1:9" x14ac:dyDescent="0.3">
      <c r="A2326" t="s">
        <v>6869</v>
      </c>
      <c r="B2326" t="s">
        <v>6870</v>
      </c>
      <c r="C2326" t="s">
        <v>11</v>
      </c>
      <c r="D2326" s="1">
        <v>45420</v>
      </c>
      <c r="E2326" t="s">
        <v>6871</v>
      </c>
      <c r="F2326" t="s">
        <v>13</v>
      </c>
      <c r="G2326" t="s">
        <v>14</v>
      </c>
      <c r="H2326" t="s">
        <v>15</v>
      </c>
      <c r="I2326" t="s">
        <v>16</v>
      </c>
    </row>
    <row r="2327" spans="1:9" x14ac:dyDescent="0.3">
      <c r="A2327" t="s">
        <v>6872</v>
      </c>
      <c r="B2327" t="s">
        <v>6873</v>
      </c>
      <c r="C2327" t="s">
        <v>11</v>
      </c>
      <c r="D2327" s="1">
        <v>45421</v>
      </c>
      <c r="E2327" t="s">
        <v>6874</v>
      </c>
      <c r="F2327" t="s">
        <v>13</v>
      </c>
      <c r="G2327" t="s">
        <v>14</v>
      </c>
      <c r="H2327" t="s">
        <v>15</v>
      </c>
      <c r="I2327" t="s">
        <v>185</v>
      </c>
    </row>
    <row r="2328" spans="1:9" x14ac:dyDescent="0.3">
      <c r="A2328" t="s">
        <v>6875</v>
      </c>
      <c r="B2328" t="s">
        <v>6876</v>
      </c>
      <c r="C2328" t="s">
        <v>45</v>
      </c>
      <c r="D2328" s="1">
        <v>45421</v>
      </c>
      <c r="E2328" t="s">
        <v>6877</v>
      </c>
      <c r="F2328" t="s">
        <v>13</v>
      </c>
      <c r="G2328" t="s">
        <v>14</v>
      </c>
      <c r="H2328" t="s">
        <v>15</v>
      </c>
    </row>
    <row r="2329" spans="1:9" x14ac:dyDescent="0.3">
      <c r="A2329" t="s">
        <v>6878</v>
      </c>
      <c r="B2329" t="s">
        <v>6879</v>
      </c>
      <c r="C2329" t="s">
        <v>69</v>
      </c>
      <c r="D2329" s="1">
        <v>45421</v>
      </c>
      <c r="E2329" t="s">
        <v>6880</v>
      </c>
      <c r="F2329" t="s">
        <v>13</v>
      </c>
      <c r="G2329" t="s">
        <v>14</v>
      </c>
      <c r="H2329" t="s">
        <v>15</v>
      </c>
      <c r="I2329" t="s">
        <v>71</v>
      </c>
    </row>
    <row r="2330" spans="1:9" x14ac:dyDescent="0.3">
      <c r="A2330" t="s">
        <v>6881</v>
      </c>
      <c r="B2330" t="s">
        <v>6882</v>
      </c>
      <c r="C2330" t="s">
        <v>45</v>
      </c>
      <c r="D2330" s="1">
        <v>45421</v>
      </c>
      <c r="E2330" t="s">
        <v>6883</v>
      </c>
      <c r="F2330" t="s">
        <v>13</v>
      </c>
      <c r="G2330" t="s">
        <v>14</v>
      </c>
      <c r="H2330" t="s">
        <v>15</v>
      </c>
    </row>
    <row r="2331" spans="1:9" x14ac:dyDescent="0.3">
      <c r="A2331" t="s">
        <v>6884</v>
      </c>
      <c r="B2331" t="s">
        <v>6885</v>
      </c>
      <c r="C2331" t="s">
        <v>19</v>
      </c>
      <c r="D2331" s="1">
        <v>45422</v>
      </c>
      <c r="E2331" t="s">
        <v>6886</v>
      </c>
      <c r="F2331" t="s">
        <v>13</v>
      </c>
      <c r="G2331" t="s">
        <v>14</v>
      </c>
      <c r="H2331" t="s">
        <v>15</v>
      </c>
      <c r="I2331" t="s">
        <v>21</v>
      </c>
    </row>
    <row r="2332" spans="1:9" x14ac:dyDescent="0.3">
      <c r="A2332" t="s">
        <v>6887</v>
      </c>
      <c r="B2332" t="s">
        <v>6888</v>
      </c>
      <c r="C2332" t="s">
        <v>33</v>
      </c>
      <c r="D2332" s="1">
        <v>45423</v>
      </c>
      <c r="E2332" t="s">
        <v>6889</v>
      </c>
      <c r="F2332" t="s">
        <v>13</v>
      </c>
      <c r="G2332" t="s">
        <v>14</v>
      </c>
      <c r="H2332" t="s">
        <v>15</v>
      </c>
      <c r="I2332" t="s">
        <v>94</v>
      </c>
    </row>
    <row r="2333" spans="1:9" x14ac:dyDescent="0.3">
      <c r="A2333" t="s">
        <v>6890</v>
      </c>
      <c r="B2333" t="s">
        <v>6891</v>
      </c>
      <c r="C2333" t="s">
        <v>45</v>
      </c>
      <c r="D2333" s="1">
        <v>45423</v>
      </c>
      <c r="E2333" t="s">
        <v>6892</v>
      </c>
      <c r="F2333" t="s">
        <v>13</v>
      </c>
      <c r="G2333" t="s">
        <v>14</v>
      </c>
      <c r="H2333" t="s">
        <v>15</v>
      </c>
      <c r="I2333" t="s">
        <v>248</v>
      </c>
    </row>
    <row r="2334" spans="1:9" x14ac:dyDescent="0.3">
      <c r="A2334" t="s">
        <v>6893</v>
      </c>
      <c r="B2334" t="s">
        <v>6894</v>
      </c>
      <c r="C2334" t="s">
        <v>54</v>
      </c>
      <c r="D2334" s="1">
        <v>45423</v>
      </c>
      <c r="E2334" t="s">
        <v>6895</v>
      </c>
      <c r="F2334" t="s">
        <v>13</v>
      </c>
      <c r="G2334" t="s">
        <v>14</v>
      </c>
      <c r="H2334" t="s">
        <v>15</v>
      </c>
      <c r="I2334" t="s">
        <v>181</v>
      </c>
    </row>
    <row r="2335" spans="1:9" x14ac:dyDescent="0.3">
      <c r="A2335" t="s">
        <v>6896</v>
      </c>
      <c r="B2335" t="s">
        <v>6897</v>
      </c>
      <c r="C2335" t="s">
        <v>69</v>
      </c>
      <c r="D2335" s="1">
        <v>45424</v>
      </c>
      <c r="E2335" t="s">
        <v>6898</v>
      </c>
      <c r="F2335" t="s">
        <v>13</v>
      </c>
      <c r="G2335" t="s">
        <v>14</v>
      </c>
      <c r="H2335" t="s">
        <v>15</v>
      </c>
      <c r="I2335" t="s">
        <v>71</v>
      </c>
    </row>
    <row r="2336" spans="1:9" x14ac:dyDescent="0.3">
      <c r="A2336" t="s">
        <v>6899</v>
      </c>
      <c r="B2336" t="s">
        <v>6900</v>
      </c>
      <c r="C2336" t="s">
        <v>29</v>
      </c>
      <c r="D2336" s="1">
        <v>45424</v>
      </c>
      <c r="E2336" t="s">
        <v>6901</v>
      </c>
      <c r="F2336" t="s">
        <v>13</v>
      </c>
      <c r="G2336" t="s">
        <v>174</v>
      </c>
      <c r="H2336" t="s">
        <v>15</v>
      </c>
      <c r="I2336" t="s">
        <v>42</v>
      </c>
    </row>
    <row r="2337" spans="1:9" x14ac:dyDescent="0.3">
      <c r="A2337" t="s">
        <v>6902</v>
      </c>
      <c r="B2337" t="s">
        <v>6903</v>
      </c>
      <c r="C2337" t="s">
        <v>33</v>
      </c>
      <c r="D2337" s="1">
        <v>45424</v>
      </c>
      <c r="E2337" t="s">
        <v>6904</v>
      </c>
      <c r="F2337" t="s">
        <v>13</v>
      </c>
      <c r="G2337" t="s">
        <v>174</v>
      </c>
      <c r="H2337" t="s">
        <v>15</v>
      </c>
      <c r="I2337" t="s">
        <v>51</v>
      </c>
    </row>
    <row r="2338" spans="1:9" x14ac:dyDescent="0.3">
      <c r="A2338" t="s">
        <v>6905</v>
      </c>
      <c r="B2338" t="s">
        <v>6906</v>
      </c>
      <c r="C2338" t="s">
        <v>29</v>
      </c>
      <c r="D2338" s="1">
        <v>45425</v>
      </c>
      <c r="E2338" t="s">
        <v>6907</v>
      </c>
      <c r="F2338" t="s">
        <v>13</v>
      </c>
      <c r="G2338" t="s">
        <v>14</v>
      </c>
      <c r="H2338" t="s">
        <v>15</v>
      </c>
      <c r="I2338" t="s">
        <v>81</v>
      </c>
    </row>
    <row r="2339" spans="1:9" x14ac:dyDescent="0.3">
      <c r="A2339" t="s">
        <v>6908</v>
      </c>
      <c r="B2339" t="s">
        <v>6909</v>
      </c>
      <c r="C2339" t="s">
        <v>45</v>
      </c>
      <c r="D2339" s="1">
        <v>45425</v>
      </c>
      <c r="E2339" t="s">
        <v>6910</v>
      </c>
      <c r="F2339" t="s">
        <v>13</v>
      </c>
      <c r="G2339" t="s">
        <v>14</v>
      </c>
      <c r="H2339" t="s">
        <v>15</v>
      </c>
      <c r="I2339" t="s">
        <v>248</v>
      </c>
    </row>
    <row r="2340" spans="1:9" x14ac:dyDescent="0.3">
      <c r="A2340" t="s">
        <v>6911</v>
      </c>
      <c r="B2340" t="s">
        <v>6912</v>
      </c>
      <c r="C2340" t="s">
        <v>11</v>
      </c>
      <c r="D2340" s="1">
        <v>45426</v>
      </c>
      <c r="E2340" t="s">
        <v>6913</v>
      </c>
      <c r="F2340" t="s">
        <v>13</v>
      </c>
      <c r="G2340" t="s">
        <v>14</v>
      </c>
      <c r="H2340" t="s">
        <v>15</v>
      </c>
      <c r="I2340" t="s">
        <v>38</v>
      </c>
    </row>
    <row r="2341" spans="1:9" x14ac:dyDescent="0.3">
      <c r="A2341" t="s">
        <v>6914</v>
      </c>
      <c r="B2341" t="s">
        <v>6915</v>
      </c>
      <c r="C2341" t="s">
        <v>45</v>
      </c>
      <c r="D2341" s="1">
        <v>45427</v>
      </c>
      <c r="E2341" t="s">
        <v>6916</v>
      </c>
      <c r="F2341" t="s">
        <v>13</v>
      </c>
      <c r="G2341" t="s">
        <v>14</v>
      </c>
      <c r="H2341" t="s">
        <v>15</v>
      </c>
      <c r="I2341" t="s">
        <v>248</v>
      </c>
    </row>
    <row r="2342" spans="1:9" x14ac:dyDescent="0.3">
      <c r="A2342" t="s">
        <v>6917</v>
      </c>
      <c r="B2342" t="s">
        <v>6918</v>
      </c>
      <c r="C2342" t="s">
        <v>19</v>
      </c>
      <c r="D2342" s="1">
        <v>45427</v>
      </c>
      <c r="E2342" t="s">
        <v>6919</v>
      </c>
      <c r="F2342" t="s">
        <v>13</v>
      </c>
      <c r="G2342" t="s">
        <v>14</v>
      </c>
      <c r="H2342" t="s">
        <v>15</v>
      </c>
      <c r="I2342" t="s">
        <v>21</v>
      </c>
    </row>
    <row r="2343" spans="1:9" x14ac:dyDescent="0.3">
      <c r="A2343" t="s">
        <v>6920</v>
      </c>
      <c r="B2343" t="s">
        <v>6921</v>
      </c>
      <c r="C2343" t="s">
        <v>33</v>
      </c>
      <c r="D2343" s="1">
        <v>45427</v>
      </c>
      <c r="E2343" t="s">
        <v>6922</v>
      </c>
      <c r="F2343" t="s">
        <v>13</v>
      </c>
      <c r="G2343" t="s">
        <v>14</v>
      </c>
      <c r="H2343" t="s">
        <v>15</v>
      </c>
    </row>
    <row r="2344" spans="1:9" x14ac:dyDescent="0.3">
      <c r="A2344" t="s">
        <v>6923</v>
      </c>
      <c r="B2344" t="s">
        <v>6924</v>
      </c>
      <c r="C2344" t="s">
        <v>24</v>
      </c>
      <c r="D2344" s="1">
        <v>45427</v>
      </c>
      <c r="E2344" t="s">
        <v>6925</v>
      </c>
      <c r="F2344" t="s">
        <v>13</v>
      </c>
      <c r="G2344" t="s">
        <v>14</v>
      </c>
      <c r="H2344" t="s">
        <v>15</v>
      </c>
      <c r="I2344" t="s">
        <v>63</v>
      </c>
    </row>
    <row r="2345" spans="1:9" x14ac:dyDescent="0.3">
      <c r="A2345" t="s">
        <v>6926</v>
      </c>
      <c r="B2345" t="s">
        <v>6927</v>
      </c>
      <c r="C2345" t="s">
        <v>29</v>
      </c>
      <c r="D2345" s="1">
        <v>45427</v>
      </c>
      <c r="E2345" t="s">
        <v>6928</v>
      </c>
      <c r="F2345" t="s">
        <v>13</v>
      </c>
      <c r="G2345" t="s">
        <v>14</v>
      </c>
      <c r="H2345" t="s">
        <v>15</v>
      </c>
      <c r="I2345" t="s">
        <v>81</v>
      </c>
    </row>
    <row r="2346" spans="1:9" x14ac:dyDescent="0.3">
      <c r="A2346" t="s">
        <v>6929</v>
      </c>
      <c r="B2346" t="s">
        <v>6930</v>
      </c>
      <c r="C2346" t="s">
        <v>69</v>
      </c>
      <c r="D2346" s="1">
        <v>45428</v>
      </c>
      <c r="E2346" t="s">
        <v>6931</v>
      </c>
      <c r="F2346" t="s">
        <v>13</v>
      </c>
      <c r="G2346" t="s">
        <v>14</v>
      </c>
      <c r="H2346" t="s">
        <v>15</v>
      </c>
      <c r="I2346" t="s">
        <v>71</v>
      </c>
    </row>
    <row r="2347" spans="1:9" x14ac:dyDescent="0.3">
      <c r="A2347" t="s">
        <v>6932</v>
      </c>
      <c r="B2347" t="s">
        <v>6933</v>
      </c>
      <c r="C2347" t="s">
        <v>69</v>
      </c>
      <c r="D2347" s="1">
        <v>45428</v>
      </c>
      <c r="E2347" t="s">
        <v>6934</v>
      </c>
      <c r="F2347" t="s">
        <v>13</v>
      </c>
      <c r="G2347" t="s">
        <v>14</v>
      </c>
      <c r="H2347" t="s">
        <v>15</v>
      </c>
      <c r="I2347" t="s">
        <v>71</v>
      </c>
    </row>
    <row r="2348" spans="1:9" x14ac:dyDescent="0.3">
      <c r="A2348" t="s">
        <v>6935</v>
      </c>
      <c r="B2348" t="s">
        <v>6936</v>
      </c>
      <c r="C2348" t="s">
        <v>69</v>
      </c>
      <c r="D2348" s="1">
        <v>45428</v>
      </c>
      <c r="E2348" t="s">
        <v>6937</v>
      </c>
      <c r="F2348" t="s">
        <v>13</v>
      </c>
      <c r="G2348" t="s">
        <v>14</v>
      </c>
      <c r="H2348" t="s">
        <v>15</v>
      </c>
      <c r="I2348" t="s">
        <v>71</v>
      </c>
    </row>
    <row r="2349" spans="1:9" x14ac:dyDescent="0.3">
      <c r="A2349" t="s">
        <v>6938</v>
      </c>
      <c r="B2349" t="s">
        <v>6939</v>
      </c>
      <c r="C2349" t="s">
        <v>11</v>
      </c>
      <c r="D2349" s="1">
        <v>45428</v>
      </c>
      <c r="E2349" t="s">
        <v>6940</v>
      </c>
      <c r="F2349" t="s">
        <v>13</v>
      </c>
      <c r="G2349" t="s">
        <v>174</v>
      </c>
      <c r="H2349" t="s">
        <v>15</v>
      </c>
      <c r="I2349" t="s">
        <v>16</v>
      </c>
    </row>
    <row r="2350" spans="1:9" x14ac:dyDescent="0.3">
      <c r="A2350" t="s">
        <v>6941</v>
      </c>
      <c r="B2350" t="s">
        <v>6942</v>
      </c>
      <c r="C2350" t="s">
        <v>45</v>
      </c>
      <c r="D2350" s="1">
        <v>45428</v>
      </c>
      <c r="E2350" t="s">
        <v>6943</v>
      </c>
      <c r="F2350" t="s">
        <v>13</v>
      </c>
      <c r="G2350" t="s">
        <v>14</v>
      </c>
      <c r="H2350" t="s">
        <v>15</v>
      </c>
      <c r="I2350" t="s">
        <v>248</v>
      </c>
    </row>
    <row r="2351" spans="1:9" x14ac:dyDescent="0.3">
      <c r="A2351" t="s">
        <v>6944</v>
      </c>
      <c r="B2351" t="s">
        <v>6945</v>
      </c>
      <c r="C2351" t="s">
        <v>69</v>
      </c>
      <c r="D2351" s="1">
        <v>45429</v>
      </c>
      <c r="E2351" t="s">
        <v>6946</v>
      </c>
      <c r="F2351" t="s">
        <v>13</v>
      </c>
      <c r="G2351" t="s">
        <v>14</v>
      </c>
      <c r="H2351" t="s">
        <v>15</v>
      </c>
      <c r="I2351" t="s">
        <v>71</v>
      </c>
    </row>
    <row r="2352" spans="1:9" x14ac:dyDescent="0.3">
      <c r="A2352" t="s">
        <v>6947</v>
      </c>
      <c r="B2352" t="s">
        <v>6948</v>
      </c>
      <c r="C2352" t="s">
        <v>45</v>
      </c>
      <c r="D2352" s="1">
        <v>45429</v>
      </c>
      <c r="E2352" t="s">
        <v>6949</v>
      </c>
      <c r="F2352" t="s">
        <v>13</v>
      </c>
      <c r="G2352" t="s">
        <v>14</v>
      </c>
      <c r="H2352" t="s">
        <v>15</v>
      </c>
      <c r="I2352" t="s">
        <v>248</v>
      </c>
    </row>
    <row r="2353" spans="1:9" x14ac:dyDescent="0.3">
      <c r="A2353" t="s">
        <v>6950</v>
      </c>
      <c r="B2353" t="s">
        <v>6951</v>
      </c>
      <c r="C2353" t="s">
        <v>24</v>
      </c>
      <c r="D2353" s="1">
        <v>45429</v>
      </c>
      <c r="E2353" t="s">
        <v>6952</v>
      </c>
      <c r="F2353" t="s">
        <v>13</v>
      </c>
      <c r="G2353" t="s">
        <v>14</v>
      </c>
      <c r="H2353" t="s">
        <v>15</v>
      </c>
      <c r="I2353" t="s">
        <v>59</v>
      </c>
    </row>
    <row r="2354" spans="1:9" x14ac:dyDescent="0.3">
      <c r="A2354" t="s">
        <v>6953</v>
      </c>
      <c r="B2354" t="s">
        <v>6954</v>
      </c>
      <c r="C2354" t="s">
        <v>19</v>
      </c>
      <c r="D2354" s="1">
        <v>45429</v>
      </c>
      <c r="E2354" t="s">
        <v>6955</v>
      </c>
      <c r="F2354" t="s">
        <v>13</v>
      </c>
      <c r="G2354" t="s">
        <v>14</v>
      </c>
      <c r="H2354" t="s">
        <v>15</v>
      </c>
      <c r="I2354" t="s">
        <v>21</v>
      </c>
    </row>
    <row r="2355" spans="1:9" x14ac:dyDescent="0.3">
      <c r="A2355" t="s">
        <v>6956</v>
      </c>
      <c r="B2355" t="s">
        <v>6957</v>
      </c>
      <c r="C2355" t="s">
        <v>54</v>
      </c>
      <c r="D2355" s="1">
        <v>45430</v>
      </c>
      <c r="E2355" t="s">
        <v>6958</v>
      </c>
      <c r="F2355" t="s">
        <v>13</v>
      </c>
      <c r="G2355" t="s">
        <v>14</v>
      </c>
      <c r="H2355" t="s">
        <v>15</v>
      </c>
      <c r="I2355" t="s">
        <v>181</v>
      </c>
    </row>
    <row r="2356" spans="1:9" x14ac:dyDescent="0.3">
      <c r="A2356" t="s">
        <v>6959</v>
      </c>
      <c r="B2356" t="s">
        <v>6960</v>
      </c>
      <c r="C2356" t="s">
        <v>69</v>
      </c>
      <c r="D2356" s="1">
        <v>45430</v>
      </c>
      <c r="E2356" t="s">
        <v>6961</v>
      </c>
      <c r="F2356" t="s">
        <v>13</v>
      </c>
      <c r="G2356" t="s">
        <v>14</v>
      </c>
      <c r="H2356" t="s">
        <v>15</v>
      </c>
      <c r="I2356" t="s">
        <v>71</v>
      </c>
    </row>
    <row r="2357" spans="1:9" x14ac:dyDescent="0.3">
      <c r="A2357" t="s">
        <v>6962</v>
      </c>
      <c r="B2357" t="s">
        <v>6963</v>
      </c>
      <c r="C2357" t="s">
        <v>33</v>
      </c>
      <c r="D2357" s="1">
        <v>45430</v>
      </c>
      <c r="E2357" t="s">
        <v>6964</v>
      </c>
      <c r="F2357" t="s">
        <v>13</v>
      </c>
      <c r="G2357" t="s">
        <v>14</v>
      </c>
      <c r="H2357" t="s">
        <v>15</v>
      </c>
      <c r="I2357" t="s">
        <v>51</v>
      </c>
    </row>
    <row r="2358" spans="1:9" x14ac:dyDescent="0.3">
      <c r="A2358" t="s">
        <v>6965</v>
      </c>
      <c r="B2358" t="s">
        <v>6966</v>
      </c>
      <c r="C2358" t="s">
        <v>33</v>
      </c>
      <c r="D2358" s="1">
        <v>45431</v>
      </c>
      <c r="E2358" t="s">
        <v>6967</v>
      </c>
      <c r="F2358" t="s">
        <v>13</v>
      </c>
      <c r="G2358" t="s">
        <v>14</v>
      </c>
      <c r="H2358" t="s">
        <v>15</v>
      </c>
      <c r="I2358" t="s">
        <v>51</v>
      </c>
    </row>
    <row r="2359" spans="1:9" x14ac:dyDescent="0.3">
      <c r="A2359" t="s">
        <v>6968</v>
      </c>
      <c r="B2359" t="s">
        <v>6969</v>
      </c>
      <c r="C2359" t="s">
        <v>69</v>
      </c>
      <c r="D2359" s="1">
        <v>45432</v>
      </c>
      <c r="E2359" t="s">
        <v>6970</v>
      </c>
      <c r="F2359" t="s">
        <v>13</v>
      </c>
      <c r="G2359" t="s">
        <v>14</v>
      </c>
      <c r="H2359" t="s">
        <v>15</v>
      </c>
      <c r="I2359" t="s">
        <v>71</v>
      </c>
    </row>
    <row r="2360" spans="1:9" x14ac:dyDescent="0.3">
      <c r="A2360" t="s">
        <v>6971</v>
      </c>
      <c r="B2360" t="s">
        <v>6972</v>
      </c>
      <c r="C2360" t="s">
        <v>45</v>
      </c>
      <c r="D2360" s="1">
        <v>45433</v>
      </c>
      <c r="E2360" t="s">
        <v>6973</v>
      </c>
      <c r="F2360" t="s">
        <v>13</v>
      </c>
      <c r="G2360" t="s">
        <v>14</v>
      </c>
      <c r="H2360" t="s">
        <v>15</v>
      </c>
      <c r="I2360" t="s">
        <v>248</v>
      </c>
    </row>
    <row r="2361" spans="1:9" x14ac:dyDescent="0.3">
      <c r="A2361" t="s">
        <v>6974</v>
      </c>
      <c r="B2361" t="s">
        <v>6975</v>
      </c>
      <c r="C2361" t="s">
        <v>33</v>
      </c>
      <c r="D2361" s="1">
        <v>45433</v>
      </c>
      <c r="E2361" t="s">
        <v>6976</v>
      </c>
      <c r="F2361" t="s">
        <v>13</v>
      </c>
      <c r="G2361" t="s">
        <v>14</v>
      </c>
      <c r="H2361" t="s">
        <v>15</v>
      </c>
      <c r="I2361" t="s">
        <v>94</v>
      </c>
    </row>
    <row r="2362" spans="1:9" x14ac:dyDescent="0.3">
      <c r="A2362" t="s">
        <v>6977</v>
      </c>
      <c r="B2362" t="s">
        <v>6978</v>
      </c>
      <c r="C2362" t="s">
        <v>11</v>
      </c>
      <c r="D2362" s="1">
        <v>45433</v>
      </c>
      <c r="E2362" t="s">
        <v>6979</v>
      </c>
      <c r="F2362" t="s">
        <v>13</v>
      </c>
      <c r="G2362" t="s">
        <v>14</v>
      </c>
      <c r="H2362" t="s">
        <v>15</v>
      </c>
    </row>
    <row r="2363" spans="1:9" x14ac:dyDescent="0.3">
      <c r="A2363" t="s">
        <v>6980</v>
      </c>
      <c r="B2363" t="s">
        <v>6981</v>
      </c>
      <c r="C2363" t="s">
        <v>54</v>
      </c>
      <c r="D2363" s="1">
        <v>45433</v>
      </c>
      <c r="E2363" t="s">
        <v>6982</v>
      </c>
      <c r="F2363" t="s">
        <v>13</v>
      </c>
      <c r="G2363" t="s">
        <v>14</v>
      </c>
      <c r="H2363" t="s">
        <v>15</v>
      </c>
    </row>
    <row r="2364" spans="1:9" x14ac:dyDescent="0.3">
      <c r="A2364" t="s">
        <v>6983</v>
      </c>
      <c r="B2364" t="s">
        <v>6984</v>
      </c>
      <c r="C2364" t="s">
        <v>11</v>
      </c>
      <c r="D2364" s="1">
        <v>45434</v>
      </c>
      <c r="E2364" t="s">
        <v>6985</v>
      </c>
      <c r="F2364" t="s">
        <v>13</v>
      </c>
      <c r="G2364" t="s">
        <v>14</v>
      </c>
      <c r="H2364" t="s">
        <v>15</v>
      </c>
      <c r="I2364" t="s">
        <v>16</v>
      </c>
    </row>
    <row r="2365" spans="1:9" x14ac:dyDescent="0.3">
      <c r="A2365" t="s">
        <v>6986</v>
      </c>
      <c r="B2365" t="s">
        <v>6987</v>
      </c>
      <c r="C2365" t="s">
        <v>24</v>
      </c>
      <c r="D2365" s="1">
        <v>45435</v>
      </c>
      <c r="E2365" t="s">
        <v>6988</v>
      </c>
      <c r="F2365" t="s">
        <v>13</v>
      </c>
      <c r="G2365" t="s">
        <v>14</v>
      </c>
      <c r="H2365" t="s">
        <v>15</v>
      </c>
    </row>
    <row r="2366" spans="1:9" x14ac:dyDescent="0.3">
      <c r="A2366" t="s">
        <v>6989</v>
      </c>
      <c r="B2366" t="s">
        <v>6990</v>
      </c>
      <c r="C2366" t="s">
        <v>29</v>
      </c>
      <c r="D2366" s="1">
        <v>45435</v>
      </c>
      <c r="E2366" t="s">
        <v>6991</v>
      </c>
      <c r="F2366" t="s">
        <v>13</v>
      </c>
      <c r="G2366" t="s">
        <v>14</v>
      </c>
      <c r="H2366" t="s">
        <v>15</v>
      </c>
      <c r="I2366" t="s">
        <v>204</v>
      </c>
    </row>
    <row r="2367" spans="1:9" x14ac:dyDescent="0.3">
      <c r="A2367" t="s">
        <v>6992</v>
      </c>
      <c r="B2367" t="s">
        <v>6993</v>
      </c>
      <c r="C2367" t="s">
        <v>69</v>
      </c>
      <c r="D2367" s="1">
        <v>45435</v>
      </c>
      <c r="E2367" t="s">
        <v>6994</v>
      </c>
      <c r="F2367" t="s">
        <v>13</v>
      </c>
      <c r="G2367" t="s">
        <v>14</v>
      </c>
      <c r="H2367" t="s">
        <v>15</v>
      </c>
      <c r="I2367" t="s">
        <v>71</v>
      </c>
    </row>
    <row r="2368" spans="1:9" x14ac:dyDescent="0.3">
      <c r="A2368" t="s">
        <v>6995</v>
      </c>
      <c r="B2368" t="s">
        <v>6996</v>
      </c>
      <c r="C2368" t="s">
        <v>11</v>
      </c>
      <c r="D2368" s="1">
        <v>45435</v>
      </c>
      <c r="E2368" t="s">
        <v>6997</v>
      </c>
      <c r="F2368" t="s">
        <v>13</v>
      </c>
      <c r="G2368" t="s">
        <v>14</v>
      </c>
      <c r="H2368" t="s">
        <v>15</v>
      </c>
      <c r="I2368" t="s">
        <v>185</v>
      </c>
    </row>
    <row r="2369" spans="1:9" x14ac:dyDescent="0.3">
      <c r="A2369" t="s">
        <v>6998</v>
      </c>
      <c r="B2369" t="s">
        <v>6999</v>
      </c>
      <c r="C2369" t="s">
        <v>19</v>
      </c>
      <c r="D2369" s="1">
        <v>45435</v>
      </c>
      <c r="E2369" t="s">
        <v>7000</v>
      </c>
      <c r="F2369" t="s">
        <v>13</v>
      </c>
      <c r="G2369" t="s">
        <v>14</v>
      </c>
      <c r="H2369" t="s">
        <v>15</v>
      </c>
    </row>
    <row r="2370" spans="1:9" x14ac:dyDescent="0.3">
      <c r="A2370" t="s">
        <v>7001</v>
      </c>
      <c r="B2370" t="s">
        <v>7002</v>
      </c>
      <c r="C2370" t="s">
        <v>29</v>
      </c>
      <c r="D2370" s="1">
        <v>45435</v>
      </c>
      <c r="E2370" t="s">
        <v>7003</v>
      </c>
      <c r="F2370" t="s">
        <v>13</v>
      </c>
      <c r="G2370" t="s">
        <v>14</v>
      </c>
      <c r="H2370" t="s">
        <v>15</v>
      </c>
      <c r="I2370" t="s">
        <v>42</v>
      </c>
    </row>
    <row r="2371" spans="1:9" x14ac:dyDescent="0.3">
      <c r="A2371" t="s">
        <v>7004</v>
      </c>
      <c r="B2371" t="s">
        <v>7005</v>
      </c>
      <c r="C2371" t="s">
        <v>29</v>
      </c>
      <c r="D2371" s="1">
        <v>45436</v>
      </c>
      <c r="E2371" t="s">
        <v>7006</v>
      </c>
      <c r="F2371" t="s">
        <v>13</v>
      </c>
      <c r="G2371" t="s">
        <v>14</v>
      </c>
      <c r="H2371" t="s">
        <v>15</v>
      </c>
      <c r="I2371" t="s">
        <v>42</v>
      </c>
    </row>
    <row r="2372" spans="1:9" x14ac:dyDescent="0.3">
      <c r="A2372" t="s">
        <v>7007</v>
      </c>
      <c r="B2372" t="s">
        <v>7008</v>
      </c>
      <c r="C2372" t="s">
        <v>29</v>
      </c>
      <c r="D2372" s="1">
        <v>45436</v>
      </c>
      <c r="E2372" t="s">
        <v>7009</v>
      </c>
      <c r="F2372" t="s">
        <v>13</v>
      </c>
      <c r="G2372" t="s">
        <v>14</v>
      </c>
      <c r="H2372" t="s">
        <v>15</v>
      </c>
      <c r="I2372" t="s">
        <v>42</v>
      </c>
    </row>
    <row r="2373" spans="1:9" x14ac:dyDescent="0.3">
      <c r="A2373" t="s">
        <v>7010</v>
      </c>
      <c r="B2373" t="s">
        <v>7011</v>
      </c>
      <c r="C2373" t="s">
        <v>11</v>
      </c>
      <c r="D2373" s="1">
        <v>45436</v>
      </c>
      <c r="E2373" t="s">
        <v>7012</v>
      </c>
      <c r="F2373" t="s">
        <v>13</v>
      </c>
      <c r="G2373" t="s">
        <v>14</v>
      </c>
      <c r="H2373" t="s">
        <v>15</v>
      </c>
    </row>
    <row r="2374" spans="1:9" x14ac:dyDescent="0.3">
      <c r="A2374" t="s">
        <v>7013</v>
      </c>
      <c r="B2374" t="s">
        <v>7014</v>
      </c>
      <c r="C2374" t="s">
        <v>29</v>
      </c>
      <c r="D2374" s="1">
        <v>45437</v>
      </c>
      <c r="E2374" t="s">
        <v>7015</v>
      </c>
      <c r="F2374" t="s">
        <v>13</v>
      </c>
      <c r="G2374" t="s">
        <v>14</v>
      </c>
      <c r="H2374" t="s">
        <v>15</v>
      </c>
      <c r="I2374" t="s">
        <v>204</v>
      </c>
    </row>
    <row r="2375" spans="1:9" x14ac:dyDescent="0.3">
      <c r="A2375" t="s">
        <v>7016</v>
      </c>
      <c r="B2375" t="s">
        <v>7017</v>
      </c>
      <c r="C2375" t="s">
        <v>69</v>
      </c>
      <c r="D2375" s="1">
        <v>45437</v>
      </c>
      <c r="E2375" t="s">
        <v>7018</v>
      </c>
      <c r="F2375" t="s">
        <v>13</v>
      </c>
      <c r="G2375" t="s">
        <v>14</v>
      </c>
      <c r="H2375" t="s">
        <v>15</v>
      </c>
      <c r="I2375" t="s">
        <v>71</v>
      </c>
    </row>
    <row r="2376" spans="1:9" x14ac:dyDescent="0.3">
      <c r="A2376" t="s">
        <v>7019</v>
      </c>
      <c r="B2376" t="s">
        <v>7020</v>
      </c>
      <c r="C2376" t="s">
        <v>45</v>
      </c>
      <c r="D2376" s="1">
        <v>45439</v>
      </c>
      <c r="E2376" t="s">
        <v>7021</v>
      </c>
      <c r="F2376" t="s">
        <v>13</v>
      </c>
      <c r="G2376" t="s">
        <v>14</v>
      </c>
      <c r="H2376" t="s">
        <v>15</v>
      </c>
      <c r="I2376" t="s">
        <v>248</v>
      </c>
    </row>
    <row r="2377" spans="1:9" x14ac:dyDescent="0.3">
      <c r="A2377" t="s">
        <v>7022</v>
      </c>
      <c r="B2377" t="s">
        <v>7023</v>
      </c>
      <c r="C2377" t="s">
        <v>24</v>
      </c>
      <c r="D2377" s="1">
        <v>45439</v>
      </c>
      <c r="E2377" t="s">
        <v>7024</v>
      </c>
      <c r="F2377" t="s">
        <v>13</v>
      </c>
      <c r="G2377" t="s">
        <v>14</v>
      </c>
      <c r="H2377" t="s">
        <v>15</v>
      </c>
      <c r="I2377" t="s">
        <v>26</v>
      </c>
    </row>
    <row r="2378" spans="1:9" x14ac:dyDescent="0.3">
      <c r="A2378" t="s">
        <v>7025</v>
      </c>
      <c r="B2378" t="s">
        <v>7026</v>
      </c>
      <c r="C2378" t="s">
        <v>69</v>
      </c>
      <c r="D2378" s="1">
        <v>45440</v>
      </c>
      <c r="E2378" t="s">
        <v>7027</v>
      </c>
      <c r="F2378" t="s">
        <v>13</v>
      </c>
      <c r="G2378" t="s">
        <v>174</v>
      </c>
      <c r="H2378" t="s">
        <v>15</v>
      </c>
      <c r="I2378" t="s">
        <v>71</v>
      </c>
    </row>
    <row r="2379" spans="1:9" x14ac:dyDescent="0.3">
      <c r="A2379" t="s">
        <v>7028</v>
      </c>
      <c r="B2379" t="s">
        <v>7029</v>
      </c>
      <c r="C2379" t="s">
        <v>24</v>
      </c>
      <c r="D2379" s="1">
        <v>45441</v>
      </c>
      <c r="E2379" t="s">
        <v>7030</v>
      </c>
      <c r="F2379" t="s">
        <v>13</v>
      </c>
      <c r="G2379" t="s">
        <v>14</v>
      </c>
      <c r="H2379" t="s">
        <v>15</v>
      </c>
      <c r="I2379" t="s">
        <v>26</v>
      </c>
    </row>
    <row r="2380" spans="1:9" x14ac:dyDescent="0.3">
      <c r="A2380" t="s">
        <v>7031</v>
      </c>
      <c r="B2380" t="s">
        <v>7032</v>
      </c>
      <c r="C2380" t="s">
        <v>33</v>
      </c>
      <c r="D2380" s="1">
        <v>45441</v>
      </c>
      <c r="E2380" t="s">
        <v>7033</v>
      </c>
      <c r="F2380" t="s">
        <v>13</v>
      </c>
      <c r="G2380" t="s">
        <v>14</v>
      </c>
      <c r="H2380" t="s">
        <v>15</v>
      </c>
      <c r="I2380" t="s">
        <v>94</v>
      </c>
    </row>
    <row r="2381" spans="1:9" x14ac:dyDescent="0.3">
      <c r="A2381" t="s">
        <v>7034</v>
      </c>
      <c r="B2381" t="s">
        <v>7035</v>
      </c>
      <c r="C2381" t="s">
        <v>54</v>
      </c>
      <c r="D2381" s="1">
        <v>45442</v>
      </c>
      <c r="E2381" t="s">
        <v>7036</v>
      </c>
      <c r="F2381" t="s">
        <v>13</v>
      </c>
      <c r="G2381" t="s">
        <v>14</v>
      </c>
      <c r="H2381" t="s">
        <v>15</v>
      </c>
      <c r="I2381" t="s">
        <v>238</v>
      </c>
    </row>
    <row r="2382" spans="1:9" x14ac:dyDescent="0.3">
      <c r="A2382" t="s">
        <v>7037</v>
      </c>
      <c r="B2382" t="s">
        <v>7038</v>
      </c>
      <c r="C2382" t="s">
        <v>69</v>
      </c>
      <c r="D2382" s="1">
        <v>45442</v>
      </c>
      <c r="E2382" t="s">
        <v>7039</v>
      </c>
      <c r="F2382" t="s">
        <v>13</v>
      </c>
      <c r="G2382" t="s">
        <v>14</v>
      </c>
      <c r="H2382" t="s">
        <v>15</v>
      </c>
    </row>
    <row r="2383" spans="1:9" x14ac:dyDescent="0.3">
      <c r="A2383" t="s">
        <v>7040</v>
      </c>
      <c r="B2383" t="s">
        <v>7041</v>
      </c>
      <c r="C2383" t="s">
        <v>29</v>
      </c>
      <c r="D2383" s="1">
        <v>45443</v>
      </c>
      <c r="E2383" t="s">
        <v>7042</v>
      </c>
      <c r="F2383" t="s">
        <v>13</v>
      </c>
      <c r="G2383" t="s">
        <v>14</v>
      </c>
      <c r="H2383" t="s">
        <v>15</v>
      </c>
      <c r="I2383" t="s">
        <v>81</v>
      </c>
    </row>
    <row r="2384" spans="1:9" x14ac:dyDescent="0.3">
      <c r="A2384" t="s">
        <v>7043</v>
      </c>
      <c r="B2384" t="s">
        <v>7044</v>
      </c>
      <c r="C2384" t="s">
        <v>11</v>
      </c>
      <c r="D2384" s="1">
        <v>45443</v>
      </c>
      <c r="E2384" t="s">
        <v>7045</v>
      </c>
      <c r="F2384" t="s">
        <v>13</v>
      </c>
      <c r="G2384" t="s">
        <v>14</v>
      </c>
      <c r="H2384" t="s">
        <v>15</v>
      </c>
      <c r="I2384" t="s">
        <v>16</v>
      </c>
    </row>
    <row r="2385" spans="1:9" x14ac:dyDescent="0.3">
      <c r="A2385" t="s">
        <v>7046</v>
      </c>
      <c r="B2385" t="s">
        <v>7047</v>
      </c>
      <c r="C2385" t="s">
        <v>69</v>
      </c>
      <c r="D2385" s="1">
        <v>45444</v>
      </c>
      <c r="E2385" t="s">
        <v>7048</v>
      </c>
      <c r="F2385" t="s">
        <v>13</v>
      </c>
      <c r="G2385" t="s">
        <v>14</v>
      </c>
      <c r="H2385" t="s">
        <v>15</v>
      </c>
      <c r="I2385" t="s">
        <v>71</v>
      </c>
    </row>
    <row r="2386" spans="1:9" x14ac:dyDescent="0.3">
      <c r="A2386" t="s">
        <v>7049</v>
      </c>
      <c r="B2386" t="s">
        <v>7050</v>
      </c>
      <c r="C2386" t="s">
        <v>24</v>
      </c>
      <c r="D2386" s="1">
        <v>45444</v>
      </c>
      <c r="E2386" t="s">
        <v>7051</v>
      </c>
      <c r="F2386" t="s">
        <v>13</v>
      </c>
      <c r="G2386" t="s">
        <v>14</v>
      </c>
      <c r="H2386" t="s">
        <v>15</v>
      </c>
    </row>
    <row r="2387" spans="1:9" x14ac:dyDescent="0.3">
      <c r="A2387" t="s">
        <v>7052</v>
      </c>
      <c r="B2387" t="s">
        <v>7053</v>
      </c>
      <c r="C2387" t="s">
        <v>45</v>
      </c>
      <c r="D2387" s="1">
        <v>45446</v>
      </c>
      <c r="E2387" t="s">
        <v>7054</v>
      </c>
      <c r="F2387" t="s">
        <v>13</v>
      </c>
      <c r="G2387" t="s">
        <v>14</v>
      </c>
      <c r="H2387" t="s">
        <v>15</v>
      </c>
    </row>
    <row r="2388" spans="1:9" x14ac:dyDescent="0.3">
      <c r="A2388" t="s">
        <v>7055</v>
      </c>
      <c r="B2388" t="s">
        <v>7056</v>
      </c>
      <c r="C2388" t="s">
        <v>69</v>
      </c>
      <c r="D2388" s="1">
        <v>45446</v>
      </c>
      <c r="E2388" t="s">
        <v>7057</v>
      </c>
      <c r="F2388" t="s">
        <v>13</v>
      </c>
      <c r="G2388" t="s">
        <v>14</v>
      </c>
      <c r="H2388" t="s">
        <v>15</v>
      </c>
      <c r="I2388" t="s">
        <v>71</v>
      </c>
    </row>
    <row r="2389" spans="1:9" x14ac:dyDescent="0.3">
      <c r="A2389" t="s">
        <v>7058</v>
      </c>
      <c r="B2389" t="s">
        <v>7059</v>
      </c>
      <c r="C2389" t="s">
        <v>33</v>
      </c>
      <c r="D2389" s="1">
        <v>45447</v>
      </c>
      <c r="E2389" t="s">
        <v>7060</v>
      </c>
      <c r="F2389" t="s">
        <v>13</v>
      </c>
      <c r="G2389" t="s">
        <v>14</v>
      </c>
      <c r="H2389" t="s">
        <v>15</v>
      </c>
      <c r="I2389" t="s">
        <v>51</v>
      </c>
    </row>
    <row r="2390" spans="1:9" x14ac:dyDescent="0.3">
      <c r="A2390" t="s">
        <v>7061</v>
      </c>
      <c r="B2390" t="s">
        <v>7062</v>
      </c>
      <c r="C2390" t="s">
        <v>11</v>
      </c>
      <c r="D2390" s="1">
        <v>45447</v>
      </c>
      <c r="E2390" t="s">
        <v>7063</v>
      </c>
      <c r="F2390" t="s">
        <v>13</v>
      </c>
      <c r="G2390" t="s">
        <v>14</v>
      </c>
      <c r="H2390" t="s">
        <v>15</v>
      </c>
      <c r="I2390" t="s">
        <v>16</v>
      </c>
    </row>
    <row r="2391" spans="1:9" x14ac:dyDescent="0.3">
      <c r="A2391" t="s">
        <v>7064</v>
      </c>
      <c r="B2391" t="s">
        <v>7065</v>
      </c>
      <c r="C2391" t="s">
        <v>69</v>
      </c>
      <c r="D2391" s="1">
        <v>45447</v>
      </c>
      <c r="E2391" t="s">
        <v>7066</v>
      </c>
      <c r="F2391" t="s">
        <v>13</v>
      </c>
      <c r="G2391" t="s">
        <v>14</v>
      </c>
      <c r="H2391" t="s">
        <v>15</v>
      </c>
    </row>
    <row r="2392" spans="1:9" x14ac:dyDescent="0.3">
      <c r="A2392" t="s">
        <v>7067</v>
      </c>
      <c r="B2392" t="s">
        <v>7068</v>
      </c>
      <c r="C2392" t="s">
        <v>33</v>
      </c>
      <c r="D2392" s="1">
        <v>45448</v>
      </c>
      <c r="E2392" t="s">
        <v>7069</v>
      </c>
      <c r="F2392" t="s">
        <v>13</v>
      </c>
      <c r="G2392" t="s">
        <v>14</v>
      </c>
      <c r="H2392" t="s">
        <v>15</v>
      </c>
    </row>
    <row r="2393" spans="1:9" x14ac:dyDescent="0.3">
      <c r="A2393" t="s">
        <v>7070</v>
      </c>
      <c r="B2393" t="s">
        <v>7071</v>
      </c>
      <c r="C2393" t="s">
        <v>29</v>
      </c>
      <c r="D2393" s="1">
        <v>45448</v>
      </c>
      <c r="E2393" t="s">
        <v>7072</v>
      </c>
      <c r="F2393" t="s">
        <v>13</v>
      </c>
      <c r="G2393" t="s">
        <v>14</v>
      </c>
      <c r="H2393" t="s">
        <v>15</v>
      </c>
      <c r="I2393" t="s">
        <v>204</v>
      </c>
    </row>
    <row r="2394" spans="1:9" x14ac:dyDescent="0.3">
      <c r="A2394" t="s">
        <v>7073</v>
      </c>
      <c r="B2394" t="s">
        <v>7074</v>
      </c>
      <c r="C2394" t="s">
        <v>69</v>
      </c>
      <c r="D2394" s="1">
        <v>45448</v>
      </c>
      <c r="E2394" t="s">
        <v>7075</v>
      </c>
      <c r="F2394" t="s">
        <v>13</v>
      </c>
      <c r="G2394" t="s">
        <v>14</v>
      </c>
      <c r="H2394" t="s">
        <v>15</v>
      </c>
      <c r="I2394" t="s">
        <v>71</v>
      </c>
    </row>
    <row r="2395" spans="1:9" x14ac:dyDescent="0.3">
      <c r="A2395" t="s">
        <v>7076</v>
      </c>
      <c r="B2395" t="s">
        <v>7077</v>
      </c>
      <c r="C2395" t="s">
        <v>24</v>
      </c>
      <c r="D2395" s="1">
        <v>45448</v>
      </c>
      <c r="E2395" t="s">
        <v>7078</v>
      </c>
      <c r="F2395" t="s">
        <v>13</v>
      </c>
      <c r="G2395" t="s">
        <v>14</v>
      </c>
      <c r="H2395" t="s">
        <v>15</v>
      </c>
      <c r="I2395" t="s">
        <v>63</v>
      </c>
    </row>
    <row r="2396" spans="1:9" x14ac:dyDescent="0.3">
      <c r="A2396" t="s">
        <v>7079</v>
      </c>
      <c r="B2396" t="s">
        <v>7080</v>
      </c>
      <c r="C2396" t="s">
        <v>29</v>
      </c>
      <c r="D2396" s="1">
        <v>45448</v>
      </c>
      <c r="E2396" t="s">
        <v>7081</v>
      </c>
      <c r="F2396" t="s">
        <v>13</v>
      </c>
      <c r="G2396" t="s">
        <v>14</v>
      </c>
      <c r="H2396" t="s">
        <v>15</v>
      </c>
      <c r="I2396" t="s">
        <v>81</v>
      </c>
    </row>
    <row r="2397" spans="1:9" x14ac:dyDescent="0.3">
      <c r="A2397" t="s">
        <v>7082</v>
      </c>
      <c r="B2397" t="s">
        <v>7083</v>
      </c>
      <c r="C2397" t="s">
        <v>54</v>
      </c>
      <c r="D2397" s="1">
        <v>45449</v>
      </c>
      <c r="E2397" t="s">
        <v>7084</v>
      </c>
      <c r="F2397" t="s">
        <v>13</v>
      </c>
      <c r="G2397" t="s">
        <v>14</v>
      </c>
      <c r="H2397" t="s">
        <v>15</v>
      </c>
      <c r="I2397" t="s">
        <v>238</v>
      </c>
    </row>
    <row r="2398" spans="1:9" x14ac:dyDescent="0.3">
      <c r="A2398" t="s">
        <v>7085</v>
      </c>
      <c r="B2398" t="s">
        <v>7086</v>
      </c>
      <c r="C2398" t="s">
        <v>45</v>
      </c>
      <c r="D2398" s="1">
        <v>45449</v>
      </c>
      <c r="E2398" t="s">
        <v>7087</v>
      </c>
      <c r="F2398" t="s">
        <v>13</v>
      </c>
      <c r="G2398" t="s">
        <v>14</v>
      </c>
      <c r="H2398" t="s">
        <v>15</v>
      </c>
    </row>
    <row r="2399" spans="1:9" x14ac:dyDescent="0.3">
      <c r="A2399" t="s">
        <v>7088</v>
      </c>
      <c r="B2399" t="s">
        <v>7089</v>
      </c>
      <c r="C2399" t="s">
        <v>54</v>
      </c>
      <c r="D2399" s="1">
        <v>45450</v>
      </c>
      <c r="E2399" t="s">
        <v>7090</v>
      </c>
      <c r="F2399" t="s">
        <v>13</v>
      </c>
      <c r="G2399" t="s">
        <v>14</v>
      </c>
      <c r="H2399" t="s">
        <v>15</v>
      </c>
    </row>
    <row r="2400" spans="1:9" x14ac:dyDescent="0.3">
      <c r="A2400" t="s">
        <v>7091</v>
      </c>
      <c r="B2400" t="s">
        <v>7092</v>
      </c>
      <c r="C2400" t="s">
        <v>45</v>
      </c>
      <c r="D2400" s="1">
        <v>45450</v>
      </c>
      <c r="E2400" t="s">
        <v>7093</v>
      </c>
      <c r="F2400" t="s">
        <v>13</v>
      </c>
      <c r="G2400" t="s">
        <v>14</v>
      </c>
      <c r="H2400" t="s">
        <v>15</v>
      </c>
      <c r="I2400" t="s">
        <v>248</v>
      </c>
    </row>
    <row r="2401" spans="1:9" x14ac:dyDescent="0.3">
      <c r="A2401" t="s">
        <v>7094</v>
      </c>
      <c r="B2401" t="s">
        <v>7095</v>
      </c>
      <c r="C2401" t="s">
        <v>24</v>
      </c>
      <c r="D2401" s="1">
        <v>45450</v>
      </c>
      <c r="E2401" t="s">
        <v>7096</v>
      </c>
      <c r="F2401" t="s">
        <v>13</v>
      </c>
      <c r="G2401" t="s">
        <v>14</v>
      </c>
      <c r="H2401" t="s">
        <v>15</v>
      </c>
      <c r="I2401" t="s">
        <v>26</v>
      </c>
    </row>
    <row r="2402" spans="1:9" x14ac:dyDescent="0.3">
      <c r="A2402" t="s">
        <v>7097</v>
      </c>
      <c r="B2402" t="s">
        <v>7098</v>
      </c>
      <c r="C2402" t="s">
        <v>54</v>
      </c>
      <c r="D2402" s="1">
        <v>45451</v>
      </c>
      <c r="E2402" t="s">
        <v>7099</v>
      </c>
      <c r="F2402" t="s">
        <v>13</v>
      </c>
      <c r="G2402" t="s">
        <v>14</v>
      </c>
      <c r="H2402" t="s">
        <v>15</v>
      </c>
      <c r="I2402" t="s">
        <v>181</v>
      </c>
    </row>
    <row r="2403" spans="1:9" x14ac:dyDescent="0.3">
      <c r="A2403" t="s">
        <v>7100</v>
      </c>
      <c r="B2403" t="s">
        <v>7101</v>
      </c>
      <c r="C2403" t="s">
        <v>29</v>
      </c>
      <c r="D2403" s="1">
        <v>45451</v>
      </c>
      <c r="E2403" t="s">
        <v>7102</v>
      </c>
      <c r="F2403" t="s">
        <v>13</v>
      </c>
      <c r="G2403" t="s">
        <v>14</v>
      </c>
      <c r="H2403" t="s">
        <v>15</v>
      </c>
      <c r="I2403" t="s">
        <v>42</v>
      </c>
    </row>
    <row r="2404" spans="1:9" x14ac:dyDescent="0.3">
      <c r="A2404" t="s">
        <v>7103</v>
      </c>
      <c r="B2404" t="s">
        <v>7104</v>
      </c>
      <c r="C2404" t="s">
        <v>33</v>
      </c>
      <c r="D2404" s="1">
        <v>45451</v>
      </c>
      <c r="E2404" t="s">
        <v>7105</v>
      </c>
      <c r="F2404" t="s">
        <v>13</v>
      </c>
      <c r="G2404" t="s">
        <v>14</v>
      </c>
      <c r="H2404" t="s">
        <v>15</v>
      </c>
    </row>
    <row r="2405" spans="1:9" x14ac:dyDescent="0.3">
      <c r="A2405" t="s">
        <v>7106</v>
      </c>
      <c r="B2405" t="s">
        <v>7107</v>
      </c>
      <c r="C2405" t="s">
        <v>45</v>
      </c>
      <c r="D2405" s="1">
        <v>45452</v>
      </c>
      <c r="E2405" t="s">
        <v>7108</v>
      </c>
      <c r="F2405" t="s">
        <v>13</v>
      </c>
      <c r="G2405" t="s">
        <v>14</v>
      </c>
      <c r="H2405" t="s">
        <v>15</v>
      </c>
      <c r="I2405" t="s">
        <v>248</v>
      </c>
    </row>
    <row r="2406" spans="1:9" x14ac:dyDescent="0.3">
      <c r="A2406" t="s">
        <v>7109</v>
      </c>
      <c r="B2406" t="s">
        <v>7110</v>
      </c>
      <c r="C2406" t="s">
        <v>29</v>
      </c>
      <c r="D2406" s="1">
        <v>45452</v>
      </c>
      <c r="E2406" t="s">
        <v>7111</v>
      </c>
      <c r="F2406" t="s">
        <v>13</v>
      </c>
      <c r="G2406" t="s">
        <v>14</v>
      </c>
      <c r="H2406" t="s">
        <v>15</v>
      </c>
      <c r="I2406" t="s">
        <v>42</v>
      </c>
    </row>
    <row r="2407" spans="1:9" x14ac:dyDescent="0.3">
      <c r="A2407" t="s">
        <v>7112</v>
      </c>
      <c r="B2407" t="s">
        <v>7113</v>
      </c>
      <c r="C2407" t="s">
        <v>24</v>
      </c>
      <c r="D2407" s="1">
        <v>45453</v>
      </c>
      <c r="E2407" t="s">
        <v>7114</v>
      </c>
      <c r="F2407" t="s">
        <v>13</v>
      </c>
      <c r="G2407" t="s">
        <v>174</v>
      </c>
      <c r="H2407" t="s">
        <v>15</v>
      </c>
    </row>
    <row r="2408" spans="1:9" x14ac:dyDescent="0.3">
      <c r="A2408" t="s">
        <v>7115</v>
      </c>
      <c r="B2408" t="s">
        <v>7116</v>
      </c>
      <c r="C2408" t="s">
        <v>29</v>
      </c>
      <c r="D2408" s="1">
        <v>45453</v>
      </c>
      <c r="E2408" t="s">
        <v>7117</v>
      </c>
      <c r="F2408" t="s">
        <v>13</v>
      </c>
      <c r="G2408" t="s">
        <v>14</v>
      </c>
      <c r="H2408" t="s">
        <v>15</v>
      </c>
      <c r="I2408" t="s">
        <v>42</v>
      </c>
    </row>
    <row r="2409" spans="1:9" x14ac:dyDescent="0.3">
      <c r="A2409" t="s">
        <v>7118</v>
      </c>
      <c r="B2409" t="s">
        <v>7119</v>
      </c>
      <c r="C2409" t="s">
        <v>19</v>
      </c>
      <c r="D2409" s="1">
        <v>45454</v>
      </c>
      <c r="E2409" t="s">
        <v>7120</v>
      </c>
      <c r="F2409" t="s">
        <v>13</v>
      </c>
      <c r="G2409" t="s">
        <v>14</v>
      </c>
      <c r="H2409" t="s">
        <v>15</v>
      </c>
      <c r="I2409" t="s">
        <v>116</v>
      </c>
    </row>
    <row r="2410" spans="1:9" x14ac:dyDescent="0.3">
      <c r="A2410" t="s">
        <v>7121</v>
      </c>
      <c r="B2410" t="s">
        <v>7122</v>
      </c>
      <c r="C2410" t="s">
        <v>29</v>
      </c>
      <c r="D2410" s="1">
        <v>45455</v>
      </c>
      <c r="E2410" t="s">
        <v>7123</v>
      </c>
      <c r="F2410" t="s">
        <v>13</v>
      </c>
      <c r="G2410" t="s">
        <v>14</v>
      </c>
      <c r="H2410" t="s">
        <v>15</v>
      </c>
      <c r="I2410" t="s">
        <v>81</v>
      </c>
    </row>
    <row r="2411" spans="1:9" x14ac:dyDescent="0.3">
      <c r="A2411" t="s">
        <v>7124</v>
      </c>
      <c r="B2411" t="s">
        <v>7125</v>
      </c>
      <c r="C2411" t="s">
        <v>29</v>
      </c>
      <c r="D2411" s="1">
        <v>45455</v>
      </c>
      <c r="E2411" t="s">
        <v>7126</v>
      </c>
      <c r="F2411" t="s">
        <v>13</v>
      </c>
      <c r="G2411" t="s">
        <v>14</v>
      </c>
      <c r="H2411" t="s">
        <v>15</v>
      </c>
      <c r="I2411" t="s">
        <v>81</v>
      </c>
    </row>
    <row r="2412" spans="1:9" x14ac:dyDescent="0.3">
      <c r="A2412" t="s">
        <v>7127</v>
      </c>
      <c r="B2412" t="s">
        <v>7128</v>
      </c>
      <c r="C2412" t="s">
        <v>19</v>
      </c>
      <c r="D2412" s="1">
        <v>45456</v>
      </c>
      <c r="E2412" t="s">
        <v>7129</v>
      </c>
      <c r="F2412" t="s">
        <v>13</v>
      </c>
      <c r="G2412" t="s">
        <v>14</v>
      </c>
      <c r="H2412" t="s">
        <v>15</v>
      </c>
      <c r="I2412" t="s">
        <v>116</v>
      </c>
    </row>
    <row r="2413" spans="1:9" x14ac:dyDescent="0.3">
      <c r="A2413" t="s">
        <v>7130</v>
      </c>
      <c r="B2413" t="s">
        <v>7131</v>
      </c>
      <c r="C2413" t="s">
        <v>45</v>
      </c>
      <c r="D2413" s="1">
        <v>45457</v>
      </c>
      <c r="E2413" t="s">
        <v>7132</v>
      </c>
      <c r="F2413" t="s">
        <v>13</v>
      </c>
      <c r="G2413" t="s">
        <v>14</v>
      </c>
      <c r="H2413" t="s">
        <v>15</v>
      </c>
    </row>
    <row r="2414" spans="1:9" x14ac:dyDescent="0.3">
      <c r="A2414" t="s">
        <v>7133</v>
      </c>
      <c r="B2414" t="s">
        <v>7134</v>
      </c>
      <c r="C2414" t="s">
        <v>33</v>
      </c>
      <c r="D2414" s="1">
        <v>45458</v>
      </c>
      <c r="E2414" t="s">
        <v>7135</v>
      </c>
      <c r="F2414" t="s">
        <v>13</v>
      </c>
      <c r="G2414" t="s">
        <v>14</v>
      </c>
      <c r="H2414" t="s">
        <v>15</v>
      </c>
      <c r="I2414" t="s">
        <v>94</v>
      </c>
    </row>
    <row r="2415" spans="1:9" x14ac:dyDescent="0.3">
      <c r="A2415" t="s">
        <v>7136</v>
      </c>
      <c r="B2415" t="s">
        <v>7137</v>
      </c>
      <c r="C2415" t="s">
        <v>69</v>
      </c>
      <c r="D2415" s="1">
        <v>45459</v>
      </c>
      <c r="E2415" t="s">
        <v>7138</v>
      </c>
      <c r="F2415" t="s">
        <v>13</v>
      </c>
      <c r="G2415" t="s">
        <v>14</v>
      </c>
      <c r="H2415" t="s">
        <v>15</v>
      </c>
    </row>
    <row r="2416" spans="1:9" x14ac:dyDescent="0.3">
      <c r="A2416" t="s">
        <v>7139</v>
      </c>
      <c r="B2416" t="s">
        <v>7140</v>
      </c>
      <c r="C2416" t="s">
        <v>45</v>
      </c>
      <c r="D2416" s="1">
        <v>45459</v>
      </c>
      <c r="E2416" t="s">
        <v>7141</v>
      </c>
      <c r="F2416" t="s">
        <v>13</v>
      </c>
      <c r="G2416" t="s">
        <v>14</v>
      </c>
      <c r="H2416" t="s">
        <v>15</v>
      </c>
    </row>
    <row r="2417" spans="1:9" x14ac:dyDescent="0.3">
      <c r="A2417" t="s">
        <v>7142</v>
      </c>
      <c r="B2417" t="s">
        <v>7143</v>
      </c>
      <c r="C2417" t="s">
        <v>33</v>
      </c>
      <c r="D2417" s="1">
        <v>45459</v>
      </c>
      <c r="E2417" t="s">
        <v>7144</v>
      </c>
      <c r="F2417" t="s">
        <v>13</v>
      </c>
      <c r="G2417" t="s">
        <v>14</v>
      </c>
      <c r="H2417" t="s">
        <v>15</v>
      </c>
      <c r="I2417" t="s">
        <v>51</v>
      </c>
    </row>
    <row r="2418" spans="1:9" x14ac:dyDescent="0.3">
      <c r="A2418" t="s">
        <v>7145</v>
      </c>
      <c r="B2418" t="s">
        <v>7146</v>
      </c>
      <c r="C2418" t="s">
        <v>11</v>
      </c>
      <c r="D2418" s="1">
        <v>45459</v>
      </c>
      <c r="E2418" t="s">
        <v>7147</v>
      </c>
      <c r="F2418" t="s">
        <v>13</v>
      </c>
      <c r="G2418" t="s">
        <v>14</v>
      </c>
      <c r="H2418" t="s">
        <v>15</v>
      </c>
      <c r="I2418" t="s">
        <v>38</v>
      </c>
    </row>
    <row r="2419" spans="1:9" x14ac:dyDescent="0.3">
      <c r="A2419" t="s">
        <v>7148</v>
      </c>
      <c r="B2419" t="s">
        <v>7149</v>
      </c>
      <c r="C2419" t="s">
        <v>24</v>
      </c>
      <c r="D2419" s="1">
        <v>45460</v>
      </c>
      <c r="E2419" t="s">
        <v>7150</v>
      </c>
      <c r="F2419" t="s">
        <v>13</v>
      </c>
      <c r="G2419" t="s">
        <v>14</v>
      </c>
      <c r="H2419" t="s">
        <v>15</v>
      </c>
      <c r="I2419" t="s">
        <v>63</v>
      </c>
    </row>
    <row r="2420" spans="1:9" x14ac:dyDescent="0.3">
      <c r="A2420" t="s">
        <v>7151</v>
      </c>
      <c r="B2420" t="s">
        <v>7152</v>
      </c>
      <c r="C2420" t="s">
        <v>45</v>
      </c>
      <c r="D2420" s="1">
        <v>45460</v>
      </c>
      <c r="E2420" t="s">
        <v>7153</v>
      </c>
      <c r="F2420" t="s">
        <v>13</v>
      </c>
      <c r="G2420" t="s">
        <v>14</v>
      </c>
      <c r="H2420" t="s">
        <v>15</v>
      </c>
      <c r="I2420" t="s">
        <v>248</v>
      </c>
    </row>
    <row r="2421" spans="1:9" x14ac:dyDescent="0.3">
      <c r="A2421" t="s">
        <v>7154</v>
      </c>
      <c r="B2421" t="s">
        <v>7155</v>
      </c>
      <c r="C2421" t="s">
        <v>45</v>
      </c>
      <c r="D2421" s="1">
        <v>45460</v>
      </c>
      <c r="E2421" t="s">
        <v>7156</v>
      </c>
      <c r="F2421" t="s">
        <v>13</v>
      </c>
      <c r="G2421" t="s">
        <v>14</v>
      </c>
      <c r="H2421" t="s">
        <v>15</v>
      </c>
    </row>
    <row r="2422" spans="1:9" x14ac:dyDescent="0.3">
      <c r="A2422" t="s">
        <v>7157</v>
      </c>
      <c r="B2422" t="s">
        <v>7158</v>
      </c>
      <c r="C2422" t="s">
        <v>19</v>
      </c>
      <c r="D2422" s="1">
        <v>45460</v>
      </c>
      <c r="E2422" t="s">
        <v>7159</v>
      </c>
      <c r="F2422" t="s">
        <v>13</v>
      </c>
      <c r="G2422" t="s">
        <v>14</v>
      </c>
      <c r="H2422" t="s">
        <v>15</v>
      </c>
    </row>
    <row r="2423" spans="1:9" x14ac:dyDescent="0.3">
      <c r="A2423" t="s">
        <v>7160</v>
      </c>
      <c r="B2423" t="s">
        <v>7161</v>
      </c>
      <c r="C2423" t="s">
        <v>24</v>
      </c>
      <c r="D2423" s="1">
        <v>45461</v>
      </c>
      <c r="E2423" t="s">
        <v>7162</v>
      </c>
      <c r="F2423" t="s">
        <v>13</v>
      </c>
      <c r="G2423" t="s">
        <v>14</v>
      </c>
      <c r="H2423" t="s">
        <v>15</v>
      </c>
      <c r="I2423" t="s">
        <v>26</v>
      </c>
    </row>
    <row r="2424" spans="1:9" x14ac:dyDescent="0.3">
      <c r="A2424" t="s">
        <v>7163</v>
      </c>
      <c r="B2424" t="s">
        <v>7164</v>
      </c>
      <c r="C2424" t="s">
        <v>33</v>
      </c>
      <c r="D2424" s="1">
        <v>45462</v>
      </c>
      <c r="E2424" t="s">
        <v>7165</v>
      </c>
      <c r="F2424" t="s">
        <v>13</v>
      </c>
      <c r="G2424" t="s">
        <v>14</v>
      </c>
      <c r="H2424" t="s">
        <v>15</v>
      </c>
      <c r="I2424" t="s">
        <v>94</v>
      </c>
    </row>
    <row r="2425" spans="1:9" x14ac:dyDescent="0.3">
      <c r="A2425" t="s">
        <v>7166</v>
      </c>
      <c r="B2425" t="s">
        <v>7167</v>
      </c>
      <c r="C2425" t="s">
        <v>69</v>
      </c>
      <c r="D2425" s="1">
        <v>45462</v>
      </c>
      <c r="E2425" t="s">
        <v>7168</v>
      </c>
      <c r="F2425" t="s">
        <v>13</v>
      </c>
      <c r="G2425" t="s">
        <v>14</v>
      </c>
      <c r="H2425" t="s">
        <v>15</v>
      </c>
      <c r="I2425" t="s">
        <v>71</v>
      </c>
    </row>
    <row r="2426" spans="1:9" x14ac:dyDescent="0.3">
      <c r="A2426" t="s">
        <v>7169</v>
      </c>
      <c r="B2426" t="s">
        <v>7170</v>
      </c>
      <c r="C2426" t="s">
        <v>45</v>
      </c>
      <c r="D2426" s="1">
        <v>45463</v>
      </c>
      <c r="E2426" t="s">
        <v>7171</v>
      </c>
      <c r="F2426" t="s">
        <v>13</v>
      </c>
      <c r="G2426" t="s">
        <v>14</v>
      </c>
      <c r="H2426" t="s">
        <v>15</v>
      </c>
      <c r="I2426" t="s">
        <v>248</v>
      </c>
    </row>
    <row r="2427" spans="1:9" x14ac:dyDescent="0.3">
      <c r="A2427" t="s">
        <v>7172</v>
      </c>
      <c r="B2427" t="s">
        <v>7173</v>
      </c>
      <c r="C2427" t="s">
        <v>45</v>
      </c>
      <c r="D2427" s="1">
        <v>45464</v>
      </c>
      <c r="E2427" t="s">
        <v>7174</v>
      </c>
      <c r="F2427" t="s">
        <v>13</v>
      </c>
      <c r="G2427" t="s">
        <v>14</v>
      </c>
      <c r="H2427" t="s">
        <v>15</v>
      </c>
      <c r="I2427" t="s">
        <v>248</v>
      </c>
    </row>
    <row r="2428" spans="1:9" x14ac:dyDescent="0.3">
      <c r="A2428" t="s">
        <v>7175</v>
      </c>
      <c r="B2428" t="s">
        <v>7176</v>
      </c>
      <c r="C2428" t="s">
        <v>54</v>
      </c>
      <c r="D2428" s="1">
        <v>45464</v>
      </c>
      <c r="E2428" t="s">
        <v>7177</v>
      </c>
      <c r="F2428" t="s">
        <v>13</v>
      </c>
      <c r="G2428" t="s">
        <v>14</v>
      </c>
      <c r="H2428" t="s">
        <v>15</v>
      </c>
      <c r="I2428" t="s">
        <v>181</v>
      </c>
    </row>
    <row r="2429" spans="1:9" x14ac:dyDescent="0.3">
      <c r="A2429" t="s">
        <v>7178</v>
      </c>
      <c r="B2429" t="s">
        <v>7179</v>
      </c>
      <c r="C2429" t="s">
        <v>24</v>
      </c>
      <c r="D2429" s="1">
        <v>45464</v>
      </c>
      <c r="E2429" t="s">
        <v>7180</v>
      </c>
      <c r="F2429" t="s">
        <v>13</v>
      </c>
      <c r="G2429" t="s">
        <v>14</v>
      </c>
      <c r="H2429" t="s">
        <v>15</v>
      </c>
    </row>
    <row r="2430" spans="1:9" x14ac:dyDescent="0.3">
      <c r="A2430" t="s">
        <v>7181</v>
      </c>
      <c r="B2430" t="s">
        <v>7182</v>
      </c>
      <c r="C2430" t="s">
        <v>69</v>
      </c>
      <c r="D2430" s="1">
        <v>45464</v>
      </c>
      <c r="E2430" t="s">
        <v>7183</v>
      </c>
      <c r="F2430" t="s">
        <v>13</v>
      </c>
      <c r="G2430" t="s">
        <v>14</v>
      </c>
      <c r="H2430" t="s">
        <v>15</v>
      </c>
      <c r="I2430" t="s">
        <v>71</v>
      </c>
    </row>
    <row r="2431" spans="1:9" x14ac:dyDescent="0.3">
      <c r="A2431" t="s">
        <v>7184</v>
      </c>
      <c r="B2431" t="s">
        <v>7185</v>
      </c>
      <c r="C2431" t="s">
        <v>24</v>
      </c>
      <c r="D2431" s="1">
        <v>45464</v>
      </c>
      <c r="E2431" t="s">
        <v>7186</v>
      </c>
      <c r="F2431" t="s">
        <v>13</v>
      </c>
      <c r="G2431" t="s">
        <v>14</v>
      </c>
      <c r="H2431" t="s">
        <v>15</v>
      </c>
      <c r="I2431" t="s">
        <v>26</v>
      </c>
    </row>
    <row r="2432" spans="1:9" x14ac:dyDescent="0.3">
      <c r="A2432" t="s">
        <v>7187</v>
      </c>
      <c r="B2432" t="s">
        <v>7188</v>
      </c>
      <c r="C2432" t="s">
        <v>24</v>
      </c>
      <c r="D2432" s="1">
        <v>45465</v>
      </c>
      <c r="E2432" t="s">
        <v>7189</v>
      </c>
      <c r="F2432" t="s">
        <v>13</v>
      </c>
      <c r="G2432" t="s">
        <v>14</v>
      </c>
      <c r="H2432" t="s">
        <v>15</v>
      </c>
      <c r="I2432" t="s">
        <v>26</v>
      </c>
    </row>
    <row r="2433" spans="1:9" x14ac:dyDescent="0.3">
      <c r="A2433" t="s">
        <v>7190</v>
      </c>
      <c r="B2433" t="s">
        <v>7191</v>
      </c>
      <c r="C2433" t="s">
        <v>11</v>
      </c>
      <c r="D2433" s="1">
        <v>45465</v>
      </c>
      <c r="E2433" t="s">
        <v>7192</v>
      </c>
      <c r="F2433" t="s">
        <v>13</v>
      </c>
      <c r="G2433" t="s">
        <v>14</v>
      </c>
      <c r="H2433" t="s">
        <v>15</v>
      </c>
      <c r="I2433" t="s">
        <v>16</v>
      </c>
    </row>
    <row r="2434" spans="1:9" x14ac:dyDescent="0.3">
      <c r="A2434" t="s">
        <v>7193</v>
      </c>
      <c r="B2434" t="s">
        <v>7194</v>
      </c>
      <c r="C2434" t="s">
        <v>11</v>
      </c>
      <c r="D2434" s="1">
        <v>45465</v>
      </c>
      <c r="E2434" t="s">
        <v>7195</v>
      </c>
      <c r="F2434" t="s">
        <v>13</v>
      </c>
      <c r="G2434" t="s">
        <v>14</v>
      </c>
      <c r="H2434" t="s">
        <v>15</v>
      </c>
      <c r="I2434" t="s">
        <v>38</v>
      </c>
    </row>
    <row r="2435" spans="1:9" x14ac:dyDescent="0.3">
      <c r="A2435" t="s">
        <v>7196</v>
      </c>
      <c r="B2435" t="s">
        <v>7197</v>
      </c>
      <c r="C2435" t="s">
        <v>11</v>
      </c>
      <c r="D2435" s="1">
        <v>45465</v>
      </c>
      <c r="E2435" t="s">
        <v>7198</v>
      </c>
      <c r="F2435" t="s">
        <v>13</v>
      </c>
      <c r="G2435" t="s">
        <v>14</v>
      </c>
      <c r="H2435" t="s">
        <v>15</v>
      </c>
    </row>
    <row r="2436" spans="1:9" x14ac:dyDescent="0.3">
      <c r="A2436" t="s">
        <v>7199</v>
      </c>
      <c r="B2436" t="s">
        <v>7200</v>
      </c>
      <c r="C2436" t="s">
        <v>69</v>
      </c>
      <c r="D2436" s="1">
        <v>45465</v>
      </c>
      <c r="E2436" t="s">
        <v>7201</v>
      </c>
      <c r="F2436" t="s">
        <v>13</v>
      </c>
      <c r="G2436" t="s">
        <v>14</v>
      </c>
      <c r="H2436" t="s">
        <v>15</v>
      </c>
      <c r="I2436" t="s">
        <v>71</v>
      </c>
    </row>
    <row r="2437" spans="1:9" x14ac:dyDescent="0.3">
      <c r="A2437" t="s">
        <v>7202</v>
      </c>
      <c r="B2437" t="s">
        <v>7203</v>
      </c>
      <c r="C2437" t="s">
        <v>69</v>
      </c>
      <c r="D2437" s="1">
        <v>45465</v>
      </c>
      <c r="E2437" t="s">
        <v>7204</v>
      </c>
      <c r="F2437" t="s">
        <v>13</v>
      </c>
      <c r="G2437" t="s">
        <v>14</v>
      </c>
      <c r="H2437" t="s">
        <v>15</v>
      </c>
    </row>
    <row r="2438" spans="1:9" x14ac:dyDescent="0.3">
      <c r="A2438" t="s">
        <v>7205</v>
      </c>
      <c r="B2438" t="s">
        <v>7206</v>
      </c>
      <c r="C2438" t="s">
        <v>54</v>
      </c>
      <c r="D2438" s="1">
        <v>45466</v>
      </c>
      <c r="E2438" t="s">
        <v>7207</v>
      </c>
      <c r="F2438" t="s">
        <v>13</v>
      </c>
      <c r="G2438" t="s">
        <v>14</v>
      </c>
      <c r="H2438" t="s">
        <v>15</v>
      </c>
      <c r="I2438" t="s">
        <v>238</v>
      </c>
    </row>
    <row r="2439" spans="1:9" x14ac:dyDescent="0.3">
      <c r="A2439" t="s">
        <v>7208</v>
      </c>
      <c r="B2439" t="s">
        <v>7209</v>
      </c>
      <c r="C2439" t="s">
        <v>24</v>
      </c>
      <c r="D2439" s="1">
        <v>45466</v>
      </c>
      <c r="E2439" t="s">
        <v>7210</v>
      </c>
      <c r="F2439" t="s">
        <v>13</v>
      </c>
      <c r="G2439" t="s">
        <v>14</v>
      </c>
      <c r="H2439" t="s">
        <v>15</v>
      </c>
      <c r="I2439" t="s">
        <v>26</v>
      </c>
    </row>
    <row r="2440" spans="1:9" x14ac:dyDescent="0.3">
      <c r="A2440" t="s">
        <v>7211</v>
      </c>
      <c r="B2440" t="s">
        <v>7212</v>
      </c>
      <c r="C2440" t="s">
        <v>45</v>
      </c>
      <c r="D2440" s="1">
        <v>45466</v>
      </c>
      <c r="E2440" t="s">
        <v>7213</v>
      </c>
      <c r="F2440" t="s">
        <v>13</v>
      </c>
      <c r="G2440" t="s">
        <v>14</v>
      </c>
      <c r="H2440" t="s">
        <v>15</v>
      </c>
      <c r="I2440" t="s">
        <v>47</v>
      </c>
    </row>
    <row r="2441" spans="1:9" x14ac:dyDescent="0.3">
      <c r="A2441" t="s">
        <v>7214</v>
      </c>
      <c r="B2441" t="s">
        <v>7215</v>
      </c>
      <c r="C2441" t="s">
        <v>54</v>
      </c>
      <c r="D2441" s="1">
        <v>45466</v>
      </c>
      <c r="E2441" t="s">
        <v>7216</v>
      </c>
      <c r="F2441" t="s">
        <v>13</v>
      </c>
      <c r="G2441" t="s">
        <v>14</v>
      </c>
      <c r="H2441" t="s">
        <v>15</v>
      </c>
      <c r="I2441" t="s">
        <v>238</v>
      </c>
    </row>
    <row r="2442" spans="1:9" x14ac:dyDescent="0.3">
      <c r="A2442" t="s">
        <v>7217</v>
      </c>
      <c r="B2442" t="s">
        <v>7218</v>
      </c>
      <c r="C2442" t="s">
        <v>33</v>
      </c>
      <c r="D2442" s="1">
        <v>45466</v>
      </c>
      <c r="E2442" t="s">
        <v>7219</v>
      </c>
      <c r="F2442" t="s">
        <v>13</v>
      </c>
      <c r="G2442" t="s">
        <v>14</v>
      </c>
      <c r="H2442" t="s">
        <v>15</v>
      </c>
      <c r="I2442" t="s">
        <v>51</v>
      </c>
    </row>
    <row r="2443" spans="1:9" x14ac:dyDescent="0.3">
      <c r="A2443" t="s">
        <v>7220</v>
      </c>
      <c r="B2443" t="s">
        <v>7221</v>
      </c>
      <c r="C2443" t="s">
        <v>29</v>
      </c>
      <c r="D2443" s="1">
        <v>45467</v>
      </c>
      <c r="E2443" t="s">
        <v>7222</v>
      </c>
      <c r="F2443" t="s">
        <v>13</v>
      </c>
      <c r="G2443" t="s">
        <v>14</v>
      </c>
      <c r="H2443" t="s">
        <v>15</v>
      </c>
      <c r="I2443" t="s">
        <v>204</v>
      </c>
    </row>
    <row r="2444" spans="1:9" x14ac:dyDescent="0.3">
      <c r="A2444" t="s">
        <v>7223</v>
      </c>
      <c r="B2444" t="s">
        <v>7224</v>
      </c>
      <c r="C2444" t="s">
        <v>45</v>
      </c>
      <c r="D2444" s="1">
        <v>45467</v>
      </c>
      <c r="E2444" t="s">
        <v>7225</v>
      </c>
      <c r="F2444" t="s">
        <v>13</v>
      </c>
      <c r="G2444" t="s">
        <v>14</v>
      </c>
      <c r="H2444" t="s">
        <v>15</v>
      </c>
    </row>
    <row r="2445" spans="1:9" x14ac:dyDescent="0.3">
      <c r="A2445" t="s">
        <v>7226</v>
      </c>
      <c r="B2445" t="s">
        <v>7227</v>
      </c>
      <c r="C2445" t="s">
        <v>54</v>
      </c>
      <c r="D2445" s="1">
        <v>45467</v>
      </c>
      <c r="E2445" t="s">
        <v>7228</v>
      </c>
      <c r="F2445" t="s">
        <v>13</v>
      </c>
      <c r="G2445" t="s">
        <v>14</v>
      </c>
      <c r="H2445" t="s">
        <v>15</v>
      </c>
      <c r="I2445" t="s">
        <v>238</v>
      </c>
    </row>
    <row r="2446" spans="1:9" x14ac:dyDescent="0.3">
      <c r="A2446" t="s">
        <v>7229</v>
      </c>
      <c r="B2446" t="s">
        <v>7230</v>
      </c>
      <c r="C2446" t="s">
        <v>45</v>
      </c>
      <c r="D2446" s="1">
        <v>45468</v>
      </c>
      <c r="E2446" t="s">
        <v>7231</v>
      </c>
      <c r="F2446" t="s">
        <v>13</v>
      </c>
      <c r="G2446" t="s">
        <v>14</v>
      </c>
      <c r="H2446" t="s">
        <v>15</v>
      </c>
    </row>
    <row r="2447" spans="1:9" x14ac:dyDescent="0.3">
      <c r="A2447" t="s">
        <v>7232</v>
      </c>
      <c r="B2447" t="s">
        <v>7233</v>
      </c>
      <c r="C2447" t="s">
        <v>33</v>
      </c>
      <c r="D2447" s="1">
        <v>45468</v>
      </c>
      <c r="E2447" t="s">
        <v>7234</v>
      </c>
      <c r="F2447" t="s">
        <v>13</v>
      </c>
      <c r="G2447" t="s">
        <v>14</v>
      </c>
      <c r="H2447" t="s">
        <v>15</v>
      </c>
      <c r="I2447" t="s">
        <v>51</v>
      </c>
    </row>
    <row r="2448" spans="1:9" x14ac:dyDescent="0.3">
      <c r="A2448" t="s">
        <v>7235</v>
      </c>
      <c r="B2448" t="s">
        <v>7236</v>
      </c>
      <c r="C2448" t="s">
        <v>54</v>
      </c>
      <c r="D2448" s="1">
        <v>45468</v>
      </c>
      <c r="E2448" t="s">
        <v>7237</v>
      </c>
      <c r="F2448" t="s">
        <v>13</v>
      </c>
      <c r="G2448" t="s">
        <v>14</v>
      </c>
      <c r="H2448" t="s">
        <v>15</v>
      </c>
      <c r="I2448" t="s">
        <v>238</v>
      </c>
    </row>
    <row r="2449" spans="1:9" x14ac:dyDescent="0.3">
      <c r="A2449" t="s">
        <v>7238</v>
      </c>
      <c r="B2449" t="s">
        <v>7239</v>
      </c>
      <c r="C2449" t="s">
        <v>33</v>
      </c>
      <c r="D2449" s="1">
        <v>45468</v>
      </c>
      <c r="E2449" t="s">
        <v>7240</v>
      </c>
      <c r="F2449" t="s">
        <v>13</v>
      </c>
      <c r="G2449" t="s">
        <v>14</v>
      </c>
      <c r="H2449" t="s">
        <v>15</v>
      </c>
    </row>
    <row r="2450" spans="1:9" x14ac:dyDescent="0.3">
      <c r="A2450" t="s">
        <v>6179</v>
      </c>
      <c r="B2450" t="s">
        <v>7241</v>
      </c>
      <c r="C2450" t="s">
        <v>19</v>
      </c>
      <c r="D2450" s="1">
        <v>45469</v>
      </c>
      <c r="E2450" t="s">
        <v>7242</v>
      </c>
      <c r="F2450" t="s">
        <v>13</v>
      </c>
      <c r="G2450" t="s">
        <v>14</v>
      </c>
      <c r="H2450" t="s">
        <v>15</v>
      </c>
      <c r="I2450" t="s">
        <v>21</v>
      </c>
    </row>
    <row r="2451" spans="1:9" x14ac:dyDescent="0.3">
      <c r="A2451" t="s">
        <v>7243</v>
      </c>
      <c r="B2451" t="s">
        <v>7244</v>
      </c>
      <c r="C2451" t="s">
        <v>45</v>
      </c>
      <c r="D2451" s="1">
        <v>45469</v>
      </c>
      <c r="E2451" t="s">
        <v>7245</v>
      </c>
      <c r="F2451" t="s">
        <v>13</v>
      </c>
      <c r="G2451" t="s">
        <v>14</v>
      </c>
      <c r="H2451" t="s">
        <v>15</v>
      </c>
      <c r="I2451" t="s">
        <v>248</v>
      </c>
    </row>
    <row r="2452" spans="1:9" x14ac:dyDescent="0.3">
      <c r="A2452" t="s">
        <v>7246</v>
      </c>
      <c r="B2452" t="s">
        <v>7247</v>
      </c>
      <c r="C2452" t="s">
        <v>45</v>
      </c>
      <c r="D2452" s="1">
        <v>45469</v>
      </c>
      <c r="E2452" t="s">
        <v>7248</v>
      </c>
      <c r="F2452" t="s">
        <v>13</v>
      </c>
      <c r="G2452" t="s">
        <v>14</v>
      </c>
      <c r="H2452" t="s">
        <v>15</v>
      </c>
      <c r="I2452" t="s">
        <v>248</v>
      </c>
    </row>
    <row r="2453" spans="1:9" x14ac:dyDescent="0.3">
      <c r="A2453" t="s">
        <v>7249</v>
      </c>
      <c r="B2453" t="s">
        <v>7250</v>
      </c>
      <c r="C2453" t="s">
        <v>24</v>
      </c>
      <c r="D2453" s="1">
        <v>45470</v>
      </c>
      <c r="E2453" t="s">
        <v>4278</v>
      </c>
      <c r="F2453" t="s">
        <v>13</v>
      </c>
      <c r="G2453" t="s">
        <v>14</v>
      </c>
      <c r="H2453" t="s">
        <v>15</v>
      </c>
      <c r="I2453" t="s">
        <v>59</v>
      </c>
    </row>
    <row r="2454" spans="1:9" x14ac:dyDescent="0.3">
      <c r="A2454" t="s">
        <v>7251</v>
      </c>
      <c r="B2454" t="s">
        <v>7252</v>
      </c>
      <c r="C2454" t="s">
        <v>24</v>
      </c>
      <c r="D2454" s="1">
        <v>45470</v>
      </c>
      <c r="E2454" t="s">
        <v>7253</v>
      </c>
      <c r="F2454" t="s">
        <v>13</v>
      </c>
      <c r="G2454" t="s">
        <v>14</v>
      </c>
      <c r="H2454" t="s">
        <v>15</v>
      </c>
    </row>
    <row r="2455" spans="1:9" x14ac:dyDescent="0.3">
      <c r="A2455" t="s">
        <v>7254</v>
      </c>
      <c r="B2455" t="s">
        <v>7255</v>
      </c>
      <c r="C2455" t="s">
        <v>54</v>
      </c>
      <c r="D2455" s="1">
        <v>45471</v>
      </c>
      <c r="E2455" t="s">
        <v>7256</v>
      </c>
      <c r="F2455" t="s">
        <v>13</v>
      </c>
      <c r="G2455" t="s">
        <v>14</v>
      </c>
      <c r="H2455" t="s">
        <v>15</v>
      </c>
      <c r="I2455" t="s">
        <v>181</v>
      </c>
    </row>
    <row r="2456" spans="1:9" x14ac:dyDescent="0.3">
      <c r="A2456" t="s">
        <v>7257</v>
      </c>
      <c r="B2456" t="s">
        <v>7258</v>
      </c>
      <c r="C2456" t="s">
        <v>54</v>
      </c>
      <c r="D2456" s="1">
        <v>45471</v>
      </c>
      <c r="E2456" t="s">
        <v>7259</v>
      </c>
      <c r="F2456" t="s">
        <v>13</v>
      </c>
      <c r="G2456" t="s">
        <v>14</v>
      </c>
      <c r="H2456" t="s">
        <v>15</v>
      </c>
      <c r="I2456" t="s">
        <v>238</v>
      </c>
    </row>
    <row r="2457" spans="1:9" x14ac:dyDescent="0.3">
      <c r="A2457" t="s">
        <v>7260</v>
      </c>
      <c r="B2457" t="s">
        <v>7261</v>
      </c>
      <c r="C2457" t="s">
        <v>24</v>
      </c>
      <c r="D2457" s="1">
        <v>45472</v>
      </c>
      <c r="E2457" t="s">
        <v>7262</v>
      </c>
      <c r="F2457" t="s">
        <v>13</v>
      </c>
      <c r="G2457" t="s">
        <v>14</v>
      </c>
      <c r="H2457" t="s">
        <v>15</v>
      </c>
      <c r="I2457" t="s">
        <v>59</v>
      </c>
    </row>
    <row r="2458" spans="1:9" x14ac:dyDescent="0.3">
      <c r="A2458" t="s">
        <v>7263</v>
      </c>
      <c r="B2458" t="s">
        <v>7264</v>
      </c>
      <c r="C2458" t="s">
        <v>29</v>
      </c>
      <c r="D2458" s="1">
        <v>45472</v>
      </c>
      <c r="E2458" t="s">
        <v>7265</v>
      </c>
      <c r="F2458" t="s">
        <v>13</v>
      </c>
      <c r="G2458" t="s">
        <v>14</v>
      </c>
      <c r="H2458" t="s">
        <v>15</v>
      </c>
    </row>
    <row r="2459" spans="1:9" x14ac:dyDescent="0.3">
      <c r="A2459" t="s">
        <v>7266</v>
      </c>
      <c r="B2459" t="s">
        <v>7267</v>
      </c>
      <c r="C2459" t="s">
        <v>45</v>
      </c>
      <c r="D2459" s="1">
        <v>45472</v>
      </c>
      <c r="E2459" t="s">
        <v>7268</v>
      </c>
      <c r="F2459" t="s">
        <v>13</v>
      </c>
      <c r="G2459" t="s">
        <v>14</v>
      </c>
      <c r="H2459" t="s">
        <v>15</v>
      </c>
      <c r="I2459" t="s">
        <v>248</v>
      </c>
    </row>
    <row r="2460" spans="1:9" x14ac:dyDescent="0.3">
      <c r="A2460" t="s">
        <v>7269</v>
      </c>
      <c r="B2460" t="s">
        <v>7270</v>
      </c>
      <c r="C2460" t="s">
        <v>54</v>
      </c>
      <c r="D2460" s="1">
        <v>45472</v>
      </c>
      <c r="E2460" t="s">
        <v>7271</v>
      </c>
      <c r="F2460" t="s">
        <v>13</v>
      </c>
      <c r="G2460" t="s">
        <v>14</v>
      </c>
      <c r="H2460" t="s">
        <v>15</v>
      </c>
    </row>
    <row r="2461" spans="1:9" x14ac:dyDescent="0.3">
      <c r="A2461" t="s">
        <v>7272</v>
      </c>
      <c r="B2461" t="s">
        <v>7273</v>
      </c>
      <c r="C2461" t="s">
        <v>45</v>
      </c>
      <c r="D2461" s="1">
        <v>45473</v>
      </c>
      <c r="E2461" t="s">
        <v>7274</v>
      </c>
      <c r="F2461" t="s">
        <v>13</v>
      </c>
      <c r="G2461" t="s">
        <v>14</v>
      </c>
      <c r="H2461" t="s">
        <v>15</v>
      </c>
      <c r="I2461" t="s">
        <v>47</v>
      </c>
    </row>
    <row r="2462" spans="1:9" x14ac:dyDescent="0.3">
      <c r="A2462" t="s">
        <v>7275</v>
      </c>
      <c r="B2462" t="s">
        <v>7276</v>
      </c>
      <c r="C2462" t="s">
        <v>11</v>
      </c>
      <c r="D2462" s="1">
        <v>45473</v>
      </c>
      <c r="E2462" t="s">
        <v>7277</v>
      </c>
      <c r="F2462" t="s">
        <v>13</v>
      </c>
      <c r="G2462" t="s">
        <v>14</v>
      </c>
      <c r="H2462" t="s">
        <v>15</v>
      </c>
      <c r="I2462" t="s">
        <v>185</v>
      </c>
    </row>
    <row r="2463" spans="1:9" x14ac:dyDescent="0.3">
      <c r="A2463" t="s">
        <v>7278</v>
      </c>
      <c r="B2463" t="s">
        <v>7279</v>
      </c>
      <c r="C2463" t="s">
        <v>45</v>
      </c>
      <c r="D2463" s="1">
        <v>45475</v>
      </c>
      <c r="E2463" t="s">
        <v>7280</v>
      </c>
      <c r="F2463" t="s">
        <v>13</v>
      </c>
      <c r="G2463" t="s">
        <v>14</v>
      </c>
      <c r="H2463" t="s">
        <v>15</v>
      </c>
      <c r="I2463" t="s">
        <v>248</v>
      </c>
    </row>
    <row r="2464" spans="1:9" x14ac:dyDescent="0.3">
      <c r="A2464" t="s">
        <v>7281</v>
      </c>
      <c r="B2464" t="s">
        <v>7282</v>
      </c>
      <c r="C2464" t="s">
        <v>24</v>
      </c>
      <c r="D2464" s="1">
        <v>45475</v>
      </c>
      <c r="E2464" t="s">
        <v>7283</v>
      </c>
      <c r="F2464" t="s">
        <v>13</v>
      </c>
      <c r="G2464" t="s">
        <v>14</v>
      </c>
      <c r="H2464" t="s">
        <v>15</v>
      </c>
      <c r="I2464" t="s">
        <v>63</v>
      </c>
    </row>
    <row r="2465" spans="1:9" x14ac:dyDescent="0.3">
      <c r="A2465" t="s">
        <v>7284</v>
      </c>
      <c r="B2465" t="s">
        <v>7285</v>
      </c>
      <c r="C2465" t="s">
        <v>69</v>
      </c>
      <c r="D2465" s="1">
        <v>45475</v>
      </c>
      <c r="E2465" t="s">
        <v>7286</v>
      </c>
      <c r="F2465" t="s">
        <v>13</v>
      </c>
      <c r="G2465" t="s">
        <v>14</v>
      </c>
      <c r="H2465" t="s">
        <v>15</v>
      </c>
      <c r="I2465" t="s">
        <v>71</v>
      </c>
    </row>
    <row r="2466" spans="1:9" x14ac:dyDescent="0.3">
      <c r="A2466" t="s">
        <v>7287</v>
      </c>
      <c r="B2466" t="s">
        <v>7288</v>
      </c>
      <c r="C2466" t="s">
        <v>11</v>
      </c>
      <c r="D2466" s="1">
        <v>45475</v>
      </c>
      <c r="E2466" t="s">
        <v>7289</v>
      </c>
      <c r="F2466" t="s">
        <v>13</v>
      </c>
      <c r="G2466" t="s">
        <v>14</v>
      </c>
      <c r="H2466" t="s">
        <v>15</v>
      </c>
      <c r="I2466" t="s">
        <v>38</v>
      </c>
    </row>
    <row r="2467" spans="1:9" x14ac:dyDescent="0.3">
      <c r="A2467" t="s">
        <v>7290</v>
      </c>
      <c r="B2467" t="s">
        <v>7291</v>
      </c>
      <c r="C2467" t="s">
        <v>45</v>
      </c>
      <c r="D2467" s="1">
        <v>45476</v>
      </c>
      <c r="E2467" t="s">
        <v>7292</v>
      </c>
      <c r="F2467" t="s">
        <v>13</v>
      </c>
      <c r="G2467" t="s">
        <v>14</v>
      </c>
      <c r="H2467" t="s">
        <v>15</v>
      </c>
      <c r="I2467" t="s">
        <v>47</v>
      </c>
    </row>
    <row r="2468" spans="1:9" x14ac:dyDescent="0.3">
      <c r="A2468" t="s">
        <v>7293</v>
      </c>
      <c r="B2468" t="s">
        <v>7294</v>
      </c>
      <c r="C2468" t="s">
        <v>11</v>
      </c>
      <c r="D2468" s="1">
        <v>45476</v>
      </c>
      <c r="E2468" t="s">
        <v>7295</v>
      </c>
      <c r="F2468" t="s">
        <v>13</v>
      </c>
      <c r="G2468" t="s">
        <v>14</v>
      </c>
      <c r="H2468" t="s">
        <v>15</v>
      </c>
      <c r="I2468" t="s">
        <v>185</v>
      </c>
    </row>
    <row r="2469" spans="1:9" x14ac:dyDescent="0.3">
      <c r="A2469" t="s">
        <v>7296</v>
      </c>
      <c r="B2469" t="s">
        <v>7297</v>
      </c>
      <c r="C2469" t="s">
        <v>33</v>
      </c>
      <c r="D2469" s="1">
        <v>45476</v>
      </c>
      <c r="E2469" t="s">
        <v>7298</v>
      </c>
      <c r="F2469" t="s">
        <v>13</v>
      </c>
      <c r="G2469" t="s">
        <v>14</v>
      </c>
      <c r="H2469" t="s">
        <v>15</v>
      </c>
      <c r="I2469" t="s">
        <v>94</v>
      </c>
    </row>
    <row r="2470" spans="1:9" x14ac:dyDescent="0.3">
      <c r="A2470" t="s">
        <v>7299</v>
      </c>
      <c r="B2470" t="s">
        <v>7300</v>
      </c>
      <c r="C2470" t="s">
        <v>45</v>
      </c>
      <c r="D2470" s="1">
        <v>45476</v>
      </c>
      <c r="E2470" t="s">
        <v>7301</v>
      </c>
      <c r="F2470" t="s">
        <v>13</v>
      </c>
      <c r="G2470" t="s">
        <v>14</v>
      </c>
      <c r="H2470" t="s">
        <v>15</v>
      </c>
    </row>
    <row r="2471" spans="1:9" x14ac:dyDescent="0.3">
      <c r="A2471" t="s">
        <v>7302</v>
      </c>
      <c r="B2471" t="s">
        <v>7303</v>
      </c>
      <c r="C2471" t="s">
        <v>54</v>
      </c>
      <c r="D2471" s="1">
        <v>45476</v>
      </c>
      <c r="E2471" t="s">
        <v>7304</v>
      </c>
      <c r="F2471" t="s">
        <v>13</v>
      </c>
      <c r="G2471" t="s">
        <v>14</v>
      </c>
      <c r="H2471" t="s">
        <v>15</v>
      </c>
      <c r="I2471" t="s">
        <v>238</v>
      </c>
    </row>
    <row r="2472" spans="1:9" x14ac:dyDescent="0.3">
      <c r="A2472" t="s">
        <v>7305</v>
      </c>
      <c r="B2472" t="s">
        <v>7306</v>
      </c>
      <c r="C2472" t="s">
        <v>29</v>
      </c>
      <c r="D2472" s="1">
        <v>45477</v>
      </c>
      <c r="E2472" t="s">
        <v>7307</v>
      </c>
      <c r="F2472" t="s">
        <v>13</v>
      </c>
      <c r="G2472" t="s">
        <v>14</v>
      </c>
      <c r="H2472" t="s">
        <v>15</v>
      </c>
      <c r="I2472" t="s">
        <v>81</v>
      </c>
    </row>
    <row r="2473" spans="1:9" x14ac:dyDescent="0.3">
      <c r="A2473" t="s">
        <v>7308</v>
      </c>
      <c r="B2473" t="s">
        <v>7309</v>
      </c>
      <c r="C2473" t="s">
        <v>69</v>
      </c>
      <c r="D2473" s="1">
        <v>45477</v>
      </c>
      <c r="E2473" t="s">
        <v>7310</v>
      </c>
      <c r="F2473" t="s">
        <v>13</v>
      </c>
      <c r="G2473" t="s">
        <v>14</v>
      </c>
      <c r="H2473" t="s">
        <v>15</v>
      </c>
    </row>
    <row r="2474" spans="1:9" x14ac:dyDescent="0.3">
      <c r="A2474" t="s">
        <v>7311</v>
      </c>
      <c r="B2474" t="s">
        <v>7312</v>
      </c>
      <c r="C2474" t="s">
        <v>29</v>
      </c>
      <c r="D2474" s="1">
        <v>45477</v>
      </c>
      <c r="E2474" t="s">
        <v>7313</v>
      </c>
      <c r="F2474" t="s">
        <v>13</v>
      </c>
      <c r="G2474" t="s">
        <v>14</v>
      </c>
      <c r="H2474" t="s">
        <v>15</v>
      </c>
      <c r="I2474" t="s">
        <v>81</v>
      </c>
    </row>
    <row r="2475" spans="1:9" x14ac:dyDescent="0.3">
      <c r="A2475" t="s">
        <v>7314</v>
      </c>
      <c r="B2475" t="s">
        <v>7315</v>
      </c>
      <c r="C2475" t="s">
        <v>29</v>
      </c>
      <c r="D2475" s="1">
        <v>45477</v>
      </c>
      <c r="E2475" t="s">
        <v>7316</v>
      </c>
      <c r="F2475" t="s">
        <v>13</v>
      </c>
      <c r="G2475" t="s">
        <v>14</v>
      </c>
      <c r="H2475" t="s">
        <v>15</v>
      </c>
      <c r="I2475" t="s">
        <v>81</v>
      </c>
    </row>
    <row r="2476" spans="1:9" x14ac:dyDescent="0.3">
      <c r="A2476" t="s">
        <v>6437</v>
      </c>
      <c r="B2476" t="s">
        <v>7317</v>
      </c>
      <c r="C2476" t="s">
        <v>19</v>
      </c>
      <c r="D2476" s="1">
        <v>45478</v>
      </c>
      <c r="E2476" t="s">
        <v>7318</v>
      </c>
      <c r="F2476" t="s">
        <v>13</v>
      </c>
      <c r="G2476" t="s">
        <v>14</v>
      </c>
      <c r="H2476" t="s">
        <v>15</v>
      </c>
      <c r="I2476" t="s">
        <v>116</v>
      </c>
    </row>
    <row r="2477" spans="1:9" x14ac:dyDescent="0.3">
      <c r="A2477" t="s">
        <v>7319</v>
      </c>
      <c r="B2477" t="s">
        <v>7320</v>
      </c>
      <c r="C2477" t="s">
        <v>24</v>
      </c>
      <c r="D2477" s="1">
        <v>45478</v>
      </c>
      <c r="E2477" t="s">
        <v>7321</v>
      </c>
      <c r="F2477" t="s">
        <v>13</v>
      </c>
      <c r="G2477" t="s">
        <v>14</v>
      </c>
      <c r="H2477" t="s">
        <v>15</v>
      </c>
    </row>
    <row r="2478" spans="1:9" x14ac:dyDescent="0.3">
      <c r="A2478" t="s">
        <v>7322</v>
      </c>
      <c r="B2478" t="s">
        <v>7323</v>
      </c>
      <c r="C2478" t="s">
        <v>24</v>
      </c>
      <c r="D2478" s="1">
        <v>45479</v>
      </c>
      <c r="E2478" t="s">
        <v>7324</v>
      </c>
      <c r="F2478" t="s">
        <v>13</v>
      </c>
      <c r="G2478" t="s">
        <v>14</v>
      </c>
      <c r="H2478" t="s">
        <v>15</v>
      </c>
      <c r="I2478" t="s">
        <v>26</v>
      </c>
    </row>
    <row r="2479" spans="1:9" x14ac:dyDescent="0.3">
      <c r="A2479" t="s">
        <v>7325</v>
      </c>
      <c r="B2479" t="s">
        <v>7326</v>
      </c>
      <c r="C2479" t="s">
        <v>24</v>
      </c>
      <c r="D2479" s="1">
        <v>45479</v>
      </c>
      <c r="E2479" t="s">
        <v>7327</v>
      </c>
      <c r="F2479" t="s">
        <v>13</v>
      </c>
      <c r="G2479" t="s">
        <v>14</v>
      </c>
      <c r="H2479" t="s">
        <v>15</v>
      </c>
    </row>
    <row r="2480" spans="1:9" x14ac:dyDescent="0.3">
      <c r="A2480" t="s">
        <v>7328</v>
      </c>
      <c r="B2480" t="s">
        <v>7329</v>
      </c>
      <c r="C2480" t="s">
        <v>29</v>
      </c>
      <c r="D2480" s="1">
        <v>45479</v>
      </c>
      <c r="E2480" t="s">
        <v>7330</v>
      </c>
      <c r="F2480" t="s">
        <v>13</v>
      </c>
      <c r="G2480" t="s">
        <v>14</v>
      </c>
      <c r="H2480" t="s">
        <v>15</v>
      </c>
      <c r="I2480" t="s">
        <v>204</v>
      </c>
    </row>
    <row r="2481" spans="1:9" x14ac:dyDescent="0.3">
      <c r="A2481" t="s">
        <v>7331</v>
      </c>
      <c r="B2481" t="s">
        <v>7332</v>
      </c>
      <c r="C2481" t="s">
        <v>54</v>
      </c>
      <c r="D2481" s="1">
        <v>45479</v>
      </c>
      <c r="E2481" t="s">
        <v>7333</v>
      </c>
      <c r="F2481" t="s">
        <v>13</v>
      </c>
      <c r="G2481" t="s">
        <v>14</v>
      </c>
      <c r="H2481" t="s">
        <v>15</v>
      </c>
      <c r="I2481" t="s">
        <v>181</v>
      </c>
    </row>
    <row r="2482" spans="1:9" x14ac:dyDescent="0.3">
      <c r="A2482" t="s">
        <v>7334</v>
      </c>
      <c r="B2482" t="s">
        <v>7335</v>
      </c>
      <c r="C2482" t="s">
        <v>24</v>
      </c>
      <c r="D2482" s="1">
        <v>45479</v>
      </c>
      <c r="E2482" t="s">
        <v>7336</v>
      </c>
      <c r="F2482" t="s">
        <v>13</v>
      </c>
      <c r="G2482" t="s">
        <v>14</v>
      </c>
      <c r="H2482" t="s">
        <v>15</v>
      </c>
      <c r="I2482" t="s">
        <v>63</v>
      </c>
    </row>
    <row r="2483" spans="1:9" x14ac:dyDescent="0.3">
      <c r="A2483" t="s">
        <v>7337</v>
      </c>
      <c r="B2483" t="s">
        <v>7338</v>
      </c>
      <c r="C2483" t="s">
        <v>29</v>
      </c>
      <c r="D2483" s="1">
        <v>45479</v>
      </c>
      <c r="E2483" t="s">
        <v>7339</v>
      </c>
      <c r="F2483" t="s">
        <v>13</v>
      </c>
      <c r="G2483" t="s">
        <v>14</v>
      </c>
      <c r="H2483" t="s">
        <v>15</v>
      </c>
      <c r="I2483" t="s">
        <v>81</v>
      </c>
    </row>
    <row r="2484" spans="1:9" x14ac:dyDescent="0.3">
      <c r="A2484" t="s">
        <v>7340</v>
      </c>
      <c r="B2484" t="s">
        <v>7341</v>
      </c>
      <c r="C2484" t="s">
        <v>45</v>
      </c>
      <c r="D2484" s="1">
        <v>45480</v>
      </c>
      <c r="E2484" t="s">
        <v>7342</v>
      </c>
      <c r="F2484" t="s">
        <v>13</v>
      </c>
      <c r="G2484" t="s">
        <v>14</v>
      </c>
      <c r="H2484" t="s">
        <v>15</v>
      </c>
    </row>
    <row r="2485" spans="1:9" x14ac:dyDescent="0.3">
      <c r="A2485" t="s">
        <v>7343</v>
      </c>
      <c r="B2485" t="s">
        <v>7344</v>
      </c>
      <c r="C2485" t="s">
        <v>24</v>
      </c>
      <c r="D2485" s="1">
        <v>45481</v>
      </c>
      <c r="E2485" t="s">
        <v>7345</v>
      </c>
      <c r="F2485" t="s">
        <v>13</v>
      </c>
      <c r="G2485" t="s">
        <v>14</v>
      </c>
      <c r="H2485" t="s">
        <v>15</v>
      </c>
      <c r="I2485" t="s">
        <v>59</v>
      </c>
    </row>
    <row r="2486" spans="1:9" x14ac:dyDescent="0.3">
      <c r="A2486" t="s">
        <v>7346</v>
      </c>
      <c r="B2486" t="s">
        <v>7347</v>
      </c>
      <c r="C2486" t="s">
        <v>24</v>
      </c>
      <c r="D2486" s="1">
        <v>45481</v>
      </c>
      <c r="E2486" t="s">
        <v>7348</v>
      </c>
      <c r="F2486" t="s">
        <v>13</v>
      </c>
      <c r="G2486" t="s">
        <v>14</v>
      </c>
      <c r="H2486" t="s">
        <v>15</v>
      </c>
      <c r="I2486" t="s">
        <v>59</v>
      </c>
    </row>
    <row r="2487" spans="1:9" x14ac:dyDescent="0.3">
      <c r="A2487" t="s">
        <v>7349</v>
      </c>
      <c r="B2487" t="s">
        <v>7350</v>
      </c>
      <c r="C2487" t="s">
        <v>24</v>
      </c>
      <c r="D2487" s="1">
        <v>45481</v>
      </c>
      <c r="E2487" t="s">
        <v>7351</v>
      </c>
      <c r="F2487" t="s">
        <v>13</v>
      </c>
      <c r="G2487" t="s">
        <v>14</v>
      </c>
      <c r="H2487" t="s">
        <v>15</v>
      </c>
      <c r="I2487" t="s">
        <v>59</v>
      </c>
    </row>
    <row r="2488" spans="1:9" x14ac:dyDescent="0.3">
      <c r="A2488" t="s">
        <v>6152</v>
      </c>
      <c r="B2488" t="s">
        <v>7352</v>
      </c>
      <c r="C2488" t="s">
        <v>19</v>
      </c>
      <c r="D2488" s="1">
        <v>45482</v>
      </c>
      <c r="E2488" t="s">
        <v>7353</v>
      </c>
      <c r="F2488" t="s">
        <v>13</v>
      </c>
      <c r="G2488" t="s">
        <v>14</v>
      </c>
      <c r="H2488" t="s">
        <v>15</v>
      </c>
      <c r="I2488" t="s">
        <v>21</v>
      </c>
    </row>
    <row r="2489" spans="1:9" x14ac:dyDescent="0.3">
      <c r="A2489" t="s">
        <v>7354</v>
      </c>
      <c r="B2489" t="s">
        <v>7355</v>
      </c>
      <c r="C2489" t="s">
        <v>11</v>
      </c>
      <c r="D2489" s="1">
        <v>45482</v>
      </c>
      <c r="E2489" t="s">
        <v>7356</v>
      </c>
      <c r="F2489" t="s">
        <v>13</v>
      </c>
      <c r="G2489" t="s">
        <v>14</v>
      </c>
      <c r="H2489" t="s">
        <v>15</v>
      </c>
    </row>
    <row r="2490" spans="1:9" x14ac:dyDescent="0.3">
      <c r="A2490" t="s">
        <v>7357</v>
      </c>
      <c r="B2490" t="s">
        <v>7358</v>
      </c>
      <c r="C2490" t="s">
        <v>11</v>
      </c>
      <c r="D2490" s="1">
        <v>45483</v>
      </c>
      <c r="E2490" t="s">
        <v>7359</v>
      </c>
      <c r="F2490" t="s">
        <v>13</v>
      </c>
      <c r="G2490" t="s">
        <v>14</v>
      </c>
      <c r="H2490" t="s">
        <v>15</v>
      </c>
      <c r="I2490" t="s">
        <v>38</v>
      </c>
    </row>
    <row r="2491" spans="1:9" x14ac:dyDescent="0.3">
      <c r="A2491" t="s">
        <v>7360</v>
      </c>
      <c r="B2491" t="s">
        <v>7361</v>
      </c>
      <c r="C2491" t="s">
        <v>54</v>
      </c>
      <c r="D2491" s="1">
        <v>45483</v>
      </c>
      <c r="E2491" t="s">
        <v>7362</v>
      </c>
      <c r="F2491" t="s">
        <v>13</v>
      </c>
      <c r="G2491" t="s">
        <v>14</v>
      </c>
      <c r="H2491" t="s">
        <v>15</v>
      </c>
      <c r="I2491" t="s">
        <v>238</v>
      </c>
    </row>
    <row r="2492" spans="1:9" x14ac:dyDescent="0.3">
      <c r="A2492" t="s">
        <v>7363</v>
      </c>
      <c r="B2492" t="s">
        <v>7364</v>
      </c>
      <c r="C2492" t="s">
        <v>29</v>
      </c>
      <c r="D2492" s="1">
        <v>45483</v>
      </c>
      <c r="E2492" t="s">
        <v>7365</v>
      </c>
      <c r="F2492" t="s">
        <v>13</v>
      </c>
      <c r="G2492" t="s">
        <v>14</v>
      </c>
      <c r="H2492" t="s">
        <v>15</v>
      </c>
      <c r="I2492" t="s">
        <v>204</v>
      </c>
    </row>
    <row r="2493" spans="1:9" x14ac:dyDescent="0.3">
      <c r="A2493" t="s">
        <v>7366</v>
      </c>
      <c r="B2493" t="s">
        <v>7367</v>
      </c>
      <c r="C2493" t="s">
        <v>54</v>
      </c>
      <c r="D2493" s="1">
        <v>45483</v>
      </c>
      <c r="E2493" t="s">
        <v>7368</v>
      </c>
      <c r="F2493" t="s">
        <v>13</v>
      </c>
      <c r="G2493" t="s">
        <v>14</v>
      </c>
      <c r="H2493" t="s">
        <v>15</v>
      </c>
      <c r="I2493" t="s">
        <v>181</v>
      </c>
    </row>
    <row r="2494" spans="1:9" x14ac:dyDescent="0.3">
      <c r="A2494" t="s">
        <v>7369</v>
      </c>
      <c r="B2494" t="s">
        <v>7370</v>
      </c>
      <c r="C2494" t="s">
        <v>33</v>
      </c>
      <c r="D2494" s="1">
        <v>45484</v>
      </c>
      <c r="E2494" t="s">
        <v>7371</v>
      </c>
      <c r="F2494" t="s">
        <v>13</v>
      </c>
      <c r="G2494" t="s">
        <v>14</v>
      </c>
      <c r="H2494" t="s">
        <v>15</v>
      </c>
      <c r="I2494" t="s">
        <v>51</v>
      </c>
    </row>
    <row r="2495" spans="1:9" x14ac:dyDescent="0.3">
      <c r="A2495" t="s">
        <v>7372</v>
      </c>
      <c r="B2495" t="s">
        <v>7373</v>
      </c>
      <c r="C2495" t="s">
        <v>45</v>
      </c>
      <c r="D2495" s="1">
        <v>45484</v>
      </c>
      <c r="E2495" t="s">
        <v>7374</v>
      </c>
      <c r="F2495" t="s">
        <v>13</v>
      </c>
      <c r="G2495" t="s">
        <v>174</v>
      </c>
      <c r="H2495" t="s">
        <v>15</v>
      </c>
      <c r="I2495" t="s">
        <v>248</v>
      </c>
    </row>
    <row r="2496" spans="1:9" x14ac:dyDescent="0.3">
      <c r="A2496" t="s">
        <v>7375</v>
      </c>
      <c r="B2496" t="s">
        <v>7376</v>
      </c>
      <c r="C2496" t="s">
        <v>11</v>
      </c>
      <c r="D2496" s="1">
        <v>45484</v>
      </c>
      <c r="E2496" t="s">
        <v>7377</v>
      </c>
      <c r="F2496" t="s">
        <v>13</v>
      </c>
      <c r="G2496" t="s">
        <v>14</v>
      </c>
      <c r="H2496" t="s">
        <v>15</v>
      </c>
    </row>
    <row r="2497" spans="1:9" x14ac:dyDescent="0.3">
      <c r="A2497" t="s">
        <v>7378</v>
      </c>
      <c r="B2497" t="s">
        <v>7379</v>
      </c>
      <c r="C2497" t="s">
        <v>11</v>
      </c>
      <c r="D2497" s="1">
        <v>45484</v>
      </c>
      <c r="E2497" t="s">
        <v>7380</v>
      </c>
      <c r="F2497" t="s">
        <v>13</v>
      </c>
      <c r="G2497" t="s">
        <v>174</v>
      </c>
      <c r="H2497" t="s">
        <v>15</v>
      </c>
      <c r="I2497" t="s">
        <v>38</v>
      </c>
    </row>
    <row r="2498" spans="1:9" x14ac:dyDescent="0.3">
      <c r="A2498" t="s">
        <v>7381</v>
      </c>
      <c r="B2498" t="s">
        <v>7382</v>
      </c>
      <c r="C2498" t="s">
        <v>29</v>
      </c>
      <c r="D2498" s="1">
        <v>45484</v>
      </c>
      <c r="E2498" t="s">
        <v>7383</v>
      </c>
      <c r="F2498" t="s">
        <v>13</v>
      </c>
      <c r="G2498" t="s">
        <v>14</v>
      </c>
      <c r="H2498" t="s">
        <v>15</v>
      </c>
      <c r="I2498" t="s">
        <v>204</v>
      </c>
    </row>
    <row r="2499" spans="1:9" x14ac:dyDescent="0.3">
      <c r="A2499" t="s">
        <v>7384</v>
      </c>
      <c r="B2499" t="s">
        <v>7385</v>
      </c>
      <c r="C2499" t="s">
        <v>29</v>
      </c>
      <c r="D2499" s="1">
        <v>45485</v>
      </c>
      <c r="E2499" t="s">
        <v>7386</v>
      </c>
      <c r="F2499" t="s">
        <v>13</v>
      </c>
      <c r="G2499" t="s">
        <v>14</v>
      </c>
      <c r="H2499" t="s">
        <v>15</v>
      </c>
      <c r="I2499" t="s">
        <v>81</v>
      </c>
    </row>
    <row r="2500" spans="1:9" x14ac:dyDescent="0.3">
      <c r="A2500" t="s">
        <v>7387</v>
      </c>
      <c r="B2500" t="s">
        <v>7388</v>
      </c>
      <c r="C2500" t="s">
        <v>24</v>
      </c>
      <c r="D2500" s="1">
        <v>45486</v>
      </c>
      <c r="E2500" t="s">
        <v>7389</v>
      </c>
      <c r="F2500" t="s">
        <v>13</v>
      </c>
      <c r="G2500" t="s">
        <v>14</v>
      </c>
      <c r="H2500" t="s">
        <v>15</v>
      </c>
      <c r="I2500" t="s">
        <v>26</v>
      </c>
    </row>
    <row r="2501" spans="1:9" x14ac:dyDescent="0.3">
      <c r="A2501" t="s">
        <v>7390</v>
      </c>
      <c r="B2501" t="s">
        <v>7391</v>
      </c>
      <c r="C2501" t="s">
        <v>45</v>
      </c>
      <c r="D2501" s="1">
        <v>45486</v>
      </c>
      <c r="E2501" t="s">
        <v>7392</v>
      </c>
      <c r="F2501" t="s">
        <v>13</v>
      </c>
      <c r="G2501" t="s">
        <v>14</v>
      </c>
      <c r="H2501" t="s">
        <v>15</v>
      </c>
      <c r="I2501" t="s">
        <v>248</v>
      </c>
    </row>
    <row r="2502" spans="1:9" x14ac:dyDescent="0.3">
      <c r="A2502" t="s">
        <v>7393</v>
      </c>
      <c r="B2502" t="s">
        <v>7394</v>
      </c>
      <c r="C2502" t="s">
        <v>54</v>
      </c>
      <c r="D2502" s="1">
        <v>45486</v>
      </c>
      <c r="E2502" t="s">
        <v>7395</v>
      </c>
      <c r="F2502" t="s">
        <v>13</v>
      </c>
      <c r="G2502" t="s">
        <v>14</v>
      </c>
      <c r="H2502" t="s">
        <v>15</v>
      </c>
      <c r="I2502" t="s">
        <v>181</v>
      </c>
    </row>
    <row r="2503" spans="1:9" x14ac:dyDescent="0.3">
      <c r="A2503" t="s">
        <v>7396</v>
      </c>
      <c r="B2503" t="s">
        <v>7397</v>
      </c>
      <c r="C2503" t="s">
        <v>29</v>
      </c>
      <c r="D2503" s="1">
        <v>45487</v>
      </c>
      <c r="E2503" t="s">
        <v>7398</v>
      </c>
      <c r="F2503" t="s">
        <v>13</v>
      </c>
      <c r="G2503" t="s">
        <v>14</v>
      </c>
      <c r="H2503" t="s">
        <v>15</v>
      </c>
      <c r="I2503" t="s">
        <v>81</v>
      </c>
    </row>
    <row r="2504" spans="1:9" x14ac:dyDescent="0.3">
      <c r="A2504" t="s">
        <v>7399</v>
      </c>
      <c r="B2504" t="s">
        <v>7400</v>
      </c>
      <c r="C2504" t="s">
        <v>24</v>
      </c>
      <c r="D2504" s="1">
        <v>45487</v>
      </c>
      <c r="E2504" t="s">
        <v>7401</v>
      </c>
      <c r="F2504" t="s">
        <v>13</v>
      </c>
      <c r="G2504" t="s">
        <v>14</v>
      </c>
      <c r="H2504" t="s">
        <v>15</v>
      </c>
      <c r="I2504" t="s">
        <v>63</v>
      </c>
    </row>
    <row r="2505" spans="1:9" x14ac:dyDescent="0.3">
      <c r="A2505" t="s">
        <v>7402</v>
      </c>
      <c r="B2505" t="s">
        <v>7403</v>
      </c>
      <c r="C2505" t="s">
        <v>29</v>
      </c>
      <c r="D2505" s="1">
        <v>45487</v>
      </c>
      <c r="E2505" t="s">
        <v>7404</v>
      </c>
      <c r="F2505" t="s">
        <v>13</v>
      </c>
      <c r="G2505" t="s">
        <v>14</v>
      </c>
      <c r="H2505" t="s">
        <v>15</v>
      </c>
      <c r="I2505" t="s">
        <v>81</v>
      </c>
    </row>
    <row r="2506" spans="1:9" x14ac:dyDescent="0.3">
      <c r="A2506" t="s">
        <v>7405</v>
      </c>
      <c r="B2506" t="s">
        <v>7406</v>
      </c>
      <c r="C2506" t="s">
        <v>45</v>
      </c>
      <c r="D2506" s="1">
        <v>45487</v>
      </c>
      <c r="E2506" t="s">
        <v>7407</v>
      </c>
      <c r="F2506" t="s">
        <v>13</v>
      </c>
      <c r="G2506" t="s">
        <v>14</v>
      </c>
      <c r="H2506" t="s">
        <v>15</v>
      </c>
      <c r="I2506" t="s">
        <v>248</v>
      </c>
    </row>
    <row r="2507" spans="1:9" x14ac:dyDescent="0.3">
      <c r="A2507" t="s">
        <v>7408</v>
      </c>
      <c r="B2507" t="s">
        <v>7409</v>
      </c>
      <c r="C2507" t="s">
        <v>29</v>
      </c>
      <c r="D2507" s="1">
        <v>45487</v>
      </c>
      <c r="E2507" t="s">
        <v>7410</v>
      </c>
      <c r="F2507" t="s">
        <v>13</v>
      </c>
      <c r="G2507" t="s">
        <v>14</v>
      </c>
      <c r="H2507" t="s">
        <v>15</v>
      </c>
      <c r="I2507" t="s">
        <v>204</v>
      </c>
    </row>
    <row r="2508" spans="1:9" x14ac:dyDescent="0.3">
      <c r="A2508" t="s">
        <v>7411</v>
      </c>
      <c r="B2508" t="s">
        <v>7412</v>
      </c>
      <c r="C2508" t="s">
        <v>45</v>
      </c>
      <c r="D2508" s="1">
        <v>45487</v>
      </c>
      <c r="E2508" t="s">
        <v>7413</v>
      </c>
      <c r="F2508" t="s">
        <v>13</v>
      </c>
      <c r="G2508" t="s">
        <v>14</v>
      </c>
      <c r="H2508" t="s">
        <v>15</v>
      </c>
    </row>
    <row r="2509" spans="1:9" x14ac:dyDescent="0.3">
      <c r="A2509" t="s">
        <v>7414</v>
      </c>
      <c r="B2509" t="s">
        <v>7415</v>
      </c>
      <c r="C2509" t="s">
        <v>11</v>
      </c>
      <c r="D2509" s="1">
        <v>45487</v>
      </c>
      <c r="E2509" t="s">
        <v>7416</v>
      </c>
      <c r="F2509" t="s">
        <v>13</v>
      </c>
      <c r="G2509" t="s">
        <v>14</v>
      </c>
      <c r="H2509" t="s">
        <v>15</v>
      </c>
      <c r="I2509" t="s">
        <v>185</v>
      </c>
    </row>
    <row r="2510" spans="1:9" x14ac:dyDescent="0.3">
      <c r="A2510" t="s">
        <v>7417</v>
      </c>
      <c r="B2510" t="s">
        <v>7418</v>
      </c>
      <c r="C2510" t="s">
        <v>24</v>
      </c>
      <c r="D2510" s="1">
        <v>45487</v>
      </c>
      <c r="E2510" t="s">
        <v>7419</v>
      </c>
      <c r="F2510" t="s">
        <v>13</v>
      </c>
      <c r="G2510" t="s">
        <v>14</v>
      </c>
      <c r="H2510" t="s">
        <v>15</v>
      </c>
      <c r="I2510" t="s">
        <v>63</v>
      </c>
    </row>
    <row r="2511" spans="1:9" x14ac:dyDescent="0.3">
      <c r="A2511" t="s">
        <v>7420</v>
      </c>
      <c r="B2511" t="s">
        <v>7421</v>
      </c>
      <c r="C2511" t="s">
        <v>33</v>
      </c>
      <c r="D2511" s="1">
        <v>45488</v>
      </c>
      <c r="E2511" t="s">
        <v>7422</v>
      </c>
      <c r="F2511" t="s">
        <v>13</v>
      </c>
      <c r="G2511" t="s">
        <v>14</v>
      </c>
      <c r="H2511" t="s">
        <v>15</v>
      </c>
      <c r="I2511" t="s">
        <v>51</v>
      </c>
    </row>
    <row r="2512" spans="1:9" x14ac:dyDescent="0.3">
      <c r="A2512" t="s">
        <v>7423</v>
      </c>
      <c r="B2512" t="s">
        <v>7424</v>
      </c>
      <c r="C2512" t="s">
        <v>54</v>
      </c>
      <c r="D2512" s="1">
        <v>45489</v>
      </c>
      <c r="E2512" t="s">
        <v>7425</v>
      </c>
      <c r="F2512" t="s">
        <v>13</v>
      </c>
      <c r="G2512" t="s">
        <v>14</v>
      </c>
      <c r="H2512" t="s">
        <v>15</v>
      </c>
    </row>
    <row r="2513" spans="1:9" x14ac:dyDescent="0.3">
      <c r="A2513" t="s">
        <v>6236</v>
      </c>
      <c r="B2513" t="s">
        <v>7426</v>
      </c>
      <c r="C2513" t="s">
        <v>19</v>
      </c>
      <c r="D2513" s="1">
        <v>45489</v>
      </c>
      <c r="E2513" t="s">
        <v>7427</v>
      </c>
      <c r="F2513" t="s">
        <v>13</v>
      </c>
      <c r="G2513" t="s">
        <v>14</v>
      </c>
      <c r="H2513" t="s">
        <v>15</v>
      </c>
      <c r="I2513" t="s">
        <v>116</v>
      </c>
    </row>
    <row r="2514" spans="1:9" x14ac:dyDescent="0.3">
      <c r="A2514" t="s">
        <v>6863</v>
      </c>
      <c r="B2514" t="s">
        <v>7428</v>
      </c>
      <c r="C2514" t="s">
        <v>19</v>
      </c>
      <c r="D2514" s="1">
        <v>45490</v>
      </c>
      <c r="E2514" t="s">
        <v>7429</v>
      </c>
      <c r="F2514" t="s">
        <v>13</v>
      </c>
      <c r="G2514" t="s">
        <v>14</v>
      </c>
      <c r="H2514" t="s">
        <v>15</v>
      </c>
    </row>
    <row r="2515" spans="1:9" x14ac:dyDescent="0.3">
      <c r="A2515" t="s">
        <v>7430</v>
      </c>
      <c r="B2515" t="s">
        <v>7431</v>
      </c>
      <c r="C2515" t="s">
        <v>45</v>
      </c>
      <c r="D2515" s="1">
        <v>45490</v>
      </c>
      <c r="E2515" t="s">
        <v>7432</v>
      </c>
      <c r="F2515" t="s">
        <v>13</v>
      </c>
      <c r="G2515" t="s">
        <v>14</v>
      </c>
      <c r="H2515" t="s">
        <v>15</v>
      </c>
      <c r="I2515" t="s">
        <v>248</v>
      </c>
    </row>
    <row r="2516" spans="1:9" x14ac:dyDescent="0.3">
      <c r="A2516" t="s">
        <v>7433</v>
      </c>
      <c r="B2516" t="s">
        <v>7434</v>
      </c>
      <c r="C2516" t="s">
        <v>45</v>
      </c>
      <c r="D2516" s="1">
        <v>45490</v>
      </c>
      <c r="E2516" t="s">
        <v>7435</v>
      </c>
      <c r="F2516" t="s">
        <v>13</v>
      </c>
      <c r="G2516" t="s">
        <v>14</v>
      </c>
      <c r="H2516" t="s">
        <v>15</v>
      </c>
      <c r="I2516" t="s">
        <v>248</v>
      </c>
    </row>
    <row r="2517" spans="1:9" x14ac:dyDescent="0.3">
      <c r="A2517" t="s">
        <v>7436</v>
      </c>
      <c r="B2517" t="s">
        <v>7437</v>
      </c>
      <c r="C2517" t="s">
        <v>54</v>
      </c>
      <c r="D2517" s="1">
        <v>45491</v>
      </c>
      <c r="E2517" t="s">
        <v>7438</v>
      </c>
      <c r="F2517" t="s">
        <v>13</v>
      </c>
      <c r="G2517" t="s">
        <v>14</v>
      </c>
      <c r="H2517" t="s">
        <v>15</v>
      </c>
      <c r="I2517" t="s">
        <v>181</v>
      </c>
    </row>
    <row r="2518" spans="1:9" x14ac:dyDescent="0.3">
      <c r="A2518" t="s">
        <v>7439</v>
      </c>
      <c r="B2518" t="s">
        <v>7440</v>
      </c>
      <c r="C2518" t="s">
        <v>11</v>
      </c>
      <c r="D2518" s="1">
        <v>45492</v>
      </c>
      <c r="E2518" t="s">
        <v>7441</v>
      </c>
      <c r="F2518" t="s">
        <v>13</v>
      </c>
      <c r="G2518" t="s">
        <v>14</v>
      </c>
      <c r="H2518" t="s">
        <v>15</v>
      </c>
      <c r="I2518" t="s">
        <v>38</v>
      </c>
    </row>
    <row r="2519" spans="1:9" x14ac:dyDescent="0.3">
      <c r="A2519" t="s">
        <v>7442</v>
      </c>
      <c r="B2519" t="s">
        <v>7443</v>
      </c>
      <c r="C2519" t="s">
        <v>24</v>
      </c>
      <c r="D2519" s="1">
        <v>45493</v>
      </c>
      <c r="E2519" t="s">
        <v>7444</v>
      </c>
      <c r="F2519" t="s">
        <v>13</v>
      </c>
      <c r="G2519" t="s">
        <v>14</v>
      </c>
      <c r="H2519" t="s">
        <v>15</v>
      </c>
      <c r="I2519" t="s">
        <v>63</v>
      </c>
    </row>
    <row r="2520" spans="1:9" x14ac:dyDescent="0.3">
      <c r="A2520" t="s">
        <v>7445</v>
      </c>
      <c r="B2520" t="s">
        <v>7446</v>
      </c>
      <c r="C2520" t="s">
        <v>54</v>
      </c>
      <c r="D2520" s="1">
        <v>45493</v>
      </c>
      <c r="E2520" t="s">
        <v>7447</v>
      </c>
      <c r="F2520" t="s">
        <v>13</v>
      </c>
      <c r="G2520" t="s">
        <v>14</v>
      </c>
      <c r="H2520" t="s">
        <v>15</v>
      </c>
    </row>
    <row r="2521" spans="1:9" x14ac:dyDescent="0.3">
      <c r="A2521" t="s">
        <v>5910</v>
      </c>
      <c r="B2521" t="s">
        <v>7448</v>
      </c>
      <c r="C2521" t="s">
        <v>19</v>
      </c>
      <c r="D2521" s="1">
        <v>45493</v>
      </c>
      <c r="E2521" t="s">
        <v>7449</v>
      </c>
      <c r="F2521" t="s">
        <v>13</v>
      </c>
      <c r="G2521" t="s">
        <v>14</v>
      </c>
      <c r="H2521" t="s">
        <v>15</v>
      </c>
    </row>
    <row r="2522" spans="1:9" x14ac:dyDescent="0.3">
      <c r="A2522" t="s">
        <v>7450</v>
      </c>
      <c r="B2522" t="s">
        <v>7451</v>
      </c>
      <c r="C2522" t="s">
        <v>45</v>
      </c>
      <c r="D2522" s="1">
        <v>45493</v>
      </c>
      <c r="E2522" t="s">
        <v>7452</v>
      </c>
      <c r="F2522" t="s">
        <v>13</v>
      </c>
      <c r="G2522" t="s">
        <v>14</v>
      </c>
      <c r="H2522" t="s">
        <v>15</v>
      </c>
      <c r="I2522" t="s">
        <v>248</v>
      </c>
    </row>
    <row r="2523" spans="1:9" x14ac:dyDescent="0.3">
      <c r="A2523" t="s">
        <v>7453</v>
      </c>
      <c r="B2523" t="s">
        <v>7454</v>
      </c>
      <c r="C2523" t="s">
        <v>19</v>
      </c>
      <c r="D2523" s="1">
        <v>45494</v>
      </c>
      <c r="E2523" t="s">
        <v>7455</v>
      </c>
      <c r="F2523" t="s">
        <v>13</v>
      </c>
      <c r="G2523" t="s">
        <v>14</v>
      </c>
      <c r="H2523" t="s">
        <v>15</v>
      </c>
      <c r="I2523" t="s">
        <v>21</v>
      </c>
    </row>
    <row r="2524" spans="1:9" x14ac:dyDescent="0.3">
      <c r="A2524" t="s">
        <v>7456</v>
      </c>
      <c r="B2524" t="s">
        <v>7457</v>
      </c>
      <c r="C2524" t="s">
        <v>11</v>
      </c>
      <c r="D2524" s="1">
        <v>45494</v>
      </c>
      <c r="E2524" t="s">
        <v>7458</v>
      </c>
      <c r="F2524" t="s">
        <v>13</v>
      </c>
      <c r="G2524" t="s">
        <v>14</v>
      </c>
      <c r="H2524" t="s">
        <v>15</v>
      </c>
      <c r="I2524" t="s">
        <v>38</v>
      </c>
    </row>
    <row r="2525" spans="1:9" x14ac:dyDescent="0.3">
      <c r="A2525" t="s">
        <v>7459</v>
      </c>
      <c r="B2525" t="s">
        <v>7460</v>
      </c>
      <c r="C2525" t="s">
        <v>33</v>
      </c>
      <c r="D2525" s="1">
        <v>45494</v>
      </c>
      <c r="E2525" t="s">
        <v>7461</v>
      </c>
      <c r="F2525" t="s">
        <v>13</v>
      </c>
      <c r="G2525" t="s">
        <v>14</v>
      </c>
      <c r="H2525" t="s">
        <v>15</v>
      </c>
      <c r="I2525" t="s">
        <v>94</v>
      </c>
    </row>
    <row r="2526" spans="1:9" x14ac:dyDescent="0.3">
      <c r="A2526" t="s">
        <v>7462</v>
      </c>
      <c r="B2526" t="s">
        <v>7463</v>
      </c>
      <c r="C2526" t="s">
        <v>69</v>
      </c>
      <c r="D2526" s="1">
        <v>45495</v>
      </c>
      <c r="E2526" t="s">
        <v>7464</v>
      </c>
      <c r="F2526" t="s">
        <v>13</v>
      </c>
      <c r="G2526" t="s">
        <v>14</v>
      </c>
      <c r="H2526" t="s">
        <v>15</v>
      </c>
      <c r="I2526" t="s">
        <v>71</v>
      </c>
    </row>
    <row r="2527" spans="1:9" x14ac:dyDescent="0.3">
      <c r="A2527" t="s">
        <v>7465</v>
      </c>
      <c r="B2527" t="s">
        <v>7466</v>
      </c>
      <c r="C2527" t="s">
        <v>54</v>
      </c>
      <c r="D2527" s="1">
        <v>45495</v>
      </c>
      <c r="E2527" t="s">
        <v>7467</v>
      </c>
      <c r="F2527" t="s">
        <v>13</v>
      </c>
      <c r="G2527" t="s">
        <v>14</v>
      </c>
      <c r="H2527" t="s">
        <v>15</v>
      </c>
      <c r="I2527" t="s">
        <v>181</v>
      </c>
    </row>
    <row r="2528" spans="1:9" x14ac:dyDescent="0.3">
      <c r="A2528" t="s">
        <v>7468</v>
      </c>
      <c r="B2528" t="s">
        <v>7469</v>
      </c>
      <c r="C2528" t="s">
        <v>33</v>
      </c>
      <c r="D2528" s="1">
        <v>45496</v>
      </c>
      <c r="E2528" t="s">
        <v>7470</v>
      </c>
      <c r="F2528" t="s">
        <v>13</v>
      </c>
      <c r="G2528" t="s">
        <v>14</v>
      </c>
      <c r="H2528" t="s">
        <v>15</v>
      </c>
      <c r="I2528" t="s">
        <v>51</v>
      </c>
    </row>
    <row r="2529" spans="1:9" x14ac:dyDescent="0.3">
      <c r="A2529" t="s">
        <v>7471</v>
      </c>
      <c r="B2529" t="s">
        <v>7472</v>
      </c>
      <c r="C2529" t="s">
        <v>54</v>
      </c>
      <c r="D2529" s="1">
        <v>45496</v>
      </c>
      <c r="E2529" t="s">
        <v>7473</v>
      </c>
      <c r="F2529" t="s">
        <v>13</v>
      </c>
      <c r="G2529" t="s">
        <v>14</v>
      </c>
      <c r="H2529" t="s">
        <v>15</v>
      </c>
      <c r="I2529" t="s">
        <v>181</v>
      </c>
    </row>
    <row r="2530" spans="1:9" x14ac:dyDescent="0.3">
      <c r="A2530" t="s">
        <v>7474</v>
      </c>
      <c r="B2530" t="s">
        <v>7475</v>
      </c>
      <c r="C2530" t="s">
        <v>45</v>
      </c>
      <c r="D2530" s="1">
        <v>45496</v>
      </c>
      <c r="E2530" t="s">
        <v>7476</v>
      </c>
      <c r="F2530" t="s">
        <v>13</v>
      </c>
      <c r="G2530" t="s">
        <v>14</v>
      </c>
      <c r="H2530" t="s">
        <v>15</v>
      </c>
      <c r="I2530" t="s">
        <v>47</v>
      </c>
    </row>
    <row r="2531" spans="1:9" x14ac:dyDescent="0.3">
      <c r="A2531" t="s">
        <v>7477</v>
      </c>
      <c r="B2531" t="s">
        <v>7478</v>
      </c>
      <c r="C2531" t="s">
        <v>29</v>
      </c>
      <c r="D2531" s="1">
        <v>45497</v>
      </c>
      <c r="E2531" t="s">
        <v>7479</v>
      </c>
      <c r="F2531" t="s">
        <v>13</v>
      </c>
      <c r="G2531" t="s">
        <v>14</v>
      </c>
      <c r="H2531" t="s">
        <v>15</v>
      </c>
      <c r="I2531" t="s">
        <v>81</v>
      </c>
    </row>
    <row r="2532" spans="1:9" x14ac:dyDescent="0.3">
      <c r="A2532" t="s">
        <v>7480</v>
      </c>
      <c r="B2532" t="s">
        <v>7481</v>
      </c>
      <c r="C2532" t="s">
        <v>45</v>
      </c>
      <c r="D2532" s="1">
        <v>45497</v>
      </c>
      <c r="E2532" t="s">
        <v>7482</v>
      </c>
      <c r="F2532" t="s">
        <v>13</v>
      </c>
      <c r="G2532" t="s">
        <v>14</v>
      </c>
      <c r="H2532" t="s">
        <v>15</v>
      </c>
      <c r="I2532" t="s">
        <v>248</v>
      </c>
    </row>
    <row r="2533" spans="1:9" x14ac:dyDescent="0.3">
      <c r="A2533" t="s">
        <v>7483</v>
      </c>
      <c r="B2533" t="s">
        <v>7484</v>
      </c>
      <c r="C2533" t="s">
        <v>11</v>
      </c>
      <c r="D2533" s="1">
        <v>45497</v>
      </c>
      <c r="E2533" t="s">
        <v>7485</v>
      </c>
      <c r="F2533" t="s">
        <v>13</v>
      </c>
      <c r="G2533" t="s">
        <v>14</v>
      </c>
      <c r="H2533" t="s">
        <v>15</v>
      </c>
    </row>
    <row r="2534" spans="1:9" x14ac:dyDescent="0.3">
      <c r="A2534" t="s">
        <v>7486</v>
      </c>
      <c r="B2534" t="s">
        <v>7487</v>
      </c>
      <c r="C2534" t="s">
        <v>19</v>
      </c>
      <c r="D2534" s="1">
        <v>45497</v>
      </c>
      <c r="E2534" t="s">
        <v>7488</v>
      </c>
      <c r="F2534" t="s">
        <v>13</v>
      </c>
      <c r="G2534" t="s">
        <v>14</v>
      </c>
      <c r="H2534" t="s">
        <v>15</v>
      </c>
      <c r="I2534" t="s">
        <v>21</v>
      </c>
    </row>
    <row r="2535" spans="1:9" x14ac:dyDescent="0.3">
      <c r="A2535" t="s">
        <v>7489</v>
      </c>
      <c r="B2535" t="s">
        <v>7490</v>
      </c>
      <c r="C2535" t="s">
        <v>33</v>
      </c>
      <c r="D2535" s="1">
        <v>45497</v>
      </c>
      <c r="E2535" t="s">
        <v>7491</v>
      </c>
      <c r="F2535" t="s">
        <v>13</v>
      </c>
      <c r="G2535" t="s">
        <v>14</v>
      </c>
      <c r="H2535" t="s">
        <v>15</v>
      </c>
      <c r="I2535" t="s">
        <v>51</v>
      </c>
    </row>
    <row r="2536" spans="1:9" x14ac:dyDescent="0.3">
      <c r="A2536" t="s">
        <v>7492</v>
      </c>
      <c r="B2536" t="s">
        <v>7493</v>
      </c>
      <c r="C2536" t="s">
        <v>69</v>
      </c>
      <c r="D2536" s="1">
        <v>45497</v>
      </c>
      <c r="E2536" t="s">
        <v>7494</v>
      </c>
      <c r="F2536" t="s">
        <v>13</v>
      </c>
      <c r="G2536" t="s">
        <v>14</v>
      </c>
      <c r="H2536" t="s">
        <v>15</v>
      </c>
      <c r="I2536" t="s">
        <v>71</v>
      </c>
    </row>
    <row r="2537" spans="1:9" x14ac:dyDescent="0.3">
      <c r="A2537" t="s">
        <v>7495</v>
      </c>
      <c r="B2537" t="s">
        <v>7496</v>
      </c>
      <c r="C2537" t="s">
        <v>11</v>
      </c>
      <c r="D2537" s="1">
        <v>45497</v>
      </c>
      <c r="E2537" t="s">
        <v>7497</v>
      </c>
      <c r="F2537" t="s">
        <v>13</v>
      </c>
      <c r="G2537" t="s">
        <v>14</v>
      </c>
      <c r="H2537" t="s">
        <v>15</v>
      </c>
      <c r="I2537" t="s">
        <v>38</v>
      </c>
    </row>
    <row r="2538" spans="1:9" x14ac:dyDescent="0.3">
      <c r="A2538" t="s">
        <v>6569</v>
      </c>
      <c r="B2538" t="s">
        <v>7498</v>
      </c>
      <c r="C2538" t="s">
        <v>19</v>
      </c>
      <c r="D2538" s="1">
        <v>45498</v>
      </c>
      <c r="E2538" t="s">
        <v>7499</v>
      </c>
      <c r="F2538" t="s">
        <v>13</v>
      </c>
      <c r="G2538" t="s">
        <v>14</v>
      </c>
      <c r="H2538" t="s">
        <v>15</v>
      </c>
      <c r="I2538" t="s">
        <v>116</v>
      </c>
    </row>
    <row r="2539" spans="1:9" x14ac:dyDescent="0.3">
      <c r="A2539" t="s">
        <v>6384</v>
      </c>
      <c r="B2539" t="s">
        <v>7500</v>
      </c>
      <c r="C2539" t="s">
        <v>19</v>
      </c>
      <c r="D2539" s="1">
        <v>45498</v>
      </c>
      <c r="E2539" t="s">
        <v>7501</v>
      </c>
      <c r="F2539" t="s">
        <v>13</v>
      </c>
      <c r="G2539" t="s">
        <v>14</v>
      </c>
      <c r="H2539" t="s">
        <v>15</v>
      </c>
      <c r="I2539" t="s">
        <v>116</v>
      </c>
    </row>
    <row r="2540" spans="1:9" x14ac:dyDescent="0.3">
      <c r="A2540" t="s">
        <v>7502</v>
      </c>
      <c r="B2540" t="s">
        <v>7503</v>
      </c>
      <c r="C2540" t="s">
        <v>24</v>
      </c>
      <c r="D2540" s="1">
        <v>45498</v>
      </c>
      <c r="E2540" t="s">
        <v>7504</v>
      </c>
      <c r="F2540" t="s">
        <v>13</v>
      </c>
      <c r="G2540" t="s">
        <v>14</v>
      </c>
      <c r="H2540" t="s">
        <v>15</v>
      </c>
      <c r="I2540" t="s">
        <v>63</v>
      </c>
    </row>
    <row r="2541" spans="1:9" x14ac:dyDescent="0.3">
      <c r="A2541" t="s">
        <v>7505</v>
      </c>
      <c r="B2541" t="s">
        <v>7506</v>
      </c>
      <c r="C2541" t="s">
        <v>33</v>
      </c>
      <c r="D2541" s="1">
        <v>45498</v>
      </c>
      <c r="E2541" t="s">
        <v>7507</v>
      </c>
      <c r="F2541" t="s">
        <v>13</v>
      </c>
      <c r="G2541" t="s">
        <v>14</v>
      </c>
      <c r="H2541" t="s">
        <v>15</v>
      </c>
    </row>
    <row r="2542" spans="1:9" x14ac:dyDescent="0.3">
      <c r="A2542" t="s">
        <v>7508</v>
      </c>
      <c r="B2542" t="s">
        <v>7509</v>
      </c>
      <c r="C2542" t="s">
        <v>24</v>
      </c>
      <c r="D2542" s="1">
        <v>45498</v>
      </c>
      <c r="E2542" t="s">
        <v>7510</v>
      </c>
      <c r="F2542" t="s">
        <v>13</v>
      </c>
      <c r="G2542" t="s">
        <v>14</v>
      </c>
      <c r="H2542" t="s">
        <v>15</v>
      </c>
    </row>
    <row r="2543" spans="1:9" x14ac:dyDescent="0.3">
      <c r="A2543" t="s">
        <v>7511</v>
      </c>
      <c r="B2543" t="s">
        <v>7512</v>
      </c>
      <c r="C2543" t="s">
        <v>11</v>
      </c>
      <c r="D2543" s="1">
        <v>45498</v>
      </c>
      <c r="E2543" t="s">
        <v>7513</v>
      </c>
      <c r="F2543" t="s">
        <v>13</v>
      </c>
      <c r="G2543" t="s">
        <v>14</v>
      </c>
      <c r="H2543" t="s">
        <v>15</v>
      </c>
      <c r="I2543" t="s">
        <v>185</v>
      </c>
    </row>
    <row r="2544" spans="1:9" x14ac:dyDescent="0.3">
      <c r="A2544" t="s">
        <v>7514</v>
      </c>
      <c r="B2544" t="s">
        <v>7515</v>
      </c>
      <c r="C2544" t="s">
        <v>11</v>
      </c>
      <c r="D2544" s="1">
        <v>45499</v>
      </c>
      <c r="E2544" t="s">
        <v>7516</v>
      </c>
      <c r="F2544" t="s">
        <v>13</v>
      </c>
      <c r="G2544" t="s">
        <v>14</v>
      </c>
      <c r="H2544" t="s">
        <v>15</v>
      </c>
      <c r="I2544" t="s">
        <v>16</v>
      </c>
    </row>
    <row r="2545" spans="1:9" x14ac:dyDescent="0.3">
      <c r="A2545" t="s">
        <v>7517</v>
      </c>
      <c r="B2545" t="s">
        <v>7518</v>
      </c>
      <c r="C2545" t="s">
        <v>69</v>
      </c>
      <c r="D2545" s="1">
        <v>45499</v>
      </c>
      <c r="E2545" t="s">
        <v>7519</v>
      </c>
      <c r="F2545" t="s">
        <v>13</v>
      </c>
      <c r="G2545" t="s">
        <v>14</v>
      </c>
      <c r="H2545" t="s">
        <v>15</v>
      </c>
      <c r="I2545" t="s">
        <v>71</v>
      </c>
    </row>
    <row r="2546" spans="1:9" x14ac:dyDescent="0.3">
      <c r="A2546" t="s">
        <v>7520</v>
      </c>
      <c r="B2546" t="s">
        <v>7521</v>
      </c>
      <c r="C2546" t="s">
        <v>69</v>
      </c>
      <c r="D2546" s="1">
        <v>45499</v>
      </c>
      <c r="E2546" t="s">
        <v>7522</v>
      </c>
      <c r="F2546" t="s">
        <v>13</v>
      </c>
      <c r="G2546" t="s">
        <v>14</v>
      </c>
      <c r="H2546" t="s">
        <v>15</v>
      </c>
      <c r="I2546" t="s">
        <v>71</v>
      </c>
    </row>
    <row r="2547" spans="1:9" x14ac:dyDescent="0.3">
      <c r="A2547" t="s">
        <v>7523</v>
      </c>
      <c r="B2547" t="s">
        <v>7524</v>
      </c>
      <c r="C2547" t="s">
        <v>69</v>
      </c>
      <c r="D2547" s="1">
        <v>45499</v>
      </c>
      <c r="E2547" t="s">
        <v>7525</v>
      </c>
      <c r="F2547" t="s">
        <v>13</v>
      </c>
      <c r="G2547" t="s">
        <v>14</v>
      </c>
      <c r="H2547" t="s">
        <v>15</v>
      </c>
      <c r="I2547" t="s">
        <v>71</v>
      </c>
    </row>
    <row r="2548" spans="1:9" x14ac:dyDescent="0.3">
      <c r="A2548" t="s">
        <v>7526</v>
      </c>
      <c r="B2548" t="s">
        <v>7527</v>
      </c>
      <c r="C2548" t="s">
        <v>45</v>
      </c>
      <c r="D2548" s="1">
        <v>45500</v>
      </c>
      <c r="E2548" t="s">
        <v>7528</v>
      </c>
      <c r="F2548" t="s">
        <v>13</v>
      </c>
      <c r="G2548" t="s">
        <v>14</v>
      </c>
      <c r="H2548" t="s">
        <v>15</v>
      </c>
      <c r="I2548" t="s">
        <v>47</v>
      </c>
    </row>
    <row r="2549" spans="1:9" x14ac:dyDescent="0.3">
      <c r="A2549" t="s">
        <v>7529</v>
      </c>
      <c r="B2549" t="s">
        <v>7530</v>
      </c>
      <c r="C2549" t="s">
        <v>45</v>
      </c>
      <c r="D2549" s="1">
        <v>45500</v>
      </c>
      <c r="E2549" t="s">
        <v>7531</v>
      </c>
      <c r="F2549" t="s">
        <v>13</v>
      </c>
      <c r="G2549" t="s">
        <v>14</v>
      </c>
      <c r="H2549" t="s">
        <v>15</v>
      </c>
    </row>
    <row r="2550" spans="1:9" x14ac:dyDescent="0.3">
      <c r="A2550" t="s">
        <v>7532</v>
      </c>
      <c r="B2550" t="s">
        <v>7533</v>
      </c>
      <c r="C2550" t="s">
        <v>33</v>
      </c>
      <c r="D2550" s="1">
        <v>45500</v>
      </c>
      <c r="E2550" t="s">
        <v>7534</v>
      </c>
      <c r="F2550" t="s">
        <v>13</v>
      </c>
      <c r="G2550" t="s">
        <v>14</v>
      </c>
      <c r="H2550" t="s">
        <v>15</v>
      </c>
      <c r="I2550" t="s">
        <v>51</v>
      </c>
    </row>
    <row r="2551" spans="1:9" x14ac:dyDescent="0.3">
      <c r="A2551" t="s">
        <v>7535</v>
      </c>
      <c r="B2551" t="s">
        <v>7536</v>
      </c>
      <c r="C2551" t="s">
        <v>69</v>
      </c>
      <c r="D2551" s="1">
        <v>45500</v>
      </c>
      <c r="E2551" t="s">
        <v>7537</v>
      </c>
      <c r="F2551" t="s">
        <v>13</v>
      </c>
      <c r="G2551" t="s">
        <v>14</v>
      </c>
      <c r="H2551" t="s">
        <v>15</v>
      </c>
    </row>
    <row r="2552" spans="1:9" x14ac:dyDescent="0.3">
      <c r="A2552" t="s">
        <v>7538</v>
      </c>
      <c r="B2552" t="s">
        <v>7539</v>
      </c>
      <c r="C2552" t="s">
        <v>29</v>
      </c>
      <c r="D2552" s="1">
        <v>45501</v>
      </c>
      <c r="E2552" t="s">
        <v>7540</v>
      </c>
      <c r="F2552" t="s">
        <v>13</v>
      </c>
      <c r="G2552" t="s">
        <v>14</v>
      </c>
      <c r="H2552" t="s">
        <v>15</v>
      </c>
      <c r="I2552" t="s">
        <v>81</v>
      </c>
    </row>
    <row r="2553" spans="1:9" x14ac:dyDescent="0.3">
      <c r="A2553" t="s">
        <v>7541</v>
      </c>
      <c r="B2553" t="s">
        <v>7542</v>
      </c>
      <c r="C2553" t="s">
        <v>33</v>
      </c>
      <c r="D2553" s="1">
        <v>45501</v>
      </c>
      <c r="E2553" t="s">
        <v>7543</v>
      </c>
      <c r="F2553" t="s">
        <v>13</v>
      </c>
      <c r="G2553" t="s">
        <v>14</v>
      </c>
      <c r="H2553" t="s">
        <v>15</v>
      </c>
      <c r="I2553" t="s">
        <v>51</v>
      </c>
    </row>
    <row r="2554" spans="1:9" x14ac:dyDescent="0.3">
      <c r="A2554" t="s">
        <v>7544</v>
      </c>
      <c r="B2554" t="s">
        <v>7545</v>
      </c>
      <c r="C2554" t="s">
        <v>11</v>
      </c>
      <c r="D2554" s="1">
        <v>45501</v>
      </c>
      <c r="E2554" t="s">
        <v>7546</v>
      </c>
      <c r="F2554" t="s">
        <v>13</v>
      </c>
      <c r="G2554" t="s">
        <v>14</v>
      </c>
      <c r="H2554" t="s">
        <v>15</v>
      </c>
      <c r="I2554" t="s">
        <v>38</v>
      </c>
    </row>
    <row r="2555" spans="1:9" x14ac:dyDescent="0.3">
      <c r="A2555" t="s">
        <v>7547</v>
      </c>
      <c r="B2555" t="s">
        <v>7548</v>
      </c>
      <c r="C2555" t="s">
        <v>29</v>
      </c>
      <c r="D2555" s="1">
        <v>45502</v>
      </c>
      <c r="E2555" t="s">
        <v>7549</v>
      </c>
      <c r="F2555" t="s">
        <v>13</v>
      </c>
      <c r="G2555" t="s">
        <v>14</v>
      </c>
      <c r="H2555" t="s">
        <v>15</v>
      </c>
      <c r="I2555" t="s">
        <v>81</v>
      </c>
    </row>
    <row r="2556" spans="1:9" x14ac:dyDescent="0.3">
      <c r="A2556" t="s">
        <v>7550</v>
      </c>
      <c r="B2556" t="s">
        <v>7551</v>
      </c>
      <c r="C2556" t="s">
        <v>29</v>
      </c>
      <c r="D2556" s="1">
        <v>45502</v>
      </c>
      <c r="E2556" t="s">
        <v>7552</v>
      </c>
      <c r="F2556" t="s">
        <v>13</v>
      </c>
      <c r="G2556" t="s">
        <v>14</v>
      </c>
      <c r="H2556" t="s">
        <v>15</v>
      </c>
      <c r="I2556" t="s">
        <v>42</v>
      </c>
    </row>
    <row r="2557" spans="1:9" x14ac:dyDescent="0.3">
      <c r="A2557" t="s">
        <v>7553</v>
      </c>
      <c r="B2557" t="s">
        <v>7554</v>
      </c>
      <c r="C2557" t="s">
        <v>11</v>
      </c>
      <c r="D2557" s="1">
        <v>45502</v>
      </c>
      <c r="E2557" t="s">
        <v>7555</v>
      </c>
      <c r="F2557" t="s">
        <v>13</v>
      </c>
      <c r="G2557" t="s">
        <v>14</v>
      </c>
      <c r="H2557" t="s">
        <v>15</v>
      </c>
      <c r="I2557" t="s">
        <v>38</v>
      </c>
    </row>
    <row r="2558" spans="1:9" x14ac:dyDescent="0.3">
      <c r="A2558" t="s">
        <v>7556</v>
      </c>
      <c r="B2558" t="s">
        <v>7557</v>
      </c>
      <c r="C2558" t="s">
        <v>69</v>
      </c>
      <c r="D2558" s="1">
        <v>45502</v>
      </c>
      <c r="E2558" t="s">
        <v>7558</v>
      </c>
      <c r="F2558" t="s">
        <v>13</v>
      </c>
      <c r="G2558" t="s">
        <v>14</v>
      </c>
      <c r="H2558" t="s">
        <v>15</v>
      </c>
      <c r="I2558" t="s">
        <v>71</v>
      </c>
    </row>
    <row r="2559" spans="1:9" x14ac:dyDescent="0.3">
      <c r="A2559" t="s">
        <v>5922</v>
      </c>
      <c r="B2559" t="s">
        <v>7559</v>
      </c>
      <c r="C2559" t="s">
        <v>19</v>
      </c>
      <c r="D2559" s="1">
        <v>45502</v>
      </c>
      <c r="E2559" t="s">
        <v>7560</v>
      </c>
      <c r="F2559" t="s">
        <v>13</v>
      </c>
      <c r="G2559" t="s">
        <v>14</v>
      </c>
      <c r="H2559" t="s">
        <v>15</v>
      </c>
    </row>
    <row r="2560" spans="1:9" x14ac:dyDescent="0.3">
      <c r="A2560" t="s">
        <v>7561</v>
      </c>
      <c r="B2560" t="s">
        <v>7562</v>
      </c>
      <c r="C2560" t="s">
        <v>33</v>
      </c>
      <c r="D2560" s="1">
        <v>45502</v>
      </c>
      <c r="E2560" t="s">
        <v>7563</v>
      </c>
      <c r="F2560" t="s">
        <v>13</v>
      </c>
      <c r="G2560" t="s">
        <v>14</v>
      </c>
      <c r="H2560" t="s">
        <v>15</v>
      </c>
      <c r="I2560" t="s">
        <v>51</v>
      </c>
    </row>
    <row r="2561" spans="1:9" x14ac:dyDescent="0.3">
      <c r="A2561" t="s">
        <v>6179</v>
      </c>
      <c r="B2561" t="s">
        <v>7564</v>
      </c>
      <c r="C2561" t="s">
        <v>19</v>
      </c>
      <c r="D2561" s="1">
        <v>45503</v>
      </c>
      <c r="E2561" t="s">
        <v>7565</v>
      </c>
      <c r="F2561" t="s">
        <v>13</v>
      </c>
      <c r="G2561" t="s">
        <v>14</v>
      </c>
      <c r="H2561" t="s">
        <v>15</v>
      </c>
      <c r="I2561" t="s">
        <v>21</v>
      </c>
    </row>
    <row r="2562" spans="1:9" x14ac:dyDescent="0.3">
      <c r="A2562" t="s">
        <v>7566</v>
      </c>
      <c r="B2562" t="s">
        <v>7567</v>
      </c>
      <c r="C2562" t="s">
        <v>69</v>
      </c>
      <c r="D2562" s="1">
        <v>45503</v>
      </c>
      <c r="E2562" t="s">
        <v>7568</v>
      </c>
      <c r="F2562" t="s">
        <v>13</v>
      </c>
      <c r="G2562" t="s">
        <v>14</v>
      </c>
      <c r="H2562" t="s">
        <v>15</v>
      </c>
      <c r="I2562" t="s">
        <v>71</v>
      </c>
    </row>
    <row r="2563" spans="1:9" x14ac:dyDescent="0.3">
      <c r="A2563" t="s">
        <v>6188</v>
      </c>
      <c r="B2563" t="s">
        <v>7569</v>
      </c>
      <c r="C2563" t="s">
        <v>19</v>
      </c>
      <c r="D2563" s="1">
        <v>45503</v>
      </c>
      <c r="E2563" t="s">
        <v>7570</v>
      </c>
      <c r="F2563" t="s">
        <v>13</v>
      </c>
      <c r="G2563" t="s">
        <v>14</v>
      </c>
      <c r="H2563" t="s">
        <v>15</v>
      </c>
      <c r="I2563" t="s">
        <v>21</v>
      </c>
    </row>
    <row r="2564" spans="1:9" x14ac:dyDescent="0.3">
      <c r="A2564" t="s">
        <v>7571</v>
      </c>
      <c r="B2564" t="s">
        <v>7572</v>
      </c>
      <c r="C2564" t="s">
        <v>45</v>
      </c>
      <c r="D2564" s="1">
        <v>45504</v>
      </c>
      <c r="E2564" t="s">
        <v>7573</v>
      </c>
      <c r="F2564" t="s">
        <v>13</v>
      </c>
      <c r="G2564" t="s">
        <v>14</v>
      </c>
      <c r="H2564" t="s">
        <v>15</v>
      </c>
      <c r="I2564" t="s">
        <v>248</v>
      </c>
    </row>
    <row r="2565" spans="1:9" x14ac:dyDescent="0.3">
      <c r="A2565" t="s">
        <v>5997</v>
      </c>
      <c r="B2565" t="s">
        <v>7574</v>
      </c>
      <c r="C2565" t="s">
        <v>19</v>
      </c>
      <c r="D2565" s="1">
        <v>45504</v>
      </c>
      <c r="E2565" t="s">
        <v>7575</v>
      </c>
      <c r="F2565" t="s">
        <v>13</v>
      </c>
      <c r="G2565" t="s">
        <v>14</v>
      </c>
      <c r="H2565" t="s">
        <v>15</v>
      </c>
      <c r="I2565" t="s">
        <v>21</v>
      </c>
    </row>
    <row r="2566" spans="1:9" x14ac:dyDescent="0.3">
      <c r="A2566" t="s">
        <v>7576</v>
      </c>
      <c r="B2566" t="s">
        <v>7577</v>
      </c>
      <c r="C2566" t="s">
        <v>11</v>
      </c>
      <c r="D2566" s="1">
        <v>45504</v>
      </c>
      <c r="E2566" t="s">
        <v>7578</v>
      </c>
      <c r="F2566" t="s">
        <v>13</v>
      </c>
      <c r="G2566" t="s">
        <v>14</v>
      </c>
      <c r="H2566" t="s">
        <v>15</v>
      </c>
      <c r="I2566" t="s">
        <v>185</v>
      </c>
    </row>
    <row r="2567" spans="1:9" x14ac:dyDescent="0.3">
      <c r="A2567" t="s">
        <v>7579</v>
      </c>
      <c r="B2567" t="s">
        <v>7580</v>
      </c>
      <c r="C2567" t="s">
        <v>19</v>
      </c>
      <c r="D2567" s="1">
        <v>45505</v>
      </c>
      <c r="E2567" t="s">
        <v>7581</v>
      </c>
      <c r="F2567" t="s">
        <v>13</v>
      </c>
      <c r="G2567" t="s">
        <v>14</v>
      </c>
      <c r="H2567" t="s">
        <v>15</v>
      </c>
      <c r="I2567" t="s">
        <v>116</v>
      </c>
    </row>
    <row r="2568" spans="1:9" x14ac:dyDescent="0.3">
      <c r="A2568" t="s">
        <v>7582</v>
      </c>
      <c r="B2568" t="s">
        <v>7583</v>
      </c>
      <c r="C2568" t="s">
        <v>19</v>
      </c>
      <c r="D2568" s="1">
        <v>45506</v>
      </c>
      <c r="E2568" t="s">
        <v>7584</v>
      </c>
      <c r="F2568" t="s">
        <v>13</v>
      </c>
      <c r="G2568" t="s">
        <v>14</v>
      </c>
      <c r="H2568" t="s">
        <v>15</v>
      </c>
      <c r="I2568" t="s">
        <v>116</v>
      </c>
    </row>
    <row r="2569" spans="1:9" x14ac:dyDescent="0.3">
      <c r="A2569" t="s">
        <v>7585</v>
      </c>
      <c r="B2569" t="s">
        <v>7586</v>
      </c>
      <c r="C2569" t="s">
        <v>69</v>
      </c>
      <c r="D2569" s="1">
        <v>45506</v>
      </c>
      <c r="E2569" t="s">
        <v>7587</v>
      </c>
      <c r="F2569" t="s">
        <v>13</v>
      </c>
      <c r="G2569" t="s">
        <v>14</v>
      </c>
      <c r="H2569" t="s">
        <v>15</v>
      </c>
      <c r="I2569" t="s">
        <v>71</v>
      </c>
    </row>
    <row r="2570" spans="1:9" x14ac:dyDescent="0.3">
      <c r="A2570" t="s">
        <v>7588</v>
      </c>
      <c r="B2570" t="s">
        <v>7589</v>
      </c>
      <c r="C2570" t="s">
        <v>11</v>
      </c>
      <c r="D2570" s="1">
        <v>45506</v>
      </c>
      <c r="E2570" t="s">
        <v>7590</v>
      </c>
      <c r="F2570" t="s">
        <v>13</v>
      </c>
      <c r="G2570" t="s">
        <v>14</v>
      </c>
      <c r="H2570" t="s">
        <v>15</v>
      </c>
      <c r="I2570" t="s">
        <v>38</v>
      </c>
    </row>
    <row r="2571" spans="1:9" x14ac:dyDescent="0.3">
      <c r="A2571" t="s">
        <v>7591</v>
      </c>
      <c r="B2571" t="s">
        <v>7592</v>
      </c>
      <c r="C2571" t="s">
        <v>69</v>
      </c>
      <c r="D2571" s="1">
        <v>45507</v>
      </c>
      <c r="E2571" t="s">
        <v>7593</v>
      </c>
      <c r="F2571" t="s">
        <v>13</v>
      </c>
      <c r="G2571" t="s">
        <v>14</v>
      </c>
      <c r="H2571" t="s">
        <v>15</v>
      </c>
      <c r="I2571" t="s">
        <v>71</v>
      </c>
    </row>
    <row r="2572" spans="1:9" x14ac:dyDescent="0.3">
      <c r="A2572" t="s">
        <v>7594</v>
      </c>
      <c r="B2572" t="s">
        <v>7595</v>
      </c>
      <c r="C2572" t="s">
        <v>29</v>
      </c>
      <c r="D2572" s="1">
        <v>45508</v>
      </c>
      <c r="E2572" t="s">
        <v>7596</v>
      </c>
      <c r="F2572" t="s">
        <v>13</v>
      </c>
      <c r="G2572" t="s">
        <v>14</v>
      </c>
      <c r="H2572" t="s">
        <v>15</v>
      </c>
      <c r="I2572" t="s">
        <v>81</v>
      </c>
    </row>
    <row r="2573" spans="1:9" x14ac:dyDescent="0.3">
      <c r="A2573" t="s">
        <v>7597</v>
      </c>
      <c r="B2573" t="s">
        <v>7598</v>
      </c>
      <c r="C2573" t="s">
        <v>11</v>
      </c>
      <c r="D2573" s="1">
        <v>45508</v>
      </c>
      <c r="E2573" t="s">
        <v>7599</v>
      </c>
      <c r="F2573" t="s">
        <v>13</v>
      </c>
      <c r="G2573" t="s">
        <v>14</v>
      </c>
      <c r="H2573" t="s">
        <v>15</v>
      </c>
      <c r="I2573" t="s">
        <v>16</v>
      </c>
    </row>
    <row r="2574" spans="1:9" x14ac:dyDescent="0.3">
      <c r="A2574" t="s">
        <v>7600</v>
      </c>
      <c r="B2574" t="s">
        <v>7601</v>
      </c>
      <c r="C2574" t="s">
        <v>54</v>
      </c>
      <c r="D2574" s="1">
        <v>45508</v>
      </c>
      <c r="E2574" t="s">
        <v>7602</v>
      </c>
      <c r="F2574" t="s">
        <v>13</v>
      </c>
      <c r="G2574" t="s">
        <v>14</v>
      </c>
      <c r="H2574" t="s">
        <v>15</v>
      </c>
      <c r="I2574" t="s">
        <v>238</v>
      </c>
    </row>
    <row r="2575" spans="1:9" x14ac:dyDescent="0.3">
      <c r="A2575" t="s">
        <v>7603</v>
      </c>
      <c r="B2575" t="s">
        <v>7604</v>
      </c>
      <c r="C2575" t="s">
        <v>19</v>
      </c>
      <c r="D2575" s="1">
        <v>45508</v>
      </c>
      <c r="E2575" t="s">
        <v>7605</v>
      </c>
      <c r="F2575" t="s">
        <v>13</v>
      </c>
      <c r="G2575" t="s">
        <v>14</v>
      </c>
      <c r="H2575" t="s">
        <v>15</v>
      </c>
      <c r="I2575" t="s">
        <v>116</v>
      </c>
    </row>
    <row r="2576" spans="1:9" x14ac:dyDescent="0.3">
      <c r="A2576" t="s">
        <v>7606</v>
      </c>
      <c r="B2576" t="s">
        <v>7607</v>
      </c>
      <c r="C2576" t="s">
        <v>45</v>
      </c>
      <c r="D2576" s="1">
        <v>45509</v>
      </c>
      <c r="E2576" t="s">
        <v>7608</v>
      </c>
      <c r="F2576" t="s">
        <v>13</v>
      </c>
      <c r="G2576" t="s">
        <v>14</v>
      </c>
      <c r="H2576" t="s">
        <v>15</v>
      </c>
      <c r="I2576" t="s">
        <v>47</v>
      </c>
    </row>
    <row r="2577" spans="1:9" x14ac:dyDescent="0.3">
      <c r="A2577" t="s">
        <v>7609</v>
      </c>
      <c r="B2577" t="s">
        <v>7610</v>
      </c>
      <c r="C2577" t="s">
        <v>54</v>
      </c>
      <c r="D2577" s="1">
        <v>45510</v>
      </c>
      <c r="E2577" t="s">
        <v>7611</v>
      </c>
      <c r="F2577" t="s">
        <v>13</v>
      </c>
      <c r="G2577" t="s">
        <v>14</v>
      </c>
      <c r="H2577" t="s">
        <v>15</v>
      </c>
      <c r="I2577" t="s">
        <v>238</v>
      </c>
    </row>
    <row r="2578" spans="1:9" x14ac:dyDescent="0.3">
      <c r="A2578" t="s">
        <v>7612</v>
      </c>
      <c r="B2578" t="s">
        <v>7613</v>
      </c>
      <c r="C2578" t="s">
        <v>11</v>
      </c>
      <c r="D2578" s="1">
        <v>45510</v>
      </c>
      <c r="E2578" t="s">
        <v>7614</v>
      </c>
      <c r="F2578" t="s">
        <v>13</v>
      </c>
      <c r="G2578" t="s">
        <v>14</v>
      </c>
      <c r="H2578" t="s">
        <v>15</v>
      </c>
      <c r="I2578" t="s">
        <v>185</v>
      </c>
    </row>
    <row r="2579" spans="1:9" x14ac:dyDescent="0.3">
      <c r="A2579" t="s">
        <v>7615</v>
      </c>
      <c r="B2579" t="s">
        <v>7616</v>
      </c>
      <c r="C2579" t="s">
        <v>33</v>
      </c>
      <c r="D2579" s="1">
        <v>45510</v>
      </c>
      <c r="E2579" t="s">
        <v>7617</v>
      </c>
      <c r="F2579" t="s">
        <v>13</v>
      </c>
      <c r="G2579" t="s">
        <v>14</v>
      </c>
      <c r="H2579" t="s">
        <v>15</v>
      </c>
      <c r="I2579" t="s">
        <v>94</v>
      </c>
    </row>
    <row r="2580" spans="1:9" x14ac:dyDescent="0.3">
      <c r="A2580" t="s">
        <v>7618</v>
      </c>
      <c r="B2580" t="s">
        <v>7619</v>
      </c>
      <c r="C2580" t="s">
        <v>33</v>
      </c>
      <c r="D2580" s="1">
        <v>45510</v>
      </c>
      <c r="E2580" t="s">
        <v>7620</v>
      </c>
      <c r="F2580" t="s">
        <v>13</v>
      </c>
      <c r="G2580" t="s">
        <v>14</v>
      </c>
      <c r="H2580" t="s">
        <v>15</v>
      </c>
      <c r="I2580" t="s">
        <v>94</v>
      </c>
    </row>
    <row r="2581" spans="1:9" x14ac:dyDescent="0.3">
      <c r="A2581" t="s">
        <v>7621</v>
      </c>
      <c r="B2581" t="s">
        <v>7622</v>
      </c>
      <c r="C2581" t="s">
        <v>24</v>
      </c>
      <c r="D2581" s="1">
        <v>45510</v>
      </c>
      <c r="E2581" t="s">
        <v>7623</v>
      </c>
      <c r="F2581" t="s">
        <v>13</v>
      </c>
      <c r="G2581" t="s">
        <v>14</v>
      </c>
      <c r="H2581" t="s">
        <v>15</v>
      </c>
      <c r="I2581" t="s">
        <v>63</v>
      </c>
    </row>
    <row r="2582" spans="1:9" x14ac:dyDescent="0.3">
      <c r="A2582" t="s">
        <v>7624</v>
      </c>
      <c r="B2582" t="s">
        <v>7625</v>
      </c>
      <c r="C2582" t="s">
        <v>69</v>
      </c>
      <c r="D2582" s="1">
        <v>45510</v>
      </c>
      <c r="E2582" t="s">
        <v>7626</v>
      </c>
      <c r="F2582" t="s">
        <v>13</v>
      </c>
      <c r="G2582" t="s">
        <v>14</v>
      </c>
      <c r="H2582" t="s">
        <v>15</v>
      </c>
      <c r="I2582" t="s">
        <v>71</v>
      </c>
    </row>
    <row r="2583" spans="1:9" x14ac:dyDescent="0.3">
      <c r="A2583" t="s">
        <v>7627</v>
      </c>
      <c r="B2583" t="s">
        <v>7628</v>
      </c>
      <c r="C2583" t="s">
        <v>29</v>
      </c>
      <c r="D2583" s="1">
        <v>45510</v>
      </c>
      <c r="E2583" t="s">
        <v>7629</v>
      </c>
      <c r="F2583" t="s">
        <v>13</v>
      </c>
      <c r="G2583" t="s">
        <v>14</v>
      </c>
      <c r="H2583" t="s">
        <v>15</v>
      </c>
      <c r="I2583" t="s">
        <v>204</v>
      </c>
    </row>
    <row r="2584" spans="1:9" x14ac:dyDescent="0.3">
      <c r="A2584" t="s">
        <v>7630</v>
      </c>
      <c r="B2584" t="s">
        <v>7631</v>
      </c>
      <c r="C2584" t="s">
        <v>11</v>
      </c>
      <c r="D2584" s="1">
        <v>45511</v>
      </c>
      <c r="E2584" t="s">
        <v>7632</v>
      </c>
      <c r="F2584" t="s">
        <v>13</v>
      </c>
      <c r="G2584" t="s">
        <v>14</v>
      </c>
      <c r="H2584" t="s">
        <v>15</v>
      </c>
      <c r="I2584" t="s">
        <v>38</v>
      </c>
    </row>
    <row r="2585" spans="1:9" x14ac:dyDescent="0.3">
      <c r="A2585" t="s">
        <v>7633</v>
      </c>
      <c r="B2585" t="s">
        <v>7634</v>
      </c>
      <c r="C2585" t="s">
        <v>33</v>
      </c>
      <c r="D2585" s="1">
        <v>45511</v>
      </c>
      <c r="E2585" t="s">
        <v>7635</v>
      </c>
      <c r="F2585" t="s">
        <v>13</v>
      </c>
      <c r="G2585" t="s">
        <v>14</v>
      </c>
      <c r="H2585" t="s">
        <v>15</v>
      </c>
      <c r="I2585" t="s">
        <v>94</v>
      </c>
    </row>
    <row r="2586" spans="1:9" x14ac:dyDescent="0.3">
      <c r="A2586" t="s">
        <v>7636</v>
      </c>
      <c r="B2586" t="s">
        <v>7637</v>
      </c>
      <c r="C2586" t="s">
        <v>69</v>
      </c>
      <c r="D2586" s="1">
        <v>45511</v>
      </c>
      <c r="E2586" t="s">
        <v>7638</v>
      </c>
      <c r="F2586" t="s">
        <v>13</v>
      </c>
      <c r="G2586" t="s">
        <v>14</v>
      </c>
      <c r="H2586" t="s">
        <v>15</v>
      </c>
    </row>
    <row r="2587" spans="1:9" x14ac:dyDescent="0.3">
      <c r="A2587" t="s">
        <v>7639</v>
      </c>
      <c r="B2587" t="s">
        <v>7640</v>
      </c>
      <c r="C2587" t="s">
        <v>24</v>
      </c>
      <c r="D2587" s="1">
        <v>45511</v>
      </c>
      <c r="E2587" t="s">
        <v>7641</v>
      </c>
      <c r="F2587" t="s">
        <v>13</v>
      </c>
      <c r="G2587" t="s">
        <v>14</v>
      </c>
      <c r="H2587" t="s">
        <v>15</v>
      </c>
      <c r="I2587" t="s">
        <v>63</v>
      </c>
    </row>
    <row r="2588" spans="1:9" x14ac:dyDescent="0.3">
      <c r="A2588" t="s">
        <v>7642</v>
      </c>
      <c r="B2588" t="s">
        <v>7643</v>
      </c>
      <c r="C2588" t="s">
        <v>69</v>
      </c>
      <c r="D2588" s="1">
        <v>45511</v>
      </c>
      <c r="E2588" t="s">
        <v>7644</v>
      </c>
      <c r="F2588" t="s">
        <v>13</v>
      </c>
      <c r="G2588" t="s">
        <v>14</v>
      </c>
      <c r="H2588" t="s">
        <v>15</v>
      </c>
      <c r="I2588" t="s">
        <v>71</v>
      </c>
    </row>
    <row r="2589" spans="1:9" x14ac:dyDescent="0.3">
      <c r="A2589" t="s">
        <v>7645</v>
      </c>
      <c r="B2589" t="s">
        <v>7646</v>
      </c>
      <c r="C2589" t="s">
        <v>24</v>
      </c>
      <c r="D2589" s="1">
        <v>45511</v>
      </c>
      <c r="E2589" t="s">
        <v>7647</v>
      </c>
      <c r="F2589" t="s">
        <v>13</v>
      </c>
      <c r="G2589" t="s">
        <v>14</v>
      </c>
      <c r="H2589" t="s">
        <v>15</v>
      </c>
      <c r="I2589" t="s">
        <v>59</v>
      </c>
    </row>
    <row r="2590" spans="1:9" x14ac:dyDescent="0.3">
      <c r="A2590" t="s">
        <v>7648</v>
      </c>
      <c r="B2590" t="s">
        <v>7649</v>
      </c>
      <c r="C2590" t="s">
        <v>33</v>
      </c>
      <c r="D2590" s="1">
        <v>45511</v>
      </c>
      <c r="E2590" t="s">
        <v>7650</v>
      </c>
      <c r="F2590" t="s">
        <v>13</v>
      </c>
      <c r="G2590" t="s">
        <v>14</v>
      </c>
      <c r="H2590" t="s">
        <v>15</v>
      </c>
    </row>
    <row r="2591" spans="1:9" x14ac:dyDescent="0.3">
      <c r="A2591" t="s">
        <v>7651</v>
      </c>
      <c r="B2591" t="s">
        <v>7652</v>
      </c>
      <c r="C2591" t="s">
        <v>29</v>
      </c>
      <c r="D2591" s="1">
        <v>45512</v>
      </c>
      <c r="E2591" t="s">
        <v>7653</v>
      </c>
      <c r="F2591" t="s">
        <v>13</v>
      </c>
      <c r="G2591" t="s">
        <v>14</v>
      </c>
      <c r="H2591" t="s">
        <v>15</v>
      </c>
      <c r="I2591" t="s">
        <v>81</v>
      </c>
    </row>
    <row r="2592" spans="1:9" x14ac:dyDescent="0.3">
      <c r="A2592" t="s">
        <v>7654</v>
      </c>
      <c r="B2592" t="s">
        <v>7655</v>
      </c>
      <c r="C2592" t="s">
        <v>24</v>
      </c>
      <c r="D2592" s="1">
        <v>45512</v>
      </c>
      <c r="E2592" t="s">
        <v>7656</v>
      </c>
      <c r="F2592" t="s">
        <v>13</v>
      </c>
      <c r="G2592" t="s">
        <v>14</v>
      </c>
      <c r="H2592" t="s">
        <v>15</v>
      </c>
    </row>
    <row r="2593" spans="1:9" x14ac:dyDescent="0.3">
      <c r="A2593" t="s">
        <v>7657</v>
      </c>
      <c r="B2593" t="s">
        <v>7658</v>
      </c>
      <c r="C2593" t="s">
        <v>45</v>
      </c>
      <c r="D2593" s="1">
        <v>45512</v>
      </c>
      <c r="E2593" t="s">
        <v>7659</v>
      </c>
      <c r="F2593" t="s">
        <v>13</v>
      </c>
      <c r="G2593" t="s">
        <v>14</v>
      </c>
      <c r="H2593" t="s">
        <v>15</v>
      </c>
      <c r="I2593" t="s">
        <v>248</v>
      </c>
    </row>
    <row r="2594" spans="1:9" x14ac:dyDescent="0.3">
      <c r="A2594" t="s">
        <v>7660</v>
      </c>
      <c r="B2594" t="s">
        <v>7661</v>
      </c>
      <c r="C2594" t="s">
        <v>24</v>
      </c>
      <c r="D2594" s="1">
        <v>45512</v>
      </c>
      <c r="E2594" t="s">
        <v>7662</v>
      </c>
      <c r="F2594" t="s">
        <v>13</v>
      </c>
      <c r="G2594" t="s">
        <v>14</v>
      </c>
      <c r="H2594" t="s">
        <v>15</v>
      </c>
      <c r="I2594" t="s">
        <v>59</v>
      </c>
    </row>
    <row r="2595" spans="1:9" x14ac:dyDescent="0.3">
      <c r="A2595" t="s">
        <v>7663</v>
      </c>
      <c r="B2595" t="s">
        <v>7664</v>
      </c>
      <c r="C2595" t="s">
        <v>69</v>
      </c>
      <c r="D2595" s="1">
        <v>45512</v>
      </c>
      <c r="E2595" t="s">
        <v>7665</v>
      </c>
      <c r="F2595" t="s">
        <v>13</v>
      </c>
      <c r="G2595" t="s">
        <v>14</v>
      </c>
      <c r="H2595" t="s">
        <v>15</v>
      </c>
      <c r="I2595" t="s">
        <v>71</v>
      </c>
    </row>
    <row r="2596" spans="1:9" x14ac:dyDescent="0.3">
      <c r="A2596" t="s">
        <v>7666</v>
      </c>
      <c r="B2596" t="s">
        <v>7667</v>
      </c>
      <c r="C2596" t="s">
        <v>29</v>
      </c>
      <c r="D2596" s="1">
        <v>45512</v>
      </c>
      <c r="E2596" t="s">
        <v>7668</v>
      </c>
      <c r="F2596" t="s">
        <v>13</v>
      </c>
      <c r="G2596" t="s">
        <v>14</v>
      </c>
      <c r="H2596" t="s">
        <v>15</v>
      </c>
      <c r="I2596" t="s">
        <v>204</v>
      </c>
    </row>
    <row r="2597" spans="1:9" x14ac:dyDescent="0.3">
      <c r="A2597" t="s">
        <v>7669</v>
      </c>
      <c r="B2597" t="s">
        <v>7670</v>
      </c>
      <c r="C2597" t="s">
        <v>54</v>
      </c>
      <c r="D2597" s="1">
        <v>45513</v>
      </c>
      <c r="E2597" t="s">
        <v>7671</v>
      </c>
      <c r="F2597" t="s">
        <v>13</v>
      </c>
      <c r="G2597" t="s">
        <v>14</v>
      </c>
      <c r="H2597" t="s">
        <v>15</v>
      </c>
    </row>
    <row r="2598" spans="1:9" x14ac:dyDescent="0.3">
      <c r="A2598" t="s">
        <v>7672</v>
      </c>
      <c r="B2598" t="s">
        <v>7673</v>
      </c>
      <c r="C2598" t="s">
        <v>33</v>
      </c>
      <c r="D2598" s="1">
        <v>45514</v>
      </c>
      <c r="E2598" t="s">
        <v>7674</v>
      </c>
      <c r="F2598" t="s">
        <v>13</v>
      </c>
      <c r="G2598" t="s">
        <v>14</v>
      </c>
      <c r="H2598" t="s">
        <v>15</v>
      </c>
      <c r="I2598" t="s">
        <v>51</v>
      </c>
    </row>
    <row r="2599" spans="1:9" x14ac:dyDescent="0.3">
      <c r="A2599" t="s">
        <v>7675</v>
      </c>
      <c r="B2599" t="s">
        <v>7676</v>
      </c>
      <c r="C2599" t="s">
        <v>69</v>
      </c>
      <c r="D2599" s="1">
        <v>45514</v>
      </c>
      <c r="E2599" t="s">
        <v>7677</v>
      </c>
      <c r="F2599" t="s">
        <v>13</v>
      </c>
      <c r="G2599" t="s">
        <v>14</v>
      </c>
      <c r="H2599" t="s">
        <v>15</v>
      </c>
      <c r="I2599" t="s">
        <v>71</v>
      </c>
    </row>
    <row r="2600" spans="1:9" x14ac:dyDescent="0.3">
      <c r="A2600" t="s">
        <v>5970</v>
      </c>
      <c r="B2600" t="s">
        <v>7678</v>
      </c>
      <c r="C2600" t="s">
        <v>19</v>
      </c>
      <c r="D2600" s="1">
        <v>45514</v>
      </c>
      <c r="E2600" t="s">
        <v>7679</v>
      </c>
      <c r="F2600" t="s">
        <v>13</v>
      </c>
      <c r="G2600" t="s">
        <v>14</v>
      </c>
      <c r="H2600" t="s">
        <v>15</v>
      </c>
      <c r="I2600" t="s">
        <v>116</v>
      </c>
    </row>
    <row r="2601" spans="1:9" x14ac:dyDescent="0.3">
      <c r="A2601" t="s">
        <v>7680</v>
      </c>
      <c r="B2601" t="s">
        <v>7681</v>
      </c>
      <c r="C2601" t="s">
        <v>45</v>
      </c>
      <c r="D2601" s="1">
        <v>45514</v>
      </c>
      <c r="E2601" t="s">
        <v>7682</v>
      </c>
      <c r="F2601" t="s">
        <v>13</v>
      </c>
      <c r="G2601" t="s">
        <v>14</v>
      </c>
      <c r="H2601" t="s">
        <v>15</v>
      </c>
    </row>
    <row r="2602" spans="1:9" x14ac:dyDescent="0.3">
      <c r="A2602" t="s">
        <v>7683</v>
      </c>
      <c r="B2602" t="s">
        <v>7684</v>
      </c>
      <c r="C2602" t="s">
        <v>33</v>
      </c>
      <c r="D2602" s="1">
        <v>45515</v>
      </c>
      <c r="E2602" t="s">
        <v>7685</v>
      </c>
      <c r="F2602" t="s">
        <v>13</v>
      </c>
      <c r="G2602" t="s">
        <v>14</v>
      </c>
      <c r="H2602" t="s">
        <v>15</v>
      </c>
      <c r="I2602" t="s">
        <v>94</v>
      </c>
    </row>
    <row r="2603" spans="1:9" x14ac:dyDescent="0.3">
      <c r="A2603" t="s">
        <v>6575</v>
      </c>
      <c r="B2603" t="s">
        <v>7686</v>
      </c>
      <c r="C2603" t="s">
        <v>19</v>
      </c>
      <c r="D2603" s="1">
        <v>45515</v>
      </c>
      <c r="E2603" t="s">
        <v>7687</v>
      </c>
      <c r="F2603" t="s">
        <v>13</v>
      </c>
      <c r="G2603" t="s">
        <v>174</v>
      </c>
      <c r="H2603" t="s">
        <v>15</v>
      </c>
      <c r="I2603" t="s">
        <v>21</v>
      </c>
    </row>
    <row r="2604" spans="1:9" x14ac:dyDescent="0.3">
      <c r="A2604" t="s">
        <v>7688</v>
      </c>
      <c r="B2604" t="s">
        <v>7689</v>
      </c>
      <c r="C2604" t="s">
        <v>33</v>
      </c>
      <c r="D2604" s="1">
        <v>45516</v>
      </c>
      <c r="E2604" t="s">
        <v>7690</v>
      </c>
      <c r="F2604" t="s">
        <v>13</v>
      </c>
      <c r="G2604" t="s">
        <v>14</v>
      </c>
      <c r="H2604" t="s">
        <v>15</v>
      </c>
      <c r="I2604" t="s">
        <v>94</v>
      </c>
    </row>
    <row r="2605" spans="1:9" x14ac:dyDescent="0.3">
      <c r="A2605" t="s">
        <v>7691</v>
      </c>
      <c r="B2605" t="s">
        <v>7692</v>
      </c>
      <c r="C2605" t="s">
        <v>24</v>
      </c>
      <c r="D2605" s="1">
        <v>45516</v>
      </c>
      <c r="E2605" t="s">
        <v>7693</v>
      </c>
      <c r="F2605" t="s">
        <v>13</v>
      </c>
      <c r="G2605" t="s">
        <v>14</v>
      </c>
      <c r="H2605" t="s">
        <v>15</v>
      </c>
      <c r="I2605" t="s">
        <v>59</v>
      </c>
    </row>
    <row r="2606" spans="1:9" x14ac:dyDescent="0.3">
      <c r="A2606" t="s">
        <v>7694</v>
      </c>
      <c r="B2606" t="s">
        <v>7695</v>
      </c>
      <c r="C2606" t="s">
        <v>69</v>
      </c>
      <c r="D2606" s="1">
        <v>45517</v>
      </c>
      <c r="E2606" t="s">
        <v>7696</v>
      </c>
      <c r="F2606" t="s">
        <v>13</v>
      </c>
      <c r="G2606" t="s">
        <v>14</v>
      </c>
      <c r="H2606" t="s">
        <v>15</v>
      </c>
      <c r="I2606" t="s">
        <v>71</v>
      </c>
    </row>
    <row r="2607" spans="1:9" x14ac:dyDescent="0.3">
      <c r="A2607" t="s">
        <v>7697</v>
      </c>
      <c r="B2607" t="s">
        <v>7698</v>
      </c>
      <c r="C2607" t="s">
        <v>33</v>
      </c>
      <c r="D2607" s="1">
        <v>45517</v>
      </c>
      <c r="E2607" t="s">
        <v>7699</v>
      </c>
      <c r="F2607" t="s">
        <v>13</v>
      </c>
      <c r="G2607" t="s">
        <v>14</v>
      </c>
      <c r="H2607" t="s">
        <v>15</v>
      </c>
      <c r="I2607" t="s">
        <v>94</v>
      </c>
    </row>
    <row r="2608" spans="1:9" x14ac:dyDescent="0.3">
      <c r="A2608" t="s">
        <v>7700</v>
      </c>
      <c r="B2608" t="s">
        <v>7701</v>
      </c>
      <c r="C2608" t="s">
        <v>29</v>
      </c>
      <c r="D2608" s="1">
        <v>45518</v>
      </c>
      <c r="E2608" t="s">
        <v>7702</v>
      </c>
      <c r="F2608" t="s">
        <v>13</v>
      </c>
      <c r="G2608" t="s">
        <v>14</v>
      </c>
      <c r="H2608" t="s">
        <v>15</v>
      </c>
      <c r="I2608" t="s">
        <v>204</v>
      </c>
    </row>
    <row r="2609" spans="1:9" x14ac:dyDescent="0.3">
      <c r="A2609" t="s">
        <v>7703</v>
      </c>
      <c r="B2609" t="s">
        <v>7704</v>
      </c>
      <c r="C2609" t="s">
        <v>24</v>
      </c>
      <c r="D2609" s="1">
        <v>45519</v>
      </c>
      <c r="E2609" t="s">
        <v>7705</v>
      </c>
      <c r="F2609" t="s">
        <v>13</v>
      </c>
      <c r="G2609" t="s">
        <v>174</v>
      </c>
      <c r="H2609" t="s">
        <v>15</v>
      </c>
      <c r="I2609" t="s">
        <v>63</v>
      </c>
    </row>
    <row r="2610" spans="1:9" x14ac:dyDescent="0.3">
      <c r="A2610" t="s">
        <v>7706</v>
      </c>
      <c r="B2610" t="s">
        <v>7707</v>
      </c>
      <c r="C2610" t="s">
        <v>45</v>
      </c>
      <c r="D2610" s="1">
        <v>45519</v>
      </c>
      <c r="E2610" t="s">
        <v>7708</v>
      </c>
      <c r="F2610" t="s">
        <v>13</v>
      </c>
      <c r="G2610" t="s">
        <v>14</v>
      </c>
      <c r="H2610" t="s">
        <v>15</v>
      </c>
    </row>
    <row r="2611" spans="1:9" x14ac:dyDescent="0.3">
      <c r="A2611" t="s">
        <v>7709</v>
      </c>
      <c r="B2611" t="s">
        <v>7710</v>
      </c>
      <c r="C2611" t="s">
        <v>29</v>
      </c>
      <c r="D2611" s="1">
        <v>45519</v>
      </c>
      <c r="E2611" t="s">
        <v>7711</v>
      </c>
      <c r="F2611" t="s">
        <v>13</v>
      </c>
      <c r="G2611" t="s">
        <v>14</v>
      </c>
      <c r="H2611" t="s">
        <v>15</v>
      </c>
      <c r="I2611" t="s">
        <v>42</v>
      </c>
    </row>
    <row r="2612" spans="1:9" x14ac:dyDescent="0.3">
      <c r="A2612" t="s">
        <v>7712</v>
      </c>
      <c r="B2612" t="s">
        <v>7713</v>
      </c>
      <c r="C2612" t="s">
        <v>11</v>
      </c>
      <c r="D2612" s="1">
        <v>45519</v>
      </c>
      <c r="E2612" t="s">
        <v>7714</v>
      </c>
      <c r="F2612" t="s">
        <v>13</v>
      </c>
      <c r="G2612" t="s">
        <v>14</v>
      </c>
      <c r="H2612" t="s">
        <v>15</v>
      </c>
      <c r="I2612" t="s">
        <v>38</v>
      </c>
    </row>
    <row r="2613" spans="1:9" x14ac:dyDescent="0.3">
      <c r="A2613" t="s">
        <v>7715</v>
      </c>
      <c r="B2613" t="s">
        <v>7716</v>
      </c>
      <c r="C2613" t="s">
        <v>24</v>
      </c>
      <c r="D2613" s="1">
        <v>45520</v>
      </c>
      <c r="E2613" t="s">
        <v>7717</v>
      </c>
      <c r="F2613" t="s">
        <v>13</v>
      </c>
      <c r="G2613" t="s">
        <v>14</v>
      </c>
      <c r="H2613" t="s">
        <v>15</v>
      </c>
      <c r="I2613" t="s">
        <v>26</v>
      </c>
    </row>
    <row r="2614" spans="1:9" x14ac:dyDescent="0.3">
      <c r="A2614" t="s">
        <v>7718</v>
      </c>
      <c r="B2614" t="s">
        <v>7719</v>
      </c>
      <c r="C2614" t="s">
        <v>19</v>
      </c>
      <c r="D2614" s="1">
        <v>45521</v>
      </c>
      <c r="E2614" t="s">
        <v>7720</v>
      </c>
      <c r="F2614" t="s">
        <v>13</v>
      </c>
      <c r="G2614" t="s">
        <v>14</v>
      </c>
      <c r="H2614" t="s">
        <v>15</v>
      </c>
      <c r="I2614" t="s">
        <v>21</v>
      </c>
    </row>
    <row r="2615" spans="1:9" x14ac:dyDescent="0.3">
      <c r="A2615" t="s">
        <v>7721</v>
      </c>
      <c r="B2615" t="s">
        <v>7722</v>
      </c>
      <c r="C2615" t="s">
        <v>45</v>
      </c>
      <c r="D2615" s="1">
        <v>45521</v>
      </c>
      <c r="E2615" t="s">
        <v>7723</v>
      </c>
      <c r="F2615" t="s">
        <v>13</v>
      </c>
      <c r="G2615" t="s">
        <v>14</v>
      </c>
      <c r="H2615" t="s">
        <v>15</v>
      </c>
      <c r="I2615" t="s">
        <v>248</v>
      </c>
    </row>
    <row r="2616" spans="1:9" x14ac:dyDescent="0.3">
      <c r="A2616" t="s">
        <v>7724</v>
      </c>
      <c r="B2616" t="s">
        <v>7725</v>
      </c>
      <c r="C2616" t="s">
        <v>24</v>
      </c>
      <c r="D2616" s="1">
        <v>45522</v>
      </c>
      <c r="E2616" t="s">
        <v>7726</v>
      </c>
      <c r="F2616" t="s">
        <v>13</v>
      </c>
      <c r="G2616" t="s">
        <v>14</v>
      </c>
      <c r="H2616" t="s">
        <v>15</v>
      </c>
      <c r="I2616" t="s">
        <v>59</v>
      </c>
    </row>
    <row r="2617" spans="1:9" x14ac:dyDescent="0.3">
      <c r="A2617" t="s">
        <v>7727</v>
      </c>
      <c r="B2617" t="s">
        <v>7728</v>
      </c>
      <c r="C2617" t="s">
        <v>45</v>
      </c>
      <c r="D2617" s="1">
        <v>45523</v>
      </c>
      <c r="E2617" t="s">
        <v>7729</v>
      </c>
      <c r="F2617" t="s">
        <v>13</v>
      </c>
      <c r="G2617" t="s">
        <v>174</v>
      </c>
      <c r="H2617" t="s">
        <v>15</v>
      </c>
      <c r="I2617" t="s">
        <v>47</v>
      </c>
    </row>
    <row r="2618" spans="1:9" x14ac:dyDescent="0.3">
      <c r="A2618" t="s">
        <v>7730</v>
      </c>
      <c r="B2618" t="s">
        <v>7731</v>
      </c>
      <c r="C2618" t="s">
        <v>45</v>
      </c>
      <c r="D2618" s="1">
        <v>45523</v>
      </c>
      <c r="E2618" t="s">
        <v>7732</v>
      </c>
      <c r="F2618" t="s">
        <v>13</v>
      </c>
      <c r="G2618" t="s">
        <v>14</v>
      </c>
      <c r="H2618" t="s">
        <v>15</v>
      </c>
    </row>
    <row r="2619" spans="1:9" x14ac:dyDescent="0.3">
      <c r="A2619" t="s">
        <v>7733</v>
      </c>
      <c r="B2619" t="s">
        <v>7734</v>
      </c>
      <c r="C2619" t="s">
        <v>33</v>
      </c>
      <c r="D2619" s="1">
        <v>45523</v>
      </c>
      <c r="E2619" t="s">
        <v>7735</v>
      </c>
      <c r="F2619" t="s">
        <v>13</v>
      </c>
      <c r="G2619" t="s">
        <v>14</v>
      </c>
      <c r="H2619" t="s">
        <v>15</v>
      </c>
      <c r="I2619" t="s">
        <v>94</v>
      </c>
    </row>
    <row r="2620" spans="1:9" x14ac:dyDescent="0.3">
      <c r="A2620" t="s">
        <v>7736</v>
      </c>
      <c r="B2620" t="s">
        <v>7737</v>
      </c>
      <c r="C2620" t="s">
        <v>11</v>
      </c>
      <c r="D2620" s="1">
        <v>45523</v>
      </c>
      <c r="E2620" t="s">
        <v>7738</v>
      </c>
      <c r="F2620" t="s">
        <v>13</v>
      </c>
      <c r="G2620" t="s">
        <v>14</v>
      </c>
      <c r="H2620" t="s">
        <v>15</v>
      </c>
    </row>
    <row r="2621" spans="1:9" x14ac:dyDescent="0.3">
      <c r="A2621" t="s">
        <v>7739</v>
      </c>
      <c r="B2621" t="s">
        <v>7740</v>
      </c>
      <c r="C2621" t="s">
        <v>24</v>
      </c>
      <c r="D2621" s="1">
        <v>45523</v>
      </c>
      <c r="E2621" t="s">
        <v>7741</v>
      </c>
      <c r="F2621" t="s">
        <v>13</v>
      </c>
      <c r="G2621" t="s">
        <v>14</v>
      </c>
      <c r="H2621" t="s">
        <v>15</v>
      </c>
      <c r="I2621" t="s">
        <v>63</v>
      </c>
    </row>
    <row r="2622" spans="1:9" x14ac:dyDescent="0.3">
      <c r="A2622" t="s">
        <v>7742</v>
      </c>
      <c r="B2622" t="s">
        <v>7743</v>
      </c>
      <c r="C2622" t="s">
        <v>24</v>
      </c>
      <c r="D2622" s="1">
        <v>45524</v>
      </c>
      <c r="E2622" t="s">
        <v>7744</v>
      </c>
      <c r="F2622" t="s">
        <v>13</v>
      </c>
      <c r="G2622" t="s">
        <v>14</v>
      </c>
      <c r="H2622" t="s">
        <v>15</v>
      </c>
      <c r="I2622" t="s">
        <v>26</v>
      </c>
    </row>
    <row r="2623" spans="1:9" x14ac:dyDescent="0.3">
      <c r="A2623" t="s">
        <v>7745</v>
      </c>
      <c r="B2623" t="s">
        <v>7746</v>
      </c>
      <c r="C2623" t="s">
        <v>54</v>
      </c>
      <c r="D2623" s="1">
        <v>45524</v>
      </c>
      <c r="E2623" t="s">
        <v>7747</v>
      </c>
      <c r="F2623" t="s">
        <v>13</v>
      </c>
      <c r="G2623" t="s">
        <v>14</v>
      </c>
      <c r="H2623" t="s">
        <v>15</v>
      </c>
    </row>
    <row r="2624" spans="1:9" x14ac:dyDescent="0.3">
      <c r="A2624" t="s">
        <v>7748</v>
      </c>
      <c r="B2624" t="s">
        <v>7749</v>
      </c>
      <c r="C2624" t="s">
        <v>33</v>
      </c>
      <c r="D2624" s="1">
        <v>45524</v>
      </c>
      <c r="E2624" t="s">
        <v>7750</v>
      </c>
      <c r="F2624" t="s">
        <v>13</v>
      </c>
      <c r="G2624" t="s">
        <v>174</v>
      </c>
      <c r="H2624" t="s">
        <v>15</v>
      </c>
      <c r="I2624" t="s">
        <v>51</v>
      </c>
    </row>
    <row r="2625" spans="1:9" x14ac:dyDescent="0.3">
      <c r="A2625" t="s">
        <v>7751</v>
      </c>
      <c r="B2625" t="s">
        <v>7752</v>
      </c>
      <c r="C2625" t="s">
        <v>11</v>
      </c>
      <c r="D2625" s="1">
        <v>45524</v>
      </c>
      <c r="E2625" t="s">
        <v>7753</v>
      </c>
      <c r="F2625" t="s">
        <v>13</v>
      </c>
      <c r="G2625" t="s">
        <v>14</v>
      </c>
      <c r="H2625" t="s">
        <v>15</v>
      </c>
      <c r="I2625" t="s">
        <v>16</v>
      </c>
    </row>
    <row r="2626" spans="1:9" x14ac:dyDescent="0.3">
      <c r="A2626" t="s">
        <v>7754</v>
      </c>
      <c r="B2626" t="s">
        <v>7755</v>
      </c>
      <c r="C2626" t="s">
        <v>24</v>
      </c>
      <c r="D2626" s="1">
        <v>45524</v>
      </c>
      <c r="E2626" t="s">
        <v>7756</v>
      </c>
      <c r="F2626" t="s">
        <v>13</v>
      </c>
      <c r="G2626" t="s">
        <v>14</v>
      </c>
      <c r="H2626" t="s">
        <v>15</v>
      </c>
    </row>
    <row r="2627" spans="1:9" x14ac:dyDescent="0.3">
      <c r="A2627" t="s">
        <v>7757</v>
      </c>
      <c r="B2627" t="s">
        <v>7758</v>
      </c>
      <c r="C2627" t="s">
        <v>29</v>
      </c>
      <c r="D2627" s="1">
        <v>45525</v>
      </c>
      <c r="E2627" t="s">
        <v>7759</v>
      </c>
      <c r="F2627" t="s">
        <v>13</v>
      </c>
      <c r="G2627" t="s">
        <v>14</v>
      </c>
      <c r="H2627" t="s">
        <v>15</v>
      </c>
      <c r="I2627" t="s">
        <v>81</v>
      </c>
    </row>
    <row r="2628" spans="1:9" x14ac:dyDescent="0.3">
      <c r="A2628" t="s">
        <v>7760</v>
      </c>
      <c r="B2628" t="s">
        <v>7761</v>
      </c>
      <c r="C2628" t="s">
        <v>54</v>
      </c>
      <c r="D2628" s="1">
        <v>45526</v>
      </c>
      <c r="E2628" t="s">
        <v>7762</v>
      </c>
      <c r="F2628" t="s">
        <v>13</v>
      </c>
      <c r="G2628" t="s">
        <v>14</v>
      </c>
      <c r="H2628" t="s">
        <v>15</v>
      </c>
      <c r="I2628" t="s">
        <v>181</v>
      </c>
    </row>
    <row r="2629" spans="1:9" x14ac:dyDescent="0.3">
      <c r="A2629" t="s">
        <v>7763</v>
      </c>
      <c r="B2629" t="s">
        <v>7764</v>
      </c>
      <c r="C2629" t="s">
        <v>33</v>
      </c>
      <c r="D2629" s="1">
        <v>45526</v>
      </c>
      <c r="E2629" t="s">
        <v>7765</v>
      </c>
      <c r="F2629" t="s">
        <v>13</v>
      </c>
      <c r="G2629" t="s">
        <v>14</v>
      </c>
      <c r="H2629" t="s">
        <v>15</v>
      </c>
      <c r="I2629" t="s">
        <v>94</v>
      </c>
    </row>
    <row r="2630" spans="1:9" x14ac:dyDescent="0.3">
      <c r="A2630" t="s">
        <v>7766</v>
      </c>
      <c r="B2630" t="s">
        <v>7767</v>
      </c>
      <c r="C2630" t="s">
        <v>33</v>
      </c>
      <c r="D2630" s="1">
        <v>45528</v>
      </c>
      <c r="E2630" t="s">
        <v>7768</v>
      </c>
      <c r="F2630" t="s">
        <v>13</v>
      </c>
      <c r="G2630" t="s">
        <v>14</v>
      </c>
      <c r="H2630" t="s">
        <v>15</v>
      </c>
      <c r="I2630" t="s">
        <v>94</v>
      </c>
    </row>
    <row r="2631" spans="1:9" x14ac:dyDescent="0.3">
      <c r="A2631" t="s">
        <v>7769</v>
      </c>
      <c r="B2631" t="s">
        <v>7770</v>
      </c>
      <c r="C2631" t="s">
        <v>54</v>
      </c>
      <c r="D2631" s="1">
        <v>45529</v>
      </c>
      <c r="E2631" t="s">
        <v>7771</v>
      </c>
      <c r="F2631" t="s">
        <v>13</v>
      </c>
      <c r="G2631" t="s">
        <v>14</v>
      </c>
      <c r="H2631" t="s">
        <v>15</v>
      </c>
      <c r="I2631" t="s">
        <v>181</v>
      </c>
    </row>
    <row r="2632" spans="1:9" x14ac:dyDescent="0.3">
      <c r="A2632" t="s">
        <v>7772</v>
      </c>
      <c r="B2632" t="s">
        <v>7773</v>
      </c>
      <c r="C2632" t="s">
        <v>54</v>
      </c>
      <c r="D2632" s="1">
        <v>45529</v>
      </c>
      <c r="E2632" t="s">
        <v>7774</v>
      </c>
      <c r="F2632" t="s">
        <v>13</v>
      </c>
      <c r="G2632" t="s">
        <v>14</v>
      </c>
      <c r="H2632" t="s">
        <v>15</v>
      </c>
    </row>
    <row r="2633" spans="1:9" x14ac:dyDescent="0.3">
      <c r="A2633" t="s">
        <v>7775</v>
      </c>
      <c r="B2633" t="s">
        <v>7776</v>
      </c>
      <c r="C2633" t="s">
        <v>24</v>
      </c>
      <c r="D2633" s="1">
        <v>45530</v>
      </c>
      <c r="E2633" t="s">
        <v>7777</v>
      </c>
      <c r="F2633" t="s">
        <v>13</v>
      </c>
      <c r="G2633" t="s">
        <v>14</v>
      </c>
      <c r="H2633" t="s">
        <v>15</v>
      </c>
      <c r="I2633" t="s">
        <v>26</v>
      </c>
    </row>
    <row r="2634" spans="1:9" x14ac:dyDescent="0.3">
      <c r="A2634" t="s">
        <v>7778</v>
      </c>
      <c r="B2634" t="s">
        <v>7779</v>
      </c>
      <c r="C2634" t="s">
        <v>33</v>
      </c>
      <c r="D2634" s="1">
        <v>45530</v>
      </c>
      <c r="E2634" t="s">
        <v>7780</v>
      </c>
      <c r="F2634" t="s">
        <v>13</v>
      </c>
      <c r="G2634" t="s">
        <v>14</v>
      </c>
      <c r="H2634" t="s">
        <v>15</v>
      </c>
      <c r="I2634" t="s">
        <v>94</v>
      </c>
    </row>
    <row r="2635" spans="1:9" x14ac:dyDescent="0.3">
      <c r="A2635" t="s">
        <v>7781</v>
      </c>
      <c r="B2635" t="s">
        <v>7782</v>
      </c>
      <c r="C2635" t="s">
        <v>54</v>
      </c>
      <c r="D2635" s="1">
        <v>45530</v>
      </c>
      <c r="E2635" t="s">
        <v>7783</v>
      </c>
      <c r="F2635" t="s">
        <v>13</v>
      </c>
      <c r="G2635" t="s">
        <v>14</v>
      </c>
      <c r="H2635" t="s">
        <v>15</v>
      </c>
      <c r="I2635" t="s">
        <v>238</v>
      </c>
    </row>
    <row r="2636" spans="1:9" x14ac:dyDescent="0.3">
      <c r="A2636" t="s">
        <v>7784</v>
      </c>
      <c r="B2636" t="s">
        <v>7785</v>
      </c>
      <c r="C2636" t="s">
        <v>45</v>
      </c>
      <c r="D2636" s="1">
        <v>45530</v>
      </c>
      <c r="E2636" t="s">
        <v>7786</v>
      </c>
      <c r="F2636" t="s">
        <v>13</v>
      </c>
      <c r="G2636" t="s">
        <v>14</v>
      </c>
      <c r="H2636" t="s">
        <v>15</v>
      </c>
      <c r="I2636" t="s">
        <v>47</v>
      </c>
    </row>
    <row r="2637" spans="1:9" x14ac:dyDescent="0.3">
      <c r="A2637" t="s">
        <v>7787</v>
      </c>
      <c r="B2637" t="s">
        <v>7788</v>
      </c>
      <c r="C2637" t="s">
        <v>69</v>
      </c>
      <c r="D2637" s="1">
        <v>45530</v>
      </c>
      <c r="E2637" t="s">
        <v>7789</v>
      </c>
      <c r="F2637" t="s">
        <v>13</v>
      </c>
      <c r="G2637" t="s">
        <v>14</v>
      </c>
      <c r="H2637" t="s">
        <v>15</v>
      </c>
      <c r="I2637" t="s">
        <v>71</v>
      </c>
    </row>
    <row r="2638" spans="1:9" x14ac:dyDescent="0.3">
      <c r="A2638" t="s">
        <v>7790</v>
      </c>
      <c r="B2638" t="s">
        <v>7791</v>
      </c>
      <c r="C2638" t="s">
        <v>24</v>
      </c>
      <c r="D2638" s="1">
        <v>45531</v>
      </c>
      <c r="E2638" t="s">
        <v>7792</v>
      </c>
      <c r="F2638" t="s">
        <v>13</v>
      </c>
      <c r="G2638" t="s">
        <v>14</v>
      </c>
      <c r="H2638" t="s">
        <v>15</v>
      </c>
      <c r="I2638" t="s">
        <v>59</v>
      </c>
    </row>
    <row r="2639" spans="1:9" x14ac:dyDescent="0.3">
      <c r="A2639" t="s">
        <v>7793</v>
      </c>
      <c r="B2639" t="s">
        <v>7794</v>
      </c>
      <c r="C2639" t="s">
        <v>69</v>
      </c>
      <c r="D2639" s="1">
        <v>45531</v>
      </c>
      <c r="E2639" t="s">
        <v>7795</v>
      </c>
      <c r="F2639" t="s">
        <v>13</v>
      </c>
      <c r="G2639" t="s">
        <v>14</v>
      </c>
      <c r="H2639" t="s">
        <v>15</v>
      </c>
      <c r="I2639" t="s">
        <v>71</v>
      </c>
    </row>
    <row r="2640" spans="1:9" x14ac:dyDescent="0.3">
      <c r="A2640" t="s">
        <v>7796</v>
      </c>
      <c r="B2640" t="s">
        <v>7797</v>
      </c>
      <c r="C2640" t="s">
        <v>29</v>
      </c>
      <c r="D2640" s="1">
        <v>45531</v>
      </c>
      <c r="E2640" t="s">
        <v>7798</v>
      </c>
      <c r="F2640" t="s">
        <v>13</v>
      </c>
      <c r="G2640" t="s">
        <v>14</v>
      </c>
      <c r="H2640" t="s">
        <v>15</v>
      </c>
      <c r="I2640" t="s">
        <v>204</v>
      </c>
    </row>
    <row r="2641" spans="1:9" x14ac:dyDescent="0.3">
      <c r="A2641" t="s">
        <v>7799</v>
      </c>
      <c r="B2641" t="s">
        <v>7800</v>
      </c>
      <c r="C2641" t="s">
        <v>54</v>
      </c>
      <c r="D2641" s="1">
        <v>45531</v>
      </c>
      <c r="E2641" t="s">
        <v>7801</v>
      </c>
      <c r="F2641" t="s">
        <v>13</v>
      </c>
      <c r="G2641" t="s">
        <v>14</v>
      </c>
      <c r="H2641" t="s">
        <v>15</v>
      </c>
      <c r="I2641" t="s">
        <v>181</v>
      </c>
    </row>
    <row r="2642" spans="1:9" x14ac:dyDescent="0.3">
      <c r="A2642" t="s">
        <v>6188</v>
      </c>
      <c r="B2642" t="s">
        <v>7802</v>
      </c>
      <c r="C2642" t="s">
        <v>19</v>
      </c>
      <c r="D2642" s="1">
        <v>45531</v>
      </c>
      <c r="E2642" t="s">
        <v>7803</v>
      </c>
      <c r="F2642" t="s">
        <v>13</v>
      </c>
      <c r="G2642" t="s">
        <v>14</v>
      </c>
      <c r="H2642" t="s">
        <v>15</v>
      </c>
    </row>
    <row r="2643" spans="1:9" x14ac:dyDescent="0.3">
      <c r="A2643" t="s">
        <v>7804</v>
      </c>
      <c r="B2643" t="s">
        <v>7805</v>
      </c>
      <c r="C2643" t="s">
        <v>69</v>
      </c>
      <c r="D2643" s="1">
        <v>45532</v>
      </c>
      <c r="E2643" t="s">
        <v>7806</v>
      </c>
      <c r="F2643" t="s">
        <v>13</v>
      </c>
      <c r="G2643" t="s">
        <v>174</v>
      </c>
      <c r="H2643" t="s">
        <v>15</v>
      </c>
      <c r="I2643" t="s">
        <v>71</v>
      </c>
    </row>
    <row r="2644" spans="1:9" x14ac:dyDescent="0.3">
      <c r="A2644" t="s">
        <v>7807</v>
      </c>
      <c r="B2644" t="s">
        <v>7808</v>
      </c>
      <c r="C2644" t="s">
        <v>19</v>
      </c>
      <c r="D2644" s="1">
        <v>45534</v>
      </c>
      <c r="E2644" t="s">
        <v>7809</v>
      </c>
      <c r="F2644" t="s">
        <v>13</v>
      </c>
      <c r="G2644" t="s">
        <v>14</v>
      </c>
      <c r="H2644" t="s">
        <v>15</v>
      </c>
      <c r="I2644" t="s">
        <v>21</v>
      </c>
    </row>
    <row r="2645" spans="1:9" x14ac:dyDescent="0.3">
      <c r="A2645" t="s">
        <v>7810</v>
      </c>
      <c r="B2645" t="s">
        <v>7811</v>
      </c>
      <c r="C2645" t="s">
        <v>45</v>
      </c>
      <c r="D2645" s="1">
        <v>45534</v>
      </c>
      <c r="E2645" t="s">
        <v>7812</v>
      </c>
      <c r="F2645" t="s">
        <v>13</v>
      </c>
      <c r="G2645" t="s">
        <v>14</v>
      </c>
      <c r="H2645" t="s">
        <v>15</v>
      </c>
      <c r="I2645" t="s">
        <v>248</v>
      </c>
    </row>
    <row r="2646" spans="1:9" x14ac:dyDescent="0.3">
      <c r="A2646" t="s">
        <v>7813</v>
      </c>
      <c r="B2646" t="s">
        <v>7814</v>
      </c>
      <c r="C2646" t="s">
        <v>33</v>
      </c>
      <c r="D2646" s="1">
        <v>45534</v>
      </c>
      <c r="E2646" t="s">
        <v>7815</v>
      </c>
      <c r="F2646" t="s">
        <v>13</v>
      </c>
      <c r="G2646" t="s">
        <v>14</v>
      </c>
      <c r="H2646" t="s">
        <v>15</v>
      </c>
      <c r="I2646" t="s">
        <v>51</v>
      </c>
    </row>
    <row r="2647" spans="1:9" x14ac:dyDescent="0.3">
      <c r="A2647" t="s">
        <v>7816</v>
      </c>
      <c r="B2647" t="s">
        <v>7817</v>
      </c>
      <c r="C2647" t="s">
        <v>45</v>
      </c>
      <c r="D2647" s="1">
        <v>45535</v>
      </c>
      <c r="E2647" t="s">
        <v>7818</v>
      </c>
      <c r="F2647" t="s">
        <v>13</v>
      </c>
      <c r="G2647" t="s">
        <v>14</v>
      </c>
      <c r="H2647" t="s">
        <v>15</v>
      </c>
    </row>
    <row r="2648" spans="1:9" x14ac:dyDescent="0.3">
      <c r="A2648" t="s">
        <v>7819</v>
      </c>
      <c r="B2648" t="s">
        <v>7820</v>
      </c>
      <c r="C2648" t="s">
        <v>54</v>
      </c>
      <c r="D2648" s="1">
        <v>45535</v>
      </c>
      <c r="E2648" t="s">
        <v>7821</v>
      </c>
      <c r="F2648" t="s">
        <v>13</v>
      </c>
      <c r="G2648" t="s">
        <v>14</v>
      </c>
      <c r="H2648" t="s">
        <v>15</v>
      </c>
      <c r="I2648" t="s">
        <v>238</v>
      </c>
    </row>
    <row r="2649" spans="1:9" x14ac:dyDescent="0.3">
      <c r="A2649" t="s">
        <v>7822</v>
      </c>
      <c r="B2649" t="s">
        <v>7823</v>
      </c>
      <c r="C2649" t="s">
        <v>45</v>
      </c>
      <c r="D2649" s="1">
        <v>45535</v>
      </c>
      <c r="E2649" t="s">
        <v>7824</v>
      </c>
      <c r="F2649" t="s">
        <v>13</v>
      </c>
      <c r="G2649" t="s">
        <v>14</v>
      </c>
      <c r="H2649" t="s">
        <v>15</v>
      </c>
      <c r="I2649" t="s">
        <v>47</v>
      </c>
    </row>
    <row r="2650" spans="1:9" x14ac:dyDescent="0.3">
      <c r="A2650" t="s">
        <v>7825</v>
      </c>
      <c r="B2650" t="s">
        <v>7826</v>
      </c>
      <c r="C2650" t="s">
        <v>45</v>
      </c>
      <c r="D2650" s="1">
        <v>45536</v>
      </c>
      <c r="E2650" t="s">
        <v>7827</v>
      </c>
      <c r="F2650" t="s">
        <v>13</v>
      </c>
      <c r="G2650" t="s">
        <v>14</v>
      </c>
      <c r="H2650" t="s">
        <v>15</v>
      </c>
      <c r="I2650" t="s">
        <v>248</v>
      </c>
    </row>
    <row r="2651" spans="1:9" x14ac:dyDescent="0.3">
      <c r="A2651" t="s">
        <v>7828</v>
      </c>
      <c r="B2651" t="s">
        <v>7829</v>
      </c>
      <c r="C2651" t="s">
        <v>24</v>
      </c>
      <c r="D2651" s="1">
        <v>45537</v>
      </c>
      <c r="E2651" t="s">
        <v>7830</v>
      </c>
      <c r="F2651" t="s">
        <v>13</v>
      </c>
      <c r="G2651" t="s">
        <v>14</v>
      </c>
      <c r="H2651" t="s">
        <v>15</v>
      </c>
      <c r="I2651" t="s">
        <v>59</v>
      </c>
    </row>
    <row r="2652" spans="1:9" x14ac:dyDescent="0.3">
      <c r="A2652" t="s">
        <v>7831</v>
      </c>
      <c r="B2652" t="s">
        <v>7832</v>
      </c>
      <c r="C2652" t="s">
        <v>29</v>
      </c>
      <c r="D2652" s="1">
        <v>45537</v>
      </c>
      <c r="E2652" t="s">
        <v>7833</v>
      </c>
      <c r="F2652" t="s">
        <v>13</v>
      </c>
      <c r="G2652" t="s">
        <v>14</v>
      </c>
      <c r="H2652" t="s">
        <v>15</v>
      </c>
      <c r="I2652" t="s">
        <v>42</v>
      </c>
    </row>
    <row r="2653" spans="1:9" x14ac:dyDescent="0.3">
      <c r="A2653" t="s">
        <v>7834</v>
      </c>
      <c r="B2653" t="s">
        <v>7835</v>
      </c>
      <c r="C2653" t="s">
        <v>54</v>
      </c>
      <c r="D2653" s="1">
        <v>45537</v>
      </c>
      <c r="E2653" t="s">
        <v>7836</v>
      </c>
      <c r="F2653" t="s">
        <v>13</v>
      </c>
      <c r="G2653" t="s">
        <v>14</v>
      </c>
      <c r="H2653" t="s">
        <v>15</v>
      </c>
    </row>
    <row r="2654" spans="1:9" x14ac:dyDescent="0.3">
      <c r="A2654" t="s">
        <v>7837</v>
      </c>
      <c r="B2654" t="s">
        <v>7838</v>
      </c>
      <c r="C2654" t="s">
        <v>11</v>
      </c>
      <c r="D2654" s="1">
        <v>45538</v>
      </c>
      <c r="E2654" t="s">
        <v>7839</v>
      </c>
      <c r="F2654" t="s">
        <v>13</v>
      </c>
      <c r="G2654" t="s">
        <v>14</v>
      </c>
      <c r="H2654" t="s">
        <v>15</v>
      </c>
    </row>
    <row r="2655" spans="1:9" x14ac:dyDescent="0.3">
      <c r="A2655" t="s">
        <v>7840</v>
      </c>
      <c r="B2655" t="s">
        <v>7841</v>
      </c>
      <c r="C2655" t="s">
        <v>33</v>
      </c>
      <c r="D2655" s="1">
        <v>45538</v>
      </c>
      <c r="E2655" t="s">
        <v>7842</v>
      </c>
      <c r="F2655" t="s">
        <v>13</v>
      </c>
      <c r="G2655" t="s">
        <v>14</v>
      </c>
      <c r="H2655" t="s">
        <v>15</v>
      </c>
      <c r="I2655" t="s">
        <v>94</v>
      </c>
    </row>
    <row r="2656" spans="1:9" x14ac:dyDescent="0.3">
      <c r="A2656" t="s">
        <v>7843</v>
      </c>
      <c r="B2656" t="s">
        <v>7844</v>
      </c>
      <c r="C2656" t="s">
        <v>69</v>
      </c>
      <c r="D2656" s="1">
        <v>45538</v>
      </c>
      <c r="E2656" t="s">
        <v>7845</v>
      </c>
      <c r="F2656" t="s">
        <v>13</v>
      </c>
      <c r="G2656" t="s">
        <v>14</v>
      </c>
      <c r="H2656" t="s">
        <v>15</v>
      </c>
      <c r="I2656" t="s">
        <v>71</v>
      </c>
    </row>
    <row r="2657" spans="1:9" x14ac:dyDescent="0.3">
      <c r="A2657" t="s">
        <v>7846</v>
      </c>
      <c r="B2657" t="s">
        <v>7847</v>
      </c>
      <c r="C2657" t="s">
        <v>11</v>
      </c>
      <c r="D2657" s="1">
        <v>45538</v>
      </c>
      <c r="E2657" t="s">
        <v>7848</v>
      </c>
      <c r="F2657" t="s">
        <v>13</v>
      </c>
      <c r="G2657" t="s">
        <v>14</v>
      </c>
      <c r="H2657" t="s">
        <v>15</v>
      </c>
      <c r="I2657" t="s">
        <v>38</v>
      </c>
    </row>
    <row r="2658" spans="1:9" x14ac:dyDescent="0.3">
      <c r="A2658" t="s">
        <v>7849</v>
      </c>
      <c r="B2658" t="s">
        <v>7850</v>
      </c>
      <c r="C2658" t="s">
        <v>69</v>
      </c>
      <c r="D2658" s="1">
        <v>45539</v>
      </c>
      <c r="E2658" t="s">
        <v>7851</v>
      </c>
      <c r="F2658" t="s">
        <v>13</v>
      </c>
      <c r="G2658" t="s">
        <v>14</v>
      </c>
      <c r="H2658" t="s">
        <v>15</v>
      </c>
      <c r="I2658" t="s">
        <v>71</v>
      </c>
    </row>
    <row r="2659" spans="1:9" x14ac:dyDescent="0.3">
      <c r="A2659" t="s">
        <v>7852</v>
      </c>
      <c r="B2659" t="s">
        <v>7853</v>
      </c>
      <c r="C2659" t="s">
        <v>69</v>
      </c>
      <c r="D2659" s="1">
        <v>45540</v>
      </c>
      <c r="E2659" t="s">
        <v>7854</v>
      </c>
      <c r="F2659" t="s">
        <v>13</v>
      </c>
      <c r="G2659" t="s">
        <v>14</v>
      </c>
      <c r="H2659" t="s">
        <v>15</v>
      </c>
    </row>
    <row r="2660" spans="1:9" x14ac:dyDescent="0.3">
      <c r="A2660" t="s">
        <v>7855</v>
      </c>
      <c r="B2660" t="s">
        <v>7856</v>
      </c>
      <c r="C2660" t="s">
        <v>11</v>
      </c>
      <c r="D2660" s="1">
        <v>45540</v>
      </c>
      <c r="E2660" t="s">
        <v>7857</v>
      </c>
      <c r="F2660" t="s">
        <v>13</v>
      </c>
      <c r="G2660" t="s">
        <v>14</v>
      </c>
      <c r="H2660" t="s">
        <v>15</v>
      </c>
    </row>
    <row r="2661" spans="1:9" x14ac:dyDescent="0.3">
      <c r="A2661" t="s">
        <v>6575</v>
      </c>
      <c r="B2661" t="s">
        <v>7858</v>
      </c>
      <c r="C2661" t="s">
        <v>19</v>
      </c>
      <c r="D2661" s="1">
        <v>45540</v>
      </c>
      <c r="E2661" t="s">
        <v>7859</v>
      </c>
      <c r="F2661" t="s">
        <v>13</v>
      </c>
      <c r="G2661" t="s">
        <v>14</v>
      </c>
      <c r="H2661" t="s">
        <v>15</v>
      </c>
    </row>
    <row r="2662" spans="1:9" x14ac:dyDescent="0.3">
      <c r="A2662" t="s">
        <v>7860</v>
      </c>
      <c r="B2662" t="s">
        <v>7861</v>
      </c>
      <c r="C2662" t="s">
        <v>24</v>
      </c>
      <c r="D2662" s="1">
        <v>45540</v>
      </c>
      <c r="E2662" t="s">
        <v>7862</v>
      </c>
      <c r="F2662" t="s">
        <v>13</v>
      </c>
      <c r="G2662" t="s">
        <v>174</v>
      </c>
      <c r="H2662" t="s">
        <v>15</v>
      </c>
      <c r="I2662" t="s">
        <v>26</v>
      </c>
    </row>
    <row r="2663" spans="1:9" x14ac:dyDescent="0.3">
      <c r="A2663" t="s">
        <v>7863</v>
      </c>
      <c r="B2663" t="s">
        <v>7864</v>
      </c>
      <c r="C2663" t="s">
        <v>19</v>
      </c>
      <c r="D2663" s="1">
        <v>45541</v>
      </c>
      <c r="E2663" t="s">
        <v>7865</v>
      </c>
      <c r="F2663" t="s">
        <v>13</v>
      </c>
      <c r="G2663" t="s">
        <v>14</v>
      </c>
      <c r="H2663" t="s">
        <v>15</v>
      </c>
      <c r="I2663" t="s">
        <v>116</v>
      </c>
    </row>
    <row r="2664" spans="1:9" x14ac:dyDescent="0.3">
      <c r="A2664" t="s">
        <v>7866</v>
      </c>
      <c r="B2664" t="s">
        <v>7867</v>
      </c>
      <c r="C2664" t="s">
        <v>33</v>
      </c>
      <c r="D2664" s="1">
        <v>45541</v>
      </c>
      <c r="E2664" t="s">
        <v>7868</v>
      </c>
      <c r="F2664" t="s">
        <v>13</v>
      </c>
      <c r="G2664" t="s">
        <v>14</v>
      </c>
      <c r="H2664" t="s">
        <v>15</v>
      </c>
      <c r="I2664" t="s">
        <v>94</v>
      </c>
    </row>
    <row r="2665" spans="1:9" x14ac:dyDescent="0.3">
      <c r="A2665" t="s">
        <v>7869</v>
      </c>
      <c r="B2665" t="s">
        <v>7870</v>
      </c>
      <c r="C2665" t="s">
        <v>24</v>
      </c>
      <c r="D2665" s="1">
        <v>45542</v>
      </c>
      <c r="E2665" t="s">
        <v>7871</v>
      </c>
      <c r="F2665" t="s">
        <v>13</v>
      </c>
      <c r="G2665" t="s">
        <v>14</v>
      </c>
      <c r="H2665" t="s">
        <v>15</v>
      </c>
      <c r="I2665" t="s">
        <v>59</v>
      </c>
    </row>
    <row r="2666" spans="1:9" x14ac:dyDescent="0.3">
      <c r="A2666" t="s">
        <v>7872</v>
      </c>
      <c r="B2666" t="s">
        <v>7873</v>
      </c>
      <c r="C2666" t="s">
        <v>24</v>
      </c>
      <c r="D2666" s="1">
        <v>45542</v>
      </c>
      <c r="E2666" t="s">
        <v>7874</v>
      </c>
      <c r="F2666" t="s">
        <v>13</v>
      </c>
      <c r="G2666" t="s">
        <v>14</v>
      </c>
      <c r="H2666" t="s">
        <v>15</v>
      </c>
      <c r="I2666" t="s">
        <v>59</v>
      </c>
    </row>
    <row r="2667" spans="1:9" x14ac:dyDescent="0.3">
      <c r="A2667" t="s">
        <v>7875</v>
      </c>
      <c r="B2667" t="s">
        <v>7876</v>
      </c>
      <c r="C2667" t="s">
        <v>33</v>
      </c>
      <c r="D2667" s="1">
        <v>45542</v>
      </c>
      <c r="E2667" t="s">
        <v>7877</v>
      </c>
      <c r="F2667" t="s">
        <v>13</v>
      </c>
      <c r="G2667" t="s">
        <v>14</v>
      </c>
      <c r="H2667" t="s">
        <v>15</v>
      </c>
      <c r="I2667" t="s">
        <v>51</v>
      </c>
    </row>
    <row r="2668" spans="1:9" x14ac:dyDescent="0.3">
      <c r="A2668" t="s">
        <v>5851</v>
      </c>
      <c r="B2668" t="s">
        <v>7878</v>
      </c>
      <c r="C2668" t="s">
        <v>19</v>
      </c>
      <c r="D2668" s="1">
        <v>45542</v>
      </c>
      <c r="E2668" t="s">
        <v>7879</v>
      </c>
      <c r="F2668" t="s">
        <v>13</v>
      </c>
      <c r="G2668" t="s">
        <v>14</v>
      </c>
      <c r="H2668" t="s">
        <v>15</v>
      </c>
      <c r="I2668" t="s">
        <v>21</v>
      </c>
    </row>
    <row r="2669" spans="1:9" x14ac:dyDescent="0.3">
      <c r="A2669" t="s">
        <v>7880</v>
      </c>
      <c r="B2669" t="s">
        <v>7881</v>
      </c>
      <c r="C2669" t="s">
        <v>11</v>
      </c>
      <c r="D2669" s="1">
        <v>45542</v>
      </c>
      <c r="E2669" t="s">
        <v>7882</v>
      </c>
      <c r="F2669" t="s">
        <v>13</v>
      </c>
      <c r="G2669" t="s">
        <v>14</v>
      </c>
      <c r="H2669" t="s">
        <v>15</v>
      </c>
      <c r="I2669" t="s">
        <v>16</v>
      </c>
    </row>
    <row r="2670" spans="1:9" x14ac:dyDescent="0.3">
      <c r="A2670" t="s">
        <v>7883</v>
      </c>
      <c r="B2670" t="s">
        <v>7884</v>
      </c>
      <c r="C2670" t="s">
        <v>29</v>
      </c>
      <c r="D2670" s="1">
        <v>45543</v>
      </c>
      <c r="E2670" t="s">
        <v>7885</v>
      </c>
      <c r="F2670" t="s">
        <v>13</v>
      </c>
      <c r="G2670" t="s">
        <v>14</v>
      </c>
      <c r="H2670" t="s">
        <v>15</v>
      </c>
      <c r="I2670" t="s">
        <v>42</v>
      </c>
    </row>
    <row r="2671" spans="1:9" x14ac:dyDescent="0.3">
      <c r="A2671" t="s">
        <v>7886</v>
      </c>
      <c r="B2671" t="s">
        <v>7887</v>
      </c>
      <c r="C2671" t="s">
        <v>69</v>
      </c>
      <c r="D2671" s="1">
        <v>45543</v>
      </c>
      <c r="E2671" t="s">
        <v>7888</v>
      </c>
      <c r="F2671" t="s">
        <v>13</v>
      </c>
      <c r="G2671" t="s">
        <v>14</v>
      </c>
      <c r="H2671" t="s">
        <v>15</v>
      </c>
      <c r="I2671" t="s">
        <v>71</v>
      </c>
    </row>
    <row r="2672" spans="1:9" x14ac:dyDescent="0.3">
      <c r="A2672" t="s">
        <v>7889</v>
      </c>
      <c r="B2672" t="s">
        <v>7890</v>
      </c>
      <c r="C2672" t="s">
        <v>69</v>
      </c>
      <c r="D2672" s="1">
        <v>45543</v>
      </c>
      <c r="E2672" t="s">
        <v>7891</v>
      </c>
      <c r="F2672" t="s">
        <v>13</v>
      </c>
      <c r="G2672" t="s">
        <v>14</v>
      </c>
      <c r="H2672" t="s">
        <v>15</v>
      </c>
      <c r="I2672" t="s">
        <v>71</v>
      </c>
    </row>
    <row r="2673" spans="1:9" x14ac:dyDescent="0.3">
      <c r="A2673" t="s">
        <v>7892</v>
      </c>
      <c r="B2673" t="s">
        <v>7893</v>
      </c>
      <c r="C2673" t="s">
        <v>45</v>
      </c>
      <c r="D2673" s="1">
        <v>45543</v>
      </c>
      <c r="E2673" t="s">
        <v>7894</v>
      </c>
      <c r="F2673" t="s">
        <v>13</v>
      </c>
      <c r="G2673" t="s">
        <v>14</v>
      </c>
      <c r="H2673" t="s">
        <v>15</v>
      </c>
      <c r="I2673" t="s">
        <v>47</v>
      </c>
    </row>
    <row r="2674" spans="1:9" x14ac:dyDescent="0.3">
      <c r="A2674" t="s">
        <v>7895</v>
      </c>
      <c r="B2674" t="s">
        <v>7896</v>
      </c>
      <c r="C2674" t="s">
        <v>54</v>
      </c>
      <c r="D2674" s="1">
        <v>45543</v>
      </c>
      <c r="E2674" t="s">
        <v>7897</v>
      </c>
      <c r="F2674" t="s">
        <v>13</v>
      </c>
      <c r="G2674" t="s">
        <v>174</v>
      </c>
      <c r="H2674" t="s">
        <v>15</v>
      </c>
      <c r="I2674" t="s">
        <v>238</v>
      </c>
    </row>
    <row r="2675" spans="1:9" x14ac:dyDescent="0.3">
      <c r="A2675" t="s">
        <v>7898</v>
      </c>
      <c r="B2675" t="s">
        <v>7899</v>
      </c>
      <c r="C2675" t="s">
        <v>11</v>
      </c>
      <c r="D2675" s="1">
        <v>45544</v>
      </c>
      <c r="E2675" t="s">
        <v>7900</v>
      </c>
      <c r="F2675" t="s">
        <v>13</v>
      </c>
      <c r="G2675" t="s">
        <v>14</v>
      </c>
      <c r="H2675" t="s">
        <v>15</v>
      </c>
      <c r="I2675" t="s">
        <v>38</v>
      </c>
    </row>
    <row r="2676" spans="1:9" x14ac:dyDescent="0.3">
      <c r="A2676" t="s">
        <v>7901</v>
      </c>
      <c r="B2676" t="s">
        <v>7902</v>
      </c>
      <c r="C2676" t="s">
        <v>45</v>
      </c>
      <c r="D2676" s="1">
        <v>45545</v>
      </c>
      <c r="E2676" t="s">
        <v>7903</v>
      </c>
      <c r="F2676" t="s">
        <v>13</v>
      </c>
      <c r="G2676" t="s">
        <v>14</v>
      </c>
      <c r="H2676" t="s">
        <v>15</v>
      </c>
      <c r="I2676" t="s">
        <v>248</v>
      </c>
    </row>
    <row r="2677" spans="1:9" x14ac:dyDescent="0.3">
      <c r="A2677" t="s">
        <v>7904</v>
      </c>
      <c r="B2677" t="s">
        <v>7905</v>
      </c>
      <c r="C2677" t="s">
        <v>11</v>
      </c>
      <c r="D2677" s="1">
        <v>45545</v>
      </c>
      <c r="E2677" t="s">
        <v>7906</v>
      </c>
      <c r="F2677" t="s">
        <v>13</v>
      </c>
      <c r="G2677" t="s">
        <v>14</v>
      </c>
      <c r="H2677" t="s">
        <v>15</v>
      </c>
      <c r="I2677" t="s">
        <v>38</v>
      </c>
    </row>
    <row r="2678" spans="1:9" x14ac:dyDescent="0.3">
      <c r="A2678" t="s">
        <v>7907</v>
      </c>
      <c r="B2678" t="s">
        <v>7908</v>
      </c>
      <c r="C2678" t="s">
        <v>33</v>
      </c>
      <c r="D2678" s="1">
        <v>45545</v>
      </c>
      <c r="E2678" t="s">
        <v>7909</v>
      </c>
      <c r="F2678" t="s">
        <v>13</v>
      </c>
      <c r="G2678" t="s">
        <v>14</v>
      </c>
      <c r="H2678" t="s">
        <v>15</v>
      </c>
    </row>
    <row r="2679" spans="1:9" x14ac:dyDescent="0.3">
      <c r="A2679" t="s">
        <v>6188</v>
      </c>
      <c r="B2679" t="s">
        <v>7910</v>
      </c>
      <c r="C2679" t="s">
        <v>19</v>
      </c>
      <c r="D2679" s="1">
        <v>45545</v>
      </c>
      <c r="E2679" t="s">
        <v>7911</v>
      </c>
      <c r="F2679" t="s">
        <v>13</v>
      </c>
      <c r="G2679" t="s">
        <v>14</v>
      </c>
      <c r="H2679" t="s">
        <v>15</v>
      </c>
      <c r="I2679" t="s">
        <v>21</v>
      </c>
    </row>
    <row r="2680" spans="1:9" x14ac:dyDescent="0.3">
      <c r="A2680" t="s">
        <v>7912</v>
      </c>
      <c r="B2680" t="s">
        <v>7913</v>
      </c>
      <c r="C2680" t="s">
        <v>54</v>
      </c>
      <c r="D2680" s="1">
        <v>45546</v>
      </c>
      <c r="E2680" t="s">
        <v>7914</v>
      </c>
      <c r="F2680" t="s">
        <v>13</v>
      </c>
      <c r="G2680" t="s">
        <v>14</v>
      </c>
      <c r="H2680" t="s">
        <v>15</v>
      </c>
      <c r="I2680" t="s">
        <v>238</v>
      </c>
    </row>
    <row r="2681" spans="1:9" x14ac:dyDescent="0.3">
      <c r="A2681" t="s">
        <v>7915</v>
      </c>
      <c r="B2681" t="s">
        <v>7916</v>
      </c>
      <c r="C2681" t="s">
        <v>19</v>
      </c>
      <c r="D2681" s="1">
        <v>45547</v>
      </c>
      <c r="E2681" t="s">
        <v>7917</v>
      </c>
      <c r="F2681" t="s">
        <v>13</v>
      </c>
      <c r="G2681" t="s">
        <v>14</v>
      </c>
      <c r="H2681" t="s">
        <v>15</v>
      </c>
      <c r="I2681" t="s">
        <v>21</v>
      </c>
    </row>
    <row r="2682" spans="1:9" x14ac:dyDescent="0.3">
      <c r="A2682" t="s">
        <v>7918</v>
      </c>
      <c r="B2682" t="s">
        <v>7919</v>
      </c>
      <c r="C2682" t="s">
        <v>69</v>
      </c>
      <c r="D2682" s="1">
        <v>45547</v>
      </c>
      <c r="E2682" t="s">
        <v>7920</v>
      </c>
      <c r="F2682" t="s">
        <v>13</v>
      </c>
      <c r="G2682" t="s">
        <v>14</v>
      </c>
      <c r="H2682" t="s">
        <v>15</v>
      </c>
    </row>
    <row r="2683" spans="1:9" x14ac:dyDescent="0.3">
      <c r="A2683" t="s">
        <v>7807</v>
      </c>
      <c r="B2683" t="s">
        <v>7921</v>
      </c>
      <c r="C2683" t="s">
        <v>19</v>
      </c>
      <c r="D2683" s="1">
        <v>45547</v>
      </c>
      <c r="E2683" t="s">
        <v>7922</v>
      </c>
      <c r="F2683" t="s">
        <v>13</v>
      </c>
      <c r="G2683" t="s">
        <v>14</v>
      </c>
      <c r="H2683" t="s">
        <v>15</v>
      </c>
    </row>
    <row r="2684" spans="1:9" x14ac:dyDescent="0.3">
      <c r="A2684" t="s">
        <v>7923</v>
      </c>
      <c r="B2684" t="s">
        <v>7924</v>
      </c>
      <c r="C2684" t="s">
        <v>45</v>
      </c>
      <c r="D2684" s="1">
        <v>45548</v>
      </c>
      <c r="E2684" t="s">
        <v>7925</v>
      </c>
      <c r="F2684" t="s">
        <v>13</v>
      </c>
      <c r="G2684" t="s">
        <v>14</v>
      </c>
      <c r="H2684" t="s">
        <v>15</v>
      </c>
      <c r="I2684" t="s">
        <v>47</v>
      </c>
    </row>
    <row r="2685" spans="1:9" x14ac:dyDescent="0.3">
      <c r="A2685" t="s">
        <v>7926</v>
      </c>
      <c r="B2685" t="s">
        <v>7927</v>
      </c>
      <c r="C2685" t="s">
        <v>11</v>
      </c>
      <c r="D2685" s="1">
        <v>45549</v>
      </c>
      <c r="E2685" t="s">
        <v>7928</v>
      </c>
      <c r="F2685" t="s">
        <v>13</v>
      </c>
      <c r="G2685" t="s">
        <v>14</v>
      </c>
      <c r="H2685" t="s">
        <v>15</v>
      </c>
      <c r="I2685" t="s">
        <v>38</v>
      </c>
    </row>
    <row r="2686" spans="1:9" x14ac:dyDescent="0.3">
      <c r="A2686" t="s">
        <v>7929</v>
      </c>
      <c r="B2686" t="s">
        <v>7930</v>
      </c>
      <c r="C2686" t="s">
        <v>54</v>
      </c>
      <c r="D2686" s="1">
        <v>45550</v>
      </c>
      <c r="E2686" t="s">
        <v>7931</v>
      </c>
      <c r="F2686" t="s">
        <v>13</v>
      </c>
      <c r="G2686" t="s">
        <v>14</v>
      </c>
      <c r="H2686" t="s">
        <v>15</v>
      </c>
      <c r="I2686" t="s">
        <v>181</v>
      </c>
    </row>
    <row r="2687" spans="1:9" x14ac:dyDescent="0.3">
      <c r="A2687" t="s">
        <v>7932</v>
      </c>
      <c r="B2687" t="s">
        <v>7933</v>
      </c>
      <c r="C2687" t="s">
        <v>11</v>
      </c>
      <c r="D2687" s="1">
        <v>45551</v>
      </c>
      <c r="E2687" t="s">
        <v>7934</v>
      </c>
      <c r="F2687" t="s">
        <v>13</v>
      </c>
      <c r="G2687" t="s">
        <v>14</v>
      </c>
      <c r="H2687" t="s">
        <v>15</v>
      </c>
      <c r="I2687" t="s">
        <v>38</v>
      </c>
    </row>
    <row r="2688" spans="1:9" x14ac:dyDescent="0.3">
      <c r="A2688" t="s">
        <v>7935</v>
      </c>
      <c r="B2688" t="s">
        <v>7936</v>
      </c>
      <c r="C2688" t="s">
        <v>69</v>
      </c>
      <c r="D2688" s="1">
        <v>45552</v>
      </c>
      <c r="E2688" t="s">
        <v>7937</v>
      </c>
      <c r="F2688" t="s">
        <v>13</v>
      </c>
      <c r="G2688" t="s">
        <v>14</v>
      </c>
      <c r="H2688" t="s">
        <v>15</v>
      </c>
      <c r="I2688" t="s">
        <v>71</v>
      </c>
    </row>
    <row r="2689" spans="1:9" x14ac:dyDescent="0.3">
      <c r="A2689" t="s">
        <v>7938</v>
      </c>
      <c r="B2689" t="s">
        <v>7939</v>
      </c>
      <c r="C2689" t="s">
        <v>33</v>
      </c>
      <c r="D2689" s="1">
        <v>45552</v>
      </c>
      <c r="E2689" t="s">
        <v>7940</v>
      </c>
      <c r="F2689" t="s">
        <v>13</v>
      </c>
      <c r="G2689" t="s">
        <v>14</v>
      </c>
      <c r="H2689" t="s">
        <v>15</v>
      </c>
      <c r="I2689" t="s">
        <v>51</v>
      </c>
    </row>
    <row r="2690" spans="1:9" x14ac:dyDescent="0.3">
      <c r="A2690" t="s">
        <v>7941</v>
      </c>
      <c r="B2690" t="s">
        <v>7942</v>
      </c>
      <c r="C2690" t="s">
        <v>24</v>
      </c>
      <c r="D2690" s="1">
        <v>45553</v>
      </c>
      <c r="E2690" t="s">
        <v>7943</v>
      </c>
      <c r="F2690" t="s">
        <v>13</v>
      </c>
      <c r="G2690" t="s">
        <v>14</v>
      </c>
      <c r="H2690" t="s">
        <v>15</v>
      </c>
      <c r="I2690" t="s">
        <v>26</v>
      </c>
    </row>
    <row r="2691" spans="1:9" x14ac:dyDescent="0.3">
      <c r="A2691" t="s">
        <v>7944</v>
      </c>
      <c r="B2691" t="s">
        <v>7945</v>
      </c>
      <c r="C2691" t="s">
        <v>11</v>
      </c>
      <c r="D2691" s="1">
        <v>45553</v>
      </c>
      <c r="E2691" t="s">
        <v>7946</v>
      </c>
      <c r="F2691" t="s">
        <v>13</v>
      </c>
      <c r="G2691" t="s">
        <v>14</v>
      </c>
      <c r="H2691" t="s">
        <v>15</v>
      </c>
      <c r="I2691" t="s">
        <v>185</v>
      </c>
    </row>
    <row r="2692" spans="1:9" x14ac:dyDescent="0.3">
      <c r="A2692" t="s">
        <v>7947</v>
      </c>
      <c r="B2692" t="s">
        <v>7948</v>
      </c>
      <c r="C2692" t="s">
        <v>24</v>
      </c>
      <c r="D2692" s="1">
        <v>45553</v>
      </c>
      <c r="E2692" t="s">
        <v>7949</v>
      </c>
      <c r="F2692" t="s">
        <v>13</v>
      </c>
      <c r="G2692" t="s">
        <v>14</v>
      </c>
      <c r="H2692" t="s">
        <v>15</v>
      </c>
      <c r="I2692" t="s">
        <v>63</v>
      </c>
    </row>
    <row r="2693" spans="1:9" x14ac:dyDescent="0.3">
      <c r="A2693" t="s">
        <v>7950</v>
      </c>
      <c r="B2693" t="s">
        <v>7951</v>
      </c>
      <c r="C2693" t="s">
        <v>69</v>
      </c>
      <c r="D2693" s="1">
        <v>45553</v>
      </c>
      <c r="E2693" t="s">
        <v>7952</v>
      </c>
      <c r="F2693" t="s">
        <v>13</v>
      </c>
      <c r="G2693" t="s">
        <v>14</v>
      </c>
      <c r="H2693" t="s">
        <v>15</v>
      </c>
      <c r="I2693" t="s">
        <v>71</v>
      </c>
    </row>
    <row r="2694" spans="1:9" x14ac:dyDescent="0.3">
      <c r="A2694" t="s">
        <v>7953</v>
      </c>
      <c r="B2694" t="s">
        <v>7954</v>
      </c>
      <c r="C2694" t="s">
        <v>54</v>
      </c>
      <c r="D2694" s="1">
        <v>45553</v>
      </c>
      <c r="E2694" t="s">
        <v>7955</v>
      </c>
      <c r="F2694" t="s">
        <v>13</v>
      </c>
      <c r="G2694" t="s">
        <v>14</v>
      </c>
      <c r="H2694" t="s">
        <v>15</v>
      </c>
      <c r="I2694" t="s">
        <v>181</v>
      </c>
    </row>
    <row r="2695" spans="1:9" x14ac:dyDescent="0.3">
      <c r="A2695" t="s">
        <v>6953</v>
      </c>
      <c r="B2695" t="s">
        <v>7956</v>
      </c>
      <c r="C2695" t="s">
        <v>19</v>
      </c>
      <c r="D2695" s="1">
        <v>45554</v>
      </c>
      <c r="E2695" t="s">
        <v>7957</v>
      </c>
      <c r="F2695" t="s">
        <v>13</v>
      </c>
      <c r="G2695" t="s">
        <v>14</v>
      </c>
      <c r="H2695" t="s">
        <v>15</v>
      </c>
      <c r="I2695" t="s">
        <v>21</v>
      </c>
    </row>
    <row r="2696" spans="1:9" x14ac:dyDescent="0.3">
      <c r="A2696" t="s">
        <v>7958</v>
      </c>
      <c r="B2696" t="s">
        <v>7959</v>
      </c>
      <c r="C2696" t="s">
        <v>45</v>
      </c>
      <c r="D2696" s="1">
        <v>45554</v>
      </c>
      <c r="E2696" t="s">
        <v>7960</v>
      </c>
      <c r="F2696" t="s">
        <v>13</v>
      </c>
      <c r="G2696" t="s">
        <v>14</v>
      </c>
      <c r="H2696" t="s">
        <v>15</v>
      </c>
    </row>
    <row r="2697" spans="1:9" x14ac:dyDescent="0.3">
      <c r="A2697" t="s">
        <v>7961</v>
      </c>
      <c r="B2697" t="s">
        <v>7962</v>
      </c>
      <c r="C2697" t="s">
        <v>29</v>
      </c>
      <c r="D2697" s="1">
        <v>45554</v>
      </c>
      <c r="E2697" t="s">
        <v>7963</v>
      </c>
      <c r="F2697" t="s">
        <v>13</v>
      </c>
      <c r="G2697" t="s">
        <v>14</v>
      </c>
      <c r="H2697" t="s">
        <v>15</v>
      </c>
    </row>
    <row r="2698" spans="1:9" x14ac:dyDescent="0.3">
      <c r="A2698" t="s">
        <v>7964</v>
      </c>
      <c r="B2698" t="s">
        <v>7965</v>
      </c>
      <c r="C2698" t="s">
        <v>19</v>
      </c>
      <c r="D2698" s="1">
        <v>45555</v>
      </c>
      <c r="E2698" t="s">
        <v>7966</v>
      </c>
      <c r="F2698" t="s">
        <v>13</v>
      </c>
      <c r="G2698" t="s">
        <v>14</v>
      </c>
      <c r="H2698" t="s">
        <v>15</v>
      </c>
      <c r="I2698" t="s">
        <v>116</v>
      </c>
    </row>
    <row r="2699" spans="1:9" x14ac:dyDescent="0.3">
      <c r="A2699" t="s">
        <v>7967</v>
      </c>
      <c r="B2699" t="s">
        <v>7968</v>
      </c>
      <c r="C2699" t="s">
        <v>29</v>
      </c>
      <c r="D2699" s="1">
        <v>45555</v>
      </c>
      <c r="E2699" t="s">
        <v>7969</v>
      </c>
      <c r="F2699" t="s">
        <v>13</v>
      </c>
      <c r="G2699" t="s">
        <v>14</v>
      </c>
      <c r="H2699" t="s">
        <v>15</v>
      </c>
      <c r="I2699" t="s">
        <v>42</v>
      </c>
    </row>
    <row r="2700" spans="1:9" x14ac:dyDescent="0.3">
      <c r="A2700" t="s">
        <v>7970</v>
      </c>
      <c r="B2700" t="s">
        <v>7971</v>
      </c>
      <c r="C2700" t="s">
        <v>24</v>
      </c>
      <c r="D2700" s="1">
        <v>45555</v>
      </c>
      <c r="E2700" t="s">
        <v>7972</v>
      </c>
      <c r="F2700" t="s">
        <v>13</v>
      </c>
      <c r="G2700" t="s">
        <v>14</v>
      </c>
      <c r="H2700" t="s">
        <v>15</v>
      </c>
      <c r="I2700" t="s">
        <v>63</v>
      </c>
    </row>
    <row r="2701" spans="1:9" x14ac:dyDescent="0.3">
      <c r="A2701" t="s">
        <v>7973</v>
      </c>
      <c r="B2701" t="s">
        <v>7974</v>
      </c>
      <c r="C2701" t="s">
        <v>33</v>
      </c>
      <c r="D2701" s="1">
        <v>45555</v>
      </c>
      <c r="E2701" t="s">
        <v>7975</v>
      </c>
      <c r="F2701" t="s">
        <v>13</v>
      </c>
      <c r="G2701" t="s">
        <v>14</v>
      </c>
      <c r="H2701" t="s">
        <v>15</v>
      </c>
      <c r="I2701" t="s">
        <v>51</v>
      </c>
    </row>
    <row r="2702" spans="1:9" x14ac:dyDescent="0.3">
      <c r="A2702" t="s">
        <v>7976</v>
      </c>
      <c r="B2702" t="s">
        <v>7977</v>
      </c>
      <c r="C2702" t="s">
        <v>69</v>
      </c>
      <c r="D2702" s="1">
        <v>45556</v>
      </c>
      <c r="E2702" t="s">
        <v>7978</v>
      </c>
      <c r="F2702" t="s">
        <v>13</v>
      </c>
      <c r="G2702" t="s">
        <v>14</v>
      </c>
      <c r="H2702" t="s">
        <v>15</v>
      </c>
      <c r="I2702" t="s">
        <v>71</v>
      </c>
    </row>
    <row r="2703" spans="1:9" x14ac:dyDescent="0.3">
      <c r="A2703" t="s">
        <v>7979</v>
      </c>
      <c r="B2703" t="s">
        <v>7980</v>
      </c>
      <c r="C2703" t="s">
        <v>11</v>
      </c>
      <c r="D2703" s="1">
        <v>45556</v>
      </c>
      <c r="E2703" t="s">
        <v>7981</v>
      </c>
      <c r="F2703" t="s">
        <v>13</v>
      </c>
      <c r="G2703" t="s">
        <v>14</v>
      </c>
      <c r="H2703" t="s">
        <v>15</v>
      </c>
      <c r="I2703" t="s">
        <v>16</v>
      </c>
    </row>
    <row r="2704" spans="1:9" x14ac:dyDescent="0.3">
      <c r="A2704" t="s">
        <v>7982</v>
      </c>
      <c r="B2704" t="s">
        <v>7983</v>
      </c>
      <c r="C2704" t="s">
        <v>54</v>
      </c>
      <c r="D2704" s="1">
        <v>45556</v>
      </c>
      <c r="E2704" t="s">
        <v>7984</v>
      </c>
      <c r="F2704" t="s">
        <v>13</v>
      </c>
      <c r="G2704" t="s">
        <v>14</v>
      </c>
      <c r="H2704" t="s">
        <v>15</v>
      </c>
      <c r="I2704" t="s">
        <v>181</v>
      </c>
    </row>
    <row r="2705" spans="1:9" x14ac:dyDescent="0.3">
      <c r="A2705" t="s">
        <v>7985</v>
      </c>
      <c r="B2705" t="s">
        <v>7986</v>
      </c>
      <c r="C2705" t="s">
        <v>54</v>
      </c>
      <c r="D2705" s="1">
        <v>45556</v>
      </c>
      <c r="E2705" t="s">
        <v>7987</v>
      </c>
      <c r="F2705" t="s">
        <v>13</v>
      </c>
      <c r="G2705" t="s">
        <v>14</v>
      </c>
      <c r="H2705" t="s">
        <v>15</v>
      </c>
      <c r="I2705" t="s">
        <v>238</v>
      </c>
    </row>
    <row r="2706" spans="1:9" x14ac:dyDescent="0.3">
      <c r="A2706" t="s">
        <v>7988</v>
      </c>
      <c r="B2706" t="s">
        <v>7989</v>
      </c>
      <c r="C2706" t="s">
        <v>45</v>
      </c>
      <c r="D2706" s="1">
        <v>45556</v>
      </c>
      <c r="E2706" t="s">
        <v>7990</v>
      </c>
      <c r="F2706" t="s">
        <v>13</v>
      </c>
      <c r="G2706" t="s">
        <v>14</v>
      </c>
      <c r="H2706" t="s">
        <v>15</v>
      </c>
      <c r="I2706" t="s">
        <v>248</v>
      </c>
    </row>
    <row r="2707" spans="1:9" x14ac:dyDescent="0.3">
      <c r="A2707" t="s">
        <v>7991</v>
      </c>
      <c r="B2707" t="s">
        <v>7992</v>
      </c>
      <c r="C2707" t="s">
        <v>69</v>
      </c>
      <c r="D2707" s="1">
        <v>45557</v>
      </c>
      <c r="E2707" t="s">
        <v>7993</v>
      </c>
      <c r="F2707" t="s">
        <v>13</v>
      </c>
      <c r="G2707" t="s">
        <v>14</v>
      </c>
      <c r="H2707" t="s">
        <v>15</v>
      </c>
    </row>
    <row r="2708" spans="1:9" x14ac:dyDescent="0.3">
      <c r="A2708" t="s">
        <v>7994</v>
      </c>
      <c r="B2708" t="s">
        <v>7995</v>
      </c>
      <c r="C2708" t="s">
        <v>19</v>
      </c>
      <c r="D2708" s="1">
        <v>45557</v>
      </c>
      <c r="E2708" t="s">
        <v>7996</v>
      </c>
      <c r="F2708" t="s">
        <v>13</v>
      </c>
      <c r="G2708" t="s">
        <v>14</v>
      </c>
      <c r="H2708" t="s">
        <v>15</v>
      </c>
    </row>
    <row r="2709" spans="1:9" x14ac:dyDescent="0.3">
      <c r="A2709" t="s">
        <v>7997</v>
      </c>
      <c r="B2709" t="s">
        <v>7998</v>
      </c>
      <c r="C2709" t="s">
        <v>29</v>
      </c>
      <c r="D2709" s="1">
        <v>45557</v>
      </c>
      <c r="E2709" t="s">
        <v>7999</v>
      </c>
      <c r="F2709" t="s">
        <v>13</v>
      </c>
      <c r="G2709" t="s">
        <v>14</v>
      </c>
      <c r="H2709" t="s">
        <v>15</v>
      </c>
    </row>
    <row r="2710" spans="1:9" x14ac:dyDescent="0.3">
      <c r="A2710" t="s">
        <v>8000</v>
      </c>
      <c r="B2710" t="s">
        <v>8001</v>
      </c>
      <c r="C2710" t="s">
        <v>11</v>
      </c>
      <c r="D2710" s="1">
        <v>45558</v>
      </c>
      <c r="E2710" t="s">
        <v>8002</v>
      </c>
      <c r="F2710" t="s">
        <v>13</v>
      </c>
      <c r="G2710" t="s">
        <v>14</v>
      </c>
      <c r="H2710" t="s">
        <v>15</v>
      </c>
      <c r="I2710" t="s">
        <v>38</v>
      </c>
    </row>
    <row r="2711" spans="1:9" x14ac:dyDescent="0.3">
      <c r="A2711" t="s">
        <v>8003</v>
      </c>
      <c r="B2711" t="s">
        <v>8004</v>
      </c>
      <c r="C2711" t="s">
        <v>54</v>
      </c>
      <c r="D2711" s="1">
        <v>45558</v>
      </c>
      <c r="E2711" t="s">
        <v>8005</v>
      </c>
      <c r="F2711" t="s">
        <v>13</v>
      </c>
      <c r="G2711" t="s">
        <v>14</v>
      </c>
      <c r="H2711" t="s">
        <v>15</v>
      </c>
      <c r="I2711" t="s">
        <v>181</v>
      </c>
    </row>
    <row r="2712" spans="1:9" x14ac:dyDescent="0.3">
      <c r="A2712" t="s">
        <v>8006</v>
      </c>
      <c r="B2712" t="s">
        <v>8007</v>
      </c>
      <c r="C2712" t="s">
        <v>29</v>
      </c>
      <c r="D2712" s="1">
        <v>45558</v>
      </c>
      <c r="E2712" t="s">
        <v>8008</v>
      </c>
      <c r="F2712" t="s">
        <v>13</v>
      </c>
      <c r="G2712" t="s">
        <v>14</v>
      </c>
      <c r="H2712" t="s">
        <v>15</v>
      </c>
      <c r="I2712" t="s">
        <v>204</v>
      </c>
    </row>
    <row r="2713" spans="1:9" x14ac:dyDescent="0.3">
      <c r="A2713" t="s">
        <v>8009</v>
      </c>
      <c r="B2713" t="s">
        <v>8010</v>
      </c>
      <c r="C2713" t="s">
        <v>54</v>
      </c>
      <c r="D2713" s="1">
        <v>45558</v>
      </c>
      <c r="E2713" t="s">
        <v>8011</v>
      </c>
      <c r="F2713" t="s">
        <v>13</v>
      </c>
      <c r="G2713" t="s">
        <v>14</v>
      </c>
      <c r="H2713" t="s">
        <v>15</v>
      </c>
      <c r="I2713" t="s">
        <v>238</v>
      </c>
    </row>
    <row r="2714" spans="1:9" x14ac:dyDescent="0.3">
      <c r="A2714" t="s">
        <v>8012</v>
      </c>
      <c r="B2714" t="s">
        <v>8013</v>
      </c>
      <c r="C2714" t="s">
        <v>54</v>
      </c>
      <c r="D2714" s="1">
        <v>45558</v>
      </c>
      <c r="E2714" t="s">
        <v>8014</v>
      </c>
      <c r="F2714" t="s">
        <v>13</v>
      </c>
      <c r="G2714" t="s">
        <v>14</v>
      </c>
      <c r="H2714" t="s">
        <v>15</v>
      </c>
      <c r="I2714" t="s">
        <v>181</v>
      </c>
    </row>
    <row r="2715" spans="1:9" x14ac:dyDescent="0.3">
      <c r="A2715" t="s">
        <v>8015</v>
      </c>
      <c r="B2715" t="s">
        <v>8016</v>
      </c>
      <c r="C2715" t="s">
        <v>33</v>
      </c>
      <c r="D2715" s="1">
        <v>45558</v>
      </c>
      <c r="E2715" t="s">
        <v>8017</v>
      </c>
      <c r="F2715" t="s">
        <v>13</v>
      </c>
      <c r="G2715" t="s">
        <v>14</v>
      </c>
      <c r="H2715" t="s">
        <v>15</v>
      </c>
      <c r="I2715" t="s">
        <v>51</v>
      </c>
    </row>
    <row r="2716" spans="1:9" x14ac:dyDescent="0.3">
      <c r="A2716" t="s">
        <v>8018</v>
      </c>
      <c r="B2716" t="s">
        <v>8019</v>
      </c>
      <c r="C2716" t="s">
        <v>45</v>
      </c>
      <c r="D2716" s="1">
        <v>45559</v>
      </c>
      <c r="E2716" t="s">
        <v>8020</v>
      </c>
      <c r="F2716" t="s">
        <v>13</v>
      </c>
      <c r="G2716" t="s">
        <v>14</v>
      </c>
      <c r="H2716" t="s">
        <v>15</v>
      </c>
      <c r="I2716" t="s">
        <v>248</v>
      </c>
    </row>
    <row r="2717" spans="1:9" x14ac:dyDescent="0.3">
      <c r="A2717" t="s">
        <v>8021</v>
      </c>
      <c r="B2717" t="s">
        <v>8022</v>
      </c>
      <c r="C2717" t="s">
        <v>45</v>
      </c>
      <c r="D2717" s="1">
        <v>45559</v>
      </c>
      <c r="E2717" t="s">
        <v>8023</v>
      </c>
      <c r="F2717" t="s">
        <v>13</v>
      </c>
      <c r="G2717" t="s">
        <v>14</v>
      </c>
      <c r="H2717" t="s">
        <v>15</v>
      </c>
      <c r="I2717" t="s">
        <v>47</v>
      </c>
    </row>
    <row r="2718" spans="1:9" x14ac:dyDescent="0.3">
      <c r="A2718" t="s">
        <v>8024</v>
      </c>
      <c r="B2718" t="s">
        <v>8025</v>
      </c>
      <c r="C2718" t="s">
        <v>29</v>
      </c>
      <c r="D2718" s="1">
        <v>45559</v>
      </c>
      <c r="E2718" t="s">
        <v>8026</v>
      </c>
      <c r="F2718" t="s">
        <v>13</v>
      </c>
      <c r="G2718" t="s">
        <v>14</v>
      </c>
      <c r="H2718" t="s">
        <v>15</v>
      </c>
    </row>
    <row r="2719" spans="1:9" x14ac:dyDescent="0.3">
      <c r="A2719" t="s">
        <v>8027</v>
      </c>
      <c r="B2719" t="s">
        <v>8028</v>
      </c>
      <c r="C2719" t="s">
        <v>33</v>
      </c>
      <c r="D2719" s="1">
        <v>45559</v>
      </c>
      <c r="E2719" t="s">
        <v>8029</v>
      </c>
      <c r="F2719" t="s">
        <v>13</v>
      </c>
      <c r="G2719" t="s">
        <v>14</v>
      </c>
      <c r="H2719" t="s">
        <v>15</v>
      </c>
    </row>
    <row r="2720" spans="1:9" x14ac:dyDescent="0.3">
      <c r="A2720" t="s">
        <v>8030</v>
      </c>
      <c r="B2720" t="s">
        <v>8031</v>
      </c>
      <c r="C2720" t="s">
        <v>11</v>
      </c>
      <c r="D2720" s="1">
        <v>45559</v>
      </c>
      <c r="E2720" t="s">
        <v>8032</v>
      </c>
      <c r="F2720" t="s">
        <v>13</v>
      </c>
      <c r="G2720" t="s">
        <v>14</v>
      </c>
      <c r="H2720" t="s">
        <v>15</v>
      </c>
    </row>
    <row r="2721" spans="1:9" x14ac:dyDescent="0.3">
      <c r="A2721" t="s">
        <v>8033</v>
      </c>
      <c r="B2721" t="s">
        <v>8034</v>
      </c>
      <c r="C2721" t="s">
        <v>45</v>
      </c>
      <c r="D2721" s="1">
        <v>45560</v>
      </c>
      <c r="E2721" t="s">
        <v>8035</v>
      </c>
      <c r="F2721" t="s">
        <v>13</v>
      </c>
      <c r="G2721" t="s">
        <v>14</v>
      </c>
      <c r="H2721" t="s">
        <v>15</v>
      </c>
      <c r="I2721" t="s">
        <v>47</v>
      </c>
    </row>
    <row r="2722" spans="1:9" x14ac:dyDescent="0.3">
      <c r="A2722" t="s">
        <v>8036</v>
      </c>
      <c r="B2722" t="s">
        <v>8037</v>
      </c>
      <c r="C2722" t="s">
        <v>45</v>
      </c>
      <c r="D2722" s="1">
        <v>45560</v>
      </c>
      <c r="E2722" t="s">
        <v>8038</v>
      </c>
      <c r="F2722" t="s">
        <v>13</v>
      </c>
      <c r="G2722" t="s">
        <v>14</v>
      </c>
      <c r="H2722" t="s">
        <v>15</v>
      </c>
    </row>
    <row r="2723" spans="1:9" x14ac:dyDescent="0.3">
      <c r="A2723" t="s">
        <v>8039</v>
      </c>
      <c r="B2723" t="s">
        <v>8040</v>
      </c>
      <c r="C2723" t="s">
        <v>11</v>
      </c>
      <c r="D2723" s="1">
        <v>45560</v>
      </c>
      <c r="E2723" t="s">
        <v>8041</v>
      </c>
      <c r="F2723" t="s">
        <v>13</v>
      </c>
      <c r="G2723" t="s">
        <v>14</v>
      </c>
      <c r="H2723" t="s">
        <v>15</v>
      </c>
    </row>
    <row r="2724" spans="1:9" x14ac:dyDescent="0.3">
      <c r="A2724" t="s">
        <v>8042</v>
      </c>
      <c r="B2724" t="s">
        <v>8043</v>
      </c>
      <c r="C2724" t="s">
        <v>29</v>
      </c>
      <c r="D2724" s="1">
        <v>45561</v>
      </c>
      <c r="E2724" t="s">
        <v>8044</v>
      </c>
      <c r="F2724" t="s">
        <v>13</v>
      </c>
      <c r="G2724" t="s">
        <v>14</v>
      </c>
      <c r="H2724" t="s">
        <v>15</v>
      </c>
      <c r="I2724" t="s">
        <v>42</v>
      </c>
    </row>
    <row r="2725" spans="1:9" x14ac:dyDescent="0.3">
      <c r="A2725" t="s">
        <v>8045</v>
      </c>
      <c r="B2725" t="s">
        <v>8046</v>
      </c>
      <c r="C2725" t="s">
        <v>11</v>
      </c>
      <c r="D2725" s="1">
        <v>45561</v>
      </c>
      <c r="E2725" t="s">
        <v>8047</v>
      </c>
      <c r="F2725" t="s">
        <v>13</v>
      </c>
      <c r="G2725" t="s">
        <v>14</v>
      </c>
      <c r="H2725" t="s">
        <v>15</v>
      </c>
      <c r="I2725" t="s">
        <v>185</v>
      </c>
    </row>
    <row r="2726" spans="1:9" x14ac:dyDescent="0.3">
      <c r="A2726" t="s">
        <v>8048</v>
      </c>
      <c r="B2726" t="s">
        <v>8049</v>
      </c>
      <c r="C2726" t="s">
        <v>29</v>
      </c>
      <c r="D2726" s="1">
        <v>45561</v>
      </c>
      <c r="E2726" t="s">
        <v>8050</v>
      </c>
      <c r="F2726" t="s">
        <v>13</v>
      </c>
      <c r="G2726" t="s">
        <v>14</v>
      </c>
      <c r="H2726" t="s">
        <v>15</v>
      </c>
    </row>
    <row r="2727" spans="1:9" x14ac:dyDescent="0.3">
      <c r="A2727" t="s">
        <v>8051</v>
      </c>
      <c r="B2727" t="s">
        <v>8052</v>
      </c>
      <c r="C2727" t="s">
        <v>45</v>
      </c>
      <c r="D2727" s="1">
        <v>45562</v>
      </c>
      <c r="E2727" t="s">
        <v>8053</v>
      </c>
      <c r="F2727" t="s">
        <v>13</v>
      </c>
      <c r="G2727" t="s">
        <v>14</v>
      </c>
      <c r="H2727" t="s">
        <v>15</v>
      </c>
      <c r="I2727" t="s">
        <v>248</v>
      </c>
    </row>
    <row r="2728" spans="1:9" x14ac:dyDescent="0.3">
      <c r="A2728" t="s">
        <v>8054</v>
      </c>
      <c r="B2728" t="s">
        <v>8055</v>
      </c>
      <c r="C2728" t="s">
        <v>54</v>
      </c>
      <c r="D2728" s="1">
        <v>45562</v>
      </c>
      <c r="E2728" t="s">
        <v>8056</v>
      </c>
      <c r="F2728" t="s">
        <v>13</v>
      </c>
      <c r="G2728" t="s">
        <v>14</v>
      </c>
      <c r="H2728" t="s">
        <v>15</v>
      </c>
      <c r="I2728" t="s">
        <v>238</v>
      </c>
    </row>
    <row r="2729" spans="1:9" x14ac:dyDescent="0.3">
      <c r="A2729" t="s">
        <v>8057</v>
      </c>
      <c r="B2729" t="s">
        <v>8058</v>
      </c>
      <c r="C2729" t="s">
        <v>33</v>
      </c>
      <c r="D2729" s="1">
        <v>45563</v>
      </c>
      <c r="E2729" t="s">
        <v>8059</v>
      </c>
      <c r="F2729" t="s">
        <v>13</v>
      </c>
      <c r="G2729" t="s">
        <v>14</v>
      </c>
      <c r="H2729" t="s">
        <v>15</v>
      </c>
      <c r="I2729" t="s">
        <v>51</v>
      </c>
    </row>
    <row r="2730" spans="1:9" x14ac:dyDescent="0.3">
      <c r="A2730" t="s">
        <v>8060</v>
      </c>
      <c r="B2730" t="s">
        <v>8061</v>
      </c>
      <c r="C2730" t="s">
        <v>45</v>
      </c>
      <c r="D2730" s="1">
        <v>45563</v>
      </c>
      <c r="E2730" t="s">
        <v>8062</v>
      </c>
      <c r="F2730" t="s">
        <v>13</v>
      </c>
      <c r="G2730" t="s">
        <v>14</v>
      </c>
      <c r="H2730" t="s">
        <v>15</v>
      </c>
      <c r="I2730" t="s">
        <v>248</v>
      </c>
    </row>
    <row r="2731" spans="1:9" x14ac:dyDescent="0.3">
      <c r="A2731" t="s">
        <v>8063</v>
      </c>
      <c r="B2731" t="s">
        <v>8064</v>
      </c>
      <c r="C2731" t="s">
        <v>24</v>
      </c>
      <c r="D2731" s="1">
        <v>45563</v>
      </c>
      <c r="E2731" t="s">
        <v>8065</v>
      </c>
      <c r="F2731" t="s">
        <v>13</v>
      </c>
      <c r="G2731" t="s">
        <v>14</v>
      </c>
      <c r="H2731" t="s">
        <v>15</v>
      </c>
      <c r="I2731" t="s">
        <v>26</v>
      </c>
    </row>
    <row r="2732" spans="1:9" x14ac:dyDescent="0.3">
      <c r="A2732" t="s">
        <v>8066</v>
      </c>
      <c r="B2732" t="s">
        <v>8067</v>
      </c>
      <c r="C2732" t="s">
        <v>45</v>
      </c>
      <c r="D2732" s="1">
        <v>45563</v>
      </c>
      <c r="E2732" t="s">
        <v>8068</v>
      </c>
      <c r="F2732" t="s">
        <v>13</v>
      </c>
      <c r="G2732" t="s">
        <v>14</v>
      </c>
      <c r="H2732" t="s">
        <v>15</v>
      </c>
    </row>
    <row r="2733" spans="1:9" x14ac:dyDescent="0.3">
      <c r="A2733" t="s">
        <v>8069</v>
      </c>
      <c r="B2733" t="s">
        <v>8070</v>
      </c>
      <c r="C2733" t="s">
        <v>69</v>
      </c>
      <c r="D2733" s="1">
        <v>45564</v>
      </c>
      <c r="E2733" t="s">
        <v>8071</v>
      </c>
      <c r="F2733" t="s">
        <v>13</v>
      </c>
      <c r="G2733" t="s">
        <v>14</v>
      </c>
      <c r="H2733" t="s">
        <v>15</v>
      </c>
    </row>
    <row r="2734" spans="1:9" x14ac:dyDescent="0.3">
      <c r="A2734" t="s">
        <v>8072</v>
      </c>
      <c r="B2734" t="s">
        <v>8073</v>
      </c>
      <c r="C2734" t="s">
        <v>33</v>
      </c>
      <c r="D2734" s="1">
        <v>45564</v>
      </c>
      <c r="E2734" t="s">
        <v>8074</v>
      </c>
      <c r="F2734" t="s">
        <v>13</v>
      </c>
      <c r="G2734" t="s">
        <v>14</v>
      </c>
      <c r="H2734" t="s">
        <v>15</v>
      </c>
      <c r="I2734" t="s">
        <v>94</v>
      </c>
    </row>
    <row r="2735" spans="1:9" x14ac:dyDescent="0.3">
      <c r="A2735" t="s">
        <v>8075</v>
      </c>
      <c r="B2735" t="s">
        <v>8076</v>
      </c>
      <c r="C2735" t="s">
        <v>69</v>
      </c>
      <c r="D2735" s="1">
        <v>45564</v>
      </c>
      <c r="E2735" t="s">
        <v>8077</v>
      </c>
      <c r="F2735" t="s">
        <v>13</v>
      </c>
      <c r="G2735" t="s">
        <v>14</v>
      </c>
      <c r="H2735" t="s">
        <v>15</v>
      </c>
      <c r="I2735" t="s">
        <v>71</v>
      </c>
    </row>
    <row r="2736" spans="1:9" x14ac:dyDescent="0.3">
      <c r="A2736" t="s">
        <v>8078</v>
      </c>
      <c r="B2736" t="s">
        <v>8079</v>
      </c>
      <c r="C2736" t="s">
        <v>69</v>
      </c>
      <c r="D2736" s="1">
        <v>45564</v>
      </c>
      <c r="E2736" t="s">
        <v>8080</v>
      </c>
      <c r="F2736" t="s">
        <v>13</v>
      </c>
      <c r="G2736" t="s">
        <v>14</v>
      </c>
      <c r="H2736" t="s">
        <v>15</v>
      </c>
    </row>
    <row r="2737" spans="1:9" x14ac:dyDescent="0.3">
      <c r="A2737" t="s">
        <v>8081</v>
      </c>
      <c r="B2737" t="s">
        <v>8082</v>
      </c>
      <c r="C2737" t="s">
        <v>45</v>
      </c>
      <c r="D2737" s="1">
        <v>45564</v>
      </c>
      <c r="E2737" t="s">
        <v>8083</v>
      </c>
      <c r="F2737" t="s">
        <v>13</v>
      </c>
      <c r="G2737" t="s">
        <v>14</v>
      </c>
      <c r="H2737" t="s">
        <v>15</v>
      </c>
      <c r="I2737" t="s">
        <v>47</v>
      </c>
    </row>
    <row r="2738" spans="1:9" x14ac:dyDescent="0.3">
      <c r="A2738" t="s">
        <v>8084</v>
      </c>
      <c r="B2738" t="s">
        <v>8085</v>
      </c>
      <c r="C2738" t="s">
        <v>45</v>
      </c>
      <c r="D2738" s="1">
        <v>45564</v>
      </c>
      <c r="E2738" t="s">
        <v>8086</v>
      </c>
      <c r="F2738" t="s">
        <v>13</v>
      </c>
      <c r="G2738" t="s">
        <v>14</v>
      </c>
      <c r="H2738" t="s">
        <v>15</v>
      </c>
    </row>
    <row r="2739" spans="1:9" x14ac:dyDescent="0.3">
      <c r="A2739" t="s">
        <v>8087</v>
      </c>
      <c r="B2739" t="s">
        <v>8088</v>
      </c>
      <c r="C2739" t="s">
        <v>54</v>
      </c>
      <c r="D2739" s="1">
        <v>45565</v>
      </c>
      <c r="E2739" t="s">
        <v>8089</v>
      </c>
      <c r="F2739" t="s">
        <v>13</v>
      </c>
      <c r="G2739" t="s">
        <v>14</v>
      </c>
      <c r="H2739" t="s">
        <v>15</v>
      </c>
      <c r="I2739" t="s">
        <v>181</v>
      </c>
    </row>
    <row r="2740" spans="1:9" x14ac:dyDescent="0.3">
      <c r="A2740" t="s">
        <v>8090</v>
      </c>
      <c r="B2740" t="s">
        <v>8091</v>
      </c>
      <c r="C2740" t="s">
        <v>11</v>
      </c>
      <c r="D2740" s="1">
        <v>45565</v>
      </c>
      <c r="E2740" t="s">
        <v>8092</v>
      </c>
      <c r="F2740" t="s">
        <v>13</v>
      </c>
      <c r="G2740" t="s">
        <v>14</v>
      </c>
      <c r="H2740" t="s">
        <v>15</v>
      </c>
      <c r="I2740" t="s">
        <v>38</v>
      </c>
    </row>
    <row r="2741" spans="1:9" x14ac:dyDescent="0.3">
      <c r="A2741" t="s">
        <v>8093</v>
      </c>
      <c r="B2741" t="s">
        <v>8094</v>
      </c>
      <c r="C2741" t="s">
        <v>69</v>
      </c>
      <c r="D2741" s="1">
        <v>45565</v>
      </c>
      <c r="E2741" t="s">
        <v>8095</v>
      </c>
      <c r="F2741" t="s">
        <v>13</v>
      </c>
      <c r="G2741" t="s">
        <v>14</v>
      </c>
      <c r="H2741" t="s">
        <v>15</v>
      </c>
      <c r="I2741" t="s">
        <v>71</v>
      </c>
    </row>
    <row r="2742" spans="1:9" x14ac:dyDescent="0.3">
      <c r="A2742" t="s">
        <v>8096</v>
      </c>
      <c r="B2742" t="s">
        <v>8097</v>
      </c>
      <c r="C2742" t="s">
        <v>69</v>
      </c>
      <c r="D2742" s="1">
        <v>45566</v>
      </c>
      <c r="E2742" t="s">
        <v>8098</v>
      </c>
      <c r="F2742" t="s">
        <v>13</v>
      </c>
      <c r="G2742" t="s">
        <v>14</v>
      </c>
      <c r="H2742" t="s">
        <v>15</v>
      </c>
    </row>
    <row r="2743" spans="1:9" x14ac:dyDescent="0.3">
      <c r="A2743" t="s">
        <v>8099</v>
      </c>
      <c r="B2743" t="s">
        <v>8100</v>
      </c>
      <c r="C2743" t="s">
        <v>45</v>
      </c>
      <c r="D2743" s="1">
        <v>45566</v>
      </c>
      <c r="E2743" t="s">
        <v>8101</v>
      </c>
      <c r="F2743" t="s">
        <v>13</v>
      </c>
      <c r="G2743" t="s">
        <v>14</v>
      </c>
      <c r="H2743" t="s">
        <v>15</v>
      </c>
      <c r="I2743" t="s">
        <v>248</v>
      </c>
    </row>
    <row r="2744" spans="1:9" x14ac:dyDescent="0.3">
      <c r="A2744" t="s">
        <v>8102</v>
      </c>
      <c r="B2744" t="s">
        <v>8103</v>
      </c>
      <c r="C2744" t="s">
        <v>19</v>
      </c>
      <c r="D2744" s="1">
        <v>45566</v>
      </c>
      <c r="E2744" t="s">
        <v>8104</v>
      </c>
      <c r="F2744" t="s">
        <v>13</v>
      </c>
      <c r="G2744" t="s">
        <v>14</v>
      </c>
      <c r="H2744" t="s">
        <v>15</v>
      </c>
      <c r="I2744" t="s">
        <v>116</v>
      </c>
    </row>
    <row r="2745" spans="1:9" x14ac:dyDescent="0.3">
      <c r="A2745" t="s">
        <v>8105</v>
      </c>
      <c r="B2745" t="s">
        <v>8106</v>
      </c>
      <c r="C2745" t="s">
        <v>45</v>
      </c>
      <c r="D2745" s="1">
        <v>45567</v>
      </c>
      <c r="E2745" t="s">
        <v>8107</v>
      </c>
      <c r="F2745" t="s">
        <v>13</v>
      </c>
      <c r="G2745" t="s">
        <v>14</v>
      </c>
      <c r="H2745" t="s">
        <v>15</v>
      </c>
      <c r="I2745" t="s">
        <v>47</v>
      </c>
    </row>
    <row r="2746" spans="1:9" x14ac:dyDescent="0.3">
      <c r="A2746" t="s">
        <v>8108</v>
      </c>
      <c r="B2746" t="s">
        <v>8109</v>
      </c>
      <c r="C2746" t="s">
        <v>11</v>
      </c>
      <c r="D2746" s="1">
        <v>45567</v>
      </c>
      <c r="E2746" t="s">
        <v>8110</v>
      </c>
      <c r="F2746" t="s">
        <v>13</v>
      </c>
      <c r="G2746" t="s">
        <v>14</v>
      </c>
      <c r="H2746" t="s">
        <v>15</v>
      </c>
    </row>
    <row r="2747" spans="1:9" x14ac:dyDescent="0.3">
      <c r="A2747" t="s">
        <v>8111</v>
      </c>
      <c r="B2747" t="s">
        <v>8112</v>
      </c>
      <c r="C2747" t="s">
        <v>45</v>
      </c>
      <c r="D2747" s="1">
        <v>45568</v>
      </c>
      <c r="E2747" t="s">
        <v>8113</v>
      </c>
      <c r="F2747" t="s">
        <v>13</v>
      </c>
      <c r="G2747" t="s">
        <v>14</v>
      </c>
      <c r="H2747" t="s">
        <v>15</v>
      </c>
      <c r="I2747" t="s">
        <v>47</v>
      </c>
    </row>
    <row r="2748" spans="1:9" x14ac:dyDescent="0.3">
      <c r="A2748" t="s">
        <v>8114</v>
      </c>
      <c r="B2748" t="s">
        <v>8115</v>
      </c>
      <c r="C2748" t="s">
        <v>29</v>
      </c>
      <c r="D2748" s="1">
        <v>45569</v>
      </c>
      <c r="E2748" t="s">
        <v>8116</v>
      </c>
      <c r="F2748" t="s">
        <v>13</v>
      </c>
      <c r="G2748" t="s">
        <v>14</v>
      </c>
      <c r="H2748" t="s">
        <v>15</v>
      </c>
      <c r="I2748" t="s">
        <v>42</v>
      </c>
    </row>
    <row r="2749" spans="1:9" x14ac:dyDescent="0.3">
      <c r="A2749" t="s">
        <v>8117</v>
      </c>
      <c r="B2749" t="s">
        <v>8118</v>
      </c>
      <c r="C2749" t="s">
        <v>19</v>
      </c>
      <c r="D2749" s="1">
        <v>45569</v>
      </c>
      <c r="E2749" t="s">
        <v>8119</v>
      </c>
      <c r="F2749" t="s">
        <v>13</v>
      </c>
      <c r="G2749" t="s">
        <v>14</v>
      </c>
      <c r="H2749" t="s">
        <v>15</v>
      </c>
      <c r="I2749" t="s">
        <v>21</v>
      </c>
    </row>
    <row r="2750" spans="1:9" x14ac:dyDescent="0.3">
      <c r="A2750" t="s">
        <v>8120</v>
      </c>
      <c r="B2750" t="s">
        <v>8121</v>
      </c>
      <c r="C2750" t="s">
        <v>54</v>
      </c>
      <c r="D2750" s="1">
        <v>45569</v>
      </c>
      <c r="E2750" t="s">
        <v>8122</v>
      </c>
      <c r="F2750" t="s">
        <v>13</v>
      </c>
      <c r="G2750" t="s">
        <v>14</v>
      </c>
      <c r="H2750" t="s">
        <v>15</v>
      </c>
      <c r="I2750" t="s">
        <v>238</v>
      </c>
    </row>
    <row r="2751" spans="1:9" x14ac:dyDescent="0.3">
      <c r="A2751" t="s">
        <v>8123</v>
      </c>
      <c r="B2751" t="s">
        <v>8124</v>
      </c>
      <c r="C2751" t="s">
        <v>29</v>
      </c>
      <c r="D2751" s="1">
        <v>45569</v>
      </c>
      <c r="E2751" t="s">
        <v>8125</v>
      </c>
      <c r="F2751" t="s">
        <v>13</v>
      </c>
      <c r="G2751" t="s">
        <v>14</v>
      </c>
      <c r="H2751" t="s">
        <v>15</v>
      </c>
      <c r="I2751" t="s">
        <v>81</v>
      </c>
    </row>
    <row r="2752" spans="1:9" x14ac:dyDescent="0.3">
      <c r="A2752" t="s">
        <v>8126</v>
      </c>
      <c r="B2752" t="s">
        <v>8127</v>
      </c>
      <c r="C2752" t="s">
        <v>19</v>
      </c>
      <c r="D2752" s="1">
        <v>45569</v>
      </c>
      <c r="E2752" t="s">
        <v>8128</v>
      </c>
      <c r="F2752" t="s">
        <v>13</v>
      </c>
      <c r="G2752" t="s">
        <v>14</v>
      </c>
      <c r="H2752" t="s">
        <v>15</v>
      </c>
      <c r="I2752" t="s">
        <v>116</v>
      </c>
    </row>
    <row r="2753" spans="1:9" x14ac:dyDescent="0.3">
      <c r="A2753" t="s">
        <v>8129</v>
      </c>
      <c r="B2753" t="s">
        <v>8130</v>
      </c>
      <c r="C2753" t="s">
        <v>69</v>
      </c>
      <c r="D2753" s="1">
        <v>45569</v>
      </c>
      <c r="E2753" t="s">
        <v>8131</v>
      </c>
      <c r="F2753" t="s">
        <v>13</v>
      </c>
      <c r="G2753" t="s">
        <v>14</v>
      </c>
      <c r="H2753" t="s">
        <v>15</v>
      </c>
    </row>
    <row r="2754" spans="1:9" x14ac:dyDescent="0.3">
      <c r="A2754" t="s">
        <v>8132</v>
      </c>
      <c r="B2754" t="s">
        <v>8133</v>
      </c>
      <c r="C2754" t="s">
        <v>19</v>
      </c>
      <c r="D2754" s="1">
        <v>45569</v>
      </c>
      <c r="E2754" t="s">
        <v>8134</v>
      </c>
      <c r="F2754" t="s">
        <v>13</v>
      </c>
      <c r="G2754" t="s">
        <v>14</v>
      </c>
      <c r="H2754" t="s">
        <v>15</v>
      </c>
      <c r="I2754" t="s">
        <v>116</v>
      </c>
    </row>
    <row r="2755" spans="1:9" x14ac:dyDescent="0.3">
      <c r="A2755" t="s">
        <v>8135</v>
      </c>
      <c r="B2755" t="s">
        <v>8136</v>
      </c>
      <c r="C2755" t="s">
        <v>54</v>
      </c>
      <c r="D2755" s="1">
        <v>45569</v>
      </c>
      <c r="E2755" t="s">
        <v>8137</v>
      </c>
      <c r="F2755" t="s">
        <v>13</v>
      </c>
      <c r="G2755" t="s">
        <v>14</v>
      </c>
      <c r="H2755" t="s">
        <v>15</v>
      </c>
    </row>
    <row r="2756" spans="1:9" x14ac:dyDescent="0.3">
      <c r="A2756" t="s">
        <v>8138</v>
      </c>
      <c r="B2756" t="s">
        <v>8139</v>
      </c>
      <c r="C2756" t="s">
        <v>29</v>
      </c>
      <c r="D2756" s="1">
        <v>45570</v>
      </c>
      <c r="E2756" t="s">
        <v>8140</v>
      </c>
      <c r="F2756" t="s">
        <v>13</v>
      </c>
      <c r="G2756" t="s">
        <v>14</v>
      </c>
      <c r="H2756" t="s">
        <v>15</v>
      </c>
      <c r="I2756" t="s">
        <v>42</v>
      </c>
    </row>
    <row r="2757" spans="1:9" x14ac:dyDescent="0.3">
      <c r="A2757" t="s">
        <v>8141</v>
      </c>
      <c r="B2757" t="s">
        <v>8142</v>
      </c>
      <c r="C2757" t="s">
        <v>33</v>
      </c>
      <c r="D2757" s="1">
        <v>45570</v>
      </c>
      <c r="E2757" t="s">
        <v>8143</v>
      </c>
      <c r="F2757" t="s">
        <v>13</v>
      </c>
      <c r="G2757" t="s">
        <v>14</v>
      </c>
      <c r="H2757" t="s">
        <v>15</v>
      </c>
      <c r="I2757" t="s">
        <v>51</v>
      </c>
    </row>
    <row r="2758" spans="1:9" x14ac:dyDescent="0.3">
      <c r="A2758" t="s">
        <v>8144</v>
      </c>
      <c r="B2758" t="s">
        <v>8145</v>
      </c>
      <c r="C2758" t="s">
        <v>33</v>
      </c>
      <c r="D2758" s="1">
        <v>45571</v>
      </c>
      <c r="E2758" t="s">
        <v>8146</v>
      </c>
      <c r="F2758" t="s">
        <v>13</v>
      </c>
      <c r="G2758" t="s">
        <v>14</v>
      </c>
      <c r="H2758" t="s">
        <v>15</v>
      </c>
      <c r="I2758" t="s">
        <v>94</v>
      </c>
    </row>
    <row r="2759" spans="1:9" x14ac:dyDescent="0.3">
      <c r="A2759" t="s">
        <v>8147</v>
      </c>
      <c r="B2759" t="s">
        <v>8148</v>
      </c>
      <c r="C2759" t="s">
        <v>69</v>
      </c>
      <c r="D2759" s="1">
        <v>45572</v>
      </c>
      <c r="E2759" t="s">
        <v>8149</v>
      </c>
      <c r="F2759" t="s">
        <v>13</v>
      </c>
      <c r="G2759" t="s">
        <v>14</v>
      </c>
      <c r="H2759" t="s">
        <v>15</v>
      </c>
      <c r="I2759" t="s">
        <v>71</v>
      </c>
    </row>
    <row r="2760" spans="1:9" x14ac:dyDescent="0.3">
      <c r="A2760" t="s">
        <v>8150</v>
      </c>
      <c r="B2760" t="s">
        <v>8151</v>
      </c>
      <c r="C2760" t="s">
        <v>11</v>
      </c>
      <c r="D2760" s="1">
        <v>45572</v>
      </c>
      <c r="E2760" t="s">
        <v>8152</v>
      </c>
      <c r="F2760" t="s">
        <v>13</v>
      </c>
      <c r="G2760" t="s">
        <v>14</v>
      </c>
      <c r="H2760" t="s">
        <v>15</v>
      </c>
      <c r="I2760" t="s">
        <v>16</v>
      </c>
    </row>
    <row r="2761" spans="1:9" x14ac:dyDescent="0.3">
      <c r="A2761" t="s">
        <v>8153</v>
      </c>
      <c r="B2761" t="s">
        <v>8154</v>
      </c>
      <c r="C2761" t="s">
        <v>69</v>
      </c>
      <c r="D2761" s="1">
        <v>45573</v>
      </c>
      <c r="E2761" t="s">
        <v>8155</v>
      </c>
      <c r="F2761" t="s">
        <v>13</v>
      </c>
      <c r="G2761" t="s">
        <v>14</v>
      </c>
      <c r="H2761" t="s">
        <v>15</v>
      </c>
      <c r="I2761" t="s">
        <v>71</v>
      </c>
    </row>
    <row r="2762" spans="1:9" x14ac:dyDescent="0.3">
      <c r="A2762" t="s">
        <v>8156</v>
      </c>
      <c r="B2762" t="s">
        <v>8157</v>
      </c>
      <c r="C2762" t="s">
        <v>29</v>
      </c>
      <c r="D2762" s="1">
        <v>45573</v>
      </c>
      <c r="E2762" t="s">
        <v>8158</v>
      </c>
      <c r="F2762" t="s">
        <v>13</v>
      </c>
      <c r="G2762" t="s">
        <v>14</v>
      </c>
      <c r="H2762" t="s">
        <v>15</v>
      </c>
      <c r="I2762" t="s">
        <v>204</v>
      </c>
    </row>
    <row r="2763" spans="1:9" x14ac:dyDescent="0.3">
      <c r="A2763" t="s">
        <v>8159</v>
      </c>
      <c r="B2763" t="s">
        <v>8160</v>
      </c>
      <c r="C2763" t="s">
        <v>33</v>
      </c>
      <c r="D2763" s="1">
        <v>45573</v>
      </c>
      <c r="E2763" t="s">
        <v>8161</v>
      </c>
      <c r="F2763" t="s">
        <v>13</v>
      </c>
      <c r="G2763" t="s">
        <v>14</v>
      </c>
      <c r="H2763" t="s">
        <v>15</v>
      </c>
      <c r="I2763" t="s">
        <v>51</v>
      </c>
    </row>
    <row r="2764" spans="1:9" x14ac:dyDescent="0.3">
      <c r="A2764" t="s">
        <v>8162</v>
      </c>
      <c r="B2764" t="s">
        <v>8163</v>
      </c>
      <c r="C2764" t="s">
        <v>24</v>
      </c>
      <c r="D2764" s="1">
        <v>45573</v>
      </c>
      <c r="E2764" t="s">
        <v>8164</v>
      </c>
      <c r="F2764" t="s">
        <v>13</v>
      </c>
      <c r="G2764" t="s">
        <v>14</v>
      </c>
      <c r="H2764" t="s">
        <v>15</v>
      </c>
    </row>
    <row r="2765" spans="1:9" x14ac:dyDescent="0.3">
      <c r="A2765" t="s">
        <v>8165</v>
      </c>
      <c r="B2765" t="s">
        <v>8166</v>
      </c>
      <c r="C2765" t="s">
        <v>69</v>
      </c>
      <c r="D2765" s="1">
        <v>45574</v>
      </c>
      <c r="E2765" t="s">
        <v>8167</v>
      </c>
      <c r="F2765" t="s">
        <v>13</v>
      </c>
      <c r="G2765" t="s">
        <v>14</v>
      </c>
      <c r="H2765" t="s">
        <v>15</v>
      </c>
      <c r="I2765" t="s">
        <v>71</v>
      </c>
    </row>
    <row r="2766" spans="1:9" x14ac:dyDescent="0.3">
      <c r="A2766" t="s">
        <v>8168</v>
      </c>
      <c r="B2766" t="s">
        <v>8169</v>
      </c>
      <c r="C2766" t="s">
        <v>69</v>
      </c>
      <c r="D2766" s="1">
        <v>45574</v>
      </c>
      <c r="E2766" t="s">
        <v>8170</v>
      </c>
      <c r="F2766" t="s">
        <v>13</v>
      </c>
      <c r="G2766" t="s">
        <v>14</v>
      </c>
      <c r="H2766" t="s">
        <v>15</v>
      </c>
    </row>
    <row r="2767" spans="1:9" x14ac:dyDescent="0.3">
      <c r="A2767" t="s">
        <v>8171</v>
      </c>
      <c r="B2767" t="s">
        <v>8172</v>
      </c>
      <c r="C2767" t="s">
        <v>45</v>
      </c>
      <c r="D2767" s="1">
        <v>45575</v>
      </c>
      <c r="E2767" t="s">
        <v>8173</v>
      </c>
      <c r="F2767" t="s">
        <v>13</v>
      </c>
      <c r="G2767" t="s">
        <v>14</v>
      </c>
      <c r="H2767" t="s">
        <v>15</v>
      </c>
      <c r="I2767" t="s">
        <v>248</v>
      </c>
    </row>
    <row r="2768" spans="1:9" x14ac:dyDescent="0.3">
      <c r="A2768" t="s">
        <v>8174</v>
      </c>
      <c r="B2768" t="s">
        <v>8175</v>
      </c>
      <c r="C2768" t="s">
        <v>54</v>
      </c>
      <c r="D2768" s="1">
        <v>45575</v>
      </c>
      <c r="E2768" t="s">
        <v>8176</v>
      </c>
      <c r="F2768" t="s">
        <v>13</v>
      </c>
      <c r="G2768" t="s">
        <v>174</v>
      </c>
      <c r="H2768" t="s">
        <v>15</v>
      </c>
    </row>
    <row r="2769" spans="1:9" x14ac:dyDescent="0.3">
      <c r="A2769" t="s">
        <v>8177</v>
      </c>
      <c r="B2769" t="s">
        <v>8178</v>
      </c>
      <c r="C2769" t="s">
        <v>33</v>
      </c>
      <c r="D2769" s="1">
        <v>45575</v>
      </c>
      <c r="E2769" t="s">
        <v>8179</v>
      </c>
      <c r="F2769" t="s">
        <v>13</v>
      </c>
      <c r="G2769" t="s">
        <v>14</v>
      </c>
      <c r="H2769" t="s">
        <v>15</v>
      </c>
      <c r="I2769" t="s">
        <v>51</v>
      </c>
    </row>
    <row r="2770" spans="1:9" x14ac:dyDescent="0.3">
      <c r="A2770" t="s">
        <v>8180</v>
      </c>
      <c r="B2770" t="s">
        <v>8181</v>
      </c>
      <c r="C2770" t="s">
        <v>45</v>
      </c>
      <c r="D2770" s="1">
        <v>45576</v>
      </c>
      <c r="E2770" t="s">
        <v>8182</v>
      </c>
      <c r="F2770" t="s">
        <v>13</v>
      </c>
      <c r="G2770" t="s">
        <v>14</v>
      </c>
      <c r="H2770" t="s">
        <v>15</v>
      </c>
      <c r="I2770" t="s">
        <v>248</v>
      </c>
    </row>
    <row r="2771" spans="1:9" x14ac:dyDescent="0.3">
      <c r="A2771" t="s">
        <v>8183</v>
      </c>
      <c r="B2771" t="s">
        <v>8184</v>
      </c>
      <c r="C2771" t="s">
        <v>29</v>
      </c>
      <c r="D2771" s="1">
        <v>45576</v>
      </c>
      <c r="E2771" t="s">
        <v>8185</v>
      </c>
      <c r="F2771" t="s">
        <v>13</v>
      </c>
      <c r="G2771" t="s">
        <v>14</v>
      </c>
      <c r="H2771" t="s">
        <v>15</v>
      </c>
      <c r="I2771" t="s">
        <v>81</v>
      </c>
    </row>
    <row r="2772" spans="1:9" x14ac:dyDescent="0.3">
      <c r="A2772" t="s">
        <v>8186</v>
      </c>
      <c r="B2772" t="s">
        <v>8187</v>
      </c>
      <c r="C2772" t="s">
        <v>45</v>
      </c>
      <c r="D2772" s="1">
        <v>45576</v>
      </c>
      <c r="E2772" t="s">
        <v>8188</v>
      </c>
      <c r="F2772" t="s">
        <v>13</v>
      </c>
      <c r="G2772" t="s">
        <v>14</v>
      </c>
      <c r="H2772" t="s">
        <v>15</v>
      </c>
      <c r="I2772" t="s">
        <v>47</v>
      </c>
    </row>
    <row r="2773" spans="1:9" x14ac:dyDescent="0.3">
      <c r="A2773" t="s">
        <v>8189</v>
      </c>
      <c r="B2773" t="s">
        <v>8190</v>
      </c>
      <c r="C2773" t="s">
        <v>24</v>
      </c>
      <c r="D2773" s="1">
        <v>45577</v>
      </c>
      <c r="E2773" t="s">
        <v>8191</v>
      </c>
      <c r="F2773" t="s">
        <v>13</v>
      </c>
      <c r="G2773" t="s">
        <v>14</v>
      </c>
      <c r="H2773" t="s">
        <v>15</v>
      </c>
      <c r="I2773" t="s">
        <v>26</v>
      </c>
    </row>
    <row r="2774" spans="1:9" x14ac:dyDescent="0.3">
      <c r="A2774" t="s">
        <v>8192</v>
      </c>
      <c r="B2774" t="s">
        <v>8193</v>
      </c>
      <c r="C2774" t="s">
        <v>29</v>
      </c>
      <c r="D2774" s="1">
        <v>45577</v>
      </c>
      <c r="E2774" t="s">
        <v>8194</v>
      </c>
      <c r="F2774" t="s">
        <v>13</v>
      </c>
      <c r="G2774" t="s">
        <v>174</v>
      </c>
      <c r="H2774" t="s">
        <v>15</v>
      </c>
    </row>
    <row r="2775" spans="1:9" x14ac:dyDescent="0.3">
      <c r="A2775" t="s">
        <v>8195</v>
      </c>
      <c r="B2775" t="s">
        <v>8196</v>
      </c>
      <c r="C2775" t="s">
        <v>29</v>
      </c>
      <c r="D2775" s="1">
        <v>45578</v>
      </c>
      <c r="E2775" t="s">
        <v>8197</v>
      </c>
      <c r="F2775" t="s">
        <v>13</v>
      </c>
      <c r="G2775" t="s">
        <v>14</v>
      </c>
      <c r="H2775" t="s">
        <v>15</v>
      </c>
      <c r="I2775" t="s">
        <v>204</v>
      </c>
    </row>
    <row r="2776" spans="1:9" x14ac:dyDescent="0.3">
      <c r="A2776" t="s">
        <v>8198</v>
      </c>
      <c r="B2776" t="s">
        <v>8199</v>
      </c>
      <c r="C2776" t="s">
        <v>29</v>
      </c>
      <c r="D2776" s="1">
        <v>45578</v>
      </c>
      <c r="E2776" t="s">
        <v>8200</v>
      </c>
      <c r="F2776" t="s">
        <v>13</v>
      </c>
      <c r="G2776" t="s">
        <v>14</v>
      </c>
      <c r="H2776" t="s">
        <v>15</v>
      </c>
      <c r="I2776" t="s">
        <v>42</v>
      </c>
    </row>
    <row r="2777" spans="1:9" x14ac:dyDescent="0.3">
      <c r="A2777" t="s">
        <v>8201</v>
      </c>
      <c r="B2777" t="s">
        <v>8202</v>
      </c>
      <c r="C2777" t="s">
        <v>24</v>
      </c>
      <c r="D2777" s="1">
        <v>45578</v>
      </c>
      <c r="E2777" t="s">
        <v>8203</v>
      </c>
      <c r="F2777" t="s">
        <v>13</v>
      </c>
      <c r="G2777" t="s">
        <v>14</v>
      </c>
      <c r="H2777" t="s">
        <v>15</v>
      </c>
    </row>
    <row r="2778" spans="1:9" x14ac:dyDescent="0.3">
      <c r="A2778" t="s">
        <v>8204</v>
      </c>
      <c r="B2778" t="s">
        <v>8205</v>
      </c>
      <c r="C2778" t="s">
        <v>11</v>
      </c>
      <c r="D2778" s="1">
        <v>45578</v>
      </c>
      <c r="E2778" t="s">
        <v>8206</v>
      </c>
      <c r="F2778" t="s">
        <v>13</v>
      </c>
      <c r="G2778" t="s">
        <v>14</v>
      </c>
      <c r="H2778" t="s">
        <v>15</v>
      </c>
      <c r="I2778" t="s">
        <v>38</v>
      </c>
    </row>
    <row r="2779" spans="1:9" x14ac:dyDescent="0.3">
      <c r="A2779" t="s">
        <v>8207</v>
      </c>
      <c r="B2779" t="s">
        <v>8208</v>
      </c>
      <c r="C2779" t="s">
        <v>45</v>
      </c>
      <c r="D2779" s="1">
        <v>45579</v>
      </c>
      <c r="E2779" t="s">
        <v>8209</v>
      </c>
      <c r="F2779" t="s">
        <v>13</v>
      </c>
      <c r="G2779" t="s">
        <v>14</v>
      </c>
      <c r="H2779" t="s">
        <v>15</v>
      </c>
      <c r="I2779" t="s">
        <v>248</v>
      </c>
    </row>
    <row r="2780" spans="1:9" x14ac:dyDescent="0.3">
      <c r="A2780" t="s">
        <v>8210</v>
      </c>
      <c r="B2780" t="s">
        <v>8211</v>
      </c>
      <c r="C2780" t="s">
        <v>24</v>
      </c>
      <c r="D2780" s="1">
        <v>45579</v>
      </c>
      <c r="E2780" t="s">
        <v>8212</v>
      </c>
      <c r="F2780" t="s">
        <v>13</v>
      </c>
      <c r="G2780" t="s">
        <v>14</v>
      </c>
      <c r="H2780" t="s">
        <v>15</v>
      </c>
    </row>
    <row r="2781" spans="1:9" x14ac:dyDescent="0.3">
      <c r="A2781" t="s">
        <v>6152</v>
      </c>
      <c r="B2781" t="s">
        <v>8213</v>
      </c>
      <c r="C2781" t="s">
        <v>19</v>
      </c>
      <c r="D2781" s="1">
        <v>45580</v>
      </c>
      <c r="E2781" t="s">
        <v>8214</v>
      </c>
      <c r="F2781" t="s">
        <v>13</v>
      </c>
      <c r="G2781" t="s">
        <v>14</v>
      </c>
      <c r="H2781" t="s">
        <v>15</v>
      </c>
      <c r="I2781" t="s">
        <v>21</v>
      </c>
    </row>
    <row r="2782" spans="1:9" x14ac:dyDescent="0.3">
      <c r="A2782" t="s">
        <v>8215</v>
      </c>
      <c r="B2782" t="s">
        <v>8216</v>
      </c>
      <c r="C2782" t="s">
        <v>54</v>
      </c>
      <c r="D2782" s="1">
        <v>45580</v>
      </c>
      <c r="E2782" t="s">
        <v>8217</v>
      </c>
      <c r="F2782" t="s">
        <v>13</v>
      </c>
      <c r="G2782" t="s">
        <v>14</v>
      </c>
      <c r="H2782" t="s">
        <v>15</v>
      </c>
      <c r="I2782" t="s">
        <v>238</v>
      </c>
    </row>
    <row r="2783" spans="1:9" x14ac:dyDescent="0.3">
      <c r="A2783" t="s">
        <v>8218</v>
      </c>
      <c r="B2783" t="s">
        <v>8219</v>
      </c>
      <c r="C2783" t="s">
        <v>69</v>
      </c>
      <c r="D2783" s="1">
        <v>45581</v>
      </c>
      <c r="E2783" t="s">
        <v>8220</v>
      </c>
      <c r="F2783" t="s">
        <v>13</v>
      </c>
      <c r="G2783" t="s">
        <v>174</v>
      </c>
      <c r="H2783" t="s">
        <v>15</v>
      </c>
      <c r="I2783" t="s">
        <v>71</v>
      </c>
    </row>
    <row r="2784" spans="1:9" x14ac:dyDescent="0.3">
      <c r="A2784" t="s">
        <v>8221</v>
      </c>
      <c r="B2784" t="s">
        <v>8222</v>
      </c>
      <c r="C2784" t="s">
        <v>45</v>
      </c>
      <c r="D2784" s="1">
        <v>45581</v>
      </c>
      <c r="E2784" t="s">
        <v>8223</v>
      </c>
      <c r="F2784" t="s">
        <v>13</v>
      </c>
      <c r="G2784" t="s">
        <v>14</v>
      </c>
      <c r="H2784" t="s">
        <v>15</v>
      </c>
      <c r="I2784" t="s">
        <v>248</v>
      </c>
    </row>
    <row r="2785" spans="1:9" x14ac:dyDescent="0.3">
      <c r="A2785" t="s">
        <v>8224</v>
      </c>
      <c r="B2785" t="s">
        <v>8225</v>
      </c>
      <c r="C2785" t="s">
        <v>11</v>
      </c>
      <c r="D2785" s="1">
        <v>45581</v>
      </c>
      <c r="E2785" t="s">
        <v>8226</v>
      </c>
      <c r="F2785" t="s">
        <v>13</v>
      </c>
      <c r="G2785" t="s">
        <v>14</v>
      </c>
      <c r="H2785" t="s">
        <v>15</v>
      </c>
      <c r="I2785" t="s">
        <v>185</v>
      </c>
    </row>
    <row r="2786" spans="1:9" x14ac:dyDescent="0.3">
      <c r="A2786" t="s">
        <v>8227</v>
      </c>
      <c r="B2786" t="s">
        <v>8228</v>
      </c>
      <c r="C2786" t="s">
        <v>45</v>
      </c>
      <c r="D2786" s="1">
        <v>45581</v>
      </c>
      <c r="E2786" t="s">
        <v>8229</v>
      </c>
      <c r="F2786" t="s">
        <v>13</v>
      </c>
      <c r="G2786" t="s">
        <v>14</v>
      </c>
      <c r="H2786" t="s">
        <v>15</v>
      </c>
      <c r="I2786" t="s">
        <v>47</v>
      </c>
    </row>
    <row r="2787" spans="1:9" x14ac:dyDescent="0.3">
      <c r="A2787" t="s">
        <v>8230</v>
      </c>
      <c r="B2787" t="s">
        <v>8231</v>
      </c>
      <c r="C2787" t="s">
        <v>69</v>
      </c>
      <c r="D2787" s="1">
        <v>45582</v>
      </c>
      <c r="E2787" t="s">
        <v>8232</v>
      </c>
      <c r="F2787" t="s">
        <v>13</v>
      </c>
      <c r="G2787" t="s">
        <v>14</v>
      </c>
      <c r="H2787" t="s">
        <v>15</v>
      </c>
    </row>
    <row r="2788" spans="1:9" x14ac:dyDescent="0.3">
      <c r="A2788" t="s">
        <v>8233</v>
      </c>
      <c r="B2788" t="s">
        <v>8234</v>
      </c>
      <c r="C2788" t="s">
        <v>69</v>
      </c>
      <c r="D2788" s="1">
        <v>45582</v>
      </c>
      <c r="E2788" t="s">
        <v>8235</v>
      </c>
      <c r="F2788" t="s">
        <v>13</v>
      </c>
      <c r="G2788" t="s">
        <v>14</v>
      </c>
      <c r="H2788" t="s">
        <v>15</v>
      </c>
      <c r="I2788" t="s">
        <v>71</v>
      </c>
    </row>
    <row r="2789" spans="1:9" x14ac:dyDescent="0.3">
      <c r="A2789" t="s">
        <v>8236</v>
      </c>
      <c r="B2789" t="s">
        <v>8237</v>
      </c>
      <c r="C2789" t="s">
        <v>24</v>
      </c>
      <c r="D2789" s="1">
        <v>45582</v>
      </c>
      <c r="E2789" t="s">
        <v>8238</v>
      </c>
      <c r="F2789" t="s">
        <v>13</v>
      </c>
      <c r="G2789" t="s">
        <v>14</v>
      </c>
      <c r="H2789" t="s">
        <v>15</v>
      </c>
    </row>
    <row r="2790" spans="1:9" x14ac:dyDescent="0.3">
      <c r="A2790" t="s">
        <v>6715</v>
      </c>
      <c r="B2790" t="s">
        <v>8239</v>
      </c>
      <c r="C2790" t="s">
        <v>19</v>
      </c>
      <c r="D2790" s="1">
        <v>45582</v>
      </c>
      <c r="E2790" t="s">
        <v>8240</v>
      </c>
      <c r="F2790" t="s">
        <v>13</v>
      </c>
      <c r="G2790" t="s">
        <v>14</v>
      </c>
      <c r="H2790" t="s">
        <v>15</v>
      </c>
      <c r="I2790" t="s">
        <v>21</v>
      </c>
    </row>
    <row r="2791" spans="1:9" x14ac:dyDescent="0.3">
      <c r="A2791" t="s">
        <v>8241</v>
      </c>
      <c r="B2791" t="s">
        <v>8242</v>
      </c>
      <c r="C2791" t="s">
        <v>24</v>
      </c>
      <c r="D2791" s="1">
        <v>45582</v>
      </c>
      <c r="E2791" t="s">
        <v>8243</v>
      </c>
      <c r="F2791" t="s">
        <v>13</v>
      </c>
      <c r="G2791" t="s">
        <v>14</v>
      </c>
      <c r="H2791" t="s">
        <v>15</v>
      </c>
    </row>
    <row r="2792" spans="1:9" x14ac:dyDescent="0.3">
      <c r="A2792" t="s">
        <v>8244</v>
      </c>
      <c r="B2792" t="s">
        <v>8245</v>
      </c>
      <c r="C2792" t="s">
        <v>33</v>
      </c>
      <c r="D2792" s="1">
        <v>45583</v>
      </c>
      <c r="E2792" t="s">
        <v>8246</v>
      </c>
      <c r="F2792" t="s">
        <v>13</v>
      </c>
      <c r="G2792" t="s">
        <v>14</v>
      </c>
      <c r="H2792" t="s">
        <v>15</v>
      </c>
    </row>
    <row r="2793" spans="1:9" x14ac:dyDescent="0.3">
      <c r="A2793" t="s">
        <v>8247</v>
      </c>
      <c r="B2793" t="s">
        <v>8248</v>
      </c>
      <c r="C2793" t="s">
        <v>45</v>
      </c>
      <c r="D2793" s="1">
        <v>45583</v>
      </c>
      <c r="E2793" t="s">
        <v>8249</v>
      </c>
      <c r="F2793" t="s">
        <v>13</v>
      </c>
      <c r="G2793" t="s">
        <v>14</v>
      </c>
      <c r="H2793" t="s">
        <v>15</v>
      </c>
    </row>
    <row r="2794" spans="1:9" x14ac:dyDescent="0.3">
      <c r="A2794" t="s">
        <v>8250</v>
      </c>
      <c r="B2794" t="s">
        <v>8251</v>
      </c>
      <c r="C2794" t="s">
        <v>54</v>
      </c>
      <c r="D2794" s="1">
        <v>45583</v>
      </c>
      <c r="E2794" t="s">
        <v>8252</v>
      </c>
      <c r="F2794" t="s">
        <v>13</v>
      </c>
      <c r="G2794" t="s">
        <v>14</v>
      </c>
      <c r="H2794" t="s">
        <v>15</v>
      </c>
      <c r="I2794" t="s">
        <v>181</v>
      </c>
    </row>
    <row r="2795" spans="1:9" x14ac:dyDescent="0.3">
      <c r="A2795" t="s">
        <v>8253</v>
      </c>
      <c r="B2795" t="s">
        <v>8254</v>
      </c>
      <c r="C2795" t="s">
        <v>69</v>
      </c>
      <c r="D2795" s="1">
        <v>45584</v>
      </c>
      <c r="E2795" t="s">
        <v>8255</v>
      </c>
      <c r="F2795" t="s">
        <v>13</v>
      </c>
      <c r="G2795" t="s">
        <v>14</v>
      </c>
      <c r="H2795" t="s">
        <v>15</v>
      </c>
      <c r="I2795" t="s">
        <v>71</v>
      </c>
    </row>
    <row r="2796" spans="1:9" x14ac:dyDescent="0.3">
      <c r="A2796" t="s">
        <v>8256</v>
      </c>
      <c r="B2796" t="s">
        <v>8257</v>
      </c>
      <c r="C2796" t="s">
        <v>29</v>
      </c>
      <c r="D2796" s="1">
        <v>45585</v>
      </c>
      <c r="E2796" t="s">
        <v>8258</v>
      </c>
      <c r="F2796" t="s">
        <v>13</v>
      </c>
      <c r="G2796" t="s">
        <v>14</v>
      </c>
      <c r="H2796" t="s">
        <v>15</v>
      </c>
      <c r="I2796" t="s">
        <v>42</v>
      </c>
    </row>
    <row r="2797" spans="1:9" x14ac:dyDescent="0.3">
      <c r="A2797" t="s">
        <v>8259</v>
      </c>
      <c r="B2797" t="s">
        <v>8260</v>
      </c>
      <c r="C2797" t="s">
        <v>11</v>
      </c>
      <c r="D2797" s="1">
        <v>45585</v>
      </c>
      <c r="E2797" t="s">
        <v>8261</v>
      </c>
      <c r="F2797" t="s">
        <v>13</v>
      </c>
      <c r="G2797" t="s">
        <v>14</v>
      </c>
      <c r="H2797" t="s">
        <v>15</v>
      </c>
      <c r="I2797" t="s">
        <v>185</v>
      </c>
    </row>
    <row r="2798" spans="1:9" x14ac:dyDescent="0.3">
      <c r="A2798" t="s">
        <v>6236</v>
      </c>
      <c r="B2798" t="s">
        <v>8262</v>
      </c>
      <c r="C2798" t="s">
        <v>19</v>
      </c>
      <c r="D2798" s="1">
        <v>45586</v>
      </c>
      <c r="E2798" t="s">
        <v>8263</v>
      </c>
      <c r="F2798" t="s">
        <v>13</v>
      </c>
      <c r="G2798" t="s">
        <v>14</v>
      </c>
      <c r="H2798" t="s">
        <v>15</v>
      </c>
      <c r="I2798" t="s">
        <v>21</v>
      </c>
    </row>
    <row r="2799" spans="1:9" x14ac:dyDescent="0.3">
      <c r="A2799" t="s">
        <v>8264</v>
      </c>
      <c r="B2799" t="s">
        <v>8265</v>
      </c>
      <c r="C2799" t="s">
        <v>54</v>
      </c>
      <c r="D2799" s="1">
        <v>45587</v>
      </c>
      <c r="E2799" t="s">
        <v>8266</v>
      </c>
      <c r="F2799" t="s">
        <v>13</v>
      </c>
      <c r="G2799" t="s">
        <v>14</v>
      </c>
      <c r="H2799" t="s">
        <v>15</v>
      </c>
      <c r="I2799" t="s">
        <v>181</v>
      </c>
    </row>
    <row r="2800" spans="1:9" x14ac:dyDescent="0.3">
      <c r="A2800" t="s">
        <v>8267</v>
      </c>
      <c r="B2800" t="s">
        <v>8268</v>
      </c>
      <c r="C2800" t="s">
        <v>11</v>
      </c>
      <c r="D2800" s="1">
        <v>45587</v>
      </c>
      <c r="E2800" t="s">
        <v>8269</v>
      </c>
      <c r="F2800" t="s">
        <v>13</v>
      </c>
      <c r="G2800" t="s">
        <v>14</v>
      </c>
      <c r="H2800" t="s">
        <v>15</v>
      </c>
      <c r="I2800" t="s">
        <v>185</v>
      </c>
    </row>
    <row r="2801" spans="1:9" x14ac:dyDescent="0.3">
      <c r="A2801" t="s">
        <v>6188</v>
      </c>
      <c r="B2801" t="s">
        <v>8270</v>
      </c>
      <c r="C2801" t="s">
        <v>19</v>
      </c>
      <c r="D2801" s="1">
        <v>45587</v>
      </c>
      <c r="E2801" t="s">
        <v>8271</v>
      </c>
      <c r="F2801" t="s">
        <v>13</v>
      </c>
      <c r="G2801" t="s">
        <v>174</v>
      </c>
      <c r="H2801" t="s">
        <v>15</v>
      </c>
      <c r="I2801" t="s">
        <v>116</v>
      </c>
    </row>
    <row r="2802" spans="1:9" x14ac:dyDescent="0.3">
      <c r="A2802" t="s">
        <v>8272</v>
      </c>
      <c r="B2802" t="s">
        <v>8273</v>
      </c>
      <c r="C2802" t="s">
        <v>33</v>
      </c>
      <c r="D2802" s="1">
        <v>45587</v>
      </c>
      <c r="E2802" t="s">
        <v>8274</v>
      </c>
      <c r="F2802" t="s">
        <v>13</v>
      </c>
      <c r="G2802" t="s">
        <v>14</v>
      </c>
      <c r="H2802" t="s">
        <v>15</v>
      </c>
      <c r="I2802" t="s">
        <v>94</v>
      </c>
    </row>
    <row r="2803" spans="1:9" x14ac:dyDescent="0.3">
      <c r="A2803" t="s">
        <v>8275</v>
      </c>
      <c r="B2803" t="s">
        <v>8276</v>
      </c>
      <c r="C2803" t="s">
        <v>45</v>
      </c>
      <c r="D2803" s="1">
        <v>45588</v>
      </c>
      <c r="E2803" t="s">
        <v>8277</v>
      </c>
      <c r="F2803" t="s">
        <v>13</v>
      </c>
      <c r="G2803" t="s">
        <v>14</v>
      </c>
      <c r="H2803" t="s">
        <v>15</v>
      </c>
      <c r="I2803" t="s">
        <v>248</v>
      </c>
    </row>
    <row r="2804" spans="1:9" x14ac:dyDescent="0.3">
      <c r="A2804" t="s">
        <v>8278</v>
      </c>
      <c r="B2804" t="s">
        <v>8279</v>
      </c>
      <c r="C2804" t="s">
        <v>69</v>
      </c>
      <c r="D2804" s="1">
        <v>45588</v>
      </c>
      <c r="E2804" t="s">
        <v>8280</v>
      </c>
      <c r="F2804" t="s">
        <v>13</v>
      </c>
      <c r="G2804" t="s">
        <v>14</v>
      </c>
      <c r="H2804" t="s">
        <v>15</v>
      </c>
    </row>
    <row r="2805" spans="1:9" x14ac:dyDescent="0.3">
      <c r="A2805" t="s">
        <v>8281</v>
      </c>
      <c r="B2805" t="s">
        <v>8282</v>
      </c>
      <c r="C2805" t="s">
        <v>45</v>
      </c>
      <c r="D2805" s="1">
        <v>45588</v>
      </c>
      <c r="E2805" t="s">
        <v>8283</v>
      </c>
      <c r="F2805" t="s">
        <v>13</v>
      </c>
      <c r="G2805" t="s">
        <v>14</v>
      </c>
      <c r="H2805" t="s">
        <v>15</v>
      </c>
      <c r="I2805" t="s">
        <v>47</v>
      </c>
    </row>
    <row r="2806" spans="1:9" x14ac:dyDescent="0.3">
      <c r="A2806" t="s">
        <v>8284</v>
      </c>
      <c r="B2806" t="s">
        <v>8285</v>
      </c>
      <c r="C2806" t="s">
        <v>24</v>
      </c>
      <c r="D2806" s="1">
        <v>45589</v>
      </c>
      <c r="E2806" t="s">
        <v>8286</v>
      </c>
      <c r="F2806" t="s">
        <v>13</v>
      </c>
      <c r="G2806" t="s">
        <v>14</v>
      </c>
      <c r="H2806" t="s">
        <v>15</v>
      </c>
    </row>
    <row r="2807" spans="1:9" x14ac:dyDescent="0.3">
      <c r="A2807" t="s">
        <v>8287</v>
      </c>
      <c r="B2807" t="s">
        <v>8288</v>
      </c>
      <c r="C2807" t="s">
        <v>33</v>
      </c>
      <c r="D2807" s="1">
        <v>45589</v>
      </c>
      <c r="E2807" t="s">
        <v>8289</v>
      </c>
      <c r="F2807" t="s">
        <v>13</v>
      </c>
      <c r="G2807" t="s">
        <v>14</v>
      </c>
      <c r="H2807" t="s">
        <v>15</v>
      </c>
      <c r="I2807" t="s">
        <v>51</v>
      </c>
    </row>
    <row r="2808" spans="1:9" x14ac:dyDescent="0.3">
      <c r="A2808" t="s">
        <v>8290</v>
      </c>
      <c r="B2808" t="s">
        <v>8291</v>
      </c>
      <c r="C2808" t="s">
        <v>11</v>
      </c>
      <c r="D2808" s="1">
        <v>45590</v>
      </c>
      <c r="E2808" t="s">
        <v>8292</v>
      </c>
      <c r="F2808" t="s">
        <v>13</v>
      </c>
      <c r="G2808" t="s">
        <v>14</v>
      </c>
      <c r="H2808" t="s">
        <v>15</v>
      </c>
      <c r="I2808" t="s">
        <v>185</v>
      </c>
    </row>
    <row r="2809" spans="1:9" x14ac:dyDescent="0.3">
      <c r="A2809" t="s">
        <v>7807</v>
      </c>
      <c r="B2809" t="s">
        <v>8293</v>
      </c>
      <c r="C2809" t="s">
        <v>19</v>
      </c>
      <c r="D2809" s="1">
        <v>45590</v>
      </c>
      <c r="E2809" t="s">
        <v>8294</v>
      </c>
      <c r="F2809" t="s">
        <v>13</v>
      </c>
      <c r="G2809" t="s">
        <v>14</v>
      </c>
      <c r="H2809" t="s">
        <v>15</v>
      </c>
    </row>
    <row r="2810" spans="1:9" x14ac:dyDescent="0.3">
      <c r="A2810" t="s">
        <v>8295</v>
      </c>
      <c r="B2810" t="s">
        <v>8296</v>
      </c>
      <c r="C2810" t="s">
        <v>29</v>
      </c>
      <c r="D2810" s="1">
        <v>45590</v>
      </c>
      <c r="E2810" t="s">
        <v>8297</v>
      </c>
      <c r="F2810" t="s">
        <v>13</v>
      </c>
      <c r="G2810" t="s">
        <v>14</v>
      </c>
      <c r="H2810" t="s">
        <v>15</v>
      </c>
      <c r="I2810" t="s">
        <v>42</v>
      </c>
    </row>
    <row r="2811" spans="1:9" x14ac:dyDescent="0.3">
      <c r="A2811" t="s">
        <v>8298</v>
      </c>
      <c r="B2811" t="s">
        <v>8299</v>
      </c>
      <c r="C2811" t="s">
        <v>29</v>
      </c>
      <c r="D2811" s="1">
        <v>45591</v>
      </c>
      <c r="E2811" t="s">
        <v>8300</v>
      </c>
      <c r="F2811" t="s">
        <v>13</v>
      </c>
      <c r="G2811" t="s">
        <v>14</v>
      </c>
      <c r="H2811" t="s">
        <v>15</v>
      </c>
      <c r="I2811" t="s">
        <v>204</v>
      </c>
    </row>
    <row r="2812" spans="1:9" x14ac:dyDescent="0.3">
      <c r="A2812" t="s">
        <v>8301</v>
      </c>
      <c r="B2812" t="s">
        <v>8302</v>
      </c>
      <c r="C2812" t="s">
        <v>19</v>
      </c>
      <c r="D2812" s="1">
        <v>45591</v>
      </c>
      <c r="E2812" t="s">
        <v>8303</v>
      </c>
      <c r="F2812" t="s">
        <v>13</v>
      </c>
      <c r="G2812" t="s">
        <v>14</v>
      </c>
      <c r="H2812" t="s">
        <v>15</v>
      </c>
      <c r="I2812" t="s">
        <v>116</v>
      </c>
    </row>
    <row r="2813" spans="1:9" x14ac:dyDescent="0.3">
      <c r="A2813" t="s">
        <v>8304</v>
      </c>
      <c r="B2813" t="s">
        <v>8305</v>
      </c>
      <c r="C2813" t="s">
        <v>69</v>
      </c>
      <c r="D2813" s="1">
        <v>45591</v>
      </c>
      <c r="E2813" t="s">
        <v>8306</v>
      </c>
      <c r="F2813" t="s">
        <v>13</v>
      </c>
      <c r="G2813" t="s">
        <v>14</v>
      </c>
      <c r="H2813" t="s">
        <v>15</v>
      </c>
    </row>
    <row r="2814" spans="1:9" x14ac:dyDescent="0.3">
      <c r="A2814" t="s">
        <v>8307</v>
      </c>
      <c r="B2814" t="s">
        <v>8308</v>
      </c>
      <c r="C2814" t="s">
        <v>69</v>
      </c>
      <c r="D2814" s="1">
        <v>45591</v>
      </c>
      <c r="E2814" t="s">
        <v>8309</v>
      </c>
      <c r="F2814" t="s">
        <v>13</v>
      </c>
      <c r="G2814" t="s">
        <v>14</v>
      </c>
      <c r="H2814" t="s">
        <v>15</v>
      </c>
    </row>
    <row r="2815" spans="1:9" x14ac:dyDescent="0.3">
      <c r="A2815" t="s">
        <v>8310</v>
      </c>
      <c r="B2815" t="s">
        <v>8311</v>
      </c>
      <c r="C2815" t="s">
        <v>24</v>
      </c>
      <c r="D2815" s="1">
        <v>45591</v>
      </c>
      <c r="E2815" t="s">
        <v>8312</v>
      </c>
      <c r="F2815" t="s">
        <v>13</v>
      </c>
      <c r="G2815" t="s">
        <v>14</v>
      </c>
      <c r="H2815" t="s">
        <v>15</v>
      </c>
      <c r="I2815" t="s">
        <v>63</v>
      </c>
    </row>
    <row r="2816" spans="1:9" x14ac:dyDescent="0.3">
      <c r="A2816" t="s">
        <v>8313</v>
      </c>
      <c r="B2816" t="s">
        <v>8314</v>
      </c>
      <c r="C2816" t="s">
        <v>69</v>
      </c>
      <c r="D2816" s="1">
        <v>45591</v>
      </c>
      <c r="E2816" t="s">
        <v>8315</v>
      </c>
      <c r="F2816" t="s">
        <v>13</v>
      </c>
      <c r="G2816" t="s">
        <v>14</v>
      </c>
      <c r="H2816" t="s">
        <v>15</v>
      </c>
      <c r="I2816" t="s">
        <v>71</v>
      </c>
    </row>
    <row r="2817" spans="1:9" x14ac:dyDescent="0.3">
      <c r="A2817" t="s">
        <v>8316</v>
      </c>
      <c r="B2817" t="s">
        <v>8317</v>
      </c>
      <c r="C2817" t="s">
        <v>33</v>
      </c>
      <c r="D2817" s="1">
        <v>45592</v>
      </c>
      <c r="E2817" t="s">
        <v>8318</v>
      </c>
      <c r="F2817" t="s">
        <v>13</v>
      </c>
      <c r="G2817" t="s">
        <v>14</v>
      </c>
      <c r="H2817" t="s">
        <v>15</v>
      </c>
      <c r="I2817" t="s">
        <v>94</v>
      </c>
    </row>
    <row r="2818" spans="1:9" x14ac:dyDescent="0.3">
      <c r="A2818" t="s">
        <v>5827</v>
      </c>
      <c r="B2818" t="s">
        <v>8319</v>
      </c>
      <c r="C2818" t="s">
        <v>19</v>
      </c>
      <c r="D2818" s="1">
        <v>45592</v>
      </c>
      <c r="E2818" t="s">
        <v>8320</v>
      </c>
      <c r="F2818" t="s">
        <v>13</v>
      </c>
      <c r="G2818" t="s">
        <v>14</v>
      </c>
      <c r="H2818" t="s">
        <v>15</v>
      </c>
      <c r="I2818" t="s">
        <v>116</v>
      </c>
    </row>
    <row r="2819" spans="1:9" x14ac:dyDescent="0.3">
      <c r="A2819" t="s">
        <v>8321</v>
      </c>
      <c r="B2819" t="s">
        <v>8322</v>
      </c>
      <c r="C2819" t="s">
        <v>45</v>
      </c>
      <c r="D2819" s="1">
        <v>45593</v>
      </c>
      <c r="E2819" t="s">
        <v>8323</v>
      </c>
      <c r="F2819" t="s">
        <v>13</v>
      </c>
      <c r="G2819" t="s">
        <v>14</v>
      </c>
      <c r="H2819" t="s">
        <v>15</v>
      </c>
    </row>
    <row r="2820" spans="1:9" x14ac:dyDescent="0.3">
      <c r="A2820" t="s">
        <v>8324</v>
      </c>
      <c r="B2820" t="s">
        <v>8325</v>
      </c>
      <c r="C2820" t="s">
        <v>54</v>
      </c>
      <c r="D2820" s="1">
        <v>45593</v>
      </c>
      <c r="E2820" t="s">
        <v>8326</v>
      </c>
      <c r="F2820" t="s">
        <v>13</v>
      </c>
      <c r="G2820" t="s">
        <v>14</v>
      </c>
      <c r="H2820" t="s">
        <v>15</v>
      </c>
      <c r="I2820" t="s">
        <v>238</v>
      </c>
    </row>
    <row r="2821" spans="1:9" x14ac:dyDescent="0.3">
      <c r="A2821" t="s">
        <v>8327</v>
      </c>
      <c r="B2821" t="s">
        <v>8328</v>
      </c>
      <c r="C2821" t="s">
        <v>33</v>
      </c>
      <c r="D2821" s="1">
        <v>45593</v>
      </c>
      <c r="E2821" t="s">
        <v>8329</v>
      </c>
      <c r="F2821" t="s">
        <v>13</v>
      </c>
      <c r="G2821" t="s">
        <v>14</v>
      </c>
      <c r="H2821" t="s">
        <v>15</v>
      </c>
      <c r="I2821" t="s">
        <v>94</v>
      </c>
    </row>
    <row r="2822" spans="1:9" x14ac:dyDescent="0.3">
      <c r="A2822" t="s">
        <v>8330</v>
      </c>
      <c r="B2822" t="s">
        <v>8331</v>
      </c>
      <c r="C2822" t="s">
        <v>11</v>
      </c>
      <c r="D2822" s="1">
        <v>45593</v>
      </c>
      <c r="E2822" t="s">
        <v>8332</v>
      </c>
      <c r="F2822" t="s">
        <v>13</v>
      </c>
      <c r="G2822" t="s">
        <v>14</v>
      </c>
      <c r="H2822" t="s">
        <v>15</v>
      </c>
      <c r="I2822" t="s">
        <v>185</v>
      </c>
    </row>
    <row r="2823" spans="1:9" x14ac:dyDescent="0.3">
      <c r="A2823" t="s">
        <v>8333</v>
      </c>
      <c r="B2823" t="s">
        <v>8334</v>
      </c>
      <c r="C2823" t="s">
        <v>69</v>
      </c>
      <c r="D2823" s="1">
        <v>45593</v>
      </c>
      <c r="E2823" t="s">
        <v>8335</v>
      </c>
      <c r="F2823" t="s">
        <v>13</v>
      </c>
      <c r="G2823" t="s">
        <v>14</v>
      </c>
      <c r="H2823" t="s">
        <v>15</v>
      </c>
      <c r="I2823" t="s">
        <v>71</v>
      </c>
    </row>
    <row r="2824" spans="1:9" x14ac:dyDescent="0.3">
      <c r="A2824" t="s">
        <v>8336</v>
      </c>
      <c r="B2824" t="s">
        <v>8337</v>
      </c>
      <c r="C2824" t="s">
        <v>29</v>
      </c>
      <c r="D2824" s="1">
        <v>45594</v>
      </c>
      <c r="E2824" t="s">
        <v>8338</v>
      </c>
      <c r="F2824" t="s">
        <v>13</v>
      </c>
      <c r="G2824" t="s">
        <v>14</v>
      </c>
      <c r="H2824" t="s">
        <v>15</v>
      </c>
      <c r="I2824" t="s">
        <v>204</v>
      </c>
    </row>
    <row r="2825" spans="1:9" x14ac:dyDescent="0.3">
      <c r="A2825" t="s">
        <v>8339</v>
      </c>
      <c r="B2825" t="s">
        <v>8340</v>
      </c>
      <c r="C2825" t="s">
        <v>45</v>
      </c>
      <c r="D2825" s="1">
        <v>45594</v>
      </c>
      <c r="E2825" t="s">
        <v>8341</v>
      </c>
      <c r="F2825" t="s">
        <v>13</v>
      </c>
      <c r="G2825" t="s">
        <v>14</v>
      </c>
      <c r="H2825" t="s">
        <v>15</v>
      </c>
      <c r="I2825" t="s">
        <v>47</v>
      </c>
    </row>
    <row r="2826" spans="1:9" x14ac:dyDescent="0.3">
      <c r="A2826" t="s">
        <v>6542</v>
      </c>
      <c r="B2826" t="s">
        <v>8342</v>
      </c>
      <c r="C2826" t="s">
        <v>19</v>
      </c>
      <c r="D2826" s="1">
        <v>45594</v>
      </c>
      <c r="E2826" t="s">
        <v>8343</v>
      </c>
      <c r="F2826" t="s">
        <v>13</v>
      </c>
      <c r="G2826" t="s">
        <v>14</v>
      </c>
      <c r="H2826" t="s">
        <v>15</v>
      </c>
    </row>
    <row r="2827" spans="1:9" x14ac:dyDescent="0.3">
      <c r="A2827" t="s">
        <v>8344</v>
      </c>
      <c r="B2827" t="s">
        <v>8345</v>
      </c>
      <c r="C2827" t="s">
        <v>54</v>
      </c>
      <c r="D2827" s="1">
        <v>45594</v>
      </c>
      <c r="E2827" t="s">
        <v>8346</v>
      </c>
      <c r="F2827" t="s">
        <v>13</v>
      </c>
      <c r="G2827" t="s">
        <v>174</v>
      </c>
      <c r="H2827" t="s">
        <v>15</v>
      </c>
      <c r="I2827" t="s">
        <v>181</v>
      </c>
    </row>
    <row r="2828" spans="1:9" x14ac:dyDescent="0.3">
      <c r="A2828" t="s">
        <v>8347</v>
      </c>
      <c r="B2828" t="s">
        <v>8348</v>
      </c>
      <c r="C2828" t="s">
        <v>45</v>
      </c>
      <c r="D2828" s="1">
        <v>45595</v>
      </c>
      <c r="E2828" t="s">
        <v>8349</v>
      </c>
      <c r="F2828" t="s">
        <v>13</v>
      </c>
      <c r="G2828" t="s">
        <v>14</v>
      </c>
      <c r="H2828" t="s">
        <v>15</v>
      </c>
    </row>
    <row r="2829" spans="1:9" x14ac:dyDescent="0.3">
      <c r="A2829" t="s">
        <v>8350</v>
      </c>
      <c r="B2829" t="s">
        <v>8351</v>
      </c>
      <c r="C2829" t="s">
        <v>69</v>
      </c>
      <c r="D2829" s="1">
        <v>45595</v>
      </c>
      <c r="E2829" t="s">
        <v>8352</v>
      </c>
      <c r="F2829" t="s">
        <v>13</v>
      </c>
      <c r="G2829" t="s">
        <v>14</v>
      </c>
      <c r="H2829" t="s">
        <v>15</v>
      </c>
      <c r="I2829" t="s">
        <v>71</v>
      </c>
    </row>
    <row r="2830" spans="1:9" x14ac:dyDescent="0.3">
      <c r="A2830" t="s">
        <v>8353</v>
      </c>
      <c r="B2830" t="s">
        <v>8354</v>
      </c>
      <c r="C2830" t="s">
        <v>11</v>
      </c>
      <c r="D2830" s="1">
        <v>45595</v>
      </c>
      <c r="E2830" t="s">
        <v>8355</v>
      </c>
      <c r="F2830" t="s">
        <v>13</v>
      </c>
      <c r="G2830" t="s">
        <v>14</v>
      </c>
      <c r="H2830" t="s">
        <v>15</v>
      </c>
      <c r="I2830" t="s">
        <v>38</v>
      </c>
    </row>
    <row r="2831" spans="1:9" x14ac:dyDescent="0.3">
      <c r="A2831" t="s">
        <v>8356</v>
      </c>
      <c r="B2831" t="s">
        <v>8357</v>
      </c>
      <c r="C2831" t="s">
        <v>29</v>
      </c>
      <c r="D2831" s="1">
        <v>45596</v>
      </c>
      <c r="E2831" t="s">
        <v>8358</v>
      </c>
      <c r="F2831" t="s">
        <v>13</v>
      </c>
      <c r="G2831" t="s">
        <v>14</v>
      </c>
      <c r="H2831" t="s">
        <v>15</v>
      </c>
    </row>
    <row r="2832" spans="1:9" x14ac:dyDescent="0.3">
      <c r="A2832" t="s">
        <v>8359</v>
      </c>
      <c r="B2832" t="s">
        <v>8360</v>
      </c>
      <c r="C2832" t="s">
        <v>11</v>
      </c>
      <c r="D2832" s="1">
        <v>45596</v>
      </c>
      <c r="E2832" t="s">
        <v>8361</v>
      </c>
      <c r="F2832" t="s">
        <v>13</v>
      </c>
      <c r="G2832" t="s">
        <v>174</v>
      </c>
      <c r="H2832" t="s">
        <v>15</v>
      </c>
      <c r="I2832" t="s">
        <v>16</v>
      </c>
    </row>
    <row r="2833" spans="1:9" x14ac:dyDescent="0.3">
      <c r="A2833" t="s">
        <v>8362</v>
      </c>
      <c r="B2833" t="s">
        <v>8363</v>
      </c>
      <c r="C2833" t="s">
        <v>54</v>
      </c>
      <c r="D2833" s="1">
        <v>45596</v>
      </c>
      <c r="E2833" t="s">
        <v>8364</v>
      </c>
      <c r="F2833" t="s">
        <v>13</v>
      </c>
      <c r="G2833" t="s">
        <v>14</v>
      </c>
      <c r="H2833" t="s">
        <v>15</v>
      </c>
      <c r="I2833" t="s">
        <v>181</v>
      </c>
    </row>
    <row r="2834" spans="1:9" x14ac:dyDescent="0.3">
      <c r="A2834" t="s">
        <v>7582</v>
      </c>
      <c r="B2834" t="s">
        <v>8365</v>
      </c>
      <c r="C2834" t="s">
        <v>19</v>
      </c>
      <c r="D2834" s="1">
        <v>45596</v>
      </c>
      <c r="E2834" t="s">
        <v>8366</v>
      </c>
      <c r="F2834" t="s">
        <v>13</v>
      </c>
      <c r="G2834" t="s">
        <v>14</v>
      </c>
      <c r="H2834" t="s">
        <v>15</v>
      </c>
      <c r="I2834" t="s">
        <v>116</v>
      </c>
    </row>
    <row r="2835" spans="1:9" x14ac:dyDescent="0.3">
      <c r="A2835" t="s">
        <v>8367</v>
      </c>
      <c r="B2835" t="s">
        <v>8368</v>
      </c>
      <c r="C2835" t="s">
        <v>33</v>
      </c>
      <c r="D2835" s="1">
        <v>45597</v>
      </c>
      <c r="E2835" t="s">
        <v>8369</v>
      </c>
      <c r="F2835" t="s">
        <v>13</v>
      </c>
      <c r="G2835" t="s">
        <v>14</v>
      </c>
      <c r="H2835" t="s">
        <v>15</v>
      </c>
      <c r="I2835" t="s">
        <v>51</v>
      </c>
    </row>
    <row r="2836" spans="1:9" x14ac:dyDescent="0.3">
      <c r="A2836" t="s">
        <v>8370</v>
      </c>
      <c r="B2836" t="s">
        <v>8371</v>
      </c>
      <c r="C2836" t="s">
        <v>45</v>
      </c>
      <c r="D2836" s="1">
        <v>45597</v>
      </c>
      <c r="E2836" t="s">
        <v>8372</v>
      </c>
      <c r="F2836" t="s">
        <v>13</v>
      </c>
      <c r="G2836" t="s">
        <v>14</v>
      </c>
      <c r="H2836" t="s">
        <v>15</v>
      </c>
    </row>
    <row r="2837" spans="1:9" x14ac:dyDescent="0.3">
      <c r="A2837" t="s">
        <v>8373</v>
      </c>
      <c r="B2837" t="s">
        <v>8374</v>
      </c>
      <c r="C2837" t="s">
        <v>33</v>
      </c>
      <c r="D2837" s="1">
        <v>45597</v>
      </c>
      <c r="E2837" t="s">
        <v>8375</v>
      </c>
      <c r="F2837" t="s">
        <v>13</v>
      </c>
      <c r="G2837" t="s">
        <v>14</v>
      </c>
      <c r="H2837" t="s">
        <v>15</v>
      </c>
    </row>
    <row r="2838" spans="1:9" x14ac:dyDescent="0.3">
      <c r="A2838" t="s">
        <v>8376</v>
      </c>
      <c r="B2838" t="s">
        <v>8377</v>
      </c>
      <c r="C2838" t="s">
        <v>54</v>
      </c>
      <c r="D2838" s="1">
        <v>45597</v>
      </c>
      <c r="E2838" t="s">
        <v>8378</v>
      </c>
      <c r="F2838" t="s">
        <v>13</v>
      </c>
      <c r="G2838" t="s">
        <v>14</v>
      </c>
      <c r="H2838" t="s">
        <v>15</v>
      </c>
      <c r="I2838" t="s">
        <v>181</v>
      </c>
    </row>
    <row r="2839" spans="1:9" x14ac:dyDescent="0.3">
      <c r="A2839" t="s">
        <v>8379</v>
      </c>
      <c r="B2839" t="s">
        <v>8380</v>
      </c>
      <c r="C2839" t="s">
        <v>33</v>
      </c>
      <c r="D2839" s="1">
        <v>45598</v>
      </c>
      <c r="E2839" t="s">
        <v>8381</v>
      </c>
      <c r="F2839" t="s">
        <v>13</v>
      </c>
      <c r="G2839" t="s">
        <v>14</v>
      </c>
      <c r="H2839" t="s">
        <v>15</v>
      </c>
      <c r="I2839" t="s">
        <v>94</v>
      </c>
    </row>
    <row r="2840" spans="1:9" x14ac:dyDescent="0.3">
      <c r="A2840" t="s">
        <v>8382</v>
      </c>
      <c r="B2840" t="s">
        <v>8383</v>
      </c>
      <c r="C2840" t="s">
        <v>69</v>
      </c>
      <c r="D2840" s="1">
        <v>45598</v>
      </c>
      <c r="E2840" t="s">
        <v>8384</v>
      </c>
      <c r="F2840" t="s">
        <v>13</v>
      </c>
      <c r="G2840" t="s">
        <v>14</v>
      </c>
      <c r="H2840" t="s">
        <v>15</v>
      </c>
      <c r="I2840" t="s">
        <v>71</v>
      </c>
    </row>
    <row r="2841" spans="1:9" x14ac:dyDescent="0.3">
      <c r="A2841" t="s">
        <v>8385</v>
      </c>
      <c r="B2841" t="s">
        <v>8386</v>
      </c>
      <c r="C2841" t="s">
        <v>45</v>
      </c>
      <c r="D2841" s="1">
        <v>45599</v>
      </c>
      <c r="E2841" t="s">
        <v>8387</v>
      </c>
      <c r="F2841" t="s">
        <v>13</v>
      </c>
      <c r="G2841" t="s">
        <v>14</v>
      </c>
      <c r="H2841" t="s">
        <v>15</v>
      </c>
      <c r="I2841" t="s">
        <v>47</v>
      </c>
    </row>
    <row r="2842" spans="1:9" x14ac:dyDescent="0.3">
      <c r="A2842" t="s">
        <v>8388</v>
      </c>
      <c r="B2842" t="s">
        <v>8389</v>
      </c>
      <c r="C2842" t="s">
        <v>69</v>
      </c>
      <c r="D2842" s="1">
        <v>45600</v>
      </c>
      <c r="E2842" t="s">
        <v>8390</v>
      </c>
      <c r="F2842" t="s">
        <v>13</v>
      </c>
      <c r="G2842" t="s">
        <v>14</v>
      </c>
      <c r="H2842" t="s">
        <v>15</v>
      </c>
    </row>
    <row r="2843" spans="1:9" x14ac:dyDescent="0.3">
      <c r="A2843" t="s">
        <v>8391</v>
      </c>
      <c r="B2843" t="s">
        <v>8392</v>
      </c>
      <c r="C2843" t="s">
        <v>24</v>
      </c>
      <c r="D2843" s="1">
        <v>45601</v>
      </c>
      <c r="E2843" t="s">
        <v>8393</v>
      </c>
      <c r="F2843" t="s">
        <v>13</v>
      </c>
      <c r="G2843" t="s">
        <v>14</v>
      </c>
      <c r="H2843" t="s">
        <v>15</v>
      </c>
      <c r="I2843" t="s">
        <v>63</v>
      </c>
    </row>
    <row r="2844" spans="1:9" x14ac:dyDescent="0.3">
      <c r="A2844" t="s">
        <v>8394</v>
      </c>
      <c r="B2844" t="s">
        <v>8395</v>
      </c>
      <c r="C2844" t="s">
        <v>19</v>
      </c>
      <c r="D2844" s="1">
        <v>45602</v>
      </c>
      <c r="E2844" t="s">
        <v>8396</v>
      </c>
      <c r="F2844" t="s">
        <v>13</v>
      </c>
      <c r="G2844" t="s">
        <v>14</v>
      </c>
      <c r="H2844" t="s">
        <v>15</v>
      </c>
      <c r="I2844" t="s">
        <v>116</v>
      </c>
    </row>
    <row r="2845" spans="1:9" x14ac:dyDescent="0.3">
      <c r="A2845" t="s">
        <v>8397</v>
      </c>
      <c r="B2845" t="s">
        <v>8398</v>
      </c>
      <c r="C2845" t="s">
        <v>24</v>
      </c>
      <c r="D2845" s="1">
        <v>45602</v>
      </c>
      <c r="E2845" t="s">
        <v>8399</v>
      </c>
      <c r="F2845" t="s">
        <v>13</v>
      </c>
      <c r="G2845" t="s">
        <v>14</v>
      </c>
      <c r="H2845" t="s">
        <v>15</v>
      </c>
      <c r="I2845" t="s">
        <v>63</v>
      </c>
    </row>
    <row r="2846" spans="1:9" x14ac:dyDescent="0.3">
      <c r="A2846" t="s">
        <v>8400</v>
      </c>
      <c r="B2846" t="s">
        <v>8401</v>
      </c>
      <c r="C2846" t="s">
        <v>69</v>
      </c>
      <c r="D2846" s="1">
        <v>45603</v>
      </c>
      <c r="E2846" t="s">
        <v>8402</v>
      </c>
      <c r="F2846" t="s">
        <v>13</v>
      </c>
      <c r="G2846" t="s">
        <v>14</v>
      </c>
      <c r="H2846" t="s">
        <v>15</v>
      </c>
      <c r="I2846" t="s">
        <v>71</v>
      </c>
    </row>
    <row r="2847" spans="1:9" x14ac:dyDescent="0.3">
      <c r="A2847" t="s">
        <v>8403</v>
      </c>
      <c r="B2847" t="s">
        <v>8404</v>
      </c>
      <c r="C2847" t="s">
        <v>45</v>
      </c>
      <c r="D2847" s="1">
        <v>45603</v>
      </c>
      <c r="E2847" t="s">
        <v>8405</v>
      </c>
      <c r="F2847" t="s">
        <v>13</v>
      </c>
      <c r="G2847" t="s">
        <v>14</v>
      </c>
      <c r="H2847" t="s">
        <v>15</v>
      </c>
      <c r="I2847" t="s">
        <v>47</v>
      </c>
    </row>
    <row r="2848" spans="1:9" x14ac:dyDescent="0.3">
      <c r="A2848" t="s">
        <v>8406</v>
      </c>
      <c r="B2848" t="s">
        <v>8407</v>
      </c>
      <c r="C2848" t="s">
        <v>54</v>
      </c>
      <c r="D2848" s="1">
        <v>45603</v>
      </c>
      <c r="E2848" t="s">
        <v>8408</v>
      </c>
      <c r="F2848" t="s">
        <v>13</v>
      </c>
      <c r="G2848" t="s">
        <v>14</v>
      </c>
      <c r="H2848" t="s">
        <v>15</v>
      </c>
      <c r="I2848" t="s">
        <v>181</v>
      </c>
    </row>
    <row r="2849" spans="1:9" x14ac:dyDescent="0.3">
      <c r="A2849" t="s">
        <v>8409</v>
      </c>
      <c r="B2849" t="s">
        <v>8410</v>
      </c>
      <c r="C2849" t="s">
        <v>54</v>
      </c>
      <c r="D2849" s="1">
        <v>45603</v>
      </c>
      <c r="E2849" t="s">
        <v>8411</v>
      </c>
      <c r="F2849" t="s">
        <v>13</v>
      </c>
      <c r="G2849" t="s">
        <v>14</v>
      </c>
      <c r="H2849" t="s">
        <v>15</v>
      </c>
    </row>
    <row r="2850" spans="1:9" x14ac:dyDescent="0.3">
      <c r="A2850" t="s">
        <v>8412</v>
      </c>
      <c r="B2850" t="s">
        <v>8413</v>
      </c>
      <c r="C2850" t="s">
        <v>11</v>
      </c>
      <c r="D2850" s="1">
        <v>45603</v>
      </c>
      <c r="E2850" t="s">
        <v>8414</v>
      </c>
      <c r="F2850" t="s">
        <v>13</v>
      </c>
      <c r="G2850" t="s">
        <v>14</v>
      </c>
      <c r="H2850" t="s">
        <v>15</v>
      </c>
    </row>
    <row r="2851" spans="1:9" x14ac:dyDescent="0.3">
      <c r="A2851" t="s">
        <v>8415</v>
      </c>
      <c r="B2851" t="s">
        <v>8416</v>
      </c>
      <c r="C2851" t="s">
        <v>33</v>
      </c>
      <c r="D2851" s="1">
        <v>45604</v>
      </c>
      <c r="E2851" t="s">
        <v>8417</v>
      </c>
      <c r="F2851" t="s">
        <v>13</v>
      </c>
      <c r="G2851" t="s">
        <v>14</v>
      </c>
      <c r="H2851" t="s">
        <v>15</v>
      </c>
      <c r="I2851" t="s">
        <v>94</v>
      </c>
    </row>
    <row r="2852" spans="1:9" x14ac:dyDescent="0.3">
      <c r="A2852" t="s">
        <v>8418</v>
      </c>
      <c r="B2852" t="s">
        <v>8419</v>
      </c>
      <c r="C2852" t="s">
        <v>45</v>
      </c>
      <c r="D2852" s="1">
        <v>45604</v>
      </c>
      <c r="E2852" t="s">
        <v>8420</v>
      </c>
      <c r="F2852" t="s">
        <v>13</v>
      </c>
      <c r="G2852" t="s">
        <v>14</v>
      </c>
      <c r="H2852" t="s">
        <v>15</v>
      </c>
      <c r="I2852" t="s">
        <v>47</v>
      </c>
    </row>
    <row r="2853" spans="1:9" x14ac:dyDescent="0.3">
      <c r="A2853" t="s">
        <v>8421</v>
      </c>
      <c r="B2853" t="s">
        <v>8422</v>
      </c>
      <c r="C2853" t="s">
        <v>33</v>
      </c>
      <c r="D2853" s="1">
        <v>45604</v>
      </c>
      <c r="E2853" t="s">
        <v>8423</v>
      </c>
      <c r="F2853" t="s">
        <v>13</v>
      </c>
      <c r="G2853" t="s">
        <v>14</v>
      </c>
      <c r="H2853" t="s">
        <v>15</v>
      </c>
      <c r="I2853" t="s">
        <v>94</v>
      </c>
    </row>
    <row r="2854" spans="1:9" x14ac:dyDescent="0.3">
      <c r="A2854" t="s">
        <v>8424</v>
      </c>
      <c r="B2854" t="s">
        <v>8425</v>
      </c>
      <c r="C2854" t="s">
        <v>33</v>
      </c>
      <c r="D2854" s="1">
        <v>45604</v>
      </c>
      <c r="E2854" t="s">
        <v>8426</v>
      </c>
      <c r="F2854" t="s">
        <v>13</v>
      </c>
      <c r="G2854" t="s">
        <v>14</v>
      </c>
      <c r="H2854" t="s">
        <v>15</v>
      </c>
    </row>
    <row r="2855" spans="1:9" x14ac:dyDescent="0.3">
      <c r="A2855" t="s">
        <v>8427</v>
      </c>
      <c r="B2855" t="s">
        <v>8428</v>
      </c>
      <c r="C2855" t="s">
        <v>54</v>
      </c>
      <c r="D2855" s="1">
        <v>45604</v>
      </c>
      <c r="E2855" t="s">
        <v>8429</v>
      </c>
      <c r="F2855" t="s">
        <v>13</v>
      </c>
      <c r="G2855" t="s">
        <v>174</v>
      </c>
      <c r="H2855" t="s">
        <v>15</v>
      </c>
      <c r="I2855" t="s">
        <v>181</v>
      </c>
    </row>
    <row r="2856" spans="1:9" x14ac:dyDescent="0.3">
      <c r="A2856" t="s">
        <v>8430</v>
      </c>
      <c r="B2856" t="s">
        <v>8431</v>
      </c>
      <c r="C2856" t="s">
        <v>29</v>
      </c>
      <c r="D2856" s="1">
        <v>45605</v>
      </c>
      <c r="E2856" t="s">
        <v>8432</v>
      </c>
      <c r="F2856" t="s">
        <v>13</v>
      </c>
      <c r="G2856" t="s">
        <v>14</v>
      </c>
      <c r="H2856" t="s">
        <v>15</v>
      </c>
      <c r="I2856" t="s">
        <v>42</v>
      </c>
    </row>
    <row r="2857" spans="1:9" x14ac:dyDescent="0.3">
      <c r="A2857" t="s">
        <v>8433</v>
      </c>
      <c r="B2857" t="s">
        <v>8434</v>
      </c>
      <c r="C2857" t="s">
        <v>11</v>
      </c>
      <c r="D2857" s="1">
        <v>45605</v>
      </c>
      <c r="E2857" t="s">
        <v>8435</v>
      </c>
      <c r="F2857" t="s">
        <v>13</v>
      </c>
      <c r="G2857" t="s">
        <v>14</v>
      </c>
      <c r="H2857" t="s">
        <v>15</v>
      </c>
      <c r="I2857" t="s">
        <v>38</v>
      </c>
    </row>
    <row r="2858" spans="1:9" x14ac:dyDescent="0.3">
      <c r="A2858" t="s">
        <v>8436</v>
      </c>
      <c r="B2858" t="s">
        <v>8437</v>
      </c>
      <c r="C2858" t="s">
        <v>29</v>
      </c>
      <c r="D2858" s="1">
        <v>45605</v>
      </c>
      <c r="E2858" t="s">
        <v>8438</v>
      </c>
      <c r="F2858" t="s">
        <v>13</v>
      </c>
      <c r="G2858" t="s">
        <v>14</v>
      </c>
      <c r="H2858" t="s">
        <v>15</v>
      </c>
      <c r="I2858" t="s">
        <v>81</v>
      </c>
    </row>
    <row r="2859" spans="1:9" x14ac:dyDescent="0.3">
      <c r="A2859" t="s">
        <v>8439</v>
      </c>
      <c r="B2859" t="s">
        <v>8440</v>
      </c>
      <c r="C2859" t="s">
        <v>69</v>
      </c>
      <c r="D2859" s="1">
        <v>45605</v>
      </c>
      <c r="E2859" t="s">
        <v>8441</v>
      </c>
      <c r="F2859" t="s">
        <v>13</v>
      </c>
      <c r="G2859" t="s">
        <v>14</v>
      </c>
      <c r="H2859" t="s">
        <v>15</v>
      </c>
      <c r="I2859" t="s">
        <v>71</v>
      </c>
    </row>
    <row r="2860" spans="1:9" x14ac:dyDescent="0.3">
      <c r="A2860" t="s">
        <v>8102</v>
      </c>
      <c r="B2860" t="s">
        <v>8442</v>
      </c>
      <c r="C2860" t="s">
        <v>19</v>
      </c>
      <c r="D2860" s="1">
        <v>45606</v>
      </c>
      <c r="E2860" t="s">
        <v>8443</v>
      </c>
      <c r="F2860" t="s">
        <v>13</v>
      </c>
      <c r="G2860" t="s">
        <v>14</v>
      </c>
      <c r="H2860" t="s">
        <v>15</v>
      </c>
      <c r="I2860" t="s">
        <v>21</v>
      </c>
    </row>
    <row r="2861" spans="1:9" x14ac:dyDescent="0.3">
      <c r="A2861" t="s">
        <v>8444</v>
      </c>
      <c r="B2861" t="s">
        <v>8445</v>
      </c>
      <c r="C2861" t="s">
        <v>11</v>
      </c>
      <c r="D2861" s="1">
        <v>45607</v>
      </c>
      <c r="E2861" t="s">
        <v>8446</v>
      </c>
      <c r="F2861" t="s">
        <v>13</v>
      </c>
      <c r="G2861" t="s">
        <v>14</v>
      </c>
      <c r="H2861" t="s">
        <v>15</v>
      </c>
    </row>
    <row r="2862" spans="1:9" x14ac:dyDescent="0.3">
      <c r="A2862" t="s">
        <v>8447</v>
      </c>
      <c r="B2862" t="s">
        <v>8448</v>
      </c>
      <c r="C2862" t="s">
        <v>11</v>
      </c>
      <c r="D2862" s="1">
        <v>45607</v>
      </c>
      <c r="E2862" t="s">
        <v>8449</v>
      </c>
      <c r="F2862" t="s">
        <v>13</v>
      </c>
      <c r="G2862" t="s">
        <v>14</v>
      </c>
      <c r="H2862" t="s">
        <v>15</v>
      </c>
      <c r="I2862" t="s">
        <v>185</v>
      </c>
    </row>
    <row r="2863" spans="1:9" x14ac:dyDescent="0.3">
      <c r="A2863" t="s">
        <v>8450</v>
      </c>
      <c r="B2863" t="s">
        <v>8451</v>
      </c>
      <c r="C2863" t="s">
        <v>33</v>
      </c>
      <c r="D2863" s="1">
        <v>45607</v>
      </c>
      <c r="E2863" t="s">
        <v>8452</v>
      </c>
      <c r="F2863" t="s">
        <v>13</v>
      </c>
      <c r="G2863" t="s">
        <v>14</v>
      </c>
      <c r="H2863" t="s">
        <v>15</v>
      </c>
      <c r="I2863" t="s">
        <v>94</v>
      </c>
    </row>
    <row r="2864" spans="1:9" x14ac:dyDescent="0.3">
      <c r="A2864" t="s">
        <v>8453</v>
      </c>
      <c r="B2864" t="s">
        <v>8454</v>
      </c>
      <c r="C2864" t="s">
        <v>19</v>
      </c>
      <c r="D2864" s="1">
        <v>45607</v>
      </c>
      <c r="E2864" t="s">
        <v>8455</v>
      </c>
      <c r="F2864" t="s">
        <v>13</v>
      </c>
      <c r="G2864" t="s">
        <v>14</v>
      </c>
      <c r="H2864" t="s">
        <v>15</v>
      </c>
    </row>
    <row r="2865" spans="1:9" x14ac:dyDescent="0.3">
      <c r="A2865" t="s">
        <v>8456</v>
      </c>
      <c r="B2865" t="s">
        <v>8457</v>
      </c>
      <c r="C2865" t="s">
        <v>33</v>
      </c>
      <c r="D2865" s="1">
        <v>45607</v>
      </c>
      <c r="E2865" t="s">
        <v>8458</v>
      </c>
      <c r="F2865" t="s">
        <v>13</v>
      </c>
      <c r="G2865" t="s">
        <v>14</v>
      </c>
      <c r="H2865" t="s">
        <v>15</v>
      </c>
      <c r="I2865" t="s">
        <v>94</v>
      </c>
    </row>
    <row r="2866" spans="1:9" x14ac:dyDescent="0.3">
      <c r="A2866" t="s">
        <v>6188</v>
      </c>
      <c r="B2866" t="s">
        <v>8459</v>
      </c>
      <c r="C2866" t="s">
        <v>19</v>
      </c>
      <c r="D2866" s="1">
        <v>45607</v>
      </c>
      <c r="E2866" t="s">
        <v>8460</v>
      </c>
      <c r="F2866" t="s">
        <v>13</v>
      </c>
      <c r="G2866" t="s">
        <v>14</v>
      </c>
      <c r="H2866" t="s">
        <v>15</v>
      </c>
      <c r="I2866" t="s">
        <v>21</v>
      </c>
    </row>
    <row r="2867" spans="1:9" x14ac:dyDescent="0.3">
      <c r="A2867" t="s">
        <v>6179</v>
      </c>
      <c r="B2867" t="s">
        <v>8461</v>
      </c>
      <c r="C2867" t="s">
        <v>19</v>
      </c>
      <c r="D2867" s="1">
        <v>45607</v>
      </c>
      <c r="E2867" t="s">
        <v>8462</v>
      </c>
      <c r="F2867" t="s">
        <v>13</v>
      </c>
      <c r="G2867" t="s">
        <v>14</v>
      </c>
      <c r="H2867" t="s">
        <v>15</v>
      </c>
      <c r="I2867" t="s">
        <v>21</v>
      </c>
    </row>
    <row r="2868" spans="1:9" x14ac:dyDescent="0.3">
      <c r="A2868" t="s">
        <v>8463</v>
      </c>
      <c r="B2868" t="s">
        <v>8464</v>
      </c>
      <c r="C2868" t="s">
        <v>69</v>
      </c>
      <c r="D2868" s="1">
        <v>45607</v>
      </c>
      <c r="E2868" t="s">
        <v>8465</v>
      </c>
      <c r="F2868" t="s">
        <v>13</v>
      </c>
      <c r="G2868" t="s">
        <v>14</v>
      </c>
      <c r="H2868" t="s">
        <v>15</v>
      </c>
      <c r="I2868" t="s">
        <v>71</v>
      </c>
    </row>
    <row r="2869" spans="1:9" x14ac:dyDescent="0.3">
      <c r="A2869" t="s">
        <v>8466</v>
      </c>
      <c r="B2869" t="s">
        <v>8467</v>
      </c>
      <c r="C2869" t="s">
        <v>54</v>
      </c>
      <c r="D2869" s="1">
        <v>45608</v>
      </c>
      <c r="E2869" t="s">
        <v>8468</v>
      </c>
      <c r="F2869" t="s">
        <v>13</v>
      </c>
      <c r="G2869" t="s">
        <v>14</v>
      </c>
      <c r="H2869" t="s">
        <v>15</v>
      </c>
      <c r="I2869" t="s">
        <v>181</v>
      </c>
    </row>
    <row r="2870" spans="1:9" x14ac:dyDescent="0.3">
      <c r="A2870" t="s">
        <v>8469</v>
      </c>
      <c r="B2870" t="s">
        <v>8470</v>
      </c>
      <c r="C2870" t="s">
        <v>33</v>
      </c>
      <c r="D2870" s="1">
        <v>45609</v>
      </c>
      <c r="E2870" t="s">
        <v>8471</v>
      </c>
      <c r="F2870" t="s">
        <v>13</v>
      </c>
      <c r="G2870" t="s">
        <v>14</v>
      </c>
      <c r="H2870" t="s">
        <v>15</v>
      </c>
    </row>
    <row r="2871" spans="1:9" x14ac:dyDescent="0.3">
      <c r="A2871" t="s">
        <v>8472</v>
      </c>
      <c r="B2871" t="s">
        <v>8473</v>
      </c>
      <c r="C2871" t="s">
        <v>69</v>
      </c>
      <c r="D2871" s="1">
        <v>45609</v>
      </c>
      <c r="E2871" t="s">
        <v>8474</v>
      </c>
      <c r="F2871" t="s">
        <v>13</v>
      </c>
      <c r="G2871" t="s">
        <v>14</v>
      </c>
      <c r="H2871" t="s">
        <v>15</v>
      </c>
      <c r="I2871" t="s">
        <v>71</v>
      </c>
    </row>
    <row r="2872" spans="1:9" x14ac:dyDescent="0.3">
      <c r="A2872" t="s">
        <v>6051</v>
      </c>
      <c r="B2872" t="s">
        <v>8475</v>
      </c>
      <c r="C2872" t="s">
        <v>19</v>
      </c>
      <c r="D2872" s="1">
        <v>45609</v>
      </c>
      <c r="E2872" t="s">
        <v>8476</v>
      </c>
      <c r="F2872" t="s">
        <v>13</v>
      </c>
      <c r="G2872" t="s">
        <v>14</v>
      </c>
      <c r="H2872" t="s">
        <v>15</v>
      </c>
      <c r="I2872" t="s">
        <v>116</v>
      </c>
    </row>
    <row r="2873" spans="1:9" x14ac:dyDescent="0.3">
      <c r="A2873" t="s">
        <v>8477</v>
      </c>
      <c r="B2873" t="s">
        <v>8478</v>
      </c>
      <c r="C2873" t="s">
        <v>45</v>
      </c>
      <c r="D2873" s="1">
        <v>45609</v>
      </c>
      <c r="E2873" t="s">
        <v>8479</v>
      </c>
      <c r="F2873" t="s">
        <v>13</v>
      </c>
      <c r="G2873" t="s">
        <v>14</v>
      </c>
      <c r="H2873" t="s">
        <v>15</v>
      </c>
      <c r="I2873" t="s">
        <v>248</v>
      </c>
    </row>
    <row r="2874" spans="1:9" x14ac:dyDescent="0.3">
      <c r="A2874" t="s">
        <v>8480</v>
      </c>
      <c r="B2874" t="s">
        <v>8481</v>
      </c>
      <c r="C2874" t="s">
        <v>45</v>
      </c>
      <c r="D2874" s="1">
        <v>45609</v>
      </c>
      <c r="E2874" t="s">
        <v>8482</v>
      </c>
      <c r="F2874" t="s">
        <v>13</v>
      </c>
      <c r="G2874" t="s">
        <v>14</v>
      </c>
      <c r="H2874" t="s">
        <v>15</v>
      </c>
      <c r="I2874" t="s">
        <v>47</v>
      </c>
    </row>
    <row r="2875" spans="1:9" x14ac:dyDescent="0.3">
      <c r="A2875" t="s">
        <v>8483</v>
      </c>
      <c r="B2875" t="s">
        <v>8484</v>
      </c>
      <c r="C2875" t="s">
        <v>11</v>
      </c>
      <c r="D2875" s="1">
        <v>45609</v>
      </c>
      <c r="E2875" t="s">
        <v>8485</v>
      </c>
      <c r="F2875" t="s">
        <v>13</v>
      </c>
      <c r="G2875" t="s">
        <v>14</v>
      </c>
      <c r="H2875" t="s">
        <v>15</v>
      </c>
      <c r="I2875" t="s">
        <v>185</v>
      </c>
    </row>
    <row r="2876" spans="1:9" x14ac:dyDescent="0.3">
      <c r="A2876" t="s">
        <v>8486</v>
      </c>
      <c r="B2876" t="s">
        <v>8487</v>
      </c>
      <c r="C2876" t="s">
        <v>45</v>
      </c>
      <c r="D2876" s="1">
        <v>45610</v>
      </c>
      <c r="E2876" t="s">
        <v>8488</v>
      </c>
      <c r="F2876" t="s">
        <v>13</v>
      </c>
      <c r="G2876" t="s">
        <v>14</v>
      </c>
      <c r="H2876" t="s">
        <v>15</v>
      </c>
      <c r="I2876" t="s">
        <v>47</v>
      </c>
    </row>
    <row r="2877" spans="1:9" x14ac:dyDescent="0.3">
      <c r="A2877" t="s">
        <v>8489</v>
      </c>
      <c r="B2877" t="s">
        <v>8490</v>
      </c>
      <c r="C2877" t="s">
        <v>11</v>
      </c>
      <c r="D2877" s="1">
        <v>45610</v>
      </c>
      <c r="E2877" t="s">
        <v>8491</v>
      </c>
      <c r="F2877" t="s">
        <v>13</v>
      </c>
      <c r="G2877" t="s">
        <v>14</v>
      </c>
      <c r="H2877" t="s">
        <v>15</v>
      </c>
    </row>
    <row r="2878" spans="1:9" x14ac:dyDescent="0.3">
      <c r="A2878" t="s">
        <v>8492</v>
      </c>
      <c r="B2878" t="s">
        <v>8493</v>
      </c>
      <c r="C2878" t="s">
        <v>11</v>
      </c>
      <c r="D2878" s="1">
        <v>45610</v>
      </c>
      <c r="E2878" t="s">
        <v>8494</v>
      </c>
      <c r="F2878" t="s">
        <v>13</v>
      </c>
      <c r="G2878" t="s">
        <v>14</v>
      </c>
      <c r="H2878" t="s">
        <v>15</v>
      </c>
      <c r="I2878" t="s">
        <v>38</v>
      </c>
    </row>
    <row r="2879" spans="1:9" x14ac:dyDescent="0.3">
      <c r="A2879" t="s">
        <v>8495</v>
      </c>
      <c r="B2879" t="s">
        <v>8496</v>
      </c>
      <c r="C2879" t="s">
        <v>69</v>
      </c>
      <c r="D2879" s="1">
        <v>45611</v>
      </c>
      <c r="E2879" t="s">
        <v>8497</v>
      </c>
      <c r="F2879" t="s">
        <v>13</v>
      </c>
      <c r="G2879" t="s">
        <v>14</v>
      </c>
      <c r="H2879" t="s">
        <v>15</v>
      </c>
      <c r="I2879" t="s">
        <v>71</v>
      </c>
    </row>
    <row r="2880" spans="1:9" x14ac:dyDescent="0.3">
      <c r="A2880" t="s">
        <v>8498</v>
      </c>
      <c r="B2880" t="s">
        <v>8499</v>
      </c>
      <c r="C2880" t="s">
        <v>24</v>
      </c>
      <c r="D2880" s="1">
        <v>45611</v>
      </c>
      <c r="E2880" t="s">
        <v>8500</v>
      </c>
      <c r="F2880" t="s">
        <v>13</v>
      </c>
      <c r="G2880" t="s">
        <v>14</v>
      </c>
      <c r="H2880" t="s">
        <v>15</v>
      </c>
      <c r="I2880" t="s">
        <v>26</v>
      </c>
    </row>
    <row r="2881" spans="1:9" x14ac:dyDescent="0.3">
      <c r="A2881" t="s">
        <v>8501</v>
      </c>
      <c r="B2881" t="s">
        <v>8502</v>
      </c>
      <c r="C2881" t="s">
        <v>33</v>
      </c>
      <c r="D2881" s="1">
        <v>45611</v>
      </c>
      <c r="E2881" t="s">
        <v>8503</v>
      </c>
      <c r="F2881" t="s">
        <v>13</v>
      </c>
      <c r="G2881" t="s">
        <v>14</v>
      </c>
      <c r="H2881" t="s">
        <v>15</v>
      </c>
    </row>
    <row r="2882" spans="1:9" x14ac:dyDescent="0.3">
      <c r="A2882" t="s">
        <v>8504</v>
      </c>
      <c r="B2882" t="s">
        <v>8505</v>
      </c>
      <c r="C2882" t="s">
        <v>11</v>
      </c>
      <c r="D2882" s="1">
        <v>45611</v>
      </c>
      <c r="E2882" t="s">
        <v>8506</v>
      </c>
      <c r="F2882" t="s">
        <v>13</v>
      </c>
      <c r="G2882" t="s">
        <v>14</v>
      </c>
      <c r="H2882" t="s">
        <v>15</v>
      </c>
      <c r="I2882" t="s">
        <v>38</v>
      </c>
    </row>
    <row r="2883" spans="1:9" x14ac:dyDescent="0.3">
      <c r="A2883" t="s">
        <v>8507</v>
      </c>
      <c r="B2883" t="s">
        <v>8508</v>
      </c>
      <c r="C2883" t="s">
        <v>69</v>
      </c>
      <c r="D2883" s="1">
        <v>45612</v>
      </c>
      <c r="E2883" t="s">
        <v>8509</v>
      </c>
      <c r="F2883" t="s">
        <v>13</v>
      </c>
      <c r="G2883" t="s">
        <v>14</v>
      </c>
      <c r="H2883" t="s">
        <v>15</v>
      </c>
      <c r="I2883" t="s">
        <v>71</v>
      </c>
    </row>
    <row r="2884" spans="1:9" x14ac:dyDescent="0.3">
      <c r="A2884" t="s">
        <v>8510</v>
      </c>
      <c r="B2884" t="s">
        <v>8511</v>
      </c>
      <c r="C2884" t="s">
        <v>29</v>
      </c>
      <c r="D2884" s="1">
        <v>45614</v>
      </c>
      <c r="E2884" t="s">
        <v>8512</v>
      </c>
      <c r="F2884" t="s">
        <v>13</v>
      </c>
      <c r="G2884" t="s">
        <v>14</v>
      </c>
      <c r="H2884" t="s">
        <v>15</v>
      </c>
    </row>
    <row r="2885" spans="1:9" x14ac:dyDescent="0.3">
      <c r="A2885" t="s">
        <v>8513</v>
      </c>
      <c r="B2885" t="s">
        <v>8514</v>
      </c>
      <c r="C2885" t="s">
        <v>19</v>
      </c>
      <c r="D2885" s="1">
        <v>45614</v>
      </c>
      <c r="E2885" t="s">
        <v>8515</v>
      </c>
      <c r="F2885" t="s">
        <v>13</v>
      </c>
      <c r="G2885" t="s">
        <v>14</v>
      </c>
      <c r="H2885" t="s">
        <v>15</v>
      </c>
      <c r="I2885" t="s">
        <v>21</v>
      </c>
    </row>
    <row r="2886" spans="1:9" x14ac:dyDescent="0.3">
      <c r="A2886" t="s">
        <v>8516</v>
      </c>
      <c r="B2886" t="s">
        <v>8517</v>
      </c>
      <c r="C2886" t="s">
        <v>45</v>
      </c>
      <c r="D2886" s="1">
        <v>45614</v>
      </c>
      <c r="E2886" t="s">
        <v>8518</v>
      </c>
      <c r="F2886" t="s">
        <v>13</v>
      </c>
      <c r="G2886" t="s">
        <v>14</v>
      </c>
      <c r="H2886" t="s">
        <v>15</v>
      </c>
    </row>
    <row r="2887" spans="1:9" x14ac:dyDescent="0.3">
      <c r="A2887" t="s">
        <v>8102</v>
      </c>
      <c r="B2887" t="s">
        <v>8519</v>
      </c>
      <c r="C2887" t="s">
        <v>19</v>
      </c>
      <c r="D2887" s="1">
        <v>45614</v>
      </c>
      <c r="E2887" t="s">
        <v>8520</v>
      </c>
      <c r="F2887" t="s">
        <v>13</v>
      </c>
      <c r="G2887" t="s">
        <v>14</v>
      </c>
      <c r="H2887" t="s">
        <v>15</v>
      </c>
      <c r="I2887" t="s">
        <v>21</v>
      </c>
    </row>
    <row r="2888" spans="1:9" x14ac:dyDescent="0.3">
      <c r="A2888" t="s">
        <v>8521</v>
      </c>
      <c r="B2888" t="s">
        <v>8522</v>
      </c>
      <c r="C2888" t="s">
        <v>29</v>
      </c>
      <c r="D2888" s="1">
        <v>45616</v>
      </c>
      <c r="E2888" t="s">
        <v>8523</v>
      </c>
      <c r="F2888" t="s">
        <v>13</v>
      </c>
      <c r="G2888" t="s">
        <v>14</v>
      </c>
      <c r="H2888" t="s">
        <v>15</v>
      </c>
      <c r="I2888" t="s">
        <v>42</v>
      </c>
    </row>
    <row r="2889" spans="1:9" x14ac:dyDescent="0.3">
      <c r="A2889" t="s">
        <v>8524</v>
      </c>
      <c r="B2889" t="s">
        <v>8525</v>
      </c>
      <c r="C2889" t="s">
        <v>33</v>
      </c>
      <c r="D2889" s="1">
        <v>45616</v>
      </c>
      <c r="E2889" t="s">
        <v>8526</v>
      </c>
      <c r="F2889" t="s">
        <v>13</v>
      </c>
      <c r="G2889" t="s">
        <v>174</v>
      </c>
      <c r="H2889" t="s">
        <v>15</v>
      </c>
      <c r="I2889" t="s">
        <v>51</v>
      </c>
    </row>
    <row r="2890" spans="1:9" x14ac:dyDescent="0.3">
      <c r="A2890" t="s">
        <v>8527</v>
      </c>
      <c r="B2890" t="s">
        <v>8528</v>
      </c>
      <c r="C2890" t="s">
        <v>19</v>
      </c>
      <c r="D2890" s="1">
        <v>45618</v>
      </c>
      <c r="E2890" t="s">
        <v>8529</v>
      </c>
      <c r="F2890" t="s">
        <v>13</v>
      </c>
      <c r="G2890" t="s">
        <v>14</v>
      </c>
      <c r="H2890" t="s">
        <v>15</v>
      </c>
      <c r="I2890" t="s">
        <v>116</v>
      </c>
    </row>
    <row r="2891" spans="1:9" x14ac:dyDescent="0.3">
      <c r="A2891" t="s">
        <v>8530</v>
      </c>
      <c r="B2891" t="s">
        <v>8531</v>
      </c>
      <c r="C2891" t="s">
        <v>69</v>
      </c>
      <c r="D2891" s="1">
        <v>45618</v>
      </c>
      <c r="E2891" t="s">
        <v>8532</v>
      </c>
      <c r="F2891" t="s">
        <v>13</v>
      </c>
      <c r="G2891" t="s">
        <v>14</v>
      </c>
      <c r="H2891" t="s">
        <v>15</v>
      </c>
      <c r="I2891" t="s">
        <v>71</v>
      </c>
    </row>
    <row r="2892" spans="1:9" x14ac:dyDescent="0.3">
      <c r="A2892" t="s">
        <v>8533</v>
      </c>
      <c r="B2892" t="s">
        <v>8534</v>
      </c>
      <c r="C2892" t="s">
        <v>33</v>
      </c>
      <c r="D2892" s="1">
        <v>45618</v>
      </c>
      <c r="E2892" t="s">
        <v>8535</v>
      </c>
      <c r="F2892" t="s">
        <v>13</v>
      </c>
      <c r="G2892" t="s">
        <v>14</v>
      </c>
      <c r="H2892" t="s">
        <v>15</v>
      </c>
      <c r="I2892" t="s">
        <v>94</v>
      </c>
    </row>
    <row r="2893" spans="1:9" x14ac:dyDescent="0.3">
      <c r="A2893" t="s">
        <v>8536</v>
      </c>
      <c r="B2893" t="s">
        <v>8537</v>
      </c>
      <c r="C2893" t="s">
        <v>33</v>
      </c>
      <c r="D2893" s="1">
        <v>45618</v>
      </c>
      <c r="E2893" t="s">
        <v>8538</v>
      </c>
      <c r="F2893" t="s">
        <v>13</v>
      </c>
      <c r="G2893" t="s">
        <v>14</v>
      </c>
      <c r="H2893" t="s">
        <v>15</v>
      </c>
      <c r="I2893" t="s">
        <v>51</v>
      </c>
    </row>
    <row r="2894" spans="1:9" x14ac:dyDescent="0.3">
      <c r="A2894" t="s">
        <v>8539</v>
      </c>
      <c r="B2894" t="s">
        <v>8540</v>
      </c>
      <c r="C2894" t="s">
        <v>29</v>
      </c>
      <c r="D2894" s="1">
        <v>45619</v>
      </c>
      <c r="E2894" t="s">
        <v>8541</v>
      </c>
      <c r="F2894" t="s">
        <v>13</v>
      </c>
      <c r="G2894" t="s">
        <v>14</v>
      </c>
      <c r="H2894" t="s">
        <v>15</v>
      </c>
      <c r="I2894" t="s">
        <v>81</v>
      </c>
    </row>
    <row r="2895" spans="1:9" x14ac:dyDescent="0.3">
      <c r="A2895" t="s">
        <v>8542</v>
      </c>
      <c r="B2895" t="s">
        <v>8543</v>
      </c>
      <c r="C2895" t="s">
        <v>45</v>
      </c>
      <c r="D2895" s="1">
        <v>45619</v>
      </c>
      <c r="E2895" t="s">
        <v>8544</v>
      </c>
      <c r="F2895" t="s">
        <v>13</v>
      </c>
      <c r="G2895" t="s">
        <v>14</v>
      </c>
      <c r="H2895" t="s">
        <v>15</v>
      </c>
      <c r="I2895" t="s">
        <v>47</v>
      </c>
    </row>
    <row r="2896" spans="1:9" x14ac:dyDescent="0.3">
      <c r="A2896" t="s">
        <v>8545</v>
      </c>
      <c r="B2896" t="s">
        <v>8546</v>
      </c>
      <c r="C2896" t="s">
        <v>29</v>
      </c>
      <c r="D2896" s="1">
        <v>45620</v>
      </c>
      <c r="E2896" t="s">
        <v>8547</v>
      </c>
      <c r="F2896" t="s">
        <v>13</v>
      </c>
      <c r="G2896" t="s">
        <v>14</v>
      </c>
      <c r="H2896" t="s">
        <v>15</v>
      </c>
      <c r="I2896" t="s">
        <v>204</v>
      </c>
    </row>
    <row r="2897" spans="1:9" x14ac:dyDescent="0.3">
      <c r="A2897" t="s">
        <v>8548</v>
      </c>
      <c r="B2897" t="s">
        <v>8549</v>
      </c>
      <c r="C2897" t="s">
        <v>69</v>
      </c>
      <c r="D2897" s="1">
        <v>45620</v>
      </c>
      <c r="E2897" t="s">
        <v>8550</v>
      </c>
      <c r="F2897" t="s">
        <v>13</v>
      </c>
      <c r="G2897" t="s">
        <v>14</v>
      </c>
      <c r="H2897" t="s">
        <v>15</v>
      </c>
      <c r="I2897" t="s">
        <v>71</v>
      </c>
    </row>
    <row r="2898" spans="1:9" x14ac:dyDescent="0.3">
      <c r="A2898" t="s">
        <v>8551</v>
      </c>
      <c r="B2898" t="s">
        <v>8552</v>
      </c>
      <c r="C2898" t="s">
        <v>45</v>
      </c>
      <c r="D2898" s="1">
        <v>45621</v>
      </c>
      <c r="E2898" t="s">
        <v>8553</v>
      </c>
      <c r="F2898" t="s">
        <v>13</v>
      </c>
      <c r="G2898" t="s">
        <v>14</v>
      </c>
      <c r="H2898" t="s">
        <v>15</v>
      </c>
      <c r="I2898" t="s">
        <v>47</v>
      </c>
    </row>
    <row r="2899" spans="1:9" x14ac:dyDescent="0.3">
      <c r="A2899" t="s">
        <v>8554</v>
      </c>
      <c r="B2899" t="s">
        <v>8555</v>
      </c>
      <c r="C2899" t="s">
        <v>45</v>
      </c>
      <c r="D2899" s="1">
        <v>45622</v>
      </c>
      <c r="E2899" t="s">
        <v>8556</v>
      </c>
      <c r="F2899" t="s">
        <v>13</v>
      </c>
      <c r="G2899" t="s">
        <v>14</v>
      </c>
      <c r="H2899" t="s">
        <v>15</v>
      </c>
    </row>
    <row r="2900" spans="1:9" x14ac:dyDescent="0.3">
      <c r="A2900" t="s">
        <v>8557</v>
      </c>
      <c r="B2900" t="s">
        <v>8558</v>
      </c>
      <c r="C2900" t="s">
        <v>24</v>
      </c>
      <c r="D2900" s="1">
        <v>45622</v>
      </c>
      <c r="E2900" t="s">
        <v>8559</v>
      </c>
      <c r="F2900" t="s">
        <v>13</v>
      </c>
      <c r="G2900" t="s">
        <v>14</v>
      </c>
      <c r="H2900" t="s">
        <v>15</v>
      </c>
      <c r="I2900" t="s">
        <v>26</v>
      </c>
    </row>
    <row r="2901" spans="1:9" x14ac:dyDescent="0.3">
      <c r="A2901" t="s">
        <v>8560</v>
      </c>
      <c r="B2901" t="s">
        <v>8561</v>
      </c>
      <c r="C2901" t="s">
        <v>29</v>
      </c>
      <c r="D2901" s="1">
        <v>45622</v>
      </c>
      <c r="E2901" t="s">
        <v>8562</v>
      </c>
      <c r="F2901" t="s">
        <v>13</v>
      </c>
      <c r="G2901" t="s">
        <v>14</v>
      </c>
      <c r="H2901" t="s">
        <v>15</v>
      </c>
    </row>
    <row r="2902" spans="1:9" x14ac:dyDescent="0.3">
      <c r="A2902" t="s">
        <v>8563</v>
      </c>
      <c r="B2902" t="s">
        <v>8564</v>
      </c>
      <c r="C2902" t="s">
        <v>69</v>
      </c>
      <c r="D2902" s="1">
        <v>45623</v>
      </c>
      <c r="E2902" t="s">
        <v>8565</v>
      </c>
      <c r="F2902" t="s">
        <v>13</v>
      </c>
      <c r="G2902" t="s">
        <v>14</v>
      </c>
      <c r="H2902" t="s">
        <v>15</v>
      </c>
      <c r="I2902" t="s">
        <v>71</v>
      </c>
    </row>
    <row r="2903" spans="1:9" x14ac:dyDescent="0.3">
      <c r="A2903" t="s">
        <v>6051</v>
      </c>
      <c r="B2903" t="s">
        <v>8566</v>
      </c>
      <c r="C2903" t="s">
        <v>19</v>
      </c>
      <c r="D2903" s="1">
        <v>45623</v>
      </c>
      <c r="E2903" t="s">
        <v>8567</v>
      </c>
      <c r="F2903" t="s">
        <v>13</v>
      </c>
      <c r="G2903" t="s">
        <v>14</v>
      </c>
      <c r="H2903" t="s">
        <v>15</v>
      </c>
      <c r="I2903" t="s">
        <v>21</v>
      </c>
    </row>
    <row r="2904" spans="1:9" x14ac:dyDescent="0.3">
      <c r="A2904" t="s">
        <v>8568</v>
      </c>
      <c r="B2904" t="s">
        <v>8569</v>
      </c>
      <c r="C2904" t="s">
        <v>24</v>
      </c>
      <c r="D2904" s="1">
        <v>45623</v>
      </c>
      <c r="E2904" t="s">
        <v>8570</v>
      </c>
      <c r="F2904" t="s">
        <v>13</v>
      </c>
      <c r="G2904" t="s">
        <v>174</v>
      </c>
      <c r="H2904" t="s">
        <v>15</v>
      </c>
      <c r="I2904" t="s">
        <v>59</v>
      </c>
    </row>
    <row r="2905" spans="1:9" x14ac:dyDescent="0.3">
      <c r="A2905" t="s">
        <v>8571</v>
      </c>
      <c r="B2905" t="s">
        <v>8572</v>
      </c>
      <c r="C2905" t="s">
        <v>19</v>
      </c>
      <c r="D2905" s="1">
        <v>45623</v>
      </c>
      <c r="E2905" t="s">
        <v>8573</v>
      </c>
      <c r="F2905" t="s">
        <v>13</v>
      </c>
      <c r="G2905" t="s">
        <v>14</v>
      </c>
      <c r="H2905" t="s">
        <v>15</v>
      </c>
      <c r="I2905" t="s">
        <v>21</v>
      </c>
    </row>
    <row r="2906" spans="1:9" x14ac:dyDescent="0.3">
      <c r="A2906" t="s">
        <v>8574</v>
      </c>
      <c r="B2906" t="s">
        <v>8575</v>
      </c>
      <c r="C2906" t="s">
        <v>24</v>
      </c>
      <c r="D2906" s="1">
        <v>45624</v>
      </c>
      <c r="E2906" t="s">
        <v>8576</v>
      </c>
      <c r="F2906" t="s">
        <v>13</v>
      </c>
      <c r="G2906" t="s">
        <v>14</v>
      </c>
      <c r="H2906" t="s">
        <v>15</v>
      </c>
      <c r="I2906" t="s">
        <v>26</v>
      </c>
    </row>
    <row r="2907" spans="1:9" x14ac:dyDescent="0.3">
      <c r="A2907" t="s">
        <v>8577</v>
      </c>
      <c r="B2907" t="s">
        <v>8578</v>
      </c>
      <c r="C2907" t="s">
        <v>11</v>
      </c>
      <c r="D2907" s="1">
        <v>45624</v>
      </c>
      <c r="E2907" t="s">
        <v>8579</v>
      </c>
      <c r="F2907" t="s">
        <v>13</v>
      </c>
      <c r="G2907" t="s">
        <v>14</v>
      </c>
      <c r="H2907" t="s">
        <v>15</v>
      </c>
      <c r="I2907" t="s">
        <v>38</v>
      </c>
    </row>
    <row r="2908" spans="1:9" x14ac:dyDescent="0.3">
      <c r="A2908" t="s">
        <v>8580</v>
      </c>
      <c r="B2908" t="s">
        <v>8581</v>
      </c>
      <c r="C2908" t="s">
        <v>33</v>
      </c>
      <c r="D2908" s="1">
        <v>45625</v>
      </c>
      <c r="E2908" t="s">
        <v>8582</v>
      </c>
      <c r="F2908" t="s">
        <v>13</v>
      </c>
      <c r="G2908" t="s">
        <v>14</v>
      </c>
      <c r="H2908" t="s">
        <v>15</v>
      </c>
      <c r="I2908" t="s">
        <v>51</v>
      </c>
    </row>
    <row r="2909" spans="1:9" x14ac:dyDescent="0.3">
      <c r="A2909" t="s">
        <v>8583</v>
      </c>
      <c r="B2909" t="s">
        <v>8584</v>
      </c>
      <c r="C2909" t="s">
        <v>19</v>
      </c>
      <c r="D2909" s="1">
        <v>45625</v>
      </c>
      <c r="E2909" t="s">
        <v>8585</v>
      </c>
      <c r="F2909" t="s">
        <v>13</v>
      </c>
      <c r="G2909" t="s">
        <v>14</v>
      </c>
      <c r="H2909" t="s">
        <v>15</v>
      </c>
      <c r="I2909" t="s">
        <v>116</v>
      </c>
    </row>
    <row r="2910" spans="1:9" x14ac:dyDescent="0.3">
      <c r="A2910" t="s">
        <v>8586</v>
      </c>
      <c r="B2910" t="s">
        <v>8587</v>
      </c>
      <c r="C2910" t="s">
        <v>24</v>
      </c>
      <c r="D2910" s="1">
        <v>45625</v>
      </c>
      <c r="E2910" t="s">
        <v>8588</v>
      </c>
      <c r="F2910" t="s">
        <v>13</v>
      </c>
      <c r="G2910" t="s">
        <v>14</v>
      </c>
      <c r="H2910" t="s">
        <v>15</v>
      </c>
      <c r="I2910" t="s">
        <v>59</v>
      </c>
    </row>
    <row r="2911" spans="1:9" x14ac:dyDescent="0.3">
      <c r="A2911" t="s">
        <v>8589</v>
      </c>
      <c r="B2911" t="s">
        <v>8590</v>
      </c>
      <c r="C2911" t="s">
        <v>24</v>
      </c>
      <c r="D2911" s="1">
        <v>45627</v>
      </c>
      <c r="E2911" t="s">
        <v>8591</v>
      </c>
      <c r="F2911" t="s">
        <v>13</v>
      </c>
      <c r="G2911" t="s">
        <v>14</v>
      </c>
      <c r="H2911" t="s">
        <v>15</v>
      </c>
      <c r="I2911" t="s">
        <v>63</v>
      </c>
    </row>
    <row r="2912" spans="1:9" x14ac:dyDescent="0.3">
      <c r="A2912" t="s">
        <v>8592</v>
      </c>
      <c r="B2912" t="s">
        <v>8593</v>
      </c>
      <c r="C2912" t="s">
        <v>29</v>
      </c>
      <c r="D2912" s="1">
        <v>45627</v>
      </c>
      <c r="E2912" t="s">
        <v>8594</v>
      </c>
      <c r="F2912" t="s">
        <v>13</v>
      </c>
      <c r="G2912" t="s">
        <v>14</v>
      </c>
      <c r="H2912" t="s">
        <v>15</v>
      </c>
      <c r="I2912" t="s">
        <v>42</v>
      </c>
    </row>
    <row r="2913" spans="1:9" x14ac:dyDescent="0.3">
      <c r="A2913" t="s">
        <v>8595</v>
      </c>
      <c r="B2913" t="s">
        <v>8596</v>
      </c>
      <c r="C2913" t="s">
        <v>54</v>
      </c>
      <c r="D2913" s="1">
        <v>45627</v>
      </c>
      <c r="E2913" t="s">
        <v>8597</v>
      </c>
      <c r="F2913" t="s">
        <v>13</v>
      </c>
      <c r="G2913" t="s">
        <v>14</v>
      </c>
      <c r="H2913" t="s">
        <v>15</v>
      </c>
      <c r="I2913" t="s">
        <v>238</v>
      </c>
    </row>
    <row r="2914" spans="1:9" x14ac:dyDescent="0.3">
      <c r="A2914" t="s">
        <v>8598</v>
      </c>
      <c r="B2914" t="s">
        <v>8599</v>
      </c>
      <c r="C2914" t="s">
        <v>69</v>
      </c>
      <c r="D2914" s="1">
        <v>45628</v>
      </c>
      <c r="E2914" t="s">
        <v>8600</v>
      </c>
      <c r="F2914" t="s">
        <v>13</v>
      </c>
      <c r="G2914" t="s">
        <v>174</v>
      </c>
      <c r="H2914" t="s">
        <v>15</v>
      </c>
      <c r="I2914" t="s">
        <v>71</v>
      </c>
    </row>
    <row r="2915" spans="1:9" x14ac:dyDescent="0.3">
      <c r="A2915" t="s">
        <v>8601</v>
      </c>
      <c r="B2915" t="s">
        <v>8602</v>
      </c>
      <c r="C2915" t="s">
        <v>45</v>
      </c>
      <c r="D2915" s="1">
        <v>45628</v>
      </c>
      <c r="E2915" t="s">
        <v>8603</v>
      </c>
      <c r="F2915" t="s">
        <v>13</v>
      </c>
      <c r="G2915" t="s">
        <v>14</v>
      </c>
      <c r="H2915" t="s">
        <v>15</v>
      </c>
      <c r="I2915" t="s">
        <v>47</v>
      </c>
    </row>
    <row r="2916" spans="1:9" x14ac:dyDescent="0.3">
      <c r="A2916" t="s">
        <v>8604</v>
      </c>
      <c r="B2916" t="s">
        <v>8605</v>
      </c>
      <c r="C2916" t="s">
        <v>54</v>
      </c>
      <c r="D2916" s="1">
        <v>45628</v>
      </c>
      <c r="E2916" t="s">
        <v>8606</v>
      </c>
      <c r="F2916" t="s">
        <v>13</v>
      </c>
      <c r="G2916" t="s">
        <v>174</v>
      </c>
      <c r="H2916" t="s">
        <v>15</v>
      </c>
      <c r="I2916" t="s">
        <v>181</v>
      </c>
    </row>
    <row r="2917" spans="1:9" x14ac:dyDescent="0.3">
      <c r="A2917" t="s">
        <v>8607</v>
      </c>
      <c r="B2917" t="s">
        <v>8608</v>
      </c>
      <c r="C2917" t="s">
        <v>54</v>
      </c>
      <c r="D2917" s="1">
        <v>45628</v>
      </c>
      <c r="E2917" t="s">
        <v>8609</v>
      </c>
      <c r="F2917" t="s">
        <v>13</v>
      </c>
      <c r="G2917" t="s">
        <v>14</v>
      </c>
      <c r="H2917" t="s">
        <v>15</v>
      </c>
      <c r="I2917" t="s">
        <v>181</v>
      </c>
    </row>
    <row r="2918" spans="1:9" x14ac:dyDescent="0.3">
      <c r="A2918" t="s">
        <v>8610</v>
      </c>
      <c r="B2918" t="s">
        <v>8611</v>
      </c>
      <c r="C2918" t="s">
        <v>24</v>
      </c>
      <c r="D2918" s="1">
        <v>45629</v>
      </c>
      <c r="E2918" t="s">
        <v>8612</v>
      </c>
      <c r="F2918" t="s">
        <v>13</v>
      </c>
      <c r="G2918" t="s">
        <v>14</v>
      </c>
      <c r="H2918" t="s">
        <v>15</v>
      </c>
      <c r="I2918" t="s">
        <v>63</v>
      </c>
    </row>
    <row r="2919" spans="1:9" x14ac:dyDescent="0.3">
      <c r="A2919" t="s">
        <v>8613</v>
      </c>
      <c r="B2919" t="s">
        <v>8614</v>
      </c>
      <c r="C2919" t="s">
        <v>54</v>
      </c>
      <c r="D2919" s="1">
        <v>45629</v>
      </c>
      <c r="E2919" t="s">
        <v>8615</v>
      </c>
      <c r="F2919" t="s">
        <v>13</v>
      </c>
      <c r="G2919" t="s">
        <v>14</v>
      </c>
      <c r="H2919" t="s">
        <v>15</v>
      </c>
      <c r="I2919" t="s">
        <v>238</v>
      </c>
    </row>
    <row r="2920" spans="1:9" x14ac:dyDescent="0.3">
      <c r="A2920" t="s">
        <v>8616</v>
      </c>
      <c r="B2920" t="s">
        <v>8617</v>
      </c>
      <c r="C2920" t="s">
        <v>45</v>
      </c>
      <c r="D2920" s="1">
        <v>45630</v>
      </c>
      <c r="E2920" t="s">
        <v>8618</v>
      </c>
      <c r="F2920" t="s">
        <v>13</v>
      </c>
      <c r="G2920" t="s">
        <v>14</v>
      </c>
      <c r="H2920" t="s">
        <v>15</v>
      </c>
    </row>
    <row r="2921" spans="1:9" x14ac:dyDescent="0.3">
      <c r="A2921" t="s">
        <v>8619</v>
      </c>
      <c r="B2921" t="s">
        <v>8620</v>
      </c>
      <c r="C2921" t="s">
        <v>54</v>
      </c>
      <c r="D2921" s="1">
        <v>45630</v>
      </c>
      <c r="E2921" t="s">
        <v>8621</v>
      </c>
      <c r="F2921" t="s">
        <v>13</v>
      </c>
      <c r="G2921" t="s">
        <v>14</v>
      </c>
      <c r="H2921" t="s">
        <v>15</v>
      </c>
      <c r="I2921" t="s">
        <v>181</v>
      </c>
    </row>
    <row r="2922" spans="1:9" x14ac:dyDescent="0.3">
      <c r="A2922" t="s">
        <v>8622</v>
      </c>
      <c r="B2922" t="s">
        <v>8623</v>
      </c>
      <c r="C2922" t="s">
        <v>45</v>
      </c>
      <c r="D2922" s="1">
        <v>45630</v>
      </c>
      <c r="E2922" t="s">
        <v>8624</v>
      </c>
      <c r="F2922" t="s">
        <v>13</v>
      </c>
      <c r="G2922" t="s">
        <v>14</v>
      </c>
      <c r="H2922" t="s">
        <v>15</v>
      </c>
      <c r="I2922" t="s">
        <v>248</v>
      </c>
    </row>
    <row r="2923" spans="1:9" x14ac:dyDescent="0.3">
      <c r="A2923" t="s">
        <v>8625</v>
      </c>
      <c r="B2923" t="s">
        <v>8626</v>
      </c>
      <c r="C2923" t="s">
        <v>45</v>
      </c>
      <c r="D2923" s="1">
        <v>45630</v>
      </c>
      <c r="E2923" t="s">
        <v>8627</v>
      </c>
      <c r="F2923" t="s">
        <v>13</v>
      </c>
      <c r="G2923" t="s">
        <v>14</v>
      </c>
      <c r="H2923" t="s">
        <v>15</v>
      </c>
      <c r="I2923" t="s">
        <v>47</v>
      </c>
    </row>
    <row r="2924" spans="1:9" x14ac:dyDescent="0.3">
      <c r="A2924" t="s">
        <v>8628</v>
      </c>
      <c r="B2924" t="s">
        <v>8629</v>
      </c>
      <c r="C2924" t="s">
        <v>45</v>
      </c>
      <c r="D2924" s="1">
        <v>45631</v>
      </c>
      <c r="E2924" t="s">
        <v>8630</v>
      </c>
      <c r="F2924" t="s">
        <v>13</v>
      </c>
      <c r="G2924" t="s">
        <v>174</v>
      </c>
      <c r="H2924" t="s">
        <v>15</v>
      </c>
      <c r="I2924" t="s">
        <v>248</v>
      </c>
    </row>
    <row r="2925" spans="1:9" x14ac:dyDescent="0.3">
      <c r="A2925" t="s">
        <v>8631</v>
      </c>
      <c r="B2925" t="s">
        <v>8632</v>
      </c>
      <c r="C2925" t="s">
        <v>33</v>
      </c>
      <c r="D2925" s="1">
        <v>45631</v>
      </c>
      <c r="E2925" t="s">
        <v>8633</v>
      </c>
      <c r="F2925" t="s">
        <v>13</v>
      </c>
      <c r="G2925" t="s">
        <v>14</v>
      </c>
      <c r="H2925" t="s">
        <v>15</v>
      </c>
      <c r="I2925" t="s">
        <v>51</v>
      </c>
    </row>
    <row r="2926" spans="1:9" x14ac:dyDescent="0.3">
      <c r="A2926" t="s">
        <v>8634</v>
      </c>
      <c r="B2926" t="s">
        <v>8635</v>
      </c>
      <c r="C2926" t="s">
        <v>29</v>
      </c>
      <c r="D2926" s="1">
        <v>45631</v>
      </c>
      <c r="E2926" t="s">
        <v>8636</v>
      </c>
      <c r="F2926" t="s">
        <v>13</v>
      </c>
      <c r="G2926" t="s">
        <v>14</v>
      </c>
      <c r="H2926" t="s">
        <v>15</v>
      </c>
      <c r="I2926" t="s">
        <v>42</v>
      </c>
    </row>
    <row r="2927" spans="1:9" x14ac:dyDescent="0.3">
      <c r="A2927" t="s">
        <v>8637</v>
      </c>
      <c r="B2927" t="s">
        <v>8638</v>
      </c>
      <c r="C2927" t="s">
        <v>45</v>
      </c>
      <c r="D2927" s="1">
        <v>45632</v>
      </c>
      <c r="E2927" t="s">
        <v>8639</v>
      </c>
      <c r="F2927" t="s">
        <v>13</v>
      </c>
      <c r="G2927" t="s">
        <v>14</v>
      </c>
      <c r="H2927" t="s">
        <v>15</v>
      </c>
      <c r="I2927" t="s">
        <v>248</v>
      </c>
    </row>
    <row r="2928" spans="1:9" x14ac:dyDescent="0.3">
      <c r="A2928" t="s">
        <v>8640</v>
      </c>
      <c r="B2928" t="s">
        <v>8641</v>
      </c>
      <c r="C2928" t="s">
        <v>29</v>
      </c>
      <c r="D2928" s="1">
        <v>45632</v>
      </c>
      <c r="E2928" t="s">
        <v>8642</v>
      </c>
      <c r="F2928" t="s">
        <v>13</v>
      </c>
      <c r="G2928" t="s">
        <v>14</v>
      </c>
      <c r="H2928" t="s">
        <v>15</v>
      </c>
      <c r="I2928" t="s">
        <v>204</v>
      </c>
    </row>
    <row r="2929" spans="1:9" x14ac:dyDescent="0.3">
      <c r="A2929" t="s">
        <v>8643</v>
      </c>
      <c r="B2929" t="s">
        <v>8644</v>
      </c>
      <c r="C2929" t="s">
        <v>29</v>
      </c>
      <c r="D2929" s="1">
        <v>45632</v>
      </c>
      <c r="E2929" t="s">
        <v>8645</v>
      </c>
      <c r="F2929" t="s">
        <v>13</v>
      </c>
      <c r="G2929" t="s">
        <v>174</v>
      </c>
      <c r="H2929" t="s">
        <v>15</v>
      </c>
      <c r="I2929" t="s">
        <v>204</v>
      </c>
    </row>
    <row r="2930" spans="1:9" x14ac:dyDescent="0.3">
      <c r="A2930" t="s">
        <v>8646</v>
      </c>
      <c r="B2930" t="s">
        <v>8647</v>
      </c>
      <c r="C2930" t="s">
        <v>45</v>
      </c>
      <c r="D2930" s="1">
        <v>45632</v>
      </c>
      <c r="E2930" t="s">
        <v>8648</v>
      </c>
      <c r="F2930" t="s">
        <v>13</v>
      </c>
      <c r="G2930" t="s">
        <v>14</v>
      </c>
      <c r="H2930" t="s">
        <v>15</v>
      </c>
      <c r="I2930" t="s">
        <v>47</v>
      </c>
    </row>
    <row r="2931" spans="1:9" x14ac:dyDescent="0.3">
      <c r="A2931" t="s">
        <v>8649</v>
      </c>
      <c r="B2931" t="s">
        <v>8650</v>
      </c>
      <c r="C2931" t="s">
        <v>24</v>
      </c>
      <c r="D2931" s="1">
        <v>45633</v>
      </c>
      <c r="E2931" t="s">
        <v>8651</v>
      </c>
      <c r="F2931" t="s">
        <v>13</v>
      </c>
      <c r="G2931" t="s">
        <v>14</v>
      </c>
      <c r="H2931" t="s">
        <v>15</v>
      </c>
      <c r="I2931" t="s">
        <v>63</v>
      </c>
    </row>
    <row r="2932" spans="1:9" x14ac:dyDescent="0.3">
      <c r="A2932" t="s">
        <v>8652</v>
      </c>
      <c r="B2932" t="s">
        <v>8653</v>
      </c>
      <c r="C2932" t="s">
        <v>54</v>
      </c>
      <c r="D2932" s="1">
        <v>45634</v>
      </c>
      <c r="E2932" t="s">
        <v>8654</v>
      </c>
      <c r="F2932" t="s">
        <v>13</v>
      </c>
      <c r="G2932" t="s">
        <v>14</v>
      </c>
      <c r="H2932" t="s">
        <v>15</v>
      </c>
      <c r="I2932" t="s">
        <v>238</v>
      </c>
    </row>
    <row r="2933" spans="1:9" x14ac:dyDescent="0.3">
      <c r="A2933" t="s">
        <v>8655</v>
      </c>
      <c r="B2933" t="s">
        <v>8656</v>
      </c>
      <c r="C2933" t="s">
        <v>69</v>
      </c>
      <c r="D2933" s="1">
        <v>45634</v>
      </c>
      <c r="E2933" t="s">
        <v>8657</v>
      </c>
      <c r="F2933" t="s">
        <v>13</v>
      </c>
      <c r="G2933" t="s">
        <v>14</v>
      </c>
      <c r="H2933" t="s">
        <v>15</v>
      </c>
      <c r="I2933" t="s">
        <v>71</v>
      </c>
    </row>
    <row r="2934" spans="1:9" x14ac:dyDescent="0.3">
      <c r="A2934" t="s">
        <v>8658</v>
      </c>
      <c r="B2934" t="s">
        <v>8659</v>
      </c>
      <c r="C2934" t="s">
        <v>11</v>
      </c>
      <c r="D2934" s="1">
        <v>45634</v>
      </c>
      <c r="E2934" t="s">
        <v>8660</v>
      </c>
      <c r="F2934" t="s">
        <v>13</v>
      </c>
      <c r="G2934" t="s">
        <v>14</v>
      </c>
      <c r="H2934" t="s">
        <v>15</v>
      </c>
    </row>
    <row r="2935" spans="1:9" x14ac:dyDescent="0.3">
      <c r="A2935" t="s">
        <v>8661</v>
      </c>
      <c r="B2935" t="s">
        <v>8662</v>
      </c>
      <c r="C2935" t="s">
        <v>45</v>
      </c>
      <c r="D2935" s="1">
        <v>45634</v>
      </c>
      <c r="E2935" t="s">
        <v>8663</v>
      </c>
      <c r="F2935" t="s">
        <v>13</v>
      </c>
      <c r="G2935" t="s">
        <v>14</v>
      </c>
      <c r="H2935" t="s">
        <v>15</v>
      </c>
      <c r="I2935" t="s">
        <v>47</v>
      </c>
    </row>
    <row r="2936" spans="1:9" x14ac:dyDescent="0.3">
      <c r="A2936" t="s">
        <v>8664</v>
      </c>
      <c r="B2936" t="s">
        <v>8665</v>
      </c>
      <c r="C2936" t="s">
        <v>24</v>
      </c>
      <c r="D2936" s="1">
        <v>45634</v>
      </c>
      <c r="E2936" t="s">
        <v>8666</v>
      </c>
      <c r="F2936" t="s">
        <v>13</v>
      </c>
      <c r="G2936" t="s">
        <v>14</v>
      </c>
      <c r="H2936" t="s">
        <v>15</v>
      </c>
      <c r="I2936" t="s">
        <v>63</v>
      </c>
    </row>
    <row r="2937" spans="1:9" x14ac:dyDescent="0.3">
      <c r="A2937" t="s">
        <v>8667</v>
      </c>
      <c r="B2937" t="s">
        <v>8668</v>
      </c>
      <c r="C2937" t="s">
        <v>54</v>
      </c>
      <c r="D2937" s="1">
        <v>45635</v>
      </c>
      <c r="E2937" t="s">
        <v>8669</v>
      </c>
      <c r="F2937" t="s">
        <v>13</v>
      </c>
      <c r="G2937" t="s">
        <v>14</v>
      </c>
      <c r="H2937" t="s">
        <v>15</v>
      </c>
      <c r="I2937" t="s">
        <v>238</v>
      </c>
    </row>
    <row r="2938" spans="1:9" x14ac:dyDescent="0.3">
      <c r="A2938" t="s">
        <v>8670</v>
      </c>
      <c r="B2938" t="s">
        <v>8671</v>
      </c>
      <c r="C2938" t="s">
        <v>45</v>
      </c>
      <c r="D2938" s="1">
        <v>45635</v>
      </c>
      <c r="E2938" t="s">
        <v>8672</v>
      </c>
      <c r="F2938" t="s">
        <v>13</v>
      </c>
      <c r="G2938" t="s">
        <v>14</v>
      </c>
      <c r="H2938" t="s">
        <v>15</v>
      </c>
      <c r="I2938" t="s">
        <v>47</v>
      </c>
    </row>
    <row r="2939" spans="1:9" x14ac:dyDescent="0.3">
      <c r="A2939" t="s">
        <v>8673</v>
      </c>
      <c r="B2939" t="s">
        <v>8674</v>
      </c>
      <c r="C2939" t="s">
        <v>33</v>
      </c>
      <c r="D2939" s="1">
        <v>45635</v>
      </c>
      <c r="E2939" t="s">
        <v>8675</v>
      </c>
      <c r="F2939" t="s">
        <v>13</v>
      </c>
      <c r="G2939" t="s">
        <v>14</v>
      </c>
      <c r="H2939" t="s">
        <v>15</v>
      </c>
      <c r="I2939" t="s">
        <v>51</v>
      </c>
    </row>
    <row r="2940" spans="1:9" x14ac:dyDescent="0.3">
      <c r="A2940" t="s">
        <v>8676</v>
      </c>
      <c r="B2940" t="s">
        <v>8677</v>
      </c>
      <c r="C2940" t="s">
        <v>33</v>
      </c>
      <c r="D2940" s="1">
        <v>45635</v>
      </c>
      <c r="E2940" t="s">
        <v>8678</v>
      </c>
      <c r="F2940" t="s">
        <v>13</v>
      </c>
      <c r="G2940" t="s">
        <v>14</v>
      </c>
      <c r="H2940" t="s">
        <v>15</v>
      </c>
      <c r="I2940" t="s">
        <v>51</v>
      </c>
    </row>
    <row r="2941" spans="1:9" x14ac:dyDescent="0.3">
      <c r="A2941" t="s">
        <v>8679</v>
      </c>
      <c r="B2941" t="s">
        <v>8680</v>
      </c>
      <c r="C2941" t="s">
        <v>29</v>
      </c>
      <c r="D2941" s="1">
        <v>45637</v>
      </c>
      <c r="E2941" t="s">
        <v>8681</v>
      </c>
      <c r="F2941" t="s">
        <v>13</v>
      </c>
      <c r="G2941" t="s">
        <v>14</v>
      </c>
      <c r="H2941" t="s">
        <v>15</v>
      </c>
      <c r="I2941" t="s">
        <v>204</v>
      </c>
    </row>
    <row r="2942" spans="1:9" x14ac:dyDescent="0.3">
      <c r="A2942" t="s">
        <v>8682</v>
      </c>
      <c r="B2942" t="s">
        <v>8683</v>
      </c>
      <c r="C2942" t="s">
        <v>33</v>
      </c>
      <c r="D2942" s="1">
        <v>45637</v>
      </c>
      <c r="E2942" t="s">
        <v>8684</v>
      </c>
      <c r="F2942" t="s">
        <v>13</v>
      </c>
      <c r="G2942" t="s">
        <v>14</v>
      </c>
      <c r="H2942" t="s">
        <v>15</v>
      </c>
    </row>
    <row r="2943" spans="1:9" x14ac:dyDescent="0.3">
      <c r="A2943" t="s">
        <v>8685</v>
      </c>
      <c r="B2943" t="s">
        <v>8686</v>
      </c>
      <c r="C2943" t="s">
        <v>54</v>
      </c>
      <c r="D2943" s="1">
        <v>45637</v>
      </c>
      <c r="E2943" t="s">
        <v>8687</v>
      </c>
      <c r="F2943" t="s">
        <v>13</v>
      </c>
      <c r="G2943" t="s">
        <v>14</v>
      </c>
      <c r="H2943" t="s">
        <v>15</v>
      </c>
      <c r="I2943" t="s">
        <v>238</v>
      </c>
    </row>
    <row r="2944" spans="1:9" x14ac:dyDescent="0.3">
      <c r="A2944" t="s">
        <v>8688</v>
      </c>
      <c r="B2944" t="s">
        <v>8689</v>
      </c>
      <c r="C2944" t="s">
        <v>54</v>
      </c>
      <c r="D2944" s="1">
        <v>45637</v>
      </c>
      <c r="E2944" t="s">
        <v>8690</v>
      </c>
      <c r="F2944" t="s">
        <v>13</v>
      </c>
      <c r="G2944" t="s">
        <v>14</v>
      </c>
      <c r="H2944" t="s">
        <v>15</v>
      </c>
    </row>
    <row r="2945" spans="1:9" x14ac:dyDescent="0.3">
      <c r="A2945" t="s">
        <v>8691</v>
      </c>
      <c r="B2945" t="s">
        <v>8692</v>
      </c>
      <c r="C2945" t="s">
        <v>11</v>
      </c>
      <c r="D2945" s="1">
        <v>45638</v>
      </c>
      <c r="E2945" t="s">
        <v>8693</v>
      </c>
      <c r="F2945" t="s">
        <v>13</v>
      </c>
      <c r="G2945" t="s">
        <v>14</v>
      </c>
      <c r="H2945" t="s">
        <v>15</v>
      </c>
      <c r="I2945" t="s">
        <v>185</v>
      </c>
    </row>
    <row r="2946" spans="1:9" x14ac:dyDescent="0.3">
      <c r="A2946" t="s">
        <v>8694</v>
      </c>
      <c r="B2946" t="s">
        <v>8695</v>
      </c>
      <c r="C2946" t="s">
        <v>29</v>
      </c>
      <c r="D2946" s="1">
        <v>45638</v>
      </c>
      <c r="E2946" t="s">
        <v>8696</v>
      </c>
      <c r="F2946" t="s">
        <v>13</v>
      </c>
      <c r="G2946" t="s">
        <v>14</v>
      </c>
      <c r="H2946" t="s">
        <v>15</v>
      </c>
      <c r="I2946" t="s">
        <v>204</v>
      </c>
    </row>
    <row r="2947" spans="1:9" x14ac:dyDescent="0.3">
      <c r="A2947" t="s">
        <v>8697</v>
      </c>
      <c r="B2947" t="s">
        <v>8698</v>
      </c>
      <c r="C2947" t="s">
        <v>29</v>
      </c>
      <c r="D2947" s="1">
        <v>45638</v>
      </c>
      <c r="E2947" t="s">
        <v>8699</v>
      </c>
      <c r="F2947" t="s">
        <v>13</v>
      </c>
      <c r="G2947" t="s">
        <v>14</v>
      </c>
      <c r="H2947" t="s">
        <v>15</v>
      </c>
      <c r="I2947" t="s">
        <v>42</v>
      </c>
    </row>
    <row r="2948" spans="1:9" x14ac:dyDescent="0.3">
      <c r="A2948" t="s">
        <v>8700</v>
      </c>
      <c r="B2948" t="s">
        <v>8701</v>
      </c>
      <c r="C2948" t="s">
        <v>69</v>
      </c>
      <c r="D2948" s="1">
        <v>45638</v>
      </c>
      <c r="E2948" t="s">
        <v>8702</v>
      </c>
      <c r="F2948" t="s">
        <v>13</v>
      </c>
      <c r="G2948" t="s">
        <v>14</v>
      </c>
      <c r="H2948" t="s">
        <v>15</v>
      </c>
      <c r="I2948" t="s">
        <v>71</v>
      </c>
    </row>
    <row r="2949" spans="1:9" x14ac:dyDescent="0.3">
      <c r="A2949" t="s">
        <v>8703</v>
      </c>
      <c r="B2949" t="s">
        <v>8704</v>
      </c>
      <c r="C2949" t="s">
        <v>11</v>
      </c>
      <c r="D2949" s="1">
        <v>45638</v>
      </c>
      <c r="E2949" t="s">
        <v>8705</v>
      </c>
      <c r="F2949" t="s">
        <v>13</v>
      </c>
      <c r="G2949" t="s">
        <v>14</v>
      </c>
      <c r="H2949" t="s">
        <v>15</v>
      </c>
      <c r="I2949" t="s">
        <v>16</v>
      </c>
    </row>
    <row r="2950" spans="1:9" x14ac:dyDescent="0.3">
      <c r="A2950" t="s">
        <v>8706</v>
      </c>
      <c r="B2950" t="s">
        <v>8707</v>
      </c>
      <c r="C2950" t="s">
        <v>45</v>
      </c>
      <c r="D2950" s="1">
        <v>45639</v>
      </c>
      <c r="E2950" t="s">
        <v>8708</v>
      </c>
      <c r="F2950" t="s">
        <v>13</v>
      </c>
      <c r="G2950" t="s">
        <v>14</v>
      </c>
      <c r="H2950" t="s">
        <v>15</v>
      </c>
      <c r="I2950" t="s">
        <v>47</v>
      </c>
    </row>
    <row r="2951" spans="1:9" x14ac:dyDescent="0.3">
      <c r="A2951" t="s">
        <v>8709</v>
      </c>
      <c r="B2951" t="s">
        <v>8710</v>
      </c>
      <c r="C2951" t="s">
        <v>29</v>
      </c>
      <c r="D2951" s="1">
        <v>45639</v>
      </c>
      <c r="E2951" t="s">
        <v>8711</v>
      </c>
      <c r="F2951" t="s">
        <v>13</v>
      </c>
      <c r="G2951" t="s">
        <v>14</v>
      </c>
      <c r="H2951" t="s">
        <v>15</v>
      </c>
      <c r="I2951" t="s">
        <v>42</v>
      </c>
    </row>
    <row r="2952" spans="1:9" x14ac:dyDescent="0.3">
      <c r="A2952" t="s">
        <v>8712</v>
      </c>
      <c r="B2952" t="s">
        <v>8713</v>
      </c>
      <c r="C2952" t="s">
        <v>45</v>
      </c>
      <c r="D2952" s="1">
        <v>45641</v>
      </c>
      <c r="E2952" t="s">
        <v>8714</v>
      </c>
      <c r="F2952" t="s">
        <v>13</v>
      </c>
      <c r="G2952" t="s">
        <v>14</v>
      </c>
      <c r="H2952" t="s">
        <v>15</v>
      </c>
      <c r="I2952" t="s">
        <v>248</v>
      </c>
    </row>
    <row r="2953" spans="1:9" x14ac:dyDescent="0.3">
      <c r="A2953" t="s">
        <v>8126</v>
      </c>
      <c r="B2953" t="s">
        <v>8715</v>
      </c>
      <c r="C2953" t="s">
        <v>19</v>
      </c>
      <c r="D2953" s="1">
        <v>45642</v>
      </c>
      <c r="E2953" t="s">
        <v>8716</v>
      </c>
      <c r="F2953" t="s">
        <v>13</v>
      </c>
      <c r="G2953" t="s">
        <v>174</v>
      </c>
      <c r="H2953" t="s">
        <v>15</v>
      </c>
      <c r="I2953" t="s">
        <v>21</v>
      </c>
    </row>
    <row r="2954" spans="1:9" x14ac:dyDescent="0.3">
      <c r="A2954" t="s">
        <v>8717</v>
      </c>
      <c r="B2954" t="s">
        <v>8718</v>
      </c>
      <c r="C2954" t="s">
        <v>29</v>
      </c>
      <c r="D2954" s="1">
        <v>45642</v>
      </c>
      <c r="E2954" t="s">
        <v>8719</v>
      </c>
      <c r="F2954" t="s">
        <v>13</v>
      </c>
      <c r="G2954" t="s">
        <v>14</v>
      </c>
      <c r="H2954" t="s">
        <v>15</v>
      </c>
    </row>
    <row r="2955" spans="1:9" x14ac:dyDescent="0.3">
      <c r="A2955" t="s">
        <v>8720</v>
      </c>
      <c r="B2955" t="s">
        <v>8721</v>
      </c>
      <c r="C2955" t="s">
        <v>29</v>
      </c>
      <c r="D2955" s="1">
        <v>45642</v>
      </c>
      <c r="E2955" t="s">
        <v>8722</v>
      </c>
      <c r="F2955" t="s">
        <v>13</v>
      </c>
      <c r="G2955" t="s">
        <v>174</v>
      </c>
      <c r="H2955" t="s">
        <v>15</v>
      </c>
      <c r="I2955" t="s">
        <v>81</v>
      </c>
    </row>
    <row r="2956" spans="1:9" x14ac:dyDescent="0.3">
      <c r="A2956" t="s">
        <v>8723</v>
      </c>
      <c r="B2956" t="s">
        <v>8724</v>
      </c>
      <c r="C2956" t="s">
        <v>69</v>
      </c>
      <c r="D2956" s="1">
        <v>45643</v>
      </c>
      <c r="E2956" t="s">
        <v>8725</v>
      </c>
      <c r="F2956" t="s">
        <v>13</v>
      </c>
      <c r="G2956" t="s">
        <v>14</v>
      </c>
      <c r="H2956" t="s">
        <v>15</v>
      </c>
      <c r="I2956" t="s">
        <v>71</v>
      </c>
    </row>
    <row r="2957" spans="1:9" x14ac:dyDescent="0.3">
      <c r="A2957" t="s">
        <v>8726</v>
      </c>
      <c r="B2957" t="s">
        <v>8727</v>
      </c>
      <c r="C2957" t="s">
        <v>24</v>
      </c>
      <c r="D2957" s="1">
        <v>45644</v>
      </c>
      <c r="E2957" t="s">
        <v>8728</v>
      </c>
      <c r="F2957" t="s">
        <v>13</v>
      </c>
      <c r="G2957" t="s">
        <v>14</v>
      </c>
      <c r="H2957" t="s">
        <v>15</v>
      </c>
      <c r="I2957" t="s">
        <v>26</v>
      </c>
    </row>
    <row r="2958" spans="1:9" x14ac:dyDescent="0.3">
      <c r="A2958" t="s">
        <v>6009</v>
      </c>
      <c r="B2958" t="s">
        <v>8729</v>
      </c>
      <c r="C2958" t="s">
        <v>19</v>
      </c>
      <c r="D2958" s="1">
        <v>45644</v>
      </c>
      <c r="E2958" t="s">
        <v>8730</v>
      </c>
      <c r="F2958" t="s">
        <v>13</v>
      </c>
      <c r="G2958" t="s">
        <v>14</v>
      </c>
      <c r="H2958" t="s">
        <v>15</v>
      </c>
      <c r="I2958" t="s">
        <v>21</v>
      </c>
    </row>
    <row r="2959" spans="1:9" x14ac:dyDescent="0.3">
      <c r="A2959" t="s">
        <v>8731</v>
      </c>
      <c r="B2959" t="s">
        <v>8732</v>
      </c>
      <c r="C2959" t="s">
        <v>29</v>
      </c>
      <c r="D2959" s="1">
        <v>45645</v>
      </c>
      <c r="E2959" t="s">
        <v>8733</v>
      </c>
      <c r="F2959" t="s">
        <v>13</v>
      </c>
      <c r="G2959" t="s">
        <v>14</v>
      </c>
      <c r="H2959" t="s">
        <v>15</v>
      </c>
      <c r="I2959" t="s">
        <v>81</v>
      </c>
    </row>
    <row r="2960" spans="1:9" x14ac:dyDescent="0.3">
      <c r="A2960" t="s">
        <v>8734</v>
      </c>
      <c r="B2960" t="s">
        <v>8735</v>
      </c>
      <c r="C2960" t="s">
        <v>24</v>
      </c>
      <c r="D2960" s="1">
        <v>45645</v>
      </c>
      <c r="E2960" t="s">
        <v>8736</v>
      </c>
      <c r="F2960" t="s">
        <v>13</v>
      </c>
      <c r="G2960" t="s">
        <v>14</v>
      </c>
      <c r="H2960" t="s">
        <v>15</v>
      </c>
    </row>
    <row r="2961" spans="1:9" x14ac:dyDescent="0.3">
      <c r="A2961" t="s">
        <v>8737</v>
      </c>
      <c r="B2961" t="s">
        <v>8738</v>
      </c>
      <c r="C2961" t="s">
        <v>24</v>
      </c>
      <c r="D2961" s="1">
        <v>45645</v>
      </c>
      <c r="E2961" t="s">
        <v>8739</v>
      </c>
      <c r="F2961" t="s">
        <v>13</v>
      </c>
      <c r="G2961" t="s">
        <v>14</v>
      </c>
      <c r="H2961" t="s">
        <v>15</v>
      </c>
      <c r="I2961" t="s">
        <v>63</v>
      </c>
    </row>
    <row r="2962" spans="1:9" x14ac:dyDescent="0.3">
      <c r="A2962" t="s">
        <v>8740</v>
      </c>
      <c r="B2962" t="s">
        <v>8741</v>
      </c>
      <c r="C2962" t="s">
        <v>24</v>
      </c>
      <c r="D2962" s="1">
        <v>45645</v>
      </c>
      <c r="E2962" t="s">
        <v>8742</v>
      </c>
      <c r="F2962" t="s">
        <v>13</v>
      </c>
      <c r="G2962" t="s">
        <v>14</v>
      </c>
      <c r="H2962" t="s">
        <v>15</v>
      </c>
      <c r="I2962" t="s">
        <v>63</v>
      </c>
    </row>
    <row r="2963" spans="1:9" x14ac:dyDescent="0.3">
      <c r="A2963" t="s">
        <v>8743</v>
      </c>
      <c r="B2963" t="s">
        <v>8744</v>
      </c>
      <c r="C2963" t="s">
        <v>33</v>
      </c>
      <c r="D2963" s="1">
        <v>45645</v>
      </c>
      <c r="E2963" t="s">
        <v>8745</v>
      </c>
      <c r="F2963" t="s">
        <v>13</v>
      </c>
      <c r="G2963" t="s">
        <v>14</v>
      </c>
      <c r="H2963" t="s">
        <v>15</v>
      </c>
      <c r="I2963" t="s">
        <v>94</v>
      </c>
    </row>
    <row r="2964" spans="1:9" x14ac:dyDescent="0.3">
      <c r="A2964" t="s">
        <v>8746</v>
      </c>
      <c r="B2964" t="s">
        <v>8747</v>
      </c>
      <c r="C2964" t="s">
        <v>69</v>
      </c>
      <c r="D2964" s="1">
        <v>45646</v>
      </c>
      <c r="E2964" t="s">
        <v>8748</v>
      </c>
      <c r="F2964" t="s">
        <v>13</v>
      </c>
      <c r="G2964" t="s">
        <v>14</v>
      </c>
      <c r="H2964" t="s">
        <v>15</v>
      </c>
      <c r="I2964" t="s">
        <v>71</v>
      </c>
    </row>
    <row r="2965" spans="1:9" x14ac:dyDescent="0.3">
      <c r="A2965" t="s">
        <v>8749</v>
      </c>
      <c r="B2965" t="s">
        <v>8750</v>
      </c>
      <c r="C2965" t="s">
        <v>45</v>
      </c>
      <c r="D2965" s="1">
        <v>45646</v>
      </c>
      <c r="E2965" t="s">
        <v>8751</v>
      </c>
      <c r="F2965" t="s">
        <v>13</v>
      </c>
      <c r="G2965" t="s">
        <v>14</v>
      </c>
      <c r="H2965" t="s">
        <v>15</v>
      </c>
      <c r="I2965" t="s">
        <v>47</v>
      </c>
    </row>
    <row r="2966" spans="1:9" x14ac:dyDescent="0.3">
      <c r="A2966" t="s">
        <v>7863</v>
      </c>
      <c r="B2966" t="s">
        <v>8752</v>
      </c>
      <c r="C2966" t="s">
        <v>19</v>
      </c>
      <c r="D2966" s="1">
        <v>45646</v>
      </c>
      <c r="E2966" t="s">
        <v>8753</v>
      </c>
      <c r="F2966" t="s">
        <v>13</v>
      </c>
      <c r="G2966" t="s">
        <v>14</v>
      </c>
      <c r="H2966" t="s">
        <v>15</v>
      </c>
      <c r="I2966" t="s">
        <v>116</v>
      </c>
    </row>
    <row r="2967" spans="1:9" x14ac:dyDescent="0.3">
      <c r="A2967" t="s">
        <v>8754</v>
      </c>
      <c r="B2967" t="s">
        <v>8755</v>
      </c>
      <c r="C2967" t="s">
        <v>45</v>
      </c>
      <c r="D2967" s="1">
        <v>45647</v>
      </c>
      <c r="E2967" t="s">
        <v>8756</v>
      </c>
      <c r="F2967" t="s">
        <v>13</v>
      </c>
      <c r="G2967" t="s">
        <v>14</v>
      </c>
      <c r="H2967" t="s">
        <v>15</v>
      </c>
      <c r="I2967" t="s">
        <v>47</v>
      </c>
    </row>
    <row r="2968" spans="1:9" x14ac:dyDescent="0.3">
      <c r="A2968" t="s">
        <v>8757</v>
      </c>
      <c r="B2968" t="s">
        <v>8758</v>
      </c>
      <c r="C2968" t="s">
        <v>45</v>
      </c>
      <c r="D2968" s="1">
        <v>45647</v>
      </c>
      <c r="E2968" t="s">
        <v>8759</v>
      </c>
      <c r="F2968" t="s">
        <v>13</v>
      </c>
      <c r="G2968" t="s">
        <v>14</v>
      </c>
      <c r="H2968" t="s">
        <v>15</v>
      </c>
      <c r="I2968" t="s">
        <v>248</v>
      </c>
    </row>
    <row r="2969" spans="1:9" x14ac:dyDescent="0.3">
      <c r="A2969" t="s">
        <v>8760</v>
      </c>
      <c r="B2969" t="s">
        <v>8761</v>
      </c>
      <c r="C2969" t="s">
        <v>54</v>
      </c>
      <c r="D2969" s="1">
        <v>45648</v>
      </c>
      <c r="E2969" t="s">
        <v>8762</v>
      </c>
      <c r="F2969" t="s">
        <v>13</v>
      </c>
      <c r="G2969" t="s">
        <v>14</v>
      </c>
      <c r="H2969" t="s">
        <v>15</v>
      </c>
      <c r="I2969" t="s">
        <v>238</v>
      </c>
    </row>
    <row r="2970" spans="1:9" x14ac:dyDescent="0.3">
      <c r="A2970" t="s">
        <v>8763</v>
      </c>
      <c r="B2970" t="s">
        <v>8764</v>
      </c>
      <c r="C2970" t="s">
        <v>54</v>
      </c>
      <c r="D2970" s="1">
        <v>45648</v>
      </c>
      <c r="E2970" t="s">
        <v>8765</v>
      </c>
      <c r="F2970" t="s">
        <v>13</v>
      </c>
      <c r="G2970" t="s">
        <v>14</v>
      </c>
      <c r="H2970" t="s">
        <v>15</v>
      </c>
      <c r="I2970" t="s">
        <v>238</v>
      </c>
    </row>
    <row r="2971" spans="1:9" x14ac:dyDescent="0.3">
      <c r="A2971" t="s">
        <v>8766</v>
      </c>
      <c r="B2971" t="s">
        <v>8767</v>
      </c>
      <c r="C2971" t="s">
        <v>69</v>
      </c>
      <c r="D2971" s="1">
        <v>45648</v>
      </c>
      <c r="E2971" t="s">
        <v>8768</v>
      </c>
      <c r="F2971" t="s">
        <v>13</v>
      </c>
      <c r="G2971" t="s">
        <v>14</v>
      </c>
      <c r="H2971" t="s">
        <v>15</v>
      </c>
    </row>
    <row r="2972" spans="1:9" x14ac:dyDescent="0.3">
      <c r="A2972" t="s">
        <v>7582</v>
      </c>
      <c r="B2972" t="s">
        <v>8769</v>
      </c>
      <c r="C2972" t="s">
        <v>19</v>
      </c>
      <c r="D2972" s="1">
        <v>45648</v>
      </c>
      <c r="E2972" t="s">
        <v>8770</v>
      </c>
      <c r="F2972" t="s">
        <v>13</v>
      </c>
      <c r="G2972" t="s">
        <v>14</v>
      </c>
      <c r="H2972" t="s">
        <v>15</v>
      </c>
    </row>
    <row r="2973" spans="1:9" x14ac:dyDescent="0.3">
      <c r="A2973" t="s">
        <v>8771</v>
      </c>
      <c r="B2973" t="s">
        <v>8772</v>
      </c>
      <c r="C2973" t="s">
        <v>11</v>
      </c>
      <c r="D2973" s="1">
        <v>45648</v>
      </c>
      <c r="E2973" t="s">
        <v>8773</v>
      </c>
      <c r="F2973" t="s">
        <v>13</v>
      </c>
      <c r="G2973" t="s">
        <v>14</v>
      </c>
      <c r="H2973" t="s">
        <v>15</v>
      </c>
    </row>
    <row r="2974" spans="1:9" x14ac:dyDescent="0.3">
      <c r="A2974" t="s">
        <v>8774</v>
      </c>
      <c r="B2974" t="s">
        <v>8775</v>
      </c>
      <c r="C2974" t="s">
        <v>54</v>
      </c>
      <c r="D2974" s="1">
        <v>45648</v>
      </c>
      <c r="E2974" t="s">
        <v>8776</v>
      </c>
      <c r="F2974" t="s">
        <v>13</v>
      </c>
      <c r="G2974" t="s">
        <v>14</v>
      </c>
      <c r="H2974" t="s">
        <v>15</v>
      </c>
      <c r="I2974" t="s">
        <v>238</v>
      </c>
    </row>
    <row r="2975" spans="1:9" x14ac:dyDescent="0.3">
      <c r="A2975" t="s">
        <v>8777</v>
      </c>
      <c r="B2975" t="s">
        <v>8778</v>
      </c>
      <c r="C2975" t="s">
        <v>54</v>
      </c>
      <c r="D2975" s="1">
        <v>45649</v>
      </c>
      <c r="E2975" t="s">
        <v>8779</v>
      </c>
      <c r="F2975" t="s">
        <v>13</v>
      </c>
      <c r="G2975" t="s">
        <v>174</v>
      </c>
      <c r="H2975" t="s">
        <v>15</v>
      </c>
      <c r="I2975" t="s">
        <v>238</v>
      </c>
    </row>
    <row r="2976" spans="1:9" x14ac:dyDescent="0.3">
      <c r="A2976" t="s">
        <v>8780</v>
      </c>
      <c r="B2976" t="s">
        <v>8781</v>
      </c>
      <c r="C2976" t="s">
        <v>69</v>
      </c>
      <c r="D2976" s="1">
        <v>45649</v>
      </c>
      <c r="E2976" t="s">
        <v>8782</v>
      </c>
      <c r="F2976" t="s">
        <v>13</v>
      </c>
      <c r="G2976" t="s">
        <v>14</v>
      </c>
      <c r="H2976" t="s">
        <v>15</v>
      </c>
      <c r="I2976" t="s">
        <v>71</v>
      </c>
    </row>
    <row r="2977" spans="1:9" x14ac:dyDescent="0.3">
      <c r="A2977" t="s">
        <v>8783</v>
      </c>
      <c r="B2977" t="s">
        <v>8784</v>
      </c>
      <c r="C2977" t="s">
        <v>45</v>
      </c>
      <c r="D2977" s="1">
        <v>45649</v>
      </c>
      <c r="E2977" t="s">
        <v>8785</v>
      </c>
      <c r="F2977" t="s">
        <v>13</v>
      </c>
      <c r="G2977" t="s">
        <v>14</v>
      </c>
      <c r="H2977" t="s">
        <v>15</v>
      </c>
      <c r="I2977" t="s">
        <v>248</v>
      </c>
    </row>
    <row r="2978" spans="1:9" x14ac:dyDescent="0.3">
      <c r="A2978" t="s">
        <v>8786</v>
      </c>
      <c r="B2978" t="s">
        <v>8787</v>
      </c>
      <c r="C2978" t="s">
        <v>54</v>
      </c>
      <c r="D2978" s="1">
        <v>45650</v>
      </c>
      <c r="E2978" t="s">
        <v>8788</v>
      </c>
      <c r="F2978" t="s">
        <v>13</v>
      </c>
      <c r="G2978" t="s">
        <v>14</v>
      </c>
      <c r="H2978" t="s">
        <v>15</v>
      </c>
      <c r="I2978" t="s">
        <v>238</v>
      </c>
    </row>
    <row r="2979" spans="1:9" x14ac:dyDescent="0.3">
      <c r="A2979" t="s">
        <v>8789</v>
      </c>
      <c r="B2979" t="s">
        <v>8790</v>
      </c>
      <c r="C2979" t="s">
        <v>54</v>
      </c>
      <c r="D2979" s="1">
        <v>45651</v>
      </c>
      <c r="E2979" t="s">
        <v>8791</v>
      </c>
      <c r="F2979" t="s">
        <v>13</v>
      </c>
      <c r="G2979" t="s">
        <v>14</v>
      </c>
      <c r="H2979" t="s">
        <v>15</v>
      </c>
      <c r="I2979" t="s">
        <v>181</v>
      </c>
    </row>
    <row r="2980" spans="1:9" x14ac:dyDescent="0.3">
      <c r="A2980" t="s">
        <v>8792</v>
      </c>
      <c r="B2980" t="s">
        <v>8793</v>
      </c>
      <c r="C2980" t="s">
        <v>54</v>
      </c>
      <c r="D2980" s="1">
        <v>45651</v>
      </c>
      <c r="E2980" t="s">
        <v>8794</v>
      </c>
      <c r="F2980" t="s">
        <v>13</v>
      </c>
      <c r="G2980" t="s">
        <v>14</v>
      </c>
      <c r="H2980" t="s">
        <v>15</v>
      </c>
    </row>
    <row r="2981" spans="1:9" x14ac:dyDescent="0.3">
      <c r="A2981" t="s">
        <v>8795</v>
      </c>
      <c r="B2981" t="s">
        <v>8796</v>
      </c>
      <c r="C2981" t="s">
        <v>54</v>
      </c>
      <c r="D2981" s="1">
        <v>45651</v>
      </c>
      <c r="E2981" t="s">
        <v>8797</v>
      </c>
      <c r="F2981" t="s">
        <v>13</v>
      </c>
      <c r="G2981" t="s">
        <v>14</v>
      </c>
      <c r="H2981" t="s">
        <v>15</v>
      </c>
      <c r="I2981" t="s">
        <v>238</v>
      </c>
    </row>
    <row r="2982" spans="1:9" x14ac:dyDescent="0.3">
      <c r="A2982" t="s">
        <v>8798</v>
      </c>
      <c r="B2982" t="s">
        <v>8799</v>
      </c>
      <c r="C2982" t="s">
        <v>45</v>
      </c>
      <c r="D2982" s="1">
        <v>45651</v>
      </c>
      <c r="E2982" t="s">
        <v>8800</v>
      </c>
      <c r="F2982" t="s">
        <v>13</v>
      </c>
      <c r="G2982" t="s">
        <v>14</v>
      </c>
      <c r="H2982" t="s">
        <v>15</v>
      </c>
      <c r="I2982" t="s">
        <v>47</v>
      </c>
    </row>
    <row r="2983" spans="1:9" x14ac:dyDescent="0.3">
      <c r="A2983" t="s">
        <v>8801</v>
      </c>
      <c r="B2983" t="s">
        <v>8802</v>
      </c>
      <c r="C2983" t="s">
        <v>54</v>
      </c>
      <c r="D2983" s="1">
        <v>45652</v>
      </c>
      <c r="E2983" t="s">
        <v>8803</v>
      </c>
      <c r="F2983" t="s">
        <v>13</v>
      </c>
      <c r="G2983" t="s">
        <v>14</v>
      </c>
      <c r="H2983" t="s">
        <v>15</v>
      </c>
      <c r="I2983" t="s">
        <v>238</v>
      </c>
    </row>
    <row r="2984" spans="1:9" x14ac:dyDescent="0.3">
      <c r="A2984" t="s">
        <v>8804</v>
      </c>
      <c r="B2984" t="s">
        <v>8805</v>
      </c>
      <c r="C2984" t="s">
        <v>29</v>
      </c>
      <c r="D2984" s="1">
        <v>45653</v>
      </c>
      <c r="E2984" t="s">
        <v>8806</v>
      </c>
      <c r="F2984" t="s">
        <v>13</v>
      </c>
      <c r="G2984" t="s">
        <v>14</v>
      </c>
      <c r="H2984" t="s">
        <v>15</v>
      </c>
      <c r="I2984" t="s">
        <v>42</v>
      </c>
    </row>
    <row r="2985" spans="1:9" x14ac:dyDescent="0.3">
      <c r="A2985" t="s">
        <v>8807</v>
      </c>
      <c r="B2985" t="s">
        <v>8808</v>
      </c>
      <c r="C2985" t="s">
        <v>69</v>
      </c>
      <c r="D2985" s="1">
        <v>45653</v>
      </c>
      <c r="E2985" t="s">
        <v>8809</v>
      </c>
      <c r="F2985" t="s">
        <v>13</v>
      </c>
      <c r="G2985" t="s">
        <v>14</v>
      </c>
      <c r="H2985" t="s">
        <v>15</v>
      </c>
      <c r="I2985" t="s">
        <v>71</v>
      </c>
    </row>
    <row r="2986" spans="1:9" x14ac:dyDescent="0.3">
      <c r="A2986" t="s">
        <v>8810</v>
      </c>
      <c r="B2986" t="s">
        <v>8811</v>
      </c>
      <c r="C2986" t="s">
        <v>29</v>
      </c>
      <c r="D2986" s="1">
        <v>45653</v>
      </c>
      <c r="E2986" t="s">
        <v>8812</v>
      </c>
      <c r="F2986" t="s">
        <v>13</v>
      </c>
      <c r="G2986" t="s">
        <v>14</v>
      </c>
      <c r="H2986" t="s">
        <v>15</v>
      </c>
      <c r="I2986" t="s">
        <v>204</v>
      </c>
    </row>
    <row r="2987" spans="1:9" x14ac:dyDescent="0.3">
      <c r="A2987" t="s">
        <v>8813</v>
      </c>
      <c r="B2987" t="s">
        <v>8814</v>
      </c>
      <c r="C2987" t="s">
        <v>24</v>
      </c>
      <c r="D2987" s="1">
        <v>45653</v>
      </c>
      <c r="E2987" t="s">
        <v>8815</v>
      </c>
      <c r="F2987" t="s">
        <v>13</v>
      </c>
      <c r="G2987" t="s">
        <v>14</v>
      </c>
      <c r="H2987" t="s">
        <v>15</v>
      </c>
      <c r="I2987" t="s">
        <v>59</v>
      </c>
    </row>
    <row r="2988" spans="1:9" x14ac:dyDescent="0.3">
      <c r="A2988" t="s">
        <v>8816</v>
      </c>
      <c r="B2988" t="s">
        <v>8817</v>
      </c>
      <c r="C2988" t="s">
        <v>24</v>
      </c>
      <c r="D2988" s="1">
        <v>45653</v>
      </c>
      <c r="E2988" t="s">
        <v>8818</v>
      </c>
      <c r="F2988" t="s">
        <v>13</v>
      </c>
      <c r="G2988" t="s">
        <v>14</v>
      </c>
      <c r="H2988" t="s">
        <v>15</v>
      </c>
    </row>
    <row r="2989" spans="1:9" x14ac:dyDescent="0.3">
      <c r="A2989" t="s">
        <v>8819</v>
      </c>
      <c r="B2989" t="s">
        <v>8820</v>
      </c>
      <c r="C2989" t="s">
        <v>45</v>
      </c>
      <c r="D2989" s="1">
        <v>45654</v>
      </c>
      <c r="E2989" t="s">
        <v>8821</v>
      </c>
      <c r="F2989" t="s">
        <v>13</v>
      </c>
      <c r="G2989" t="s">
        <v>14</v>
      </c>
      <c r="H2989" t="s">
        <v>15</v>
      </c>
    </row>
    <row r="2990" spans="1:9" x14ac:dyDescent="0.3">
      <c r="A2990" t="s">
        <v>8822</v>
      </c>
      <c r="B2990" t="s">
        <v>8823</v>
      </c>
      <c r="C2990" t="s">
        <v>33</v>
      </c>
      <c r="D2990" s="1">
        <v>45654</v>
      </c>
      <c r="E2990" t="s">
        <v>8824</v>
      </c>
      <c r="F2990" t="s">
        <v>13</v>
      </c>
      <c r="G2990" t="s">
        <v>14</v>
      </c>
      <c r="H2990" t="s">
        <v>15</v>
      </c>
      <c r="I2990" t="s">
        <v>94</v>
      </c>
    </row>
    <row r="2991" spans="1:9" x14ac:dyDescent="0.3">
      <c r="A2991" t="s">
        <v>8825</v>
      </c>
      <c r="B2991" t="s">
        <v>8826</v>
      </c>
      <c r="C2991" t="s">
        <v>54</v>
      </c>
      <c r="D2991" s="1">
        <v>45654</v>
      </c>
      <c r="E2991" t="s">
        <v>8827</v>
      </c>
      <c r="F2991" t="s">
        <v>13</v>
      </c>
      <c r="G2991" t="s">
        <v>14</v>
      </c>
      <c r="H2991" t="s">
        <v>15</v>
      </c>
      <c r="I2991" t="s">
        <v>238</v>
      </c>
    </row>
    <row r="2992" spans="1:9" x14ac:dyDescent="0.3">
      <c r="A2992" t="s">
        <v>8828</v>
      </c>
      <c r="B2992" t="s">
        <v>8829</v>
      </c>
      <c r="C2992" t="s">
        <v>69</v>
      </c>
      <c r="D2992" s="1">
        <v>45654</v>
      </c>
      <c r="E2992" t="s">
        <v>8830</v>
      </c>
      <c r="F2992" t="s">
        <v>13</v>
      </c>
      <c r="G2992" t="s">
        <v>14</v>
      </c>
      <c r="H2992" t="s">
        <v>15</v>
      </c>
      <c r="I2992" t="s">
        <v>71</v>
      </c>
    </row>
    <row r="2993" spans="1:9" x14ac:dyDescent="0.3">
      <c r="A2993" t="s">
        <v>8831</v>
      </c>
      <c r="B2993" t="s">
        <v>8832</v>
      </c>
      <c r="C2993" t="s">
        <v>69</v>
      </c>
      <c r="D2993" s="1">
        <v>45654</v>
      </c>
      <c r="E2993" t="s">
        <v>8833</v>
      </c>
      <c r="F2993" t="s">
        <v>13</v>
      </c>
      <c r="G2993" t="s">
        <v>14</v>
      </c>
      <c r="H2993" t="s">
        <v>15</v>
      </c>
      <c r="I2993" t="s">
        <v>71</v>
      </c>
    </row>
    <row r="2994" spans="1:9" x14ac:dyDescent="0.3">
      <c r="A2994" t="s">
        <v>8834</v>
      </c>
      <c r="B2994" t="s">
        <v>8835</v>
      </c>
      <c r="C2994" t="s">
        <v>54</v>
      </c>
      <c r="D2994" s="1">
        <v>45654</v>
      </c>
      <c r="E2994" t="s">
        <v>8836</v>
      </c>
      <c r="F2994" t="s">
        <v>13</v>
      </c>
      <c r="G2994" t="s">
        <v>14</v>
      </c>
      <c r="H2994" t="s">
        <v>15</v>
      </c>
      <c r="I2994" t="s">
        <v>238</v>
      </c>
    </row>
    <row r="2995" spans="1:9" x14ac:dyDescent="0.3">
      <c r="A2995" t="s">
        <v>6009</v>
      </c>
      <c r="B2995" t="s">
        <v>8837</v>
      </c>
      <c r="C2995" t="s">
        <v>19</v>
      </c>
      <c r="D2995" s="1">
        <v>45654</v>
      </c>
      <c r="E2995" t="s">
        <v>8838</v>
      </c>
      <c r="F2995" t="s">
        <v>13</v>
      </c>
      <c r="G2995" t="s">
        <v>14</v>
      </c>
      <c r="H2995" t="s">
        <v>15</v>
      </c>
      <c r="I2995" t="s">
        <v>116</v>
      </c>
    </row>
    <row r="2996" spans="1:9" x14ac:dyDescent="0.3">
      <c r="A2996" t="s">
        <v>8839</v>
      </c>
      <c r="B2996" t="s">
        <v>8840</v>
      </c>
      <c r="C2996" t="s">
        <v>19</v>
      </c>
      <c r="D2996" s="1">
        <v>45655</v>
      </c>
      <c r="E2996" t="s">
        <v>8841</v>
      </c>
      <c r="F2996" t="s">
        <v>13</v>
      </c>
      <c r="G2996" t="s">
        <v>14</v>
      </c>
      <c r="H2996" t="s">
        <v>15</v>
      </c>
    </row>
    <row r="2997" spans="1:9" x14ac:dyDescent="0.3">
      <c r="A2997" t="s">
        <v>6715</v>
      </c>
      <c r="B2997" t="s">
        <v>8842</v>
      </c>
      <c r="C2997" t="s">
        <v>19</v>
      </c>
      <c r="D2997" s="1">
        <v>45655</v>
      </c>
      <c r="E2997" t="s">
        <v>8843</v>
      </c>
      <c r="F2997" t="s">
        <v>13</v>
      </c>
      <c r="G2997" t="s">
        <v>14</v>
      </c>
      <c r="H2997" t="s">
        <v>15</v>
      </c>
      <c r="I2997" t="s">
        <v>21</v>
      </c>
    </row>
    <row r="2998" spans="1:9" x14ac:dyDescent="0.3">
      <c r="A2998" t="s">
        <v>8844</v>
      </c>
      <c r="B2998" t="s">
        <v>8845</v>
      </c>
      <c r="C2998" t="s">
        <v>19</v>
      </c>
      <c r="D2998" s="1">
        <v>45655</v>
      </c>
      <c r="E2998" t="s">
        <v>8846</v>
      </c>
      <c r="F2998" t="s">
        <v>13</v>
      </c>
      <c r="G2998" t="s">
        <v>174</v>
      </c>
      <c r="H2998" t="s">
        <v>15</v>
      </c>
      <c r="I2998" t="s">
        <v>116</v>
      </c>
    </row>
    <row r="2999" spans="1:9" x14ac:dyDescent="0.3">
      <c r="A2999" t="s">
        <v>8847</v>
      </c>
      <c r="C2999" t="s">
        <v>54</v>
      </c>
      <c r="D2999" s="1">
        <v>45657</v>
      </c>
      <c r="E2999" t="s">
        <v>8848</v>
      </c>
      <c r="F2999" t="s">
        <v>8849</v>
      </c>
      <c r="G2999" t="s">
        <v>14</v>
      </c>
      <c r="H2999" t="s">
        <v>15</v>
      </c>
      <c r="I2999" t="s">
        <v>238</v>
      </c>
    </row>
    <row r="3000" spans="1:9" x14ac:dyDescent="0.3">
      <c r="A3000" t="s">
        <v>8850</v>
      </c>
      <c r="C3000" t="s">
        <v>29</v>
      </c>
      <c r="D3000" s="1">
        <v>45657</v>
      </c>
      <c r="E3000" t="s">
        <v>8851</v>
      </c>
      <c r="F3000" t="s">
        <v>8849</v>
      </c>
      <c r="G3000" t="s">
        <v>14</v>
      </c>
      <c r="H3000" t="s">
        <v>15</v>
      </c>
      <c r="I3000" t="s">
        <v>204</v>
      </c>
    </row>
    <row r="3001" spans="1:9" x14ac:dyDescent="0.3">
      <c r="A3001" t="s">
        <v>8852</v>
      </c>
      <c r="C3001" t="s">
        <v>69</v>
      </c>
      <c r="D3001" s="1">
        <v>45657</v>
      </c>
      <c r="E3001" t="s">
        <v>8853</v>
      </c>
      <c r="F3001" t="s">
        <v>8849</v>
      </c>
      <c r="G3001" t="s">
        <v>14</v>
      </c>
      <c r="H3001" t="s">
        <v>15</v>
      </c>
      <c r="I3001" t="s">
        <v>71</v>
      </c>
    </row>
    <row r="3002" spans="1:9" x14ac:dyDescent="0.3">
      <c r="A3002" t="s">
        <v>8854</v>
      </c>
      <c r="C3002" t="s">
        <v>11</v>
      </c>
      <c r="D3002" s="1">
        <v>45657</v>
      </c>
      <c r="E3002" t="s">
        <v>8855</v>
      </c>
      <c r="F3002" t="s">
        <v>8849</v>
      </c>
      <c r="G3002" t="s">
        <v>14</v>
      </c>
      <c r="H3002" t="s">
        <v>15</v>
      </c>
      <c r="I3002" t="s">
        <v>38</v>
      </c>
    </row>
    <row r="3003" spans="1:9" x14ac:dyDescent="0.3">
      <c r="A3003" t="s">
        <v>8856</v>
      </c>
      <c r="B3003" t="s">
        <v>8857</v>
      </c>
      <c r="C3003" t="s">
        <v>24</v>
      </c>
      <c r="D3003" s="1">
        <v>45657</v>
      </c>
      <c r="E3003" t="s">
        <v>8858</v>
      </c>
      <c r="F3003" t="s">
        <v>13</v>
      </c>
      <c r="G3003" t="s">
        <v>14</v>
      </c>
      <c r="H3003" t="s">
        <v>15</v>
      </c>
      <c r="I3003" t="s">
        <v>59</v>
      </c>
    </row>
    <row r="3004" spans="1:9" x14ac:dyDescent="0.3">
      <c r="A3004" t="s">
        <v>8859</v>
      </c>
      <c r="B3004" t="s">
        <v>8860</v>
      </c>
      <c r="C3004" t="s">
        <v>24</v>
      </c>
      <c r="D3004" s="1">
        <v>45657</v>
      </c>
      <c r="E3004" t="s">
        <v>8861</v>
      </c>
      <c r="F3004" t="s">
        <v>13</v>
      </c>
      <c r="G3004" t="s">
        <v>14</v>
      </c>
      <c r="H3004" t="s">
        <v>15</v>
      </c>
      <c r="I3004" t="s">
        <v>63</v>
      </c>
    </row>
    <row r="3005" spans="1:9" x14ac:dyDescent="0.3">
      <c r="A3005" t="s">
        <v>8862</v>
      </c>
      <c r="B3005" t="s">
        <v>8863</v>
      </c>
      <c r="C3005" t="s">
        <v>69</v>
      </c>
      <c r="D3005" s="1">
        <v>45657</v>
      </c>
      <c r="E3005" t="s">
        <v>8864</v>
      </c>
      <c r="F3005" t="s">
        <v>13</v>
      </c>
      <c r="G3005" t="s">
        <v>174</v>
      </c>
      <c r="H3005" t="s">
        <v>15</v>
      </c>
      <c r="I3005" t="s">
        <v>71</v>
      </c>
    </row>
    <row r="3006" spans="1:9" x14ac:dyDescent="0.3">
      <c r="A3006" t="s">
        <v>8865</v>
      </c>
      <c r="C3006" t="s">
        <v>33</v>
      </c>
      <c r="D3006" s="1">
        <v>45657</v>
      </c>
      <c r="E3006" t="s">
        <v>8866</v>
      </c>
      <c r="F3006" t="s">
        <v>8849</v>
      </c>
      <c r="G3006" t="s">
        <v>14</v>
      </c>
      <c r="H3006" t="s">
        <v>15</v>
      </c>
      <c r="I3006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9D0C-054C-4D93-AED5-7C56E4C21DE8}">
  <dimension ref="A1:P3006"/>
  <sheetViews>
    <sheetView topLeftCell="A2" workbookViewId="0">
      <selection activeCell="D17" sqref="D17"/>
    </sheetView>
  </sheetViews>
  <sheetFormatPr defaultRowHeight="14.4" x14ac:dyDescent="0.3"/>
  <cols>
    <col min="1" max="1" width="29" customWidth="1"/>
    <col min="2" max="3" width="23.44140625" customWidth="1"/>
    <col min="4" max="4" width="22.33203125" customWidth="1"/>
    <col min="5" max="5" width="25.33203125" customWidth="1"/>
    <col min="6" max="6" width="23.21875" customWidth="1"/>
    <col min="7" max="7" width="17.6640625" customWidth="1"/>
    <col min="8" max="8" width="20.88671875" customWidth="1"/>
    <col min="9" max="9" width="21.109375" customWidth="1"/>
    <col min="10" max="10" width="24.6640625" bestFit="1" customWidth="1"/>
    <col min="11" max="11" width="14.33203125" customWidth="1"/>
    <col min="12" max="12" width="17" bestFit="1" customWidth="1"/>
    <col min="13" max="13" width="13.6640625" customWidth="1"/>
    <col min="15" max="15" width="13.77734375" bestFit="1" customWidth="1"/>
    <col min="16" max="16" width="20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8868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8867</v>
      </c>
      <c r="K1" s="2" t="s">
        <v>8869</v>
      </c>
      <c r="L1" s="2" t="s">
        <v>8870</v>
      </c>
      <c r="M1" s="2" t="s">
        <v>8871</v>
      </c>
      <c r="N1" s="2" t="s">
        <v>8872</v>
      </c>
      <c r="O1" s="2" t="s">
        <v>8873</v>
      </c>
      <c r="P1" s="2" t="s">
        <v>8874</v>
      </c>
    </row>
    <row r="2" spans="1:16" x14ac:dyDescent="0.3">
      <c r="A2" s="2" t="str">
        <f>TRIM(Table1[[#This Row],[Numer_FV]])</f>
        <v>FV/POL/31890/2022</v>
      </c>
      <c r="B2" s="2" t="str">
        <f>TRIM(Table1[[#This Row],[Numer_PZ]])</f>
        <v>PZ/800000</v>
      </c>
      <c r="C2" s="2" t="str">
        <f>TRIM(Table1[[#This Row],[Dostawca]])</f>
        <v>Polmedica</v>
      </c>
      <c r="D2" s="3">
        <v>44562</v>
      </c>
      <c r="E2" s="4" t="s">
        <v>12</v>
      </c>
      <c r="F2" s="2" t="str">
        <f>TRIM(Table1[[#This Row],[Status]])</f>
        <v>Zaakceptowana</v>
      </c>
      <c r="G2" s="2" t="str">
        <f>TRIM(Table1[[#This Row],[Typ]])</f>
        <v>Faktura VAT</v>
      </c>
      <c r="H2" s="2" t="str">
        <f>TRIM(Table1[[#This Row],[Magazyn]])</f>
        <v>Apteka Szpitalna</v>
      </c>
      <c r="I2" s="2" t="str">
        <f>TRIM(Table1[[#This Row],[Umowa]])</f>
        <v>UM-POL-01</v>
      </c>
      <c r="J2" s="2" t="b">
        <f>ISTEXT(Table14[[#This Row],[Data_Wystawienia]])</f>
        <v>0</v>
      </c>
      <c r="K2" s="2">
        <f>VALUE(SUBSTITUTE(Table14[[#This Row],[Wartość]],".",","))</f>
        <v>19866.669999999998</v>
      </c>
      <c r="L2" t="str">
        <f>IF(OR(AND(Table14[[#This Row],[Typ]]="Korekta FV",Table14[[#This Row],[Wartość_clean]]&gt;0),
AND(Table14[[#This Row],[Typ]]="Faktura VAT",Table14[[#This Row],[Wartość_clean]]&lt;0)),"Błąd znaku","OK")</f>
        <v>OK</v>
      </c>
      <c r="M2" s="2" t="str">
        <f>IF(Table14[[#This Row],[Umowa]]="","Poza umową","Z umowy")</f>
        <v>Z umowy</v>
      </c>
      <c r="N2" s="2">
        <f>YEAR(Table14[[#This Row],[Data_Wystawienia]])</f>
        <v>2022</v>
      </c>
      <c r="O2" t="str">
        <f>TEXT(Table14[[#This Row],[Data_Wystawienia]],"rrrr-mm")</f>
        <v>2022-01</v>
      </c>
      <c r="P2" s="2">
        <v>1</v>
      </c>
    </row>
    <row r="3" spans="1:16" x14ac:dyDescent="0.3">
      <c r="A3" s="2" t="str">
        <f>TRIM(Table1[[#This Row],[Numer_FV]])</f>
        <v>FV/72/SAL/22</v>
      </c>
      <c r="B3" s="2" t="str">
        <f>TRIM(Table1[[#This Row],[Numer_PZ]])</f>
        <v>PZ/800001</v>
      </c>
      <c r="C3" s="2" t="str">
        <f>TRIM(Table1[[#This Row],[Dostawca]])</f>
        <v>SalusHurt</v>
      </c>
      <c r="D3" s="3">
        <v>44562</v>
      </c>
      <c r="E3" s="4" t="s">
        <v>20</v>
      </c>
      <c r="F3" s="2" t="str">
        <f>TRIM(Table1[[#This Row],[Status]])</f>
        <v>Zaakceptowana</v>
      </c>
      <c r="G3" s="2" t="str">
        <f>TRIM(Table1[[#This Row],[Typ]])</f>
        <v>Faktura VAT</v>
      </c>
      <c r="H3" s="2" t="str">
        <f>TRIM(Table1[[#This Row],[Magazyn]])</f>
        <v>Apteka Szpitalna</v>
      </c>
      <c r="I3" s="2" t="str">
        <f>TRIM(Table1[[#This Row],[Umowa]])</f>
        <v>UM-SAL-01</v>
      </c>
      <c r="J3" s="2" t="b">
        <f>ISTEXT(Table14[[#This Row],[Data_Wystawienia]])</f>
        <v>0</v>
      </c>
      <c r="K3" s="2">
        <f>VALUE(SUBSTITUTE(Table14[[#This Row],[Wartość]],".",","))</f>
        <v>11453.22</v>
      </c>
      <c r="L3" t="str">
        <f>IF(OR(AND(Table14[[#This Row],[Typ]]="Korekta FV",Table14[[#This Row],[Wartość_clean]]&gt;0),
AND(Table14[[#This Row],[Typ]]="Faktura VAT",Table14[[#This Row],[Wartość_clean]]&lt;0)),"Błąd znaku","OK")</f>
        <v>OK</v>
      </c>
      <c r="M3" s="2" t="str">
        <f>IF(Table14[[#This Row],[Umowa]]="","Poza umową","Z umowy")</f>
        <v>Z umowy</v>
      </c>
      <c r="N3" s="2">
        <f>YEAR(Table14[[#This Row],[Data_Wystawienia]])</f>
        <v>2022</v>
      </c>
      <c r="O3" s="2" t="str">
        <f>TEXT(Table14[[#This Row],[Data_Wystawienia]],"rrrr-mm")</f>
        <v>2022-01</v>
      </c>
      <c r="P3" s="2">
        <v>1</v>
      </c>
    </row>
    <row r="4" spans="1:16" x14ac:dyDescent="0.3">
      <c r="A4" s="2" t="str">
        <f>TRIM(Table1[[#This Row],[Numer_FV]])</f>
        <v>FV/9768/NOVA/22</v>
      </c>
      <c r="B4" s="2" t="str">
        <f>TRIM(Table1[[#This Row],[Numer_PZ]])</f>
        <v>PZ/800002</v>
      </c>
      <c r="C4" s="2" t="str">
        <f>TRIM(Table1[[#This Row],[Dostawca]])</f>
        <v>NovaLek</v>
      </c>
      <c r="D4" s="3">
        <v>44563</v>
      </c>
      <c r="E4" s="4" t="s">
        <v>25</v>
      </c>
      <c r="F4" s="2" t="str">
        <f>TRIM(Table1[[#This Row],[Status]])</f>
        <v>Zaakceptowana</v>
      </c>
      <c r="G4" s="2" t="str">
        <f>TRIM(Table1[[#This Row],[Typ]])</f>
        <v>Faktura VAT</v>
      </c>
      <c r="H4" s="2" t="str">
        <f>TRIM(Table1[[#This Row],[Magazyn]])</f>
        <v>Apteka Szpitalna</v>
      </c>
      <c r="I4" s="2" t="str">
        <f>TRIM(Table1[[#This Row],[Umowa]])</f>
        <v>UM-NOV-01</v>
      </c>
      <c r="J4" s="2" t="b">
        <f>ISTEXT(Table14[[#This Row],[Data_Wystawienia]])</f>
        <v>0</v>
      </c>
      <c r="K4" s="2">
        <f>VALUE(SUBSTITUTE(Table14[[#This Row],[Wartość]],".",","))</f>
        <v>16866.91</v>
      </c>
      <c r="L4" t="str">
        <f>IF(OR(AND(Table14[[#This Row],[Typ]]="Korekta FV",Table14[[#This Row],[Wartość_clean]]&gt;0),
AND(Table14[[#This Row],[Typ]]="Faktura VAT",Table14[[#This Row],[Wartość_clean]]&lt;0)),"Błąd znaku","OK")</f>
        <v>OK</v>
      </c>
      <c r="M4" s="2" t="str">
        <f>IF(Table14[[#This Row],[Umowa]]="","Poza umową","Z umowy")</f>
        <v>Z umowy</v>
      </c>
      <c r="N4" s="2">
        <f>YEAR(Table14[[#This Row],[Data_Wystawienia]])</f>
        <v>2022</v>
      </c>
      <c r="O4" s="2" t="str">
        <f>TEXT(Table14[[#This Row],[Data_Wystawienia]],"rrrr-mm")</f>
        <v>2022-01</v>
      </c>
      <c r="P4" s="2">
        <v>1</v>
      </c>
    </row>
    <row r="5" spans="1:16" x14ac:dyDescent="0.3">
      <c r="A5" s="2" t="str">
        <f>TRIM(Table1[[#This Row],[Numer_FV]])</f>
        <v>FV/7372HM/22</v>
      </c>
      <c r="B5" s="2" t="str">
        <f>TRIM(Table1[[#This Row],[Numer_PZ]])</f>
        <v>PZ/800003</v>
      </c>
      <c r="C5" s="2" t="str">
        <f>TRIM(Table1[[#This Row],[Dostawca]])</f>
        <v>HurtMedix</v>
      </c>
      <c r="D5" s="3">
        <v>44563</v>
      </c>
      <c r="E5" s="4" t="s">
        <v>30</v>
      </c>
      <c r="F5" s="2" t="str">
        <f>TRIM(Table1[[#This Row],[Status]])</f>
        <v>Zaakceptowana</v>
      </c>
      <c r="G5" s="2" t="str">
        <f>TRIM(Table1[[#This Row],[Typ]])</f>
        <v>Faktura VAT</v>
      </c>
      <c r="H5" s="2" t="str">
        <f>TRIM(Table1[[#This Row],[Magazyn]])</f>
        <v>Apteka Szpitalna</v>
      </c>
      <c r="I5" s="2" t="str">
        <f>TRIM(Table1[[#This Row],[Umowa]])</f>
        <v/>
      </c>
      <c r="J5" s="2" t="b">
        <f>ISTEXT(Table14[[#This Row],[Data_Wystawienia]])</f>
        <v>0</v>
      </c>
      <c r="K5" s="2">
        <f>VALUE(SUBSTITUTE(Table14[[#This Row],[Wartość]],".",","))</f>
        <v>13572.29</v>
      </c>
      <c r="L5" t="str">
        <f>IF(OR(AND(Table14[[#This Row],[Typ]]="Korekta FV",Table14[[#This Row],[Wartość_clean]]&gt;0),
AND(Table14[[#This Row],[Typ]]="Faktura VAT",Table14[[#This Row],[Wartość_clean]]&lt;0)),"Błąd znaku","OK")</f>
        <v>OK</v>
      </c>
      <c r="M5" s="2" t="str">
        <f>IF(Table14[[#This Row],[Umowa]]="","Poza umową","Z umowy")</f>
        <v>Poza umową</v>
      </c>
      <c r="N5" s="2">
        <f>YEAR(Table14[[#This Row],[Data_Wystawienia]])</f>
        <v>2022</v>
      </c>
      <c r="O5" s="2" t="str">
        <f>TEXT(Table14[[#This Row],[Data_Wystawienia]],"rrrr-mm")</f>
        <v>2022-01</v>
      </c>
      <c r="P5" s="2">
        <v>1</v>
      </c>
    </row>
    <row r="6" spans="1:16" x14ac:dyDescent="0.3">
      <c r="A6" s="2" t="str">
        <f>TRIM(Table1[[#This Row],[Numer_FV]])</f>
        <v>FV/CENFA/196164/22</v>
      </c>
      <c r="B6" s="2" t="str">
        <f>TRIM(Table1[[#This Row],[Numer_PZ]])</f>
        <v>PZ/800004</v>
      </c>
      <c r="C6" s="2" t="str">
        <f>TRIM(Table1[[#This Row],[Dostawca]])</f>
        <v>CentrumFarm</v>
      </c>
      <c r="D6" s="3">
        <v>44563</v>
      </c>
      <c r="E6" s="4" t="s">
        <v>34</v>
      </c>
      <c r="F6" s="2" t="str">
        <f>TRIM(Table1[[#This Row],[Status]])</f>
        <v>Zaakceptowana</v>
      </c>
      <c r="G6" s="2" t="str">
        <f>TRIM(Table1[[#This Row],[Typ]])</f>
        <v>Faktura VAT</v>
      </c>
      <c r="H6" s="2" t="str">
        <f>TRIM(Table1[[#This Row],[Magazyn]])</f>
        <v>Apteka Szpitalna</v>
      </c>
      <c r="I6" s="2" t="str">
        <f>TRIM(Table1[[#This Row],[Umowa]])</f>
        <v/>
      </c>
      <c r="J6" s="2" t="b">
        <f>ISTEXT(Table14[[#This Row],[Data_Wystawienia]])</f>
        <v>0</v>
      </c>
      <c r="K6" s="2">
        <f>VALUE(SUBSTITUTE(Table14[[#This Row],[Wartość]],".",","))</f>
        <v>14077.57</v>
      </c>
      <c r="L6" t="str">
        <f>IF(OR(AND(Table14[[#This Row],[Typ]]="Korekta FV",Table14[[#This Row],[Wartość_clean]]&gt;0),
AND(Table14[[#This Row],[Typ]]="Faktura VAT",Table14[[#This Row],[Wartość_clean]]&lt;0)),"Błąd znaku","OK")</f>
        <v>OK</v>
      </c>
      <c r="M6" s="2" t="str">
        <f>IF(Table14[[#This Row],[Umowa]]="","Poza umową","Z umowy")</f>
        <v>Poza umową</v>
      </c>
      <c r="N6" s="2">
        <f>YEAR(Table14[[#This Row],[Data_Wystawienia]])</f>
        <v>2022</v>
      </c>
      <c r="O6" s="2" t="str">
        <f>TEXT(Table14[[#This Row],[Data_Wystawienia]],"rrrr-mm")</f>
        <v>2022-01</v>
      </c>
      <c r="P6" s="2">
        <v>1</v>
      </c>
    </row>
    <row r="7" spans="1:16" x14ac:dyDescent="0.3">
      <c r="A7" s="2" t="str">
        <f>TRIM(Table1[[#This Row],[Numer_FV]])</f>
        <v>FV/POL/51493/2022</v>
      </c>
      <c r="B7" s="2" t="str">
        <f>TRIM(Table1[[#This Row],[Numer_PZ]])</f>
        <v>PZ/800005</v>
      </c>
      <c r="C7" s="2" t="str">
        <f>TRIM(Table1[[#This Row],[Dostawca]])</f>
        <v>Polmedica</v>
      </c>
      <c r="D7" s="3">
        <v>44563</v>
      </c>
      <c r="E7" s="4" t="s">
        <v>37</v>
      </c>
      <c r="F7" s="2" t="str">
        <f>TRIM(Table1[[#This Row],[Status]])</f>
        <v>Zaakceptowana</v>
      </c>
      <c r="G7" s="2" t="str">
        <f>TRIM(Table1[[#This Row],[Typ]])</f>
        <v>Faktura VAT</v>
      </c>
      <c r="H7" s="2" t="str">
        <f>TRIM(Table1[[#This Row],[Magazyn]])</f>
        <v>Apteka Szpitalna</v>
      </c>
      <c r="I7" s="2" t="str">
        <f>TRIM(Table1[[#This Row],[Umowa]])</f>
        <v>UM-POL-02</v>
      </c>
      <c r="J7" s="2" t="b">
        <f>ISTEXT(Table14[[#This Row],[Data_Wystawienia]])</f>
        <v>0</v>
      </c>
      <c r="K7" s="2">
        <f>VALUE(SUBSTITUTE(Table14[[#This Row],[Wartość]],".",","))</f>
        <v>15801.37</v>
      </c>
      <c r="L7" t="str">
        <f>IF(OR(AND(Table14[[#This Row],[Typ]]="Korekta FV",Table14[[#This Row],[Wartość_clean]]&gt;0),
AND(Table14[[#This Row],[Typ]]="Faktura VAT",Table14[[#This Row],[Wartość_clean]]&lt;0)),"Błąd znaku","OK")</f>
        <v>OK</v>
      </c>
      <c r="M7" s="2" t="str">
        <f>IF(Table14[[#This Row],[Umowa]]="","Poza umową","Z umowy")</f>
        <v>Z umowy</v>
      </c>
      <c r="N7" s="2">
        <f>YEAR(Table14[[#This Row],[Data_Wystawienia]])</f>
        <v>2022</v>
      </c>
      <c r="O7" s="2" t="str">
        <f>TEXT(Table14[[#This Row],[Data_Wystawienia]],"rrrr-mm")</f>
        <v>2022-01</v>
      </c>
      <c r="P7" s="2">
        <v>1</v>
      </c>
    </row>
    <row r="8" spans="1:16" x14ac:dyDescent="0.3">
      <c r="A8" s="2" t="str">
        <f>TRIM(Table1[[#This Row],[Numer_FV]])</f>
        <v>FV/3800HM/22</v>
      </c>
      <c r="B8" s="2" t="str">
        <f>TRIM(Table1[[#This Row],[Numer_PZ]])</f>
        <v>PZ/800006</v>
      </c>
      <c r="C8" s="2" t="str">
        <f>TRIM(Table1[[#This Row],[Dostawca]])</f>
        <v>HurtMedix</v>
      </c>
      <c r="D8" s="3">
        <v>44563</v>
      </c>
      <c r="E8" s="4" t="s">
        <v>41</v>
      </c>
      <c r="F8" s="2" t="str">
        <f>TRIM(Table1[[#This Row],[Status]])</f>
        <v>Zaakceptowana</v>
      </c>
      <c r="G8" s="2" t="str">
        <f>TRIM(Table1[[#This Row],[Typ]])</f>
        <v>Faktura VAT</v>
      </c>
      <c r="H8" s="2" t="str">
        <f>TRIM(Table1[[#This Row],[Magazyn]])</f>
        <v>Apteka Szpitalna</v>
      </c>
      <c r="I8" s="2" t="str">
        <f>TRIM(Table1[[#This Row],[Umowa]])</f>
        <v>UM-HUR-03</v>
      </c>
      <c r="J8" s="2" t="b">
        <f>ISTEXT(Table14[[#This Row],[Data_Wystawienia]])</f>
        <v>0</v>
      </c>
      <c r="K8" s="2">
        <f>VALUE(SUBSTITUTE(Table14[[#This Row],[Wartość]],".",","))</f>
        <v>18943.96</v>
      </c>
      <c r="L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" s="2" t="str">
        <f>IF(Table14[[#This Row],[Umowa]]="","Poza umową","Z umowy")</f>
        <v>Z umowy</v>
      </c>
      <c r="N8" s="2">
        <f>YEAR(Table14[[#This Row],[Data_Wystawienia]])</f>
        <v>2022</v>
      </c>
      <c r="O8" s="2" t="str">
        <f>TEXT(Table14[[#This Row],[Data_Wystawienia]],"rrrr-mm")</f>
        <v>2022-01</v>
      </c>
      <c r="P8" s="2">
        <v>1</v>
      </c>
    </row>
    <row r="9" spans="1:16" x14ac:dyDescent="0.3">
      <c r="A9" s="2" t="str">
        <f>TRIM(Table1[[#This Row],[Numer_FV]])</f>
        <v>FV/M/4805/P/22</v>
      </c>
      <c r="B9" s="2" t="str">
        <f>TRIM(Table1[[#This Row],[Numer_PZ]])</f>
        <v>PZ/800007</v>
      </c>
      <c r="C9" s="2" t="str">
        <f>TRIM(Table1[[#This Row],[Dostawca]])</f>
        <v>MedicaPharm</v>
      </c>
      <c r="D9" s="3">
        <v>44564</v>
      </c>
      <c r="E9" s="4" t="s">
        <v>46</v>
      </c>
      <c r="F9" s="2" t="str">
        <f>TRIM(Table1[[#This Row],[Status]])</f>
        <v>Zaakceptowana</v>
      </c>
      <c r="G9" s="2" t="str">
        <f>TRIM(Table1[[#This Row],[Typ]])</f>
        <v>Faktura VAT</v>
      </c>
      <c r="H9" s="2" t="str">
        <f>TRIM(Table1[[#This Row],[Magazyn]])</f>
        <v>Apteka Szpitalna</v>
      </c>
      <c r="I9" s="2" t="str">
        <f>TRIM(Table1[[#This Row],[Umowa]])</f>
        <v>UM-MED-01</v>
      </c>
      <c r="J9" s="2" t="b">
        <f>ISTEXT(Table14[[#This Row],[Data_Wystawienia]])</f>
        <v>0</v>
      </c>
      <c r="K9" s="2">
        <f>VALUE(SUBSTITUTE(Table14[[#This Row],[Wartość]],".",","))</f>
        <v>18136.810000000001</v>
      </c>
      <c r="L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" s="2" t="str">
        <f>IF(Table14[[#This Row],[Umowa]]="","Poza umową","Z umowy")</f>
        <v>Z umowy</v>
      </c>
      <c r="N9" s="2">
        <f>YEAR(Table14[[#This Row],[Data_Wystawienia]])</f>
        <v>2022</v>
      </c>
      <c r="O9" s="2" t="str">
        <f>TEXT(Table14[[#This Row],[Data_Wystawienia]],"rrrr-mm")</f>
        <v>2022-01</v>
      </c>
      <c r="P9" s="2">
        <v>1</v>
      </c>
    </row>
    <row r="10" spans="1:16" x14ac:dyDescent="0.3">
      <c r="A10" s="2" t="str">
        <f>TRIM(Table1[[#This Row],[Numer_FV]])</f>
        <v>FV/CENFA/130729/22</v>
      </c>
      <c r="B10" s="2" t="str">
        <f>TRIM(Table1[[#This Row],[Numer_PZ]])</f>
        <v>PZ/800008</v>
      </c>
      <c r="C10" s="2" t="str">
        <f>TRIM(Table1[[#This Row],[Dostawca]])</f>
        <v>CentrumFarm</v>
      </c>
      <c r="D10" s="3">
        <v>44564</v>
      </c>
      <c r="E10" s="4" t="s">
        <v>50</v>
      </c>
      <c r="F10" s="2" t="str">
        <f>TRIM(Table1[[#This Row],[Status]])</f>
        <v>Zaakceptowana</v>
      </c>
      <c r="G10" s="2" t="str">
        <f>TRIM(Table1[[#This Row],[Typ]])</f>
        <v>Faktura VAT</v>
      </c>
      <c r="H10" s="2" t="str">
        <f>TRIM(Table1[[#This Row],[Magazyn]])</f>
        <v>Apteka Szpitalna</v>
      </c>
      <c r="I10" s="2" t="str">
        <f>TRIM(Table1[[#This Row],[Umowa]])</f>
        <v>UM-CEN-01</v>
      </c>
      <c r="J10" s="2" t="b">
        <f>ISTEXT(Table14[[#This Row],[Data_Wystawienia]])</f>
        <v>0</v>
      </c>
      <c r="K10" s="2">
        <f>VALUE(SUBSTITUTE(Table14[[#This Row],[Wartość]],".",","))</f>
        <v>10796.28</v>
      </c>
      <c r="L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" s="2" t="str">
        <f>IF(Table14[[#This Row],[Umowa]]="","Poza umową","Z umowy")</f>
        <v>Z umowy</v>
      </c>
      <c r="N10" s="2">
        <f>YEAR(Table14[[#This Row],[Data_Wystawienia]])</f>
        <v>2022</v>
      </c>
      <c r="O10" s="2" t="str">
        <f>TEXT(Table14[[#This Row],[Data_Wystawienia]],"rrrr-mm")</f>
        <v>2022-01</v>
      </c>
      <c r="P10" s="2">
        <v>1</v>
      </c>
    </row>
    <row r="11" spans="1:16" x14ac:dyDescent="0.3">
      <c r="A11" s="2" t="str">
        <f>TRIM(Table1[[#This Row],[Numer_FV]])</f>
        <v>FV/70/PP/1925/22</v>
      </c>
      <c r="B11" s="2" t="str">
        <f>TRIM(Table1[[#This Row],[Numer_PZ]])</f>
        <v>PZ/800009</v>
      </c>
      <c r="C11" s="2" t="str">
        <f>TRIM(Table1[[#This Row],[Dostawca]])</f>
        <v>PharmaPlus</v>
      </c>
      <c r="D11" s="3">
        <v>44564</v>
      </c>
      <c r="E11" s="4" t="s">
        <v>55</v>
      </c>
      <c r="F11" s="2" t="str">
        <f>TRIM(Table1[[#This Row],[Status]])</f>
        <v>Zaakceptowana</v>
      </c>
      <c r="G11" s="2" t="str">
        <f>TRIM(Table1[[#This Row],[Typ]])</f>
        <v>Faktura VAT</v>
      </c>
      <c r="H11" s="2" t="str">
        <f>TRIM(Table1[[#This Row],[Magazyn]])</f>
        <v>Apteka Szpitalna</v>
      </c>
      <c r="I11" s="2" t="str">
        <f>TRIM(Table1[[#This Row],[Umowa]])</f>
        <v/>
      </c>
      <c r="J11" s="2" t="b">
        <f>ISTEXT(Table14[[#This Row],[Data_Wystawienia]])</f>
        <v>0</v>
      </c>
      <c r="K11" s="2">
        <f>VALUE(SUBSTITUTE(Table14[[#This Row],[Wartość]],".",","))</f>
        <v>20472.22</v>
      </c>
      <c r="L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" s="2" t="str">
        <f>IF(Table14[[#This Row],[Umowa]]="","Poza umową","Z umowy")</f>
        <v>Poza umową</v>
      </c>
      <c r="N11" s="2">
        <f>YEAR(Table14[[#This Row],[Data_Wystawienia]])</f>
        <v>2022</v>
      </c>
      <c r="O11" s="2" t="str">
        <f>TEXT(Table14[[#This Row],[Data_Wystawienia]],"rrrr-mm")</f>
        <v>2022-01</v>
      </c>
      <c r="P11" s="2">
        <v>1</v>
      </c>
    </row>
    <row r="12" spans="1:16" x14ac:dyDescent="0.3">
      <c r="A12" s="2" t="str">
        <f>TRIM(Table1[[#This Row],[Numer_FV]])</f>
        <v>FV/9012/NOVA/22</v>
      </c>
      <c r="B12" s="2" t="str">
        <f>TRIM(Table1[[#This Row],[Numer_PZ]])</f>
        <v>PZ/800010</v>
      </c>
      <c r="C12" s="2" t="str">
        <f>TRIM(Table1[[#This Row],[Dostawca]])</f>
        <v>NovaLek</v>
      </c>
      <c r="D12" s="3">
        <v>44564</v>
      </c>
      <c r="E12" s="4" t="s">
        <v>58</v>
      </c>
      <c r="F12" s="2" t="str">
        <f>TRIM(Table1[[#This Row],[Status]])</f>
        <v>Zaakceptowana</v>
      </c>
      <c r="G12" s="2" t="str">
        <f>TRIM(Table1[[#This Row],[Typ]])</f>
        <v>Faktura VAT</v>
      </c>
      <c r="H12" s="2" t="str">
        <f>TRIM(Table1[[#This Row],[Magazyn]])</f>
        <v>Apteka Szpitalna</v>
      </c>
      <c r="I12" s="2" t="str">
        <f>TRIM(Table1[[#This Row],[Umowa]])</f>
        <v>UM-NOV-03</v>
      </c>
      <c r="J12" s="2" t="b">
        <f>ISTEXT(Table14[[#This Row],[Data_Wystawienia]])</f>
        <v>0</v>
      </c>
      <c r="K12" s="2">
        <f>VALUE(SUBSTITUTE(Table14[[#This Row],[Wartość]],".",","))</f>
        <v>16964.02</v>
      </c>
      <c r="L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" s="2" t="str">
        <f>IF(Table14[[#This Row],[Umowa]]="","Poza umową","Z umowy")</f>
        <v>Z umowy</v>
      </c>
      <c r="N12" s="2">
        <f>YEAR(Table14[[#This Row],[Data_Wystawienia]])</f>
        <v>2022</v>
      </c>
      <c r="O12" s="2" t="str">
        <f>TEXT(Table14[[#This Row],[Data_Wystawienia]],"rrrr-mm")</f>
        <v>2022-01</v>
      </c>
      <c r="P12" s="2">
        <v>1</v>
      </c>
    </row>
    <row r="13" spans="1:16" x14ac:dyDescent="0.3">
      <c r="A13" s="2" t="str">
        <f>TRIM(Table1[[#This Row],[Numer_FV]])</f>
        <v>FV/5994/NOVA/22</v>
      </c>
      <c r="B13" s="2" t="str">
        <f>TRIM(Table1[[#This Row],[Numer_PZ]])</f>
        <v>PZ/800011</v>
      </c>
      <c r="C13" s="2" t="str">
        <f>TRIM(Table1[[#This Row],[Dostawca]])</f>
        <v>NovaLek</v>
      </c>
      <c r="D13" s="3">
        <v>44565</v>
      </c>
      <c r="E13" s="4" t="s">
        <v>62</v>
      </c>
      <c r="F13" s="2" t="str">
        <f>TRIM(Table1[[#This Row],[Status]])</f>
        <v>Zaakceptowana</v>
      </c>
      <c r="G13" s="2" t="str">
        <f>TRIM(Table1[[#This Row],[Typ]])</f>
        <v>Faktura VAT</v>
      </c>
      <c r="H13" s="2" t="str">
        <f>TRIM(Table1[[#This Row],[Magazyn]])</f>
        <v>Apteka Szpitalna</v>
      </c>
      <c r="I13" s="2" t="str">
        <f>TRIM(Table1[[#This Row],[Umowa]])</f>
        <v>UM-NOV-02</v>
      </c>
      <c r="J13" s="2" t="b">
        <f>ISTEXT(Table14[[#This Row],[Data_Wystawienia]])</f>
        <v>0</v>
      </c>
      <c r="K13" s="2">
        <f>VALUE(SUBSTITUTE(Table14[[#This Row],[Wartość]],".",","))</f>
        <v>15548.14</v>
      </c>
      <c r="L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" s="2" t="str">
        <f>IF(Table14[[#This Row],[Umowa]]="","Poza umową","Z umowy")</f>
        <v>Z umowy</v>
      </c>
      <c r="N13" s="2">
        <f>YEAR(Table14[[#This Row],[Data_Wystawienia]])</f>
        <v>2022</v>
      </c>
      <c r="O13" s="2" t="str">
        <f>TEXT(Table14[[#This Row],[Data_Wystawienia]],"rrrr-mm")</f>
        <v>2022-01</v>
      </c>
      <c r="P13" s="2">
        <v>1</v>
      </c>
    </row>
    <row r="14" spans="1:16" x14ac:dyDescent="0.3">
      <c r="A14" s="2" t="str">
        <f>TRIM(Table1[[#This Row],[Numer_FV]])</f>
        <v>FV/30/SAL/22</v>
      </c>
      <c r="B14" s="2" t="str">
        <f>TRIM(Table1[[#This Row],[Numer_PZ]])</f>
        <v>PZ/800012</v>
      </c>
      <c r="C14" s="2" t="str">
        <f>TRIM(Table1[[#This Row],[Dostawca]])</f>
        <v>SalusHurt</v>
      </c>
      <c r="D14" s="3">
        <v>44565</v>
      </c>
      <c r="E14" s="4" t="s">
        <v>66</v>
      </c>
      <c r="F14" s="2" t="str">
        <f>TRIM(Table1[[#This Row],[Status]])</f>
        <v>Zaakceptowana</v>
      </c>
      <c r="G14" s="2" t="str">
        <f>TRIM(Table1[[#This Row],[Typ]])</f>
        <v>Faktura VAT</v>
      </c>
      <c r="H14" s="2" t="str">
        <f>TRIM(Table1[[#This Row],[Magazyn]])</f>
        <v>Apteka Szpitalna</v>
      </c>
      <c r="I14" s="2" t="str">
        <f>TRIM(Table1[[#This Row],[Umowa]])</f>
        <v/>
      </c>
      <c r="J14" s="2" t="b">
        <f>ISTEXT(Table14[[#This Row],[Data_Wystawienia]])</f>
        <v>0</v>
      </c>
      <c r="K14" s="2">
        <f>VALUE(SUBSTITUTE(Table14[[#This Row],[Wartość]],".",","))</f>
        <v>7455.12</v>
      </c>
      <c r="L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" s="2" t="str">
        <f>IF(Table14[[#This Row],[Umowa]]="","Poza umową","Z umowy")</f>
        <v>Poza umową</v>
      </c>
      <c r="N14" s="2">
        <f>YEAR(Table14[[#This Row],[Data_Wystawienia]])</f>
        <v>2022</v>
      </c>
      <c r="O14" s="2" t="str">
        <f>TEXT(Table14[[#This Row],[Data_Wystawienia]],"rrrr-mm")</f>
        <v>2022-01</v>
      </c>
      <c r="P14" s="2">
        <v>1</v>
      </c>
    </row>
    <row r="15" spans="1:16" x14ac:dyDescent="0.3">
      <c r="A15" s="2" t="str">
        <f>TRIM(Table1[[#This Row],[Numer_FV]])</f>
        <v>FV/76260/VDb/2022</v>
      </c>
      <c r="B15" s="2" t="str">
        <f>TRIM(Table1[[#This Row],[Numer_PZ]])</f>
        <v>PZ/800013</v>
      </c>
      <c r="C15" s="2" t="str">
        <f>TRIM(Table1[[#This Row],[Dostawca]])</f>
        <v>VitaDistrib</v>
      </c>
      <c r="D15" s="3">
        <v>44565</v>
      </c>
      <c r="E15" s="4" t="s">
        <v>70</v>
      </c>
      <c r="F15" s="2" t="str">
        <f>TRIM(Table1[[#This Row],[Status]])</f>
        <v>Zaakceptowana</v>
      </c>
      <c r="G15" s="2" t="str">
        <f>TRIM(Table1[[#This Row],[Typ]])</f>
        <v>Faktura VAT</v>
      </c>
      <c r="H15" s="2" t="str">
        <f>TRIM(Table1[[#This Row],[Magazyn]])</f>
        <v>Apteka Szpitalna</v>
      </c>
      <c r="I15" s="2" t="str">
        <f>TRIM(Table1[[#This Row],[Umowa]])</f>
        <v>UM-VIT-01</v>
      </c>
      <c r="J15" s="2" t="b">
        <f>ISTEXT(Table14[[#This Row],[Data_Wystawienia]])</f>
        <v>0</v>
      </c>
      <c r="K15" s="2">
        <f>VALUE(SUBSTITUTE(Table14[[#This Row],[Wartość]],".",","))</f>
        <v>8114.42</v>
      </c>
      <c r="L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" s="2" t="str">
        <f>IF(Table14[[#This Row],[Umowa]]="","Poza umową","Z umowy")</f>
        <v>Z umowy</v>
      </c>
      <c r="N15" s="2">
        <f>YEAR(Table14[[#This Row],[Data_Wystawienia]])</f>
        <v>2022</v>
      </c>
      <c r="O15" s="2" t="str">
        <f>TEXT(Table14[[#This Row],[Data_Wystawienia]],"rrrr-mm")</f>
        <v>2022-01</v>
      </c>
      <c r="P15" s="2">
        <v>1</v>
      </c>
    </row>
    <row r="16" spans="1:16" x14ac:dyDescent="0.3">
      <c r="A16" s="2" t="str">
        <f>TRIM(Table1[[#This Row],[Numer_FV]])</f>
        <v>FV/M/1198/P/22</v>
      </c>
      <c r="B16" s="2" t="str">
        <f>TRIM(Table1[[#This Row],[Numer_PZ]])</f>
        <v>PZ/800014</v>
      </c>
      <c r="C16" s="2" t="str">
        <f>TRIM(Table1[[#This Row],[Dostawca]])</f>
        <v>MedicaPharm</v>
      </c>
      <c r="D16" s="3">
        <v>44565</v>
      </c>
      <c r="E16" s="4" t="s">
        <v>74</v>
      </c>
      <c r="F16" s="2" t="str">
        <f>TRIM(Table1[[#This Row],[Status]])</f>
        <v>Zaakceptowana</v>
      </c>
      <c r="G16" s="2" t="str">
        <f>TRIM(Table1[[#This Row],[Typ]])</f>
        <v>Faktura VAT</v>
      </c>
      <c r="H16" s="2" t="str">
        <f>TRIM(Table1[[#This Row],[Magazyn]])</f>
        <v>Apteka Szpitalna</v>
      </c>
      <c r="I16" s="2" t="str">
        <f>TRIM(Table1[[#This Row],[Umowa]])</f>
        <v/>
      </c>
      <c r="J16" s="2" t="b">
        <f>ISTEXT(Table14[[#This Row],[Data_Wystawienia]])</f>
        <v>0</v>
      </c>
      <c r="K16" s="2">
        <f>VALUE(SUBSTITUTE(Table14[[#This Row],[Wartość]],".",","))</f>
        <v>14112.42</v>
      </c>
      <c r="L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" s="2" t="str">
        <f>IF(Table14[[#This Row],[Umowa]]="","Poza umową","Z umowy")</f>
        <v>Poza umową</v>
      </c>
      <c r="N16" s="2">
        <f>YEAR(Table14[[#This Row],[Data_Wystawienia]])</f>
        <v>2022</v>
      </c>
      <c r="O16" s="2" t="str">
        <f>TEXT(Table14[[#This Row],[Data_Wystawienia]],"rrrr-mm")</f>
        <v>2022-01</v>
      </c>
      <c r="P16" s="2">
        <v>1</v>
      </c>
    </row>
    <row r="17" spans="1:16" x14ac:dyDescent="0.3">
      <c r="A17" s="2" t="str">
        <f>TRIM(Table1[[#This Row],[Numer_FV]])</f>
        <v>FV/POL/39855/2022</v>
      </c>
      <c r="B17" s="2" t="str">
        <f>TRIM(Table1[[#This Row],[Numer_PZ]])</f>
        <v>PZ/800015</v>
      </c>
      <c r="C17" s="2" t="str">
        <f>TRIM(Table1[[#This Row],[Dostawca]])</f>
        <v>Polmedica</v>
      </c>
      <c r="D17" s="3">
        <v>44566</v>
      </c>
      <c r="E17" s="4" t="s">
        <v>77</v>
      </c>
      <c r="F17" s="2" t="str">
        <f>TRIM(Table1[[#This Row],[Status]])</f>
        <v>Zaakceptowana</v>
      </c>
      <c r="G17" s="2" t="str">
        <f>TRIM(Table1[[#This Row],[Typ]])</f>
        <v>Faktura VAT</v>
      </c>
      <c r="H17" s="2" t="str">
        <f>TRIM(Table1[[#This Row],[Magazyn]])</f>
        <v>Apteka Szpitalna</v>
      </c>
      <c r="I17" s="2" t="str">
        <f>TRIM(Table1[[#This Row],[Umowa]])</f>
        <v>UM-POL-01</v>
      </c>
      <c r="J17" s="2" t="b">
        <f>ISTEXT(Table14[[#This Row],[Data_Wystawienia]])</f>
        <v>0</v>
      </c>
      <c r="K17" s="2">
        <f>VALUE(SUBSTITUTE(Table14[[#This Row],[Wartość]],".",","))</f>
        <v>13161.83</v>
      </c>
      <c r="L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" s="2" t="str">
        <f>IF(Table14[[#This Row],[Umowa]]="","Poza umową","Z umowy")</f>
        <v>Z umowy</v>
      </c>
      <c r="N17" s="2">
        <f>YEAR(Table14[[#This Row],[Data_Wystawienia]])</f>
        <v>2022</v>
      </c>
      <c r="O17" s="2" t="str">
        <f>TEXT(Table14[[#This Row],[Data_Wystawienia]],"rrrr-mm")</f>
        <v>2022-01</v>
      </c>
      <c r="P17" s="2">
        <v>1</v>
      </c>
    </row>
    <row r="18" spans="1:16" x14ac:dyDescent="0.3">
      <c r="A18" s="2" t="str">
        <f>TRIM(Table1[[#This Row],[Numer_FV]])</f>
        <v>FV/7230HM/22</v>
      </c>
      <c r="B18" s="2" t="str">
        <f>TRIM(Table1[[#This Row],[Numer_PZ]])</f>
        <v>PZ/800016</v>
      </c>
      <c r="C18" s="2" t="str">
        <f>TRIM(Table1[[#This Row],[Dostawca]])</f>
        <v>HurtMedix</v>
      </c>
      <c r="D18" s="3">
        <v>44566</v>
      </c>
      <c r="E18" s="4" t="s">
        <v>80</v>
      </c>
      <c r="F18" s="2" t="str">
        <f>TRIM(Table1[[#This Row],[Status]])</f>
        <v>Zaakceptowana</v>
      </c>
      <c r="G18" s="2" t="str">
        <f>TRIM(Table1[[#This Row],[Typ]])</f>
        <v>Faktura VAT</v>
      </c>
      <c r="H18" s="2" t="str">
        <f>TRIM(Table1[[#This Row],[Magazyn]])</f>
        <v>Apteka Szpitalna</v>
      </c>
      <c r="I18" s="2" t="str">
        <f>TRIM(Table1[[#This Row],[Umowa]])</f>
        <v>UM-HUR-01</v>
      </c>
      <c r="J18" s="2" t="b">
        <f>ISTEXT(Table14[[#This Row],[Data_Wystawienia]])</f>
        <v>0</v>
      </c>
      <c r="K18" s="2">
        <f>VALUE(SUBSTITUTE(Table14[[#This Row],[Wartość]],".",","))</f>
        <v>13610.9</v>
      </c>
      <c r="L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" s="2" t="str">
        <f>IF(Table14[[#This Row],[Umowa]]="","Poza umową","Z umowy")</f>
        <v>Z umowy</v>
      </c>
      <c r="N18" s="2">
        <f>YEAR(Table14[[#This Row],[Data_Wystawienia]])</f>
        <v>2022</v>
      </c>
      <c r="O18" s="2" t="str">
        <f>TEXT(Table14[[#This Row],[Data_Wystawienia]],"rrrr-mm")</f>
        <v>2022-01</v>
      </c>
      <c r="P18" s="2">
        <v>1</v>
      </c>
    </row>
    <row r="19" spans="1:16" x14ac:dyDescent="0.3">
      <c r="A19" s="2" t="str">
        <f>TRIM(Table1[[#This Row],[Numer_FV]])</f>
        <v>FV/M/1370/P/22</v>
      </c>
      <c r="B19" s="2" t="str">
        <f>TRIM(Table1[[#This Row],[Numer_PZ]])</f>
        <v>PZ/800017</v>
      </c>
      <c r="C19" s="2" t="str">
        <f>TRIM(Table1[[#This Row],[Dostawca]])</f>
        <v>MedicaPharm</v>
      </c>
      <c r="D19" s="3">
        <v>44567</v>
      </c>
      <c r="E19" s="4" t="s">
        <v>84</v>
      </c>
      <c r="F19" s="2" t="str">
        <f>TRIM(Table1[[#This Row],[Status]])</f>
        <v>Zaakceptowana</v>
      </c>
      <c r="G19" s="2" t="str">
        <f>TRIM(Table1[[#This Row],[Typ]])</f>
        <v>Faktura VAT</v>
      </c>
      <c r="H19" s="2" t="str">
        <f>TRIM(Table1[[#This Row],[Magazyn]])</f>
        <v>Apteka Szpitalna</v>
      </c>
      <c r="I19" s="2" t="str">
        <f>TRIM(Table1[[#This Row],[Umowa]])</f>
        <v/>
      </c>
      <c r="J19" s="2" t="b">
        <f>ISTEXT(Table14[[#This Row],[Data_Wystawienia]])</f>
        <v>0</v>
      </c>
      <c r="K19" s="2">
        <f>VALUE(SUBSTITUTE(Table14[[#This Row],[Wartość]],".",","))</f>
        <v>16611.12</v>
      </c>
      <c r="L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" s="2" t="str">
        <f>IF(Table14[[#This Row],[Umowa]]="","Poza umową","Z umowy")</f>
        <v>Poza umową</v>
      </c>
      <c r="N19" s="2">
        <f>YEAR(Table14[[#This Row],[Data_Wystawienia]])</f>
        <v>2022</v>
      </c>
      <c r="O19" s="2" t="str">
        <f>TEXT(Table14[[#This Row],[Data_Wystawienia]],"rrrr-mm")</f>
        <v>2022-01</v>
      </c>
      <c r="P19" s="2">
        <v>1</v>
      </c>
    </row>
    <row r="20" spans="1:16" x14ac:dyDescent="0.3">
      <c r="A20" s="2" t="str">
        <f>TRIM(Table1[[#This Row],[Numer_FV]])</f>
        <v>FV/7537HM/22</v>
      </c>
      <c r="B20" s="2" t="str">
        <f>TRIM(Table1[[#This Row],[Numer_PZ]])</f>
        <v>PZ/800018</v>
      </c>
      <c r="C20" s="2" t="str">
        <f>TRIM(Table1[[#This Row],[Dostawca]])</f>
        <v>HurtMedix</v>
      </c>
      <c r="D20" s="3">
        <v>44567</v>
      </c>
      <c r="E20" s="4" t="s">
        <v>87</v>
      </c>
      <c r="F20" s="2" t="str">
        <f>TRIM(Table1[[#This Row],[Status]])</f>
        <v>Zaakceptowana</v>
      </c>
      <c r="G20" s="2" t="str">
        <f>TRIM(Table1[[#This Row],[Typ]])</f>
        <v>Faktura VAT</v>
      </c>
      <c r="H20" s="2" t="str">
        <f>TRIM(Table1[[#This Row],[Magazyn]])</f>
        <v>Apteka Szpitalna</v>
      </c>
      <c r="I20" s="2" t="str">
        <f>TRIM(Table1[[#This Row],[Umowa]])</f>
        <v>UM-HUR-01</v>
      </c>
      <c r="J20" s="2" t="b">
        <f>ISTEXT(Table14[[#This Row],[Data_Wystawienia]])</f>
        <v>0</v>
      </c>
      <c r="K20" s="2">
        <f>VALUE(SUBSTITUTE(Table14[[#This Row],[Wartość]],".",","))</f>
        <v>22174.33</v>
      </c>
      <c r="L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" s="2" t="str">
        <f>IF(Table14[[#This Row],[Umowa]]="","Poza umową","Z umowy")</f>
        <v>Z umowy</v>
      </c>
      <c r="N20" s="2">
        <f>YEAR(Table14[[#This Row],[Data_Wystawienia]])</f>
        <v>2022</v>
      </c>
      <c r="O20" s="2" t="str">
        <f>TEXT(Table14[[#This Row],[Data_Wystawienia]],"rrrr-mm")</f>
        <v>2022-01</v>
      </c>
      <c r="P20" s="2">
        <v>1</v>
      </c>
    </row>
    <row r="21" spans="1:16" x14ac:dyDescent="0.3">
      <c r="A21" s="2" t="str">
        <f>TRIM(Table1[[#This Row],[Numer_FV]])</f>
        <v>FV/M/7850/P/22</v>
      </c>
      <c r="B21" s="2" t="str">
        <f>TRIM(Table1[[#This Row],[Numer_PZ]])</f>
        <v>PZ/800019</v>
      </c>
      <c r="C21" s="2" t="str">
        <f>TRIM(Table1[[#This Row],[Dostawca]])</f>
        <v>MedicaPharm</v>
      </c>
      <c r="D21" s="3">
        <v>44568</v>
      </c>
      <c r="E21" s="4" t="s">
        <v>90</v>
      </c>
      <c r="F21" s="2" t="str">
        <f>TRIM(Table1[[#This Row],[Status]])</f>
        <v>Zaakceptowana</v>
      </c>
      <c r="G21" s="2" t="str">
        <f>TRIM(Table1[[#This Row],[Typ]])</f>
        <v>Faktura VAT</v>
      </c>
      <c r="H21" s="2" t="str">
        <f>TRIM(Table1[[#This Row],[Magazyn]])</f>
        <v>Apteka Szpitalna</v>
      </c>
      <c r="I21" s="2" t="str">
        <f>TRIM(Table1[[#This Row],[Umowa]])</f>
        <v>UM-MED-01</v>
      </c>
      <c r="J21" s="2" t="b">
        <f>ISTEXT(Table14[[#This Row],[Data_Wystawienia]])</f>
        <v>0</v>
      </c>
      <c r="K21" s="2">
        <f>VALUE(SUBSTITUTE(Table14[[#This Row],[Wartość]],".",","))</f>
        <v>9293.3700000000008</v>
      </c>
      <c r="L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" s="2" t="str">
        <f>IF(Table14[[#This Row],[Umowa]]="","Poza umową","Z umowy")</f>
        <v>Z umowy</v>
      </c>
      <c r="N21" s="2">
        <f>YEAR(Table14[[#This Row],[Data_Wystawienia]])</f>
        <v>2022</v>
      </c>
      <c r="O21" s="2" t="str">
        <f>TEXT(Table14[[#This Row],[Data_Wystawienia]],"rrrr-mm")</f>
        <v>2022-01</v>
      </c>
      <c r="P21" s="2">
        <v>1</v>
      </c>
    </row>
    <row r="22" spans="1:16" x14ac:dyDescent="0.3">
      <c r="A22" s="2" t="str">
        <f>TRIM(Table1[[#This Row],[Numer_FV]])</f>
        <v>FV/CENFA/575501/22</v>
      </c>
      <c r="B22" s="2" t="str">
        <f>TRIM(Table1[[#This Row],[Numer_PZ]])</f>
        <v>PZ/800020</v>
      </c>
      <c r="C22" s="2" t="str">
        <f>TRIM(Table1[[#This Row],[Dostawca]])</f>
        <v>CentrumFarm</v>
      </c>
      <c r="D22" s="3">
        <v>44568</v>
      </c>
      <c r="E22" s="4" t="s">
        <v>93</v>
      </c>
      <c r="F22" s="2" t="str">
        <f>TRIM(Table1[[#This Row],[Status]])</f>
        <v>Zaakceptowana</v>
      </c>
      <c r="G22" s="2" t="str">
        <f>TRIM(Table1[[#This Row],[Typ]])</f>
        <v>Faktura VAT</v>
      </c>
      <c r="H22" s="2" t="str">
        <f>TRIM(Table1[[#This Row],[Magazyn]])</f>
        <v>Apteka Szpitalna</v>
      </c>
      <c r="I22" s="2" t="str">
        <f>TRIM(Table1[[#This Row],[Umowa]])</f>
        <v>UM-CEN-02</v>
      </c>
      <c r="J22" s="2" t="b">
        <f>ISTEXT(Table14[[#This Row],[Data_Wystawienia]])</f>
        <v>0</v>
      </c>
      <c r="K22" s="2">
        <f>VALUE(SUBSTITUTE(Table14[[#This Row],[Wartość]],".",","))</f>
        <v>16492.52</v>
      </c>
      <c r="L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" s="2" t="str">
        <f>IF(Table14[[#This Row],[Umowa]]="","Poza umową","Z umowy")</f>
        <v>Z umowy</v>
      </c>
      <c r="N22" s="2">
        <f>YEAR(Table14[[#This Row],[Data_Wystawienia]])</f>
        <v>2022</v>
      </c>
      <c r="O22" s="2" t="str">
        <f>TEXT(Table14[[#This Row],[Data_Wystawienia]],"rrrr-mm")</f>
        <v>2022-01</v>
      </c>
      <c r="P22" s="2">
        <v>1</v>
      </c>
    </row>
    <row r="23" spans="1:16" x14ac:dyDescent="0.3">
      <c r="A23" s="2" t="str">
        <f>TRIM(Table1[[#This Row],[Numer_FV]])</f>
        <v>FV/CENFA/465181/22</v>
      </c>
      <c r="B23" s="2" t="str">
        <f>TRIM(Table1[[#This Row],[Numer_PZ]])</f>
        <v>PZ/800021</v>
      </c>
      <c r="C23" s="2" t="str">
        <f>TRIM(Table1[[#This Row],[Dostawca]])</f>
        <v>CentrumFarm</v>
      </c>
      <c r="D23" s="3">
        <v>44569</v>
      </c>
      <c r="E23" s="4" t="s">
        <v>97</v>
      </c>
      <c r="F23" s="2" t="str">
        <f>TRIM(Table1[[#This Row],[Status]])</f>
        <v>Zaakceptowana</v>
      </c>
      <c r="G23" s="2" t="str">
        <f>TRIM(Table1[[#This Row],[Typ]])</f>
        <v>Faktura VAT</v>
      </c>
      <c r="H23" s="2" t="str">
        <f>TRIM(Table1[[#This Row],[Magazyn]])</f>
        <v>Apteka Szpitalna</v>
      </c>
      <c r="I23" s="2" t="str">
        <f>TRIM(Table1[[#This Row],[Umowa]])</f>
        <v>UM-CEN-01</v>
      </c>
      <c r="J23" s="2" t="b">
        <f>ISTEXT(Table14[[#This Row],[Data_Wystawienia]])</f>
        <v>0</v>
      </c>
      <c r="K23" s="2">
        <f>VALUE(SUBSTITUTE(Table14[[#This Row],[Wartość]],".",","))</f>
        <v>15095.81</v>
      </c>
      <c r="L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" s="2" t="str">
        <f>IF(Table14[[#This Row],[Umowa]]="","Poza umową","Z umowy")</f>
        <v>Z umowy</v>
      </c>
      <c r="N23" s="2">
        <f>YEAR(Table14[[#This Row],[Data_Wystawienia]])</f>
        <v>2022</v>
      </c>
      <c r="O23" s="2" t="str">
        <f>TEXT(Table14[[#This Row],[Data_Wystawienia]],"rrrr-mm")</f>
        <v>2022-01</v>
      </c>
      <c r="P23" s="2">
        <v>1</v>
      </c>
    </row>
    <row r="24" spans="1:16" x14ac:dyDescent="0.3">
      <c r="A24" s="2" t="str">
        <f>TRIM(Table1[[#This Row],[Numer_FV]])</f>
        <v>FV/97605/VDb/2022</v>
      </c>
      <c r="B24" s="2" t="str">
        <f>TRIM(Table1[[#This Row],[Numer_PZ]])</f>
        <v>PZ/800022</v>
      </c>
      <c r="C24" s="2" t="str">
        <f>TRIM(Table1[[#This Row],[Dostawca]])</f>
        <v>VitaDistrib</v>
      </c>
      <c r="D24" s="3">
        <v>44570</v>
      </c>
      <c r="E24" s="4" t="s">
        <v>100</v>
      </c>
      <c r="F24" s="2" t="str">
        <f>TRIM(Table1[[#This Row],[Status]])</f>
        <v>Zaakceptowana</v>
      </c>
      <c r="G24" s="2" t="str">
        <f>TRIM(Table1[[#This Row],[Typ]])</f>
        <v>Faktura VAT</v>
      </c>
      <c r="H24" s="2" t="str">
        <f>TRIM(Table1[[#This Row],[Magazyn]])</f>
        <v>Apteka Szpitalna</v>
      </c>
      <c r="I24" s="2" t="str">
        <f>TRIM(Table1[[#This Row],[Umowa]])</f>
        <v>UM-VIT-01</v>
      </c>
      <c r="J24" s="2" t="b">
        <f>ISTEXT(Table14[[#This Row],[Data_Wystawienia]])</f>
        <v>0</v>
      </c>
      <c r="K24" s="2">
        <f>VALUE(SUBSTITUTE(Table14[[#This Row],[Wartość]],".",","))</f>
        <v>32971.79</v>
      </c>
      <c r="L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" s="2" t="str">
        <f>IF(Table14[[#This Row],[Umowa]]="","Poza umową","Z umowy")</f>
        <v>Z umowy</v>
      </c>
      <c r="N24" s="2">
        <f>YEAR(Table14[[#This Row],[Data_Wystawienia]])</f>
        <v>2022</v>
      </c>
      <c r="O24" s="2" t="str">
        <f>TEXT(Table14[[#This Row],[Data_Wystawienia]],"rrrr-mm")</f>
        <v>2022-01</v>
      </c>
      <c r="P24" s="2">
        <v>1</v>
      </c>
    </row>
    <row r="25" spans="1:16" x14ac:dyDescent="0.3">
      <c r="A25" s="2" t="str">
        <f>TRIM(Table1[[#This Row],[Numer_FV]])</f>
        <v>FV/CENFA/159558/22</v>
      </c>
      <c r="B25" s="2" t="str">
        <f>TRIM(Table1[[#This Row],[Numer_PZ]])</f>
        <v>PZ/800023</v>
      </c>
      <c r="C25" s="2" t="str">
        <f>TRIM(Table1[[#This Row],[Dostawca]])</f>
        <v>CentrumFarm</v>
      </c>
      <c r="D25" s="3">
        <v>44570</v>
      </c>
      <c r="E25" s="4" t="s">
        <v>103</v>
      </c>
      <c r="F25" s="2" t="str">
        <f>TRIM(Table1[[#This Row],[Status]])</f>
        <v>Zaakceptowana</v>
      </c>
      <c r="G25" s="2" t="str">
        <f>TRIM(Table1[[#This Row],[Typ]])</f>
        <v>Faktura VAT</v>
      </c>
      <c r="H25" s="2" t="str">
        <f>TRIM(Table1[[#This Row],[Magazyn]])</f>
        <v>Apteka Szpitalna</v>
      </c>
      <c r="I25" s="2" t="str">
        <f>TRIM(Table1[[#This Row],[Umowa]])</f>
        <v>UM-CEN-02</v>
      </c>
      <c r="J25" s="2" t="b">
        <f>ISTEXT(Table14[[#This Row],[Data_Wystawienia]])</f>
        <v>0</v>
      </c>
      <c r="K25" s="2">
        <f>VALUE(SUBSTITUTE(Table14[[#This Row],[Wartość]],".",","))</f>
        <v>15985.8</v>
      </c>
      <c r="L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" s="2" t="str">
        <f>IF(Table14[[#This Row],[Umowa]]="","Poza umową","Z umowy")</f>
        <v>Z umowy</v>
      </c>
      <c r="N25" s="2">
        <f>YEAR(Table14[[#This Row],[Data_Wystawienia]])</f>
        <v>2022</v>
      </c>
      <c r="O25" s="2" t="str">
        <f>TEXT(Table14[[#This Row],[Data_Wystawienia]],"rrrr-mm")</f>
        <v>2022-01</v>
      </c>
      <c r="P25" s="2">
        <v>1</v>
      </c>
    </row>
    <row r="26" spans="1:16" x14ac:dyDescent="0.3">
      <c r="A26" s="2" t="str">
        <f>TRIM(Table1[[#This Row],[Numer_FV]])</f>
        <v>FV/M/2497/P/22</v>
      </c>
      <c r="B26" s="2" t="str">
        <f>TRIM(Table1[[#This Row],[Numer_PZ]])</f>
        <v>PZ/800024</v>
      </c>
      <c r="C26" s="2" t="str">
        <f>TRIM(Table1[[#This Row],[Dostawca]])</f>
        <v>MedicaPharm</v>
      </c>
      <c r="D26" s="3">
        <v>44570</v>
      </c>
      <c r="E26" s="4" t="s">
        <v>106</v>
      </c>
      <c r="F26" s="2" t="str">
        <f>TRIM(Table1[[#This Row],[Status]])</f>
        <v>Zaakceptowana</v>
      </c>
      <c r="G26" s="2" t="str">
        <f>TRIM(Table1[[#This Row],[Typ]])</f>
        <v>Faktura VAT</v>
      </c>
      <c r="H26" s="2" t="str">
        <f>TRIM(Table1[[#This Row],[Magazyn]])</f>
        <v>Apteka Szpitalna</v>
      </c>
      <c r="I26" s="2" t="str">
        <f>TRIM(Table1[[#This Row],[Umowa]])</f>
        <v>UM-MED-01</v>
      </c>
      <c r="J26" s="2" t="b">
        <f>ISTEXT(Table14[[#This Row],[Data_Wystawienia]])</f>
        <v>0</v>
      </c>
      <c r="K26" s="2">
        <f>VALUE(SUBSTITUTE(Table14[[#This Row],[Wartość]],".",","))</f>
        <v>19447.080000000002</v>
      </c>
      <c r="L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" s="2" t="str">
        <f>IF(Table14[[#This Row],[Umowa]]="","Poza umową","Z umowy")</f>
        <v>Z umowy</v>
      </c>
      <c r="N26" s="2">
        <f>YEAR(Table14[[#This Row],[Data_Wystawienia]])</f>
        <v>2022</v>
      </c>
      <c r="O26" s="2" t="str">
        <f>TEXT(Table14[[#This Row],[Data_Wystawienia]],"rrrr-mm")</f>
        <v>2022-01</v>
      </c>
      <c r="P26" s="2">
        <v>1</v>
      </c>
    </row>
    <row r="27" spans="1:16" x14ac:dyDescent="0.3">
      <c r="A27" s="2" t="str">
        <f>TRIM(Table1[[#This Row],[Numer_FV]])</f>
        <v>FV/3019/NOVA/22</v>
      </c>
      <c r="B27" s="2" t="str">
        <f>TRIM(Table1[[#This Row],[Numer_PZ]])</f>
        <v>PZ/800025</v>
      </c>
      <c r="C27" s="2" t="str">
        <f>TRIM(Table1[[#This Row],[Dostawca]])</f>
        <v>NovaLek</v>
      </c>
      <c r="D27" s="3">
        <v>44571</v>
      </c>
      <c r="E27" s="4" t="s">
        <v>109</v>
      </c>
      <c r="F27" s="2" t="str">
        <f>TRIM(Table1[[#This Row],[Status]])</f>
        <v>Zaakceptowana</v>
      </c>
      <c r="G27" s="2" t="str">
        <f>TRIM(Table1[[#This Row],[Typ]])</f>
        <v>Faktura VAT</v>
      </c>
      <c r="H27" s="2" t="str">
        <f>TRIM(Table1[[#This Row],[Magazyn]])</f>
        <v>Apteka Szpitalna</v>
      </c>
      <c r="I27" s="2" t="str">
        <f>TRIM(Table1[[#This Row],[Umowa]])</f>
        <v>UM-NOV-02</v>
      </c>
      <c r="J27" s="2" t="b">
        <f>ISTEXT(Table14[[#This Row],[Data_Wystawienia]])</f>
        <v>0</v>
      </c>
      <c r="K27" s="2">
        <f>VALUE(SUBSTITUTE(Table14[[#This Row],[Wartość]],".",","))</f>
        <v>12464.28</v>
      </c>
      <c r="L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" s="2" t="str">
        <f>IF(Table14[[#This Row],[Umowa]]="","Poza umową","Z umowy")</f>
        <v>Z umowy</v>
      </c>
      <c r="N27" s="2">
        <f>YEAR(Table14[[#This Row],[Data_Wystawienia]])</f>
        <v>2022</v>
      </c>
      <c r="O27" s="2" t="str">
        <f>TEXT(Table14[[#This Row],[Data_Wystawienia]],"rrrr-mm")</f>
        <v>2022-01</v>
      </c>
      <c r="P27" s="2">
        <v>1</v>
      </c>
    </row>
    <row r="28" spans="1:16" x14ac:dyDescent="0.3">
      <c r="A28" s="2" t="str">
        <f>TRIM(Table1[[#This Row],[Numer_FV]])</f>
        <v>FV/52/SAL/22</v>
      </c>
      <c r="B28" s="2" t="str">
        <f>TRIM(Table1[[#This Row],[Numer_PZ]])</f>
        <v>PZ/800026</v>
      </c>
      <c r="C28" s="2" t="str">
        <f>TRIM(Table1[[#This Row],[Dostawca]])</f>
        <v>SalusHurt</v>
      </c>
      <c r="D28" s="3">
        <v>44571</v>
      </c>
      <c r="E28" s="4" t="s">
        <v>112</v>
      </c>
      <c r="F28" s="2" t="str">
        <f>TRIM(Table1[[#This Row],[Status]])</f>
        <v>Zaakceptowana</v>
      </c>
      <c r="G28" s="2" t="str">
        <f>TRIM(Table1[[#This Row],[Typ]])</f>
        <v>Faktura VAT</v>
      </c>
      <c r="H28" s="2" t="str">
        <f>TRIM(Table1[[#This Row],[Magazyn]])</f>
        <v>Apteka Szpitalna</v>
      </c>
      <c r="I28" s="2" t="str">
        <f>TRIM(Table1[[#This Row],[Umowa]])</f>
        <v/>
      </c>
      <c r="J28" s="2" t="b">
        <f>ISTEXT(Table14[[#This Row],[Data_Wystawienia]])</f>
        <v>0</v>
      </c>
      <c r="K28" s="2">
        <f>VALUE(SUBSTITUTE(Table14[[#This Row],[Wartość]],".",","))</f>
        <v>9880.4699999999993</v>
      </c>
      <c r="L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" s="2" t="str">
        <f>IF(Table14[[#This Row],[Umowa]]="","Poza umową","Z umowy")</f>
        <v>Poza umową</v>
      </c>
      <c r="N28" s="2">
        <f>YEAR(Table14[[#This Row],[Data_Wystawienia]])</f>
        <v>2022</v>
      </c>
      <c r="O28" s="2" t="str">
        <f>TEXT(Table14[[#This Row],[Data_Wystawienia]],"rrrr-mm")</f>
        <v>2022-01</v>
      </c>
      <c r="P28" s="2">
        <v>1</v>
      </c>
    </row>
    <row r="29" spans="1:16" x14ac:dyDescent="0.3">
      <c r="A29" s="2" t="str">
        <f>TRIM(Table1[[#This Row],[Numer_FV]])</f>
        <v>FV/17/SAL/22</v>
      </c>
      <c r="B29" s="2" t="str">
        <f>TRIM(Table1[[#This Row],[Numer_PZ]])</f>
        <v>PZ/800027</v>
      </c>
      <c r="C29" s="2" t="str">
        <f>TRIM(Table1[[#This Row],[Dostawca]])</f>
        <v>SalusHurt</v>
      </c>
      <c r="D29" s="3">
        <v>44571</v>
      </c>
      <c r="E29" s="4" t="s">
        <v>115</v>
      </c>
      <c r="F29" s="2" t="str">
        <f>TRIM(Table1[[#This Row],[Status]])</f>
        <v>Zaakceptowana</v>
      </c>
      <c r="G29" s="2" t="str">
        <f>TRIM(Table1[[#This Row],[Typ]])</f>
        <v>Faktura VAT</v>
      </c>
      <c r="H29" s="2" t="str">
        <f>TRIM(Table1[[#This Row],[Magazyn]])</f>
        <v>Apteka Szpitalna</v>
      </c>
      <c r="I29" s="2" t="str">
        <f>TRIM(Table1[[#This Row],[Umowa]])</f>
        <v>UM-SAL-02</v>
      </c>
      <c r="J29" s="2" t="b">
        <f>ISTEXT(Table14[[#This Row],[Data_Wystawienia]])</f>
        <v>0</v>
      </c>
      <c r="K29" s="2">
        <f>VALUE(SUBSTITUTE(Table14[[#This Row],[Wartość]],".",","))</f>
        <v>13709.26</v>
      </c>
      <c r="L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" s="2" t="str">
        <f>IF(Table14[[#This Row],[Umowa]]="","Poza umową","Z umowy")</f>
        <v>Z umowy</v>
      </c>
      <c r="N29" s="2">
        <f>YEAR(Table14[[#This Row],[Data_Wystawienia]])</f>
        <v>2022</v>
      </c>
      <c r="O29" s="2" t="str">
        <f>TEXT(Table14[[#This Row],[Data_Wystawienia]],"rrrr-mm")</f>
        <v>2022-01</v>
      </c>
      <c r="P29" s="2">
        <v>1</v>
      </c>
    </row>
    <row r="30" spans="1:16" x14ac:dyDescent="0.3">
      <c r="A30" s="2" t="str">
        <f>TRIM(Table1[[#This Row],[Numer_FV]])</f>
        <v>FV/3998/NOVA/22</v>
      </c>
      <c r="B30" s="2" t="str">
        <f>TRIM(Table1[[#This Row],[Numer_PZ]])</f>
        <v>PZ/800028</v>
      </c>
      <c r="C30" s="2" t="str">
        <f>TRIM(Table1[[#This Row],[Dostawca]])</f>
        <v>NovaLek</v>
      </c>
      <c r="D30" s="3">
        <v>44572</v>
      </c>
      <c r="E30" s="4" t="s">
        <v>119</v>
      </c>
      <c r="F30" s="2" t="str">
        <f>TRIM(Table1[[#This Row],[Status]])</f>
        <v>Zaakceptowana</v>
      </c>
      <c r="G30" s="2" t="str">
        <f>TRIM(Table1[[#This Row],[Typ]])</f>
        <v>Faktura VAT</v>
      </c>
      <c r="H30" s="2" t="str">
        <f>TRIM(Table1[[#This Row],[Magazyn]])</f>
        <v>Apteka Szpitalna</v>
      </c>
      <c r="I30" s="2" t="str">
        <f>TRIM(Table1[[#This Row],[Umowa]])</f>
        <v/>
      </c>
      <c r="J30" s="2" t="b">
        <f>ISTEXT(Table14[[#This Row],[Data_Wystawienia]])</f>
        <v>0</v>
      </c>
      <c r="K30" s="2">
        <f>VALUE(SUBSTITUTE(Table14[[#This Row],[Wartość]],".",","))</f>
        <v>9540.9599999999991</v>
      </c>
      <c r="L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" s="2" t="str">
        <f>IF(Table14[[#This Row],[Umowa]]="","Poza umową","Z umowy")</f>
        <v>Poza umową</v>
      </c>
      <c r="N30" s="2">
        <f>YEAR(Table14[[#This Row],[Data_Wystawienia]])</f>
        <v>2022</v>
      </c>
      <c r="O30" s="2" t="str">
        <f>TEXT(Table14[[#This Row],[Data_Wystawienia]],"rrrr-mm")</f>
        <v>2022-01</v>
      </c>
      <c r="P30" s="2">
        <v>1</v>
      </c>
    </row>
    <row r="31" spans="1:16" x14ac:dyDescent="0.3">
      <c r="A31" s="2" t="str">
        <f>TRIM(Table1[[#This Row],[Numer_FV]])</f>
        <v>FV/44/SAL/22</v>
      </c>
      <c r="B31" s="2" t="str">
        <f>TRIM(Table1[[#This Row],[Numer_PZ]])</f>
        <v>PZ/800029</v>
      </c>
      <c r="C31" s="2" t="str">
        <f>TRIM(Table1[[#This Row],[Dostawca]])</f>
        <v>SalusHurt</v>
      </c>
      <c r="D31" s="3">
        <v>44572</v>
      </c>
      <c r="E31" s="4" t="s">
        <v>122</v>
      </c>
      <c r="F31" s="2" t="str">
        <f>TRIM(Table1[[#This Row],[Status]])</f>
        <v>Zaakceptowana</v>
      </c>
      <c r="G31" s="2" t="str">
        <f>TRIM(Table1[[#This Row],[Typ]])</f>
        <v>Faktura VAT</v>
      </c>
      <c r="H31" s="2" t="str">
        <f>TRIM(Table1[[#This Row],[Magazyn]])</f>
        <v>Apteka Szpitalna</v>
      </c>
      <c r="I31" s="2" t="str">
        <f>TRIM(Table1[[#This Row],[Umowa]])</f>
        <v>UM-SAL-02</v>
      </c>
      <c r="J31" s="2" t="b">
        <f>ISTEXT(Table14[[#This Row],[Data_Wystawienia]])</f>
        <v>0</v>
      </c>
      <c r="K31" s="2">
        <f>VALUE(SUBSTITUTE(Table14[[#This Row],[Wartość]],".",","))</f>
        <v>15146.95</v>
      </c>
      <c r="L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" s="2" t="str">
        <f>IF(Table14[[#This Row],[Umowa]]="","Poza umową","Z umowy")</f>
        <v>Z umowy</v>
      </c>
      <c r="N31" s="2">
        <f>YEAR(Table14[[#This Row],[Data_Wystawienia]])</f>
        <v>2022</v>
      </c>
      <c r="O31" s="2" t="str">
        <f>TEXT(Table14[[#This Row],[Data_Wystawienia]],"rrrr-mm")</f>
        <v>2022-01</v>
      </c>
      <c r="P31" s="2">
        <v>1</v>
      </c>
    </row>
    <row r="32" spans="1:16" x14ac:dyDescent="0.3">
      <c r="A32" s="2" t="str">
        <f>TRIM(Table1[[#This Row],[Numer_FV]])</f>
        <v>FV/71/SAL/22</v>
      </c>
      <c r="B32" s="2" t="str">
        <f>TRIM(Table1[[#This Row],[Numer_PZ]])</f>
        <v>PZ/800030</v>
      </c>
      <c r="C32" s="2" t="str">
        <f>TRIM(Table1[[#This Row],[Dostawca]])</f>
        <v>SalusHurt</v>
      </c>
      <c r="D32" s="3">
        <v>44572</v>
      </c>
      <c r="E32" s="4" t="s">
        <v>125</v>
      </c>
      <c r="F32" s="2" t="str">
        <f>TRIM(Table1[[#This Row],[Status]])</f>
        <v>Zaakceptowana</v>
      </c>
      <c r="G32" s="2" t="str">
        <f>TRIM(Table1[[#This Row],[Typ]])</f>
        <v>Faktura VAT</v>
      </c>
      <c r="H32" s="2" t="str">
        <f>TRIM(Table1[[#This Row],[Magazyn]])</f>
        <v>Apteka Szpitalna</v>
      </c>
      <c r="I32" s="2" t="str">
        <f>TRIM(Table1[[#This Row],[Umowa]])</f>
        <v>UM-SAL-01</v>
      </c>
      <c r="J32" s="2" t="b">
        <f>ISTEXT(Table14[[#This Row],[Data_Wystawienia]])</f>
        <v>0</v>
      </c>
      <c r="K32" s="2">
        <f>VALUE(SUBSTITUTE(Table14[[#This Row],[Wartość]],".",","))</f>
        <v>20490.28</v>
      </c>
      <c r="L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" s="2" t="str">
        <f>IF(Table14[[#This Row],[Umowa]]="","Poza umową","Z umowy")</f>
        <v>Z umowy</v>
      </c>
      <c r="N32" s="2">
        <f>YEAR(Table14[[#This Row],[Data_Wystawienia]])</f>
        <v>2022</v>
      </c>
      <c r="O32" s="2" t="str">
        <f>TEXT(Table14[[#This Row],[Data_Wystawienia]],"rrrr-mm")</f>
        <v>2022-01</v>
      </c>
      <c r="P32" s="2">
        <v>1</v>
      </c>
    </row>
    <row r="33" spans="1:16" x14ac:dyDescent="0.3">
      <c r="A33" s="2" t="str">
        <f>TRIM(Table1[[#This Row],[Numer_FV]])</f>
        <v>FV/M/4302/P/22</v>
      </c>
      <c r="B33" s="2" t="str">
        <f>TRIM(Table1[[#This Row],[Numer_PZ]])</f>
        <v>PZ/800031</v>
      </c>
      <c r="C33" s="2" t="str">
        <f>TRIM(Table1[[#This Row],[Dostawca]])</f>
        <v>MedicaPharm</v>
      </c>
      <c r="D33" s="3">
        <v>44573</v>
      </c>
      <c r="E33" s="4" t="s">
        <v>128</v>
      </c>
      <c r="F33" s="2" t="str">
        <f>TRIM(Table1[[#This Row],[Status]])</f>
        <v>Zaakceptowana</v>
      </c>
      <c r="G33" s="2" t="str">
        <f>TRIM(Table1[[#This Row],[Typ]])</f>
        <v>Faktura VAT</v>
      </c>
      <c r="H33" s="2" t="str">
        <f>TRIM(Table1[[#This Row],[Magazyn]])</f>
        <v>Apteka Szpitalna</v>
      </c>
      <c r="I33" s="2" t="str">
        <f>TRIM(Table1[[#This Row],[Umowa]])</f>
        <v>UM-MED-01</v>
      </c>
      <c r="J33" s="2" t="b">
        <f>ISTEXT(Table14[[#This Row],[Data_Wystawienia]])</f>
        <v>0</v>
      </c>
      <c r="K33" s="2">
        <f>VALUE(SUBSTITUTE(Table14[[#This Row],[Wartość]],".",","))</f>
        <v>16776.23</v>
      </c>
      <c r="L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" s="2" t="str">
        <f>IF(Table14[[#This Row],[Umowa]]="","Poza umową","Z umowy")</f>
        <v>Z umowy</v>
      </c>
      <c r="N33" s="2">
        <f>YEAR(Table14[[#This Row],[Data_Wystawienia]])</f>
        <v>2022</v>
      </c>
      <c r="O33" s="2" t="str">
        <f>TEXT(Table14[[#This Row],[Data_Wystawienia]],"rrrr-mm")</f>
        <v>2022-01</v>
      </c>
      <c r="P33" s="2">
        <v>1</v>
      </c>
    </row>
    <row r="34" spans="1:16" x14ac:dyDescent="0.3">
      <c r="A34" s="2" t="str">
        <f>TRIM(Table1[[#This Row],[Numer_FV]])</f>
        <v>FV/M/4047/P/22</v>
      </c>
      <c r="B34" s="2" t="str">
        <f>TRIM(Table1[[#This Row],[Numer_PZ]])</f>
        <v>PZ/800032</v>
      </c>
      <c r="C34" s="2" t="str">
        <f>TRIM(Table1[[#This Row],[Dostawca]])</f>
        <v>MedicaPharm</v>
      </c>
      <c r="D34" s="3">
        <v>44573</v>
      </c>
      <c r="E34" s="4" t="s">
        <v>131</v>
      </c>
      <c r="F34" s="2" t="str">
        <f>TRIM(Table1[[#This Row],[Status]])</f>
        <v>Zaakceptowana</v>
      </c>
      <c r="G34" s="2" t="str">
        <f>TRIM(Table1[[#This Row],[Typ]])</f>
        <v>Faktura VAT</v>
      </c>
      <c r="H34" s="2" t="str">
        <f>TRIM(Table1[[#This Row],[Magazyn]])</f>
        <v>Apteka Szpitalna</v>
      </c>
      <c r="I34" s="2" t="str">
        <f>TRIM(Table1[[#This Row],[Umowa]])</f>
        <v>UM-MED-01</v>
      </c>
      <c r="J34" s="2" t="b">
        <f>ISTEXT(Table14[[#This Row],[Data_Wystawienia]])</f>
        <v>0</v>
      </c>
      <c r="K34" s="2">
        <f>VALUE(SUBSTITUTE(Table14[[#This Row],[Wartość]],".",","))</f>
        <v>13488.72</v>
      </c>
      <c r="L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" s="2" t="str">
        <f>IF(Table14[[#This Row],[Umowa]]="","Poza umową","Z umowy")</f>
        <v>Z umowy</v>
      </c>
      <c r="N34" s="2">
        <f>YEAR(Table14[[#This Row],[Data_Wystawienia]])</f>
        <v>2022</v>
      </c>
      <c r="O34" s="2" t="str">
        <f>TEXT(Table14[[#This Row],[Data_Wystawienia]],"rrrr-mm")</f>
        <v>2022-01</v>
      </c>
      <c r="P34" s="2">
        <v>1</v>
      </c>
    </row>
    <row r="35" spans="1:16" x14ac:dyDescent="0.3">
      <c r="A35" s="2" t="str">
        <f>TRIM(Table1[[#This Row],[Numer_FV]])</f>
        <v>FV/1989HM/22</v>
      </c>
      <c r="B35" s="2" t="str">
        <f>TRIM(Table1[[#This Row],[Numer_PZ]])</f>
        <v>PZ/800033</v>
      </c>
      <c r="C35" s="2" t="str">
        <f>TRIM(Table1[[#This Row],[Dostawca]])</f>
        <v>HurtMedix</v>
      </c>
      <c r="D35" s="3">
        <v>44574</v>
      </c>
      <c r="E35" s="4" t="s">
        <v>134</v>
      </c>
      <c r="F35" s="2" t="str">
        <f>TRIM(Table1[[#This Row],[Status]])</f>
        <v>Zaakceptowana</v>
      </c>
      <c r="G35" s="2" t="str">
        <f>TRIM(Table1[[#This Row],[Typ]])</f>
        <v>Faktura VAT</v>
      </c>
      <c r="H35" s="2" t="str">
        <f>TRIM(Table1[[#This Row],[Magazyn]])</f>
        <v>Apteka Szpitalna</v>
      </c>
      <c r="I35" s="2" t="str">
        <f>TRIM(Table1[[#This Row],[Umowa]])</f>
        <v/>
      </c>
      <c r="J35" s="2" t="b">
        <f>ISTEXT(Table14[[#This Row],[Data_Wystawienia]])</f>
        <v>0</v>
      </c>
      <c r="K35" s="2">
        <f>VALUE(SUBSTITUTE(Table14[[#This Row],[Wartość]],".",","))</f>
        <v>8063.05</v>
      </c>
      <c r="L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" s="2" t="str">
        <f>IF(Table14[[#This Row],[Umowa]]="","Poza umową","Z umowy")</f>
        <v>Poza umową</v>
      </c>
      <c r="N35" s="2">
        <f>YEAR(Table14[[#This Row],[Data_Wystawienia]])</f>
        <v>2022</v>
      </c>
      <c r="O35" s="2" t="str">
        <f>TEXT(Table14[[#This Row],[Data_Wystawienia]],"rrrr-mm")</f>
        <v>2022-01</v>
      </c>
      <c r="P35" s="2">
        <v>1</v>
      </c>
    </row>
    <row r="36" spans="1:16" x14ac:dyDescent="0.3">
      <c r="A36" s="2" t="str">
        <f>TRIM(Table1[[#This Row],[Numer_FV]])</f>
        <v>FV/9053HM/22</v>
      </c>
      <c r="B36" s="2" t="str">
        <f>TRIM(Table1[[#This Row],[Numer_PZ]])</f>
        <v>PZ/800034</v>
      </c>
      <c r="C36" s="2" t="str">
        <f>TRIM(Table1[[#This Row],[Dostawca]])</f>
        <v>HurtMedix</v>
      </c>
      <c r="D36" s="3">
        <v>44574</v>
      </c>
      <c r="E36" s="4" t="s">
        <v>137</v>
      </c>
      <c r="F36" s="2" t="str">
        <f>TRIM(Table1[[#This Row],[Status]])</f>
        <v>Zaakceptowana</v>
      </c>
      <c r="G36" s="2" t="str">
        <f>TRIM(Table1[[#This Row],[Typ]])</f>
        <v>Faktura VAT</v>
      </c>
      <c r="H36" s="2" t="str">
        <f>TRIM(Table1[[#This Row],[Magazyn]])</f>
        <v>Apteka Szpitalna</v>
      </c>
      <c r="I36" s="2" t="str">
        <f>TRIM(Table1[[#This Row],[Umowa]])</f>
        <v>UM-HUR-01</v>
      </c>
      <c r="J36" s="2" t="b">
        <f>ISTEXT(Table14[[#This Row],[Data_Wystawienia]])</f>
        <v>0</v>
      </c>
      <c r="K36" s="2">
        <f>VALUE(SUBSTITUTE(Table14[[#This Row],[Wartość]],".",","))</f>
        <v>22753.06</v>
      </c>
      <c r="L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" s="2" t="str">
        <f>IF(Table14[[#This Row],[Umowa]]="","Poza umową","Z umowy")</f>
        <v>Z umowy</v>
      </c>
      <c r="N36" s="2">
        <f>YEAR(Table14[[#This Row],[Data_Wystawienia]])</f>
        <v>2022</v>
      </c>
      <c r="O36" s="2" t="str">
        <f>TEXT(Table14[[#This Row],[Data_Wystawienia]],"rrrr-mm")</f>
        <v>2022-01</v>
      </c>
      <c r="P36" s="2">
        <v>1</v>
      </c>
    </row>
    <row r="37" spans="1:16" x14ac:dyDescent="0.3">
      <c r="A37" s="2" t="str">
        <f>TRIM(Table1[[#This Row],[Numer_FV]])</f>
        <v>FV/2541HM/22</v>
      </c>
      <c r="B37" s="2" t="str">
        <f>TRIM(Table1[[#This Row],[Numer_PZ]])</f>
        <v>PZ/800035</v>
      </c>
      <c r="C37" s="2" t="str">
        <f>TRIM(Table1[[#This Row],[Dostawca]])</f>
        <v>HurtMedix</v>
      </c>
      <c r="D37" s="3">
        <v>44574</v>
      </c>
      <c r="E37" s="4" t="s">
        <v>140</v>
      </c>
      <c r="F37" s="2" t="str">
        <f>TRIM(Table1[[#This Row],[Status]])</f>
        <v>Zaakceptowana</v>
      </c>
      <c r="G37" s="2" t="str">
        <f>TRIM(Table1[[#This Row],[Typ]])</f>
        <v>Faktura VAT</v>
      </c>
      <c r="H37" s="2" t="str">
        <f>TRIM(Table1[[#This Row],[Magazyn]])</f>
        <v>Apteka Szpitalna</v>
      </c>
      <c r="I37" s="2" t="str">
        <f>TRIM(Table1[[#This Row],[Umowa]])</f>
        <v>UM-HUR-03</v>
      </c>
      <c r="J37" s="2" t="b">
        <f>ISTEXT(Table14[[#This Row],[Data_Wystawienia]])</f>
        <v>0</v>
      </c>
      <c r="K37" s="2">
        <f>VALUE(SUBSTITUTE(Table14[[#This Row],[Wartość]],".",","))</f>
        <v>8644.99</v>
      </c>
      <c r="L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" s="2" t="str">
        <f>IF(Table14[[#This Row],[Umowa]]="","Poza umową","Z umowy")</f>
        <v>Z umowy</v>
      </c>
      <c r="N37" s="2">
        <f>YEAR(Table14[[#This Row],[Data_Wystawienia]])</f>
        <v>2022</v>
      </c>
      <c r="O37" s="2" t="str">
        <f>TEXT(Table14[[#This Row],[Data_Wystawienia]],"rrrr-mm")</f>
        <v>2022-01</v>
      </c>
      <c r="P37" s="2">
        <v>1</v>
      </c>
    </row>
    <row r="38" spans="1:16" x14ac:dyDescent="0.3">
      <c r="A38" s="2" t="str">
        <f>TRIM(Table1[[#This Row],[Numer_FV]])</f>
        <v>FV/6389/NOVA/22</v>
      </c>
      <c r="B38" s="2" t="str">
        <f>TRIM(Table1[[#This Row],[Numer_PZ]])</f>
        <v>PZ/800036</v>
      </c>
      <c r="C38" s="2" t="str">
        <f>TRIM(Table1[[#This Row],[Dostawca]])</f>
        <v>NovaLek</v>
      </c>
      <c r="D38" s="3">
        <v>44574</v>
      </c>
      <c r="E38" s="4" t="s">
        <v>143</v>
      </c>
      <c r="F38" s="2" t="str">
        <f>TRIM(Table1[[#This Row],[Status]])</f>
        <v>Zaakceptowana</v>
      </c>
      <c r="G38" s="2" t="str">
        <f>TRIM(Table1[[#This Row],[Typ]])</f>
        <v>Faktura VAT</v>
      </c>
      <c r="H38" s="2" t="str">
        <f>TRIM(Table1[[#This Row],[Magazyn]])</f>
        <v>Apteka Szpitalna</v>
      </c>
      <c r="I38" s="2" t="str">
        <f>TRIM(Table1[[#This Row],[Umowa]])</f>
        <v>UM-NOV-02</v>
      </c>
      <c r="J38" s="2" t="b">
        <f>ISTEXT(Table14[[#This Row],[Data_Wystawienia]])</f>
        <v>0</v>
      </c>
      <c r="K38" s="2">
        <f>VALUE(SUBSTITUTE(Table14[[#This Row],[Wartość]],".",","))</f>
        <v>10078.81</v>
      </c>
      <c r="L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" s="2" t="str">
        <f>IF(Table14[[#This Row],[Umowa]]="","Poza umową","Z umowy")</f>
        <v>Z umowy</v>
      </c>
      <c r="N38" s="2">
        <f>YEAR(Table14[[#This Row],[Data_Wystawienia]])</f>
        <v>2022</v>
      </c>
      <c r="O38" s="2" t="str">
        <f>TEXT(Table14[[#This Row],[Data_Wystawienia]],"rrrr-mm")</f>
        <v>2022-01</v>
      </c>
      <c r="P38" s="2">
        <v>1</v>
      </c>
    </row>
    <row r="39" spans="1:16" x14ac:dyDescent="0.3">
      <c r="A39" s="2" t="str">
        <f>TRIM(Table1[[#This Row],[Numer_FV]])</f>
        <v>FV/8510/NOVA/22</v>
      </c>
      <c r="B39" s="2" t="str">
        <f>TRIM(Table1[[#This Row],[Numer_PZ]])</f>
        <v>PZ/800037</v>
      </c>
      <c r="C39" s="2" t="str">
        <f>TRIM(Table1[[#This Row],[Dostawca]])</f>
        <v>NovaLek</v>
      </c>
      <c r="D39" s="3">
        <v>44574</v>
      </c>
      <c r="E39" s="4" t="s">
        <v>146</v>
      </c>
      <c r="F39" s="2" t="str">
        <f>TRIM(Table1[[#This Row],[Status]])</f>
        <v>Zaakceptowana</v>
      </c>
      <c r="G39" s="2" t="str">
        <f>TRIM(Table1[[#This Row],[Typ]])</f>
        <v>Faktura VAT</v>
      </c>
      <c r="H39" s="2" t="str">
        <f>TRIM(Table1[[#This Row],[Magazyn]])</f>
        <v>Apteka Szpitalna</v>
      </c>
      <c r="I39" s="2" t="str">
        <f>TRIM(Table1[[#This Row],[Umowa]])</f>
        <v/>
      </c>
      <c r="J39" s="2" t="b">
        <f>ISTEXT(Table14[[#This Row],[Data_Wystawienia]])</f>
        <v>0</v>
      </c>
      <c r="K39" s="2">
        <f>VALUE(SUBSTITUTE(Table14[[#This Row],[Wartość]],".",","))</f>
        <v>10306.719999999999</v>
      </c>
      <c r="L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" s="2" t="str">
        <f>IF(Table14[[#This Row],[Umowa]]="","Poza umową","Z umowy")</f>
        <v>Poza umową</v>
      </c>
      <c r="N39" s="2">
        <f>YEAR(Table14[[#This Row],[Data_Wystawienia]])</f>
        <v>2022</v>
      </c>
      <c r="O39" s="2" t="str">
        <f>TEXT(Table14[[#This Row],[Data_Wystawienia]],"rrrr-mm")</f>
        <v>2022-01</v>
      </c>
      <c r="P39" s="2">
        <v>1</v>
      </c>
    </row>
    <row r="40" spans="1:16" x14ac:dyDescent="0.3">
      <c r="A40" s="2" t="str">
        <f>TRIM(Table1[[#This Row],[Numer_FV]])</f>
        <v>FV/CENFA/883369/22</v>
      </c>
      <c r="B40" s="2" t="str">
        <f>TRIM(Table1[[#This Row],[Numer_PZ]])</f>
        <v>PZ/800038</v>
      </c>
      <c r="C40" s="2" t="str">
        <f>TRIM(Table1[[#This Row],[Dostawca]])</f>
        <v>CentrumFarm</v>
      </c>
      <c r="D40" s="3">
        <v>44575</v>
      </c>
      <c r="E40" s="4" t="s">
        <v>149</v>
      </c>
      <c r="F40" s="2" t="str">
        <f>TRIM(Table1[[#This Row],[Status]])</f>
        <v>Zaakceptowana</v>
      </c>
      <c r="G40" s="2" t="str">
        <f>TRIM(Table1[[#This Row],[Typ]])</f>
        <v>Faktura VAT</v>
      </c>
      <c r="H40" s="2" t="str">
        <f>TRIM(Table1[[#This Row],[Magazyn]])</f>
        <v>Apteka Szpitalna</v>
      </c>
      <c r="I40" s="2" t="str">
        <f>TRIM(Table1[[#This Row],[Umowa]])</f>
        <v>UM-CEN-01</v>
      </c>
      <c r="J40" s="2" t="b">
        <f>ISTEXT(Table14[[#This Row],[Data_Wystawienia]])</f>
        <v>0</v>
      </c>
      <c r="K40" s="2">
        <f>VALUE(SUBSTITUTE(Table14[[#This Row],[Wartość]],".",","))</f>
        <v>8519.16</v>
      </c>
      <c r="L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" s="2" t="str">
        <f>IF(Table14[[#This Row],[Umowa]]="","Poza umową","Z umowy")</f>
        <v>Z umowy</v>
      </c>
      <c r="N40" s="2">
        <f>YEAR(Table14[[#This Row],[Data_Wystawienia]])</f>
        <v>2022</v>
      </c>
      <c r="O40" s="2" t="str">
        <f>TEXT(Table14[[#This Row],[Data_Wystawienia]],"rrrr-mm")</f>
        <v>2022-01</v>
      </c>
      <c r="P40" s="2">
        <v>1</v>
      </c>
    </row>
    <row r="41" spans="1:16" x14ac:dyDescent="0.3">
      <c r="A41" s="2" t="str">
        <f>TRIM(Table1[[#This Row],[Numer_FV]])</f>
        <v>FV/57/PP/4994/22</v>
      </c>
      <c r="B41" s="2" t="str">
        <f>TRIM(Table1[[#This Row],[Numer_PZ]])</f>
        <v>PZ/800039</v>
      </c>
      <c r="C41" s="2" t="str">
        <f>TRIM(Table1[[#This Row],[Dostawca]])</f>
        <v>PharmaPlus</v>
      </c>
      <c r="D41" s="3">
        <v>44575</v>
      </c>
      <c r="E41" s="4" t="s">
        <v>152</v>
      </c>
      <c r="F41" s="2" t="str">
        <f>TRIM(Table1[[#This Row],[Status]])</f>
        <v>Zaakceptowana</v>
      </c>
      <c r="G41" s="2" t="str">
        <f>TRIM(Table1[[#This Row],[Typ]])</f>
        <v>Faktura VAT</v>
      </c>
      <c r="H41" s="2" t="str">
        <f>TRIM(Table1[[#This Row],[Magazyn]])</f>
        <v>Apteka Szpitalna</v>
      </c>
      <c r="I41" s="2" t="str">
        <f>TRIM(Table1[[#This Row],[Umowa]])</f>
        <v/>
      </c>
      <c r="J41" s="2" t="b">
        <f>ISTEXT(Table14[[#This Row],[Data_Wystawienia]])</f>
        <v>0</v>
      </c>
      <c r="K41" s="2">
        <f>VALUE(SUBSTITUTE(Table14[[#This Row],[Wartość]],".",","))</f>
        <v>9949.23</v>
      </c>
      <c r="L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" s="2" t="str">
        <f>IF(Table14[[#This Row],[Umowa]]="","Poza umową","Z umowy")</f>
        <v>Poza umową</v>
      </c>
      <c r="N41" s="2">
        <f>YEAR(Table14[[#This Row],[Data_Wystawienia]])</f>
        <v>2022</v>
      </c>
      <c r="O41" s="2" t="str">
        <f>TEXT(Table14[[#This Row],[Data_Wystawienia]],"rrrr-mm")</f>
        <v>2022-01</v>
      </c>
      <c r="P41" s="2">
        <v>1</v>
      </c>
    </row>
    <row r="42" spans="1:16" x14ac:dyDescent="0.3">
      <c r="A42" s="2" t="str">
        <f>TRIM(Table1[[#This Row],[Numer_FV]])</f>
        <v>FV/1088/NOVA/22</v>
      </c>
      <c r="B42" s="2" t="str">
        <f>TRIM(Table1[[#This Row],[Numer_PZ]])</f>
        <v>PZ/800040</v>
      </c>
      <c r="C42" s="2" t="str">
        <f>TRIM(Table1[[#This Row],[Dostawca]])</f>
        <v>NovaLek</v>
      </c>
      <c r="D42" s="3">
        <v>44575</v>
      </c>
      <c r="E42" s="4" t="s">
        <v>155</v>
      </c>
      <c r="F42" s="2" t="str">
        <f>TRIM(Table1[[#This Row],[Status]])</f>
        <v>Zaakceptowana</v>
      </c>
      <c r="G42" s="2" t="str">
        <f>TRIM(Table1[[#This Row],[Typ]])</f>
        <v>Faktura VAT</v>
      </c>
      <c r="H42" s="2" t="str">
        <f>TRIM(Table1[[#This Row],[Magazyn]])</f>
        <v>Apteka Szpitalna</v>
      </c>
      <c r="I42" s="2" t="str">
        <f>TRIM(Table1[[#This Row],[Umowa]])</f>
        <v>UM-NOV-03</v>
      </c>
      <c r="J42" s="2" t="b">
        <f>ISTEXT(Table14[[#This Row],[Data_Wystawienia]])</f>
        <v>0</v>
      </c>
      <c r="K42" s="2">
        <f>VALUE(SUBSTITUTE(Table14[[#This Row],[Wartość]],".",","))</f>
        <v>23174.55</v>
      </c>
      <c r="L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" s="2" t="str">
        <f>IF(Table14[[#This Row],[Umowa]]="","Poza umową","Z umowy")</f>
        <v>Z umowy</v>
      </c>
      <c r="N42" s="2">
        <f>YEAR(Table14[[#This Row],[Data_Wystawienia]])</f>
        <v>2022</v>
      </c>
      <c r="O42" s="2" t="str">
        <f>TEXT(Table14[[#This Row],[Data_Wystawienia]],"rrrr-mm")</f>
        <v>2022-01</v>
      </c>
      <c r="P42" s="2">
        <v>1</v>
      </c>
    </row>
    <row r="43" spans="1:16" x14ac:dyDescent="0.3">
      <c r="A43" s="2" t="str">
        <f>TRIM(Table1[[#This Row],[Numer_FV]])</f>
        <v>FV/80019/VDb/2022</v>
      </c>
      <c r="B43" s="2" t="str">
        <f>TRIM(Table1[[#This Row],[Numer_PZ]])</f>
        <v>PZ/800041</v>
      </c>
      <c r="C43" s="2" t="str">
        <f>TRIM(Table1[[#This Row],[Dostawca]])</f>
        <v>VitaDistrib</v>
      </c>
      <c r="D43" s="3">
        <v>44576</v>
      </c>
      <c r="E43" s="4" t="s">
        <v>158</v>
      </c>
      <c r="F43" s="2" t="str">
        <f>TRIM(Table1[[#This Row],[Status]])</f>
        <v>Zaakceptowana</v>
      </c>
      <c r="G43" s="2" t="str">
        <f>TRIM(Table1[[#This Row],[Typ]])</f>
        <v>Faktura VAT</v>
      </c>
      <c r="H43" s="2" t="str">
        <f>TRIM(Table1[[#This Row],[Magazyn]])</f>
        <v>Apteka Szpitalna</v>
      </c>
      <c r="I43" s="2" t="str">
        <f>TRIM(Table1[[#This Row],[Umowa]])</f>
        <v/>
      </c>
      <c r="J43" s="2" t="b">
        <f>ISTEXT(Table14[[#This Row],[Data_Wystawienia]])</f>
        <v>0</v>
      </c>
      <c r="K43" s="2">
        <f>VALUE(SUBSTITUTE(Table14[[#This Row],[Wartość]],".",","))</f>
        <v>16326.75</v>
      </c>
      <c r="L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" s="2" t="str">
        <f>IF(Table14[[#This Row],[Umowa]]="","Poza umową","Z umowy")</f>
        <v>Poza umową</v>
      </c>
      <c r="N43" s="2">
        <f>YEAR(Table14[[#This Row],[Data_Wystawienia]])</f>
        <v>2022</v>
      </c>
      <c r="O43" s="2" t="str">
        <f>TEXT(Table14[[#This Row],[Data_Wystawienia]],"rrrr-mm")</f>
        <v>2022-01</v>
      </c>
      <c r="P43" s="2">
        <v>1</v>
      </c>
    </row>
    <row r="44" spans="1:16" x14ac:dyDescent="0.3">
      <c r="A44" s="2" t="str">
        <f>TRIM(Table1[[#This Row],[Numer_FV]])</f>
        <v>FV/M/1972/P/22</v>
      </c>
      <c r="B44" s="2" t="str">
        <f>TRIM(Table1[[#This Row],[Numer_PZ]])</f>
        <v>PZ/800042</v>
      </c>
      <c r="C44" s="2" t="str">
        <f>TRIM(Table1[[#This Row],[Dostawca]])</f>
        <v>MedicaPharm</v>
      </c>
      <c r="D44" s="3">
        <v>44576</v>
      </c>
      <c r="E44" s="4" t="s">
        <v>161</v>
      </c>
      <c r="F44" s="2" t="str">
        <f>TRIM(Table1[[#This Row],[Status]])</f>
        <v>Zaakceptowana</v>
      </c>
      <c r="G44" s="2" t="str">
        <f>TRIM(Table1[[#This Row],[Typ]])</f>
        <v>Faktura VAT</v>
      </c>
      <c r="H44" s="2" t="str">
        <f>TRIM(Table1[[#This Row],[Magazyn]])</f>
        <v>Apteka Szpitalna</v>
      </c>
      <c r="I44" s="2" t="str">
        <f>TRIM(Table1[[#This Row],[Umowa]])</f>
        <v>UM-MED-01</v>
      </c>
      <c r="J44" s="2" t="b">
        <f>ISTEXT(Table14[[#This Row],[Data_Wystawienia]])</f>
        <v>0</v>
      </c>
      <c r="K44" s="2">
        <f>VALUE(SUBSTITUTE(Table14[[#This Row],[Wartość]],".",","))</f>
        <v>10575.71</v>
      </c>
      <c r="L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" s="2" t="str">
        <f>IF(Table14[[#This Row],[Umowa]]="","Poza umową","Z umowy")</f>
        <v>Z umowy</v>
      </c>
      <c r="N44" s="2">
        <f>YEAR(Table14[[#This Row],[Data_Wystawienia]])</f>
        <v>2022</v>
      </c>
      <c r="O44" s="2" t="str">
        <f>TEXT(Table14[[#This Row],[Data_Wystawienia]],"rrrr-mm")</f>
        <v>2022-01</v>
      </c>
      <c r="P44" s="2">
        <v>1</v>
      </c>
    </row>
    <row r="45" spans="1:16" x14ac:dyDescent="0.3">
      <c r="A45" s="2" t="str">
        <f>TRIM(Table1[[#This Row],[Numer_FV]])</f>
        <v>FV/POL/97351/2022</v>
      </c>
      <c r="B45" s="2" t="str">
        <f>TRIM(Table1[[#This Row],[Numer_PZ]])</f>
        <v>PZ/800043</v>
      </c>
      <c r="C45" s="2" t="str">
        <f>TRIM(Table1[[#This Row],[Dostawca]])</f>
        <v>Polmedica</v>
      </c>
      <c r="D45" s="3">
        <v>44576</v>
      </c>
      <c r="E45" s="4" t="s">
        <v>164</v>
      </c>
      <c r="F45" s="2" t="str">
        <f>TRIM(Table1[[#This Row],[Status]])</f>
        <v>Zaakceptowana</v>
      </c>
      <c r="G45" s="2" t="str">
        <f>TRIM(Table1[[#This Row],[Typ]])</f>
        <v>Faktura VAT</v>
      </c>
      <c r="H45" s="2" t="str">
        <f>TRIM(Table1[[#This Row],[Magazyn]])</f>
        <v>Apteka Szpitalna</v>
      </c>
      <c r="I45" s="2" t="str">
        <f>TRIM(Table1[[#This Row],[Umowa]])</f>
        <v>UM-POL-02</v>
      </c>
      <c r="J45" s="2" t="b">
        <f>ISTEXT(Table14[[#This Row],[Data_Wystawienia]])</f>
        <v>0</v>
      </c>
      <c r="K45" s="2">
        <f>VALUE(SUBSTITUTE(Table14[[#This Row],[Wartość]],".",","))</f>
        <v>22768.45</v>
      </c>
      <c r="L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" s="2" t="str">
        <f>IF(Table14[[#This Row],[Umowa]]="","Poza umową","Z umowy")</f>
        <v>Z umowy</v>
      </c>
      <c r="N45" s="2">
        <f>YEAR(Table14[[#This Row],[Data_Wystawienia]])</f>
        <v>2022</v>
      </c>
      <c r="O45" s="2" t="str">
        <f>TEXT(Table14[[#This Row],[Data_Wystawienia]],"rrrr-mm")</f>
        <v>2022-01</v>
      </c>
      <c r="P45" s="2">
        <v>1</v>
      </c>
    </row>
    <row r="46" spans="1:16" x14ac:dyDescent="0.3">
      <c r="A46" s="2" t="str">
        <f>TRIM(Table1[[#This Row],[Numer_FV]])</f>
        <v>FV/CENFA/549435/22</v>
      </c>
      <c r="B46" s="2" t="str">
        <f>TRIM(Table1[[#This Row],[Numer_PZ]])</f>
        <v>PZ/800044</v>
      </c>
      <c r="C46" s="2" t="str">
        <f>TRIM(Table1[[#This Row],[Dostawca]])</f>
        <v>CentrumFarm</v>
      </c>
      <c r="D46" s="3">
        <v>44577</v>
      </c>
      <c r="E46" s="4" t="s">
        <v>167</v>
      </c>
      <c r="F46" s="2" t="str">
        <f>TRIM(Table1[[#This Row],[Status]])</f>
        <v>Zaakceptowana</v>
      </c>
      <c r="G46" s="2" t="str">
        <f>TRIM(Table1[[#This Row],[Typ]])</f>
        <v>Faktura VAT</v>
      </c>
      <c r="H46" s="2" t="str">
        <f>TRIM(Table1[[#This Row],[Magazyn]])</f>
        <v>Apteka Szpitalna</v>
      </c>
      <c r="I46" s="2" t="str">
        <f>TRIM(Table1[[#This Row],[Umowa]])</f>
        <v/>
      </c>
      <c r="J46" s="2" t="b">
        <f>ISTEXT(Table14[[#This Row],[Data_Wystawienia]])</f>
        <v>0</v>
      </c>
      <c r="K46" s="2">
        <f>VALUE(SUBSTITUTE(Table14[[#This Row],[Wartość]],".",","))</f>
        <v>16256.24</v>
      </c>
      <c r="L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" s="2" t="str">
        <f>IF(Table14[[#This Row],[Umowa]]="","Poza umową","Z umowy")</f>
        <v>Poza umową</v>
      </c>
      <c r="N46" s="2">
        <f>YEAR(Table14[[#This Row],[Data_Wystawienia]])</f>
        <v>2022</v>
      </c>
      <c r="O46" s="2" t="str">
        <f>TEXT(Table14[[#This Row],[Data_Wystawienia]],"rrrr-mm")</f>
        <v>2022-01</v>
      </c>
      <c r="P46" s="2">
        <v>1</v>
      </c>
    </row>
    <row r="47" spans="1:16" x14ac:dyDescent="0.3">
      <c r="A47" s="2" t="str">
        <f>TRIM(Table1[[#This Row],[Numer_FV]])</f>
        <v>FV/6263HM/22</v>
      </c>
      <c r="B47" s="2" t="str">
        <f>TRIM(Table1[[#This Row],[Numer_PZ]])</f>
        <v>PZ/800045</v>
      </c>
      <c r="C47" s="2" t="str">
        <f>TRIM(Table1[[#This Row],[Dostawca]])</f>
        <v>HurtMedix</v>
      </c>
      <c r="D47" s="3">
        <v>44577</v>
      </c>
      <c r="E47" s="4" t="s">
        <v>170</v>
      </c>
      <c r="F47" s="2" t="str">
        <f>TRIM(Table1[[#This Row],[Status]])</f>
        <v>Zaakceptowana</v>
      </c>
      <c r="G47" s="2" t="str">
        <f>TRIM(Table1[[#This Row],[Typ]])</f>
        <v>Faktura VAT</v>
      </c>
      <c r="H47" s="2" t="str">
        <f>TRIM(Table1[[#This Row],[Magazyn]])</f>
        <v>Apteka Szpitalna</v>
      </c>
      <c r="I47" s="2" t="str">
        <f>TRIM(Table1[[#This Row],[Umowa]])</f>
        <v>UM-HUR-01</v>
      </c>
      <c r="J47" s="2" t="b">
        <f>ISTEXT(Table14[[#This Row],[Data_Wystawienia]])</f>
        <v>0</v>
      </c>
      <c r="K47" s="2">
        <f>VALUE(SUBSTITUTE(Table14[[#This Row],[Wartość]],".",","))</f>
        <v>8703.67</v>
      </c>
      <c r="L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" s="2" t="str">
        <f>IF(Table14[[#This Row],[Umowa]]="","Poza umową","Z umowy")</f>
        <v>Z umowy</v>
      </c>
      <c r="N47" s="2">
        <f>YEAR(Table14[[#This Row],[Data_Wystawienia]])</f>
        <v>2022</v>
      </c>
      <c r="O47" s="2" t="str">
        <f>TEXT(Table14[[#This Row],[Data_Wystawienia]],"rrrr-mm")</f>
        <v>2022-01</v>
      </c>
      <c r="P47" s="2">
        <v>1</v>
      </c>
    </row>
    <row r="48" spans="1:16" x14ac:dyDescent="0.3">
      <c r="A48" s="2" t="str">
        <f>TRIM(Table1[[#This Row],[Numer_FV]])</f>
        <v>FV/4149HM/22</v>
      </c>
      <c r="B48" s="2" t="str">
        <f>TRIM(Table1[[#This Row],[Numer_PZ]])</f>
        <v>PZ/800046</v>
      </c>
      <c r="C48" s="2" t="str">
        <f>TRIM(Table1[[#This Row],[Dostawca]])</f>
        <v>HurtMedix</v>
      </c>
      <c r="D48" s="3">
        <v>44577</v>
      </c>
      <c r="E48" s="4" t="s">
        <v>173</v>
      </c>
      <c r="F48" s="2" t="str">
        <f>TRIM(Table1[[#This Row],[Status]])</f>
        <v>Zaakceptowana</v>
      </c>
      <c r="G48" s="2" t="str">
        <f>TRIM(Table1[[#This Row],[Typ]])</f>
        <v>Korekta FV</v>
      </c>
      <c r="H48" s="2" t="str">
        <f>TRIM(Table1[[#This Row],[Magazyn]])</f>
        <v>Apteka Szpitalna</v>
      </c>
      <c r="I48" s="2" t="str">
        <f>TRIM(Table1[[#This Row],[Umowa]])</f>
        <v>UM-HUR-01</v>
      </c>
      <c r="J48" s="2" t="b">
        <f>ISTEXT(Table14[[#This Row],[Data_Wystawienia]])</f>
        <v>0</v>
      </c>
      <c r="K48" s="2">
        <f>VALUE(SUBSTITUTE(Table14[[#This Row],[Wartość]],".",","))</f>
        <v>-1500.23</v>
      </c>
      <c r="L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" s="2" t="str">
        <f>IF(Table14[[#This Row],[Umowa]]="","Poza umową","Z umowy")</f>
        <v>Z umowy</v>
      </c>
      <c r="N48" s="2">
        <f>YEAR(Table14[[#This Row],[Data_Wystawienia]])</f>
        <v>2022</v>
      </c>
      <c r="O48" s="2" t="str">
        <f>TEXT(Table14[[#This Row],[Data_Wystawienia]],"rrrr-mm")</f>
        <v>2022-01</v>
      </c>
      <c r="P48" s="2">
        <v>1</v>
      </c>
    </row>
    <row r="49" spans="1:16" x14ac:dyDescent="0.3">
      <c r="A49" s="2" t="str">
        <f>TRIM(Table1[[#This Row],[Numer_FV]])</f>
        <v>FV/POL/86803/2022</v>
      </c>
      <c r="B49" s="2" t="str">
        <f>TRIM(Table1[[#This Row],[Numer_PZ]])</f>
        <v>PZ/800047</v>
      </c>
      <c r="C49" s="2" t="str">
        <f>TRIM(Table1[[#This Row],[Dostawca]])</f>
        <v>Polmedica</v>
      </c>
      <c r="D49" s="3">
        <v>44577</v>
      </c>
      <c r="E49" s="4" t="s">
        <v>177</v>
      </c>
      <c r="F49" s="2" t="str">
        <f>TRIM(Table1[[#This Row],[Status]])</f>
        <v>Zaakceptowana</v>
      </c>
      <c r="G49" s="2" t="str">
        <f>TRIM(Table1[[#This Row],[Typ]])</f>
        <v>Faktura VAT</v>
      </c>
      <c r="H49" s="2" t="str">
        <f>TRIM(Table1[[#This Row],[Magazyn]])</f>
        <v>Apteka Szpitalna</v>
      </c>
      <c r="I49" s="2" t="str">
        <f>TRIM(Table1[[#This Row],[Umowa]])</f>
        <v/>
      </c>
      <c r="J49" s="2" t="b">
        <f>ISTEXT(Table14[[#This Row],[Data_Wystawienia]])</f>
        <v>0</v>
      </c>
      <c r="K49" s="2">
        <f>VALUE(SUBSTITUTE(Table14[[#This Row],[Wartość]],".",","))</f>
        <v>21492.77</v>
      </c>
      <c r="L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" s="2" t="str">
        <f>IF(Table14[[#This Row],[Umowa]]="","Poza umową","Z umowy")</f>
        <v>Poza umową</v>
      </c>
      <c r="N49" s="2">
        <f>YEAR(Table14[[#This Row],[Data_Wystawienia]])</f>
        <v>2022</v>
      </c>
      <c r="O49" s="2" t="str">
        <f>TEXT(Table14[[#This Row],[Data_Wystawienia]],"rrrr-mm")</f>
        <v>2022-01</v>
      </c>
      <c r="P49" s="2">
        <v>1</v>
      </c>
    </row>
    <row r="50" spans="1:16" x14ac:dyDescent="0.3">
      <c r="A50" s="2" t="str">
        <f>TRIM(Table1[[#This Row],[Numer_FV]])</f>
        <v>FV/40/PP/6793/22</v>
      </c>
      <c r="B50" s="2" t="str">
        <f>TRIM(Table1[[#This Row],[Numer_PZ]])</f>
        <v>PZ/800048</v>
      </c>
      <c r="C50" s="2" t="str">
        <f>TRIM(Table1[[#This Row],[Dostawca]])</f>
        <v>PharmaPlus</v>
      </c>
      <c r="D50" s="3">
        <v>44577</v>
      </c>
      <c r="E50" s="4" t="s">
        <v>180</v>
      </c>
      <c r="F50" s="2" t="str">
        <f>TRIM(Table1[[#This Row],[Status]])</f>
        <v>Zaakceptowana</v>
      </c>
      <c r="G50" s="2" t="str">
        <f>TRIM(Table1[[#This Row],[Typ]])</f>
        <v>Faktura VAT</v>
      </c>
      <c r="H50" s="2" t="str">
        <f>TRIM(Table1[[#This Row],[Magazyn]])</f>
        <v>Apteka Szpitalna</v>
      </c>
      <c r="I50" s="2" t="str">
        <f>TRIM(Table1[[#This Row],[Umowa]])</f>
        <v>UM-PHA-01</v>
      </c>
      <c r="J50" s="2" t="b">
        <f>ISTEXT(Table14[[#This Row],[Data_Wystawienia]])</f>
        <v>0</v>
      </c>
      <c r="K50" s="2">
        <f>VALUE(SUBSTITUTE(Table14[[#This Row],[Wartość]],".",","))</f>
        <v>2852.69</v>
      </c>
      <c r="L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" s="2" t="str">
        <f>IF(Table14[[#This Row],[Umowa]]="","Poza umową","Z umowy")</f>
        <v>Z umowy</v>
      </c>
      <c r="N50" s="2">
        <f>YEAR(Table14[[#This Row],[Data_Wystawienia]])</f>
        <v>2022</v>
      </c>
      <c r="O50" s="2" t="str">
        <f>TEXT(Table14[[#This Row],[Data_Wystawienia]],"rrrr-mm")</f>
        <v>2022-01</v>
      </c>
      <c r="P50" s="2">
        <v>1</v>
      </c>
    </row>
    <row r="51" spans="1:16" x14ac:dyDescent="0.3">
      <c r="A51" s="2" t="str">
        <f>TRIM(Table1[[#This Row],[Numer_FV]])</f>
        <v>FV/POL/25418/2022</v>
      </c>
      <c r="B51" s="2" t="str">
        <f>TRIM(Table1[[#This Row],[Numer_PZ]])</f>
        <v>PZ/800049</v>
      </c>
      <c r="C51" s="2" t="str">
        <f>TRIM(Table1[[#This Row],[Dostawca]])</f>
        <v>Polmedica</v>
      </c>
      <c r="D51" s="3">
        <v>44577</v>
      </c>
      <c r="E51" s="4" t="s">
        <v>184</v>
      </c>
      <c r="F51" s="2" t="str">
        <f>TRIM(Table1[[#This Row],[Status]])</f>
        <v>Zaakceptowana</v>
      </c>
      <c r="G51" s="2" t="str">
        <f>TRIM(Table1[[#This Row],[Typ]])</f>
        <v>Faktura VAT</v>
      </c>
      <c r="H51" s="2" t="str">
        <f>TRIM(Table1[[#This Row],[Magazyn]])</f>
        <v>Apteka Szpitalna</v>
      </c>
      <c r="I51" s="2" t="str">
        <f>TRIM(Table1[[#This Row],[Umowa]])</f>
        <v>UM-POL-03</v>
      </c>
      <c r="J51" s="2" t="b">
        <f>ISTEXT(Table14[[#This Row],[Data_Wystawienia]])</f>
        <v>0</v>
      </c>
      <c r="K51" s="2">
        <f>VALUE(SUBSTITUTE(Table14[[#This Row],[Wartość]],".",","))</f>
        <v>11606.37</v>
      </c>
      <c r="L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" s="2" t="str">
        <f>IF(Table14[[#This Row],[Umowa]]="","Poza umową","Z umowy")</f>
        <v>Z umowy</v>
      </c>
      <c r="N51" s="2">
        <f>YEAR(Table14[[#This Row],[Data_Wystawienia]])</f>
        <v>2022</v>
      </c>
      <c r="O51" s="2" t="str">
        <f>TEXT(Table14[[#This Row],[Data_Wystawienia]],"rrrr-mm")</f>
        <v>2022-01</v>
      </c>
      <c r="P51" s="2">
        <v>1</v>
      </c>
    </row>
    <row r="52" spans="1:16" x14ac:dyDescent="0.3">
      <c r="A52" s="2" t="str">
        <f>TRIM(Table1[[#This Row],[Numer_FV]])</f>
        <v>FV/19610/VDb/2022</v>
      </c>
      <c r="B52" s="2" t="str">
        <f>TRIM(Table1[[#This Row],[Numer_PZ]])</f>
        <v>PZ/800050</v>
      </c>
      <c r="C52" s="2" t="str">
        <f>TRIM(Table1[[#This Row],[Dostawca]])</f>
        <v>VitaDistrib</v>
      </c>
      <c r="D52" s="3">
        <v>44577</v>
      </c>
      <c r="E52" s="4" t="s">
        <v>188</v>
      </c>
      <c r="F52" s="2" t="str">
        <f>TRIM(Table1[[#This Row],[Status]])</f>
        <v>Zaakceptowana</v>
      </c>
      <c r="G52" s="2" t="str">
        <f>TRIM(Table1[[#This Row],[Typ]])</f>
        <v>Faktura VAT</v>
      </c>
      <c r="H52" s="2" t="str">
        <f>TRIM(Table1[[#This Row],[Magazyn]])</f>
        <v>Apteka Szpitalna</v>
      </c>
      <c r="I52" s="2" t="str">
        <f>TRIM(Table1[[#This Row],[Umowa]])</f>
        <v>UM-VIT-01</v>
      </c>
      <c r="J52" s="2" t="b">
        <f>ISTEXT(Table14[[#This Row],[Data_Wystawienia]])</f>
        <v>0</v>
      </c>
      <c r="K52" s="2">
        <f>VALUE(SUBSTITUTE(Table14[[#This Row],[Wartość]],".",","))</f>
        <v>15425.33</v>
      </c>
      <c r="L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" s="2" t="str">
        <f>IF(Table14[[#This Row],[Umowa]]="","Poza umową","Z umowy")</f>
        <v>Z umowy</v>
      </c>
      <c r="N52" s="2">
        <f>YEAR(Table14[[#This Row],[Data_Wystawienia]])</f>
        <v>2022</v>
      </c>
      <c r="O52" s="2" t="str">
        <f>TEXT(Table14[[#This Row],[Data_Wystawienia]],"rrrr-mm")</f>
        <v>2022-01</v>
      </c>
      <c r="P52" s="2">
        <v>1</v>
      </c>
    </row>
    <row r="53" spans="1:16" x14ac:dyDescent="0.3">
      <c r="A53" s="2" t="str">
        <f>TRIM(Table1[[#This Row],[Numer_FV]])</f>
        <v>FV/7869HM/22</v>
      </c>
      <c r="B53" s="2" t="str">
        <f>TRIM(Table1[[#This Row],[Numer_PZ]])</f>
        <v>PZ/800051</v>
      </c>
      <c r="C53" s="2" t="str">
        <f>TRIM(Table1[[#This Row],[Dostawca]])</f>
        <v>HurtMedix</v>
      </c>
      <c r="D53" s="3">
        <v>44578</v>
      </c>
      <c r="E53" s="4" t="s">
        <v>191</v>
      </c>
      <c r="F53" s="2" t="str">
        <f>TRIM(Table1[[#This Row],[Status]])</f>
        <v>Zaakceptowana</v>
      </c>
      <c r="G53" s="2" t="str">
        <f>TRIM(Table1[[#This Row],[Typ]])</f>
        <v>Faktura VAT</v>
      </c>
      <c r="H53" s="2" t="str">
        <f>TRIM(Table1[[#This Row],[Magazyn]])</f>
        <v>Apteka Szpitalna</v>
      </c>
      <c r="I53" s="2" t="str">
        <f>TRIM(Table1[[#This Row],[Umowa]])</f>
        <v/>
      </c>
      <c r="J53" s="2" t="b">
        <f>ISTEXT(Table14[[#This Row],[Data_Wystawienia]])</f>
        <v>0</v>
      </c>
      <c r="K53" s="2">
        <f>VALUE(SUBSTITUTE(Table14[[#This Row],[Wartość]],".",","))</f>
        <v>7034.43</v>
      </c>
      <c r="L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" s="2" t="str">
        <f>IF(Table14[[#This Row],[Umowa]]="","Poza umową","Z umowy")</f>
        <v>Poza umową</v>
      </c>
      <c r="N53" s="2">
        <f>YEAR(Table14[[#This Row],[Data_Wystawienia]])</f>
        <v>2022</v>
      </c>
      <c r="O53" s="2" t="str">
        <f>TEXT(Table14[[#This Row],[Data_Wystawienia]],"rrrr-mm")</f>
        <v>2022-01</v>
      </c>
      <c r="P53" s="2">
        <v>1</v>
      </c>
    </row>
    <row r="54" spans="1:16" x14ac:dyDescent="0.3">
      <c r="A54" s="2" t="str">
        <f>TRIM(Table1[[#This Row],[Numer_FV]])</f>
        <v>FV/48794/VDb/2022</v>
      </c>
      <c r="B54" s="2" t="str">
        <f>TRIM(Table1[[#This Row],[Numer_PZ]])</f>
        <v>PZ/800052</v>
      </c>
      <c r="C54" s="2" t="str">
        <f>TRIM(Table1[[#This Row],[Dostawca]])</f>
        <v>VitaDistrib</v>
      </c>
      <c r="D54" s="3">
        <v>44578</v>
      </c>
      <c r="E54" s="4" t="s">
        <v>194</v>
      </c>
      <c r="F54" s="2" t="str">
        <f>TRIM(Table1[[#This Row],[Status]])</f>
        <v>Zaakceptowana</v>
      </c>
      <c r="G54" s="2" t="str">
        <f>TRIM(Table1[[#This Row],[Typ]])</f>
        <v>Faktura VAT</v>
      </c>
      <c r="H54" s="2" t="str">
        <f>TRIM(Table1[[#This Row],[Magazyn]])</f>
        <v>Apteka Szpitalna</v>
      </c>
      <c r="I54" s="2" t="str">
        <f>TRIM(Table1[[#This Row],[Umowa]])</f>
        <v>UM-VIT-01</v>
      </c>
      <c r="J54" s="2" t="b">
        <f>ISTEXT(Table14[[#This Row],[Data_Wystawienia]])</f>
        <v>0</v>
      </c>
      <c r="K54" s="2">
        <f>VALUE(SUBSTITUTE(Table14[[#This Row],[Wartość]],".",","))</f>
        <v>13076.91</v>
      </c>
      <c r="L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" s="2" t="str">
        <f>IF(Table14[[#This Row],[Umowa]]="","Poza umową","Z umowy")</f>
        <v>Z umowy</v>
      </c>
      <c r="N54" s="2">
        <f>YEAR(Table14[[#This Row],[Data_Wystawienia]])</f>
        <v>2022</v>
      </c>
      <c r="O54" s="2" t="str">
        <f>TEXT(Table14[[#This Row],[Data_Wystawienia]],"rrrr-mm")</f>
        <v>2022-01</v>
      </c>
      <c r="P54" s="2">
        <v>1</v>
      </c>
    </row>
    <row r="55" spans="1:16" x14ac:dyDescent="0.3">
      <c r="A55" s="2" t="str">
        <f>TRIM(Table1[[#This Row],[Numer_FV]])</f>
        <v>FV/M/7314/P/22</v>
      </c>
      <c r="B55" s="2" t="str">
        <f>TRIM(Table1[[#This Row],[Numer_PZ]])</f>
        <v>PZ/800053</v>
      </c>
      <c r="C55" s="2" t="str">
        <f>TRIM(Table1[[#This Row],[Dostawca]])</f>
        <v>MedicaPharm</v>
      </c>
      <c r="D55" s="3">
        <v>44579</v>
      </c>
      <c r="E55" s="4" t="s">
        <v>197</v>
      </c>
      <c r="F55" s="2" t="str">
        <f>TRIM(Table1[[#This Row],[Status]])</f>
        <v>Zaakceptowana</v>
      </c>
      <c r="G55" s="2" t="str">
        <f>TRIM(Table1[[#This Row],[Typ]])</f>
        <v>Faktura VAT</v>
      </c>
      <c r="H55" s="2" t="str">
        <f>TRIM(Table1[[#This Row],[Magazyn]])</f>
        <v>Apteka Szpitalna</v>
      </c>
      <c r="I55" s="2" t="str">
        <f>TRIM(Table1[[#This Row],[Umowa]])</f>
        <v/>
      </c>
      <c r="J55" s="2" t="b">
        <f>ISTEXT(Table14[[#This Row],[Data_Wystawienia]])</f>
        <v>0</v>
      </c>
      <c r="K55" s="2">
        <f>VALUE(SUBSTITUTE(Table14[[#This Row],[Wartość]],".",","))</f>
        <v>13765.12</v>
      </c>
      <c r="L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" s="2" t="str">
        <f>IF(Table14[[#This Row],[Umowa]]="","Poza umową","Z umowy")</f>
        <v>Poza umową</v>
      </c>
      <c r="N55" s="2">
        <f>YEAR(Table14[[#This Row],[Data_Wystawienia]])</f>
        <v>2022</v>
      </c>
      <c r="O55" s="2" t="str">
        <f>TEXT(Table14[[#This Row],[Data_Wystawienia]],"rrrr-mm")</f>
        <v>2022-01</v>
      </c>
      <c r="P55" s="2">
        <v>1</v>
      </c>
    </row>
    <row r="56" spans="1:16" x14ac:dyDescent="0.3">
      <c r="A56" s="2" t="str">
        <f>TRIM(Table1[[#This Row],[Numer_FV]])</f>
        <v>FV/9453/NOVA/22</v>
      </c>
      <c r="B56" s="2" t="str">
        <f>TRIM(Table1[[#This Row],[Numer_PZ]])</f>
        <v>PZ/800054</v>
      </c>
      <c r="C56" s="2" t="str">
        <f>TRIM(Table1[[#This Row],[Dostawca]])</f>
        <v>NovaLek</v>
      </c>
      <c r="D56" s="3">
        <v>44579</v>
      </c>
      <c r="E56" s="4" t="s">
        <v>200</v>
      </c>
      <c r="F56" s="2" t="str">
        <f>TRIM(Table1[[#This Row],[Status]])</f>
        <v>Zaakceptowana</v>
      </c>
      <c r="G56" s="2" t="str">
        <f>TRIM(Table1[[#This Row],[Typ]])</f>
        <v>Faktura VAT</v>
      </c>
      <c r="H56" s="2" t="str">
        <f>TRIM(Table1[[#This Row],[Magazyn]])</f>
        <v>Apteka Szpitalna</v>
      </c>
      <c r="I56" s="2" t="str">
        <f>TRIM(Table1[[#This Row],[Umowa]])</f>
        <v>UM-NOV-03</v>
      </c>
      <c r="J56" s="2" t="b">
        <f>ISTEXT(Table14[[#This Row],[Data_Wystawienia]])</f>
        <v>0</v>
      </c>
      <c r="K56" s="2">
        <f>VALUE(SUBSTITUTE(Table14[[#This Row],[Wartość]],".",","))</f>
        <v>14040.8</v>
      </c>
      <c r="L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" s="2" t="str">
        <f>IF(Table14[[#This Row],[Umowa]]="","Poza umową","Z umowy")</f>
        <v>Z umowy</v>
      </c>
      <c r="N56" s="2">
        <f>YEAR(Table14[[#This Row],[Data_Wystawienia]])</f>
        <v>2022</v>
      </c>
      <c r="O56" s="2" t="str">
        <f>TEXT(Table14[[#This Row],[Data_Wystawienia]],"rrrr-mm")</f>
        <v>2022-01</v>
      </c>
      <c r="P56" s="2">
        <v>1</v>
      </c>
    </row>
    <row r="57" spans="1:16" x14ac:dyDescent="0.3">
      <c r="A57" s="2" t="str">
        <f>TRIM(Table1[[#This Row],[Numer_FV]])</f>
        <v>FV/3896HM/22</v>
      </c>
      <c r="B57" s="2" t="str">
        <f>TRIM(Table1[[#This Row],[Numer_PZ]])</f>
        <v>PZ/800055</v>
      </c>
      <c r="C57" s="2" t="str">
        <f>TRIM(Table1[[#This Row],[Dostawca]])</f>
        <v>HurtMedix</v>
      </c>
      <c r="D57" s="3">
        <v>44579</v>
      </c>
      <c r="E57" s="4" t="s">
        <v>203</v>
      </c>
      <c r="F57" s="2" t="str">
        <f>TRIM(Table1[[#This Row],[Status]])</f>
        <v>Zaakceptowana</v>
      </c>
      <c r="G57" s="2" t="str">
        <f>TRIM(Table1[[#This Row],[Typ]])</f>
        <v>Faktura VAT</v>
      </c>
      <c r="H57" s="2" t="str">
        <f>TRIM(Table1[[#This Row],[Magazyn]])</f>
        <v>Apteka Szpitalna</v>
      </c>
      <c r="I57" s="2" t="str">
        <f>TRIM(Table1[[#This Row],[Umowa]])</f>
        <v>UM-HUR-02</v>
      </c>
      <c r="J57" s="2" t="b">
        <f>ISTEXT(Table14[[#This Row],[Data_Wystawienia]])</f>
        <v>0</v>
      </c>
      <c r="K57" s="2">
        <f>VALUE(SUBSTITUTE(Table14[[#This Row],[Wartość]],".",","))</f>
        <v>21219.98</v>
      </c>
      <c r="L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" s="2" t="str">
        <f>IF(Table14[[#This Row],[Umowa]]="","Poza umową","Z umowy")</f>
        <v>Z umowy</v>
      </c>
      <c r="N57" s="2">
        <f>YEAR(Table14[[#This Row],[Data_Wystawienia]])</f>
        <v>2022</v>
      </c>
      <c r="O57" s="2" t="str">
        <f>TEXT(Table14[[#This Row],[Data_Wystawienia]],"rrrr-mm")</f>
        <v>2022-01</v>
      </c>
      <c r="P57" s="2">
        <v>1</v>
      </c>
    </row>
    <row r="58" spans="1:16" x14ac:dyDescent="0.3">
      <c r="A58" s="2" t="str">
        <f>TRIM(Table1[[#This Row],[Numer_FV]])</f>
        <v>FV/20/SAL/22</v>
      </c>
      <c r="B58" s="2" t="str">
        <f>TRIM(Table1[[#This Row],[Numer_PZ]])</f>
        <v>PZ/800056</v>
      </c>
      <c r="C58" s="2" t="str">
        <f>TRIM(Table1[[#This Row],[Dostawca]])</f>
        <v>SalusHurt</v>
      </c>
      <c r="D58" s="3">
        <v>44579</v>
      </c>
      <c r="E58" s="4" t="s">
        <v>207</v>
      </c>
      <c r="F58" s="2" t="str">
        <f>TRIM(Table1[[#This Row],[Status]])</f>
        <v>Zaakceptowana</v>
      </c>
      <c r="G58" s="2" t="str">
        <f>TRIM(Table1[[#This Row],[Typ]])</f>
        <v>Faktura VAT</v>
      </c>
      <c r="H58" s="2" t="str">
        <f>TRIM(Table1[[#This Row],[Magazyn]])</f>
        <v>Apteka Szpitalna</v>
      </c>
      <c r="I58" s="2" t="str">
        <f>TRIM(Table1[[#This Row],[Umowa]])</f>
        <v>UM-SAL-01</v>
      </c>
      <c r="J58" s="2" t="b">
        <f>ISTEXT(Table14[[#This Row],[Data_Wystawienia]])</f>
        <v>0</v>
      </c>
      <c r="K58" s="2">
        <f>VALUE(SUBSTITUTE(Table14[[#This Row],[Wartość]],".",","))</f>
        <v>13970.12</v>
      </c>
      <c r="L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" s="2" t="str">
        <f>IF(Table14[[#This Row],[Umowa]]="","Poza umową","Z umowy")</f>
        <v>Z umowy</v>
      </c>
      <c r="N58" s="2">
        <f>YEAR(Table14[[#This Row],[Data_Wystawienia]])</f>
        <v>2022</v>
      </c>
      <c r="O58" s="2" t="str">
        <f>TEXT(Table14[[#This Row],[Data_Wystawienia]],"rrrr-mm")</f>
        <v>2022-01</v>
      </c>
      <c r="P58" s="2">
        <v>1</v>
      </c>
    </row>
    <row r="59" spans="1:16" x14ac:dyDescent="0.3">
      <c r="A59" s="2" t="str">
        <f>TRIM(Table1[[#This Row],[Numer_FV]])</f>
        <v>FV/6545HM/22</v>
      </c>
      <c r="B59" s="2" t="str">
        <f>TRIM(Table1[[#This Row],[Numer_PZ]])</f>
        <v>PZ/800057</v>
      </c>
      <c r="C59" s="2" t="str">
        <f>TRIM(Table1[[#This Row],[Dostawca]])</f>
        <v>HurtMedix</v>
      </c>
      <c r="D59" s="3">
        <v>44579</v>
      </c>
      <c r="E59" s="4" t="s">
        <v>210</v>
      </c>
      <c r="F59" s="2" t="str">
        <f>TRIM(Table1[[#This Row],[Status]])</f>
        <v>Zaakceptowana</v>
      </c>
      <c r="G59" s="2" t="str">
        <f>TRIM(Table1[[#This Row],[Typ]])</f>
        <v>Faktura VAT</v>
      </c>
      <c r="H59" s="2" t="str">
        <f>TRIM(Table1[[#This Row],[Magazyn]])</f>
        <v>Apteka Szpitalna</v>
      </c>
      <c r="I59" s="2" t="str">
        <f>TRIM(Table1[[#This Row],[Umowa]])</f>
        <v>UM-HUR-01</v>
      </c>
      <c r="J59" s="2" t="b">
        <f>ISTEXT(Table14[[#This Row],[Data_Wystawienia]])</f>
        <v>0</v>
      </c>
      <c r="K59" s="2">
        <f>VALUE(SUBSTITUTE(Table14[[#This Row],[Wartość]],".",","))</f>
        <v>20931.689999999999</v>
      </c>
      <c r="L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" s="2" t="str">
        <f>IF(Table14[[#This Row],[Umowa]]="","Poza umową","Z umowy")</f>
        <v>Z umowy</v>
      </c>
      <c r="N59" s="2">
        <f>YEAR(Table14[[#This Row],[Data_Wystawienia]])</f>
        <v>2022</v>
      </c>
      <c r="O59" s="2" t="str">
        <f>TEXT(Table14[[#This Row],[Data_Wystawienia]],"rrrr-mm")</f>
        <v>2022-01</v>
      </c>
      <c r="P59" s="2">
        <v>1</v>
      </c>
    </row>
    <row r="60" spans="1:16" x14ac:dyDescent="0.3">
      <c r="A60" s="2" t="str">
        <f>TRIM(Table1[[#This Row],[Numer_FV]])</f>
        <v>FV/M/9337/P/22</v>
      </c>
      <c r="B60" s="2" t="str">
        <f>TRIM(Table1[[#This Row],[Numer_PZ]])</f>
        <v>PZ/800058</v>
      </c>
      <c r="C60" s="2" t="str">
        <f>TRIM(Table1[[#This Row],[Dostawca]])</f>
        <v>MedicaPharm</v>
      </c>
      <c r="D60" s="3">
        <v>44579</v>
      </c>
      <c r="E60" s="4" t="s">
        <v>213</v>
      </c>
      <c r="F60" s="2" t="str">
        <f>TRIM(Table1[[#This Row],[Status]])</f>
        <v>Zaakceptowana</v>
      </c>
      <c r="G60" s="2" t="str">
        <f>TRIM(Table1[[#This Row],[Typ]])</f>
        <v>Faktura VAT</v>
      </c>
      <c r="H60" s="2" t="str">
        <f>TRIM(Table1[[#This Row],[Magazyn]])</f>
        <v>Apteka Szpitalna</v>
      </c>
      <c r="I60" s="2" t="str">
        <f>TRIM(Table1[[#This Row],[Umowa]])</f>
        <v>UM-MED-01</v>
      </c>
      <c r="J60" s="2" t="b">
        <f>ISTEXT(Table14[[#This Row],[Data_Wystawienia]])</f>
        <v>0</v>
      </c>
      <c r="K60" s="2">
        <f>VALUE(SUBSTITUTE(Table14[[#This Row],[Wartość]],".",","))</f>
        <v>18214.95</v>
      </c>
      <c r="L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" s="2" t="str">
        <f>IF(Table14[[#This Row],[Umowa]]="","Poza umową","Z umowy")</f>
        <v>Z umowy</v>
      </c>
      <c r="N60" s="2">
        <f>YEAR(Table14[[#This Row],[Data_Wystawienia]])</f>
        <v>2022</v>
      </c>
      <c r="O60" s="2" t="str">
        <f>TEXT(Table14[[#This Row],[Data_Wystawienia]],"rrrr-mm")</f>
        <v>2022-01</v>
      </c>
      <c r="P60" s="2">
        <v>1</v>
      </c>
    </row>
    <row r="61" spans="1:16" x14ac:dyDescent="0.3">
      <c r="A61" s="2" t="str">
        <f>TRIM(Table1[[#This Row],[Numer_FV]])</f>
        <v>FV/46548/VDb/2022</v>
      </c>
      <c r="B61" s="2" t="str">
        <f>TRIM(Table1[[#This Row],[Numer_PZ]])</f>
        <v>PZ/800059</v>
      </c>
      <c r="C61" s="2" t="str">
        <f>TRIM(Table1[[#This Row],[Dostawca]])</f>
        <v>VitaDistrib</v>
      </c>
      <c r="D61" s="3">
        <v>44580</v>
      </c>
      <c r="E61" s="4" t="s">
        <v>216</v>
      </c>
      <c r="F61" s="2" t="str">
        <f>TRIM(Table1[[#This Row],[Status]])</f>
        <v>Zaakceptowana</v>
      </c>
      <c r="G61" s="2" t="str">
        <f>TRIM(Table1[[#This Row],[Typ]])</f>
        <v>Faktura VAT</v>
      </c>
      <c r="H61" s="2" t="str">
        <f>TRIM(Table1[[#This Row],[Magazyn]])</f>
        <v>Apteka Szpitalna</v>
      </c>
      <c r="I61" s="2" t="str">
        <f>TRIM(Table1[[#This Row],[Umowa]])</f>
        <v/>
      </c>
      <c r="J61" s="2" t="b">
        <f>ISTEXT(Table14[[#This Row],[Data_Wystawienia]])</f>
        <v>0</v>
      </c>
      <c r="K61" s="2">
        <f>VALUE(SUBSTITUTE(Table14[[#This Row],[Wartość]],".",","))</f>
        <v>19187.78</v>
      </c>
      <c r="L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" s="2" t="str">
        <f>IF(Table14[[#This Row],[Umowa]]="","Poza umową","Z umowy")</f>
        <v>Poza umową</v>
      </c>
      <c r="N61" s="2">
        <f>YEAR(Table14[[#This Row],[Data_Wystawienia]])</f>
        <v>2022</v>
      </c>
      <c r="O61" s="2" t="str">
        <f>TEXT(Table14[[#This Row],[Data_Wystawienia]],"rrrr-mm")</f>
        <v>2022-01</v>
      </c>
      <c r="P61" s="2">
        <v>1</v>
      </c>
    </row>
    <row r="62" spans="1:16" x14ac:dyDescent="0.3">
      <c r="A62" s="2" t="str">
        <f>TRIM(Table1[[#This Row],[Numer_FV]])</f>
        <v>FV/POL/73337/2022</v>
      </c>
      <c r="B62" s="2" t="str">
        <f>TRIM(Table1[[#This Row],[Numer_PZ]])</f>
        <v>PZ/800060</v>
      </c>
      <c r="C62" s="2" t="str">
        <f>TRIM(Table1[[#This Row],[Dostawca]])</f>
        <v>Polmedica</v>
      </c>
      <c r="D62" s="3">
        <v>44580</v>
      </c>
      <c r="E62" s="4" t="s">
        <v>219</v>
      </c>
      <c r="F62" s="2" t="str">
        <f>TRIM(Table1[[#This Row],[Status]])</f>
        <v>Zaakceptowana</v>
      </c>
      <c r="G62" s="2" t="str">
        <f>TRIM(Table1[[#This Row],[Typ]])</f>
        <v>Faktura VAT</v>
      </c>
      <c r="H62" s="2" t="str">
        <f>TRIM(Table1[[#This Row],[Magazyn]])</f>
        <v>Apteka Szpitalna</v>
      </c>
      <c r="I62" s="2" t="str">
        <f>TRIM(Table1[[#This Row],[Umowa]])</f>
        <v>UM-POL-02</v>
      </c>
      <c r="J62" s="2" t="b">
        <f>ISTEXT(Table14[[#This Row],[Data_Wystawienia]])</f>
        <v>0</v>
      </c>
      <c r="K62" s="2">
        <f>VALUE(SUBSTITUTE(Table14[[#This Row],[Wartość]],".",","))</f>
        <v>21008.15</v>
      </c>
      <c r="L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" s="2" t="str">
        <f>IF(Table14[[#This Row],[Umowa]]="","Poza umową","Z umowy")</f>
        <v>Z umowy</v>
      </c>
      <c r="N62" s="2">
        <f>YEAR(Table14[[#This Row],[Data_Wystawienia]])</f>
        <v>2022</v>
      </c>
      <c r="O62" s="2" t="str">
        <f>TEXT(Table14[[#This Row],[Data_Wystawienia]],"rrrr-mm")</f>
        <v>2022-01</v>
      </c>
      <c r="P62" s="2">
        <v>1</v>
      </c>
    </row>
    <row r="63" spans="1:16" x14ac:dyDescent="0.3">
      <c r="A63" s="2" t="str">
        <f>TRIM(Table1[[#This Row],[Numer_FV]])</f>
        <v>FV/46042/VDb/2022</v>
      </c>
      <c r="B63" s="2" t="str">
        <f>TRIM(Table1[[#This Row],[Numer_PZ]])</f>
        <v>PZ/800061</v>
      </c>
      <c r="C63" s="2" t="str">
        <f>TRIM(Table1[[#This Row],[Dostawca]])</f>
        <v>VitaDistrib</v>
      </c>
      <c r="D63" s="3">
        <v>44580</v>
      </c>
      <c r="E63" s="4" t="s">
        <v>222</v>
      </c>
      <c r="F63" s="2" t="str">
        <f>TRIM(Table1[[#This Row],[Status]])</f>
        <v>Zaakceptowana</v>
      </c>
      <c r="G63" s="2" t="str">
        <f>TRIM(Table1[[#This Row],[Typ]])</f>
        <v>Faktura VAT</v>
      </c>
      <c r="H63" s="2" t="str">
        <f>TRIM(Table1[[#This Row],[Magazyn]])</f>
        <v>Apteka Szpitalna</v>
      </c>
      <c r="I63" s="2" t="str">
        <f>TRIM(Table1[[#This Row],[Umowa]])</f>
        <v>UM-VIT-01</v>
      </c>
      <c r="J63" s="2" t="b">
        <f>ISTEXT(Table14[[#This Row],[Data_Wystawienia]])</f>
        <v>0</v>
      </c>
      <c r="K63" s="2">
        <f>VALUE(SUBSTITUTE(Table14[[#This Row],[Wartość]],".",","))</f>
        <v>16075.9</v>
      </c>
      <c r="L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" s="2" t="str">
        <f>IF(Table14[[#This Row],[Umowa]]="","Poza umową","Z umowy")</f>
        <v>Z umowy</v>
      </c>
      <c r="N63" s="2">
        <f>YEAR(Table14[[#This Row],[Data_Wystawienia]])</f>
        <v>2022</v>
      </c>
      <c r="O63" s="2" t="str">
        <f>TEXT(Table14[[#This Row],[Data_Wystawienia]],"rrrr-mm")</f>
        <v>2022-01</v>
      </c>
      <c r="P63" s="2">
        <v>1</v>
      </c>
    </row>
    <row r="64" spans="1:16" x14ac:dyDescent="0.3">
      <c r="A64" s="2" t="str">
        <f>TRIM(Table1[[#This Row],[Numer_FV]])</f>
        <v>FV/51309/VDb/2022</v>
      </c>
      <c r="B64" s="2" t="str">
        <f>TRIM(Table1[[#This Row],[Numer_PZ]])</f>
        <v>PZ/800062</v>
      </c>
      <c r="C64" s="2" t="str">
        <f>TRIM(Table1[[#This Row],[Dostawca]])</f>
        <v>VitaDistrib</v>
      </c>
      <c r="D64" s="3">
        <v>44580</v>
      </c>
      <c r="E64" s="4" t="s">
        <v>225</v>
      </c>
      <c r="F64" s="2" t="str">
        <f>TRIM(Table1[[#This Row],[Status]])</f>
        <v>Zaakceptowana</v>
      </c>
      <c r="G64" s="2" t="str">
        <f>TRIM(Table1[[#This Row],[Typ]])</f>
        <v>Faktura VAT</v>
      </c>
      <c r="H64" s="2" t="str">
        <f>TRIM(Table1[[#This Row],[Magazyn]])</f>
        <v>Apteka Szpitalna</v>
      </c>
      <c r="I64" s="2" t="str">
        <f>TRIM(Table1[[#This Row],[Umowa]])</f>
        <v>UM-VIT-01</v>
      </c>
      <c r="J64" s="2" t="b">
        <f>ISTEXT(Table14[[#This Row],[Data_Wystawienia]])</f>
        <v>0</v>
      </c>
      <c r="K64" s="2">
        <f>VALUE(SUBSTITUTE(Table14[[#This Row],[Wartość]],".",","))</f>
        <v>13821.67</v>
      </c>
      <c r="L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" s="2" t="str">
        <f>IF(Table14[[#This Row],[Umowa]]="","Poza umową","Z umowy")</f>
        <v>Z umowy</v>
      </c>
      <c r="N64" s="2">
        <f>YEAR(Table14[[#This Row],[Data_Wystawienia]])</f>
        <v>2022</v>
      </c>
      <c r="O64" s="2" t="str">
        <f>TEXT(Table14[[#This Row],[Data_Wystawienia]],"rrrr-mm")</f>
        <v>2022-01</v>
      </c>
      <c r="P64" s="2">
        <v>1</v>
      </c>
    </row>
    <row r="65" spans="1:16" x14ac:dyDescent="0.3">
      <c r="A65" s="2" t="str">
        <f>TRIM(Table1[[#This Row],[Numer_FV]])</f>
        <v>FV/1390HM/22</v>
      </c>
      <c r="B65" s="2" t="str">
        <f>TRIM(Table1[[#This Row],[Numer_PZ]])</f>
        <v>PZ/800063</v>
      </c>
      <c r="C65" s="2" t="str">
        <f>TRIM(Table1[[#This Row],[Dostawca]])</f>
        <v>HurtMedix</v>
      </c>
      <c r="D65" s="3">
        <v>44581</v>
      </c>
      <c r="E65" s="4" t="s">
        <v>228</v>
      </c>
      <c r="F65" s="2" t="str">
        <f>TRIM(Table1[[#This Row],[Status]])</f>
        <v>Zaakceptowana</v>
      </c>
      <c r="G65" s="2" t="str">
        <f>TRIM(Table1[[#This Row],[Typ]])</f>
        <v>Korekta FV</v>
      </c>
      <c r="H65" s="2" t="str">
        <f>TRIM(Table1[[#This Row],[Magazyn]])</f>
        <v>Apteka Szpitalna</v>
      </c>
      <c r="I65" s="2" t="str">
        <f>TRIM(Table1[[#This Row],[Umowa]])</f>
        <v>UM-HUR-01</v>
      </c>
      <c r="J65" s="2" t="b">
        <f>ISTEXT(Table14[[#This Row],[Data_Wystawienia]])</f>
        <v>0</v>
      </c>
      <c r="K65" s="2">
        <f>VALUE(SUBSTITUTE(Table14[[#This Row],[Wartość]],".",","))</f>
        <v>-595.82000000000005</v>
      </c>
      <c r="L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" s="2" t="str">
        <f>IF(Table14[[#This Row],[Umowa]]="","Poza umową","Z umowy")</f>
        <v>Z umowy</v>
      </c>
      <c r="N65" s="2">
        <f>YEAR(Table14[[#This Row],[Data_Wystawienia]])</f>
        <v>2022</v>
      </c>
      <c r="O65" s="2" t="str">
        <f>TEXT(Table14[[#This Row],[Data_Wystawienia]],"rrrr-mm")</f>
        <v>2022-01</v>
      </c>
      <c r="P65" s="2">
        <v>1</v>
      </c>
    </row>
    <row r="66" spans="1:16" x14ac:dyDescent="0.3">
      <c r="A66" s="2" t="str">
        <f>TRIM(Table1[[#This Row],[Numer_FV]])</f>
        <v>FV/POL/74688/2022</v>
      </c>
      <c r="B66" s="2" t="str">
        <f>TRIM(Table1[[#This Row],[Numer_PZ]])</f>
        <v>PZ/800064</v>
      </c>
      <c r="C66" s="2" t="str">
        <f>TRIM(Table1[[#This Row],[Dostawca]])</f>
        <v>Polmedica</v>
      </c>
      <c r="D66" s="3">
        <v>44581</v>
      </c>
      <c r="E66" s="4" t="s">
        <v>231</v>
      </c>
      <c r="F66" s="2" t="str">
        <f>TRIM(Table1[[#This Row],[Status]])</f>
        <v>Zaakceptowana</v>
      </c>
      <c r="G66" s="2" t="str">
        <f>TRIM(Table1[[#This Row],[Typ]])</f>
        <v>Faktura VAT</v>
      </c>
      <c r="H66" s="2" t="str">
        <f>TRIM(Table1[[#This Row],[Magazyn]])</f>
        <v>Apteka Szpitalna</v>
      </c>
      <c r="I66" s="2" t="str">
        <f>TRIM(Table1[[#This Row],[Umowa]])</f>
        <v>UM-POL-01</v>
      </c>
      <c r="J66" s="2" t="b">
        <f>ISTEXT(Table14[[#This Row],[Data_Wystawienia]])</f>
        <v>0</v>
      </c>
      <c r="K66" s="2">
        <f>VALUE(SUBSTITUTE(Table14[[#This Row],[Wartość]],".",","))</f>
        <v>18492.64</v>
      </c>
      <c r="L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" s="2" t="str">
        <f>IF(Table14[[#This Row],[Umowa]]="","Poza umową","Z umowy")</f>
        <v>Z umowy</v>
      </c>
      <c r="N66" s="2">
        <f>YEAR(Table14[[#This Row],[Data_Wystawienia]])</f>
        <v>2022</v>
      </c>
      <c r="O66" s="2" t="str">
        <f>TEXT(Table14[[#This Row],[Data_Wystawienia]],"rrrr-mm")</f>
        <v>2022-01</v>
      </c>
      <c r="P66" s="2">
        <v>1</v>
      </c>
    </row>
    <row r="67" spans="1:16" x14ac:dyDescent="0.3">
      <c r="A67" s="2" t="str">
        <f>TRIM(Table1[[#This Row],[Numer_FV]])</f>
        <v>FV/CENFA/556221/22</v>
      </c>
      <c r="B67" s="2" t="str">
        <f>TRIM(Table1[[#This Row],[Numer_PZ]])</f>
        <v>PZ/800065</v>
      </c>
      <c r="C67" s="2" t="str">
        <f>TRIM(Table1[[#This Row],[Dostawca]])</f>
        <v>CentrumFarm</v>
      </c>
      <c r="D67" s="3">
        <v>44582</v>
      </c>
      <c r="E67" s="4" t="s">
        <v>234</v>
      </c>
      <c r="F67" s="2" t="str">
        <f>TRIM(Table1[[#This Row],[Status]])</f>
        <v>Zaakceptowana</v>
      </c>
      <c r="G67" s="2" t="str">
        <f>TRIM(Table1[[#This Row],[Typ]])</f>
        <v>Korekta FV</v>
      </c>
      <c r="H67" s="2" t="str">
        <f>TRIM(Table1[[#This Row],[Magazyn]])</f>
        <v>Apteka Szpitalna</v>
      </c>
      <c r="I67" s="2" t="str">
        <f>TRIM(Table1[[#This Row],[Umowa]])</f>
        <v>UM-CEN-02</v>
      </c>
      <c r="J67" s="2" t="b">
        <f>ISTEXT(Table14[[#This Row],[Data_Wystawienia]])</f>
        <v>0</v>
      </c>
      <c r="K67" s="2">
        <f>VALUE(SUBSTITUTE(Table14[[#This Row],[Wartość]],".",","))</f>
        <v>-1675.51</v>
      </c>
      <c r="L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" s="2" t="str">
        <f>IF(Table14[[#This Row],[Umowa]]="","Poza umową","Z umowy")</f>
        <v>Z umowy</v>
      </c>
      <c r="N67" s="2">
        <f>YEAR(Table14[[#This Row],[Data_Wystawienia]])</f>
        <v>2022</v>
      </c>
      <c r="O67" s="2" t="str">
        <f>TEXT(Table14[[#This Row],[Data_Wystawienia]],"rrrr-mm")</f>
        <v>2022-01</v>
      </c>
      <c r="P67" s="2">
        <v>1</v>
      </c>
    </row>
    <row r="68" spans="1:16" x14ac:dyDescent="0.3">
      <c r="A68" s="2" t="str">
        <f>TRIM(Table1[[#This Row],[Numer_FV]])</f>
        <v>FV/85/PP/5909/22</v>
      </c>
      <c r="B68" s="2" t="str">
        <f>TRIM(Table1[[#This Row],[Numer_PZ]])</f>
        <v>PZ/800066</v>
      </c>
      <c r="C68" s="2" t="str">
        <f>TRIM(Table1[[#This Row],[Dostawca]])</f>
        <v>PharmaPlus</v>
      </c>
      <c r="D68" s="3">
        <v>44583</v>
      </c>
      <c r="E68" s="4" t="s">
        <v>237</v>
      </c>
      <c r="F68" s="2" t="str">
        <f>TRIM(Table1[[#This Row],[Status]])</f>
        <v>Zaakceptowana</v>
      </c>
      <c r="G68" s="2" t="str">
        <f>TRIM(Table1[[#This Row],[Typ]])</f>
        <v>Faktura VAT</v>
      </c>
      <c r="H68" s="2" t="str">
        <f>TRIM(Table1[[#This Row],[Magazyn]])</f>
        <v>Apteka Szpitalna</v>
      </c>
      <c r="I68" s="2" t="str">
        <f>TRIM(Table1[[#This Row],[Umowa]])</f>
        <v>UM-PHA-02</v>
      </c>
      <c r="J68" s="2" t="b">
        <f>ISTEXT(Table14[[#This Row],[Data_Wystawienia]])</f>
        <v>0</v>
      </c>
      <c r="K68" s="2">
        <f>VALUE(SUBSTITUTE(Table14[[#This Row],[Wartość]],".",","))</f>
        <v>19772.63</v>
      </c>
      <c r="L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" s="2" t="str">
        <f>IF(Table14[[#This Row],[Umowa]]="","Poza umową","Z umowy")</f>
        <v>Z umowy</v>
      </c>
      <c r="N68" s="2">
        <f>YEAR(Table14[[#This Row],[Data_Wystawienia]])</f>
        <v>2022</v>
      </c>
      <c r="O68" s="2" t="str">
        <f>TEXT(Table14[[#This Row],[Data_Wystawienia]],"rrrr-mm")</f>
        <v>2022-01</v>
      </c>
      <c r="P68" s="2">
        <v>1</v>
      </c>
    </row>
    <row r="69" spans="1:16" x14ac:dyDescent="0.3">
      <c r="A69" s="2" t="str">
        <f>TRIM(Table1[[#This Row],[Numer_FV]])</f>
        <v>FV/CENFA/151746/22</v>
      </c>
      <c r="B69" s="2" t="str">
        <f>TRIM(Table1[[#This Row],[Numer_PZ]])</f>
        <v>PZ/800067</v>
      </c>
      <c r="C69" s="2" t="str">
        <f>TRIM(Table1[[#This Row],[Dostawca]])</f>
        <v>CentrumFarm</v>
      </c>
      <c r="D69" s="3">
        <v>44583</v>
      </c>
      <c r="E69" s="4" t="s">
        <v>241</v>
      </c>
      <c r="F69" s="2" t="str">
        <f>TRIM(Table1[[#This Row],[Status]])</f>
        <v>Zaakceptowana</v>
      </c>
      <c r="G69" s="2" t="str">
        <f>TRIM(Table1[[#This Row],[Typ]])</f>
        <v>Faktura VAT</v>
      </c>
      <c r="H69" s="2" t="str">
        <f>TRIM(Table1[[#This Row],[Magazyn]])</f>
        <v>Apteka Szpitalna</v>
      </c>
      <c r="I69" s="2" t="str">
        <f>TRIM(Table1[[#This Row],[Umowa]])</f>
        <v>UM-CEN-01</v>
      </c>
      <c r="J69" s="2" t="b">
        <f>ISTEXT(Table14[[#This Row],[Data_Wystawienia]])</f>
        <v>0</v>
      </c>
      <c r="K69" s="2">
        <f>VALUE(SUBSTITUTE(Table14[[#This Row],[Wartość]],".",","))</f>
        <v>20821.36</v>
      </c>
      <c r="L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" s="2" t="str">
        <f>IF(Table14[[#This Row],[Umowa]]="","Poza umową","Z umowy")</f>
        <v>Z umowy</v>
      </c>
      <c r="N69" s="2">
        <f>YEAR(Table14[[#This Row],[Data_Wystawienia]])</f>
        <v>2022</v>
      </c>
      <c r="O69" s="2" t="str">
        <f>TEXT(Table14[[#This Row],[Data_Wystawienia]],"rrrr-mm")</f>
        <v>2022-01</v>
      </c>
      <c r="P69" s="2">
        <v>1</v>
      </c>
    </row>
    <row r="70" spans="1:16" x14ac:dyDescent="0.3">
      <c r="A70" s="2" t="str">
        <f>TRIM(Table1[[#This Row],[Numer_FV]])</f>
        <v>FV/CENFA/358762/22</v>
      </c>
      <c r="B70" s="2" t="str">
        <f>TRIM(Table1[[#This Row],[Numer_PZ]])</f>
        <v>PZ/800068</v>
      </c>
      <c r="C70" s="2" t="str">
        <f>TRIM(Table1[[#This Row],[Dostawca]])</f>
        <v>CentrumFarm</v>
      </c>
      <c r="D70" s="3">
        <v>44584</v>
      </c>
      <c r="E70" s="4" t="s">
        <v>244</v>
      </c>
      <c r="F70" s="2" t="str">
        <f>TRIM(Table1[[#This Row],[Status]])</f>
        <v>Zaakceptowana</v>
      </c>
      <c r="G70" s="2" t="str">
        <f>TRIM(Table1[[#This Row],[Typ]])</f>
        <v>Faktura VAT</v>
      </c>
      <c r="H70" s="2" t="str">
        <f>TRIM(Table1[[#This Row],[Magazyn]])</f>
        <v>Apteka Szpitalna</v>
      </c>
      <c r="I70" s="2" t="str">
        <f>TRIM(Table1[[#This Row],[Umowa]])</f>
        <v>UM-CEN-01</v>
      </c>
      <c r="J70" s="2" t="b">
        <f>ISTEXT(Table14[[#This Row],[Data_Wystawienia]])</f>
        <v>0</v>
      </c>
      <c r="K70" s="2">
        <f>VALUE(SUBSTITUTE(Table14[[#This Row],[Wartość]],".",","))</f>
        <v>7163.31</v>
      </c>
      <c r="L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" s="2" t="str">
        <f>IF(Table14[[#This Row],[Umowa]]="","Poza umową","Z umowy")</f>
        <v>Z umowy</v>
      </c>
      <c r="N70" s="2">
        <f>YEAR(Table14[[#This Row],[Data_Wystawienia]])</f>
        <v>2022</v>
      </c>
      <c r="O70" s="2" t="str">
        <f>TEXT(Table14[[#This Row],[Data_Wystawienia]],"rrrr-mm")</f>
        <v>2022-01</v>
      </c>
      <c r="P70" s="2">
        <v>1</v>
      </c>
    </row>
    <row r="71" spans="1:16" x14ac:dyDescent="0.3">
      <c r="A71" s="2" t="str">
        <f>TRIM(Table1[[#This Row],[Numer_FV]])</f>
        <v>FV/M/1279/P/22</v>
      </c>
      <c r="B71" s="2" t="str">
        <f>TRIM(Table1[[#This Row],[Numer_PZ]])</f>
        <v>PZ/800069</v>
      </c>
      <c r="C71" s="2" t="str">
        <f>TRIM(Table1[[#This Row],[Dostawca]])</f>
        <v>MedicaPharm</v>
      </c>
      <c r="D71" s="3">
        <v>44584</v>
      </c>
      <c r="E71" s="4" t="s">
        <v>247</v>
      </c>
      <c r="F71" s="2" t="str">
        <f>TRIM(Table1[[#This Row],[Status]])</f>
        <v>Zaakceptowana</v>
      </c>
      <c r="G71" s="2" t="str">
        <f>TRIM(Table1[[#This Row],[Typ]])</f>
        <v>Faktura VAT</v>
      </c>
      <c r="H71" s="2" t="str">
        <f>TRIM(Table1[[#This Row],[Magazyn]])</f>
        <v>Apteka Szpitalna</v>
      </c>
      <c r="I71" s="2" t="str">
        <f>TRIM(Table1[[#This Row],[Umowa]])</f>
        <v>UM-MED-02</v>
      </c>
      <c r="J71" s="2" t="b">
        <f>ISTEXT(Table14[[#This Row],[Data_Wystawienia]])</f>
        <v>0</v>
      </c>
      <c r="K71" s="2">
        <f>VALUE(SUBSTITUTE(Table14[[#This Row],[Wartość]],".",","))</f>
        <v>19271.04</v>
      </c>
      <c r="L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" s="2" t="str">
        <f>IF(Table14[[#This Row],[Umowa]]="","Poza umową","Z umowy")</f>
        <v>Z umowy</v>
      </c>
      <c r="N71" s="2">
        <f>YEAR(Table14[[#This Row],[Data_Wystawienia]])</f>
        <v>2022</v>
      </c>
      <c r="O71" s="2" t="str">
        <f>TEXT(Table14[[#This Row],[Data_Wystawienia]],"rrrr-mm")</f>
        <v>2022-01</v>
      </c>
      <c r="P71" s="2">
        <v>1</v>
      </c>
    </row>
    <row r="72" spans="1:16" x14ac:dyDescent="0.3">
      <c r="A72" s="2" t="str">
        <f>TRIM(Table1[[#This Row],[Numer_FV]])</f>
        <v>FV/CENFA/646998/22</v>
      </c>
      <c r="B72" s="2" t="str">
        <f>TRIM(Table1[[#This Row],[Numer_PZ]])</f>
        <v>PZ/800070</v>
      </c>
      <c r="C72" s="2" t="str">
        <f>TRIM(Table1[[#This Row],[Dostawca]])</f>
        <v>CentrumFarm</v>
      </c>
      <c r="D72" s="3">
        <v>44584</v>
      </c>
      <c r="E72" s="4" t="s">
        <v>251</v>
      </c>
      <c r="F72" s="2" t="str">
        <f>TRIM(Table1[[#This Row],[Status]])</f>
        <v>Zaakceptowana</v>
      </c>
      <c r="G72" s="2" t="str">
        <f>TRIM(Table1[[#This Row],[Typ]])</f>
        <v>Faktura VAT</v>
      </c>
      <c r="H72" s="2" t="str">
        <f>TRIM(Table1[[#This Row],[Magazyn]])</f>
        <v>Apteka Szpitalna</v>
      </c>
      <c r="I72" s="2" t="str">
        <f>TRIM(Table1[[#This Row],[Umowa]])</f>
        <v>UM-CEN-01</v>
      </c>
      <c r="J72" s="2" t="b">
        <f>ISTEXT(Table14[[#This Row],[Data_Wystawienia]])</f>
        <v>0</v>
      </c>
      <c r="K72" s="2">
        <f>VALUE(SUBSTITUTE(Table14[[#This Row],[Wartość]],".",","))</f>
        <v>12327.29</v>
      </c>
      <c r="L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" s="2" t="str">
        <f>IF(Table14[[#This Row],[Umowa]]="","Poza umową","Z umowy")</f>
        <v>Z umowy</v>
      </c>
      <c r="N72" s="2">
        <f>YEAR(Table14[[#This Row],[Data_Wystawienia]])</f>
        <v>2022</v>
      </c>
      <c r="O72" s="2" t="str">
        <f>TEXT(Table14[[#This Row],[Data_Wystawienia]],"rrrr-mm")</f>
        <v>2022-01</v>
      </c>
      <c r="P72" s="2">
        <v>1</v>
      </c>
    </row>
    <row r="73" spans="1:16" x14ac:dyDescent="0.3">
      <c r="A73" s="2" t="str">
        <f>TRIM(Table1[[#This Row],[Numer_FV]])</f>
        <v>FV/CENFA/354852/22</v>
      </c>
      <c r="B73" s="2" t="str">
        <f>TRIM(Table1[[#This Row],[Numer_PZ]])</f>
        <v>PZ/800071</v>
      </c>
      <c r="C73" s="2" t="str">
        <f>TRIM(Table1[[#This Row],[Dostawca]])</f>
        <v>CentrumFarm</v>
      </c>
      <c r="D73" s="3">
        <v>44584</v>
      </c>
      <c r="E73" s="4" t="s">
        <v>254</v>
      </c>
      <c r="F73" s="2" t="str">
        <f>TRIM(Table1[[#This Row],[Status]])</f>
        <v>Zaakceptowana</v>
      </c>
      <c r="G73" s="2" t="str">
        <f>TRIM(Table1[[#This Row],[Typ]])</f>
        <v>Faktura VAT</v>
      </c>
      <c r="H73" s="2" t="str">
        <f>TRIM(Table1[[#This Row],[Magazyn]])</f>
        <v>Apteka Szpitalna</v>
      </c>
      <c r="I73" s="2" t="str">
        <f>TRIM(Table1[[#This Row],[Umowa]])</f>
        <v>UM-CEN-02</v>
      </c>
      <c r="J73" s="2" t="b">
        <f>ISTEXT(Table14[[#This Row],[Data_Wystawienia]])</f>
        <v>0</v>
      </c>
      <c r="K73" s="2">
        <f>VALUE(SUBSTITUTE(Table14[[#This Row],[Wartość]],".",","))</f>
        <v>20663.54</v>
      </c>
      <c r="L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" s="2" t="str">
        <f>IF(Table14[[#This Row],[Umowa]]="","Poza umową","Z umowy")</f>
        <v>Z umowy</v>
      </c>
      <c r="N73" s="2">
        <f>YEAR(Table14[[#This Row],[Data_Wystawienia]])</f>
        <v>2022</v>
      </c>
      <c r="O73" s="2" t="str">
        <f>TEXT(Table14[[#This Row],[Data_Wystawienia]],"rrrr-mm")</f>
        <v>2022-01</v>
      </c>
      <c r="P73" s="2">
        <v>1</v>
      </c>
    </row>
    <row r="74" spans="1:16" x14ac:dyDescent="0.3">
      <c r="A74" s="2" t="str">
        <f>TRIM(Table1[[#This Row],[Numer_FV]])</f>
        <v>FV/POL/36590/2022</v>
      </c>
      <c r="B74" s="2" t="str">
        <f>TRIM(Table1[[#This Row],[Numer_PZ]])</f>
        <v>PZ/800072</v>
      </c>
      <c r="C74" s="2" t="str">
        <f>TRIM(Table1[[#This Row],[Dostawca]])</f>
        <v>Polmedica</v>
      </c>
      <c r="D74" s="3">
        <v>44584</v>
      </c>
      <c r="E74" s="4" t="s">
        <v>257</v>
      </c>
      <c r="F74" s="2" t="str">
        <f>TRIM(Table1[[#This Row],[Status]])</f>
        <v>Zaakceptowana</v>
      </c>
      <c r="G74" s="2" t="str">
        <f>TRIM(Table1[[#This Row],[Typ]])</f>
        <v>Faktura VAT</v>
      </c>
      <c r="H74" s="2" t="str">
        <f>TRIM(Table1[[#This Row],[Magazyn]])</f>
        <v>Apteka Szpitalna</v>
      </c>
      <c r="I74" s="2" t="str">
        <f>TRIM(Table1[[#This Row],[Umowa]])</f>
        <v>UM-POL-02</v>
      </c>
      <c r="J74" s="2" t="b">
        <f>ISTEXT(Table14[[#This Row],[Data_Wystawienia]])</f>
        <v>0</v>
      </c>
      <c r="K74" s="2">
        <f>VALUE(SUBSTITUTE(Table14[[#This Row],[Wartość]],".",","))</f>
        <v>14737.79</v>
      </c>
      <c r="L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" s="2" t="str">
        <f>IF(Table14[[#This Row],[Umowa]]="","Poza umową","Z umowy")</f>
        <v>Z umowy</v>
      </c>
      <c r="N74" s="2">
        <f>YEAR(Table14[[#This Row],[Data_Wystawienia]])</f>
        <v>2022</v>
      </c>
      <c r="O74" s="2" t="str">
        <f>TEXT(Table14[[#This Row],[Data_Wystawienia]],"rrrr-mm")</f>
        <v>2022-01</v>
      </c>
      <c r="P74" s="2">
        <v>1</v>
      </c>
    </row>
    <row r="75" spans="1:16" x14ac:dyDescent="0.3">
      <c r="A75" s="2" t="str">
        <f>TRIM(Table1[[#This Row],[Numer_FV]])</f>
        <v>FV/7751/NOVA/22</v>
      </c>
      <c r="B75" s="2" t="str">
        <f>TRIM(Table1[[#This Row],[Numer_PZ]])</f>
        <v>PZ/800073</v>
      </c>
      <c r="C75" s="2" t="str">
        <f>TRIM(Table1[[#This Row],[Dostawca]])</f>
        <v>NovaLek</v>
      </c>
      <c r="D75" s="3">
        <v>44584</v>
      </c>
      <c r="E75" s="4" t="s">
        <v>260</v>
      </c>
      <c r="F75" s="2" t="str">
        <f>TRIM(Table1[[#This Row],[Status]])</f>
        <v>Zaakceptowana</v>
      </c>
      <c r="G75" s="2" t="str">
        <f>TRIM(Table1[[#This Row],[Typ]])</f>
        <v>Faktura VAT</v>
      </c>
      <c r="H75" s="2" t="str">
        <f>TRIM(Table1[[#This Row],[Magazyn]])</f>
        <v>Apteka Szpitalna</v>
      </c>
      <c r="I75" s="2" t="str">
        <f>TRIM(Table1[[#This Row],[Umowa]])</f>
        <v>UM-NOV-02</v>
      </c>
      <c r="J75" s="2" t="b">
        <f>ISTEXT(Table14[[#This Row],[Data_Wystawienia]])</f>
        <v>0</v>
      </c>
      <c r="K75" s="2">
        <f>VALUE(SUBSTITUTE(Table14[[#This Row],[Wartość]],".",","))</f>
        <v>24068.36</v>
      </c>
      <c r="L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" s="2" t="str">
        <f>IF(Table14[[#This Row],[Umowa]]="","Poza umową","Z umowy")</f>
        <v>Z umowy</v>
      </c>
      <c r="N75" s="2">
        <f>YEAR(Table14[[#This Row],[Data_Wystawienia]])</f>
        <v>2022</v>
      </c>
      <c r="O75" s="2" t="str">
        <f>TEXT(Table14[[#This Row],[Data_Wystawienia]],"rrrr-mm")</f>
        <v>2022-01</v>
      </c>
      <c r="P75" s="2">
        <v>1</v>
      </c>
    </row>
    <row r="76" spans="1:16" x14ac:dyDescent="0.3">
      <c r="A76" s="2" t="str">
        <f>TRIM(Table1[[#This Row],[Numer_FV]])</f>
        <v>FV/93203/VDb/2022</v>
      </c>
      <c r="B76" s="2" t="str">
        <f>TRIM(Table1[[#This Row],[Numer_PZ]])</f>
        <v>PZ/800074</v>
      </c>
      <c r="C76" s="2" t="str">
        <f>TRIM(Table1[[#This Row],[Dostawca]])</f>
        <v>VitaDistrib</v>
      </c>
      <c r="D76" s="3">
        <v>44585</v>
      </c>
      <c r="E76" s="4" t="s">
        <v>263</v>
      </c>
      <c r="F76" s="2" t="str">
        <f>TRIM(Table1[[#This Row],[Status]])</f>
        <v>Zaakceptowana</v>
      </c>
      <c r="G76" s="2" t="str">
        <f>TRIM(Table1[[#This Row],[Typ]])</f>
        <v>Faktura VAT</v>
      </c>
      <c r="H76" s="2" t="str">
        <f>TRIM(Table1[[#This Row],[Magazyn]])</f>
        <v>Apteka Szpitalna</v>
      </c>
      <c r="I76" s="2" t="str">
        <f>TRIM(Table1[[#This Row],[Umowa]])</f>
        <v>UM-VIT-01</v>
      </c>
      <c r="J76" s="2" t="b">
        <f>ISTEXT(Table14[[#This Row],[Data_Wystawienia]])</f>
        <v>0</v>
      </c>
      <c r="K76" s="2">
        <f>VALUE(SUBSTITUTE(Table14[[#This Row],[Wartość]],".",","))</f>
        <v>15547.25</v>
      </c>
      <c r="L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" s="2" t="str">
        <f>IF(Table14[[#This Row],[Umowa]]="","Poza umową","Z umowy")</f>
        <v>Z umowy</v>
      </c>
      <c r="N76" s="2">
        <f>YEAR(Table14[[#This Row],[Data_Wystawienia]])</f>
        <v>2022</v>
      </c>
      <c r="O76" s="2" t="str">
        <f>TEXT(Table14[[#This Row],[Data_Wystawienia]],"rrrr-mm")</f>
        <v>2022-01</v>
      </c>
      <c r="P76" s="2">
        <v>1</v>
      </c>
    </row>
    <row r="77" spans="1:16" x14ac:dyDescent="0.3">
      <c r="A77" s="2" t="str">
        <f>TRIM(Table1[[#This Row],[Numer_FV]])</f>
        <v>FV/3510/NOVA/22</v>
      </c>
      <c r="B77" s="2" t="str">
        <f>TRIM(Table1[[#This Row],[Numer_PZ]])</f>
        <v>PZ/800075</v>
      </c>
      <c r="C77" s="2" t="str">
        <f>TRIM(Table1[[#This Row],[Dostawca]])</f>
        <v>NovaLek</v>
      </c>
      <c r="D77" s="3">
        <v>44586</v>
      </c>
      <c r="E77" s="4" t="s">
        <v>266</v>
      </c>
      <c r="F77" s="2" t="str">
        <f>TRIM(Table1[[#This Row],[Status]])</f>
        <v>Zaakceptowana</v>
      </c>
      <c r="G77" s="2" t="str">
        <f>TRIM(Table1[[#This Row],[Typ]])</f>
        <v>Korekta FV</v>
      </c>
      <c r="H77" s="2" t="str">
        <f>TRIM(Table1[[#This Row],[Magazyn]])</f>
        <v>Apteka Szpitalna</v>
      </c>
      <c r="I77" s="2" t="str">
        <f>TRIM(Table1[[#This Row],[Umowa]])</f>
        <v>UM-NOV-03</v>
      </c>
      <c r="J77" s="2" t="b">
        <f>ISTEXT(Table14[[#This Row],[Data_Wystawienia]])</f>
        <v>0</v>
      </c>
      <c r="K77" s="2">
        <f>VALUE(SUBSTITUTE(Table14[[#This Row],[Wartość]],".",","))</f>
        <v>-1490.6</v>
      </c>
      <c r="L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" s="2" t="str">
        <f>IF(Table14[[#This Row],[Umowa]]="","Poza umową","Z umowy")</f>
        <v>Z umowy</v>
      </c>
      <c r="N77" s="2">
        <f>YEAR(Table14[[#This Row],[Data_Wystawienia]])</f>
        <v>2022</v>
      </c>
      <c r="O77" s="2" t="str">
        <f>TEXT(Table14[[#This Row],[Data_Wystawienia]],"rrrr-mm")</f>
        <v>2022-01</v>
      </c>
      <c r="P77" s="2">
        <v>1</v>
      </c>
    </row>
    <row r="78" spans="1:16" x14ac:dyDescent="0.3">
      <c r="A78" s="2" t="str">
        <f>TRIM(Table1[[#This Row],[Numer_FV]])</f>
        <v>FV/M/5449/P/22</v>
      </c>
      <c r="B78" s="2" t="str">
        <f>TRIM(Table1[[#This Row],[Numer_PZ]])</f>
        <v>PZ/800076</v>
      </c>
      <c r="C78" s="2" t="str">
        <f>TRIM(Table1[[#This Row],[Dostawca]])</f>
        <v>MedicaPharm</v>
      </c>
      <c r="D78" s="3">
        <v>44586</v>
      </c>
      <c r="E78" s="4" t="s">
        <v>269</v>
      </c>
      <c r="F78" s="2" t="str">
        <f>TRIM(Table1[[#This Row],[Status]])</f>
        <v>Zaakceptowana</v>
      </c>
      <c r="G78" s="2" t="str">
        <f>TRIM(Table1[[#This Row],[Typ]])</f>
        <v>Faktura VAT</v>
      </c>
      <c r="H78" s="2" t="str">
        <f>TRIM(Table1[[#This Row],[Magazyn]])</f>
        <v>Apteka Szpitalna</v>
      </c>
      <c r="I78" s="2" t="str">
        <f>TRIM(Table1[[#This Row],[Umowa]])</f>
        <v/>
      </c>
      <c r="J78" s="2" t="b">
        <f>ISTEXT(Table14[[#This Row],[Data_Wystawienia]])</f>
        <v>0</v>
      </c>
      <c r="K78" s="2">
        <f>VALUE(SUBSTITUTE(Table14[[#This Row],[Wartość]],".",","))</f>
        <v>10983.63</v>
      </c>
      <c r="L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" s="2" t="str">
        <f>IF(Table14[[#This Row],[Umowa]]="","Poza umową","Z umowy")</f>
        <v>Poza umową</v>
      </c>
      <c r="N78" s="2">
        <f>YEAR(Table14[[#This Row],[Data_Wystawienia]])</f>
        <v>2022</v>
      </c>
      <c r="O78" s="2" t="str">
        <f>TEXT(Table14[[#This Row],[Data_Wystawienia]],"rrrr-mm")</f>
        <v>2022-01</v>
      </c>
      <c r="P78" s="2">
        <v>1</v>
      </c>
    </row>
    <row r="79" spans="1:16" x14ac:dyDescent="0.3">
      <c r="A79" s="2" t="str">
        <f>TRIM(Table1[[#This Row],[Numer_FV]])</f>
        <v>FV/43823/VDb/2022</v>
      </c>
      <c r="B79" s="2" t="str">
        <f>TRIM(Table1[[#This Row],[Numer_PZ]])</f>
        <v>PZ/800077</v>
      </c>
      <c r="C79" s="2" t="str">
        <f>TRIM(Table1[[#This Row],[Dostawca]])</f>
        <v>VitaDistrib</v>
      </c>
      <c r="D79" s="3">
        <v>44586</v>
      </c>
      <c r="E79" s="4" t="s">
        <v>272</v>
      </c>
      <c r="F79" s="2" t="str">
        <f>TRIM(Table1[[#This Row],[Status]])</f>
        <v>Zaakceptowana</v>
      </c>
      <c r="G79" s="2" t="str">
        <f>TRIM(Table1[[#This Row],[Typ]])</f>
        <v>Faktura VAT</v>
      </c>
      <c r="H79" s="2" t="str">
        <f>TRIM(Table1[[#This Row],[Magazyn]])</f>
        <v>Apteka Szpitalna</v>
      </c>
      <c r="I79" s="2" t="str">
        <f>TRIM(Table1[[#This Row],[Umowa]])</f>
        <v>UM-VIT-01</v>
      </c>
      <c r="J79" s="2" t="b">
        <f>ISTEXT(Table14[[#This Row],[Data_Wystawienia]])</f>
        <v>0</v>
      </c>
      <c r="K79" s="2">
        <f>VALUE(SUBSTITUTE(Table14[[#This Row],[Wartość]],".",","))</f>
        <v>18065.62</v>
      </c>
      <c r="L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" s="2" t="str">
        <f>IF(Table14[[#This Row],[Umowa]]="","Poza umową","Z umowy")</f>
        <v>Z umowy</v>
      </c>
      <c r="N79" s="2">
        <f>YEAR(Table14[[#This Row],[Data_Wystawienia]])</f>
        <v>2022</v>
      </c>
      <c r="O79" s="2" t="str">
        <f>TEXT(Table14[[#This Row],[Data_Wystawienia]],"rrrr-mm")</f>
        <v>2022-01</v>
      </c>
      <c r="P79" s="2">
        <v>1</v>
      </c>
    </row>
    <row r="80" spans="1:16" x14ac:dyDescent="0.3">
      <c r="A80" s="2" t="str">
        <f>TRIM(Table1[[#This Row],[Numer_FV]])</f>
        <v>FV/62/PP/8309/22</v>
      </c>
      <c r="B80" s="2" t="str">
        <f>TRIM(Table1[[#This Row],[Numer_PZ]])</f>
        <v>PZ/800078</v>
      </c>
      <c r="C80" s="2" t="str">
        <f>TRIM(Table1[[#This Row],[Dostawca]])</f>
        <v>PharmaPlus</v>
      </c>
      <c r="D80" s="3">
        <v>44587</v>
      </c>
      <c r="E80" s="4" t="s">
        <v>275</v>
      </c>
      <c r="F80" s="2" t="str">
        <f>TRIM(Table1[[#This Row],[Status]])</f>
        <v>Zaakceptowana</v>
      </c>
      <c r="G80" s="2" t="str">
        <f>TRIM(Table1[[#This Row],[Typ]])</f>
        <v>Faktura VAT</v>
      </c>
      <c r="H80" s="2" t="str">
        <f>TRIM(Table1[[#This Row],[Magazyn]])</f>
        <v>Apteka Szpitalna</v>
      </c>
      <c r="I80" s="2" t="str">
        <f>TRIM(Table1[[#This Row],[Umowa]])</f>
        <v>UM-PHA-02</v>
      </c>
      <c r="J80" s="2" t="b">
        <f>ISTEXT(Table14[[#This Row],[Data_Wystawienia]])</f>
        <v>0</v>
      </c>
      <c r="K80" s="2">
        <f>VALUE(SUBSTITUTE(Table14[[#This Row],[Wartość]],".",","))</f>
        <v>13838.62</v>
      </c>
      <c r="L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" s="2" t="str">
        <f>IF(Table14[[#This Row],[Umowa]]="","Poza umową","Z umowy")</f>
        <v>Z umowy</v>
      </c>
      <c r="N80" s="2">
        <f>YEAR(Table14[[#This Row],[Data_Wystawienia]])</f>
        <v>2022</v>
      </c>
      <c r="O80" s="2" t="str">
        <f>TEXT(Table14[[#This Row],[Data_Wystawienia]],"rrrr-mm")</f>
        <v>2022-01</v>
      </c>
      <c r="P80" s="2">
        <v>1</v>
      </c>
    </row>
    <row r="81" spans="1:16" x14ac:dyDescent="0.3">
      <c r="A81" s="2" t="str">
        <f>TRIM(Table1[[#This Row],[Numer_FV]])</f>
        <v>FV/8144HM/22</v>
      </c>
      <c r="B81" s="2" t="str">
        <f>TRIM(Table1[[#This Row],[Numer_PZ]])</f>
        <v>PZ/800079</v>
      </c>
      <c r="C81" s="2" t="str">
        <f>TRIM(Table1[[#This Row],[Dostawca]])</f>
        <v>HurtMedix</v>
      </c>
      <c r="D81" s="3">
        <v>44588</v>
      </c>
      <c r="E81" s="4" t="s">
        <v>278</v>
      </c>
      <c r="F81" s="2" t="str">
        <f>TRIM(Table1[[#This Row],[Status]])</f>
        <v>Zaakceptowana</v>
      </c>
      <c r="G81" s="2" t="str">
        <f>TRIM(Table1[[#This Row],[Typ]])</f>
        <v>Faktura VAT</v>
      </c>
      <c r="H81" s="2" t="str">
        <f>TRIM(Table1[[#This Row],[Magazyn]])</f>
        <v>Apteka Szpitalna</v>
      </c>
      <c r="I81" s="2" t="str">
        <f>TRIM(Table1[[#This Row],[Umowa]])</f>
        <v>UM-HUR-01</v>
      </c>
      <c r="J81" s="2" t="b">
        <f>ISTEXT(Table14[[#This Row],[Data_Wystawienia]])</f>
        <v>0</v>
      </c>
      <c r="K81" s="2">
        <f>VALUE(SUBSTITUTE(Table14[[#This Row],[Wartość]],".",","))</f>
        <v>21556.93</v>
      </c>
      <c r="L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" s="2" t="str">
        <f>IF(Table14[[#This Row],[Umowa]]="","Poza umową","Z umowy")</f>
        <v>Z umowy</v>
      </c>
      <c r="N81" s="2">
        <f>YEAR(Table14[[#This Row],[Data_Wystawienia]])</f>
        <v>2022</v>
      </c>
      <c r="O81" s="2" t="str">
        <f>TEXT(Table14[[#This Row],[Data_Wystawienia]],"rrrr-mm")</f>
        <v>2022-01</v>
      </c>
      <c r="P81" s="2">
        <v>1</v>
      </c>
    </row>
    <row r="82" spans="1:16" x14ac:dyDescent="0.3">
      <c r="A82" s="2" t="str">
        <f>TRIM(Table1[[#This Row],[Numer_FV]])</f>
        <v>FV/19608/VDb/2022</v>
      </c>
      <c r="B82" s="2" t="str">
        <f>TRIM(Table1[[#This Row],[Numer_PZ]])</f>
        <v>PZ/800080</v>
      </c>
      <c r="C82" s="2" t="str">
        <f>TRIM(Table1[[#This Row],[Dostawca]])</f>
        <v>VitaDistrib</v>
      </c>
      <c r="D82" s="3">
        <v>44588</v>
      </c>
      <c r="E82" s="4" t="s">
        <v>281</v>
      </c>
      <c r="F82" s="2" t="str">
        <f>TRIM(Table1[[#This Row],[Status]])</f>
        <v>Zaakceptowana</v>
      </c>
      <c r="G82" s="2" t="str">
        <f>TRIM(Table1[[#This Row],[Typ]])</f>
        <v>Faktura VAT</v>
      </c>
      <c r="H82" s="2" t="str">
        <f>TRIM(Table1[[#This Row],[Magazyn]])</f>
        <v>Apteka Szpitalna</v>
      </c>
      <c r="I82" s="2" t="str">
        <f>TRIM(Table1[[#This Row],[Umowa]])</f>
        <v/>
      </c>
      <c r="J82" s="2" t="b">
        <f>ISTEXT(Table14[[#This Row],[Data_Wystawienia]])</f>
        <v>0</v>
      </c>
      <c r="K82" s="2">
        <f>VALUE(SUBSTITUTE(Table14[[#This Row],[Wartość]],".",","))</f>
        <v>9798.69</v>
      </c>
      <c r="L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" s="2" t="str">
        <f>IF(Table14[[#This Row],[Umowa]]="","Poza umową","Z umowy")</f>
        <v>Poza umową</v>
      </c>
      <c r="N82" s="2">
        <f>YEAR(Table14[[#This Row],[Data_Wystawienia]])</f>
        <v>2022</v>
      </c>
      <c r="O82" s="2" t="str">
        <f>TEXT(Table14[[#This Row],[Data_Wystawienia]],"rrrr-mm")</f>
        <v>2022-01</v>
      </c>
      <c r="P82" s="2">
        <v>1</v>
      </c>
    </row>
    <row r="83" spans="1:16" x14ac:dyDescent="0.3">
      <c r="A83" s="2" t="str">
        <f>TRIM(Table1[[#This Row],[Numer_FV]])</f>
        <v>FV/M/4708/P/22</v>
      </c>
      <c r="B83" s="2" t="str">
        <f>TRIM(Table1[[#This Row],[Numer_PZ]])</f>
        <v>PZ/800081</v>
      </c>
      <c r="C83" s="2" t="str">
        <f>TRIM(Table1[[#This Row],[Dostawca]])</f>
        <v>MedicaPharm</v>
      </c>
      <c r="D83" s="3">
        <v>44588</v>
      </c>
      <c r="E83" s="4" t="s">
        <v>284</v>
      </c>
      <c r="F83" s="2" t="str">
        <f>TRIM(Table1[[#This Row],[Status]])</f>
        <v>Zaakceptowana</v>
      </c>
      <c r="G83" s="2" t="str">
        <f>TRIM(Table1[[#This Row],[Typ]])</f>
        <v>Faktura VAT</v>
      </c>
      <c r="H83" s="2" t="str">
        <f>TRIM(Table1[[#This Row],[Magazyn]])</f>
        <v>Apteka Szpitalna</v>
      </c>
      <c r="I83" s="2" t="str">
        <f>TRIM(Table1[[#This Row],[Umowa]])</f>
        <v>UM-MED-01</v>
      </c>
      <c r="J83" s="2" t="b">
        <f>ISTEXT(Table14[[#This Row],[Data_Wystawienia]])</f>
        <v>0</v>
      </c>
      <c r="K83" s="2">
        <f>VALUE(SUBSTITUTE(Table14[[#This Row],[Wartość]],".",","))</f>
        <v>17384.099999999999</v>
      </c>
      <c r="L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" s="2" t="str">
        <f>IF(Table14[[#This Row],[Umowa]]="","Poza umową","Z umowy")</f>
        <v>Z umowy</v>
      </c>
      <c r="N83" s="2">
        <f>YEAR(Table14[[#This Row],[Data_Wystawienia]])</f>
        <v>2022</v>
      </c>
      <c r="O83" s="2" t="str">
        <f>TEXT(Table14[[#This Row],[Data_Wystawienia]],"rrrr-mm")</f>
        <v>2022-01</v>
      </c>
      <c r="P83" s="2">
        <v>1</v>
      </c>
    </row>
    <row r="84" spans="1:16" x14ac:dyDescent="0.3">
      <c r="A84" s="2" t="str">
        <f>TRIM(Table1[[#This Row],[Numer_FV]])</f>
        <v>FV/CENFA/270838/22</v>
      </c>
      <c r="B84" s="2" t="str">
        <f>TRIM(Table1[[#This Row],[Numer_PZ]])</f>
        <v>PZ/800082</v>
      </c>
      <c r="C84" s="2" t="str">
        <f>TRIM(Table1[[#This Row],[Dostawca]])</f>
        <v>CentrumFarm</v>
      </c>
      <c r="D84" s="3">
        <v>44588</v>
      </c>
      <c r="E84" s="4" t="s">
        <v>287</v>
      </c>
      <c r="F84" s="2" t="str">
        <f>TRIM(Table1[[#This Row],[Status]])</f>
        <v>Zaakceptowana</v>
      </c>
      <c r="G84" s="2" t="str">
        <f>TRIM(Table1[[#This Row],[Typ]])</f>
        <v>Faktura VAT</v>
      </c>
      <c r="H84" s="2" t="str">
        <f>TRIM(Table1[[#This Row],[Magazyn]])</f>
        <v>Apteka Szpitalna</v>
      </c>
      <c r="I84" s="2" t="str">
        <f>TRIM(Table1[[#This Row],[Umowa]])</f>
        <v>UM-CEN-01</v>
      </c>
      <c r="J84" s="2" t="b">
        <f>ISTEXT(Table14[[#This Row],[Data_Wystawienia]])</f>
        <v>0</v>
      </c>
      <c r="K84" s="2">
        <f>VALUE(SUBSTITUTE(Table14[[#This Row],[Wartość]],".",","))</f>
        <v>13277.69</v>
      </c>
      <c r="L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" s="2" t="str">
        <f>IF(Table14[[#This Row],[Umowa]]="","Poza umową","Z umowy")</f>
        <v>Z umowy</v>
      </c>
      <c r="N84" s="2">
        <f>YEAR(Table14[[#This Row],[Data_Wystawienia]])</f>
        <v>2022</v>
      </c>
      <c r="O84" s="2" t="str">
        <f>TEXT(Table14[[#This Row],[Data_Wystawienia]],"rrrr-mm")</f>
        <v>2022-01</v>
      </c>
      <c r="P84" s="2">
        <v>1</v>
      </c>
    </row>
    <row r="85" spans="1:16" x14ac:dyDescent="0.3">
      <c r="A85" s="2" t="str">
        <f>TRIM(Table1[[#This Row],[Numer_FV]])</f>
        <v>FV/2239HM/22</v>
      </c>
      <c r="B85" s="2" t="str">
        <f>TRIM(Table1[[#This Row],[Numer_PZ]])</f>
        <v>PZ/800083</v>
      </c>
      <c r="C85" s="2" t="str">
        <f>TRIM(Table1[[#This Row],[Dostawca]])</f>
        <v>HurtMedix</v>
      </c>
      <c r="D85" s="3">
        <v>44588</v>
      </c>
      <c r="E85" s="4" t="s">
        <v>290</v>
      </c>
      <c r="F85" s="2" t="str">
        <f>TRIM(Table1[[#This Row],[Status]])</f>
        <v>Zaakceptowana</v>
      </c>
      <c r="G85" s="2" t="str">
        <f>TRIM(Table1[[#This Row],[Typ]])</f>
        <v>Faktura VAT</v>
      </c>
      <c r="H85" s="2" t="str">
        <f>TRIM(Table1[[#This Row],[Magazyn]])</f>
        <v>Apteka Szpitalna</v>
      </c>
      <c r="I85" s="2" t="str">
        <f>TRIM(Table1[[#This Row],[Umowa]])</f>
        <v/>
      </c>
      <c r="J85" s="2" t="b">
        <f>ISTEXT(Table14[[#This Row],[Data_Wystawienia]])</f>
        <v>0</v>
      </c>
      <c r="K85" s="2">
        <f>VALUE(SUBSTITUTE(Table14[[#This Row],[Wartość]],".",","))</f>
        <v>18372.939999999999</v>
      </c>
      <c r="L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" s="2" t="str">
        <f>IF(Table14[[#This Row],[Umowa]]="","Poza umową","Z umowy")</f>
        <v>Poza umową</v>
      </c>
      <c r="N85" s="2">
        <f>YEAR(Table14[[#This Row],[Data_Wystawienia]])</f>
        <v>2022</v>
      </c>
      <c r="O85" s="2" t="str">
        <f>TEXT(Table14[[#This Row],[Data_Wystawienia]],"rrrr-mm")</f>
        <v>2022-01</v>
      </c>
      <c r="P85" s="2">
        <v>1</v>
      </c>
    </row>
    <row r="86" spans="1:16" x14ac:dyDescent="0.3">
      <c r="A86" s="2" t="str">
        <f>TRIM(Table1[[#This Row],[Numer_FV]])</f>
        <v>FV/3385/NOVA/22</v>
      </c>
      <c r="B86" s="2" t="str">
        <f>TRIM(Table1[[#This Row],[Numer_PZ]])</f>
        <v>PZ/800084</v>
      </c>
      <c r="C86" s="2" t="str">
        <f>TRIM(Table1[[#This Row],[Dostawca]])</f>
        <v>NovaLek</v>
      </c>
      <c r="D86" s="3">
        <v>44588</v>
      </c>
      <c r="E86" s="4" t="s">
        <v>293</v>
      </c>
      <c r="F86" s="2" t="str">
        <f>TRIM(Table1[[#This Row],[Status]])</f>
        <v>Zaakceptowana</v>
      </c>
      <c r="G86" s="2" t="str">
        <f>TRIM(Table1[[#This Row],[Typ]])</f>
        <v>Faktura VAT</v>
      </c>
      <c r="H86" s="2" t="str">
        <f>TRIM(Table1[[#This Row],[Magazyn]])</f>
        <v>Apteka Szpitalna</v>
      </c>
      <c r="I86" s="2" t="str">
        <f>TRIM(Table1[[#This Row],[Umowa]])</f>
        <v>UM-NOV-01</v>
      </c>
      <c r="J86" s="2" t="b">
        <f>ISTEXT(Table14[[#This Row],[Data_Wystawienia]])</f>
        <v>0</v>
      </c>
      <c r="K86" s="2">
        <f>VALUE(SUBSTITUTE(Table14[[#This Row],[Wartość]],".",","))</f>
        <v>17761.34</v>
      </c>
      <c r="L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" s="2" t="str">
        <f>IF(Table14[[#This Row],[Umowa]]="","Poza umową","Z umowy")</f>
        <v>Z umowy</v>
      </c>
      <c r="N86" s="2">
        <f>YEAR(Table14[[#This Row],[Data_Wystawienia]])</f>
        <v>2022</v>
      </c>
      <c r="O86" s="2" t="str">
        <f>TEXT(Table14[[#This Row],[Data_Wystawienia]],"rrrr-mm")</f>
        <v>2022-01</v>
      </c>
      <c r="P86" s="2">
        <v>1</v>
      </c>
    </row>
    <row r="87" spans="1:16" x14ac:dyDescent="0.3">
      <c r="A87" s="2" t="str">
        <f>TRIM(Table1[[#This Row],[Numer_FV]])</f>
        <v>FV/M/4331/P/22</v>
      </c>
      <c r="B87" s="2" t="str">
        <f>TRIM(Table1[[#This Row],[Numer_PZ]])</f>
        <v>PZ/800085</v>
      </c>
      <c r="C87" s="2" t="str">
        <f>TRIM(Table1[[#This Row],[Dostawca]])</f>
        <v>MedicaPharm</v>
      </c>
      <c r="D87" s="3">
        <v>44588</v>
      </c>
      <c r="E87" s="4" t="s">
        <v>296</v>
      </c>
      <c r="F87" s="2" t="str">
        <f>TRIM(Table1[[#This Row],[Status]])</f>
        <v>Zaakceptowana</v>
      </c>
      <c r="G87" s="2" t="str">
        <f>TRIM(Table1[[#This Row],[Typ]])</f>
        <v>Faktura VAT</v>
      </c>
      <c r="H87" s="2" t="str">
        <f>TRIM(Table1[[#This Row],[Magazyn]])</f>
        <v>Apteka Szpitalna</v>
      </c>
      <c r="I87" s="2" t="str">
        <f>TRIM(Table1[[#This Row],[Umowa]])</f>
        <v>UM-MED-02</v>
      </c>
      <c r="J87" s="2" t="b">
        <f>ISTEXT(Table14[[#This Row],[Data_Wystawienia]])</f>
        <v>0</v>
      </c>
      <c r="K87" s="2">
        <f>VALUE(SUBSTITUTE(Table14[[#This Row],[Wartość]],".",","))</f>
        <v>12918.53</v>
      </c>
      <c r="L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" s="2" t="str">
        <f>IF(Table14[[#This Row],[Umowa]]="","Poza umową","Z umowy")</f>
        <v>Z umowy</v>
      </c>
      <c r="N87" s="2">
        <f>YEAR(Table14[[#This Row],[Data_Wystawienia]])</f>
        <v>2022</v>
      </c>
      <c r="O87" s="2" t="str">
        <f>TEXT(Table14[[#This Row],[Data_Wystawienia]],"rrrr-mm")</f>
        <v>2022-01</v>
      </c>
      <c r="P87" s="2">
        <v>1</v>
      </c>
    </row>
    <row r="88" spans="1:16" x14ac:dyDescent="0.3">
      <c r="A88" s="2" t="str">
        <f>TRIM(Table1[[#This Row],[Numer_FV]])</f>
        <v>FV/32/PP/9838/22</v>
      </c>
      <c r="B88" s="2" t="str">
        <f>TRIM(Table1[[#This Row],[Numer_PZ]])</f>
        <v>PZ/800086</v>
      </c>
      <c r="C88" s="2" t="str">
        <f>TRIM(Table1[[#This Row],[Dostawca]])</f>
        <v>PharmaPlus</v>
      </c>
      <c r="D88" s="3">
        <v>44589</v>
      </c>
      <c r="E88" s="4" t="s">
        <v>299</v>
      </c>
      <c r="F88" s="2" t="str">
        <f>TRIM(Table1[[#This Row],[Status]])</f>
        <v>Zaakceptowana</v>
      </c>
      <c r="G88" s="2" t="str">
        <f>TRIM(Table1[[#This Row],[Typ]])</f>
        <v>Faktura VAT</v>
      </c>
      <c r="H88" s="2" t="str">
        <f>TRIM(Table1[[#This Row],[Magazyn]])</f>
        <v>Apteka Szpitalna</v>
      </c>
      <c r="I88" s="2" t="str">
        <f>TRIM(Table1[[#This Row],[Umowa]])</f>
        <v>UM-PHA-01</v>
      </c>
      <c r="J88" s="2" t="b">
        <f>ISTEXT(Table14[[#This Row],[Data_Wystawienia]])</f>
        <v>0</v>
      </c>
      <c r="K88" s="2">
        <f>VALUE(SUBSTITUTE(Table14[[#This Row],[Wartość]],".",","))</f>
        <v>12270.4</v>
      </c>
      <c r="L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" s="2" t="str">
        <f>IF(Table14[[#This Row],[Umowa]]="","Poza umową","Z umowy")</f>
        <v>Z umowy</v>
      </c>
      <c r="N88" s="2">
        <f>YEAR(Table14[[#This Row],[Data_Wystawienia]])</f>
        <v>2022</v>
      </c>
      <c r="O88" s="2" t="str">
        <f>TEXT(Table14[[#This Row],[Data_Wystawienia]],"rrrr-mm")</f>
        <v>2022-01</v>
      </c>
      <c r="P88" s="2">
        <v>1</v>
      </c>
    </row>
    <row r="89" spans="1:16" x14ac:dyDescent="0.3">
      <c r="A89" s="2" t="str">
        <f>TRIM(Table1[[#This Row],[Numer_FV]])</f>
        <v>FV/POL/28292/2022</v>
      </c>
      <c r="B89" s="2" t="str">
        <f>TRIM(Table1[[#This Row],[Numer_PZ]])</f>
        <v>PZ/800087</v>
      </c>
      <c r="C89" s="2" t="str">
        <f>TRIM(Table1[[#This Row],[Dostawca]])</f>
        <v>Polmedica</v>
      </c>
      <c r="D89" s="3">
        <v>44589</v>
      </c>
      <c r="E89" s="4" t="s">
        <v>302</v>
      </c>
      <c r="F89" s="2" t="str">
        <f>TRIM(Table1[[#This Row],[Status]])</f>
        <v>Zaakceptowana</v>
      </c>
      <c r="G89" s="2" t="str">
        <f>TRIM(Table1[[#This Row],[Typ]])</f>
        <v>Faktura VAT</v>
      </c>
      <c r="H89" s="2" t="str">
        <f>TRIM(Table1[[#This Row],[Magazyn]])</f>
        <v>Apteka Szpitalna</v>
      </c>
      <c r="I89" s="2" t="str">
        <f>TRIM(Table1[[#This Row],[Umowa]])</f>
        <v>UM-POL-03</v>
      </c>
      <c r="J89" s="2" t="b">
        <f>ISTEXT(Table14[[#This Row],[Data_Wystawienia]])</f>
        <v>0</v>
      </c>
      <c r="K89" s="2">
        <f>VALUE(SUBSTITUTE(Table14[[#This Row],[Wartość]],".",","))</f>
        <v>19267.87</v>
      </c>
      <c r="L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" s="2" t="str">
        <f>IF(Table14[[#This Row],[Umowa]]="","Poza umową","Z umowy")</f>
        <v>Z umowy</v>
      </c>
      <c r="N89" s="2">
        <f>YEAR(Table14[[#This Row],[Data_Wystawienia]])</f>
        <v>2022</v>
      </c>
      <c r="O89" s="2" t="str">
        <f>TEXT(Table14[[#This Row],[Data_Wystawienia]],"rrrr-mm")</f>
        <v>2022-01</v>
      </c>
      <c r="P89" s="2">
        <v>1</v>
      </c>
    </row>
    <row r="90" spans="1:16" x14ac:dyDescent="0.3">
      <c r="A90" s="2" t="str">
        <f>TRIM(Table1[[#This Row],[Numer_FV]])</f>
        <v>FV/81365/VDb/2022</v>
      </c>
      <c r="B90" s="2" t="str">
        <f>TRIM(Table1[[#This Row],[Numer_PZ]])</f>
        <v>PZ/800088</v>
      </c>
      <c r="C90" s="2" t="str">
        <f>TRIM(Table1[[#This Row],[Dostawca]])</f>
        <v>VitaDistrib</v>
      </c>
      <c r="D90" s="3">
        <v>44590</v>
      </c>
      <c r="E90" s="4" t="s">
        <v>305</v>
      </c>
      <c r="F90" s="2" t="str">
        <f>TRIM(Table1[[#This Row],[Status]])</f>
        <v>Zaakceptowana</v>
      </c>
      <c r="G90" s="2" t="str">
        <f>TRIM(Table1[[#This Row],[Typ]])</f>
        <v>Faktura VAT</v>
      </c>
      <c r="H90" s="2" t="str">
        <f>TRIM(Table1[[#This Row],[Magazyn]])</f>
        <v>Apteka Szpitalna</v>
      </c>
      <c r="I90" s="2" t="str">
        <f>TRIM(Table1[[#This Row],[Umowa]])</f>
        <v>UM-VIT-01</v>
      </c>
      <c r="J90" s="2" t="b">
        <f>ISTEXT(Table14[[#This Row],[Data_Wystawienia]])</f>
        <v>0</v>
      </c>
      <c r="K90" s="2">
        <f>VALUE(SUBSTITUTE(Table14[[#This Row],[Wartość]],".",","))</f>
        <v>21394.14</v>
      </c>
      <c r="L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" s="2" t="str">
        <f>IF(Table14[[#This Row],[Umowa]]="","Poza umową","Z umowy")</f>
        <v>Z umowy</v>
      </c>
      <c r="N90" s="2">
        <f>YEAR(Table14[[#This Row],[Data_Wystawienia]])</f>
        <v>2022</v>
      </c>
      <c r="O90" s="2" t="str">
        <f>TEXT(Table14[[#This Row],[Data_Wystawienia]],"rrrr-mm")</f>
        <v>2022-01</v>
      </c>
      <c r="P90" s="2">
        <v>1</v>
      </c>
    </row>
    <row r="91" spans="1:16" x14ac:dyDescent="0.3">
      <c r="A91" s="2" t="str">
        <f>TRIM(Table1[[#This Row],[Numer_FV]])</f>
        <v>FV/7196/NOVA/22</v>
      </c>
      <c r="B91" s="2" t="str">
        <f>TRIM(Table1[[#This Row],[Numer_PZ]])</f>
        <v>PZ/800089</v>
      </c>
      <c r="C91" s="2" t="str">
        <f>TRIM(Table1[[#This Row],[Dostawca]])</f>
        <v>NovaLek</v>
      </c>
      <c r="D91" s="3">
        <v>44590</v>
      </c>
      <c r="E91" s="4" t="s">
        <v>308</v>
      </c>
      <c r="F91" s="2" t="str">
        <f>TRIM(Table1[[#This Row],[Status]])</f>
        <v>Zaakceptowana</v>
      </c>
      <c r="G91" s="2" t="str">
        <f>TRIM(Table1[[#This Row],[Typ]])</f>
        <v>Faktura VAT</v>
      </c>
      <c r="H91" s="2" t="str">
        <f>TRIM(Table1[[#This Row],[Magazyn]])</f>
        <v>Apteka Szpitalna</v>
      </c>
      <c r="I91" s="2" t="str">
        <f>TRIM(Table1[[#This Row],[Umowa]])</f>
        <v/>
      </c>
      <c r="J91" s="2" t="b">
        <f>ISTEXT(Table14[[#This Row],[Data_Wystawienia]])</f>
        <v>0</v>
      </c>
      <c r="K91" s="2">
        <f>VALUE(SUBSTITUTE(Table14[[#This Row],[Wartość]],".",","))</f>
        <v>14977.09</v>
      </c>
      <c r="L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" s="2" t="str">
        <f>IF(Table14[[#This Row],[Umowa]]="","Poza umową","Z umowy")</f>
        <v>Poza umową</v>
      </c>
      <c r="N91" s="2">
        <f>YEAR(Table14[[#This Row],[Data_Wystawienia]])</f>
        <v>2022</v>
      </c>
      <c r="O91" s="2" t="str">
        <f>TEXT(Table14[[#This Row],[Data_Wystawienia]],"rrrr-mm")</f>
        <v>2022-01</v>
      </c>
      <c r="P91" s="2">
        <v>1</v>
      </c>
    </row>
    <row r="92" spans="1:16" x14ac:dyDescent="0.3">
      <c r="A92" s="2" t="str">
        <f>TRIM(Table1[[#This Row],[Numer_FV]])</f>
        <v>FV/POL/93204/2022</v>
      </c>
      <c r="B92" s="2" t="str">
        <f>TRIM(Table1[[#This Row],[Numer_PZ]])</f>
        <v>PZ/800090</v>
      </c>
      <c r="C92" s="2" t="str">
        <f>TRIM(Table1[[#This Row],[Dostawca]])</f>
        <v>Polmedica</v>
      </c>
      <c r="D92" s="3">
        <v>44591</v>
      </c>
      <c r="E92" s="4" t="s">
        <v>311</v>
      </c>
      <c r="F92" s="2" t="str">
        <f>TRIM(Table1[[#This Row],[Status]])</f>
        <v>Zaakceptowana</v>
      </c>
      <c r="G92" s="2" t="str">
        <f>TRIM(Table1[[#This Row],[Typ]])</f>
        <v>Faktura VAT</v>
      </c>
      <c r="H92" s="2" t="str">
        <f>TRIM(Table1[[#This Row],[Magazyn]])</f>
        <v>Apteka Szpitalna</v>
      </c>
      <c r="I92" s="2" t="str">
        <f>TRIM(Table1[[#This Row],[Umowa]])</f>
        <v/>
      </c>
      <c r="J92" s="2" t="b">
        <f>ISTEXT(Table14[[#This Row],[Data_Wystawienia]])</f>
        <v>0</v>
      </c>
      <c r="K92" s="2">
        <f>VALUE(SUBSTITUTE(Table14[[#This Row],[Wartość]],".",","))</f>
        <v>15446.23</v>
      </c>
      <c r="L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" s="2" t="str">
        <f>IF(Table14[[#This Row],[Umowa]]="","Poza umową","Z umowy")</f>
        <v>Poza umową</v>
      </c>
      <c r="N92" s="2">
        <f>YEAR(Table14[[#This Row],[Data_Wystawienia]])</f>
        <v>2022</v>
      </c>
      <c r="O92" s="2" t="str">
        <f>TEXT(Table14[[#This Row],[Data_Wystawienia]],"rrrr-mm")</f>
        <v>2022-01</v>
      </c>
      <c r="P92" s="2">
        <v>1</v>
      </c>
    </row>
    <row r="93" spans="1:16" x14ac:dyDescent="0.3">
      <c r="A93" s="2" t="str">
        <f>TRIM(Table1[[#This Row],[Numer_FV]])</f>
        <v>FV/CENFA/593543/22</v>
      </c>
      <c r="B93" s="2" t="str">
        <f>TRIM(Table1[[#This Row],[Numer_PZ]])</f>
        <v>PZ/800091</v>
      </c>
      <c r="C93" s="2" t="str">
        <f>TRIM(Table1[[#This Row],[Dostawca]])</f>
        <v>CentrumFarm</v>
      </c>
      <c r="D93" s="3">
        <v>44591</v>
      </c>
      <c r="E93" s="4" t="s">
        <v>314</v>
      </c>
      <c r="F93" s="2" t="str">
        <f>TRIM(Table1[[#This Row],[Status]])</f>
        <v>Zaakceptowana</v>
      </c>
      <c r="G93" s="2" t="str">
        <f>TRIM(Table1[[#This Row],[Typ]])</f>
        <v>Faktura VAT</v>
      </c>
      <c r="H93" s="2" t="str">
        <f>TRIM(Table1[[#This Row],[Magazyn]])</f>
        <v>Apteka Szpitalna</v>
      </c>
      <c r="I93" s="2" t="str">
        <f>TRIM(Table1[[#This Row],[Umowa]])</f>
        <v>UM-CEN-02</v>
      </c>
      <c r="J93" s="2" t="b">
        <f>ISTEXT(Table14[[#This Row],[Data_Wystawienia]])</f>
        <v>0</v>
      </c>
      <c r="K93" s="2">
        <f>VALUE(SUBSTITUTE(Table14[[#This Row],[Wartość]],".",","))</f>
        <v>20809.16</v>
      </c>
      <c r="L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" s="2" t="str">
        <f>IF(Table14[[#This Row],[Umowa]]="","Poza umową","Z umowy")</f>
        <v>Z umowy</v>
      </c>
      <c r="N93" s="2">
        <f>YEAR(Table14[[#This Row],[Data_Wystawienia]])</f>
        <v>2022</v>
      </c>
      <c r="O93" s="2" t="str">
        <f>TEXT(Table14[[#This Row],[Data_Wystawienia]],"rrrr-mm")</f>
        <v>2022-01</v>
      </c>
      <c r="P93" s="2">
        <v>1</v>
      </c>
    </row>
    <row r="94" spans="1:16" x14ac:dyDescent="0.3">
      <c r="A94" s="2" t="str">
        <f>TRIM(Table1[[#This Row],[Numer_FV]])</f>
        <v>FV/7984/NOVA/22</v>
      </c>
      <c r="B94" s="2" t="str">
        <f>TRIM(Table1[[#This Row],[Numer_PZ]])</f>
        <v>PZ/800092</v>
      </c>
      <c r="C94" s="2" t="str">
        <f>TRIM(Table1[[#This Row],[Dostawca]])</f>
        <v>NovaLek</v>
      </c>
      <c r="D94" s="3">
        <v>44592</v>
      </c>
      <c r="E94" s="4" t="s">
        <v>317</v>
      </c>
      <c r="F94" s="2" t="str">
        <f>TRIM(Table1[[#This Row],[Status]])</f>
        <v>Zaakceptowana</v>
      </c>
      <c r="G94" s="2" t="str">
        <f>TRIM(Table1[[#This Row],[Typ]])</f>
        <v>Faktura VAT</v>
      </c>
      <c r="H94" s="2" t="str">
        <f>TRIM(Table1[[#This Row],[Magazyn]])</f>
        <v>Apteka Szpitalna</v>
      </c>
      <c r="I94" s="2" t="str">
        <f>TRIM(Table1[[#This Row],[Umowa]])</f>
        <v>UM-NOV-03</v>
      </c>
      <c r="J94" s="2" t="b">
        <f>ISTEXT(Table14[[#This Row],[Data_Wystawienia]])</f>
        <v>0</v>
      </c>
      <c r="K94" s="2">
        <f>VALUE(SUBSTITUTE(Table14[[#This Row],[Wartość]],".",","))</f>
        <v>18301.189999999999</v>
      </c>
      <c r="L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" s="2" t="str">
        <f>IF(Table14[[#This Row],[Umowa]]="","Poza umową","Z umowy")</f>
        <v>Z umowy</v>
      </c>
      <c r="N94" s="2">
        <f>YEAR(Table14[[#This Row],[Data_Wystawienia]])</f>
        <v>2022</v>
      </c>
      <c r="O94" s="2" t="str">
        <f>TEXT(Table14[[#This Row],[Data_Wystawienia]],"rrrr-mm")</f>
        <v>2022-01</v>
      </c>
      <c r="P94" s="2">
        <v>1</v>
      </c>
    </row>
    <row r="95" spans="1:16" x14ac:dyDescent="0.3">
      <c r="A95" s="2" t="str">
        <f>TRIM(Table1[[#This Row],[Numer_FV]])</f>
        <v>FV/6166HM/22</v>
      </c>
      <c r="B95" s="2" t="str">
        <f>TRIM(Table1[[#This Row],[Numer_PZ]])</f>
        <v>PZ/800093</v>
      </c>
      <c r="C95" s="2" t="str">
        <f>TRIM(Table1[[#This Row],[Dostawca]])</f>
        <v>HurtMedix</v>
      </c>
      <c r="D95" s="3">
        <v>44593</v>
      </c>
      <c r="E95" s="4" t="s">
        <v>320</v>
      </c>
      <c r="F95" s="2" t="str">
        <f>TRIM(Table1[[#This Row],[Status]])</f>
        <v>Zaakceptowana</v>
      </c>
      <c r="G95" s="2" t="str">
        <f>TRIM(Table1[[#This Row],[Typ]])</f>
        <v>Faktura VAT</v>
      </c>
      <c r="H95" s="2" t="str">
        <f>TRIM(Table1[[#This Row],[Magazyn]])</f>
        <v>Apteka Szpitalna</v>
      </c>
      <c r="I95" s="2" t="str">
        <f>TRIM(Table1[[#This Row],[Umowa]])</f>
        <v>UM-HUR-03</v>
      </c>
      <c r="J95" s="2" t="b">
        <f>ISTEXT(Table14[[#This Row],[Data_Wystawienia]])</f>
        <v>0</v>
      </c>
      <c r="K95" s="2">
        <f>VALUE(SUBSTITUTE(Table14[[#This Row],[Wartość]],".",","))</f>
        <v>15987.34</v>
      </c>
      <c r="L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" s="2" t="str">
        <f>IF(Table14[[#This Row],[Umowa]]="","Poza umową","Z umowy")</f>
        <v>Z umowy</v>
      </c>
      <c r="N95" s="2">
        <f>YEAR(Table14[[#This Row],[Data_Wystawienia]])</f>
        <v>2022</v>
      </c>
      <c r="O95" s="2" t="str">
        <f>TEXT(Table14[[#This Row],[Data_Wystawienia]],"rrrr-mm")</f>
        <v>2022-02</v>
      </c>
      <c r="P95" s="2">
        <v>1</v>
      </c>
    </row>
    <row r="96" spans="1:16" x14ac:dyDescent="0.3">
      <c r="A96" s="2" t="str">
        <f>TRIM(Table1[[#This Row],[Numer_FV]])</f>
        <v>FV/63/PP/7510/22</v>
      </c>
      <c r="B96" s="2" t="str">
        <f>TRIM(Table1[[#This Row],[Numer_PZ]])</f>
        <v>PZ/800094</v>
      </c>
      <c r="C96" s="2" t="str">
        <f>TRIM(Table1[[#This Row],[Dostawca]])</f>
        <v>PharmaPlus</v>
      </c>
      <c r="D96" s="3">
        <v>44593</v>
      </c>
      <c r="E96" s="4" t="s">
        <v>323</v>
      </c>
      <c r="F96" s="2" t="str">
        <f>TRIM(Table1[[#This Row],[Status]])</f>
        <v>Zaakceptowana</v>
      </c>
      <c r="G96" s="2" t="str">
        <f>TRIM(Table1[[#This Row],[Typ]])</f>
        <v>Faktura VAT</v>
      </c>
      <c r="H96" s="2" t="str">
        <f>TRIM(Table1[[#This Row],[Magazyn]])</f>
        <v>Apteka Szpitalna</v>
      </c>
      <c r="I96" s="2" t="str">
        <f>TRIM(Table1[[#This Row],[Umowa]])</f>
        <v>UM-PHA-02</v>
      </c>
      <c r="J96" s="2" t="b">
        <f>ISTEXT(Table14[[#This Row],[Data_Wystawienia]])</f>
        <v>0</v>
      </c>
      <c r="K96" s="2">
        <f>VALUE(SUBSTITUTE(Table14[[#This Row],[Wartość]],".",","))</f>
        <v>12665.77</v>
      </c>
      <c r="L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" s="2" t="str">
        <f>IF(Table14[[#This Row],[Umowa]]="","Poza umową","Z umowy")</f>
        <v>Z umowy</v>
      </c>
      <c r="N96" s="2">
        <f>YEAR(Table14[[#This Row],[Data_Wystawienia]])</f>
        <v>2022</v>
      </c>
      <c r="O96" s="2" t="str">
        <f>TEXT(Table14[[#This Row],[Data_Wystawienia]],"rrrr-mm")</f>
        <v>2022-02</v>
      </c>
      <c r="P96" s="2">
        <v>1</v>
      </c>
    </row>
    <row r="97" spans="1:16" x14ac:dyDescent="0.3">
      <c r="A97" s="2" t="str">
        <f>TRIM(Table1[[#This Row],[Numer_FV]])</f>
        <v>FV/93/PP/1107/22</v>
      </c>
      <c r="B97" s="2" t="str">
        <f>TRIM(Table1[[#This Row],[Numer_PZ]])</f>
        <v>PZ/800095</v>
      </c>
      <c r="C97" s="2" t="str">
        <f>TRIM(Table1[[#This Row],[Dostawca]])</f>
        <v>PharmaPlus</v>
      </c>
      <c r="D97" s="3">
        <v>44593</v>
      </c>
      <c r="E97" s="4" t="s">
        <v>326</v>
      </c>
      <c r="F97" s="2" t="str">
        <f>TRIM(Table1[[#This Row],[Status]])</f>
        <v>Zaakceptowana</v>
      </c>
      <c r="G97" s="2" t="str">
        <f>TRIM(Table1[[#This Row],[Typ]])</f>
        <v>Faktura VAT</v>
      </c>
      <c r="H97" s="2" t="str">
        <f>TRIM(Table1[[#This Row],[Magazyn]])</f>
        <v>Apteka Szpitalna</v>
      </c>
      <c r="I97" s="2" t="str">
        <f>TRIM(Table1[[#This Row],[Umowa]])</f>
        <v>UM-PHA-02</v>
      </c>
      <c r="J97" s="2" t="b">
        <f>ISTEXT(Table14[[#This Row],[Data_Wystawienia]])</f>
        <v>0</v>
      </c>
      <c r="K97" s="2">
        <f>VALUE(SUBSTITUTE(Table14[[#This Row],[Wartość]],".",","))</f>
        <v>12186.98</v>
      </c>
      <c r="L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" s="2" t="str">
        <f>IF(Table14[[#This Row],[Umowa]]="","Poza umową","Z umowy")</f>
        <v>Z umowy</v>
      </c>
      <c r="N97" s="2">
        <f>YEAR(Table14[[#This Row],[Data_Wystawienia]])</f>
        <v>2022</v>
      </c>
      <c r="O97" s="2" t="str">
        <f>TEXT(Table14[[#This Row],[Data_Wystawienia]],"rrrr-mm")</f>
        <v>2022-02</v>
      </c>
      <c r="P97" s="2">
        <v>1</v>
      </c>
    </row>
    <row r="98" spans="1:16" x14ac:dyDescent="0.3">
      <c r="A98" s="2" t="str">
        <f>TRIM(Table1[[#This Row],[Numer_FV]])</f>
        <v>FV/2196HM/22</v>
      </c>
      <c r="B98" s="2" t="str">
        <f>TRIM(Table1[[#This Row],[Numer_PZ]])</f>
        <v>PZ/800096</v>
      </c>
      <c r="C98" s="2" t="str">
        <f>TRIM(Table1[[#This Row],[Dostawca]])</f>
        <v>HurtMedix</v>
      </c>
      <c r="D98" s="3">
        <v>44593</v>
      </c>
      <c r="E98" s="4" t="s">
        <v>329</v>
      </c>
      <c r="F98" s="2" t="str">
        <f>TRIM(Table1[[#This Row],[Status]])</f>
        <v>Zaakceptowana</v>
      </c>
      <c r="G98" s="2" t="str">
        <f>TRIM(Table1[[#This Row],[Typ]])</f>
        <v>Faktura VAT</v>
      </c>
      <c r="H98" s="2" t="str">
        <f>TRIM(Table1[[#This Row],[Magazyn]])</f>
        <v>Apteka Szpitalna</v>
      </c>
      <c r="I98" s="2" t="str">
        <f>TRIM(Table1[[#This Row],[Umowa]])</f>
        <v>UM-HUR-01</v>
      </c>
      <c r="J98" s="2" t="b">
        <f>ISTEXT(Table14[[#This Row],[Data_Wystawienia]])</f>
        <v>0</v>
      </c>
      <c r="K98" s="2">
        <f>VALUE(SUBSTITUTE(Table14[[#This Row],[Wartość]],".",","))</f>
        <v>16648.7</v>
      </c>
      <c r="L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" s="2" t="str">
        <f>IF(Table14[[#This Row],[Umowa]]="","Poza umową","Z umowy")</f>
        <v>Z umowy</v>
      </c>
      <c r="N98" s="2">
        <f>YEAR(Table14[[#This Row],[Data_Wystawienia]])</f>
        <v>2022</v>
      </c>
      <c r="O98" s="2" t="str">
        <f>TEXT(Table14[[#This Row],[Data_Wystawienia]],"rrrr-mm")</f>
        <v>2022-02</v>
      </c>
      <c r="P98" s="2">
        <v>1</v>
      </c>
    </row>
    <row r="99" spans="1:16" x14ac:dyDescent="0.3">
      <c r="A99" s="2" t="str">
        <f>TRIM(Table1[[#This Row],[Numer_FV]])</f>
        <v>FV/6807/NOVA/22</v>
      </c>
      <c r="B99" s="2" t="str">
        <f>TRIM(Table1[[#This Row],[Numer_PZ]])</f>
        <v>PZ/800097</v>
      </c>
      <c r="C99" s="2" t="str">
        <f>TRIM(Table1[[#This Row],[Dostawca]])</f>
        <v>NovaLek</v>
      </c>
      <c r="D99" s="3">
        <v>44593</v>
      </c>
      <c r="E99" s="4" t="s">
        <v>332</v>
      </c>
      <c r="F99" s="2" t="str">
        <f>TRIM(Table1[[#This Row],[Status]])</f>
        <v>Zaakceptowana</v>
      </c>
      <c r="G99" s="2" t="str">
        <f>TRIM(Table1[[#This Row],[Typ]])</f>
        <v>Faktura VAT</v>
      </c>
      <c r="H99" s="2" t="str">
        <f>TRIM(Table1[[#This Row],[Magazyn]])</f>
        <v>Apteka Szpitalna</v>
      </c>
      <c r="I99" s="2" t="str">
        <f>TRIM(Table1[[#This Row],[Umowa]])</f>
        <v/>
      </c>
      <c r="J99" s="2" t="b">
        <f>ISTEXT(Table14[[#This Row],[Data_Wystawienia]])</f>
        <v>0</v>
      </c>
      <c r="K99" s="2">
        <f>VALUE(SUBSTITUTE(Table14[[#This Row],[Wartość]],".",","))</f>
        <v>11766.68</v>
      </c>
      <c r="L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" s="2" t="str">
        <f>IF(Table14[[#This Row],[Umowa]]="","Poza umową","Z umowy")</f>
        <v>Poza umową</v>
      </c>
      <c r="N99" s="2">
        <f>YEAR(Table14[[#This Row],[Data_Wystawienia]])</f>
        <v>2022</v>
      </c>
      <c r="O99" s="2" t="str">
        <f>TEXT(Table14[[#This Row],[Data_Wystawienia]],"rrrr-mm")</f>
        <v>2022-02</v>
      </c>
      <c r="P99" s="2">
        <v>1</v>
      </c>
    </row>
    <row r="100" spans="1:16" x14ac:dyDescent="0.3">
      <c r="A100" s="2" t="str">
        <f>TRIM(Table1[[#This Row],[Numer_FV]])</f>
        <v>FV/58/PP/4876/22</v>
      </c>
      <c r="B100" s="2" t="str">
        <f>TRIM(Table1[[#This Row],[Numer_PZ]])</f>
        <v>PZ/800098</v>
      </c>
      <c r="C100" s="2" t="str">
        <f>TRIM(Table1[[#This Row],[Dostawca]])</f>
        <v>PharmaPlus</v>
      </c>
      <c r="D100" s="3">
        <v>44593</v>
      </c>
      <c r="E100" s="4" t="s">
        <v>335</v>
      </c>
      <c r="F100" s="2" t="str">
        <f>TRIM(Table1[[#This Row],[Status]])</f>
        <v>Zaakceptowana</v>
      </c>
      <c r="G100" s="2" t="str">
        <f>TRIM(Table1[[#This Row],[Typ]])</f>
        <v>Faktura VAT</v>
      </c>
      <c r="H100" s="2" t="str">
        <f>TRIM(Table1[[#This Row],[Magazyn]])</f>
        <v>Apteka Szpitalna</v>
      </c>
      <c r="I100" s="2" t="str">
        <f>TRIM(Table1[[#This Row],[Umowa]])</f>
        <v/>
      </c>
      <c r="J100" s="2" t="b">
        <f>ISTEXT(Table14[[#This Row],[Data_Wystawienia]])</f>
        <v>0</v>
      </c>
      <c r="K100" s="2">
        <f>VALUE(SUBSTITUTE(Table14[[#This Row],[Wartość]],".",","))</f>
        <v>22567.15</v>
      </c>
      <c r="L1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" s="2" t="str">
        <f>IF(Table14[[#This Row],[Umowa]]="","Poza umową","Z umowy")</f>
        <v>Poza umową</v>
      </c>
      <c r="N100" s="2">
        <f>YEAR(Table14[[#This Row],[Data_Wystawienia]])</f>
        <v>2022</v>
      </c>
      <c r="O100" s="2" t="str">
        <f>TEXT(Table14[[#This Row],[Data_Wystawienia]],"rrrr-mm")</f>
        <v>2022-02</v>
      </c>
      <c r="P100" s="2">
        <v>1</v>
      </c>
    </row>
    <row r="101" spans="1:16" x14ac:dyDescent="0.3">
      <c r="A101" s="2" t="str">
        <f>TRIM(Table1[[#This Row],[Numer_FV]])</f>
        <v>FV/CENFA/602063/22</v>
      </c>
      <c r="B101" s="2" t="str">
        <f>TRIM(Table1[[#This Row],[Numer_PZ]])</f>
        <v>PZ/800099</v>
      </c>
      <c r="C101" s="2" t="str">
        <f>TRIM(Table1[[#This Row],[Dostawca]])</f>
        <v>CentrumFarm</v>
      </c>
      <c r="D101" s="3">
        <v>44594</v>
      </c>
      <c r="E101" s="4" t="s">
        <v>338</v>
      </c>
      <c r="F101" s="2" t="str">
        <f>TRIM(Table1[[#This Row],[Status]])</f>
        <v>Zaakceptowana</v>
      </c>
      <c r="G101" s="2" t="str">
        <f>TRIM(Table1[[#This Row],[Typ]])</f>
        <v>Faktura VAT</v>
      </c>
      <c r="H101" s="2" t="str">
        <f>TRIM(Table1[[#This Row],[Magazyn]])</f>
        <v>Apteka Szpitalna</v>
      </c>
      <c r="I101" s="2" t="str">
        <f>TRIM(Table1[[#This Row],[Umowa]])</f>
        <v>UM-CEN-02</v>
      </c>
      <c r="J101" s="2" t="b">
        <f>ISTEXT(Table14[[#This Row],[Data_Wystawienia]])</f>
        <v>0</v>
      </c>
      <c r="K101" s="2">
        <f>VALUE(SUBSTITUTE(Table14[[#This Row],[Wartość]],".",","))</f>
        <v>12078.11</v>
      </c>
      <c r="L1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" s="2" t="str">
        <f>IF(Table14[[#This Row],[Umowa]]="","Poza umową","Z umowy")</f>
        <v>Z umowy</v>
      </c>
      <c r="N101" s="2">
        <f>YEAR(Table14[[#This Row],[Data_Wystawienia]])</f>
        <v>2022</v>
      </c>
      <c r="O101" s="2" t="str">
        <f>TEXT(Table14[[#This Row],[Data_Wystawienia]],"rrrr-mm")</f>
        <v>2022-02</v>
      </c>
      <c r="P101" s="2">
        <v>1</v>
      </c>
    </row>
    <row r="102" spans="1:16" x14ac:dyDescent="0.3">
      <c r="A102" s="2" t="str">
        <f>TRIM(Table1[[#This Row],[Numer_FV]])</f>
        <v>FV/POL/60070/2022</v>
      </c>
      <c r="B102" s="2" t="str">
        <f>TRIM(Table1[[#This Row],[Numer_PZ]])</f>
        <v>PZ/800100</v>
      </c>
      <c r="C102" s="2" t="str">
        <f>TRIM(Table1[[#This Row],[Dostawca]])</f>
        <v>Polmedica</v>
      </c>
      <c r="D102" s="3">
        <v>44594</v>
      </c>
      <c r="E102" s="4" t="s">
        <v>341</v>
      </c>
      <c r="F102" s="2" t="str">
        <f>TRIM(Table1[[#This Row],[Status]])</f>
        <v>Zaakceptowana</v>
      </c>
      <c r="G102" s="2" t="str">
        <f>TRIM(Table1[[#This Row],[Typ]])</f>
        <v>Faktura VAT</v>
      </c>
      <c r="H102" s="2" t="str">
        <f>TRIM(Table1[[#This Row],[Magazyn]])</f>
        <v>Apteka Szpitalna</v>
      </c>
      <c r="I102" s="2" t="str">
        <f>TRIM(Table1[[#This Row],[Umowa]])</f>
        <v>UM-POL-02</v>
      </c>
      <c r="J102" s="2" t="b">
        <f>ISTEXT(Table14[[#This Row],[Data_Wystawienia]])</f>
        <v>0</v>
      </c>
      <c r="K102" s="2">
        <f>VALUE(SUBSTITUTE(Table14[[#This Row],[Wartość]],".",","))</f>
        <v>10039.459999999999</v>
      </c>
      <c r="L1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" s="2" t="str">
        <f>IF(Table14[[#This Row],[Umowa]]="","Poza umową","Z umowy")</f>
        <v>Z umowy</v>
      </c>
      <c r="N102" s="2">
        <f>YEAR(Table14[[#This Row],[Data_Wystawienia]])</f>
        <v>2022</v>
      </c>
      <c r="O102" s="2" t="str">
        <f>TEXT(Table14[[#This Row],[Data_Wystawienia]],"rrrr-mm")</f>
        <v>2022-02</v>
      </c>
      <c r="P102" s="2">
        <v>1</v>
      </c>
    </row>
    <row r="103" spans="1:16" x14ac:dyDescent="0.3">
      <c r="A103" s="2" t="str">
        <f>TRIM(Table1[[#This Row],[Numer_FV]])</f>
        <v>FV/2416HM/22</v>
      </c>
      <c r="B103" s="2" t="str">
        <f>TRIM(Table1[[#This Row],[Numer_PZ]])</f>
        <v>PZ/800101</v>
      </c>
      <c r="C103" s="2" t="str">
        <f>TRIM(Table1[[#This Row],[Dostawca]])</f>
        <v>HurtMedix</v>
      </c>
      <c r="D103" s="3">
        <v>44596</v>
      </c>
      <c r="E103" s="4" t="s">
        <v>344</v>
      </c>
      <c r="F103" s="2" t="str">
        <f>TRIM(Table1[[#This Row],[Status]])</f>
        <v>Zaakceptowana</v>
      </c>
      <c r="G103" s="2" t="str">
        <f>TRIM(Table1[[#This Row],[Typ]])</f>
        <v>Faktura VAT</v>
      </c>
      <c r="H103" s="2" t="str">
        <f>TRIM(Table1[[#This Row],[Magazyn]])</f>
        <v>Apteka Szpitalna</v>
      </c>
      <c r="I103" s="2" t="str">
        <f>TRIM(Table1[[#This Row],[Umowa]])</f>
        <v/>
      </c>
      <c r="J103" s="2" t="b">
        <f>ISTEXT(Table14[[#This Row],[Data_Wystawienia]])</f>
        <v>0</v>
      </c>
      <c r="K103" s="2">
        <f>VALUE(SUBSTITUTE(Table14[[#This Row],[Wartość]],".",","))</f>
        <v>13320.19</v>
      </c>
      <c r="L1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" s="2" t="str">
        <f>IF(Table14[[#This Row],[Umowa]]="","Poza umową","Z umowy")</f>
        <v>Poza umową</v>
      </c>
      <c r="N103" s="2">
        <f>YEAR(Table14[[#This Row],[Data_Wystawienia]])</f>
        <v>2022</v>
      </c>
      <c r="O103" s="2" t="str">
        <f>TEXT(Table14[[#This Row],[Data_Wystawienia]],"rrrr-mm")</f>
        <v>2022-02</v>
      </c>
      <c r="P103" s="2">
        <v>1</v>
      </c>
    </row>
    <row r="104" spans="1:16" x14ac:dyDescent="0.3">
      <c r="A104" s="2" t="str">
        <f>TRIM(Table1[[#This Row],[Numer_FV]])</f>
        <v>FV/POL/34940/2022</v>
      </c>
      <c r="B104" s="2" t="str">
        <f>TRIM(Table1[[#This Row],[Numer_PZ]])</f>
        <v>PZ/800102</v>
      </c>
      <c r="C104" s="2" t="str">
        <f>TRIM(Table1[[#This Row],[Dostawca]])</f>
        <v>Polmedica</v>
      </c>
      <c r="D104" s="3">
        <v>44596</v>
      </c>
      <c r="E104" s="4" t="s">
        <v>347</v>
      </c>
      <c r="F104" s="2" t="str">
        <f>TRIM(Table1[[#This Row],[Status]])</f>
        <v>Zaakceptowana</v>
      </c>
      <c r="G104" s="2" t="str">
        <f>TRIM(Table1[[#This Row],[Typ]])</f>
        <v>Faktura VAT</v>
      </c>
      <c r="H104" s="2" t="str">
        <f>TRIM(Table1[[#This Row],[Magazyn]])</f>
        <v>Apteka Szpitalna</v>
      </c>
      <c r="I104" s="2" t="str">
        <f>TRIM(Table1[[#This Row],[Umowa]])</f>
        <v>UM-POL-03</v>
      </c>
      <c r="J104" s="2" t="b">
        <f>ISTEXT(Table14[[#This Row],[Data_Wystawienia]])</f>
        <v>0</v>
      </c>
      <c r="K104" s="2">
        <f>VALUE(SUBSTITUTE(Table14[[#This Row],[Wartość]],".",","))</f>
        <v>17130.669999999998</v>
      </c>
      <c r="L1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" s="2" t="str">
        <f>IF(Table14[[#This Row],[Umowa]]="","Poza umową","Z umowy")</f>
        <v>Z umowy</v>
      </c>
      <c r="N104" s="2">
        <f>YEAR(Table14[[#This Row],[Data_Wystawienia]])</f>
        <v>2022</v>
      </c>
      <c r="O104" s="2" t="str">
        <f>TEXT(Table14[[#This Row],[Data_Wystawienia]],"rrrr-mm")</f>
        <v>2022-02</v>
      </c>
      <c r="P104" s="2">
        <v>1</v>
      </c>
    </row>
    <row r="105" spans="1:16" x14ac:dyDescent="0.3">
      <c r="A105" s="2" t="str">
        <f>TRIM(Table1[[#This Row],[Numer_FV]])</f>
        <v>FV/POL/30692/2022</v>
      </c>
      <c r="B105" s="2" t="str">
        <f>TRIM(Table1[[#This Row],[Numer_PZ]])</f>
        <v>PZ/800103</v>
      </c>
      <c r="C105" s="2" t="str">
        <f>TRIM(Table1[[#This Row],[Dostawca]])</f>
        <v>Polmedica</v>
      </c>
      <c r="D105" s="3">
        <v>44597</v>
      </c>
      <c r="E105" s="4" t="s">
        <v>350</v>
      </c>
      <c r="F105" s="2" t="str">
        <f>TRIM(Table1[[#This Row],[Status]])</f>
        <v>Zaakceptowana</v>
      </c>
      <c r="G105" s="2" t="str">
        <f>TRIM(Table1[[#This Row],[Typ]])</f>
        <v>Faktura VAT</v>
      </c>
      <c r="H105" s="2" t="str">
        <f>TRIM(Table1[[#This Row],[Magazyn]])</f>
        <v>Apteka Szpitalna</v>
      </c>
      <c r="I105" s="2" t="str">
        <f>TRIM(Table1[[#This Row],[Umowa]])</f>
        <v>UM-POL-02</v>
      </c>
      <c r="J105" s="2" t="b">
        <f>ISTEXT(Table14[[#This Row],[Data_Wystawienia]])</f>
        <v>0</v>
      </c>
      <c r="K105" s="2">
        <f>VALUE(SUBSTITUTE(Table14[[#This Row],[Wartość]],".",","))</f>
        <v>10871.07</v>
      </c>
      <c r="L1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" s="2" t="str">
        <f>IF(Table14[[#This Row],[Umowa]]="","Poza umową","Z umowy")</f>
        <v>Z umowy</v>
      </c>
      <c r="N105" s="2">
        <f>YEAR(Table14[[#This Row],[Data_Wystawienia]])</f>
        <v>2022</v>
      </c>
      <c r="O105" s="2" t="str">
        <f>TEXT(Table14[[#This Row],[Data_Wystawienia]],"rrrr-mm")</f>
        <v>2022-02</v>
      </c>
      <c r="P105" s="2">
        <v>1</v>
      </c>
    </row>
    <row r="106" spans="1:16" x14ac:dyDescent="0.3">
      <c r="A106" s="2" t="str">
        <f>TRIM(Table1[[#This Row],[Numer_FV]])</f>
        <v>FV/M/6944/P/22</v>
      </c>
      <c r="B106" s="2" t="str">
        <f>TRIM(Table1[[#This Row],[Numer_PZ]])</f>
        <v>PZ/800104</v>
      </c>
      <c r="C106" s="2" t="str">
        <f>TRIM(Table1[[#This Row],[Dostawca]])</f>
        <v>MedicaPharm</v>
      </c>
      <c r="D106" s="3">
        <v>44597</v>
      </c>
      <c r="E106" s="4" t="s">
        <v>353</v>
      </c>
      <c r="F106" s="2" t="str">
        <f>TRIM(Table1[[#This Row],[Status]])</f>
        <v>Zaakceptowana</v>
      </c>
      <c r="G106" s="2" t="str">
        <f>TRIM(Table1[[#This Row],[Typ]])</f>
        <v>Faktura VAT</v>
      </c>
      <c r="H106" s="2" t="str">
        <f>TRIM(Table1[[#This Row],[Magazyn]])</f>
        <v>Apteka Szpitalna</v>
      </c>
      <c r="I106" s="2" t="str">
        <f>TRIM(Table1[[#This Row],[Umowa]])</f>
        <v>UM-MED-02</v>
      </c>
      <c r="J106" s="2" t="b">
        <f>ISTEXT(Table14[[#This Row],[Data_Wystawienia]])</f>
        <v>0</v>
      </c>
      <c r="K106" s="2">
        <f>VALUE(SUBSTITUTE(Table14[[#This Row],[Wartość]],".",","))</f>
        <v>18177.759999999998</v>
      </c>
      <c r="L1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" s="2" t="str">
        <f>IF(Table14[[#This Row],[Umowa]]="","Poza umową","Z umowy")</f>
        <v>Z umowy</v>
      </c>
      <c r="N106" s="2">
        <f>YEAR(Table14[[#This Row],[Data_Wystawienia]])</f>
        <v>2022</v>
      </c>
      <c r="O106" s="2" t="str">
        <f>TEXT(Table14[[#This Row],[Data_Wystawienia]],"rrrr-mm")</f>
        <v>2022-02</v>
      </c>
      <c r="P106" s="2">
        <v>1</v>
      </c>
    </row>
    <row r="107" spans="1:16" x14ac:dyDescent="0.3">
      <c r="A107" s="2" t="str">
        <f>TRIM(Table1[[#This Row],[Numer_FV]])</f>
        <v>FV/98/SAL/22</v>
      </c>
      <c r="B107" s="2" t="str">
        <f>TRIM(Table1[[#This Row],[Numer_PZ]])</f>
        <v>PZ/800105</v>
      </c>
      <c r="C107" s="2" t="str">
        <f>TRIM(Table1[[#This Row],[Dostawca]])</f>
        <v>SalusHurt</v>
      </c>
      <c r="D107" s="3">
        <v>44598</v>
      </c>
      <c r="E107" s="4" t="s">
        <v>356</v>
      </c>
      <c r="F107" s="2" t="str">
        <f>TRIM(Table1[[#This Row],[Status]])</f>
        <v>Zaakceptowana</v>
      </c>
      <c r="G107" s="2" t="str">
        <f>TRIM(Table1[[#This Row],[Typ]])</f>
        <v>Korekta FV</v>
      </c>
      <c r="H107" s="2" t="str">
        <f>TRIM(Table1[[#This Row],[Magazyn]])</f>
        <v>Apteka Szpitalna</v>
      </c>
      <c r="I107" s="2" t="str">
        <f>TRIM(Table1[[#This Row],[Umowa]])</f>
        <v>UM-SAL-02</v>
      </c>
      <c r="J107" s="2" t="b">
        <f>ISTEXT(Table14[[#This Row],[Data_Wystawienia]])</f>
        <v>0</v>
      </c>
      <c r="K107" s="2">
        <f>VALUE(SUBSTITUTE(Table14[[#This Row],[Wartość]],".",","))</f>
        <v>-825.26</v>
      </c>
      <c r="L1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" s="2" t="str">
        <f>IF(Table14[[#This Row],[Umowa]]="","Poza umową","Z umowy")</f>
        <v>Z umowy</v>
      </c>
      <c r="N107" s="2">
        <f>YEAR(Table14[[#This Row],[Data_Wystawienia]])</f>
        <v>2022</v>
      </c>
      <c r="O107" s="2" t="str">
        <f>TEXT(Table14[[#This Row],[Data_Wystawienia]],"rrrr-mm")</f>
        <v>2022-02</v>
      </c>
      <c r="P107" s="2">
        <v>1</v>
      </c>
    </row>
    <row r="108" spans="1:16" x14ac:dyDescent="0.3">
      <c r="A108" s="2" t="str">
        <f>TRIM(Table1[[#This Row],[Numer_FV]])</f>
        <v>FV/33/PP/8932/22</v>
      </c>
      <c r="B108" s="2" t="str">
        <f>TRIM(Table1[[#This Row],[Numer_PZ]])</f>
        <v>PZ/800106</v>
      </c>
      <c r="C108" s="2" t="str">
        <f>TRIM(Table1[[#This Row],[Dostawca]])</f>
        <v>PharmaPlus</v>
      </c>
      <c r="D108" s="3">
        <v>44599</v>
      </c>
      <c r="E108" s="4" t="s">
        <v>359</v>
      </c>
      <c r="F108" s="2" t="str">
        <f>TRIM(Table1[[#This Row],[Status]])</f>
        <v>Zaakceptowana</v>
      </c>
      <c r="G108" s="2" t="str">
        <f>TRIM(Table1[[#This Row],[Typ]])</f>
        <v>Faktura VAT</v>
      </c>
      <c r="H108" s="2" t="str">
        <f>TRIM(Table1[[#This Row],[Magazyn]])</f>
        <v>Apteka Szpitalna</v>
      </c>
      <c r="I108" s="2" t="str">
        <f>TRIM(Table1[[#This Row],[Umowa]])</f>
        <v/>
      </c>
      <c r="J108" s="2" t="b">
        <f>ISTEXT(Table14[[#This Row],[Data_Wystawienia]])</f>
        <v>0</v>
      </c>
      <c r="K108" s="2">
        <f>VALUE(SUBSTITUTE(Table14[[#This Row],[Wartość]],".",","))</f>
        <v>6313.94</v>
      </c>
      <c r="L1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" s="2" t="str">
        <f>IF(Table14[[#This Row],[Umowa]]="","Poza umową","Z umowy")</f>
        <v>Poza umową</v>
      </c>
      <c r="N108" s="2">
        <f>YEAR(Table14[[#This Row],[Data_Wystawienia]])</f>
        <v>2022</v>
      </c>
      <c r="O108" s="2" t="str">
        <f>TEXT(Table14[[#This Row],[Data_Wystawienia]],"rrrr-mm")</f>
        <v>2022-02</v>
      </c>
      <c r="P108" s="2">
        <v>1</v>
      </c>
    </row>
    <row r="109" spans="1:16" x14ac:dyDescent="0.3">
      <c r="A109" s="2" t="str">
        <f>TRIM(Table1[[#This Row],[Numer_FV]])</f>
        <v>FV/POL/16250/2022</v>
      </c>
      <c r="B109" s="2" t="str">
        <f>TRIM(Table1[[#This Row],[Numer_PZ]])</f>
        <v>PZ/800107</v>
      </c>
      <c r="C109" s="2" t="str">
        <f>TRIM(Table1[[#This Row],[Dostawca]])</f>
        <v>Polmedica</v>
      </c>
      <c r="D109" s="3">
        <v>44600</v>
      </c>
      <c r="E109" s="4" t="s">
        <v>362</v>
      </c>
      <c r="F109" s="2" t="str">
        <f>TRIM(Table1[[#This Row],[Status]])</f>
        <v>Zaakceptowana</v>
      </c>
      <c r="G109" s="2" t="str">
        <f>TRIM(Table1[[#This Row],[Typ]])</f>
        <v>Faktura VAT</v>
      </c>
      <c r="H109" s="2" t="str">
        <f>TRIM(Table1[[#This Row],[Magazyn]])</f>
        <v>Apteka Szpitalna</v>
      </c>
      <c r="I109" s="2" t="str">
        <f>TRIM(Table1[[#This Row],[Umowa]])</f>
        <v>UM-POL-02</v>
      </c>
      <c r="J109" s="2" t="b">
        <f>ISTEXT(Table14[[#This Row],[Data_Wystawienia]])</f>
        <v>0</v>
      </c>
      <c r="K109" s="2">
        <f>VALUE(SUBSTITUTE(Table14[[#This Row],[Wartość]],".",","))</f>
        <v>8832.0499999999993</v>
      </c>
      <c r="L1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" s="2" t="str">
        <f>IF(Table14[[#This Row],[Umowa]]="","Poza umową","Z umowy")</f>
        <v>Z umowy</v>
      </c>
      <c r="N109" s="2">
        <f>YEAR(Table14[[#This Row],[Data_Wystawienia]])</f>
        <v>2022</v>
      </c>
      <c r="O109" s="2" t="str">
        <f>TEXT(Table14[[#This Row],[Data_Wystawienia]],"rrrr-mm")</f>
        <v>2022-02</v>
      </c>
      <c r="P109" s="2">
        <v>1</v>
      </c>
    </row>
    <row r="110" spans="1:16" x14ac:dyDescent="0.3">
      <c r="A110" s="2" t="str">
        <f>TRIM(Table1[[#This Row],[Numer_FV]])</f>
        <v>FV/18/PP/9505/22</v>
      </c>
      <c r="B110" s="2" t="str">
        <f>TRIM(Table1[[#This Row],[Numer_PZ]])</f>
        <v>PZ/800108</v>
      </c>
      <c r="C110" s="2" t="str">
        <f>TRIM(Table1[[#This Row],[Dostawca]])</f>
        <v>PharmaPlus</v>
      </c>
      <c r="D110" s="3">
        <v>44600</v>
      </c>
      <c r="E110" s="4" t="s">
        <v>365</v>
      </c>
      <c r="F110" s="2" t="str">
        <f>TRIM(Table1[[#This Row],[Status]])</f>
        <v>Zaakceptowana</v>
      </c>
      <c r="G110" s="2" t="str">
        <f>TRIM(Table1[[#This Row],[Typ]])</f>
        <v>Faktura VAT</v>
      </c>
      <c r="H110" s="2" t="str">
        <f>TRIM(Table1[[#This Row],[Magazyn]])</f>
        <v>Apteka Szpitalna</v>
      </c>
      <c r="I110" s="2" t="str">
        <f>TRIM(Table1[[#This Row],[Umowa]])</f>
        <v/>
      </c>
      <c r="J110" s="2" t="b">
        <f>ISTEXT(Table14[[#This Row],[Data_Wystawienia]])</f>
        <v>0</v>
      </c>
      <c r="K110" s="2">
        <f>VALUE(SUBSTITUTE(Table14[[#This Row],[Wartość]],".",","))</f>
        <v>12460.99</v>
      </c>
      <c r="L1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" s="2" t="str">
        <f>IF(Table14[[#This Row],[Umowa]]="","Poza umową","Z umowy")</f>
        <v>Poza umową</v>
      </c>
      <c r="N110" s="2">
        <f>YEAR(Table14[[#This Row],[Data_Wystawienia]])</f>
        <v>2022</v>
      </c>
      <c r="O110" s="2" t="str">
        <f>TEXT(Table14[[#This Row],[Data_Wystawienia]],"rrrr-mm")</f>
        <v>2022-02</v>
      </c>
      <c r="P110" s="2">
        <v>1</v>
      </c>
    </row>
    <row r="111" spans="1:16" x14ac:dyDescent="0.3">
      <c r="A111" s="2" t="str">
        <f>TRIM(Table1[[#This Row],[Numer_FV]])</f>
        <v>FV/POL/11348/2022</v>
      </c>
      <c r="B111" s="2" t="str">
        <f>TRIM(Table1[[#This Row],[Numer_PZ]])</f>
        <v>PZ/800109</v>
      </c>
      <c r="C111" s="2" t="str">
        <f>TRIM(Table1[[#This Row],[Dostawca]])</f>
        <v>Polmedica</v>
      </c>
      <c r="D111" s="3">
        <v>44601</v>
      </c>
      <c r="E111" s="4" t="s">
        <v>368</v>
      </c>
      <c r="F111" s="2" t="str">
        <f>TRIM(Table1[[#This Row],[Status]])</f>
        <v>Zaakceptowana</v>
      </c>
      <c r="G111" s="2" t="str">
        <f>TRIM(Table1[[#This Row],[Typ]])</f>
        <v>Faktura VAT</v>
      </c>
      <c r="H111" s="2" t="str">
        <f>TRIM(Table1[[#This Row],[Magazyn]])</f>
        <v>Apteka Szpitalna</v>
      </c>
      <c r="I111" s="2" t="str">
        <f>TRIM(Table1[[#This Row],[Umowa]])</f>
        <v>UM-POL-02</v>
      </c>
      <c r="J111" s="2" t="b">
        <f>ISTEXT(Table14[[#This Row],[Data_Wystawienia]])</f>
        <v>0</v>
      </c>
      <c r="K111" s="2">
        <f>VALUE(SUBSTITUTE(Table14[[#This Row],[Wartość]],".",","))</f>
        <v>16428.32</v>
      </c>
      <c r="L1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" s="2" t="str">
        <f>IF(Table14[[#This Row],[Umowa]]="","Poza umową","Z umowy")</f>
        <v>Z umowy</v>
      </c>
      <c r="N111" s="2">
        <f>YEAR(Table14[[#This Row],[Data_Wystawienia]])</f>
        <v>2022</v>
      </c>
      <c r="O111" s="2" t="str">
        <f>TEXT(Table14[[#This Row],[Data_Wystawienia]],"rrrr-mm")</f>
        <v>2022-02</v>
      </c>
      <c r="P111" s="2">
        <v>1</v>
      </c>
    </row>
    <row r="112" spans="1:16" x14ac:dyDescent="0.3">
      <c r="A112" s="2" t="str">
        <f>TRIM(Table1[[#This Row],[Numer_FV]])</f>
        <v>FV/M/6145/P/22</v>
      </c>
      <c r="B112" s="2" t="str">
        <f>TRIM(Table1[[#This Row],[Numer_PZ]])</f>
        <v>PZ/800110</v>
      </c>
      <c r="C112" s="2" t="str">
        <f>TRIM(Table1[[#This Row],[Dostawca]])</f>
        <v>MedicaPharm</v>
      </c>
      <c r="D112" s="3">
        <v>44602</v>
      </c>
      <c r="E112" s="4" t="s">
        <v>371</v>
      </c>
      <c r="F112" s="2" t="str">
        <f>TRIM(Table1[[#This Row],[Status]])</f>
        <v>Zaakceptowana</v>
      </c>
      <c r="G112" s="2" t="str">
        <f>TRIM(Table1[[#This Row],[Typ]])</f>
        <v>Faktura VAT</v>
      </c>
      <c r="H112" s="2" t="str">
        <f>TRIM(Table1[[#This Row],[Magazyn]])</f>
        <v>Apteka Szpitalna</v>
      </c>
      <c r="I112" s="2" t="str">
        <f>TRIM(Table1[[#This Row],[Umowa]])</f>
        <v>UM-MED-02</v>
      </c>
      <c r="J112" s="2" t="b">
        <f>ISTEXT(Table14[[#This Row],[Data_Wystawienia]])</f>
        <v>0</v>
      </c>
      <c r="K112" s="2">
        <f>VALUE(SUBSTITUTE(Table14[[#This Row],[Wartość]],".",","))</f>
        <v>8727.51</v>
      </c>
      <c r="L1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" s="2" t="str">
        <f>IF(Table14[[#This Row],[Umowa]]="","Poza umową","Z umowy")</f>
        <v>Z umowy</v>
      </c>
      <c r="N112" s="2">
        <f>YEAR(Table14[[#This Row],[Data_Wystawienia]])</f>
        <v>2022</v>
      </c>
      <c r="O112" s="2" t="str">
        <f>TEXT(Table14[[#This Row],[Data_Wystawienia]],"rrrr-mm")</f>
        <v>2022-02</v>
      </c>
      <c r="P112" s="2">
        <v>1</v>
      </c>
    </row>
    <row r="113" spans="1:16" x14ac:dyDescent="0.3">
      <c r="A113" s="2" t="str">
        <f>TRIM(Table1[[#This Row],[Numer_FV]])</f>
        <v>FV/18/PP/9149/22</v>
      </c>
      <c r="B113" s="2" t="str">
        <f>TRIM(Table1[[#This Row],[Numer_PZ]])</f>
        <v>PZ/800111</v>
      </c>
      <c r="C113" s="2" t="str">
        <f>TRIM(Table1[[#This Row],[Dostawca]])</f>
        <v>PharmaPlus</v>
      </c>
      <c r="D113" s="3">
        <v>44602</v>
      </c>
      <c r="E113" s="4" t="s">
        <v>374</v>
      </c>
      <c r="F113" s="2" t="str">
        <f>TRIM(Table1[[#This Row],[Status]])</f>
        <v>Zaakceptowana</v>
      </c>
      <c r="G113" s="2" t="str">
        <f>TRIM(Table1[[#This Row],[Typ]])</f>
        <v>Faktura VAT</v>
      </c>
      <c r="H113" s="2" t="str">
        <f>TRIM(Table1[[#This Row],[Magazyn]])</f>
        <v>Apteka Szpitalna</v>
      </c>
      <c r="I113" s="2" t="str">
        <f>TRIM(Table1[[#This Row],[Umowa]])</f>
        <v>UM-PHA-01</v>
      </c>
      <c r="J113" s="2" t="b">
        <f>ISTEXT(Table14[[#This Row],[Data_Wystawienia]])</f>
        <v>0</v>
      </c>
      <c r="K113" s="2">
        <f>VALUE(SUBSTITUTE(Table14[[#This Row],[Wartość]],".",","))</f>
        <v>13237.39</v>
      </c>
      <c r="L1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" s="2" t="str">
        <f>IF(Table14[[#This Row],[Umowa]]="","Poza umową","Z umowy")</f>
        <v>Z umowy</v>
      </c>
      <c r="N113" s="2">
        <f>YEAR(Table14[[#This Row],[Data_Wystawienia]])</f>
        <v>2022</v>
      </c>
      <c r="O113" s="2" t="str">
        <f>TEXT(Table14[[#This Row],[Data_Wystawienia]],"rrrr-mm")</f>
        <v>2022-02</v>
      </c>
      <c r="P113" s="2">
        <v>1</v>
      </c>
    </row>
    <row r="114" spans="1:16" x14ac:dyDescent="0.3">
      <c r="A114" s="2" t="str">
        <f>TRIM(Table1[[#This Row],[Numer_FV]])</f>
        <v>FV/POL/97670/2022</v>
      </c>
      <c r="B114" s="2" t="str">
        <f>TRIM(Table1[[#This Row],[Numer_PZ]])</f>
        <v>PZ/800112</v>
      </c>
      <c r="C114" s="2" t="str">
        <f>TRIM(Table1[[#This Row],[Dostawca]])</f>
        <v>Polmedica</v>
      </c>
      <c r="D114" s="3">
        <v>44602</v>
      </c>
      <c r="E114" s="4" t="s">
        <v>377</v>
      </c>
      <c r="F114" s="2" t="str">
        <f>TRIM(Table1[[#This Row],[Status]])</f>
        <v>Zaakceptowana</v>
      </c>
      <c r="G114" s="2" t="str">
        <f>TRIM(Table1[[#This Row],[Typ]])</f>
        <v>Faktura VAT</v>
      </c>
      <c r="H114" s="2" t="str">
        <f>TRIM(Table1[[#This Row],[Magazyn]])</f>
        <v>Apteka Szpitalna</v>
      </c>
      <c r="I114" s="2" t="str">
        <f>TRIM(Table1[[#This Row],[Umowa]])</f>
        <v/>
      </c>
      <c r="J114" s="2" t="b">
        <f>ISTEXT(Table14[[#This Row],[Data_Wystawienia]])</f>
        <v>0</v>
      </c>
      <c r="K114" s="2">
        <f>VALUE(SUBSTITUTE(Table14[[#This Row],[Wartość]],".",","))</f>
        <v>16752.34</v>
      </c>
      <c r="L1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" s="2" t="str">
        <f>IF(Table14[[#This Row],[Umowa]]="","Poza umową","Z umowy")</f>
        <v>Poza umową</v>
      </c>
      <c r="N114" s="2">
        <f>YEAR(Table14[[#This Row],[Data_Wystawienia]])</f>
        <v>2022</v>
      </c>
      <c r="O114" s="2" t="str">
        <f>TEXT(Table14[[#This Row],[Data_Wystawienia]],"rrrr-mm")</f>
        <v>2022-02</v>
      </c>
      <c r="P114" s="2">
        <v>1</v>
      </c>
    </row>
    <row r="115" spans="1:16" x14ac:dyDescent="0.3">
      <c r="A115" s="2" t="str">
        <f>TRIM(Table1[[#This Row],[Numer_FV]])</f>
        <v>FV/1701HM/22</v>
      </c>
      <c r="B115" s="2" t="str">
        <f>TRIM(Table1[[#This Row],[Numer_PZ]])</f>
        <v>PZ/800113</v>
      </c>
      <c r="C115" s="2" t="str">
        <f>TRIM(Table1[[#This Row],[Dostawca]])</f>
        <v>HurtMedix</v>
      </c>
      <c r="D115" s="3">
        <v>44602</v>
      </c>
      <c r="E115" s="4" t="s">
        <v>380</v>
      </c>
      <c r="F115" s="2" t="str">
        <f>TRIM(Table1[[#This Row],[Status]])</f>
        <v>Zaakceptowana</v>
      </c>
      <c r="G115" s="2" t="str">
        <f>TRIM(Table1[[#This Row],[Typ]])</f>
        <v>Faktura VAT</v>
      </c>
      <c r="H115" s="2" t="str">
        <f>TRIM(Table1[[#This Row],[Magazyn]])</f>
        <v>Apteka Szpitalna</v>
      </c>
      <c r="I115" s="2" t="str">
        <f>TRIM(Table1[[#This Row],[Umowa]])</f>
        <v>UM-HUR-03</v>
      </c>
      <c r="J115" s="2" t="b">
        <f>ISTEXT(Table14[[#This Row],[Data_Wystawienia]])</f>
        <v>0</v>
      </c>
      <c r="K115" s="2">
        <f>VALUE(SUBSTITUTE(Table14[[#This Row],[Wartość]],".",","))</f>
        <v>18846.82</v>
      </c>
      <c r="L1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" s="2" t="str">
        <f>IF(Table14[[#This Row],[Umowa]]="","Poza umową","Z umowy")</f>
        <v>Z umowy</v>
      </c>
      <c r="N115" s="2">
        <f>YEAR(Table14[[#This Row],[Data_Wystawienia]])</f>
        <v>2022</v>
      </c>
      <c r="O115" s="2" t="str">
        <f>TEXT(Table14[[#This Row],[Data_Wystawienia]],"rrrr-mm")</f>
        <v>2022-02</v>
      </c>
      <c r="P115" s="2">
        <v>1</v>
      </c>
    </row>
    <row r="116" spans="1:16" x14ac:dyDescent="0.3">
      <c r="A116" s="2" t="str">
        <f>TRIM(Table1[[#This Row],[Numer_FV]])</f>
        <v>FV/63/SAL/22</v>
      </c>
      <c r="B116" s="2" t="str">
        <f>TRIM(Table1[[#This Row],[Numer_PZ]])</f>
        <v>PZ/800114</v>
      </c>
      <c r="C116" s="2" t="str">
        <f>TRIM(Table1[[#This Row],[Dostawca]])</f>
        <v>SalusHurt</v>
      </c>
      <c r="D116" s="3">
        <v>44602</v>
      </c>
      <c r="E116" s="4" t="s">
        <v>383</v>
      </c>
      <c r="F116" s="2" t="str">
        <f>TRIM(Table1[[#This Row],[Status]])</f>
        <v>Zaakceptowana</v>
      </c>
      <c r="G116" s="2" t="str">
        <f>TRIM(Table1[[#This Row],[Typ]])</f>
        <v>Faktura VAT</v>
      </c>
      <c r="H116" s="2" t="str">
        <f>TRIM(Table1[[#This Row],[Magazyn]])</f>
        <v>Apteka Szpitalna</v>
      </c>
      <c r="I116" s="2" t="str">
        <f>TRIM(Table1[[#This Row],[Umowa]])</f>
        <v>UM-SAL-02</v>
      </c>
      <c r="J116" s="2" t="b">
        <f>ISTEXT(Table14[[#This Row],[Data_Wystawienia]])</f>
        <v>0</v>
      </c>
      <c r="K116" s="2">
        <f>VALUE(SUBSTITUTE(Table14[[#This Row],[Wartość]],".",","))</f>
        <v>9010.23</v>
      </c>
      <c r="L1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" s="2" t="str">
        <f>IF(Table14[[#This Row],[Umowa]]="","Poza umową","Z umowy")</f>
        <v>Z umowy</v>
      </c>
      <c r="N116" s="2">
        <f>YEAR(Table14[[#This Row],[Data_Wystawienia]])</f>
        <v>2022</v>
      </c>
      <c r="O116" s="2" t="str">
        <f>TEXT(Table14[[#This Row],[Data_Wystawienia]],"rrrr-mm")</f>
        <v>2022-02</v>
      </c>
      <c r="P116" s="2">
        <v>1</v>
      </c>
    </row>
    <row r="117" spans="1:16" x14ac:dyDescent="0.3">
      <c r="A117" s="2" t="str">
        <f>TRIM(Table1[[#This Row],[Numer_FV]])</f>
        <v>FV/35928/VDb/2022</v>
      </c>
      <c r="B117" s="2" t="str">
        <f>TRIM(Table1[[#This Row],[Numer_PZ]])</f>
        <v>PZ/800115</v>
      </c>
      <c r="C117" s="2" t="str">
        <f>TRIM(Table1[[#This Row],[Dostawca]])</f>
        <v>VitaDistrib</v>
      </c>
      <c r="D117" s="3">
        <v>44602</v>
      </c>
      <c r="E117" s="4" t="s">
        <v>386</v>
      </c>
      <c r="F117" s="2" t="str">
        <f>TRIM(Table1[[#This Row],[Status]])</f>
        <v>Zaakceptowana</v>
      </c>
      <c r="G117" s="2" t="str">
        <f>TRIM(Table1[[#This Row],[Typ]])</f>
        <v>Faktura VAT</v>
      </c>
      <c r="H117" s="2" t="str">
        <f>TRIM(Table1[[#This Row],[Magazyn]])</f>
        <v>Apteka Szpitalna</v>
      </c>
      <c r="I117" s="2" t="str">
        <f>TRIM(Table1[[#This Row],[Umowa]])</f>
        <v>UM-VIT-01</v>
      </c>
      <c r="J117" s="2" t="b">
        <f>ISTEXT(Table14[[#This Row],[Data_Wystawienia]])</f>
        <v>0</v>
      </c>
      <c r="K117" s="2">
        <f>VALUE(SUBSTITUTE(Table14[[#This Row],[Wartość]],".",","))</f>
        <v>14784.39</v>
      </c>
      <c r="L1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" s="2" t="str">
        <f>IF(Table14[[#This Row],[Umowa]]="","Poza umową","Z umowy")</f>
        <v>Z umowy</v>
      </c>
      <c r="N117" s="2">
        <f>YEAR(Table14[[#This Row],[Data_Wystawienia]])</f>
        <v>2022</v>
      </c>
      <c r="O117" s="2" t="str">
        <f>TEXT(Table14[[#This Row],[Data_Wystawienia]],"rrrr-mm")</f>
        <v>2022-02</v>
      </c>
      <c r="P117" s="2">
        <v>1</v>
      </c>
    </row>
    <row r="118" spans="1:16" x14ac:dyDescent="0.3">
      <c r="A118" s="2" t="str">
        <f>TRIM(Table1[[#This Row],[Numer_FV]])</f>
        <v>FV/M/5551/P/22</v>
      </c>
      <c r="B118" s="2" t="str">
        <f>TRIM(Table1[[#This Row],[Numer_PZ]])</f>
        <v>PZ/800116</v>
      </c>
      <c r="C118" s="2" t="str">
        <f>TRIM(Table1[[#This Row],[Dostawca]])</f>
        <v>MedicaPharm</v>
      </c>
      <c r="D118" s="3">
        <v>44602</v>
      </c>
      <c r="E118" s="4" t="s">
        <v>389</v>
      </c>
      <c r="F118" s="2" t="str">
        <f>TRIM(Table1[[#This Row],[Status]])</f>
        <v>Zaakceptowana</v>
      </c>
      <c r="G118" s="2" t="str">
        <f>TRIM(Table1[[#This Row],[Typ]])</f>
        <v>Faktura VAT</v>
      </c>
      <c r="H118" s="2" t="str">
        <f>TRIM(Table1[[#This Row],[Magazyn]])</f>
        <v>Apteka Szpitalna</v>
      </c>
      <c r="I118" s="2" t="str">
        <f>TRIM(Table1[[#This Row],[Umowa]])</f>
        <v>UM-MED-01</v>
      </c>
      <c r="J118" s="2" t="b">
        <f>ISTEXT(Table14[[#This Row],[Data_Wystawienia]])</f>
        <v>0</v>
      </c>
      <c r="K118" s="2">
        <f>VALUE(SUBSTITUTE(Table14[[#This Row],[Wartość]],".",","))</f>
        <v>10536.9</v>
      </c>
      <c r="L1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" s="2" t="str">
        <f>IF(Table14[[#This Row],[Umowa]]="","Poza umową","Z umowy")</f>
        <v>Z umowy</v>
      </c>
      <c r="N118" s="2">
        <f>YEAR(Table14[[#This Row],[Data_Wystawienia]])</f>
        <v>2022</v>
      </c>
      <c r="O118" s="2" t="str">
        <f>TEXT(Table14[[#This Row],[Data_Wystawienia]],"rrrr-mm")</f>
        <v>2022-02</v>
      </c>
      <c r="P118" s="2">
        <v>1</v>
      </c>
    </row>
    <row r="119" spans="1:16" x14ac:dyDescent="0.3">
      <c r="A119" s="2" t="str">
        <f>TRIM(Table1[[#This Row],[Numer_FV]])</f>
        <v>FV/61904/VDb/2022</v>
      </c>
      <c r="B119" s="2" t="str">
        <f>TRIM(Table1[[#This Row],[Numer_PZ]])</f>
        <v>PZ/800117</v>
      </c>
      <c r="C119" s="2" t="str">
        <f>TRIM(Table1[[#This Row],[Dostawca]])</f>
        <v>VitaDistrib</v>
      </c>
      <c r="D119" s="3">
        <v>44603</v>
      </c>
      <c r="E119" s="4" t="s">
        <v>392</v>
      </c>
      <c r="F119" s="2" t="str">
        <f>TRIM(Table1[[#This Row],[Status]])</f>
        <v>Zaakceptowana</v>
      </c>
      <c r="G119" s="2" t="str">
        <f>TRIM(Table1[[#This Row],[Typ]])</f>
        <v>Faktura VAT</v>
      </c>
      <c r="H119" s="2" t="str">
        <f>TRIM(Table1[[#This Row],[Magazyn]])</f>
        <v>Apteka Szpitalna</v>
      </c>
      <c r="I119" s="2" t="str">
        <f>TRIM(Table1[[#This Row],[Umowa]])</f>
        <v>UM-VIT-01</v>
      </c>
      <c r="J119" s="2" t="b">
        <f>ISTEXT(Table14[[#This Row],[Data_Wystawienia]])</f>
        <v>0</v>
      </c>
      <c r="K119" s="2">
        <f>VALUE(SUBSTITUTE(Table14[[#This Row],[Wartość]],".",","))</f>
        <v>16412.63</v>
      </c>
      <c r="L1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" s="2" t="str">
        <f>IF(Table14[[#This Row],[Umowa]]="","Poza umową","Z umowy")</f>
        <v>Z umowy</v>
      </c>
      <c r="N119" s="2">
        <f>YEAR(Table14[[#This Row],[Data_Wystawienia]])</f>
        <v>2022</v>
      </c>
      <c r="O119" s="2" t="str">
        <f>TEXT(Table14[[#This Row],[Data_Wystawienia]],"rrrr-mm")</f>
        <v>2022-02</v>
      </c>
      <c r="P119" s="2">
        <v>1</v>
      </c>
    </row>
    <row r="120" spans="1:16" x14ac:dyDescent="0.3">
      <c r="A120" s="2" t="str">
        <f>TRIM(Table1[[#This Row],[Numer_FV]])</f>
        <v>FV/M/6202/P/22</v>
      </c>
      <c r="B120" s="2" t="str">
        <f>TRIM(Table1[[#This Row],[Numer_PZ]])</f>
        <v>PZ/800118</v>
      </c>
      <c r="C120" s="2" t="str">
        <f>TRIM(Table1[[#This Row],[Dostawca]])</f>
        <v>MedicaPharm</v>
      </c>
      <c r="D120" s="3">
        <v>44603</v>
      </c>
      <c r="E120" s="4" t="s">
        <v>395</v>
      </c>
      <c r="F120" s="2" t="str">
        <f>TRIM(Table1[[#This Row],[Status]])</f>
        <v>Zaakceptowana</v>
      </c>
      <c r="G120" s="2" t="str">
        <f>TRIM(Table1[[#This Row],[Typ]])</f>
        <v>Faktura VAT</v>
      </c>
      <c r="H120" s="2" t="str">
        <f>TRIM(Table1[[#This Row],[Magazyn]])</f>
        <v>Apteka Szpitalna</v>
      </c>
      <c r="I120" s="2" t="str">
        <f>TRIM(Table1[[#This Row],[Umowa]])</f>
        <v>UM-MED-01</v>
      </c>
      <c r="J120" s="2" t="b">
        <f>ISTEXT(Table14[[#This Row],[Data_Wystawienia]])</f>
        <v>0</v>
      </c>
      <c r="K120" s="2">
        <f>VALUE(SUBSTITUTE(Table14[[#This Row],[Wartość]],".",","))</f>
        <v>10515.92</v>
      </c>
      <c r="L1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" s="2" t="str">
        <f>IF(Table14[[#This Row],[Umowa]]="","Poza umową","Z umowy")</f>
        <v>Z umowy</v>
      </c>
      <c r="N120" s="2">
        <f>YEAR(Table14[[#This Row],[Data_Wystawienia]])</f>
        <v>2022</v>
      </c>
      <c r="O120" s="2" t="str">
        <f>TEXT(Table14[[#This Row],[Data_Wystawienia]],"rrrr-mm")</f>
        <v>2022-02</v>
      </c>
      <c r="P120" s="2">
        <v>1</v>
      </c>
    </row>
    <row r="121" spans="1:16" x14ac:dyDescent="0.3">
      <c r="A121" s="2" t="str">
        <f>TRIM(Table1[[#This Row],[Numer_FV]])</f>
        <v>FV/85/SAL/22</v>
      </c>
      <c r="B121" s="2" t="str">
        <f>TRIM(Table1[[#This Row],[Numer_PZ]])</f>
        <v>PZ/800119</v>
      </c>
      <c r="C121" s="2" t="str">
        <f>TRIM(Table1[[#This Row],[Dostawca]])</f>
        <v>SalusHurt</v>
      </c>
      <c r="D121" s="3">
        <v>44603</v>
      </c>
      <c r="E121" s="4" t="s">
        <v>398</v>
      </c>
      <c r="F121" s="2" t="str">
        <f>TRIM(Table1[[#This Row],[Status]])</f>
        <v>Zaakceptowana</v>
      </c>
      <c r="G121" s="2" t="str">
        <f>TRIM(Table1[[#This Row],[Typ]])</f>
        <v>Faktura VAT</v>
      </c>
      <c r="H121" s="2" t="str">
        <f>TRIM(Table1[[#This Row],[Magazyn]])</f>
        <v>Apteka Szpitalna</v>
      </c>
      <c r="I121" s="2" t="str">
        <f>TRIM(Table1[[#This Row],[Umowa]])</f>
        <v>UM-SAL-02</v>
      </c>
      <c r="J121" s="2" t="b">
        <f>ISTEXT(Table14[[#This Row],[Data_Wystawienia]])</f>
        <v>0</v>
      </c>
      <c r="K121" s="2">
        <f>VALUE(SUBSTITUTE(Table14[[#This Row],[Wartość]],".",","))</f>
        <v>12132.39</v>
      </c>
      <c r="L1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" s="2" t="str">
        <f>IF(Table14[[#This Row],[Umowa]]="","Poza umową","Z umowy")</f>
        <v>Z umowy</v>
      </c>
      <c r="N121" s="2">
        <f>YEAR(Table14[[#This Row],[Data_Wystawienia]])</f>
        <v>2022</v>
      </c>
      <c r="O121" s="2" t="str">
        <f>TEXT(Table14[[#This Row],[Data_Wystawienia]],"rrrr-mm")</f>
        <v>2022-02</v>
      </c>
      <c r="P121" s="2">
        <v>1</v>
      </c>
    </row>
    <row r="122" spans="1:16" x14ac:dyDescent="0.3">
      <c r="A122" s="2" t="str">
        <f>TRIM(Table1[[#This Row],[Numer_FV]])</f>
        <v>FV/M/8068/P/22</v>
      </c>
      <c r="B122" s="2" t="str">
        <f>TRIM(Table1[[#This Row],[Numer_PZ]])</f>
        <v>PZ/800120</v>
      </c>
      <c r="C122" s="2" t="str">
        <f>TRIM(Table1[[#This Row],[Dostawca]])</f>
        <v>MedicaPharm</v>
      </c>
      <c r="D122" s="3">
        <v>44604</v>
      </c>
      <c r="E122" s="4" t="s">
        <v>401</v>
      </c>
      <c r="F122" s="2" t="str">
        <f>TRIM(Table1[[#This Row],[Status]])</f>
        <v>Zaakceptowana</v>
      </c>
      <c r="G122" s="2" t="str">
        <f>TRIM(Table1[[#This Row],[Typ]])</f>
        <v>Faktura VAT</v>
      </c>
      <c r="H122" s="2" t="str">
        <f>TRIM(Table1[[#This Row],[Magazyn]])</f>
        <v>Apteka Szpitalna</v>
      </c>
      <c r="I122" s="2" t="str">
        <f>TRIM(Table1[[#This Row],[Umowa]])</f>
        <v>UM-MED-01</v>
      </c>
      <c r="J122" s="2" t="b">
        <f>ISTEXT(Table14[[#This Row],[Data_Wystawienia]])</f>
        <v>0</v>
      </c>
      <c r="K122" s="2">
        <f>VALUE(SUBSTITUTE(Table14[[#This Row],[Wartość]],".",","))</f>
        <v>12718.12</v>
      </c>
      <c r="L1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" s="2" t="str">
        <f>IF(Table14[[#This Row],[Umowa]]="","Poza umową","Z umowy")</f>
        <v>Z umowy</v>
      </c>
      <c r="N122" s="2">
        <f>YEAR(Table14[[#This Row],[Data_Wystawienia]])</f>
        <v>2022</v>
      </c>
      <c r="O122" s="2" t="str">
        <f>TEXT(Table14[[#This Row],[Data_Wystawienia]],"rrrr-mm")</f>
        <v>2022-02</v>
      </c>
      <c r="P122" s="2">
        <v>1</v>
      </c>
    </row>
    <row r="123" spans="1:16" x14ac:dyDescent="0.3">
      <c r="A123" s="2" t="str">
        <f>TRIM(Table1[[#This Row],[Numer_FV]])</f>
        <v>FV/18748/VDb/2022</v>
      </c>
      <c r="B123" s="2" t="str">
        <f>TRIM(Table1[[#This Row],[Numer_PZ]])</f>
        <v>PZ/800121</v>
      </c>
      <c r="C123" s="2" t="str">
        <f>TRIM(Table1[[#This Row],[Dostawca]])</f>
        <v>VitaDistrib</v>
      </c>
      <c r="D123" s="3">
        <v>44604</v>
      </c>
      <c r="E123" s="4" t="s">
        <v>404</v>
      </c>
      <c r="F123" s="2" t="str">
        <f>TRIM(Table1[[#This Row],[Status]])</f>
        <v>Zaakceptowana</v>
      </c>
      <c r="G123" s="2" t="str">
        <f>TRIM(Table1[[#This Row],[Typ]])</f>
        <v>Faktura VAT</v>
      </c>
      <c r="H123" s="2" t="str">
        <f>TRIM(Table1[[#This Row],[Magazyn]])</f>
        <v>Apteka Szpitalna</v>
      </c>
      <c r="I123" s="2" t="str">
        <f>TRIM(Table1[[#This Row],[Umowa]])</f>
        <v/>
      </c>
      <c r="J123" s="2" t="b">
        <f>ISTEXT(Table14[[#This Row],[Data_Wystawienia]])</f>
        <v>0</v>
      </c>
      <c r="K123" s="2">
        <f>VALUE(SUBSTITUTE(Table14[[#This Row],[Wartość]],".",","))</f>
        <v>12720.53</v>
      </c>
      <c r="L1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" s="2" t="str">
        <f>IF(Table14[[#This Row],[Umowa]]="","Poza umową","Z umowy")</f>
        <v>Poza umową</v>
      </c>
      <c r="N123" s="2">
        <f>YEAR(Table14[[#This Row],[Data_Wystawienia]])</f>
        <v>2022</v>
      </c>
      <c r="O123" s="2" t="str">
        <f>TEXT(Table14[[#This Row],[Data_Wystawienia]],"rrrr-mm")</f>
        <v>2022-02</v>
      </c>
      <c r="P123" s="2">
        <v>1</v>
      </c>
    </row>
    <row r="124" spans="1:16" x14ac:dyDescent="0.3">
      <c r="A124" s="2" t="str">
        <f>TRIM(Table1[[#This Row],[Numer_FV]])</f>
        <v>FV/M/3570/P/22</v>
      </c>
      <c r="B124" s="2" t="str">
        <f>TRIM(Table1[[#This Row],[Numer_PZ]])</f>
        <v>PZ/800122</v>
      </c>
      <c r="C124" s="2" t="str">
        <f>TRIM(Table1[[#This Row],[Dostawca]])</f>
        <v>MedicaPharm</v>
      </c>
      <c r="D124" s="3">
        <v>44605</v>
      </c>
      <c r="E124" s="4" t="s">
        <v>407</v>
      </c>
      <c r="F124" s="2" t="str">
        <f>TRIM(Table1[[#This Row],[Status]])</f>
        <v>Zaakceptowana</v>
      </c>
      <c r="G124" s="2" t="str">
        <f>TRIM(Table1[[#This Row],[Typ]])</f>
        <v>Faktura VAT</v>
      </c>
      <c r="H124" s="2" t="str">
        <f>TRIM(Table1[[#This Row],[Magazyn]])</f>
        <v>Apteka Szpitalna</v>
      </c>
      <c r="I124" s="2" t="str">
        <f>TRIM(Table1[[#This Row],[Umowa]])</f>
        <v/>
      </c>
      <c r="J124" s="2" t="b">
        <f>ISTEXT(Table14[[#This Row],[Data_Wystawienia]])</f>
        <v>0</v>
      </c>
      <c r="K124" s="2">
        <f>VALUE(SUBSTITUTE(Table14[[#This Row],[Wartość]],".",","))</f>
        <v>16076.52</v>
      </c>
      <c r="L1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" s="2" t="str">
        <f>IF(Table14[[#This Row],[Umowa]]="","Poza umową","Z umowy")</f>
        <v>Poza umową</v>
      </c>
      <c r="N124" s="2">
        <f>YEAR(Table14[[#This Row],[Data_Wystawienia]])</f>
        <v>2022</v>
      </c>
      <c r="O124" s="2" t="str">
        <f>TEXT(Table14[[#This Row],[Data_Wystawienia]],"rrrr-mm")</f>
        <v>2022-02</v>
      </c>
      <c r="P124" s="2">
        <v>1</v>
      </c>
    </row>
    <row r="125" spans="1:16" x14ac:dyDescent="0.3">
      <c r="A125" s="2" t="str">
        <f>TRIM(Table1[[#This Row],[Numer_FV]])</f>
        <v>FV/76/PP/6436/22</v>
      </c>
      <c r="B125" s="2" t="str">
        <f>TRIM(Table1[[#This Row],[Numer_PZ]])</f>
        <v>PZ/800123</v>
      </c>
      <c r="C125" s="2" t="str">
        <f>TRIM(Table1[[#This Row],[Dostawca]])</f>
        <v>PharmaPlus</v>
      </c>
      <c r="D125" s="3">
        <v>44605</v>
      </c>
      <c r="E125" s="4" t="s">
        <v>410</v>
      </c>
      <c r="F125" s="2" t="str">
        <f>TRIM(Table1[[#This Row],[Status]])</f>
        <v>Zaakceptowana</v>
      </c>
      <c r="G125" s="2" t="str">
        <f>TRIM(Table1[[#This Row],[Typ]])</f>
        <v>Faktura VAT</v>
      </c>
      <c r="H125" s="2" t="str">
        <f>TRIM(Table1[[#This Row],[Magazyn]])</f>
        <v>Apteka Szpitalna</v>
      </c>
      <c r="I125" s="2" t="str">
        <f>TRIM(Table1[[#This Row],[Umowa]])</f>
        <v/>
      </c>
      <c r="J125" s="2" t="b">
        <f>ISTEXT(Table14[[#This Row],[Data_Wystawienia]])</f>
        <v>0</v>
      </c>
      <c r="K125" s="2">
        <f>VALUE(SUBSTITUTE(Table14[[#This Row],[Wartość]],".",","))</f>
        <v>15863.84</v>
      </c>
      <c r="L1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" s="2" t="str">
        <f>IF(Table14[[#This Row],[Umowa]]="","Poza umową","Z umowy")</f>
        <v>Poza umową</v>
      </c>
      <c r="N125" s="2">
        <f>YEAR(Table14[[#This Row],[Data_Wystawienia]])</f>
        <v>2022</v>
      </c>
      <c r="O125" s="2" t="str">
        <f>TEXT(Table14[[#This Row],[Data_Wystawienia]],"rrrr-mm")</f>
        <v>2022-02</v>
      </c>
      <c r="P125" s="2">
        <v>1</v>
      </c>
    </row>
    <row r="126" spans="1:16" x14ac:dyDescent="0.3">
      <c r="A126" s="2" t="str">
        <f>TRIM(Table1[[#This Row],[Numer_FV]])</f>
        <v>FV/5698/NOVA/22</v>
      </c>
      <c r="B126" s="2" t="str">
        <f>TRIM(Table1[[#This Row],[Numer_PZ]])</f>
        <v>PZ/800124</v>
      </c>
      <c r="C126" s="2" t="str">
        <f>TRIM(Table1[[#This Row],[Dostawca]])</f>
        <v>NovaLek</v>
      </c>
      <c r="D126" s="3">
        <v>44606</v>
      </c>
      <c r="E126" s="4" t="s">
        <v>413</v>
      </c>
      <c r="F126" s="2" t="str">
        <f>TRIM(Table1[[#This Row],[Status]])</f>
        <v>Zaakceptowana</v>
      </c>
      <c r="G126" s="2" t="str">
        <f>TRIM(Table1[[#This Row],[Typ]])</f>
        <v>Faktura VAT</v>
      </c>
      <c r="H126" s="2" t="str">
        <f>TRIM(Table1[[#This Row],[Magazyn]])</f>
        <v>Apteka Szpitalna</v>
      </c>
      <c r="I126" s="2" t="str">
        <f>TRIM(Table1[[#This Row],[Umowa]])</f>
        <v>UM-NOV-01</v>
      </c>
      <c r="J126" s="2" t="b">
        <f>ISTEXT(Table14[[#This Row],[Data_Wystawienia]])</f>
        <v>0</v>
      </c>
      <c r="K126" s="2">
        <f>VALUE(SUBSTITUTE(Table14[[#This Row],[Wartość]],".",","))</f>
        <v>11343.64</v>
      </c>
      <c r="L1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" s="2" t="str">
        <f>IF(Table14[[#This Row],[Umowa]]="","Poza umową","Z umowy")</f>
        <v>Z umowy</v>
      </c>
      <c r="N126" s="2">
        <f>YEAR(Table14[[#This Row],[Data_Wystawienia]])</f>
        <v>2022</v>
      </c>
      <c r="O126" s="2" t="str">
        <f>TEXT(Table14[[#This Row],[Data_Wystawienia]],"rrrr-mm")</f>
        <v>2022-02</v>
      </c>
      <c r="P126" s="2">
        <v>1</v>
      </c>
    </row>
    <row r="127" spans="1:16" x14ac:dyDescent="0.3">
      <c r="A127" s="2" t="str">
        <f>TRIM(Table1[[#This Row],[Numer_FV]])</f>
        <v>FV/3729/NOVA/22</v>
      </c>
      <c r="B127" s="2" t="str">
        <f>TRIM(Table1[[#This Row],[Numer_PZ]])</f>
        <v>PZ/800125</v>
      </c>
      <c r="C127" s="2" t="str">
        <f>TRIM(Table1[[#This Row],[Dostawca]])</f>
        <v>NovaLek</v>
      </c>
      <c r="D127" s="3">
        <v>44606</v>
      </c>
      <c r="E127" s="4" t="s">
        <v>416</v>
      </c>
      <c r="F127" s="2" t="str">
        <f>TRIM(Table1[[#This Row],[Status]])</f>
        <v>Zaakceptowana</v>
      </c>
      <c r="G127" s="2" t="str">
        <f>TRIM(Table1[[#This Row],[Typ]])</f>
        <v>Faktura VAT</v>
      </c>
      <c r="H127" s="2" t="str">
        <f>TRIM(Table1[[#This Row],[Magazyn]])</f>
        <v>Apteka Szpitalna</v>
      </c>
      <c r="I127" s="2" t="str">
        <f>TRIM(Table1[[#This Row],[Umowa]])</f>
        <v>UM-NOV-02</v>
      </c>
      <c r="J127" s="2" t="b">
        <f>ISTEXT(Table14[[#This Row],[Data_Wystawienia]])</f>
        <v>0</v>
      </c>
      <c r="K127" s="2">
        <f>VALUE(SUBSTITUTE(Table14[[#This Row],[Wartość]],".",","))</f>
        <v>12836.82</v>
      </c>
      <c r="L1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" s="2" t="str">
        <f>IF(Table14[[#This Row],[Umowa]]="","Poza umową","Z umowy")</f>
        <v>Z umowy</v>
      </c>
      <c r="N127" s="2">
        <f>YEAR(Table14[[#This Row],[Data_Wystawienia]])</f>
        <v>2022</v>
      </c>
      <c r="O127" s="2" t="str">
        <f>TEXT(Table14[[#This Row],[Data_Wystawienia]],"rrrr-mm")</f>
        <v>2022-02</v>
      </c>
      <c r="P127" s="2">
        <v>1</v>
      </c>
    </row>
    <row r="128" spans="1:16" x14ac:dyDescent="0.3">
      <c r="A128" s="2" t="str">
        <f>TRIM(Table1[[#This Row],[Numer_FV]])</f>
        <v>FV/8487/NOVA/22</v>
      </c>
      <c r="B128" s="2" t="str">
        <f>TRIM(Table1[[#This Row],[Numer_PZ]])</f>
        <v>PZ/800126</v>
      </c>
      <c r="C128" s="2" t="str">
        <f>TRIM(Table1[[#This Row],[Dostawca]])</f>
        <v>NovaLek</v>
      </c>
      <c r="D128" s="3">
        <v>44606</v>
      </c>
      <c r="E128" s="4" t="s">
        <v>419</v>
      </c>
      <c r="F128" s="2" t="str">
        <f>TRIM(Table1[[#This Row],[Status]])</f>
        <v>Zaakceptowana</v>
      </c>
      <c r="G128" s="2" t="str">
        <f>TRIM(Table1[[#This Row],[Typ]])</f>
        <v>Faktura VAT</v>
      </c>
      <c r="H128" s="2" t="str">
        <f>TRIM(Table1[[#This Row],[Magazyn]])</f>
        <v>Apteka Szpitalna</v>
      </c>
      <c r="I128" s="2" t="str">
        <f>TRIM(Table1[[#This Row],[Umowa]])</f>
        <v>UM-NOV-01</v>
      </c>
      <c r="J128" s="2" t="b">
        <f>ISTEXT(Table14[[#This Row],[Data_Wystawienia]])</f>
        <v>0</v>
      </c>
      <c r="K128" s="2">
        <f>VALUE(SUBSTITUTE(Table14[[#This Row],[Wartość]],".",","))</f>
        <v>20594.8</v>
      </c>
      <c r="L1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" s="2" t="str">
        <f>IF(Table14[[#This Row],[Umowa]]="","Poza umową","Z umowy")</f>
        <v>Z umowy</v>
      </c>
      <c r="N128" s="2">
        <f>YEAR(Table14[[#This Row],[Data_Wystawienia]])</f>
        <v>2022</v>
      </c>
      <c r="O128" s="2" t="str">
        <f>TEXT(Table14[[#This Row],[Data_Wystawienia]],"rrrr-mm")</f>
        <v>2022-02</v>
      </c>
      <c r="P128" s="2">
        <v>1</v>
      </c>
    </row>
    <row r="129" spans="1:16" x14ac:dyDescent="0.3">
      <c r="A129" s="2" t="str">
        <f>TRIM(Table1[[#This Row],[Numer_FV]])</f>
        <v>FV/CENFA/445148/22</v>
      </c>
      <c r="B129" s="2" t="str">
        <f>TRIM(Table1[[#This Row],[Numer_PZ]])</f>
        <v>PZ/800127</v>
      </c>
      <c r="C129" s="2" t="str">
        <f>TRIM(Table1[[#This Row],[Dostawca]])</f>
        <v>CentrumFarm</v>
      </c>
      <c r="D129" s="3">
        <v>44607</v>
      </c>
      <c r="E129" s="4" t="s">
        <v>422</v>
      </c>
      <c r="F129" s="2" t="str">
        <f>TRIM(Table1[[#This Row],[Status]])</f>
        <v>Zaakceptowana</v>
      </c>
      <c r="G129" s="2" t="str">
        <f>TRIM(Table1[[#This Row],[Typ]])</f>
        <v>Faktura VAT</v>
      </c>
      <c r="H129" s="2" t="str">
        <f>TRIM(Table1[[#This Row],[Magazyn]])</f>
        <v>Apteka Szpitalna</v>
      </c>
      <c r="I129" s="2" t="str">
        <f>TRIM(Table1[[#This Row],[Umowa]])</f>
        <v/>
      </c>
      <c r="J129" s="2" t="b">
        <f>ISTEXT(Table14[[#This Row],[Data_Wystawienia]])</f>
        <v>0</v>
      </c>
      <c r="K129" s="2">
        <f>VALUE(SUBSTITUTE(Table14[[#This Row],[Wartość]],".",","))</f>
        <v>24056.7</v>
      </c>
      <c r="L1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" s="2" t="str">
        <f>IF(Table14[[#This Row],[Umowa]]="","Poza umową","Z umowy")</f>
        <v>Poza umową</v>
      </c>
      <c r="N129" s="2">
        <f>YEAR(Table14[[#This Row],[Data_Wystawienia]])</f>
        <v>2022</v>
      </c>
      <c r="O129" s="2" t="str">
        <f>TEXT(Table14[[#This Row],[Data_Wystawienia]],"rrrr-mm")</f>
        <v>2022-02</v>
      </c>
      <c r="P129" s="2">
        <v>1</v>
      </c>
    </row>
    <row r="130" spans="1:16" x14ac:dyDescent="0.3">
      <c r="A130" s="2" t="str">
        <f>TRIM(Table1[[#This Row],[Numer_FV]])</f>
        <v>FV/M/3866/P/22</v>
      </c>
      <c r="B130" s="2" t="str">
        <f>TRIM(Table1[[#This Row],[Numer_PZ]])</f>
        <v>PZ/800128</v>
      </c>
      <c r="C130" s="2" t="str">
        <f>TRIM(Table1[[#This Row],[Dostawca]])</f>
        <v>MedicaPharm</v>
      </c>
      <c r="D130" s="3">
        <v>44607</v>
      </c>
      <c r="E130" s="4" t="s">
        <v>425</v>
      </c>
      <c r="F130" s="2" t="str">
        <f>TRIM(Table1[[#This Row],[Status]])</f>
        <v>Zaakceptowana</v>
      </c>
      <c r="G130" s="2" t="str">
        <f>TRIM(Table1[[#This Row],[Typ]])</f>
        <v>Faktura VAT</v>
      </c>
      <c r="H130" s="2" t="str">
        <f>TRIM(Table1[[#This Row],[Magazyn]])</f>
        <v>Apteka Szpitalna</v>
      </c>
      <c r="I130" s="2" t="str">
        <f>TRIM(Table1[[#This Row],[Umowa]])</f>
        <v>UM-MED-02</v>
      </c>
      <c r="J130" s="2" t="b">
        <f>ISTEXT(Table14[[#This Row],[Data_Wystawienia]])</f>
        <v>0</v>
      </c>
      <c r="K130" s="2">
        <f>VALUE(SUBSTITUTE(Table14[[#This Row],[Wartość]],".",","))</f>
        <v>24080.98</v>
      </c>
      <c r="L1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" s="2" t="str">
        <f>IF(Table14[[#This Row],[Umowa]]="","Poza umową","Z umowy")</f>
        <v>Z umowy</v>
      </c>
      <c r="N130" s="2">
        <f>YEAR(Table14[[#This Row],[Data_Wystawienia]])</f>
        <v>2022</v>
      </c>
      <c r="O130" s="2" t="str">
        <f>TEXT(Table14[[#This Row],[Data_Wystawienia]],"rrrr-mm")</f>
        <v>2022-02</v>
      </c>
      <c r="P130" s="2">
        <v>1</v>
      </c>
    </row>
    <row r="131" spans="1:16" x14ac:dyDescent="0.3">
      <c r="A131" s="2" t="str">
        <f>TRIM(Table1[[#This Row],[Numer_FV]])</f>
        <v>FV/4034HM/22</v>
      </c>
      <c r="B131" s="2" t="str">
        <f>TRIM(Table1[[#This Row],[Numer_PZ]])</f>
        <v>PZ/800129</v>
      </c>
      <c r="C131" s="2" t="str">
        <f>TRIM(Table1[[#This Row],[Dostawca]])</f>
        <v>HurtMedix</v>
      </c>
      <c r="D131" s="3">
        <v>44608</v>
      </c>
      <c r="E131" s="4" t="s">
        <v>428</v>
      </c>
      <c r="F131" s="2" t="str">
        <f>TRIM(Table1[[#This Row],[Status]])</f>
        <v>Zaakceptowana</v>
      </c>
      <c r="G131" s="2" t="str">
        <f>TRIM(Table1[[#This Row],[Typ]])</f>
        <v>Faktura VAT</v>
      </c>
      <c r="H131" s="2" t="str">
        <f>TRIM(Table1[[#This Row],[Magazyn]])</f>
        <v>Apteka Szpitalna</v>
      </c>
      <c r="I131" s="2" t="str">
        <f>TRIM(Table1[[#This Row],[Umowa]])</f>
        <v>UM-HUR-02</v>
      </c>
      <c r="J131" s="2" t="b">
        <f>ISTEXT(Table14[[#This Row],[Data_Wystawienia]])</f>
        <v>0</v>
      </c>
      <c r="K131" s="2">
        <f>VALUE(SUBSTITUTE(Table14[[#This Row],[Wartość]],".",","))</f>
        <v>11600.46</v>
      </c>
      <c r="L1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" s="2" t="str">
        <f>IF(Table14[[#This Row],[Umowa]]="","Poza umową","Z umowy")</f>
        <v>Z umowy</v>
      </c>
      <c r="N131" s="2">
        <f>YEAR(Table14[[#This Row],[Data_Wystawienia]])</f>
        <v>2022</v>
      </c>
      <c r="O131" s="2" t="str">
        <f>TEXT(Table14[[#This Row],[Data_Wystawienia]],"rrrr-mm")</f>
        <v>2022-02</v>
      </c>
      <c r="P131" s="2">
        <v>1</v>
      </c>
    </row>
    <row r="132" spans="1:16" x14ac:dyDescent="0.3">
      <c r="A132" s="2" t="str">
        <f>TRIM(Table1[[#This Row],[Numer_FV]])</f>
        <v>FV/CENFA/655637/22</v>
      </c>
      <c r="B132" s="2" t="str">
        <f>TRIM(Table1[[#This Row],[Numer_PZ]])</f>
        <v>PZ/800130</v>
      </c>
      <c r="C132" s="2" t="str">
        <f>TRIM(Table1[[#This Row],[Dostawca]])</f>
        <v>CentrumFarm</v>
      </c>
      <c r="D132" s="3">
        <v>44609</v>
      </c>
      <c r="E132" s="4" t="s">
        <v>431</v>
      </c>
      <c r="F132" s="2" t="str">
        <f>TRIM(Table1[[#This Row],[Status]])</f>
        <v>Zaakceptowana</v>
      </c>
      <c r="G132" s="2" t="str">
        <f>TRIM(Table1[[#This Row],[Typ]])</f>
        <v>Faktura VAT</v>
      </c>
      <c r="H132" s="2" t="str">
        <f>TRIM(Table1[[#This Row],[Magazyn]])</f>
        <v>Apteka Szpitalna</v>
      </c>
      <c r="I132" s="2" t="str">
        <f>TRIM(Table1[[#This Row],[Umowa]])</f>
        <v>UM-CEN-01</v>
      </c>
      <c r="J132" s="2" t="b">
        <f>ISTEXT(Table14[[#This Row],[Data_Wystawienia]])</f>
        <v>0</v>
      </c>
      <c r="K132" s="2">
        <f>VALUE(SUBSTITUTE(Table14[[#This Row],[Wartość]],".",","))</f>
        <v>22052.62</v>
      </c>
      <c r="L1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" s="2" t="str">
        <f>IF(Table14[[#This Row],[Umowa]]="","Poza umową","Z umowy")</f>
        <v>Z umowy</v>
      </c>
      <c r="N132" s="2">
        <f>YEAR(Table14[[#This Row],[Data_Wystawienia]])</f>
        <v>2022</v>
      </c>
      <c r="O132" s="2" t="str">
        <f>TEXT(Table14[[#This Row],[Data_Wystawienia]],"rrrr-mm")</f>
        <v>2022-02</v>
      </c>
      <c r="P132" s="2">
        <v>1</v>
      </c>
    </row>
    <row r="133" spans="1:16" x14ac:dyDescent="0.3">
      <c r="A133" s="2" t="str">
        <f>TRIM(Table1[[#This Row],[Numer_FV]])</f>
        <v>FV/17/SAL/22</v>
      </c>
      <c r="B133" s="2" t="str">
        <f>TRIM(Table1[[#This Row],[Numer_PZ]])</f>
        <v>PZ/800131</v>
      </c>
      <c r="C133" s="2" t="str">
        <f>TRIM(Table1[[#This Row],[Dostawca]])</f>
        <v>SalusHurt</v>
      </c>
      <c r="D133" s="3">
        <v>44609</v>
      </c>
      <c r="E133" s="4" t="s">
        <v>433</v>
      </c>
      <c r="F133" s="2" t="str">
        <f>TRIM(Table1[[#This Row],[Status]])</f>
        <v>Zaakceptowana</v>
      </c>
      <c r="G133" s="2" t="str">
        <f>TRIM(Table1[[#This Row],[Typ]])</f>
        <v>Faktura VAT</v>
      </c>
      <c r="H133" s="2" t="str">
        <f>TRIM(Table1[[#This Row],[Magazyn]])</f>
        <v>Apteka Szpitalna</v>
      </c>
      <c r="I133" s="2" t="str">
        <f>TRIM(Table1[[#This Row],[Umowa]])</f>
        <v>UM-SAL-02</v>
      </c>
      <c r="J133" s="2" t="b">
        <f>ISTEXT(Table14[[#This Row],[Data_Wystawienia]])</f>
        <v>0</v>
      </c>
      <c r="K133" s="2">
        <f>VALUE(SUBSTITUTE(Table14[[#This Row],[Wartość]],".",","))</f>
        <v>11316.26</v>
      </c>
      <c r="L1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" s="2" t="str">
        <f>IF(Table14[[#This Row],[Umowa]]="","Poza umową","Z umowy")</f>
        <v>Z umowy</v>
      </c>
      <c r="N133" s="2">
        <f>YEAR(Table14[[#This Row],[Data_Wystawienia]])</f>
        <v>2022</v>
      </c>
      <c r="O133" s="2" t="str">
        <f>TEXT(Table14[[#This Row],[Data_Wystawienia]],"rrrr-mm")</f>
        <v>2022-02</v>
      </c>
      <c r="P133" s="2">
        <v>1</v>
      </c>
    </row>
    <row r="134" spans="1:16" x14ac:dyDescent="0.3">
      <c r="A134" s="2" t="str">
        <f>TRIM(Table1[[#This Row],[Numer_FV]])</f>
        <v>FV/M/5152/P/22</v>
      </c>
      <c r="B134" s="2" t="str">
        <f>TRIM(Table1[[#This Row],[Numer_PZ]])</f>
        <v>PZ/800132</v>
      </c>
      <c r="C134" s="2" t="str">
        <f>TRIM(Table1[[#This Row],[Dostawca]])</f>
        <v>MedicaPharm</v>
      </c>
      <c r="D134" s="3">
        <v>44609</v>
      </c>
      <c r="E134" s="4" t="s">
        <v>436</v>
      </c>
      <c r="F134" s="2" t="str">
        <f>TRIM(Table1[[#This Row],[Status]])</f>
        <v>Zaakceptowana</v>
      </c>
      <c r="G134" s="2" t="str">
        <f>TRIM(Table1[[#This Row],[Typ]])</f>
        <v>Faktura VAT</v>
      </c>
      <c r="H134" s="2" t="str">
        <f>TRIM(Table1[[#This Row],[Magazyn]])</f>
        <v>Apteka Szpitalna</v>
      </c>
      <c r="I134" s="2" t="str">
        <f>TRIM(Table1[[#This Row],[Umowa]])</f>
        <v>UM-MED-01</v>
      </c>
      <c r="J134" s="2" t="b">
        <f>ISTEXT(Table14[[#This Row],[Data_Wystawienia]])</f>
        <v>0</v>
      </c>
      <c r="K134" s="2">
        <f>VALUE(SUBSTITUTE(Table14[[#This Row],[Wartość]],".",","))</f>
        <v>9174.7999999999993</v>
      </c>
      <c r="L1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" s="2" t="str">
        <f>IF(Table14[[#This Row],[Umowa]]="","Poza umową","Z umowy")</f>
        <v>Z umowy</v>
      </c>
      <c r="N134" s="2">
        <f>YEAR(Table14[[#This Row],[Data_Wystawienia]])</f>
        <v>2022</v>
      </c>
      <c r="O134" s="2" t="str">
        <f>TEXT(Table14[[#This Row],[Data_Wystawienia]],"rrrr-mm")</f>
        <v>2022-02</v>
      </c>
      <c r="P134" s="2">
        <v>1</v>
      </c>
    </row>
    <row r="135" spans="1:16" x14ac:dyDescent="0.3">
      <c r="A135" s="2" t="str">
        <f>TRIM(Table1[[#This Row],[Numer_FV]])</f>
        <v>FV/1937/NOVA/22</v>
      </c>
      <c r="B135" s="2" t="str">
        <f>TRIM(Table1[[#This Row],[Numer_PZ]])</f>
        <v>PZ/800133</v>
      </c>
      <c r="C135" s="2" t="str">
        <f>TRIM(Table1[[#This Row],[Dostawca]])</f>
        <v>NovaLek</v>
      </c>
      <c r="D135" s="3">
        <v>44610</v>
      </c>
      <c r="E135" s="4" t="s">
        <v>439</v>
      </c>
      <c r="F135" s="2" t="str">
        <f>TRIM(Table1[[#This Row],[Status]])</f>
        <v>Zaakceptowana</v>
      </c>
      <c r="G135" s="2" t="str">
        <f>TRIM(Table1[[#This Row],[Typ]])</f>
        <v>Faktura VAT</v>
      </c>
      <c r="H135" s="2" t="str">
        <f>TRIM(Table1[[#This Row],[Magazyn]])</f>
        <v>Apteka Szpitalna</v>
      </c>
      <c r="I135" s="2" t="str">
        <f>TRIM(Table1[[#This Row],[Umowa]])</f>
        <v>UM-NOV-01</v>
      </c>
      <c r="J135" s="2" t="b">
        <f>ISTEXT(Table14[[#This Row],[Data_Wystawienia]])</f>
        <v>0</v>
      </c>
      <c r="K135" s="2">
        <f>VALUE(SUBSTITUTE(Table14[[#This Row],[Wartość]],".",","))</f>
        <v>11984.95</v>
      </c>
      <c r="L1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" s="2" t="str">
        <f>IF(Table14[[#This Row],[Umowa]]="","Poza umową","Z umowy")</f>
        <v>Z umowy</v>
      </c>
      <c r="N135" s="2">
        <f>YEAR(Table14[[#This Row],[Data_Wystawienia]])</f>
        <v>2022</v>
      </c>
      <c r="O135" s="2" t="str">
        <f>TEXT(Table14[[#This Row],[Data_Wystawienia]],"rrrr-mm")</f>
        <v>2022-02</v>
      </c>
      <c r="P135" s="2">
        <v>1</v>
      </c>
    </row>
    <row r="136" spans="1:16" x14ac:dyDescent="0.3">
      <c r="A136" s="2" t="str">
        <f>TRIM(Table1[[#This Row],[Numer_FV]])</f>
        <v>FV/1313HM/22</v>
      </c>
      <c r="B136" s="2" t="str">
        <f>TRIM(Table1[[#This Row],[Numer_PZ]])</f>
        <v>PZ/800134</v>
      </c>
      <c r="C136" s="2" t="str">
        <f>TRIM(Table1[[#This Row],[Dostawca]])</f>
        <v>HurtMedix</v>
      </c>
      <c r="D136" s="3">
        <v>44611</v>
      </c>
      <c r="E136" s="4" t="s">
        <v>442</v>
      </c>
      <c r="F136" s="2" t="str">
        <f>TRIM(Table1[[#This Row],[Status]])</f>
        <v>Zaakceptowana</v>
      </c>
      <c r="G136" s="2" t="str">
        <f>TRIM(Table1[[#This Row],[Typ]])</f>
        <v>Faktura VAT</v>
      </c>
      <c r="H136" s="2" t="str">
        <f>TRIM(Table1[[#This Row],[Magazyn]])</f>
        <v>Apteka Szpitalna</v>
      </c>
      <c r="I136" s="2" t="str">
        <f>TRIM(Table1[[#This Row],[Umowa]])</f>
        <v>UM-HUR-03</v>
      </c>
      <c r="J136" s="2" t="b">
        <f>ISTEXT(Table14[[#This Row],[Data_Wystawienia]])</f>
        <v>0</v>
      </c>
      <c r="K136" s="2">
        <f>VALUE(SUBSTITUTE(Table14[[#This Row],[Wartość]],".",","))</f>
        <v>14283.7</v>
      </c>
      <c r="L1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" s="2" t="str">
        <f>IF(Table14[[#This Row],[Umowa]]="","Poza umową","Z umowy")</f>
        <v>Z umowy</v>
      </c>
      <c r="N136" s="2">
        <f>YEAR(Table14[[#This Row],[Data_Wystawienia]])</f>
        <v>2022</v>
      </c>
      <c r="O136" s="2" t="str">
        <f>TEXT(Table14[[#This Row],[Data_Wystawienia]],"rrrr-mm")</f>
        <v>2022-02</v>
      </c>
      <c r="P136" s="2">
        <v>1</v>
      </c>
    </row>
    <row r="137" spans="1:16" x14ac:dyDescent="0.3">
      <c r="A137" s="2" t="str">
        <f>TRIM(Table1[[#This Row],[Numer_FV]])</f>
        <v>FV/2890/NOVA/22</v>
      </c>
      <c r="B137" s="2" t="str">
        <f>TRIM(Table1[[#This Row],[Numer_PZ]])</f>
        <v>PZ/800135</v>
      </c>
      <c r="C137" s="2" t="str">
        <f>TRIM(Table1[[#This Row],[Dostawca]])</f>
        <v>NovaLek</v>
      </c>
      <c r="D137" s="3">
        <v>44611</v>
      </c>
      <c r="E137" s="4" t="s">
        <v>445</v>
      </c>
      <c r="F137" s="2" t="str">
        <f>TRIM(Table1[[#This Row],[Status]])</f>
        <v>Zaakceptowana</v>
      </c>
      <c r="G137" s="2" t="str">
        <f>TRIM(Table1[[#This Row],[Typ]])</f>
        <v>Faktura VAT</v>
      </c>
      <c r="H137" s="2" t="str">
        <f>TRIM(Table1[[#This Row],[Magazyn]])</f>
        <v>Apteka Szpitalna</v>
      </c>
      <c r="I137" s="2" t="str">
        <f>TRIM(Table1[[#This Row],[Umowa]])</f>
        <v>UM-NOV-01</v>
      </c>
      <c r="J137" s="2" t="b">
        <f>ISTEXT(Table14[[#This Row],[Data_Wystawienia]])</f>
        <v>0</v>
      </c>
      <c r="K137" s="2">
        <f>VALUE(SUBSTITUTE(Table14[[#This Row],[Wartość]],".",","))</f>
        <v>14942.47</v>
      </c>
      <c r="L1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" s="2" t="str">
        <f>IF(Table14[[#This Row],[Umowa]]="","Poza umową","Z umowy")</f>
        <v>Z umowy</v>
      </c>
      <c r="N137" s="2">
        <f>YEAR(Table14[[#This Row],[Data_Wystawienia]])</f>
        <v>2022</v>
      </c>
      <c r="O137" s="2" t="str">
        <f>TEXT(Table14[[#This Row],[Data_Wystawienia]],"rrrr-mm")</f>
        <v>2022-02</v>
      </c>
      <c r="P137" s="2">
        <v>1</v>
      </c>
    </row>
    <row r="138" spans="1:16" x14ac:dyDescent="0.3">
      <c r="A138" s="2" t="str">
        <f>TRIM(Table1[[#This Row],[Numer_FV]])</f>
        <v>FV/35784/VDb/2022</v>
      </c>
      <c r="B138" s="2" t="str">
        <f>TRIM(Table1[[#This Row],[Numer_PZ]])</f>
        <v>PZ/800136</v>
      </c>
      <c r="C138" s="2" t="str">
        <f>TRIM(Table1[[#This Row],[Dostawca]])</f>
        <v>VitaDistrib</v>
      </c>
      <c r="D138" s="3">
        <v>44611</v>
      </c>
      <c r="E138" s="4" t="s">
        <v>448</v>
      </c>
      <c r="F138" s="2" t="str">
        <f>TRIM(Table1[[#This Row],[Status]])</f>
        <v>Zaakceptowana</v>
      </c>
      <c r="G138" s="2" t="str">
        <f>TRIM(Table1[[#This Row],[Typ]])</f>
        <v>Faktura VAT</v>
      </c>
      <c r="H138" s="2" t="str">
        <f>TRIM(Table1[[#This Row],[Magazyn]])</f>
        <v>Apteka Szpitalna</v>
      </c>
      <c r="I138" s="2" t="str">
        <f>TRIM(Table1[[#This Row],[Umowa]])</f>
        <v>UM-VIT-01</v>
      </c>
      <c r="J138" s="2" t="b">
        <f>ISTEXT(Table14[[#This Row],[Data_Wystawienia]])</f>
        <v>0</v>
      </c>
      <c r="K138" s="2">
        <f>VALUE(SUBSTITUTE(Table14[[#This Row],[Wartość]],".",","))</f>
        <v>17683.53</v>
      </c>
      <c r="L1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" s="2" t="str">
        <f>IF(Table14[[#This Row],[Umowa]]="","Poza umową","Z umowy")</f>
        <v>Z umowy</v>
      </c>
      <c r="N138" s="2">
        <f>YEAR(Table14[[#This Row],[Data_Wystawienia]])</f>
        <v>2022</v>
      </c>
      <c r="O138" s="2" t="str">
        <f>TEXT(Table14[[#This Row],[Data_Wystawienia]],"rrrr-mm")</f>
        <v>2022-02</v>
      </c>
      <c r="P138" s="2">
        <v>1</v>
      </c>
    </row>
    <row r="139" spans="1:16" x14ac:dyDescent="0.3">
      <c r="A139" s="2" t="str">
        <f>TRIM(Table1[[#This Row],[Numer_FV]])</f>
        <v>FV/8497HM/22</v>
      </c>
      <c r="B139" s="2" t="str">
        <f>TRIM(Table1[[#This Row],[Numer_PZ]])</f>
        <v>PZ/800137</v>
      </c>
      <c r="C139" s="2" t="str">
        <f>TRIM(Table1[[#This Row],[Dostawca]])</f>
        <v>HurtMedix</v>
      </c>
      <c r="D139" s="3">
        <v>44612</v>
      </c>
      <c r="E139" s="4" t="s">
        <v>451</v>
      </c>
      <c r="F139" s="2" t="str">
        <f>TRIM(Table1[[#This Row],[Status]])</f>
        <v>Zaakceptowana</v>
      </c>
      <c r="G139" s="2" t="str">
        <f>TRIM(Table1[[#This Row],[Typ]])</f>
        <v>Faktura VAT</v>
      </c>
      <c r="H139" s="2" t="str">
        <f>TRIM(Table1[[#This Row],[Magazyn]])</f>
        <v>Apteka Szpitalna</v>
      </c>
      <c r="I139" s="2" t="str">
        <f>TRIM(Table1[[#This Row],[Umowa]])</f>
        <v>UM-HUR-03</v>
      </c>
      <c r="J139" s="2" t="b">
        <f>ISTEXT(Table14[[#This Row],[Data_Wystawienia]])</f>
        <v>0</v>
      </c>
      <c r="K139" s="2">
        <f>VALUE(SUBSTITUTE(Table14[[#This Row],[Wartość]],".",","))</f>
        <v>13984.93</v>
      </c>
      <c r="L1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" s="2" t="str">
        <f>IF(Table14[[#This Row],[Umowa]]="","Poza umową","Z umowy")</f>
        <v>Z umowy</v>
      </c>
      <c r="N139" s="2">
        <f>YEAR(Table14[[#This Row],[Data_Wystawienia]])</f>
        <v>2022</v>
      </c>
      <c r="O139" s="2" t="str">
        <f>TEXT(Table14[[#This Row],[Data_Wystawienia]],"rrrr-mm")</f>
        <v>2022-02</v>
      </c>
      <c r="P139" s="2">
        <v>1</v>
      </c>
    </row>
    <row r="140" spans="1:16" x14ac:dyDescent="0.3">
      <c r="A140" s="2" t="str">
        <f>TRIM(Table1[[#This Row],[Numer_FV]])</f>
        <v>FV/16/SAL/22</v>
      </c>
      <c r="B140" s="2" t="str">
        <f>TRIM(Table1[[#This Row],[Numer_PZ]])</f>
        <v>PZ/800138</v>
      </c>
      <c r="C140" s="2" t="str">
        <f>TRIM(Table1[[#This Row],[Dostawca]])</f>
        <v>SalusHurt</v>
      </c>
      <c r="D140" s="3">
        <v>44612</v>
      </c>
      <c r="E140" s="4" t="s">
        <v>454</v>
      </c>
      <c r="F140" s="2" t="str">
        <f>TRIM(Table1[[#This Row],[Status]])</f>
        <v>Zaakceptowana</v>
      </c>
      <c r="G140" s="2" t="str">
        <f>TRIM(Table1[[#This Row],[Typ]])</f>
        <v>Faktura VAT</v>
      </c>
      <c r="H140" s="2" t="str">
        <f>TRIM(Table1[[#This Row],[Magazyn]])</f>
        <v>Apteka Szpitalna</v>
      </c>
      <c r="I140" s="2" t="str">
        <f>TRIM(Table1[[#This Row],[Umowa]])</f>
        <v>UM-SAL-02</v>
      </c>
      <c r="J140" s="2" t="b">
        <f>ISTEXT(Table14[[#This Row],[Data_Wystawienia]])</f>
        <v>0</v>
      </c>
      <c r="K140" s="2">
        <f>VALUE(SUBSTITUTE(Table14[[#This Row],[Wartość]],".",","))</f>
        <v>13891.48</v>
      </c>
      <c r="L1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" s="2" t="str">
        <f>IF(Table14[[#This Row],[Umowa]]="","Poza umową","Z umowy")</f>
        <v>Z umowy</v>
      </c>
      <c r="N140" s="2">
        <f>YEAR(Table14[[#This Row],[Data_Wystawienia]])</f>
        <v>2022</v>
      </c>
      <c r="O140" s="2" t="str">
        <f>TEXT(Table14[[#This Row],[Data_Wystawienia]],"rrrr-mm")</f>
        <v>2022-02</v>
      </c>
      <c r="P140" s="2">
        <v>1</v>
      </c>
    </row>
    <row r="141" spans="1:16" x14ac:dyDescent="0.3">
      <c r="A141" s="2" t="str">
        <f>TRIM(Table1[[#This Row],[Numer_FV]])</f>
        <v>FV/POL/31818/2022</v>
      </c>
      <c r="B141" s="2" t="str">
        <f>TRIM(Table1[[#This Row],[Numer_PZ]])</f>
        <v>PZ/800139</v>
      </c>
      <c r="C141" s="2" t="str">
        <f>TRIM(Table1[[#This Row],[Dostawca]])</f>
        <v>Polmedica</v>
      </c>
      <c r="D141" s="3">
        <v>44613</v>
      </c>
      <c r="E141" s="4" t="s">
        <v>457</v>
      </c>
      <c r="F141" s="2" t="str">
        <f>TRIM(Table1[[#This Row],[Status]])</f>
        <v>Zaakceptowana</v>
      </c>
      <c r="G141" s="2" t="str">
        <f>TRIM(Table1[[#This Row],[Typ]])</f>
        <v>Faktura VAT</v>
      </c>
      <c r="H141" s="2" t="str">
        <f>TRIM(Table1[[#This Row],[Magazyn]])</f>
        <v>Apteka Szpitalna</v>
      </c>
      <c r="I141" s="2" t="str">
        <f>TRIM(Table1[[#This Row],[Umowa]])</f>
        <v>UM-POL-03</v>
      </c>
      <c r="J141" s="2" t="b">
        <f>ISTEXT(Table14[[#This Row],[Data_Wystawienia]])</f>
        <v>0</v>
      </c>
      <c r="K141" s="2">
        <f>VALUE(SUBSTITUTE(Table14[[#This Row],[Wartość]],".",","))</f>
        <v>24565.38</v>
      </c>
      <c r="L1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" s="2" t="str">
        <f>IF(Table14[[#This Row],[Umowa]]="","Poza umową","Z umowy")</f>
        <v>Z umowy</v>
      </c>
      <c r="N141" s="2">
        <f>YEAR(Table14[[#This Row],[Data_Wystawienia]])</f>
        <v>2022</v>
      </c>
      <c r="O141" s="2" t="str">
        <f>TEXT(Table14[[#This Row],[Data_Wystawienia]],"rrrr-mm")</f>
        <v>2022-02</v>
      </c>
      <c r="P141" s="2">
        <v>1</v>
      </c>
    </row>
    <row r="142" spans="1:16" x14ac:dyDescent="0.3">
      <c r="A142" s="2" t="str">
        <f>TRIM(Table1[[#This Row],[Numer_FV]])</f>
        <v>FV/24/SAL/22</v>
      </c>
      <c r="B142" s="2" t="str">
        <f>TRIM(Table1[[#This Row],[Numer_PZ]])</f>
        <v>PZ/800140</v>
      </c>
      <c r="C142" s="2" t="str">
        <f>TRIM(Table1[[#This Row],[Dostawca]])</f>
        <v>SalusHurt</v>
      </c>
      <c r="D142" s="3">
        <v>44613</v>
      </c>
      <c r="E142" s="4" t="s">
        <v>460</v>
      </c>
      <c r="F142" s="2" t="str">
        <f>TRIM(Table1[[#This Row],[Status]])</f>
        <v>Zaakceptowana</v>
      </c>
      <c r="G142" s="2" t="str">
        <f>TRIM(Table1[[#This Row],[Typ]])</f>
        <v>Faktura VAT</v>
      </c>
      <c r="H142" s="2" t="str">
        <f>TRIM(Table1[[#This Row],[Magazyn]])</f>
        <v>Apteka Szpitalna</v>
      </c>
      <c r="I142" s="2" t="str">
        <f>TRIM(Table1[[#This Row],[Umowa]])</f>
        <v>UM-SAL-01</v>
      </c>
      <c r="J142" s="2" t="b">
        <f>ISTEXT(Table14[[#This Row],[Data_Wystawienia]])</f>
        <v>0</v>
      </c>
      <c r="K142" s="2">
        <f>VALUE(SUBSTITUTE(Table14[[#This Row],[Wartość]],".",","))</f>
        <v>19744.89</v>
      </c>
      <c r="L1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" s="2" t="str">
        <f>IF(Table14[[#This Row],[Umowa]]="","Poza umową","Z umowy")</f>
        <v>Z umowy</v>
      </c>
      <c r="N142" s="2">
        <f>YEAR(Table14[[#This Row],[Data_Wystawienia]])</f>
        <v>2022</v>
      </c>
      <c r="O142" s="2" t="str">
        <f>TEXT(Table14[[#This Row],[Data_Wystawienia]],"rrrr-mm")</f>
        <v>2022-02</v>
      </c>
      <c r="P142" s="2">
        <v>1</v>
      </c>
    </row>
    <row r="143" spans="1:16" x14ac:dyDescent="0.3">
      <c r="A143" s="2" t="str">
        <f>TRIM(Table1[[#This Row],[Numer_FV]])</f>
        <v>FV/61970/VDb/2022</v>
      </c>
      <c r="B143" s="2" t="str">
        <f>TRIM(Table1[[#This Row],[Numer_PZ]])</f>
        <v>PZ/800141</v>
      </c>
      <c r="C143" s="2" t="str">
        <f>TRIM(Table1[[#This Row],[Dostawca]])</f>
        <v>VitaDistrib</v>
      </c>
      <c r="D143" s="3">
        <v>44614</v>
      </c>
      <c r="E143" s="4" t="s">
        <v>463</v>
      </c>
      <c r="F143" s="2" t="str">
        <f>TRIM(Table1[[#This Row],[Status]])</f>
        <v>Zaakceptowana</v>
      </c>
      <c r="G143" s="2" t="str">
        <f>TRIM(Table1[[#This Row],[Typ]])</f>
        <v>Faktura VAT</v>
      </c>
      <c r="H143" s="2" t="str">
        <f>TRIM(Table1[[#This Row],[Magazyn]])</f>
        <v>Apteka Szpitalna</v>
      </c>
      <c r="I143" s="2" t="str">
        <f>TRIM(Table1[[#This Row],[Umowa]])</f>
        <v>UM-VIT-01</v>
      </c>
      <c r="J143" s="2" t="b">
        <f>ISTEXT(Table14[[#This Row],[Data_Wystawienia]])</f>
        <v>0</v>
      </c>
      <c r="K143" s="2">
        <f>VALUE(SUBSTITUTE(Table14[[#This Row],[Wartość]],".",","))</f>
        <v>14895.09</v>
      </c>
      <c r="L1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" s="2" t="str">
        <f>IF(Table14[[#This Row],[Umowa]]="","Poza umową","Z umowy")</f>
        <v>Z umowy</v>
      </c>
      <c r="N143" s="2">
        <f>YEAR(Table14[[#This Row],[Data_Wystawienia]])</f>
        <v>2022</v>
      </c>
      <c r="O143" s="2" t="str">
        <f>TEXT(Table14[[#This Row],[Data_Wystawienia]],"rrrr-mm")</f>
        <v>2022-02</v>
      </c>
      <c r="P143" s="2">
        <v>1</v>
      </c>
    </row>
    <row r="144" spans="1:16" x14ac:dyDescent="0.3">
      <c r="A144" s="2" t="str">
        <f>TRIM(Table1[[#This Row],[Numer_FV]])</f>
        <v>FV/4017HM/22</v>
      </c>
      <c r="B144" s="2" t="str">
        <f>TRIM(Table1[[#This Row],[Numer_PZ]])</f>
        <v>PZ/800142</v>
      </c>
      <c r="C144" s="2" t="str">
        <f>TRIM(Table1[[#This Row],[Dostawca]])</f>
        <v>HurtMedix</v>
      </c>
      <c r="D144" s="3">
        <v>44614</v>
      </c>
      <c r="E144" s="4" t="s">
        <v>466</v>
      </c>
      <c r="F144" s="2" t="str">
        <f>TRIM(Table1[[#This Row],[Status]])</f>
        <v>Zaakceptowana</v>
      </c>
      <c r="G144" s="2" t="str">
        <f>TRIM(Table1[[#This Row],[Typ]])</f>
        <v>Faktura VAT</v>
      </c>
      <c r="H144" s="2" t="str">
        <f>TRIM(Table1[[#This Row],[Magazyn]])</f>
        <v>Apteka Szpitalna</v>
      </c>
      <c r="I144" s="2" t="str">
        <f>TRIM(Table1[[#This Row],[Umowa]])</f>
        <v>UM-HUR-01</v>
      </c>
      <c r="J144" s="2" t="b">
        <f>ISTEXT(Table14[[#This Row],[Data_Wystawienia]])</f>
        <v>0</v>
      </c>
      <c r="K144" s="2">
        <f>VALUE(SUBSTITUTE(Table14[[#This Row],[Wartość]],".",","))</f>
        <v>14674.16</v>
      </c>
      <c r="L1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" s="2" t="str">
        <f>IF(Table14[[#This Row],[Umowa]]="","Poza umową","Z umowy")</f>
        <v>Z umowy</v>
      </c>
      <c r="N144" s="2">
        <f>YEAR(Table14[[#This Row],[Data_Wystawienia]])</f>
        <v>2022</v>
      </c>
      <c r="O144" s="2" t="str">
        <f>TEXT(Table14[[#This Row],[Data_Wystawienia]],"rrrr-mm")</f>
        <v>2022-02</v>
      </c>
      <c r="P144" s="2">
        <v>1</v>
      </c>
    </row>
    <row r="145" spans="1:16" x14ac:dyDescent="0.3">
      <c r="A145" s="2" t="str">
        <f>TRIM(Table1[[#This Row],[Numer_FV]])</f>
        <v>FV/62796/VDb/2022</v>
      </c>
      <c r="B145" s="2" t="str">
        <f>TRIM(Table1[[#This Row],[Numer_PZ]])</f>
        <v>PZ/800143</v>
      </c>
      <c r="C145" s="2" t="str">
        <f>TRIM(Table1[[#This Row],[Dostawca]])</f>
        <v>VitaDistrib</v>
      </c>
      <c r="D145" s="3">
        <v>44615</v>
      </c>
      <c r="E145" s="4" t="s">
        <v>469</v>
      </c>
      <c r="F145" s="2" t="str">
        <f>TRIM(Table1[[#This Row],[Status]])</f>
        <v>Zaakceptowana</v>
      </c>
      <c r="G145" s="2" t="str">
        <f>TRIM(Table1[[#This Row],[Typ]])</f>
        <v>Faktura VAT</v>
      </c>
      <c r="H145" s="2" t="str">
        <f>TRIM(Table1[[#This Row],[Magazyn]])</f>
        <v>Apteka Szpitalna</v>
      </c>
      <c r="I145" s="2" t="str">
        <f>TRIM(Table1[[#This Row],[Umowa]])</f>
        <v>UM-VIT-01</v>
      </c>
      <c r="J145" s="2" t="b">
        <f>ISTEXT(Table14[[#This Row],[Data_Wystawienia]])</f>
        <v>0</v>
      </c>
      <c r="K145" s="2">
        <f>VALUE(SUBSTITUTE(Table14[[#This Row],[Wartość]],".",","))</f>
        <v>11855.52</v>
      </c>
      <c r="L1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" s="2" t="str">
        <f>IF(Table14[[#This Row],[Umowa]]="","Poza umową","Z umowy")</f>
        <v>Z umowy</v>
      </c>
      <c r="N145" s="2">
        <f>YEAR(Table14[[#This Row],[Data_Wystawienia]])</f>
        <v>2022</v>
      </c>
      <c r="O145" s="2" t="str">
        <f>TEXT(Table14[[#This Row],[Data_Wystawienia]],"rrrr-mm")</f>
        <v>2022-02</v>
      </c>
      <c r="P145" s="2">
        <v>1</v>
      </c>
    </row>
    <row r="146" spans="1:16" x14ac:dyDescent="0.3">
      <c r="A146" s="2" t="str">
        <f>TRIM(Table1[[#This Row],[Numer_FV]])</f>
        <v>FV/77/SAL/22</v>
      </c>
      <c r="B146" s="2" t="str">
        <f>TRIM(Table1[[#This Row],[Numer_PZ]])</f>
        <v>PZ/800144</v>
      </c>
      <c r="C146" s="2" t="str">
        <f>TRIM(Table1[[#This Row],[Dostawca]])</f>
        <v>SalusHurt</v>
      </c>
      <c r="D146" s="3">
        <v>44615</v>
      </c>
      <c r="E146" s="4" t="s">
        <v>472</v>
      </c>
      <c r="F146" s="2" t="str">
        <f>TRIM(Table1[[#This Row],[Status]])</f>
        <v>Zaakceptowana</v>
      </c>
      <c r="G146" s="2" t="str">
        <f>TRIM(Table1[[#This Row],[Typ]])</f>
        <v>Faktura VAT</v>
      </c>
      <c r="H146" s="2" t="str">
        <f>TRIM(Table1[[#This Row],[Magazyn]])</f>
        <v>Apteka Szpitalna</v>
      </c>
      <c r="I146" s="2" t="str">
        <f>TRIM(Table1[[#This Row],[Umowa]])</f>
        <v>UM-SAL-01</v>
      </c>
      <c r="J146" s="2" t="b">
        <f>ISTEXT(Table14[[#This Row],[Data_Wystawienia]])</f>
        <v>0</v>
      </c>
      <c r="K146" s="2">
        <f>VALUE(SUBSTITUTE(Table14[[#This Row],[Wartość]],".",","))</f>
        <v>18056.04</v>
      </c>
      <c r="L1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" s="2" t="str">
        <f>IF(Table14[[#This Row],[Umowa]]="","Poza umową","Z umowy")</f>
        <v>Z umowy</v>
      </c>
      <c r="N146" s="2">
        <f>YEAR(Table14[[#This Row],[Data_Wystawienia]])</f>
        <v>2022</v>
      </c>
      <c r="O146" s="2" t="str">
        <f>TEXT(Table14[[#This Row],[Data_Wystawienia]],"rrrr-mm")</f>
        <v>2022-02</v>
      </c>
      <c r="P146" s="2">
        <v>1</v>
      </c>
    </row>
    <row r="147" spans="1:16" x14ac:dyDescent="0.3">
      <c r="A147" s="2" t="str">
        <f>TRIM(Table1[[#This Row],[Numer_FV]])</f>
        <v>FV/6521/NOVA/22</v>
      </c>
      <c r="B147" s="2" t="str">
        <f>TRIM(Table1[[#This Row],[Numer_PZ]])</f>
        <v>PZ/800145</v>
      </c>
      <c r="C147" s="2" t="str">
        <f>TRIM(Table1[[#This Row],[Dostawca]])</f>
        <v>NovaLek</v>
      </c>
      <c r="D147" s="3">
        <v>44615</v>
      </c>
      <c r="E147" s="4" t="s">
        <v>475</v>
      </c>
      <c r="F147" s="2" t="str">
        <f>TRIM(Table1[[#This Row],[Status]])</f>
        <v>Zaakceptowana</v>
      </c>
      <c r="G147" s="2" t="str">
        <f>TRIM(Table1[[#This Row],[Typ]])</f>
        <v>Faktura VAT</v>
      </c>
      <c r="H147" s="2" t="str">
        <f>TRIM(Table1[[#This Row],[Magazyn]])</f>
        <v>Apteka Szpitalna</v>
      </c>
      <c r="I147" s="2" t="str">
        <f>TRIM(Table1[[#This Row],[Umowa]])</f>
        <v>UM-NOV-01</v>
      </c>
      <c r="J147" s="2" t="b">
        <f>ISTEXT(Table14[[#This Row],[Data_Wystawienia]])</f>
        <v>0</v>
      </c>
      <c r="K147" s="2">
        <f>VALUE(SUBSTITUTE(Table14[[#This Row],[Wartość]],".",","))</f>
        <v>15206.14</v>
      </c>
      <c r="L1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" s="2" t="str">
        <f>IF(Table14[[#This Row],[Umowa]]="","Poza umową","Z umowy")</f>
        <v>Z umowy</v>
      </c>
      <c r="N147" s="2">
        <f>YEAR(Table14[[#This Row],[Data_Wystawienia]])</f>
        <v>2022</v>
      </c>
      <c r="O147" s="2" t="str">
        <f>TEXT(Table14[[#This Row],[Data_Wystawienia]],"rrrr-mm")</f>
        <v>2022-02</v>
      </c>
      <c r="P147" s="2">
        <v>1</v>
      </c>
    </row>
    <row r="148" spans="1:16" x14ac:dyDescent="0.3">
      <c r="A148" s="2" t="str">
        <f>TRIM(Table1[[#This Row],[Numer_FV]])</f>
        <v>FV/25/PP/2650/22</v>
      </c>
      <c r="B148" s="2" t="str">
        <f>TRIM(Table1[[#This Row],[Numer_PZ]])</f>
        <v>PZ/800146</v>
      </c>
      <c r="C148" s="2" t="str">
        <f>TRIM(Table1[[#This Row],[Dostawca]])</f>
        <v>PharmaPlus</v>
      </c>
      <c r="D148" s="3">
        <v>44615</v>
      </c>
      <c r="E148" s="4" t="s">
        <v>478</v>
      </c>
      <c r="F148" s="2" t="str">
        <f>TRIM(Table1[[#This Row],[Status]])</f>
        <v>Zaakceptowana</v>
      </c>
      <c r="G148" s="2" t="str">
        <f>TRIM(Table1[[#This Row],[Typ]])</f>
        <v>Faktura VAT</v>
      </c>
      <c r="H148" s="2" t="str">
        <f>TRIM(Table1[[#This Row],[Magazyn]])</f>
        <v>Apteka Szpitalna</v>
      </c>
      <c r="I148" s="2" t="str">
        <f>TRIM(Table1[[#This Row],[Umowa]])</f>
        <v>UM-PHA-01</v>
      </c>
      <c r="J148" s="2" t="b">
        <f>ISTEXT(Table14[[#This Row],[Data_Wystawienia]])</f>
        <v>0</v>
      </c>
      <c r="K148" s="2">
        <f>VALUE(SUBSTITUTE(Table14[[#This Row],[Wartość]],".",","))</f>
        <v>12680.34</v>
      </c>
      <c r="L1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" s="2" t="str">
        <f>IF(Table14[[#This Row],[Umowa]]="","Poza umową","Z umowy")</f>
        <v>Z umowy</v>
      </c>
      <c r="N148" s="2">
        <f>YEAR(Table14[[#This Row],[Data_Wystawienia]])</f>
        <v>2022</v>
      </c>
      <c r="O148" s="2" t="str">
        <f>TEXT(Table14[[#This Row],[Data_Wystawienia]],"rrrr-mm")</f>
        <v>2022-02</v>
      </c>
      <c r="P148" s="2">
        <v>1</v>
      </c>
    </row>
    <row r="149" spans="1:16" x14ac:dyDescent="0.3">
      <c r="A149" s="2" t="str">
        <f>TRIM(Table1[[#This Row],[Numer_FV]])</f>
        <v>FV/M/3237/P/22</v>
      </c>
      <c r="B149" s="2" t="str">
        <f>TRIM(Table1[[#This Row],[Numer_PZ]])</f>
        <v>PZ/800147</v>
      </c>
      <c r="C149" s="2" t="str">
        <f>TRIM(Table1[[#This Row],[Dostawca]])</f>
        <v>MedicaPharm</v>
      </c>
      <c r="D149" s="3">
        <v>44615</v>
      </c>
      <c r="E149" s="4" t="s">
        <v>481</v>
      </c>
      <c r="F149" s="2" t="str">
        <f>TRIM(Table1[[#This Row],[Status]])</f>
        <v>Zaakceptowana</v>
      </c>
      <c r="G149" s="2" t="str">
        <f>TRIM(Table1[[#This Row],[Typ]])</f>
        <v>Faktura VAT</v>
      </c>
      <c r="H149" s="2" t="str">
        <f>TRIM(Table1[[#This Row],[Magazyn]])</f>
        <v>Apteka Szpitalna</v>
      </c>
      <c r="I149" s="2" t="str">
        <f>TRIM(Table1[[#This Row],[Umowa]])</f>
        <v>UM-MED-02</v>
      </c>
      <c r="J149" s="2" t="b">
        <f>ISTEXT(Table14[[#This Row],[Data_Wystawienia]])</f>
        <v>0</v>
      </c>
      <c r="K149" s="2">
        <f>VALUE(SUBSTITUTE(Table14[[#This Row],[Wartość]],".",","))</f>
        <v>18098.669999999998</v>
      </c>
      <c r="L1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" s="2" t="str">
        <f>IF(Table14[[#This Row],[Umowa]]="","Poza umową","Z umowy")</f>
        <v>Z umowy</v>
      </c>
      <c r="N149" s="2">
        <f>YEAR(Table14[[#This Row],[Data_Wystawienia]])</f>
        <v>2022</v>
      </c>
      <c r="O149" s="2" t="str">
        <f>TEXT(Table14[[#This Row],[Data_Wystawienia]],"rrrr-mm")</f>
        <v>2022-02</v>
      </c>
      <c r="P149" s="2">
        <v>1</v>
      </c>
    </row>
    <row r="150" spans="1:16" x14ac:dyDescent="0.3">
      <c r="A150" s="2" t="str">
        <f>TRIM(Table1[[#This Row],[Numer_FV]])</f>
        <v>FV/CENFA/809339/22</v>
      </c>
      <c r="B150" s="2" t="str">
        <f>TRIM(Table1[[#This Row],[Numer_PZ]])</f>
        <v>PZ/800148</v>
      </c>
      <c r="C150" s="2" t="str">
        <f>TRIM(Table1[[#This Row],[Dostawca]])</f>
        <v>CentrumFarm</v>
      </c>
      <c r="D150" s="3">
        <v>44616</v>
      </c>
      <c r="E150" s="4" t="s">
        <v>484</v>
      </c>
      <c r="F150" s="2" t="str">
        <f>TRIM(Table1[[#This Row],[Status]])</f>
        <v>Zaakceptowana</v>
      </c>
      <c r="G150" s="2" t="str">
        <f>TRIM(Table1[[#This Row],[Typ]])</f>
        <v>Faktura VAT</v>
      </c>
      <c r="H150" s="2" t="str">
        <f>TRIM(Table1[[#This Row],[Magazyn]])</f>
        <v>Apteka Szpitalna</v>
      </c>
      <c r="I150" s="2" t="str">
        <f>TRIM(Table1[[#This Row],[Umowa]])</f>
        <v>UM-CEN-01</v>
      </c>
      <c r="J150" s="2" t="b">
        <f>ISTEXT(Table14[[#This Row],[Data_Wystawienia]])</f>
        <v>0</v>
      </c>
      <c r="K150" s="2">
        <f>VALUE(SUBSTITUTE(Table14[[#This Row],[Wartość]],".",","))</f>
        <v>18504.650000000001</v>
      </c>
      <c r="L1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" s="2" t="str">
        <f>IF(Table14[[#This Row],[Umowa]]="","Poza umową","Z umowy")</f>
        <v>Z umowy</v>
      </c>
      <c r="N150" s="2">
        <f>YEAR(Table14[[#This Row],[Data_Wystawienia]])</f>
        <v>2022</v>
      </c>
      <c r="O150" s="2" t="str">
        <f>TEXT(Table14[[#This Row],[Data_Wystawienia]],"rrrr-mm")</f>
        <v>2022-02</v>
      </c>
      <c r="P150" s="2">
        <v>1</v>
      </c>
    </row>
    <row r="151" spans="1:16" x14ac:dyDescent="0.3">
      <c r="A151" s="2" t="str">
        <f>TRIM(Table1[[#This Row],[Numer_FV]])</f>
        <v>FV/4146HM/22</v>
      </c>
      <c r="B151" s="2" t="str">
        <f>TRIM(Table1[[#This Row],[Numer_PZ]])</f>
        <v>PZ/800149</v>
      </c>
      <c r="C151" s="2" t="str">
        <f>TRIM(Table1[[#This Row],[Dostawca]])</f>
        <v>HurtMedix</v>
      </c>
      <c r="D151" s="3">
        <v>44616</v>
      </c>
      <c r="E151" s="4" t="s">
        <v>487</v>
      </c>
      <c r="F151" s="2" t="str">
        <f>TRIM(Table1[[#This Row],[Status]])</f>
        <v>Zaakceptowana</v>
      </c>
      <c r="G151" s="2" t="str">
        <f>TRIM(Table1[[#This Row],[Typ]])</f>
        <v>Faktura VAT</v>
      </c>
      <c r="H151" s="2" t="str">
        <f>TRIM(Table1[[#This Row],[Magazyn]])</f>
        <v>Apteka Szpitalna</v>
      </c>
      <c r="I151" s="2" t="str">
        <f>TRIM(Table1[[#This Row],[Umowa]])</f>
        <v>UM-HUR-02</v>
      </c>
      <c r="J151" s="2" t="b">
        <f>ISTEXT(Table14[[#This Row],[Data_Wystawienia]])</f>
        <v>0</v>
      </c>
      <c r="K151" s="2">
        <f>VALUE(SUBSTITUTE(Table14[[#This Row],[Wartość]],".",","))</f>
        <v>11915.19</v>
      </c>
      <c r="L1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" s="2" t="str">
        <f>IF(Table14[[#This Row],[Umowa]]="","Poza umową","Z umowy")</f>
        <v>Z umowy</v>
      </c>
      <c r="N151" s="2">
        <f>YEAR(Table14[[#This Row],[Data_Wystawienia]])</f>
        <v>2022</v>
      </c>
      <c r="O151" s="2" t="str">
        <f>TEXT(Table14[[#This Row],[Data_Wystawienia]],"rrrr-mm")</f>
        <v>2022-02</v>
      </c>
      <c r="P151" s="2">
        <v>1</v>
      </c>
    </row>
    <row r="152" spans="1:16" x14ac:dyDescent="0.3">
      <c r="A152" s="2" t="str">
        <f>TRIM(Table1[[#This Row],[Numer_FV]])</f>
        <v>FV/POL/52204/2022</v>
      </c>
      <c r="B152" s="2" t="str">
        <f>TRIM(Table1[[#This Row],[Numer_PZ]])</f>
        <v>PZ/800150</v>
      </c>
      <c r="C152" s="2" t="str">
        <f>TRIM(Table1[[#This Row],[Dostawca]])</f>
        <v>Polmedica</v>
      </c>
      <c r="D152" s="3">
        <v>44616</v>
      </c>
      <c r="E152" s="4" t="s">
        <v>490</v>
      </c>
      <c r="F152" s="2" t="str">
        <f>TRIM(Table1[[#This Row],[Status]])</f>
        <v>Zaakceptowana</v>
      </c>
      <c r="G152" s="2" t="str">
        <f>TRIM(Table1[[#This Row],[Typ]])</f>
        <v>Faktura VAT</v>
      </c>
      <c r="H152" s="2" t="str">
        <f>TRIM(Table1[[#This Row],[Magazyn]])</f>
        <v>Apteka Szpitalna</v>
      </c>
      <c r="I152" s="2" t="str">
        <f>TRIM(Table1[[#This Row],[Umowa]])</f>
        <v/>
      </c>
      <c r="J152" s="2" t="b">
        <f>ISTEXT(Table14[[#This Row],[Data_Wystawienia]])</f>
        <v>0</v>
      </c>
      <c r="K152" s="2">
        <f>VALUE(SUBSTITUTE(Table14[[#This Row],[Wartość]],".",","))</f>
        <v>19262.59</v>
      </c>
      <c r="L1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" s="2" t="str">
        <f>IF(Table14[[#This Row],[Umowa]]="","Poza umową","Z umowy")</f>
        <v>Poza umową</v>
      </c>
      <c r="N152" s="2">
        <f>YEAR(Table14[[#This Row],[Data_Wystawienia]])</f>
        <v>2022</v>
      </c>
      <c r="O152" s="2" t="str">
        <f>TEXT(Table14[[#This Row],[Data_Wystawienia]],"rrrr-mm")</f>
        <v>2022-02</v>
      </c>
      <c r="P152" s="2">
        <v>1</v>
      </c>
    </row>
    <row r="153" spans="1:16" x14ac:dyDescent="0.3">
      <c r="A153" s="2" t="str">
        <f>TRIM(Table1[[#This Row],[Numer_FV]])</f>
        <v>FV/4944/NOVA/22</v>
      </c>
      <c r="B153" s="2" t="str">
        <f>TRIM(Table1[[#This Row],[Numer_PZ]])</f>
        <v>PZ/800151</v>
      </c>
      <c r="C153" s="2" t="str">
        <f>TRIM(Table1[[#This Row],[Dostawca]])</f>
        <v>NovaLek</v>
      </c>
      <c r="D153" s="3">
        <v>44617</v>
      </c>
      <c r="E153" s="4" t="s">
        <v>493</v>
      </c>
      <c r="F153" s="2" t="str">
        <f>TRIM(Table1[[#This Row],[Status]])</f>
        <v>Zaakceptowana</v>
      </c>
      <c r="G153" s="2" t="str">
        <f>TRIM(Table1[[#This Row],[Typ]])</f>
        <v>Faktura VAT</v>
      </c>
      <c r="H153" s="2" t="str">
        <f>TRIM(Table1[[#This Row],[Magazyn]])</f>
        <v>Apteka Szpitalna</v>
      </c>
      <c r="I153" s="2" t="str">
        <f>TRIM(Table1[[#This Row],[Umowa]])</f>
        <v>UM-NOV-03</v>
      </c>
      <c r="J153" s="2" t="b">
        <f>ISTEXT(Table14[[#This Row],[Data_Wystawienia]])</f>
        <v>0</v>
      </c>
      <c r="K153" s="2">
        <f>VALUE(SUBSTITUTE(Table14[[#This Row],[Wartość]],".",","))</f>
        <v>15767.64</v>
      </c>
      <c r="L1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" s="2" t="str">
        <f>IF(Table14[[#This Row],[Umowa]]="","Poza umową","Z umowy")</f>
        <v>Z umowy</v>
      </c>
      <c r="N153" s="2">
        <f>YEAR(Table14[[#This Row],[Data_Wystawienia]])</f>
        <v>2022</v>
      </c>
      <c r="O153" s="2" t="str">
        <f>TEXT(Table14[[#This Row],[Data_Wystawienia]],"rrrr-mm")</f>
        <v>2022-02</v>
      </c>
      <c r="P153" s="2">
        <v>1</v>
      </c>
    </row>
    <row r="154" spans="1:16" x14ac:dyDescent="0.3">
      <c r="A154" s="2" t="str">
        <f>TRIM(Table1[[#This Row],[Numer_FV]])</f>
        <v>FV/1150/NOVA/22</v>
      </c>
      <c r="B154" s="2" t="str">
        <f>TRIM(Table1[[#This Row],[Numer_PZ]])</f>
        <v>PZ/800152</v>
      </c>
      <c r="C154" s="2" t="str">
        <f>TRIM(Table1[[#This Row],[Dostawca]])</f>
        <v>NovaLek</v>
      </c>
      <c r="D154" s="3">
        <v>44618</v>
      </c>
      <c r="E154" s="4" t="s">
        <v>496</v>
      </c>
      <c r="F154" s="2" t="str">
        <f>TRIM(Table1[[#This Row],[Status]])</f>
        <v>Zaakceptowana</v>
      </c>
      <c r="G154" s="2" t="str">
        <f>TRIM(Table1[[#This Row],[Typ]])</f>
        <v>Faktura VAT</v>
      </c>
      <c r="H154" s="2" t="str">
        <f>TRIM(Table1[[#This Row],[Magazyn]])</f>
        <v>Apteka Szpitalna</v>
      </c>
      <c r="I154" s="2" t="str">
        <f>TRIM(Table1[[#This Row],[Umowa]])</f>
        <v>UM-NOV-02</v>
      </c>
      <c r="J154" s="2" t="b">
        <f>ISTEXT(Table14[[#This Row],[Data_Wystawienia]])</f>
        <v>0</v>
      </c>
      <c r="K154" s="2">
        <f>VALUE(SUBSTITUTE(Table14[[#This Row],[Wartość]],".",","))</f>
        <v>21726.85</v>
      </c>
      <c r="L1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" s="2" t="str">
        <f>IF(Table14[[#This Row],[Umowa]]="","Poza umową","Z umowy")</f>
        <v>Z umowy</v>
      </c>
      <c r="N154" s="2">
        <f>YEAR(Table14[[#This Row],[Data_Wystawienia]])</f>
        <v>2022</v>
      </c>
      <c r="O154" s="2" t="str">
        <f>TEXT(Table14[[#This Row],[Data_Wystawienia]],"rrrr-mm")</f>
        <v>2022-02</v>
      </c>
      <c r="P154" s="2">
        <v>1</v>
      </c>
    </row>
    <row r="155" spans="1:16" x14ac:dyDescent="0.3">
      <c r="A155" s="2" t="str">
        <f>TRIM(Table1[[#This Row],[Numer_FV]])</f>
        <v>FV/53/PP/4700/22</v>
      </c>
      <c r="B155" s="2" t="str">
        <f>TRIM(Table1[[#This Row],[Numer_PZ]])</f>
        <v>PZ/800153</v>
      </c>
      <c r="C155" s="2" t="str">
        <f>TRIM(Table1[[#This Row],[Dostawca]])</f>
        <v>PharmaPlus</v>
      </c>
      <c r="D155" s="3">
        <v>44618</v>
      </c>
      <c r="E155" s="4" t="s">
        <v>499</v>
      </c>
      <c r="F155" s="2" t="str">
        <f>TRIM(Table1[[#This Row],[Status]])</f>
        <v>Zaakceptowana</v>
      </c>
      <c r="G155" s="2" t="str">
        <f>TRIM(Table1[[#This Row],[Typ]])</f>
        <v>Faktura VAT</v>
      </c>
      <c r="H155" s="2" t="str">
        <f>TRIM(Table1[[#This Row],[Magazyn]])</f>
        <v>Apteka Szpitalna</v>
      </c>
      <c r="I155" s="2" t="str">
        <f>TRIM(Table1[[#This Row],[Umowa]])</f>
        <v>UM-PHA-01</v>
      </c>
      <c r="J155" s="2" t="b">
        <f>ISTEXT(Table14[[#This Row],[Data_Wystawienia]])</f>
        <v>0</v>
      </c>
      <c r="K155" s="2">
        <f>VALUE(SUBSTITUTE(Table14[[#This Row],[Wartość]],".",","))</f>
        <v>13096.67</v>
      </c>
      <c r="L1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" s="2" t="str">
        <f>IF(Table14[[#This Row],[Umowa]]="","Poza umową","Z umowy")</f>
        <v>Z umowy</v>
      </c>
      <c r="N155" s="2">
        <f>YEAR(Table14[[#This Row],[Data_Wystawienia]])</f>
        <v>2022</v>
      </c>
      <c r="O155" s="2" t="str">
        <f>TEXT(Table14[[#This Row],[Data_Wystawienia]],"rrrr-mm")</f>
        <v>2022-02</v>
      </c>
      <c r="P155" s="2">
        <v>1</v>
      </c>
    </row>
    <row r="156" spans="1:16" x14ac:dyDescent="0.3">
      <c r="A156" s="2" t="str">
        <f>TRIM(Table1[[#This Row],[Numer_FV]])</f>
        <v>FV/65/SAL/22</v>
      </c>
      <c r="B156" s="2" t="str">
        <f>TRIM(Table1[[#This Row],[Numer_PZ]])</f>
        <v>PZ/800154</v>
      </c>
      <c r="C156" s="2" t="str">
        <f>TRIM(Table1[[#This Row],[Dostawca]])</f>
        <v>SalusHurt</v>
      </c>
      <c r="D156" s="3">
        <v>44618</v>
      </c>
      <c r="E156" s="4" t="s">
        <v>502</v>
      </c>
      <c r="F156" s="2" t="str">
        <f>TRIM(Table1[[#This Row],[Status]])</f>
        <v>Zaakceptowana</v>
      </c>
      <c r="G156" s="2" t="str">
        <f>TRIM(Table1[[#This Row],[Typ]])</f>
        <v>Faktura VAT</v>
      </c>
      <c r="H156" s="2" t="str">
        <f>TRIM(Table1[[#This Row],[Magazyn]])</f>
        <v>Apteka Szpitalna</v>
      </c>
      <c r="I156" s="2" t="str">
        <f>TRIM(Table1[[#This Row],[Umowa]])</f>
        <v>UM-SAL-01</v>
      </c>
      <c r="J156" s="2" t="b">
        <f>ISTEXT(Table14[[#This Row],[Data_Wystawienia]])</f>
        <v>0</v>
      </c>
      <c r="K156" s="2">
        <f>VALUE(SUBSTITUTE(Table14[[#This Row],[Wartość]],".",","))</f>
        <v>10982.42</v>
      </c>
      <c r="L1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" s="2" t="str">
        <f>IF(Table14[[#This Row],[Umowa]]="","Poza umową","Z umowy")</f>
        <v>Z umowy</v>
      </c>
      <c r="N156" s="2">
        <f>YEAR(Table14[[#This Row],[Data_Wystawienia]])</f>
        <v>2022</v>
      </c>
      <c r="O156" s="2" t="str">
        <f>TEXT(Table14[[#This Row],[Data_Wystawienia]],"rrrr-mm")</f>
        <v>2022-02</v>
      </c>
      <c r="P156" s="2">
        <v>1</v>
      </c>
    </row>
    <row r="157" spans="1:16" x14ac:dyDescent="0.3">
      <c r="A157" s="2" t="str">
        <f>TRIM(Table1[[#This Row],[Numer_FV]])</f>
        <v>FV/51/PP/7156/22</v>
      </c>
      <c r="B157" s="2" t="str">
        <f>TRIM(Table1[[#This Row],[Numer_PZ]])</f>
        <v>PZ/800155</v>
      </c>
      <c r="C157" s="2" t="str">
        <f>TRIM(Table1[[#This Row],[Dostawca]])</f>
        <v>PharmaPlus</v>
      </c>
      <c r="D157" s="3">
        <v>44620</v>
      </c>
      <c r="E157" s="4" t="s">
        <v>505</v>
      </c>
      <c r="F157" s="2" t="str">
        <f>TRIM(Table1[[#This Row],[Status]])</f>
        <v>Zaakceptowana</v>
      </c>
      <c r="G157" s="2" t="str">
        <f>TRIM(Table1[[#This Row],[Typ]])</f>
        <v>Faktura VAT</v>
      </c>
      <c r="H157" s="2" t="str">
        <f>TRIM(Table1[[#This Row],[Magazyn]])</f>
        <v>Apteka Szpitalna</v>
      </c>
      <c r="I157" s="2" t="str">
        <f>TRIM(Table1[[#This Row],[Umowa]])</f>
        <v/>
      </c>
      <c r="J157" s="2" t="b">
        <f>ISTEXT(Table14[[#This Row],[Data_Wystawienia]])</f>
        <v>0</v>
      </c>
      <c r="K157" s="2">
        <f>VALUE(SUBSTITUTE(Table14[[#This Row],[Wartość]],".",","))</f>
        <v>12653.75</v>
      </c>
      <c r="L1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" s="2" t="str">
        <f>IF(Table14[[#This Row],[Umowa]]="","Poza umową","Z umowy")</f>
        <v>Poza umową</v>
      </c>
      <c r="N157" s="2">
        <f>YEAR(Table14[[#This Row],[Data_Wystawienia]])</f>
        <v>2022</v>
      </c>
      <c r="O157" s="2" t="str">
        <f>TEXT(Table14[[#This Row],[Data_Wystawienia]],"rrrr-mm")</f>
        <v>2022-02</v>
      </c>
      <c r="P157" s="2">
        <v>1</v>
      </c>
    </row>
    <row r="158" spans="1:16" x14ac:dyDescent="0.3">
      <c r="A158" s="2" t="str">
        <f>TRIM(Table1[[#This Row],[Numer_FV]])</f>
        <v>FV/POL/44044/2022</v>
      </c>
      <c r="B158" s="2" t="str">
        <f>TRIM(Table1[[#This Row],[Numer_PZ]])</f>
        <v>PZ/800156</v>
      </c>
      <c r="C158" s="2" t="str">
        <f>TRIM(Table1[[#This Row],[Dostawca]])</f>
        <v>Polmedica</v>
      </c>
      <c r="D158" s="3">
        <v>44620</v>
      </c>
      <c r="E158" s="4" t="s">
        <v>508</v>
      </c>
      <c r="F158" s="2" t="str">
        <f>TRIM(Table1[[#This Row],[Status]])</f>
        <v>Zaakceptowana</v>
      </c>
      <c r="G158" s="2" t="str">
        <f>TRIM(Table1[[#This Row],[Typ]])</f>
        <v>Faktura VAT</v>
      </c>
      <c r="H158" s="2" t="str">
        <f>TRIM(Table1[[#This Row],[Magazyn]])</f>
        <v>Apteka Szpitalna</v>
      </c>
      <c r="I158" s="2" t="str">
        <f>TRIM(Table1[[#This Row],[Umowa]])</f>
        <v>UM-POL-02</v>
      </c>
      <c r="J158" s="2" t="b">
        <f>ISTEXT(Table14[[#This Row],[Data_Wystawienia]])</f>
        <v>0</v>
      </c>
      <c r="K158" s="2">
        <f>VALUE(SUBSTITUTE(Table14[[#This Row],[Wartość]],".",","))</f>
        <v>20445.560000000001</v>
      </c>
      <c r="L1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" s="2" t="str">
        <f>IF(Table14[[#This Row],[Umowa]]="","Poza umową","Z umowy")</f>
        <v>Z umowy</v>
      </c>
      <c r="N158" s="2">
        <f>YEAR(Table14[[#This Row],[Data_Wystawienia]])</f>
        <v>2022</v>
      </c>
      <c r="O158" s="2" t="str">
        <f>TEXT(Table14[[#This Row],[Data_Wystawienia]],"rrrr-mm")</f>
        <v>2022-02</v>
      </c>
      <c r="P158" s="2">
        <v>1</v>
      </c>
    </row>
    <row r="159" spans="1:16" x14ac:dyDescent="0.3">
      <c r="A159" s="2" t="str">
        <f>TRIM(Table1[[#This Row],[Numer_FV]])</f>
        <v>FV/POL/79534/2022</v>
      </c>
      <c r="B159" s="2" t="str">
        <f>TRIM(Table1[[#This Row],[Numer_PZ]])</f>
        <v>PZ/800157</v>
      </c>
      <c r="C159" s="2" t="str">
        <f>TRIM(Table1[[#This Row],[Dostawca]])</f>
        <v>Polmedica</v>
      </c>
      <c r="D159" s="3">
        <v>44620</v>
      </c>
      <c r="E159" s="4" t="s">
        <v>511</v>
      </c>
      <c r="F159" s="2" t="str">
        <f>TRIM(Table1[[#This Row],[Status]])</f>
        <v>Zaakceptowana</v>
      </c>
      <c r="G159" s="2" t="str">
        <f>TRIM(Table1[[#This Row],[Typ]])</f>
        <v>Faktura VAT</v>
      </c>
      <c r="H159" s="2" t="str">
        <f>TRIM(Table1[[#This Row],[Magazyn]])</f>
        <v>Apteka Szpitalna</v>
      </c>
      <c r="I159" s="2" t="str">
        <f>TRIM(Table1[[#This Row],[Umowa]])</f>
        <v>UM-POL-02</v>
      </c>
      <c r="J159" s="2" t="b">
        <f>ISTEXT(Table14[[#This Row],[Data_Wystawienia]])</f>
        <v>0</v>
      </c>
      <c r="K159" s="2">
        <f>VALUE(SUBSTITUTE(Table14[[#This Row],[Wartość]],".",","))</f>
        <v>22442.53</v>
      </c>
      <c r="L1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" s="2" t="str">
        <f>IF(Table14[[#This Row],[Umowa]]="","Poza umową","Z umowy")</f>
        <v>Z umowy</v>
      </c>
      <c r="N159" s="2">
        <f>YEAR(Table14[[#This Row],[Data_Wystawienia]])</f>
        <v>2022</v>
      </c>
      <c r="O159" s="2" t="str">
        <f>TEXT(Table14[[#This Row],[Data_Wystawienia]],"rrrr-mm")</f>
        <v>2022-02</v>
      </c>
      <c r="P159" s="2">
        <v>1</v>
      </c>
    </row>
    <row r="160" spans="1:16" x14ac:dyDescent="0.3">
      <c r="A160" s="2" t="str">
        <f>TRIM(Table1[[#This Row],[Numer_FV]])</f>
        <v>FV/66/SAL/22</v>
      </c>
      <c r="B160" s="2" t="str">
        <f>TRIM(Table1[[#This Row],[Numer_PZ]])</f>
        <v>PZ/800158</v>
      </c>
      <c r="C160" s="2" t="str">
        <f>TRIM(Table1[[#This Row],[Dostawca]])</f>
        <v>SalusHurt</v>
      </c>
      <c r="D160" s="3">
        <v>44620</v>
      </c>
      <c r="E160" s="4" t="s">
        <v>514</v>
      </c>
      <c r="F160" s="2" t="str">
        <f>TRIM(Table1[[#This Row],[Status]])</f>
        <v>Zaakceptowana</v>
      </c>
      <c r="G160" s="2" t="str">
        <f>TRIM(Table1[[#This Row],[Typ]])</f>
        <v>Faktura VAT</v>
      </c>
      <c r="H160" s="2" t="str">
        <f>TRIM(Table1[[#This Row],[Magazyn]])</f>
        <v>Apteka Szpitalna</v>
      </c>
      <c r="I160" s="2" t="str">
        <f>TRIM(Table1[[#This Row],[Umowa]])</f>
        <v/>
      </c>
      <c r="J160" s="2" t="b">
        <f>ISTEXT(Table14[[#This Row],[Data_Wystawienia]])</f>
        <v>0</v>
      </c>
      <c r="K160" s="2">
        <f>VALUE(SUBSTITUTE(Table14[[#This Row],[Wartość]],".",","))</f>
        <v>10649.04</v>
      </c>
      <c r="L1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" s="2" t="str">
        <f>IF(Table14[[#This Row],[Umowa]]="","Poza umową","Z umowy")</f>
        <v>Poza umową</v>
      </c>
      <c r="N160" s="2">
        <f>YEAR(Table14[[#This Row],[Data_Wystawienia]])</f>
        <v>2022</v>
      </c>
      <c r="O160" s="2" t="str">
        <f>TEXT(Table14[[#This Row],[Data_Wystawienia]],"rrrr-mm")</f>
        <v>2022-02</v>
      </c>
      <c r="P160" s="2">
        <v>1</v>
      </c>
    </row>
    <row r="161" spans="1:16" x14ac:dyDescent="0.3">
      <c r="A161" s="2" t="str">
        <f>TRIM(Table1[[#This Row],[Numer_FV]])</f>
        <v>FV/81/PP/7881/22</v>
      </c>
      <c r="B161" s="2" t="str">
        <f>TRIM(Table1[[#This Row],[Numer_PZ]])</f>
        <v>PZ/800159</v>
      </c>
      <c r="C161" s="2" t="str">
        <f>TRIM(Table1[[#This Row],[Dostawca]])</f>
        <v>PharmaPlus</v>
      </c>
      <c r="D161" s="3">
        <v>44620</v>
      </c>
      <c r="E161" s="4" t="s">
        <v>517</v>
      </c>
      <c r="F161" s="2" t="str">
        <f>TRIM(Table1[[#This Row],[Status]])</f>
        <v>Zaakceptowana</v>
      </c>
      <c r="G161" s="2" t="str">
        <f>TRIM(Table1[[#This Row],[Typ]])</f>
        <v>Faktura VAT</v>
      </c>
      <c r="H161" s="2" t="str">
        <f>TRIM(Table1[[#This Row],[Magazyn]])</f>
        <v>Apteka Szpitalna</v>
      </c>
      <c r="I161" s="2" t="str">
        <f>TRIM(Table1[[#This Row],[Umowa]])</f>
        <v>UM-PHA-01</v>
      </c>
      <c r="J161" s="2" t="b">
        <f>ISTEXT(Table14[[#This Row],[Data_Wystawienia]])</f>
        <v>0</v>
      </c>
      <c r="K161" s="2">
        <f>VALUE(SUBSTITUTE(Table14[[#This Row],[Wartość]],".",","))</f>
        <v>15217.13</v>
      </c>
      <c r="L1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" s="2" t="str">
        <f>IF(Table14[[#This Row],[Umowa]]="","Poza umową","Z umowy")</f>
        <v>Z umowy</v>
      </c>
      <c r="N161" s="2">
        <f>YEAR(Table14[[#This Row],[Data_Wystawienia]])</f>
        <v>2022</v>
      </c>
      <c r="O161" s="2" t="str">
        <f>TEXT(Table14[[#This Row],[Data_Wystawienia]],"rrrr-mm")</f>
        <v>2022-02</v>
      </c>
      <c r="P161" s="2">
        <v>1</v>
      </c>
    </row>
    <row r="162" spans="1:16" x14ac:dyDescent="0.3">
      <c r="A162" s="2" t="str">
        <f>TRIM(Table1[[#This Row],[Numer_FV]])</f>
        <v>FV/7593/NOVA/22</v>
      </c>
      <c r="B162" s="2" t="str">
        <f>TRIM(Table1[[#This Row],[Numer_PZ]])</f>
        <v>PZ/800160</v>
      </c>
      <c r="C162" s="2" t="str">
        <f>TRIM(Table1[[#This Row],[Dostawca]])</f>
        <v>NovaLek</v>
      </c>
      <c r="D162" s="3">
        <v>44620</v>
      </c>
      <c r="E162" s="4" t="s">
        <v>520</v>
      </c>
      <c r="F162" s="2" t="str">
        <f>TRIM(Table1[[#This Row],[Status]])</f>
        <v>Zaakceptowana</v>
      </c>
      <c r="G162" s="2" t="str">
        <f>TRIM(Table1[[#This Row],[Typ]])</f>
        <v>Faktura VAT</v>
      </c>
      <c r="H162" s="2" t="str">
        <f>TRIM(Table1[[#This Row],[Magazyn]])</f>
        <v>Apteka Szpitalna</v>
      </c>
      <c r="I162" s="2" t="str">
        <f>TRIM(Table1[[#This Row],[Umowa]])</f>
        <v/>
      </c>
      <c r="J162" s="2" t="b">
        <f>ISTEXT(Table14[[#This Row],[Data_Wystawienia]])</f>
        <v>0</v>
      </c>
      <c r="K162" s="2">
        <f>VALUE(SUBSTITUTE(Table14[[#This Row],[Wartość]],".",","))</f>
        <v>19125.580000000002</v>
      </c>
      <c r="L1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" s="2" t="str">
        <f>IF(Table14[[#This Row],[Umowa]]="","Poza umową","Z umowy")</f>
        <v>Poza umową</v>
      </c>
      <c r="N162" s="2">
        <f>YEAR(Table14[[#This Row],[Data_Wystawienia]])</f>
        <v>2022</v>
      </c>
      <c r="O162" s="2" t="str">
        <f>TEXT(Table14[[#This Row],[Data_Wystawienia]],"rrrr-mm")</f>
        <v>2022-02</v>
      </c>
      <c r="P162" s="2">
        <v>1</v>
      </c>
    </row>
    <row r="163" spans="1:16" x14ac:dyDescent="0.3">
      <c r="A163" s="2" t="str">
        <f>TRIM(Table1[[#This Row],[Numer_FV]])</f>
        <v>FV/M/3313/P/22</v>
      </c>
      <c r="B163" s="2" t="str">
        <f>TRIM(Table1[[#This Row],[Numer_PZ]])</f>
        <v>PZ/800161</v>
      </c>
      <c r="C163" s="2" t="str">
        <f>TRIM(Table1[[#This Row],[Dostawca]])</f>
        <v>MedicaPharm</v>
      </c>
      <c r="D163" s="3">
        <v>44620</v>
      </c>
      <c r="E163" s="4" t="s">
        <v>523</v>
      </c>
      <c r="F163" s="2" t="str">
        <f>TRIM(Table1[[#This Row],[Status]])</f>
        <v>Zaakceptowana</v>
      </c>
      <c r="G163" s="2" t="str">
        <f>TRIM(Table1[[#This Row],[Typ]])</f>
        <v>Faktura VAT</v>
      </c>
      <c r="H163" s="2" t="str">
        <f>TRIM(Table1[[#This Row],[Magazyn]])</f>
        <v>Apteka Szpitalna</v>
      </c>
      <c r="I163" s="2" t="str">
        <f>TRIM(Table1[[#This Row],[Umowa]])</f>
        <v>UM-MED-02</v>
      </c>
      <c r="J163" s="2" t="b">
        <f>ISTEXT(Table14[[#This Row],[Data_Wystawienia]])</f>
        <v>0</v>
      </c>
      <c r="K163" s="2">
        <f>VALUE(SUBSTITUTE(Table14[[#This Row],[Wartość]],".",","))</f>
        <v>22103.98</v>
      </c>
      <c r="L1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" s="2" t="str">
        <f>IF(Table14[[#This Row],[Umowa]]="","Poza umową","Z umowy")</f>
        <v>Z umowy</v>
      </c>
      <c r="N163" s="2">
        <f>YEAR(Table14[[#This Row],[Data_Wystawienia]])</f>
        <v>2022</v>
      </c>
      <c r="O163" s="2" t="str">
        <f>TEXT(Table14[[#This Row],[Data_Wystawienia]],"rrrr-mm")</f>
        <v>2022-02</v>
      </c>
      <c r="P163" s="2">
        <v>1</v>
      </c>
    </row>
    <row r="164" spans="1:16" x14ac:dyDescent="0.3">
      <c r="A164" s="2" t="str">
        <f>TRIM(Table1[[#This Row],[Numer_FV]])</f>
        <v>FV/8906/NOVA/22</v>
      </c>
      <c r="B164" s="2" t="str">
        <f>TRIM(Table1[[#This Row],[Numer_PZ]])</f>
        <v>PZ/800162</v>
      </c>
      <c r="C164" s="2" t="str">
        <f>TRIM(Table1[[#This Row],[Dostawca]])</f>
        <v>NovaLek</v>
      </c>
      <c r="D164" s="3">
        <v>44621</v>
      </c>
      <c r="E164" s="4" t="s">
        <v>526</v>
      </c>
      <c r="F164" s="2" t="str">
        <f>TRIM(Table1[[#This Row],[Status]])</f>
        <v>Zaakceptowana</v>
      </c>
      <c r="G164" s="2" t="str">
        <f>TRIM(Table1[[#This Row],[Typ]])</f>
        <v>Faktura VAT</v>
      </c>
      <c r="H164" s="2" t="str">
        <f>TRIM(Table1[[#This Row],[Magazyn]])</f>
        <v>Apteka Szpitalna</v>
      </c>
      <c r="I164" s="2" t="str">
        <f>TRIM(Table1[[#This Row],[Umowa]])</f>
        <v>UM-NOV-03</v>
      </c>
      <c r="J164" s="2" t="b">
        <f>ISTEXT(Table14[[#This Row],[Data_Wystawienia]])</f>
        <v>0</v>
      </c>
      <c r="K164" s="2">
        <f>VALUE(SUBSTITUTE(Table14[[#This Row],[Wartość]],".",","))</f>
        <v>10142.68</v>
      </c>
      <c r="L1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" s="2" t="str">
        <f>IF(Table14[[#This Row],[Umowa]]="","Poza umową","Z umowy")</f>
        <v>Z umowy</v>
      </c>
      <c r="N164" s="2">
        <f>YEAR(Table14[[#This Row],[Data_Wystawienia]])</f>
        <v>2022</v>
      </c>
      <c r="O164" s="2" t="str">
        <f>TEXT(Table14[[#This Row],[Data_Wystawienia]],"rrrr-mm")</f>
        <v>2022-03</v>
      </c>
      <c r="P164" s="2">
        <v>1</v>
      </c>
    </row>
    <row r="165" spans="1:16" x14ac:dyDescent="0.3">
      <c r="A165" s="2" t="str">
        <f>TRIM(Table1[[#This Row],[Numer_FV]])</f>
        <v>FV/82/SAL/22</v>
      </c>
      <c r="B165" s="2" t="str">
        <f>TRIM(Table1[[#This Row],[Numer_PZ]])</f>
        <v>PZ/800163</v>
      </c>
      <c r="C165" s="2" t="str">
        <f>TRIM(Table1[[#This Row],[Dostawca]])</f>
        <v>SalusHurt</v>
      </c>
      <c r="D165" s="3">
        <v>44621</v>
      </c>
      <c r="E165" s="4" t="s">
        <v>529</v>
      </c>
      <c r="F165" s="2" t="str">
        <f>TRIM(Table1[[#This Row],[Status]])</f>
        <v>Zaakceptowana</v>
      </c>
      <c r="G165" s="2" t="str">
        <f>TRIM(Table1[[#This Row],[Typ]])</f>
        <v>Faktura VAT</v>
      </c>
      <c r="H165" s="2" t="str">
        <f>TRIM(Table1[[#This Row],[Magazyn]])</f>
        <v>Apteka Szpitalna</v>
      </c>
      <c r="I165" s="2" t="str">
        <f>TRIM(Table1[[#This Row],[Umowa]])</f>
        <v>UM-SAL-01</v>
      </c>
      <c r="J165" s="2" t="b">
        <f>ISTEXT(Table14[[#This Row],[Data_Wystawienia]])</f>
        <v>0</v>
      </c>
      <c r="K165" s="2">
        <f>VALUE(SUBSTITUTE(Table14[[#This Row],[Wartość]],".",","))</f>
        <v>12291.15</v>
      </c>
      <c r="L1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" s="2" t="str">
        <f>IF(Table14[[#This Row],[Umowa]]="","Poza umową","Z umowy")</f>
        <v>Z umowy</v>
      </c>
      <c r="N165" s="2">
        <f>YEAR(Table14[[#This Row],[Data_Wystawienia]])</f>
        <v>2022</v>
      </c>
      <c r="O165" s="2" t="str">
        <f>TEXT(Table14[[#This Row],[Data_Wystawienia]],"rrrr-mm")</f>
        <v>2022-03</v>
      </c>
      <c r="P165" s="2">
        <v>1</v>
      </c>
    </row>
    <row r="166" spans="1:16" x14ac:dyDescent="0.3">
      <c r="A166" s="2" t="str">
        <f>TRIM(Table1[[#This Row],[Numer_FV]])</f>
        <v>FV/POL/77329/2022</v>
      </c>
      <c r="B166" s="2" t="str">
        <f>TRIM(Table1[[#This Row],[Numer_PZ]])</f>
        <v>PZ/800164</v>
      </c>
      <c r="C166" s="2" t="str">
        <f>TRIM(Table1[[#This Row],[Dostawca]])</f>
        <v>Polmedica</v>
      </c>
      <c r="D166" s="3">
        <v>44621</v>
      </c>
      <c r="E166" s="4" t="s">
        <v>532</v>
      </c>
      <c r="F166" s="2" t="str">
        <f>TRIM(Table1[[#This Row],[Status]])</f>
        <v>Zaakceptowana</v>
      </c>
      <c r="G166" s="2" t="str">
        <f>TRIM(Table1[[#This Row],[Typ]])</f>
        <v>Faktura VAT</v>
      </c>
      <c r="H166" s="2" t="str">
        <f>TRIM(Table1[[#This Row],[Magazyn]])</f>
        <v>Apteka Szpitalna</v>
      </c>
      <c r="I166" s="2" t="str">
        <f>TRIM(Table1[[#This Row],[Umowa]])</f>
        <v/>
      </c>
      <c r="J166" s="2" t="b">
        <f>ISTEXT(Table14[[#This Row],[Data_Wystawienia]])</f>
        <v>0</v>
      </c>
      <c r="K166" s="2">
        <f>VALUE(SUBSTITUTE(Table14[[#This Row],[Wartość]],".",","))</f>
        <v>11644.99</v>
      </c>
      <c r="L1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" s="2" t="str">
        <f>IF(Table14[[#This Row],[Umowa]]="","Poza umową","Z umowy")</f>
        <v>Poza umową</v>
      </c>
      <c r="N166" s="2">
        <f>YEAR(Table14[[#This Row],[Data_Wystawienia]])</f>
        <v>2022</v>
      </c>
      <c r="O166" s="2" t="str">
        <f>TEXT(Table14[[#This Row],[Data_Wystawienia]],"rrrr-mm")</f>
        <v>2022-03</v>
      </c>
      <c r="P166" s="2">
        <v>1</v>
      </c>
    </row>
    <row r="167" spans="1:16" x14ac:dyDescent="0.3">
      <c r="A167" s="2" t="str">
        <f>TRIM(Table1[[#This Row],[Numer_FV]])</f>
        <v>FV/3878HM/22</v>
      </c>
      <c r="B167" s="2" t="str">
        <f>TRIM(Table1[[#This Row],[Numer_PZ]])</f>
        <v>PZ/800165</v>
      </c>
      <c r="C167" s="2" t="str">
        <f>TRIM(Table1[[#This Row],[Dostawca]])</f>
        <v>HurtMedix</v>
      </c>
      <c r="D167" s="3">
        <v>44621</v>
      </c>
      <c r="E167" s="4" t="s">
        <v>535</v>
      </c>
      <c r="F167" s="2" t="str">
        <f>TRIM(Table1[[#This Row],[Status]])</f>
        <v>Zaakceptowana</v>
      </c>
      <c r="G167" s="2" t="str">
        <f>TRIM(Table1[[#This Row],[Typ]])</f>
        <v>Faktura VAT</v>
      </c>
      <c r="H167" s="2" t="str">
        <f>TRIM(Table1[[#This Row],[Magazyn]])</f>
        <v>Apteka Szpitalna</v>
      </c>
      <c r="I167" s="2" t="str">
        <f>TRIM(Table1[[#This Row],[Umowa]])</f>
        <v>UM-HUR-03</v>
      </c>
      <c r="J167" s="2" t="b">
        <f>ISTEXT(Table14[[#This Row],[Data_Wystawienia]])</f>
        <v>0</v>
      </c>
      <c r="K167" s="2">
        <f>VALUE(SUBSTITUTE(Table14[[#This Row],[Wartość]],".",","))</f>
        <v>19765.86</v>
      </c>
      <c r="L1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" s="2" t="str">
        <f>IF(Table14[[#This Row],[Umowa]]="","Poza umową","Z umowy")</f>
        <v>Z umowy</v>
      </c>
      <c r="N167" s="2">
        <f>YEAR(Table14[[#This Row],[Data_Wystawienia]])</f>
        <v>2022</v>
      </c>
      <c r="O167" s="2" t="str">
        <f>TEXT(Table14[[#This Row],[Data_Wystawienia]],"rrrr-mm")</f>
        <v>2022-03</v>
      </c>
      <c r="P167" s="2">
        <v>1</v>
      </c>
    </row>
    <row r="168" spans="1:16" x14ac:dyDescent="0.3">
      <c r="A168" s="2" t="str">
        <f>TRIM(Table1[[#This Row],[Numer_FV]])</f>
        <v>FV/24/PP/4033/22</v>
      </c>
      <c r="B168" s="2" t="str">
        <f>TRIM(Table1[[#This Row],[Numer_PZ]])</f>
        <v>PZ/800166</v>
      </c>
      <c r="C168" s="2" t="str">
        <f>TRIM(Table1[[#This Row],[Dostawca]])</f>
        <v>PharmaPlus</v>
      </c>
      <c r="D168" s="3">
        <v>44622</v>
      </c>
      <c r="E168" s="4" t="s">
        <v>538</v>
      </c>
      <c r="F168" s="2" t="str">
        <f>TRIM(Table1[[#This Row],[Status]])</f>
        <v>Zaakceptowana</v>
      </c>
      <c r="G168" s="2" t="str">
        <f>TRIM(Table1[[#This Row],[Typ]])</f>
        <v>Faktura VAT</v>
      </c>
      <c r="H168" s="2" t="str">
        <f>TRIM(Table1[[#This Row],[Magazyn]])</f>
        <v>Apteka Szpitalna</v>
      </c>
      <c r="I168" s="2" t="str">
        <f>TRIM(Table1[[#This Row],[Umowa]])</f>
        <v>UM-PHA-02</v>
      </c>
      <c r="J168" s="2" t="b">
        <f>ISTEXT(Table14[[#This Row],[Data_Wystawienia]])</f>
        <v>0</v>
      </c>
      <c r="K168" s="2">
        <f>VALUE(SUBSTITUTE(Table14[[#This Row],[Wartość]],".",","))</f>
        <v>12354.14</v>
      </c>
      <c r="L1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" s="2" t="str">
        <f>IF(Table14[[#This Row],[Umowa]]="","Poza umową","Z umowy")</f>
        <v>Z umowy</v>
      </c>
      <c r="N168" s="2">
        <f>YEAR(Table14[[#This Row],[Data_Wystawienia]])</f>
        <v>2022</v>
      </c>
      <c r="O168" s="2" t="str">
        <f>TEXT(Table14[[#This Row],[Data_Wystawienia]],"rrrr-mm")</f>
        <v>2022-03</v>
      </c>
      <c r="P168" s="2">
        <v>1</v>
      </c>
    </row>
    <row r="169" spans="1:16" x14ac:dyDescent="0.3">
      <c r="A169" s="2" t="str">
        <f>TRIM(Table1[[#This Row],[Numer_FV]])</f>
        <v>FV/6534HM/22</v>
      </c>
      <c r="B169" s="2" t="str">
        <f>TRIM(Table1[[#This Row],[Numer_PZ]])</f>
        <v>PZ/800167</v>
      </c>
      <c r="C169" s="2" t="str">
        <f>TRIM(Table1[[#This Row],[Dostawca]])</f>
        <v>HurtMedix</v>
      </c>
      <c r="D169" s="3">
        <v>44623</v>
      </c>
      <c r="E169" s="4" t="s">
        <v>541</v>
      </c>
      <c r="F169" s="2" t="str">
        <f>TRIM(Table1[[#This Row],[Status]])</f>
        <v>Zaakceptowana</v>
      </c>
      <c r="G169" s="2" t="str">
        <f>TRIM(Table1[[#This Row],[Typ]])</f>
        <v>Faktura VAT</v>
      </c>
      <c r="H169" s="2" t="str">
        <f>TRIM(Table1[[#This Row],[Magazyn]])</f>
        <v>Apteka Szpitalna</v>
      </c>
      <c r="I169" s="2" t="str">
        <f>TRIM(Table1[[#This Row],[Umowa]])</f>
        <v>UM-HUR-01</v>
      </c>
      <c r="J169" s="2" t="b">
        <f>ISTEXT(Table14[[#This Row],[Data_Wystawienia]])</f>
        <v>0</v>
      </c>
      <c r="K169" s="2">
        <f>VALUE(SUBSTITUTE(Table14[[#This Row],[Wartość]],".",","))</f>
        <v>20574.79</v>
      </c>
      <c r="L1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" s="2" t="str">
        <f>IF(Table14[[#This Row],[Umowa]]="","Poza umową","Z umowy")</f>
        <v>Z umowy</v>
      </c>
      <c r="N169" s="2">
        <f>YEAR(Table14[[#This Row],[Data_Wystawienia]])</f>
        <v>2022</v>
      </c>
      <c r="O169" s="2" t="str">
        <f>TEXT(Table14[[#This Row],[Data_Wystawienia]],"rrrr-mm")</f>
        <v>2022-03</v>
      </c>
      <c r="P169" s="2">
        <v>1</v>
      </c>
    </row>
    <row r="170" spans="1:16" x14ac:dyDescent="0.3">
      <c r="A170" s="2" t="str">
        <f>TRIM(Table1[[#This Row],[Numer_FV]])</f>
        <v>FV/19/PP/7038/22</v>
      </c>
      <c r="B170" s="2" t="str">
        <f>TRIM(Table1[[#This Row],[Numer_PZ]])</f>
        <v>PZ/800168</v>
      </c>
      <c r="C170" s="2" t="str">
        <f>TRIM(Table1[[#This Row],[Dostawca]])</f>
        <v>PharmaPlus</v>
      </c>
      <c r="D170" s="3">
        <v>44623</v>
      </c>
      <c r="E170" s="4" t="s">
        <v>544</v>
      </c>
      <c r="F170" s="2" t="str">
        <f>TRIM(Table1[[#This Row],[Status]])</f>
        <v>Zaakceptowana</v>
      </c>
      <c r="G170" s="2" t="str">
        <f>TRIM(Table1[[#This Row],[Typ]])</f>
        <v>Faktura VAT</v>
      </c>
      <c r="H170" s="2" t="str">
        <f>TRIM(Table1[[#This Row],[Magazyn]])</f>
        <v>Apteka Szpitalna</v>
      </c>
      <c r="I170" s="2" t="str">
        <f>TRIM(Table1[[#This Row],[Umowa]])</f>
        <v>UM-PHA-01</v>
      </c>
      <c r="J170" s="2" t="b">
        <f>ISTEXT(Table14[[#This Row],[Data_Wystawienia]])</f>
        <v>0</v>
      </c>
      <c r="K170" s="2">
        <f>VALUE(SUBSTITUTE(Table14[[#This Row],[Wartość]],".",","))</f>
        <v>18240.66</v>
      </c>
      <c r="L1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" s="2" t="str">
        <f>IF(Table14[[#This Row],[Umowa]]="","Poza umową","Z umowy")</f>
        <v>Z umowy</v>
      </c>
      <c r="N170" s="2">
        <f>YEAR(Table14[[#This Row],[Data_Wystawienia]])</f>
        <v>2022</v>
      </c>
      <c r="O170" s="2" t="str">
        <f>TEXT(Table14[[#This Row],[Data_Wystawienia]],"rrrr-mm")</f>
        <v>2022-03</v>
      </c>
      <c r="P170" s="2">
        <v>1</v>
      </c>
    </row>
    <row r="171" spans="1:16" x14ac:dyDescent="0.3">
      <c r="A171" s="2" t="str">
        <f>TRIM(Table1[[#This Row],[Numer_FV]])</f>
        <v>FV/3637/NOVA/22</v>
      </c>
      <c r="B171" s="2" t="str">
        <f>TRIM(Table1[[#This Row],[Numer_PZ]])</f>
        <v>PZ/800169</v>
      </c>
      <c r="C171" s="2" t="str">
        <f>TRIM(Table1[[#This Row],[Dostawca]])</f>
        <v>NovaLek</v>
      </c>
      <c r="D171" s="3">
        <v>44623</v>
      </c>
      <c r="E171" s="4" t="s">
        <v>547</v>
      </c>
      <c r="F171" s="2" t="str">
        <f>TRIM(Table1[[#This Row],[Status]])</f>
        <v>Zaakceptowana</v>
      </c>
      <c r="G171" s="2" t="str">
        <f>TRIM(Table1[[#This Row],[Typ]])</f>
        <v>Faktura VAT</v>
      </c>
      <c r="H171" s="2" t="str">
        <f>TRIM(Table1[[#This Row],[Magazyn]])</f>
        <v>Apteka Szpitalna</v>
      </c>
      <c r="I171" s="2" t="str">
        <f>TRIM(Table1[[#This Row],[Umowa]])</f>
        <v>UM-NOV-01</v>
      </c>
      <c r="J171" s="2" t="b">
        <f>ISTEXT(Table14[[#This Row],[Data_Wystawienia]])</f>
        <v>0</v>
      </c>
      <c r="K171" s="2">
        <f>VALUE(SUBSTITUTE(Table14[[#This Row],[Wartość]],".",","))</f>
        <v>13601.57</v>
      </c>
      <c r="L1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" s="2" t="str">
        <f>IF(Table14[[#This Row],[Umowa]]="","Poza umową","Z umowy")</f>
        <v>Z umowy</v>
      </c>
      <c r="N171" s="2">
        <f>YEAR(Table14[[#This Row],[Data_Wystawienia]])</f>
        <v>2022</v>
      </c>
      <c r="O171" s="2" t="str">
        <f>TEXT(Table14[[#This Row],[Data_Wystawienia]],"rrrr-mm")</f>
        <v>2022-03</v>
      </c>
      <c r="P171" s="2">
        <v>1</v>
      </c>
    </row>
    <row r="172" spans="1:16" x14ac:dyDescent="0.3">
      <c r="A172" s="2" t="str">
        <f>TRIM(Table1[[#This Row],[Numer_FV]])</f>
        <v>FV/52/SAL/22</v>
      </c>
      <c r="B172" s="2" t="str">
        <f>TRIM(Table1[[#This Row],[Numer_PZ]])</f>
        <v>PZ/800170</v>
      </c>
      <c r="C172" s="2" t="str">
        <f>TRIM(Table1[[#This Row],[Dostawca]])</f>
        <v>SalusHurt</v>
      </c>
      <c r="D172" s="3">
        <v>44624</v>
      </c>
      <c r="E172" s="4" t="s">
        <v>549</v>
      </c>
      <c r="F172" s="2" t="str">
        <f>TRIM(Table1[[#This Row],[Status]])</f>
        <v>Zaakceptowana</v>
      </c>
      <c r="G172" s="2" t="str">
        <f>TRIM(Table1[[#This Row],[Typ]])</f>
        <v>Faktura VAT</v>
      </c>
      <c r="H172" s="2" t="str">
        <f>TRIM(Table1[[#This Row],[Magazyn]])</f>
        <v>Apteka Szpitalna</v>
      </c>
      <c r="I172" s="2" t="str">
        <f>TRIM(Table1[[#This Row],[Umowa]])</f>
        <v>UM-SAL-02</v>
      </c>
      <c r="J172" s="2" t="b">
        <f>ISTEXT(Table14[[#This Row],[Data_Wystawienia]])</f>
        <v>0</v>
      </c>
      <c r="K172" s="2">
        <f>VALUE(SUBSTITUTE(Table14[[#This Row],[Wartość]],".",","))</f>
        <v>7033.14</v>
      </c>
      <c r="L1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" s="2" t="str">
        <f>IF(Table14[[#This Row],[Umowa]]="","Poza umową","Z umowy")</f>
        <v>Z umowy</v>
      </c>
      <c r="N172" s="2">
        <f>YEAR(Table14[[#This Row],[Data_Wystawienia]])</f>
        <v>2022</v>
      </c>
      <c r="O172" s="2" t="str">
        <f>TEXT(Table14[[#This Row],[Data_Wystawienia]],"rrrr-mm")</f>
        <v>2022-03</v>
      </c>
      <c r="P172" s="2">
        <v>1</v>
      </c>
    </row>
    <row r="173" spans="1:16" x14ac:dyDescent="0.3">
      <c r="A173" s="2" t="str">
        <f>TRIM(Table1[[#This Row],[Numer_FV]])</f>
        <v>FV/M/6477/P/22</v>
      </c>
      <c r="B173" s="2" t="str">
        <f>TRIM(Table1[[#This Row],[Numer_PZ]])</f>
        <v>PZ/800171</v>
      </c>
      <c r="C173" s="2" t="str">
        <f>TRIM(Table1[[#This Row],[Dostawca]])</f>
        <v>MedicaPharm</v>
      </c>
      <c r="D173" s="3">
        <v>44624</v>
      </c>
      <c r="E173" s="4" t="s">
        <v>552</v>
      </c>
      <c r="F173" s="2" t="str">
        <f>TRIM(Table1[[#This Row],[Status]])</f>
        <v>Zaakceptowana</v>
      </c>
      <c r="G173" s="2" t="str">
        <f>TRIM(Table1[[#This Row],[Typ]])</f>
        <v>Faktura VAT</v>
      </c>
      <c r="H173" s="2" t="str">
        <f>TRIM(Table1[[#This Row],[Magazyn]])</f>
        <v>Apteka Szpitalna</v>
      </c>
      <c r="I173" s="2" t="str">
        <f>TRIM(Table1[[#This Row],[Umowa]])</f>
        <v>UM-MED-02</v>
      </c>
      <c r="J173" s="2" t="b">
        <f>ISTEXT(Table14[[#This Row],[Data_Wystawienia]])</f>
        <v>0</v>
      </c>
      <c r="K173" s="2">
        <f>VALUE(SUBSTITUTE(Table14[[#This Row],[Wartość]],".",","))</f>
        <v>21120.66</v>
      </c>
      <c r="L1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" s="2" t="str">
        <f>IF(Table14[[#This Row],[Umowa]]="","Poza umową","Z umowy")</f>
        <v>Z umowy</v>
      </c>
      <c r="N173" s="2">
        <f>YEAR(Table14[[#This Row],[Data_Wystawienia]])</f>
        <v>2022</v>
      </c>
      <c r="O173" s="2" t="str">
        <f>TEXT(Table14[[#This Row],[Data_Wystawienia]],"rrrr-mm")</f>
        <v>2022-03</v>
      </c>
      <c r="P173" s="2">
        <v>1</v>
      </c>
    </row>
    <row r="174" spans="1:16" x14ac:dyDescent="0.3">
      <c r="A174" s="2" t="str">
        <f>TRIM(Table1[[#This Row],[Numer_FV]])</f>
        <v>FV/POL/78061/2022</v>
      </c>
      <c r="B174" s="2" t="str">
        <f>TRIM(Table1[[#This Row],[Numer_PZ]])</f>
        <v>PZ/800172</v>
      </c>
      <c r="C174" s="2" t="str">
        <f>TRIM(Table1[[#This Row],[Dostawca]])</f>
        <v>Polmedica</v>
      </c>
      <c r="D174" s="3">
        <v>44624</v>
      </c>
      <c r="E174" s="4" t="s">
        <v>555</v>
      </c>
      <c r="F174" s="2" t="str">
        <f>TRIM(Table1[[#This Row],[Status]])</f>
        <v>Zaakceptowana</v>
      </c>
      <c r="G174" s="2" t="str">
        <f>TRIM(Table1[[#This Row],[Typ]])</f>
        <v>Faktura VAT</v>
      </c>
      <c r="H174" s="2" t="str">
        <f>TRIM(Table1[[#This Row],[Magazyn]])</f>
        <v>Apteka Szpitalna</v>
      </c>
      <c r="I174" s="2" t="str">
        <f>TRIM(Table1[[#This Row],[Umowa]])</f>
        <v>UM-POL-02</v>
      </c>
      <c r="J174" s="2" t="b">
        <f>ISTEXT(Table14[[#This Row],[Data_Wystawienia]])</f>
        <v>0</v>
      </c>
      <c r="K174" s="2">
        <f>VALUE(SUBSTITUTE(Table14[[#This Row],[Wartość]],".",","))</f>
        <v>19239.41</v>
      </c>
      <c r="L1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" s="2" t="str">
        <f>IF(Table14[[#This Row],[Umowa]]="","Poza umową","Z umowy")</f>
        <v>Z umowy</v>
      </c>
      <c r="N174" s="2">
        <f>YEAR(Table14[[#This Row],[Data_Wystawienia]])</f>
        <v>2022</v>
      </c>
      <c r="O174" s="2" t="str">
        <f>TEXT(Table14[[#This Row],[Data_Wystawienia]],"rrrr-mm")</f>
        <v>2022-03</v>
      </c>
      <c r="P174" s="2">
        <v>1</v>
      </c>
    </row>
    <row r="175" spans="1:16" x14ac:dyDescent="0.3">
      <c r="A175" s="2" t="str">
        <f>TRIM(Table1[[#This Row],[Numer_FV]])</f>
        <v>FV/M/8386/P/22</v>
      </c>
      <c r="B175" s="2" t="str">
        <f>TRIM(Table1[[#This Row],[Numer_PZ]])</f>
        <v>PZ/800173</v>
      </c>
      <c r="C175" s="2" t="str">
        <f>TRIM(Table1[[#This Row],[Dostawca]])</f>
        <v>MedicaPharm</v>
      </c>
      <c r="D175" s="3">
        <v>44624</v>
      </c>
      <c r="E175" s="4" t="s">
        <v>558</v>
      </c>
      <c r="F175" s="2" t="str">
        <f>TRIM(Table1[[#This Row],[Status]])</f>
        <v>Zaakceptowana</v>
      </c>
      <c r="G175" s="2" t="str">
        <f>TRIM(Table1[[#This Row],[Typ]])</f>
        <v>Faktura VAT</v>
      </c>
      <c r="H175" s="2" t="str">
        <f>TRIM(Table1[[#This Row],[Magazyn]])</f>
        <v>Apteka Szpitalna</v>
      </c>
      <c r="I175" s="2" t="str">
        <f>TRIM(Table1[[#This Row],[Umowa]])</f>
        <v>UM-MED-01</v>
      </c>
      <c r="J175" s="2" t="b">
        <f>ISTEXT(Table14[[#This Row],[Data_Wystawienia]])</f>
        <v>0</v>
      </c>
      <c r="K175" s="2">
        <f>VALUE(SUBSTITUTE(Table14[[#This Row],[Wartość]],".",","))</f>
        <v>15847.53</v>
      </c>
      <c r="L1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" s="2" t="str">
        <f>IF(Table14[[#This Row],[Umowa]]="","Poza umową","Z umowy")</f>
        <v>Z umowy</v>
      </c>
      <c r="N175" s="2">
        <f>YEAR(Table14[[#This Row],[Data_Wystawienia]])</f>
        <v>2022</v>
      </c>
      <c r="O175" s="2" t="str">
        <f>TEXT(Table14[[#This Row],[Data_Wystawienia]],"rrrr-mm")</f>
        <v>2022-03</v>
      </c>
      <c r="P175" s="2">
        <v>1</v>
      </c>
    </row>
    <row r="176" spans="1:16" x14ac:dyDescent="0.3">
      <c r="A176" s="2" t="str">
        <f>TRIM(Table1[[#This Row],[Numer_FV]])</f>
        <v>FV/POL/12064/2022</v>
      </c>
      <c r="B176" s="2" t="str">
        <f>TRIM(Table1[[#This Row],[Numer_PZ]])</f>
        <v>PZ/800174</v>
      </c>
      <c r="C176" s="2" t="str">
        <f>TRIM(Table1[[#This Row],[Dostawca]])</f>
        <v>Polmedica</v>
      </c>
      <c r="D176" s="3">
        <v>44624</v>
      </c>
      <c r="E176" s="4" t="s">
        <v>561</v>
      </c>
      <c r="F176" s="2" t="str">
        <f>TRIM(Table1[[#This Row],[Status]])</f>
        <v>Zaakceptowana</v>
      </c>
      <c r="G176" s="2" t="str">
        <f>TRIM(Table1[[#This Row],[Typ]])</f>
        <v>Faktura VAT</v>
      </c>
      <c r="H176" s="2" t="str">
        <f>TRIM(Table1[[#This Row],[Magazyn]])</f>
        <v>Apteka Szpitalna</v>
      </c>
      <c r="I176" s="2" t="str">
        <f>TRIM(Table1[[#This Row],[Umowa]])</f>
        <v>UM-POL-02</v>
      </c>
      <c r="J176" s="2" t="b">
        <f>ISTEXT(Table14[[#This Row],[Data_Wystawienia]])</f>
        <v>0</v>
      </c>
      <c r="K176" s="2">
        <f>VALUE(SUBSTITUTE(Table14[[#This Row],[Wartość]],".",","))</f>
        <v>15047.04</v>
      </c>
      <c r="L1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" s="2" t="str">
        <f>IF(Table14[[#This Row],[Umowa]]="","Poza umową","Z umowy")</f>
        <v>Z umowy</v>
      </c>
      <c r="N176" s="2">
        <f>YEAR(Table14[[#This Row],[Data_Wystawienia]])</f>
        <v>2022</v>
      </c>
      <c r="O176" s="2" t="str">
        <f>TEXT(Table14[[#This Row],[Data_Wystawienia]],"rrrr-mm")</f>
        <v>2022-03</v>
      </c>
      <c r="P176" s="2">
        <v>1</v>
      </c>
    </row>
    <row r="177" spans="1:16" x14ac:dyDescent="0.3">
      <c r="A177" s="2" t="str">
        <f>TRIM(Table1[[#This Row],[Numer_FV]])</f>
        <v>FV/POL/27653/2022</v>
      </c>
      <c r="B177" s="2" t="str">
        <f>TRIM(Table1[[#This Row],[Numer_PZ]])</f>
        <v>PZ/800175</v>
      </c>
      <c r="C177" s="2" t="str">
        <f>TRIM(Table1[[#This Row],[Dostawca]])</f>
        <v>Polmedica</v>
      </c>
      <c r="D177" s="3">
        <v>44625</v>
      </c>
      <c r="E177" s="4" t="s">
        <v>564</v>
      </c>
      <c r="F177" s="2" t="str">
        <f>TRIM(Table1[[#This Row],[Status]])</f>
        <v>Zaakceptowana</v>
      </c>
      <c r="G177" s="2" t="str">
        <f>TRIM(Table1[[#This Row],[Typ]])</f>
        <v>Faktura VAT</v>
      </c>
      <c r="H177" s="2" t="str">
        <f>TRIM(Table1[[#This Row],[Magazyn]])</f>
        <v>Apteka Szpitalna</v>
      </c>
      <c r="I177" s="2" t="str">
        <f>TRIM(Table1[[#This Row],[Umowa]])</f>
        <v/>
      </c>
      <c r="J177" s="2" t="b">
        <f>ISTEXT(Table14[[#This Row],[Data_Wystawienia]])</f>
        <v>0</v>
      </c>
      <c r="K177" s="2">
        <f>VALUE(SUBSTITUTE(Table14[[#This Row],[Wartość]],".",","))</f>
        <v>14815.93</v>
      </c>
      <c r="L1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" s="2" t="str">
        <f>IF(Table14[[#This Row],[Umowa]]="","Poza umową","Z umowy")</f>
        <v>Poza umową</v>
      </c>
      <c r="N177" s="2">
        <f>YEAR(Table14[[#This Row],[Data_Wystawienia]])</f>
        <v>2022</v>
      </c>
      <c r="O177" s="2" t="str">
        <f>TEXT(Table14[[#This Row],[Data_Wystawienia]],"rrrr-mm")</f>
        <v>2022-03</v>
      </c>
      <c r="P177" s="2">
        <v>1</v>
      </c>
    </row>
    <row r="178" spans="1:16" x14ac:dyDescent="0.3">
      <c r="A178" s="2" t="str">
        <f>TRIM(Table1[[#This Row],[Numer_FV]])</f>
        <v>FV/1317/NOVA/22</v>
      </c>
      <c r="B178" s="2" t="str">
        <f>TRIM(Table1[[#This Row],[Numer_PZ]])</f>
        <v>PZ/800176</v>
      </c>
      <c r="C178" s="2" t="str">
        <f>TRIM(Table1[[#This Row],[Dostawca]])</f>
        <v>NovaLek</v>
      </c>
      <c r="D178" s="3">
        <v>44625</v>
      </c>
      <c r="E178" s="4" t="s">
        <v>567</v>
      </c>
      <c r="F178" s="2" t="str">
        <f>TRIM(Table1[[#This Row],[Status]])</f>
        <v>Zaakceptowana</v>
      </c>
      <c r="G178" s="2" t="str">
        <f>TRIM(Table1[[#This Row],[Typ]])</f>
        <v>Faktura VAT</v>
      </c>
      <c r="H178" s="2" t="str">
        <f>TRIM(Table1[[#This Row],[Magazyn]])</f>
        <v>Apteka Szpitalna</v>
      </c>
      <c r="I178" s="2" t="str">
        <f>TRIM(Table1[[#This Row],[Umowa]])</f>
        <v>UM-NOV-03</v>
      </c>
      <c r="J178" s="2" t="b">
        <f>ISTEXT(Table14[[#This Row],[Data_Wystawienia]])</f>
        <v>0</v>
      </c>
      <c r="K178" s="2">
        <f>VALUE(SUBSTITUTE(Table14[[#This Row],[Wartość]],".",","))</f>
        <v>19565.810000000001</v>
      </c>
      <c r="L1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" s="2" t="str">
        <f>IF(Table14[[#This Row],[Umowa]]="","Poza umową","Z umowy")</f>
        <v>Z umowy</v>
      </c>
      <c r="N178" s="2">
        <f>YEAR(Table14[[#This Row],[Data_Wystawienia]])</f>
        <v>2022</v>
      </c>
      <c r="O178" s="2" t="str">
        <f>TEXT(Table14[[#This Row],[Data_Wystawienia]],"rrrr-mm")</f>
        <v>2022-03</v>
      </c>
      <c r="P178" s="2">
        <v>1</v>
      </c>
    </row>
    <row r="179" spans="1:16" x14ac:dyDescent="0.3">
      <c r="A179" s="2" t="str">
        <f>TRIM(Table1[[#This Row],[Numer_FV]])</f>
        <v>FV/POL/93769/2022</v>
      </c>
      <c r="B179" s="2" t="str">
        <f>TRIM(Table1[[#This Row],[Numer_PZ]])</f>
        <v>PZ/800177</v>
      </c>
      <c r="C179" s="2" t="str">
        <f>TRIM(Table1[[#This Row],[Dostawca]])</f>
        <v>Polmedica</v>
      </c>
      <c r="D179" s="3">
        <v>44625</v>
      </c>
      <c r="E179" s="4" t="s">
        <v>570</v>
      </c>
      <c r="F179" s="2" t="str">
        <f>TRIM(Table1[[#This Row],[Status]])</f>
        <v>Zaakceptowana</v>
      </c>
      <c r="G179" s="2" t="str">
        <f>TRIM(Table1[[#This Row],[Typ]])</f>
        <v>Faktura VAT</v>
      </c>
      <c r="H179" s="2" t="str">
        <f>TRIM(Table1[[#This Row],[Magazyn]])</f>
        <v>Apteka Szpitalna</v>
      </c>
      <c r="I179" s="2" t="str">
        <f>TRIM(Table1[[#This Row],[Umowa]])</f>
        <v>UM-POL-01</v>
      </c>
      <c r="J179" s="2" t="b">
        <f>ISTEXT(Table14[[#This Row],[Data_Wystawienia]])</f>
        <v>0</v>
      </c>
      <c r="K179" s="2">
        <f>VALUE(SUBSTITUTE(Table14[[#This Row],[Wartość]],".",","))</f>
        <v>12876.09</v>
      </c>
      <c r="L1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" s="2" t="str">
        <f>IF(Table14[[#This Row],[Umowa]]="","Poza umową","Z umowy")</f>
        <v>Z umowy</v>
      </c>
      <c r="N179" s="2">
        <f>YEAR(Table14[[#This Row],[Data_Wystawienia]])</f>
        <v>2022</v>
      </c>
      <c r="O179" s="2" t="str">
        <f>TEXT(Table14[[#This Row],[Data_Wystawienia]],"rrrr-mm")</f>
        <v>2022-03</v>
      </c>
      <c r="P179" s="2">
        <v>1</v>
      </c>
    </row>
    <row r="180" spans="1:16" x14ac:dyDescent="0.3">
      <c r="A180" s="2" t="str">
        <f>TRIM(Table1[[#This Row],[Numer_FV]])</f>
        <v>FV/4486/NOVA/22</v>
      </c>
      <c r="B180" s="2" t="str">
        <f>TRIM(Table1[[#This Row],[Numer_PZ]])</f>
        <v>PZ/800178</v>
      </c>
      <c r="C180" s="2" t="str">
        <f>TRIM(Table1[[#This Row],[Dostawca]])</f>
        <v>NovaLek</v>
      </c>
      <c r="D180" s="3">
        <v>44626</v>
      </c>
      <c r="E180" s="4" t="s">
        <v>573</v>
      </c>
      <c r="F180" s="2" t="str">
        <f>TRIM(Table1[[#This Row],[Status]])</f>
        <v>Zaakceptowana</v>
      </c>
      <c r="G180" s="2" t="str">
        <f>TRIM(Table1[[#This Row],[Typ]])</f>
        <v>Faktura VAT</v>
      </c>
      <c r="H180" s="2" t="str">
        <f>TRIM(Table1[[#This Row],[Magazyn]])</f>
        <v>Apteka Szpitalna</v>
      </c>
      <c r="I180" s="2" t="str">
        <f>TRIM(Table1[[#This Row],[Umowa]])</f>
        <v/>
      </c>
      <c r="J180" s="2" t="b">
        <f>ISTEXT(Table14[[#This Row],[Data_Wystawienia]])</f>
        <v>0</v>
      </c>
      <c r="K180" s="2">
        <f>VALUE(SUBSTITUTE(Table14[[#This Row],[Wartość]],".",","))</f>
        <v>5833.2</v>
      </c>
      <c r="L1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" s="2" t="str">
        <f>IF(Table14[[#This Row],[Umowa]]="","Poza umową","Z umowy")</f>
        <v>Poza umową</v>
      </c>
      <c r="N180" s="2">
        <f>YEAR(Table14[[#This Row],[Data_Wystawienia]])</f>
        <v>2022</v>
      </c>
      <c r="O180" s="2" t="str">
        <f>TEXT(Table14[[#This Row],[Data_Wystawienia]],"rrrr-mm")</f>
        <v>2022-03</v>
      </c>
      <c r="P180" s="2">
        <v>1</v>
      </c>
    </row>
    <row r="181" spans="1:16" x14ac:dyDescent="0.3">
      <c r="A181" s="2" t="str">
        <f>TRIM(Table1[[#This Row],[Numer_FV]])</f>
        <v>FV/M/1650/P/22</v>
      </c>
      <c r="B181" s="2" t="str">
        <f>TRIM(Table1[[#This Row],[Numer_PZ]])</f>
        <v>PZ/800179</v>
      </c>
      <c r="C181" s="2" t="str">
        <f>TRIM(Table1[[#This Row],[Dostawca]])</f>
        <v>MedicaPharm</v>
      </c>
      <c r="D181" s="3">
        <v>44627</v>
      </c>
      <c r="E181" s="4" t="s">
        <v>576</v>
      </c>
      <c r="F181" s="2" t="str">
        <f>TRIM(Table1[[#This Row],[Status]])</f>
        <v>Zaakceptowana</v>
      </c>
      <c r="G181" s="2" t="str">
        <f>TRIM(Table1[[#This Row],[Typ]])</f>
        <v>Faktura VAT</v>
      </c>
      <c r="H181" s="2" t="str">
        <f>TRIM(Table1[[#This Row],[Magazyn]])</f>
        <v>Apteka Szpitalna</v>
      </c>
      <c r="I181" s="2" t="str">
        <f>TRIM(Table1[[#This Row],[Umowa]])</f>
        <v>UM-MED-02</v>
      </c>
      <c r="J181" s="2" t="b">
        <f>ISTEXT(Table14[[#This Row],[Data_Wystawienia]])</f>
        <v>0</v>
      </c>
      <c r="K181" s="2">
        <f>VALUE(SUBSTITUTE(Table14[[#This Row],[Wartość]],".",","))</f>
        <v>16945.84</v>
      </c>
      <c r="L1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" s="2" t="str">
        <f>IF(Table14[[#This Row],[Umowa]]="","Poza umową","Z umowy")</f>
        <v>Z umowy</v>
      </c>
      <c r="N181" s="2">
        <f>YEAR(Table14[[#This Row],[Data_Wystawienia]])</f>
        <v>2022</v>
      </c>
      <c r="O181" s="2" t="str">
        <f>TEXT(Table14[[#This Row],[Data_Wystawienia]],"rrrr-mm")</f>
        <v>2022-03</v>
      </c>
      <c r="P181" s="2">
        <v>1</v>
      </c>
    </row>
    <row r="182" spans="1:16" x14ac:dyDescent="0.3">
      <c r="A182" s="2" t="str">
        <f>TRIM(Table1[[#This Row],[Numer_FV]])</f>
        <v>FV/25/SAL/22</v>
      </c>
      <c r="B182" s="2" t="str">
        <f>TRIM(Table1[[#This Row],[Numer_PZ]])</f>
        <v>PZ/800180</v>
      </c>
      <c r="C182" s="2" t="str">
        <f>TRIM(Table1[[#This Row],[Dostawca]])</f>
        <v>SalusHurt</v>
      </c>
      <c r="D182" s="3">
        <v>44627</v>
      </c>
      <c r="E182" s="4" t="s">
        <v>579</v>
      </c>
      <c r="F182" s="2" t="str">
        <f>TRIM(Table1[[#This Row],[Status]])</f>
        <v>Zaakceptowana</v>
      </c>
      <c r="G182" s="2" t="str">
        <f>TRIM(Table1[[#This Row],[Typ]])</f>
        <v>Faktura VAT</v>
      </c>
      <c r="H182" s="2" t="str">
        <f>TRIM(Table1[[#This Row],[Magazyn]])</f>
        <v>Apteka Szpitalna</v>
      </c>
      <c r="I182" s="2" t="str">
        <f>TRIM(Table1[[#This Row],[Umowa]])</f>
        <v/>
      </c>
      <c r="J182" s="2" t="b">
        <f>ISTEXT(Table14[[#This Row],[Data_Wystawienia]])</f>
        <v>0</v>
      </c>
      <c r="K182" s="2">
        <f>VALUE(SUBSTITUTE(Table14[[#This Row],[Wartość]],".",","))</f>
        <v>13839.11</v>
      </c>
      <c r="L1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" s="2" t="str">
        <f>IF(Table14[[#This Row],[Umowa]]="","Poza umową","Z umowy")</f>
        <v>Poza umową</v>
      </c>
      <c r="N182" s="2">
        <f>YEAR(Table14[[#This Row],[Data_Wystawienia]])</f>
        <v>2022</v>
      </c>
      <c r="O182" s="2" t="str">
        <f>TEXT(Table14[[#This Row],[Data_Wystawienia]],"rrrr-mm")</f>
        <v>2022-03</v>
      </c>
      <c r="P182" s="2">
        <v>1</v>
      </c>
    </row>
    <row r="183" spans="1:16" x14ac:dyDescent="0.3">
      <c r="A183" s="2" t="str">
        <f>TRIM(Table1[[#This Row],[Numer_FV]])</f>
        <v>FV/M/5297/P/22</v>
      </c>
      <c r="B183" s="2" t="str">
        <f>TRIM(Table1[[#This Row],[Numer_PZ]])</f>
        <v>PZ/800181</v>
      </c>
      <c r="C183" s="2" t="str">
        <f>TRIM(Table1[[#This Row],[Dostawca]])</f>
        <v>MedicaPharm</v>
      </c>
      <c r="D183" s="3">
        <v>44627</v>
      </c>
      <c r="E183" s="4" t="s">
        <v>582</v>
      </c>
      <c r="F183" s="2" t="str">
        <f>TRIM(Table1[[#This Row],[Status]])</f>
        <v>Zaakceptowana</v>
      </c>
      <c r="G183" s="2" t="str">
        <f>TRIM(Table1[[#This Row],[Typ]])</f>
        <v>Faktura VAT</v>
      </c>
      <c r="H183" s="2" t="str">
        <f>TRIM(Table1[[#This Row],[Magazyn]])</f>
        <v>Apteka Szpitalna</v>
      </c>
      <c r="I183" s="2" t="str">
        <f>TRIM(Table1[[#This Row],[Umowa]])</f>
        <v>UM-MED-01</v>
      </c>
      <c r="J183" s="2" t="b">
        <f>ISTEXT(Table14[[#This Row],[Data_Wystawienia]])</f>
        <v>0</v>
      </c>
      <c r="K183" s="2">
        <f>VALUE(SUBSTITUTE(Table14[[#This Row],[Wartość]],".",","))</f>
        <v>20294.189999999999</v>
      </c>
      <c r="L1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" s="2" t="str">
        <f>IF(Table14[[#This Row],[Umowa]]="","Poza umową","Z umowy")</f>
        <v>Z umowy</v>
      </c>
      <c r="N183" s="2">
        <f>YEAR(Table14[[#This Row],[Data_Wystawienia]])</f>
        <v>2022</v>
      </c>
      <c r="O183" s="2" t="str">
        <f>TEXT(Table14[[#This Row],[Data_Wystawienia]],"rrrr-mm")</f>
        <v>2022-03</v>
      </c>
      <c r="P183" s="2">
        <v>1</v>
      </c>
    </row>
    <row r="184" spans="1:16" x14ac:dyDescent="0.3">
      <c r="A184" s="2" t="str">
        <f>TRIM(Table1[[#This Row],[Numer_FV]])</f>
        <v>FV/POL/37073/2022</v>
      </c>
      <c r="B184" s="2" t="str">
        <f>TRIM(Table1[[#This Row],[Numer_PZ]])</f>
        <v>PZ/800182</v>
      </c>
      <c r="C184" s="2" t="str">
        <f>TRIM(Table1[[#This Row],[Dostawca]])</f>
        <v>Polmedica</v>
      </c>
      <c r="D184" s="3">
        <v>44628</v>
      </c>
      <c r="E184" s="4" t="s">
        <v>585</v>
      </c>
      <c r="F184" s="2" t="str">
        <f>TRIM(Table1[[#This Row],[Status]])</f>
        <v>Zaakceptowana</v>
      </c>
      <c r="G184" s="2" t="str">
        <f>TRIM(Table1[[#This Row],[Typ]])</f>
        <v>Faktura VAT</v>
      </c>
      <c r="H184" s="2" t="str">
        <f>TRIM(Table1[[#This Row],[Magazyn]])</f>
        <v>Apteka Szpitalna</v>
      </c>
      <c r="I184" s="2" t="str">
        <f>TRIM(Table1[[#This Row],[Umowa]])</f>
        <v>UM-POL-02</v>
      </c>
      <c r="J184" s="2" t="b">
        <f>ISTEXT(Table14[[#This Row],[Data_Wystawienia]])</f>
        <v>0</v>
      </c>
      <c r="K184" s="2">
        <f>VALUE(SUBSTITUTE(Table14[[#This Row],[Wartość]],".",","))</f>
        <v>18304.009999999998</v>
      </c>
      <c r="L1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" s="2" t="str">
        <f>IF(Table14[[#This Row],[Umowa]]="","Poza umową","Z umowy")</f>
        <v>Z umowy</v>
      </c>
      <c r="N184" s="2">
        <f>YEAR(Table14[[#This Row],[Data_Wystawienia]])</f>
        <v>2022</v>
      </c>
      <c r="O184" s="2" t="str">
        <f>TEXT(Table14[[#This Row],[Data_Wystawienia]],"rrrr-mm")</f>
        <v>2022-03</v>
      </c>
      <c r="P184" s="2">
        <v>1</v>
      </c>
    </row>
    <row r="185" spans="1:16" x14ac:dyDescent="0.3">
      <c r="A185" s="2" t="str">
        <f>TRIM(Table1[[#This Row],[Numer_FV]])</f>
        <v>FV/POL/22456/2022</v>
      </c>
      <c r="B185" s="2" t="str">
        <f>TRIM(Table1[[#This Row],[Numer_PZ]])</f>
        <v>PZ/800183</v>
      </c>
      <c r="C185" s="2" t="str">
        <f>TRIM(Table1[[#This Row],[Dostawca]])</f>
        <v>Polmedica</v>
      </c>
      <c r="D185" s="3">
        <v>44628</v>
      </c>
      <c r="E185" s="4" t="s">
        <v>588</v>
      </c>
      <c r="F185" s="2" t="str">
        <f>TRIM(Table1[[#This Row],[Status]])</f>
        <v>Zaakceptowana</v>
      </c>
      <c r="G185" s="2" t="str">
        <f>TRIM(Table1[[#This Row],[Typ]])</f>
        <v>Faktura VAT</v>
      </c>
      <c r="H185" s="2" t="str">
        <f>TRIM(Table1[[#This Row],[Magazyn]])</f>
        <v>Apteka Szpitalna</v>
      </c>
      <c r="I185" s="2" t="str">
        <f>TRIM(Table1[[#This Row],[Umowa]])</f>
        <v>UM-POL-01</v>
      </c>
      <c r="J185" s="2" t="b">
        <f>ISTEXT(Table14[[#This Row],[Data_Wystawienia]])</f>
        <v>0</v>
      </c>
      <c r="K185" s="2">
        <f>VALUE(SUBSTITUTE(Table14[[#This Row],[Wartość]],".",","))</f>
        <v>13153.87</v>
      </c>
      <c r="L1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" s="2" t="str">
        <f>IF(Table14[[#This Row],[Umowa]]="","Poza umową","Z umowy")</f>
        <v>Z umowy</v>
      </c>
      <c r="N185" s="2">
        <f>YEAR(Table14[[#This Row],[Data_Wystawienia]])</f>
        <v>2022</v>
      </c>
      <c r="O185" s="2" t="str">
        <f>TEXT(Table14[[#This Row],[Data_Wystawienia]],"rrrr-mm")</f>
        <v>2022-03</v>
      </c>
      <c r="P185" s="2">
        <v>1</v>
      </c>
    </row>
    <row r="186" spans="1:16" x14ac:dyDescent="0.3">
      <c r="A186" s="2" t="str">
        <f>TRIM(Table1[[#This Row],[Numer_FV]])</f>
        <v>FV/28835/VDb/2022</v>
      </c>
      <c r="B186" s="2" t="str">
        <f>TRIM(Table1[[#This Row],[Numer_PZ]])</f>
        <v>PZ/800184</v>
      </c>
      <c r="C186" s="2" t="str">
        <f>TRIM(Table1[[#This Row],[Dostawca]])</f>
        <v>VitaDistrib</v>
      </c>
      <c r="D186" s="3">
        <v>44628</v>
      </c>
      <c r="E186" s="4" t="s">
        <v>591</v>
      </c>
      <c r="F186" s="2" t="str">
        <f>TRIM(Table1[[#This Row],[Status]])</f>
        <v>Zaakceptowana</v>
      </c>
      <c r="G186" s="2" t="str">
        <f>TRIM(Table1[[#This Row],[Typ]])</f>
        <v>Faktura VAT</v>
      </c>
      <c r="H186" s="2" t="str">
        <f>TRIM(Table1[[#This Row],[Magazyn]])</f>
        <v>Apteka Szpitalna</v>
      </c>
      <c r="I186" s="2" t="str">
        <f>TRIM(Table1[[#This Row],[Umowa]])</f>
        <v>UM-VIT-01</v>
      </c>
      <c r="J186" s="2" t="b">
        <f>ISTEXT(Table14[[#This Row],[Data_Wystawienia]])</f>
        <v>0</v>
      </c>
      <c r="K186" s="2">
        <f>VALUE(SUBSTITUTE(Table14[[#This Row],[Wartość]],".",","))</f>
        <v>13551.17</v>
      </c>
      <c r="L1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" s="2" t="str">
        <f>IF(Table14[[#This Row],[Umowa]]="","Poza umową","Z umowy")</f>
        <v>Z umowy</v>
      </c>
      <c r="N186" s="2">
        <f>YEAR(Table14[[#This Row],[Data_Wystawienia]])</f>
        <v>2022</v>
      </c>
      <c r="O186" s="2" t="str">
        <f>TEXT(Table14[[#This Row],[Data_Wystawienia]],"rrrr-mm")</f>
        <v>2022-03</v>
      </c>
      <c r="P186" s="2">
        <v>1</v>
      </c>
    </row>
    <row r="187" spans="1:16" x14ac:dyDescent="0.3">
      <c r="A187" s="2" t="str">
        <f>TRIM(Table1[[#This Row],[Numer_FV]])</f>
        <v>FV/5133HM/22</v>
      </c>
      <c r="B187" s="2" t="str">
        <f>TRIM(Table1[[#This Row],[Numer_PZ]])</f>
        <v>PZ/800185</v>
      </c>
      <c r="C187" s="2" t="str">
        <f>TRIM(Table1[[#This Row],[Dostawca]])</f>
        <v>HurtMedix</v>
      </c>
      <c r="D187" s="3">
        <v>44628</v>
      </c>
      <c r="E187" s="4" t="s">
        <v>594</v>
      </c>
      <c r="F187" s="2" t="str">
        <f>TRIM(Table1[[#This Row],[Status]])</f>
        <v>Zaakceptowana</v>
      </c>
      <c r="G187" s="2" t="str">
        <f>TRIM(Table1[[#This Row],[Typ]])</f>
        <v>Faktura VAT</v>
      </c>
      <c r="H187" s="2" t="str">
        <f>TRIM(Table1[[#This Row],[Magazyn]])</f>
        <v>Apteka Szpitalna</v>
      </c>
      <c r="I187" s="2" t="str">
        <f>TRIM(Table1[[#This Row],[Umowa]])</f>
        <v>UM-HUR-01</v>
      </c>
      <c r="J187" s="2" t="b">
        <f>ISTEXT(Table14[[#This Row],[Data_Wystawienia]])</f>
        <v>0</v>
      </c>
      <c r="K187" s="2">
        <f>VALUE(SUBSTITUTE(Table14[[#This Row],[Wartość]],".",","))</f>
        <v>7482.47</v>
      </c>
      <c r="L1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" s="2" t="str">
        <f>IF(Table14[[#This Row],[Umowa]]="","Poza umową","Z umowy")</f>
        <v>Z umowy</v>
      </c>
      <c r="N187" s="2">
        <f>YEAR(Table14[[#This Row],[Data_Wystawienia]])</f>
        <v>2022</v>
      </c>
      <c r="O187" s="2" t="str">
        <f>TEXT(Table14[[#This Row],[Data_Wystawienia]],"rrrr-mm")</f>
        <v>2022-03</v>
      </c>
      <c r="P187" s="2">
        <v>1</v>
      </c>
    </row>
    <row r="188" spans="1:16" x14ac:dyDescent="0.3">
      <c r="A188" s="2" t="str">
        <f>TRIM(Table1[[#This Row],[Numer_FV]])</f>
        <v>FV/44/PP/1663/22</v>
      </c>
      <c r="B188" s="2" t="str">
        <f>TRIM(Table1[[#This Row],[Numer_PZ]])</f>
        <v>PZ/800186</v>
      </c>
      <c r="C188" s="2" t="str">
        <f>TRIM(Table1[[#This Row],[Dostawca]])</f>
        <v>PharmaPlus</v>
      </c>
      <c r="D188" s="3">
        <v>44629</v>
      </c>
      <c r="E188" s="4" t="s">
        <v>597</v>
      </c>
      <c r="F188" s="2" t="str">
        <f>TRIM(Table1[[#This Row],[Status]])</f>
        <v>Zaakceptowana</v>
      </c>
      <c r="G188" s="2" t="str">
        <f>TRIM(Table1[[#This Row],[Typ]])</f>
        <v>Faktura VAT</v>
      </c>
      <c r="H188" s="2" t="str">
        <f>TRIM(Table1[[#This Row],[Magazyn]])</f>
        <v>Apteka Szpitalna</v>
      </c>
      <c r="I188" s="2" t="str">
        <f>TRIM(Table1[[#This Row],[Umowa]])</f>
        <v>UM-PHA-01</v>
      </c>
      <c r="J188" s="2" t="b">
        <f>ISTEXT(Table14[[#This Row],[Data_Wystawienia]])</f>
        <v>0</v>
      </c>
      <c r="K188" s="2">
        <f>VALUE(SUBSTITUTE(Table14[[#This Row],[Wartość]],".",","))</f>
        <v>21046.74</v>
      </c>
      <c r="L1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" s="2" t="str">
        <f>IF(Table14[[#This Row],[Umowa]]="","Poza umową","Z umowy")</f>
        <v>Z umowy</v>
      </c>
      <c r="N188" s="2">
        <f>YEAR(Table14[[#This Row],[Data_Wystawienia]])</f>
        <v>2022</v>
      </c>
      <c r="O188" s="2" t="str">
        <f>TEXT(Table14[[#This Row],[Data_Wystawienia]],"rrrr-mm")</f>
        <v>2022-03</v>
      </c>
      <c r="P188" s="2">
        <v>1</v>
      </c>
    </row>
    <row r="189" spans="1:16" x14ac:dyDescent="0.3">
      <c r="A189" s="2" t="str">
        <f>TRIM(Table1[[#This Row],[Numer_FV]])</f>
        <v>FV/23940/VDb/2022</v>
      </c>
      <c r="B189" s="2" t="str">
        <f>TRIM(Table1[[#This Row],[Numer_PZ]])</f>
        <v>PZ/800187</v>
      </c>
      <c r="C189" s="2" t="str">
        <f>TRIM(Table1[[#This Row],[Dostawca]])</f>
        <v>VitaDistrib</v>
      </c>
      <c r="D189" s="3">
        <v>44630</v>
      </c>
      <c r="E189" s="4" t="s">
        <v>600</v>
      </c>
      <c r="F189" s="2" t="str">
        <f>TRIM(Table1[[#This Row],[Status]])</f>
        <v>Zaakceptowana</v>
      </c>
      <c r="G189" s="2" t="str">
        <f>TRIM(Table1[[#This Row],[Typ]])</f>
        <v>Faktura VAT</v>
      </c>
      <c r="H189" s="2" t="str">
        <f>TRIM(Table1[[#This Row],[Magazyn]])</f>
        <v>Apteka Szpitalna</v>
      </c>
      <c r="I189" s="2" t="str">
        <f>TRIM(Table1[[#This Row],[Umowa]])</f>
        <v>UM-VIT-01</v>
      </c>
      <c r="J189" s="2" t="b">
        <f>ISTEXT(Table14[[#This Row],[Data_Wystawienia]])</f>
        <v>0</v>
      </c>
      <c r="K189" s="2">
        <f>VALUE(SUBSTITUTE(Table14[[#This Row],[Wartość]],".",","))</f>
        <v>11730.05</v>
      </c>
      <c r="L1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" s="2" t="str">
        <f>IF(Table14[[#This Row],[Umowa]]="","Poza umową","Z umowy")</f>
        <v>Z umowy</v>
      </c>
      <c r="N189" s="2">
        <f>YEAR(Table14[[#This Row],[Data_Wystawienia]])</f>
        <v>2022</v>
      </c>
      <c r="O189" s="2" t="str">
        <f>TEXT(Table14[[#This Row],[Data_Wystawienia]],"rrrr-mm")</f>
        <v>2022-03</v>
      </c>
      <c r="P189" s="2">
        <v>1</v>
      </c>
    </row>
    <row r="190" spans="1:16" x14ac:dyDescent="0.3">
      <c r="A190" s="2" t="str">
        <f>TRIM(Table1[[#This Row],[Numer_FV]])</f>
        <v>FV/48/PP/3589/22</v>
      </c>
      <c r="B190" s="2" t="str">
        <f>TRIM(Table1[[#This Row],[Numer_PZ]])</f>
        <v>PZ/800188</v>
      </c>
      <c r="C190" s="2" t="str">
        <f>TRIM(Table1[[#This Row],[Dostawca]])</f>
        <v>PharmaPlus</v>
      </c>
      <c r="D190" s="3">
        <v>44630</v>
      </c>
      <c r="E190" s="4" t="s">
        <v>603</v>
      </c>
      <c r="F190" s="2" t="str">
        <f>TRIM(Table1[[#This Row],[Status]])</f>
        <v>Zaakceptowana</v>
      </c>
      <c r="G190" s="2" t="str">
        <f>TRIM(Table1[[#This Row],[Typ]])</f>
        <v>Faktura VAT</v>
      </c>
      <c r="H190" s="2" t="str">
        <f>TRIM(Table1[[#This Row],[Magazyn]])</f>
        <v>Apteka Szpitalna</v>
      </c>
      <c r="I190" s="2" t="str">
        <f>TRIM(Table1[[#This Row],[Umowa]])</f>
        <v>UM-PHA-02</v>
      </c>
      <c r="J190" s="2" t="b">
        <f>ISTEXT(Table14[[#This Row],[Data_Wystawienia]])</f>
        <v>0</v>
      </c>
      <c r="K190" s="2">
        <f>VALUE(SUBSTITUTE(Table14[[#This Row],[Wartość]],".",","))</f>
        <v>10315.77</v>
      </c>
      <c r="L1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" s="2" t="str">
        <f>IF(Table14[[#This Row],[Umowa]]="","Poza umową","Z umowy")</f>
        <v>Z umowy</v>
      </c>
      <c r="N190" s="2">
        <f>YEAR(Table14[[#This Row],[Data_Wystawienia]])</f>
        <v>2022</v>
      </c>
      <c r="O190" s="2" t="str">
        <f>TEXT(Table14[[#This Row],[Data_Wystawienia]],"rrrr-mm")</f>
        <v>2022-03</v>
      </c>
      <c r="P190" s="2">
        <v>1</v>
      </c>
    </row>
    <row r="191" spans="1:16" x14ac:dyDescent="0.3">
      <c r="A191" s="2" t="str">
        <f>TRIM(Table1[[#This Row],[Numer_FV]])</f>
        <v>FV/90171/VDb/2022</v>
      </c>
      <c r="B191" s="2" t="str">
        <f>TRIM(Table1[[#This Row],[Numer_PZ]])</f>
        <v>PZ/800189</v>
      </c>
      <c r="C191" s="2" t="str">
        <f>TRIM(Table1[[#This Row],[Dostawca]])</f>
        <v>VitaDistrib</v>
      </c>
      <c r="D191" s="3">
        <v>44631</v>
      </c>
      <c r="E191" s="4" t="s">
        <v>606</v>
      </c>
      <c r="F191" s="2" t="str">
        <f>TRIM(Table1[[#This Row],[Status]])</f>
        <v>Zaakceptowana</v>
      </c>
      <c r="G191" s="2" t="str">
        <f>TRIM(Table1[[#This Row],[Typ]])</f>
        <v>Faktura VAT</v>
      </c>
      <c r="H191" s="2" t="str">
        <f>TRIM(Table1[[#This Row],[Magazyn]])</f>
        <v>Apteka Szpitalna</v>
      </c>
      <c r="I191" s="2" t="str">
        <f>TRIM(Table1[[#This Row],[Umowa]])</f>
        <v/>
      </c>
      <c r="J191" s="2" t="b">
        <f>ISTEXT(Table14[[#This Row],[Data_Wystawienia]])</f>
        <v>0</v>
      </c>
      <c r="K191" s="2">
        <f>VALUE(SUBSTITUTE(Table14[[#This Row],[Wartość]],".",","))</f>
        <v>9543.86</v>
      </c>
      <c r="L1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" s="2" t="str">
        <f>IF(Table14[[#This Row],[Umowa]]="","Poza umową","Z umowy")</f>
        <v>Poza umową</v>
      </c>
      <c r="N191" s="2">
        <f>YEAR(Table14[[#This Row],[Data_Wystawienia]])</f>
        <v>2022</v>
      </c>
      <c r="O191" s="2" t="str">
        <f>TEXT(Table14[[#This Row],[Data_Wystawienia]],"rrrr-mm")</f>
        <v>2022-03</v>
      </c>
      <c r="P191" s="2">
        <v>1</v>
      </c>
    </row>
    <row r="192" spans="1:16" x14ac:dyDescent="0.3">
      <c r="A192" s="2" t="str">
        <f>TRIM(Table1[[#This Row],[Numer_FV]])</f>
        <v>FV/85/PP/6085/22</v>
      </c>
      <c r="B192" s="2" t="str">
        <f>TRIM(Table1[[#This Row],[Numer_PZ]])</f>
        <v>PZ/800190</v>
      </c>
      <c r="C192" s="2" t="str">
        <f>TRIM(Table1[[#This Row],[Dostawca]])</f>
        <v>PharmaPlus</v>
      </c>
      <c r="D192" s="3">
        <v>44631</v>
      </c>
      <c r="E192" s="4" t="s">
        <v>609</v>
      </c>
      <c r="F192" s="2" t="str">
        <f>TRIM(Table1[[#This Row],[Status]])</f>
        <v>Zaakceptowana</v>
      </c>
      <c r="G192" s="2" t="str">
        <f>TRIM(Table1[[#This Row],[Typ]])</f>
        <v>Faktura VAT</v>
      </c>
      <c r="H192" s="2" t="str">
        <f>TRIM(Table1[[#This Row],[Magazyn]])</f>
        <v>Apteka Szpitalna</v>
      </c>
      <c r="I192" s="2" t="str">
        <f>TRIM(Table1[[#This Row],[Umowa]])</f>
        <v>UM-PHA-02</v>
      </c>
      <c r="J192" s="2" t="b">
        <f>ISTEXT(Table14[[#This Row],[Data_Wystawienia]])</f>
        <v>0</v>
      </c>
      <c r="K192" s="2">
        <f>VALUE(SUBSTITUTE(Table14[[#This Row],[Wartość]],".",","))</f>
        <v>11543.97</v>
      </c>
      <c r="L1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" s="2" t="str">
        <f>IF(Table14[[#This Row],[Umowa]]="","Poza umową","Z umowy")</f>
        <v>Z umowy</v>
      </c>
      <c r="N192" s="2">
        <f>YEAR(Table14[[#This Row],[Data_Wystawienia]])</f>
        <v>2022</v>
      </c>
      <c r="O192" s="2" t="str">
        <f>TEXT(Table14[[#This Row],[Data_Wystawienia]],"rrrr-mm")</f>
        <v>2022-03</v>
      </c>
      <c r="P192" s="2">
        <v>1</v>
      </c>
    </row>
    <row r="193" spans="1:16" x14ac:dyDescent="0.3">
      <c r="A193" s="2" t="str">
        <f>TRIM(Table1[[#This Row],[Numer_FV]])</f>
        <v>FV/18/SAL/22</v>
      </c>
      <c r="B193" s="2" t="str">
        <f>TRIM(Table1[[#This Row],[Numer_PZ]])</f>
        <v>PZ/800191</v>
      </c>
      <c r="C193" s="2" t="str">
        <f>TRIM(Table1[[#This Row],[Dostawca]])</f>
        <v>SalusHurt</v>
      </c>
      <c r="D193" s="3">
        <v>44632</v>
      </c>
      <c r="E193" s="4" t="s">
        <v>612</v>
      </c>
      <c r="F193" s="2" t="str">
        <f>TRIM(Table1[[#This Row],[Status]])</f>
        <v>Zaakceptowana</v>
      </c>
      <c r="G193" s="2" t="str">
        <f>TRIM(Table1[[#This Row],[Typ]])</f>
        <v>Faktura VAT</v>
      </c>
      <c r="H193" s="2" t="str">
        <f>TRIM(Table1[[#This Row],[Magazyn]])</f>
        <v>Apteka Szpitalna</v>
      </c>
      <c r="I193" s="2" t="str">
        <f>TRIM(Table1[[#This Row],[Umowa]])</f>
        <v>UM-SAL-02</v>
      </c>
      <c r="J193" s="2" t="b">
        <f>ISTEXT(Table14[[#This Row],[Data_Wystawienia]])</f>
        <v>0</v>
      </c>
      <c r="K193" s="2">
        <f>VALUE(SUBSTITUTE(Table14[[#This Row],[Wartość]],".",","))</f>
        <v>23180.04</v>
      </c>
      <c r="L1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" s="2" t="str">
        <f>IF(Table14[[#This Row],[Umowa]]="","Poza umową","Z umowy")</f>
        <v>Z umowy</v>
      </c>
      <c r="N193" s="2">
        <f>YEAR(Table14[[#This Row],[Data_Wystawienia]])</f>
        <v>2022</v>
      </c>
      <c r="O193" s="2" t="str">
        <f>TEXT(Table14[[#This Row],[Data_Wystawienia]],"rrrr-mm")</f>
        <v>2022-03</v>
      </c>
      <c r="P193" s="2">
        <v>1</v>
      </c>
    </row>
    <row r="194" spans="1:16" x14ac:dyDescent="0.3">
      <c r="A194" s="2" t="str">
        <f>TRIM(Table1[[#This Row],[Numer_FV]])</f>
        <v>FV/2976HM/22</v>
      </c>
      <c r="B194" s="2" t="str">
        <f>TRIM(Table1[[#This Row],[Numer_PZ]])</f>
        <v>PZ/800192</v>
      </c>
      <c r="C194" s="2" t="str">
        <f>TRIM(Table1[[#This Row],[Dostawca]])</f>
        <v>HurtMedix</v>
      </c>
      <c r="D194" s="3">
        <v>44632</v>
      </c>
      <c r="E194" s="4" t="s">
        <v>615</v>
      </c>
      <c r="F194" s="2" t="str">
        <f>TRIM(Table1[[#This Row],[Status]])</f>
        <v>Zaakceptowana</v>
      </c>
      <c r="G194" s="2" t="str">
        <f>TRIM(Table1[[#This Row],[Typ]])</f>
        <v>Faktura VAT</v>
      </c>
      <c r="H194" s="2" t="str">
        <f>TRIM(Table1[[#This Row],[Magazyn]])</f>
        <v>Apteka Szpitalna</v>
      </c>
      <c r="I194" s="2" t="str">
        <f>TRIM(Table1[[#This Row],[Umowa]])</f>
        <v/>
      </c>
      <c r="J194" s="2" t="b">
        <f>ISTEXT(Table14[[#This Row],[Data_Wystawienia]])</f>
        <v>0</v>
      </c>
      <c r="K194" s="2">
        <f>VALUE(SUBSTITUTE(Table14[[#This Row],[Wartość]],".",","))</f>
        <v>7750.33</v>
      </c>
      <c r="L1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" s="2" t="str">
        <f>IF(Table14[[#This Row],[Umowa]]="","Poza umową","Z umowy")</f>
        <v>Poza umową</v>
      </c>
      <c r="N194" s="2">
        <f>YEAR(Table14[[#This Row],[Data_Wystawienia]])</f>
        <v>2022</v>
      </c>
      <c r="O194" s="2" t="str">
        <f>TEXT(Table14[[#This Row],[Data_Wystawienia]],"rrrr-mm")</f>
        <v>2022-03</v>
      </c>
      <c r="P194" s="2">
        <v>1</v>
      </c>
    </row>
    <row r="195" spans="1:16" x14ac:dyDescent="0.3">
      <c r="A195" s="2" t="str">
        <f>TRIM(Table1[[#This Row],[Numer_FV]])</f>
        <v>FV/1356/NOVA/22</v>
      </c>
      <c r="B195" s="2" t="str">
        <f>TRIM(Table1[[#This Row],[Numer_PZ]])</f>
        <v>PZ/800193</v>
      </c>
      <c r="C195" s="2" t="str">
        <f>TRIM(Table1[[#This Row],[Dostawca]])</f>
        <v>NovaLek</v>
      </c>
      <c r="D195" s="3">
        <v>44632</v>
      </c>
      <c r="E195" s="4" t="s">
        <v>618</v>
      </c>
      <c r="F195" s="2" t="str">
        <f>TRIM(Table1[[#This Row],[Status]])</f>
        <v>Zaakceptowana</v>
      </c>
      <c r="G195" s="2" t="str">
        <f>TRIM(Table1[[#This Row],[Typ]])</f>
        <v>Faktura VAT</v>
      </c>
      <c r="H195" s="2" t="str">
        <f>TRIM(Table1[[#This Row],[Magazyn]])</f>
        <v>Apteka Szpitalna</v>
      </c>
      <c r="I195" s="2" t="str">
        <f>TRIM(Table1[[#This Row],[Umowa]])</f>
        <v/>
      </c>
      <c r="J195" s="2" t="b">
        <f>ISTEXT(Table14[[#This Row],[Data_Wystawienia]])</f>
        <v>0</v>
      </c>
      <c r="K195" s="2">
        <f>VALUE(SUBSTITUTE(Table14[[#This Row],[Wartość]],".",","))</f>
        <v>15794.19</v>
      </c>
      <c r="L1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" s="2" t="str">
        <f>IF(Table14[[#This Row],[Umowa]]="","Poza umową","Z umowy")</f>
        <v>Poza umową</v>
      </c>
      <c r="N195" s="2">
        <f>YEAR(Table14[[#This Row],[Data_Wystawienia]])</f>
        <v>2022</v>
      </c>
      <c r="O195" s="2" t="str">
        <f>TEXT(Table14[[#This Row],[Data_Wystawienia]],"rrrr-mm")</f>
        <v>2022-03</v>
      </c>
      <c r="P195" s="2">
        <v>1</v>
      </c>
    </row>
    <row r="196" spans="1:16" x14ac:dyDescent="0.3">
      <c r="A196" s="2" t="str">
        <f>TRIM(Table1[[#This Row],[Numer_FV]])</f>
        <v>FV/8461HM/22</v>
      </c>
      <c r="B196" s="2" t="str">
        <f>TRIM(Table1[[#This Row],[Numer_PZ]])</f>
        <v>PZ/800194</v>
      </c>
      <c r="C196" s="2" t="str">
        <f>TRIM(Table1[[#This Row],[Dostawca]])</f>
        <v>HurtMedix</v>
      </c>
      <c r="D196" s="3">
        <v>44632</v>
      </c>
      <c r="E196" s="4" t="s">
        <v>621</v>
      </c>
      <c r="F196" s="2" t="str">
        <f>TRIM(Table1[[#This Row],[Status]])</f>
        <v>Zaakceptowana</v>
      </c>
      <c r="G196" s="2" t="str">
        <f>TRIM(Table1[[#This Row],[Typ]])</f>
        <v>Faktura VAT</v>
      </c>
      <c r="H196" s="2" t="str">
        <f>TRIM(Table1[[#This Row],[Magazyn]])</f>
        <v>Apteka Szpitalna</v>
      </c>
      <c r="I196" s="2" t="str">
        <f>TRIM(Table1[[#This Row],[Umowa]])</f>
        <v>UM-HUR-02</v>
      </c>
      <c r="J196" s="2" t="b">
        <f>ISTEXT(Table14[[#This Row],[Data_Wystawienia]])</f>
        <v>0</v>
      </c>
      <c r="K196" s="2">
        <f>VALUE(SUBSTITUTE(Table14[[#This Row],[Wartość]],".",","))</f>
        <v>14304.57</v>
      </c>
      <c r="L1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" s="2" t="str">
        <f>IF(Table14[[#This Row],[Umowa]]="","Poza umową","Z umowy")</f>
        <v>Z umowy</v>
      </c>
      <c r="N196" s="2">
        <f>YEAR(Table14[[#This Row],[Data_Wystawienia]])</f>
        <v>2022</v>
      </c>
      <c r="O196" s="2" t="str">
        <f>TEXT(Table14[[#This Row],[Data_Wystawienia]],"rrrr-mm")</f>
        <v>2022-03</v>
      </c>
      <c r="P196" s="2">
        <v>1</v>
      </c>
    </row>
    <row r="197" spans="1:16" x14ac:dyDescent="0.3">
      <c r="A197" s="2" t="str">
        <f>TRIM(Table1[[#This Row],[Numer_FV]])</f>
        <v>FV/4761/NOVA/22</v>
      </c>
      <c r="B197" s="2" t="str">
        <f>TRIM(Table1[[#This Row],[Numer_PZ]])</f>
        <v>PZ/800195</v>
      </c>
      <c r="C197" s="2" t="str">
        <f>TRIM(Table1[[#This Row],[Dostawca]])</f>
        <v>NovaLek</v>
      </c>
      <c r="D197" s="3">
        <v>44632</v>
      </c>
      <c r="E197" s="4" t="s">
        <v>624</v>
      </c>
      <c r="F197" s="2" t="str">
        <f>TRIM(Table1[[#This Row],[Status]])</f>
        <v>Zaakceptowana</v>
      </c>
      <c r="G197" s="2" t="str">
        <f>TRIM(Table1[[#This Row],[Typ]])</f>
        <v>Faktura VAT</v>
      </c>
      <c r="H197" s="2" t="str">
        <f>TRIM(Table1[[#This Row],[Magazyn]])</f>
        <v>Apteka Szpitalna</v>
      </c>
      <c r="I197" s="2" t="str">
        <f>TRIM(Table1[[#This Row],[Umowa]])</f>
        <v>UM-NOV-03</v>
      </c>
      <c r="J197" s="2" t="b">
        <f>ISTEXT(Table14[[#This Row],[Data_Wystawienia]])</f>
        <v>0</v>
      </c>
      <c r="K197" s="2">
        <f>VALUE(SUBSTITUTE(Table14[[#This Row],[Wartość]],".",","))</f>
        <v>12460.34</v>
      </c>
      <c r="L1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" s="2" t="str">
        <f>IF(Table14[[#This Row],[Umowa]]="","Poza umową","Z umowy")</f>
        <v>Z umowy</v>
      </c>
      <c r="N197" s="2">
        <f>YEAR(Table14[[#This Row],[Data_Wystawienia]])</f>
        <v>2022</v>
      </c>
      <c r="O197" s="2" t="str">
        <f>TEXT(Table14[[#This Row],[Data_Wystawienia]],"rrrr-mm")</f>
        <v>2022-03</v>
      </c>
      <c r="P197" s="2">
        <v>1</v>
      </c>
    </row>
    <row r="198" spans="1:16" x14ac:dyDescent="0.3">
      <c r="A198" s="2" t="str">
        <f>TRIM(Table1[[#This Row],[Numer_FV]])</f>
        <v>FV/1501/NOVA/22</v>
      </c>
      <c r="B198" s="2" t="str">
        <f>TRIM(Table1[[#This Row],[Numer_PZ]])</f>
        <v>PZ/800196</v>
      </c>
      <c r="C198" s="2" t="str">
        <f>TRIM(Table1[[#This Row],[Dostawca]])</f>
        <v>NovaLek</v>
      </c>
      <c r="D198" s="3">
        <v>44633</v>
      </c>
      <c r="E198" s="4" t="s">
        <v>627</v>
      </c>
      <c r="F198" s="2" t="str">
        <f>TRIM(Table1[[#This Row],[Status]])</f>
        <v>Zaakceptowana</v>
      </c>
      <c r="G198" s="2" t="str">
        <f>TRIM(Table1[[#This Row],[Typ]])</f>
        <v>Faktura VAT</v>
      </c>
      <c r="H198" s="2" t="str">
        <f>TRIM(Table1[[#This Row],[Magazyn]])</f>
        <v>Apteka Szpitalna</v>
      </c>
      <c r="I198" s="2" t="str">
        <f>TRIM(Table1[[#This Row],[Umowa]])</f>
        <v>UM-NOV-02</v>
      </c>
      <c r="J198" s="2" t="b">
        <f>ISTEXT(Table14[[#This Row],[Data_Wystawienia]])</f>
        <v>0</v>
      </c>
      <c r="K198" s="2">
        <f>VALUE(SUBSTITUTE(Table14[[#This Row],[Wartość]],".",","))</f>
        <v>22235.05</v>
      </c>
      <c r="L1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" s="2" t="str">
        <f>IF(Table14[[#This Row],[Umowa]]="","Poza umową","Z umowy")</f>
        <v>Z umowy</v>
      </c>
      <c r="N198" s="2">
        <f>YEAR(Table14[[#This Row],[Data_Wystawienia]])</f>
        <v>2022</v>
      </c>
      <c r="O198" s="2" t="str">
        <f>TEXT(Table14[[#This Row],[Data_Wystawienia]],"rrrr-mm")</f>
        <v>2022-03</v>
      </c>
      <c r="P198" s="2">
        <v>1</v>
      </c>
    </row>
    <row r="199" spans="1:16" x14ac:dyDescent="0.3">
      <c r="A199" s="2" t="str">
        <f>TRIM(Table1[[#This Row],[Numer_FV]])</f>
        <v>FV/51026/VDb/2022</v>
      </c>
      <c r="B199" s="2" t="str">
        <f>TRIM(Table1[[#This Row],[Numer_PZ]])</f>
        <v>PZ/800197</v>
      </c>
      <c r="C199" s="2" t="str">
        <f>TRIM(Table1[[#This Row],[Dostawca]])</f>
        <v>VitaDistrib</v>
      </c>
      <c r="D199" s="3">
        <v>44633</v>
      </c>
      <c r="E199" s="4" t="s">
        <v>630</v>
      </c>
      <c r="F199" s="2" t="str">
        <f>TRIM(Table1[[#This Row],[Status]])</f>
        <v>Zaakceptowana</v>
      </c>
      <c r="G199" s="2" t="str">
        <f>TRIM(Table1[[#This Row],[Typ]])</f>
        <v>Faktura VAT</v>
      </c>
      <c r="H199" s="2" t="str">
        <f>TRIM(Table1[[#This Row],[Magazyn]])</f>
        <v>Apteka Szpitalna</v>
      </c>
      <c r="I199" s="2" t="str">
        <f>TRIM(Table1[[#This Row],[Umowa]])</f>
        <v>UM-VIT-01</v>
      </c>
      <c r="J199" s="2" t="b">
        <f>ISTEXT(Table14[[#This Row],[Data_Wystawienia]])</f>
        <v>0</v>
      </c>
      <c r="K199" s="2">
        <f>VALUE(SUBSTITUTE(Table14[[#This Row],[Wartość]],".",","))</f>
        <v>12668.14</v>
      </c>
      <c r="L1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" s="2" t="str">
        <f>IF(Table14[[#This Row],[Umowa]]="","Poza umową","Z umowy")</f>
        <v>Z umowy</v>
      </c>
      <c r="N199" s="2">
        <f>YEAR(Table14[[#This Row],[Data_Wystawienia]])</f>
        <v>2022</v>
      </c>
      <c r="O199" s="2" t="str">
        <f>TEXT(Table14[[#This Row],[Data_Wystawienia]],"rrrr-mm")</f>
        <v>2022-03</v>
      </c>
      <c r="P199" s="2">
        <v>1</v>
      </c>
    </row>
    <row r="200" spans="1:16" x14ac:dyDescent="0.3">
      <c r="A200" s="2" t="str">
        <f>TRIM(Table1[[#This Row],[Numer_FV]])</f>
        <v>FV/POL/67629/2022</v>
      </c>
      <c r="B200" s="2" t="str">
        <f>TRIM(Table1[[#This Row],[Numer_PZ]])</f>
        <v>PZ/800198</v>
      </c>
      <c r="C200" s="2" t="str">
        <f>TRIM(Table1[[#This Row],[Dostawca]])</f>
        <v>Polmedica</v>
      </c>
      <c r="D200" s="3">
        <v>44634</v>
      </c>
      <c r="E200" s="4" t="s">
        <v>633</v>
      </c>
      <c r="F200" s="2" t="str">
        <f>TRIM(Table1[[#This Row],[Status]])</f>
        <v>Zaakceptowana</v>
      </c>
      <c r="G200" s="2" t="str">
        <f>TRIM(Table1[[#This Row],[Typ]])</f>
        <v>Faktura VAT</v>
      </c>
      <c r="H200" s="2" t="str">
        <f>TRIM(Table1[[#This Row],[Magazyn]])</f>
        <v>Apteka Szpitalna</v>
      </c>
      <c r="I200" s="2" t="str">
        <f>TRIM(Table1[[#This Row],[Umowa]])</f>
        <v>UM-POL-03</v>
      </c>
      <c r="J200" s="2" t="b">
        <f>ISTEXT(Table14[[#This Row],[Data_Wystawienia]])</f>
        <v>0</v>
      </c>
      <c r="K200" s="2">
        <f>VALUE(SUBSTITUTE(Table14[[#This Row],[Wartość]],".",","))</f>
        <v>14364.43</v>
      </c>
      <c r="L2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" s="2" t="str">
        <f>IF(Table14[[#This Row],[Umowa]]="","Poza umową","Z umowy")</f>
        <v>Z umowy</v>
      </c>
      <c r="N200" s="2">
        <f>YEAR(Table14[[#This Row],[Data_Wystawienia]])</f>
        <v>2022</v>
      </c>
      <c r="O200" s="2" t="str">
        <f>TEXT(Table14[[#This Row],[Data_Wystawienia]],"rrrr-mm")</f>
        <v>2022-03</v>
      </c>
      <c r="P200" s="2">
        <v>1</v>
      </c>
    </row>
    <row r="201" spans="1:16" x14ac:dyDescent="0.3">
      <c r="A201" s="2" t="str">
        <f>TRIM(Table1[[#This Row],[Numer_FV]])</f>
        <v>FV/M/2604/P/22</v>
      </c>
      <c r="B201" s="2" t="str">
        <f>TRIM(Table1[[#This Row],[Numer_PZ]])</f>
        <v>PZ/800199</v>
      </c>
      <c r="C201" s="2" t="str">
        <f>TRIM(Table1[[#This Row],[Dostawca]])</f>
        <v>MedicaPharm</v>
      </c>
      <c r="D201" s="3">
        <v>44635</v>
      </c>
      <c r="E201" s="4" t="s">
        <v>636</v>
      </c>
      <c r="F201" s="2" t="str">
        <f>TRIM(Table1[[#This Row],[Status]])</f>
        <v>Zaakceptowana</v>
      </c>
      <c r="G201" s="2" t="str">
        <f>TRIM(Table1[[#This Row],[Typ]])</f>
        <v>Faktura VAT</v>
      </c>
      <c r="H201" s="2" t="str">
        <f>TRIM(Table1[[#This Row],[Magazyn]])</f>
        <v>Apteka Szpitalna</v>
      </c>
      <c r="I201" s="2" t="str">
        <f>TRIM(Table1[[#This Row],[Umowa]])</f>
        <v>UM-MED-02</v>
      </c>
      <c r="J201" s="2" t="b">
        <f>ISTEXT(Table14[[#This Row],[Data_Wystawienia]])</f>
        <v>0</v>
      </c>
      <c r="K201" s="2">
        <f>VALUE(SUBSTITUTE(Table14[[#This Row],[Wartość]],".",","))</f>
        <v>14354.27</v>
      </c>
      <c r="L2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" s="2" t="str">
        <f>IF(Table14[[#This Row],[Umowa]]="","Poza umową","Z umowy")</f>
        <v>Z umowy</v>
      </c>
      <c r="N201" s="2">
        <f>YEAR(Table14[[#This Row],[Data_Wystawienia]])</f>
        <v>2022</v>
      </c>
      <c r="O201" s="2" t="str">
        <f>TEXT(Table14[[#This Row],[Data_Wystawienia]],"rrrr-mm")</f>
        <v>2022-03</v>
      </c>
      <c r="P201" s="2">
        <v>1</v>
      </c>
    </row>
    <row r="202" spans="1:16" x14ac:dyDescent="0.3">
      <c r="A202" s="2" t="str">
        <f>TRIM(Table1[[#This Row],[Numer_FV]])</f>
        <v>FV/4074HM/22</v>
      </c>
      <c r="B202" s="2" t="str">
        <f>TRIM(Table1[[#This Row],[Numer_PZ]])</f>
        <v>PZ/800200</v>
      </c>
      <c r="C202" s="2" t="str">
        <f>TRIM(Table1[[#This Row],[Dostawca]])</f>
        <v>HurtMedix</v>
      </c>
      <c r="D202" s="3">
        <v>44635</v>
      </c>
      <c r="E202" s="4" t="s">
        <v>639</v>
      </c>
      <c r="F202" s="2" t="str">
        <f>TRIM(Table1[[#This Row],[Status]])</f>
        <v>Zaakceptowana</v>
      </c>
      <c r="G202" s="2" t="str">
        <f>TRIM(Table1[[#This Row],[Typ]])</f>
        <v>Faktura VAT</v>
      </c>
      <c r="H202" s="2" t="str">
        <f>TRIM(Table1[[#This Row],[Magazyn]])</f>
        <v>Apteka Szpitalna</v>
      </c>
      <c r="I202" s="2" t="str">
        <f>TRIM(Table1[[#This Row],[Umowa]])</f>
        <v>UM-HUR-03</v>
      </c>
      <c r="J202" s="2" t="b">
        <f>ISTEXT(Table14[[#This Row],[Data_Wystawienia]])</f>
        <v>0</v>
      </c>
      <c r="K202" s="2">
        <f>VALUE(SUBSTITUTE(Table14[[#This Row],[Wartość]],".",","))</f>
        <v>14644.1</v>
      </c>
      <c r="L2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" s="2" t="str">
        <f>IF(Table14[[#This Row],[Umowa]]="","Poza umową","Z umowy")</f>
        <v>Z umowy</v>
      </c>
      <c r="N202" s="2">
        <f>YEAR(Table14[[#This Row],[Data_Wystawienia]])</f>
        <v>2022</v>
      </c>
      <c r="O202" s="2" t="str">
        <f>TEXT(Table14[[#This Row],[Data_Wystawienia]],"rrrr-mm")</f>
        <v>2022-03</v>
      </c>
      <c r="P202" s="2">
        <v>1</v>
      </c>
    </row>
    <row r="203" spans="1:16" x14ac:dyDescent="0.3">
      <c r="A203" s="2" t="str">
        <f>TRIM(Table1[[#This Row],[Numer_FV]])</f>
        <v>FV/82499/VDb/2022</v>
      </c>
      <c r="B203" s="2" t="str">
        <f>TRIM(Table1[[#This Row],[Numer_PZ]])</f>
        <v>PZ/800201</v>
      </c>
      <c r="C203" s="2" t="str">
        <f>TRIM(Table1[[#This Row],[Dostawca]])</f>
        <v>VitaDistrib</v>
      </c>
      <c r="D203" s="3">
        <v>44635</v>
      </c>
      <c r="E203" s="4" t="s">
        <v>642</v>
      </c>
      <c r="F203" s="2" t="str">
        <f>TRIM(Table1[[#This Row],[Status]])</f>
        <v>Zaakceptowana</v>
      </c>
      <c r="G203" s="2" t="str">
        <f>TRIM(Table1[[#This Row],[Typ]])</f>
        <v>Faktura VAT</v>
      </c>
      <c r="H203" s="2" t="str">
        <f>TRIM(Table1[[#This Row],[Magazyn]])</f>
        <v>Apteka Szpitalna</v>
      </c>
      <c r="I203" s="2" t="str">
        <f>TRIM(Table1[[#This Row],[Umowa]])</f>
        <v>UM-VIT-01</v>
      </c>
      <c r="J203" s="2" t="b">
        <f>ISTEXT(Table14[[#This Row],[Data_Wystawienia]])</f>
        <v>0</v>
      </c>
      <c r="K203" s="2">
        <f>VALUE(SUBSTITUTE(Table14[[#This Row],[Wartość]],".",","))</f>
        <v>17775</v>
      </c>
      <c r="L2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" s="2" t="str">
        <f>IF(Table14[[#This Row],[Umowa]]="","Poza umową","Z umowy")</f>
        <v>Z umowy</v>
      </c>
      <c r="N203" s="2">
        <f>YEAR(Table14[[#This Row],[Data_Wystawienia]])</f>
        <v>2022</v>
      </c>
      <c r="O203" s="2" t="str">
        <f>TEXT(Table14[[#This Row],[Data_Wystawienia]],"rrrr-mm")</f>
        <v>2022-03</v>
      </c>
      <c r="P203" s="2">
        <v>1</v>
      </c>
    </row>
    <row r="204" spans="1:16" x14ac:dyDescent="0.3">
      <c r="A204" s="2" t="str">
        <f>TRIM(Table1[[#This Row],[Numer_FV]])</f>
        <v>FV/POL/89786/2022</v>
      </c>
      <c r="B204" s="2" t="str">
        <f>TRIM(Table1[[#This Row],[Numer_PZ]])</f>
        <v>PZ/800202</v>
      </c>
      <c r="C204" s="2" t="str">
        <f>TRIM(Table1[[#This Row],[Dostawca]])</f>
        <v>Polmedica</v>
      </c>
      <c r="D204" s="3">
        <v>44636</v>
      </c>
      <c r="E204" s="4" t="s">
        <v>645</v>
      </c>
      <c r="F204" s="2" t="str">
        <f>TRIM(Table1[[#This Row],[Status]])</f>
        <v>Zaakceptowana</v>
      </c>
      <c r="G204" s="2" t="str">
        <f>TRIM(Table1[[#This Row],[Typ]])</f>
        <v>Faktura VAT</v>
      </c>
      <c r="H204" s="2" t="str">
        <f>TRIM(Table1[[#This Row],[Magazyn]])</f>
        <v>Apteka Szpitalna</v>
      </c>
      <c r="I204" s="2" t="str">
        <f>TRIM(Table1[[#This Row],[Umowa]])</f>
        <v>UM-POL-02</v>
      </c>
      <c r="J204" s="2" t="b">
        <f>ISTEXT(Table14[[#This Row],[Data_Wystawienia]])</f>
        <v>0</v>
      </c>
      <c r="K204" s="2">
        <f>VALUE(SUBSTITUTE(Table14[[#This Row],[Wartość]],".",","))</f>
        <v>14834.5</v>
      </c>
      <c r="L2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" s="2" t="str">
        <f>IF(Table14[[#This Row],[Umowa]]="","Poza umową","Z umowy")</f>
        <v>Z umowy</v>
      </c>
      <c r="N204" s="2">
        <f>YEAR(Table14[[#This Row],[Data_Wystawienia]])</f>
        <v>2022</v>
      </c>
      <c r="O204" s="2" t="str">
        <f>TEXT(Table14[[#This Row],[Data_Wystawienia]],"rrrr-mm")</f>
        <v>2022-03</v>
      </c>
      <c r="P204" s="2">
        <v>1</v>
      </c>
    </row>
    <row r="205" spans="1:16" x14ac:dyDescent="0.3">
      <c r="A205" s="2" t="str">
        <f>TRIM(Table1[[#This Row],[Numer_FV]])</f>
        <v>FV/CENFA/409520/22</v>
      </c>
      <c r="B205" s="2" t="str">
        <f>TRIM(Table1[[#This Row],[Numer_PZ]])</f>
        <v>PZ/800203</v>
      </c>
      <c r="C205" s="2" t="str">
        <f>TRIM(Table1[[#This Row],[Dostawca]])</f>
        <v>CentrumFarm</v>
      </c>
      <c r="D205" s="3">
        <v>44636</v>
      </c>
      <c r="E205" s="4" t="s">
        <v>648</v>
      </c>
      <c r="F205" s="2" t="str">
        <f>TRIM(Table1[[#This Row],[Status]])</f>
        <v>Zaakceptowana</v>
      </c>
      <c r="G205" s="2" t="str">
        <f>TRIM(Table1[[#This Row],[Typ]])</f>
        <v>Faktura VAT</v>
      </c>
      <c r="H205" s="2" t="str">
        <f>TRIM(Table1[[#This Row],[Magazyn]])</f>
        <v>Apteka Szpitalna</v>
      </c>
      <c r="I205" s="2" t="str">
        <f>TRIM(Table1[[#This Row],[Umowa]])</f>
        <v>UM-CEN-01</v>
      </c>
      <c r="J205" s="2" t="b">
        <f>ISTEXT(Table14[[#This Row],[Data_Wystawienia]])</f>
        <v>0</v>
      </c>
      <c r="K205" s="2">
        <f>VALUE(SUBSTITUTE(Table14[[#This Row],[Wartość]],".",","))</f>
        <v>20433.12</v>
      </c>
      <c r="L2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" s="2" t="str">
        <f>IF(Table14[[#This Row],[Umowa]]="","Poza umową","Z umowy")</f>
        <v>Z umowy</v>
      </c>
      <c r="N205" s="2">
        <f>YEAR(Table14[[#This Row],[Data_Wystawienia]])</f>
        <v>2022</v>
      </c>
      <c r="O205" s="2" t="str">
        <f>TEXT(Table14[[#This Row],[Data_Wystawienia]],"rrrr-mm")</f>
        <v>2022-03</v>
      </c>
      <c r="P205" s="2">
        <v>1</v>
      </c>
    </row>
    <row r="206" spans="1:16" x14ac:dyDescent="0.3">
      <c r="A206" s="2" t="str">
        <f>TRIM(Table1[[#This Row],[Numer_FV]])</f>
        <v>FV/68/PP/2143/22</v>
      </c>
      <c r="B206" s="2" t="str">
        <f>TRIM(Table1[[#This Row],[Numer_PZ]])</f>
        <v>PZ/800204</v>
      </c>
      <c r="C206" s="2" t="str">
        <f>TRIM(Table1[[#This Row],[Dostawca]])</f>
        <v>PharmaPlus</v>
      </c>
      <c r="D206" s="3">
        <v>44636</v>
      </c>
      <c r="E206" s="4" t="s">
        <v>651</v>
      </c>
      <c r="F206" s="2" t="str">
        <f>TRIM(Table1[[#This Row],[Status]])</f>
        <v>Zaakceptowana</v>
      </c>
      <c r="G206" s="2" t="str">
        <f>TRIM(Table1[[#This Row],[Typ]])</f>
        <v>Faktura VAT</v>
      </c>
      <c r="H206" s="2" t="str">
        <f>TRIM(Table1[[#This Row],[Magazyn]])</f>
        <v>Apteka Szpitalna</v>
      </c>
      <c r="I206" s="2" t="str">
        <f>TRIM(Table1[[#This Row],[Umowa]])</f>
        <v>UM-PHA-02</v>
      </c>
      <c r="J206" s="2" t="b">
        <f>ISTEXT(Table14[[#This Row],[Data_Wystawienia]])</f>
        <v>0</v>
      </c>
      <c r="K206" s="2">
        <f>VALUE(SUBSTITUTE(Table14[[#This Row],[Wartość]],".",","))</f>
        <v>17767.93</v>
      </c>
      <c r="L2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" s="2" t="str">
        <f>IF(Table14[[#This Row],[Umowa]]="","Poza umową","Z umowy")</f>
        <v>Z umowy</v>
      </c>
      <c r="N206" s="2">
        <f>YEAR(Table14[[#This Row],[Data_Wystawienia]])</f>
        <v>2022</v>
      </c>
      <c r="O206" s="2" t="str">
        <f>TEXT(Table14[[#This Row],[Data_Wystawienia]],"rrrr-mm")</f>
        <v>2022-03</v>
      </c>
      <c r="P206" s="2">
        <v>1</v>
      </c>
    </row>
    <row r="207" spans="1:16" x14ac:dyDescent="0.3">
      <c r="A207" s="2" t="str">
        <f>TRIM(Table1[[#This Row],[Numer_FV]])</f>
        <v>FV/3141/NOVA/22</v>
      </c>
      <c r="B207" s="2" t="str">
        <f>TRIM(Table1[[#This Row],[Numer_PZ]])</f>
        <v>PZ/800205</v>
      </c>
      <c r="C207" s="2" t="str">
        <f>TRIM(Table1[[#This Row],[Dostawca]])</f>
        <v>NovaLek</v>
      </c>
      <c r="D207" s="3">
        <v>44637</v>
      </c>
      <c r="E207" s="4" t="s">
        <v>654</v>
      </c>
      <c r="F207" s="2" t="str">
        <f>TRIM(Table1[[#This Row],[Status]])</f>
        <v>Zaakceptowana</v>
      </c>
      <c r="G207" s="2" t="str">
        <f>TRIM(Table1[[#This Row],[Typ]])</f>
        <v>Faktura VAT</v>
      </c>
      <c r="H207" s="2" t="str">
        <f>TRIM(Table1[[#This Row],[Magazyn]])</f>
        <v>Apteka Szpitalna</v>
      </c>
      <c r="I207" s="2" t="str">
        <f>TRIM(Table1[[#This Row],[Umowa]])</f>
        <v>UM-NOV-01</v>
      </c>
      <c r="J207" s="2" t="b">
        <f>ISTEXT(Table14[[#This Row],[Data_Wystawienia]])</f>
        <v>0</v>
      </c>
      <c r="K207" s="2">
        <f>VALUE(SUBSTITUTE(Table14[[#This Row],[Wartość]],".",","))</f>
        <v>17775.25</v>
      </c>
      <c r="L2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" s="2" t="str">
        <f>IF(Table14[[#This Row],[Umowa]]="","Poza umową","Z umowy")</f>
        <v>Z umowy</v>
      </c>
      <c r="N207" s="2">
        <f>YEAR(Table14[[#This Row],[Data_Wystawienia]])</f>
        <v>2022</v>
      </c>
      <c r="O207" s="2" t="str">
        <f>TEXT(Table14[[#This Row],[Data_Wystawienia]],"rrrr-mm")</f>
        <v>2022-03</v>
      </c>
      <c r="P207" s="2">
        <v>1</v>
      </c>
    </row>
    <row r="208" spans="1:16" x14ac:dyDescent="0.3">
      <c r="A208" s="2" t="str">
        <f>TRIM(Table1[[#This Row],[Numer_FV]])</f>
        <v>FV/51/SAL/22</v>
      </c>
      <c r="B208" s="2" t="str">
        <f>TRIM(Table1[[#This Row],[Numer_PZ]])</f>
        <v>PZ/800206</v>
      </c>
      <c r="C208" s="2" t="str">
        <f>TRIM(Table1[[#This Row],[Dostawca]])</f>
        <v>SalusHurt</v>
      </c>
      <c r="D208" s="3">
        <v>44637</v>
      </c>
      <c r="E208" s="4" t="s">
        <v>657</v>
      </c>
      <c r="F208" s="2" t="str">
        <f>TRIM(Table1[[#This Row],[Status]])</f>
        <v>Zaakceptowana</v>
      </c>
      <c r="G208" s="2" t="str">
        <f>TRIM(Table1[[#This Row],[Typ]])</f>
        <v>Faktura VAT</v>
      </c>
      <c r="H208" s="2" t="str">
        <f>TRIM(Table1[[#This Row],[Magazyn]])</f>
        <v>Apteka Szpitalna</v>
      </c>
      <c r="I208" s="2" t="str">
        <f>TRIM(Table1[[#This Row],[Umowa]])</f>
        <v/>
      </c>
      <c r="J208" s="2" t="b">
        <f>ISTEXT(Table14[[#This Row],[Data_Wystawienia]])</f>
        <v>0</v>
      </c>
      <c r="K208" s="2">
        <f>VALUE(SUBSTITUTE(Table14[[#This Row],[Wartość]],".",","))</f>
        <v>19330.68</v>
      </c>
      <c r="L2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" s="2" t="str">
        <f>IF(Table14[[#This Row],[Umowa]]="","Poza umową","Z umowy")</f>
        <v>Poza umową</v>
      </c>
      <c r="N208" s="2">
        <f>YEAR(Table14[[#This Row],[Data_Wystawienia]])</f>
        <v>2022</v>
      </c>
      <c r="O208" s="2" t="str">
        <f>TEXT(Table14[[#This Row],[Data_Wystawienia]],"rrrr-mm")</f>
        <v>2022-03</v>
      </c>
      <c r="P208" s="2">
        <v>1</v>
      </c>
    </row>
    <row r="209" spans="1:16" x14ac:dyDescent="0.3">
      <c r="A209" s="2" t="str">
        <f>TRIM(Table1[[#This Row],[Numer_FV]])</f>
        <v>FV/POL/39295/2022</v>
      </c>
      <c r="B209" s="2" t="str">
        <f>TRIM(Table1[[#This Row],[Numer_PZ]])</f>
        <v>PZ/800207</v>
      </c>
      <c r="C209" s="2" t="str">
        <f>TRIM(Table1[[#This Row],[Dostawca]])</f>
        <v>Polmedica</v>
      </c>
      <c r="D209" s="3">
        <v>44637</v>
      </c>
      <c r="E209" s="4" t="s">
        <v>660</v>
      </c>
      <c r="F209" s="2" t="str">
        <f>TRIM(Table1[[#This Row],[Status]])</f>
        <v>Zaakceptowana</v>
      </c>
      <c r="G209" s="2" t="str">
        <f>TRIM(Table1[[#This Row],[Typ]])</f>
        <v>Faktura VAT</v>
      </c>
      <c r="H209" s="2" t="str">
        <f>TRIM(Table1[[#This Row],[Magazyn]])</f>
        <v>Apteka Szpitalna</v>
      </c>
      <c r="I209" s="2" t="str">
        <f>TRIM(Table1[[#This Row],[Umowa]])</f>
        <v>UM-POL-01</v>
      </c>
      <c r="J209" s="2" t="b">
        <f>ISTEXT(Table14[[#This Row],[Data_Wystawienia]])</f>
        <v>0</v>
      </c>
      <c r="K209" s="2">
        <f>VALUE(SUBSTITUTE(Table14[[#This Row],[Wartość]],".",","))</f>
        <v>8197.16</v>
      </c>
      <c r="L2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" s="2" t="str">
        <f>IF(Table14[[#This Row],[Umowa]]="","Poza umową","Z umowy")</f>
        <v>Z umowy</v>
      </c>
      <c r="N209" s="2">
        <f>YEAR(Table14[[#This Row],[Data_Wystawienia]])</f>
        <v>2022</v>
      </c>
      <c r="O209" s="2" t="str">
        <f>TEXT(Table14[[#This Row],[Data_Wystawienia]],"rrrr-mm")</f>
        <v>2022-03</v>
      </c>
      <c r="P209" s="2">
        <v>1</v>
      </c>
    </row>
    <row r="210" spans="1:16" x14ac:dyDescent="0.3">
      <c r="A210" s="2" t="str">
        <f>TRIM(Table1[[#This Row],[Numer_FV]])</f>
        <v>FV/8136/NOVA/22</v>
      </c>
      <c r="B210" s="2" t="str">
        <f>TRIM(Table1[[#This Row],[Numer_PZ]])</f>
        <v>PZ/800208</v>
      </c>
      <c r="C210" s="2" t="str">
        <f>TRIM(Table1[[#This Row],[Dostawca]])</f>
        <v>NovaLek</v>
      </c>
      <c r="D210" s="3">
        <v>44637</v>
      </c>
      <c r="E210" s="4" t="s">
        <v>663</v>
      </c>
      <c r="F210" s="2" t="str">
        <f>TRIM(Table1[[#This Row],[Status]])</f>
        <v>Zaakceptowana</v>
      </c>
      <c r="G210" s="2" t="str">
        <f>TRIM(Table1[[#This Row],[Typ]])</f>
        <v>Faktura VAT</v>
      </c>
      <c r="H210" s="2" t="str">
        <f>TRIM(Table1[[#This Row],[Magazyn]])</f>
        <v>Apteka Szpitalna</v>
      </c>
      <c r="I210" s="2" t="str">
        <f>TRIM(Table1[[#This Row],[Umowa]])</f>
        <v>UM-NOV-03</v>
      </c>
      <c r="J210" s="2" t="b">
        <f>ISTEXT(Table14[[#This Row],[Data_Wystawienia]])</f>
        <v>0</v>
      </c>
      <c r="K210" s="2">
        <f>VALUE(SUBSTITUTE(Table14[[#This Row],[Wartość]],".",","))</f>
        <v>10036.01</v>
      </c>
      <c r="L2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" s="2" t="str">
        <f>IF(Table14[[#This Row],[Umowa]]="","Poza umową","Z umowy")</f>
        <v>Z umowy</v>
      </c>
      <c r="N210" s="2">
        <f>YEAR(Table14[[#This Row],[Data_Wystawienia]])</f>
        <v>2022</v>
      </c>
      <c r="O210" s="2" t="str">
        <f>TEXT(Table14[[#This Row],[Data_Wystawienia]],"rrrr-mm")</f>
        <v>2022-03</v>
      </c>
      <c r="P210" s="2">
        <v>1</v>
      </c>
    </row>
    <row r="211" spans="1:16" x14ac:dyDescent="0.3">
      <c r="A211" s="2" t="str">
        <f>TRIM(Table1[[#This Row],[Numer_FV]])</f>
        <v>FV/4772HM/22</v>
      </c>
      <c r="B211" s="2" t="str">
        <f>TRIM(Table1[[#This Row],[Numer_PZ]])</f>
        <v>PZ/800209</v>
      </c>
      <c r="C211" s="2" t="str">
        <f>TRIM(Table1[[#This Row],[Dostawca]])</f>
        <v>HurtMedix</v>
      </c>
      <c r="D211" s="3">
        <v>44637</v>
      </c>
      <c r="E211" s="4" t="s">
        <v>666</v>
      </c>
      <c r="F211" s="2" t="str">
        <f>TRIM(Table1[[#This Row],[Status]])</f>
        <v>Zaakceptowana</v>
      </c>
      <c r="G211" s="2" t="str">
        <f>TRIM(Table1[[#This Row],[Typ]])</f>
        <v>Faktura VAT</v>
      </c>
      <c r="H211" s="2" t="str">
        <f>TRIM(Table1[[#This Row],[Magazyn]])</f>
        <v>Apteka Szpitalna</v>
      </c>
      <c r="I211" s="2" t="str">
        <f>TRIM(Table1[[#This Row],[Umowa]])</f>
        <v>UM-HUR-03</v>
      </c>
      <c r="J211" s="2" t="b">
        <f>ISTEXT(Table14[[#This Row],[Data_Wystawienia]])</f>
        <v>0</v>
      </c>
      <c r="K211" s="2">
        <f>VALUE(SUBSTITUTE(Table14[[#This Row],[Wartość]],".",","))</f>
        <v>15927.71</v>
      </c>
      <c r="L2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" s="2" t="str">
        <f>IF(Table14[[#This Row],[Umowa]]="","Poza umową","Z umowy")</f>
        <v>Z umowy</v>
      </c>
      <c r="N211" s="2">
        <f>YEAR(Table14[[#This Row],[Data_Wystawienia]])</f>
        <v>2022</v>
      </c>
      <c r="O211" s="2" t="str">
        <f>TEXT(Table14[[#This Row],[Data_Wystawienia]],"rrrr-mm")</f>
        <v>2022-03</v>
      </c>
      <c r="P211" s="2">
        <v>1</v>
      </c>
    </row>
    <row r="212" spans="1:16" x14ac:dyDescent="0.3">
      <c r="A212" s="2" t="str">
        <f>TRIM(Table1[[#This Row],[Numer_FV]])</f>
        <v>FV/M/3106/P/22</v>
      </c>
      <c r="B212" s="2" t="str">
        <f>TRIM(Table1[[#This Row],[Numer_PZ]])</f>
        <v>PZ/800210</v>
      </c>
      <c r="C212" s="2" t="str">
        <f>TRIM(Table1[[#This Row],[Dostawca]])</f>
        <v>MedicaPharm</v>
      </c>
      <c r="D212" s="3">
        <v>44637</v>
      </c>
      <c r="E212" s="4" t="s">
        <v>669</v>
      </c>
      <c r="F212" s="2" t="str">
        <f>TRIM(Table1[[#This Row],[Status]])</f>
        <v>Zaakceptowana</v>
      </c>
      <c r="G212" s="2" t="str">
        <f>TRIM(Table1[[#This Row],[Typ]])</f>
        <v>Faktura VAT</v>
      </c>
      <c r="H212" s="2" t="str">
        <f>TRIM(Table1[[#This Row],[Magazyn]])</f>
        <v>Apteka Szpitalna</v>
      </c>
      <c r="I212" s="2" t="str">
        <f>TRIM(Table1[[#This Row],[Umowa]])</f>
        <v/>
      </c>
      <c r="J212" s="2" t="b">
        <f>ISTEXT(Table14[[#This Row],[Data_Wystawienia]])</f>
        <v>0</v>
      </c>
      <c r="K212" s="2">
        <f>VALUE(SUBSTITUTE(Table14[[#This Row],[Wartość]],".",","))</f>
        <v>15201.81</v>
      </c>
      <c r="L2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" s="2" t="str">
        <f>IF(Table14[[#This Row],[Umowa]]="","Poza umową","Z umowy")</f>
        <v>Poza umową</v>
      </c>
      <c r="N212" s="2">
        <f>YEAR(Table14[[#This Row],[Data_Wystawienia]])</f>
        <v>2022</v>
      </c>
      <c r="O212" s="2" t="str">
        <f>TEXT(Table14[[#This Row],[Data_Wystawienia]],"rrrr-mm")</f>
        <v>2022-03</v>
      </c>
      <c r="P212" s="2">
        <v>1</v>
      </c>
    </row>
    <row r="213" spans="1:16" x14ac:dyDescent="0.3">
      <c r="A213" s="2" t="str">
        <f>TRIM(Table1[[#This Row],[Numer_FV]])</f>
        <v>FV/6153HM/22</v>
      </c>
      <c r="B213" s="2" t="str">
        <f>TRIM(Table1[[#This Row],[Numer_PZ]])</f>
        <v>PZ/800211</v>
      </c>
      <c r="C213" s="2" t="str">
        <f>TRIM(Table1[[#This Row],[Dostawca]])</f>
        <v>HurtMedix</v>
      </c>
      <c r="D213" s="3">
        <v>44638</v>
      </c>
      <c r="E213" s="4" t="s">
        <v>672</v>
      </c>
      <c r="F213" s="2" t="str">
        <f>TRIM(Table1[[#This Row],[Status]])</f>
        <v>Zaakceptowana</v>
      </c>
      <c r="G213" s="2" t="str">
        <f>TRIM(Table1[[#This Row],[Typ]])</f>
        <v>Faktura VAT</v>
      </c>
      <c r="H213" s="2" t="str">
        <f>TRIM(Table1[[#This Row],[Magazyn]])</f>
        <v>Apteka Szpitalna</v>
      </c>
      <c r="I213" s="2" t="str">
        <f>TRIM(Table1[[#This Row],[Umowa]])</f>
        <v/>
      </c>
      <c r="J213" s="2" t="b">
        <f>ISTEXT(Table14[[#This Row],[Data_Wystawienia]])</f>
        <v>0</v>
      </c>
      <c r="K213" s="2">
        <f>VALUE(SUBSTITUTE(Table14[[#This Row],[Wartość]],".",","))</f>
        <v>19004.560000000001</v>
      </c>
      <c r="L2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" s="2" t="str">
        <f>IF(Table14[[#This Row],[Umowa]]="","Poza umową","Z umowy")</f>
        <v>Poza umową</v>
      </c>
      <c r="N213" s="2">
        <f>YEAR(Table14[[#This Row],[Data_Wystawienia]])</f>
        <v>2022</v>
      </c>
      <c r="O213" s="2" t="str">
        <f>TEXT(Table14[[#This Row],[Data_Wystawienia]],"rrrr-mm")</f>
        <v>2022-03</v>
      </c>
      <c r="P213" s="2">
        <v>1</v>
      </c>
    </row>
    <row r="214" spans="1:16" x14ac:dyDescent="0.3">
      <c r="A214" s="2" t="str">
        <f>TRIM(Table1[[#This Row],[Numer_FV]])</f>
        <v>FV/57/PP/4716/22</v>
      </c>
      <c r="B214" s="2" t="str">
        <f>TRIM(Table1[[#This Row],[Numer_PZ]])</f>
        <v>PZ/800212</v>
      </c>
      <c r="C214" s="2" t="str">
        <f>TRIM(Table1[[#This Row],[Dostawca]])</f>
        <v>PharmaPlus</v>
      </c>
      <c r="D214" s="3">
        <v>44639</v>
      </c>
      <c r="E214" s="4" t="s">
        <v>675</v>
      </c>
      <c r="F214" s="2" t="str">
        <f>TRIM(Table1[[#This Row],[Status]])</f>
        <v>Zaakceptowana</v>
      </c>
      <c r="G214" s="2" t="str">
        <f>TRIM(Table1[[#This Row],[Typ]])</f>
        <v>Faktura VAT</v>
      </c>
      <c r="H214" s="2" t="str">
        <f>TRIM(Table1[[#This Row],[Magazyn]])</f>
        <v>Apteka Szpitalna</v>
      </c>
      <c r="I214" s="2" t="str">
        <f>TRIM(Table1[[#This Row],[Umowa]])</f>
        <v/>
      </c>
      <c r="J214" s="2" t="b">
        <f>ISTEXT(Table14[[#This Row],[Data_Wystawienia]])</f>
        <v>0</v>
      </c>
      <c r="K214" s="2">
        <f>VALUE(SUBSTITUTE(Table14[[#This Row],[Wartość]],".",","))</f>
        <v>10271.11</v>
      </c>
      <c r="L2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" s="2" t="str">
        <f>IF(Table14[[#This Row],[Umowa]]="","Poza umową","Z umowy")</f>
        <v>Poza umową</v>
      </c>
      <c r="N214" s="2">
        <f>YEAR(Table14[[#This Row],[Data_Wystawienia]])</f>
        <v>2022</v>
      </c>
      <c r="O214" s="2" t="str">
        <f>TEXT(Table14[[#This Row],[Data_Wystawienia]],"rrrr-mm")</f>
        <v>2022-03</v>
      </c>
      <c r="P214" s="2">
        <v>1</v>
      </c>
    </row>
    <row r="215" spans="1:16" x14ac:dyDescent="0.3">
      <c r="A215" s="2" t="str">
        <f>TRIM(Table1[[#This Row],[Numer_FV]])</f>
        <v>FV/47089/VDb/2022</v>
      </c>
      <c r="B215" s="2" t="str">
        <f>TRIM(Table1[[#This Row],[Numer_PZ]])</f>
        <v>PZ/800213</v>
      </c>
      <c r="C215" s="2" t="str">
        <f>TRIM(Table1[[#This Row],[Dostawca]])</f>
        <v>VitaDistrib</v>
      </c>
      <c r="D215" s="3">
        <v>44640</v>
      </c>
      <c r="E215" s="4" t="s">
        <v>678</v>
      </c>
      <c r="F215" s="2" t="str">
        <f>TRIM(Table1[[#This Row],[Status]])</f>
        <v>Zaakceptowana</v>
      </c>
      <c r="G215" s="2" t="str">
        <f>TRIM(Table1[[#This Row],[Typ]])</f>
        <v>Faktura VAT</v>
      </c>
      <c r="H215" s="2" t="str">
        <f>TRIM(Table1[[#This Row],[Magazyn]])</f>
        <v>Apteka Szpitalna</v>
      </c>
      <c r="I215" s="2" t="str">
        <f>TRIM(Table1[[#This Row],[Umowa]])</f>
        <v/>
      </c>
      <c r="J215" s="2" t="b">
        <f>ISTEXT(Table14[[#This Row],[Data_Wystawienia]])</f>
        <v>0</v>
      </c>
      <c r="K215" s="2">
        <f>VALUE(SUBSTITUTE(Table14[[#This Row],[Wartość]],".",","))</f>
        <v>12743.26</v>
      </c>
      <c r="L2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" s="2" t="str">
        <f>IF(Table14[[#This Row],[Umowa]]="","Poza umową","Z umowy")</f>
        <v>Poza umową</v>
      </c>
      <c r="N215" s="2">
        <f>YEAR(Table14[[#This Row],[Data_Wystawienia]])</f>
        <v>2022</v>
      </c>
      <c r="O215" s="2" t="str">
        <f>TEXT(Table14[[#This Row],[Data_Wystawienia]],"rrrr-mm")</f>
        <v>2022-03</v>
      </c>
      <c r="P215" s="2">
        <v>1</v>
      </c>
    </row>
    <row r="216" spans="1:16" x14ac:dyDescent="0.3">
      <c r="A216" s="2" t="str">
        <f>TRIM(Table1[[#This Row],[Numer_FV]])</f>
        <v>FV/POL/70812/2022</v>
      </c>
      <c r="B216" s="2" t="str">
        <f>TRIM(Table1[[#This Row],[Numer_PZ]])</f>
        <v>PZ/800214</v>
      </c>
      <c r="C216" s="2" t="str">
        <f>TRIM(Table1[[#This Row],[Dostawca]])</f>
        <v>Polmedica</v>
      </c>
      <c r="D216" s="3">
        <v>44641</v>
      </c>
      <c r="E216" s="4" t="s">
        <v>681</v>
      </c>
      <c r="F216" s="2" t="str">
        <f>TRIM(Table1[[#This Row],[Status]])</f>
        <v>Zaakceptowana</v>
      </c>
      <c r="G216" s="2" t="str">
        <f>TRIM(Table1[[#This Row],[Typ]])</f>
        <v>Faktura VAT</v>
      </c>
      <c r="H216" s="2" t="str">
        <f>TRIM(Table1[[#This Row],[Magazyn]])</f>
        <v>Apteka Szpitalna</v>
      </c>
      <c r="I216" s="2" t="str">
        <f>TRIM(Table1[[#This Row],[Umowa]])</f>
        <v>UM-POL-03</v>
      </c>
      <c r="J216" s="2" t="b">
        <f>ISTEXT(Table14[[#This Row],[Data_Wystawienia]])</f>
        <v>0</v>
      </c>
      <c r="K216" s="2">
        <f>VALUE(SUBSTITUTE(Table14[[#This Row],[Wartość]],".",","))</f>
        <v>14780.72</v>
      </c>
      <c r="L2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" s="2" t="str">
        <f>IF(Table14[[#This Row],[Umowa]]="","Poza umową","Z umowy")</f>
        <v>Z umowy</v>
      </c>
      <c r="N216" s="2">
        <f>YEAR(Table14[[#This Row],[Data_Wystawienia]])</f>
        <v>2022</v>
      </c>
      <c r="O216" s="2" t="str">
        <f>TEXT(Table14[[#This Row],[Data_Wystawienia]],"rrrr-mm")</f>
        <v>2022-03</v>
      </c>
      <c r="P216" s="2">
        <v>1</v>
      </c>
    </row>
    <row r="217" spans="1:16" x14ac:dyDescent="0.3">
      <c r="A217" s="2" t="str">
        <f>TRIM(Table1[[#This Row],[Numer_FV]])</f>
        <v>FV/78555/VDb/2022</v>
      </c>
      <c r="B217" s="2" t="str">
        <f>TRIM(Table1[[#This Row],[Numer_PZ]])</f>
        <v>PZ/800215</v>
      </c>
      <c r="C217" s="2" t="str">
        <f>TRIM(Table1[[#This Row],[Dostawca]])</f>
        <v>VitaDistrib</v>
      </c>
      <c r="D217" s="3">
        <v>44641</v>
      </c>
      <c r="E217" s="4" t="s">
        <v>684</v>
      </c>
      <c r="F217" s="2" t="str">
        <f>TRIM(Table1[[#This Row],[Status]])</f>
        <v>Zaakceptowana</v>
      </c>
      <c r="G217" s="2" t="str">
        <f>TRIM(Table1[[#This Row],[Typ]])</f>
        <v>Faktura VAT</v>
      </c>
      <c r="H217" s="2" t="str">
        <f>TRIM(Table1[[#This Row],[Magazyn]])</f>
        <v>Apteka Szpitalna</v>
      </c>
      <c r="I217" s="2" t="str">
        <f>TRIM(Table1[[#This Row],[Umowa]])</f>
        <v>UM-VIT-01</v>
      </c>
      <c r="J217" s="2" t="b">
        <f>ISTEXT(Table14[[#This Row],[Data_Wystawienia]])</f>
        <v>0</v>
      </c>
      <c r="K217" s="2">
        <f>VALUE(SUBSTITUTE(Table14[[#This Row],[Wartość]],".",","))</f>
        <v>18569.330000000002</v>
      </c>
      <c r="L2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" s="2" t="str">
        <f>IF(Table14[[#This Row],[Umowa]]="","Poza umową","Z umowy")</f>
        <v>Z umowy</v>
      </c>
      <c r="N217" s="2">
        <f>YEAR(Table14[[#This Row],[Data_Wystawienia]])</f>
        <v>2022</v>
      </c>
      <c r="O217" s="2" t="str">
        <f>TEXT(Table14[[#This Row],[Data_Wystawienia]],"rrrr-mm")</f>
        <v>2022-03</v>
      </c>
      <c r="P217" s="2">
        <v>1</v>
      </c>
    </row>
    <row r="218" spans="1:16" x14ac:dyDescent="0.3">
      <c r="A218" s="2" t="str">
        <f>TRIM(Table1[[#This Row],[Numer_FV]])</f>
        <v>FV/POL/43541/2022</v>
      </c>
      <c r="B218" s="2" t="str">
        <f>TRIM(Table1[[#This Row],[Numer_PZ]])</f>
        <v>PZ/800216</v>
      </c>
      <c r="C218" s="2" t="str">
        <f>TRIM(Table1[[#This Row],[Dostawca]])</f>
        <v>Polmedica</v>
      </c>
      <c r="D218" s="3">
        <v>44641</v>
      </c>
      <c r="E218" s="4" t="s">
        <v>687</v>
      </c>
      <c r="F218" s="2" t="str">
        <f>TRIM(Table1[[#This Row],[Status]])</f>
        <v>Zaakceptowana</v>
      </c>
      <c r="G218" s="2" t="str">
        <f>TRIM(Table1[[#This Row],[Typ]])</f>
        <v>Faktura VAT</v>
      </c>
      <c r="H218" s="2" t="str">
        <f>TRIM(Table1[[#This Row],[Magazyn]])</f>
        <v>Apteka Szpitalna</v>
      </c>
      <c r="I218" s="2" t="str">
        <f>TRIM(Table1[[#This Row],[Umowa]])</f>
        <v>UM-POL-03</v>
      </c>
      <c r="J218" s="2" t="b">
        <f>ISTEXT(Table14[[#This Row],[Data_Wystawienia]])</f>
        <v>0</v>
      </c>
      <c r="K218" s="2">
        <f>VALUE(SUBSTITUTE(Table14[[#This Row],[Wartość]],".",","))</f>
        <v>12911.89</v>
      </c>
      <c r="L2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" s="2" t="str">
        <f>IF(Table14[[#This Row],[Umowa]]="","Poza umową","Z umowy")</f>
        <v>Z umowy</v>
      </c>
      <c r="N218" s="2">
        <f>YEAR(Table14[[#This Row],[Data_Wystawienia]])</f>
        <v>2022</v>
      </c>
      <c r="O218" s="2" t="str">
        <f>TEXT(Table14[[#This Row],[Data_Wystawienia]],"rrrr-mm")</f>
        <v>2022-03</v>
      </c>
      <c r="P218" s="2">
        <v>1</v>
      </c>
    </row>
    <row r="219" spans="1:16" x14ac:dyDescent="0.3">
      <c r="A219" s="2" t="str">
        <f>TRIM(Table1[[#This Row],[Numer_FV]])</f>
        <v>FV/40/PP/8801/22</v>
      </c>
      <c r="B219" s="2" t="str">
        <f>TRIM(Table1[[#This Row],[Numer_PZ]])</f>
        <v>PZ/800217</v>
      </c>
      <c r="C219" s="2" t="str">
        <f>TRIM(Table1[[#This Row],[Dostawca]])</f>
        <v>PharmaPlus</v>
      </c>
      <c r="D219" s="3">
        <v>44641</v>
      </c>
      <c r="E219" s="4" t="s">
        <v>690</v>
      </c>
      <c r="F219" s="2" t="str">
        <f>TRIM(Table1[[#This Row],[Status]])</f>
        <v>Zaakceptowana</v>
      </c>
      <c r="G219" s="2" t="str">
        <f>TRIM(Table1[[#This Row],[Typ]])</f>
        <v>Faktura VAT</v>
      </c>
      <c r="H219" s="2" t="str">
        <f>TRIM(Table1[[#This Row],[Magazyn]])</f>
        <v>Apteka Szpitalna</v>
      </c>
      <c r="I219" s="2" t="str">
        <f>TRIM(Table1[[#This Row],[Umowa]])</f>
        <v>UM-PHA-02</v>
      </c>
      <c r="J219" s="2" t="b">
        <f>ISTEXT(Table14[[#This Row],[Data_Wystawienia]])</f>
        <v>0</v>
      </c>
      <c r="K219" s="2">
        <f>VALUE(SUBSTITUTE(Table14[[#This Row],[Wartość]],".",","))</f>
        <v>19912.75</v>
      </c>
      <c r="L2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" s="2" t="str">
        <f>IF(Table14[[#This Row],[Umowa]]="","Poza umową","Z umowy")</f>
        <v>Z umowy</v>
      </c>
      <c r="N219" s="2">
        <f>YEAR(Table14[[#This Row],[Data_Wystawienia]])</f>
        <v>2022</v>
      </c>
      <c r="O219" s="2" t="str">
        <f>TEXT(Table14[[#This Row],[Data_Wystawienia]],"rrrr-mm")</f>
        <v>2022-03</v>
      </c>
      <c r="P219" s="2">
        <v>1</v>
      </c>
    </row>
    <row r="220" spans="1:16" x14ac:dyDescent="0.3">
      <c r="A220" s="2" t="str">
        <f>TRIM(Table1[[#This Row],[Numer_FV]])</f>
        <v>FV/POL/43407/2022</v>
      </c>
      <c r="B220" s="2" t="str">
        <f>TRIM(Table1[[#This Row],[Numer_PZ]])</f>
        <v>PZ/800218</v>
      </c>
      <c r="C220" s="2" t="str">
        <f>TRIM(Table1[[#This Row],[Dostawca]])</f>
        <v>Polmedica</v>
      </c>
      <c r="D220" s="3">
        <v>44642</v>
      </c>
      <c r="E220" s="4" t="s">
        <v>693</v>
      </c>
      <c r="F220" s="2" t="str">
        <f>TRIM(Table1[[#This Row],[Status]])</f>
        <v>Zaakceptowana</v>
      </c>
      <c r="G220" s="2" t="str">
        <f>TRIM(Table1[[#This Row],[Typ]])</f>
        <v>Faktura VAT</v>
      </c>
      <c r="H220" s="2" t="str">
        <f>TRIM(Table1[[#This Row],[Magazyn]])</f>
        <v>Apteka Szpitalna</v>
      </c>
      <c r="I220" s="2" t="str">
        <f>TRIM(Table1[[#This Row],[Umowa]])</f>
        <v/>
      </c>
      <c r="J220" s="2" t="b">
        <f>ISTEXT(Table14[[#This Row],[Data_Wystawienia]])</f>
        <v>0</v>
      </c>
      <c r="K220" s="2">
        <f>VALUE(SUBSTITUTE(Table14[[#This Row],[Wartość]],".",","))</f>
        <v>20745.59</v>
      </c>
      <c r="L2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" s="2" t="str">
        <f>IF(Table14[[#This Row],[Umowa]]="","Poza umową","Z umowy")</f>
        <v>Poza umową</v>
      </c>
      <c r="N220" s="2">
        <f>YEAR(Table14[[#This Row],[Data_Wystawienia]])</f>
        <v>2022</v>
      </c>
      <c r="O220" s="2" t="str">
        <f>TEXT(Table14[[#This Row],[Data_Wystawienia]],"rrrr-mm")</f>
        <v>2022-03</v>
      </c>
      <c r="P220" s="2">
        <v>1</v>
      </c>
    </row>
    <row r="221" spans="1:16" x14ac:dyDescent="0.3">
      <c r="A221" s="2" t="str">
        <f>TRIM(Table1[[#This Row],[Numer_FV]])</f>
        <v>FV/93/SAL/22</v>
      </c>
      <c r="B221" s="2" t="str">
        <f>TRIM(Table1[[#This Row],[Numer_PZ]])</f>
        <v>PZ/800219</v>
      </c>
      <c r="C221" s="2" t="str">
        <f>TRIM(Table1[[#This Row],[Dostawca]])</f>
        <v>SalusHurt</v>
      </c>
      <c r="D221" s="3">
        <v>44642</v>
      </c>
      <c r="E221" s="4" t="s">
        <v>231</v>
      </c>
      <c r="F221" s="2" t="str">
        <f>TRIM(Table1[[#This Row],[Status]])</f>
        <v>Zaakceptowana</v>
      </c>
      <c r="G221" s="2" t="str">
        <f>TRIM(Table1[[#This Row],[Typ]])</f>
        <v>Faktura VAT</v>
      </c>
      <c r="H221" s="2" t="str">
        <f>TRIM(Table1[[#This Row],[Magazyn]])</f>
        <v>Apteka Szpitalna</v>
      </c>
      <c r="I221" s="2" t="str">
        <f>TRIM(Table1[[#This Row],[Umowa]])</f>
        <v/>
      </c>
      <c r="J221" s="2" t="b">
        <f>ISTEXT(Table14[[#This Row],[Data_Wystawienia]])</f>
        <v>0</v>
      </c>
      <c r="K221" s="2">
        <f>VALUE(SUBSTITUTE(Table14[[#This Row],[Wartość]],".",","))</f>
        <v>18492.64</v>
      </c>
      <c r="L2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" s="2" t="str">
        <f>IF(Table14[[#This Row],[Umowa]]="","Poza umową","Z umowy")</f>
        <v>Poza umową</v>
      </c>
      <c r="N221" s="2">
        <f>YEAR(Table14[[#This Row],[Data_Wystawienia]])</f>
        <v>2022</v>
      </c>
      <c r="O221" s="2" t="str">
        <f>TEXT(Table14[[#This Row],[Data_Wystawienia]],"rrrr-mm")</f>
        <v>2022-03</v>
      </c>
      <c r="P221" s="2">
        <v>1</v>
      </c>
    </row>
    <row r="222" spans="1:16" x14ac:dyDescent="0.3">
      <c r="A222" s="2" t="str">
        <f>TRIM(Table1[[#This Row],[Numer_FV]])</f>
        <v>FV/1180HM/22</v>
      </c>
      <c r="B222" s="2" t="str">
        <f>TRIM(Table1[[#This Row],[Numer_PZ]])</f>
        <v>PZ/800220</v>
      </c>
      <c r="C222" s="2" t="str">
        <f>TRIM(Table1[[#This Row],[Dostawca]])</f>
        <v>HurtMedix</v>
      </c>
      <c r="D222" s="3">
        <v>44642</v>
      </c>
      <c r="E222" s="4" t="s">
        <v>698</v>
      </c>
      <c r="F222" s="2" t="str">
        <f>TRIM(Table1[[#This Row],[Status]])</f>
        <v>Zaakceptowana</v>
      </c>
      <c r="G222" s="2" t="str">
        <f>TRIM(Table1[[#This Row],[Typ]])</f>
        <v>Faktura VAT</v>
      </c>
      <c r="H222" s="2" t="str">
        <f>TRIM(Table1[[#This Row],[Magazyn]])</f>
        <v>Apteka Szpitalna</v>
      </c>
      <c r="I222" s="2" t="str">
        <f>TRIM(Table1[[#This Row],[Umowa]])</f>
        <v>UM-HUR-01</v>
      </c>
      <c r="J222" s="2" t="b">
        <f>ISTEXT(Table14[[#This Row],[Data_Wystawienia]])</f>
        <v>0</v>
      </c>
      <c r="K222" s="2">
        <f>VALUE(SUBSTITUTE(Table14[[#This Row],[Wartość]],".",","))</f>
        <v>6361.74</v>
      </c>
      <c r="L2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" s="2" t="str">
        <f>IF(Table14[[#This Row],[Umowa]]="","Poza umową","Z umowy")</f>
        <v>Z umowy</v>
      </c>
      <c r="N222" s="2">
        <f>YEAR(Table14[[#This Row],[Data_Wystawienia]])</f>
        <v>2022</v>
      </c>
      <c r="O222" s="2" t="str">
        <f>TEXT(Table14[[#This Row],[Data_Wystawienia]],"rrrr-mm")</f>
        <v>2022-03</v>
      </c>
      <c r="P222" s="2">
        <v>1</v>
      </c>
    </row>
    <row r="223" spans="1:16" x14ac:dyDescent="0.3">
      <c r="A223" s="2" t="str">
        <f>TRIM(Table1[[#This Row],[Numer_FV]])</f>
        <v>FV/POL/39052/2022</v>
      </c>
      <c r="B223" s="2" t="str">
        <f>TRIM(Table1[[#This Row],[Numer_PZ]])</f>
        <v>PZ/800221</v>
      </c>
      <c r="C223" s="2" t="str">
        <f>TRIM(Table1[[#This Row],[Dostawca]])</f>
        <v>Polmedica</v>
      </c>
      <c r="D223" s="3">
        <v>44642</v>
      </c>
      <c r="E223" s="4" t="s">
        <v>701</v>
      </c>
      <c r="F223" s="2" t="str">
        <f>TRIM(Table1[[#This Row],[Status]])</f>
        <v>Zaakceptowana</v>
      </c>
      <c r="G223" s="2" t="str">
        <f>TRIM(Table1[[#This Row],[Typ]])</f>
        <v>Faktura VAT</v>
      </c>
      <c r="H223" s="2" t="str">
        <f>TRIM(Table1[[#This Row],[Magazyn]])</f>
        <v>Apteka Szpitalna</v>
      </c>
      <c r="I223" s="2" t="str">
        <f>TRIM(Table1[[#This Row],[Umowa]])</f>
        <v>UM-POL-01</v>
      </c>
      <c r="J223" s="2" t="b">
        <f>ISTEXT(Table14[[#This Row],[Data_Wystawienia]])</f>
        <v>0</v>
      </c>
      <c r="K223" s="2">
        <f>VALUE(SUBSTITUTE(Table14[[#This Row],[Wartość]],".",","))</f>
        <v>12540.62</v>
      </c>
      <c r="L2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" s="2" t="str">
        <f>IF(Table14[[#This Row],[Umowa]]="","Poza umową","Z umowy")</f>
        <v>Z umowy</v>
      </c>
      <c r="N223" s="2">
        <f>YEAR(Table14[[#This Row],[Data_Wystawienia]])</f>
        <v>2022</v>
      </c>
      <c r="O223" s="2" t="str">
        <f>TEXT(Table14[[#This Row],[Data_Wystawienia]],"rrrr-mm")</f>
        <v>2022-03</v>
      </c>
      <c r="P223" s="2">
        <v>1</v>
      </c>
    </row>
    <row r="224" spans="1:16" x14ac:dyDescent="0.3">
      <c r="A224" s="2" t="str">
        <f>TRIM(Table1[[#This Row],[Numer_FV]])</f>
        <v>FV/M/1406/P/22</v>
      </c>
      <c r="B224" s="2" t="str">
        <f>TRIM(Table1[[#This Row],[Numer_PZ]])</f>
        <v>PZ/800222</v>
      </c>
      <c r="C224" s="2" t="str">
        <f>TRIM(Table1[[#This Row],[Dostawca]])</f>
        <v>MedicaPharm</v>
      </c>
      <c r="D224" s="3">
        <v>44642</v>
      </c>
      <c r="E224" s="4" t="s">
        <v>704</v>
      </c>
      <c r="F224" s="2" t="str">
        <f>TRIM(Table1[[#This Row],[Status]])</f>
        <v>Zaakceptowana</v>
      </c>
      <c r="G224" s="2" t="str">
        <f>TRIM(Table1[[#This Row],[Typ]])</f>
        <v>Faktura VAT</v>
      </c>
      <c r="H224" s="2" t="str">
        <f>TRIM(Table1[[#This Row],[Magazyn]])</f>
        <v>Apteka Szpitalna</v>
      </c>
      <c r="I224" s="2" t="str">
        <f>TRIM(Table1[[#This Row],[Umowa]])</f>
        <v/>
      </c>
      <c r="J224" s="2" t="b">
        <f>ISTEXT(Table14[[#This Row],[Data_Wystawienia]])</f>
        <v>0</v>
      </c>
      <c r="K224" s="2">
        <f>VALUE(SUBSTITUTE(Table14[[#This Row],[Wartość]],".",","))</f>
        <v>15963.76</v>
      </c>
      <c r="L2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" s="2" t="str">
        <f>IF(Table14[[#This Row],[Umowa]]="","Poza umową","Z umowy")</f>
        <v>Poza umową</v>
      </c>
      <c r="N224" s="2">
        <f>YEAR(Table14[[#This Row],[Data_Wystawienia]])</f>
        <v>2022</v>
      </c>
      <c r="O224" s="2" t="str">
        <f>TEXT(Table14[[#This Row],[Data_Wystawienia]],"rrrr-mm")</f>
        <v>2022-03</v>
      </c>
      <c r="P224" s="2">
        <v>1</v>
      </c>
    </row>
    <row r="225" spans="1:16" x14ac:dyDescent="0.3">
      <c r="A225" s="2" t="str">
        <f>TRIM(Table1[[#This Row],[Numer_FV]])</f>
        <v>FV/M/1241/P/22</v>
      </c>
      <c r="B225" s="2" t="str">
        <f>TRIM(Table1[[#This Row],[Numer_PZ]])</f>
        <v>PZ/800223</v>
      </c>
      <c r="C225" s="2" t="str">
        <f>TRIM(Table1[[#This Row],[Dostawca]])</f>
        <v>MedicaPharm</v>
      </c>
      <c r="D225" s="3">
        <v>44643</v>
      </c>
      <c r="E225" s="4" t="s">
        <v>707</v>
      </c>
      <c r="F225" s="2" t="str">
        <f>TRIM(Table1[[#This Row],[Status]])</f>
        <v>Zaakceptowana</v>
      </c>
      <c r="G225" s="2" t="str">
        <f>TRIM(Table1[[#This Row],[Typ]])</f>
        <v>Faktura VAT</v>
      </c>
      <c r="H225" s="2" t="str">
        <f>TRIM(Table1[[#This Row],[Magazyn]])</f>
        <v>Apteka Szpitalna</v>
      </c>
      <c r="I225" s="2" t="str">
        <f>TRIM(Table1[[#This Row],[Umowa]])</f>
        <v>UM-MED-02</v>
      </c>
      <c r="J225" s="2" t="b">
        <f>ISTEXT(Table14[[#This Row],[Data_Wystawienia]])</f>
        <v>0</v>
      </c>
      <c r="K225" s="2">
        <f>VALUE(SUBSTITUTE(Table14[[#This Row],[Wartość]],".",","))</f>
        <v>17832.38</v>
      </c>
      <c r="L2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" s="2" t="str">
        <f>IF(Table14[[#This Row],[Umowa]]="","Poza umową","Z umowy")</f>
        <v>Z umowy</v>
      </c>
      <c r="N225" s="2">
        <f>YEAR(Table14[[#This Row],[Data_Wystawienia]])</f>
        <v>2022</v>
      </c>
      <c r="O225" s="2" t="str">
        <f>TEXT(Table14[[#This Row],[Data_Wystawienia]],"rrrr-mm")</f>
        <v>2022-03</v>
      </c>
      <c r="P225" s="2">
        <v>1</v>
      </c>
    </row>
    <row r="226" spans="1:16" x14ac:dyDescent="0.3">
      <c r="A226" s="2" t="str">
        <f>TRIM(Table1[[#This Row],[Numer_FV]])</f>
        <v>FV/89499/VDb/2022</v>
      </c>
      <c r="B226" s="2" t="str">
        <f>TRIM(Table1[[#This Row],[Numer_PZ]])</f>
        <v>PZ/800224</v>
      </c>
      <c r="C226" s="2" t="str">
        <f>TRIM(Table1[[#This Row],[Dostawca]])</f>
        <v>VitaDistrib</v>
      </c>
      <c r="D226" s="3">
        <v>44643</v>
      </c>
      <c r="E226" s="4" t="s">
        <v>710</v>
      </c>
      <c r="F226" s="2" t="str">
        <f>TRIM(Table1[[#This Row],[Status]])</f>
        <v>Zaakceptowana</v>
      </c>
      <c r="G226" s="2" t="str">
        <f>TRIM(Table1[[#This Row],[Typ]])</f>
        <v>Faktura VAT</v>
      </c>
      <c r="H226" s="2" t="str">
        <f>TRIM(Table1[[#This Row],[Magazyn]])</f>
        <v>Apteka Szpitalna</v>
      </c>
      <c r="I226" s="2" t="str">
        <f>TRIM(Table1[[#This Row],[Umowa]])</f>
        <v>UM-VIT-01</v>
      </c>
      <c r="J226" s="2" t="b">
        <f>ISTEXT(Table14[[#This Row],[Data_Wystawienia]])</f>
        <v>0</v>
      </c>
      <c r="K226" s="2">
        <f>VALUE(SUBSTITUTE(Table14[[#This Row],[Wartość]],".",","))</f>
        <v>13301.47</v>
      </c>
      <c r="L2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" s="2" t="str">
        <f>IF(Table14[[#This Row],[Umowa]]="","Poza umową","Z umowy")</f>
        <v>Z umowy</v>
      </c>
      <c r="N226" s="2">
        <f>YEAR(Table14[[#This Row],[Data_Wystawienia]])</f>
        <v>2022</v>
      </c>
      <c r="O226" s="2" t="str">
        <f>TEXT(Table14[[#This Row],[Data_Wystawienia]],"rrrr-mm")</f>
        <v>2022-03</v>
      </c>
      <c r="P226" s="2">
        <v>1</v>
      </c>
    </row>
    <row r="227" spans="1:16" x14ac:dyDescent="0.3">
      <c r="A227" s="2" t="str">
        <f>TRIM(Table1[[#This Row],[Numer_FV]])</f>
        <v>FV/51/SAL/22</v>
      </c>
      <c r="B227" s="2" t="str">
        <f>TRIM(Table1[[#This Row],[Numer_PZ]])</f>
        <v>PZ/800225</v>
      </c>
      <c r="C227" s="2" t="str">
        <f>TRIM(Table1[[#This Row],[Dostawca]])</f>
        <v>SalusHurt</v>
      </c>
      <c r="D227" s="3">
        <v>44643</v>
      </c>
      <c r="E227" s="4" t="s">
        <v>712</v>
      </c>
      <c r="F227" s="2" t="str">
        <f>TRIM(Table1[[#This Row],[Status]])</f>
        <v>Zaakceptowana</v>
      </c>
      <c r="G227" s="2" t="str">
        <f>TRIM(Table1[[#This Row],[Typ]])</f>
        <v>Faktura VAT</v>
      </c>
      <c r="H227" s="2" t="str">
        <f>TRIM(Table1[[#This Row],[Magazyn]])</f>
        <v>Apteka Szpitalna</v>
      </c>
      <c r="I227" s="2" t="str">
        <f>TRIM(Table1[[#This Row],[Umowa]])</f>
        <v>UM-SAL-02</v>
      </c>
      <c r="J227" s="2" t="b">
        <f>ISTEXT(Table14[[#This Row],[Data_Wystawienia]])</f>
        <v>0</v>
      </c>
      <c r="K227" s="2">
        <f>VALUE(SUBSTITUTE(Table14[[#This Row],[Wartość]],".",","))</f>
        <v>19647.93</v>
      </c>
      <c r="L2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" s="2" t="str">
        <f>IF(Table14[[#This Row],[Umowa]]="","Poza umową","Z umowy")</f>
        <v>Z umowy</v>
      </c>
      <c r="N227" s="2">
        <f>YEAR(Table14[[#This Row],[Data_Wystawienia]])</f>
        <v>2022</v>
      </c>
      <c r="O227" s="2" t="str">
        <f>TEXT(Table14[[#This Row],[Data_Wystawienia]],"rrrr-mm")</f>
        <v>2022-03</v>
      </c>
      <c r="P227" s="2">
        <v>1</v>
      </c>
    </row>
    <row r="228" spans="1:16" x14ac:dyDescent="0.3">
      <c r="A228" s="2" t="str">
        <f>TRIM(Table1[[#This Row],[Numer_FV]])</f>
        <v>FV/POL/11093/2022</v>
      </c>
      <c r="B228" s="2" t="str">
        <f>TRIM(Table1[[#This Row],[Numer_PZ]])</f>
        <v>PZ/800226</v>
      </c>
      <c r="C228" s="2" t="str">
        <f>TRIM(Table1[[#This Row],[Dostawca]])</f>
        <v>Polmedica</v>
      </c>
      <c r="D228" s="3">
        <v>44644</v>
      </c>
      <c r="E228" s="4" t="s">
        <v>715</v>
      </c>
      <c r="F228" s="2" t="str">
        <f>TRIM(Table1[[#This Row],[Status]])</f>
        <v>Zaakceptowana</v>
      </c>
      <c r="G228" s="2" t="str">
        <f>TRIM(Table1[[#This Row],[Typ]])</f>
        <v>Faktura VAT</v>
      </c>
      <c r="H228" s="2" t="str">
        <f>TRIM(Table1[[#This Row],[Magazyn]])</f>
        <v>Apteka Szpitalna</v>
      </c>
      <c r="I228" s="2" t="str">
        <f>TRIM(Table1[[#This Row],[Umowa]])</f>
        <v>UM-POL-03</v>
      </c>
      <c r="J228" s="2" t="b">
        <f>ISTEXT(Table14[[#This Row],[Data_Wystawienia]])</f>
        <v>0</v>
      </c>
      <c r="K228" s="2">
        <f>VALUE(SUBSTITUTE(Table14[[#This Row],[Wartość]],".",","))</f>
        <v>17241.36</v>
      </c>
      <c r="L2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" s="2" t="str">
        <f>IF(Table14[[#This Row],[Umowa]]="","Poza umową","Z umowy")</f>
        <v>Z umowy</v>
      </c>
      <c r="N228" s="2">
        <f>YEAR(Table14[[#This Row],[Data_Wystawienia]])</f>
        <v>2022</v>
      </c>
      <c r="O228" s="2" t="str">
        <f>TEXT(Table14[[#This Row],[Data_Wystawienia]],"rrrr-mm")</f>
        <v>2022-03</v>
      </c>
      <c r="P228" s="2">
        <v>1</v>
      </c>
    </row>
    <row r="229" spans="1:16" x14ac:dyDescent="0.3">
      <c r="A229" s="2" t="str">
        <f>TRIM(Table1[[#This Row],[Numer_FV]])</f>
        <v>FV/99/SAL/22</v>
      </c>
      <c r="B229" s="2" t="str">
        <f>TRIM(Table1[[#This Row],[Numer_PZ]])</f>
        <v>PZ/800227</v>
      </c>
      <c r="C229" s="2" t="str">
        <f>TRIM(Table1[[#This Row],[Dostawca]])</f>
        <v>SalusHurt</v>
      </c>
      <c r="D229" s="3">
        <v>44644</v>
      </c>
      <c r="E229" s="4" t="s">
        <v>718</v>
      </c>
      <c r="F229" s="2" t="str">
        <f>TRIM(Table1[[#This Row],[Status]])</f>
        <v>Zaakceptowana</v>
      </c>
      <c r="G229" s="2" t="str">
        <f>TRIM(Table1[[#This Row],[Typ]])</f>
        <v>Faktura VAT</v>
      </c>
      <c r="H229" s="2" t="str">
        <f>TRIM(Table1[[#This Row],[Magazyn]])</f>
        <v>Apteka Szpitalna</v>
      </c>
      <c r="I229" s="2" t="str">
        <f>TRIM(Table1[[#This Row],[Umowa]])</f>
        <v>UM-SAL-01</v>
      </c>
      <c r="J229" s="2" t="b">
        <f>ISTEXT(Table14[[#This Row],[Data_Wystawienia]])</f>
        <v>0</v>
      </c>
      <c r="K229" s="2">
        <f>VALUE(SUBSTITUTE(Table14[[#This Row],[Wartość]],".",","))</f>
        <v>16288.97</v>
      </c>
      <c r="L2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" s="2" t="str">
        <f>IF(Table14[[#This Row],[Umowa]]="","Poza umową","Z umowy")</f>
        <v>Z umowy</v>
      </c>
      <c r="N229" s="2">
        <f>YEAR(Table14[[#This Row],[Data_Wystawienia]])</f>
        <v>2022</v>
      </c>
      <c r="O229" s="2" t="str">
        <f>TEXT(Table14[[#This Row],[Data_Wystawienia]],"rrrr-mm")</f>
        <v>2022-03</v>
      </c>
      <c r="P229" s="2">
        <v>1</v>
      </c>
    </row>
    <row r="230" spans="1:16" x14ac:dyDescent="0.3">
      <c r="A230" s="2" t="str">
        <f>TRIM(Table1[[#This Row],[Numer_FV]])</f>
        <v>FV/POL/86199/2022</v>
      </c>
      <c r="B230" s="2" t="str">
        <f>TRIM(Table1[[#This Row],[Numer_PZ]])</f>
        <v>PZ/800228</v>
      </c>
      <c r="C230" s="2" t="str">
        <f>TRIM(Table1[[#This Row],[Dostawca]])</f>
        <v>Polmedica</v>
      </c>
      <c r="D230" s="3">
        <v>44644</v>
      </c>
      <c r="E230" s="4" t="s">
        <v>721</v>
      </c>
      <c r="F230" s="2" t="str">
        <f>TRIM(Table1[[#This Row],[Status]])</f>
        <v>Zaakceptowana</v>
      </c>
      <c r="G230" s="2" t="str">
        <f>TRIM(Table1[[#This Row],[Typ]])</f>
        <v>Faktura VAT</v>
      </c>
      <c r="H230" s="2" t="str">
        <f>TRIM(Table1[[#This Row],[Magazyn]])</f>
        <v>Apteka Szpitalna</v>
      </c>
      <c r="I230" s="2" t="str">
        <f>TRIM(Table1[[#This Row],[Umowa]])</f>
        <v>UM-POL-02</v>
      </c>
      <c r="J230" s="2" t="b">
        <f>ISTEXT(Table14[[#This Row],[Data_Wystawienia]])</f>
        <v>0</v>
      </c>
      <c r="K230" s="2">
        <f>VALUE(SUBSTITUTE(Table14[[#This Row],[Wartość]],".",","))</f>
        <v>9545.07</v>
      </c>
      <c r="L2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" s="2" t="str">
        <f>IF(Table14[[#This Row],[Umowa]]="","Poza umową","Z umowy")</f>
        <v>Z umowy</v>
      </c>
      <c r="N230" s="2">
        <f>YEAR(Table14[[#This Row],[Data_Wystawienia]])</f>
        <v>2022</v>
      </c>
      <c r="O230" s="2" t="str">
        <f>TEXT(Table14[[#This Row],[Data_Wystawienia]],"rrrr-mm")</f>
        <v>2022-03</v>
      </c>
      <c r="P230" s="2">
        <v>1</v>
      </c>
    </row>
    <row r="231" spans="1:16" x14ac:dyDescent="0.3">
      <c r="A231" s="2" t="str">
        <f>TRIM(Table1[[#This Row],[Numer_FV]])</f>
        <v>FV/72/PP/1433/22</v>
      </c>
      <c r="B231" s="2" t="str">
        <f>TRIM(Table1[[#This Row],[Numer_PZ]])</f>
        <v>PZ/800229</v>
      </c>
      <c r="C231" s="2" t="str">
        <f>TRIM(Table1[[#This Row],[Dostawca]])</f>
        <v>PharmaPlus</v>
      </c>
      <c r="D231" s="3">
        <v>44644</v>
      </c>
      <c r="E231" s="4" t="s">
        <v>724</v>
      </c>
      <c r="F231" s="2" t="str">
        <f>TRIM(Table1[[#This Row],[Status]])</f>
        <v>Zaakceptowana</v>
      </c>
      <c r="G231" s="2" t="str">
        <f>TRIM(Table1[[#This Row],[Typ]])</f>
        <v>Faktura VAT</v>
      </c>
      <c r="H231" s="2" t="str">
        <f>TRIM(Table1[[#This Row],[Magazyn]])</f>
        <v>Apteka Szpitalna</v>
      </c>
      <c r="I231" s="2" t="str">
        <f>TRIM(Table1[[#This Row],[Umowa]])</f>
        <v/>
      </c>
      <c r="J231" s="2" t="b">
        <f>ISTEXT(Table14[[#This Row],[Data_Wystawienia]])</f>
        <v>0</v>
      </c>
      <c r="K231" s="2">
        <f>VALUE(SUBSTITUTE(Table14[[#This Row],[Wartość]],".",","))</f>
        <v>21986.57</v>
      </c>
      <c r="L2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" s="2" t="str">
        <f>IF(Table14[[#This Row],[Umowa]]="","Poza umową","Z umowy")</f>
        <v>Poza umową</v>
      </c>
      <c r="N231" s="2">
        <f>YEAR(Table14[[#This Row],[Data_Wystawienia]])</f>
        <v>2022</v>
      </c>
      <c r="O231" s="2" t="str">
        <f>TEXT(Table14[[#This Row],[Data_Wystawienia]],"rrrr-mm")</f>
        <v>2022-03</v>
      </c>
      <c r="P231" s="2">
        <v>1</v>
      </c>
    </row>
    <row r="232" spans="1:16" x14ac:dyDescent="0.3">
      <c r="A232" s="2" t="str">
        <f>TRIM(Table1[[#This Row],[Numer_FV]])</f>
        <v>FV/15/SAL/22</v>
      </c>
      <c r="B232" s="2" t="str">
        <f>TRIM(Table1[[#This Row],[Numer_PZ]])</f>
        <v>PZ/800230</v>
      </c>
      <c r="C232" s="2" t="str">
        <f>TRIM(Table1[[#This Row],[Dostawca]])</f>
        <v>SalusHurt</v>
      </c>
      <c r="D232" s="3">
        <v>44645</v>
      </c>
      <c r="E232" s="4" t="s">
        <v>727</v>
      </c>
      <c r="F232" s="2" t="str">
        <f>TRIM(Table1[[#This Row],[Status]])</f>
        <v>Zaakceptowana</v>
      </c>
      <c r="G232" s="2" t="str">
        <f>TRIM(Table1[[#This Row],[Typ]])</f>
        <v>Faktura VAT</v>
      </c>
      <c r="H232" s="2" t="str">
        <f>TRIM(Table1[[#This Row],[Magazyn]])</f>
        <v>Apteka Szpitalna</v>
      </c>
      <c r="I232" s="2" t="str">
        <f>TRIM(Table1[[#This Row],[Umowa]])</f>
        <v>UM-SAL-01</v>
      </c>
      <c r="J232" s="2" t="b">
        <f>ISTEXT(Table14[[#This Row],[Data_Wystawienia]])</f>
        <v>0</v>
      </c>
      <c r="K232" s="2">
        <f>VALUE(SUBSTITUTE(Table14[[#This Row],[Wartość]],".",","))</f>
        <v>15045.47</v>
      </c>
      <c r="L2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" s="2" t="str">
        <f>IF(Table14[[#This Row],[Umowa]]="","Poza umową","Z umowy")</f>
        <v>Z umowy</v>
      </c>
      <c r="N232" s="2">
        <f>YEAR(Table14[[#This Row],[Data_Wystawienia]])</f>
        <v>2022</v>
      </c>
      <c r="O232" s="2" t="str">
        <f>TEXT(Table14[[#This Row],[Data_Wystawienia]],"rrrr-mm")</f>
        <v>2022-03</v>
      </c>
      <c r="P232" s="2">
        <v>1</v>
      </c>
    </row>
    <row r="233" spans="1:16" x14ac:dyDescent="0.3">
      <c r="A233" s="2" t="str">
        <f>TRIM(Table1[[#This Row],[Numer_FV]])</f>
        <v>FV/13/SAL/22</v>
      </c>
      <c r="B233" s="2" t="str">
        <f>TRIM(Table1[[#This Row],[Numer_PZ]])</f>
        <v>PZ/800231</v>
      </c>
      <c r="C233" s="2" t="str">
        <f>TRIM(Table1[[#This Row],[Dostawca]])</f>
        <v>SalusHurt</v>
      </c>
      <c r="D233" s="3">
        <v>44646</v>
      </c>
      <c r="E233" s="4" t="s">
        <v>730</v>
      </c>
      <c r="F233" s="2" t="str">
        <f>TRIM(Table1[[#This Row],[Status]])</f>
        <v>Zaakceptowana</v>
      </c>
      <c r="G233" s="2" t="str">
        <f>TRIM(Table1[[#This Row],[Typ]])</f>
        <v>Faktura VAT</v>
      </c>
      <c r="H233" s="2" t="str">
        <f>TRIM(Table1[[#This Row],[Magazyn]])</f>
        <v>Apteka Szpitalna</v>
      </c>
      <c r="I233" s="2" t="str">
        <f>TRIM(Table1[[#This Row],[Umowa]])</f>
        <v>UM-SAL-01</v>
      </c>
      <c r="J233" s="2" t="b">
        <f>ISTEXT(Table14[[#This Row],[Data_Wystawienia]])</f>
        <v>0</v>
      </c>
      <c r="K233" s="2">
        <f>VALUE(SUBSTITUTE(Table14[[#This Row],[Wartość]],".",","))</f>
        <v>18684.55</v>
      </c>
      <c r="L2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" s="2" t="str">
        <f>IF(Table14[[#This Row],[Umowa]]="","Poza umową","Z umowy")</f>
        <v>Z umowy</v>
      </c>
      <c r="N233" s="2">
        <f>YEAR(Table14[[#This Row],[Data_Wystawienia]])</f>
        <v>2022</v>
      </c>
      <c r="O233" s="2" t="str">
        <f>TEXT(Table14[[#This Row],[Data_Wystawienia]],"rrrr-mm")</f>
        <v>2022-03</v>
      </c>
      <c r="P233" s="2">
        <v>1</v>
      </c>
    </row>
    <row r="234" spans="1:16" x14ac:dyDescent="0.3">
      <c r="A234" s="2" t="str">
        <f>TRIM(Table1[[#This Row],[Numer_FV]])</f>
        <v>FV/67/SAL/22</v>
      </c>
      <c r="B234" s="2" t="str">
        <f>TRIM(Table1[[#This Row],[Numer_PZ]])</f>
        <v>PZ/800232</v>
      </c>
      <c r="C234" s="2" t="str">
        <f>TRIM(Table1[[#This Row],[Dostawca]])</f>
        <v>SalusHurt</v>
      </c>
      <c r="D234" s="3">
        <v>44646</v>
      </c>
      <c r="E234" s="4" t="s">
        <v>733</v>
      </c>
      <c r="F234" s="2" t="str">
        <f>TRIM(Table1[[#This Row],[Status]])</f>
        <v>Zaakceptowana</v>
      </c>
      <c r="G234" s="2" t="str">
        <f>TRIM(Table1[[#This Row],[Typ]])</f>
        <v>Faktura VAT</v>
      </c>
      <c r="H234" s="2" t="str">
        <f>TRIM(Table1[[#This Row],[Magazyn]])</f>
        <v>Apteka Szpitalna</v>
      </c>
      <c r="I234" s="2" t="str">
        <f>TRIM(Table1[[#This Row],[Umowa]])</f>
        <v/>
      </c>
      <c r="J234" s="2" t="b">
        <f>ISTEXT(Table14[[#This Row],[Data_Wystawienia]])</f>
        <v>0</v>
      </c>
      <c r="K234" s="2">
        <f>VALUE(SUBSTITUTE(Table14[[#This Row],[Wartość]],".",","))</f>
        <v>12305.54</v>
      </c>
      <c r="L2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" s="2" t="str">
        <f>IF(Table14[[#This Row],[Umowa]]="","Poza umową","Z umowy")</f>
        <v>Poza umową</v>
      </c>
      <c r="N234" s="2">
        <f>YEAR(Table14[[#This Row],[Data_Wystawienia]])</f>
        <v>2022</v>
      </c>
      <c r="O234" s="2" t="str">
        <f>TEXT(Table14[[#This Row],[Data_Wystawienia]],"rrrr-mm")</f>
        <v>2022-03</v>
      </c>
      <c r="P234" s="2">
        <v>1</v>
      </c>
    </row>
    <row r="235" spans="1:16" x14ac:dyDescent="0.3">
      <c r="A235" s="2" t="str">
        <f>TRIM(Table1[[#This Row],[Numer_FV]])</f>
        <v>FV/POL/31198/2022</v>
      </c>
      <c r="B235" s="2" t="str">
        <f>TRIM(Table1[[#This Row],[Numer_PZ]])</f>
        <v>PZ/800233</v>
      </c>
      <c r="C235" s="2" t="str">
        <f>TRIM(Table1[[#This Row],[Dostawca]])</f>
        <v>Polmedica</v>
      </c>
      <c r="D235" s="3">
        <v>44646</v>
      </c>
      <c r="E235" s="4" t="s">
        <v>736</v>
      </c>
      <c r="F235" s="2" t="str">
        <f>TRIM(Table1[[#This Row],[Status]])</f>
        <v>Zaakceptowana</v>
      </c>
      <c r="G235" s="2" t="str">
        <f>TRIM(Table1[[#This Row],[Typ]])</f>
        <v>Faktura VAT</v>
      </c>
      <c r="H235" s="2" t="str">
        <f>TRIM(Table1[[#This Row],[Magazyn]])</f>
        <v>Apteka Szpitalna</v>
      </c>
      <c r="I235" s="2" t="str">
        <f>TRIM(Table1[[#This Row],[Umowa]])</f>
        <v/>
      </c>
      <c r="J235" s="2" t="b">
        <f>ISTEXT(Table14[[#This Row],[Data_Wystawienia]])</f>
        <v>0</v>
      </c>
      <c r="K235" s="2">
        <f>VALUE(SUBSTITUTE(Table14[[#This Row],[Wartość]],".",","))</f>
        <v>4166.1099999999997</v>
      </c>
      <c r="L2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" s="2" t="str">
        <f>IF(Table14[[#This Row],[Umowa]]="","Poza umową","Z umowy")</f>
        <v>Poza umową</v>
      </c>
      <c r="N235" s="2">
        <f>YEAR(Table14[[#This Row],[Data_Wystawienia]])</f>
        <v>2022</v>
      </c>
      <c r="O235" s="2" t="str">
        <f>TEXT(Table14[[#This Row],[Data_Wystawienia]],"rrrr-mm")</f>
        <v>2022-03</v>
      </c>
      <c r="P235" s="2">
        <v>1</v>
      </c>
    </row>
    <row r="236" spans="1:16" x14ac:dyDescent="0.3">
      <c r="A236" s="2" t="str">
        <f>TRIM(Table1[[#This Row],[Numer_FV]])</f>
        <v>FV/8558/NOVA/22</v>
      </c>
      <c r="B236" s="2" t="str">
        <f>TRIM(Table1[[#This Row],[Numer_PZ]])</f>
        <v>PZ/800234</v>
      </c>
      <c r="C236" s="2" t="str">
        <f>TRIM(Table1[[#This Row],[Dostawca]])</f>
        <v>NovaLek</v>
      </c>
      <c r="D236" s="3">
        <v>44646</v>
      </c>
      <c r="E236" s="4" t="s">
        <v>739</v>
      </c>
      <c r="F236" s="2" t="str">
        <f>TRIM(Table1[[#This Row],[Status]])</f>
        <v>Zaakceptowana</v>
      </c>
      <c r="G236" s="2" t="str">
        <f>TRIM(Table1[[#This Row],[Typ]])</f>
        <v>Faktura VAT</v>
      </c>
      <c r="H236" s="2" t="str">
        <f>TRIM(Table1[[#This Row],[Magazyn]])</f>
        <v>Apteka Szpitalna</v>
      </c>
      <c r="I236" s="2" t="str">
        <f>TRIM(Table1[[#This Row],[Umowa]])</f>
        <v/>
      </c>
      <c r="J236" s="2" t="b">
        <f>ISTEXT(Table14[[#This Row],[Data_Wystawienia]])</f>
        <v>0</v>
      </c>
      <c r="K236" s="2">
        <f>VALUE(SUBSTITUTE(Table14[[#This Row],[Wartość]],".",","))</f>
        <v>20063.09</v>
      </c>
      <c r="L2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" s="2" t="str">
        <f>IF(Table14[[#This Row],[Umowa]]="","Poza umową","Z umowy")</f>
        <v>Poza umową</v>
      </c>
      <c r="N236" s="2">
        <f>YEAR(Table14[[#This Row],[Data_Wystawienia]])</f>
        <v>2022</v>
      </c>
      <c r="O236" s="2" t="str">
        <f>TEXT(Table14[[#This Row],[Data_Wystawienia]],"rrrr-mm")</f>
        <v>2022-03</v>
      </c>
      <c r="P236" s="2">
        <v>1</v>
      </c>
    </row>
    <row r="237" spans="1:16" x14ac:dyDescent="0.3">
      <c r="A237" s="2" t="str">
        <f>TRIM(Table1[[#This Row],[Numer_FV]])</f>
        <v>FV/M/5719/P/22</v>
      </c>
      <c r="B237" s="2" t="str">
        <f>TRIM(Table1[[#This Row],[Numer_PZ]])</f>
        <v>PZ/800235</v>
      </c>
      <c r="C237" s="2" t="str">
        <f>TRIM(Table1[[#This Row],[Dostawca]])</f>
        <v>MedicaPharm</v>
      </c>
      <c r="D237" s="3">
        <v>44646</v>
      </c>
      <c r="E237" s="4" t="s">
        <v>742</v>
      </c>
      <c r="F237" s="2" t="str">
        <f>TRIM(Table1[[#This Row],[Status]])</f>
        <v>Zaakceptowana</v>
      </c>
      <c r="G237" s="2" t="str">
        <f>TRIM(Table1[[#This Row],[Typ]])</f>
        <v>Faktura VAT</v>
      </c>
      <c r="H237" s="2" t="str">
        <f>TRIM(Table1[[#This Row],[Magazyn]])</f>
        <v>Apteka Szpitalna</v>
      </c>
      <c r="I237" s="2" t="str">
        <f>TRIM(Table1[[#This Row],[Umowa]])</f>
        <v>UM-MED-01</v>
      </c>
      <c r="J237" s="2" t="b">
        <f>ISTEXT(Table14[[#This Row],[Data_Wystawienia]])</f>
        <v>0</v>
      </c>
      <c r="K237" s="2">
        <f>VALUE(SUBSTITUTE(Table14[[#This Row],[Wartość]],".",","))</f>
        <v>10486.22</v>
      </c>
      <c r="L2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" s="2" t="str">
        <f>IF(Table14[[#This Row],[Umowa]]="","Poza umową","Z umowy")</f>
        <v>Z umowy</v>
      </c>
      <c r="N237" s="2">
        <f>YEAR(Table14[[#This Row],[Data_Wystawienia]])</f>
        <v>2022</v>
      </c>
      <c r="O237" s="2" t="str">
        <f>TEXT(Table14[[#This Row],[Data_Wystawienia]],"rrrr-mm")</f>
        <v>2022-03</v>
      </c>
      <c r="P237" s="2">
        <v>1</v>
      </c>
    </row>
    <row r="238" spans="1:16" x14ac:dyDescent="0.3">
      <c r="A238" s="2" t="str">
        <f>TRIM(Table1[[#This Row],[Numer_FV]])</f>
        <v>FV/65/PP/7411/22</v>
      </c>
      <c r="B238" s="2" t="str">
        <f>TRIM(Table1[[#This Row],[Numer_PZ]])</f>
        <v>PZ/800236</v>
      </c>
      <c r="C238" s="2" t="str">
        <f>TRIM(Table1[[#This Row],[Dostawca]])</f>
        <v>PharmaPlus</v>
      </c>
      <c r="D238" s="3">
        <v>44647</v>
      </c>
      <c r="E238" s="4" t="s">
        <v>745</v>
      </c>
      <c r="F238" s="2" t="str">
        <f>TRIM(Table1[[#This Row],[Status]])</f>
        <v>Zaakceptowana</v>
      </c>
      <c r="G238" s="2" t="str">
        <f>TRIM(Table1[[#This Row],[Typ]])</f>
        <v>Faktura VAT</v>
      </c>
      <c r="H238" s="2" t="str">
        <f>TRIM(Table1[[#This Row],[Magazyn]])</f>
        <v>Apteka Szpitalna</v>
      </c>
      <c r="I238" s="2" t="str">
        <f>TRIM(Table1[[#This Row],[Umowa]])</f>
        <v/>
      </c>
      <c r="J238" s="2" t="b">
        <f>ISTEXT(Table14[[#This Row],[Data_Wystawienia]])</f>
        <v>0</v>
      </c>
      <c r="K238" s="2">
        <f>VALUE(SUBSTITUTE(Table14[[#This Row],[Wartość]],".",","))</f>
        <v>9643.73</v>
      </c>
      <c r="L2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" s="2" t="str">
        <f>IF(Table14[[#This Row],[Umowa]]="","Poza umową","Z umowy")</f>
        <v>Poza umową</v>
      </c>
      <c r="N238" s="2">
        <f>YEAR(Table14[[#This Row],[Data_Wystawienia]])</f>
        <v>2022</v>
      </c>
      <c r="O238" s="2" t="str">
        <f>TEXT(Table14[[#This Row],[Data_Wystawienia]],"rrrr-mm")</f>
        <v>2022-03</v>
      </c>
      <c r="P238" s="2">
        <v>1</v>
      </c>
    </row>
    <row r="239" spans="1:16" x14ac:dyDescent="0.3">
      <c r="A239" s="2" t="str">
        <f>TRIM(Table1[[#This Row],[Numer_FV]])</f>
        <v>FV/26/PP/3653/22</v>
      </c>
      <c r="B239" s="2" t="str">
        <f>TRIM(Table1[[#This Row],[Numer_PZ]])</f>
        <v>PZ/800237</v>
      </c>
      <c r="C239" s="2" t="str">
        <f>TRIM(Table1[[#This Row],[Dostawca]])</f>
        <v>PharmaPlus</v>
      </c>
      <c r="D239" s="3">
        <v>44647</v>
      </c>
      <c r="E239" s="4" t="s">
        <v>748</v>
      </c>
      <c r="F239" s="2" t="str">
        <f>TRIM(Table1[[#This Row],[Status]])</f>
        <v>Zaakceptowana</v>
      </c>
      <c r="G239" s="2" t="str">
        <f>TRIM(Table1[[#This Row],[Typ]])</f>
        <v>Faktura VAT</v>
      </c>
      <c r="H239" s="2" t="str">
        <f>TRIM(Table1[[#This Row],[Magazyn]])</f>
        <v>Apteka Szpitalna</v>
      </c>
      <c r="I239" s="2" t="str">
        <f>TRIM(Table1[[#This Row],[Umowa]])</f>
        <v/>
      </c>
      <c r="J239" s="2" t="b">
        <f>ISTEXT(Table14[[#This Row],[Data_Wystawienia]])</f>
        <v>0</v>
      </c>
      <c r="K239" s="2">
        <f>VALUE(SUBSTITUTE(Table14[[#This Row],[Wartość]],".",","))</f>
        <v>13669.98</v>
      </c>
      <c r="L2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" s="2" t="str">
        <f>IF(Table14[[#This Row],[Umowa]]="","Poza umową","Z umowy")</f>
        <v>Poza umową</v>
      </c>
      <c r="N239" s="2">
        <f>YEAR(Table14[[#This Row],[Data_Wystawienia]])</f>
        <v>2022</v>
      </c>
      <c r="O239" s="2" t="str">
        <f>TEXT(Table14[[#This Row],[Data_Wystawienia]],"rrrr-mm")</f>
        <v>2022-03</v>
      </c>
      <c r="P239" s="2">
        <v>1</v>
      </c>
    </row>
    <row r="240" spans="1:16" x14ac:dyDescent="0.3">
      <c r="A240" s="2" t="str">
        <f>TRIM(Table1[[#This Row],[Numer_FV]])</f>
        <v>FV/CENFA/655185/22</v>
      </c>
      <c r="B240" s="2" t="str">
        <f>TRIM(Table1[[#This Row],[Numer_PZ]])</f>
        <v>PZ/800238</v>
      </c>
      <c r="C240" s="2" t="str">
        <f>TRIM(Table1[[#This Row],[Dostawca]])</f>
        <v>CentrumFarm</v>
      </c>
      <c r="D240" s="3">
        <v>44647</v>
      </c>
      <c r="E240" s="4" t="s">
        <v>751</v>
      </c>
      <c r="F240" s="2" t="str">
        <f>TRIM(Table1[[#This Row],[Status]])</f>
        <v>Zaakceptowana</v>
      </c>
      <c r="G240" s="2" t="str">
        <f>TRIM(Table1[[#This Row],[Typ]])</f>
        <v>Faktura VAT</v>
      </c>
      <c r="H240" s="2" t="str">
        <f>TRIM(Table1[[#This Row],[Magazyn]])</f>
        <v>Apteka Szpitalna</v>
      </c>
      <c r="I240" s="2" t="str">
        <f>TRIM(Table1[[#This Row],[Umowa]])</f>
        <v>UM-CEN-01</v>
      </c>
      <c r="J240" s="2" t="b">
        <f>ISTEXT(Table14[[#This Row],[Data_Wystawienia]])</f>
        <v>0</v>
      </c>
      <c r="K240" s="2">
        <f>VALUE(SUBSTITUTE(Table14[[#This Row],[Wartość]],".",","))</f>
        <v>17295.82</v>
      </c>
      <c r="L2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" s="2" t="str">
        <f>IF(Table14[[#This Row],[Umowa]]="","Poza umową","Z umowy")</f>
        <v>Z umowy</v>
      </c>
      <c r="N240" s="2">
        <f>YEAR(Table14[[#This Row],[Data_Wystawienia]])</f>
        <v>2022</v>
      </c>
      <c r="O240" s="2" t="str">
        <f>TEXT(Table14[[#This Row],[Data_Wystawienia]],"rrrr-mm")</f>
        <v>2022-03</v>
      </c>
      <c r="P240" s="2">
        <v>1</v>
      </c>
    </row>
    <row r="241" spans="1:16" x14ac:dyDescent="0.3">
      <c r="A241" s="2" t="str">
        <f>TRIM(Table1[[#This Row],[Numer_FV]])</f>
        <v>FV/77638/VDb/2022</v>
      </c>
      <c r="B241" s="2" t="str">
        <f>TRIM(Table1[[#This Row],[Numer_PZ]])</f>
        <v>PZ/800239</v>
      </c>
      <c r="C241" s="2" t="str">
        <f>TRIM(Table1[[#This Row],[Dostawca]])</f>
        <v>VitaDistrib</v>
      </c>
      <c r="D241" s="3">
        <v>44648</v>
      </c>
      <c r="E241" s="4" t="s">
        <v>754</v>
      </c>
      <c r="F241" s="2" t="str">
        <f>TRIM(Table1[[#This Row],[Status]])</f>
        <v>Zaakceptowana</v>
      </c>
      <c r="G241" s="2" t="str">
        <f>TRIM(Table1[[#This Row],[Typ]])</f>
        <v>Faktura VAT</v>
      </c>
      <c r="H241" s="2" t="str">
        <f>TRIM(Table1[[#This Row],[Magazyn]])</f>
        <v>Apteka Szpitalna</v>
      </c>
      <c r="I241" s="2" t="str">
        <f>TRIM(Table1[[#This Row],[Umowa]])</f>
        <v>UM-VIT-01</v>
      </c>
      <c r="J241" s="2" t="b">
        <f>ISTEXT(Table14[[#This Row],[Data_Wystawienia]])</f>
        <v>0</v>
      </c>
      <c r="K241" s="2">
        <f>VALUE(SUBSTITUTE(Table14[[#This Row],[Wartość]],".",","))</f>
        <v>21932.13</v>
      </c>
      <c r="L2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" s="2" t="str">
        <f>IF(Table14[[#This Row],[Umowa]]="","Poza umową","Z umowy")</f>
        <v>Z umowy</v>
      </c>
      <c r="N241" s="2">
        <f>YEAR(Table14[[#This Row],[Data_Wystawienia]])</f>
        <v>2022</v>
      </c>
      <c r="O241" s="2" t="str">
        <f>TEXT(Table14[[#This Row],[Data_Wystawienia]],"rrrr-mm")</f>
        <v>2022-03</v>
      </c>
      <c r="P241" s="2">
        <v>1</v>
      </c>
    </row>
    <row r="242" spans="1:16" x14ac:dyDescent="0.3">
      <c r="A242" s="2" t="str">
        <f>TRIM(Table1[[#This Row],[Numer_FV]])</f>
        <v>FV/POL/21837/2022</v>
      </c>
      <c r="B242" s="2" t="str">
        <f>TRIM(Table1[[#This Row],[Numer_PZ]])</f>
        <v>PZ/800240</v>
      </c>
      <c r="C242" s="2" t="str">
        <f>TRIM(Table1[[#This Row],[Dostawca]])</f>
        <v>Polmedica</v>
      </c>
      <c r="D242" s="3">
        <v>44648</v>
      </c>
      <c r="E242" s="4" t="s">
        <v>757</v>
      </c>
      <c r="F242" s="2" t="str">
        <f>TRIM(Table1[[#This Row],[Status]])</f>
        <v>Zaakceptowana</v>
      </c>
      <c r="G242" s="2" t="str">
        <f>TRIM(Table1[[#This Row],[Typ]])</f>
        <v>Faktura VAT</v>
      </c>
      <c r="H242" s="2" t="str">
        <f>TRIM(Table1[[#This Row],[Magazyn]])</f>
        <v>Apteka Szpitalna</v>
      </c>
      <c r="I242" s="2" t="str">
        <f>TRIM(Table1[[#This Row],[Umowa]])</f>
        <v>UM-POL-02</v>
      </c>
      <c r="J242" s="2" t="b">
        <f>ISTEXT(Table14[[#This Row],[Data_Wystawienia]])</f>
        <v>0</v>
      </c>
      <c r="K242" s="2">
        <f>VALUE(SUBSTITUTE(Table14[[#This Row],[Wartość]],".",","))</f>
        <v>16583.099999999999</v>
      </c>
      <c r="L2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" s="2" t="str">
        <f>IF(Table14[[#This Row],[Umowa]]="","Poza umową","Z umowy")</f>
        <v>Z umowy</v>
      </c>
      <c r="N242" s="2">
        <f>YEAR(Table14[[#This Row],[Data_Wystawienia]])</f>
        <v>2022</v>
      </c>
      <c r="O242" s="2" t="str">
        <f>TEXT(Table14[[#This Row],[Data_Wystawienia]],"rrrr-mm")</f>
        <v>2022-03</v>
      </c>
      <c r="P242" s="2">
        <v>1</v>
      </c>
    </row>
    <row r="243" spans="1:16" x14ac:dyDescent="0.3">
      <c r="A243" s="2" t="str">
        <f>TRIM(Table1[[#This Row],[Numer_FV]])</f>
        <v>FV/62/PP/2158/22</v>
      </c>
      <c r="B243" s="2" t="str">
        <f>TRIM(Table1[[#This Row],[Numer_PZ]])</f>
        <v>PZ/800241</v>
      </c>
      <c r="C243" s="2" t="str">
        <f>TRIM(Table1[[#This Row],[Dostawca]])</f>
        <v>PharmaPlus</v>
      </c>
      <c r="D243" s="3">
        <v>44648</v>
      </c>
      <c r="E243" s="4" t="s">
        <v>760</v>
      </c>
      <c r="F243" s="2" t="str">
        <f>TRIM(Table1[[#This Row],[Status]])</f>
        <v>Zaakceptowana</v>
      </c>
      <c r="G243" s="2" t="str">
        <f>TRIM(Table1[[#This Row],[Typ]])</f>
        <v>Faktura VAT</v>
      </c>
      <c r="H243" s="2" t="str">
        <f>TRIM(Table1[[#This Row],[Magazyn]])</f>
        <v>Apteka Szpitalna</v>
      </c>
      <c r="I243" s="2" t="str">
        <f>TRIM(Table1[[#This Row],[Umowa]])</f>
        <v>UM-PHA-02</v>
      </c>
      <c r="J243" s="2" t="b">
        <f>ISTEXT(Table14[[#This Row],[Data_Wystawienia]])</f>
        <v>0</v>
      </c>
      <c r="K243" s="2">
        <f>VALUE(SUBSTITUTE(Table14[[#This Row],[Wartość]],".",","))</f>
        <v>19088.439999999999</v>
      </c>
      <c r="L2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" s="2" t="str">
        <f>IF(Table14[[#This Row],[Umowa]]="","Poza umową","Z umowy")</f>
        <v>Z umowy</v>
      </c>
      <c r="N243" s="2">
        <f>YEAR(Table14[[#This Row],[Data_Wystawienia]])</f>
        <v>2022</v>
      </c>
      <c r="O243" s="2" t="str">
        <f>TEXT(Table14[[#This Row],[Data_Wystawienia]],"rrrr-mm")</f>
        <v>2022-03</v>
      </c>
      <c r="P243" s="2">
        <v>1</v>
      </c>
    </row>
    <row r="244" spans="1:16" x14ac:dyDescent="0.3">
      <c r="A244" s="2" t="str">
        <f>TRIM(Table1[[#This Row],[Numer_FV]])</f>
        <v>FV/2887/NOVA/22</v>
      </c>
      <c r="B244" s="2" t="str">
        <f>TRIM(Table1[[#This Row],[Numer_PZ]])</f>
        <v>PZ/800242</v>
      </c>
      <c r="C244" s="2" t="str">
        <f>TRIM(Table1[[#This Row],[Dostawca]])</f>
        <v>NovaLek</v>
      </c>
      <c r="D244" s="3">
        <v>44648</v>
      </c>
      <c r="E244" s="4" t="s">
        <v>763</v>
      </c>
      <c r="F244" s="2" t="str">
        <f>TRIM(Table1[[#This Row],[Status]])</f>
        <v>Zaakceptowana</v>
      </c>
      <c r="G244" s="2" t="str">
        <f>TRIM(Table1[[#This Row],[Typ]])</f>
        <v>Korekta FV</v>
      </c>
      <c r="H244" s="2" t="str">
        <f>TRIM(Table1[[#This Row],[Magazyn]])</f>
        <v>Apteka Szpitalna</v>
      </c>
      <c r="I244" s="2" t="str">
        <f>TRIM(Table1[[#This Row],[Umowa]])</f>
        <v>UM-NOV-02</v>
      </c>
      <c r="J244" s="2" t="b">
        <f>ISTEXT(Table14[[#This Row],[Data_Wystawienia]])</f>
        <v>0</v>
      </c>
      <c r="K244" s="2">
        <f>VALUE(SUBSTITUTE(Table14[[#This Row],[Wartość]],".",","))</f>
        <v>-400.76</v>
      </c>
      <c r="L2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" s="2" t="str">
        <f>IF(Table14[[#This Row],[Umowa]]="","Poza umową","Z umowy")</f>
        <v>Z umowy</v>
      </c>
      <c r="N244" s="2">
        <f>YEAR(Table14[[#This Row],[Data_Wystawienia]])</f>
        <v>2022</v>
      </c>
      <c r="O244" s="2" t="str">
        <f>TEXT(Table14[[#This Row],[Data_Wystawienia]],"rrrr-mm")</f>
        <v>2022-03</v>
      </c>
      <c r="P244" s="2">
        <v>1</v>
      </c>
    </row>
    <row r="245" spans="1:16" x14ac:dyDescent="0.3">
      <c r="A245" s="2" t="str">
        <f>TRIM(Table1[[#This Row],[Numer_FV]])</f>
        <v>FV/29902/VDb/2022</v>
      </c>
      <c r="B245" s="2" t="str">
        <f>TRIM(Table1[[#This Row],[Numer_PZ]])</f>
        <v>PZ/800243</v>
      </c>
      <c r="C245" s="2" t="str">
        <f>TRIM(Table1[[#This Row],[Dostawca]])</f>
        <v>VitaDistrib</v>
      </c>
      <c r="D245" s="3">
        <v>44648</v>
      </c>
      <c r="E245" s="4" t="s">
        <v>766</v>
      </c>
      <c r="F245" s="2" t="str">
        <f>TRIM(Table1[[#This Row],[Status]])</f>
        <v>Zaakceptowana</v>
      </c>
      <c r="G245" s="2" t="str">
        <f>TRIM(Table1[[#This Row],[Typ]])</f>
        <v>Faktura VAT</v>
      </c>
      <c r="H245" s="2" t="str">
        <f>TRIM(Table1[[#This Row],[Magazyn]])</f>
        <v>Apteka Szpitalna</v>
      </c>
      <c r="I245" s="2" t="str">
        <f>TRIM(Table1[[#This Row],[Umowa]])</f>
        <v>UM-VIT-01</v>
      </c>
      <c r="J245" s="2" t="b">
        <f>ISTEXT(Table14[[#This Row],[Data_Wystawienia]])</f>
        <v>0</v>
      </c>
      <c r="K245" s="2">
        <f>VALUE(SUBSTITUTE(Table14[[#This Row],[Wartość]],".",","))</f>
        <v>8452.35</v>
      </c>
      <c r="L2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" s="2" t="str">
        <f>IF(Table14[[#This Row],[Umowa]]="","Poza umową","Z umowy")</f>
        <v>Z umowy</v>
      </c>
      <c r="N245" s="2">
        <f>YEAR(Table14[[#This Row],[Data_Wystawienia]])</f>
        <v>2022</v>
      </c>
      <c r="O245" s="2" t="str">
        <f>TEXT(Table14[[#This Row],[Data_Wystawienia]],"rrrr-mm")</f>
        <v>2022-03</v>
      </c>
      <c r="P245" s="2">
        <v>1</v>
      </c>
    </row>
    <row r="246" spans="1:16" x14ac:dyDescent="0.3">
      <c r="A246" s="2" t="str">
        <f>TRIM(Table1[[#This Row],[Numer_FV]])</f>
        <v>FV/4839HM/22</v>
      </c>
      <c r="B246" s="2" t="str">
        <f>TRIM(Table1[[#This Row],[Numer_PZ]])</f>
        <v>PZ/800244</v>
      </c>
      <c r="C246" s="2" t="str">
        <f>TRIM(Table1[[#This Row],[Dostawca]])</f>
        <v>HurtMedix</v>
      </c>
      <c r="D246" s="3">
        <v>44649</v>
      </c>
      <c r="E246" s="4" t="s">
        <v>769</v>
      </c>
      <c r="F246" s="2" t="str">
        <f>TRIM(Table1[[#This Row],[Status]])</f>
        <v>Zaakceptowana</v>
      </c>
      <c r="G246" s="2" t="str">
        <f>TRIM(Table1[[#This Row],[Typ]])</f>
        <v>Faktura VAT</v>
      </c>
      <c r="H246" s="2" t="str">
        <f>TRIM(Table1[[#This Row],[Magazyn]])</f>
        <v>Apteka Szpitalna</v>
      </c>
      <c r="I246" s="2" t="str">
        <f>TRIM(Table1[[#This Row],[Umowa]])</f>
        <v>UM-HUR-02</v>
      </c>
      <c r="J246" s="2" t="b">
        <f>ISTEXT(Table14[[#This Row],[Data_Wystawienia]])</f>
        <v>0</v>
      </c>
      <c r="K246" s="2">
        <f>VALUE(SUBSTITUTE(Table14[[#This Row],[Wartość]],".",","))</f>
        <v>24803.14</v>
      </c>
      <c r="L2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" s="2" t="str">
        <f>IF(Table14[[#This Row],[Umowa]]="","Poza umową","Z umowy")</f>
        <v>Z umowy</v>
      </c>
      <c r="N246" s="2">
        <f>YEAR(Table14[[#This Row],[Data_Wystawienia]])</f>
        <v>2022</v>
      </c>
      <c r="O246" s="2" t="str">
        <f>TEXT(Table14[[#This Row],[Data_Wystawienia]],"rrrr-mm")</f>
        <v>2022-03</v>
      </c>
      <c r="P246" s="2">
        <v>1</v>
      </c>
    </row>
    <row r="247" spans="1:16" x14ac:dyDescent="0.3">
      <c r="A247" s="2" t="str">
        <f>TRIM(Table1[[#This Row],[Numer_FV]])</f>
        <v>FV/CENFA/178292/22</v>
      </c>
      <c r="B247" s="2" t="str">
        <f>TRIM(Table1[[#This Row],[Numer_PZ]])</f>
        <v>PZ/800245</v>
      </c>
      <c r="C247" s="2" t="str">
        <f>TRIM(Table1[[#This Row],[Dostawca]])</f>
        <v>CentrumFarm</v>
      </c>
      <c r="D247" s="3">
        <v>44649</v>
      </c>
      <c r="E247" s="4" t="s">
        <v>772</v>
      </c>
      <c r="F247" s="2" t="str">
        <f>TRIM(Table1[[#This Row],[Status]])</f>
        <v>Zaakceptowana</v>
      </c>
      <c r="G247" s="2" t="str">
        <f>TRIM(Table1[[#This Row],[Typ]])</f>
        <v>Korekta FV</v>
      </c>
      <c r="H247" s="2" t="str">
        <f>TRIM(Table1[[#This Row],[Magazyn]])</f>
        <v>Apteka Szpitalna</v>
      </c>
      <c r="I247" s="2" t="str">
        <f>TRIM(Table1[[#This Row],[Umowa]])</f>
        <v>UM-CEN-02</v>
      </c>
      <c r="J247" s="2" t="b">
        <f>ISTEXT(Table14[[#This Row],[Data_Wystawienia]])</f>
        <v>0</v>
      </c>
      <c r="K247" s="2">
        <f>VALUE(SUBSTITUTE(Table14[[#This Row],[Wartość]],".",","))</f>
        <v>-3445.95</v>
      </c>
      <c r="L2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" s="2" t="str">
        <f>IF(Table14[[#This Row],[Umowa]]="","Poza umową","Z umowy")</f>
        <v>Z umowy</v>
      </c>
      <c r="N247" s="2">
        <f>YEAR(Table14[[#This Row],[Data_Wystawienia]])</f>
        <v>2022</v>
      </c>
      <c r="O247" s="2" t="str">
        <f>TEXT(Table14[[#This Row],[Data_Wystawienia]],"rrrr-mm")</f>
        <v>2022-03</v>
      </c>
      <c r="P247" s="2">
        <v>1</v>
      </c>
    </row>
    <row r="248" spans="1:16" x14ac:dyDescent="0.3">
      <c r="A248" s="2" t="str">
        <f>TRIM(Table1[[#This Row],[Numer_FV]])</f>
        <v>FV/56/PP/6928/22</v>
      </c>
      <c r="B248" s="2" t="str">
        <f>TRIM(Table1[[#This Row],[Numer_PZ]])</f>
        <v>PZ/800246</v>
      </c>
      <c r="C248" s="2" t="str">
        <f>TRIM(Table1[[#This Row],[Dostawca]])</f>
        <v>PharmaPlus</v>
      </c>
      <c r="D248" s="3">
        <v>44650</v>
      </c>
      <c r="E248" s="4" t="s">
        <v>775</v>
      </c>
      <c r="F248" s="2" t="str">
        <f>TRIM(Table1[[#This Row],[Status]])</f>
        <v>Zaakceptowana</v>
      </c>
      <c r="G248" s="2" t="str">
        <f>TRIM(Table1[[#This Row],[Typ]])</f>
        <v>Faktura VAT</v>
      </c>
      <c r="H248" s="2" t="str">
        <f>TRIM(Table1[[#This Row],[Magazyn]])</f>
        <v>Apteka Szpitalna</v>
      </c>
      <c r="I248" s="2" t="str">
        <f>TRIM(Table1[[#This Row],[Umowa]])</f>
        <v>UM-PHA-01</v>
      </c>
      <c r="J248" s="2" t="b">
        <f>ISTEXT(Table14[[#This Row],[Data_Wystawienia]])</f>
        <v>0</v>
      </c>
      <c r="K248" s="2">
        <f>VALUE(SUBSTITUTE(Table14[[#This Row],[Wartość]],".",","))</f>
        <v>14430.66</v>
      </c>
      <c r="L2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" s="2" t="str">
        <f>IF(Table14[[#This Row],[Umowa]]="","Poza umową","Z umowy")</f>
        <v>Z umowy</v>
      </c>
      <c r="N248" s="2">
        <f>YEAR(Table14[[#This Row],[Data_Wystawienia]])</f>
        <v>2022</v>
      </c>
      <c r="O248" s="2" t="str">
        <f>TEXT(Table14[[#This Row],[Data_Wystawienia]],"rrrr-mm")</f>
        <v>2022-03</v>
      </c>
      <c r="P248" s="2">
        <v>1</v>
      </c>
    </row>
    <row r="249" spans="1:16" x14ac:dyDescent="0.3">
      <c r="A249" s="2" t="str">
        <f>TRIM(Table1[[#This Row],[Numer_FV]])</f>
        <v>FV/29968/VDb/2022</v>
      </c>
      <c r="B249" s="2" t="str">
        <f>TRIM(Table1[[#This Row],[Numer_PZ]])</f>
        <v>PZ/800247</v>
      </c>
      <c r="C249" s="2" t="str">
        <f>TRIM(Table1[[#This Row],[Dostawca]])</f>
        <v>VitaDistrib</v>
      </c>
      <c r="D249" s="3">
        <v>44650</v>
      </c>
      <c r="E249" s="4" t="s">
        <v>778</v>
      </c>
      <c r="F249" s="2" t="str">
        <f>TRIM(Table1[[#This Row],[Status]])</f>
        <v>Zaakceptowana</v>
      </c>
      <c r="G249" s="2" t="str">
        <f>TRIM(Table1[[#This Row],[Typ]])</f>
        <v>Faktura VAT</v>
      </c>
      <c r="H249" s="2" t="str">
        <f>TRIM(Table1[[#This Row],[Magazyn]])</f>
        <v>Apteka Szpitalna</v>
      </c>
      <c r="I249" s="2" t="str">
        <f>TRIM(Table1[[#This Row],[Umowa]])</f>
        <v>UM-VIT-01</v>
      </c>
      <c r="J249" s="2" t="b">
        <f>ISTEXT(Table14[[#This Row],[Data_Wystawienia]])</f>
        <v>0</v>
      </c>
      <c r="K249" s="2">
        <f>VALUE(SUBSTITUTE(Table14[[#This Row],[Wartość]],".",","))</f>
        <v>18848.82</v>
      </c>
      <c r="L2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" s="2" t="str">
        <f>IF(Table14[[#This Row],[Umowa]]="","Poza umową","Z umowy")</f>
        <v>Z umowy</v>
      </c>
      <c r="N249" s="2">
        <f>YEAR(Table14[[#This Row],[Data_Wystawienia]])</f>
        <v>2022</v>
      </c>
      <c r="O249" s="2" t="str">
        <f>TEXT(Table14[[#This Row],[Data_Wystawienia]],"rrrr-mm")</f>
        <v>2022-03</v>
      </c>
      <c r="P249" s="2">
        <v>1</v>
      </c>
    </row>
    <row r="250" spans="1:16" x14ac:dyDescent="0.3">
      <c r="A250" s="2" t="str">
        <f>TRIM(Table1[[#This Row],[Numer_FV]])</f>
        <v>FV/63/PP/4230/22</v>
      </c>
      <c r="B250" s="2" t="str">
        <f>TRIM(Table1[[#This Row],[Numer_PZ]])</f>
        <v>PZ/800248</v>
      </c>
      <c r="C250" s="2" t="str">
        <f>TRIM(Table1[[#This Row],[Dostawca]])</f>
        <v>PharmaPlus</v>
      </c>
      <c r="D250" s="3">
        <v>44651</v>
      </c>
      <c r="E250" s="4" t="s">
        <v>781</v>
      </c>
      <c r="F250" s="2" t="str">
        <f>TRIM(Table1[[#This Row],[Status]])</f>
        <v>Zaakceptowana</v>
      </c>
      <c r="G250" s="2" t="str">
        <f>TRIM(Table1[[#This Row],[Typ]])</f>
        <v>Faktura VAT</v>
      </c>
      <c r="H250" s="2" t="str">
        <f>TRIM(Table1[[#This Row],[Magazyn]])</f>
        <v>Apteka Szpitalna</v>
      </c>
      <c r="I250" s="2" t="str">
        <f>TRIM(Table1[[#This Row],[Umowa]])</f>
        <v/>
      </c>
      <c r="J250" s="2" t="b">
        <f>ISTEXT(Table14[[#This Row],[Data_Wystawienia]])</f>
        <v>0</v>
      </c>
      <c r="K250" s="2">
        <f>VALUE(SUBSTITUTE(Table14[[#This Row],[Wartość]],".",","))</f>
        <v>3501.98</v>
      </c>
      <c r="L2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" s="2" t="str">
        <f>IF(Table14[[#This Row],[Umowa]]="","Poza umową","Z umowy")</f>
        <v>Poza umową</v>
      </c>
      <c r="N250" s="2">
        <f>YEAR(Table14[[#This Row],[Data_Wystawienia]])</f>
        <v>2022</v>
      </c>
      <c r="O250" s="2" t="str">
        <f>TEXT(Table14[[#This Row],[Data_Wystawienia]],"rrrr-mm")</f>
        <v>2022-03</v>
      </c>
      <c r="P250" s="2">
        <v>1</v>
      </c>
    </row>
    <row r="251" spans="1:16" x14ac:dyDescent="0.3">
      <c r="A251" s="2" t="str">
        <f>TRIM(Table1[[#This Row],[Numer_FV]])</f>
        <v>FV/38/SAL/22</v>
      </c>
      <c r="B251" s="2" t="str">
        <f>TRIM(Table1[[#This Row],[Numer_PZ]])</f>
        <v>PZ/800249</v>
      </c>
      <c r="C251" s="2" t="str">
        <f>TRIM(Table1[[#This Row],[Dostawca]])</f>
        <v>SalusHurt</v>
      </c>
      <c r="D251" s="3">
        <v>44652</v>
      </c>
      <c r="E251" s="4" t="s">
        <v>784</v>
      </c>
      <c r="F251" s="2" t="str">
        <f>TRIM(Table1[[#This Row],[Status]])</f>
        <v>Zaakceptowana</v>
      </c>
      <c r="G251" s="2" t="str">
        <f>TRIM(Table1[[#This Row],[Typ]])</f>
        <v>Faktura VAT</v>
      </c>
      <c r="H251" s="2" t="str">
        <f>TRIM(Table1[[#This Row],[Magazyn]])</f>
        <v>Apteka Szpitalna</v>
      </c>
      <c r="I251" s="2" t="str">
        <f>TRIM(Table1[[#This Row],[Umowa]])</f>
        <v>UM-SAL-01</v>
      </c>
      <c r="J251" s="2" t="b">
        <f>ISTEXT(Table14[[#This Row],[Data_Wystawienia]])</f>
        <v>0</v>
      </c>
      <c r="K251" s="2">
        <f>VALUE(SUBSTITUTE(Table14[[#This Row],[Wartość]],".",","))</f>
        <v>5792.43</v>
      </c>
      <c r="L2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" s="2" t="str">
        <f>IF(Table14[[#This Row],[Umowa]]="","Poza umową","Z umowy")</f>
        <v>Z umowy</v>
      </c>
      <c r="N251" s="2">
        <f>YEAR(Table14[[#This Row],[Data_Wystawienia]])</f>
        <v>2022</v>
      </c>
      <c r="O251" s="2" t="str">
        <f>TEXT(Table14[[#This Row],[Data_Wystawienia]],"rrrr-mm")</f>
        <v>2022-04</v>
      </c>
      <c r="P251" s="2">
        <v>1</v>
      </c>
    </row>
    <row r="252" spans="1:16" x14ac:dyDescent="0.3">
      <c r="A252" s="2" t="str">
        <f>TRIM(Table1[[#This Row],[Numer_FV]])</f>
        <v>FV/56066/VDb/2022</v>
      </c>
      <c r="B252" s="2" t="str">
        <f>TRIM(Table1[[#This Row],[Numer_PZ]])</f>
        <v>PZ/800250</v>
      </c>
      <c r="C252" s="2" t="str">
        <f>TRIM(Table1[[#This Row],[Dostawca]])</f>
        <v>VitaDistrib</v>
      </c>
      <c r="D252" s="3">
        <v>44652</v>
      </c>
      <c r="E252" s="4" t="s">
        <v>787</v>
      </c>
      <c r="F252" s="2" t="str">
        <f>TRIM(Table1[[#This Row],[Status]])</f>
        <v>Zaakceptowana</v>
      </c>
      <c r="G252" s="2" t="str">
        <f>TRIM(Table1[[#This Row],[Typ]])</f>
        <v>Faktura VAT</v>
      </c>
      <c r="H252" s="2" t="str">
        <f>TRIM(Table1[[#This Row],[Magazyn]])</f>
        <v>Apteka Szpitalna</v>
      </c>
      <c r="I252" s="2" t="str">
        <f>TRIM(Table1[[#This Row],[Umowa]])</f>
        <v>UM-VIT-01</v>
      </c>
      <c r="J252" s="2" t="b">
        <f>ISTEXT(Table14[[#This Row],[Data_Wystawienia]])</f>
        <v>0</v>
      </c>
      <c r="K252" s="2">
        <f>VALUE(SUBSTITUTE(Table14[[#This Row],[Wartość]],".",","))</f>
        <v>20978.560000000001</v>
      </c>
      <c r="L2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" s="2" t="str">
        <f>IF(Table14[[#This Row],[Umowa]]="","Poza umową","Z umowy")</f>
        <v>Z umowy</v>
      </c>
      <c r="N252" s="2">
        <f>YEAR(Table14[[#This Row],[Data_Wystawienia]])</f>
        <v>2022</v>
      </c>
      <c r="O252" s="2" t="str">
        <f>TEXT(Table14[[#This Row],[Data_Wystawienia]],"rrrr-mm")</f>
        <v>2022-04</v>
      </c>
      <c r="P252" s="2">
        <v>1</v>
      </c>
    </row>
    <row r="253" spans="1:16" x14ac:dyDescent="0.3">
      <c r="A253" s="2" t="str">
        <f>TRIM(Table1[[#This Row],[Numer_FV]])</f>
        <v>FV/27/SAL/22</v>
      </c>
      <c r="B253" s="2" t="str">
        <f>TRIM(Table1[[#This Row],[Numer_PZ]])</f>
        <v>PZ/800251</v>
      </c>
      <c r="C253" s="2" t="str">
        <f>TRIM(Table1[[#This Row],[Dostawca]])</f>
        <v>SalusHurt</v>
      </c>
      <c r="D253" s="3">
        <v>44652</v>
      </c>
      <c r="E253" s="4" t="s">
        <v>790</v>
      </c>
      <c r="F253" s="2" t="str">
        <f>TRIM(Table1[[#This Row],[Status]])</f>
        <v>Zaakceptowana</v>
      </c>
      <c r="G253" s="2" t="str">
        <f>TRIM(Table1[[#This Row],[Typ]])</f>
        <v>Faktura VAT</v>
      </c>
      <c r="H253" s="2" t="str">
        <f>TRIM(Table1[[#This Row],[Magazyn]])</f>
        <v>Apteka Szpitalna</v>
      </c>
      <c r="I253" s="2" t="str">
        <f>TRIM(Table1[[#This Row],[Umowa]])</f>
        <v>UM-SAL-02</v>
      </c>
      <c r="J253" s="2" t="b">
        <f>ISTEXT(Table14[[#This Row],[Data_Wystawienia]])</f>
        <v>0</v>
      </c>
      <c r="K253" s="2">
        <f>VALUE(SUBSTITUTE(Table14[[#This Row],[Wartość]],".",","))</f>
        <v>2507.02</v>
      </c>
      <c r="L2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" s="2" t="str">
        <f>IF(Table14[[#This Row],[Umowa]]="","Poza umową","Z umowy")</f>
        <v>Z umowy</v>
      </c>
      <c r="N253" s="2">
        <f>YEAR(Table14[[#This Row],[Data_Wystawienia]])</f>
        <v>2022</v>
      </c>
      <c r="O253" s="2" t="str">
        <f>TEXT(Table14[[#This Row],[Data_Wystawienia]],"rrrr-mm")</f>
        <v>2022-04</v>
      </c>
      <c r="P253" s="2">
        <v>1</v>
      </c>
    </row>
    <row r="254" spans="1:16" x14ac:dyDescent="0.3">
      <c r="A254" s="2" t="str">
        <f>TRIM(Table1[[#This Row],[Numer_FV]])</f>
        <v>FV/CENFA/687752/22</v>
      </c>
      <c r="B254" s="2" t="str">
        <f>TRIM(Table1[[#This Row],[Numer_PZ]])</f>
        <v>PZ/800252</v>
      </c>
      <c r="C254" s="2" t="str">
        <f>TRIM(Table1[[#This Row],[Dostawca]])</f>
        <v>CentrumFarm</v>
      </c>
      <c r="D254" s="3">
        <v>44653</v>
      </c>
      <c r="E254" s="4" t="s">
        <v>793</v>
      </c>
      <c r="F254" s="2" t="str">
        <f>TRIM(Table1[[#This Row],[Status]])</f>
        <v>Zaakceptowana</v>
      </c>
      <c r="G254" s="2" t="str">
        <f>TRIM(Table1[[#This Row],[Typ]])</f>
        <v>Faktura VAT</v>
      </c>
      <c r="H254" s="2" t="str">
        <f>TRIM(Table1[[#This Row],[Magazyn]])</f>
        <v>Apteka Szpitalna</v>
      </c>
      <c r="I254" s="2" t="str">
        <f>TRIM(Table1[[#This Row],[Umowa]])</f>
        <v/>
      </c>
      <c r="J254" s="2" t="b">
        <f>ISTEXT(Table14[[#This Row],[Data_Wystawienia]])</f>
        <v>0</v>
      </c>
      <c r="K254" s="2">
        <f>VALUE(SUBSTITUTE(Table14[[#This Row],[Wartość]],".",","))</f>
        <v>17109.95</v>
      </c>
      <c r="L2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" s="2" t="str">
        <f>IF(Table14[[#This Row],[Umowa]]="","Poza umową","Z umowy")</f>
        <v>Poza umową</v>
      </c>
      <c r="N254" s="2">
        <f>YEAR(Table14[[#This Row],[Data_Wystawienia]])</f>
        <v>2022</v>
      </c>
      <c r="O254" s="2" t="str">
        <f>TEXT(Table14[[#This Row],[Data_Wystawienia]],"rrrr-mm")</f>
        <v>2022-04</v>
      </c>
      <c r="P254" s="2">
        <v>1</v>
      </c>
    </row>
    <row r="255" spans="1:16" x14ac:dyDescent="0.3">
      <c r="A255" s="2" t="str">
        <f>TRIM(Table1[[#This Row],[Numer_FV]])</f>
        <v>FV/19685/VDb/2022</v>
      </c>
      <c r="B255" s="2" t="str">
        <f>TRIM(Table1[[#This Row],[Numer_PZ]])</f>
        <v>PZ/800253</v>
      </c>
      <c r="C255" s="2" t="str">
        <f>TRIM(Table1[[#This Row],[Dostawca]])</f>
        <v>VitaDistrib</v>
      </c>
      <c r="D255" s="3">
        <v>44653</v>
      </c>
      <c r="E255" s="4" t="s">
        <v>796</v>
      </c>
      <c r="F255" s="2" t="str">
        <f>TRIM(Table1[[#This Row],[Status]])</f>
        <v>Zaakceptowana</v>
      </c>
      <c r="G255" s="2" t="str">
        <f>TRIM(Table1[[#This Row],[Typ]])</f>
        <v>Faktura VAT</v>
      </c>
      <c r="H255" s="2" t="str">
        <f>TRIM(Table1[[#This Row],[Magazyn]])</f>
        <v>Apteka Szpitalna</v>
      </c>
      <c r="I255" s="2" t="str">
        <f>TRIM(Table1[[#This Row],[Umowa]])</f>
        <v/>
      </c>
      <c r="J255" s="2" t="b">
        <f>ISTEXT(Table14[[#This Row],[Data_Wystawienia]])</f>
        <v>0</v>
      </c>
      <c r="K255" s="2">
        <f>VALUE(SUBSTITUTE(Table14[[#This Row],[Wartość]],".",","))</f>
        <v>16430.169999999998</v>
      </c>
      <c r="L2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" s="2" t="str">
        <f>IF(Table14[[#This Row],[Umowa]]="","Poza umową","Z umowy")</f>
        <v>Poza umową</v>
      </c>
      <c r="N255" s="2">
        <f>YEAR(Table14[[#This Row],[Data_Wystawienia]])</f>
        <v>2022</v>
      </c>
      <c r="O255" s="2" t="str">
        <f>TEXT(Table14[[#This Row],[Data_Wystawienia]],"rrrr-mm")</f>
        <v>2022-04</v>
      </c>
      <c r="P255" s="2">
        <v>1</v>
      </c>
    </row>
    <row r="256" spans="1:16" x14ac:dyDescent="0.3">
      <c r="A256" s="2" t="str">
        <f>TRIM(Table1[[#This Row],[Numer_FV]])</f>
        <v>FV/3470/NOVA/22</v>
      </c>
      <c r="B256" s="2" t="str">
        <f>TRIM(Table1[[#This Row],[Numer_PZ]])</f>
        <v>PZ/800254</v>
      </c>
      <c r="C256" s="2" t="str">
        <f>TRIM(Table1[[#This Row],[Dostawca]])</f>
        <v>NovaLek</v>
      </c>
      <c r="D256" s="3">
        <v>44654</v>
      </c>
      <c r="E256" s="4" t="s">
        <v>799</v>
      </c>
      <c r="F256" s="2" t="str">
        <f>TRIM(Table1[[#This Row],[Status]])</f>
        <v>Zaakceptowana</v>
      </c>
      <c r="G256" s="2" t="str">
        <f>TRIM(Table1[[#This Row],[Typ]])</f>
        <v>Faktura VAT</v>
      </c>
      <c r="H256" s="2" t="str">
        <f>TRIM(Table1[[#This Row],[Magazyn]])</f>
        <v>Apteka Szpitalna</v>
      </c>
      <c r="I256" s="2" t="str">
        <f>TRIM(Table1[[#This Row],[Umowa]])</f>
        <v>UM-NOV-01</v>
      </c>
      <c r="J256" s="2" t="b">
        <f>ISTEXT(Table14[[#This Row],[Data_Wystawienia]])</f>
        <v>0</v>
      </c>
      <c r="K256" s="2">
        <f>VALUE(SUBSTITUTE(Table14[[#This Row],[Wartość]],".",","))</f>
        <v>12051.25</v>
      </c>
      <c r="L2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" s="2" t="str">
        <f>IF(Table14[[#This Row],[Umowa]]="","Poza umową","Z umowy")</f>
        <v>Z umowy</v>
      </c>
      <c r="N256" s="2">
        <f>YEAR(Table14[[#This Row],[Data_Wystawienia]])</f>
        <v>2022</v>
      </c>
      <c r="O256" s="2" t="str">
        <f>TEXT(Table14[[#This Row],[Data_Wystawienia]],"rrrr-mm")</f>
        <v>2022-04</v>
      </c>
      <c r="P256" s="2">
        <v>1</v>
      </c>
    </row>
    <row r="257" spans="1:16" x14ac:dyDescent="0.3">
      <c r="A257" s="2" t="str">
        <f>TRIM(Table1[[#This Row],[Numer_FV]])</f>
        <v>FV/5019HM/22</v>
      </c>
      <c r="B257" s="2" t="str">
        <f>TRIM(Table1[[#This Row],[Numer_PZ]])</f>
        <v>PZ/800255</v>
      </c>
      <c r="C257" s="2" t="str">
        <f>TRIM(Table1[[#This Row],[Dostawca]])</f>
        <v>HurtMedix</v>
      </c>
      <c r="D257" s="3">
        <v>44654</v>
      </c>
      <c r="E257" s="4" t="s">
        <v>802</v>
      </c>
      <c r="F257" s="2" t="str">
        <f>TRIM(Table1[[#This Row],[Status]])</f>
        <v>Zaakceptowana</v>
      </c>
      <c r="G257" s="2" t="str">
        <f>TRIM(Table1[[#This Row],[Typ]])</f>
        <v>Faktura VAT</v>
      </c>
      <c r="H257" s="2" t="str">
        <f>TRIM(Table1[[#This Row],[Magazyn]])</f>
        <v>Apteka Szpitalna</v>
      </c>
      <c r="I257" s="2" t="str">
        <f>TRIM(Table1[[#This Row],[Umowa]])</f>
        <v>UM-HUR-02</v>
      </c>
      <c r="J257" s="2" t="b">
        <f>ISTEXT(Table14[[#This Row],[Data_Wystawienia]])</f>
        <v>0</v>
      </c>
      <c r="K257" s="2">
        <f>VALUE(SUBSTITUTE(Table14[[#This Row],[Wartość]],".",","))</f>
        <v>12532.98</v>
      </c>
      <c r="L2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" s="2" t="str">
        <f>IF(Table14[[#This Row],[Umowa]]="","Poza umową","Z umowy")</f>
        <v>Z umowy</v>
      </c>
      <c r="N257" s="2">
        <f>YEAR(Table14[[#This Row],[Data_Wystawienia]])</f>
        <v>2022</v>
      </c>
      <c r="O257" s="2" t="str">
        <f>TEXT(Table14[[#This Row],[Data_Wystawienia]],"rrrr-mm")</f>
        <v>2022-04</v>
      </c>
      <c r="P257" s="2">
        <v>1</v>
      </c>
    </row>
    <row r="258" spans="1:16" x14ac:dyDescent="0.3">
      <c r="A258" s="2" t="str">
        <f>TRIM(Table1[[#This Row],[Numer_FV]])</f>
        <v>FV/83654/VDb/2022</v>
      </c>
      <c r="B258" s="2" t="str">
        <f>TRIM(Table1[[#This Row],[Numer_PZ]])</f>
        <v>PZ/800256</v>
      </c>
      <c r="C258" s="2" t="str">
        <f>TRIM(Table1[[#This Row],[Dostawca]])</f>
        <v>VitaDistrib</v>
      </c>
      <c r="D258" s="3">
        <v>44654</v>
      </c>
      <c r="E258" s="4" t="s">
        <v>805</v>
      </c>
      <c r="F258" s="2" t="str">
        <f>TRIM(Table1[[#This Row],[Status]])</f>
        <v>Zaakceptowana</v>
      </c>
      <c r="G258" s="2" t="str">
        <f>TRIM(Table1[[#This Row],[Typ]])</f>
        <v>Faktura VAT</v>
      </c>
      <c r="H258" s="2" t="str">
        <f>TRIM(Table1[[#This Row],[Magazyn]])</f>
        <v>Apteka Szpitalna</v>
      </c>
      <c r="I258" s="2" t="str">
        <f>TRIM(Table1[[#This Row],[Umowa]])</f>
        <v>UM-VIT-01</v>
      </c>
      <c r="J258" s="2" t="b">
        <f>ISTEXT(Table14[[#This Row],[Data_Wystawienia]])</f>
        <v>0</v>
      </c>
      <c r="K258" s="2">
        <f>VALUE(SUBSTITUTE(Table14[[#This Row],[Wartość]],".",","))</f>
        <v>22532.71</v>
      </c>
      <c r="L2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" s="2" t="str">
        <f>IF(Table14[[#This Row],[Umowa]]="","Poza umową","Z umowy")</f>
        <v>Z umowy</v>
      </c>
      <c r="N258" s="2">
        <f>YEAR(Table14[[#This Row],[Data_Wystawienia]])</f>
        <v>2022</v>
      </c>
      <c r="O258" s="2" t="str">
        <f>TEXT(Table14[[#This Row],[Data_Wystawienia]],"rrrr-mm")</f>
        <v>2022-04</v>
      </c>
      <c r="P258" s="2">
        <v>1</v>
      </c>
    </row>
    <row r="259" spans="1:16" x14ac:dyDescent="0.3">
      <c r="A259" s="2" t="str">
        <f>TRIM(Table1[[#This Row],[Numer_FV]])</f>
        <v>FV/43/PP/1747/22</v>
      </c>
      <c r="B259" s="2" t="str">
        <f>TRIM(Table1[[#This Row],[Numer_PZ]])</f>
        <v>PZ/800257</v>
      </c>
      <c r="C259" s="2" t="str">
        <f>TRIM(Table1[[#This Row],[Dostawca]])</f>
        <v>PharmaPlus</v>
      </c>
      <c r="D259" s="3">
        <v>44655</v>
      </c>
      <c r="E259" s="4" t="s">
        <v>808</v>
      </c>
      <c r="F259" s="2" t="str">
        <f>TRIM(Table1[[#This Row],[Status]])</f>
        <v>Zaakceptowana</v>
      </c>
      <c r="G259" s="2" t="str">
        <f>TRIM(Table1[[#This Row],[Typ]])</f>
        <v>Faktura VAT</v>
      </c>
      <c r="H259" s="2" t="str">
        <f>TRIM(Table1[[#This Row],[Magazyn]])</f>
        <v>Apteka Szpitalna</v>
      </c>
      <c r="I259" s="2" t="str">
        <f>TRIM(Table1[[#This Row],[Umowa]])</f>
        <v/>
      </c>
      <c r="J259" s="2" t="b">
        <f>ISTEXT(Table14[[#This Row],[Data_Wystawienia]])</f>
        <v>0</v>
      </c>
      <c r="K259" s="2">
        <f>VALUE(SUBSTITUTE(Table14[[#This Row],[Wartość]],".",","))</f>
        <v>11212.36</v>
      </c>
      <c r="L2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" s="2" t="str">
        <f>IF(Table14[[#This Row],[Umowa]]="","Poza umową","Z umowy")</f>
        <v>Poza umową</v>
      </c>
      <c r="N259" s="2">
        <f>YEAR(Table14[[#This Row],[Data_Wystawienia]])</f>
        <v>2022</v>
      </c>
      <c r="O259" s="2" t="str">
        <f>TEXT(Table14[[#This Row],[Data_Wystawienia]],"rrrr-mm")</f>
        <v>2022-04</v>
      </c>
      <c r="P259" s="2">
        <v>1</v>
      </c>
    </row>
    <row r="260" spans="1:16" x14ac:dyDescent="0.3">
      <c r="A260" s="2" t="str">
        <f>TRIM(Table1[[#This Row],[Numer_FV]])</f>
        <v>FV/84/PP/2255/22</v>
      </c>
      <c r="B260" s="2" t="str">
        <f>TRIM(Table1[[#This Row],[Numer_PZ]])</f>
        <v>PZ/800258</v>
      </c>
      <c r="C260" s="2" t="str">
        <f>TRIM(Table1[[#This Row],[Dostawca]])</f>
        <v>PharmaPlus</v>
      </c>
      <c r="D260" s="3">
        <v>44655</v>
      </c>
      <c r="E260" s="4" t="s">
        <v>811</v>
      </c>
      <c r="F260" s="2" t="str">
        <f>TRIM(Table1[[#This Row],[Status]])</f>
        <v>Zaakceptowana</v>
      </c>
      <c r="G260" s="2" t="str">
        <f>TRIM(Table1[[#This Row],[Typ]])</f>
        <v>Faktura VAT</v>
      </c>
      <c r="H260" s="2" t="str">
        <f>TRIM(Table1[[#This Row],[Magazyn]])</f>
        <v>Apteka Szpitalna</v>
      </c>
      <c r="I260" s="2" t="str">
        <f>TRIM(Table1[[#This Row],[Umowa]])</f>
        <v>UM-PHA-02</v>
      </c>
      <c r="J260" s="2" t="b">
        <f>ISTEXT(Table14[[#This Row],[Data_Wystawienia]])</f>
        <v>0</v>
      </c>
      <c r="K260" s="2">
        <f>VALUE(SUBSTITUTE(Table14[[#This Row],[Wartość]],".",","))</f>
        <v>15765.66</v>
      </c>
      <c r="L2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" s="2" t="str">
        <f>IF(Table14[[#This Row],[Umowa]]="","Poza umową","Z umowy")</f>
        <v>Z umowy</v>
      </c>
      <c r="N260" s="2">
        <f>YEAR(Table14[[#This Row],[Data_Wystawienia]])</f>
        <v>2022</v>
      </c>
      <c r="O260" s="2" t="str">
        <f>TEXT(Table14[[#This Row],[Data_Wystawienia]],"rrrr-mm")</f>
        <v>2022-04</v>
      </c>
      <c r="P260" s="2">
        <v>1</v>
      </c>
    </row>
    <row r="261" spans="1:16" x14ac:dyDescent="0.3">
      <c r="A261" s="2" t="str">
        <f>TRIM(Table1[[#This Row],[Numer_FV]])</f>
        <v>FV/39/SAL/22</v>
      </c>
      <c r="B261" s="2" t="str">
        <f>TRIM(Table1[[#This Row],[Numer_PZ]])</f>
        <v>PZ/800259</v>
      </c>
      <c r="C261" s="2" t="str">
        <f>TRIM(Table1[[#This Row],[Dostawca]])</f>
        <v>SalusHurt</v>
      </c>
      <c r="D261" s="3">
        <v>44655</v>
      </c>
      <c r="E261" s="4" t="s">
        <v>814</v>
      </c>
      <c r="F261" s="2" t="str">
        <f>TRIM(Table1[[#This Row],[Status]])</f>
        <v>Zaakceptowana</v>
      </c>
      <c r="G261" s="2" t="str">
        <f>TRIM(Table1[[#This Row],[Typ]])</f>
        <v>Faktura VAT</v>
      </c>
      <c r="H261" s="2" t="str">
        <f>TRIM(Table1[[#This Row],[Magazyn]])</f>
        <v>Apteka Szpitalna</v>
      </c>
      <c r="I261" s="2" t="str">
        <f>TRIM(Table1[[#This Row],[Umowa]])</f>
        <v/>
      </c>
      <c r="J261" s="2" t="b">
        <f>ISTEXT(Table14[[#This Row],[Data_Wystawienia]])</f>
        <v>0</v>
      </c>
      <c r="K261" s="2">
        <f>VALUE(SUBSTITUTE(Table14[[#This Row],[Wartość]],".",","))</f>
        <v>16868.650000000001</v>
      </c>
      <c r="L2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" s="2" t="str">
        <f>IF(Table14[[#This Row],[Umowa]]="","Poza umową","Z umowy")</f>
        <v>Poza umową</v>
      </c>
      <c r="N261" s="2">
        <f>YEAR(Table14[[#This Row],[Data_Wystawienia]])</f>
        <v>2022</v>
      </c>
      <c r="O261" s="2" t="str">
        <f>TEXT(Table14[[#This Row],[Data_Wystawienia]],"rrrr-mm")</f>
        <v>2022-04</v>
      </c>
      <c r="P261" s="2">
        <v>1</v>
      </c>
    </row>
    <row r="262" spans="1:16" x14ac:dyDescent="0.3">
      <c r="A262" s="2" t="str">
        <f>TRIM(Table1[[#This Row],[Numer_FV]])</f>
        <v>FV/M/6010/P/22</v>
      </c>
      <c r="B262" s="2" t="str">
        <f>TRIM(Table1[[#This Row],[Numer_PZ]])</f>
        <v>PZ/800260</v>
      </c>
      <c r="C262" s="2" t="str">
        <f>TRIM(Table1[[#This Row],[Dostawca]])</f>
        <v>MedicaPharm</v>
      </c>
      <c r="D262" s="3">
        <v>44655</v>
      </c>
      <c r="E262" s="4" t="s">
        <v>817</v>
      </c>
      <c r="F262" s="2" t="str">
        <f>TRIM(Table1[[#This Row],[Status]])</f>
        <v>Zaakceptowana</v>
      </c>
      <c r="G262" s="2" t="str">
        <f>TRIM(Table1[[#This Row],[Typ]])</f>
        <v>Faktura VAT</v>
      </c>
      <c r="H262" s="2" t="str">
        <f>TRIM(Table1[[#This Row],[Magazyn]])</f>
        <v>Apteka Szpitalna</v>
      </c>
      <c r="I262" s="2" t="str">
        <f>TRIM(Table1[[#This Row],[Umowa]])</f>
        <v>UM-MED-01</v>
      </c>
      <c r="J262" s="2" t="b">
        <f>ISTEXT(Table14[[#This Row],[Data_Wystawienia]])</f>
        <v>0</v>
      </c>
      <c r="K262" s="2">
        <f>VALUE(SUBSTITUTE(Table14[[#This Row],[Wartość]],".",","))</f>
        <v>14024.85</v>
      </c>
      <c r="L2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" s="2" t="str">
        <f>IF(Table14[[#This Row],[Umowa]]="","Poza umową","Z umowy")</f>
        <v>Z umowy</v>
      </c>
      <c r="N262" s="2">
        <f>YEAR(Table14[[#This Row],[Data_Wystawienia]])</f>
        <v>2022</v>
      </c>
      <c r="O262" s="2" t="str">
        <f>TEXT(Table14[[#This Row],[Data_Wystawienia]],"rrrr-mm")</f>
        <v>2022-04</v>
      </c>
      <c r="P262" s="2">
        <v>1</v>
      </c>
    </row>
    <row r="263" spans="1:16" x14ac:dyDescent="0.3">
      <c r="A263" s="2" t="str">
        <f>TRIM(Table1[[#This Row],[Numer_FV]])</f>
        <v>FV/90795/VDb/2022</v>
      </c>
      <c r="B263" s="2" t="str">
        <f>TRIM(Table1[[#This Row],[Numer_PZ]])</f>
        <v>PZ/800261</v>
      </c>
      <c r="C263" s="2" t="str">
        <f>TRIM(Table1[[#This Row],[Dostawca]])</f>
        <v>VitaDistrib</v>
      </c>
      <c r="D263" s="3">
        <v>44655</v>
      </c>
      <c r="E263" s="4" t="s">
        <v>820</v>
      </c>
      <c r="F263" s="2" t="str">
        <f>TRIM(Table1[[#This Row],[Status]])</f>
        <v>Zaakceptowana</v>
      </c>
      <c r="G263" s="2" t="str">
        <f>TRIM(Table1[[#This Row],[Typ]])</f>
        <v>Korekta FV</v>
      </c>
      <c r="H263" s="2" t="str">
        <f>TRIM(Table1[[#This Row],[Magazyn]])</f>
        <v>Apteka Szpitalna</v>
      </c>
      <c r="I263" s="2" t="str">
        <f>TRIM(Table1[[#This Row],[Umowa]])</f>
        <v>UM-VIT-01</v>
      </c>
      <c r="J263" s="2" t="b">
        <f>ISTEXT(Table14[[#This Row],[Data_Wystawienia]])</f>
        <v>0</v>
      </c>
      <c r="K263" s="2">
        <f>VALUE(SUBSTITUTE(Table14[[#This Row],[Wartość]],".",","))</f>
        <v>-576.29</v>
      </c>
      <c r="L2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" s="2" t="str">
        <f>IF(Table14[[#This Row],[Umowa]]="","Poza umową","Z umowy")</f>
        <v>Z umowy</v>
      </c>
      <c r="N263" s="2">
        <f>YEAR(Table14[[#This Row],[Data_Wystawienia]])</f>
        <v>2022</v>
      </c>
      <c r="O263" s="2" t="str">
        <f>TEXT(Table14[[#This Row],[Data_Wystawienia]],"rrrr-mm")</f>
        <v>2022-04</v>
      </c>
      <c r="P263" s="2">
        <v>1</v>
      </c>
    </row>
    <row r="264" spans="1:16" x14ac:dyDescent="0.3">
      <c r="A264" s="2" t="str">
        <f>TRIM(Table1[[#This Row],[Numer_FV]])</f>
        <v>FV/POL/21678/2022</v>
      </c>
      <c r="B264" s="2" t="str">
        <f>TRIM(Table1[[#This Row],[Numer_PZ]])</f>
        <v>PZ/800262</v>
      </c>
      <c r="C264" s="2" t="str">
        <f>TRIM(Table1[[#This Row],[Dostawca]])</f>
        <v>Polmedica</v>
      </c>
      <c r="D264" s="3">
        <v>44656</v>
      </c>
      <c r="E264" s="4" t="s">
        <v>823</v>
      </c>
      <c r="F264" s="2" t="str">
        <f>TRIM(Table1[[#This Row],[Status]])</f>
        <v>Zaakceptowana</v>
      </c>
      <c r="G264" s="2" t="str">
        <f>TRIM(Table1[[#This Row],[Typ]])</f>
        <v>Faktura VAT</v>
      </c>
      <c r="H264" s="2" t="str">
        <f>TRIM(Table1[[#This Row],[Magazyn]])</f>
        <v>Apteka Szpitalna</v>
      </c>
      <c r="I264" s="2" t="str">
        <f>TRIM(Table1[[#This Row],[Umowa]])</f>
        <v>UM-POL-03</v>
      </c>
      <c r="J264" s="2" t="b">
        <f>ISTEXT(Table14[[#This Row],[Data_Wystawienia]])</f>
        <v>0</v>
      </c>
      <c r="K264" s="2">
        <f>VALUE(SUBSTITUTE(Table14[[#This Row],[Wartość]],".",","))</f>
        <v>21805.84</v>
      </c>
      <c r="L2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" s="2" t="str">
        <f>IF(Table14[[#This Row],[Umowa]]="","Poza umową","Z umowy")</f>
        <v>Z umowy</v>
      </c>
      <c r="N264" s="2">
        <f>YEAR(Table14[[#This Row],[Data_Wystawienia]])</f>
        <v>2022</v>
      </c>
      <c r="O264" s="2" t="str">
        <f>TEXT(Table14[[#This Row],[Data_Wystawienia]],"rrrr-mm")</f>
        <v>2022-04</v>
      </c>
      <c r="P264" s="2">
        <v>1</v>
      </c>
    </row>
    <row r="265" spans="1:16" x14ac:dyDescent="0.3">
      <c r="A265" s="2" t="str">
        <f>TRIM(Table1[[#This Row],[Numer_FV]])</f>
        <v>FV/CENFA/648586/22</v>
      </c>
      <c r="B265" s="2" t="str">
        <f>TRIM(Table1[[#This Row],[Numer_PZ]])</f>
        <v>PZ/800263</v>
      </c>
      <c r="C265" s="2" t="str">
        <f>TRIM(Table1[[#This Row],[Dostawca]])</f>
        <v>CentrumFarm</v>
      </c>
      <c r="D265" s="3">
        <v>44657</v>
      </c>
      <c r="E265" s="4" t="s">
        <v>826</v>
      </c>
      <c r="F265" s="2" t="str">
        <f>TRIM(Table1[[#This Row],[Status]])</f>
        <v>Zaakceptowana</v>
      </c>
      <c r="G265" s="2" t="str">
        <f>TRIM(Table1[[#This Row],[Typ]])</f>
        <v>Faktura VAT</v>
      </c>
      <c r="H265" s="2" t="str">
        <f>TRIM(Table1[[#This Row],[Magazyn]])</f>
        <v>Apteka Szpitalna</v>
      </c>
      <c r="I265" s="2" t="str">
        <f>TRIM(Table1[[#This Row],[Umowa]])</f>
        <v>UM-CEN-02</v>
      </c>
      <c r="J265" s="2" t="b">
        <f>ISTEXT(Table14[[#This Row],[Data_Wystawienia]])</f>
        <v>0</v>
      </c>
      <c r="K265" s="2">
        <f>VALUE(SUBSTITUTE(Table14[[#This Row],[Wartość]],".",","))</f>
        <v>18349.650000000001</v>
      </c>
      <c r="L2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" s="2" t="str">
        <f>IF(Table14[[#This Row],[Umowa]]="","Poza umową","Z umowy")</f>
        <v>Z umowy</v>
      </c>
      <c r="N265" s="2">
        <f>YEAR(Table14[[#This Row],[Data_Wystawienia]])</f>
        <v>2022</v>
      </c>
      <c r="O265" s="2" t="str">
        <f>TEXT(Table14[[#This Row],[Data_Wystawienia]],"rrrr-mm")</f>
        <v>2022-04</v>
      </c>
      <c r="P265" s="2">
        <v>1</v>
      </c>
    </row>
    <row r="266" spans="1:16" x14ac:dyDescent="0.3">
      <c r="A266" s="2" t="str">
        <f>TRIM(Table1[[#This Row],[Numer_FV]])</f>
        <v>FV/43272/VDb/2022</v>
      </c>
      <c r="B266" s="2" t="str">
        <f>TRIM(Table1[[#This Row],[Numer_PZ]])</f>
        <v>PZ/800264</v>
      </c>
      <c r="C266" s="2" t="str">
        <f>TRIM(Table1[[#This Row],[Dostawca]])</f>
        <v>VitaDistrib</v>
      </c>
      <c r="D266" s="3">
        <v>44657</v>
      </c>
      <c r="E266" s="4" t="s">
        <v>829</v>
      </c>
      <c r="F266" s="2" t="str">
        <f>TRIM(Table1[[#This Row],[Status]])</f>
        <v>Zaakceptowana</v>
      </c>
      <c r="G266" s="2" t="str">
        <f>TRIM(Table1[[#This Row],[Typ]])</f>
        <v>Korekta FV</v>
      </c>
      <c r="H266" s="2" t="str">
        <f>TRIM(Table1[[#This Row],[Magazyn]])</f>
        <v>Apteka Szpitalna</v>
      </c>
      <c r="I266" s="2" t="str">
        <f>TRIM(Table1[[#This Row],[Umowa]])</f>
        <v>UM-VIT-01</v>
      </c>
      <c r="J266" s="2" t="b">
        <f>ISTEXT(Table14[[#This Row],[Data_Wystawienia]])</f>
        <v>0</v>
      </c>
      <c r="K266" s="2">
        <f>VALUE(SUBSTITUTE(Table14[[#This Row],[Wartość]],".",","))</f>
        <v>-595.98</v>
      </c>
      <c r="L2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" s="2" t="str">
        <f>IF(Table14[[#This Row],[Umowa]]="","Poza umową","Z umowy")</f>
        <v>Z umowy</v>
      </c>
      <c r="N266" s="2">
        <f>YEAR(Table14[[#This Row],[Data_Wystawienia]])</f>
        <v>2022</v>
      </c>
      <c r="O266" s="2" t="str">
        <f>TEXT(Table14[[#This Row],[Data_Wystawienia]],"rrrr-mm")</f>
        <v>2022-04</v>
      </c>
      <c r="P266" s="2">
        <v>1</v>
      </c>
    </row>
    <row r="267" spans="1:16" x14ac:dyDescent="0.3">
      <c r="A267" s="2" t="str">
        <f>TRIM(Table1[[#This Row],[Numer_FV]])</f>
        <v>FV/9272/NOVA/22</v>
      </c>
      <c r="B267" s="2" t="str">
        <f>TRIM(Table1[[#This Row],[Numer_PZ]])</f>
        <v>PZ/800265</v>
      </c>
      <c r="C267" s="2" t="str">
        <f>TRIM(Table1[[#This Row],[Dostawca]])</f>
        <v>NovaLek</v>
      </c>
      <c r="D267" s="3">
        <v>44658</v>
      </c>
      <c r="E267" s="4" t="s">
        <v>832</v>
      </c>
      <c r="F267" s="2" t="str">
        <f>TRIM(Table1[[#This Row],[Status]])</f>
        <v>Zaakceptowana</v>
      </c>
      <c r="G267" s="2" t="str">
        <f>TRIM(Table1[[#This Row],[Typ]])</f>
        <v>Faktura VAT</v>
      </c>
      <c r="H267" s="2" t="str">
        <f>TRIM(Table1[[#This Row],[Magazyn]])</f>
        <v>Apteka Szpitalna</v>
      </c>
      <c r="I267" s="2" t="str">
        <f>TRIM(Table1[[#This Row],[Umowa]])</f>
        <v>UM-NOV-03</v>
      </c>
      <c r="J267" s="2" t="b">
        <f>ISTEXT(Table14[[#This Row],[Data_Wystawienia]])</f>
        <v>0</v>
      </c>
      <c r="K267" s="2">
        <f>VALUE(SUBSTITUTE(Table14[[#This Row],[Wartość]],".",","))</f>
        <v>15500.22</v>
      </c>
      <c r="L2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" s="2" t="str">
        <f>IF(Table14[[#This Row],[Umowa]]="","Poza umową","Z umowy")</f>
        <v>Z umowy</v>
      </c>
      <c r="N267" s="2">
        <f>YEAR(Table14[[#This Row],[Data_Wystawienia]])</f>
        <v>2022</v>
      </c>
      <c r="O267" s="2" t="str">
        <f>TEXT(Table14[[#This Row],[Data_Wystawienia]],"rrrr-mm")</f>
        <v>2022-04</v>
      </c>
      <c r="P267" s="2">
        <v>1</v>
      </c>
    </row>
    <row r="268" spans="1:16" x14ac:dyDescent="0.3">
      <c r="A268" s="2" t="str">
        <f>TRIM(Table1[[#This Row],[Numer_FV]])</f>
        <v>FV/5629HM/22</v>
      </c>
      <c r="B268" s="2" t="str">
        <f>TRIM(Table1[[#This Row],[Numer_PZ]])</f>
        <v>PZ/800266</v>
      </c>
      <c r="C268" s="2" t="str">
        <f>TRIM(Table1[[#This Row],[Dostawca]])</f>
        <v>HurtMedix</v>
      </c>
      <c r="D268" s="3">
        <v>44659</v>
      </c>
      <c r="E268" s="4" t="s">
        <v>835</v>
      </c>
      <c r="F268" s="2" t="str">
        <f>TRIM(Table1[[#This Row],[Status]])</f>
        <v>Zaakceptowana</v>
      </c>
      <c r="G268" s="2" t="str">
        <f>TRIM(Table1[[#This Row],[Typ]])</f>
        <v>Faktura VAT</v>
      </c>
      <c r="H268" s="2" t="str">
        <f>TRIM(Table1[[#This Row],[Magazyn]])</f>
        <v>Apteka Szpitalna</v>
      </c>
      <c r="I268" s="2" t="str">
        <f>TRIM(Table1[[#This Row],[Umowa]])</f>
        <v>UM-HUR-01</v>
      </c>
      <c r="J268" s="2" t="b">
        <f>ISTEXT(Table14[[#This Row],[Data_Wystawienia]])</f>
        <v>0</v>
      </c>
      <c r="K268" s="2">
        <f>VALUE(SUBSTITUTE(Table14[[#This Row],[Wartość]],".",","))</f>
        <v>12956.28</v>
      </c>
      <c r="L2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" s="2" t="str">
        <f>IF(Table14[[#This Row],[Umowa]]="","Poza umową","Z umowy")</f>
        <v>Z umowy</v>
      </c>
      <c r="N268" s="2">
        <f>YEAR(Table14[[#This Row],[Data_Wystawienia]])</f>
        <v>2022</v>
      </c>
      <c r="O268" s="2" t="str">
        <f>TEXT(Table14[[#This Row],[Data_Wystawienia]],"rrrr-mm")</f>
        <v>2022-04</v>
      </c>
      <c r="P268" s="2">
        <v>1</v>
      </c>
    </row>
    <row r="269" spans="1:16" x14ac:dyDescent="0.3">
      <c r="A269" s="2" t="str">
        <f>TRIM(Table1[[#This Row],[Numer_FV]])</f>
        <v>FV/18579/VDb/2022</v>
      </c>
      <c r="B269" s="2" t="str">
        <f>TRIM(Table1[[#This Row],[Numer_PZ]])</f>
        <v>PZ/800267</v>
      </c>
      <c r="C269" s="2" t="str">
        <f>TRIM(Table1[[#This Row],[Dostawca]])</f>
        <v>VitaDistrib</v>
      </c>
      <c r="D269" s="3">
        <v>44659</v>
      </c>
      <c r="E269" s="4" t="s">
        <v>838</v>
      </c>
      <c r="F269" s="2" t="str">
        <f>TRIM(Table1[[#This Row],[Status]])</f>
        <v>Zaakceptowana</v>
      </c>
      <c r="G269" s="2" t="str">
        <f>TRIM(Table1[[#This Row],[Typ]])</f>
        <v>Faktura VAT</v>
      </c>
      <c r="H269" s="2" t="str">
        <f>TRIM(Table1[[#This Row],[Magazyn]])</f>
        <v>Apteka Szpitalna</v>
      </c>
      <c r="I269" s="2" t="str">
        <f>TRIM(Table1[[#This Row],[Umowa]])</f>
        <v>UM-VIT-01</v>
      </c>
      <c r="J269" s="2" t="b">
        <f>ISTEXT(Table14[[#This Row],[Data_Wystawienia]])</f>
        <v>0</v>
      </c>
      <c r="K269" s="2">
        <f>VALUE(SUBSTITUTE(Table14[[#This Row],[Wartość]],".",","))</f>
        <v>10443.9</v>
      </c>
      <c r="L2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" s="2" t="str">
        <f>IF(Table14[[#This Row],[Umowa]]="","Poza umową","Z umowy")</f>
        <v>Z umowy</v>
      </c>
      <c r="N269" s="2">
        <f>YEAR(Table14[[#This Row],[Data_Wystawienia]])</f>
        <v>2022</v>
      </c>
      <c r="O269" s="2" t="str">
        <f>TEXT(Table14[[#This Row],[Data_Wystawienia]],"rrrr-mm")</f>
        <v>2022-04</v>
      </c>
      <c r="P269" s="2">
        <v>1</v>
      </c>
    </row>
    <row r="270" spans="1:16" x14ac:dyDescent="0.3">
      <c r="A270" s="2" t="str">
        <f>TRIM(Table1[[#This Row],[Numer_FV]])</f>
        <v>FV/16/SAL/22</v>
      </c>
      <c r="B270" s="2" t="str">
        <f>TRIM(Table1[[#This Row],[Numer_PZ]])</f>
        <v>PZ/800268</v>
      </c>
      <c r="C270" s="2" t="str">
        <f>TRIM(Table1[[#This Row],[Dostawca]])</f>
        <v>SalusHurt</v>
      </c>
      <c r="D270" s="3">
        <v>44659</v>
      </c>
      <c r="E270" s="4" t="s">
        <v>840</v>
      </c>
      <c r="F270" s="2" t="str">
        <f>TRIM(Table1[[#This Row],[Status]])</f>
        <v>Zaakceptowana</v>
      </c>
      <c r="G270" s="2" t="str">
        <f>TRIM(Table1[[#This Row],[Typ]])</f>
        <v>Faktura VAT</v>
      </c>
      <c r="H270" s="2" t="str">
        <f>TRIM(Table1[[#This Row],[Magazyn]])</f>
        <v>Apteka Szpitalna</v>
      </c>
      <c r="I270" s="2" t="str">
        <f>TRIM(Table1[[#This Row],[Umowa]])</f>
        <v>UM-SAL-02</v>
      </c>
      <c r="J270" s="2" t="b">
        <f>ISTEXT(Table14[[#This Row],[Data_Wystawienia]])</f>
        <v>0</v>
      </c>
      <c r="K270" s="2">
        <f>VALUE(SUBSTITUTE(Table14[[#This Row],[Wartość]],".",","))</f>
        <v>15597.24</v>
      </c>
      <c r="L2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" s="2" t="str">
        <f>IF(Table14[[#This Row],[Umowa]]="","Poza umową","Z umowy")</f>
        <v>Z umowy</v>
      </c>
      <c r="N270" s="2">
        <f>YEAR(Table14[[#This Row],[Data_Wystawienia]])</f>
        <v>2022</v>
      </c>
      <c r="O270" s="2" t="str">
        <f>TEXT(Table14[[#This Row],[Data_Wystawienia]],"rrrr-mm")</f>
        <v>2022-04</v>
      </c>
      <c r="P270" s="2">
        <v>1</v>
      </c>
    </row>
    <row r="271" spans="1:16" x14ac:dyDescent="0.3">
      <c r="A271" s="2" t="str">
        <f>TRIM(Table1[[#This Row],[Numer_FV]])</f>
        <v>FV/39/PP/7072/22</v>
      </c>
      <c r="B271" s="2" t="str">
        <f>TRIM(Table1[[#This Row],[Numer_PZ]])</f>
        <v>PZ/800269</v>
      </c>
      <c r="C271" s="2" t="str">
        <f>TRIM(Table1[[#This Row],[Dostawca]])</f>
        <v>PharmaPlus</v>
      </c>
      <c r="D271" s="3">
        <v>44659</v>
      </c>
      <c r="E271" s="4" t="s">
        <v>843</v>
      </c>
      <c r="F271" s="2" t="str">
        <f>TRIM(Table1[[#This Row],[Status]])</f>
        <v>Zaakceptowana</v>
      </c>
      <c r="G271" s="2" t="str">
        <f>TRIM(Table1[[#This Row],[Typ]])</f>
        <v>Faktura VAT</v>
      </c>
      <c r="H271" s="2" t="str">
        <f>TRIM(Table1[[#This Row],[Magazyn]])</f>
        <v>Apteka Szpitalna</v>
      </c>
      <c r="I271" s="2" t="str">
        <f>TRIM(Table1[[#This Row],[Umowa]])</f>
        <v>UM-PHA-01</v>
      </c>
      <c r="J271" s="2" t="b">
        <f>ISTEXT(Table14[[#This Row],[Data_Wystawienia]])</f>
        <v>0</v>
      </c>
      <c r="K271" s="2">
        <f>VALUE(SUBSTITUTE(Table14[[#This Row],[Wartość]],".",","))</f>
        <v>16774.439999999999</v>
      </c>
      <c r="L2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" s="2" t="str">
        <f>IF(Table14[[#This Row],[Umowa]]="","Poza umową","Z umowy")</f>
        <v>Z umowy</v>
      </c>
      <c r="N271" s="2">
        <f>YEAR(Table14[[#This Row],[Data_Wystawienia]])</f>
        <v>2022</v>
      </c>
      <c r="O271" s="2" t="str">
        <f>TEXT(Table14[[#This Row],[Data_Wystawienia]],"rrrr-mm")</f>
        <v>2022-04</v>
      </c>
      <c r="P271" s="2">
        <v>1</v>
      </c>
    </row>
    <row r="272" spans="1:16" x14ac:dyDescent="0.3">
      <c r="A272" s="2" t="str">
        <f>TRIM(Table1[[#This Row],[Numer_FV]])</f>
        <v>FV/POL/62053/2022</v>
      </c>
      <c r="B272" s="2" t="str">
        <f>TRIM(Table1[[#This Row],[Numer_PZ]])</f>
        <v>PZ/800270</v>
      </c>
      <c r="C272" s="2" t="str">
        <f>TRIM(Table1[[#This Row],[Dostawca]])</f>
        <v>Polmedica</v>
      </c>
      <c r="D272" s="3">
        <v>44660</v>
      </c>
      <c r="E272" s="4" t="s">
        <v>846</v>
      </c>
      <c r="F272" s="2" t="str">
        <f>TRIM(Table1[[#This Row],[Status]])</f>
        <v>Zaakceptowana</v>
      </c>
      <c r="G272" s="2" t="str">
        <f>TRIM(Table1[[#This Row],[Typ]])</f>
        <v>Faktura VAT</v>
      </c>
      <c r="H272" s="2" t="str">
        <f>TRIM(Table1[[#This Row],[Magazyn]])</f>
        <v>Apteka Szpitalna</v>
      </c>
      <c r="I272" s="2" t="str">
        <f>TRIM(Table1[[#This Row],[Umowa]])</f>
        <v>UM-POL-01</v>
      </c>
      <c r="J272" s="2" t="b">
        <f>ISTEXT(Table14[[#This Row],[Data_Wystawienia]])</f>
        <v>0</v>
      </c>
      <c r="K272" s="2">
        <f>VALUE(SUBSTITUTE(Table14[[#This Row],[Wartość]],".",","))</f>
        <v>11702.56</v>
      </c>
      <c r="L2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" s="2" t="str">
        <f>IF(Table14[[#This Row],[Umowa]]="","Poza umową","Z umowy")</f>
        <v>Z umowy</v>
      </c>
      <c r="N272" s="2">
        <f>YEAR(Table14[[#This Row],[Data_Wystawienia]])</f>
        <v>2022</v>
      </c>
      <c r="O272" s="2" t="str">
        <f>TEXT(Table14[[#This Row],[Data_Wystawienia]],"rrrr-mm")</f>
        <v>2022-04</v>
      </c>
      <c r="P272" s="2">
        <v>1</v>
      </c>
    </row>
    <row r="273" spans="1:16" x14ac:dyDescent="0.3">
      <c r="A273" s="2" t="str">
        <f>TRIM(Table1[[#This Row],[Numer_FV]])</f>
        <v>FV/55/SAL/22</v>
      </c>
      <c r="B273" s="2" t="str">
        <f>TRIM(Table1[[#This Row],[Numer_PZ]])</f>
        <v>PZ/800271</v>
      </c>
      <c r="C273" s="2" t="str">
        <f>TRIM(Table1[[#This Row],[Dostawca]])</f>
        <v>SalusHurt</v>
      </c>
      <c r="D273" s="3">
        <v>44660</v>
      </c>
      <c r="E273" s="4" t="s">
        <v>849</v>
      </c>
      <c r="F273" s="2" t="str">
        <f>TRIM(Table1[[#This Row],[Status]])</f>
        <v>Zaakceptowana</v>
      </c>
      <c r="G273" s="2" t="str">
        <f>TRIM(Table1[[#This Row],[Typ]])</f>
        <v>Faktura VAT</v>
      </c>
      <c r="H273" s="2" t="str">
        <f>TRIM(Table1[[#This Row],[Magazyn]])</f>
        <v>Apteka Szpitalna</v>
      </c>
      <c r="I273" s="2" t="str">
        <f>TRIM(Table1[[#This Row],[Umowa]])</f>
        <v>UM-SAL-02</v>
      </c>
      <c r="J273" s="2" t="b">
        <f>ISTEXT(Table14[[#This Row],[Data_Wystawienia]])</f>
        <v>0</v>
      </c>
      <c r="K273" s="2">
        <f>VALUE(SUBSTITUTE(Table14[[#This Row],[Wartość]],".",","))</f>
        <v>10052.35</v>
      </c>
      <c r="L2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" s="2" t="str">
        <f>IF(Table14[[#This Row],[Umowa]]="","Poza umową","Z umowy")</f>
        <v>Z umowy</v>
      </c>
      <c r="N273" s="2">
        <f>YEAR(Table14[[#This Row],[Data_Wystawienia]])</f>
        <v>2022</v>
      </c>
      <c r="O273" s="2" t="str">
        <f>TEXT(Table14[[#This Row],[Data_Wystawienia]],"rrrr-mm")</f>
        <v>2022-04</v>
      </c>
      <c r="P273" s="2">
        <v>1</v>
      </c>
    </row>
    <row r="274" spans="1:16" x14ac:dyDescent="0.3">
      <c r="A274" s="2" t="str">
        <f>TRIM(Table1[[#This Row],[Numer_FV]])</f>
        <v>FV/M/3712/P/22</v>
      </c>
      <c r="B274" s="2" t="str">
        <f>TRIM(Table1[[#This Row],[Numer_PZ]])</f>
        <v>PZ/800272</v>
      </c>
      <c r="C274" s="2" t="str">
        <f>TRIM(Table1[[#This Row],[Dostawca]])</f>
        <v>MedicaPharm</v>
      </c>
      <c r="D274" s="3">
        <v>44660</v>
      </c>
      <c r="E274" s="4" t="s">
        <v>852</v>
      </c>
      <c r="F274" s="2" t="str">
        <f>TRIM(Table1[[#This Row],[Status]])</f>
        <v>Zaakceptowana</v>
      </c>
      <c r="G274" s="2" t="str">
        <f>TRIM(Table1[[#This Row],[Typ]])</f>
        <v>Faktura VAT</v>
      </c>
      <c r="H274" s="2" t="str">
        <f>TRIM(Table1[[#This Row],[Magazyn]])</f>
        <v>Apteka Szpitalna</v>
      </c>
      <c r="I274" s="2" t="str">
        <f>TRIM(Table1[[#This Row],[Umowa]])</f>
        <v/>
      </c>
      <c r="J274" s="2" t="b">
        <f>ISTEXT(Table14[[#This Row],[Data_Wystawienia]])</f>
        <v>0</v>
      </c>
      <c r="K274" s="2">
        <f>VALUE(SUBSTITUTE(Table14[[#This Row],[Wartość]],".",","))</f>
        <v>9973.0400000000009</v>
      </c>
      <c r="L2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" s="2" t="str">
        <f>IF(Table14[[#This Row],[Umowa]]="","Poza umową","Z umowy")</f>
        <v>Poza umową</v>
      </c>
      <c r="N274" s="2">
        <f>YEAR(Table14[[#This Row],[Data_Wystawienia]])</f>
        <v>2022</v>
      </c>
      <c r="O274" s="2" t="str">
        <f>TEXT(Table14[[#This Row],[Data_Wystawienia]],"rrrr-mm")</f>
        <v>2022-04</v>
      </c>
      <c r="P274" s="2">
        <v>1</v>
      </c>
    </row>
    <row r="275" spans="1:16" x14ac:dyDescent="0.3">
      <c r="A275" s="2" t="str">
        <f>TRIM(Table1[[#This Row],[Numer_FV]])</f>
        <v>FV/6566/NOVA/22</v>
      </c>
      <c r="B275" s="2" t="str">
        <f>TRIM(Table1[[#This Row],[Numer_PZ]])</f>
        <v>PZ/800273</v>
      </c>
      <c r="C275" s="2" t="str">
        <f>TRIM(Table1[[#This Row],[Dostawca]])</f>
        <v>NovaLek</v>
      </c>
      <c r="D275" s="3">
        <v>44660</v>
      </c>
      <c r="E275" s="4" t="s">
        <v>855</v>
      </c>
      <c r="F275" s="2" t="str">
        <f>TRIM(Table1[[#This Row],[Status]])</f>
        <v>Zaakceptowana</v>
      </c>
      <c r="G275" s="2" t="str">
        <f>TRIM(Table1[[#This Row],[Typ]])</f>
        <v>Faktura VAT</v>
      </c>
      <c r="H275" s="2" t="str">
        <f>TRIM(Table1[[#This Row],[Magazyn]])</f>
        <v>Apteka Szpitalna</v>
      </c>
      <c r="I275" s="2" t="str">
        <f>TRIM(Table1[[#This Row],[Umowa]])</f>
        <v>UM-NOV-01</v>
      </c>
      <c r="J275" s="2" t="b">
        <f>ISTEXT(Table14[[#This Row],[Data_Wystawienia]])</f>
        <v>0</v>
      </c>
      <c r="K275" s="2">
        <f>VALUE(SUBSTITUTE(Table14[[#This Row],[Wartość]],".",","))</f>
        <v>17030.47</v>
      </c>
      <c r="L2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" s="2" t="str">
        <f>IF(Table14[[#This Row],[Umowa]]="","Poza umową","Z umowy")</f>
        <v>Z umowy</v>
      </c>
      <c r="N275" s="2">
        <f>YEAR(Table14[[#This Row],[Data_Wystawienia]])</f>
        <v>2022</v>
      </c>
      <c r="O275" s="2" t="str">
        <f>TEXT(Table14[[#This Row],[Data_Wystawienia]],"rrrr-mm")</f>
        <v>2022-04</v>
      </c>
      <c r="P275" s="2">
        <v>1</v>
      </c>
    </row>
    <row r="276" spans="1:16" x14ac:dyDescent="0.3">
      <c r="A276" s="2" t="str">
        <f>TRIM(Table1[[#This Row],[Numer_FV]])</f>
        <v>FV/2457/NOVA/22</v>
      </c>
      <c r="B276" s="2" t="str">
        <f>TRIM(Table1[[#This Row],[Numer_PZ]])</f>
        <v>PZ/800274</v>
      </c>
      <c r="C276" s="2" t="str">
        <f>TRIM(Table1[[#This Row],[Dostawca]])</f>
        <v>NovaLek</v>
      </c>
      <c r="D276" s="3">
        <v>44661</v>
      </c>
      <c r="E276" s="4" t="s">
        <v>858</v>
      </c>
      <c r="F276" s="2" t="str">
        <f>TRIM(Table1[[#This Row],[Status]])</f>
        <v>Zaakceptowana</v>
      </c>
      <c r="G276" s="2" t="str">
        <f>TRIM(Table1[[#This Row],[Typ]])</f>
        <v>Faktura VAT</v>
      </c>
      <c r="H276" s="2" t="str">
        <f>TRIM(Table1[[#This Row],[Magazyn]])</f>
        <v>Apteka Szpitalna</v>
      </c>
      <c r="I276" s="2" t="str">
        <f>TRIM(Table1[[#This Row],[Umowa]])</f>
        <v>UM-NOV-01</v>
      </c>
      <c r="J276" s="2" t="b">
        <f>ISTEXT(Table14[[#This Row],[Data_Wystawienia]])</f>
        <v>0</v>
      </c>
      <c r="K276" s="2">
        <f>VALUE(SUBSTITUTE(Table14[[#This Row],[Wartość]],".",","))</f>
        <v>30202.54</v>
      </c>
      <c r="L2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" s="2" t="str">
        <f>IF(Table14[[#This Row],[Umowa]]="","Poza umową","Z umowy")</f>
        <v>Z umowy</v>
      </c>
      <c r="N276" s="2">
        <f>YEAR(Table14[[#This Row],[Data_Wystawienia]])</f>
        <v>2022</v>
      </c>
      <c r="O276" s="2" t="str">
        <f>TEXT(Table14[[#This Row],[Data_Wystawienia]],"rrrr-mm")</f>
        <v>2022-04</v>
      </c>
      <c r="P276" s="2">
        <v>1</v>
      </c>
    </row>
    <row r="277" spans="1:16" x14ac:dyDescent="0.3">
      <c r="A277" s="2" t="str">
        <f>TRIM(Table1[[#This Row],[Numer_FV]])</f>
        <v>FV/5570HM/22</v>
      </c>
      <c r="B277" s="2" t="str">
        <f>TRIM(Table1[[#This Row],[Numer_PZ]])</f>
        <v>PZ/800275</v>
      </c>
      <c r="C277" s="2" t="str">
        <f>TRIM(Table1[[#This Row],[Dostawca]])</f>
        <v>HurtMedix</v>
      </c>
      <c r="D277" s="3">
        <v>44661</v>
      </c>
      <c r="E277" s="4" t="s">
        <v>861</v>
      </c>
      <c r="F277" s="2" t="str">
        <f>TRIM(Table1[[#This Row],[Status]])</f>
        <v>Zaakceptowana</v>
      </c>
      <c r="G277" s="2" t="str">
        <f>TRIM(Table1[[#This Row],[Typ]])</f>
        <v>Faktura VAT</v>
      </c>
      <c r="H277" s="2" t="str">
        <f>TRIM(Table1[[#This Row],[Magazyn]])</f>
        <v>Apteka Szpitalna</v>
      </c>
      <c r="I277" s="2" t="str">
        <f>TRIM(Table1[[#This Row],[Umowa]])</f>
        <v>UM-HUR-03</v>
      </c>
      <c r="J277" s="2" t="b">
        <f>ISTEXT(Table14[[#This Row],[Data_Wystawienia]])</f>
        <v>0</v>
      </c>
      <c r="K277" s="2">
        <f>VALUE(SUBSTITUTE(Table14[[#This Row],[Wartość]],".",","))</f>
        <v>13170.48</v>
      </c>
      <c r="L2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" s="2" t="str">
        <f>IF(Table14[[#This Row],[Umowa]]="","Poza umową","Z umowy")</f>
        <v>Z umowy</v>
      </c>
      <c r="N277" s="2">
        <f>YEAR(Table14[[#This Row],[Data_Wystawienia]])</f>
        <v>2022</v>
      </c>
      <c r="O277" s="2" t="str">
        <f>TEXT(Table14[[#This Row],[Data_Wystawienia]],"rrrr-mm")</f>
        <v>2022-04</v>
      </c>
      <c r="P277" s="2">
        <v>1</v>
      </c>
    </row>
    <row r="278" spans="1:16" x14ac:dyDescent="0.3">
      <c r="A278" s="2" t="str">
        <f>TRIM(Table1[[#This Row],[Numer_FV]])</f>
        <v>FV/3672/NOVA/22</v>
      </c>
      <c r="B278" s="2" t="str">
        <f>TRIM(Table1[[#This Row],[Numer_PZ]])</f>
        <v>PZ/800276</v>
      </c>
      <c r="C278" s="2" t="str">
        <f>TRIM(Table1[[#This Row],[Dostawca]])</f>
        <v>NovaLek</v>
      </c>
      <c r="D278" s="3">
        <v>44662</v>
      </c>
      <c r="E278" s="4" t="s">
        <v>864</v>
      </c>
      <c r="F278" s="2" t="str">
        <f>TRIM(Table1[[#This Row],[Status]])</f>
        <v>Zaakceptowana</v>
      </c>
      <c r="G278" s="2" t="str">
        <f>TRIM(Table1[[#This Row],[Typ]])</f>
        <v>Faktura VAT</v>
      </c>
      <c r="H278" s="2" t="str">
        <f>TRIM(Table1[[#This Row],[Magazyn]])</f>
        <v>Apteka Szpitalna</v>
      </c>
      <c r="I278" s="2" t="str">
        <f>TRIM(Table1[[#This Row],[Umowa]])</f>
        <v>UM-NOV-02</v>
      </c>
      <c r="J278" s="2" t="b">
        <f>ISTEXT(Table14[[#This Row],[Data_Wystawienia]])</f>
        <v>0</v>
      </c>
      <c r="K278" s="2">
        <f>VALUE(SUBSTITUTE(Table14[[#This Row],[Wartość]],".",","))</f>
        <v>21712.81</v>
      </c>
      <c r="L2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" s="2" t="str">
        <f>IF(Table14[[#This Row],[Umowa]]="","Poza umową","Z umowy")</f>
        <v>Z umowy</v>
      </c>
      <c r="N278" s="2">
        <f>YEAR(Table14[[#This Row],[Data_Wystawienia]])</f>
        <v>2022</v>
      </c>
      <c r="O278" s="2" t="str">
        <f>TEXT(Table14[[#This Row],[Data_Wystawienia]],"rrrr-mm")</f>
        <v>2022-04</v>
      </c>
      <c r="P278" s="2">
        <v>1</v>
      </c>
    </row>
    <row r="279" spans="1:16" x14ac:dyDescent="0.3">
      <c r="A279" s="2" t="str">
        <f>TRIM(Table1[[#This Row],[Numer_FV]])</f>
        <v>FV/5756HM/22</v>
      </c>
      <c r="B279" s="2" t="str">
        <f>TRIM(Table1[[#This Row],[Numer_PZ]])</f>
        <v>PZ/800277</v>
      </c>
      <c r="C279" s="2" t="str">
        <f>TRIM(Table1[[#This Row],[Dostawca]])</f>
        <v>HurtMedix</v>
      </c>
      <c r="D279" s="3">
        <v>44662</v>
      </c>
      <c r="E279" s="4" t="s">
        <v>867</v>
      </c>
      <c r="F279" s="2" t="str">
        <f>TRIM(Table1[[#This Row],[Status]])</f>
        <v>Zaakceptowana</v>
      </c>
      <c r="G279" s="2" t="str">
        <f>TRIM(Table1[[#This Row],[Typ]])</f>
        <v>Faktura VAT</v>
      </c>
      <c r="H279" s="2" t="str">
        <f>TRIM(Table1[[#This Row],[Magazyn]])</f>
        <v>Apteka Szpitalna</v>
      </c>
      <c r="I279" s="2" t="str">
        <f>TRIM(Table1[[#This Row],[Umowa]])</f>
        <v>UM-HUR-03</v>
      </c>
      <c r="J279" s="2" t="b">
        <f>ISTEXT(Table14[[#This Row],[Data_Wystawienia]])</f>
        <v>0</v>
      </c>
      <c r="K279" s="2">
        <f>VALUE(SUBSTITUTE(Table14[[#This Row],[Wartość]],".",","))</f>
        <v>19544.16</v>
      </c>
      <c r="L2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" s="2" t="str">
        <f>IF(Table14[[#This Row],[Umowa]]="","Poza umową","Z umowy")</f>
        <v>Z umowy</v>
      </c>
      <c r="N279" s="2">
        <f>YEAR(Table14[[#This Row],[Data_Wystawienia]])</f>
        <v>2022</v>
      </c>
      <c r="O279" s="2" t="str">
        <f>TEXT(Table14[[#This Row],[Data_Wystawienia]],"rrrr-mm")</f>
        <v>2022-04</v>
      </c>
      <c r="P279" s="2">
        <v>1</v>
      </c>
    </row>
    <row r="280" spans="1:16" x14ac:dyDescent="0.3">
      <c r="A280" s="2" t="str">
        <f>TRIM(Table1[[#This Row],[Numer_FV]])</f>
        <v>FV/68/SAL/22</v>
      </c>
      <c r="B280" s="2" t="str">
        <f>TRIM(Table1[[#This Row],[Numer_PZ]])</f>
        <v>PZ/800278</v>
      </c>
      <c r="C280" s="2" t="str">
        <f>TRIM(Table1[[#This Row],[Dostawca]])</f>
        <v>SalusHurt</v>
      </c>
      <c r="D280" s="3">
        <v>44663</v>
      </c>
      <c r="E280" s="4" t="s">
        <v>870</v>
      </c>
      <c r="F280" s="2" t="str">
        <f>TRIM(Table1[[#This Row],[Status]])</f>
        <v>Zaakceptowana</v>
      </c>
      <c r="G280" s="2" t="str">
        <f>TRIM(Table1[[#This Row],[Typ]])</f>
        <v>Faktura VAT</v>
      </c>
      <c r="H280" s="2" t="str">
        <f>TRIM(Table1[[#This Row],[Magazyn]])</f>
        <v>Apteka Szpitalna</v>
      </c>
      <c r="I280" s="2" t="str">
        <f>TRIM(Table1[[#This Row],[Umowa]])</f>
        <v>UM-SAL-01</v>
      </c>
      <c r="J280" s="2" t="b">
        <f>ISTEXT(Table14[[#This Row],[Data_Wystawienia]])</f>
        <v>0</v>
      </c>
      <c r="K280" s="2">
        <f>VALUE(SUBSTITUTE(Table14[[#This Row],[Wartość]],".",","))</f>
        <v>18847.66</v>
      </c>
      <c r="L2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" s="2" t="str">
        <f>IF(Table14[[#This Row],[Umowa]]="","Poza umową","Z umowy")</f>
        <v>Z umowy</v>
      </c>
      <c r="N280" s="2">
        <f>YEAR(Table14[[#This Row],[Data_Wystawienia]])</f>
        <v>2022</v>
      </c>
      <c r="O280" s="2" t="str">
        <f>TEXT(Table14[[#This Row],[Data_Wystawienia]],"rrrr-mm")</f>
        <v>2022-04</v>
      </c>
      <c r="P280" s="2">
        <v>1</v>
      </c>
    </row>
    <row r="281" spans="1:16" x14ac:dyDescent="0.3">
      <c r="A281" s="2" t="str">
        <f>TRIM(Table1[[#This Row],[Numer_FV]])</f>
        <v>FV/74/SAL/22</v>
      </c>
      <c r="B281" s="2" t="str">
        <f>TRIM(Table1[[#This Row],[Numer_PZ]])</f>
        <v>PZ/800279</v>
      </c>
      <c r="C281" s="2" t="str">
        <f>TRIM(Table1[[#This Row],[Dostawca]])</f>
        <v>SalusHurt</v>
      </c>
      <c r="D281" s="3">
        <v>44663</v>
      </c>
      <c r="E281" s="4" t="s">
        <v>873</v>
      </c>
      <c r="F281" s="2" t="str">
        <f>TRIM(Table1[[#This Row],[Status]])</f>
        <v>Zaakceptowana</v>
      </c>
      <c r="G281" s="2" t="str">
        <f>TRIM(Table1[[#This Row],[Typ]])</f>
        <v>Faktura VAT</v>
      </c>
      <c r="H281" s="2" t="str">
        <f>TRIM(Table1[[#This Row],[Magazyn]])</f>
        <v>Apteka Szpitalna</v>
      </c>
      <c r="I281" s="2" t="str">
        <f>TRIM(Table1[[#This Row],[Umowa]])</f>
        <v/>
      </c>
      <c r="J281" s="2" t="b">
        <f>ISTEXT(Table14[[#This Row],[Data_Wystawienia]])</f>
        <v>0</v>
      </c>
      <c r="K281" s="2">
        <f>VALUE(SUBSTITUTE(Table14[[#This Row],[Wartość]],".",","))</f>
        <v>2822.3</v>
      </c>
      <c r="L2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" s="2" t="str">
        <f>IF(Table14[[#This Row],[Umowa]]="","Poza umową","Z umowy")</f>
        <v>Poza umową</v>
      </c>
      <c r="N281" s="2">
        <f>YEAR(Table14[[#This Row],[Data_Wystawienia]])</f>
        <v>2022</v>
      </c>
      <c r="O281" s="2" t="str">
        <f>TEXT(Table14[[#This Row],[Data_Wystawienia]],"rrrr-mm")</f>
        <v>2022-04</v>
      </c>
      <c r="P281" s="2">
        <v>1</v>
      </c>
    </row>
    <row r="282" spans="1:16" x14ac:dyDescent="0.3">
      <c r="A282" s="2" t="str">
        <f>TRIM(Table1[[#This Row],[Numer_FV]])</f>
        <v>FV/19/SAL/22</v>
      </c>
      <c r="B282" s="2" t="str">
        <f>TRIM(Table1[[#This Row],[Numer_PZ]])</f>
        <v>PZ/800280</v>
      </c>
      <c r="C282" s="2" t="str">
        <f>TRIM(Table1[[#This Row],[Dostawca]])</f>
        <v>SalusHurt</v>
      </c>
      <c r="D282" s="3">
        <v>44663</v>
      </c>
      <c r="E282" s="4" t="s">
        <v>876</v>
      </c>
      <c r="F282" s="2" t="str">
        <f>TRIM(Table1[[#This Row],[Status]])</f>
        <v>Zaakceptowana</v>
      </c>
      <c r="G282" s="2" t="str">
        <f>TRIM(Table1[[#This Row],[Typ]])</f>
        <v>Faktura VAT</v>
      </c>
      <c r="H282" s="2" t="str">
        <f>TRIM(Table1[[#This Row],[Magazyn]])</f>
        <v>Apteka Szpitalna</v>
      </c>
      <c r="I282" s="2" t="str">
        <f>TRIM(Table1[[#This Row],[Umowa]])</f>
        <v>UM-SAL-02</v>
      </c>
      <c r="J282" s="2" t="b">
        <f>ISTEXT(Table14[[#This Row],[Data_Wystawienia]])</f>
        <v>0</v>
      </c>
      <c r="K282" s="2">
        <f>VALUE(SUBSTITUTE(Table14[[#This Row],[Wartość]],".",","))</f>
        <v>16625.66</v>
      </c>
      <c r="L2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" s="2" t="str">
        <f>IF(Table14[[#This Row],[Umowa]]="","Poza umową","Z umowy")</f>
        <v>Z umowy</v>
      </c>
      <c r="N282" s="2">
        <f>YEAR(Table14[[#This Row],[Data_Wystawienia]])</f>
        <v>2022</v>
      </c>
      <c r="O282" s="2" t="str">
        <f>TEXT(Table14[[#This Row],[Data_Wystawienia]],"rrrr-mm")</f>
        <v>2022-04</v>
      </c>
      <c r="P282" s="2">
        <v>1</v>
      </c>
    </row>
    <row r="283" spans="1:16" x14ac:dyDescent="0.3">
      <c r="A283" s="2" t="str">
        <f>TRIM(Table1[[#This Row],[Numer_FV]])</f>
        <v>FV/4458HM/22</v>
      </c>
      <c r="B283" s="2" t="str">
        <f>TRIM(Table1[[#This Row],[Numer_PZ]])</f>
        <v>PZ/800281</v>
      </c>
      <c r="C283" s="2" t="str">
        <f>TRIM(Table1[[#This Row],[Dostawca]])</f>
        <v>HurtMedix</v>
      </c>
      <c r="D283" s="3">
        <v>44664</v>
      </c>
      <c r="E283" s="4" t="s">
        <v>879</v>
      </c>
      <c r="F283" s="2" t="str">
        <f>TRIM(Table1[[#This Row],[Status]])</f>
        <v>Zaakceptowana</v>
      </c>
      <c r="G283" s="2" t="str">
        <f>TRIM(Table1[[#This Row],[Typ]])</f>
        <v>Faktura VAT</v>
      </c>
      <c r="H283" s="2" t="str">
        <f>TRIM(Table1[[#This Row],[Magazyn]])</f>
        <v>Apteka Szpitalna</v>
      </c>
      <c r="I283" s="2" t="str">
        <f>TRIM(Table1[[#This Row],[Umowa]])</f>
        <v/>
      </c>
      <c r="J283" s="2" t="b">
        <f>ISTEXT(Table14[[#This Row],[Data_Wystawienia]])</f>
        <v>0</v>
      </c>
      <c r="K283" s="2">
        <f>VALUE(SUBSTITUTE(Table14[[#This Row],[Wartość]],".",","))</f>
        <v>24723.51</v>
      </c>
      <c r="L2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" s="2" t="str">
        <f>IF(Table14[[#This Row],[Umowa]]="","Poza umową","Z umowy")</f>
        <v>Poza umową</v>
      </c>
      <c r="N283" s="2">
        <f>YEAR(Table14[[#This Row],[Data_Wystawienia]])</f>
        <v>2022</v>
      </c>
      <c r="O283" s="2" t="str">
        <f>TEXT(Table14[[#This Row],[Data_Wystawienia]],"rrrr-mm")</f>
        <v>2022-04</v>
      </c>
      <c r="P283" s="2">
        <v>1</v>
      </c>
    </row>
    <row r="284" spans="1:16" x14ac:dyDescent="0.3">
      <c r="A284" s="2" t="str">
        <f>TRIM(Table1[[#This Row],[Numer_FV]])</f>
        <v>FV/CENFA/972154/22</v>
      </c>
      <c r="B284" s="2" t="str">
        <f>TRIM(Table1[[#This Row],[Numer_PZ]])</f>
        <v>PZ/800282</v>
      </c>
      <c r="C284" s="2" t="str">
        <f>TRIM(Table1[[#This Row],[Dostawca]])</f>
        <v>CentrumFarm</v>
      </c>
      <c r="D284" s="3">
        <v>44664</v>
      </c>
      <c r="E284" s="4" t="s">
        <v>882</v>
      </c>
      <c r="F284" s="2" t="str">
        <f>TRIM(Table1[[#This Row],[Status]])</f>
        <v>Zaakceptowana</v>
      </c>
      <c r="G284" s="2" t="str">
        <f>TRIM(Table1[[#This Row],[Typ]])</f>
        <v>Faktura VAT</v>
      </c>
      <c r="H284" s="2" t="str">
        <f>TRIM(Table1[[#This Row],[Magazyn]])</f>
        <v>Apteka Szpitalna</v>
      </c>
      <c r="I284" s="2" t="str">
        <f>TRIM(Table1[[#This Row],[Umowa]])</f>
        <v/>
      </c>
      <c r="J284" s="2" t="b">
        <f>ISTEXT(Table14[[#This Row],[Data_Wystawienia]])</f>
        <v>0</v>
      </c>
      <c r="K284" s="2">
        <f>VALUE(SUBSTITUTE(Table14[[#This Row],[Wartość]],".",","))</f>
        <v>15734.24</v>
      </c>
      <c r="L2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" s="2" t="str">
        <f>IF(Table14[[#This Row],[Umowa]]="","Poza umową","Z umowy")</f>
        <v>Poza umową</v>
      </c>
      <c r="N284" s="2">
        <f>YEAR(Table14[[#This Row],[Data_Wystawienia]])</f>
        <v>2022</v>
      </c>
      <c r="O284" s="2" t="str">
        <f>TEXT(Table14[[#This Row],[Data_Wystawienia]],"rrrr-mm")</f>
        <v>2022-04</v>
      </c>
      <c r="P284" s="2">
        <v>1</v>
      </c>
    </row>
    <row r="285" spans="1:16" x14ac:dyDescent="0.3">
      <c r="A285" s="2" t="str">
        <f>TRIM(Table1[[#This Row],[Numer_FV]])</f>
        <v>FV/CENFA/644283/22</v>
      </c>
      <c r="B285" s="2" t="str">
        <f>TRIM(Table1[[#This Row],[Numer_PZ]])</f>
        <v>PZ/800283</v>
      </c>
      <c r="C285" s="2" t="str">
        <f>TRIM(Table1[[#This Row],[Dostawca]])</f>
        <v>CentrumFarm</v>
      </c>
      <c r="D285" s="3">
        <v>44664</v>
      </c>
      <c r="E285" s="4" t="s">
        <v>885</v>
      </c>
      <c r="F285" s="2" t="str">
        <f>TRIM(Table1[[#This Row],[Status]])</f>
        <v>Zaakceptowana</v>
      </c>
      <c r="G285" s="2" t="str">
        <f>TRIM(Table1[[#This Row],[Typ]])</f>
        <v>Faktura VAT</v>
      </c>
      <c r="H285" s="2" t="str">
        <f>TRIM(Table1[[#This Row],[Magazyn]])</f>
        <v>Apteka Szpitalna</v>
      </c>
      <c r="I285" s="2" t="str">
        <f>TRIM(Table1[[#This Row],[Umowa]])</f>
        <v>UM-CEN-01</v>
      </c>
      <c r="J285" s="2" t="b">
        <f>ISTEXT(Table14[[#This Row],[Data_Wystawienia]])</f>
        <v>0</v>
      </c>
      <c r="K285" s="2">
        <f>VALUE(SUBSTITUTE(Table14[[#This Row],[Wartość]],".",","))</f>
        <v>21455.82</v>
      </c>
      <c r="L2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" s="2" t="str">
        <f>IF(Table14[[#This Row],[Umowa]]="","Poza umową","Z umowy")</f>
        <v>Z umowy</v>
      </c>
      <c r="N285" s="2">
        <f>YEAR(Table14[[#This Row],[Data_Wystawienia]])</f>
        <v>2022</v>
      </c>
      <c r="O285" s="2" t="str">
        <f>TEXT(Table14[[#This Row],[Data_Wystawienia]],"rrrr-mm")</f>
        <v>2022-04</v>
      </c>
      <c r="P285" s="2">
        <v>1</v>
      </c>
    </row>
    <row r="286" spans="1:16" x14ac:dyDescent="0.3">
      <c r="A286" s="2" t="str">
        <f>TRIM(Table1[[#This Row],[Numer_FV]])</f>
        <v>FV/35/SAL/22</v>
      </c>
      <c r="B286" s="2" t="str">
        <f>TRIM(Table1[[#This Row],[Numer_PZ]])</f>
        <v>PZ/800284</v>
      </c>
      <c r="C286" s="2" t="str">
        <f>TRIM(Table1[[#This Row],[Dostawca]])</f>
        <v>SalusHurt</v>
      </c>
      <c r="D286" s="3">
        <v>44665</v>
      </c>
      <c r="E286" s="4" t="s">
        <v>888</v>
      </c>
      <c r="F286" s="2" t="str">
        <f>TRIM(Table1[[#This Row],[Status]])</f>
        <v>Zaakceptowana</v>
      </c>
      <c r="G286" s="2" t="str">
        <f>TRIM(Table1[[#This Row],[Typ]])</f>
        <v>Faktura VAT</v>
      </c>
      <c r="H286" s="2" t="str">
        <f>TRIM(Table1[[#This Row],[Magazyn]])</f>
        <v>Apteka Szpitalna</v>
      </c>
      <c r="I286" s="2" t="str">
        <f>TRIM(Table1[[#This Row],[Umowa]])</f>
        <v/>
      </c>
      <c r="J286" s="2" t="b">
        <f>ISTEXT(Table14[[#This Row],[Data_Wystawienia]])</f>
        <v>0</v>
      </c>
      <c r="K286" s="2">
        <f>VALUE(SUBSTITUTE(Table14[[#This Row],[Wartość]],".",","))</f>
        <v>11849.88</v>
      </c>
      <c r="L2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" s="2" t="str">
        <f>IF(Table14[[#This Row],[Umowa]]="","Poza umową","Z umowy")</f>
        <v>Poza umową</v>
      </c>
      <c r="N286" s="2">
        <f>YEAR(Table14[[#This Row],[Data_Wystawienia]])</f>
        <v>2022</v>
      </c>
      <c r="O286" s="2" t="str">
        <f>TEXT(Table14[[#This Row],[Data_Wystawienia]],"rrrr-mm")</f>
        <v>2022-04</v>
      </c>
      <c r="P286" s="2">
        <v>1</v>
      </c>
    </row>
    <row r="287" spans="1:16" x14ac:dyDescent="0.3">
      <c r="A287" s="2" t="str">
        <f>TRIM(Table1[[#This Row],[Numer_FV]])</f>
        <v>FV/87/PP/7581/22</v>
      </c>
      <c r="B287" s="2" t="str">
        <f>TRIM(Table1[[#This Row],[Numer_PZ]])</f>
        <v>PZ/800285</v>
      </c>
      <c r="C287" s="2" t="str">
        <f>TRIM(Table1[[#This Row],[Dostawca]])</f>
        <v>PharmaPlus</v>
      </c>
      <c r="D287" s="3">
        <v>44665</v>
      </c>
      <c r="E287" s="4" t="s">
        <v>891</v>
      </c>
      <c r="F287" s="2" t="str">
        <f>TRIM(Table1[[#This Row],[Status]])</f>
        <v>Zaakceptowana</v>
      </c>
      <c r="G287" s="2" t="str">
        <f>TRIM(Table1[[#This Row],[Typ]])</f>
        <v>Faktura VAT</v>
      </c>
      <c r="H287" s="2" t="str">
        <f>TRIM(Table1[[#This Row],[Magazyn]])</f>
        <v>Apteka Szpitalna</v>
      </c>
      <c r="I287" s="2" t="str">
        <f>TRIM(Table1[[#This Row],[Umowa]])</f>
        <v>UM-PHA-01</v>
      </c>
      <c r="J287" s="2" t="b">
        <f>ISTEXT(Table14[[#This Row],[Data_Wystawienia]])</f>
        <v>0</v>
      </c>
      <c r="K287" s="2">
        <f>VALUE(SUBSTITUTE(Table14[[#This Row],[Wartość]],".",","))</f>
        <v>11464.82</v>
      </c>
      <c r="L2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" s="2" t="str">
        <f>IF(Table14[[#This Row],[Umowa]]="","Poza umową","Z umowy")</f>
        <v>Z umowy</v>
      </c>
      <c r="N287" s="2">
        <f>YEAR(Table14[[#This Row],[Data_Wystawienia]])</f>
        <v>2022</v>
      </c>
      <c r="O287" s="2" t="str">
        <f>TEXT(Table14[[#This Row],[Data_Wystawienia]],"rrrr-mm")</f>
        <v>2022-04</v>
      </c>
      <c r="P287" s="2">
        <v>1</v>
      </c>
    </row>
    <row r="288" spans="1:16" x14ac:dyDescent="0.3">
      <c r="A288" s="2" t="str">
        <f>TRIM(Table1[[#This Row],[Numer_FV]])</f>
        <v>FV/7621/NOVA/22</v>
      </c>
      <c r="B288" s="2" t="str">
        <f>TRIM(Table1[[#This Row],[Numer_PZ]])</f>
        <v>PZ/800286</v>
      </c>
      <c r="C288" s="2" t="str">
        <f>TRIM(Table1[[#This Row],[Dostawca]])</f>
        <v>NovaLek</v>
      </c>
      <c r="D288" s="3">
        <v>44665</v>
      </c>
      <c r="E288" s="4" t="s">
        <v>894</v>
      </c>
      <c r="F288" s="2" t="str">
        <f>TRIM(Table1[[#This Row],[Status]])</f>
        <v>Zaakceptowana</v>
      </c>
      <c r="G288" s="2" t="str">
        <f>TRIM(Table1[[#This Row],[Typ]])</f>
        <v>Faktura VAT</v>
      </c>
      <c r="H288" s="2" t="str">
        <f>TRIM(Table1[[#This Row],[Magazyn]])</f>
        <v>Apteka Szpitalna</v>
      </c>
      <c r="I288" s="2" t="str">
        <f>TRIM(Table1[[#This Row],[Umowa]])</f>
        <v>UM-NOV-02</v>
      </c>
      <c r="J288" s="2" t="b">
        <f>ISTEXT(Table14[[#This Row],[Data_Wystawienia]])</f>
        <v>0</v>
      </c>
      <c r="K288" s="2">
        <f>VALUE(SUBSTITUTE(Table14[[#This Row],[Wartość]],".",","))</f>
        <v>18742.66</v>
      </c>
      <c r="L2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" s="2" t="str">
        <f>IF(Table14[[#This Row],[Umowa]]="","Poza umową","Z umowy")</f>
        <v>Z umowy</v>
      </c>
      <c r="N288" s="2">
        <f>YEAR(Table14[[#This Row],[Data_Wystawienia]])</f>
        <v>2022</v>
      </c>
      <c r="O288" s="2" t="str">
        <f>TEXT(Table14[[#This Row],[Data_Wystawienia]],"rrrr-mm")</f>
        <v>2022-04</v>
      </c>
      <c r="P288" s="2">
        <v>1</v>
      </c>
    </row>
    <row r="289" spans="1:16" x14ac:dyDescent="0.3">
      <c r="A289" s="2" t="str">
        <f>TRIM(Table1[[#This Row],[Numer_FV]])</f>
        <v>FV/41/PP/8583/22</v>
      </c>
      <c r="B289" s="2" t="str">
        <f>TRIM(Table1[[#This Row],[Numer_PZ]])</f>
        <v>PZ/800287</v>
      </c>
      <c r="C289" s="2" t="str">
        <f>TRIM(Table1[[#This Row],[Dostawca]])</f>
        <v>PharmaPlus</v>
      </c>
      <c r="D289" s="3">
        <v>44666</v>
      </c>
      <c r="E289" s="4" t="s">
        <v>897</v>
      </c>
      <c r="F289" s="2" t="str">
        <f>TRIM(Table1[[#This Row],[Status]])</f>
        <v>Zaakceptowana</v>
      </c>
      <c r="G289" s="2" t="str">
        <f>TRIM(Table1[[#This Row],[Typ]])</f>
        <v>Faktura VAT</v>
      </c>
      <c r="H289" s="2" t="str">
        <f>TRIM(Table1[[#This Row],[Magazyn]])</f>
        <v>Apteka Szpitalna</v>
      </c>
      <c r="I289" s="2" t="str">
        <f>TRIM(Table1[[#This Row],[Umowa]])</f>
        <v>UM-PHA-02</v>
      </c>
      <c r="J289" s="2" t="b">
        <f>ISTEXT(Table14[[#This Row],[Data_Wystawienia]])</f>
        <v>0</v>
      </c>
      <c r="K289" s="2">
        <f>VALUE(SUBSTITUTE(Table14[[#This Row],[Wartość]],".",","))</f>
        <v>12718.52</v>
      </c>
      <c r="L2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" s="2" t="str">
        <f>IF(Table14[[#This Row],[Umowa]]="","Poza umową","Z umowy")</f>
        <v>Z umowy</v>
      </c>
      <c r="N289" s="2">
        <f>YEAR(Table14[[#This Row],[Data_Wystawienia]])</f>
        <v>2022</v>
      </c>
      <c r="O289" s="2" t="str">
        <f>TEXT(Table14[[#This Row],[Data_Wystawienia]],"rrrr-mm")</f>
        <v>2022-04</v>
      </c>
      <c r="P289" s="2">
        <v>1</v>
      </c>
    </row>
    <row r="290" spans="1:16" x14ac:dyDescent="0.3">
      <c r="A290" s="2" t="str">
        <f>TRIM(Table1[[#This Row],[Numer_FV]])</f>
        <v>FV/CENFA/870404/22</v>
      </c>
      <c r="B290" s="2" t="str">
        <f>TRIM(Table1[[#This Row],[Numer_PZ]])</f>
        <v>PZ/800288</v>
      </c>
      <c r="C290" s="2" t="str">
        <f>TRIM(Table1[[#This Row],[Dostawca]])</f>
        <v>CentrumFarm</v>
      </c>
      <c r="D290" s="3">
        <v>44667</v>
      </c>
      <c r="E290" s="4" t="s">
        <v>900</v>
      </c>
      <c r="F290" s="2" t="str">
        <f>TRIM(Table1[[#This Row],[Status]])</f>
        <v>Zaakceptowana</v>
      </c>
      <c r="G290" s="2" t="str">
        <f>TRIM(Table1[[#This Row],[Typ]])</f>
        <v>Faktura VAT</v>
      </c>
      <c r="H290" s="2" t="str">
        <f>TRIM(Table1[[#This Row],[Magazyn]])</f>
        <v>Apteka Szpitalna</v>
      </c>
      <c r="I290" s="2" t="str">
        <f>TRIM(Table1[[#This Row],[Umowa]])</f>
        <v>UM-CEN-02</v>
      </c>
      <c r="J290" s="2" t="b">
        <f>ISTEXT(Table14[[#This Row],[Data_Wystawienia]])</f>
        <v>0</v>
      </c>
      <c r="K290" s="2">
        <f>VALUE(SUBSTITUTE(Table14[[#This Row],[Wartość]],".",","))</f>
        <v>19703.16</v>
      </c>
      <c r="L2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" s="2" t="str">
        <f>IF(Table14[[#This Row],[Umowa]]="","Poza umową","Z umowy")</f>
        <v>Z umowy</v>
      </c>
      <c r="N290" s="2">
        <f>YEAR(Table14[[#This Row],[Data_Wystawienia]])</f>
        <v>2022</v>
      </c>
      <c r="O290" s="2" t="str">
        <f>TEXT(Table14[[#This Row],[Data_Wystawienia]],"rrrr-mm")</f>
        <v>2022-04</v>
      </c>
      <c r="P290" s="2">
        <v>1</v>
      </c>
    </row>
    <row r="291" spans="1:16" x14ac:dyDescent="0.3">
      <c r="A291" s="2" t="str">
        <f>TRIM(Table1[[#This Row],[Numer_FV]])</f>
        <v>FV/58/PP/6202/22</v>
      </c>
      <c r="B291" s="2" t="str">
        <f>TRIM(Table1[[#This Row],[Numer_PZ]])</f>
        <v>PZ/800289</v>
      </c>
      <c r="C291" s="2" t="str">
        <f>TRIM(Table1[[#This Row],[Dostawca]])</f>
        <v>PharmaPlus</v>
      </c>
      <c r="D291" s="3">
        <v>44667</v>
      </c>
      <c r="E291" s="4" t="s">
        <v>903</v>
      </c>
      <c r="F291" s="2" t="str">
        <f>TRIM(Table1[[#This Row],[Status]])</f>
        <v>Zaakceptowana</v>
      </c>
      <c r="G291" s="2" t="str">
        <f>TRIM(Table1[[#This Row],[Typ]])</f>
        <v>Korekta FV</v>
      </c>
      <c r="H291" s="2" t="str">
        <f>TRIM(Table1[[#This Row],[Magazyn]])</f>
        <v>Apteka Szpitalna</v>
      </c>
      <c r="I291" s="2" t="str">
        <f>TRIM(Table1[[#This Row],[Umowa]])</f>
        <v>UM-PHA-02</v>
      </c>
      <c r="J291" s="2" t="b">
        <f>ISTEXT(Table14[[#This Row],[Data_Wystawienia]])</f>
        <v>0</v>
      </c>
      <c r="K291" s="2">
        <f>VALUE(SUBSTITUTE(Table14[[#This Row],[Wartość]],".",","))</f>
        <v>-137.66</v>
      </c>
      <c r="L2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" s="2" t="str">
        <f>IF(Table14[[#This Row],[Umowa]]="","Poza umową","Z umowy")</f>
        <v>Z umowy</v>
      </c>
      <c r="N291" s="2">
        <f>YEAR(Table14[[#This Row],[Data_Wystawienia]])</f>
        <v>2022</v>
      </c>
      <c r="O291" s="2" t="str">
        <f>TEXT(Table14[[#This Row],[Data_Wystawienia]],"rrrr-mm")</f>
        <v>2022-04</v>
      </c>
      <c r="P291" s="2">
        <v>1</v>
      </c>
    </row>
    <row r="292" spans="1:16" x14ac:dyDescent="0.3">
      <c r="A292" s="2" t="str">
        <f>TRIM(Table1[[#This Row],[Numer_FV]])</f>
        <v>FV/96/SAL/22</v>
      </c>
      <c r="B292" s="2" t="str">
        <f>TRIM(Table1[[#This Row],[Numer_PZ]])</f>
        <v>PZ/800290</v>
      </c>
      <c r="C292" s="2" t="str">
        <f>TRIM(Table1[[#This Row],[Dostawca]])</f>
        <v>SalusHurt</v>
      </c>
      <c r="D292" s="3">
        <v>44667</v>
      </c>
      <c r="E292" s="4" t="s">
        <v>906</v>
      </c>
      <c r="F292" s="2" t="str">
        <f>TRIM(Table1[[#This Row],[Status]])</f>
        <v>Zaakceptowana</v>
      </c>
      <c r="G292" s="2" t="str">
        <f>TRIM(Table1[[#This Row],[Typ]])</f>
        <v>Faktura VAT</v>
      </c>
      <c r="H292" s="2" t="str">
        <f>TRIM(Table1[[#This Row],[Magazyn]])</f>
        <v>Apteka Szpitalna</v>
      </c>
      <c r="I292" s="2" t="str">
        <f>TRIM(Table1[[#This Row],[Umowa]])</f>
        <v>UM-SAL-01</v>
      </c>
      <c r="J292" s="2" t="b">
        <f>ISTEXT(Table14[[#This Row],[Data_Wystawienia]])</f>
        <v>0</v>
      </c>
      <c r="K292" s="2">
        <f>VALUE(SUBSTITUTE(Table14[[#This Row],[Wartość]],".",","))</f>
        <v>15721.2</v>
      </c>
      <c r="L2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" s="2" t="str">
        <f>IF(Table14[[#This Row],[Umowa]]="","Poza umową","Z umowy")</f>
        <v>Z umowy</v>
      </c>
      <c r="N292" s="2">
        <f>YEAR(Table14[[#This Row],[Data_Wystawienia]])</f>
        <v>2022</v>
      </c>
      <c r="O292" s="2" t="str">
        <f>TEXT(Table14[[#This Row],[Data_Wystawienia]],"rrrr-mm")</f>
        <v>2022-04</v>
      </c>
      <c r="P292" s="2">
        <v>1</v>
      </c>
    </row>
    <row r="293" spans="1:16" x14ac:dyDescent="0.3">
      <c r="A293" s="2" t="str">
        <f>TRIM(Table1[[#This Row],[Numer_FV]])</f>
        <v>FV/5997/NOVA/22</v>
      </c>
      <c r="B293" s="2" t="str">
        <f>TRIM(Table1[[#This Row],[Numer_PZ]])</f>
        <v>PZ/800291</v>
      </c>
      <c r="C293" s="2" t="str">
        <f>TRIM(Table1[[#This Row],[Dostawca]])</f>
        <v>NovaLek</v>
      </c>
      <c r="D293" s="3">
        <v>44668</v>
      </c>
      <c r="E293" s="4" t="s">
        <v>909</v>
      </c>
      <c r="F293" s="2" t="str">
        <f>TRIM(Table1[[#This Row],[Status]])</f>
        <v>Zaakceptowana</v>
      </c>
      <c r="G293" s="2" t="str">
        <f>TRIM(Table1[[#This Row],[Typ]])</f>
        <v>Faktura VAT</v>
      </c>
      <c r="H293" s="2" t="str">
        <f>TRIM(Table1[[#This Row],[Magazyn]])</f>
        <v>Apteka Szpitalna</v>
      </c>
      <c r="I293" s="2" t="str">
        <f>TRIM(Table1[[#This Row],[Umowa]])</f>
        <v>UM-NOV-01</v>
      </c>
      <c r="J293" s="2" t="b">
        <f>ISTEXT(Table14[[#This Row],[Data_Wystawienia]])</f>
        <v>0</v>
      </c>
      <c r="K293" s="2">
        <f>VALUE(SUBSTITUTE(Table14[[#This Row],[Wartość]],".",","))</f>
        <v>11380.81</v>
      </c>
      <c r="L2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" s="2" t="str">
        <f>IF(Table14[[#This Row],[Umowa]]="","Poza umową","Z umowy")</f>
        <v>Z umowy</v>
      </c>
      <c r="N293" s="2">
        <f>YEAR(Table14[[#This Row],[Data_Wystawienia]])</f>
        <v>2022</v>
      </c>
      <c r="O293" s="2" t="str">
        <f>TEXT(Table14[[#This Row],[Data_Wystawienia]],"rrrr-mm")</f>
        <v>2022-04</v>
      </c>
      <c r="P293" s="2">
        <v>1</v>
      </c>
    </row>
    <row r="294" spans="1:16" x14ac:dyDescent="0.3">
      <c r="A294" s="2" t="str">
        <f>TRIM(Table1[[#This Row],[Numer_FV]])</f>
        <v>FV/M/6373/P/22</v>
      </c>
      <c r="B294" s="2" t="str">
        <f>TRIM(Table1[[#This Row],[Numer_PZ]])</f>
        <v>PZ/800292</v>
      </c>
      <c r="C294" s="2" t="str">
        <f>TRIM(Table1[[#This Row],[Dostawca]])</f>
        <v>MedicaPharm</v>
      </c>
      <c r="D294" s="3">
        <v>44668</v>
      </c>
      <c r="E294" s="4" t="s">
        <v>912</v>
      </c>
      <c r="F294" s="2" t="str">
        <f>TRIM(Table1[[#This Row],[Status]])</f>
        <v>Zaakceptowana</v>
      </c>
      <c r="G294" s="2" t="str">
        <f>TRIM(Table1[[#This Row],[Typ]])</f>
        <v>Faktura VAT</v>
      </c>
      <c r="H294" s="2" t="str">
        <f>TRIM(Table1[[#This Row],[Magazyn]])</f>
        <v>Apteka Szpitalna</v>
      </c>
      <c r="I294" s="2" t="str">
        <f>TRIM(Table1[[#This Row],[Umowa]])</f>
        <v>UM-MED-01</v>
      </c>
      <c r="J294" s="2" t="b">
        <f>ISTEXT(Table14[[#This Row],[Data_Wystawienia]])</f>
        <v>0</v>
      </c>
      <c r="K294" s="2">
        <f>VALUE(SUBSTITUTE(Table14[[#This Row],[Wartość]],".",","))</f>
        <v>23204.400000000001</v>
      </c>
      <c r="L2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" s="2" t="str">
        <f>IF(Table14[[#This Row],[Umowa]]="","Poza umową","Z umowy")</f>
        <v>Z umowy</v>
      </c>
      <c r="N294" s="2">
        <f>YEAR(Table14[[#This Row],[Data_Wystawienia]])</f>
        <v>2022</v>
      </c>
      <c r="O294" s="2" t="str">
        <f>TEXT(Table14[[#This Row],[Data_Wystawienia]],"rrrr-mm")</f>
        <v>2022-04</v>
      </c>
      <c r="P294" s="2">
        <v>1</v>
      </c>
    </row>
    <row r="295" spans="1:16" x14ac:dyDescent="0.3">
      <c r="A295" s="2" t="str">
        <f>TRIM(Table1[[#This Row],[Numer_FV]])</f>
        <v>FV/54296/VDb/2022</v>
      </c>
      <c r="B295" s="2" t="str">
        <f>TRIM(Table1[[#This Row],[Numer_PZ]])</f>
        <v>PZ/800293</v>
      </c>
      <c r="C295" s="2" t="str">
        <f>TRIM(Table1[[#This Row],[Dostawca]])</f>
        <v>VitaDistrib</v>
      </c>
      <c r="D295" s="3">
        <v>44668</v>
      </c>
      <c r="E295" s="4" t="s">
        <v>915</v>
      </c>
      <c r="F295" s="2" t="str">
        <f>TRIM(Table1[[#This Row],[Status]])</f>
        <v>Zaakceptowana</v>
      </c>
      <c r="G295" s="2" t="str">
        <f>TRIM(Table1[[#This Row],[Typ]])</f>
        <v>Faktura VAT</v>
      </c>
      <c r="H295" s="2" t="str">
        <f>TRIM(Table1[[#This Row],[Magazyn]])</f>
        <v>Apteka Szpitalna</v>
      </c>
      <c r="I295" s="2" t="str">
        <f>TRIM(Table1[[#This Row],[Umowa]])</f>
        <v/>
      </c>
      <c r="J295" s="2" t="b">
        <f>ISTEXT(Table14[[#This Row],[Data_Wystawienia]])</f>
        <v>0</v>
      </c>
      <c r="K295" s="2">
        <f>VALUE(SUBSTITUTE(Table14[[#This Row],[Wartość]],".",","))</f>
        <v>13746.61</v>
      </c>
      <c r="L2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" s="2" t="str">
        <f>IF(Table14[[#This Row],[Umowa]]="","Poza umową","Z umowy")</f>
        <v>Poza umową</v>
      </c>
      <c r="N295" s="2">
        <f>YEAR(Table14[[#This Row],[Data_Wystawienia]])</f>
        <v>2022</v>
      </c>
      <c r="O295" s="2" t="str">
        <f>TEXT(Table14[[#This Row],[Data_Wystawienia]],"rrrr-mm")</f>
        <v>2022-04</v>
      </c>
      <c r="P295" s="2">
        <v>1</v>
      </c>
    </row>
    <row r="296" spans="1:16" x14ac:dyDescent="0.3">
      <c r="A296" s="2" t="str">
        <f>TRIM(Table1[[#This Row],[Numer_FV]])</f>
        <v>FV/37/PP/4791/22</v>
      </c>
      <c r="B296" s="2" t="str">
        <f>TRIM(Table1[[#This Row],[Numer_PZ]])</f>
        <v>PZ/800294</v>
      </c>
      <c r="C296" s="2" t="str">
        <f>TRIM(Table1[[#This Row],[Dostawca]])</f>
        <v>PharmaPlus</v>
      </c>
      <c r="D296" s="3">
        <v>44668</v>
      </c>
      <c r="E296" s="4" t="s">
        <v>918</v>
      </c>
      <c r="F296" s="2" t="str">
        <f>TRIM(Table1[[#This Row],[Status]])</f>
        <v>Zaakceptowana</v>
      </c>
      <c r="G296" s="2" t="str">
        <f>TRIM(Table1[[#This Row],[Typ]])</f>
        <v>Faktura VAT</v>
      </c>
      <c r="H296" s="2" t="str">
        <f>TRIM(Table1[[#This Row],[Magazyn]])</f>
        <v>Apteka Szpitalna</v>
      </c>
      <c r="I296" s="2" t="str">
        <f>TRIM(Table1[[#This Row],[Umowa]])</f>
        <v>UM-PHA-02</v>
      </c>
      <c r="J296" s="2" t="b">
        <f>ISTEXT(Table14[[#This Row],[Data_Wystawienia]])</f>
        <v>0</v>
      </c>
      <c r="K296" s="2">
        <f>VALUE(SUBSTITUTE(Table14[[#This Row],[Wartość]],".",","))</f>
        <v>18299.37</v>
      </c>
      <c r="L2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" s="2" t="str">
        <f>IF(Table14[[#This Row],[Umowa]]="","Poza umową","Z umowy")</f>
        <v>Z umowy</v>
      </c>
      <c r="N296" s="2">
        <f>YEAR(Table14[[#This Row],[Data_Wystawienia]])</f>
        <v>2022</v>
      </c>
      <c r="O296" s="2" t="str">
        <f>TEXT(Table14[[#This Row],[Data_Wystawienia]],"rrrr-mm")</f>
        <v>2022-04</v>
      </c>
      <c r="P296" s="2">
        <v>1</v>
      </c>
    </row>
    <row r="297" spans="1:16" x14ac:dyDescent="0.3">
      <c r="A297" s="2" t="str">
        <f>TRIM(Table1[[#This Row],[Numer_FV]])</f>
        <v>FV/CENFA/849070/22</v>
      </c>
      <c r="B297" s="2" t="str">
        <f>TRIM(Table1[[#This Row],[Numer_PZ]])</f>
        <v>PZ/800295</v>
      </c>
      <c r="C297" s="2" t="str">
        <f>TRIM(Table1[[#This Row],[Dostawca]])</f>
        <v>CentrumFarm</v>
      </c>
      <c r="D297" s="3">
        <v>44668</v>
      </c>
      <c r="E297" s="4" t="s">
        <v>921</v>
      </c>
      <c r="F297" s="2" t="str">
        <f>TRIM(Table1[[#This Row],[Status]])</f>
        <v>Zaakceptowana</v>
      </c>
      <c r="G297" s="2" t="str">
        <f>TRIM(Table1[[#This Row],[Typ]])</f>
        <v>Faktura VAT</v>
      </c>
      <c r="H297" s="2" t="str">
        <f>TRIM(Table1[[#This Row],[Magazyn]])</f>
        <v>Apteka Szpitalna</v>
      </c>
      <c r="I297" s="2" t="str">
        <f>TRIM(Table1[[#This Row],[Umowa]])</f>
        <v>UM-CEN-02</v>
      </c>
      <c r="J297" s="2" t="b">
        <f>ISTEXT(Table14[[#This Row],[Data_Wystawienia]])</f>
        <v>0</v>
      </c>
      <c r="K297" s="2">
        <f>VALUE(SUBSTITUTE(Table14[[#This Row],[Wartość]],".",","))</f>
        <v>29104.31</v>
      </c>
      <c r="L2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" s="2" t="str">
        <f>IF(Table14[[#This Row],[Umowa]]="","Poza umową","Z umowy")</f>
        <v>Z umowy</v>
      </c>
      <c r="N297" s="2">
        <f>YEAR(Table14[[#This Row],[Data_Wystawienia]])</f>
        <v>2022</v>
      </c>
      <c r="O297" s="2" t="str">
        <f>TEXT(Table14[[#This Row],[Data_Wystawienia]],"rrrr-mm")</f>
        <v>2022-04</v>
      </c>
      <c r="P297" s="2">
        <v>1</v>
      </c>
    </row>
    <row r="298" spans="1:16" x14ac:dyDescent="0.3">
      <c r="A298" s="2" t="str">
        <f>TRIM(Table1[[#This Row],[Numer_FV]])</f>
        <v>FV/CENFA/670110/22</v>
      </c>
      <c r="B298" s="2" t="str">
        <f>TRIM(Table1[[#This Row],[Numer_PZ]])</f>
        <v>PZ/800296</v>
      </c>
      <c r="C298" s="2" t="str">
        <f>TRIM(Table1[[#This Row],[Dostawca]])</f>
        <v>CentrumFarm</v>
      </c>
      <c r="D298" s="3">
        <v>44669</v>
      </c>
      <c r="E298" s="4" t="s">
        <v>924</v>
      </c>
      <c r="F298" s="2" t="str">
        <f>TRIM(Table1[[#This Row],[Status]])</f>
        <v>Zaakceptowana</v>
      </c>
      <c r="G298" s="2" t="str">
        <f>TRIM(Table1[[#This Row],[Typ]])</f>
        <v>Faktura VAT</v>
      </c>
      <c r="H298" s="2" t="str">
        <f>TRIM(Table1[[#This Row],[Magazyn]])</f>
        <v>Apteka Szpitalna</v>
      </c>
      <c r="I298" s="2" t="str">
        <f>TRIM(Table1[[#This Row],[Umowa]])</f>
        <v>UM-CEN-01</v>
      </c>
      <c r="J298" s="2" t="b">
        <f>ISTEXT(Table14[[#This Row],[Data_Wystawienia]])</f>
        <v>0</v>
      </c>
      <c r="K298" s="2">
        <f>VALUE(SUBSTITUTE(Table14[[#This Row],[Wartość]],".",","))</f>
        <v>24122.12</v>
      </c>
      <c r="L2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" s="2" t="str">
        <f>IF(Table14[[#This Row],[Umowa]]="","Poza umową","Z umowy")</f>
        <v>Z umowy</v>
      </c>
      <c r="N298" s="2">
        <f>YEAR(Table14[[#This Row],[Data_Wystawienia]])</f>
        <v>2022</v>
      </c>
      <c r="O298" s="2" t="str">
        <f>TEXT(Table14[[#This Row],[Data_Wystawienia]],"rrrr-mm")</f>
        <v>2022-04</v>
      </c>
      <c r="P298" s="2">
        <v>1</v>
      </c>
    </row>
    <row r="299" spans="1:16" x14ac:dyDescent="0.3">
      <c r="A299" s="2" t="str">
        <f>TRIM(Table1[[#This Row],[Numer_FV]])</f>
        <v>FV/4546/NOVA/22</v>
      </c>
      <c r="B299" s="2" t="str">
        <f>TRIM(Table1[[#This Row],[Numer_PZ]])</f>
        <v>PZ/800297</v>
      </c>
      <c r="C299" s="2" t="str">
        <f>TRIM(Table1[[#This Row],[Dostawca]])</f>
        <v>NovaLek</v>
      </c>
      <c r="D299" s="3">
        <v>44669</v>
      </c>
      <c r="E299" s="4" t="s">
        <v>927</v>
      </c>
      <c r="F299" s="2" t="str">
        <f>TRIM(Table1[[#This Row],[Status]])</f>
        <v>Zaakceptowana</v>
      </c>
      <c r="G299" s="2" t="str">
        <f>TRIM(Table1[[#This Row],[Typ]])</f>
        <v>Faktura VAT</v>
      </c>
      <c r="H299" s="2" t="str">
        <f>TRIM(Table1[[#This Row],[Magazyn]])</f>
        <v>Apteka Szpitalna</v>
      </c>
      <c r="I299" s="2" t="str">
        <f>TRIM(Table1[[#This Row],[Umowa]])</f>
        <v>UM-NOV-02</v>
      </c>
      <c r="J299" s="2" t="b">
        <f>ISTEXT(Table14[[#This Row],[Data_Wystawienia]])</f>
        <v>0</v>
      </c>
      <c r="K299" s="2">
        <f>VALUE(SUBSTITUTE(Table14[[#This Row],[Wartość]],".",","))</f>
        <v>3956.24</v>
      </c>
      <c r="L2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" s="2" t="str">
        <f>IF(Table14[[#This Row],[Umowa]]="","Poza umową","Z umowy")</f>
        <v>Z umowy</v>
      </c>
      <c r="N299" s="2">
        <f>YEAR(Table14[[#This Row],[Data_Wystawienia]])</f>
        <v>2022</v>
      </c>
      <c r="O299" s="2" t="str">
        <f>TEXT(Table14[[#This Row],[Data_Wystawienia]],"rrrr-mm")</f>
        <v>2022-04</v>
      </c>
      <c r="P299" s="2">
        <v>1</v>
      </c>
    </row>
    <row r="300" spans="1:16" x14ac:dyDescent="0.3">
      <c r="A300" s="2" t="str">
        <f>TRIM(Table1[[#This Row],[Numer_FV]])</f>
        <v>FV/30/PP/3032/22</v>
      </c>
      <c r="B300" s="2" t="str">
        <f>TRIM(Table1[[#This Row],[Numer_PZ]])</f>
        <v>PZ/800298</v>
      </c>
      <c r="C300" s="2" t="str">
        <f>TRIM(Table1[[#This Row],[Dostawca]])</f>
        <v>PharmaPlus</v>
      </c>
      <c r="D300" s="3">
        <v>44669</v>
      </c>
      <c r="E300" s="4" t="s">
        <v>930</v>
      </c>
      <c r="F300" s="2" t="str">
        <f>TRIM(Table1[[#This Row],[Status]])</f>
        <v>Zaakceptowana</v>
      </c>
      <c r="G300" s="2" t="str">
        <f>TRIM(Table1[[#This Row],[Typ]])</f>
        <v>Faktura VAT</v>
      </c>
      <c r="H300" s="2" t="str">
        <f>TRIM(Table1[[#This Row],[Magazyn]])</f>
        <v>Apteka Szpitalna</v>
      </c>
      <c r="I300" s="2" t="str">
        <f>TRIM(Table1[[#This Row],[Umowa]])</f>
        <v>UM-PHA-02</v>
      </c>
      <c r="J300" s="2" t="b">
        <f>ISTEXT(Table14[[#This Row],[Data_Wystawienia]])</f>
        <v>0</v>
      </c>
      <c r="K300" s="2">
        <f>VALUE(SUBSTITUTE(Table14[[#This Row],[Wartość]],".",","))</f>
        <v>15143.84</v>
      </c>
      <c r="L3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" s="2" t="str">
        <f>IF(Table14[[#This Row],[Umowa]]="","Poza umową","Z umowy")</f>
        <v>Z umowy</v>
      </c>
      <c r="N300" s="2">
        <f>YEAR(Table14[[#This Row],[Data_Wystawienia]])</f>
        <v>2022</v>
      </c>
      <c r="O300" s="2" t="str">
        <f>TEXT(Table14[[#This Row],[Data_Wystawienia]],"rrrr-mm")</f>
        <v>2022-04</v>
      </c>
      <c r="P300" s="2">
        <v>1</v>
      </c>
    </row>
    <row r="301" spans="1:16" x14ac:dyDescent="0.3">
      <c r="A301" s="2" t="str">
        <f>TRIM(Table1[[#This Row],[Numer_FV]])</f>
        <v>FV/99/PP/6852/22</v>
      </c>
      <c r="B301" s="2" t="str">
        <f>TRIM(Table1[[#This Row],[Numer_PZ]])</f>
        <v>PZ/800299</v>
      </c>
      <c r="C301" s="2" t="str">
        <f>TRIM(Table1[[#This Row],[Dostawca]])</f>
        <v>PharmaPlus</v>
      </c>
      <c r="D301" s="3">
        <v>44670</v>
      </c>
      <c r="E301" s="4" t="s">
        <v>933</v>
      </c>
      <c r="F301" s="2" t="str">
        <f>TRIM(Table1[[#This Row],[Status]])</f>
        <v>Zaakceptowana</v>
      </c>
      <c r="G301" s="2" t="str">
        <f>TRIM(Table1[[#This Row],[Typ]])</f>
        <v>Faktura VAT</v>
      </c>
      <c r="H301" s="2" t="str">
        <f>TRIM(Table1[[#This Row],[Magazyn]])</f>
        <v>Apteka Szpitalna</v>
      </c>
      <c r="I301" s="2" t="str">
        <f>TRIM(Table1[[#This Row],[Umowa]])</f>
        <v>UM-PHA-02</v>
      </c>
      <c r="J301" s="2" t="b">
        <f>ISTEXT(Table14[[#This Row],[Data_Wystawienia]])</f>
        <v>0</v>
      </c>
      <c r="K301" s="2">
        <f>VALUE(SUBSTITUTE(Table14[[#This Row],[Wartość]],".",","))</f>
        <v>18855.099999999999</v>
      </c>
      <c r="L3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1" s="2" t="str">
        <f>IF(Table14[[#This Row],[Umowa]]="","Poza umową","Z umowy")</f>
        <v>Z umowy</v>
      </c>
      <c r="N301" s="2">
        <f>YEAR(Table14[[#This Row],[Data_Wystawienia]])</f>
        <v>2022</v>
      </c>
      <c r="O301" s="2" t="str">
        <f>TEXT(Table14[[#This Row],[Data_Wystawienia]],"rrrr-mm")</f>
        <v>2022-04</v>
      </c>
      <c r="P301" s="2">
        <v>1</v>
      </c>
    </row>
    <row r="302" spans="1:16" x14ac:dyDescent="0.3">
      <c r="A302" s="2" t="str">
        <f>TRIM(Table1[[#This Row],[Numer_FV]])</f>
        <v>FV/9662/NOVA/22</v>
      </c>
      <c r="B302" s="2" t="str">
        <f>TRIM(Table1[[#This Row],[Numer_PZ]])</f>
        <v>PZ/800300</v>
      </c>
      <c r="C302" s="2" t="str">
        <f>TRIM(Table1[[#This Row],[Dostawca]])</f>
        <v>NovaLek</v>
      </c>
      <c r="D302" s="3">
        <v>44670</v>
      </c>
      <c r="E302" s="4" t="s">
        <v>936</v>
      </c>
      <c r="F302" s="2" t="str">
        <f>TRIM(Table1[[#This Row],[Status]])</f>
        <v>Zaakceptowana</v>
      </c>
      <c r="G302" s="2" t="str">
        <f>TRIM(Table1[[#This Row],[Typ]])</f>
        <v>Faktura VAT</v>
      </c>
      <c r="H302" s="2" t="str">
        <f>TRIM(Table1[[#This Row],[Magazyn]])</f>
        <v>Apteka Szpitalna</v>
      </c>
      <c r="I302" s="2" t="str">
        <f>TRIM(Table1[[#This Row],[Umowa]])</f>
        <v/>
      </c>
      <c r="J302" s="2" t="b">
        <f>ISTEXT(Table14[[#This Row],[Data_Wystawienia]])</f>
        <v>0</v>
      </c>
      <c r="K302" s="2">
        <f>VALUE(SUBSTITUTE(Table14[[#This Row],[Wartość]],".",","))</f>
        <v>16525.71</v>
      </c>
      <c r="L3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2" s="2" t="str">
        <f>IF(Table14[[#This Row],[Umowa]]="","Poza umową","Z umowy")</f>
        <v>Poza umową</v>
      </c>
      <c r="N302" s="2">
        <f>YEAR(Table14[[#This Row],[Data_Wystawienia]])</f>
        <v>2022</v>
      </c>
      <c r="O302" s="2" t="str">
        <f>TEXT(Table14[[#This Row],[Data_Wystawienia]],"rrrr-mm")</f>
        <v>2022-04</v>
      </c>
      <c r="P302" s="2">
        <v>1</v>
      </c>
    </row>
    <row r="303" spans="1:16" x14ac:dyDescent="0.3">
      <c r="A303" s="2" t="str">
        <f>TRIM(Table1[[#This Row],[Numer_FV]])</f>
        <v>FV/39873/VDb/2022</v>
      </c>
      <c r="B303" s="2" t="str">
        <f>TRIM(Table1[[#This Row],[Numer_PZ]])</f>
        <v>PZ/800301</v>
      </c>
      <c r="C303" s="2" t="str">
        <f>TRIM(Table1[[#This Row],[Dostawca]])</f>
        <v>VitaDistrib</v>
      </c>
      <c r="D303" s="3">
        <v>44672</v>
      </c>
      <c r="E303" s="4" t="s">
        <v>939</v>
      </c>
      <c r="F303" s="2" t="str">
        <f>TRIM(Table1[[#This Row],[Status]])</f>
        <v>Zaakceptowana</v>
      </c>
      <c r="G303" s="2" t="str">
        <f>TRIM(Table1[[#This Row],[Typ]])</f>
        <v>Faktura VAT</v>
      </c>
      <c r="H303" s="2" t="str">
        <f>TRIM(Table1[[#This Row],[Magazyn]])</f>
        <v>Apteka Szpitalna</v>
      </c>
      <c r="I303" s="2" t="str">
        <f>TRIM(Table1[[#This Row],[Umowa]])</f>
        <v>UM-VIT-01</v>
      </c>
      <c r="J303" s="2" t="b">
        <f>ISTEXT(Table14[[#This Row],[Data_Wystawienia]])</f>
        <v>0</v>
      </c>
      <c r="K303" s="2">
        <f>VALUE(SUBSTITUTE(Table14[[#This Row],[Wartość]],".",","))</f>
        <v>14266.84</v>
      </c>
      <c r="L3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3" s="2" t="str">
        <f>IF(Table14[[#This Row],[Umowa]]="","Poza umową","Z umowy")</f>
        <v>Z umowy</v>
      </c>
      <c r="N303" s="2">
        <f>YEAR(Table14[[#This Row],[Data_Wystawienia]])</f>
        <v>2022</v>
      </c>
      <c r="O303" s="2" t="str">
        <f>TEXT(Table14[[#This Row],[Data_Wystawienia]],"rrrr-mm")</f>
        <v>2022-04</v>
      </c>
      <c r="P303" s="2">
        <v>1</v>
      </c>
    </row>
    <row r="304" spans="1:16" x14ac:dyDescent="0.3">
      <c r="A304" s="2" t="str">
        <f>TRIM(Table1[[#This Row],[Numer_FV]])</f>
        <v>FV/24710/VDb/2022</v>
      </c>
      <c r="B304" s="2" t="str">
        <f>TRIM(Table1[[#This Row],[Numer_PZ]])</f>
        <v>PZ/800302</v>
      </c>
      <c r="C304" s="2" t="str">
        <f>TRIM(Table1[[#This Row],[Dostawca]])</f>
        <v>VitaDistrib</v>
      </c>
      <c r="D304" s="3">
        <v>44673</v>
      </c>
      <c r="E304" s="4" t="s">
        <v>942</v>
      </c>
      <c r="F304" s="2" t="str">
        <f>TRIM(Table1[[#This Row],[Status]])</f>
        <v>Zaakceptowana</v>
      </c>
      <c r="G304" s="2" t="str">
        <f>TRIM(Table1[[#This Row],[Typ]])</f>
        <v>Faktura VAT</v>
      </c>
      <c r="H304" s="2" t="str">
        <f>TRIM(Table1[[#This Row],[Magazyn]])</f>
        <v>Apteka Szpitalna</v>
      </c>
      <c r="I304" s="2" t="str">
        <f>TRIM(Table1[[#This Row],[Umowa]])</f>
        <v>UM-VIT-01</v>
      </c>
      <c r="J304" s="2" t="b">
        <f>ISTEXT(Table14[[#This Row],[Data_Wystawienia]])</f>
        <v>0</v>
      </c>
      <c r="K304" s="2">
        <f>VALUE(SUBSTITUTE(Table14[[#This Row],[Wartość]],".",","))</f>
        <v>16850.060000000001</v>
      </c>
      <c r="L3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4" s="2" t="str">
        <f>IF(Table14[[#This Row],[Umowa]]="","Poza umową","Z umowy")</f>
        <v>Z umowy</v>
      </c>
      <c r="N304" s="2">
        <f>YEAR(Table14[[#This Row],[Data_Wystawienia]])</f>
        <v>2022</v>
      </c>
      <c r="O304" s="2" t="str">
        <f>TEXT(Table14[[#This Row],[Data_Wystawienia]],"rrrr-mm")</f>
        <v>2022-04</v>
      </c>
      <c r="P304" s="2">
        <v>1</v>
      </c>
    </row>
    <row r="305" spans="1:16" x14ac:dyDescent="0.3">
      <c r="A305" s="2" t="str">
        <f>TRIM(Table1[[#This Row],[Numer_FV]])</f>
        <v>FV/4459/NOVA/22</v>
      </c>
      <c r="B305" s="2" t="str">
        <f>TRIM(Table1[[#This Row],[Numer_PZ]])</f>
        <v>PZ/800303</v>
      </c>
      <c r="C305" s="2" t="str">
        <f>TRIM(Table1[[#This Row],[Dostawca]])</f>
        <v>NovaLek</v>
      </c>
      <c r="D305" s="3">
        <v>44673</v>
      </c>
      <c r="E305" s="4" t="s">
        <v>945</v>
      </c>
      <c r="F305" s="2" t="str">
        <f>TRIM(Table1[[#This Row],[Status]])</f>
        <v>Zaakceptowana</v>
      </c>
      <c r="G305" s="2" t="str">
        <f>TRIM(Table1[[#This Row],[Typ]])</f>
        <v>Faktura VAT</v>
      </c>
      <c r="H305" s="2" t="str">
        <f>TRIM(Table1[[#This Row],[Magazyn]])</f>
        <v>Apteka Szpitalna</v>
      </c>
      <c r="I305" s="2" t="str">
        <f>TRIM(Table1[[#This Row],[Umowa]])</f>
        <v>UM-NOV-01</v>
      </c>
      <c r="J305" s="2" t="b">
        <f>ISTEXT(Table14[[#This Row],[Data_Wystawienia]])</f>
        <v>0</v>
      </c>
      <c r="K305" s="2">
        <f>VALUE(SUBSTITUTE(Table14[[#This Row],[Wartość]],".",","))</f>
        <v>11956.37</v>
      </c>
      <c r="L3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5" s="2" t="str">
        <f>IF(Table14[[#This Row],[Umowa]]="","Poza umową","Z umowy")</f>
        <v>Z umowy</v>
      </c>
      <c r="N305" s="2">
        <f>YEAR(Table14[[#This Row],[Data_Wystawienia]])</f>
        <v>2022</v>
      </c>
      <c r="O305" s="2" t="str">
        <f>TEXT(Table14[[#This Row],[Data_Wystawienia]],"rrrr-mm")</f>
        <v>2022-04</v>
      </c>
      <c r="P305" s="2">
        <v>1</v>
      </c>
    </row>
    <row r="306" spans="1:16" x14ac:dyDescent="0.3">
      <c r="A306" s="2" t="str">
        <f>TRIM(Table1[[#This Row],[Numer_FV]])</f>
        <v>FV/75/PP/7657/22</v>
      </c>
      <c r="B306" s="2" t="str">
        <f>TRIM(Table1[[#This Row],[Numer_PZ]])</f>
        <v>PZ/800304</v>
      </c>
      <c r="C306" s="2" t="str">
        <f>TRIM(Table1[[#This Row],[Dostawca]])</f>
        <v>PharmaPlus</v>
      </c>
      <c r="D306" s="3">
        <v>44673</v>
      </c>
      <c r="E306" s="4" t="s">
        <v>948</v>
      </c>
      <c r="F306" s="2" t="str">
        <f>TRIM(Table1[[#This Row],[Status]])</f>
        <v>Zaakceptowana</v>
      </c>
      <c r="G306" s="2" t="str">
        <f>TRIM(Table1[[#This Row],[Typ]])</f>
        <v>Faktura VAT</v>
      </c>
      <c r="H306" s="2" t="str">
        <f>TRIM(Table1[[#This Row],[Magazyn]])</f>
        <v>Apteka Szpitalna</v>
      </c>
      <c r="I306" s="2" t="str">
        <f>TRIM(Table1[[#This Row],[Umowa]])</f>
        <v>UM-PHA-02</v>
      </c>
      <c r="J306" s="2" t="b">
        <f>ISTEXT(Table14[[#This Row],[Data_Wystawienia]])</f>
        <v>0</v>
      </c>
      <c r="K306" s="2">
        <f>VALUE(SUBSTITUTE(Table14[[#This Row],[Wartość]],".",","))</f>
        <v>15148.61</v>
      </c>
      <c r="L3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6" s="2" t="str">
        <f>IF(Table14[[#This Row],[Umowa]]="","Poza umową","Z umowy")</f>
        <v>Z umowy</v>
      </c>
      <c r="N306" s="2">
        <f>YEAR(Table14[[#This Row],[Data_Wystawienia]])</f>
        <v>2022</v>
      </c>
      <c r="O306" s="2" t="str">
        <f>TEXT(Table14[[#This Row],[Data_Wystawienia]],"rrrr-mm")</f>
        <v>2022-04</v>
      </c>
      <c r="P306" s="2">
        <v>1</v>
      </c>
    </row>
    <row r="307" spans="1:16" x14ac:dyDescent="0.3">
      <c r="A307" s="2" t="str">
        <f>TRIM(Table1[[#This Row],[Numer_FV]])</f>
        <v>FV/84/PP/6146/22</v>
      </c>
      <c r="B307" s="2" t="str">
        <f>TRIM(Table1[[#This Row],[Numer_PZ]])</f>
        <v>PZ/800305</v>
      </c>
      <c r="C307" s="2" t="str">
        <f>TRIM(Table1[[#This Row],[Dostawca]])</f>
        <v>PharmaPlus</v>
      </c>
      <c r="D307" s="3">
        <v>44675</v>
      </c>
      <c r="E307" s="4" t="s">
        <v>951</v>
      </c>
      <c r="F307" s="2" t="str">
        <f>TRIM(Table1[[#This Row],[Status]])</f>
        <v>Zaakceptowana</v>
      </c>
      <c r="G307" s="2" t="str">
        <f>TRIM(Table1[[#This Row],[Typ]])</f>
        <v>Faktura VAT</v>
      </c>
      <c r="H307" s="2" t="str">
        <f>TRIM(Table1[[#This Row],[Magazyn]])</f>
        <v>Apteka Szpitalna</v>
      </c>
      <c r="I307" s="2" t="str">
        <f>TRIM(Table1[[#This Row],[Umowa]])</f>
        <v>UM-PHA-01</v>
      </c>
      <c r="J307" s="2" t="b">
        <f>ISTEXT(Table14[[#This Row],[Data_Wystawienia]])</f>
        <v>0</v>
      </c>
      <c r="K307" s="2">
        <f>VALUE(SUBSTITUTE(Table14[[#This Row],[Wartość]],".",","))</f>
        <v>17733.18</v>
      </c>
      <c r="L3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7" s="2" t="str">
        <f>IF(Table14[[#This Row],[Umowa]]="","Poza umową","Z umowy")</f>
        <v>Z umowy</v>
      </c>
      <c r="N307" s="2">
        <f>YEAR(Table14[[#This Row],[Data_Wystawienia]])</f>
        <v>2022</v>
      </c>
      <c r="O307" s="2" t="str">
        <f>TEXT(Table14[[#This Row],[Data_Wystawienia]],"rrrr-mm")</f>
        <v>2022-04</v>
      </c>
      <c r="P307" s="2">
        <v>1</v>
      </c>
    </row>
    <row r="308" spans="1:16" x14ac:dyDescent="0.3">
      <c r="A308" s="2" t="str">
        <f>TRIM(Table1[[#This Row],[Numer_FV]])</f>
        <v>FV/CENFA/286913/22</v>
      </c>
      <c r="B308" s="2" t="str">
        <f>TRIM(Table1[[#This Row],[Numer_PZ]])</f>
        <v>PZ/800306</v>
      </c>
      <c r="C308" s="2" t="str">
        <f>TRIM(Table1[[#This Row],[Dostawca]])</f>
        <v>CentrumFarm</v>
      </c>
      <c r="D308" s="3">
        <v>44675</v>
      </c>
      <c r="E308" s="4" t="s">
        <v>954</v>
      </c>
      <c r="F308" s="2" t="str">
        <f>TRIM(Table1[[#This Row],[Status]])</f>
        <v>Zaakceptowana</v>
      </c>
      <c r="G308" s="2" t="str">
        <f>TRIM(Table1[[#This Row],[Typ]])</f>
        <v>Faktura VAT</v>
      </c>
      <c r="H308" s="2" t="str">
        <f>TRIM(Table1[[#This Row],[Magazyn]])</f>
        <v>Apteka Szpitalna</v>
      </c>
      <c r="I308" s="2" t="str">
        <f>TRIM(Table1[[#This Row],[Umowa]])</f>
        <v>UM-CEN-02</v>
      </c>
      <c r="J308" s="2" t="b">
        <f>ISTEXT(Table14[[#This Row],[Data_Wystawienia]])</f>
        <v>0</v>
      </c>
      <c r="K308" s="2">
        <f>VALUE(SUBSTITUTE(Table14[[#This Row],[Wartość]],".",","))</f>
        <v>20602.84</v>
      </c>
      <c r="L3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8" s="2" t="str">
        <f>IF(Table14[[#This Row],[Umowa]]="","Poza umową","Z umowy")</f>
        <v>Z umowy</v>
      </c>
      <c r="N308" s="2">
        <f>YEAR(Table14[[#This Row],[Data_Wystawienia]])</f>
        <v>2022</v>
      </c>
      <c r="O308" s="2" t="str">
        <f>TEXT(Table14[[#This Row],[Data_Wystawienia]],"rrrr-mm")</f>
        <v>2022-04</v>
      </c>
      <c r="P308" s="2">
        <v>1</v>
      </c>
    </row>
    <row r="309" spans="1:16" x14ac:dyDescent="0.3">
      <c r="A309" s="2" t="str">
        <f>TRIM(Table1[[#This Row],[Numer_FV]])</f>
        <v>FV/64040/VDb/2022</v>
      </c>
      <c r="B309" s="2" t="str">
        <f>TRIM(Table1[[#This Row],[Numer_PZ]])</f>
        <v>PZ/800307</v>
      </c>
      <c r="C309" s="2" t="str">
        <f>TRIM(Table1[[#This Row],[Dostawca]])</f>
        <v>VitaDistrib</v>
      </c>
      <c r="D309" s="3">
        <v>44675</v>
      </c>
      <c r="E309" s="4" t="s">
        <v>957</v>
      </c>
      <c r="F309" s="2" t="str">
        <f>TRIM(Table1[[#This Row],[Status]])</f>
        <v>Zaakceptowana</v>
      </c>
      <c r="G309" s="2" t="str">
        <f>TRIM(Table1[[#This Row],[Typ]])</f>
        <v>Faktura VAT</v>
      </c>
      <c r="H309" s="2" t="str">
        <f>TRIM(Table1[[#This Row],[Magazyn]])</f>
        <v>Apteka Szpitalna</v>
      </c>
      <c r="I309" s="2" t="str">
        <f>TRIM(Table1[[#This Row],[Umowa]])</f>
        <v>UM-VIT-01</v>
      </c>
      <c r="J309" s="2" t="b">
        <f>ISTEXT(Table14[[#This Row],[Data_Wystawienia]])</f>
        <v>0</v>
      </c>
      <c r="K309" s="2">
        <f>VALUE(SUBSTITUTE(Table14[[#This Row],[Wartość]],".",","))</f>
        <v>20104.330000000002</v>
      </c>
      <c r="L3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9" s="2" t="str">
        <f>IF(Table14[[#This Row],[Umowa]]="","Poza umową","Z umowy")</f>
        <v>Z umowy</v>
      </c>
      <c r="N309" s="2">
        <f>YEAR(Table14[[#This Row],[Data_Wystawienia]])</f>
        <v>2022</v>
      </c>
      <c r="O309" s="2" t="str">
        <f>TEXT(Table14[[#This Row],[Data_Wystawienia]],"rrrr-mm")</f>
        <v>2022-04</v>
      </c>
      <c r="P309" s="2">
        <v>1</v>
      </c>
    </row>
    <row r="310" spans="1:16" x14ac:dyDescent="0.3">
      <c r="A310" s="2" t="str">
        <f>TRIM(Table1[[#This Row],[Numer_FV]])</f>
        <v>FV/20/SAL/22</v>
      </c>
      <c r="B310" s="2" t="str">
        <f>TRIM(Table1[[#This Row],[Numer_PZ]])</f>
        <v>PZ/800308</v>
      </c>
      <c r="C310" s="2" t="str">
        <f>TRIM(Table1[[#This Row],[Dostawca]])</f>
        <v>SalusHurt</v>
      </c>
      <c r="D310" s="3">
        <v>44675</v>
      </c>
      <c r="E310" s="4" t="s">
        <v>959</v>
      </c>
      <c r="F310" s="2" t="str">
        <f>TRIM(Table1[[#This Row],[Status]])</f>
        <v>Zaakceptowana</v>
      </c>
      <c r="G310" s="2" t="str">
        <f>TRIM(Table1[[#This Row],[Typ]])</f>
        <v>Faktura VAT</v>
      </c>
      <c r="H310" s="2" t="str">
        <f>TRIM(Table1[[#This Row],[Magazyn]])</f>
        <v>Apteka Szpitalna</v>
      </c>
      <c r="I310" s="2" t="str">
        <f>TRIM(Table1[[#This Row],[Umowa]])</f>
        <v>UM-SAL-01</v>
      </c>
      <c r="J310" s="2" t="b">
        <f>ISTEXT(Table14[[#This Row],[Data_Wystawienia]])</f>
        <v>0</v>
      </c>
      <c r="K310" s="2">
        <f>VALUE(SUBSTITUTE(Table14[[#This Row],[Wartość]],".",","))</f>
        <v>19474.63</v>
      </c>
      <c r="L3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0" s="2" t="str">
        <f>IF(Table14[[#This Row],[Umowa]]="","Poza umową","Z umowy")</f>
        <v>Z umowy</v>
      </c>
      <c r="N310" s="2">
        <f>YEAR(Table14[[#This Row],[Data_Wystawienia]])</f>
        <v>2022</v>
      </c>
      <c r="O310" s="2" t="str">
        <f>TEXT(Table14[[#This Row],[Data_Wystawienia]],"rrrr-mm")</f>
        <v>2022-04</v>
      </c>
      <c r="P310" s="2">
        <v>1</v>
      </c>
    </row>
    <row r="311" spans="1:16" x14ac:dyDescent="0.3">
      <c r="A311" s="2" t="str">
        <f>TRIM(Table1[[#This Row],[Numer_FV]])</f>
        <v>FV/36285/VDb/2022</v>
      </c>
      <c r="B311" s="2" t="str">
        <f>TRIM(Table1[[#This Row],[Numer_PZ]])</f>
        <v>PZ/800309</v>
      </c>
      <c r="C311" s="2" t="str">
        <f>TRIM(Table1[[#This Row],[Dostawca]])</f>
        <v>VitaDistrib</v>
      </c>
      <c r="D311" s="3">
        <v>44676</v>
      </c>
      <c r="E311" s="4" t="s">
        <v>962</v>
      </c>
      <c r="F311" s="2" t="str">
        <f>TRIM(Table1[[#This Row],[Status]])</f>
        <v>Zaakceptowana</v>
      </c>
      <c r="G311" s="2" t="str">
        <f>TRIM(Table1[[#This Row],[Typ]])</f>
        <v>Faktura VAT</v>
      </c>
      <c r="H311" s="2" t="str">
        <f>TRIM(Table1[[#This Row],[Magazyn]])</f>
        <v>Apteka Szpitalna</v>
      </c>
      <c r="I311" s="2" t="str">
        <f>TRIM(Table1[[#This Row],[Umowa]])</f>
        <v/>
      </c>
      <c r="J311" s="2" t="b">
        <f>ISTEXT(Table14[[#This Row],[Data_Wystawienia]])</f>
        <v>0</v>
      </c>
      <c r="K311" s="2">
        <f>VALUE(SUBSTITUTE(Table14[[#This Row],[Wartość]],".",","))</f>
        <v>16922.97</v>
      </c>
      <c r="L3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1" s="2" t="str">
        <f>IF(Table14[[#This Row],[Umowa]]="","Poza umową","Z umowy")</f>
        <v>Poza umową</v>
      </c>
      <c r="N311" s="2">
        <f>YEAR(Table14[[#This Row],[Data_Wystawienia]])</f>
        <v>2022</v>
      </c>
      <c r="O311" s="2" t="str">
        <f>TEXT(Table14[[#This Row],[Data_Wystawienia]],"rrrr-mm")</f>
        <v>2022-04</v>
      </c>
      <c r="P311" s="2">
        <v>1</v>
      </c>
    </row>
    <row r="312" spans="1:16" x14ac:dyDescent="0.3">
      <c r="A312" s="2" t="str">
        <f>TRIM(Table1[[#This Row],[Numer_FV]])</f>
        <v>FV/2125HM/22</v>
      </c>
      <c r="B312" s="2" t="str">
        <f>TRIM(Table1[[#This Row],[Numer_PZ]])</f>
        <v>PZ/800310</v>
      </c>
      <c r="C312" s="2" t="str">
        <f>TRIM(Table1[[#This Row],[Dostawca]])</f>
        <v>HurtMedix</v>
      </c>
      <c r="D312" s="3">
        <v>44676</v>
      </c>
      <c r="E312" s="4" t="s">
        <v>965</v>
      </c>
      <c r="F312" s="2" t="str">
        <f>TRIM(Table1[[#This Row],[Status]])</f>
        <v>Zaakceptowana</v>
      </c>
      <c r="G312" s="2" t="str">
        <f>TRIM(Table1[[#This Row],[Typ]])</f>
        <v>Faktura VAT</v>
      </c>
      <c r="H312" s="2" t="str">
        <f>TRIM(Table1[[#This Row],[Magazyn]])</f>
        <v>Apteka Szpitalna</v>
      </c>
      <c r="I312" s="2" t="str">
        <f>TRIM(Table1[[#This Row],[Umowa]])</f>
        <v>UM-HUR-01</v>
      </c>
      <c r="J312" s="2" t="b">
        <f>ISTEXT(Table14[[#This Row],[Data_Wystawienia]])</f>
        <v>0</v>
      </c>
      <c r="K312" s="2">
        <f>VALUE(SUBSTITUTE(Table14[[#This Row],[Wartość]],".",","))</f>
        <v>17392.29</v>
      </c>
      <c r="L3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2" s="2" t="str">
        <f>IF(Table14[[#This Row],[Umowa]]="","Poza umową","Z umowy")</f>
        <v>Z umowy</v>
      </c>
      <c r="N312" s="2">
        <f>YEAR(Table14[[#This Row],[Data_Wystawienia]])</f>
        <v>2022</v>
      </c>
      <c r="O312" s="2" t="str">
        <f>TEXT(Table14[[#This Row],[Data_Wystawienia]],"rrrr-mm")</f>
        <v>2022-04</v>
      </c>
      <c r="P312" s="2">
        <v>1</v>
      </c>
    </row>
    <row r="313" spans="1:16" x14ac:dyDescent="0.3">
      <c r="A313" s="2" t="str">
        <f>TRIM(Table1[[#This Row],[Numer_FV]])</f>
        <v>FV/1208/NOVA/22</v>
      </c>
      <c r="B313" s="2" t="str">
        <f>TRIM(Table1[[#This Row],[Numer_PZ]])</f>
        <v>PZ/800311</v>
      </c>
      <c r="C313" s="2" t="str">
        <f>TRIM(Table1[[#This Row],[Dostawca]])</f>
        <v>NovaLek</v>
      </c>
      <c r="D313" s="3">
        <v>44676</v>
      </c>
      <c r="E313" s="4" t="s">
        <v>968</v>
      </c>
      <c r="F313" s="2" t="str">
        <f>TRIM(Table1[[#This Row],[Status]])</f>
        <v>Zaakceptowana</v>
      </c>
      <c r="G313" s="2" t="str">
        <f>TRIM(Table1[[#This Row],[Typ]])</f>
        <v>Faktura VAT</v>
      </c>
      <c r="H313" s="2" t="str">
        <f>TRIM(Table1[[#This Row],[Magazyn]])</f>
        <v>Apteka Szpitalna</v>
      </c>
      <c r="I313" s="2" t="str">
        <f>TRIM(Table1[[#This Row],[Umowa]])</f>
        <v/>
      </c>
      <c r="J313" s="2" t="b">
        <f>ISTEXT(Table14[[#This Row],[Data_Wystawienia]])</f>
        <v>0</v>
      </c>
      <c r="K313" s="2">
        <f>VALUE(SUBSTITUTE(Table14[[#This Row],[Wartość]],".",","))</f>
        <v>12006.19</v>
      </c>
      <c r="L3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3" s="2" t="str">
        <f>IF(Table14[[#This Row],[Umowa]]="","Poza umową","Z umowy")</f>
        <v>Poza umową</v>
      </c>
      <c r="N313" s="2">
        <f>YEAR(Table14[[#This Row],[Data_Wystawienia]])</f>
        <v>2022</v>
      </c>
      <c r="O313" s="2" t="str">
        <f>TEXT(Table14[[#This Row],[Data_Wystawienia]],"rrrr-mm")</f>
        <v>2022-04</v>
      </c>
      <c r="P313" s="2">
        <v>1</v>
      </c>
    </row>
    <row r="314" spans="1:16" x14ac:dyDescent="0.3">
      <c r="A314" s="2" t="str">
        <f>TRIM(Table1[[#This Row],[Numer_FV]])</f>
        <v>FV/M/1136/P/22</v>
      </c>
      <c r="B314" s="2" t="str">
        <f>TRIM(Table1[[#This Row],[Numer_PZ]])</f>
        <v>PZ/800312</v>
      </c>
      <c r="C314" s="2" t="str">
        <f>TRIM(Table1[[#This Row],[Dostawca]])</f>
        <v>MedicaPharm</v>
      </c>
      <c r="D314" s="3">
        <v>44677</v>
      </c>
      <c r="E314" s="4" t="s">
        <v>971</v>
      </c>
      <c r="F314" s="2" t="str">
        <f>TRIM(Table1[[#This Row],[Status]])</f>
        <v>Zaakceptowana</v>
      </c>
      <c r="G314" s="2" t="str">
        <f>TRIM(Table1[[#This Row],[Typ]])</f>
        <v>Faktura VAT</v>
      </c>
      <c r="H314" s="2" t="str">
        <f>TRIM(Table1[[#This Row],[Magazyn]])</f>
        <v>Apteka Szpitalna</v>
      </c>
      <c r="I314" s="2" t="str">
        <f>TRIM(Table1[[#This Row],[Umowa]])</f>
        <v/>
      </c>
      <c r="J314" s="2" t="b">
        <f>ISTEXT(Table14[[#This Row],[Data_Wystawienia]])</f>
        <v>0</v>
      </c>
      <c r="K314" s="2">
        <f>VALUE(SUBSTITUTE(Table14[[#This Row],[Wartość]],".",","))</f>
        <v>9984.4</v>
      </c>
      <c r="L3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4" s="2" t="str">
        <f>IF(Table14[[#This Row],[Umowa]]="","Poza umową","Z umowy")</f>
        <v>Poza umową</v>
      </c>
      <c r="N314" s="2">
        <f>YEAR(Table14[[#This Row],[Data_Wystawienia]])</f>
        <v>2022</v>
      </c>
      <c r="O314" s="2" t="str">
        <f>TEXT(Table14[[#This Row],[Data_Wystawienia]],"rrrr-mm")</f>
        <v>2022-04</v>
      </c>
      <c r="P314" s="2">
        <v>1</v>
      </c>
    </row>
    <row r="315" spans="1:16" x14ac:dyDescent="0.3">
      <c r="A315" s="2" t="str">
        <f>TRIM(Table1[[#This Row],[Numer_FV]])</f>
        <v>FV/M/8927/P/22</v>
      </c>
      <c r="B315" s="2" t="str">
        <f>TRIM(Table1[[#This Row],[Numer_PZ]])</f>
        <v>PZ/800313</v>
      </c>
      <c r="C315" s="2" t="str">
        <f>TRIM(Table1[[#This Row],[Dostawca]])</f>
        <v>MedicaPharm</v>
      </c>
      <c r="D315" s="3">
        <v>44677</v>
      </c>
      <c r="E315" s="4" t="s">
        <v>974</v>
      </c>
      <c r="F315" s="2" t="str">
        <f>TRIM(Table1[[#This Row],[Status]])</f>
        <v>Zaakceptowana</v>
      </c>
      <c r="G315" s="2" t="str">
        <f>TRIM(Table1[[#This Row],[Typ]])</f>
        <v>Faktura VAT</v>
      </c>
      <c r="H315" s="2" t="str">
        <f>TRIM(Table1[[#This Row],[Magazyn]])</f>
        <v>Apteka Szpitalna</v>
      </c>
      <c r="I315" s="2" t="str">
        <f>TRIM(Table1[[#This Row],[Umowa]])</f>
        <v>UM-MED-01</v>
      </c>
      <c r="J315" s="2" t="b">
        <f>ISTEXT(Table14[[#This Row],[Data_Wystawienia]])</f>
        <v>0</v>
      </c>
      <c r="K315" s="2">
        <f>VALUE(SUBSTITUTE(Table14[[#This Row],[Wartość]],".",","))</f>
        <v>9114.39</v>
      </c>
      <c r="L3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5" s="2" t="str">
        <f>IF(Table14[[#This Row],[Umowa]]="","Poza umową","Z umowy")</f>
        <v>Z umowy</v>
      </c>
      <c r="N315" s="2">
        <f>YEAR(Table14[[#This Row],[Data_Wystawienia]])</f>
        <v>2022</v>
      </c>
      <c r="O315" s="2" t="str">
        <f>TEXT(Table14[[#This Row],[Data_Wystawienia]],"rrrr-mm")</f>
        <v>2022-04</v>
      </c>
      <c r="P315" s="2">
        <v>1</v>
      </c>
    </row>
    <row r="316" spans="1:16" x14ac:dyDescent="0.3">
      <c r="A316" s="2" t="str">
        <f>TRIM(Table1[[#This Row],[Numer_FV]])</f>
        <v>FV/1018HM/22</v>
      </c>
      <c r="B316" s="2" t="str">
        <f>TRIM(Table1[[#This Row],[Numer_PZ]])</f>
        <v>PZ/800314</v>
      </c>
      <c r="C316" s="2" t="str">
        <f>TRIM(Table1[[#This Row],[Dostawca]])</f>
        <v>HurtMedix</v>
      </c>
      <c r="D316" s="3">
        <v>44678</v>
      </c>
      <c r="E316" s="4" t="s">
        <v>977</v>
      </c>
      <c r="F316" s="2" t="str">
        <f>TRIM(Table1[[#This Row],[Status]])</f>
        <v>Zaakceptowana</v>
      </c>
      <c r="G316" s="2" t="str">
        <f>TRIM(Table1[[#This Row],[Typ]])</f>
        <v>Faktura VAT</v>
      </c>
      <c r="H316" s="2" t="str">
        <f>TRIM(Table1[[#This Row],[Magazyn]])</f>
        <v>Apteka Szpitalna</v>
      </c>
      <c r="I316" s="2" t="str">
        <f>TRIM(Table1[[#This Row],[Umowa]])</f>
        <v>UM-HUR-02</v>
      </c>
      <c r="J316" s="2" t="b">
        <f>ISTEXT(Table14[[#This Row],[Data_Wystawienia]])</f>
        <v>0</v>
      </c>
      <c r="K316" s="2">
        <f>VALUE(SUBSTITUTE(Table14[[#This Row],[Wartość]],".",","))</f>
        <v>5711.26</v>
      </c>
      <c r="L3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6" s="2" t="str">
        <f>IF(Table14[[#This Row],[Umowa]]="","Poza umową","Z umowy")</f>
        <v>Z umowy</v>
      </c>
      <c r="N316" s="2">
        <f>YEAR(Table14[[#This Row],[Data_Wystawienia]])</f>
        <v>2022</v>
      </c>
      <c r="O316" s="2" t="str">
        <f>TEXT(Table14[[#This Row],[Data_Wystawienia]],"rrrr-mm")</f>
        <v>2022-04</v>
      </c>
      <c r="P316" s="2">
        <v>1</v>
      </c>
    </row>
    <row r="317" spans="1:16" x14ac:dyDescent="0.3">
      <c r="A317" s="2" t="str">
        <f>TRIM(Table1[[#This Row],[Numer_FV]])</f>
        <v>FV/CENFA/593777/22</v>
      </c>
      <c r="B317" s="2" t="str">
        <f>TRIM(Table1[[#This Row],[Numer_PZ]])</f>
        <v>PZ/800315</v>
      </c>
      <c r="C317" s="2" t="str">
        <f>TRIM(Table1[[#This Row],[Dostawca]])</f>
        <v>CentrumFarm</v>
      </c>
      <c r="D317" s="3">
        <v>44679</v>
      </c>
      <c r="E317" s="4" t="s">
        <v>980</v>
      </c>
      <c r="F317" s="2" t="str">
        <f>TRIM(Table1[[#This Row],[Status]])</f>
        <v>Zaakceptowana</v>
      </c>
      <c r="G317" s="2" t="str">
        <f>TRIM(Table1[[#This Row],[Typ]])</f>
        <v>Faktura VAT</v>
      </c>
      <c r="H317" s="2" t="str">
        <f>TRIM(Table1[[#This Row],[Magazyn]])</f>
        <v>Apteka Szpitalna</v>
      </c>
      <c r="I317" s="2" t="str">
        <f>TRIM(Table1[[#This Row],[Umowa]])</f>
        <v>UM-CEN-02</v>
      </c>
      <c r="J317" s="2" t="b">
        <f>ISTEXT(Table14[[#This Row],[Data_Wystawienia]])</f>
        <v>0</v>
      </c>
      <c r="K317" s="2">
        <f>VALUE(SUBSTITUTE(Table14[[#This Row],[Wartość]],".",","))</f>
        <v>21229.91</v>
      </c>
      <c r="L3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7" s="2" t="str">
        <f>IF(Table14[[#This Row],[Umowa]]="","Poza umową","Z umowy")</f>
        <v>Z umowy</v>
      </c>
      <c r="N317" s="2">
        <f>YEAR(Table14[[#This Row],[Data_Wystawienia]])</f>
        <v>2022</v>
      </c>
      <c r="O317" s="2" t="str">
        <f>TEXT(Table14[[#This Row],[Data_Wystawienia]],"rrrr-mm")</f>
        <v>2022-04</v>
      </c>
      <c r="P317" s="2">
        <v>1</v>
      </c>
    </row>
    <row r="318" spans="1:16" x14ac:dyDescent="0.3">
      <c r="A318" s="2" t="str">
        <f>TRIM(Table1[[#This Row],[Numer_FV]])</f>
        <v>FV/POL/63010/2022</v>
      </c>
      <c r="B318" s="2" t="str">
        <f>TRIM(Table1[[#This Row],[Numer_PZ]])</f>
        <v>PZ/800316</v>
      </c>
      <c r="C318" s="2" t="str">
        <f>TRIM(Table1[[#This Row],[Dostawca]])</f>
        <v>Polmedica</v>
      </c>
      <c r="D318" s="3">
        <v>44679</v>
      </c>
      <c r="E318" s="4" t="s">
        <v>983</v>
      </c>
      <c r="F318" s="2" t="str">
        <f>TRIM(Table1[[#This Row],[Status]])</f>
        <v>Zaakceptowana</v>
      </c>
      <c r="G318" s="2" t="str">
        <f>TRIM(Table1[[#This Row],[Typ]])</f>
        <v>Faktura VAT</v>
      </c>
      <c r="H318" s="2" t="str">
        <f>TRIM(Table1[[#This Row],[Magazyn]])</f>
        <v>Apteka Szpitalna</v>
      </c>
      <c r="I318" s="2" t="str">
        <f>TRIM(Table1[[#This Row],[Umowa]])</f>
        <v/>
      </c>
      <c r="J318" s="2" t="b">
        <f>ISTEXT(Table14[[#This Row],[Data_Wystawienia]])</f>
        <v>0</v>
      </c>
      <c r="K318" s="2">
        <f>VALUE(SUBSTITUTE(Table14[[#This Row],[Wartość]],".",","))</f>
        <v>5295.78</v>
      </c>
      <c r="L3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8" s="2" t="str">
        <f>IF(Table14[[#This Row],[Umowa]]="","Poza umową","Z umowy")</f>
        <v>Poza umową</v>
      </c>
      <c r="N318" s="2">
        <f>YEAR(Table14[[#This Row],[Data_Wystawienia]])</f>
        <v>2022</v>
      </c>
      <c r="O318" s="2" t="str">
        <f>TEXT(Table14[[#This Row],[Data_Wystawienia]],"rrrr-mm")</f>
        <v>2022-04</v>
      </c>
      <c r="P318" s="2">
        <v>1</v>
      </c>
    </row>
    <row r="319" spans="1:16" x14ac:dyDescent="0.3">
      <c r="A319" s="2" t="str">
        <f>TRIM(Table1[[#This Row],[Numer_FV]])</f>
        <v>FV/M/6546/P/22</v>
      </c>
      <c r="B319" s="2" t="str">
        <f>TRIM(Table1[[#This Row],[Numer_PZ]])</f>
        <v>PZ/800317</v>
      </c>
      <c r="C319" s="2" t="str">
        <f>TRIM(Table1[[#This Row],[Dostawca]])</f>
        <v>MedicaPharm</v>
      </c>
      <c r="D319" s="3">
        <v>44680</v>
      </c>
      <c r="E319" s="4" t="s">
        <v>986</v>
      </c>
      <c r="F319" s="2" t="str">
        <f>TRIM(Table1[[#This Row],[Status]])</f>
        <v>Zaakceptowana</v>
      </c>
      <c r="G319" s="2" t="str">
        <f>TRIM(Table1[[#This Row],[Typ]])</f>
        <v>Faktura VAT</v>
      </c>
      <c r="H319" s="2" t="str">
        <f>TRIM(Table1[[#This Row],[Magazyn]])</f>
        <v>Apteka Szpitalna</v>
      </c>
      <c r="I319" s="2" t="str">
        <f>TRIM(Table1[[#This Row],[Umowa]])</f>
        <v>UM-MED-01</v>
      </c>
      <c r="J319" s="2" t="b">
        <f>ISTEXT(Table14[[#This Row],[Data_Wystawienia]])</f>
        <v>0</v>
      </c>
      <c r="K319" s="2">
        <f>VALUE(SUBSTITUTE(Table14[[#This Row],[Wartość]],".",","))</f>
        <v>15139.08</v>
      </c>
      <c r="L3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19" s="2" t="str">
        <f>IF(Table14[[#This Row],[Umowa]]="","Poza umową","Z umowy")</f>
        <v>Z umowy</v>
      </c>
      <c r="N319" s="2">
        <f>YEAR(Table14[[#This Row],[Data_Wystawienia]])</f>
        <v>2022</v>
      </c>
      <c r="O319" s="2" t="str">
        <f>TEXT(Table14[[#This Row],[Data_Wystawienia]],"rrrr-mm")</f>
        <v>2022-04</v>
      </c>
      <c r="P319" s="2">
        <v>1</v>
      </c>
    </row>
    <row r="320" spans="1:16" x14ac:dyDescent="0.3">
      <c r="A320" s="2" t="str">
        <f>TRIM(Table1[[#This Row],[Numer_FV]])</f>
        <v>FV/CENFA/308662/22</v>
      </c>
      <c r="B320" s="2" t="str">
        <f>TRIM(Table1[[#This Row],[Numer_PZ]])</f>
        <v>PZ/800318</v>
      </c>
      <c r="C320" s="2" t="str">
        <f>TRIM(Table1[[#This Row],[Dostawca]])</f>
        <v>CentrumFarm</v>
      </c>
      <c r="D320" s="3">
        <v>44680</v>
      </c>
      <c r="E320" s="4" t="s">
        <v>989</v>
      </c>
      <c r="F320" s="2" t="str">
        <f>TRIM(Table1[[#This Row],[Status]])</f>
        <v>Zaakceptowana</v>
      </c>
      <c r="G320" s="2" t="str">
        <f>TRIM(Table1[[#This Row],[Typ]])</f>
        <v>Faktura VAT</v>
      </c>
      <c r="H320" s="2" t="str">
        <f>TRIM(Table1[[#This Row],[Magazyn]])</f>
        <v>Apteka Szpitalna</v>
      </c>
      <c r="I320" s="2" t="str">
        <f>TRIM(Table1[[#This Row],[Umowa]])</f>
        <v>UM-CEN-01</v>
      </c>
      <c r="J320" s="2" t="b">
        <f>ISTEXT(Table14[[#This Row],[Data_Wystawienia]])</f>
        <v>0</v>
      </c>
      <c r="K320" s="2">
        <f>VALUE(SUBSTITUTE(Table14[[#This Row],[Wartość]],".",","))</f>
        <v>19422.310000000001</v>
      </c>
      <c r="L3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0" s="2" t="str">
        <f>IF(Table14[[#This Row],[Umowa]]="","Poza umową","Z umowy")</f>
        <v>Z umowy</v>
      </c>
      <c r="N320" s="2">
        <f>YEAR(Table14[[#This Row],[Data_Wystawienia]])</f>
        <v>2022</v>
      </c>
      <c r="O320" s="2" t="str">
        <f>TEXT(Table14[[#This Row],[Data_Wystawienia]],"rrrr-mm")</f>
        <v>2022-04</v>
      </c>
      <c r="P320" s="2">
        <v>1</v>
      </c>
    </row>
    <row r="321" spans="1:16" x14ac:dyDescent="0.3">
      <c r="A321" s="2" t="str">
        <f>TRIM(Table1[[#This Row],[Numer_FV]])</f>
        <v>FV/POL/26114/2022</v>
      </c>
      <c r="B321" s="2" t="str">
        <f>TRIM(Table1[[#This Row],[Numer_PZ]])</f>
        <v>PZ/800319</v>
      </c>
      <c r="C321" s="2" t="str">
        <f>TRIM(Table1[[#This Row],[Dostawca]])</f>
        <v>Polmedica</v>
      </c>
      <c r="D321" s="3">
        <v>44680</v>
      </c>
      <c r="E321" s="4" t="s">
        <v>992</v>
      </c>
      <c r="F321" s="2" t="str">
        <f>TRIM(Table1[[#This Row],[Status]])</f>
        <v>Zaakceptowana</v>
      </c>
      <c r="G321" s="2" t="str">
        <f>TRIM(Table1[[#This Row],[Typ]])</f>
        <v>Faktura VAT</v>
      </c>
      <c r="H321" s="2" t="str">
        <f>TRIM(Table1[[#This Row],[Magazyn]])</f>
        <v>Apteka Szpitalna</v>
      </c>
      <c r="I321" s="2" t="str">
        <f>TRIM(Table1[[#This Row],[Umowa]])</f>
        <v>UM-POL-03</v>
      </c>
      <c r="J321" s="2" t="b">
        <f>ISTEXT(Table14[[#This Row],[Data_Wystawienia]])</f>
        <v>0</v>
      </c>
      <c r="K321" s="2">
        <f>VALUE(SUBSTITUTE(Table14[[#This Row],[Wartość]],".",","))</f>
        <v>11652.94</v>
      </c>
      <c r="L3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1" s="2" t="str">
        <f>IF(Table14[[#This Row],[Umowa]]="","Poza umową","Z umowy")</f>
        <v>Z umowy</v>
      </c>
      <c r="N321" s="2">
        <f>YEAR(Table14[[#This Row],[Data_Wystawienia]])</f>
        <v>2022</v>
      </c>
      <c r="O321" s="2" t="str">
        <f>TEXT(Table14[[#This Row],[Data_Wystawienia]],"rrrr-mm")</f>
        <v>2022-04</v>
      </c>
      <c r="P321" s="2">
        <v>1</v>
      </c>
    </row>
    <row r="322" spans="1:16" x14ac:dyDescent="0.3">
      <c r="A322" s="2" t="str">
        <f>TRIM(Table1[[#This Row],[Numer_FV]])</f>
        <v>FV/POL/15091/2022</v>
      </c>
      <c r="B322" s="2" t="str">
        <f>TRIM(Table1[[#This Row],[Numer_PZ]])</f>
        <v>PZ/800320</v>
      </c>
      <c r="C322" s="2" t="str">
        <f>TRIM(Table1[[#This Row],[Dostawca]])</f>
        <v>Polmedica</v>
      </c>
      <c r="D322" s="3">
        <v>44681</v>
      </c>
      <c r="E322" s="4" t="s">
        <v>995</v>
      </c>
      <c r="F322" s="2" t="str">
        <f>TRIM(Table1[[#This Row],[Status]])</f>
        <v>Zaakceptowana</v>
      </c>
      <c r="G322" s="2" t="str">
        <f>TRIM(Table1[[#This Row],[Typ]])</f>
        <v>Faktura VAT</v>
      </c>
      <c r="H322" s="2" t="str">
        <f>TRIM(Table1[[#This Row],[Magazyn]])</f>
        <v>Apteka Szpitalna</v>
      </c>
      <c r="I322" s="2" t="str">
        <f>TRIM(Table1[[#This Row],[Umowa]])</f>
        <v>UM-POL-02</v>
      </c>
      <c r="J322" s="2" t="b">
        <f>ISTEXT(Table14[[#This Row],[Data_Wystawienia]])</f>
        <v>0</v>
      </c>
      <c r="K322" s="2">
        <f>VALUE(SUBSTITUTE(Table14[[#This Row],[Wartość]],".",","))</f>
        <v>12126.18</v>
      </c>
      <c r="L3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2" s="2" t="str">
        <f>IF(Table14[[#This Row],[Umowa]]="","Poza umową","Z umowy")</f>
        <v>Z umowy</v>
      </c>
      <c r="N322" s="2">
        <f>YEAR(Table14[[#This Row],[Data_Wystawienia]])</f>
        <v>2022</v>
      </c>
      <c r="O322" s="2" t="str">
        <f>TEXT(Table14[[#This Row],[Data_Wystawienia]],"rrrr-mm")</f>
        <v>2022-04</v>
      </c>
      <c r="P322" s="2">
        <v>1</v>
      </c>
    </row>
    <row r="323" spans="1:16" x14ac:dyDescent="0.3">
      <c r="A323" s="2" t="str">
        <f>TRIM(Table1[[#This Row],[Numer_FV]])</f>
        <v>FV/M/2163/P/22</v>
      </c>
      <c r="B323" s="2" t="str">
        <f>TRIM(Table1[[#This Row],[Numer_PZ]])</f>
        <v>PZ/800321</v>
      </c>
      <c r="C323" s="2" t="str">
        <f>TRIM(Table1[[#This Row],[Dostawca]])</f>
        <v>MedicaPharm</v>
      </c>
      <c r="D323" s="3">
        <v>44681</v>
      </c>
      <c r="E323" s="4" t="s">
        <v>998</v>
      </c>
      <c r="F323" s="2" t="str">
        <f>TRIM(Table1[[#This Row],[Status]])</f>
        <v>Zaakceptowana</v>
      </c>
      <c r="G323" s="2" t="str">
        <f>TRIM(Table1[[#This Row],[Typ]])</f>
        <v>Faktura VAT</v>
      </c>
      <c r="H323" s="2" t="str">
        <f>TRIM(Table1[[#This Row],[Magazyn]])</f>
        <v>Apteka Szpitalna</v>
      </c>
      <c r="I323" s="2" t="str">
        <f>TRIM(Table1[[#This Row],[Umowa]])</f>
        <v>UM-MED-02</v>
      </c>
      <c r="J323" s="2" t="b">
        <f>ISTEXT(Table14[[#This Row],[Data_Wystawienia]])</f>
        <v>0</v>
      </c>
      <c r="K323" s="2">
        <f>VALUE(SUBSTITUTE(Table14[[#This Row],[Wartość]],".",","))</f>
        <v>11041.2</v>
      </c>
      <c r="L3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3" s="2" t="str">
        <f>IF(Table14[[#This Row],[Umowa]]="","Poza umową","Z umowy")</f>
        <v>Z umowy</v>
      </c>
      <c r="N323" s="2">
        <f>YEAR(Table14[[#This Row],[Data_Wystawienia]])</f>
        <v>2022</v>
      </c>
      <c r="O323" s="2" t="str">
        <f>TEXT(Table14[[#This Row],[Data_Wystawienia]],"rrrr-mm")</f>
        <v>2022-04</v>
      </c>
      <c r="P323" s="2">
        <v>1</v>
      </c>
    </row>
    <row r="324" spans="1:16" x14ac:dyDescent="0.3">
      <c r="A324" s="2" t="str">
        <f>TRIM(Table1[[#This Row],[Numer_FV]])</f>
        <v>FV/CENFA/738207/22</v>
      </c>
      <c r="B324" s="2" t="str">
        <f>TRIM(Table1[[#This Row],[Numer_PZ]])</f>
        <v>PZ/800322</v>
      </c>
      <c r="C324" s="2" t="str">
        <f>TRIM(Table1[[#This Row],[Dostawca]])</f>
        <v>CentrumFarm</v>
      </c>
      <c r="D324" s="3">
        <v>44681</v>
      </c>
      <c r="E324" s="4" t="s">
        <v>1001</v>
      </c>
      <c r="F324" s="2" t="str">
        <f>TRIM(Table1[[#This Row],[Status]])</f>
        <v>Zaakceptowana</v>
      </c>
      <c r="G324" s="2" t="str">
        <f>TRIM(Table1[[#This Row],[Typ]])</f>
        <v>Faktura VAT</v>
      </c>
      <c r="H324" s="2" t="str">
        <f>TRIM(Table1[[#This Row],[Magazyn]])</f>
        <v>Apteka Szpitalna</v>
      </c>
      <c r="I324" s="2" t="str">
        <f>TRIM(Table1[[#This Row],[Umowa]])</f>
        <v>UM-CEN-02</v>
      </c>
      <c r="J324" s="2" t="b">
        <f>ISTEXT(Table14[[#This Row],[Data_Wystawienia]])</f>
        <v>0</v>
      </c>
      <c r="K324" s="2">
        <f>VALUE(SUBSTITUTE(Table14[[#This Row],[Wartość]],".",","))</f>
        <v>14750.95</v>
      </c>
      <c r="L3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4" s="2" t="str">
        <f>IF(Table14[[#This Row],[Umowa]]="","Poza umową","Z umowy")</f>
        <v>Z umowy</v>
      </c>
      <c r="N324" s="2">
        <f>YEAR(Table14[[#This Row],[Data_Wystawienia]])</f>
        <v>2022</v>
      </c>
      <c r="O324" s="2" t="str">
        <f>TEXT(Table14[[#This Row],[Data_Wystawienia]],"rrrr-mm")</f>
        <v>2022-04</v>
      </c>
      <c r="P324" s="2">
        <v>1</v>
      </c>
    </row>
    <row r="325" spans="1:16" x14ac:dyDescent="0.3">
      <c r="A325" s="2" t="str">
        <f>TRIM(Table1[[#This Row],[Numer_FV]])</f>
        <v>FV/CENFA/775833/22</v>
      </c>
      <c r="B325" s="2" t="str">
        <f>TRIM(Table1[[#This Row],[Numer_PZ]])</f>
        <v>PZ/800323</v>
      </c>
      <c r="C325" s="2" t="str">
        <f>TRIM(Table1[[#This Row],[Dostawca]])</f>
        <v>CentrumFarm</v>
      </c>
      <c r="D325" s="3">
        <v>44681</v>
      </c>
      <c r="E325" s="4" t="s">
        <v>1004</v>
      </c>
      <c r="F325" s="2" t="str">
        <f>TRIM(Table1[[#This Row],[Status]])</f>
        <v>Zaakceptowana</v>
      </c>
      <c r="G325" s="2" t="str">
        <f>TRIM(Table1[[#This Row],[Typ]])</f>
        <v>Faktura VAT</v>
      </c>
      <c r="H325" s="2" t="str">
        <f>TRIM(Table1[[#This Row],[Magazyn]])</f>
        <v>Apteka Szpitalna</v>
      </c>
      <c r="I325" s="2" t="str">
        <f>TRIM(Table1[[#This Row],[Umowa]])</f>
        <v>UM-CEN-01</v>
      </c>
      <c r="J325" s="2" t="b">
        <f>ISTEXT(Table14[[#This Row],[Data_Wystawienia]])</f>
        <v>0</v>
      </c>
      <c r="K325" s="2">
        <f>VALUE(SUBSTITUTE(Table14[[#This Row],[Wartość]],".",","))</f>
        <v>11859.26</v>
      </c>
      <c r="L3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5" s="2" t="str">
        <f>IF(Table14[[#This Row],[Umowa]]="","Poza umową","Z umowy")</f>
        <v>Z umowy</v>
      </c>
      <c r="N325" s="2">
        <f>YEAR(Table14[[#This Row],[Data_Wystawienia]])</f>
        <v>2022</v>
      </c>
      <c r="O325" s="2" t="str">
        <f>TEXT(Table14[[#This Row],[Data_Wystawienia]],"rrrr-mm")</f>
        <v>2022-04</v>
      </c>
      <c r="P325" s="2">
        <v>1</v>
      </c>
    </row>
    <row r="326" spans="1:16" x14ac:dyDescent="0.3">
      <c r="A326" s="2" t="str">
        <f>TRIM(Table1[[#This Row],[Numer_FV]])</f>
        <v>FV/CENFA/351549/22</v>
      </c>
      <c r="B326" s="2" t="str">
        <f>TRIM(Table1[[#This Row],[Numer_PZ]])</f>
        <v>PZ/800324</v>
      </c>
      <c r="C326" s="2" t="str">
        <f>TRIM(Table1[[#This Row],[Dostawca]])</f>
        <v>CentrumFarm</v>
      </c>
      <c r="D326" s="3">
        <v>44681</v>
      </c>
      <c r="E326" s="4" t="s">
        <v>1007</v>
      </c>
      <c r="F326" s="2" t="str">
        <f>TRIM(Table1[[#This Row],[Status]])</f>
        <v>Zaakceptowana</v>
      </c>
      <c r="G326" s="2" t="str">
        <f>TRIM(Table1[[#This Row],[Typ]])</f>
        <v>Faktura VAT</v>
      </c>
      <c r="H326" s="2" t="str">
        <f>TRIM(Table1[[#This Row],[Magazyn]])</f>
        <v>Apteka Szpitalna</v>
      </c>
      <c r="I326" s="2" t="str">
        <f>TRIM(Table1[[#This Row],[Umowa]])</f>
        <v>UM-CEN-01</v>
      </c>
      <c r="J326" s="2" t="b">
        <f>ISTEXT(Table14[[#This Row],[Data_Wystawienia]])</f>
        <v>0</v>
      </c>
      <c r="K326" s="2">
        <f>VALUE(SUBSTITUTE(Table14[[#This Row],[Wartość]],".",","))</f>
        <v>16226.59</v>
      </c>
      <c r="L3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6" s="2" t="str">
        <f>IF(Table14[[#This Row],[Umowa]]="","Poza umową","Z umowy")</f>
        <v>Z umowy</v>
      </c>
      <c r="N326" s="2">
        <f>YEAR(Table14[[#This Row],[Data_Wystawienia]])</f>
        <v>2022</v>
      </c>
      <c r="O326" s="2" t="str">
        <f>TEXT(Table14[[#This Row],[Data_Wystawienia]],"rrrr-mm")</f>
        <v>2022-04</v>
      </c>
      <c r="P326" s="2">
        <v>1</v>
      </c>
    </row>
    <row r="327" spans="1:16" x14ac:dyDescent="0.3">
      <c r="A327" s="2" t="str">
        <f>TRIM(Table1[[#This Row],[Numer_FV]])</f>
        <v>FV/CENFA/468169/22</v>
      </c>
      <c r="B327" s="2" t="str">
        <f>TRIM(Table1[[#This Row],[Numer_PZ]])</f>
        <v>PZ/800325</v>
      </c>
      <c r="C327" s="2" t="str">
        <f>TRIM(Table1[[#This Row],[Dostawca]])</f>
        <v>CentrumFarm</v>
      </c>
      <c r="D327" s="3">
        <v>44682</v>
      </c>
      <c r="E327" s="4" t="s">
        <v>1010</v>
      </c>
      <c r="F327" s="2" t="str">
        <f>TRIM(Table1[[#This Row],[Status]])</f>
        <v>Zaakceptowana</v>
      </c>
      <c r="G327" s="2" t="str">
        <f>TRIM(Table1[[#This Row],[Typ]])</f>
        <v>Faktura VAT</v>
      </c>
      <c r="H327" s="2" t="str">
        <f>TRIM(Table1[[#This Row],[Magazyn]])</f>
        <v>Apteka Szpitalna</v>
      </c>
      <c r="I327" s="2" t="str">
        <f>TRIM(Table1[[#This Row],[Umowa]])</f>
        <v>UM-CEN-01</v>
      </c>
      <c r="J327" s="2" t="b">
        <f>ISTEXT(Table14[[#This Row],[Data_Wystawienia]])</f>
        <v>0</v>
      </c>
      <c r="K327" s="2">
        <f>VALUE(SUBSTITUTE(Table14[[#This Row],[Wartość]],".",","))</f>
        <v>19042.46</v>
      </c>
      <c r="L3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7" s="2" t="str">
        <f>IF(Table14[[#This Row],[Umowa]]="","Poza umową","Z umowy")</f>
        <v>Z umowy</v>
      </c>
      <c r="N327" s="2">
        <f>YEAR(Table14[[#This Row],[Data_Wystawienia]])</f>
        <v>2022</v>
      </c>
      <c r="O327" s="2" t="str">
        <f>TEXT(Table14[[#This Row],[Data_Wystawienia]],"rrrr-mm")</f>
        <v>2022-05</v>
      </c>
      <c r="P327" s="2">
        <v>1</v>
      </c>
    </row>
    <row r="328" spans="1:16" x14ac:dyDescent="0.3">
      <c r="A328" s="2" t="str">
        <f>TRIM(Table1[[#This Row],[Numer_FV]])</f>
        <v>FV/POL/42553/2022</v>
      </c>
      <c r="B328" s="2" t="str">
        <f>TRIM(Table1[[#This Row],[Numer_PZ]])</f>
        <v>PZ/800326</v>
      </c>
      <c r="C328" s="2" t="str">
        <f>TRIM(Table1[[#This Row],[Dostawca]])</f>
        <v>Polmedica</v>
      </c>
      <c r="D328" s="3">
        <v>44683</v>
      </c>
      <c r="E328" s="4" t="s">
        <v>1013</v>
      </c>
      <c r="F328" s="2" t="str">
        <f>TRIM(Table1[[#This Row],[Status]])</f>
        <v>Zaakceptowana</v>
      </c>
      <c r="G328" s="2" t="str">
        <f>TRIM(Table1[[#This Row],[Typ]])</f>
        <v>Faktura VAT</v>
      </c>
      <c r="H328" s="2" t="str">
        <f>TRIM(Table1[[#This Row],[Magazyn]])</f>
        <v>Apteka Szpitalna</v>
      </c>
      <c r="I328" s="2" t="str">
        <f>TRIM(Table1[[#This Row],[Umowa]])</f>
        <v>UM-POL-01</v>
      </c>
      <c r="J328" s="2" t="b">
        <f>ISTEXT(Table14[[#This Row],[Data_Wystawienia]])</f>
        <v>0</v>
      </c>
      <c r="K328" s="2">
        <f>VALUE(SUBSTITUTE(Table14[[#This Row],[Wartość]],".",","))</f>
        <v>17323.509999999998</v>
      </c>
      <c r="L3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8" s="2" t="str">
        <f>IF(Table14[[#This Row],[Umowa]]="","Poza umową","Z umowy")</f>
        <v>Z umowy</v>
      </c>
      <c r="N328" s="2">
        <f>YEAR(Table14[[#This Row],[Data_Wystawienia]])</f>
        <v>2022</v>
      </c>
      <c r="O328" s="2" t="str">
        <f>TEXT(Table14[[#This Row],[Data_Wystawienia]],"rrrr-mm")</f>
        <v>2022-05</v>
      </c>
      <c r="P328" s="2">
        <v>1</v>
      </c>
    </row>
    <row r="329" spans="1:16" x14ac:dyDescent="0.3">
      <c r="A329" s="2" t="str">
        <f>TRIM(Table1[[#This Row],[Numer_FV]])</f>
        <v>FV/POL/77764/2022</v>
      </c>
      <c r="B329" s="2" t="str">
        <f>TRIM(Table1[[#This Row],[Numer_PZ]])</f>
        <v>PZ/800327</v>
      </c>
      <c r="C329" s="2" t="str">
        <f>TRIM(Table1[[#This Row],[Dostawca]])</f>
        <v>Polmedica</v>
      </c>
      <c r="D329" s="3">
        <v>44683</v>
      </c>
      <c r="E329" s="4" t="s">
        <v>1016</v>
      </c>
      <c r="F329" s="2" t="str">
        <f>TRIM(Table1[[#This Row],[Status]])</f>
        <v>Zaakceptowana</v>
      </c>
      <c r="G329" s="2" t="str">
        <f>TRIM(Table1[[#This Row],[Typ]])</f>
        <v>Faktura VAT</v>
      </c>
      <c r="H329" s="2" t="str">
        <f>TRIM(Table1[[#This Row],[Magazyn]])</f>
        <v>Apteka Szpitalna</v>
      </c>
      <c r="I329" s="2" t="str">
        <f>TRIM(Table1[[#This Row],[Umowa]])</f>
        <v>UM-POL-03</v>
      </c>
      <c r="J329" s="2" t="b">
        <f>ISTEXT(Table14[[#This Row],[Data_Wystawienia]])</f>
        <v>0</v>
      </c>
      <c r="K329" s="2">
        <f>VALUE(SUBSTITUTE(Table14[[#This Row],[Wartość]],".",","))</f>
        <v>11164.89</v>
      </c>
      <c r="L3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29" s="2" t="str">
        <f>IF(Table14[[#This Row],[Umowa]]="","Poza umową","Z umowy")</f>
        <v>Z umowy</v>
      </c>
      <c r="N329" s="2">
        <f>YEAR(Table14[[#This Row],[Data_Wystawienia]])</f>
        <v>2022</v>
      </c>
      <c r="O329" s="2" t="str">
        <f>TEXT(Table14[[#This Row],[Data_Wystawienia]],"rrrr-mm")</f>
        <v>2022-05</v>
      </c>
      <c r="P329" s="2">
        <v>1</v>
      </c>
    </row>
    <row r="330" spans="1:16" x14ac:dyDescent="0.3">
      <c r="A330" s="2" t="str">
        <f>TRIM(Table1[[#This Row],[Numer_FV]])</f>
        <v>FV/29/SAL/22</v>
      </c>
      <c r="B330" s="2" t="str">
        <f>TRIM(Table1[[#This Row],[Numer_PZ]])</f>
        <v>PZ/800328</v>
      </c>
      <c r="C330" s="2" t="str">
        <f>TRIM(Table1[[#This Row],[Dostawca]])</f>
        <v>SalusHurt</v>
      </c>
      <c r="D330" s="3">
        <v>44683</v>
      </c>
      <c r="E330" s="4" t="s">
        <v>1019</v>
      </c>
      <c r="F330" s="2" t="str">
        <f>TRIM(Table1[[#This Row],[Status]])</f>
        <v>Zaakceptowana</v>
      </c>
      <c r="G330" s="2" t="str">
        <f>TRIM(Table1[[#This Row],[Typ]])</f>
        <v>Korekta FV</v>
      </c>
      <c r="H330" s="2" t="str">
        <f>TRIM(Table1[[#This Row],[Magazyn]])</f>
        <v>Apteka Szpitalna</v>
      </c>
      <c r="I330" s="2" t="str">
        <f>TRIM(Table1[[#This Row],[Umowa]])</f>
        <v/>
      </c>
      <c r="J330" s="2" t="b">
        <f>ISTEXT(Table14[[#This Row],[Data_Wystawienia]])</f>
        <v>0</v>
      </c>
      <c r="K330" s="2">
        <f>VALUE(SUBSTITUTE(Table14[[#This Row],[Wartość]],".",","))</f>
        <v>-1034.76</v>
      </c>
      <c r="L3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0" s="2" t="str">
        <f>IF(Table14[[#This Row],[Umowa]]="","Poza umową","Z umowy")</f>
        <v>Poza umową</v>
      </c>
      <c r="N330" s="2">
        <f>YEAR(Table14[[#This Row],[Data_Wystawienia]])</f>
        <v>2022</v>
      </c>
      <c r="O330" s="2" t="str">
        <f>TEXT(Table14[[#This Row],[Data_Wystawienia]],"rrrr-mm")</f>
        <v>2022-05</v>
      </c>
      <c r="P330" s="2">
        <v>1</v>
      </c>
    </row>
    <row r="331" spans="1:16" x14ac:dyDescent="0.3">
      <c r="A331" s="2" t="str">
        <f>TRIM(Table1[[#This Row],[Numer_FV]])</f>
        <v>FV/M/3000/P/22</v>
      </c>
      <c r="B331" s="2" t="str">
        <f>TRIM(Table1[[#This Row],[Numer_PZ]])</f>
        <v>PZ/800329</v>
      </c>
      <c r="C331" s="2" t="str">
        <f>TRIM(Table1[[#This Row],[Dostawca]])</f>
        <v>MedicaPharm</v>
      </c>
      <c r="D331" s="3">
        <v>44683</v>
      </c>
      <c r="E331" s="4" t="s">
        <v>1022</v>
      </c>
      <c r="F331" s="2" t="str">
        <f>TRIM(Table1[[#This Row],[Status]])</f>
        <v>Zaakceptowana</v>
      </c>
      <c r="G331" s="2" t="str">
        <f>TRIM(Table1[[#This Row],[Typ]])</f>
        <v>Faktura VAT</v>
      </c>
      <c r="H331" s="2" t="str">
        <f>TRIM(Table1[[#This Row],[Magazyn]])</f>
        <v>Apteka Szpitalna</v>
      </c>
      <c r="I331" s="2" t="str">
        <f>TRIM(Table1[[#This Row],[Umowa]])</f>
        <v>UM-MED-01</v>
      </c>
      <c r="J331" s="2" t="b">
        <f>ISTEXT(Table14[[#This Row],[Data_Wystawienia]])</f>
        <v>0</v>
      </c>
      <c r="K331" s="2">
        <f>VALUE(SUBSTITUTE(Table14[[#This Row],[Wartość]],".",","))</f>
        <v>10148.77</v>
      </c>
      <c r="L3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1" s="2" t="str">
        <f>IF(Table14[[#This Row],[Umowa]]="","Poza umową","Z umowy")</f>
        <v>Z umowy</v>
      </c>
      <c r="N331" s="2">
        <f>YEAR(Table14[[#This Row],[Data_Wystawienia]])</f>
        <v>2022</v>
      </c>
      <c r="O331" s="2" t="str">
        <f>TEXT(Table14[[#This Row],[Data_Wystawienia]],"rrrr-mm")</f>
        <v>2022-05</v>
      </c>
      <c r="P331" s="2">
        <v>1</v>
      </c>
    </row>
    <row r="332" spans="1:16" x14ac:dyDescent="0.3">
      <c r="A332" s="2" t="str">
        <f>TRIM(Table1[[#This Row],[Numer_FV]])</f>
        <v>FV/M/4618/P/22</v>
      </c>
      <c r="B332" s="2" t="str">
        <f>TRIM(Table1[[#This Row],[Numer_PZ]])</f>
        <v>PZ/800330</v>
      </c>
      <c r="C332" s="2" t="str">
        <f>TRIM(Table1[[#This Row],[Dostawca]])</f>
        <v>MedicaPharm</v>
      </c>
      <c r="D332" s="3">
        <v>44683</v>
      </c>
      <c r="E332" s="4" t="s">
        <v>1025</v>
      </c>
      <c r="F332" s="2" t="str">
        <f>TRIM(Table1[[#This Row],[Status]])</f>
        <v>Zaakceptowana</v>
      </c>
      <c r="G332" s="2" t="str">
        <f>TRIM(Table1[[#This Row],[Typ]])</f>
        <v>Faktura VAT</v>
      </c>
      <c r="H332" s="2" t="str">
        <f>TRIM(Table1[[#This Row],[Magazyn]])</f>
        <v>Apteka Szpitalna</v>
      </c>
      <c r="I332" s="2" t="str">
        <f>TRIM(Table1[[#This Row],[Umowa]])</f>
        <v>UM-MED-01</v>
      </c>
      <c r="J332" s="2" t="b">
        <f>ISTEXT(Table14[[#This Row],[Data_Wystawienia]])</f>
        <v>0</v>
      </c>
      <c r="K332" s="2">
        <f>VALUE(SUBSTITUTE(Table14[[#This Row],[Wartość]],".",","))</f>
        <v>12889.13</v>
      </c>
      <c r="L3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2" s="2" t="str">
        <f>IF(Table14[[#This Row],[Umowa]]="","Poza umową","Z umowy")</f>
        <v>Z umowy</v>
      </c>
      <c r="N332" s="2">
        <f>YEAR(Table14[[#This Row],[Data_Wystawienia]])</f>
        <v>2022</v>
      </c>
      <c r="O332" s="2" t="str">
        <f>TEXT(Table14[[#This Row],[Data_Wystawienia]],"rrrr-mm")</f>
        <v>2022-05</v>
      </c>
      <c r="P332" s="2">
        <v>1</v>
      </c>
    </row>
    <row r="333" spans="1:16" x14ac:dyDescent="0.3">
      <c r="A333" s="2" t="str">
        <f>TRIM(Table1[[#This Row],[Numer_FV]])</f>
        <v>FV/CENFA/155651/22</v>
      </c>
      <c r="B333" s="2" t="str">
        <f>TRIM(Table1[[#This Row],[Numer_PZ]])</f>
        <v>PZ/800331</v>
      </c>
      <c r="C333" s="2" t="str">
        <f>TRIM(Table1[[#This Row],[Dostawca]])</f>
        <v>CentrumFarm</v>
      </c>
      <c r="D333" s="3">
        <v>44683</v>
      </c>
      <c r="E333" s="4" t="s">
        <v>1028</v>
      </c>
      <c r="F333" s="2" t="str">
        <f>TRIM(Table1[[#This Row],[Status]])</f>
        <v>Zaakceptowana</v>
      </c>
      <c r="G333" s="2" t="str">
        <f>TRIM(Table1[[#This Row],[Typ]])</f>
        <v>Faktura VAT</v>
      </c>
      <c r="H333" s="2" t="str">
        <f>TRIM(Table1[[#This Row],[Magazyn]])</f>
        <v>Apteka Szpitalna</v>
      </c>
      <c r="I333" s="2" t="str">
        <f>TRIM(Table1[[#This Row],[Umowa]])</f>
        <v>UM-CEN-01</v>
      </c>
      <c r="J333" s="2" t="b">
        <f>ISTEXT(Table14[[#This Row],[Data_Wystawienia]])</f>
        <v>0</v>
      </c>
      <c r="K333" s="2">
        <f>VALUE(SUBSTITUTE(Table14[[#This Row],[Wartość]],".",","))</f>
        <v>16463.82</v>
      </c>
      <c r="L3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3" s="2" t="str">
        <f>IF(Table14[[#This Row],[Umowa]]="","Poza umową","Z umowy")</f>
        <v>Z umowy</v>
      </c>
      <c r="N333" s="2">
        <f>YEAR(Table14[[#This Row],[Data_Wystawienia]])</f>
        <v>2022</v>
      </c>
      <c r="O333" s="2" t="str">
        <f>TEXT(Table14[[#This Row],[Data_Wystawienia]],"rrrr-mm")</f>
        <v>2022-05</v>
      </c>
      <c r="P333" s="2">
        <v>1</v>
      </c>
    </row>
    <row r="334" spans="1:16" x14ac:dyDescent="0.3">
      <c r="A334" s="2" t="str">
        <f>TRIM(Table1[[#This Row],[Numer_FV]])</f>
        <v>FV/7969/NOVA/22</v>
      </c>
      <c r="B334" s="2" t="str">
        <f>TRIM(Table1[[#This Row],[Numer_PZ]])</f>
        <v>PZ/800332</v>
      </c>
      <c r="C334" s="2" t="str">
        <f>TRIM(Table1[[#This Row],[Dostawca]])</f>
        <v>NovaLek</v>
      </c>
      <c r="D334" s="3">
        <v>44683</v>
      </c>
      <c r="E334" s="4" t="s">
        <v>1031</v>
      </c>
      <c r="F334" s="2" t="str">
        <f>TRIM(Table1[[#This Row],[Status]])</f>
        <v>Zaakceptowana</v>
      </c>
      <c r="G334" s="2" t="str">
        <f>TRIM(Table1[[#This Row],[Typ]])</f>
        <v>Korekta FV</v>
      </c>
      <c r="H334" s="2" t="str">
        <f>TRIM(Table1[[#This Row],[Magazyn]])</f>
        <v>Apteka Szpitalna</v>
      </c>
      <c r="I334" s="2" t="str">
        <f>TRIM(Table1[[#This Row],[Umowa]])</f>
        <v>UM-NOV-03</v>
      </c>
      <c r="J334" s="2" t="b">
        <f>ISTEXT(Table14[[#This Row],[Data_Wystawienia]])</f>
        <v>0</v>
      </c>
      <c r="K334" s="2">
        <f>VALUE(SUBSTITUTE(Table14[[#This Row],[Wartość]],".",","))</f>
        <v>-1178.81</v>
      </c>
      <c r="L3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4" s="2" t="str">
        <f>IF(Table14[[#This Row],[Umowa]]="","Poza umową","Z umowy")</f>
        <v>Z umowy</v>
      </c>
      <c r="N334" s="2">
        <f>YEAR(Table14[[#This Row],[Data_Wystawienia]])</f>
        <v>2022</v>
      </c>
      <c r="O334" s="2" t="str">
        <f>TEXT(Table14[[#This Row],[Data_Wystawienia]],"rrrr-mm")</f>
        <v>2022-05</v>
      </c>
      <c r="P334" s="2">
        <v>1</v>
      </c>
    </row>
    <row r="335" spans="1:16" x14ac:dyDescent="0.3">
      <c r="A335" s="2" t="str">
        <f>TRIM(Table1[[#This Row],[Numer_FV]])</f>
        <v>FV/62/SAL/22</v>
      </c>
      <c r="B335" s="2" t="str">
        <f>TRIM(Table1[[#This Row],[Numer_PZ]])</f>
        <v>PZ/800333</v>
      </c>
      <c r="C335" s="2" t="str">
        <f>TRIM(Table1[[#This Row],[Dostawca]])</f>
        <v>SalusHurt</v>
      </c>
      <c r="D335" s="3">
        <v>44684</v>
      </c>
      <c r="E335" s="4" t="s">
        <v>1034</v>
      </c>
      <c r="F335" s="2" t="str">
        <f>TRIM(Table1[[#This Row],[Status]])</f>
        <v>Zaakceptowana</v>
      </c>
      <c r="G335" s="2" t="str">
        <f>TRIM(Table1[[#This Row],[Typ]])</f>
        <v>Faktura VAT</v>
      </c>
      <c r="H335" s="2" t="str">
        <f>TRIM(Table1[[#This Row],[Magazyn]])</f>
        <v>Apteka Szpitalna</v>
      </c>
      <c r="I335" s="2" t="str">
        <f>TRIM(Table1[[#This Row],[Umowa]])</f>
        <v>UM-SAL-02</v>
      </c>
      <c r="J335" s="2" t="b">
        <f>ISTEXT(Table14[[#This Row],[Data_Wystawienia]])</f>
        <v>0</v>
      </c>
      <c r="K335" s="2">
        <f>VALUE(SUBSTITUTE(Table14[[#This Row],[Wartość]],".",","))</f>
        <v>12655.69</v>
      </c>
      <c r="L3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5" s="2" t="str">
        <f>IF(Table14[[#This Row],[Umowa]]="","Poza umową","Z umowy")</f>
        <v>Z umowy</v>
      </c>
      <c r="N335" s="2">
        <f>YEAR(Table14[[#This Row],[Data_Wystawienia]])</f>
        <v>2022</v>
      </c>
      <c r="O335" s="2" t="str">
        <f>TEXT(Table14[[#This Row],[Data_Wystawienia]],"rrrr-mm")</f>
        <v>2022-05</v>
      </c>
      <c r="P335" s="2">
        <v>1</v>
      </c>
    </row>
    <row r="336" spans="1:16" x14ac:dyDescent="0.3">
      <c r="A336" s="2" t="str">
        <f>TRIM(Table1[[#This Row],[Numer_FV]])</f>
        <v>FV/6648/NOVA/22</v>
      </c>
      <c r="B336" s="2" t="str">
        <f>TRIM(Table1[[#This Row],[Numer_PZ]])</f>
        <v>PZ/800334</v>
      </c>
      <c r="C336" s="2" t="str">
        <f>TRIM(Table1[[#This Row],[Dostawca]])</f>
        <v>NovaLek</v>
      </c>
      <c r="D336" s="3">
        <v>44684</v>
      </c>
      <c r="E336" s="4" t="s">
        <v>1037</v>
      </c>
      <c r="F336" s="2" t="str">
        <f>TRIM(Table1[[#This Row],[Status]])</f>
        <v>Zaakceptowana</v>
      </c>
      <c r="G336" s="2" t="str">
        <f>TRIM(Table1[[#This Row],[Typ]])</f>
        <v>Faktura VAT</v>
      </c>
      <c r="H336" s="2" t="str">
        <f>TRIM(Table1[[#This Row],[Magazyn]])</f>
        <v>Apteka Szpitalna</v>
      </c>
      <c r="I336" s="2" t="str">
        <f>TRIM(Table1[[#This Row],[Umowa]])</f>
        <v>UM-NOV-02</v>
      </c>
      <c r="J336" s="2" t="b">
        <f>ISTEXT(Table14[[#This Row],[Data_Wystawienia]])</f>
        <v>0</v>
      </c>
      <c r="K336" s="2">
        <f>VALUE(SUBSTITUTE(Table14[[#This Row],[Wartość]],".",","))</f>
        <v>8772.48</v>
      </c>
      <c r="L3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6" s="2" t="str">
        <f>IF(Table14[[#This Row],[Umowa]]="","Poza umową","Z umowy")</f>
        <v>Z umowy</v>
      </c>
      <c r="N336" s="2">
        <f>YEAR(Table14[[#This Row],[Data_Wystawienia]])</f>
        <v>2022</v>
      </c>
      <c r="O336" s="2" t="str">
        <f>TEXT(Table14[[#This Row],[Data_Wystawienia]],"rrrr-mm")</f>
        <v>2022-05</v>
      </c>
      <c r="P336" s="2">
        <v>1</v>
      </c>
    </row>
    <row r="337" spans="1:16" x14ac:dyDescent="0.3">
      <c r="A337" s="2" t="str">
        <f>TRIM(Table1[[#This Row],[Numer_FV]])</f>
        <v>FV/7022/NOVA/22</v>
      </c>
      <c r="B337" s="2" t="str">
        <f>TRIM(Table1[[#This Row],[Numer_PZ]])</f>
        <v>PZ/800335</v>
      </c>
      <c r="C337" s="2" t="str">
        <f>TRIM(Table1[[#This Row],[Dostawca]])</f>
        <v>NovaLek</v>
      </c>
      <c r="D337" s="3">
        <v>44685</v>
      </c>
      <c r="E337" s="4" t="s">
        <v>1040</v>
      </c>
      <c r="F337" s="2" t="str">
        <f>TRIM(Table1[[#This Row],[Status]])</f>
        <v>Zaakceptowana</v>
      </c>
      <c r="G337" s="2" t="str">
        <f>TRIM(Table1[[#This Row],[Typ]])</f>
        <v>Faktura VAT</v>
      </c>
      <c r="H337" s="2" t="str">
        <f>TRIM(Table1[[#This Row],[Magazyn]])</f>
        <v>Apteka Szpitalna</v>
      </c>
      <c r="I337" s="2" t="str">
        <f>TRIM(Table1[[#This Row],[Umowa]])</f>
        <v>UM-NOV-02</v>
      </c>
      <c r="J337" s="2" t="b">
        <f>ISTEXT(Table14[[#This Row],[Data_Wystawienia]])</f>
        <v>0</v>
      </c>
      <c r="K337" s="2">
        <f>VALUE(SUBSTITUTE(Table14[[#This Row],[Wartość]],".",","))</f>
        <v>25552.06</v>
      </c>
      <c r="L3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7" s="2" t="str">
        <f>IF(Table14[[#This Row],[Umowa]]="","Poza umową","Z umowy")</f>
        <v>Z umowy</v>
      </c>
      <c r="N337" s="2">
        <f>YEAR(Table14[[#This Row],[Data_Wystawienia]])</f>
        <v>2022</v>
      </c>
      <c r="O337" s="2" t="str">
        <f>TEXT(Table14[[#This Row],[Data_Wystawienia]],"rrrr-mm")</f>
        <v>2022-05</v>
      </c>
      <c r="P337" s="2">
        <v>1</v>
      </c>
    </row>
    <row r="338" spans="1:16" x14ac:dyDescent="0.3">
      <c r="A338" s="2" t="str">
        <f>TRIM(Table1[[#This Row],[Numer_FV]])</f>
        <v>FV/9577/NOVA/22</v>
      </c>
      <c r="B338" s="2" t="str">
        <f>TRIM(Table1[[#This Row],[Numer_PZ]])</f>
        <v>PZ/800336</v>
      </c>
      <c r="C338" s="2" t="str">
        <f>TRIM(Table1[[#This Row],[Dostawca]])</f>
        <v>NovaLek</v>
      </c>
      <c r="D338" s="3">
        <v>44685</v>
      </c>
      <c r="E338" s="4" t="s">
        <v>1043</v>
      </c>
      <c r="F338" s="2" t="str">
        <f>TRIM(Table1[[#This Row],[Status]])</f>
        <v>Zaakceptowana</v>
      </c>
      <c r="G338" s="2" t="str">
        <f>TRIM(Table1[[#This Row],[Typ]])</f>
        <v>Faktura VAT</v>
      </c>
      <c r="H338" s="2" t="str">
        <f>TRIM(Table1[[#This Row],[Magazyn]])</f>
        <v>Apteka Szpitalna</v>
      </c>
      <c r="I338" s="2" t="str">
        <f>TRIM(Table1[[#This Row],[Umowa]])</f>
        <v>UM-NOV-01</v>
      </c>
      <c r="J338" s="2" t="b">
        <f>ISTEXT(Table14[[#This Row],[Data_Wystawienia]])</f>
        <v>0</v>
      </c>
      <c r="K338" s="2">
        <f>VALUE(SUBSTITUTE(Table14[[#This Row],[Wartość]],".",","))</f>
        <v>11635.55</v>
      </c>
      <c r="L3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8" s="2" t="str">
        <f>IF(Table14[[#This Row],[Umowa]]="","Poza umową","Z umowy")</f>
        <v>Z umowy</v>
      </c>
      <c r="N338" s="2">
        <f>YEAR(Table14[[#This Row],[Data_Wystawienia]])</f>
        <v>2022</v>
      </c>
      <c r="O338" s="2" t="str">
        <f>TEXT(Table14[[#This Row],[Data_Wystawienia]],"rrrr-mm")</f>
        <v>2022-05</v>
      </c>
      <c r="P338" s="2">
        <v>1</v>
      </c>
    </row>
    <row r="339" spans="1:16" x14ac:dyDescent="0.3">
      <c r="A339" s="2" t="str">
        <f>TRIM(Table1[[#This Row],[Numer_FV]])</f>
        <v>FV/2135HM/22</v>
      </c>
      <c r="B339" s="2" t="str">
        <f>TRIM(Table1[[#This Row],[Numer_PZ]])</f>
        <v>PZ/800337</v>
      </c>
      <c r="C339" s="2" t="str">
        <f>TRIM(Table1[[#This Row],[Dostawca]])</f>
        <v>HurtMedix</v>
      </c>
      <c r="D339" s="3">
        <v>44685</v>
      </c>
      <c r="E339" s="4" t="s">
        <v>1046</v>
      </c>
      <c r="F339" s="2" t="str">
        <f>TRIM(Table1[[#This Row],[Status]])</f>
        <v>Zaakceptowana</v>
      </c>
      <c r="G339" s="2" t="str">
        <f>TRIM(Table1[[#This Row],[Typ]])</f>
        <v>Faktura VAT</v>
      </c>
      <c r="H339" s="2" t="str">
        <f>TRIM(Table1[[#This Row],[Magazyn]])</f>
        <v>Apteka Szpitalna</v>
      </c>
      <c r="I339" s="2" t="str">
        <f>TRIM(Table1[[#This Row],[Umowa]])</f>
        <v>UM-HUR-01</v>
      </c>
      <c r="J339" s="2" t="b">
        <f>ISTEXT(Table14[[#This Row],[Data_Wystawienia]])</f>
        <v>0</v>
      </c>
      <c r="K339" s="2">
        <f>VALUE(SUBSTITUTE(Table14[[#This Row],[Wartość]],".",","))</f>
        <v>16822.54</v>
      </c>
      <c r="L3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39" s="2" t="str">
        <f>IF(Table14[[#This Row],[Umowa]]="","Poza umową","Z umowy")</f>
        <v>Z umowy</v>
      </c>
      <c r="N339" s="2">
        <f>YEAR(Table14[[#This Row],[Data_Wystawienia]])</f>
        <v>2022</v>
      </c>
      <c r="O339" s="2" t="str">
        <f>TEXT(Table14[[#This Row],[Data_Wystawienia]],"rrrr-mm")</f>
        <v>2022-05</v>
      </c>
      <c r="P339" s="2">
        <v>1</v>
      </c>
    </row>
    <row r="340" spans="1:16" x14ac:dyDescent="0.3">
      <c r="A340" s="2" t="str">
        <f>TRIM(Table1[[#This Row],[Numer_FV]])</f>
        <v>FV/5378/NOVA/22</v>
      </c>
      <c r="B340" s="2" t="str">
        <f>TRIM(Table1[[#This Row],[Numer_PZ]])</f>
        <v>PZ/800338</v>
      </c>
      <c r="C340" s="2" t="str">
        <f>TRIM(Table1[[#This Row],[Dostawca]])</f>
        <v>NovaLek</v>
      </c>
      <c r="D340" s="3">
        <v>44685</v>
      </c>
      <c r="E340" s="4" t="s">
        <v>1049</v>
      </c>
      <c r="F340" s="2" t="str">
        <f>TRIM(Table1[[#This Row],[Status]])</f>
        <v>Zaakceptowana</v>
      </c>
      <c r="G340" s="2" t="str">
        <f>TRIM(Table1[[#This Row],[Typ]])</f>
        <v>Faktura VAT</v>
      </c>
      <c r="H340" s="2" t="str">
        <f>TRIM(Table1[[#This Row],[Magazyn]])</f>
        <v>Apteka Szpitalna</v>
      </c>
      <c r="I340" s="2" t="str">
        <f>TRIM(Table1[[#This Row],[Umowa]])</f>
        <v>UM-NOV-01</v>
      </c>
      <c r="J340" s="2" t="b">
        <f>ISTEXT(Table14[[#This Row],[Data_Wystawienia]])</f>
        <v>0</v>
      </c>
      <c r="K340" s="2">
        <f>VALUE(SUBSTITUTE(Table14[[#This Row],[Wartość]],".",","))</f>
        <v>18869.740000000002</v>
      </c>
      <c r="L3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0" s="2" t="str">
        <f>IF(Table14[[#This Row],[Umowa]]="","Poza umową","Z umowy")</f>
        <v>Z umowy</v>
      </c>
      <c r="N340" s="2">
        <f>YEAR(Table14[[#This Row],[Data_Wystawienia]])</f>
        <v>2022</v>
      </c>
      <c r="O340" s="2" t="str">
        <f>TEXT(Table14[[#This Row],[Data_Wystawienia]],"rrrr-mm")</f>
        <v>2022-05</v>
      </c>
      <c r="P340" s="2">
        <v>1</v>
      </c>
    </row>
    <row r="341" spans="1:16" x14ac:dyDescent="0.3">
      <c r="A341" s="2" t="str">
        <f>TRIM(Table1[[#This Row],[Numer_FV]])</f>
        <v>FV/2205/NOVA/22</v>
      </c>
      <c r="B341" s="2" t="str">
        <f>TRIM(Table1[[#This Row],[Numer_PZ]])</f>
        <v>PZ/800339</v>
      </c>
      <c r="C341" s="2" t="str">
        <f>TRIM(Table1[[#This Row],[Dostawca]])</f>
        <v>NovaLek</v>
      </c>
      <c r="D341" s="3">
        <v>44686</v>
      </c>
      <c r="E341" s="4" t="s">
        <v>1052</v>
      </c>
      <c r="F341" s="2" t="str">
        <f>TRIM(Table1[[#This Row],[Status]])</f>
        <v>Zaakceptowana</v>
      </c>
      <c r="G341" s="2" t="str">
        <f>TRIM(Table1[[#This Row],[Typ]])</f>
        <v>Faktura VAT</v>
      </c>
      <c r="H341" s="2" t="str">
        <f>TRIM(Table1[[#This Row],[Magazyn]])</f>
        <v>Apteka Szpitalna</v>
      </c>
      <c r="I341" s="2" t="str">
        <f>TRIM(Table1[[#This Row],[Umowa]])</f>
        <v>UM-NOV-02</v>
      </c>
      <c r="J341" s="2" t="b">
        <f>ISTEXT(Table14[[#This Row],[Data_Wystawienia]])</f>
        <v>0</v>
      </c>
      <c r="K341" s="2">
        <f>VALUE(SUBSTITUTE(Table14[[#This Row],[Wartość]],".",","))</f>
        <v>19907.150000000001</v>
      </c>
      <c r="L3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1" s="2" t="str">
        <f>IF(Table14[[#This Row],[Umowa]]="","Poza umową","Z umowy")</f>
        <v>Z umowy</v>
      </c>
      <c r="N341" s="2">
        <f>YEAR(Table14[[#This Row],[Data_Wystawienia]])</f>
        <v>2022</v>
      </c>
      <c r="O341" s="2" t="str">
        <f>TEXT(Table14[[#This Row],[Data_Wystawienia]],"rrrr-mm")</f>
        <v>2022-05</v>
      </c>
      <c r="P341" s="2">
        <v>1</v>
      </c>
    </row>
    <row r="342" spans="1:16" x14ac:dyDescent="0.3">
      <c r="A342" s="2" t="str">
        <f>TRIM(Table1[[#This Row],[Numer_FV]])</f>
        <v>FV/CENFA/187395/22</v>
      </c>
      <c r="B342" s="2" t="str">
        <f>TRIM(Table1[[#This Row],[Numer_PZ]])</f>
        <v>PZ/800340</v>
      </c>
      <c r="C342" s="2" t="str">
        <f>TRIM(Table1[[#This Row],[Dostawca]])</f>
        <v>CentrumFarm</v>
      </c>
      <c r="D342" s="3">
        <v>44686</v>
      </c>
      <c r="E342" s="4" t="s">
        <v>1055</v>
      </c>
      <c r="F342" s="2" t="str">
        <f>TRIM(Table1[[#This Row],[Status]])</f>
        <v>Zaakceptowana</v>
      </c>
      <c r="G342" s="2" t="str">
        <f>TRIM(Table1[[#This Row],[Typ]])</f>
        <v>Faktura VAT</v>
      </c>
      <c r="H342" s="2" t="str">
        <f>TRIM(Table1[[#This Row],[Magazyn]])</f>
        <v>Apteka Szpitalna</v>
      </c>
      <c r="I342" s="2" t="str">
        <f>TRIM(Table1[[#This Row],[Umowa]])</f>
        <v>UM-CEN-01</v>
      </c>
      <c r="J342" s="2" t="b">
        <f>ISTEXT(Table14[[#This Row],[Data_Wystawienia]])</f>
        <v>0</v>
      </c>
      <c r="K342" s="2">
        <f>VALUE(SUBSTITUTE(Table14[[#This Row],[Wartość]],".",","))</f>
        <v>18410.759999999998</v>
      </c>
      <c r="L3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2" s="2" t="str">
        <f>IF(Table14[[#This Row],[Umowa]]="","Poza umową","Z umowy")</f>
        <v>Z umowy</v>
      </c>
      <c r="N342" s="2">
        <f>YEAR(Table14[[#This Row],[Data_Wystawienia]])</f>
        <v>2022</v>
      </c>
      <c r="O342" s="2" t="str">
        <f>TEXT(Table14[[#This Row],[Data_Wystawienia]],"rrrr-mm")</f>
        <v>2022-05</v>
      </c>
      <c r="P342" s="2">
        <v>1</v>
      </c>
    </row>
    <row r="343" spans="1:16" x14ac:dyDescent="0.3">
      <c r="A343" s="2" t="str">
        <f>TRIM(Table1[[#This Row],[Numer_FV]])</f>
        <v>FV/CENFA/711616/22</v>
      </c>
      <c r="B343" s="2" t="str">
        <f>TRIM(Table1[[#This Row],[Numer_PZ]])</f>
        <v>PZ/800341</v>
      </c>
      <c r="C343" s="2" t="str">
        <f>TRIM(Table1[[#This Row],[Dostawca]])</f>
        <v>CentrumFarm</v>
      </c>
      <c r="D343" s="3">
        <v>44687</v>
      </c>
      <c r="E343" s="4" t="s">
        <v>1058</v>
      </c>
      <c r="F343" s="2" t="str">
        <f>TRIM(Table1[[#This Row],[Status]])</f>
        <v>Zaakceptowana</v>
      </c>
      <c r="G343" s="2" t="str">
        <f>TRIM(Table1[[#This Row],[Typ]])</f>
        <v>Faktura VAT</v>
      </c>
      <c r="H343" s="2" t="str">
        <f>TRIM(Table1[[#This Row],[Magazyn]])</f>
        <v>Apteka Szpitalna</v>
      </c>
      <c r="I343" s="2" t="str">
        <f>TRIM(Table1[[#This Row],[Umowa]])</f>
        <v/>
      </c>
      <c r="J343" s="2" t="b">
        <f>ISTEXT(Table14[[#This Row],[Data_Wystawienia]])</f>
        <v>0</v>
      </c>
      <c r="K343" s="2">
        <f>VALUE(SUBSTITUTE(Table14[[#This Row],[Wartość]],".",","))</f>
        <v>21623.99</v>
      </c>
      <c r="L3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3" s="2" t="str">
        <f>IF(Table14[[#This Row],[Umowa]]="","Poza umową","Z umowy")</f>
        <v>Poza umową</v>
      </c>
      <c r="N343" s="2">
        <f>YEAR(Table14[[#This Row],[Data_Wystawienia]])</f>
        <v>2022</v>
      </c>
      <c r="O343" s="2" t="str">
        <f>TEXT(Table14[[#This Row],[Data_Wystawienia]],"rrrr-mm")</f>
        <v>2022-05</v>
      </c>
      <c r="P343" s="2">
        <v>1</v>
      </c>
    </row>
    <row r="344" spans="1:16" x14ac:dyDescent="0.3">
      <c r="A344" s="2" t="str">
        <f>TRIM(Table1[[#This Row],[Numer_FV]])</f>
        <v>FV/M/1480/P/22</v>
      </c>
      <c r="B344" s="2" t="str">
        <f>TRIM(Table1[[#This Row],[Numer_PZ]])</f>
        <v>PZ/800342</v>
      </c>
      <c r="C344" s="2" t="str">
        <f>TRIM(Table1[[#This Row],[Dostawca]])</f>
        <v>MedicaPharm</v>
      </c>
      <c r="D344" s="3">
        <v>44687</v>
      </c>
      <c r="E344" s="4" t="s">
        <v>1061</v>
      </c>
      <c r="F344" s="2" t="str">
        <f>TRIM(Table1[[#This Row],[Status]])</f>
        <v>Zaakceptowana</v>
      </c>
      <c r="G344" s="2" t="str">
        <f>TRIM(Table1[[#This Row],[Typ]])</f>
        <v>Faktura VAT</v>
      </c>
      <c r="H344" s="2" t="str">
        <f>TRIM(Table1[[#This Row],[Magazyn]])</f>
        <v>Apteka Szpitalna</v>
      </c>
      <c r="I344" s="2" t="str">
        <f>TRIM(Table1[[#This Row],[Umowa]])</f>
        <v>UM-MED-02</v>
      </c>
      <c r="J344" s="2" t="b">
        <f>ISTEXT(Table14[[#This Row],[Data_Wystawienia]])</f>
        <v>0</v>
      </c>
      <c r="K344" s="2">
        <f>VALUE(SUBSTITUTE(Table14[[#This Row],[Wartość]],".",","))</f>
        <v>17948.18</v>
      </c>
      <c r="L3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4" s="2" t="str">
        <f>IF(Table14[[#This Row],[Umowa]]="","Poza umową","Z umowy")</f>
        <v>Z umowy</v>
      </c>
      <c r="N344" s="2">
        <f>YEAR(Table14[[#This Row],[Data_Wystawienia]])</f>
        <v>2022</v>
      </c>
      <c r="O344" s="2" t="str">
        <f>TEXT(Table14[[#This Row],[Data_Wystawienia]],"rrrr-mm")</f>
        <v>2022-05</v>
      </c>
      <c r="P344" s="2">
        <v>1</v>
      </c>
    </row>
    <row r="345" spans="1:16" x14ac:dyDescent="0.3">
      <c r="A345" s="2" t="str">
        <f>TRIM(Table1[[#This Row],[Numer_FV]])</f>
        <v>FV/78/SAL/22</v>
      </c>
      <c r="B345" s="2" t="str">
        <f>TRIM(Table1[[#This Row],[Numer_PZ]])</f>
        <v>PZ/800343</v>
      </c>
      <c r="C345" s="2" t="str">
        <f>TRIM(Table1[[#This Row],[Dostawca]])</f>
        <v>SalusHurt</v>
      </c>
      <c r="D345" s="3">
        <v>44687</v>
      </c>
      <c r="E345" s="4" t="s">
        <v>1064</v>
      </c>
      <c r="F345" s="2" t="str">
        <f>TRIM(Table1[[#This Row],[Status]])</f>
        <v>Zaakceptowana</v>
      </c>
      <c r="G345" s="2" t="str">
        <f>TRIM(Table1[[#This Row],[Typ]])</f>
        <v>Faktura VAT</v>
      </c>
      <c r="H345" s="2" t="str">
        <f>TRIM(Table1[[#This Row],[Magazyn]])</f>
        <v>Apteka Szpitalna</v>
      </c>
      <c r="I345" s="2" t="str">
        <f>TRIM(Table1[[#This Row],[Umowa]])</f>
        <v/>
      </c>
      <c r="J345" s="2" t="b">
        <f>ISTEXT(Table14[[#This Row],[Data_Wystawienia]])</f>
        <v>0</v>
      </c>
      <c r="K345" s="2">
        <f>VALUE(SUBSTITUTE(Table14[[#This Row],[Wartość]],".",","))</f>
        <v>20461.580000000002</v>
      </c>
      <c r="L3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5" s="2" t="str">
        <f>IF(Table14[[#This Row],[Umowa]]="","Poza umową","Z umowy")</f>
        <v>Poza umową</v>
      </c>
      <c r="N345" s="2">
        <f>YEAR(Table14[[#This Row],[Data_Wystawienia]])</f>
        <v>2022</v>
      </c>
      <c r="O345" s="2" t="str">
        <f>TEXT(Table14[[#This Row],[Data_Wystawienia]],"rrrr-mm")</f>
        <v>2022-05</v>
      </c>
      <c r="P345" s="2">
        <v>1</v>
      </c>
    </row>
    <row r="346" spans="1:16" x14ac:dyDescent="0.3">
      <c r="A346" s="2" t="str">
        <f>TRIM(Table1[[#This Row],[Numer_FV]])</f>
        <v>FV/M/3540/P/22</v>
      </c>
      <c r="B346" s="2" t="str">
        <f>TRIM(Table1[[#This Row],[Numer_PZ]])</f>
        <v>PZ/800344</v>
      </c>
      <c r="C346" s="2" t="str">
        <f>TRIM(Table1[[#This Row],[Dostawca]])</f>
        <v>MedicaPharm</v>
      </c>
      <c r="D346" s="3">
        <v>44689</v>
      </c>
      <c r="E346" s="4" t="s">
        <v>1067</v>
      </c>
      <c r="F346" s="2" t="str">
        <f>TRIM(Table1[[#This Row],[Status]])</f>
        <v>Zaakceptowana</v>
      </c>
      <c r="G346" s="2" t="str">
        <f>TRIM(Table1[[#This Row],[Typ]])</f>
        <v>Faktura VAT</v>
      </c>
      <c r="H346" s="2" t="str">
        <f>TRIM(Table1[[#This Row],[Magazyn]])</f>
        <v>Apteka Szpitalna</v>
      </c>
      <c r="I346" s="2" t="str">
        <f>TRIM(Table1[[#This Row],[Umowa]])</f>
        <v/>
      </c>
      <c r="J346" s="2" t="b">
        <f>ISTEXT(Table14[[#This Row],[Data_Wystawienia]])</f>
        <v>0</v>
      </c>
      <c r="K346" s="2">
        <f>VALUE(SUBSTITUTE(Table14[[#This Row],[Wartość]],".",","))</f>
        <v>11531.43</v>
      </c>
      <c r="L3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6" s="2" t="str">
        <f>IF(Table14[[#This Row],[Umowa]]="","Poza umową","Z umowy")</f>
        <v>Poza umową</v>
      </c>
      <c r="N346" s="2">
        <f>YEAR(Table14[[#This Row],[Data_Wystawienia]])</f>
        <v>2022</v>
      </c>
      <c r="O346" s="2" t="str">
        <f>TEXT(Table14[[#This Row],[Data_Wystawienia]],"rrrr-mm")</f>
        <v>2022-05</v>
      </c>
      <c r="P346" s="2">
        <v>1</v>
      </c>
    </row>
    <row r="347" spans="1:16" x14ac:dyDescent="0.3">
      <c r="A347" s="2" t="str">
        <f>TRIM(Table1[[#This Row],[Numer_FV]])</f>
        <v>FV/M/2162/P/22</v>
      </c>
      <c r="B347" s="2" t="str">
        <f>TRIM(Table1[[#This Row],[Numer_PZ]])</f>
        <v>PZ/800345</v>
      </c>
      <c r="C347" s="2" t="str">
        <f>TRIM(Table1[[#This Row],[Dostawca]])</f>
        <v>MedicaPharm</v>
      </c>
      <c r="D347" s="3">
        <v>44689</v>
      </c>
      <c r="E347" s="4" t="s">
        <v>1070</v>
      </c>
      <c r="F347" s="2" t="str">
        <f>TRIM(Table1[[#This Row],[Status]])</f>
        <v>Zaakceptowana</v>
      </c>
      <c r="G347" s="2" t="str">
        <f>TRIM(Table1[[#This Row],[Typ]])</f>
        <v>Faktura VAT</v>
      </c>
      <c r="H347" s="2" t="str">
        <f>TRIM(Table1[[#This Row],[Magazyn]])</f>
        <v>Apteka Szpitalna</v>
      </c>
      <c r="I347" s="2" t="str">
        <f>TRIM(Table1[[#This Row],[Umowa]])</f>
        <v/>
      </c>
      <c r="J347" s="2" t="b">
        <f>ISTEXT(Table14[[#This Row],[Data_Wystawienia]])</f>
        <v>0</v>
      </c>
      <c r="K347" s="2">
        <f>VALUE(SUBSTITUTE(Table14[[#This Row],[Wartość]],".",","))</f>
        <v>17770.39</v>
      </c>
      <c r="L3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7" s="2" t="str">
        <f>IF(Table14[[#This Row],[Umowa]]="","Poza umową","Z umowy")</f>
        <v>Poza umową</v>
      </c>
      <c r="N347" s="2">
        <f>YEAR(Table14[[#This Row],[Data_Wystawienia]])</f>
        <v>2022</v>
      </c>
      <c r="O347" s="2" t="str">
        <f>TEXT(Table14[[#This Row],[Data_Wystawienia]],"rrrr-mm")</f>
        <v>2022-05</v>
      </c>
      <c r="P347" s="2">
        <v>1</v>
      </c>
    </row>
    <row r="348" spans="1:16" x14ac:dyDescent="0.3">
      <c r="A348" s="2" t="str">
        <f>TRIM(Table1[[#This Row],[Numer_FV]])</f>
        <v>FV/CENFA/449506/22</v>
      </c>
      <c r="B348" s="2" t="str">
        <f>TRIM(Table1[[#This Row],[Numer_PZ]])</f>
        <v>PZ/800346</v>
      </c>
      <c r="C348" s="2" t="str">
        <f>TRIM(Table1[[#This Row],[Dostawca]])</f>
        <v>CentrumFarm</v>
      </c>
      <c r="D348" s="3">
        <v>44690</v>
      </c>
      <c r="E348" s="4" t="s">
        <v>1073</v>
      </c>
      <c r="F348" s="2" t="str">
        <f>TRIM(Table1[[#This Row],[Status]])</f>
        <v>Zaakceptowana</v>
      </c>
      <c r="G348" s="2" t="str">
        <f>TRIM(Table1[[#This Row],[Typ]])</f>
        <v>Faktura VAT</v>
      </c>
      <c r="H348" s="2" t="str">
        <f>TRIM(Table1[[#This Row],[Magazyn]])</f>
        <v>Apteka Szpitalna</v>
      </c>
      <c r="I348" s="2" t="str">
        <f>TRIM(Table1[[#This Row],[Umowa]])</f>
        <v>UM-CEN-02</v>
      </c>
      <c r="J348" s="2" t="b">
        <f>ISTEXT(Table14[[#This Row],[Data_Wystawienia]])</f>
        <v>0</v>
      </c>
      <c r="K348" s="2">
        <f>VALUE(SUBSTITUTE(Table14[[#This Row],[Wartość]],".",","))</f>
        <v>7893.79</v>
      </c>
      <c r="L3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8" s="2" t="str">
        <f>IF(Table14[[#This Row],[Umowa]]="","Poza umową","Z umowy")</f>
        <v>Z umowy</v>
      </c>
      <c r="N348" s="2">
        <f>YEAR(Table14[[#This Row],[Data_Wystawienia]])</f>
        <v>2022</v>
      </c>
      <c r="O348" s="2" t="str">
        <f>TEXT(Table14[[#This Row],[Data_Wystawienia]],"rrrr-mm")</f>
        <v>2022-05</v>
      </c>
      <c r="P348" s="2">
        <v>1</v>
      </c>
    </row>
    <row r="349" spans="1:16" x14ac:dyDescent="0.3">
      <c r="A349" s="2" t="str">
        <f>TRIM(Table1[[#This Row],[Numer_FV]])</f>
        <v>FV/POL/18228/2022</v>
      </c>
      <c r="B349" s="2" t="str">
        <f>TRIM(Table1[[#This Row],[Numer_PZ]])</f>
        <v>PZ/800347</v>
      </c>
      <c r="C349" s="2" t="str">
        <f>TRIM(Table1[[#This Row],[Dostawca]])</f>
        <v>Polmedica</v>
      </c>
      <c r="D349" s="3">
        <v>44690</v>
      </c>
      <c r="E349" s="4" t="s">
        <v>1076</v>
      </c>
      <c r="F349" s="2" t="str">
        <f>TRIM(Table1[[#This Row],[Status]])</f>
        <v>Zaakceptowana</v>
      </c>
      <c r="G349" s="2" t="str">
        <f>TRIM(Table1[[#This Row],[Typ]])</f>
        <v>Faktura VAT</v>
      </c>
      <c r="H349" s="2" t="str">
        <f>TRIM(Table1[[#This Row],[Magazyn]])</f>
        <v>Apteka Szpitalna</v>
      </c>
      <c r="I349" s="2" t="str">
        <f>TRIM(Table1[[#This Row],[Umowa]])</f>
        <v>UM-POL-01</v>
      </c>
      <c r="J349" s="2" t="b">
        <f>ISTEXT(Table14[[#This Row],[Data_Wystawienia]])</f>
        <v>0</v>
      </c>
      <c r="K349" s="2">
        <f>VALUE(SUBSTITUTE(Table14[[#This Row],[Wartość]],".",","))</f>
        <v>16296.93</v>
      </c>
      <c r="L3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49" s="2" t="str">
        <f>IF(Table14[[#This Row],[Umowa]]="","Poza umową","Z umowy")</f>
        <v>Z umowy</v>
      </c>
      <c r="N349" s="2">
        <f>YEAR(Table14[[#This Row],[Data_Wystawienia]])</f>
        <v>2022</v>
      </c>
      <c r="O349" s="2" t="str">
        <f>TEXT(Table14[[#This Row],[Data_Wystawienia]],"rrrr-mm")</f>
        <v>2022-05</v>
      </c>
      <c r="P349" s="2">
        <v>1</v>
      </c>
    </row>
    <row r="350" spans="1:16" x14ac:dyDescent="0.3">
      <c r="A350" s="2" t="str">
        <f>TRIM(Table1[[#This Row],[Numer_FV]])</f>
        <v>FV/CENFA/652140/22</v>
      </c>
      <c r="B350" s="2" t="str">
        <f>TRIM(Table1[[#This Row],[Numer_PZ]])</f>
        <v>PZ/800348</v>
      </c>
      <c r="C350" s="2" t="str">
        <f>TRIM(Table1[[#This Row],[Dostawca]])</f>
        <v>CentrumFarm</v>
      </c>
      <c r="D350" s="3">
        <v>44690</v>
      </c>
      <c r="E350" s="4" t="s">
        <v>1079</v>
      </c>
      <c r="F350" s="2" t="str">
        <f>TRIM(Table1[[#This Row],[Status]])</f>
        <v>Zaakceptowana</v>
      </c>
      <c r="G350" s="2" t="str">
        <f>TRIM(Table1[[#This Row],[Typ]])</f>
        <v>Faktura VAT</v>
      </c>
      <c r="H350" s="2" t="str">
        <f>TRIM(Table1[[#This Row],[Magazyn]])</f>
        <v>Apteka Szpitalna</v>
      </c>
      <c r="I350" s="2" t="str">
        <f>TRIM(Table1[[#This Row],[Umowa]])</f>
        <v>UM-CEN-01</v>
      </c>
      <c r="J350" s="2" t="b">
        <f>ISTEXT(Table14[[#This Row],[Data_Wystawienia]])</f>
        <v>0</v>
      </c>
      <c r="K350" s="2">
        <f>VALUE(SUBSTITUTE(Table14[[#This Row],[Wartość]],".",","))</f>
        <v>14572.55</v>
      </c>
      <c r="L3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0" s="2" t="str">
        <f>IF(Table14[[#This Row],[Umowa]]="","Poza umową","Z umowy")</f>
        <v>Z umowy</v>
      </c>
      <c r="N350" s="2">
        <f>YEAR(Table14[[#This Row],[Data_Wystawienia]])</f>
        <v>2022</v>
      </c>
      <c r="O350" s="2" t="str">
        <f>TEXT(Table14[[#This Row],[Data_Wystawienia]],"rrrr-mm")</f>
        <v>2022-05</v>
      </c>
      <c r="P350" s="2">
        <v>1</v>
      </c>
    </row>
    <row r="351" spans="1:16" x14ac:dyDescent="0.3">
      <c r="A351" s="2" t="str">
        <f>TRIM(Table1[[#This Row],[Numer_FV]])</f>
        <v>FV/M/2174/P/22</v>
      </c>
      <c r="B351" s="2" t="str">
        <f>TRIM(Table1[[#This Row],[Numer_PZ]])</f>
        <v>PZ/800349</v>
      </c>
      <c r="C351" s="2" t="str">
        <f>TRIM(Table1[[#This Row],[Dostawca]])</f>
        <v>MedicaPharm</v>
      </c>
      <c r="D351" s="3">
        <v>44691</v>
      </c>
      <c r="E351" s="4" t="s">
        <v>1082</v>
      </c>
      <c r="F351" s="2" t="str">
        <f>TRIM(Table1[[#This Row],[Status]])</f>
        <v>Zaakceptowana</v>
      </c>
      <c r="G351" s="2" t="str">
        <f>TRIM(Table1[[#This Row],[Typ]])</f>
        <v>Faktura VAT</v>
      </c>
      <c r="H351" s="2" t="str">
        <f>TRIM(Table1[[#This Row],[Magazyn]])</f>
        <v>Apteka Szpitalna</v>
      </c>
      <c r="I351" s="2" t="str">
        <f>TRIM(Table1[[#This Row],[Umowa]])</f>
        <v>UM-MED-02</v>
      </c>
      <c r="J351" s="2" t="b">
        <f>ISTEXT(Table14[[#This Row],[Data_Wystawienia]])</f>
        <v>0</v>
      </c>
      <c r="K351" s="2">
        <f>VALUE(SUBSTITUTE(Table14[[#This Row],[Wartość]],".",","))</f>
        <v>19306.2</v>
      </c>
      <c r="L3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1" s="2" t="str">
        <f>IF(Table14[[#This Row],[Umowa]]="","Poza umową","Z umowy")</f>
        <v>Z umowy</v>
      </c>
      <c r="N351" s="2">
        <f>YEAR(Table14[[#This Row],[Data_Wystawienia]])</f>
        <v>2022</v>
      </c>
      <c r="O351" s="2" t="str">
        <f>TEXT(Table14[[#This Row],[Data_Wystawienia]],"rrrr-mm")</f>
        <v>2022-05</v>
      </c>
      <c r="P351" s="2">
        <v>1</v>
      </c>
    </row>
    <row r="352" spans="1:16" x14ac:dyDescent="0.3">
      <c r="A352" s="2" t="str">
        <f>TRIM(Table1[[#This Row],[Numer_FV]])</f>
        <v>FV/3038/NOVA/22</v>
      </c>
      <c r="B352" s="2" t="str">
        <f>TRIM(Table1[[#This Row],[Numer_PZ]])</f>
        <v>PZ/800350</v>
      </c>
      <c r="C352" s="2" t="str">
        <f>TRIM(Table1[[#This Row],[Dostawca]])</f>
        <v>NovaLek</v>
      </c>
      <c r="D352" s="3">
        <v>44691</v>
      </c>
      <c r="E352" s="4" t="s">
        <v>1085</v>
      </c>
      <c r="F352" s="2" t="str">
        <f>TRIM(Table1[[#This Row],[Status]])</f>
        <v>Zaakceptowana</v>
      </c>
      <c r="G352" s="2" t="str">
        <f>TRIM(Table1[[#This Row],[Typ]])</f>
        <v>Faktura VAT</v>
      </c>
      <c r="H352" s="2" t="str">
        <f>TRIM(Table1[[#This Row],[Magazyn]])</f>
        <v>Apteka Szpitalna</v>
      </c>
      <c r="I352" s="2" t="str">
        <f>TRIM(Table1[[#This Row],[Umowa]])</f>
        <v>UM-NOV-02</v>
      </c>
      <c r="J352" s="2" t="b">
        <f>ISTEXT(Table14[[#This Row],[Data_Wystawienia]])</f>
        <v>0</v>
      </c>
      <c r="K352" s="2">
        <f>VALUE(SUBSTITUTE(Table14[[#This Row],[Wartość]],".",","))</f>
        <v>9895.5300000000007</v>
      </c>
      <c r="L3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2" s="2" t="str">
        <f>IF(Table14[[#This Row],[Umowa]]="","Poza umową","Z umowy")</f>
        <v>Z umowy</v>
      </c>
      <c r="N352" s="2">
        <f>YEAR(Table14[[#This Row],[Data_Wystawienia]])</f>
        <v>2022</v>
      </c>
      <c r="O352" s="2" t="str">
        <f>TEXT(Table14[[#This Row],[Data_Wystawienia]],"rrrr-mm")</f>
        <v>2022-05</v>
      </c>
      <c r="P352" s="2">
        <v>1</v>
      </c>
    </row>
    <row r="353" spans="1:16" x14ac:dyDescent="0.3">
      <c r="A353" s="2" t="str">
        <f>TRIM(Table1[[#This Row],[Numer_FV]])</f>
        <v>FV/81240/VDb/2022</v>
      </c>
      <c r="B353" s="2" t="str">
        <f>TRIM(Table1[[#This Row],[Numer_PZ]])</f>
        <v>PZ/800351</v>
      </c>
      <c r="C353" s="2" t="str">
        <f>TRIM(Table1[[#This Row],[Dostawca]])</f>
        <v>VitaDistrib</v>
      </c>
      <c r="D353" s="3">
        <v>44691</v>
      </c>
      <c r="E353" s="4" t="s">
        <v>1088</v>
      </c>
      <c r="F353" s="2" t="str">
        <f>TRIM(Table1[[#This Row],[Status]])</f>
        <v>Zaakceptowana</v>
      </c>
      <c r="G353" s="2" t="str">
        <f>TRIM(Table1[[#This Row],[Typ]])</f>
        <v>Faktura VAT</v>
      </c>
      <c r="H353" s="2" t="str">
        <f>TRIM(Table1[[#This Row],[Magazyn]])</f>
        <v>Apteka Szpitalna</v>
      </c>
      <c r="I353" s="2" t="str">
        <f>TRIM(Table1[[#This Row],[Umowa]])</f>
        <v>UM-VIT-01</v>
      </c>
      <c r="J353" s="2" t="b">
        <f>ISTEXT(Table14[[#This Row],[Data_Wystawienia]])</f>
        <v>0</v>
      </c>
      <c r="K353" s="2">
        <f>VALUE(SUBSTITUTE(Table14[[#This Row],[Wartość]],".",","))</f>
        <v>15644.27</v>
      </c>
      <c r="L3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3" s="2" t="str">
        <f>IF(Table14[[#This Row],[Umowa]]="","Poza umową","Z umowy")</f>
        <v>Z umowy</v>
      </c>
      <c r="N353" s="2">
        <f>YEAR(Table14[[#This Row],[Data_Wystawienia]])</f>
        <v>2022</v>
      </c>
      <c r="O353" s="2" t="str">
        <f>TEXT(Table14[[#This Row],[Data_Wystawienia]],"rrrr-mm")</f>
        <v>2022-05</v>
      </c>
      <c r="P353" s="2">
        <v>1</v>
      </c>
    </row>
    <row r="354" spans="1:16" x14ac:dyDescent="0.3">
      <c r="A354" s="2" t="str">
        <f>TRIM(Table1[[#This Row],[Numer_FV]])</f>
        <v>FV/CENFA/391077/22</v>
      </c>
      <c r="B354" s="2" t="str">
        <f>TRIM(Table1[[#This Row],[Numer_PZ]])</f>
        <v>PZ/800352</v>
      </c>
      <c r="C354" s="2" t="str">
        <f>TRIM(Table1[[#This Row],[Dostawca]])</f>
        <v>CentrumFarm</v>
      </c>
      <c r="D354" s="3">
        <v>44692</v>
      </c>
      <c r="E354" s="4" t="s">
        <v>1091</v>
      </c>
      <c r="F354" s="2" t="str">
        <f>TRIM(Table1[[#This Row],[Status]])</f>
        <v>Zaakceptowana</v>
      </c>
      <c r="G354" s="2" t="str">
        <f>TRIM(Table1[[#This Row],[Typ]])</f>
        <v>Faktura VAT</v>
      </c>
      <c r="H354" s="2" t="str">
        <f>TRIM(Table1[[#This Row],[Magazyn]])</f>
        <v>Apteka Szpitalna</v>
      </c>
      <c r="I354" s="2" t="str">
        <f>TRIM(Table1[[#This Row],[Umowa]])</f>
        <v>UM-CEN-01</v>
      </c>
      <c r="J354" s="2" t="b">
        <f>ISTEXT(Table14[[#This Row],[Data_Wystawienia]])</f>
        <v>0</v>
      </c>
      <c r="K354" s="2">
        <f>VALUE(SUBSTITUTE(Table14[[#This Row],[Wartość]],".",","))</f>
        <v>18819.07</v>
      </c>
      <c r="L3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4" s="2" t="str">
        <f>IF(Table14[[#This Row],[Umowa]]="","Poza umową","Z umowy")</f>
        <v>Z umowy</v>
      </c>
      <c r="N354" s="2">
        <f>YEAR(Table14[[#This Row],[Data_Wystawienia]])</f>
        <v>2022</v>
      </c>
      <c r="O354" s="2" t="str">
        <f>TEXT(Table14[[#This Row],[Data_Wystawienia]],"rrrr-mm")</f>
        <v>2022-05</v>
      </c>
      <c r="P354" s="2">
        <v>1</v>
      </c>
    </row>
    <row r="355" spans="1:16" x14ac:dyDescent="0.3">
      <c r="A355" s="2" t="str">
        <f>TRIM(Table1[[#This Row],[Numer_FV]])</f>
        <v>FV/CENFA/469767/22</v>
      </c>
      <c r="B355" s="2" t="str">
        <f>TRIM(Table1[[#This Row],[Numer_PZ]])</f>
        <v>PZ/800353</v>
      </c>
      <c r="C355" s="2" t="str">
        <f>TRIM(Table1[[#This Row],[Dostawca]])</f>
        <v>CentrumFarm</v>
      </c>
      <c r="D355" s="3">
        <v>44692</v>
      </c>
      <c r="E355" s="4" t="s">
        <v>1094</v>
      </c>
      <c r="F355" s="2" t="str">
        <f>TRIM(Table1[[#This Row],[Status]])</f>
        <v>Zaakceptowana</v>
      </c>
      <c r="G355" s="2" t="str">
        <f>TRIM(Table1[[#This Row],[Typ]])</f>
        <v>Faktura VAT</v>
      </c>
      <c r="H355" s="2" t="str">
        <f>TRIM(Table1[[#This Row],[Magazyn]])</f>
        <v>Apteka Szpitalna</v>
      </c>
      <c r="I355" s="2" t="str">
        <f>TRIM(Table1[[#This Row],[Umowa]])</f>
        <v>UM-CEN-02</v>
      </c>
      <c r="J355" s="2" t="b">
        <f>ISTEXT(Table14[[#This Row],[Data_Wystawienia]])</f>
        <v>0</v>
      </c>
      <c r="K355" s="2">
        <f>VALUE(SUBSTITUTE(Table14[[#This Row],[Wartość]],".",","))</f>
        <v>6386.58</v>
      </c>
      <c r="L3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5" s="2" t="str">
        <f>IF(Table14[[#This Row],[Umowa]]="","Poza umową","Z umowy")</f>
        <v>Z umowy</v>
      </c>
      <c r="N355" s="2">
        <f>YEAR(Table14[[#This Row],[Data_Wystawienia]])</f>
        <v>2022</v>
      </c>
      <c r="O355" s="2" t="str">
        <f>TEXT(Table14[[#This Row],[Data_Wystawienia]],"rrrr-mm")</f>
        <v>2022-05</v>
      </c>
      <c r="P355" s="2">
        <v>1</v>
      </c>
    </row>
    <row r="356" spans="1:16" x14ac:dyDescent="0.3">
      <c r="A356" s="2" t="str">
        <f>TRIM(Table1[[#This Row],[Numer_FV]])</f>
        <v>FV/M/2035/P/22</v>
      </c>
      <c r="B356" s="2" t="str">
        <f>TRIM(Table1[[#This Row],[Numer_PZ]])</f>
        <v>PZ/800354</v>
      </c>
      <c r="C356" s="2" t="str">
        <f>TRIM(Table1[[#This Row],[Dostawca]])</f>
        <v>MedicaPharm</v>
      </c>
      <c r="D356" s="3">
        <v>44693</v>
      </c>
      <c r="E356" s="4" t="s">
        <v>1097</v>
      </c>
      <c r="F356" s="2" t="str">
        <f>TRIM(Table1[[#This Row],[Status]])</f>
        <v>Zaakceptowana</v>
      </c>
      <c r="G356" s="2" t="str">
        <f>TRIM(Table1[[#This Row],[Typ]])</f>
        <v>Faktura VAT</v>
      </c>
      <c r="H356" s="2" t="str">
        <f>TRIM(Table1[[#This Row],[Magazyn]])</f>
        <v>Apteka Szpitalna</v>
      </c>
      <c r="I356" s="2" t="str">
        <f>TRIM(Table1[[#This Row],[Umowa]])</f>
        <v>UM-MED-01</v>
      </c>
      <c r="J356" s="2" t="b">
        <f>ISTEXT(Table14[[#This Row],[Data_Wystawienia]])</f>
        <v>0</v>
      </c>
      <c r="K356" s="2">
        <f>VALUE(SUBSTITUTE(Table14[[#This Row],[Wartość]],".",","))</f>
        <v>17357.28</v>
      </c>
      <c r="L3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6" s="2" t="str">
        <f>IF(Table14[[#This Row],[Umowa]]="","Poza umową","Z umowy")</f>
        <v>Z umowy</v>
      </c>
      <c r="N356" s="2">
        <f>YEAR(Table14[[#This Row],[Data_Wystawienia]])</f>
        <v>2022</v>
      </c>
      <c r="O356" s="2" t="str">
        <f>TEXT(Table14[[#This Row],[Data_Wystawienia]],"rrrr-mm")</f>
        <v>2022-05</v>
      </c>
      <c r="P356" s="2">
        <v>1</v>
      </c>
    </row>
    <row r="357" spans="1:16" x14ac:dyDescent="0.3">
      <c r="A357" s="2" t="str">
        <f>TRIM(Table1[[#This Row],[Numer_FV]])</f>
        <v>FV/90833/VDb/2022</v>
      </c>
      <c r="B357" s="2" t="str">
        <f>TRIM(Table1[[#This Row],[Numer_PZ]])</f>
        <v>PZ/800355</v>
      </c>
      <c r="C357" s="2" t="str">
        <f>TRIM(Table1[[#This Row],[Dostawca]])</f>
        <v>VitaDistrib</v>
      </c>
      <c r="D357" s="3">
        <v>44693</v>
      </c>
      <c r="E357" s="4" t="s">
        <v>1100</v>
      </c>
      <c r="F357" s="2" t="str">
        <f>TRIM(Table1[[#This Row],[Status]])</f>
        <v>Zaakceptowana</v>
      </c>
      <c r="G357" s="2" t="str">
        <f>TRIM(Table1[[#This Row],[Typ]])</f>
        <v>Faktura VAT</v>
      </c>
      <c r="H357" s="2" t="str">
        <f>TRIM(Table1[[#This Row],[Magazyn]])</f>
        <v>Apteka Szpitalna</v>
      </c>
      <c r="I357" s="2" t="str">
        <f>TRIM(Table1[[#This Row],[Umowa]])</f>
        <v>UM-VIT-01</v>
      </c>
      <c r="J357" s="2" t="b">
        <f>ISTEXT(Table14[[#This Row],[Data_Wystawienia]])</f>
        <v>0</v>
      </c>
      <c r="K357" s="2">
        <f>VALUE(SUBSTITUTE(Table14[[#This Row],[Wartość]],".",","))</f>
        <v>8584.1200000000008</v>
      </c>
      <c r="L3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7" s="2" t="str">
        <f>IF(Table14[[#This Row],[Umowa]]="","Poza umową","Z umowy")</f>
        <v>Z umowy</v>
      </c>
      <c r="N357" s="2">
        <f>YEAR(Table14[[#This Row],[Data_Wystawienia]])</f>
        <v>2022</v>
      </c>
      <c r="O357" s="2" t="str">
        <f>TEXT(Table14[[#This Row],[Data_Wystawienia]],"rrrr-mm")</f>
        <v>2022-05</v>
      </c>
      <c r="P357" s="2">
        <v>1</v>
      </c>
    </row>
    <row r="358" spans="1:16" x14ac:dyDescent="0.3">
      <c r="A358" s="2" t="str">
        <f>TRIM(Table1[[#This Row],[Numer_FV]])</f>
        <v>FV/POL/78793/2022</v>
      </c>
      <c r="B358" s="2" t="str">
        <f>TRIM(Table1[[#This Row],[Numer_PZ]])</f>
        <v>PZ/800356</v>
      </c>
      <c r="C358" s="2" t="str">
        <f>TRIM(Table1[[#This Row],[Dostawca]])</f>
        <v>Polmedica</v>
      </c>
      <c r="D358" s="3">
        <v>44693</v>
      </c>
      <c r="E358" s="4" t="s">
        <v>1103</v>
      </c>
      <c r="F358" s="2" t="str">
        <f>TRIM(Table1[[#This Row],[Status]])</f>
        <v>Zaakceptowana</v>
      </c>
      <c r="G358" s="2" t="str">
        <f>TRIM(Table1[[#This Row],[Typ]])</f>
        <v>Faktura VAT</v>
      </c>
      <c r="H358" s="2" t="str">
        <f>TRIM(Table1[[#This Row],[Magazyn]])</f>
        <v>Apteka Szpitalna</v>
      </c>
      <c r="I358" s="2" t="str">
        <f>TRIM(Table1[[#This Row],[Umowa]])</f>
        <v>UM-POL-01</v>
      </c>
      <c r="J358" s="2" t="b">
        <f>ISTEXT(Table14[[#This Row],[Data_Wystawienia]])</f>
        <v>0</v>
      </c>
      <c r="K358" s="2">
        <f>VALUE(SUBSTITUTE(Table14[[#This Row],[Wartość]],".",","))</f>
        <v>13929.81</v>
      </c>
      <c r="L3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8" s="2" t="str">
        <f>IF(Table14[[#This Row],[Umowa]]="","Poza umową","Z umowy")</f>
        <v>Z umowy</v>
      </c>
      <c r="N358" s="2">
        <f>YEAR(Table14[[#This Row],[Data_Wystawienia]])</f>
        <v>2022</v>
      </c>
      <c r="O358" s="2" t="str">
        <f>TEXT(Table14[[#This Row],[Data_Wystawienia]],"rrrr-mm")</f>
        <v>2022-05</v>
      </c>
      <c r="P358" s="2">
        <v>1</v>
      </c>
    </row>
    <row r="359" spans="1:16" x14ac:dyDescent="0.3">
      <c r="A359" s="2" t="str">
        <f>TRIM(Table1[[#This Row],[Numer_FV]])</f>
        <v>FV/29816/VDb/2022</v>
      </c>
      <c r="B359" s="2" t="str">
        <f>TRIM(Table1[[#This Row],[Numer_PZ]])</f>
        <v>PZ/800357</v>
      </c>
      <c r="C359" s="2" t="str">
        <f>TRIM(Table1[[#This Row],[Dostawca]])</f>
        <v>VitaDistrib</v>
      </c>
      <c r="D359" s="3">
        <v>44693</v>
      </c>
      <c r="E359" s="4" t="s">
        <v>1106</v>
      </c>
      <c r="F359" s="2" t="str">
        <f>TRIM(Table1[[#This Row],[Status]])</f>
        <v>Zaakceptowana</v>
      </c>
      <c r="G359" s="2" t="str">
        <f>TRIM(Table1[[#This Row],[Typ]])</f>
        <v>Faktura VAT</v>
      </c>
      <c r="H359" s="2" t="str">
        <f>TRIM(Table1[[#This Row],[Magazyn]])</f>
        <v>Apteka Szpitalna</v>
      </c>
      <c r="I359" s="2" t="str">
        <f>TRIM(Table1[[#This Row],[Umowa]])</f>
        <v>UM-VIT-01</v>
      </c>
      <c r="J359" s="2" t="b">
        <f>ISTEXT(Table14[[#This Row],[Data_Wystawienia]])</f>
        <v>0</v>
      </c>
      <c r="K359" s="2">
        <f>VALUE(SUBSTITUTE(Table14[[#This Row],[Wartość]],".",","))</f>
        <v>18418.849999999999</v>
      </c>
      <c r="L3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59" s="2" t="str">
        <f>IF(Table14[[#This Row],[Umowa]]="","Poza umową","Z umowy")</f>
        <v>Z umowy</v>
      </c>
      <c r="N359" s="2">
        <f>YEAR(Table14[[#This Row],[Data_Wystawienia]])</f>
        <v>2022</v>
      </c>
      <c r="O359" s="2" t="str">
        <f>TEXT(Table14[[#This Row],[Data_Wystawienia]],"rrrr-mm")</f>
        <v>2022-05</v>
      </c>
      <c r="P359" s="2">
        <v>1</v>
      </c>
    </row>
    <row r="360" spans="1:16" x14ac:dyDescent="0.3">
      <c r="A360" s="2" t="str">
        <f>TRIM(Table1[[#This Row],[Numer_FV]])</f>
        <v>FV/6383/NOVA/22</v>
      </c>
      <c r="B360" s="2" t="str">
        <f>TRIM(Table1[[#This Row],[Numer_PZ]])</f>
        <v>PZ/800358</v>
      </c>
      <c r="C360" s="2" t="str">
        <f>TRIM(Table1[[#This Row],[Dostawca]])</f>
        <v>NovaLek</v>
      </c>
      <c r="D360" s="3">
        <v>44694</v>
      </c>
      <c r="E360" s="4" t="s">
        <v>1109</v>
      </c>
      <c r="F360" s="2" t="str">
        <f>TRIM(Table1[[#This Row],[Status]])</f>
        <v>Zaakceptowana</v>
      </c>
      <c r="G360" s="2" t="str">
        <f>TRIM(Table1[[#This Row],[Typ]])</f>
        <v>Faktura VAT</v>
      </c>
      <c r="H360" s="2" t="str">
        <f>TRIM(Table1[[#This Row],[Magazyn]])</f>
        <v>Apteka Szpitalna</v>
      </c>
      <c r="I360" s="2" t="str">
        <f>TRIM(Table1[[#This Row],[Umowa]])</f>
        <v>UM-NOV-01</v>
      </c>
      <c r="J360" s="2" t="b">
        <f>ISTEXT(Table14[[#This Row],[Data_Wystawienia]])</f>
        <v>0</v>
      </c>
      <c r="K360" s="2">
        <f>VALUE(SUBSTITUTE(Table14[[#This Row],[Wartość]],".",","))</f>
        <v>12995.23</v>
      </c>
      <c r="L3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0" s="2" t="str">
        <f>IF(Table14[[#This Row],[Umowa]]="","Poza umową","Z umowy")</f>
        <v>Z umowy</v>
      </c>
      <c r="N360" s="2">
        <f>YEAR(Table14[[#This Row],[Data_Wystawienia]])</f>
        <v>2022</v>
      </c>
      <c r="O360" s="2" t="str">
        <f>TEXT(Table14[[#This Row],[Data_Wystawienia]],"rrrr-mm")</f>
        <v>2022-05</v>
      </c>
      <c r="P360" s="2">
        <v>1</v>
      </c>
    </row>
    <row r="361" spans="1:16" x14ac:dyDescent="0.3">
      <c r="A361" s="2" t="str">
        <f>TRIM(Table1[[#This Row],[Numer_FV]])</f>
        <v>FV/88953/VDb/2022</v>
      </c>
      <c r="B361" s="2" t="str">
        <f>TRIM(Table1[[#This Row],[Numer_PZ]])</f>
        <v>PZ/800359</v>
      </c>
      <c r="C361" s="2" t="str">
        <f>TRIM(Table1[[#This Row],[Dostawca]])</f>
        <v>VitaDistrib</v>
      </c>
      <c r="D361" s="3">
        <v>44694</v>
      </c>
      <c r="E361" s="4" t="s">
        <v>1112</v>
      </c>
      <c r="F361" s="2" t="str">
        <f>TRIM(Table1[[#This Row],[Status]])</f>
        <v>Zaakceptowana</v>
      </c>
      <c r="G361" s="2" t="str">
        <f>TRIM(Table1[[#This Row],[Typ]])</f>
        <v>Faktura VAT</v>
      </c>
      <c r="H361" s="2" t="str">
        <f>TRIM(Table1[[#This Row],[Magazyn]])</f>
        <v>Apteka Szpitalna</v>
      </c>
      <c r="I361" s="2" t="str">
        <f>TRIM(Table1[[#This Row],[Umowa]])</f>
        <v>UM-VIT-01</v>
      </c>
      <c r="J361" s="2" t="b">
        <f>ISTEXT(Table14[[#This Row],[Data_Wystawienia]])</f>
        <v>0</v>
      </c>
      <c r="K361" s="2">
        <f>VALUE(SUBSTITUTE(Table14[[#This Row],[Wartość]],".",","))</f>
        <v>15075.69</v>
      </c>
      <c r="L3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1" s="2" t="str">
        <f>IF(Table14[[#This Row],[Umowa]]="","Poza umową","Z umowy")</f>
        <v>Z umowy</v>
      </c>
      <c r="N361" s="2">
        <f>YEAR(Table14[[#This Row],[Data_Wystawienia]])</f>
        <v>2022</v>
      </c>
      <c r="O361" s="2" t="str">
        <f>TEXT(Table14[[#This Row],[Data_Wystawienia]],"rrrr-mm")</f>
        <v>2022-05</v>
      </c>
      <c r="P361" s="2">
        <v>1</v>
      </c>
    </row>
    <row r="362" spans="1:16" x14ac:dyDescent="0.3">
      <c r="A362" s="2" t="str">
        <f>TRIM(Table1[[#This Row],[Numer_FV]])</f>
        <v>FV/30/SAL/22</v>
      </c>
      <c r="B362" s="2" t="str">
        <f>TRIM(Table1[[#This Row],[Numer_PZ]])</f>
        <v>PZ/800360</v>
      </c>
      <c r="C362" s="2" t="str">
        <f>TRIM(Table1[[#This Row],[Dostawca]])</f>
        <v>SalusHurt</v>
      </c>
      <c r="D362" s="3">
        <v>44695</v>
      </c>
      <c r="E362" s="4" t="s">
        <v>1114</v>
      </c>
      <c r="F362" s="2" t="str">
        <f>TRIM(Table1[[#This Row],[Status]])</f>
        <v>Zaakceptowana</v>
      </c>
      <c r="G362" s="2" t="str">
        <f>TRIM(Table1[[#This Row],[Typ]])</f>
        <v>Faktura VAT</v>
      </c>
      <c r="H362" s="2" t="str">
        <f>TRIM(Table1[[#This Row],[Magazyn]])</f>
        <v>Apteka Szpitalna</v>
      </c>
      <c r="I362" s="2" t="str">
        <f>TRIM(Table1[[#This Row],[Umowa]])</f>
        <v>UM-SAL-01</v>
      </c>
      <c r="J362" s="2" t="b">
        <f>ISTEXT(Table14[[#This Row],[Data_Wystawienia]])</f>
        <v>0</v>
      </c>
      <c r="K362" s="2">
        <f>VALUE(SUBSTITUTE(Table14[[#This Row],[Wartość]],".",","))</f>
        <v>17381.32</v>
      </c>
      <c r="L3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2" s="2" t="str">
        <f>IF(Table14[[#This Row],[Umowa]]="","Poza umową","Z umowy")</f>
        <v>Z umowy</v>
      </c>
      <c r="N362" s="2">
        <f>YEAR(Table14[[#This Row],[Data_Wystawienia]])</f>
        <v>2022</v>
      </c>
      <c r="O362" s="2" t="str">
        <f>TEXT(Table14[[#This Row],[Data_Wystawienia]],"rrrr-mm")</f>
        <v>2022-05</v>
      </c>
      <c r="P362" s="2">
        <v>1</v>
      </c>
    </row>
    <row r="363" spans="1:16" x14ac:dyDescent="0.3">
      <c r="A363" s="2" t="str">
        <f>TRIM(Table1[[#This Row],[Numer_FV]])</f>
        <v>FV/8329/NOVA/22</v>
      </c>
      <c r="B363" s="2" t="str">
        <f>TRIM(Table1[[#This Row],[Numer_PZ]])</f>
        <v>PZ/800361</v>
      </c>
      <c r="C363" s="2" t="str">
        <f>TRIM(Table1[[#This Row],[Dostawca]])</f>
        <v>NovaLek</v>
      </c>
      <c r="D363" s="3">
        <v>44695</v>
      </c>
      <c r="E363" s="4" t="s">
        <v>1117</v>
      </c>
      <c r="F363" s="2" t="str">
        <f>TRIM(Table1[[#This Row],[Status]])</f>
        <v>Zaakceptowana</v>
      </c>
      <c r="G363" s="2" t="str">
        <f>TRIM(Table1[[#This Row],[Typ]])</f>
        <v>Faktura VAT</v>
      </c>
      <c r="H363" s="2" t="str">
        <f>TRIM(Table1[[#This Row],[Magazyn]])</f>
        <v>Apteka Szpitalna</v>
      </c>
      <c r="I363" s="2" t="str">
        <f>TRIM(Table1[[#This Row],[Umowa]])</f>
        <v>UM-NOV-03</v>
      </c>
      <c r="J363" s="2" t="b">
        <f>ISTEXT(Table14[[#This Row],[Data_Wystawienia]])</f>
        <v>0</v>
      </c>
      <c r="K363" s="2">
        <f>VALUE(SUBSTITUTE(Table14[[#This Row],[Wartość]],".",","))</f>
        <v>22525.61</v>
      </c>
      <c r="L3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3" s="2" t="str">
        <f>IF(Table14[[#This Row],[Umowa]]="","Poza umową","Z umowy")</f>
        <v>Z umowy</v>
      </c>
      <c r="N363" s="2">
        <f>YEAR(Table14[[#This Row],[Data_Wystawienia]])</f>
        <v>2022</v>
      </c>
      <c r="O363" s="2" t="str">
        <f>TEXT(Table14[[#This Row],[Data_Wystawienia]],"rrrr-mm")</f>
        <v>2022-05</v>
      </c>
      <c r="P363" s="2">
        <v>1</v>
      </c>
    </row>
    <row r="364" spans="1:16" x14ac:dyDescent="0.3">
      <c r="A364" s="2" t="str">
        <f>TRIM(Table1[[#This Row],[Numer_FV]])</f>
        <v>FV/M/4263/P/22</v>
      </c>
      <c r="B364" s="2" t="str">
        <f>TRIM(Table1[[#This Row],[Numer_PZ]])</f>
        <v>PZ/800362</v>
      </c>
      <c r="C364" s="2" t="str">
        <f>TRIM(Table1[[#This Row],[Dostawca]])</f>
        <v>MedicaPharm</v>
      </c>
      <c r="D364" s="3">
        <v>44695</v>
      </c>
      <c r="E364" s="4" t="s">
        <v>1120</v>
      </c>
      <c r="F364" s="2" t="str">
        <f>TRIM(Table1[[#This Row],[Status]])</f>
        <v>Zaakceptowana</v>
      </c>
      <c r="G364" s="2" t="str">
        <f>TRIM(Table1[[#This Row],[Typ]])</f>
        <v>Faktura VAT</v>
      </c>
      <c r="H364" s="2" t="str">
        <f>TRIM(Table1[[#This Row],[Magazyn]])</f>
        <v>Apteka Szpitalna</v>
      </c>
      <c r="I364" s="2" t="str">
        <f>TRIM(Table1[[#This Row],[Umowa]])</f>
        <v>UM-MED-02</v>
      </c>
      <c r="J364" s="2" t="b">
        <f>ISTEXT(Table14[[#This Row],[Data_Wystawienia]])</f>
        <v>0</v>
      </c>
      <c r="K364" s="2">
        <f>VALUE(SUBSTITUTE(Table14[[#This Row],[Wartość]],".",","))</f>
        <v>12185.33</v>
      </c>
      <c r="L3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4" s="2" t="str">
        <f>IF(Table14[[#This Row],[Umowa]]="","Poza umową","Z umowy")</f>
        <v>Z umowy</v>
      </c>
      <c r="N364" s="2">
        <f>YEAR(Table14[[#This Row],[Data_Wystawienia]])</f>
        <v>2022</v>
      </c>
      <c r="O364" s="2" t="str">
        <f>TEXT(Table14[[#This Row],[Data_Wystawienia]],"rrrr-mm")</f>
        <v>2022-05</v>
      </c>
      <c r="P364" s="2">
        <v>1</v>
      </c>
    </row>
    <row r="365" spans="1:16" x14ac:dyDescent="0.3">
      <c r="A365" s="2" t="str">
        <f>TRIM(Table1[[#This Row],[Numer_FV]])</f>
        <v>FV/65/PP/1713/22</v>
      </c>
      <c r="B365" s="2" t="str">
        <f>TRIM(Table1[[#This Row],[Numer_PZ]])</f>
        <v>PZ/800363</v>
      </c>
      <c r="C365" s="2" t="str">
        <f>TRIM(Table1[[#This Row],[Dostawca]])</f>
        <v>PharmaPlus</v>
      </c>
      <c r="D365" s="3">
        <v>44696</v>
      </c>
      <c r="E365" s="4" t="s">
        <v>1123</v>
      </c>
      <c r="F365" s="2" t="str">
        <f>TRIM(Table1[[#This Row],[Status]])</f>
        <v>Zaakceptowana</v>
      </c>
      <c r="G365" s="2" t="str">
        <f>TRIM(Table1[[#This Row],[Typ]])</f>
        <v>Faktura VAT</v>
      </c>
      <c r="H365" s="2" t="str">
        <f>TRIM(Table1[[#This Row],[Magazyn]])</f>
        <v>Apteka Szpitalna</v>
      </c>
      <c r="I365" s="2" t="str">
        <f>TRIM(Table1[[#This Row],[Umowa]])</f>
        <v>UM-PHA-02</v>
      </c>
      <c r="J365" s="2" t="b">
        <f>ISTEXT(Table14[[#This Row],[Data_Wystawienia]])</f>
        <v>0</v>
      </c>
      <c r="K365" s="2">
        <f>VALUE(SUBSTITUTE(Table14[[#This Row],[Wartość]],".",","))</f>
        <v>12175.45</v>
      </c>
      <c r="L3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5" s="2" t="str">
        <f>IF(Table14[[#This Row],[Umowa]]="","Poza umową","Z umowy")</f>
        <v>Z umowy</v>
      </c>
      <c r="N365" s="2">
        <f>YEAR(Table14[[#This Row],[Data_Wystawienia]])</f>
        <v>2022</v>
      </c>
      <c r="O365" s="2" t="str">
        <f>TEXT(Table14[[#This Row],[Data_Wystawienia]],"rrrr-mm")</f>
        <v>2022-05</v>
      </c>
      <c r="P365" s="2">
        <v>1</v>
      </c>
    </row>
    <row r="366" spans="1:16" x14ac:dyDescent="0.3">
      <c r="A366" s="2" t="str">
        <f>TRIM(Table1[[#This Row],[Numer_FV]])</f>
        <v>FV/17/PP/4175/22</v>
      </c>
      <c r="B366" s="2" t="str">
        <f>TRIM(Table1[[#This Row],[Numer_PZ]])</f>
        <v>PZ/800364</v>
      </c>
      <c r="C366" s="2" t="str">
        <f>TRIM(Table1[[#This Row],[Dostawca]])</f>
        <v>PharmaPlus</v>
      </c>
      <c r="D366" s="3">
        <v>44696</v>
      </c>
      <c r="E366" s="4" t="s">
        <v>1126</v>
      </c>
      <c r="F366" s="2" t="str">
        <f>TRIM(Table1[[#This Row],[Status]])</f>
        <v>Zaakceptowana</v>
      </c>
      <c r="G366" s="2" t="str">
        <f>TRIM(Table1[[#This Row],[Typ]])</f>
        <v>Faktura VAT</v>
      </c>
      <c r="H366" s="2" t="str">
        <f>TRIM(Table1[[#This Row],[Magazyn]])</f>
        <v>Apteka Szpitalna</v>
      </c>
      <c r="I366" s="2" t="str">
        <f>TRIM(Table1[[#This Row],[Umowa]])</f>
        <v>UM-PHA-01</v>
      </c>
      <c r="J366" s="2" t="b">
        <f>ISTEXT(Table14[[#This Row],[Data_Wystawienia]])</f>
        <v>0</v>
      </c>
      <c r="K366" s="2">
        <f>VALUE(SUBSTITUTE(Table14[[#This Row],[Wartość]],".",","))</f>
        <v>16232.52</v>
      </c>
      <c r="L3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6" s="2" t="str">
        <f>IF(Table14[[#This Row],[Umowa]]="","Poza umową","Z umowy")</f>
        <v>Z umowy</v>
      </c>
      <c r="N366" s="2">
        <f>YEAR(Table14[[#This Row],[Data_Wystawienia]])</f>
        <v>2022</v>
      </c>
      <c r="O366" s="2" t="str">
        <f>TEXT(Table14[[#This Row],[Data_Wystawienia]],"rrrr-mm")</f>
        <v>2022-05</v>
      </c>
      <c r="P366" s="2">
        <v>1</v>
      </c>
    </row>
    <row r="367" spans="1:16" x14ac:dyDescent="0.3">
      <c r="A367" s="2" t="str">
        <f>TRIM(Table1[[#This Row],[Numer_FV]])</f>
        <v>FV/40285/VDb/2022</v>
      </c>
      <c r="B367" s="2" t="str">
        <f>TRIM(Table1[[#This Row],[Numer_PZ]])</f>
        <v>PZ/800365</v>
      </c>
      <c r="C367" s="2" t="str">
        <f>TRIM(Table1[[#This Row],[Dostawca]])</f>
        <v>VitaDistrib</v>
      </c>
      <c r="D367" s="3">
        <v>44697</v>
      </c>
      <c r="E367" s="4" t="s">
        <v>1129</v>
      </c>
      <c r="F367" s="2" t="str">
        <f>TRIM(Table1[[#This Row],[Status]])</f>
        <v>Zaakceptowana</v>
      </c>
      <c r="G367" s="2" t="str">
        <f>TRIM(Table1[[#This Row],[Typ]])</f>
        <v>Faktura VAT</v>
      </c>
      <c r="H367" s="2" t="str">
        <f>TRIM(Table1[[#This Row],[Magazyn]])</f>
        <v>Apteka Szpitalna</v>
      </c>
      <c r="I367" s="2" t="str">
        <f>TRIM(Table1[[#This Row],[Umowa]])</f>
        <v>UM-VIT-01</v>
      </c>
      <c r="J367" s="2" t="b">
        <f>ISTEXT(Table14[[#This Row],[Data_Wystawienia]])</f>
        <v>0</v>
      </c>
      <c r="K367" s="2">
        <f>VALUE(SUBSTITUTE(Table14[[#This Row],[Wartość]],".",","))</f>
        <v>17507.62</v>
      </c>
      <c r="L3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7" s="2" t="str">
        <f>IF(Table14[[#This Row],[Umowa]]="","Poza umową","Z umowy")</f>
        <v>Z umowy</v>
      </c>
      <c r="N367" s="2">
        <f>YEAR(Table14[[#This Row],[Data_Wystawienia]])</f>
        <v>2022</v>
      </c>
      <c r="O367" s="2" t="str">
        <f>TEXT(Table14[[#This Row],[Data_Wystawienia]],"rrrr-mm")</f>
        <v>2022-05</v>
      </c>
      <c r="P367" s="2">
        <v>1</v>
      </c>
    </row>
    <row r="368" spans="1:16" x14ac:dyDescent="0.3">
      <c r="A368" s="2" t="str">
        <f>TRIM(Table1[[#This Row],[Numer_FV]])</f>
        <v>FV/23676/VDb/2022</v>
      </c>
      <c r="B368" s="2" t="str">
        <f>TRIM(Table1[[#This Row],[Numer_PZ]])</f>
        <v>PZ/800366</v>
      </c>
      <c r="C368" s="2" t="str">
        <f>TRIM(Table1[[#This Row],[Dostawca]])</f>
        <v>VitaDistrib</v>
      </c>
      <c r="D368" s="3">
        <v>44697</v>
      </c>
      <c r="E368" s="4" t="s">
        <v>1132</v>
      </c>
      <c r="F368" s="2" t="str">
        <f>TRIM(Table1[[#This Row],[Status]])</f>
        <v>Zaakceptowana</v>
      </c>
      <c r="G368" s="2" t="str">
        <f>TRIM(Table1[[#This Row],[Typ]])</f>
        <v>Faktura VAT</v>
      </c>
      <c r="H368" s="2" t="str">
        <f>TRIM(Table1[[#This Row],[Magazyn]])</f>
        <v>Apteka Szpitalna</v>
      </c>
      <c r="I368" s="2" t="str">
        <f>TRIM(Table1[[#This Row],[Umowa]])</f>
        <v>UM-VIT-01</v>
      </c>
      <c r="J368" s="2" t="b">
        <f>ISTEXT(Table14[[#This Row],[Data_Wystawienia]])</f>
        <v>0</v>
      </c>
      <c r="K368" s="2">
        <f>VALUE(SUBSTITUTE(Table14[[#This Row],[Wartość]],".",","))</f>
        <v>23109.82</v>
      </c>
      <c r="L3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8" s="2" t="str">
        <f>IF(Table14[[#This Row],[Umowa]]="","Poza umową","Z umowy")</f>
        <v>Z umowy</v>
      </c>
      <c r="N368" s="2">
        <f>YEAR(Table14[[#This Row],[Data_Wystawienia]])</f>
        <v>2022</v>
      </c>
      <c r="O368" s="2" t="str">
        <f>TEXT(Table14[[#This Row],[Data_Wystawienia]],"rrrr-mm")</f>
        <v>2022-05</v>
      </c>
      <c r="P368" s="2">
        <v>1</v>
      </c>
    </row>
    <row r="369" spans="1:16" x14ac:dyDescent="0.3">
      <c r="A369" s="2" t="str">
        <f>TRIM(Table1[[#This Row],[Numer_FV]])</f>
        <v>FV/84735/VDb/2022</v>
      </c>
      <c r="B369" s="2" t="str">
        <f>TRIM(Table1[[#This Row],[Numer_PZ]])</f>
        <v>PZ/800367</v>
      </c>
      <c r="C369" s="2" t="str">
        <f>TRIM(Table1[[#This Row],[Dostawca]])</f>
        <v>VitaDistrib</v>
      </c>
      <c r="D369" s="3">
        <v>44697</v>
      </c>
      <c r="E369" s="4" t="s">
        <v>1135</v>
      </c>
      <c r="F369" s="2" t="str">
        <f>TRIM(Table1[[#This Row],[Status]])</f>
        <v>Zaakceptowana</v>
      </c>
      <c r="G369" s="2" t="str">
        <f>TRIM(Table1[[#This Row],[Typ]])</f>
        <v>Faktura VAT</v>
      </c>
      <c r="H369" s="2" t="str">
        <f>TRIM(Table1[[#This Row],[Magazyn]])</f>
        <v>Apteka Szpitalna</v>
      </c>
      <c r="I369" s="2" t="str">
        <f>TRIM(Table1[[#This Row],[Umowa]])</f>
        <v>UM-VIT-01</v>
      </c>
      <c r="J369" s="2" t="b">
        <f>ISTEXT(Table14[[#This Row],[Data_Wystawienia]])</f>
        <v>0</v>
      </c>
      <c r="K369" s="2">
        <f>VALUE(SUBSTITUTE(Table14[[#This Row],[Wartość]],".",","))</f>
        <v>12519.15</v>
      </c>
      <c r="L3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69" s="2" t="str">
        <f>IF(Table14[[#This Row],[Umowa]]="","Poza umową","Z umowy")</f>
        <v>Z umowy</v>
      </c>
      <c r="N369" s="2">
        <f>YEAR(Table14[[#This Row],[Data_Wystawienia]])</f>
        <v>2022</v>
      </c>
      <c r="O369" s="2" t="str">
        <f>TEXT(Table14[[#This Row],[Data_Wystawienia]],"rrrr-mm")</f>
        <v>2022-05</v>
      </c>
      <c r="P369" s="2">
        <v>1</v>
      </c>
    </row>
    <row r="370" spans="1:16" x14ac:dyDescent="0.3">
      <c r="A370" s="2" t="str">
        <f>TRIM(Table1[[#This Row],[Numer_FV]])</f>
        <v>FV/70053/VDb/2022</v>
      </c>
      <c r="B370" s="2" t="str">
        <f>TRIM(Table1[[#This Row],[Numer_PZ]])</f>
        <v>PZ/800368</v>
      </c>
      <c r="C370" s="2" t="str">
        <f>TRIM(Table1[[#This Row],[Dostawca]])</f>
        <v>VitaDistrib</v>
      </c>
      <c r="D370" s="3">
        <v>44697</v>
      </c>
      <c r="E370" s="4" t="s">
        <v>1138</v>
      </c>
      <c r="F370" s="2" t="str">
        <f>TRIM(Table1[[#This Row],[Status]])</f>
        <v>Zaakceptowana</v>
      </c>
      <c r="G370" s="2" t="str">
        <f>TRIM(Table1[[#This Row],[Typ]])</f>
        <v>Faktura VAT</v>
      </c>
      <c r="H370" s="2" t="str">
        <f>TRIM(Table1[[#This Row],[Magazyn]])</f>
        <v>Apteka Szpitalna</v>
      </c>
      <c r="I370" s="2" t="str">
        <f>TRIM(Table1[[#This Row],[Umowa]])</f>
        <v/>
      </c>
      <c r="J370" s="2" t="b">
        <f>ISTEXT(Table14[[#This Row],[Data_Wystawienia]])</f>
        <v>0</v>
      </c>
      <c r="K370" s="2">
        <f>VALUE(SUBSTITUTE(Table14[[#This Row],[Wartość]],".",","))</f>
        <v>13599.11</v>
      </c>
      <c r="L3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0" s="2" t="str">
        <f>IF(Table14[[#This Row],[Umowa]]="","Poza umową","Z umowy")</f>
        <v>Poza umową</v>
      </c>
      <c r="N370" s="2">
        <f>YEAR(Table14[[#This Row],[Data_Wystawienia]])</f>
        <v>2022</v>
      </c>
      <c r="O370" s="2" t="str">
        <f>TEXT(Table14[[#This Row],[Data_Wystawienia]],"rrrr-mm")</f>
        <v>2022-05</v>
      </c>
      <c r="P370" s="2">
        <v>1</v>
      </c>
    </row>
    <row r="371" spans="1:16" x14ac:dyDescent="0.3">
      <c r="A371" s="2" t="str">
        <f>TRIM(Table1[[#This Row],[Numer_FV]])</f>
        <v>FV/M/3902/P/22</v>
      </c>
      <c r="B371" s="2" t="str">
        <f>TRIM(Table1[[#This Row],[Numer_PZ]])</f>
        <v>PZ/800369</v>
      </c>
      <c r="C371" s="2" t="str">
        <f>TRIM(Table1[[#This Row],[Dostawca]])</f>
        <v>MedicaPharm</v>
      </c>
      <c r="D371" s="3">
        <v>44698</v>
      </c>
      <c r="E371" s="4" t="s">
        <v>1141</v>
      </c>
      <c r="F371" s="2" t="str">
        <f>TRIM(Table1[[#This Row],[Status]])</f>
        <v>Zaakceptowana</v>
      </c>
      <c r="G371" s="2" t="str">
        <f>TRIM(Table1[[#This Row],[Typ]])</f>
        <v>Faktura VAT</v>
      </c>
      <c r="H371" s="2" t="str">
        <f>TRIM(Table1[[#This Row],[Magazyn]])</f>
        <v>Apteka Szpitalna</v>
      </c>
      <c r="I371" s="2" t="str">
        <f>TRIM(Table1[[#This Row],[Umowa]])</f>
        <v>UM-MED-01</v>
      </c>
      <c r="J371" s="2" t="b">
        <f>ISTEXT(Table14[[#This Row],[Data_Wystawienia]])</f>
        <v>0</v>
      </c>
      <c r="K371" s="2">
        <f>VALUE(SUBSTITUTE(Table14[[#This Row],[Wartość]],".",","))</f>
        <v>14684.68</v>
      </c>
      <c r="L3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1" s="2" t="str">
        <f>IF(Table14[[#This Row],[Umowa]]="","Poza umową","Z umowy")</f>
        <v>Z umowy</v>
      </c>
      <c r="N371" s="2">
        <f>YEAR(Table14[[#This Row],[Data_Wystawienia]])</f>
        <v>2022</v>
      </c>
      <c r="O371" s="2" t="str">
        <f>TEXT(Table14[[#This Row],[Data_Wystawienia]],"rrrr-mm")</f>
        <v>2022-05</v>
      </c>
      <c r="P371" s="2">
        <v>1</v>
      </c>
    </row>
    <row r="372" spans="1:16" x14ac:dyDescent="0.3">
      <c r="A372" s="2" t="str">
        <f>TRIM(Table1[[#This Row],[Numer_FV]])</f>
        <v>FV/5903/NOVA/22</v>
      </c>
      <c r="B372" s="2" t="str">
        <f>TRIM(Table1[[#This Row],[Numer_PZ]])</f>
        <v>PZ/800370</v>
      </c>
      <c r="C372" s="2" t="str">
        <f>TRIM(Table1[[#This Row],[Dostawca]])</f>
        <v>NovaLek</v>
      </c>
      <c r="D372" s="3">
        <v>44698</v>
      </c>
      <c r="E372" s="4" t="s">
        <v>1144</v>
      </c>
      <c r="F372" s="2" t="str">
        <f>TRIM(Table1[[#This Row],[Status]])</f>
        <v>Zaakceptowana</v>
      </c>
      <c r="G372" s="2" t="str">
        <f>TRIM(Table1[[#This Row],[Typ]])</f>
        <v>Faktura VAT</v>
      </c>
      <c r="H372" s="2" t="str">
        <f>TRIM(Table1[[#This Row],[Magazyn]])</f>
        <v>Apteka Szpitalna</v>
      </c>
      <c r="I372" s="2" t="str">
        <f>TRIM(Table1[[#This Row],[Umowa]])</f>
        <v>UM-NOV-03</v>
      </c>
      <c r="J372" s="2" t="b">
        <f>ISTEXT(Table14[[#This Row],[Data_Wystawienia]])</f>
        <v>0</v>
      </c>
      <c r="K372" s="2">
        <f>VALUE(SUBSTITUTE(Table14[[#This Row],[Wartość]],".",","))</f>
        <v>22112.9</v>
      </c>
      <c r="L3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2" s="2" t="str">
        <f>IF(Table14[[#This Row],[Umowa]]="","Poza umową","Z umowy")</f>
        <v>Z umowy</v>
      </c>
      <c r="N372" s="2">
        <f>YEAR(Table14[[#This Row],[Data_Wystawienia]])</f>
        <v>2022</v>
      </c>
      <c r="O372" s="2" t="str">
        <f>TEXT(Table14[[#This Row],[Data_Wystawienia]],"rrrr-mm")</f>
        <v>2022-05</v>
      </c>
      <c r="P372" s="2">
        <v>1</v>
      </c>
    </row>
    <row r="373" spans="1:16" x14ac:dyDescent="0.3">
      <c r="A373" s="2" t="str">
        <f>TRIM(Table1[[#This Row],[Numer_FV]])</f>
        <v>FV/POL/69048/2022</v>
      </c>
      <c r="B373" s="2" t="str">
        <f>TRIM(Table1[[#This Row],[Numer_PZ]])</f>
        <v>PZ/800371</v>
      </c>
      <c r="C373" s="2" t="str">
        <f>TRIM(Table1[[#This Row],[Dostawca]])</f>
        <v>Polmedica</v>
      </c>
      <c r="D373" s="3">
        <v>44698</v>
      </c>
      <c r="E373" s="4" t="s">
        <v>1147</v>
      </c>
      <c r="F373" s="2" t="str">
        <f>TRIM(Table1[[#This Row],[Status]])</f>
        <v>Zaakceptowana</v>
      </c>
      <c r="G373" s="2" t="str">
        <f>TRIM(Table1[[#This Row],[Typ]])</f>
        <v>Faktura VAT</v>
      </c>
      <c r="H373" s="2" t="str">
        <f>TRIM(Table1[[#This Row],[Magazyn]])</f>
        <v>Apteka Szpitalna</v>
      </c>
      <c r="I373" s="2" t="str">
        <f>TRIM(Table1[[#This Row],[Umowa]])</f>
        <v>UM-POL-03</v>
      </c>
      <c r="J373" s="2" t="b">
        <f>ISTEXT(Table14[[#This Row],[Data_Wystawienia]])</f>
        <v>0</v>
      </c>
      <c r="K373" s="2">
        <f>VALUE(SUBSTITUTE(Table14[[#This Row],[Wartość]],".",","))</f>
        <v>9594.7199999999993</v>
      </c>
      <c r="L3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3" s="2" t="str">
        <f>IF(Table14[[#This Row],[Umowa]]="","Poza umową","Z umowy")</f>
        <v>Z umowy</v>
      </c>
      <c r="N373" s="2">
        <f>YEAR(Table14[[#This Row],[Data_Wystawienia]])</f>
        <v>2022</v>
      </c>
      <c r="O373" s="2" t="str">
        <f>TEXT(Table14[[#This Row],[Data_Wystawienia]],"rrrr-mm")</f>
        <v>2022-05</v>
      </c>
      <c r="P373" s="2">
        <v>1</v>
      </c>
    </row>
    <row r="374" spans="1:16" x14ac:dyDescent="0.3">
      <c r="A374" s="2" t="str">
        <f>TRIM(Table1[[#This Row],[Numer_FV]])</f>
        <v>FV/68/PP/3755/22</v>
      </c>
      <c r="B374" s="2" t="str">
        <f>TRIM(Table1[[#This Row],[Numer_PZ]])</f>
        <v>PZ/800372</v>
      </c>
      <c r="C374" s="2" t="str">
        <f>TRIM(Table1[[#This Row],[Dostawca]])</f>
        <v>PharmaPlus</v>
      </c>
      <c r="D374" s="3">
        <v>44699</v>
      </c>
      <c r="E374" s="4" t="s">
        <v>1150</v>
      </c>
      <c r="F374" s="2" t="str">
        <f>TRIM(Table1[[#This Row],[Status]])</f>
        <v>Zaakceptowana</v>
      </c>
      <c r="G374" s="2" t="str">
        <f>TRIM(Table1[[#This Row],[Typ]])</f>
        <v>Faktura VAT</v>
      </c>
      <c r="H374" s="2" t="str">
        <f>TRIM(Table1[[#This Row],[Magazyn]])</f>
        <v>Apteka Szpitalna</v>
      </c>
      <c r="I374" s="2" t="str">
        <f>TRIM(Table1[[#This Row],[Umowa]])</f>
        <v>UM-PHA-02</v>
      </c>
      <c r="J374" s="2" t="b">
        <f>ISTEXT(Table14[[#This Row],[Data_Wystawienia]])</f>
        <v>0</v>
      </c>
      <c r="K374" s="2">
        <f>VALUE(SUBSTITUTE(Table14[[#This Row],[Wartość]],".",","))</f>
        <v>12397.26</v>
      </c>
      <c r="L3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4" s="2" t="str">
        <f>IF(Table14[[#This Row],[Umowa]]="","Poza umową","Z umowy")</f>
        <v>Z umowy</v>
      </c>
      <c r="N374" s="2">
        <f>YEAR(Table14[[#This Row],[Data_Wystawienia]])</f>
        <v>2022</v>
      </c>
      <c r="O374" s="2" t="str">
        <f>TEXT(Table14[[#This Row],[Data_Wystawienia]],"rrrr-mm")</f>
        <v>2022-05</v>
      </c>
      <c r="P374" s="2">
        <v>1</v>
      </c>
    </row>
    <row r="375" spans="1:16" x14ac:dyDescent="0.3">
      <c r="A375" s="2" t="str">
        <f>TRIM(Table1[[#This Row],[Numer_FV]])</f>
        <v>FV/20269/VDb/2022</v>
      </c>
      <c r="B375" s="2" t="str">
        <f>TRIM(Table1[[#This Row],[Numer_PZ]])</f>
        <v>PZ/800373</v>
      </c>
      <c r="C375" s="2" t="str">
        <f>TRIM(Table1[[#This Row],[Dostawca]])</f>
        <v>VitaDistrib</v>
      </c>
      <c r="D375" s="3">
        <v>44699</v>
      </c>
      <c r="E375" s="4" t="s">
        <v>1153</v>
      </c>
      <c r="F375" s="2" t="str">
        <f>TRIM(Table1[[#This Row],[Status]])</f>
        <v>Zaakceptowana</v>
      </c>
      <c r="G375" s="2" t="str">
        <f>TRIM(Table1[[#This Row],[Typ]])</f>
        <v>Faktura VAT</v>
      </c>
      <c r="H375" s="2" t="str">
        <f>TRIM(Table1[[#This Row],[Magazyn]])</f>
        <v>Apteka Szpitalna</v>
      </c>
      <c r="I375" s="2" t="str">
        <f>TRIM(Table1[[#This Row],[Umowa]])</f>
        <v/>
      </c>
      <c r="J375" s="2" t="b">
        <f>ISTEXT(Table14[[#This Row],[Data_Wystawienia]])</f>
        <v>0</v>
      </c>
      <c r="K375" s="2">
        <f>VALUE(SUBSTITUTE(Table14[[#This Row],[Wartość]],".",","))</f>
        <v>16147.17</v>
      </c>
      <c r="L3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5" s="2" t="str">
        <f>IF(Table14[[#This Row],[Umowa]]="","Poza umową","Z umowy")</f>
        <v>Poza umową</v>
      </c>
      <c r="N375" s="2">
        <f>YEAR(Table14[[#This Row],[Data_Wystawienia]])</f>
        <v>2022</v>
      </c>
      <c r="O375" s="2" t="str">
        <f>TEXT(Table14[[#This Row],[Data_Wystawienia]],"rrrr-mm")</f>
        <v>2022-05</v>
      </c>
      <c r="P375" s="2">
        <v>1</v>
      </c>
    </row>
    <row r="376" spans="1:16" x14ac:dyDescent="0.3">
      <c r="A376" s="2" t="str">
        <f>TRIM(Table1[[#This Row],[Numer_FV]])</f>
        <v>FV/POL/19529/2022</v>
      </c>
      <c r="B376" s="2" t="str">
        <f>TRIM(Table1[[#This Row],[Numer_PZ]])</f>
        <v>PZ/800374</v>
      </c>
      <c r="C376" s="2" t="str">
        <f>TRIM(Table1[[#This Row],[Dostawca]])</f>
        <v>Polmedica</v>
      </c>
      <c r="D376" s="3">
        <v>44700</v>
      </c>
      <c r="E376" s="4" t="s">
        <v>1156</v>
      </c>
      <c r="F376" s="2" t="str">
        <f>TRIM(Table1[[#This Row],[Status]])</f>
        <v>Zaakceptowana</v>
      </c>
      <c r="G376" s="2" t="str">
        <f>TRIM(Table1[[#This Row],[Typ]])</f>
        <v>Faktura VAT</v>
      </c>
      <c r="H376" s="2" t="str">
        <f>TRIM(Table1[[#This Row],[Magazyn]])</f>
        <v>Apteka Szpitalna</v>
      </c>
      <c r="I376" s="2" t="str">
        <f>TRIM(Table1[[#This Row],[Umowa]])</f>
        <v>UM-POL-02</v>
      </c>
      <c r="J376" s="2" t="b">
        <f>ISTEXT(Table14[[#This Row],[Data_Wystawienia]])</f>
        <v>0</v>
      </c>
      <c r="K376" s="2">
        <f>VALUE(SUBSTITUTE(Table14[[#This Row],[Wartość]],".",","))</f>
        <v>21632.38</v>
      </c>
      <c r="L3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6" s="2" t="str">
        <f>IF(Table14[[#This Row],[Umowa]]="","Poza umową","Z umowy")</f>
        <v>Z umowy</v>
      </c>
      <c r="N376" s="2">
        <f>YEAR(Table14[[#This Row],[Data_Wystawienia]])</f>
        <v>2022</v>
      </c>
      <c r="O376" s="2" t="str">
        <f>TEXT(Table14[[#This Row],[Data_Wystawienia]],"rrrr-mm")</f>
        <v>2022-05</v>
      </c>
      <c r="P376" s="2">
        <v>1</v>
      </c>
    </row>
    <row r="377" spans="1:16" x14ac:dyDescent="0.3">
      <c r="A377" s="2" t="str">
        <f>TRIM(Table1[[#This Row],[Numer_FV]])</f>
        <v>FV/6277/NOVA/22</v>
      </c>
      <c r="B377" s="2" t="str">
        <f>TRIM(Table1[[#This Row],[Numer_PZ]])</f>
        <v>PZ/800375</v>
      </c>
      <c r="C377" s="2" t="str">
        <f>TRIM(Table1[[#This Row],[Dostawca]])</f>
        <v>NovaLek</v>
      </c>
      <c r="D377" s="3">
        <v>44700</v>
      </c>
      <c r="E377" s="4" t="s">
        <v>1159</v>
      </c>
      <c r="F377" s="2" t="str">
        <f>TRIM(Table1[[#This Row],[Status]])</f>
        <v>Zaakceptowana</v>
      </c>
      <c r="G377" s="2" t="str">
        <f>TRIM(Table1[[#This Row],[Typ]])</f>
        <v>Faktura VAT</v>
      </c>
      <c r="H377" s="2" t="str">
        <f>TRIM(Table1[[#This Row],[Magazyn]])</f>
        <v>Apteka Szpitalna</v>
      </c>
      <c r="I377" s="2" t="str">
        <f>TRIM(Table1[[#This Row],[Umowa]])</f>
        <v>UM-NOV-03</v>
      </c>
      <c r="J377" s="2" t="b">
        <f>ISTEXT(Table14[[#This Row],[Data_Wystawienia]])</f>
        <v>0</v>
      </c>
      <c r="K377" s="2">
        <f>VALUE(SUBSTITUTE(Table14[[#This Row],[Wartość]],".",","))</f>
        <v>14059.52</v>
      </c>
      <c r="L3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7" s="2" t="str">
        <f>IF(Table14[[#This Row],[Umowa]]="","Poza umową","Z umowy")</f>
        <v>Z umowy</v>
      </c>
      <c r="N377" s="2">
        <f>YEAR(Table14[[#This Row],[Data_Wystawienia]])</f>
        <v>2022</v>
      </c>
      <c r="O377" s="2" t="str">
        <f>TEXT(Table14[[#This Row],[Data_Wystawienia]],"rrrr-mm")</f>
        <v>2022-05</v>
      </c>
      <c r="P377" s="2">
        <v>1</v>
      </c>
    </row>
    <row r="378" spans="1:16" x14ac:dyDescent="0.3">
      <c r="A378" s="2" t="str">
        <f>TRIM(Table1[[#This Row],[Numer_FV]])</f>
        <v>FV/12/SAL/22</v>
      </c>
      <c r="B378" s="2" t="str">
        <f>TRIM(Table1[[#This Row],[Numer_PZ]])</f>
        <v>PZ/800376</v>
      </c>
      <c r="C378" s="2" t="str">
        <f>TRIM(Table1[[#This Row],[Dostawca]])</f>
        <v>SalusHurt</v>
      </c>
      <c r="D378" s="3">
        <v>44700</v>
      </c>
      <c r="E378" s="4" t="s">
        <v>1162</v>
      </c>
      <c r="F378" s="2" t="str">
        <f>TRIM(Table1[[#This Row],[Status]])</f>
        <v>Zaakceptowana</v>
      </c>
      <c r="G378" s="2" t="str">
        <f>TRIM(Table1[[#This Row],[Typ]])</f>
        <v>Korekta FV</v>
      </c>
      <c r="H378" s="2" t="str">
        <f>TRIM(Table1[[#This Row],[Magazyn]])</f>
        <v>Apteka Szpitalna</v>
      </c>
      <c r="I378" s="2" t="str">
        <f>TRIM(Table1[[#This Row],[Umowa]])</f>
        <v/>
      </c>
      <c r="J378" s="2" t="b">
        <f>ISTEXT(Table14[[#This Row],[Data_Wystawienia]])</f>
        <v>0</v>
      </c>
      <c r="K378" s="2">
        <f>VALUE(SUBSTITUTE(Table14[[#This Row],[Wartość]],".",","))</f>
        <v>-1179.57</v>
      </c>
      <c r="L3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8" s="2" t="str">
        <f>IF(Table14[[#This Row],[Umowa]]="","Poza umową","Z umowy")</f>
        <v>Poza umową</v>
      </c>
      <c r="N378" s="2">
        <f>YEAR(Table14[[#This Row],[Data_Wystawienia]])</f>
        <v>2022</v>
      </c>
      <c r="O378" s="2" t="str">
        <f>TEXT(Table14[[#This Row],[Data_Wystawienia]],"rrrr-mm")</f>
        <v>2022-05</v>
      </c>
      <c r="P378" s="2">
        <v>1</v>
      </c>
    </row>
    <row r="379" spans="1:16" x14ac:dyDescent="0.3">
      <c r="A379" s="2" t="str">
        <f>TRIM(Table1[[#This Row],[Numer_FV]])</f>
        <v>FV/1603HM/22</v>
      </c>
      <c r="B379" s="2" t="str">
        <f>TRIM(Table1[[#This Row],[Numer_PZ]])</f>
        <v>PZ/800377</v>
      </c>
      <c r="C379" s="2" t="str">
        <f>TRIM(Table1[[#This Row],[Dostawca]])</f>
        <v>HurtMedix</v>
      </c>
      <c r="D379" s="3">
        <v>44700</v>
      </c>
      <c r="E379" s="4" t="s">
        <v>1165</v>
      </c>
      <c r="F379" s="2" t="str">
        <f>TRIM(Table1[[#This Row],[Status]])</f>
        <v>Zaakceptowana</v>
      </c>
      <c r="G379" s="2" t="str">
        <f>TRIM(Table1[[#This Row],[Typ]])</f>
        <v>Faktura VAT</v>
      </c>
      <c r="H379" s="2" t="str">
        <f>TRIM(Table1[[#This Row],[Magazyn]])</f>
        <v>Apteka Szpitalna</v>
      </c>
      <c r="I379" s="2" t="str">
        <f>TRIM(Table1[[#This Row],[Umowa]])</f>
        <v>UM-HUR-01</v>
      </c>
      <c r="J379" s="2" t="b">
        <f>ISTEXT(Table14[[#This Row],[Data_Wystawienia]])</f>
        <v>0</v>
      </c>
      <c r="K379" s="2">
        <f>VALUE(SUBSTITUTE(Table14[[#This Row],[Wartość]],".",","))</f>
        <v>6610.25</v>
      </c>
      <c r="L3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79" s="2" t="str">
        <f>IF(Table14[[#This Row],[Umowa]]="","Poza umową","Z umowy")</f>
        <v>Z umowy</v>
      </c>
      <c r="N379" s="2">
        <f>YEAR(Table14[[#This Row],[Data_Wystawienia]])</f>
        <v>2022</v>
      </c>
      <c r="O379" s="2" t="str">
        <f>TEXT(Table14[[#This Row],[Data_Wystawienia]],"rrrr-mm")</f>
        <v>2022-05</v>
      </c>
      <c r="P379" s="2">
        <v>1</v>
      </c>
    </row>
    <row r="380" spans="1:16" x14ac:dyDescent="0.3">
      <c r="A380" s="2" t="str">
        <f>TRIM(Table1[[#This Row],[Numer_FV]])</f>
        <v>FV/M/3225/P/22</v>
      </c>
      <c r="B380" s="2" t="str">
        <f>TRIM(Table1[[#This Row],[Numer_PZ]])</f>
        <v>PZ/800378</v>
      </c>
      <c r="C380" s="2" t="str">
        <f>TRIM(Table1[[#This Row],[Dostawca]])</f>
        <v>MedicaPharm</v>
      </c>
      <c r="D380" s="3">
        <v>44701</v>
      </c>
      <c r="E380" s="4" t="s">
        <v>1168</v>
      </c>
      <c r="F380" s="2" t="str">
        <f>TRIM(Table1[[#This Row],[Status]])</f>
        <v>Zaakceptowana</v>
      </c>
      <c r="G380" s="2" t="str">
        <f>TRIM(Table1[[#This Row],[Typ]])</f>
        <v>Faktura VAT</v>
      </c>
      <c r="H380" s="2" t="str">
        <f>TRIM(Table1[[#This Row],[Magazyn]])</f>
        <v>Apteka Szpitalna</v>
      </c>
      <c r="I380" s="2" t="str">
        <f>TRIM(Table1[[#This Row],[Umowa]])</f>
        <v>UM-MED-01</v>
      </c>
      <c r="J380" s="2" t="b">
        <f>ISTEXT(Table14[[#This Row],[Data_Wystawienia]])</f>
        <v>0</v>
      </c>
      <c r="K380" s="2">
        <f>VALUE(SUBSTITUTE(Table14[[#This Row],[Wartość]],".",","))</f>
        <v>8929.5400000000009</v>
      </c>
      <c r="L3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0" s="2" t="str">
        <f>IF(Table14[[#This Row],[Umowa]]="","Poza umową","Z umowy")</f>
        <v>Z umowy</v>
      </c>
      <c r="N380" s="2">
        <f>YEAR(Table14[[#This Row],[Data_Wystawienia]])</f>
        <v>2022</v>
      </c>
      <c r="O380" s="2" t="str">
        <f>TEXT(Table14[[#This Row],[Data_Wystawienia]],"rrrr-mm")</f>
        <v>2022-05</v>
      </c>
      <c r="P380" s="2">
        <v>1</v>
      </c>
    </row>
    <row r="381" spans="1:16" x14ac:dyDescent="0.3">
      <c r="A381" s="2" t="str">
        <f>TRIM(Table1[[#This Row],[Numer_FV]])</f>
        <v>FV/3351/NOVA/22</v>
      </c>
      <c r="B381" s="2" t="str">
        <f>TRIM(Table1[[#This Row],[Numer_PZ]])</f>
        <v>PZ/800379</v>
      </c>
      <c r="C381" s="2" t="str">
        <f>TRIM(Table1[[#This Row],[Dostawca]])</f>
        <v>NovaLek</v>
      </c>
      <c r="D381" s="3">
        <v>44701</v>
      </c>
      <c r="E381" s="4" t="s">
        <v>1171</v>
      </c>
      <c r="F381" s="2" t="str">
        <f>TRIM(Table1[[#This Row],[Status]])</f>
        <v>Zaakceptowana</v>
      </c>
      <c r="G381" s="2" t="str">
        <f>TRIM(Table1[[#This Row],[Typ]])</f>
        <v>Faktura VAT</v>
      </c>
      <c r="H381" s="2" t="str">
        <f>TRIM(Table1[[#This Row],[Magazyn]])</f>
        <v>Apteka Szpitalna</v>
      </c>
      <c r="I381" s="2" t="str">
        <f>TRIM(Table1[[#This Row],[Umowa]])</f>
        <v>UM-NOV-03</v>
      </c>
      <c r="J381" s="2" t="b">
        <f>ISTEXT(Table14[[#This Row],[Data_Wystawienia]])</f>
        <v>0</v>
      </c>
      <c r="K381" s="2">
        <f>VALUE(SUBSTITUTE(Table14[[#This Row],[Wartość]],".",","))</f>
        <v>9175.84</v>
      </c>
      <c r="L3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1" s="2" t="str">
        <f>IF(Table14[[#This Row],[Umowa]]="","Poza umową","Z umowy")</f>
        <v>Z umowy</v>
      </c>
      <c r="N381" s="2">
        <f>YEAR(Table14[[#This Row],[Data_Wystawienia]])</f>
        <v>2022</v>
      </c>
      <c r="O381" s="2" t="str">
        <f>TEXT(Table14[[#This Row],[Data_Wystawienia]],"rrrr-mm")</f>
        <v>2022-05</v>
      </c>
      <c r="P381" s="2">
        <v>1</v>
      </c>
    </row>
    <row r="382" spans="1:16" x14ac:dyDescent="0.3">
      <c r="A382" s="2" t="str">
        <f>TRIM(Table1[[#This Row],[Numer_FV]])</f>
        <v>FV/5141HM/22</v>
      </c>
      <c r="B382" s="2" t="str">
        <f>TRIM(Table1[[#This Row],[Numer_PZ]])</f>
        <v>PZ/800380</v>
      </c>
      <c r="C382" s="2" t="str">
        <f>TRIM(Table1[[#This Row],[Dostawca]])</f>
        <v>HurtMedix</v>
      </c>
      <c r="D382" s="3">
        <v>44702</v>
      </c>
      <c r="E382" s="4" t="s">
        <v>1174</v>
      </c>
      <c r="F382" s="2" t="str">
        <f>TRIM(Table1[[#This Row],[Status]])</f>
        <v>Zaakceptowana</v>
      </c>
      <c r="G382" s="2" t="str">
        <f>TRIM(Table1[[#This Row],[Typ]])</f>
        <v>Faktura VAT</v>
      </c>
      <c r="H382" s="2" t="str">
        <f>TRIM(Table1[[#This Row],[Magazyn]])</f>
        <v>Apteka Szpitalna</v>
      </c>
      <c r="I382" s="2" t="str">
        <f>TRIM(Table1[[#This Row],[Umowa]])</f>
        <v>UM-HUR-02</v>
      </c>
      <c r="J382" s="2" t="b">
        <f>ISTEXT(Table14[[#This Row],[Data_Wystawienia]])</f>
        <v>0</v>
      </c>
      <c r="K382" s="2">
        <f>VALUE(SUBSTITUTE(Table14[[#This Row],[Wartość]],".",","))</f>
        <v>13218</v>
      </c>
      <c r="L3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2" s="2" t="str">
        <f>IF(Table14[[#This Row],[Umowa]]="","Poza umową","Z umowy")</f>
        <v>Z umowy</v>
      </c>
      <c r="N382" s="2">
        <f>YEAR(Table14[[#This Row],[Data_Wystawienia]])</f>
        <v>2022</v>
      </c>
      <c r="O382" s="2" t="str">
        <f>TEXT(Table14[[#This Row],[Data_Wystawienia]],"rrrr-mm")</f>
        <v>2022-05</v>
      </c>
      <c r="P382" s="2">
        <v>1</v>
      </c>
    </row>
    <row r="383" spans="1:16" x14ac:dyDescent="0.3">
      <c r="A383" s="2" t="str">
        <f>TRIM(Table1[[#This Row],[Numer_FV]])</f>
        <v>FV/39/PP/6925/22</v>
      </c>
      <c r="B383" s="2" t="str">
        <f>TRIM(Table1[[#This Row],[Numer_PZ]])</f>
        <v>PZ/800381</v>
      </c>
      <c r="C383" s="2" t="str">
        <f>TRIM(Table1[[#This Row],[Dostawca]])</f>
        <v>PharmaPlus</v>
      </c>
      <c r="D383" s="3">
        <v>44702</v>
      </c>
      <c r="E383" s="4" t="s">
        <v>1177</v>
      </c>
      <c r="F383" s="2" t="str">
        <f>TRIM(Table1[[#This Row],[Status]])</f>
        <v>Zaakceptowana</v>
      </c>
      <c r="G383" s="2" t="str">
        <f>TRIM(Table1[[#This Row],[Typ]])</f>
        <v>Faktura VAT</v>
      </c>
      <c r="H383" s="2" t="str">
        <f>TRIM(Table1[[#This Row],[Magazyn]])</f>
        <v>Apteka Szpitalna</v>
      </c>
      <c r="I383" s="2" t="str">
        <f>TRIM(Table1[[#This Row],[Umowa]])</f>
        <v>UM-PHA-01</v>
      </c>
      <c r="J383" s="2" t="b">
        <f>ISTEXT(Table14[[#This Row],[Data_Wystawienia]])</f>
        <v>0</v>
      </c>
      <c r="K383" s="2">
        <f>VALUE(SUBSTITUTE(Table14[[#This Row],[Wartość]],".",","))</f>
        <v>19947.28</v>
      </c>
      <c r="L3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3" s="2" t="str">
        <f>IF(Table14[[#This Row],[Umowa]]="","Poza umową","Z umowy")</f>
        <v>Z umowy</v>
      </c>
      <c r="N383" s="2">
        <f>YEAR(Table14[[#This Row],[Data_Wystawienia]])</f>
        <v>2022</v>
      </c>
      <c r="O383" s="2" t="str">
        <f>TEXT(Table14[[#This Row],[Data_Wystawienia]],"rrrr-mm")</f>
        <v>2022-05</v>
      </c>
      <c r="P383" s="2">
        <v>1</v>
      </c>
    </row>
    <row r="384" spans="1:16" x14ac:dyDescent="0.3">
      <c r="A384" s="2" t="str">
        <f>TRIM(Table1[[#This Row],[Numer_FV]])</f>
        <v>FV/13/PP/4880/22</v>
      </c>
      <c r="B384" s="2" t="str">
        <f>TRIM(Table1[[#This Row],[Numer_PZ]])</f>
        <v>PZ/800382</v>
      </c>
      <c r="C384" s="2" t="str">
        <f>TRIM(Table1[[#This Row],[Dostawca]])</f>
        <v>PharmaPlus</v>
      </c>
      <c r="D384" s="3">
        <v>44702</v>
      </c>
      <c r="E384" s="4" t="s">
        <v>1180</v>
      </c>
      <c r="F384" s="2" t="str">
        <f>TRIM(Table1[[#This Row],[Status]])</f>
        <v>Zaakceptowana</v>
      </c>
      <c r="G384" s="2" t="str">
        <f>TRIM(Table1[[#This Row],[Typ]])</f>
        <v>Faktura VAT</v>
      </c>
      <c r="H384" s="2" t="str">
        <f>TRIM(Table1[[#This Row],[Magazyn]])</f>
        <v>Apteka Szpitalna</v>
      </c>
      <c r="I384" s="2" t="str">
        <f>TRIM(Table1[[#This Row],[Umowa]])</f>
        <v>UM-PHA-01</v>
      </c>
      <c r="J384" s="2" t="b">
        <f>ISTEXT(Table14[[#This Row],[Data_Wystawienia]])</f>
        <v>0</v>
      </c>
      <c r="K384" s="2">
        <f>VALUE(SUBSTITUTE(Table14[[#This Row],[Wartość]],".",","))</f>
        <v>9748.9599999999991</v>
      </c>
      <c r="L3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4" s="2" t="str">
        <f>IF(Table14[[#This Row],[Umowa]]="","Poza umową","Z umowy")</f>
        <v>Z umowy</v>
      </c>
      <c r="N384" s="2">
        <f>YEAR(Table14[[#This Row],[Data_Wystawienia]])</f>
        <v>2022</v>
      </c>
      <c r="O384" s="2" t="str">
        <f>TEXT(Table14[[#This Row],[Data_Wystawienia]],"rrrr-mm")</f>
        <v>2022-05</v>
      </c>
      <c r="P384" s="2">
        <v>1</v>
      </c>
    </row>
    <row r="385" spans="1:16" x14ac:dyDescent="0.3">
      <c r="A385" s="2" t="str">
        <f>TRIM(Table1[[#This Row],[Numer_FV]])</f>
        <v>FV/89/PP/7517/22</v>
      </c>
      <c r="B385" s="2" t="str">
        <f>TRIM(Table1[[#This Row],[Numer_PZ]])</f>
        <v>PZ/800383</v>
      </c>
      <c r="C385" s="2" t="str">
        <f>TRIM(Table1[[#This Row],[Dostawca]])</f>
        <v>PharmaPlus</v>
      </c>
      <c r="D385" s="3">
        <v>44702</v>
      </c>
      <c r="E385" s="4" t="s">
        <v>1183</v>
      </c>
      <c r="F385" s="2" t="str">
        <f>TRIM(Table1[[#This Row],[Status]])</f>
        <v>Zaakceptowana</v>
      </c>
      <c r="G385" s="2" t="str">
        <f>TRIM(Table1[[#This Row],[Typ]])</f>
        <v>Faktura VAT</v>
      </c>
      <c r="H385" s="2" t="str">
        <f>TRIM(Table1[[#This Row],[Magazyn]])</f>
        <v>Apteka Szpitalna</v>
      </c>
      <c r="I385" s="2" t="str">
        <f>TRIM(Table1[[#This Row],[Umowa]])</f>
        <v>UM-PHA-02</v>
      </c>
      <c r="J385" s="2" t="b">
        <f>ISTEXT(Table14[[#This Row],[Data_Wystawienia]])</f>
        <v>0</v>
      </c>
      <c r="K385" s="2">
        <f>VALUE(SUBSTITUTE(Table14[[#This Row],[Wartość]],".",","))</f>
        <v>19055.02</v>
      </c>
      <c r="L3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5" s="2" t="str">
        <f>IF(Table14[[#This Row],[Umowa]]="","Poza umową","Z umowy")</f>
        <v>Z umowy</v>
      </c>
      <c r="N385" s="2">
        <f>YEAR(Table14[[#This Row],[Data_Wystawienia]])</f>
        <v>2022</v>
      </c>
      <c r="O385" s="2" t="str">
        <f>TEXT(Table14[[#This Row],[Data_Wystawienia]],"rrrr-mm")</f>
        <v>2022-05</v>
      </c>
      <c r="P385" s="2">
        <v>1</v>
      </c>
    </row>
    <row r="386" spans="1:16" x14ac:dyDescent="0.3">
      <c r="A386" s="2" t="str">
        <f>TRIM(Table1[[#This Row],[Numer_FV]])</f>
        <v>FV/M/7514/P/22</v>
      </c>
      <c r="B386" s="2" t="str">
        <f>TRIM(Table1[[#This Row],[Numer_PZ]])</f>
        <v>PZ/800384</v>
      </c>
      <c r="C386" s="2" t="str">
        <f>TRIM(Table1[[#This Row],[Dostawca]])</f>
        <v>MedicaPharm</v>
      </c>
      <c r="D386" s="3">
        <v>44703</v>
      </c>
      <c r="E386" s="4" t="s">
        <v>1186</v>
      </c>
      <c r="F386" s="2" t="str">
        <f>TRIM(Table1[[#This Row],[Status]])</f>
        <v>Zaakceptowana</v>
      </c>
      <c r="G386" s="2" t="str">
        <f>TRIM(Table1[[#This Row],[Typ]])</f>
        <v>Faktura VAT</v>
      </c>
      <c r="H386" s="2" t="str">
        <f>TRIM(Table1[[#This Row],[Magazyn]])</f>
        <v>Apteka Szpitalna</v>
      </c>
      <c r="I386" s="2" t="str">
        <f>TRIM(Table1[[#This Row],[Umowa]])</f>
        <v/>
      </c>
      <c r="J386" s="2" t="b">
        <f>ISTEXT(Table14[[#This Row],[Data_Wystawienia]])</f>
        <v>0</v>
      </c>
      <c r="K386" s="2">
        <f>VALUE(SUBSTITUTE(Table14[[#This Row],[Wartość]],".",","))</f>
        <v>19638.89</v>
      </c>
      <c r="L3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6" s="2" t="str">
        <f>IF(Table14[[#This Row],[Umowa]]="","Poza umową","Z umowy")</f>
        <v>Poza umową</v>
      </c>
      <c r="N386" s="2">
        <f>YEAR(Table14[[#This Row],[Data_Wystawienia]])</f>
        <v>2022</v>
      </c>
      <c r="O386" s="2" t="str">
        <f>TEXT(Table14[[#This Row],[Data_Wystawienia]],"rrrr-mm")</f>
        <v>2022-05</v>
      </c>
      <c r="P386" s="2">
        <v>1</v>
      </c>
    </row>
    <row r="387" spans="1:16" x14ac:dyDescent="0.3">
      <c r="A387" s="2" t="str">
        <f>TRIM(Table1[[#This Row],[Numer_FV]])</f>
        <v>FV/66/SAL/22</v>
      </c>
      <c r="B387" s="2" t="str">
        <f>TRIM(Table1[[#This Row],[Numer_PZ]])</f>
        <v>PZ/800385</v>
      </c>
      <c r="C387" s="2" t="str">
        <f>TRIM(Table1[[#This Row],[Dostawca]])</f>
        <v>SalusHurt</v>
      </c>
      <c r="D387" s="3">
        <v>44703</v>
      </c>
      <c r="E387" s="4" t="s">
        <v>1188</v>
      </c>
      <c r="F387" s="2" t="str">
        <f>TRIM(Table1[[#This Row],[Status]])</f>
        <v>Zaakceptowana</v>
      </c>
      <c r="G387" s="2" t="str">
        <f>TRIM(Table1[[#This Row],[Typ]])</f>
        <v>Faktura VAT</v>
      </c>
      <c r="H387" s="2" t="str">
        <f>TRIM(Table1[[#This Row],[Magazyn]])</f>
        <v>Apteka Szpitalna</v>
      </c>
      <c r="I387" s="2" t="str">
        <f>TRIM(Table1[[#This Row],[Umowa]])</f>
        <v>UM-SAL-02</v>
      </c>
      <c r="J387" s="2" t="b">
        <f>ISTEXT(Table14[[#This Row],[Data_Wystawienia]])</f>
        <v>0</v>
      </c>
      <c r="K387" s="2">
        <f>VALUE(SUBSTITUTE(Table14[[#This Row],[Wartość]],".",","))</f>
        <v>12286.6</v>
      </c>
      <c r="L3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7" s="2" t="str">
        <f>IF(Table14[[#This Row],[Umowa]]="","Poza umową","Z umowy")</f>
        <v>Z umowy</v>
      </c>
      <c r="N387" s="2">
        <f>YEAR(Table14[[#This Row],[Data_Wystawienia]])</f>
        <v>2022</v>
      </c>
      <c r="O387" s="2" t="str">
        <f>TEXT(Table14[[#This Row],[Data_Wystawienia]],"rrrr-mm")</f>
        <v>2022-05</v>
      </c>
      <c r="P387" s="2">
        <v>1</v>
      </c>
    </row>
    <row r="388" spans="1:16" x14ac:dyDescent="0.3">
      <c r="A388" s="2" t="str">
        <f>TRIM(Table1[[#This Row],[Numer_FV]])</f>
        <v>FV/8643HM/22</v>
      </c>
      <c r="B388" s="2" t="str">
        <f>TRIM(Table1[[#This Row],[Numer_PZ]])</f>
        <v>PZ/800386</v>
      </c>
      <c r="C388" s="2" t="str">
        <f>TRIM(Table1[[#This Row],[Dostawca]])</f>
        <v>HurtMedix</v>
      </c>
      <c r="D388" s="3">
        <v>44703</v>
      </c>
      <c r="E388" s="4" t="s">
        <v>1191</v>
      </c>
      <c r="F388" s="2" t="str">
        <f>TRIM(Table1[[#This Row],[Status]])</f>
        <v>Zaakceptowana</v>
      </c>
      <c r="G388" s="2" t="str">
        <f>TRIM(Table1[[#This Row],[Typ]])</f>
        <v>Faktura VAT</v>
      </c>
      <c r="H388" s="2" t="str">
        <f>TRIM(Table1[[#This Row],[Magazyn]])</f>
        <v>Apteka Szpitalna</v>
      </c>
      <c r="I388" s="2" t="str">
        <f>TRIM(Table1[[#This Row],[Umowa]])</f>
        <v>UM-HUR-03</v>
      </c>
      <c r="J388" s="2" t="b">
        <f>ISTEXT(Table14[[#This Row],[Data_Wystawienia]])</f>
        <v>0</v>
      </c>
      <c r="K388" s="2">
        <f>VALUE(SUBSTITUTE(Table14[[#This Row],[Wartość]],".",","))</f>
        <v>8430.23</v>
      </c>
      <c r="L3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8" s="2" t="str">
        <f>IF(Table14[[#This Row],[Umowa]]="","Poza umową","Z umowy")</f>
        <v>Z umowy</v>
      </c>
      <c r="N388" s="2">
        <f>YEAR(Table14[[#This Row],[Data_Wystawienia]])</f>
        <v>2022</v>
      </c>
      <c r="O388" s="2" t="str">
        <f>TEXT(Table14[[#This Row],[Data_Wystawienia]],"rrrr-mm")</f>
        <v>2022-05</v>
      </c>
      <c r="P388" s="2">
        <v>1</v>
      </c>
    </row>
    <row r="389" spans="1:16" x14ac:dyDescent="0.3">
      <c r="A389" s="2" t="str">
        <f>TRIM(Table1[[#This Row],[Numer_FV]])</f>
        <v>FV/24/SAL/22</v>
      </c>
      <c r="B389" s="2" t="str">
        <f>TRIM(Table1[[#This Row],[Numer_PZ]])</f>
        <v>PZ/800387</v>
      </c>
      <c r="C389" s="2" t="str">
        <f>TRIM(Table1[[#This Row],[Dostawca]])</f>
        <v>SalusHurt</v>
      </c>
      <c r="D389" s="3">
        <v>44703</v>
      </c>
      <c r="E389" s="4" t="s">
        <v>1193</v>
      </c>
      <c r="F389" s="2" t="str">
        <f>TRIM(Table1[[#This Row],[Status]])</f>
        <v>Zaakceptowana</v>
      </c>
      <c r="G389" s="2" t="str">
        <f>TRIM(Table1[[#This Row],[Typ]])</f>
        <v>Faktura VAT</v>
      </c>
      <c r="H389" s="2" t="str">
        <f>TRIM(Table1[[#This Row],[Magazyn]])</f>
        <v>Apteka Szpitalna</v>
      </c>
      <c r="I389" s="2" t="str">
        <f>TRIM(Table1[[#This Row],[Umowa]])</f>
        <v>UM-SAL-01</v>
      </c>
      <c r="J389" s="2" t="b">
        <f>ISTEXT(Table14[[#This Row],[Data_Wystawienia]])</f>
        <v>0</v>
      </c>
      <c r="K389" s="2">
        <f>VALUE(SUBSTITUTE(Table14[[#This Row],[Wartość]],".",","))</f>
        <v>14186.19</v>
      </c>
      <c r="L3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89" s="2" t="str">
        <f>IF(Table14[[#This Row],[Umowa]]="","Poza umową","Z umowy")</f>
        <v>Z umowy</v>
      </c>
      <c r="N389" s="2">
        <f>YEAR(Table14[[#This Row],[Data_Wystawienia]])</f>
        <v>2022</v>
      </c>
      <c r="O389" s="2" t="str">
        <f>TEXT(Table14[[#This Row],[Data_Wystawienia]],"rrrr-mm")</f>
        <v>2022-05</v>
      </c>
      <c r="P389" s="2">
        <v>1</v>
      </c>
    </row>
    <row r="390" spans="1:16" x14ac:dyDescent="0.3">
      <c r="A390" s="2" t="str">
        <f>TRIM(Table1[[#This Row],[Numer_FV]])</f>
        <v>FV/POL/23462/2022</v>
      </c>
      <c r="B390" s="2" t="str">
        <f>TRIM(Table1[[#This Row],[Numer_PZ]])</f>
        <v>PZ/800388</v>
      </c>
      <c r="C390" s="2" t="str">
        <f>TRIM(Table1[[#This Row],[Dostawca]])</f>
        <v>Polmedica</v>
      </c>
      <c r="D390" s="3">
        <v>44705</v>
      </c>
      <c r="E390" s="4" t="s">
        <v>1196</v>
      </c>
      <c r="F390" s="2" t="str">
        <f>TRIM(Table1[[#This Row],[Status]])</f>
        <v>Zaakceptowana</v>
      </c>
      <c r="G390" s="2" t="str">
        <f>TRIM(Table1[[#This Row],[Typ]])</f>
        <v>Faktura VAT</v>
      </c>
      <c r="H390" s="2" t="str">
        <f>TRIM(Table1[[#This Row],[Magazyn]])</f>
        <v>Apteka Szpitalna</v>
      </c>
      <c r="I390" s="2" t="str">
        <f>TRIM(Table1[[#This Row],[Umowa]])</f>
        <v>UM-POL-01</v>
      </c>
      <c r="J390" s="2" t="b">
        <f>ISTEXT(Table14[[#This Row],[Data_Wystawienia]])</f>
        <v>0</v>
      </c>
      <c r="K390" s="2">
        <f>VALUE(SUBSTITUTE(Table14[[#This Row],[Wartość]],".",","))</f>
        <v>11631.02</v>
      </c>
      <c r="L3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0" s="2" t="str">
        <f>IF(Table14[[#This Row],[Umowa]]="","Poza umową","Z umowy")</f>
        <v>Z umowy</v>
      </c>
      <c r="N390" s="2">
        <f>YEAR(Table14[[#This Row],[Data_Wystawienia]])</f>
        <v>2022</v>
      </c>
      <c r="O390" s="2" t="str">
        <f>TEXT(Table14[[#This Row],[Data_Wystawienia]],"rrrr-mm")</f>
        <v>2022-05</v>
      </c>
      <c r="P390" s="2">
        <v>1</v>
      </c>
    </row>
    <row r="391" spans="1:16" x14ac:dyDescent="0.3">
      <c r="A391" s="2" t="str">
        <f>TRIM(Table1[[#This Row],[Numer_FV]])</f>
        <v>FV/POL/13782/2022</v>
      </c>
      <c r="B391" s="2" t="str">
        <f>TRIM(Table1[[#This Row],[Numer_PZ]])</f>
        <v>PZ/800389</v>
      </c>
      <c r="C391" s="2" t="str">
        <f>TRIM(Table1[[#This Row],[Dostawca]])</f>
        <v>Polmedica</v>
      </c>
      <c r="D391" s="3">
        <v>44705</v>
      </c>
      <c r="E391" s="4" t="s">
        <v>1199</v>
      </c>
      <c r="F391" s="2" t="str">
        <f>TRIM(Table1[[#This Row],[Status]])</f>
        <v>Zaakceptowana</v>
      </c>
      <c r="G391" s="2" t="str">
        <f>TRIM(Table1[[#This Row],[Typ]])</f>
        <v>Faktura VAT</v>
      </c>
      <c r="H391" s="2" t="str">
        <f>TRIM(Table1[[#This Row],[Magazyn]])</f>
        <v>Apteka Szpitalna</v>
      </c>
      <c r="I391" s="2" t="str">
        <f>TRIM(Table1[[#This Row],[Umowa]])</f>
        <v>UM-POL-01</v>
      </c>
      <c r="J391" s="2" t="b">
        <f>ISTEXT(Table14[[#This Row],[Data_Wystawienia]])</f>
        <v>0</v>
      </c>
      <c r="K391" s="2">
        <f>VALUE(SUBSTITUTE(Table14[[#This Row],[Wartość]],".",","))</f>
        <v>17875.86</v>
      </c>
      <c r="L3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1" s="2" t="str">
        <f>IF(Table14[[#This Row],[Umowa]]="","Poza umową","Z umowy")</f>
        <v>Z umowy</v>
      </c>
      <c r="N391" s="2">
        <f>YEAR(Table14[[#This Row],[Data_Wystawienia]])</f>
        <v>2022</v>
      </c>
      <c r="O391" s="2" t="str">
        <f>TEXT(Table14[[#This Row],[Data_Wystawienia]],"rrrr-mm")</f>
        <v>2022-05</v>
      </c>
      <c r="P391" s="2">
        <v>1</v>
      </c>
    </row>
    <row r="392" spans="1:16" x14ac:dyDescent="0.3">
      <c r="A392" s="2" t="str">
        <f>TRIM(Table1[[#This Row],[Numer_FV]])</f>
        <v>FV/CENFA/394491/22</v>
      </c>
      <c r="B392" s="2" t="str">
        <f>TRIM(Table1[[#This Row],[Numer_PZ]])</f>
        <v>PZ/800390</v>
      </c>
      <c r="C392" s="2" t="str">
        <f>TRIM(Table1[[#This Row],[Dostawca]])</f>
        <v>CentrumFarm</v>
      </c>
      <c r="D392" s="3">
        <v>44705</v>
      </c>
      <c r="E392" s="4" t="s">
        <v>1202</v>
      </c>
      <c r="F392" s="2" t="str">
        <f>TRIM(Table1[[#This Row],[Status]])</f>
        <v>Zaakceptowana</v>
      </c>
      <c r="G392" s="2" t="str">
        <f>TRIM(Table1[[#This Row],[Typ]])</f>
        <v>Faktura VAT</v>
      </c>
      <c r="H392" s="2" t="str">
        <f>TRIM(Table1[[#This Row],[Magazyn]])</f>
        <v>Apteka Szpitalna</v>
      </c>
      <c r="I392" s="2" t="str">
        <f>TRIM(Table1[[#This Row],[Umowa]])</f>
        <v>UM-CEN-02</v>
      </c>
      <c r="J392" s="2" t="b">
        <f>ISTEXT(Table14[[#This Row],[Data_Wystawienia]])</f>
        <v>0</v>
      </c>
      <c r="K392" s="2">
        <f>VALUE(SUBSTITUTE(Table14[[#This Row],[Wartość]],".",","))</f>
        <v>5568.61</v>
      </c>
      <c r="L3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2" s="2" t="str">
        <f>IF(Table14[[#This Row],[Umowa]]="","Poza umową","Z umowy")</f>
        <v>Z umowy</v>
      </c>
      <c r="N392" s="2">
        <f>YEAR(Table14[[#This Row],[Data_Wystawienia]])</f>
        <v>2022</v>
      </c>
      <c r="O392" s="2" t="str">
        <f>TEXT(Table14[[#This Row],[Data_Wystawienia]],"rrrr-mm")</f>
        <v>2022-05</v>
      </c>
      <c r="P392" s="2">
        <v>1</v>
      </c>
    </row>
    <row r="393" spans="1:16" x14ac:dyDescent="0.3">
      <c r="A393" s="2" t="str">
        <f>TRIM(Table1[[#This Row],[Numer_FV]])</f>
        <v>FV/CENFA/211591/22</v>
      </c>
      <c r="B393" s="2" t="str">
        <f>TRIM(Table1[[#This Row],[Numer_PZ]])</f>
        <v>PZ/800391</v>
      </c>
      <c r="C393" s="2" t="str">
        <f>TRIM(Table1[[#This Row],[Dostawca]])</f>
        <v>CentrumFarm</v>
      </c>
      <c r="D393" s="3">
        <v>44706</v>
      </c>
      <c r="E393" s="4" t="s">
        <v>1205</v>
      </c>
      <c r="F393" s="2" t="str">
        <f>TRIM(Table1[[#This Row],[Status]])</f>
        <v>Zaakceptowana</v>
      </c>
      <c r="G393" s="2" t="str">
        <f>TRIM(Table1[[#This Row],[Typ]])</f>
        <v>Faktura VAT</v>
      </c>
      <c r="H393" s="2" t="str">
        <f>TRIM(Table1[[#This Row],[Magazyn]])</f>
        <v>Apteka Szpitalna</v>
      </c>
      <c r="I393" s="2" t="str">
        <f>TRIM(Table1[[#This Row],[Umowa]])</f>
        <v>UM-CEN-01</v>
      </c>
      <c r="J393" s="2" t="b">
        <f>ISTEXT(Table14[[#This Row],[Data_Wystawienia]])</f>
        <v>0</v>
      </c>
      <c r="K393" s="2">
        <f>VALUE(SUBSTITUTE(Table14[[#This Row],[Wartość]],".",","))</f>
        <v>12738.68</v>
      </c>
      <c r="L3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3" s="2" t="str">
        <f>IF(Table14[[#This Row],[Umowa]]="","Poza umową","Z umowy")</f>
        <v>Z umowy</v>
      </c>
      <c r="N393" s="2">
        <f>YEAR(Table14[[#This Row],[Data_Wystawienia]])</f>
        <v>2022</v>
      </c>
      <c r="O393" s="2" t="str">
        <f>TEXT(Table14[[#This Row],[Data_Wystawienia]],"rrrr-mm")</f>
        <v>2022-05</v>
      </c>
      <c r="P393" s="2">
        <v>1</v>
      </c>
    </row>
    <row r="394" spans="1:16" x14ac:dyDescent="0.3">
      <c r="A394" s="2" t="str">
        <f>TRIM(Table1[[#This Row],[Numer_FV]])</f>
        <v>FV/M/1027/P/22</v>
      </c>
      <c r="B394" s="2" t="str">
        <f>TRIM(Table1[[#This Row],[Numer_PZ]])</f>
        <v>PZ/800392</v>
      </c>
      <c r="C394" s="2" t="str">
        <f>TRIM(Table1[[#This Row],[Dostawca]])</f>
        <v>MedicaPharm</v>
      </c>
      <c r="D394" s="3">
        <v>44706</v>
      </c>
      <c r="E394" s="4" t="s">
        <v>1208</v>
      </c>
      <c r="F394" s="2" t="str">
        <f>TRIM(Table1[[#This Row],[Status]])</f>
        <v>Zaakceptowana</v>
      </c>
      <c r="G394" s="2" t="str">
        <f>TRIM(Table1[[#This Row],[Typ]])</f>
        <v>Faktura VAT</v>
      </c>
      <c r="H394" s="2" t="str">
        <f>TRIM(Table1[[#This Row],[Magazyn]])</f>
        <v>Apteka Szpitalna</v>
      </c>
      <c r="I394" s="2" t="str">
        <f>TRIM(Table1[[#This Row],[Umowa]])</f>
        <v>UM-MED-02</v>
      </c>
      <c r="J394" s="2" t="b">
        <f>ISTEXT(Table14[[#This Row],[Data_Wystawienia]])</f>
        <v>0</v>
      </c>
      <c r="K394" s="2">
        <f>VALUE(SUBSTITUTE(Table14[[#This Row],[Wartość]],".",","))</f>
        <v>15320.78</v>
      </c>
      <c r="L3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4" s="2" t="str">
        <f>IF(Table14[[#This Row],[Umowa]]="","Poza umową","Z umowy")</f>
        <v>Z umowy</v>
      </c>
      <c r="N394" s="2">
        <f>YEAR(Table14[[#This Row],[Data_Wystawienia]])</f>
        <v>2022</v>
      </c>
      <c r="O394" s="2" t="str">
        <f>TEXT(Table14[[#This Row],[Data_Wystawienia]],"rrrr-mm")</f>
        <v>2022-05</v>
      </c>
      <c r="P394" s="2">
        <v>1</v>
      </c>
    </row>
    <row r="395" spans="1:16" x14ac:dyDescent="0.3">
      <c r="A395" s="2" t="str">
        <f>TRIM(Table1[[#This Row],[Numer_FV]])</f>
        <v>FV/CENFA/359445/22</v>
      </c>
      <c r="B395" s="2" t="str">
        <f>TRIM(Table1[[#This Row],[Numer_PZ]])</f>
        <v>PZ/800393</v>
      </c>
      <c r="C395" s="2" t="str">
        <f>TRIM(Table1[[#This Row],[Dostawca]])</f>
        <v>CentrumFarm</v>
      </c>
      <c r="D395" s="3">
        <v>44707</v>
      </c>
      <c r="E395" s="4" t="s">
        <v>1211</v>
      </c>
      <c r="F395" s="2" t="str">
        <f>TRIM(Table1[[#This Row],[Status]])</f>
        <v>Zaakceptowana</v>
      </c>
      <c r="G395" s="2" t="str">
        <f>TRIM(Table1[[#This Row],[Typ]])</f>
        <v>Faktura VAT</v>
      </c>
      <c r="H395" s="2" t="str">
        <f>TRIM(Table1[[#This Row],[Magazyn]])</f>
        <v>Apteka Szpitalna</v>
      </c>
      <c r="I395" s="2" t="str">
        <f>TRIM(Table1[[#This Row],[Umowa]])</f>
        <v>UM-CEN-02</v>
      </c>
      <c r="J395" s="2" t="b">
        <f>ISTEXT(Table14[[#This Row],[Data_Wystawienia]])</f>
        <v>0</v>
      </c>
      <c r="K395" s="2">
        <f>VALUE(SUBSTITUTE(Table14[[#This Row],[Wartość]],".",","))</f>
        <v>24101.47</v>
      </c>
      <c r="L3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5" s="2" t="str">
        <f>IF(Table14[[#This Row],[Umowa]]="","Poza umową","Z umowy")</f>
        <v>Z umowy</v>
      </c>
      <c r="N395" s="2">
        <f>YEAR(Table14[[#This Row],[Data_Wystawienia]])</f>
        <v>2022</v>
      </c>
      <c r="O395" s="2" t="str">
        <f>TEXT(Table14[[#This Row],[Data_Wystawienia]],"rrrr-mm")</f>
        <v>2022-05</v>
      </c>
      <c r="P395" s="2">
        <v>1</v>
      </c>
    </row>
    <row r="396" spans="1:16" x14ac:dyDescent="0.3">
      <c r="A396" s="2" t="str">
        <f>TRIM(Table1[[#This Row],[Numer_FV]])</f>
        <v>FV/2793/NOVA/22</v>
      </c>
      <c r="B396" s="2" t="str">
        <f>TRIM(Table1[[#This Row],[Numer_PZ]])</f>
        <v>PZ/800394</v>
      </c>
      <c r="C396" s="2" t="str">
        <f>TRIM(Table1[[#This Row],[Dostawca]])</f>
        <v>NovaLek</v>
      </c>
      <c r="D396" s="3">
        <v>44707</v>
      </c>
      <c r="E396" s="4" t="s">
        <v>1214</v>
      </c>
      <c r="F396" s="2" t="str">
        <f>TRIM(Table1[[#This Row],[Status]])</f>
        <v>Zaakceptowana</v>
      </c>
      <c r="G396" s="2" t="str">
        <f>TRIM(Table1[[#This Row],[Typ]])</f>
        <v>Faktura VAT</v>
      </c>
      <c r="H396" s="2" t="str">
        <f>TRIM(Table1[[#This Row],[Magazyn]])</f>
        <v>Apteka Szpitalna</v>
      </c>
      <c r="I396" s="2" t="str">
        <f>TRIM(Table1[[#This Row],[Umowa]])</f>
        <v/>
      </c>
      <c r="J396" s="2" t="b">
        <f>ISTEXT(Table14[[#This Row],[Data_Wystawienia]])</f>
        <v>0</v>
      </c>
      <c r="K396" s="2">
        <f>VALUE(SUBSTITUTE(Table14[[#This Row],[Wartość]],".",","))</f>
        <v>20070.759999999998</v>
      </c>
      <c r="L3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6" s="2" t="str">
        <f>IF(Table14[[#This Row],[Umowa]]="","Poza umową","Z umowy")</f>
        <v>Poza umową</v>
      </c>
      <c r="N396" s="2">
        <f>YEAR(Table14[[#This Row],[Data_Wystawienia]])</f>
        <v>2022</v>
      </c>
      <c r="O396" s="2" t="str">
        <f>TEXT(Table14[[#This Row],[Data_Wystawienia]],"rrrr-mm")</f>
        <v>2022-05</v>
      </c>
      <c r="P396" s="2">
        <v>1</v>
      </c>
    </row>
    <row r="397" spans="1:16" x14ac:dyDescent="0.3">
      <c r="A397" s="2" t="str">
        <f>TRIM(Table1[[#This Row],[Numer_FV]])</f>
        <v>FV/M/1287/P/22</v>
      </c>
      <c r="B397" s="2" t="str">
        <f>TRIM(Table1[[#This Row],[Numer_PZ]])</f>
        <v>PZ/800395</v>
      </c>
      <c r="C397" s="2" t="str">
        <f>TRIM(Table1[[#This Row],[Dostawca]])</f>
        <v>MedicaPharm</v>
      </c>
      <c r="D397" s="3">
        <v>44708</v>
      </c>
      <c r="E397" s="4" t="s">
        <v>1217</v>
      </c>
      <c r="F397" s="2" t="str">
        <f>TRIM(Table1[[#This Row],[Status]])</f>
        <v>Zaakceptowana</v>
      </c>
      <c r="G397" s="2" t="str">
        <f>TRIM(Table1[[#This Row],[Typ]])</f>
        <v>Faktura VAT</v>
      </c>
      <c r="H397" s="2" t="str">
        <f>TRIM(Table1[[#This Row],[Magazyn]])</f>
        <v>Apteka Szpitalna</v>
      </c>
      <c r="I397" s="2" t="str">
        <f>TRIM(Table1[[#This Row],[Umowa]])</f>
        <v/>
      </c>
      <c r="J397" s="2" t="b">
        <f>ISTEXT(Table14[[#This Row],[Data_Wystawienia]])</f>
        <v>0</v>
      </c>
      <c r="K397" s="2">
        <f>VALUE(SUBSTITUTE(Table14[[#This Row],[Wartość]],".",","))</f>
        <v>10473.24</v>
      </c>
      <c r="L3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7" s="2" t="str">
        <f>IF(Table14[[#This Row],[Umowa]]="","Poza umową","Z umowy")</f>
        <v>Poza umową</v>
      </c>
      <c r="N397" s="2">
        <f>YEAR(Table14[[#This Row],[Data_Wystawienia]])</f>
        <v>2022</v>
      </c>
      <c r="O397" s="2" t="str">
        <f>TEXT(Table14[[#This Row],[Data_Wystawienia]],"rrrr-mm")</f>
        <v>2022-05</v>
      </c>
      <c r="P397" s="2">
        <v>1</v>
      </c>
    </row>
    <row r="398" spans="1:16" x14ac:dyDescent="0.3">
      <c r="A398" s="2" t="str">
        <f>TRIM(Table1[[#This Row],[Numer_FV]])</f>
        <v>FV/POL/26855/2022</v>
      </c>
      <c r="B398" s="2" t="str">
        <f>TRIM(Table1[[#This Row],[Numer_PZ]])</f>
        <v>PZ/800396</v>
      </c>
      <c r="C398" s="2" t="str">
        <f>TRIM(Table1[[#This Row],[Dostawca]])</f>
        <v>Polmedica</v>
      </c>
      <c r="D398" s="3">
        <v>44708</v>
      </c>
      <c r="E398" s="4" t="s">
        <v>1220</v>
      </c>
      <c r="F398" s="2" t="str">
        <f>TRIM(Table1[[#This Row],[Status]])</f>
        <v>Zaakceptowana</v>
      </c>
      <c r="G398" s="2" t="str">
        <f>TRIM(Table1[[#This Row],[Typ]])</f>
        <v>Faktura VAT</v>
      </c>
      <c r="H398" s="2" t="str">
        <f>TRIM(Table1[[#This Row],[Magazyn]])</f>
        <v>Apteka Szpitalna</v>
      </c>
      <c r="I398" s="2" t="str">
        <f>TRIM(Table1[[#This Row],[Umowa]])</f>
        <v>UM-POL-01</v>
      </c>
      <c r="J398" s="2" t="b">
        <f>ISTEXT(Table14[[#This Row],[Data_Wystawienia]])</f>
        <v>0</v>
      </c>
      <c r="K398" s="2">
        <f>VALUE(SUBSTITUTE(Table14[[#This Row],[Wartość]],".",","))</f>
        <v>22178.49</v>
      </c>
      <c r="L3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8" s="2" t="str">
        <f>IF(Table14[[#This Row],[Umowa]]="","Poza umową","Z umowy")</f>
        <v>Z umowy</v>
      </c>
      <c r="N398" s="2">
        <f>YEAR(Table14[[#This Row],[Data_Wystawienia]])</f>
        <v>2022</v>
      </c>
      <c r="O398" s="2" t="str">
        <f>TEXT(Table14[[#This Row],[Data_Wystawienia]],"rrrr-mm")</f>
        <v>2022-05</v>
      </c>
      <c r="P398" s="2">
        <v>1</v>
      </c>
    </row>
    <row r="399" spans="1:16" x14ac:dyDescent="0.3">
      <c r="A399" s="2" t="str">
        <f>TRIM(Table1[[#This Row],[Numer_FV]])</f>
        <v>FV/4023HM/22</v>
      </c>
      <c r="B399" s="2" t="str">
        <f>TRIM(Table1[[#This Row],[Numer_PZ]])</f>
        <v>PZ/800397</v>
      </c>
      <c r="C399" s="2" t="str">
        <f>TRIM(Table1[[#This Row],[Dostawca]])</f>
        <v>HurtMedix</v>
      </c>
      <c r="D399" s="3">
        <v>44708</v>
      </c>
      <c r="E399" s="4" t="s">
        <v>1223</v>
      </c>
      <c r="F399" s="2" t="str">
        <f>TRIM(Table1[[#This Row],[Status]])</f>
        <v>Zaakceptowana</v>
      </c>
      <c r="G399" s="2" t="str">
        <f>TRIM(Table1[[#This Row],[Typ]])</f>
        <v>Faktura VAT</v>
      </c>
      <c r="H399" s="2" t="str">
        <f>TRIM(Table1[[#This Row],[Magazyn]])</f>
        <v>Apteka Szpitalna</v>
      </c>
      <c r="I399" s="2" t="str">
        <f>TRIM(Table1[[#This Row],[Umowa]])</f>
        <v/>
      </c>
      <c r="J399" s="2" t="b">
        <f>ISTEXT(Table14[[#This Row],[Data_Wystawienia]])</f>
        <v>0</v>
      </c>
      <c r="K399" s="2">
        <f>VALUE(SUBSTITUTE(Table14[[#This Row],[Wartość]],".",","))</f>
        <v>20494.599999999999</v>
      </c>
      <c r="L3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99" s="2" t="str">
        <f>IF(Table14[[#This Row],[Umowa]]="","Poza umową","Z umowy")</f>
        <v>Poza umową</v>
      </c>
      <c r="N399" s="2">
        <f>YEAR(Table14[[#This Row],[Data_Wystawienia]])</f>
        <v>2022</v>
      </c>
      <c r="O399" s="2" t="str">
        <f>TEXT(Table14[[#This Row],[Data_Wystawienia]],"rrrr-mm")</f>
        <v>2022-05</v>
      </c>
      <c r="P399" s="2">
        <v>1</v>
      </c>
    </row>
    <row r="400" spans="1:16" x14ac:dyDescent="0.3">
      <c r="A400" s="2" t="str">
        <f>TRIM(Table1[[#This Row],[Numer_FV]])</f>
        <v>FV/M/5751/P/22</v>
      </c>
      <c r="B400" s="2" t="str">
        <f>TRIM(Table1[[#This Row],[Numer_PZ]])</f>
        <v>PZ/800398</v>
      </c>
      <c r="C400" s="2" t="str">
        <f>TRIM(Table1[[#This Row],[Dostawca]])</f>
        <v>MedicaPharm</v>
      </c>
      <c r="D400" s="3">
        <v>44708</v>
      </c>
      <c r="E400" s="4" t="s">
        <v>1226</v>
      </c>
      <c r="F400" s="2" t="str">
        <f>TRIM(Table1[[#This Row],[Status]])</f>
        <v>Zaakceptowana</v>
      </c>
      <c r="G400" s="2" t="str">
        <f>TRIM(Table1[[#This Row],[Typ]])</f>
        <v>Faktura VAT</v>
      </c>
      <c r="H400" s="2" t="str">
        <f>TRIM(Table1[[#This Row],[Magazyn]])</f>
        <v>Apteka Szpitalna</v>
      </c>
      <c r="I400" s="2" t="str">
        <f>TRIM(Table1[[#This Row],[Umowa]])</f>
        <v>UM-MED-02</v>
      </c>
      <c r="J400" s="2" t="b">
        <f>ISTEXT(Table14[[#This Row],[Data_Wystawienia]])</f>
        <v>0</v>
      </c>
      <c r="K400" s="2">
        <f>VALUE(SUBSTITUTE(Table14[[#This Row],[Wartość]],".",","))</f>
        <v>17851.63</v>
      </c>
      <c r="L4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0" s="2" t="str">
        <f>IF(Table14[[#This Row],[Umowa]]="","Poza umową","Z umowy")</f>
        <v>Z umowy</v>
      </c>
      <c r="N400" s="2">
        <f>YEAR(Table14[[#This Row],[Data_Wystawienia]])</f>
        <v>2022</v>
      </c>
      <c r="O400" s="2" t="str">
        <f>TEXT(Table14[[#This Row],[Data_Wystawienia]],"rrrr-mm")</f>
        <v>2022-05</v>
      </c>
      <c r="P400" s="2">
        <v>1</v>
      </c>
    </row>
    <row r="401" spans="1:16" x14ac:dyDescent="0.3">
      <c r="A401" s="2" t="str">
        <f>TRIM(Table1[[#This Row],[Numer_FV]])</f>
        <v>FV/POL/85782/2022</v>
      </c>
      <c r="B401" s="2" t="str">
        <f>TRIM(Table1[[#This Row],[Numer_PZ]])</f>
        <v>PZ/800399</v>
      </c>
      <c r="C401" s="2" t="str">
        <f>TRIM(Table1[[#This Row],[Dostawca]])</f>
        <v>Polmedica</v>
      </c>
      <c r="D401" s="3">
        <v>44709</v>
      </c>
      <c r="E401" s="4" t="s">
        <v>1229</v>
      </c>
      <c r="F401" s="2" t="str">
        <f>TRIM(Table1[[#This Row],[Status]])</f>
        <v>Zaakceptowana</v>
      </c>
      <c r="G401" s="2" t="str">
        <f>TRIM(Table1[[#This Row],[Typ]])</f>
        <v>Faktura VAT</v>
      </c>
      <c r="H401" s="2" t="str">
        <f>TRIM(Table1[[#This Row],[Magazyn]])</f>
        <v>Apteka Szpitalna</v>
      </c>
      <c r="I401" s="2" t="str">
        <f>TRIM(Table1[[#This Row],[Umowa]])</f>
        <v>UM-POL-03</v>
      </c>
      <c r="J401" s="2" t="b">
        <f>ISTEXT(Table14[[#This Row],[Data_Wystawienia]])</f>
        <v>0</v>
      </c>
      <c r="K401" s="2">
        <f>VALUE(SUBSTITUTE(Table14[[#This Row],[Wartość]],".",","))</f>
        <v>21847.35</v>
      </c>
      <c r="L4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1" s="2" t="str">
        <f>IF(Table14[[#This Row],[Umowa]]="","Poza umową","Z umowy")</f>
        <v>Z umowy</v>
      </c>
      <c r="N401" s="2">
        <f>YEAR(Table14[[#This Row],[Data_Wystawienia]])</f>
        <v>2022</v>
      </c>
      <c r="O401" s="2" t="str">
        <f>TEXT(Table14[[#This Row],[Data_Wystawienia]],"rrrr-mm")</f>
        <v>2022-05</v>
      </c>
      <c r="P401" s="2">
        <v>1</v>
      </c>
    </row>
    <row r="402" spans="1:16" x14ac:dyDescent="0.3">
      <c r="A402" s="2" t="str">
        <f>TRIM(Table1[[#This Row],[Numer_FV]])</f>
        <v>FV/48309/VDb/2022</v>
      </c>
      <c r="B402" s="2" t="str">
        <f>TRIM(Table1[[#This Row],[Numer_PZ]])</f>
        <v>PZ/800400</v>
      </c>
      <c r="C402" s="2" t="str">
        <f>TRIM(Table1[[#This Row],[Dostawca]])</f>
        <v>VitaDistrib</v>
      </c>
      <c r="D402" s="3">
        <v>44709</v>
      </c>
      <c r="E402" s="4" t="s">
        <v>1232</v>
      </c>
      <c r="F402" s="2" t="str">
        <f>TRIM(Table1[[#This Row],[Status]])</f>
        <v>Zaakceptowana</v>
      </c>
      <c r="G402" s="2" t="str">
        <f>TRIM(Table1[[#This Row],[Typ]])</f>
        <v>Faktura VAT</v>
      </c>
      <c r="H402" s="2" t="str">
        <f>TRIM(Table1[[#This Row],[Magazyn]])</f>
        <v>Apteka Szpitalna</v>
      </c>
      <c r="I402" s="2" t="str">
        <f>TRIM(Table1[[#This Row],[Umowa]])</f>
        <v/>
      </c>
      <c r="J402" s="2" t="b">
        <f>ISTEXT(Table14[[#This Row],[Data_Wystawienia]])</f>
        <v>0</v>
      </c>
      <c r="K402" s="2">
        <f>VALUE(SUBSTITUTE(Table14[[#This Row],[Wartość]],".",","))</f>
        <v>15518.39</v>
      </c>
      <c r="L4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2" s="2" t="str">
        <f>IF(Table14[[#This Row],[Umowa]]="","Poza umową","Z umowy")</f>
        <v>Poza umową</v>
      </c>
      <c r="N402" s="2">
        <f>YEAR(Table14[[#This Row],[Data_Wystawienia]])</f>
        <v>2022</v>
      </c>
      <c r="O402" s="2" t="str">
        <f>TEXT(Table14[[#This Row],[Data_Wystawienia]],"rrrr-mm")</f>
        <v>2022-05</v>
      </c>
      <c r="P402" s="2">
        <v>1</v>
      </c>
    </row>
    <row r="403" spans="1:16" x14ac:dyDescent="0.3">
      <c r="A403" s="2" t="str">
        <f>TRIM(Table1[[#This Row],[Numer_FV]])</f>
        <v>FV/POL/50400/2022</v>
      </c>
      <c r="B403" s="2" t="str">
        <f>TRIM(Table1[[#This Row],[Numer_PZ]])</f>
        <v>PZ/800401</v>
      </c>
      <c r="C403" s="2" t="str">
        <f>TRIM(Table1[[#This Row],[Dostawca]])</f>
        <v>Polmedica</v>
      </c>
      <c r="D403" s="3">
        <v>44710</v>
      </c>
      <c r="E403" s="4" t="s">
        <v>1235</v>
      </c>
      <c r="F403" s="2" t="str">
        <f>TRIM(Table1[[#This Row],[Status]])</f>
        <v>Zaakceptowana</v>
      </c>
      <c r="G403" s="2" t="str">
        <f>TRIM(Table1[[#This Row],[Typ]])</f>
        <v>Faktura VAT</v>
      </c>
      <c r="H403" s="2" t="str">
        <f>TRIM(Table1[[#This Row],[Magazyn]])</f>
        <v>Apteka Szpitalna</v>
      </c>
      <c r="I403" s="2" t="str">
        <f>TRIM(Table1[[#This Row],[Umowa]])</f>
        <v>UM-POL-03</v>
      </c>
      <c r="J403" s="2" t="b">
        <f>ISTEXT(Table14[[#This Row],[Data_Wystawienia]])</f>
        <v>0</v>
      </c>
      <c r="K403" s="2">
        <f>VALUE(SUBSTITUTE(Table14[[#This Row],[Wartość]],".",","))</f>
        <v>14023.58</v>
      </c>
      <c r="L4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3" s="2" t="str">
        <f>IF(Table14[[#This Row],[Umowa]]="","Poza umową","Z umowy")</f>
        <v>Z umowy</v>
      </c>
      <c r="N403" s="2">
        <f>YEAR(Table14[[#This Row],[Data_Wystawienia]])</f>
        <v>2022</v>
      </c>
      <c r="O403" s="2" t="str">
        <f>TEXT(Table14[[#This Row],[Data_Wystawienia]],"rrrr-mm")</f>
        <v>2022-05</v>
      </c>
      <c r="P403" s="2">
        <v>1</v>
      </c>
    </row>
    <row r="404" spans="1:16" x14ac:dyDescent="0.3">
      <c r="A404" s="2" t="str">
        <f>TRIM(Table1[[#This Row],[Numer_FV]])</f>
        <v>FV/11/SAL/22</v>
      </c>
      <c r="B404" s="2" t="str">
        <f>TRIM(Table1[[#This Row],[Numer_PZ]])</f>
        <v>PZ/800402</v>
      </c>
      <c r="C404" s="2" t="str">
        <f>TRIM(Table1[[#This Row],[Dostawca]])</f>
        <v>SalusHurt</v>
      </c>
      <c r="D404" s="3">
        <v>44710</v>
      </c>
      <c r="E404" s="4" t="s">
        <v>1238</v>
      </c>
      <c r="F404" s="2" t="str">
        <f>TRIM(Table1[[#This Row],[Status]])</f>
        <v>Zaakceptowana</v>
      </c>
      <c r="G404" s="2" t="str">
        <f>TRIM(Table1[[#This Row],[Typ]])</f>
        <v>Faktura VAT</v>
      </c>
      <c r="H404" s="2" t="str">
        <f>TRIM(Table1[[#This Row],[Magazyn]])</f>
        <v>Apteka Szpitalna</v>
      </c>
      <c r="I404" s="2" t="str">
        <f>TRIM(Table1[[#This Row],[Umowa]])</f>
        <v/>
      </c>
      <c r="J404" s="2" t="b">
        <f>ISTEXT(Table14[[#This Row],[Data_Wystawienia]])</f>
        <v>0</v>
      </c>
      <c r="K404" s="2">
        <f>VALUE(SUBSTITUTE(Table14[[#This Row],[Wartość]],".",","))</f>
        <v>17161.89</v>
      </c>
      <c r="L4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4" s="2" t="str">
        <f>IF(Table14[[#This Row],[Umowa]]="","Poza umową","Z umowy")</f>
        <v>Poza umową</v>
      </c>
      <c r="N404" s="2">
        <f>YEAR(Table14[[#This Row],[Data_Wystawienia]])</f>
        <v>2022</v>
      </c>
      <c r="O404" s="2" t="str">
        <f>TEXT(Table14[[#This Row],[Data_Wystawienia]],"rrrr-mm")</f>
        <v>2022-05</v>
      </c>
      <c r="P404" s="2">
        <v>1</v>
      </c>
    </row>
    <row r="405" spans="1:16" x14ac:dyDescent="0.3">
      <c r="A405" s="2" t="str">
        <f>TRIM(Table1[[#This Row],[Numer_FV]])</f>
        <v>FV/POL/79468/2022</v>
      </c>
      <c r="B405" s="2" t="str">
        <f>TRIM(Table1[[#This Row],[Numer_PZ]])</f>
        <v>PZ/800403</v>
      </c>
      <c r="C405" s="2" t="str">
        <f>TRIM(Table1[[#This Row],[Dostawca]])</f>
        <v>Polmedica</v>
      </c>
      <c r="D405" s="3">
        <v>44710</v>
      </c>
      <c r="E405" s="4" t="s">
        <v>1241</v>
      </c>
      <c r="F405" s="2" t="str">
        <f>TRIM(Table1[[#This Row],[Status]])</f>
        <v>Zaakceptowana</v>
      </c>
      <c r="G405" s="2" t="str">
        <f>TRIM(Table1[[#This Row],[Typ]])</f>
        <v>Faktura VAT</v>
      </c>
      <c r="H405" s="2" t="str">
        <f>TRIM(Table1[[#This Row],[Magazyn]])</f>
        <v>Apteka Szpitalna</v>
      </c>
      <c r="I405" s="2" t="str">
        <f>TRIM(Table1[[#This Row],[Umowa]])</f>
        <v>UM-POL-03</v>
      </c>
      <c r="J405" s="2" t="b">
        <f>ISTEXT(Table14[[#This Row],[Data_Wystawienia]])</f>
        <v>0</v>
      </c>
      <c r="K405" s="2">
        <f>VALUE(SUBSTITUTE(Table14[[#This Row],[Wartość]],".",","))</f>
        <v>14380.38</v>
      </c>
      <c r="L4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5" s="2" t="str">
        <f>IF(Table14[[#This Row],[Umowa]]="","Poza umową","Z umowy")</f>
        <v>Z umowy</v>
      </c>
      <c r="N405" s="2">
        <f>YEAR(Table14[[#This Row],[Data_Wystawienia]])</f>
        <v>2022</v>
      </c>
      <c r="O405" s="2" t="str">
        <f>TEXT(Table14[[#This Row],[Data_Wystawienia]],"rrrr-mm")</f>
        <v>2022-05</v>
      </c>
      <c r="P405" s="2">
        <v>1</v>
      </c>
    </row>
    <row r="406" spans="1:16" x14ac:dyDescent="0.3">
      <c r="A406" s="2" t="str">
        <f>TRIM(Table1[[#This Row],[Numer_FV]])</f>
        <v>FV/38/PP/3991/22</v>
      </c>
      <c r="B406" s="2" t="str">
        <f>TRIM(Table1[[#This Row],[Numer_PZ]])</f>
        <v>PZ/800404</v>
      </c>
      <c r="C406" s="2" t="str">
        <f>TRIM(Table1[[#This Row],[Dostawca]])</f>
        <v>PharmaPlus</v>
      </c>
      <c r="D406" s="3">
        <v>44710</v>
      </c>
      <c r="E406" s="4" t="s">
        <v>1244</v>
      </c>
      <c r="F406" s="2" t="str">
        <f>TRIM(Table1[[#This Row],[Status]])</f>
        <v>Zaakceptowana</v>
      </c>
      <c r="G406" s="2" t="str">
        <f>TRIM(Table1[[#This Row],[Typ]])</f>
        <v>Faktura VAT</v>
      </c>
      <c r="H406" s="2" t="str">
        <f>TRIM(Table1[[#This Row],[Magazyn]])</f>
        <v>Apteka Szpitalna</v>
      </c>
      <c r="I406" s="2" t="str">
        <f>TRIM(Table1[[#This Row],[Umowa]])</f>
        <v>UM-PHA-02</v>
      </c>
      <c r="J406" s="2" t="b">
        <f>ISTEXT(Table14[[#This Row],[Data_Wystawienia]])</f>
        <v>0</v>
      </c>
      <c r="K406" s="2">
        <f>VALUE(SUBSTITUTE(Table14[[#This Row],[Wartość]],".",","))</f>
        <v>21544.02</v>
      </c>
      <c r="L4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6" s="2" t="str">
        <f>IF(Table14[[#This Row],[Umowa]]="","Poza umową","Z umowy")</f>
        <v>Z umowy</v>
      </c>
      <c r="N406" s="2">
        <f>YEAR(Table14[[#This Row],[Data_Wystawienia]])</f>
        <v>2022</v>
      </c>
      <c r="O406" s="2" t="str">
        <f>TEXT(Table14[[#This Row],[Data_Wystawienia]],"rrrr-mm")</f>
        <v>2022-05</v>
      </c>
      <c r="P406" s="2">
        <v>1</v>
      </c>
    </row>
    <row r="407" spans="1:16" x14ac:dyDescent="0.3">
      <c r="A407" s="2" t="str">
        <f>TRIM(Table1[[#This Row],[Numer_FV]])</f>
        <v>FV/3669HM/22</v>
      </c>
      <c r="B407" s="2" t="str">
        <f>TRIM(Table1[[#This Row],[Numer_PZ]])</f>
        <v>PZ/800405</v>
      </c>
      <c r="C407" s="2" t="str">
        <f>TRIM(Table1[[#This Row],[Dostawca]])</f>
        <v>HurtMedix</v>
      </c>
      <c r="D407" s="3">
        <v>44711</v>
      </c>
      <c r="E407" s="4" t="s">
        <v>1247</v>
      </c>
      <c r="F407" s="2" t="str">
        <f>TRIM(Table1[[#This Row],[Status]])</f>
        <v>Zaakceptowana</v>
      </c>
      <c r="G407" s="2" t="str">
        <f>TRIM(Table1[[#This Row],[Typ]])</f>
        <v>Faktura VAT</v>
      </c>
      <c r="H407" s="2" t="str">
        <f>TRIM(Table1[[#This Row],[Magazyn]])</f>
        <v>Apteka Szpitalna</v>
      </c>
      <c r="I407" s="2" t="str">
        <f>TRIM(Table1[[#This Row],[Umowa]])</f>
        <v>UM-HUR-01</v>
      </c>
      <c r="J407" s="2" t="b">
        <f>ISTEXT(Table14[[#This Row],[Data_Wystawienia]])</f>
        <v>0</v>
      </c>
      <c r="K407" s="2">
        <f>VALUE(SUBSTITUTE(Table14[[#This Row],[Wartość]],".",","))</f>
        <v>17738.38</v>
      </c>
      <c r="L4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7" s="2" t="str">
        <f>IF(Table14[[#This Row],[Umowa]]="","Poza umową","Z umowy")</f>
        <v>Z umowy</v>
      </c>
      <c r="N407" s="2">
        <f>YEAR(Table14[[#This Row],[Data_Wystawienia]])</f>
        <v>2022</v>
      </c>
      <c r="O407" s="2" t="str">
        <f>TEXT(Table14[[#This Row],[Data_Wystawienia]],"rrrr-mm")</f>
        <v>2022-05</v>
      </c>
      <c r="P407" s="2">
        <v>1</v>
      </c>
    </row>
    <row r="408" spans="1:16" x14ac:dyDescent="0.3">
      <c r="A408" s="2" t="str">
        <f>TRIM(Table1[[#This Row],[Numer_FV]])</f>
        <v>FV/78/SAL/22</v>
      </c>
      <c r="B408" s="2" t="str">
        <f>TRIM(Table1[[#This Row],[Numer_PZ]])</f>
        <v>PZ/800406</v>
      </c>
      <c r="C408" s="2" t="str">
        <f>TRIM(Table1[[#This Row],[Dostawca]])</f>
        <v>SalusHurt</v>
      </c>
      <c r="D408" s="3">
        <v>44711</v>
      </c>
      <c r="E408" s="4" t="s">
        <v>1249</v>
      </c>
      <c r="F408" s="2" t="str">
        <f>TRIM(Table1[[#This Row],[Status]])</f>
        <v>Zaakceptowana</v>
      </c>
      <c r="G408" s="2" t="str">
        <f>TRIM(Table1[[#This Row],[Typ]])</f>
        <v>Faktura VAT</v>
      </c>
      <c r="H408" s="2" t="str">
        <f>TRIM(Table1[[#This Row],[Magazyn]])</f>
        <v>Apteka Szpitalna</v>
      </c>
      <c r="I408" s="2" t="str">
        <f>TRIM(Table1[[#This Row],[Umowa]])</f>
        <v/>
      </c>
      <c r="J408" s="2" t="b">
        <f>ISTEXT(Table14[[#This Row],[Data_Wystawienia]])</f>
        <v>0</v>
      </c>
      <c r="K408" s="2">
        <f>VALUE(SUBSTITUTE(Table14[[#This Row],[Wartość]],".",","))</f>
        <v>23258.69</v>
      </c>
      <c r="L4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8" s="2" t="str">
        <f>IF(Table14[[#This Row],[Umowa]]="","Poza umową","Z umowy")</f>
        <v>Poza umową</v>
      </c>
      <c r="N408" s="2">
        <f>YEAR(Table14[[#This Row],[Data_Wystawienia]])</f>
        <v>2022</v>
      </c>
      <c r="O408" s="2" t="str">
        <f>TEXT(Table14[[#This Row],[Data_Wystawienia]],"rrrr-mm")</f>
        <v>2022-05</v>
      </c>
      <c r="P408" s="2">
        <v>1</v>
      </c>
    </row>
    <row r="409" spans="1:16" x14ac:dyDescent="0.3">
      <c r="A409" s="2" t="str">
        <f>TRIM(Table1[[#This Row],[Numer_FV]])</f>
        <v>FV/9183HM/22</v>
      </c>
      <c r="B409" s="2" t="str">
        <f>TRIM(Table1[[#This Row],[Numer_PZ]])</f>
        <v>PZ/800407</v>
      </c>
      <c r="C409" s="2" t="str">
        <f>TRIM(Table1[[#This Row],[Dostawca]])</f>
        <v>HurtMedix</v>
      </c>
      <c r="D409" s="3">
        <v>44711</v>
      </c>
      <c r="E409" s="4" t="s">
        <v>1252</v>
      </c>
      <c r="F409" s="2" t="str">
        <f>TRIM(Table1[[#This Row],[Status]])</f>
        <v>Zaakceptowana</v>
      </c>
      <c r="G409" s="2" t="str">
        <f>TRIM(Table1[[#This Row],[Typ]])</f>
        <v>Faktura VAT</v>
      </c>
      <c r="H409" s="2" t="str">
        <f>TRIM(Table1[[#This Row],[Magazyn]])</f>
        <v>Apteka Szpitalna</v>
      </c>
      <c r="I409" s="2" t="str">
        <f>TRIM(Table1[[#This Row],[Umowa]])</f>
        <v/>
      </c>
      <c r="J409" s="2" t="b">
        <f>ISTEXT(Table14[[#This Row],[Data_Wystawienia]])</f>
        <v>0</v>
      </c>
      <c r="K409" s="2">
        <f>VALUE(SUBSTITUTE(Table14[[#This Row],[Wartość]],".",","))</f>
        <v>7145.46</v>
      </c>
      <c r="L4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09" s="2" t="str">
        <f>IF(Table14[[#This Row],[Umowa]]="","Poza umową","Z umowy")</f>
        <v>Poza umową</v>
      </c>
      <c r="N409" s="2">
        <f>YEAR(Table14[[#This Row],[Data_Wystawienia]])</f>
        <v>2022</v>
      </c>
      <c r="O409" s="2" t="str">
        <f>TEXT(Table14[[#This Row],[Data_Wystawienia]],"rrrr-mm")</f>
        <v>2022-05</v>
      </c>
      <c r="P409" s="2">
        <v>1</v>
      </c>
    </row>
    <row r="410" spans="1:16" x14ac:dyDescent="0.3">
      <c r="A410" s="2" t="str">
        <f>TRIM(Table1[[#This Row],[Numer_FV]])</f>
        <v>FV/99/PP/2241/22</v>
      </c>
      <c r="B410" s="2" t="str">
        <f>TRIM(Table1[[#This Row],[Numer_PZ]])</f>
        <v>PZ/800408</v>
      </c>
      <c r="C410" s="2" t="str">
        <f>TRIM(Table1[[#This Row],[Dostawca]])</f>
        <v>PharmaPlus</v>
      </c>
      <c r="D410" s="3">
        <v>44711</v>
      </c>
      <c r="E410" s="4" t="s">
        <v>1255</v>
      </c>
      <c r="F410" s="2" t="str">
        <f>TRIM(Table1[[#This Row],[Status]])</f>
        <v>Zaakceptowana</v>
      </c>
      <c r="G410" s="2" t="str">
        <f>TRIM(Table1[[#This Row],[Typ]])</f>
        <v>Faktura VAT</v>
      </c>
      <c r="H410" s="2" t="str">
        <f>TRIM(Table1[[#This Row],[Magazyn]])</f>
        <v>Apteka Szpitalna</v>
      </c>
      <c r="I410" s="2" t="str">
        <f>TRIM(Table1[[#This Row],[Umowa]])</f>
        <v/>
      </c>
      <c r="J410" s="2" t="b">
        <f>ISTEXT(Table14[[#This Row],[Data_Wystawienia]])</f>
        <v>0</v>
      </c>
      <c r="K410" s="2">
        <f>VALUE(SUBSTITUTE(Table14[[#This Row],[Wartość]],".",","))</f>
        <v>16746.03</v>
      </c>
      <c r="L4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0" s="2" t="str">
        <f>IF(Table14[[#This Row],[Umowa]]="","Poza umową","Z umowy")</f>
        <v>Poza umową</v>
      </c>
      <c r="N410" s="2">
        <f>YEAR(Table14[[#This Row],[Data_Wystawienia]])</f>
        <v>2022</v>
      </c>
      <c r="O410" s="2" t="str">
        <f>TEXT(Table14[[#This Row],[Data_Wystawienia]],"rrrr-mm")</f>
        <v>2022-05</v>
      </c>
      <c r="P410" s="2">
        <v>1</v>
      </c>
    </row>
    <row r="411" spans="1:16" x14ac:dyDescent="0.3">
      <c r="A411" s="2" t="str">
        <f>TRIM(Table1[[#This Row],[Numer_FV]])</f>
        <v>FV/CENFA/296923/22</v>
      </c>
      <c r="B411" s="2" t="str">
        <f>TRIM(Table1[[#This Row],[Numer_PZ]])</f>
        <v>PZ/800409</v>
      </c>
      <c r="C411" s="2" t="str">
        <f>TRIM(Table1[[#This Row],[Dostawca]])</f>
        <v>CentrumFarm</v>
      </c>
      <c r="D411" s="3">
        <v>44712</v>
      </c>
      <c r="E411" s="4" t="s">
        <v>1258</v>
      </c>
      <c r="F411" s="2" t="str">
        <f>TRIM(Table1[[#This Row],[Status]])</f>
        <v>Zaakceptowana</v>
      </c>
      <c r="G411" s="2" t="str">
        <f>TRIM(Table1[[#This Row],[Typ]])</f>
        <v>Faktura VAT</v>
      </c>
      <c r="H411" s="2" t="str">
        <f>TRIM(Table1[[#This Row],[Magazyn]])</f>
        <v>Apteka Szpitalna</v>
      </c>
      <c r="I411" s="2" t="str">
        <f>TRIM(Table1[[#This Row],[Umowa]])</f>
        <v>UM-CEN-01</v>
      </c>
      <c r="J411" s="2" t="b">
        <f>ISTEXT(Table14[[#This Row],[Data_Wystawienia]])</f>
        <v>0</v>
      </c>
      <c r="K411" s="2">
        <f>VALUE(SUBSTITUTE(Table14[[#This Row],[Wartość]],".",","))</f>
        <v>9201.49</v>
      </c>
      <c r="L4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1" s="2" t="str">
        <f>IF(Table14[[#This Row],[Umowa]]="","Poza umową","Z umowy")</f>
        <v>Z umowy</v>
      </c>
      <c r="N411" s="2">
        <f>YEAR(Table14[[#This Row],[Data_Wystawienia]])</f>
        <v>2022</v>
      </c>
      <c r="O411" s="2" t="str">
        <f>TEXT(Table14[[#This Row],[Data_Wystawienia]],"rrrr-mm")</f>
        <v>2022-05</v>
      </c>
      <c r="P411" s="2">
        <v>1</v>
      </c>
    </row>
    <row r="412" spans="1:16" x14ac:dyDescent="0.3">
      <c r="A412" s="2" t="str">
        <f>TRIM(Table1[[#This Row],[Numer_FV]])</f>
        <v>FV/M/6539/P/22</v>
      </c>
      <c r="B412" s="2" t="str">
        <f>TRIM(Table1[[#This Row],[Numer_PZ]])</f>
        <v>PZ/800410</v>
      </c>
      <c r="C412" s="2" t="str">
        <f>TRIM(Table1[[#This Row],[Dostawca]])</f>
        <v>MedicaPharm</v>
      </c>
      <c r="D412" s="3">
        <v>44713</v>
      </c>
      <c r="E412" s="4" t="s">
        <v>1261</v>
      </c>
      <c r="F412" s="2" t="str">
        <f>TRIM(Table1[[#This Row],[Status]])</f>
        <v>Zaakceptowana</v>
      </c>
      <c r="G412" s="2" t="str">
        <f>TRIM(Table1[[#This Row],[Typ]])</f>
        <v>Faktura VAT</v>
      </c>
      <c r="H412" s="2" t="str">
        <f>TRIM(Table1[[#This Row],[Magazyn]])</f>
        <v>Apteka Szpitalna</v>
      </c>
      <c r="I412" s="2" t="str">
        <f>TRIM(Table1[[#This Row],[Umowa]])</f>
        <v>UM-MED-01</v>
      </c>
      <c r="J412" s="2" t="b">
        <f>ISTEXT(Table14[[#This Row],[Data_Wystawienia]])</f>
        <v>0</v>
      </c>
      <c r="K412" s="2">
        <f>VALUE(SUBSTITUTE(Table14[[#This Row],[Wartość]],".",","))</f>
        <v>16954.14</v>
      </c>
      <c r="L4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2" s="2" t="str">
        <f>IF(Table14[[#This Row],[Umowa]]="","Poza umową","Z umowy")</f>
        <v>Z umowy</v>
      </c>
      <c r="N412" s="2">
        <f>YEAR(Table14[[#This Row],[Data_Wystawienia]])</f>
        <v>2022</v>
      </c>
      <c r="O412" s="2" t="str">
        <f>TEXT(Table14[[#This Row],[Data_Wystawienia]],"rrrr-mm")</f>
        <v>2022-06</v>
      </c>
      <c r="P412" s="2">
        <v>1</v>
      </c>
    </row>
    <row r="413" spans="1:16" x14ac:dyDescent="0.3">
      <c r="A413" s="2" t="str">
        <f>TRIM(Table1[[#This Row],[Numer_FV]])</f>
        <v>FV/CENFA/151100/22</v>
      </c>
      <c r="B413" s="2" t="str">
        <f>TRIM(Table1[[#This Row],[Numer_PZ]])</f>
        <v>PZ/800411</v>
      </c>
      <c r="C413" s="2" t="str">
        <f>TRIM(Table1[[#This Row],[Dostawca]])</f>
        <v>CentrumFarm</v>
      </c>
      <c r="D413" s="3">
        <v>44713</v>
      </c>
      <c r="E413" s="4" t="s">
        <v>1264</v>
      </c>
      <c r="F413" s="2" t="str">
        <f>TRIM(Table1[[#This Row],[Status]])</f>
        <v>Zaakceptowana</v>
      </c>
      <c r="G413" s="2" t="str">
        <f>TRIM(Table1[[#This Row],[Typ]])</f>
        <v>Faktura VAT</v>
      </c>
      <c r="H413" s="2" t="str">
        <f>TRIM(Table1[[#This Row],[Magazyn]])</f>
        <v>Apteka Szpitalna</v>
      </c>
      <c r="I413" s="2" t="str">
        <f>TRIM(Table1[[#This Row],[Umowa]])</f>
        <v>UM-CEN-02</v>
      </c>
      <c r="J413" s="2" t="b">
        <f>ISTEXT(Table14[[#This Row],[Data_Wystawienia]])</f>
        <v>0</v>
      </c>
      <c r="K413" s="2">
        <f>VALUE(SUBSTITUTE(Table14[[#This Row],[Wartość]],".",","))</f>
        <v>13107.81</v>
      </c>
      <c r="L4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3" s="2" t="str">
        <f>IF(Table14[[#This Row],[Umowa]]="","Poza umową","Z umowy")</f>
        <v>Z umowy</v>
      </c>
      <c r="N413" s="2">
        <f>YEAR(Table14[[#This Row],[Data_Wystawienia]])</f>
        <v>2022</v>
      </c>
      <c r="O413" s="2" t="str">
        <f>TEXT(Table14[[#This Row],[Data_Wystawienia]],"rrrr-mm")</f>
        <v>2022-06</v>
      </c>
      <c r="P413" s="2">
        <v>1</v>
      </c>
    </row>
    <row r="414" spans="1:16" x14ac:dyDescent="0.3">
      <c r="A414" s="2" t="str">
        <f>TRIM(Table1[[#This Row],[Numer_FV]])</f>
        <v>FV/72/PP/7391/22</v>
      </c>
      <c r="B414" s="2" t="str">
        <f>TRIM(Table1[[#This Row],[Numer_PZ]])</f>
        <v>PZ/800412</v>
      </c>
      <c r="C414" s="2" t="str">
        <f>TRIM(Table1[[#This Row],[Dostawca]])</f>
        <v>PharmaPlus</v>
      </c>
      <c r="D414" s="3">
        <v>44713</v>
      </c>
      <c r="E414" s="4" t="s">
        <v>1267</v>
      </c>
      <c r="F414" s="2" t="str">
        <f>TRIM(Table1[[#This Row],[Status]])</f>
        <v>Zaakceptowana</v>
      </c>
      <c r="G414" s="2" t="str">
        <f>TRIM(Table1[[#This Row],[Typ]])</f>
        <v>Faktura VAT</v>
      </c>
      <c r="H414" s="2" t="str">
        <f>TRIM(Table1[[#This Row],[Magazyn]])</f>
        <v>Apteka Szpitalna</v>
      </c>
      <c r="I414" s="2" t="str">
        <f>TRIM(Table1[[#This Row],[Umowa]])</f>
        <v>UM-PHA-02</v>
      </c>
      <c r="J414" s="2" t="b">
        <f>ISTEXT(Table14[[#This Row],[Data_Wystawienia]])</f>
        <v>0</v>
      </c>
      <c r="K414" s="2">
        <f>VALUE(SUBSTITUTE(Table14[[#This Row],[Wartość]],".",","))</f>
        <v>11374.83</v>
      </c>
      <c r="L4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4" s="2" t="str">
        <f>IF(Table14[[#This Row],[Umowa]]="","Poza umową","Z umowy")</f>
        <v>Z umowy</v>
      </c>
      <c r="N414" s="2">
        <f>YEAR(Table14[[#This Row],[Data_Wystawienia]])</f>
        <v>2022</v>
      </c>
      <c r="O414" s="2" t="str">
        <f>TEXT(Table14[[#This Row],[Data_Wystawienia]],"rrrr-mm")</f>
        <v>2022-06</v>
      </c>
      <c r="P414" s="2">
        <v>1</v>
      </c>
    </row>
    <row r="415" spans="1:16" x14ac:dyDescent="0.3">
      <c r="A415" s="2" t="str">
        <f>TRIM(Table1[[#This Row],[Numer_FV]])</f>
        <v>FV/63/PP/5959/22</v>
      </c>
      <c r="B415" s="2" t="str">
        <f>TRIM(Table1[[#This Row],[Numer_PZ]])</f>
        <v>PZ/800413</v>
      </c>
      <c r="C415" s="2" t="str">
        <f>TRIM(Table1[[#This Row],[Dostawca]])</f>
        <v>PharmaPlus</v>
      </c>
      <c r="D415" s="3">
        <v>44714</v>
      </c>
      <c r="E415" s="4" t="s">
        <v>1270</v>
      </c>
      <c r="F415" s="2" t="str">
        <f>TRIM(Table1[[#This Row],[Status]])</f>
        <v>Zaakceptowana</v>
      </c>
      <c r="G415" s="2" t="str">
        <f>TRIM(Table1[[#This Row],[Typ]])</f>
        <v>Faktura VAT</v>
      </c>
      <c r="H415" s="2" t="str">
        <f>TRIM(Table1[[#This Row],[Magazyn]])</f>
        <v>Apteka Szpitalna</v>
      </c>
      <c r="I415" s="2" t="str">
        <f>TRIM(Table1[[#This Row],[Umowa]])</f>
        <v>UM-PHA-01</v>
      </c>
      <c r="J415" s="2" t="b">
        <f>ISTEXT(Table14[[#This Row],[Data_Wystawienia]])</f>
        <v>0</v>
      </c>
      <c r="K415" s="2">
        <f>VALUE(SUBSTITUTE(Table14[[#This Row],[Wartość]],".",","))</f>
        <v>14495.56</v>
      </c>
      <c r="L4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5" s="2" t="str">
        <f>IF(Table14[[#This Row],[Umowa]]="","Poza umową","Z umowy")</f>
        <v>Z umowy</v>
      </c>
      <c r="N415" s="2">
        <f>YEAR(Table14[[#This Row],[Data_Wystawienia]])</f>
        <v>2022</v>
      </c>
      <c r="O415" s="2" t="str">
        <f>TEXT(Table14[[#This Row],[Data_Wystawienia]],"rrrr-mm")</f>
        <v>2022-06</v>
      </c>
      <c r="P415" s="2">
        <v>1</v>
      </c>
    </row>
    <row r="416" spans="1:16" x14ac:dyDescent="0.3">
      <c r="A416" s="2" t="str">
        <f>TRIM(Table1[[#This Row],[Numer_FV]])</f>
        <v>FV/POL/77527/2022</v>
      </c>
      <c r="B416" s="2" t="str">
        <f>TRIM(Table1[[#This Row],[Numer_PZ]])</f>
        <v>PZ/800414</v>
      </c>
      <c r="C416" s="2" t="str">
        <f>TRIM(Table1[[#This Row],[Dostawca]])</f>
        <v>Polmedica</v>
      </c>
      <c r="D416" s="3">
        <v>44714</v>
      </c>
      <c r="E416" s="4" t="s">
        <v>1273</v>
      </c>
      <c r="F416" s="2" t="str">
        <f>TRIM(Table1[[#This Row],[Status]])</f>
        <v>Zaakceptowana</v>
      </c>
      <c r="G416" s="2" t="str">
        <f>TRIM(Table1[[#This Row],[Typ]])</f>
        <v>Faktura VAT</v>
      </c>
      <c r="H416" s="2" t="str">
        <f>TRIM(Table1[[#This Row],[Magazyn]])</f>
        <v>Apteka Szpitalna</v>
      </c>
      <c r="I416" s="2" t="str">
        <f>TRIM(Table1[[#This Row],[Umowa]])</f>
        <v>UM-POL-01</v>
      </c>
      <c r="J416" s="2" t="b">
        <f>ISTEXT(Table14[[#This Row],[Data_Wystawienia]])</f>
        <v>0</v>
      </c>
      <c r="K416" s="2">
        <f>VALUE(SUBSTITUTE(Table14[[#This Row],[Wartość]],".",","))</f>
        <v>13499.78</v>
      </c>
      <c r="L4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6" s="2" t="str">
        <f>IF(Table14[[#This Row],[Umowa]]="","Poza umową","Z umowy")</f>
        <v>Z umowy</v>
      </c>
      <c r="N416" s="2">
        <f>YEAR(Table14[[#This Row],[Data_Wystawienia]])</f>
        <v>2022</v>
      </c>
      <c r="O416" s="2" t="str">
        <f>TEXT(Table14[[#This Row],[Data_Wystawienia]],"rrrr-mm")</f>
        <v>2022-06</v>
      </c>
      <c r="P416" s="2">
        <v>1</v>
      </c>
    </row>
    <row r="417" spans="1:16" x14ac:dyDescent="0.3">
      <c r="A417" s="2" t="str">
        <f>TRIM(Table1[[#This Row],[Numer_FV]])</f>
        <v>FV/CENFA/327635/22</v>
      </c>
      <c r="B417" s="2" t="str">
        <f>TRIM(Table1[[#This Row],[Numer_PZ]])</f>
        <v>PZ/800415</v>
      </c>
      <c r="C417" s="2" t="str">
        <f>TRIM(Table1[[#This Row],[Dostawca]])</f>
        <v>CentrumFarm</v>
      </c>
      <c r="D417" s="3">
        <v>44714</v>
      </c>
      <c r="E417" s="4" t="s">
        <v>1276</v>
      </c>
      <c r="F417" s="2" t="str">
        <f>TRIM(Table1[[#This Row],[Status]])</f>
        <v>Zaakceptowana</v>
      </c>
      <c r="G417" s="2" t="str">
        <f>TRIM(Table1[[#This Row],[Typ]])</f>
        <v>Faktura VAT</v>
      </c>
      <c r="H417" s="2" t="str">
        <f>TRIM(Table1[[#This Row],[Magazyn]])</f>
        <v>Apteka Szpitalna</v>
      </c>
      <c r="I417" s="2" t="str">
        <f>TRIM(Table1[[#This Row],[Umowa]])</f>
        <v>UM-CEN-01</v>
      </c>
      <c r="J417" s="2" t="b">
        <f>ISTEXT(Table14[[#This Row],[Data_Wystawienia]])</f>
        <v>0</v>
      </c>
      <c r="K417" s="2">
        <f>VALUE(SUBSTITUTE(Table14[[#This Row],[Wartość]],".",","))</f>
        <v>14739.7</v>
      </c>
      <c r="L4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7" s="2" t="str">
        <f>IF(Table14[[#This Row],[Umowa]]="","Poza umową","Z umowy")</f>
        <v>Z umowy</v>
      </c>
      <c r="N417" s="2">
        <f>YEAR(Table14[[#This Row],[Data_Wystawienia]])</f>
        <v>2022</v>
      </c>
      <c r="O417" s="2" t="str">
        <f>TEXT(Table14[[#This Row],[Data_Wystawienia]],"rrrr-mm")</f>
        <v>2022-06</v>
      </c>
      <c r="P417" s="2">
        <v>1</v>
      </c>
    </row>
    <row r="418" spans="1:16" x14ac:dyDescent="0.3">
      <c r="A418" s="2" t="str">
        <f>TRIM(Table1[[#This Row],[Numer_FV]])</f>
        <v>FV/CENFA/899830/22</v>
      </c>
      <c r="B418" s="2" t="str">
        <f>TRIM(Table1[[#This Row],[Numer_PZ]])</f>
        <v>PZ/800416</v>
      </c>
      <c r="C418" s="2" t="str">
        <f>TRIM(Table1[[#This Row],[Dostawca]])</f>
        <v>CentrumFarm</v>
      </c>
      <c r="D418" s="3">
        <v>44715</v>
      </c>
      <c r="E418" s="4" t="s">
        <v>1279</v>
      </c>
      <c r="F418" s="2" t="str">
        <f>TRIM(Table1[[#This Row],[Status]])</f>
        <v>Zaakceptowana</v>
      </c>
      <c r="G418" s="2" t="str">
        <f>TRIM(Table1[[#This Row],[Typ]])</f>
        <v>Faktura VAT</v>
      </c>
      <c r="H418" s="2" t="str">
        <f>TRIM(Table1[[#This Row],[Magazyn]])</f>
        <v>Apteka Szpitalna</v>
      </c>
      <c r="I418" s="2" t="str">
        <f>TRIM(Table1[[#This Row],[Umowa]])</f>
        <v/>
      </c>
      <c r="J418" s="2" t="b">
        <f>ISTEXT(Table14[[#This Row],[Data_Wystawienia]])</f>
        <v>0</v>
      </c>
      <c r="K418" s="2">
        <f>VALUE(SUBSTITUTE(Table14[[#This Row],[Wartość]],".",","))</f>
        <v>13931.35</v>
      </c>
      <c r="L4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8" s="2" t="str">
        <f>IF(Table14[[#This Row],[Umowa]]="","Poza umową","Z umowy")</f>
        <v>Poza umową</v>
      </c>
      <c r="N418" s="2">
        <f>YEAR(Table14[[#This Row],[Data_Wystawienia]])</f>
        <v>2022</v>
      </c>
      <c r="O418" s="2" t="str">
        <f>TEXT(Table14[[#This Row],[Data_Wystawienia]],"rrrr-mm")</f>
        <v>2022-06</v>
      </c>
      <c r="P418" s="2">
        <v>1</v>
      </c>
    </row>
    <row r="419" spans="1:16" x14ac:dyDescent="0.3">
      <c r="A419" s="2" t="str">
        <f>TRIM(Table1[[#This Row],[Numer_FV]])</f>
        <v>FV/39/SAL/22</v>
      </c>
      <c r="B419" s="2" t="str">
        <f>TRIM(Table1[[#This Row],[Numer_PZ]])</f>
        <v>PZ/800417</v>
      </c>
      <c r="C419" s="2" t="str">
        <f>TRIM(Table1[[#This Row],[Dostawca]])</f>
        <v>SalusHurt</v>
      </c>
      <c r="D419" s="3">
        <v>44715</v>
      </c>
      <c r="E419" s="4" t="s">
        <v>1281</v>
      </c>
      <c r="F419" s="2" t="str">
        <f>TRIM(Table1[[#This Row],[Status]])</f>
        <v>Zaakceptowana</v>
      </c>
      <c r="G419" s="2" t="str">
        <f>TRIM(Table1[[#This Row],[Typ]])</f>
        <v>Faktura VAT</v>
      </c>
      <c r="H419" s="2" t="str">
        <f>TRIM(Table1[[#This Row],[Magazyn]])</f>
        <v>Apteka Szpitalna</v>
      </c>
      <c r="I419" s="2" t="str">
        <f>TRIM(Table1[[#This Row],[Umowa]])</f>
        <v>UM-SAL-01</v>
      </c>
      <c r="J419" s="2" t="b">
        <f>ISTEXT(Table14[[#This Row],[Data_Wystawienia]])</f>
        <v>0</v>
      </c>
      <c r="K419" s="2">
        <f>VALUE(SUBSTITUTE(Table14[[#This Row],[Wartość]],".",","))</f>
        <v>16657.45</v>
      </c>
      <c r="L4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19" s="2" t="str">
        <f>IF(Table14[[#This Row],[Umowa]]="","Poza umową","Z umowy")</f>
        <v>Z umowy</v>
      </c>
      <c r="N419" s="2">
        <f>YEAR(Table14[[#This Row],[Data_Wystawienia]])</f>
        <v>2022</v>
      </c>
      <c r="O419" s="2" t="str">
        <f>TEXT(Table14[[#This Row],[Data_Wystawienia]],"rrrr-mm")</f>
        <v>2022-06</v>
      </c>
      <c r="P419" s="2">
        <v>1</v>
      </c>
    </row>
    <row r="420" spans="1:16" x14ac:dyDescent="0.3">
      <c r="A420" s="2" t="str">
        <f>TRIM(Table1[[#This Row],[Numer_FV]])</f>
        <v>FV/33147/VDb/2022</v>
      </c>
      <c r="B420" s="2" t="str">
        <f>TRIM(Table1[[#This Row],[Numer_PZ]])</f>
        <v>PZ/800418</v>
      </c>
      <c r="C420" s="2" t="str">
        <f>TRIM(Table1[[#This Row],[Dostawca]])</f>
        <v>VitaDistrib</v>
      </c>
      <c r="D420" s="3">
        <v>44715</v>
      </c>
      <c r="E420" s="4" t="s">
        <v>1284</v>
      </c>
      <c r="F420" s="2" t="str">
        <f>TRIM(Table1[[#This Row],[Status]])</f>
        <v>Zaakceptowana</v>
      </c>
      <c r="G420" s="2" t="str">
        <f>TRIM(Table1[[#This Row],[Typ]])</f>
        <v>Faktura VAT</v>
      </c>
      <c r="H420" s="2" t="str">
        <f>TRIM(Table1[[#This Row],[Magazyn]])</f>
        <v>Apteka Szpitalna</v>
      </c>
      <c r="I420" s="2" t="str">
        <f>TRIM(Table1[[#This Row],[Umowa]])</f>
        <v>UM-VIT-01</v>
      </c>
      <c r="J420" s="2" t="b">
        <f>ISTEXT(Table14[[#This Row],[Data_Wystawienia]])</f>
        <v>0</v>
      </c>
      <c r="K420" s="2">
        <f>VALUE(SUBSTITUTE(Table14[[#This Row],[Wartość]],".",","))</f>
        <v>7881.91</v>
      </c>
      <c r="L4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0" s="2" t="str">
        <f>IF(Table14[[#This Row],[Umowa]]="","Poza umową","Z umowy")</f>
        <v>Z umowy</v>
      </c>
      <c r="N420" s="2">
        <f>YEAR(Table14[[#This Row],[Data_Wystawienia]])</f>
        <v>2022</v>
      </c>
      <c r="O420" s="2" t="str">
        <f>TEXT(Table14[[#This Row],[Data_Wystawienia]],"rrrr-mm")</f>
        <v>2022-06</v>
      </c>
      <c r="P420" s="2">
        <v>1</v>
      </c>
    </row>
    <row r="421" spans="1:16" x14ac:dyDescent="0.3">
      <c r="A421" s="2" t="str">
        <f>TRIM(Table1[[#This Row],[Numer_FV]])</f>
        <v>FV/CENFA/279374/22</v>
      </c>
      <c r="B421" s="2" t="str">
        <f>TRIM(Table1[[#This Row],[Numer_PZ]])</f>
        <v>PZ/800419</v>
      </c>
      <c r="C421" s="2" t="str">
        <f>TRIM(Table1[[#This Row],[Dostawca]])</f>
        <v>CentrumFarm</v>
      </c>
      <c r="D421" s="3">
        <v>44716</v>
      </c>
      <c r="E421" s="4" t="s">
        <v>1287</v>
      </c>
      <c r="F421" s="2" t="str">
        <f>TRIM(Table1[[#This Row],[Status]])</f>
        <v>Zaakceptowana</v>
      </c>
      <c r="G421" s="2" t="str">
        <f>TRIM(Table1[[#This Row],[Typ]])</f>
        <v>Faktura VAT</v>
      </c>
      <c r="H421" s="2" t="str">
        <f>TRIM(Table1[[#This Row],[Magazyn]])</f>
        <v>Apteka Szpitalna</v>
      </c>
      <c r="I421" s="2" t="str">
        <f>TRIM(Table1[[#This Row],[Umowa]])</f>
        <v>UM-CEN-02</v>
      </c>
      <c r="J421" s="2" t="b">
        <f>ISTEXT(Table14[[#This Row],[Data_Wystawienia]])</f>
        <v>0</v>
      </c>
      <c r="K421" s="2">
        <f>VALUE(SUBSTITUTE(Table14[[#This Row],[Wartość]],".",","))</f>
        <v>10924.76</v>
      </c>
      <c r="L4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1" s="2" t="str">
        <f>IF(Table14[[#This Row],[Umowa]]="","Poza umową","Z umowy")</f>
        <v>Z umowy</v>
      </c>
      <c r="N421" s="2">
        <f>YEAR(Table14[[#This Row],[Data_Wystawienia]])</f>
        <v>2022</v>
      </c>
      <c r="O421" s="2" t="str">
        <f>TEXT(Table14[[#This Row],[Data_Wystawienia]],"rrrr-mm")</f>
        <v>2022-06</v>
      </c>
      <c r="P421" s="2">
        <v>1</v>
      </c>
    </row>
    <row r="422" spans="1:16" x14ac:dyDescent="0.3">
      <c r="A422" s="2" t="str">
        <f>TRIM(Table1[[#This Row],[Numer_FV]])</f>
        <v>FV/POL/57572/2022</v>
      </c>
      <c r="B422" s="2" t="str">
        <f>TRIM(Table1[[#This Row],[Numer_PZ]])</f>
        <v>PZ/800420</v>
      </c>
      <c r="C422" s="2" t="str">
        <f>TRIM(Table1[[#This Row],[Dostawca]])</f>
        <v>Polmedica</v>
      </c>
      <c r="D422" s="3">
        <v>44716</v>
      </c>
      <c r="E422" s="4" t="s">
        <v>1290</v>
      </c>
      <c r="F422" s="2" t="str">
        <f>TRIM(Table1[[#This Row],[Status]])</f>
        <v>Zaakceptowana</v>
      </c>
      <c r="G422" s="2" t="str">
        <f>TRIM(Table1[[#This Row],[Typ]])</f>
        <v>Faktura VAT</v>
      </c>
      <c r="H422" s="2" t="str">
        <f>TRIM(Table1[[#This Row],[Magazyn]])</f>
        <v>Apteka Szpitalna</v>
      </c>
      <c r="I422" s="2" t="str">
        <f>TRIM(Table1[[#This Row],[Umowa]])</f>
        <v>UM-POL-02</v>
      </c>
      <c r="J422" s="2" t="b">
        <f>ISTEXT(Table14[[#This Row],[Data_Wystawienia]])</f>
        <v>0</v>
      </c>
      <c r="K422" s="2">
        <f>VALUE(SUBSTITUTE(Table14[[#This Row],[Wartość]],".",","))</f>
        <v>17878.87</v>
      </c>
      <c r="L4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2" s="2" t="str">
        <f>IF(Table14[[#This Row],[Umowa]]="","Poza umową","Z umowy")</f>
        <v>Z umowy</v>
      </c>
      <c r="N422" s="2">
        <f>YEAR(Table14[[#This Row],[Data_Wystawienia]])</f>
        <v>2022</v>
      </c>
      <c r="O422" s="2" t="str">
        <f>TEXT(Table14[[#This Row],[Data_Wystawienia]],"rrrr-mm")</f>
        <v>2022-06</v>
      </c>
      <c r="P422" s="2">
        <v>1</v>
      </c>
    </row>
    <row r="423" spans="1:16" x14ac:dyDescent="0.3">
      <c r="A423" s="2" t="str">
        <f>TRIM(Table1[[#This Row],[Numer_FV]])</f>
        <v>FV/25238/VDb/2022</v>
      </c>
      <c r="B423" s="2" t="str">
        <f>TRIM(Table1[[#This Row],[Numer_PZ]])</f>
        <v>PZ/800421</v>
      </c>
      <c r="C423" s="2" t="str">
        <f>TRIM(Table1[[#This Row],[Dostawca]])</f>
        <v>VitaDistrib</v>
      </c>
      <c r="D423" s="3">
        <v>44716</v>
      </c>
      <c r="E423" s="4" t="s">
        <v>1293</v>
      </c>
      <c r="F423" s="2" t="str">
        <f>TRIM(Table1[[#This Row],[Status]])</f>
        <v>Zaakceptowana</v>
      </c>
      <c r="G423" s="2" t="str">
        <f>TRIM(Table1[[#This Row],[Typ]])</f>
        <v>Faktura VAT</v>
      </c>
      <c r="H423" s="2" t="str">
        <f>TRIM(Table1[[#This Row],[Magazyn]])</f>
        <v>Apteka Szpitalna</v>
      </c>
      <c r="I423" s="2" t="str">
        <f>TRIM(Table1[[#This Row],[Umowa]])</f>
        <v>UM-VIT-01</v>
      </c>
      <c r="J423" s="2" t="b">
        <f>ISTEXT(Table14[[#This Row],[Data_Wystawienia]])</f>
        <v>0</v>
      </c>
      <c r="K423" s="2">
        <f>VALUE(SUBSTITUTE(Table14[[#This Row],[Wartość]],".",","))</f>
        <v>13202.75</v>
      </c>
      <c r="L4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3" s="2" t="str">
        <f>IF(Table14[[#This Row],[Umowa]]="","Poza umową","Z umowy")</f>
        <v>Z umowy</v>
      </c>
      <c r="N423" s="2">
        <f>YEAR(Table14[[#This Row],[Data_Wystawienia]])</f>
        <v>2022</v>
      </c>
      <c r="O423" s="2" t="str">
        <f>TEXT(Table14[[#This Row],[Data_Wystawienia]],"rrrr-mm")</f>
        <v>2022-06</v>
      </c>
      <c r="P423" s="2">
        <v>1</v>
      </c>
    </row>
    <row r="424" spans="1:16" x14ac:dyDescent="0.3">
      <c r="A424" s="2" t="str">
        <f>TRIM(Table1[[#This Row],[Numer_FV]])</f>
        <v>FV/61/SAL/22</v>
      </c>
      <c r="B424" s="2" t="str">
        <f>TRIM(Table1[[#This Row],[Numer_PZ]])</f>
        <v>PZ/800422</v>
      </c>
      <c r="C424" s="2" t="str">
        <f>TRIM(Table1[[#This Row],[Dostawca]])</f>
        <v>SalusHurt</v>
      </c>
      <c r="D424" s="3">
        <v>44716</v>
      </c>
      <c r="E424" s="4" t="s">
        <v>1296</v>
      </c>
      <c r="F424" s="2" t="str">
        <f>TRIM(Table1[[#This Row],[Status]])</f>
        <v>Zaakceptowana</v>
      </c>
      <c r="G424" s="2" t="str">
        <f>TRIM(Table1[[#This Row],[Typ]])</f>
        <v>Faktura VAT</v>
      </c>
      <c r="H424" s="2" t="str">
        <f>TRIM(Table1[[#This Row],[Magazyn]])</f>
        <v>Apteka Szpitalna</v>
      </c>
      <c r="I424" s="2" t="str">
        <f>TRIM(Table1[[#This Row],[Umowa]])</f>
        <v>UM-SAL-01</v>
      </c>
      <c r="J424" s="2" t="b">
        <f>ISTEXT(Table14[[#This Row],[Data_Wystawienia]])</f>
        <v>0</v>
      </c>
      <c r="K424" s="2">
        <f>VALUE(SUBSTITUTE(Table14[[#This Row],[Wartość]],".",","))</f>
        <v>21007.22</v>
      </c>
      <c r="L4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4" s="2" t="str">
        <f>IF(Table14[[#This Row],[Umowa]]="","Poza umową","Z umowy")</f>
        <v>Z umowy</v>
      </c>
      <c r="N424" s="2">
        <f>YEAR(Table14[[#This Row],[Data_Wystawienia]])</f>
        <v>2022</v>
      </c>
      <c r="O424" s="2" t="str">
        <f>TEXT(Table14[[#This Row],[Data_Wystawienia]],"rrrr-mm")</f>
        <v>2022-06</v>
      </c>
      <c r="P424" s="2">
        <v>1</v>
      </c>
    </row>
    <row r="425" spans="1:16" x14ac:dyDescent="0.3">
      <c r="A425" s="2" t="str">
        <f>TRIM(Table1[[#This Row],[Numer_FV]])</f>
        <v>FV/2664/NOVA/22</v>
      </c>
      <c r="B425" s="2" t="str">
        <f>TRIM(Table1[[#This Row],[Numer_PZ]])</f>
        <v>PZ/800423</v>
      </c>
      <c r="C425" s="2" t="str">
        <f>TRIM(Table1[[#This Row],[Dostawca]])</f>
        <v>NovaLek</v>
      </c>
      <c r="D425" s="3">
        <v>44717</v>
      </c>
      <c r="E425" s="4" t="s">
        <v>1299</v>
      </c>
      <c r="F425" s="2" t="str">
        <f>TRIM(Table1[[#This Row],[Status]])</f>
        <v>Zaakceptowana</v>
      </c>
      <c r="G425" s="2" t="str">
        <f>TRIM(Table1[[#This Row],[Typ]])</f>
        <v>Faktura VAT</v>
      </c>
      <c r="H425" s="2" t="str">
        <f>TRIM(Table1[[#This Row],[Magazyn]])</f>
        <v>Apteka Szpitalna</v>
      </c>
      <c r="I425" s="2" t="str">
        <f>TRIM(Table1[[#This Row],[Umowa]])</f>
        <v>UM-NOV-03</v>
      </c>
      <c r="J425" s="2" t="b">
        <f>ISTEXT(Table14[[#This Row],[Data_Wystawienia]])</f>
        <v>0</v>
      </c>
      <c r="K425" s="2">
        <f>VALUE(SUBSTITUTE(Table14[[#This Row],[Wartość]],".",","))</f>
        <v>18012.12</v>
      </c>
      <c r="L4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5" s="2" t="str">
        <f>IF(Table14[[#This Row],[Umowa]]="","Poza umową","Z umowy")</f>
        <v>Z umowy</v>
      </c>
      <c r="N425" s="2">
        <f>YEAR(Table14[[#This Row],[Data_Wystawienia]])</f>
        <v>2022</v>
      </c>
      <c r="O425" s="2" t="str">
        <f>TEXT(Table14[[#This Row],[Data_Wystawienia]],"rrrr-mm")</f>
        <v>2022-06</v>
      </c>
      <c r="P425" s="2">
        <v>1</v>
      </c>
    </row>
    <row r="426" spans="1:16" x14ac:dyDescent="0.3">
      <c r="A426" s="2" t="str">
        <f>TRIM(Table1[[#This Row],[Numer_FV]])</f>
        <v>FV/M/4461/P/22</v>
      </c>
      <c r="B426" s="2" t="str">
        <f>TRIM(Table1[[#This Row],[Numer_PZ]])</f>
        <v>PZ/800424</v>
      </c>
      <c r="C426" s="2" t="str">
        <f>TRIM(Table1[[#This Row],[Dostawca]])</f>
        <v>MedicaPharm</v>
      </c>
      <c r="D426" s="3">
        <v>44718</v>
      </c>
      <c r="E426" s="4" t="s">
        <v>1302</v>
      </c>
      <c r="F426" s="2" t="str">
        <f>TRIM(Table1[[#This Row],[Status]])</f>
        <v>Zaakceptowana</v>
      </c>
      <c r="G426" s="2" t="str">
        <f>TRIM(Table1[[#This Row],[Typ]])</f>
        <v>Faktura VAT</v>
      </c>
      <c r="H426" s="2" t="str">
        <f>TRIM(Table1[[#This Row],[Magazyn]])</f>
        <v>Apteka Szpitalna</v>
      </c>
      <c r="I426" s="2" t="str">
        <f>TRIM(Table1[[#This Row],[Umowa]])</f>
        <v>UM-MED-02</v>
      </c>
      <c r="J426" s="2" t="b">
        <f>ISTEXT(Table14[[#This Row],[Data_Wystawienia]])</f>
        <v>0</v>
      </c>
      <c r="K426" s="2">
        <f>VALUE(SUBSTITUTE(Table14[[#This Row],[Wartość]],".",","))</f>
        <v>15338.15</v>
      </c>
      <c r="L4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6" s="2" t="str">
        <f>IF(Table14[[#This Row],[Umowa]]="","Poza umową","Z umowy")</f>
        <v>Z umowy</v>
      </c>
      <c r="N426" s="2">
        <f>YEAR(Table14[[#This Row],[Data_Wystawienia]])</f>
        <v>2022</v>
      </c>
      <c r="O426" s="2" t="str">
        <f>TEXT(Table14[[#This Row],[Data_Wystawienia]],"rrrr-mm")</f>
        <v>2022-06</v>
      </c>
      <c r="P426" s="2">
        <v>1</v>
      </c>
    </row>
    <row r="427" spans="1:16" x14ac:dyDescent="0.3">
      <c r="A427" s="2" t="str">
        <f>TRIM(Table1[[#This Row],[Numer_FV]])</f>
        <v>FV/53/SAL/22</v>
      </c>
      <c r="B427" s="2" t="str">
        <f>TRIM(Table1[[#This Row],[Numer_PZ]])</f>
        <v>PZ/800425</v>
      </c>
      <c r="C427" s="2" t="str">
        <f>TRIM(Table1[[#This Row],[Dostawca]])</f>
        <v>SalusHurt</v>
      </c>
      <c r="D427" s="3">
        <v>44718</v>
      </c>
      <c r="E427" s="4" t="s">
        <v>1305</v>
      </c>
      <c r="F427" s="2" t="str">
        <f>TRIM(Table1[[#This Row],[Status]])</f>
        <v>Zaakceptowana</v>
      </c>
      <c r="G427" s="2" t="str">
        <f>TRIM(Table1[[#This Row],[Typ]])</f>
        <v>Korekta FV</v>
      </c>
      <c r="H427" s="2" t="str">
        <f>TRIM(Table1[[#This Row],[Magazyn]])</f>
        <v>Apteka Szpitalna</v>
      </c>
      <c r="I427" s="2" t="str">
        <f>TRIM(Table1[[#This Row],[Umowa]])</f>
        <v>UM-SAL-02</v>
      </c>
      <c r="J427" s="2" t="b">
        <f>ISTEXT(Table14[[#This Row],[Data_Wystawienia]])</f>
        <v>0</v>
      </c>
      <c r="K427" s="2">
        <f>VALUE(SUBSTITUTE(Table14[[#This Row],[Wartość]],".",","))</f>
        <v>-1299.6600000000001</v>
      </c>
      <c r="L4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7" s="2" t="str">
        <f>IF(Table14[[#This Row],[Umowa]]="","Poza umową","Z umowy")</f>
        <v>Z umowy</v>
      </c>
      <c r="N427" s="2">
        <f>YEAR(Table14[[#This Row],[Data_Wystawienia]])</f>
        <v>2022</v>
      </c>
      <c r="O427" s="2" t="str">
        <f>TEXT(Table14[[#This Row],[Data_Wystawienia]],"rrrr-mm")</f>
        <v>2022-06</v>
      </c>
      <c r="P427" s="2">
        <v>1</v>
      </c>
    </row>
    <row r="428" spans="1:16" x14ac:dyDescent="0.3">
      <c r="A428" s="2" t="str">
        <f>TRIM(Table1[[#This Row],[Numer_FV]])</f>
        <v>FV/M/9755/P/22</v>
      </c>
      <c r="B428" s="2" t="str">
        <f>TRIM(Table1[[#This Row],[Numer_PZ]])</f>
        <v>PZ/800426</v>
      </c>
      <c r="C428" s="2" t="str">
        <f>TRIM(Table1[[#This Row],[Dostawca]])</f>
        <v>MedicaPharm</v>
      </c>
      <c r="D428" s="3">
        <v>44718</v>
      </c>
      <c r="E428" s="4" t="s">
        <v>1308</v>
      </c>
      <c r="F428" s="2" t="str">
        <f>TRIM(Table1[[#This Row],[Status]])</f>
        <v>Zaakceptowana</v>
      </c>
      <c r="G428" s="2" t="str">
        <f>TRIM(Table1[[#This Row],[Typ]])</f>
        <v>Faktura VAT</v>
      </c>
      <c r="H428" s="2" t="str">
        <f>TRIM(Table1[[#This Row],[Magazyn]])</f>
        <v>Apteka Szpitalna</v>
      </c>
      <c r="I428" s="2" t="str">
        <f>TRIM(Table1[[#This Row],[Umowa]])</f>
        <v>UM-MED-02</v>
      </c>
      <c r="J428" s="2" t="b">
        <f>ISTEXT(Table14[[#This Row],[Data_Wystawienia]])</f>
        <v>0</v>
      </c>
      <c r="K428" s="2">
        <f>VALUE(SUBSTITUTE(Table14[[#This Row],[Wartość]],".",","))</f>
        <v>9939.56</v>
      </c>
      <c r="L4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8" s="2" t="str">
        <f>IF(Table14[[#This Row],[Umowa]]="","Poza umową","Z umowy")</f>
        <v>Z umowy</v>
      </c>
      <c r="N428" s="2">
        <f>YEAR(Table14[[#This Row],[Data_Wystawienia]])</f>
        <v>2022</v>
      </c>
      <c r="O428" s="2" t="str">
        <f>TEXT(Table14[[#This Row],[Data_Wystawienia]],"rrrr-mm")</f>
        <v>2022-06</v>
      </c>
      <c r="P428" s="2">
        <v>1</v>
      </c>
    </row>
    <row r="429" spans="1:16" x14ac:dyDescent="0.3">
      <c r="A429" s="2" t="str">
        <f>TRIM(Table1[[#This Row],[Numer_FV]])</f>
        <v>FV/CENFA/875052/22</v>
      </c>
      <c r="B429" s="2" t="str">
        <f>TRIM(Table1[[#This Row],[Numer_PZ]])</f>
        <v>PZ/800427</v>
      </c>
      <c r="C429" s="2" t="str">
        <f>TRIM(Table1[[#This Row],[Dostawca]])</f>
        <v>CentrumFarm</v>
      </c>
      <c r="D429" s="3">
        <v>44718</v>
      </c>
      <c r="E429" s="4" t="s">
        <v>1311</v>
      </c>
      <c r="F429" s="2" t="str">
        <f>TRIM(Table1[[#This Row],[Status]])</f>
        <v>Zaakceptowana</v>
      </c>
      <c r="G429" s="2" t="str">
        <f>TRIM(Table1[[#This Row],[Typ]])</f>
        <v>Faktura VAT</v>
      </c>
      <c r="H429" s="2" t="str">
        <f>TRIM(Table1[[#This Row],[Magazyn]])</f>
        <v>Apteka Szpitalna</v>
      </c>
      <c r="I429" s="2" t="str">
        <f>TRIM(Table1[[#This Row],[Umowa]])</f>
        <v>UM-CEN-02</v>
      </c>
      <c r="J429" s="2" t="b">
        <f>ISTEXT(Table14[[#This Row],[Data_Wystawienia]])</f>
        <v>0</v>
      </c>
      <c r="K429" s="2">
        <f>VALUE(SUBSTITUTE(Table14[[#This Row],[Wartość]],".",","))</f>
        <v>14447.95</v>
      </c>
      <c r="L4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29" s="2" t="str">
        <f>IF(Table14[[#This Row],[Umowa]]="","Poza umową","Z umowy")</f>
        <v>Z umowy</v>
      </c>
      <c r="N429" s="2">
        <f>YEAR(Table14[[#This Row],[Data_Wystawienia]])</f>
        <v>2022</v>
      </c>
      <c r="O429" s="2" t="str">
        <f>TEXT(Table14[[#This Row],[Data_Wystawienia]],"rrrr-mm")</f>
        <v>2022-06</v>
      </c>
      <c r="P429" s="2">
        <v>1</v>
      </c>
    </row>
    <row r="430" spans="1:16" x14ac:dyDescent="0.3">
      <c r="A430" s="2" t="str">
        <f>TRIM(Table1[[#This Row],[Numer_FV]])</f>
        <v>FV/67/PP/4648/22</v>
      </c>
      <c r="B430" s="2" t="str">
        <f>TRIM(Table1[[#This Row],[Numer_PZ]])</f>
        <v>PZ/800428</v>
      </c>
      <c r="C430" s="2" t="str">
        <f>TRIM(Table1[[#This Row],[Dostawca]])</f>
        <v>PharmaPlus</v>
      </c>
      <c r="D430" s="3">
        <v>44718</v>
      </c>
      <c r="E430" s="4" t="s">
        <v>1314</v>
      </c>
      <c r="F430" s="2" t="str">
        <f>TRIM(Table1[[#This Row],[Status]])</f>
        <v>Zaakceptowana</v>
      </c>
      <c r="G430" s="2" t="str">
        <f>TRIM(Table1[[#This Row],[Typ]])</f>
        <v>Faktura VAT</v>
      </c>
      <c r="H430" s="2" t="str">
        <f>TRIM(Table1[[#This Row],[Magazyn]])</f>
        <v>Apteka Szpitalna</v>
      </c>
      <c r="I430" s="2" t="str">
        <f>TRIM(Table1[[#This Row],[Umowa]])</f>
        <v>UM-PHA-02</v>
      </c>
      <c r="J430" s="2" t="b">
        <f>ISTEXT(Table14[[#This Row],[Data_Wystawienia]])</f>
        <v>0</v>
      </c>
      <c r="K430" s="2">
        <f>VALUE(SUBSTITUTE(Table14[[#This Row],[Wartość]],".",","))</f>
        <v>17464.73</v>
      </c>
      <c r="L4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0" s="2" t="str">
        <f>IF(Table14[[#This Row],[Umowa]]="","Poza umową","Z umowy")</f>
        <v>Z umowy</v>
      </c>
      <c r="N430" s="2">
        <f>YEAR(Table14[[#This Row],[Data_Wystawienia]])</f>
        <v>2022</v>
      </c>
      <c r="O430" s="2" t="str">
        <f>TEXT(Table14[[#This Row],[Data_Wystawienia]],"rrrr-mm")</f>
        <v>2022-06</v>
      </c>
      <c r="P430" s="2">
        <v>1</v>
      </c>
    </row>
    <row r="431" spans="1:16" x14ac:dyDescent="0.3">
      <c r="A431" s="2" t="str">
        <f>TRIM(Table1[[#This Row],[Numer_FV]])</f>
        <v>FV/26/SAL/22</v>
      </c>
      <c r="B431" s="2" t="str">
        <f>TRIM(Table1[[#This Row],[Numer_PZ]])</f>
        <v>PZ/800429</v>
      </c>
      <c r="C431" s="2" t="str">
        <f>TRIM(Table1[[#This Row],[Dostawca]])</f>
        <v>SalusHurt</v>
      </c>
      <c r="D431" s="3">
        <v>44719</v>
      </c>
      <c r="E431" s="4" t="s">
        <v>1317</v>
      </c>
      <c r="F431" s="2" t="str">
        <f>TRIM(Table1[[#This Row],[Status]])</f>
        <v>Zaakceptowana</v>
      </c>
      <c r="G431" s="2" t="str">
        <f>TRIM(Table1[[#This Row],[Typ]])</f>
        <v>Faktura VAT</v>
      </c>
      <c r="H431" s="2" t="str">
        <f>TRIM(Table1[[#This Row],[Magazyn]])</f>
        <v>Apteka Szpitalna</v>
      </c>
      <c r="I431" s="2" t="str">
        <f>TRIM(Table1[[#This Row],[Umowa]])</f>
        <v/>
      </c>
      <c r="J431" s="2" t="b">
        <f>ISTEXT(Table14[[#This Row],[Data_Wystawienia]])</f>
        <v>0</v>
      </c>
      <c r="K431" s="2">
        <f>VALUE(SUBSTITUTE(Table14[[#This Row],[Wartość]],".",","))</f>
        <v>11532.22</v>
      </c>
      <c r="L4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1" s="2" t="str">
        <f>IF(Table14[[#This Row],[Umowa]]="","Poza umową","Z umowy")</f>
        <v>Poza umową</v>
      </c>
      <c r="N431" s="2">
        <f>YEAR(Table14[[#This Row],[Data_Wystawienia]])</f>
        <v>2022</v>
      </c>
      <c r="O431" s="2" t="str">
        <f>TEXT(Table14[[#This Row],[Data_Wystawienia]],"rrrr-mm")</f>
        <v>2022-06</v>
      </c>
      <c r="P431" s="2">
        <v>1</v>
      </c>
    </row>
    <row r="432" spans="1:16" x14ac:dyDescent="0.3">
      <c r="A432" s="2" t="str">
        <f>TRIM(Table1[[#This Row],[Numer_FV]])</f>
        <v>FV/59/SAL/22</v>
      </c>
      <c r="B432" s="2" t="str">
        <f>TRIM(Table1[[#This Row],[Numer_PZ]])</f>
        <v>PZ/800430</v>
      </c>
      <c r="C432" s="2" t="str">
        <f>TRIM(Table1[[#This Row],[Dostawca]])</f>
        <v>SalusHurt</v>
      </c>
      <c r="D432" s="3">
        <v>44720</v>
      </c>
      <c r="E432" s="4" t="s">
        <v>1320</v>
      </c>
      <c r="F432" s="2" t="str">
        <f>TRIM(Table1[[#This Row],[Status]])</f>
        <v>Zaakceptowana</v>
      </c>
      <c r="G432" s="2" t="str">
        <f>TRIM(Table1[[#This Row],[Typ]])</f>
        <v>Faktura VAT</v>
      </c>
      <c r="H432" s="2" t="str">
        <f>TRIM(Table1[[#This Row],[Magazyn]])</f>
        <v>Apteka Szpitalna</v>
      </c>
      <c r="I432" s="2" t="str">
        <f>TRIM(Table1[[#This Row],[Umowa]])</f>
        <v/>
      </c>
      <c r="J432" s="2" t="b">
        <f>ISTEXT(Table14[[#This Row],[Data_Wystawienia]])</f>
        <v>0</v>
      </c>
      <c r="K432" s="2">
        <f>VALUE(SUBSTITUTE(Table14[[#This Row],[Wartość]],".",","))</f>
        <v>16252.87</v>
      </c>
      <c r="L4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2" s="2" t="str">
        <f>IF(Table14[[#This Row],[Umowa]]="","Poza umową","Z umowy")</f>
        <v>Poza umową</v>
      </c>
      <c r="N432" s="2">
        <f>YEAR(Table14[[#This Row],[Data_Wystawienia]])</f>
        <v>2022</v>
      </c>
      <c r="O432" s="2" t="str">
        <f>TEXT(Table14[[#This Row],[Data_Wystawienia]],"rrrr-mm")</f>
        <v>2022-06</v>
      </c>
      <c r="P432" s="2">
        <v>1</v>
      </c>
    </row>
    <row r="433" spans="1:16" x14ac:dyDescent="0.3">
      <c r="A433" s="2" t="str">
        <f>TRIM(Table1[[#This Row],[Numer_FV]])</f>
        <v>FV/POL/93264/2022</v>
      </c>
      <c r="B433" s="2" t="str">
        <f>TRIM(Table1[[#This Row],[Numer_PZ]])</f>
        <v>PZ/800431</v>
      </c>
      <c r="C433" s="2" t="str">
        <f>TRIM(Table1[[#This Row],[Dostawca]])</f>
        <v>Polmedica</v>
      </c>
      <c r="D433" s="3">
        <v>44720</v>
      </c>
      <c r="E433" s="4" t="s">
        <v>1323</v>
      </c>
      <c r="F433" s="2" t="str">
        <f>TRIM(Table1[[#This Row],[Status]])</f>
        <v>Zaakceptowana</v>
      </c>
      <c r="G433" s="2" t="str">
        <f>TRIM(Table1[[#This Row],[Typ]])</f>
        <v>Faktura VAT</v>
      </c>
      <c r="H433" s="2" t="str">
        <f>TRIM(Table1[[#This Row],[Magazyn]])</f>
        <v>Apteka Szpitalna</v>
      </c>
      <c r="I433" s="2" t="str">
        <f>TRIM(Table1[[#This Row],[Umowa]])</f>
        <v>UM-POL-02</v>
      </c>
      <c r="J433" s="2" t="b">
        <f>ISTEXT(Table14[[#This Row],[Data_Wystawienia]])</f>
        <v>0</v>
      </c>
      <c r="K433" s="2">
        <f>VALUE(SUBSTITUTE(Table14[[#This Row],[Wartość]],".",","))</f>
        <v>14277.65</v>
      </c>
      <c r="L4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3" s="2" t="str">
        <f>IF(Table14[[#This Row],[Umowa]]="","Poza umową","Z umowy")</f>
        <v>Z umowy</v>
      </c>
      <c r="N433" s="2">
        <f>YEAR(Table14[[#This Row],[Data_Wystawienia]])</f>
        <v>2022</v>
      </c>
      <c r="O433" s="2" t="str">
        <f>TEXT(Table14[[#This Row],[Data_Wystawienia]],"rrrr-mm")</f>
        <v>2022-06</v>
      </c>
      <c r="P433" s="2">
        <v>1</v>
      </c>
    </row>
    <row r="434" spans="1:16" x14ac:dyDescent="0.3">
      <c r="A434" s="2" t="str">
        <f>TRIM(Table1[[#This Row],[Numer_FV]])</f>
        <v>FV/M/2495/P/22</v>
      </c>
      <c r="B434" s="2" t="str">
        <f>TRIM(Table1[[#This Row],[Numer_PZ]])</f>
        <v>PZ/800432</v>
      </c>
      <c r="C434" s="2" t="str">
        <f>TRIM(Table1[[#This Row],[Dostawca]])</f>
        <v>MedicaPharm</v>
      </c>
      <c r="D434" s="3">
        <v>44722</v>
      </c>
      <c r="E434" s="4" t="s">
        <v>1326</v>
      </c>
      <c r="F434" s="2" t="str">
        <f>TRIM(Table1[[#This Row],[Status]])</f>
        <v>Zaakceptowana</v>
      </c>
      <c r="G434" s="2" t="str">
        <f>TRIM(Table1[[#This Row],[Typ]])</f>
        <v>Faktura VAT</v>
      </c>
      <c r="H434" s="2" t="str">
        <f>TRIM(Table1[[#This Row],[Magazyn]])</f>
        <v>Apteka Szpitalna</v>
      </c>
      <c r="I434" s="2" t="str">
        <f>TRIM(Table1[[#This Row],[Umowa]])</f>
        <v>UM-MED-02</v>
      </c>
      <c r="J434" s="2" t="b">
        <f>ISTEXT(Table14[[#This Row],[Data_Wystawienia]])</f>
        <v>0</v>
      </c>
      <c r="K434" s="2">
        <f>VALUE(SUBSTITUTE(Table14[[#This Row],[Wartość]],".",","))</f>
        <v>12196.71</v>
      </c>
      <c r="L4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4" s="2" t="str">
        <f>IF(Table14[[#This Row],[Umowa]]="","Poza umową","Z umowy")</f>
        <v>Z umowy</v>
      </c>
      <c r="N434" s="2">
        <f>YEAR(Table14[[#This Row],[Data_Wystawienia]])</f>
        <v>2022</v>
      </c>
      <c r="O434" s="2" t="str">
        <f>TEXT(Table14[[#This Row],[Data_Wystawienia]],"rrrr-mm")</f>
        <v>2022-06</v>
      </c>
      <c r="P434" s="2">
        <v>1</v>
      </c>
    </row>
    <row r="435" spans="1:16" x14ac:dyDescent="0.3">
      <c r="A435" s="2" t="str">
        <f>TRIM(Table1[[#This Row],[Numer_FV]])</f>
        <v>FV/CENFA/722102/22</v>
      </c>
      <c r="B435" s="2" t="str">
        <f>TRIM(Table1[[#This Row],[Numer_PZ]])</f>
        <v>PZ/800433</v>
      </c>
      <c r="C435" s="2" t="str">
        <f>TRIM(Table1[[#This Row],[Dostawca]])</f>
        <v>CentrumFarm</v>
      </c>
      <c r="D435" s="3">
        <v>44722</v>
      </c>
      <c r="E435" s="4" t="s">
        <v>1329</v>
      </c>
      <c r="F435" s="2" t="str">
        <f>TRIM(Table1[[#This Row],[Status]])</f>
        <v>Zaakceptowana</v>
      </c>
      <c r="G435" s="2" t="str">
        <f>TRIM(Table1[[#This Row],[Typ]])</f>
        <v>Faktura VAT</v>
      </c>
      <c r="H435" s="2" t="str">
        <f>TRIM(Table1[[#This Row],[Magazyn]])</f>
        <v>Apteka Szpitalna</v>
      </c>
      <c r="I435" s="2" t="str">
        <f>TRIM(Table1[[#This Row],[Umowa]])</f>
        <v>UM-CEN-02</v>
      </c>
      <c r="J435" s="2" t="b">
        <f>ISTEXT(Table14[[#This Row],[Data_Wystawienia]])</f>
        <v>0</v>
      </c>
      <c r="K435" s="2">
        <f>VALUE(SUBSTITUTE(Table14[[#This Row],[Wartość]],".",","))</f>
        <v>21269.48</v>
      </c>
      <c r="L4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5" s="2" t="str">
        <f>IF(Table14[[#This Row],[Umowa]]="","Poza umową","Z umowy")</f>
        <v>Z umowy</v>
      </c>
      <c r="N435" s="2">
        <f>YEAR(Table14[[#This Row],[Data_Wystawienia]])</f>
        <v>2022</v>
      </c>
      <c r="O435" s="2" t="str">
        <f>TEXT(Table14[[#This Row],[Data_Wystawienia]],"rrrr-mm")</f>
        <v>2022-06</v>
      </c>
      <c r="P435" s="2">
        <v>1</v>
      </c>
    </row>
    <row r="436" spans="1:16" x14ac:dyDescent="0.3">
      <c r="A436" s="2" t="str">
        <f>TRIM(Table1[[#This Row],[Numer_FV]])</f>
        <v>FV/4145/NOVA/22</v>
      </c>
      <c r="B436" s="2" t="str">
        <f>TRIM(Table1[[#This Row],[Numer_PZ]])</f>
        <v>PZ/800434</v>
      </c>
      <c r="C436" s="2" t="str">
        <f>TRIM(Table1[[#This Row],[Dostawca]])</f>
        <v>NovaLek</v>
      </c>
      <c r="D436" s="3">
        <v>44722</v>
      </c>
      <c r="E436" s="4" t="s">
        <v>1332</v>
      </c>
      <c r="F436" s="2" t="str">
        <f>TRIM(Table1[[#This Row],[Status]])</f>
        <v>Zaakceptowana</v>
      </c>
      <c r="G436" s="2" t="str">
        <f>TRIM(Table1[[#This Row],[Typ]])</f>
        <v>Faktura VAT</v>
      </c>
      <c r="H436" s="2" t="str">
        <f>TRIM(Table1[[#This Row],[Magazyn]])</f>
        <v>Apteka Szpitalna</v>
      </c>
      <c r="I436" s="2" t="str">
        <f>TRIM(Table1[[#This Row],[Umowa]])</f>
        <v/>
      </c>
      <c r="J436" s="2" t="b">
        <f>ISTEXT(Table14[[#This Row],[Data_Wystawienia]])</f>
        <v>0</v>
      </c>
      <c r="K436" s="2">
        <f>VALUE(SUBSTITUTE(Table14[[#This Row],[Wartość]],".",","))</f>
        <v>11592.27</v>
      </c>
      <c r="L4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6" s="2" t="str">
        <f>IF(Table14[[#This Row],[Umowa]]="","Poza umową","Z umowy")</f>
        <v>Poza umową</v>
      </c>
      <c r="N436" s="2">
        <f>YEAR(Table14[[#This Row],[Data_Wystawienia]])</f>
        <v>2022</v>
      </c>
      <c r="O436" s="2" t="str">
        <f>TEXT(Table14[[#This Row],[Data_Wystawienia]],"rrrr-mm")</f>
        <v>2022-06</v>
      </c>
      <c r="P436" s="2">
        <v>1</v>
      </c>
    </row>
    <row r="437" spans="1:16" x14ac:dyDescent="0.3">
      <c r="A437" s="2" t="str">
        <f>TRIM(Table1[[#This Row],[Numer_FV]])</f>
        <v>FV/3077HM/22</v>
      </c>
      <c r="B437" s="2" t="str">
        <f>TRIM(Table1[[#This Row],[Numer_PZ]])</f>
        <v>PZ/800435</v>
      </c>
      <c r="C437" s="2" t="str">
        <f>TRIM(Table1[[#This Row],[Dostawca]])</f>
        <v>HurtMedix</v>
      </c>
      <c r="D437" s="3">
        <v>44723</v>
      </c>
      <c r="E437" s="4" t="s">
        <v>1335</v>
      </c>
      <c r="F437" s="2" t="str">
        <f>TRIM(Table1[[#This Row],[Status]])</f>
        <v>Zaakceptowana</v>
      </c>
      <c r="G437" s="2" t="str">
        <f>TRIM(Table1[[#This Row],[Typ]])</f>
        <v>Faktura VAT</v>
      </c>
      <c r="H437" s="2" t="str">
        <f>TRIM(Table1[[#This Row],[Magazyn]])</f>
        <v>Apteka Szpitalna</v>
      </c>
      <c r="I437" s="2" t="str">
        <f>TRIM(Table1[[#This Row],[Umowa]])</f>
        <v/>
      </c>
      <c r="J437" s="2" t="b">
        <f>ISTEXT(Table14[[#This Row],[Data_Wystawienia]])</f>
        <v>0</v>
      </c>
      <c r="K437" s="2">
        <f>VALUE(SUBSTITUTE(Table14[[#This Row],[Wartość]],".",","))</f>
        <v>24197.16</v>
      </c>
      <c r="L4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7" s="2" t="str">
        <f>IF(Table14[[#This Row],[Umowa]]="","Poza umową","Z umowy")</f>
        <v>Poza umową</v>
      </c>
      <c r="N437" s="2">
        <f>YEAR(Table14[[#This Row],[Data_Wystawienia]])</f>
        <v>2022</v>
      </c>
      <c r="O437" s="2" t="str">
        <f>TEXT(Table14[[#This Row],[Data_Wystawienia]],"rrrr-mm")</f>
        <v>2022-06</v>
      </c>
      <c r="P437" s="2">
        <v>1</v>
      </c>
    </row>
    <row r="438" spans="1:16" x14ac:dyDescent="0.3">
      <c r="A438" s="2" t="str">
        <f>TRIM(Table1[[#This Row],[Numer_FV]])</f>
        <v>FV/6427/NOVA/22</v>
      </c>
      <c r="B438" s="2" t="str">
        <f>TRIM(Table1[[#This Row],[Numer_PZ]])</f>
        <v>PZ/800436</v>
      </c>
      <c r="C438" s="2" t="str">
        <f>TRIM(Table1[[#This Row],[Dostawca]])</f>
        <v>NovaLek</v>
      </c>
      <c r="D438" s="3">
        <v>44723</v>
      </c>
      <c r="E438" s="4" t="s">
        <v>1338</v>
      </c>
      <c r="F438" s="2" t="str">
        <f>TRIM(Table1[[#This Row],[Status]])</f>
        <v>Zaakceptowana</v>
      </c>
      <c r="G438" s="2" t="str">
        <f>TRIM(Table1[[#This Row],[Typ]])</f>
        <v>Faktura VAT</v>
      </c>
      <c r="H438" s="2" t="str">
        <f>TRIM(Table1[[#This Row],[Magazyn]])</f>
        <v>Apteka Szpitalna</v>
      </c>
      <c r="I438" s="2" t="str">
        <f>TRIM(Table1[[#This Row],[Umowa]])</f>
        <v>UM-NOV-03</v>
      </c>
      <c r="J438" s="2" t="b">
        <f>ISTEXT(Table14[[#This Row],[Data_Wystawienia]])</f>
        <v>0</v>
      </c>
      <c r="K438" s="2">
        <f>VALUE(SUBSTITUTE(Table14[[#This Row],[Wartość]],".",","))</f>
        <v>17216.66</v>
      </c>
      <c r="L4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8" s="2" t="str">
        <f>IF(Table14[[#This Row],[Umowa]]="","Poza umową","Z umowy")</f>
        <v>Z umowy</v>
      </c>
      <c r="N438" s="2">
        <f>YEAR(Table14[[#This Row],[Data_Wystawienia]])</f>
        <v>2022</v>
      </c>
      <c r="O438" s="2" t="str">
        <f>TEXT(Table14[[#This Row],[Data_Wystawienia]],"rrrr-mm")</f>
        <v>2022-06</v>
      </c>
      <c r="P438" s="2">
        <v>1</v>
      </c>
    </row>
    <row r="439" spans="1:16" x14ac:dyDescent="0.3">
      <c r="A439" s="2" t="str">
        <f>TRIM(Table1[[#This Row],[Numer_FV]])</f>
        <v>FV/6421HM/22</v>
      </c>
      <c r="B439" s="2" t="str">
        <f>TRIM(Table1[[#This Row],[Numer_PZ]])</f>
        <v>PZ/800437</v>
      </c>
      <c r="C439" s="2" t="str">
        <f>TRIM(Table1[[#This Row],[Dostawca]])</f>
        <v>HurtMedix</v>
      </c>
      <c r="D439" s="3">
        <v>44723</v>
      </c>
      <c r="E439" s="4" t="s">
        <v>1341</v>
      </c>
      <c r="F439" s="2" t="str">
        <f>TRIM(Table1[[#This Row],[Status]])</f>
        <v>Zaakceptowana</v>
      </c>
      <c r="G439" s="2" t="str">
        <f>TRIM(Table1[[#This Row],[Typ]])</f>
        <v>Faktura VAT</v>
      </c>
      <c r="H439" s="2" t="str">
        <f>TRIM(Table1[[#This Row],[Magazyn]])</f>
        <v>Apteka Szpitalna</v>
      </c>
      <c r="I439" s="2" t="str">
        <f>TRIM(Table1[[#This Row],[Umowa]])</f>
        <v>UM-HUR-03</v>
      </c>
      <c r="J439" s="2" t="b">
        <f>ISTEXT(Table14[[#This Row],[Data_Wystawienia]])</f>
        <v>0</v>
      </c>
      <c r="K439" s="2">
        <f>VALUE(SUBSTITUTE(Table14[[#This Row],[Wartość]],".",","))</f>
        <v>13939.59</v>
      </c>
      <c r="L4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39" s="2" t="str">
        <f>IF(Table14[[#This Row],[Umowa]]="","Poza umową","Z umowy")</f>
        <v>Z umowy</v>
      </c>
      <c r="N439" s="2">
        <f>YEAR(Table14[[#This Row],[Data_Wystawienia]])</f>
        <v>2022</v>
      </c>
      <c r="O439" s="2" t="str">
        <f>TEXT(Table14[[#This Row],[Data_Wystawienia]],"rrrr-mm")</f>
        <v>2022-06</v>
      </c>
      <c r="P439" s="2">
        <v>1</v>
      </c>
    </row>
    <row r="440" spans="1:16" x14ac:dyDescent="0.3">
      <c r="A440" s="2" t="str">
        <f>TRIM(Table1[[#This Row],[Numer_FV]])</f>
        <v>FV/71/SAL/22</v>
      </c>
      <c r="B440" s="2" t="str">
        <f>TRIM(Table1[[#This Row],[Numer_PZ]])</f>
        <v>PZ/800438</v>
      </c>
      <c r="C440" s="2" t="str">
        <f>TRIM(Table1[[#This Row],[Dostawca]])</f>
        <v>SalusHurt</v>
      </c>
      <c r="D440" s="3">
        <v>44723</v>
      </c>
      <c r="E440" s="4" t="s">
        <v>1343</v>
      </c>
      <c r="F440" s="2" t="str">
        <f>TRIM(Table1[[#This Row],[Status]])</f>
        <v>Zaakceptowana</v>
      </c>
      <c r="G440" s="2" t="str">
        <f>TRIM(Table1[[#This Row],[Typ]])</f>
        <v>Korekta FV</v>
      </c>
      <c r="H440" s="2" t="str">
        <f>TRIM(Table1[[#This Row],[Magazyn]])</f>
        <v>Apteka Szpitalna</v>
      </c>
      <c r="I440" s="2" t="str">
        <f>TRIM(Table1[[#This Row],[Umowa]])</f>
        <v>UM-SAL-02</v>
      </c>
      <c r="J440" s="2" t="b">
        <f>ISTEXT(Table14[[#This Row],[Data_Wystawienia]])</f>
        <v>0</v>
      </c>
      <c r="K440" s="2">
        <f>VALUE(SUBSTITUTE(Table14[[#This Row],[Wartość]],".",","))</f>
        <v>-1466.9</v>
      </c>
      <c r="L4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0" s="2" t="str">
        <f>IF(Table14[[#This Row],[Umowa]]="","Poza umową","Z umowy")</f>
        <v>Z umowy</v>
      </c>
      <c r="N440" s="2">
        <f>YEAR(Table14[[#This Row],[Data_Wystawienia]])</f>
        <v>2022</v>
      </c>
      <c r="O440" s="2" t="str">
        <f>TEXT(Table14[[#This Row],[Data_Wystawienia]],"rrrr-mm")</f>
        <v>2022-06</v>
      </c>
      <c r="P440" s="2">
        <v>1</v>
      </c>
    </row>
    <row r="441" spans="1:16" x14ac:dyDescent="0.3">
      <c r="A441" s="2" t="str">
        <f>TRIM(Table1[[#This Row],[Numer_FV]])</f>
        <v>FV/POL/82730/2022</v>
      </c>
      <c r="B441" s="2" t="str">
        <f>TRIM(Table1[[#This Row],[Numer_PZ]])</f>
        <v>PZ/800439</v>
      </c>
      <c r="C441" s="2" t="str">
        <f>TRIM(Table1[[#This Row],[Dostawca]])</f>
        <v>Polmedica</v>
      </c>
      <c r="D441" s="3">
        <v>44724</v>
      </c>
      <c r="E441" s="4" t="s">
        <v>1346</v>
      </c>
      <c r="F441" s="2" t="str">
        <f>TRIM(Table1[[#This Row],[Status]])</f>
        <v>Zaakceptowana</v>
      </c>
      <c r="G441" s="2" t="str">
        <f>TRIM(Table1[[#This Row],[Typ]])</f>
        <v>Faktura VAT</v>
      </c>
      <c r="H441" s="2" t="str">
        <f>TRIM(Table1[[#This Row],[Magazyn]])</f>
        <v>Apteka Szpitalna</v>
      </c>
      <c r="I441" s="2" t="str">
        <f>TRIM(Table1[[#This Row],[Umowa]])</f>
        <v/>
      </c>
      <c r="J441" s="2" t="b">
        <f>ISTEXT(Table14[[#This Row],[Data_Wystawienia]])</f>
        <v>0</v>
      </c>
      <c r="K441" s="2">
        <f>VALUE(SUBSTITUTE(Table14[[#This Row],[Wartość]],".",","))</f>
        <v>17511.82</v>
      </c>
      <c r="L4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1" s="2" t="str">
        <f>IF(Table14[[#This Row],[Umowa]]="","Poza umową","Z umowy")</f>
        <v>Poza umową</v>
      </c>
      <c r="N441" s="2">
        <f>YEAR(Table14[[#This Row],[Data_Wystawienia]])</f>
        <v>2022</v>
      </c>
      <c r="O441" s="2" t="str">
        <f>TEXT(Table14[[#This Row],[Data_Wystawienia]],"rrrr-mm")</f>
        <v>2022-06</v>
      </c>
      <c r="P441" s="2">
        <v>1</v>
      </c>
    </row>
    <row r="442" spans="1:16" x14ac:dyDescent="0.3">
      <c r="A442" s="2" t="str">
        <f>TRIM(Table1[[#This Row],[Numer_FV]])</f>
        <v>FV/18/PP/7784/22</v>
      </c>
      <c r="B442" s="2" t="str">
        <f>TRIM(Table1[[#This Row],[Numer_PZ]])</f>
        <v>PZ/800440</v>
      </c>
      <c r="C442" s="2" t="str">
        <f>TRIM(Table1[[#This Row],[Dostawca]])</f>
        <v>PharmaPlus</v>
      </c>
      <c r="D442" s="3">
        <v>44725</v>
      </c>
      <c r="E442" s="4" t="s">
        <v>1349</v>
      </c>
      <c r="F442" s="2" t="str">
        <f>TRIM(Table1[[#This Row],[Status]])</f>
        <v>Zaakceptowana</v>
      </c>
      <c r="G442" s="2" t="str">
        <f>TRIM(Table1[[#This Row],[Typ]])</f>
        <v>Faktura VAT</v>
      </c>
      <c r="H442" s="2" t="str">
        <f>TRIM(Table1[[#This Row],[Magazyn]])</f>
        <v>Apteka Szpitalna</v>
      </c>
      <c r="I442" s="2" t="str">
        <f>TRIM(Table1[[#This Row],[Umowa]])</f>
        <v/>
      </c>
      <c r="J442" s="2" t="b">
        <f>ISTEXT(Table14[[#This Row],[Data_Wystawienia]])</f>
        <v>0</v>
      </c>
      <c r="K442" s="2">
        <f>VALUE(SUBSTITUTE(Table14[[#This Row],[Wartość]],".",","))</f>
        <v>4717.13</v>
      </c>
      <c r="L4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2" s="2" t="str">
        <f>IF(Table14[[#This Row],[Umowa]]="","Poza umową","Z umowy")</f>
        <v>Poza umową</v>
      </c>
      <c r="N442" s="2">
        <f>YEAR(Table14[[#This Row],[Data_Wystawienia]])</f>
        <v>2022</v>
      </c>
      <c r="O442" s="2" t="str">
        <f>TEXT(Table14[[#This Row],[Data_Wystawienia]],"rrrr-mm")</f>
        <v>2022-06</v>
      </c>
      <c r="P442" s="2">
        <v>1</v>
      </c>
    </row>
    <row r="443" spans="1:16" x14ac:dyDescent="0.3">
      <c r="A443" s="2" t="str">
        <f>TRIM(Table1[[#This Row],[Numer_FV]])</f>
        <v>FV/1828/NOVA/22</v>
      </c>
      <c r="B443" s="2" t="str">
        <f>TRIM(Table1[[#This Row],[Numer_PZ]])</f>
        <v>PZ/800441</v>
      </c>
      <c r="C443" s="2" t="str">
        <f>TRIM(Table1[[#This Row],[Dostawca]])</f>
        <v>NovaLek</v>
      </c>
      <c r="D443" s="3">
        <v>44725</v>
      </c>
      <c r="E443" s="4" t="s">
        <v>1352</v>
      </c>
      <c r="F443" s="2" t="str">
        <f>TRIM(Table1[[#This Row],[Status]])</f>
        <v>Zaakceptowana</v>
      </c>
      <c r="G443" s="2" t="str">
        <f>TRIM(Table1[[#This Row],[Typ]])</f>
        <v>Faktura VAT</v>
      </c>
      <c r="H443" s="2" t="str">
        <f>TRIM(Table1[[#This Row],[Magazyn]])</f>
        <v>Apteka Szpitalna</v>
      </c>
      <c r="I443" s="2" t="str">
        <f>TRIM(Table1[[#This Row],[Umowa]])</f>
        <v>UM-NOV-03</v>
      </c>
      <c r="J443" s="2" t="b">
        <f>ISTEXT(Table14[[#This Row],[Data_Wystawienia]])</f>
        <v>0</v>
      </c>
      <c r="K443" s="2">
        <f>VALUE(SUBSTITUTE(Table14[[#This Row],[Wartość]],".",","))</f>
        <v>6678.56</v>
      </c>
      <c r="L4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3" s="2" t="str">
        <f>IF(Table14[[#This Row],[Umowa]]="","Poza umową","Z umowy")</f>
        <v>Z umowy</v>
      </c>
      <c r="N443" s="2">
        <f>YEAR(Table14[[#This Row],[Data_Wystawienia]])</f>
        <v>2022</v>
      </c>
      <c r="O443" s="2" t="str">
        <f>TEXT(Table14[[#This Row],[Data_Wystawienia]],"rrrr-mm")</f>
        <v>2022-06</v>
      </c>
      <c r="P443" s="2">
        <v>1</v>
      </c>
    </row>
    <row r="444" spans="1:16" x14ac:dyDescent="0.3">
      <c r="A444" s="2" t="str">
        <f>TRIM(Table1[[#This Row],[Numer_FV]])</f>
        <v>FV/M/1862/P/22</v>
      </c>
      <c r="B444" s="2" t="str">
        <f>TRIM(Table1[[#This Row],[Numer_PZ]])</f>
        <v>PZ/800442</v>
      </c>
      <c r="C444" s="2" t="str">
        <f>TRIM(Table1[[#This Row],[Dostawca]])</f>
        <v>MedicaPharm</v>
      </c>
      <c r="D444" s="3">
        <v>44726</v>
      </c>
      <c r="E444" s="4" t="s">
        <v>1355</v>
      </c>
      <c r="F444" s="2" t="str">
        <f>TRIM(Table1[[#This Row],[Status]])</f>
        <v>Zaakceptowana</v>
      </c>
      <c r="G444" s="2" t="str">
        <f>TRIM(Table1[[#This Row],[Typ]])</f>
        <v>Faktura VAT</v>
      </c>
      <c r="H444" s="2" t="str">
        <f>TRIM(Table1[[#This Row],[Magazyn]])</f>
        <v>Apteka Szpitalna</v>
      </c>
      <c r="I444" s="2" t="str">
        <f>TRIM(Table1[[#This Row],[Umowa]])</f>
        <v/>
      </c>
      <c r="J444" s="2" t="b">
        <f>ISTEXT(Table14[[#This Row],[Data_Wystawienia]])</f>
        <v>0</v>
      </c>
      <c r="K444" s="2">
        <f>VALUE(SUBSTITUTE(Table14[[#This Row],[Wartość]],".",","))</f>
        <v>26367.01</v>
      </c>
      <c r="L4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4" s="2" t="str">
        <f>IF(Table14[[#This Row],[Umowa]]="","Poza umową","Z umowy")</f>
        <v>Poza umową</v>
      </c>
      <c r="N444" s="2">
        <f>YEAR(Table14[[#This Row],[Data_Wystawienia]])</f>
        <v>2022</v>
      </c>
      <c r="O444" s="2" t="str">
        <f>TEXT(Table14[[#This Row],[Data_Wystawienia]],"rrrr-mm")</f>
        <v>2022-06</v>
      </c>
      <c r="P444" s="2">
        <v>1</v>
      </c>
    </row>
    <row r="445" spans="1:16" x14ac:dyDescent="0.3">
      <c r="A445" s="2" t="str">
        <f>TRIM(Table1[[#This Row],[Numer_FV]])</f>
        <v>FV/POL/37408/2022</v>
      </c>
      <c r="B445" s="2" t="str">
        <f>TRIM(Table1[[#This Row],[Numer_PZ]])</f>
        <v>PZ/800443</v>
      </c>
      <c r="C445" s="2" t="str">
        <f>TRIM(Table1[[#This Row],[Dostawca]])</f>
        <v>Polmedica</v>
      </c>
      <c r="D445" s="3">
        <v>44726</v>
      </c>
      <c r="E445" s="4" t="s">
        <v>1358</v>
      </c>
      <c r="F445" s="2" t="str">
        <f>TRIM(Table1[[#This Row],[Status]])</f>
        <v>Zaakceptowana</v>
      </c>
      <c r="G445" s="2" t="str">
        <f>TRIM(Table1[[#This Row],[Typ]])</f>
        <v>Korekta FV</v>
      </c>
      <c r="H445" s="2" t="str">
        <f>TRIM(Table1[[#This Row],[Magazyn]])</f>
        <v>Apteka Szpitalna</v>
      </c>
      <c r="I445" s="2" t="str">
        <f>TRIM(Table1[[#This Row],[Umowa]])</f>
        <v>UM-POL-02</v>
      </c>
      <c r="J445" s="2" t="b">
        <f>ISTEXT(Table14[[#This Row],[Data_Wystawienia]])</f>
        <v>0</v>
      </c>
      <c r="K445" s="2">
        <f>VALUE(SUBSTITUTE(Table14[[#This Row],[Wartość]],".",","))</f>
        <v>-1667.52</v>
      </c>
      <c r="L4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5" s="2" t="str">
        <f>IF(Table14[[#This Row],[Umowa]]="","Poza umową","Z umowy")</f>
        <v>Z umowy</v>
      </c>
      <c r="N445" s="2">
        <f>YEAR(Table14[[#This Row],[Data_Wystawienia]])</f>
        <v>2022</v>
      </c>
      <c r="O445" s="2" t="str">
        <f>TEXT(Table14[[#This Row],[Data_Wystawienia]],"rrrr-mm")</f>
        <v>2022-06</v>
      </c>
      <c r="P445" s="2">
        <v>1</v>
      </c>
    </row>
    <row r="446" spans="1:16" x14ac:dyDescent="0.3">
      <c r="A446" s="2" t="str">
        <f>TRIM(Table1[[#This Row],[Numer_FV]])</f>
        <v>FV/52264/VDb/2022</v>
      </c>
      <c r="B446" s="2" t="str">
        <f>TRIM(Table1[[#This Row],[Numer_PZ]])</f>
        <v>PZ/800444</v>
      </c>
      <c r="C446" s="2" t="str">
        <f>TRIM(Table1[[#This Row],[Dostawca]])</f>
        <v>VitaDistrib</v>
      </c>
      <c r="D446" s="3">
        <v>44726</v>
      </c>
      <c r="E446" s="4" t="s">
        <v>1361</v>
      </c>
      <c r="F446" s="2" t="str">
        <f>TRIM(Table1[[#This Row],[Status]])</f>
        <v>Zaakceptowana</v>
      </c>
      <c r="G446" s="2" t="str">
        <f>TRIM(Table1[[#This Row],[Typ]])</f>
        <v>Faktura VAT</v>
      </c>
      <c r="H446" s="2" t="str">
        <f>TRIM(Table1[[#This Row],[Magazyn]])</f>
        <v>Apteka Szpitalna</v>
      </c>
      <c r="I446" s="2" t="str">
        <f>TRIM(Table1[[#This Row],[Umowa]])</f>
        <v>UM-VIT-01</v>
      </c>
      <c r="J446" s="2" t="b">
        <f>ISTEXT(Table14[[#This Row],[Data_Wystawienia]])</f>
        <v>0</v>
      </c>
      <c r="K446" s="2">
        <f>VALUE(SUBSTITUTE(Table14[[#This Row],[Wartość]],".",","))</f>
        <v>11252.02</v>
      </c>
      <c r="L4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6" s="2" t="str">
        <f>IF(Table14[[#This Row],[Umowa]]="","Poza umową","Z umowy")</f>
        <v>Z umowy</v>
      </c>
      <c r="N446" s="2">
        <f>YEAR(Table14[[#This Row],[Data_Wystawienia]])</f>
        <v>2022</v>
      </c>
      <c r="O446" s="2" t="str">
        <f>TEXT(Table14[[#This Row],[Data_Wystawienia]],"rrrr-mm")</f>
        <v>2022-06</v>
      </c>
      <c r="P446" s="2">
        <v>1</v>
      </c>
    </row>
    <row r="447" spans="1:16" x14ac:dyDescent="0.3">
      <c r="A447" s="2" t="str">
        <f>TRIM(Table1[[#This Row],[Numer_FV]])</f>
        <v>FV/87/SAL/22</v>
      </c>
      <c r="B447" s="2" t="str">
        <f>TRIM(Table1[[#This Row],[Numer_PZ]])</f>
        <v>PZ/800445</v>
      </c>
      <c r="C447" s="2" t="str">
        <f>TRIM(Table1[[#This Row],[Dostawca]])</f>
        <v>SalusHurt</v>
      </c>
      <c r="D447" s="3">
        <v>44727</v>
      </c>
      <c r="E447" s="4" t="s">
        <v>1364</v>
      </c>
      <c r="F447" s="2" t="str">
        <f>TRIM(Table1[[#This Row],[Status]])</f>
        <v>Zaakceptowana</v>
      </c>
      <c r="G447" s="2" t="str">
        <f>TRIM(Table1[[#This Row],[Typ]])</f>
        <v>Faktura VAT</v>
      </c>
      <c r="H447" s="2" t="str">
        <f>TRIM(Table1[[#This Row],[Magazyn]])</f>
        <v>Apteka Szpitalna</v>
      </c>
      <c r="I447" s="2" t="str">
        <f>TRIM(Table1[[#This Row],[Umowa]])</f>
        <v>UM-SAL-01</v>
      </c>
      <c r="J447" s="2" t="b">
        <f>ISTEXT(Table14[[#This Row],[Data_Wystawienia]])</f>
        <v>0</v>
      </c>
      <c r="K447" s="2">
        <f>VALUE(SUBSTITUTE(Table14[[#This Row],[Wartość]],".",","))</f>
        <v>9562.2900000000009</v>
      </c>
      <c r="L4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7" s="2" t="str">
        <f>IF(Table14[[#This Row],[Umowa]]="","Poza umową","Z umowy")</f>
        <v>Z umowy</v>
      </c>
      <c r="N447" s="2">
        <f>YEAR(Table14[[#This Row],[Data_Wystawienia]])</f>
        <v>2022</v>
      </c>
      <c r="O447" s="2" t="str">
        <f>TEXT(Table14[[#This Row],[Data_Wystawienia]],"rrrr-mm")</f>
        <v>2022-06</v>
      </c>
      <c r="P447" s="2">
        <v>1</v>
      </c>
    </row>
    <row r="448" spans="1:16" x14ac:dyDescent="0.3">
      <c r="A448" s="2" t="str">
        <f>TRIM(Table1[[#This Row],[Numer_FV]])</f>
        <v>FV/9253HM/22</v>
      </c>
      <c r="B448" s="2" t="str">
        <f>TRIM(Table1[[#This Row],[Numer_PZ]])</f>
        <v>PZ/800446</v>
      </c>
      <c r="C448" s="2" t="str">
        <f>TRIM(Table1[[#This Row],[Dostawca]])</f>
        <v>HurtMedix</v>
      </c>
      <c r="D448" s="3">
        <v>44727</v>
      </c>
      <c r="E448" s="4" t="s">
        <v>1367</v>
      </c>
      <c r="F448" s="2" t="str">
        <f>TRIM(Table1[[#This Row],[Status]])</f>
        <v>Zaakceptowana</v>
      </c>
      <c r="G448" s="2" t="str">
        <f>TRIM(Table1[[#This Row],[Typ]])</f>
        <v>Faktura VAT</v>
      </c>
      <c r="H448" s="2" t="str">
        <f>TRIM(Table1[[#This Row],[Magazyn]])</f>
        <v>Apteka Szpitalna</v>
      </c>
      <c r="I448" s="2" t="str">
        <f>TRIM(Table1[[#This Row],[Umowa]])</f>
        <v>UM-HUR-02</v>
      </c>
      <c r="J448" s="2" t="b">
        <f>ISTEXT(Table14[[#This Row],[Data_Wystawienia]])</f>
        <v>0</v>
      </c>
      <c r="K448" s="2">
        <f>VALUE(SUBSTITUTE(Table14[[#This Row],[Wartość]],".",","))</f>
        <v>17980.86</v>
      </c>
      <c r="L4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8" s="2" t="str">
        <f>IF(Table14[[#This Row],[Umowa]]="","Poza umową","Z umowy")</f>
        <v>Z umowy</v>
      </c>
      <c r="N448" s="2">
        <f>YEAR(Table14[[#This Row],[Data_Wystawienia]])</f>
        <v>2022</v>
      </c>
      <c r="O448" s="2" t="str">
        <f>TEXT(Table14[[#This Row],[Data_Wystawienia]],"rrrr-mm")</f>
        <v>2022-06</v>
      </c>
      <c r="P448" s="2">
        <v>1</v>
      </c>
    </row>
    <row r="449" spans="1:16" x14ac:dyDescent="0.3">
      <c r="A449" s="2" t="str">
        <f>TRIM(Table1[[#This Row],[Numer_FV]])</f>
        <v>FV/58/SAL/22</v>
      </c>
      <c r="B449" s="2" t="str">
        <f>TRIM(Table1[[#This Row],[Numer_PZ]])</f>
        <v>PZ/800447</v>
      </c>
      <c r="C449" s="2" t="str">
        <f>TRIM(Table1[[#This Row],[Dostawca]])</f>
        <v>SalusHurt</v>
      </c>
      <c r="D449" s="3">
        <v>44727</v>
      </c>
      <c r="E449" s="4" t="s">
        <v>1370</v>
      </c>
      <c r="F449" s="2" t="str">
        <f>TRIM(Table1[[#This Row],[Status]])</f>
        <v>Zaakceptowana</v>
      </c>
      <c r="G449" s="2" t="str">
        <f>TRIM(Table1[[#This Row],[Typ]])</f>
        <v>Faktura VAT</v>
      </c>
      <c r="H449" s="2" t="str">
        <f>TRIM(Table1[[#This Row],[Magazyn]])</f>
        <v>Apteka Szpitalna</v>
      </c>
      <c r="I449" s="2" t="str">
        <f>TRIM(Table1[[#This Row],[Umowa]])</f>
        <v/>
      </c>
      <c r="J449" s="2" t="b">
        <f>ISTEXT(Table14[[#This Row],[Data_Wystawienia]])</f>
        <v>0</v>
      </c>
      <c r="K449" s="2">
        <f>VALUE(SUBSTITUTE(Table14[[#This Row],[Wartość]],".",","))</f>
        <v>19074.689999999999</v>
      </c>
      <c r="L4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49" s="2" t="str">
        <f>IF(Table14[[#This Row],[Umowa]]="","Poza umową","Z umowy")</f>
        <v>Poza umową</v>
      </c>
      <c r="N449" s="2">
        <f>YEAR(Table14[[#This Row],[Data_Wystawienia]])</f>
        <v>2022</v>
      </c>
      <c r="O449" s="2" t="str">
        <f>TEXT(Table14[[#This Row],[Data_Wystawienia]],"rrrr-mm")</f>
        <v>2022-06</v>
      </c>
      <c r="P449" s="2">
        <v>1</v>
      </c>
    </row>
    <row r="450" spans="1:16" x14ac:dyDescent="0.3">
      <c r="A450" s="2" t="str">
        <f>TRIM(Table1[[#This Row],[Numer_FV]])</f>
        <v>FV/35/SAL/22</v>
      </c>
      <c r="B450" s="2" t="str">
        <f>TRIM(Table1[[#This Row],[Numer_PZ]])</f>
        <v>PZ/800448</v>
      </c>
      <c r="C450" s="2" t="str">
        <f>TRIM(Table1[[#This Row],[Dostawca]])</f>
        <v>SalusHurt</v>
      </c>
      <c r="D450" s="3">
        <v>44728</v>
      </c>
      <c r="E450" s="4" t="s">
        <v>1372</v>
      </c>
      <c r="F450" s="2" t="str">
        <f>TRIM(Table1[[#This Row],[Status]])</f>
        <v>Zaakceptowana</v>
      </c>
      <c r="G450" s="2" t="str">
        <f>TRIM(Table1[[#This Row],[Typ]])</f>
        <v>Korekta FV</v>
      </c>
      <c r="H450" s="2" t="str">
        <f>TRIM(Table1[[#This Row],[Magazyn]])</f>
        <v>Apteka Szpitalna</v>
      </c>
      <c r="I450" s="2" t="str">
        <f>TRIM(Table1[[#This Row],[Umowa]])</f>
        <v>UM-SAL-01</v>
      </c>
      <c r="J450" s="2" t="b">
        <f>ISTEXT(Table14[[#This Row],[Data_Wystawienia]])</f>
        <v>0</v>
      </c>
      <c r="K450" s="2">
        <f>VALUE(SUBSTITUTE(Table14[[#This Row],[Wartość]],".",","))</f>
        <v>-2028.19</v>
      </c>
      <c r="L4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0" s="2" t="str">
        <f>IF(Table14[[#This Row],[Umowa]]="","Poza umową","Z umowy")</f>
        <v>Z umowy</v>
      </c>
      <c r="N450" s="2">
        <f>YEAR(Table14[[#This Row],[Data_Wystawienia]])</f>
        <v>2022</v>
      </c>
      <c r="O450" s="2" t="str">
        <f>TEXT(Table14[[#This Row],[Data_Wystawienia]],"rrrr-mm")</f>
        <v>2022-06</v>
      </c>
      <c r="P450" s="2">
        <v>1</v>
      </c>
    </row>
    <row r="451" spans="1:16" x14ac:dyDescent="0.3">
      <c r="A451" s="2" t="str">
        <f>TRIM(Table1[[#This Row],[Numer_FV]])</f>
        <v>FV/M/2283/P/22</v>
      </c>
      <c r="B451" s="2" t="str">
        <f>TRIM(Table1[[#This Row],[Numer_PZ]])</f>
        <v>PZ/800449</v>
      </c>
      <c r="C451" s="2" t="str">
        <f>TRIM(Table1[[#This Row],[Dostawca]])</f>
        <v>MedicaPharm</v>
      </c>
      <c r="D451" s="3">
        <v>44728</v>
      </c>
      <c r="E451" s="4" t="s">
        <v>1375</v>
      </c>
      <c r="F451" s="2" t="str">
        <f>TRIM(Table1[[#This Row],[Status]])</f>
        <v>Zaakceptowana</v>
      </c>
      <c r="G451" s="2" t="str">
        <f>TRIM(Table1[[#This Row],[Typ]])</f>
        <v>Faktura VAT</v>
      </c>
      <c r="H451" s="2" t="str">
        <f>TRIM(Table1[[#This Row],[Magazyn]])</f>
        <v>Apteka Szpitalna</v>
      </c>
      <c r="I451" s="2" t="str">
        <f>TRIM(Table1[[#This Row],[Umowa]])</f>
        <v>UM-MED-01</v>
      </c>
      <c r="J451" s="2" t="b">
        <f>ISTEXT(Table14[[#This Row],[Data_Wystawienia]])</f>
        <v>0</v>
      </c>
      <c r="K451" s="2">
        <f>VALUE(SUBSTITUTE(Table14[[#This Row],[Wartość]],".",","))</f>
        <v>11662.73</v>
      </c>
      <c r="L4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1" s="2" t="str">
        <f>IF(Table14[[#This Row],[Umowa]]="","Poza umową","Z umowy")</f>
        <v>Z umowy</v>
      </c>
      <c r="N451" s="2">
        <f>YEAR(Table14[[#This Row],[Data_Wystawienia]])</f>
        <v>2022</v>
      </c>
      <c r="O451" s="2" t="str">
        <f>TEXT(Table14[[#This Row],[Data_Wystawienia]],"rrrr-mm")</f>
        <v>2022-06</v>
      </c>
      <c r="P451" s="2">
        <v>1</v>
      </c>
    </row>
    <row r="452" spans="1:16" x14ac:dyDescent="0.3">
      <c r="A452" s="2" t="str">
        <f>TRIM(Table1[[#This Row],[Numer_FV]])</f>
        <v>FV/POL/47057/2022</v>
      </c>
      <c r="B452" s="2" t="str">
        <f>TRIM(Table1[[#This Row],[Numer_PZ]])</f>
        <v>PZ/800450</v>
      </c>
      <c r="C452" s="2" t="str">
        <f>TRIM(Table1[[#This Row],[Dostawca]])</f>
        <v>Polmedica</v>
      </c>
      <c r="D452" s="3">
        <v>44728</v>
      </c>
      <c r="E452" s="4" t="s">
        <v>1378</v>
      </c>
      <c r="F452" s="2" t="str">
        <f>TRIM(Table1[[#This Row],[Status]])</f>
        <v>Zaakceptowana</v>
      </c>
      <c r="G452" s="2" t="str">
        <f>TRIM(Table1[[#This Row],[Typ]])</f>
        <v>Faktura VAT</v>
      </c>
      <c r="H452" s="2" t="str">
        <f>TRIM(Table1[[#This Row],[Magazyn]])</f>
        <v>Apteka Szpitalna</v>
      </c>
      <c r="I452" s="2" t="str">
        <f>TRIM(Table1[[#This Row],[Umowa]])</f>
        <v>UM-POL-03</v>
      </c>
      <c r="J452" s="2" t="b">
        <f>ISTEXT(Table14[[#This Row],[Data_Wystawienia]])</f>
        <v>0</v>
      </c>
      <c r="K452" s="2">
        <f>VALUE(SUBSTITUTE(Table14[[#This Row],[Wartość]],".",","))</f>
        <v>7630.87</v>
      </c>
      <c r="L4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2" s="2" t="str">
        <f>IF(Table14[[#This Row],[Umowa]]="","Poza umową","Z umowy")</f>
        <v>Z umowy</v>
      </c>
      <c r="N452" s="2">
        <f>YEAR(Table14[[#This Row],[Data_Wystawienia]])</f>
        <v>2022</v>
      </c>
      <c r="O452" s="2" t="str">
        <f>TEXT(Table14[[#This Row],[Data_Wystawienia]],"rrrr-mm")</f>
        <v>2022-06</v>
      </c>
      <c r="P452" s="2">
        <v>1</v>
      </c>
    </row>
    <row r="453" spans="1:16" x14ac:dyDescent="0.3">
      <c r="A453" s="2" t="str">
        <f>TRIM(Table1[[#This Row],[Numer_FV]])</f>
        <v>FV/1617/NOVA/22</v>
      </c>
      <c r="B453" s="2" t="str">
        <f>TRIM(Table1[[#This Row],[Numer_PZ]])</f>
        <v>PZ/800451</v>
      </c>
      <c r="C453" s="2" t="str">
        <f>TRIM(Table1[[#This Row],[Dostawca]])</f>
        <v>NovaLek</v>
      </c>
      <c r="D453" s="3">
        <v>44728</v>
      </c>
      <c r="E453" s="4" t="s">
        <v>1381</v>
      </c>
      <c r="F453" s="2" t="str">
        <f>TRIM(Table1[[#This Row],[Status]])</f>
        <v>Zaakceptowana</v>
      </c>
      <c r="G453" s="2" t="str">
        <f>TRIM(Table1[[#This Row],[Typ]])</f>
        <v>Faktura VAT</v>
      </c>
      <c r="H453" s="2" t="str">
        <f>TRIM(Table1[[#This Row],[Magazyn]])</f>
        <v>Apteka Szpitalna</v>
      </c>
      <c r="I453" s="2" t="str">
        <f>TRIM(Table1[[#This Row],[Umowa]])</f>
        <v>UM-NOV-03</v>
      </c>
      <c r="J453" s="2" t="b">
        <f>ISTEXT(Table14[[#This Row],[Data_Wystawienia]])</f>
        <v>0</v>
      </c>
      <c r="K453" s="2">
        <f>VALUE(SUBSTITUTE(Table14[[#This Row],[Wartość]],".",","))</f>
        <v>13190.41</v>
      </c>
      <c r="L4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3" s="2" t="str">
        <f>IF(Table14[[#This Row],[Umowa]]="","Poza umową","Z umowy")</f>
        <v>Z umowy</v>
      </c>
      <c r="N453" s="2">
        <f>YEAR(Table14[[#This Row],[Data_Wystawienia]])</f>
        <v>2022</v>
      </c>
      <c r="O453" s="2" t="str">
        <f>TEXT(Table14[[#This Row],[Data_Wystawienia]],"rrrr-mm")</f>
        <v>2022-06</v>
      </c>
      <c r="P453" s="2">
        <v>1</v>
      </c>
    </row>
    <row r="454" spans="1:16" x14ac:dyDescent="0.3">
      <c r="A454" s="2" t="str">
        <f>TRIM(Table1[[#This Row],[Numer_FV]])</f>
        <v>FV/POL/61106/2022</v>
      </c>
      <c r="B454" s="2" t="str">
        <f>TRIM(Table1[[#This Row],[Numer_PZ]])</f>
        <v>PZ/800452</v>
      </c>
      <c r="C454" s="2" t="str">
        <f>TRIM(Table1[[#This Row],[Dostawca]])</f>
        <v>Polmedica</v>
      </c>
      <c r="D454" s="3">
        <v>44729</v>
      </c>
      <c r="E454" s="4" t="s">
        <v>1384</v>
      </c>
      <c r="F454" s="2" t="str">
        <f>TRIM(Table1[[#This Row],[Status]])</f>
        <v>Zaakceptowana</v>
      </c>
      <c r="G454" s="2" t="str">
        <f>TRIM(Table1[[#This Row],[Typ]])</f>
        <v>Faktura VAT</v>
      </c>
      <c r="H454" s="2" t="str">
        <f>TRIM(Table1[[#This Row],[Magazyn]])</f>
        <v>Apteka Szpitalna</v>
      </c>
      <c r="I454" s="2" t="str">
        <f>TRIM(Table1[[#This Row],[Umowa]])</f>
        <v/>
      </c>
      <c r="J454" s="2" t="b">
        <f>ISTEXT(Table14[[#This Row],[Data_Wystawienia]])</f>
        <v>0</v>
      </c>
      <c r="K454" s="2">
        <f>VALUE(SUBSTITUTE(Table14[[#This Row],[Wartość]],".",","))</f>
        <v>19061.66</v>
      </c>
      <c r="L4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4" s="2" t="str">
        <f>IF(Table14[[#This Row],[Umowa]]="","Poza umową","Z umowy")</f>
        <v>Poza umową</v>
      </c>
      <c r="N454" s="2">
        <f>YEAR(Table14[[#This Row],[Data_Wystawienia]])</f>
        <v>2022</v>
      </c>
      <c r="O454" s="2" t="str">
        <f>TEXT(Table14[[#This Row],[Data_Wystawienia]],"rrrr-mm")</f>
        <v>2022-06</v>
      </c>
      <c r="P454" s="2">
        <v>1</v>
      </c>
    </row>
    <row r="455" spans="1:16" x14ac:dyDescent="0.3">
      <c r="A455" s="2" t="str">
        <f>TRIM(Table1[[#This Row],[Numer_FV]])</f>
        <v>FV/POL/77302/2022</v>
      </c>
      <c r="B455" s="2" t="str">
        <f>TRIM(Table1[[#This Row],[Numer_PZ]])</f>
        <v>PZ/800453</v>
      </c>
      <c r="C455" s="2" t="str">
        <f>TRIM(Table1[[#This Row],[Dostawca]])</f>
        <v>Polmedica</v>
      </c>
      <c r="D455" s="3">
        <v>44729</v>
      </c>
      <c r="E455" s="4" t="s">
        <v>1387</v>
      </c>
      <c r="F455" s="2" t="str">
        <f>TRIM(Table1[[#This Row],[Status]])</f>
        <v>Zaakceptowana</v>
      </c>
      <c r="G455" s="2" t="str">
        <f>TRIM(Table1[[#This Row],[Typ]])</f>
        <v>Faktura VAT</v>
      </c>
      <c r="H455" s="2" t="str">
        <f>TRIM(Table1[[#This Row],[Magazyn]])</f>
        <v>Apteka Szpitalna</v>
      </c>
      <c r="I455" s="2" t="str">
        <f>TRIM(Table1[[#This Row],[Umowa]])</f>
        <v>UM-POL-01</v>
      </c>
      <c r="J455" s="2" t="b">
        <f>ISTEXT(Table14[[#This Row],[Data_Wystawienia]])</f>
        <v>0</v>
      </c>
      <c r="K455" s="2">
        <f>VALUE(SUBSTITUTE(Table14[[#This Row],[Wartość]],".",","))</f>
        <v>5897.7</v>
      </c>
      <c r="L4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5" s="2" t="str">
        <f>IF(Table14[[#This Row],[Umowa]]="","Poza umową","Z umowy")</f>
        <v>Z umowy</v>
      </c>
      <c r="N455" s="2">
        <f>YEAR(Table14[[#This Row],[Data_Wystawienia]])</f>
        <v>2022</v>
      </c>
      <c r="O455" s="2" t="str">
        <f>TEXT(Table14[[#This Row],[Data_Wystawienia]],"rrrr-mm")</f>
        <v>2022-06</v>
      </c>
      <c r="P455" s="2">
        <v>1</v>
      </c>
    </row>
    <row r="456" spans="1:16" x14ac:dyDescent="0.3">
      <c r="A456" s="2" t="str">
        <f>TRIM(Table1[[#This Row],[Numer_FV]])</f>
        <v>FV/68/SAL/22</v>
      </c>
      <c r="B456" s="2" t="str">
        <f>TRIM(Table1[[#This Row],[Numer_PZ]])</f>
        <v>PZ/800454</v>
      </c>
      <c r="C456" s="2" t="str">
        <f>TRIM(Table1[[#This Row],[Dostawca]])</f>
        <v>SalusHurt</v>
      </c>
      <c r="D456" s="3">
        <v>44729</v>
      </c>
      <c r="E456" s="4" t="s">
        <v>1389</v>
      </c>
      <c r="F456" s="2" t="str">
        <f>TRIM(Table1[[#This Row],[Status]])</f>
        <v>Zaakceptowana</v>
      </c>
      <c r="G456" s="2" t="str">
        <f>TRIM(Table1[[#This Row],[Typ]])</f>
        <v>Faktura VAT</v>
      </c>
      <c r="H456" s="2" t="str">
        <f>TRIM(Table1[[#This Row],[Magazyn]])</f>
        <v>Apteka Szpitalna</v>
      </c>
      <c r="I456" s="2" t="str">
        <f>TRIM(Table1[[#This Row],[Umowa]])</f>
        <v>UM-SAL-01</v>
      </c>
      <c r="J456" s="2" t="b">
        <f>ISTEXT(Table14[[#This Row],[Data_Wystawienia]])</f>
        <v>0</v>
      </c>
      <c r="K456" s="2">
        <f>VALUE(SUBSTITUTE(Table14[[#This Row],[Wartość]],".",","))</f>
        <v>11505.38</v>
      </c>
      <c r="L4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6" s="2" t="str">
        <f>IF(Table14[[#This Row],[Umowa]]="","Poza umową","Z umowy")</f>
        <v>Z umowy</v>
      </c>
      <c r="N456" s="2">
        <f>YEAR(Table14[[#This Row],[Data_Wystawienia]])</f>
        <v>2022</v>
      </c>
      <c r="O456" s="2" t="str">
        <f>TEXT(Table14[[#This Row],[Data_Wystawienia]],"rrrr-mm")</f>
        <v>2022-06</v>
      </c>
      <c r="P456" s="2">
        <v>1</v>
      </c>
    </row>
    <row r="457" spans="1:16" x14ac:dyDescent="0.3">
      <c r="A457" s="2" t="str">
        <f>TRIM(Table1[[#This Row],[Numer_FV]])</f>
        <v>FV/POL/72703/2022</v>
      </c>
      <c r="B457" s="2" t="str">
        <f>TRIM(Table1[[#This Row],[Numer_PZ]])</f>
        <v>PZ/800455</v>
      </c>
      <c r="C457" s="2" t="str">
        <f>TRIM(Table1[[#This Row],[Dostawca]])</f>
        <v>Polmedica</v>
      </c>
      <c r="D457" s="3">
        <v>44729</v>
      </c>
      <c r="E457" s="4" t="s">
        <v>1392</v>
      </c>
      <c r="F457" s="2" t="str">
        <f>TRIM(Table1[[#This Row],[Status]])</f>
        <v>Zaakceptowana</v>
      </c>
      <c r="G457" s="2" t="str">
        <f>TRIM(Table1[[#This Row],[Typ]])</f>
        <v>Faktura VAT</v>
      </c>
      <c r="H457" s="2" t="str">
        <f>TRIM(Table1[[#This Row],[Magazyn]])</f>
        <v>Apteka Szpitalna</v>
      </c>
      <c r="I457" s="2" t="str">
        <f>TRIM(Table1[[#This Row],[Umowa]])</f>
        <v>UM-POL-03</v>
      </c>
      <c r="J457" s="2" t="b">
        <f>ISTEXT(Table14[[#This Row],[Data_Wystawienia]])</f>
        <v>0</v>
      </c>
      <c r="K457" s="2">
        <f>VALUE(SUBSTITUTE(Table14[[#This Row],[Wartość]],".",","))</f>
        <v>11649.67</v>
      </c>
      <c r="L4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7" s="2" t="str">
        <f>IF(Table14[[#This Row],[Umowa]]="","Poza umową","Z umowy")</f>
        <v>Z umowy</v>
      </c>
      <c r="N457" s="2">
        <f>YEAR(Table14[[#This Row],[Data_Wystawienia]])</f>
        <v>2022</v>
      </c>
      <c r="O457" s="2" t="str">
        <f>TEXT(Table14[[#This Row],[Data_Wystawienia]],"rrrr-mm")</f>
        <v>2022-06</v>
      </c>
      <c r="P457" s="2">
        <v>1</v>
      </c>
    </row>
    <row r="458" spans="1:16" x14ac:dyDescent="0.3">
      <c r="A458" s="2" t="str">
        <f>TRIM(Table1[[#This Row],[Numer_FV]])</f>
        <v>FV/95559/VDb/2022</v>
      </c>
      <c r="B458" s="2" t="str">
        <f>TRIM(Table1[[#This Row],[Numer_PZ]])</f>
        <v>PZ/800456</v>
      </c>
      <c r="C458" s="2" t="str">
        <f>TRIM(Table1[[#This Row],[Dostawca]])</f>
        <v>VitaDistrib</v>
      </c>
      <c r="D458" s="3">
        <v>44729</v>
      </c>
      <c r="E458" s="4" t="s">
        <v>1395</v>
      </c>
      <c r="F458" s="2" t="str">
        <f>TRIM(Table1[[#This Row],[Status]])</f>
        <v>Zaakceptowana</v>
      </c>
      <c r="G458" s="2" t="str">
        <f>TRIM(Table1[[#This Row],[Typ]])</f>
        <v>Faktura VAT</v>
      </c>
      <c r="H458" s="2" t="str">
        <f>TRIM(Table1[[#This Row],[Magazyn]])</f>
        <v>Apteka Szpitalna</v>
      </c>
      <c r="I458" s="2" t="str">
        <f>TRIM(Table1[[#This Row],[Umowa]])</f>
        <v>UM-VIT-01</v>
      </c>
      <c r="J458" s="2" t="b">
        <f>ISTEXT(Table14[[#This Row],[Data_Wystawienia]])</f>
        <v>0</v>
      </c>
      <c r="K458" s="2">
        <f>VALUE(SUBSTITUTE(Table14[[#This Row],[Wartość]],".",","))</f>
        <v>13856.32</v>
      </c>
      <c r="L4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8" s="2" t="str">
        <f>IF(Table14[[#This Row],[Umowa]]="","Poza umową","Z umowy")</f>
        <v>Z umowy</v>
      </c>
      <c r="N458" s="2">
        <f>YEAR(Table14[[#This Row],[Data_Wystawienia]])</f>
        <v>2022</v>
      </c>
      <c r="O458" s="2" t="str">
        <f>TEXT(Table14[[#This Row],[Data_Wystawienia]],"rrrr-mm")</f>
        <v>2022-06</v>
      </c>
      <c r="P458" s="2">
        <v>1</v>
      </c>
    </row>
    <row r="459" spans="1:16" x14ac:dyDescent="0.3">
      <c r="A459" s="2" t="str">
        <f>TRIM(Table1[[#This Row],[Numer_FV]])</f>
        <v>FV/43/SAL/22</v>
      </c>
      <c r="B459" s="2" t="str">
        <f>TRIM(Table1[[#This Row],[Numer_PZ]])</f>
        <v>PZ/800457</v>
      </c>
      <c r="C459" s="2" t="str">
        <f>TRIM(Table1[[#This Row],[Dostawca]])</f>
        <v>SalusHurt</v>
      </c>
      <c r="D459" s="3">
        <v>44729</v>
      </c>
      <c r="E459" s="4" t="s">
        <v>1398</v>
      </c>
      <c r="F459" s="2" t="str">
        <f>TRIM(Table1[[#This Row],[Status]])</f>
        <v>Zaakceptowana</v>
      </c>
      <c r="G459" s="2" t="str">
        <f>TRIM(Table1[[#This Row],[Typ]])</f>
        <v>Faktura VAT</v>
      </c>
      <c r="H459" s="2" t="str">
        <f>TRIM(Table1[[#This Row],[Magazyn]])</f>
        <v>Apteka Szpitalna</v>
      </c>
      <c r="I459" s="2" t="str">
        <f>TRIM(Table1[[#This Row],[Umowa]])</f>
        <v>UM-SAL-01</v>
      </c>
      <c r="J459" s="2" t="b">
        <f>ISTEXT(Table14[[#This Row],[Data_Wystawienia]])</f>
        <v>0</v>
      </c>
      <c r="K459" s="2">
        <f>VALUE(SUBSTITUTE(Table14[[#This Row],[Wartość]],".",","))</f>
        <v>15532.65</v>
      </c>
      <c r="L4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59" s="2" t="str">
        <f>IF(Table14[[#This Row],[Umowa]]="","Poza umową","Z umowy")</f>
        <v>Z umowy</v>
      </c>
      <c r="N459" s="2">
        <f>YEAR(Table14[[#This Row],[Data_Wystawienia]])</f>
        <v>2022</v>
      </c>
      <c r="O459" s="2" t="str">
        <f>TEXT(Table14[[#This Row],[Data_Wystawienia]],"rrrr-mm")</f>
        <v>2022-06</v>
      </c>
      <c r="P459" s="2">
        <v>1</v>
      </c>
    </row>
    <row r="460" spans="1:16" x14ac:dyDescent="0.3">
      <c r="A460" s="2" t="str">
        <f>TRIM(Table1[[#This Row],[Numer_FV]])</f>
        <v>FV/1421/NOVA/22</v>
      </c>
      <c r="B460" s="2" t="str">
        <f>TRIM(Table1[[#This Row],[Numer_PZ]])</f>
        <v>PZ/800458</v>
      </c>
      <c r="C460" s="2" t="str">
        <f>TRIM(Table1[[#This Row],[Dostawca]])</f>
        <v>NovaLek</v>
      </c>
      <c r="D460" s="3">
        <v>44730</v>
      </c>
      <c r="E460" s="4" t="s">
        <v>1401</v>
      </c>
      <c r="F460" s="2" t="str">
        <f>TRIM(Table1[[#This Row],[Status]])</f>
        <v>Zaakceptowana</v>
      </c>
      <c r="G460" s="2" t="str">
        <f>TRIM(Table1[[#This Row],[Typ]])</f>
        <v>Faktura VAT</v>
      </c>
      <c r="H460" s="2" t="str">
        <f>TRIM(Table1[[#This Row],[Magazyn]])</f>
        <v>Apteka Szpitalna</v>
      </c>
      <c r="I460" s="2" t="str">
        <f>TRIM(Table1[[#This Row],[Umowa]])</f>
        <v>UM-NOV-03</v>
      </c>
      <c r="J460" s="2" t="b">
        <f>ISTEXT(Table14[[#This Row],[Data_Wystawienia]])</f>
        <v>0</v>
      </c>
      <c r="K460" s="2">
        <f>VALUE(SUBSTITUTE(Table14[[#This Row],[Wartość]],".",","))</f>
        <v>14022.63</v>
      </c>
      <c r="L4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0" s="2" t="str">
        <f>IF(Table14[[#This Row],[Umowa]]="","Poza umową","Z umowy")</f>
        <v>Z umowy</v>
      </c>
      <c r="N460" s="2">
        <f>YEAR(Table14[[#This Row],[Data_Wystawienia]])</f>
        <v>2022</v>
      </c>
      <c r="O460" s="2" t="str">
        <f>TEXT(Table14[[#This Row],[Data_Wystawienia]],"rrrr-mm")</f>
        <v>2022-06</v>
      </c>
      <c r="P460" s="2">
        <v>1</v>
      </c>
    </row>
    <row r="461" spans="1:16" x14ac:dyDescent="0.3">
      <c r="A461" s="2" t="str">
        <f>TRIM(Table1[[#This Row],[Numer_FV]])</f>
        <v>FV/97/PP/5147/22</v>
      </c>
      <c r="B461" s="2" t="str">
        <f>TRIM(Table1[[#This Row],[Numer_PZ]])</f>
        <v>PZ/800459</v>
      </c>
      <c r="C461" s="2" t="str">
        <f>TRIM(Table1[[#This Row],[Dostawca]])</f>
        <v>PharmaPlus</v>
      </c>
      <c r="D461" s="3">
        <v>44730</v>
      </c>
      <c r="E461" s="4" t="s">
        <v>1404</v>
      </c>
      <c r="F461" s="2" t="str">
        <f>TRIM(Table1[[#This Row],[Status]])</f>
        <v>Zaakceptowana</v>
      </c>
      <c r="G461" s="2" t="str">
        <f>TRIM(Table1[[#This Row],[Typ]])</f>
        <v>Faktura VAT</v>
      </c>
      <c r="H461" s="2" t="str">
        <f>TRIM(Table1[[#This Row],[Magazyn]])</f>
        <v>Apteka Szpitalna</v>
      </c>
      <c r="I461" s="2" t="str">
        <f>TRIM(Table1[[#This Row],[Umowa]])</f>
        <v>UM-PHA-01</v>
      </c>
      <c r="J461" s="2" t="b">
        <f>ISTEXT(Table14[[#This Row],[Data_Wystawienia]])</f>
        <v>0</v>
      </c>
      <c r="K461" s="2">
        <f>VALUE(SUBSTITUTE(Table14[[#This Row],[Wartość]],".",","))</f>
        <v>23019.54</v>
      </c>
      <c r="L4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1" s="2" t="str">
        <f>IF(Table14[[#This Row],[Umowa]]="","Poza umową","Z umowy")</f>
        <v>Z umowy</v>
      </c>
      <c r="N461" s="2">
        <f>YEAR(Table14[[#This Row],[Data_Wystawienia]])</f>
        <v>2022</v>
      </c>
      <c r="O461" s="2" t="str">
        <f>TEXT(Table14[[#This Row],[Data_Wystawienia]],"rrrr-mm")</f>
        <v>2022-06</v>
      </c>
      <c r="P461" s="2">
        <v>1</v>
      </c>
    </row>
    <row r="462" spans="1:16" x14ac:dyDescent="0.3">
      <c r="A462" s="2" t="str">
        <f>TRIM(Table1[[#This Row],[Numer_FV]])</f>
        <v>FV/98/PP/3863/22</v>
      </c>
      <c r="B462" s="2" t="str">
        <f>TRIM(Table1[[#This Row],[Numer_PZ]])</f>
        <v>PZ/800460</v>
      </c>
      <c r="C462" s="2" t="str">
        <f>TRIM(Table1[[#This Row],[Dostawca]])</f>
        <v>PharmaPlus</v>
      </c>
      <c r="D462" s="3">
        <v>44730</v>
      </c>
      <c r="E462" s="4" t="s">
        <v>1407</v>
      </c>
      <c r="F462" s="2" t="str">
        <f>TRIM(Table1[[#This Row],[Status]])</f>
        <v>Zaakceptowana</v>
      </c>
      <c r="G462" s="2" t="str">
        <f>TRIM(Table1[[#This Row],[Typ]])</f>
        <v>Faktura VAT</v>
      </c>
      <c r="H462" s="2" t="str">
        <f>TRIM(Table1[[#This Row],[Magazyn]])</f>
        <v>Apteka Szpitalna</v>
      </c>
      <c r="I462" s="2" t="str">
        <f>TRIM(Table1[[#This Row],[Umowa]])</f>
        <v/>
      </c>
      <c r="J462" s="2" t="b">
        <f>ISTEXT(Table14[[#This Row],[Data_Wystawienia]])</f>
        <v>0</v>
      </c>
      <c r="K462" s="2">
        <f>VALUE(SUBSTITUTE(Table14[[#This Row],[Wartość]],".",","))</f>
        <v>15415.75</v>
      </c>
      <c r="L4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2" s="2" t="str">
        <f>IF(Table14[[#This Row],[Umowa]]="","Poza umową","Z umowy")</f>
        <v>Poza umową</v>
      </c>
      <c r="N462" s="2">
        <f>YEAR(Table14[[#This Row],[Data_Wystawienia]])</f>
        <v>2022</v>
      </c>
      <c r="O462" s="2" t="str">
        <f>TEXT(Table14[[#This Row],[Data_Wystawienia]],"rrrr-mm")</f>
        <v>2022-06</v>
      </c>
      <c r="P462" s="2">
        <v>1</v>
      </c>
    </row>
    <row r="463" spans="1:16" x14ac:dyDescent="0.3">
      <c r="A463" s="2" t="str">
        <f>TRIM(Table1[[#This Row],[Numer_FV]])</f>
        <v>FV/M/3428/P/22</v>
      </c>
      <c r="B463" s="2" t="str">
        <f>TRIM(Table1[[#This Row],[Numer_PZ]])</f>
        <v>PZ/800461</v>
      </c>
      <c r="C463" s="2" t="str">
        <f>TRIM(Table1[[#This Row],[Dostawca]])</f>
        <v>MedicaPharm</v>
      </c>
      <c r="D463" s="3">
        <v>44731</v>
      </c>
      <c r="E463" s="4" t="s">
        <v>1410</v>
      </c>
      <c r="F463" s="2" t="str">
        <f>TRIM(Table1[[#This Row],[Status]])</f>
        <v>Zaakceptowana</v>
      </c>
      <c r="G463" s="2" t="str">
        <f>TRIM(Table1[[#This Row],[Typ]])</f>
        <v>Faktura VAT</v>
      </c>
      <c r="H463" s="2" t="str">
        <f>TRIM(Table1[[#This Row],[Magazyn]])</f>
        <v>Apteka Szpitalna</v>
      </c>
      <c r="I463" s="2" t="str">
        <f>TRIM(Table1[[#This Row],[Umowa]])</f>
        <v>UM-MED-02</v>
      </c>
      <c r="J463" s="2" t="b">
        <f>ISTEXT(Table14[[#This Row],[Data_Wystawienia]])</f>
        <v>0</v>
      </c>
      <c r="K463" s="2">
        <f>VALUE(SUBSTITUTE(Table14[[#This Row],[Wartość]],".",","))</f>
        <v>14453.67</v>
      </c>
      <c r="L4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3" s="2" t="str">
        <f>IF(Table14[[#This Row],[Umowa]]="","Poza umową","Z umowy")</f>
        <v>Z umowy</v>
      </c>
      <c r="N463" s="2">
        <f>YEAR(Table14[[#This Row],[Data_Wystawienia]])</f>
        <v>2022</v>
      </c>
      <c r="O463" s="2" t="str">
        <f>TEXT(Table14[[#This Row],[Data_Wystawienia]],"rrrr-mm")</f>
        <v>2022-06</v>
      </c>
      <c r="P463" s="2">
        <v>1</v>
      </c>
    </row>
    <row r="464" spans="1:16" x14ac:dyDescent="0.3">
      <c r="A464" s="2" t="str">
        <f>TRIM(Table1[[#This Row],[Numer_FV]])</f>
        <v>FV/55559/VDb/2022</v>
      </c>
      <c r="B464" s="2" t="str">
        <f>TRIM(Table1[[#This Row],[Numer_PZ]])</f>
        <v>PZ/800462</v>
      </c>
      <c r="C464" s="2" t="str">
        <f>TRIM(Table1[[#This Row],[Dostawca]])</f>
        <v>VitaDistrib</v>
      </c>
      <c r="D464" s="3">
        <v>44732</v>
      </c>
      <c r="E464" s="4" t="s">
        <v>1413</v>
      </c>
      <c r="F464" s="2" t="str">
        <f>TRIM(Table1[[#This Row],[Status]])</f>
        <v>Zaakceptowana</v>
      </c>
      <c r="G464" s="2" t="str">
        <f>TRIM(Table1[[#This Row],[Typ]])</f>
        <v>Faktura VAT</v>
      </c>
      <c r="H464" s="2" t="str">
        <f>TRIM(Table1[[#This Row],[Magazyn]])</f>
        <v>Apteka Szpitalna</v>
      </c>
      <c r="I464" s="2" t="str">
        <f>TRIM(Table1[[#This Row],[Umowa]])</f>
        <v/>
      </c>
      <c r="J464" s="2" t="b">
        <f>ISTEXT(Table14[[#This Row],[Data_Wystawienia]])</f>
        <v>0</v>
      </c>
      <c r="K464" s="2">
        <f>VALUE(SUBSTITUTE(Table14[[#This Row],[Wartość]],".",","))</f>
        <v>13259.55</v>
      </c>
      <c r="L4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4" s="2" t="str">
        <f>IF(Table14[[#This Row],[Umowa]]="","Poza umową","Z umowy")</f>
        <v>Poza umową</v>
      </c>
      <c r="N464" s="2">
        <f>YEAR(Table14[[#This Row],[Data_Wystawienia]])</f>
        <v>2022</v>
      </c>
      <c r="O464" s="2" t="str">
        <f>TEXT(Table14[[#This Row],[Data_Wystawienia]],"rrrr-mm")</f>
        <v>2022-06</v>
      </c>
      <c r="P464" s="2">
        <v>1</v>
      </c>
    </row>
    <row r="465" spans="1:16" x14ac:dyDescent="0.3">
      <c r="A465" s="2" t="str">
        <f>TRIM(Table1[[#This Row],[Numer_FV]])</f>
        <v>FV/72/SAL/22</v>
      </c>
      <c r="B465" s="2" t="str">
        <f>TRIM(Table1[[#This Row],[Numer_PZ]])</f>
        <v>PZ/800463</v>
      </c>
      <c r="C465" s="2" t="str">
        <f>TRIM(Table1[[#This Row],[Dostawca]])</f>
        <v>SalusHurt</v>
      </c>
      <c r="D465" s="3">
        <v>44732</v>
      </c>
      <c r="E465" s="4" t="s">
        <v>1415</v>
      </c>
      <c r="F465" s="2" t="str">
        <f>TRIM(Table1[[#This Row],[Status]])</f>
        <v>Zaakceptowana</v>
      </c>
      <c r="G465" s="2" t="str">
        <f>TRIM(Table1[[#This Row],[Typ]])</f>
        <v>Korekta FV</v>
      </c>
      <c r="H465" s="2" t="str">
        <f>TRIM(Table1[[#This Row],[Magazyn]])</f>
        <v>Apteka Szpitalna</v>
      </c>
      <c r="I465" s="2" t="str">
        <f>TRIM(Table1[[#This Row],[Umowa]])</f>
        <v>UM-SAL-02</v>
      </c>
      <c r="J465" s="2" t="b">
        <f>ISTEXT(Table14[[#This Row],[Data_Wystawienia]])</f>
        <v>0</v>
      </c>
      <c r="K465" s="2">
        <f>VALUE(SUBSTITUTE(Table14[[#This Row],[Wartość]],".",","))</f>
        <v>-372</v>
      </c>
      <c r="L4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5" s="2" t="str">
        <f>IF(Table14[[#This Row],[Umowa]]="","Poza umową","Z umowy")</f>
        <v>Z umowy</v>
      </c>
      <c r="N465" s="2">
        <f>YEAR(Table14[[#This Row],[Data_Wystawienia]])</f>
        <v>2022</v>
      </c>
      <c r="O465" s="2" t="str">
        <f>TEXT(Table14[[#This Row],[Data_Wystawienia]],"rrrr-mm")</f>
        <v>2022-06</v>
      </c>
      <c r="P465" s="2">
        <v>1</v>
      </c>
    </row>
    <row r="466" spans="1:16" x14ac:dyDescent="0.3">
      <c r="A466" s="2" t="str">
        <f>TRIM(Table1[[#This Row],[Numer_FV]])</f>
        <v>FV/M/9551/P/22</v>
      </c>
      <c r="B466" s="2" t="str">
        <f>TRIM(Table1[[#This Row],[Numer_PZ]])</f>
        <v>PZ/800464</v>
      </c>
      <c r="C466" s="2" t="str">
        <f>TRIM(Table1[[#This Row],[Dostawca]])</f>
        <v>MedicaPharm</v>
      </c>
      <c r="D466" s="3">
        <v>44732</v>
      </c>
      <c r="E466" s="4" t="s">
        <v>1418</v>
      </c>
      <c r="F466" s="2" t="str">
        <f>TRIM(Table1[[#This Row],[Status]])</f>
        <v>Zaakceptowana</v>
      </c>
      <c r="G466" s="2" t="str">
        <f>TRIM(Table1[[#This Row],[Typ]])</f>
        <v>Faktura VAT</v>
      </c>
      <c r="H466" s="2" t="str">
        <f>TRIM(Table1[[#This Row],[Magazyn]])</f>
        <v>Apteka Szpitalna</v>
      </c>
      <c r="I466" s="2" t="str">
        <f>TRIM(Table1[[#This Row],[Umowa]])</f>
        <v>UM-MED-02</v>
      </c>
      <c r="J466" s="2" t="b">
        <f>ISTEXT(Table14[[#This Row],[Data_Wystawienia]])</f>
        <v>0</v>
      </c>
      <c r="K466" s="2">
        <f>VALUE(SUBSTITUTE(Table14[[#This Row],[Wartość]],".",","))</f>
        <v>15835.48</v>
      </c>
      <c r="L4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6" s="2" t="str">
        <f>IF(Table14[[#This Row],[Umowa]]="","Poza umową","Z umowy")</f>
        <v>Z umowy</v>
      </c>
      <c r="N466" s="2">
        <f>YEAR(Table14[[#This Row],[Data_Wystawienia]])</f>
        <v>2022</v>
      </c>
      <c r="O466" s="2" t="str">
        <f>TEXT(Table14[[#This Row],[Data_Wystawienia]],"rrrr-mm")</f>
        <v>2022-06</v>
      </c>
      <c r="P466" s="2">
        <v>1</v>
      </c>
    </row>
    <row r="467" spans="1:16" x14ac:dyDescent="0.3">
      <c r="A467" s="2" t="str">
        <f>TRIM(Table1[[#This Row],[Numer_FV]])</f>
        <v>FV/POL/69147/2022</v>
      </c>
      <c r="B467" s="2" t="str">
        <f>TRIM(Table1[[#This Row],[Numer_PZ]])</f>
        <v>PZ/800465</v>
      </c>
      <c r="C467" s="2" t="str">
        <f>TRIM(Table1[[#This Row],[Dostawca]])</f>
        <v>Polmedica</v>
      </c>
      <c r="D467" s="3">
        <v>44732</v>
      </c>
      <c r="E467" s="4" t="s">
        <v>1421</v>
      </c>
      <c r="F467" s="2" t="str">
        <f>TRIM(Table1[[#This Row],[Status]])</f>
        <v>Zaakceptowana</v>
      </c>
      <c r="G467" s="2" t="str">
        <f>TRIM(Table1[[#This Row],[Typ]])</f>
        <v>Faktura VAT</v>
      </c>
      <c r="H467" s="2" t="str">
        <f>TRIM(Table1[[#This Row],[Magazyn]])</f>
        <v>Apteka Szpitalna</v>
      </c>
      <c r="I467" s="2" t="str">
        <f>TRIM(Table1[[#This Row],[Umowa]])</f>
        <v>UM-POL-03</v>
      </c>
      <c r="J467" s="2" t="b">
        <f>ISTEXT(Table14[[#This Row],[Data_Wystawienia]])</f>
        <v>0</v>
      </c>
      <c r="K467" s="2">
        <f>VALUE(SUBSTITUTE(Table14[[#This Row],[Wartość]],".",","))</f>
        <v>19225.93</v>
      </c>
      <c r="L4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7" s="2" t="str">
        <f>IF(Table14[[#This Row],[Umowa]]="","Poza umową","Z umowy")</f>
        <v>Z umowy</v>
      </c>
      <c r="N467" s="2">
        <f>YEAR(Table14[[#This Row],[Data_Wystawienia]])</f>
        <v>2022</v>
      </c>
      <c r="O467" s="2" t="str">
        <f>TEXT(Table14[[#This Row],[Data_Wystawienia]],"rrrr-mm")</f>
        <v>2022-06</v>
      </c>
      <c r="P467" s="2">
        <v>1</v>
      </c>
    </row>
    <row r="468" spans="1:16" x14ac:dyDescent="0.3">
      <c r="A468" s="2" t="str">
        <f>TRIM(Table1[[#This Row],[Numer_FV]])</f>
        <v>FV/CENFA/248909/22</v>
      </c>
      <c r="B468" s="2" t="str">
        <f>TRIM(Table1[[#This Row],[Numer_PZ]])</f>
        <v>PZ/800466</v>
      </c>
      <c r="C468" s="2" t="str">
        <f>TRIM(Table1[[#This Row],[Dostawca]])</f>
        <v>CentrumFarm</v>
      </c>
      <c r="D468" s="3">
        <v>44732</v>
      </c>
      <c r="E468" s="4" t="s">
        <v>1424</v>
      </c>
      <c r="F468" s="2" t="str">
        <f>TRIM(Table1[[#This Row],[Status]])</f>
        <v>Zaakceptowana</v>
      </c>
      <c r="G468" s="2" t="str">
        <f>TRIM(Table1[[#This Row],[Typ]])</f>
        <v>Faktura VAT</v>
      </c>
      <c r="H468" s="2" t="str">
        <f>TRIM(Table1[[#This Row],[Magazyn]])</f>
        <v>Apteka Szpitalna</v>
      </c>
      <c r="I468" s="2" t="str">
        <f>TRIM(Table1[[#This Row],[Umowa]])</f>
        <v>UM-CEN-02</v>
      </c>
      <c r="J468" s="2" t="b">
        <f>ISTEXT(Table14[[#This Row],[Data_Wystawienia]])</f>
        <v>0</v>
      </c>
      <c r="K468" s="2">
        <f>VALUE(SUBSTITUTE(Table14[[#This Row],[Wartość]],".",","))</f>
        <v>13932.3</v>
      </c>
      <c r="L4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8" s="2" t="str">
        <f>IF(Table14[[#This Row],[Umowa]]="","Poza umową","Z umowy")</f>
        <v>Z umowy</v>
      </c>
      <c r="N468" s="2">
        <f>YEAR(Table14[[#This Row],[Data_Wystawienia]])</f>
        <v>2022</v>
      </c>
      <c r="O468" s="2" t="str">
        <f>TEXT(Table14[[#This Row],[Data_Wystawienia]],"rrrr-mm")</f>
        <v>2022-06</v>
      </c>
      <c r="P468" s="2">
        <v>1</v>
      </c>
    </row>
    <row r="469" spans="1:16" x14ac:dyDescent="0.3">
      <c r="A469" s="2" t="str">
        <f>TRIM(Table1[[#This Row],[Numer_FV]])</f>
        <v>FV/6210/NOVA/22</v>
      </c>
      <c r="B469" s="2" t="str">
        <f>TRIM(Table1[[#This Row],[Numer_PZ]])</f>
        <v>PZ/800467</v>
      </c>
      <c r="C469" s="2" t="str">
        <f>TRIM(Table1[[#This Row],[Dostawca]])</f>
        <v>NovaLek</v>
      </c>
      <c r="D469" s="3">
        <v>44733</v>
      </c>
      <c r="E469" s="4" t="s">
        <v>1427</v>
      </c>
      <c r="F469" s="2" t="str">
        <f>TRIM(Table1[[#This Row],[Status]])</f>
        <v>Zaakceptowana</v>
      </c>
      <c r="G469" s="2" t="str">
        <f>TRIM(Table1[[#This Row],[Typ]])</f>
        <v>Faktura VAT</v>
      </c>
      <c r="H469" s="2" t="str">
        <f>TRIM(Table1[[#This Row],[Magazyn]])</f>
        <v>Apteka Szpitalna</v>
      </c>
      <c r="I469" s="2" t="str">
        <f>TRIM(Table1[[#This Row],[Umowa]])</f>
        <v/>
      </c>
      <c r="J469" s="2" t="b">
        <f>ISTEXT(Table14[[#This Row],[Data_Wystawienia]])</f>
        <v>0</v>
      </c>
      <c r="K469" s="2">
        <f>VALUE(SUBSTITUTE(Table14[[#This Row],[Wartość]],".",","))</f>
        <v>13464.5</v>
      </c>
      <c r="L4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69" s="2" t="str">
        <f>IF(Table14[[#This Row],[Umowa]]="","Poza umową","Z umowy")</f>
        <v>Poza umową</v>
      </c>
      <c r="N469" s="2">
        <f>YEAR(Table14[[#This Row],[Data_Wystawienia]])</f>
        <v>2022</v>
      </c>
      <c r="O469" s="2" t="str">
        <f>TEXT(Table14[[#This Row],[Data_Wystawienia]],"rrrr-mm")</f>
        <v>2022-06</v>
      </c>
      <c r="P469" s="2">
        <v>1</v>
      </c>
    </row>
    <row r="470" spans="1:16" x14ac:dyDescent="0.3">
      <c r="A470" s="2" t="str">
        <f>TRIM(Table1[[#This Row],[Numer_FV]])</f>
        <v>FV/86/PP/4230/22</v>
      </c>
      <c r="B470" s="2" t="str">
        <f>TRIM(Table1[[#This Row],[Numer_PZ]])</f>
        <v>PZ/800468</v>
      </c>
      <c r="C470" s="2" t="str">
        <f>TRIM(Table1[[#This Row],[Dostawca]])</f>
        <v>PharmaPlus</v>
      </c>
      <c r="D470" s="3">
        <v>44733</v>
      </c>
      <c r="E470" s="4" t="s">
        <v>1430</v>
      </c>
      <c r="F470" s="2" t="str">
        <f>TRIM(Table1[[#This Row],[Status]])</f>
        <v>Zaakceptowana</v>
      </c>
      <c r="G470" s="2" t="str">
        <f>TRIM(Table1[[#This Row],[Typ]])</f>
        <v>Faktura VAT</v>
      </c>
      <c r="H470" s="2" t="str">
        <f>TRIM(Table1[[#This Row],[Magazyn]])</f>
        <v>Apteka Szpitalna</v>
      </c>
      <c r="I470" s="2" t="str">
        <f>TRIM(Table1[[#This Row],[Umowa]])</f>
        <v/>
      </c>
      <c r="J470" s="2" t="b">
        <f>ISTEXT(Table14[[#This Row],[Data_Wystawienia]])</f>
        <v>0</v>
      </c>
      <c r="K470" s="2">
        <f>VALUE(SUBSTITUTE(Table14[[#This Row],[Wartość]],".",","))</f>
        <v>11020.55</v>
      </c>
      <c r="L4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0" s="2" t="str">
        <f>IF(Table14[[#This Row],[Umowa]]="","Poza umową","Z umowy")</f>
        <v>Poza umową</v>
      </c>
      <c r="N470" s="2">
        <f>YEAR(Table14[[#This Row],[Data_Wystawienia]])</f>
        <v>2022</v>
      </c>
      <c r="O470" s="2" t="str">
        <f>TEXT(Table14[[#This Row],[Data_Wystawienia]],"rrrr-mm")</f>
        <v>2022-06</v>
      </c>
      <c r="P470" s="2">
        <v>1</v>
      </c>
    </row>
    <row r="471" spans="1:16" x14ac:dyDescent="0.3">
      <c r="A471" s="2" t="str">
        <f>TRIM(Table1[[#This Row],[Numer_FV]])</f>
        <v>FV/CENFA/330496/22</v>
      </c>
      <c r="B471" s="2" t="str">
        <f>TRIM(Table1[[#This Row],[Numer_PZ]])</f>
        <v>PZ/800469</v>
      </c>
      <c r="C471" s="2" t="str">
        <f>TRIM(Table1[[#This Row],[Dostawca]])</f>
        <v>CentrumFarm</v>
      </c>
      <c r="D471" s="3">
        <v>44734</v>
      </c>
      <c r="E471" s="4" t="s">
        <v>1433</v>
      </c>
      <c r="F471" s="2" t="str">
        <f>TRIM(Table1[[#This Row],[Status]])</f>
        <v>Zaakceptowana</v>
      </c>
      <c r="G471" s="2" t="str">
        <f>TRIM(Table1[[#This Row],[Typ]])</f>
        <v>Korekta FV</v>
      </c>
      <c r="H471" s="2" t="str">
        <f>TRIM(Table1[[#This Row],[Magazyn]])</f>
        <v>Apteka Szpitalna</v>
      </c>
      <c r="I471" s="2" t="str">
        <f>TRIM(Table1[[#This Row],[Umowa]])</f>
        <v>UM-CEN-01</v>
      </c>
      <c r="J471" s="2" t="b">
        <f>ISTEXT(Table14[[#This Row],[Data_Wystawienia]])</f>
        <v>0</v>
      </c>
      <c r="K471" s="2">
        <f>VALUE(SUBSTITUTE(Table14[[#This Row],[Wartość]],".",","))</f>
        <v>-899.46</v>
      </c>
      <c r="L4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1" s="2" t="str">
        <f>IF(Table14[[#This Row],[Umowa]]="","Poza umową","Z umowy")</f>
        <v>Z umowy</v>
      </c>
      <c r="N471" s="2">
        <f>YEAR(Table14[[#This Row],[Data_Wystawienia]])</f>
        <v>2022</v>
      </c>
      <c r="O471" s="2" t="str">
        <f>TEXT(Table14[[#This Row],[Data_Wystawienia]],"rrrr-mm")</f>
        <v>2022-06</v>
      </c>
      <c r="P471" s="2">
        <v>1</v>
      </c>
    </row>
    <row r="472" spans="1:16" x14ac:dyDescent="0.3">
      <c r="A472" s="2" t="str">
        <f>TRIM(Table1[[#This Row],[Numer_FV]])</f>
        <v>FV/CENFA/112556/22</v>
      </c>
      <c r="B472" s="2" t="str">
        <f>TRIM(Table1[[#This Row],[Numer_PZ]])</f>
        <v>PZ/800470</v>
      </c>
      <c r="C472" s="2" t="str">
        <f>TRIM(Table1[[#This Row],[Dostawca]])</f>
        <v>CentrumFarm</v>
      </c>
      <c r="D472" s="3">
        <v>44735</v>
      </c>
      <c r="E472" s="4" t="s">
        <v>1436</v>
      </c>
      <c r="F472" s="2" t="str">
        <f>TRIM(Table1[[#This Row],[Status]])</f>
        <v>Zaakceptowana</v>
      </c>
      <c r="G472" s="2" t="str">
        <f>TRIM(Table1[[#This Row],[Typ]])</f>
        <v>Faktura VAT</v>
      </c>
      <c r="H472" s="2" t="str">
        <f>TRIM(Table1[[#This Row],[Magazyn]])</f>
        <v>Apteka Szpitalna</v>
      </c>
      <c r="I472" s="2" t="str">
        <f>TRIM(Table1[[#This Row],[Umowa]])</f>
        <v>UM-CEN-01</v>
      </c>
      <c r="J472" s="2" t="b">
        <f>ISTEXT(Table14[[#This Row],[Data_Wystawienia]])</f>
        <v>0</v>
      </c>
      <c r="K472" s="2">
        <f>VALUE(SUBSTITUTE(Table14[[#This Row],[Wartość]],".",","))</f>
        <v>13802.18</v>
      </c>
      <c r="L4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2" s="2" t="str">
        <f>IF(Table14[[#This Row],[Umowa]]="","Poza umową","Z umowy")</f>
        <v>Z umowy</v>
      </c>
      <c r="N472" s="2">
        <f>YEAR(Table14[[#This Row],[Data_Wystawienia]])</f>
        <v>2022</v>
      </c>
      <c r="O472" s="2" t="str">
        <f>TEXT(Table14[[#This Row],[Data_Wystawienia]],"rrrr-mm")</f>
        <v>2022-06</v>
      </c>
      <c r="P472" s="2">
        <v>1</v>
      </c>
    </row>
    <row r="473" spans="1:16" x14ac:dyDescent="0.3">
      <c r="A473" s="2" t="str">
        <f>TRIM(Table1[[#This Row],[Numer_FV]])</f>
        <v>FV/7472HM/22</v>
      </c>
      <c r="B473" s="2" t="str">
        <f>TRIM(Table1[[#This Row],[Numer_PZ]])</f>
        <v>PZ/800471</v>
      </c>
      <c r="C473" s="2" t="str">
        <f>TRIM(Table1[[#This Row],[Dostawca]])</f>
        <v>HurtMedix</v>
      </c>
      <c r="D473" s="3">
        <v>44735</v>
      </c>
      <c r="E473" s="4" t="s">
        <v>1439</v>
      </c>
      <c r="F473" s="2" t="str">
        <f>TRIM(Table1[[#This Row],[Status]])</f>
        <v>Zaakceptowana</v>
      </c>
      <c r="G473" s="2" t="str">
        <f>TRIM(Table1[[#This Row],[Typ]])</f>
        <v>Faktura VAT</v>
      </c>
      <c r="H473" s="2" t="str">
        <f>TRIM(Table1[[#This Row],[Magazyn]])</f>
        <v>Apteka Szpitalna</v>
      </c>
      <c r="I473" s="2" t="str">
        <f>TRIM(Table1[[#This Row],[Umowa]])</f>
        <v>UM-HUR-02</v>
      </c>
      <c r="J473" s="2" t="b">
        <f>ISTEXT(Table14[[#This Row],[Data_Wystawienia]])</f>
        <v>0</v>
      </c>
      <c r="K473" s="2">
        <f>VALUE(SUBSTITUTE(Table14[[#This Row],[Wartość]],".",","))</f>
        <v>18153.650000000001</v>
      </c>
      <c r="L4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3" s="2" t="str">
        <f>IF(Table14[[#This Row],[Umowa]]="","Poza umową","Z umowy")</f>
        <v>Z umowy</v>
      </c>
      <c r="N473" s="2">
        <f>YEAR(Table14[[#This Row],[Data_Wystawienia]])</f>
        <v>2022</v>
      </c>
      <c r="O473" s="2" t="str">
        <f>TEXT(Table14[[#This Row],[Data_Wystawienia]],"rrrr-mm")</f>
        <v>2022-06</v>
      </c>
      <c r="P473" s="2">
        <v>1</v>
      </c>
    </row>
    <row r="474" spans="1:16" x14ac:dyDescent="0.3">
      <c r="A474" s="2" t="str">
        <f>TRIM(Table1[[#This Row],[Numer_FV]])</f>
        <v>FV/CENFA/621179/22</v>
      </c>
      <c r="B474" s="2" t="str">
        <f>TRIM(Table1[[#This Row],[Numer_PZ]])</f>
        <v>PZ/800472</v>
      </c>
      <c r="C474" s="2" t="str">
        <f>TRIM(Table1[[#This Row],[Dostawca]])</f>
        <v>CentrumFarm</v>
      </c>
      <c r="D474" s="3">
        <v>44735</v>
      </c>
      <c r="E474" s="4" t="s">
        <v>1442</v>
      </c>
      <c r="F474" s="2" t="str">
        <f>TRIM(Table1[[#This Row],[Status]])</f>
        <v>Zaakceptowana</v>
      </c>
      <c r="G474" s="2" t="str">
        <f>TRIM(Table1[[#This Row],[Typ]])</f>
        <v>Faktura VAT</v>
      </c>
      <c r="H474" s="2" t="str">
        <f>TRIM(Table1[[#This Row],[Magazyn]])</f>
        <v>Apteka Szpitalna</v>
      </c>
      <c r="I474" s="2" t="str">
        <f>TRIM(Table1[[#This Row],[Umowa]])</f>
        <v/>
      </c>
      <c r="J474" s="2" t="b">
        <f>ISTEXT(Table14[[#This Row],[Data_Wystawienia]])</f>
        <v>0</v>
      </c>
      <c r="K474" s="2">
        <f>VALUE(SUBSTITUTE(Table14[[#This Row],[Wartość]],".",","))</f>
        <v>10280.84</v>
      </c>
      <c r="L4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4" s="2" t="str">
        <f>IF(Table14[[#This Row],[Umowa]]="","Poza umową","Z umowy")</f>
        <v>Poza umową</v>
      </c>
      <c r="N474" s="2">
        <f>YEAR(Table14[[#This Row],[Data_Wystawienia]])</f>
        <v>2022</v>
      </c>
      <c r="O474" s="2" t="str">
        <f>TEXT(Table14[[#This Row],[Data_Wystawienia]],"rrrr-mm")</f>
        <v>2022-06</v>
      </c>
      <c r="P474" s="2">
        <v>1</v>
      </c>
    </row>
    <row r="475" spans="1:16" x14ac:dyDescent="0.3">
      <c r="A475" s="2" t="str">
        <f>TRIM(Table1[[#This Row],[Numer_FV]])</f>
        <v>FV/30/SAL/22</v>
      </c>
      <c r="B475" s="2" t="str">
        <f>TRIM(Table1[[#This Row],[Numer_PZ]])</f>
        <v>PZ/800473</v>
      </c>
      <c r="C475" s="2" t="str">
        <f>TRIM(Table1[[#This Row],[Dostawca]])</f>
        <v>SalusHurt</v>
      </c>
      <c r="D475" s="3">
        <v>44735</v>
      </c>
      <c r="E475" s="4" t="s">
        <v>1444</v>
      </c>
      <c r="F475" s="2" t="str">
        <f>TRIM(Table1[[#This Row],[Status]])</f>
        <v>Zaakceptowana</v>
      </c>
      <c r="G475" s="2" t="str">
        <f>TRIM(Table1[[#This Row],[Typ]])</f>
        <v>Faktura VAT</v>
      </c>
      <c r="H475" s="2" t="str">
        <f>TRIM(Table1[[#This Row],[Magazyn]])</f>
        <v>Apteka Szpitalna</v>
      </c>
      <c r="I475" s="2" t="str">
        <f>TRIM(Table1[[#This Row],[Umowa]])</f>
        <v>UM-SAL-02</v>
      </c>
      <c r="J475" s="2" t="b">
        <f>ISTEXT(Table14[[#This Row],[Data_Wystawienia]])</f>
        <v>0</v>
      </c>
      <c r="K475" s="2">
        <f>VALUE(SUBSTITUTE(Table14[[#This Row],[Wartość]],".",","))</f>
        <v>13419.66</v>
      </c>
      <c r="L4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5" s="2" t="str">
        <f>IF(Table14[[#This Row],[Umowa]]="","Poza umową","Z umowy")</f>
        <v>Z umowy</v>
      </c>
      <c r="N475" s="2">
        <f>YEAR(Table14[[#This Row],[Data_Wystawienia]])</f>
        <v>2022</v>
      </c>
      <c r="O475" s="2" t="str">
        <f>TEXT(Table14[[#This Row],[Data_Wystawienia]],"rrrr-mm")</f>
        <v>2022-06</v>
      </c>
      <c r="P475" s="2">
        <v>1</v>
      </c>
    </row>
    <row r="476" spans="1:16" x14ac:dyDescent="0.3">
      <c r="A476" s="2" t="str">
        <f>TRIM(Table1[[#This Row],[Numer_FV]])</f>
        <v>FV/47/PP/3347/22</v>
      </c>
      <c r="B476" s="2" t="str">
        <f>TRIM(Table1[[#This Row],[Numer_PZ]])</f>
        <v>PZ/800474</v>
      </c>
      <c r="C476" s="2" t="str">
        <f>TRIM(Table1[[#This Row],[Dostawca]])</f>
        <v>PharmaPlus</v>
      </c>
      <c r="D476" s="3">
        <v>44735</v>
      </c>
      <c r="E476" s="4" t="s">
        <v>1447</v>
      </c>
      <c r="F476" s="2" t="str">
        <f>TRIM(Table1[[#This Row],[Status]])</f>
        <v>Zaakceptowana</v>
      </c>
      <c r="G476" s="2" t="str">
        <f>TRIM(Table1[[#This Row],[Typ]])</f>
        <v>Faktura VAT</v>
      </c>
      <c r="H476" s="2" t="str">
        <f>TRIM(Table1[[#This Row],[Magazyn]])</f>
        <v>Apteka Szpitalna</v>
      </c>
      <c r="I476" s="2" t="str">
        <f>TRIM(Table1[[#This Row],[Umowa]])</f>
        <v/>
      </c>
      <c r="J476" s="2" t="b">
        <f>ISTEXT(Table14[[#This Row],[Data_Wystawienia]])</f>
        <v>0</v>
      </c>
      <c r="K476" s="2">
        <f>VALUE(SUBSTITUTE(Table14[[#This Row],[Wartość]],".",","))</f>
        <v>11831.77</v>
      </c>
      <c r="L4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6" s="2" t="str">
        <f>IF(Table14[[#This Row],[Umowa]]="","Poza umową","Z umowy")</f>
        <v>Poza umową</v>
      </c>
      <c r="N476" s="2">
        <f>YEAR(Table14[[#This Row],[Data_Wystawienia]])</f>
        <v>2022</v>
      </c>
      <c r="O476" s="2" t="str">
        <f>TEXT(Table14[[#This Row],[Data_Wystawienia]],"rrrr-mm")</f>
        <v>2022-06</v>
      </c>
      <c r="P476" s="2">
        <v>1</v>
      </c>
    </row>
    <row r="477" spans="1:16" x14ac:dyDescent="0.3">
      <c r="A477" s="2" t="str">
        <f>TRIM(Table1[[#This Row],[Numer_FV]])</f>
        <v>FV/6626/NOVA/22</v>
      </c>
      <c r="B477" s="2" t="str">
        <f>TRIM(Table1[[#This Row],[Numer_PZ]])</f>
        <v>PZ/800475</v>
      </c>
      <c r="C477" s="2" t="str">
        <f>TRIM(Table1[[#This Row],[Dostawca]])</f>
        <v>NovaLek</v>
      </c>
      <c r="D477" s="3">
        <v>44736</v>
      </c>
      <c r="E477" s="4" t="s">
        <v>1450</v>
      </c>
      <c r="F477" s="2" t="str">
        <f>TRIM(Table1[[#This Row],[Status]])</f>
        <v>Zaakceptowana</v>
      </c>
      <c r="G477" s="2" t="str">
        <f>TRIM(Table1[[#This Row],[Typ]])</f>
        <v>Faktura VAT</v>
      </c>
      <c r="H477" s="2" t="str">
        <f>TRIM(Table1[[#This Row],[Magazyn]])</f>
        <v>Apteka Szpitalna</v>
      </c>
      <c r="I477" s="2" t="str">
        <f>TRIM(Table1[[#This Row],[Umowa]])</f>
        <v>UM-NOV-01</v>
      </c>
      <c r="J477" s="2" t="b">
        <f>ISTEXT(Table14[[#This Row],[Data_Wystawienia]])</f>
        <v>0</v>
      </c>
      <c r="K477" s="2">
        <f>VALUE(SUBSTITUTE(Table14[[#This Row],[Wartość]],".",","))</f>
        <v>16602.7</v>
      </c>
      <c r="L4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7" s="2" t="str">
        <f>IF(Table14[[#This Row],[Umowa]]="","Poza umową","Z umowy")</f>
        <v>Z umowy</v>
      </c>
      <c r="N477" s="2">
        <f>YEAR(Table14[[#This Row],[Data_Wystawienia]])</f>
        <v>2022</v>
      </c>
      <c r="O477" s="2" t="str">
        <f>TEXT(Table14[[#This Row],[Data_Wystawienia]],"rrrr-mm")</f>
        <v>2022-06</v>
      </c>
      <c r="P477" s="2">
        <v>1</v>
      </c>
    </row>
    <row r="478" spans="1:16" x14ac:dyDescent="0.3">
      <c r="A478" s="2" t="str">
        <f>TRIM(Table1[[#This Row],[Numer_FV]])</f>
        <v>FV/5973/NOVA/22</v>
      </c>
      <c r="B478" s="2" t="str">
        <f>TRIM(Table1[[#This Row],[Numer_PZ]])</f>
        <v>PZ/800476</v>
      </c>
      <c r="C478" s="2" t="str">
        <f>TRIM(Table1[[#This Row],[Dostawca]])</f>
        <v>NovaLek</v>
      </c>
      <c r="D478" s="3">
        <v>44736</v>
      </c>
      <c r="E478" s="4" t="s">
        <v>1453</v>
      </c>
      <c r="F478" s="2" t="str">
        <f>TRIM(Table1[[#This Row],[Status]])</f>
        <v>Zaakceptowana</v>
      </c>
      <c r="G478" s="2" t="str">
        <f>TRIM(Table1[[#This Row],[Typ]])</f>
        <v>Faktura VAT</v>
      </c>
      <c r="H478" s="2" t="str">
        <f>TRIM(Table1[[#This Row],[Magazyn]])</f>
        <v>Apteka Szpitalna</v>
      </c>
      <c r="I478" s="2" t="str">
        <f>TRIM(Table1[[#This Row],[Umowa]])</f>
        <v>UM-NOV-02</v>
      </c>
      <c r="J478" s="2" t="b">
        <f>ISTEXT(Table14[[#This Row],[Data_Wystawienia]])</f>
        <v>0</v>
      </c>
      <c r="K478" s="2">
        <f>VALUE(SUBSTITUTE(Table14[[#This Row],[Wartość]],".",","))</f>
        <v>16919.07</v>
      </c>
      <c r="L4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8" s="2" t="str">
        <f>IF(Table14[[#This Row],[Umowa]]="","Poza umową","Z umowy")</f>
        <v>Z umowy</v>
      </c>
      <c r="N478" s="2">
        <f>YEAR(Table14[[#This Row],[Data_Wystawienia]])</f>
        <v>2022</v>
      </c>
      <c r="O478" s="2" t="str">
        <f>TEXT(Table14[[#This Row],[Data_Wystawienia]],"rrrr-mm")</f>
        <v>2022-06</v>
      </c>
      <c r="P478" s="2">
        <v>1</v>
      </c>
    </row>
    <row r="479" spans="1:16" x14ac:dyDescent="0.3">
      <c r="A479" s="2" t="str">
        <f>TRIM(Table1[[#This Row],[Numer_FV]])</f>
        <v>FV/CENFA/920277/22</v>
      </c>
      <c r="B479" s="2" t="str">
        <f>TRIM(Table1[[#This Row],[Numer_PZ]])</f>
        <v>PZ/800477</v>
      </c>
      <c r="C479" s="2" t="str">
        <f>TRIM(Table1[[#This Row],[Dostawca]])</f>
        <v>CentrumFarm</v>
      </c>
      <c r="D479" s="3">
        <v>44737</v>
      </c>
      <c r="E479" s="4" t="s">
        <v>1456</v>
      </c>
      <c r="F479" s="2" t="str">
        <f>TRIM(Table1[[#This Row],[Status]])</f>
        <v>Zaakceptowana</v>
      </c>
      <c r="G479" s="2" t="str">
        <f>TRIM(Table1[[#This Row],[Typ]])</f>
        <v>Faktura VAT</v>
      </c>
      <c r="H479" s="2" t="str">
        <f>TRIM(Table1[[#This Row],[Magazyn]])</f>
        <v>Apteka Szpitalna</v>
      </c>
      <c r="I479" s="2" t="str">
        <f>TRIM(Table1[[#This Row],[Umowa]])</f>
        <v>UM-CEN-02</v>
      </c>
      <c r="J479" s="2" t="b">
        <f>ISTEXT(Table14[[#This Row],[Data_Wystawienia]])</f>
        <v>0</v>
      </c>
      <c r="K479" s="2">
        <f>VALUE(SUBSTITUTE(Table14[[#This Row],[Wartość]],".",","))</f>
        <v>16713.07</v>
      </c>
      <c r="L4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79" s="2" t="str">
        <f>IF(Table14[[#This Row],[Umowa]]="","Poza umową","Z umowy")</f>
        <v>Z umowy</v>
      </c>
      <c r="N479" s="2">
        <f>YEAR(Table14[[#This Row],[Data_Wystawienia]])</f>
        <v>2022</v>
      </c>
      <c r="O479" s="2" t="str">
        <f>TEXT(Table14[[#This Row],[Data_Wystawienia]],"rrrr-mm")</f>
        <v>2022-06</v>
      </c>
      <c r="P479" s="2">
        <v>1</v>
      </c>
    </row>
    <row r="480" spans="1:16" x14ac:dyDescent="0.3">
      <c r="A480" s="2" t="str">
        <f>TRIM(Table1[[#This Row],[Numer_FV]])</f>
        <v>FV/63/PP/9700/22</v>
      </c>
      <c r="B480" s="2" t="str">
        <f>TRIM(Table1[[#This Row],[Numer_PZ]])</f>
        <v>PZ/800478</v>
      </c>
      <c r="C480" s="2" t="str">
        <f>TRIM(Table1[[#This Row],[Dostawca]])</f>
        <v>PharmaPlus</v>
      </c>
      <c r="D480" s="3">
        <v>44738</v>
      </c>
      <c r="E480" s="4" t="s">
        <v>1459</v>
      </c>
      <c r="F480" s="2" t="str">
        <f>TRIM(Table1[[#This Row],[Status]])</f>
        <v>Zaakceptowana</v>
      </c>
      <c r="G480" s="2" t="str">
        <f>TRIM(Table1[[#This Row],[Typ]])</f>
        <v>Faktura VAT</v>
      </c>
      <c r="H480" s="2" t="str">
        <f>TRIM(Table1[[#This Row],[Magazyn]])</f>
        <v>Apteka Szpitalna</v>
      </c>
      <c r="I480" s="2" t="str">
        <f>TRIM(Table1[[#This Row],[Umowa]])</f>
        <v>UM-PHA-01</v>
      </c>
      <c r="J480" s="2" t="b">
        <f>ISTEXT(Table14[[#This Row],[Data_Wystawienia]])</f>
        <v>0</v>
      </c>
      <c r="K480" s="2">
        <f>VALUE(SUBSTITUTE(Table14[[#This Row],[Wartość]],".",","))</f>
        <v>8873.93</v>
      </c>
      <c r="L4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0" s="2" t="str">
        <f>IF(Table14[[#This Row],[Umowa]]="","Poza umową","Z umowy")</f>
        <v>Z umowy</v>
      </c>
      <c r="N480" s="2">
        <f>YEAR(Table14[[#This Row],[Data_Wystawienia]])</f>
        <v>2022</v>
      </c>
      <c r="O480" s="2" t="str">
        <f>TEXT(Table14[[#This Row],[Data_Wystawienia]],"rrrr-mm")</f>
        <v>2022-06</v>
      </c>
      <c r="P480" s="2">
        <v>1</v>
      </c>
    </row>
    <row r="481" spans="1:16" x14ac:dyDescent="0.3">
      <c r="A481" s="2" t="str">
        <f>TRIM(Table1[[#This Row],[Numer_FV]])</f>
        <v>FV/48/PP/8315/22</v>
      </c>
      <c r="B481" s="2" t="str">
        <f>TRIM(Table1[[#This Row],[Numer_PZ]])</f>
        <v>PZ/800479</v>
      </c>
      <c r="C481" s="2" t="str">
        <f>TRIM(Table1[[#This Row],[Dostawca]])</f>
        <v>PharmaPlus</v>
      </c>
      <c r="D481" s="3">
        <v>44738</v>
      </c>
      <c r="E481" s="4" t="s">
        <v>1462</v>
      </c>
      <c r="F481" s="2" t="str">
        <f>TRIM(Table1[[#This Row],[Status]])</f>
        <v>Zaakceptowana</v>
      </c>
      <c r="G481" s="2" t="str">
        <f>TRIM(Table1[[#This Row],[Typ]])</f>
        <v>Faktura VAT</v>
      </c>
      <c r="H481" s="2" t="str">
        <f>TRIM(Table1[[#This Row],[Magazyn]])</f>
        <v>Apteka Szpitalna</v>
      </c>
      <c r="I481" s="2" t="str">
        <f>TRIM(Table1[[#This Row],[Umowa]])</f>
        <v>UM-PHA-01</v>
      </c>
      <c r="J481" s="2" t="b">
        <f>ISTEXT(Table14[[#This Row],[Data_Wystawienia]])</f>
        <v>0</v>
      </c>
      <c r="K481" s="2">
        <f>VALUE(SUBSTITUTE(Table14[[#This Row],[Wartość]],".",","))</f>
        <v>15762.45</v>
      </c>
      <c r="L4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1" s="2" t="str">
        <f>IF(Table14[[#This Row],[Umowa]]="","Poza umową","Z umowy")</f>
        <v>Z umowy</v>
      </c>
      <c r="N481" s="2">
        <f>YEAR(Table14[[#This Row],[Data_Wystawienia]])</f>
        <v>2022</v>
      </c>
      <c r="O481" s="2" t="str">
        <f>TEXT(Table14[[#This Row],[Data_Wystawienia]],"rrrr-mm")</f>
        <v>2022-06</v>
      </c>
      <c r="P481" s="2">
        <v>1</v>
      </c>
    </row>
    <row r="482" spans="1:16" x14ac:dyDescent="0.3">
      <c r="A482" s="2" t="str">
        <f>TRIM(Table1[[#This Row],[Numer_FV]])</f>
        <v>FV/76/PP/9803/22</v>
      </c>
      <c r="B482" s="2" t="str">
        <f>TRIM(Table1[[#This Row],[Numer_PZ]])</f>
        <v>PZ/800480</v>
      </c>
      <c r="C482" s="2" t="str">
        <f>TRIM(Table1[[#This Row],[Dostawca]])</f>
        <v>PharmaPlus</v>
      </c>
      <c r="D482" s="3">
        <v>44739</v>
      </c>
      <c r="E482" s="4" t="s">
        <v>1465</v>
      </c>
      <c r="F482" s="2" t="str">
        <f>TRIM(Table1[[#This Row],[Status]])</f>
        <v>Zaakceptowana</v>
      </c>
      <c r="G482" s="2" t="str">
        <f>TRIM(Table1[[#This Row],[Typ]])</f>
        <v>Faktura VAT</v>
      </c>
      <c r="H482" s="2" t="str">
        <f>TRIM(Table1[[#This Row],[Magazyn]])</f>
        <v>Apteka Szpitalna</v>
      </c>
      <c r="I482" s="2" t="str">
        <f>TRIM(Table1[[#This Row],[Umowa]])</f>
        <v/>
      </c>
      <c r="J482" s="2" t="b">
        <f>ISTEXT(Table14[[#This Row],[Data_Wystawienia]])</f>
        <v>0</v>
      </c>
      <c r="K482" s="2">
        <f>VALUE(SUBSTITUTE(Table14[[#This Row],[Wartość]],".",","))</f>
        <v>19601.740000000002</v>
      </c>
      <c r="L4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2" s="2" t="str">
        <f>IF(Table14[[#This Row],[Umowa]]="","Poza umową","Z umowy")</f>
        <v>Poza umową</v>
      </c>
      <c r="N482" s="2">
        <f>YEAR(Table14[[#This Row],[Data_Wystawienia]])</f>
        <v>2022</v>
      </c>
      <c r="O482" s="2" t="str">
        <f>TEXT(Table14[[#This Row],[Data_Wystawienia]],"rrrr-mm")</f>
        <v>2022-06</v>
      </c>
      <c r="P482" s="2">
        <v>1</v>
      </c>
    </row>
    <row r="483" spans="1:16" x14ac:dyDescent="0.3">
      <c r="A483" s="2" t="str">
        <f>TRIM(Table1[[#This Row],[Numer_FV]])</f>
        <v>FV/CENFA/558641/22</v>
      </c>
      <c r="B483" s="2" t="str">
        <f>TRIM(Table1[[#This Row],[Numer_PZ]])</f>
        <v>PZ/800481</v>
      </c>
      <c r="C483" s="2" t="str">
        <f>TRIM(Table1[[#This Row],[Dostawca]])</f>
        <v>CentrumFarm</v>
      </c>
      <c r="D483" s="3">
        <v>44739</v>
      </c>
      <c r="E483" s="4" t="s">
        <v>1468</v>
      </c>
      <c r="F483" s="2" t="str">
        <f>TRIM(Table1[[#This Row],[Status]])</f>
        <v>Zaakceptowana</v>
      </c>
      <c r="G483" s="2" t="str">
        <f>TRIM(Table1[[#This Row],[Typ]])</f>
        <v>Faktura VAT</v>
      </c>
      <c r="H483" s="2" t="str">
        <f>TRIM(Table1[[#This Row],[Magazyn]])</f>
        <v>Apteka Szpitalna</v>
      </c>
      <c r="I483" s="2" t="str">
        <f>TRIM(Table1[[#This Row],[Umowa]])</f>
        <v>UM-CEN-02</v>
      </c>
      <c r="J483" s="2" t="b">
        <f>ISTEXT(Table14[[#This Row],[Data_Wystawienia]])</f>
        <v>0</v>
      </c>
      <c r="K483" s="2">
        <f>VALUE(SUBSTITUTE(Table14[[#This Row],[Wartość]],".",","))</f>
        <v>17530.79</v>
      </c>
      <c r="L4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3" s="2" t="str">
        <f>IF(Table14[[#This Row],[Umowa]]="","Poza umową","Z umowy")</f>
        <v>Z umowy</v>
      </c>
      <c r="N483" s="2">
        <f>YEAR(Table14[[#This Row],[Data_Wystawienia]])</f>
        <v>2022</v>
      </c>
      <c r="O483" s="2" t="str">
        <f>TEXT(Table14[[#This Row],[Data_Wystawienia]],"rrrr-mm")</f>
        <v>2022-06</v>
      </c>
      <c r="P483" s="2">
        <v>1</v>
      </c>
    </row>
    <row r="484" spans="1:16" x14ac:dyDescent="0.3">
      <c r="A484" s="2" t="str">
        <f>TRIM(Table1[[#This Row],[Numer_FV]])</f>
        <v>FV/CENFA/890052/22</v>
      </c>
      <c r="B484" s="2" t="str">
        <f>TRIM(Table1[[#This Row],[Numer_PZ]])</f>
        <v>PZ/800482</v>
      </c>
      <c r="C484" s="2" t="str">
        <f>TRIM(Table1[[#This Row],[Dostawca]])</f>
        <v>CentrumFarm</v>
      </c>
      <c r="D484" s="3">
        <v>44740</v>
      </c>
      <c r="E484" s="4" t="s">
        <v>1471</v>
      </c>
      <c r="F484" s="2" t="str">
        <f>TRIM(Table1[[#This Row],[Status]])</f>
        <v>Zaakceptowana</v>
      </c>
      <c r="G484" s="2" t="str">
        <f>TRIM(Table1[[#This Row],[Typ]])</f>
        <v>Faktura VAT</v>
      </c>
      <c r="H484" s="2" t="str">
        <f>TRIM(Table1[[#This Row],[Magazyn]])</f>
        <v>Apteka Szpitalna</v>
      </c>
      <c r="I484" s="2" t="str">
        <f>TRIM(Table1[[#This Row],[Umowa]])</f>
        <v>UM-CEN-02</v>
      </c>
      <c r="J484" s="2" t="b">
        <f>ISTEXT(Table14[[#This Row],[Data_Wystawienia]])</f>
        <v>0</v>
      </c>
      <c r="K484" s="2">
        <f>VALUE(SUBSTITUTE(Table14[[#This Row],[Wartość]],".",","))</f>
        <v>21424.76</v>
      </c>
      <c r="L4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4" s="2" t="str">
        <f>IF(Table14[[#This Row],[Umowa]]="","Poza umową","Z umowy")</f>
        <v>Z umowy</v>
      </c>
      <c r="N484" s="2">
        <f>YEAR(Table14[[#This Row],[Data_Wystawienia]])</f>
        <v>2022</v>
      </c>
      <c r="O484" s="2" t="str">
        <f>TEXT(Table14[[#This Row],[Data_Wystawienia]],"rrrr-mm")</f>
        <v>2022-06</v>
      </c>
      <c r="P484" s="2">
        <v>1</v>
      </c>
    </row>
    <row r="485" spans="1:16" x14ac:dyDescent="0.3">
      <c r="A485" s="2" t="str">
        <f>TRIM(Table1[[#This Row],[Numer_FV]])</f>
        <v>FV/M/3857/P/22</v>
      </c>
      <c r="B485" s="2" t="str">
        <f>TRIM(Table1[[#This Row],[Numer_PZ]])</f>
        <v>PZ/800483</v>
      </c>
      <c r="C485" s="2" t="str">
        <f>TRIM(Table1[[#This Row],[Dostawca]])</f>
        <v>MedicaPharm</v>
      </c>
      <c r="D485" s="3">
        <v>44741</v>
      </c>
      <c r="E485" s="4" t="s">
        <v>1474</v>
      </c>
      <c r="F485" s="2" t="str">
        <f>TRIM(Table1[[#This Row],[Status]])</f>
        <v>Zaakceptowana</v>
      </c>
      <c r="G485" s="2" t="str">
        <f>TRIM(Table1[[#This Row],[Typ]])</f>
        <v>Faktura VAT</v>
      </c>
      <c r="H485" s="2" t="str">
        <f>TRIM(Table1[[#This Row],[Magazyn]])</f>
        <v>Apteka Szpitalna</v>
      </c>
      <c r="I485" s="2" t="str">
        <f>TRIM(Table1[[#This Row],[Umowa]])</f>
        <v/>
      </c>
      <c r="J485" s="2" t="b">
        <f>ISTEXT(Table14[[#This Row],[Data_Wystawienia]])</f>
        <v>0</v>
      </c>
      <c r="K485" s="2">
        <f>VALUE(SUBSTITUTE(Table14[[#This Row],[Wartość]],".",","))</f>
        <v>13957.19</v>
      </c>
      <c r="L4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5" s="2" t="str">
        <f>IF(Table14[[#This Row],[Umowa]]="","Poza umową","Z umowy")</f>
        <v>Poza umową</v>
      </c>
      <c r="N485" s="2">
        <f>YEAR(Table14[[#This Row],[Data_Wystawienia]])</f>
        <v>2022</v>
      </c>
      <c r="O485" s="2" t="str">
        <f>TEXT(Table14[[#This Row],[Data_Wystawienia]],"rrrr-mm")</f>
        <v>2022-06</v>
      </c>
      <c r="P485" s="2">
        <v>1</v>
      </c>
    </row>
    <row r="486" spans="1:16" x14ac:dyDescent="0.3">
      <c r="A486" s="2" t="str">
        <f>TRIM(Table1[[#This Row],[Numer_FV]])</f>
        <v>FV/3388/NOVA/22</v>
      </c>
      <c r="B486" s="2" t="str">
        <f>TRIM(Table1[[#This Row],[Numer_PZ]])</f>
        <v>PZ/800484</v>
      </c>
      <c r="C486" s="2" t="str">
        <f>TRIM(Table1[[#This Row],[Dostawca]])</f>
        <v>NovaLek</v>
      </c>
      <c r="D486" s="3">
        <v>44741</v>
      </c>
      <c r="E486" s="4" t="s">
        <v>1477</v>
      </c>
      <c r="F486" s="2" t="str">
        <f>TRIM(Table1[[#This Row],[Status]])</f>
        <v>Zaakceptowana</v>
      </c>
      <c r="G486" s="2" t="str">
        <f>TRIM(Table1[[#This Row],[Typ]])</f>
        <v>Faktura VAT</v>
      </c>
      <c r="H486" s="2" t="str">
        <f>TRIM(Table1[[#This Row],[Magazyn]])</f>
        <v>Apteka Szpitalna</v>
      </c>
      <c r="I486" s="2" t="str">
        <f>TRIM(Table1[[#This Row],[Umowa]])</f>
        <v/>
      </c>
      <c r="J486" s="2" t="b">
        <f>ISTEXT(Table14[[#This Row],[Data_Wystawienia]])</f>
        <v>0</v>
      </c>
      <c r="K486" s="2">
        <f>VALUE(SUBSTITUTE(Table14[[#This Row],[Wartość]],".",","))</f>
        <v>14994.97</v>
      </c>
      <c r="L4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6" s="2" t="str">
        <f>IF(Table14[[#This Row],[Umowa]]="","Poza umową","Z umowy")</f>
        <v>Poza umową</v>
      </c>
      <c r="N486" s="2">
        <f>YEAR(Table14[[#This Row],[Data_Wystawienia]])</f>
        <v>2022</v>
      </c>
      <c r="O486" s="2" t="str">
        <f>TEXT(Table14[[#This Row],[Data_Wystawienia]],"rrrr-mm")</f>
        <v>2022-06</v>
      </c>
      <c r="P486" s="2">
        <v>1</v>
      </c>
    </row>
    <row r="487" spans="1:16" x14ac:dyDescent="0.3">
      <c r="A487" s="2" t="str">
        <f>TRIM(Table1[[#This Row],[Numer_FV]])</f>
        <v>FV/CENFA/301856/22</v>
      </c>
      <c r="B487" s="2" t="str">
        <f>TRIM(Table1[[#This Row],[Numer_PZ]])</f>
        <v>PZ/800485</v>
      </c>
      <c r="C487" s="2" t="str">
        <f>TRIM(Table1[[#This Row],[Dostawca]])</f>
        <v>CentrumFarm</v>
      </c>
      <c r="D487" s="3">
        <v>44741</v>
      </c>
      <c r="E487" s="4" t="s">
        <v>1480</v>
      </c>
      <c r="F487" s="2" t="str">
        <f>TRIM(Table1[[#This Row],[Status]])</f>
        <v>Zaakceptowana</v>
      </c>
      <c r="G487" s="2" t="str">
        <f>TRIM(Table1[[#This Row],[Typ]])</f>
        <v>Faktura VAT</v>
      </c>
      <c r="H487" s="2" t="str">
        <f>TRIM(Table1[[#This Row],[Magazyn]])</f>
        <v>Apteka Szpitalna</v>
      </c>
      <c r="I487" s="2" t="str">
        <f>TRIM(Table1[[#This Row],[Umowa]])</f>
        <v/>
      </c>
      <c r="J487" s="2" t="b">
        <f>ISTEXT(Table14[[#This Row],[Data_Wystawienia]])</f>
        <v>0</v>
      </c>
      <c r="K487" s="2">
        <f>VALUE(SUBSTITUTE(Table14[[#This Row],[Wartość]],".",","))</f>
        <v>17299.560000000001</v>
      </c>
      <c r="L4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7" s="2" t="str">
        <f>IF(Table14[[#This Row],[Umowa]]="","Poza umową","Z umowy")</f>
        <v>Poza umową</v>
      </c>
      <c r="N487" s="2">
        <f>YEAR(Table14[[#This Row],[Data_Wystawienia]])</f>
        <v>2022</v>
      </c>
      <c r="O487" s="2" t="str">
        <f>TEXT(Table14[[#This Row],[Data_Wystawienia]],"rrrr-mm")</f>
        <v>2022-06</v>
      </c>
      <c r="P487" s="2">
        <v>1</v>
      </c>
    </row>
    <row r="488" spans="1:16" x14ac:dyDescent="0.3">
      <c r="A488" s="2" t="str">
        <f>TRIM(Table1[[#This Row],[Numer_FV]])</f>
        <v>FV/POL/65914/2022</v>
      </c>
      <c r="B488" s="2" t="str">
        <f>TRIM(Table1[[#This Row],[Numer_PZ]])</f>
        <v>PZ/800486</v>
      </c>
      <c r="C488" s="2" t="str">
        <f>TRIM(Table1[[#This Row],[Dostawca]])</f>
        <v>Polmedica</v>
      </c>
      <c r="D488" s="3">
        <v>44741</v>
      </c>
      <c r="E488" s="4" t="s">
        <v>1483</v>
      </c>
      <c r="F488" s="2" t="str">
        <f>TRIM(Table1[[#This Row],[Status]])</f>
        <v>Zaakceptowana</v>
      </c>
      <c r="G488" s="2" t="str">
        <f>TRIM(Table1[[#This Row],[Typ]])</f>
        <v>Faktura VAT</v>
      </c>
      <c r="H488" s="2" t="str">
        <f>TRIM(Table1[[#This Row],[Magazyn]])</f>
        <v>Apteka Szpitalna</v>
      </c>
      <c r="I488" s="2" t="str">
        <f>TRIM(Table1[[#This Row],[Umowa]])</f>
        <v>UM-POL-01</v>
      </c>
      <c r="J488" s="2" t="b">
        <f>ISTEXT(Table14[[#This Row],[Data_Wystawienia]])</f>
        <v>0</v>
      </c>
      <c r="K488" s="2">
        <f>VALUE(SUBSTITUTE(Table14[[#This Row],[Wartość]],".",","))</f>
        <v>13583.03</v>
      </c>
      <c r="L4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8" s="2" t="str">
        <f>IF(Table14[[#This Row],[Umowa]]="","Poza umową","Z umowy")</f>
        <v>Z umowy</v>
      </c>
      <c r="N488" s="2">
        <f>YEAR(Table14[[#This Row],[Data_Wystawienia]])</f>
        <v>2022</v>
      </c>
      <c r="O488" s="2" t="str">
        <f>TEXT(Table14[[#This Row],[Data_Wystawienia]],"rrrr-mm")</f>
        <v>2022-06</v>
      </c>
      <c r="P488" s="2">
        <v>1</v>
      </c>
    </row>
    <row r="489" spans="1:16" x14ac:dyDescent="0.3">
      <c r="A489" s="2" t="str">
        <f>TRIM(Table1[[#This Row],[Numer_FV]])</f>
        <v>FV/64/PP/4877/22</v>
      </c>
      <c r="B489" s="2" t="str">
        <f>TRIM(Table1[[#This Row],[Numer_PZ]])</f>
        <v>PZ/800487</v>
      </c>
      <c r="C489" s="2" t="str">
        <f>TRIM(Table1[[#This Row],[Dostawca]])</f>
        <v>PharmaPlus</v>
      </c>
      <c r="D489" s="3">
        <v>44742</v>
      </c>
      <c r="E489" s="4" t="s">
        <v>1486</v>
      </c>
      <c r="F489" s="2" t="str">
        <f>TRIM(Table1[[#This Row],[Status]])</f>
        <v>Zaakceptowana</v>
      </c>
      <c r="G489" s="2" t="str">
        <f>TRIM(Table1[[#This Row],[Typ]])</f>
        <v>Korekta FV</v>
      </c>
      <c r="H489" s="2" t="str">
        <f>TRIM(Table1[[#This Row],[Magazyn]])</f>
        <v>Apteka Szpitalna</v>
      </c>
      <c r="I489" s="2" t="str">
        <f>TRIM(Table1[[#This Row],[Umowa]])</f>
        <v>UM-PHA-02</v>
      </c>
      <c r="J489" s="2" t="b">
        <f>ISTEXT(Table14[[#This Row],[Data_Wystawienia]])</f>
        <v>0</v>
      </c>
      <c r="K489" s="2">
        <f>VALUE(SUBSTITUTE(Table14[[#This Row],[Wartość]],".",","))</f>
        <v>-641.25</v>
      </c>
      <c r="L4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89" s="2" t="str">
        <f>IF(Table14[[#This Row],[Umowa]]="","Poza umową","Z umowy")</f>
        <v>Z umowy</v>
      </c>
      <c r="N489" s="2">
        <f>YEAR(Table14[[#This Row],[Data_Wystawienia]])</f>
        <v>2022</v>
      </c>
      <c r="O489" s="2" t="str">
        <f>TEXT(Table14[[#This Row],[Data_Wystawienia]],"rrrr-mm")</f>
        <v>2022-06</v>
      </c>
      <c r="P489" s="2">
        <v>1</v>
      </c>
    </row>
    <row r="490" spans="1:16" x14ac:dyDescent="0.3">
      <c r="A490" s="2" t="str">
        <f>TRIM(Table1[[#This Row],[Numer_FV]])</f>
        <v>FV/POL/46051/2022</v>
      </c>
      <c r="B490" s="2" t="str">
        <f>TRIM(Table1[[#This Row],[Numer_PZ]])</f>
        <v>PZ/800488</v>
      </c>
      <c r="C490" s="2" t="str">
        <f>TRIM(Table1[[#This Row],[Dostawca]])</f>
        <v>Polmedica</v>
      </c>
      <c r="D490" s="3">
        <v>44742</v>
      </c>
      <c r="E490" s="4" t="s">
        <v>1489</v>
      </c>
      <c r="F490" s="2" t="str">
        <f>TRIM(Table1[[#This Row],[Status]])</f>
        <v>Zaakceptowana</v>
      </c>
      <c r="G490" s="2" t="str">
        <f>TRIM(Table1[[#This Row],[Typ]])</f>
        <v>Faktura VAT</v>
      </c>
      <c r="H490" s="2" t="str">
        <f>TRIM(Table1[[#This Row],[Magazyn]])</f>
        <v>Apteka Szpitalna</v>
      </c>
      <c r="I490" s="2" t="str">
        <f>TRIM(Table1[[#This Row],[Umowa]])</f>
        <v>UM-POL-01</v>
      </c>
      <c r="J490" s="2" t="b">
        <f>ISTEXT(Table14[[#This Row],[Data_Wystawienia]])</f>
        <v>0</v>
      </c>
      <c r="K490" s="2">
        <f>VALUE(SUBSTITUTE(Table14[[#This Row],[Wartość]],".",","))</f>
        <v>14677.06</v>
      </c>
      <c r="L4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0" s="2" t="str">
        <f>IF(Table14[[#This Row],[Umowa]]="","Poza umową","Z umowy")</f>
        <v>Z umowy</v>
      </c>
      <c r="N490" s="2">
        <f>YEAR(Table14[[#This Row],[Data_Wystawienia]])</f>
        <v>2022</v>
      </c>
      <c r="O490" s="2" t="str">
        <f>TEXT(Table14[[#This Row],[Data_Wystawienia]],"rrrr-mm")</f>
        <v>2022-06</v>
      </c>
      <c r="P490" s="2">
        <v>1</v>
      </c>
    </row>
    <row r="491" spans="1:16" x14ac:dyDescent="0.3">
      <c r="A491" s="2" t="str">
        <f>TRIM(Table1[[#This Row],[Numer_FV]])</f>
        <v>FV/CENFA/573806/22</v>
      </c>
      <c r="B491" s="2" t="str">
        <f>TRIM(Table1[[#This Row],[Numer_PZ]])</f>
        <v>PZ/800489</v>
      </c>
      <c r="C491" s="2" t="str">
        <f>TRIM(Table1[[#This Row],[Dostawca]])</f>
        <v>CentrumFarm</v>
      </c>
      <c r="D491" s="3">
        <v>44742</v>
      </c>
      <c r="E491" s="4" t="s">
        <v>1492</v>
      </c>
      <c r="F491" s="2" t="str">
        <f>TRIM(Table1[[#This Row],[Status]])</f>
        <v>Zaakceptowana</v>
      </c>
      <c r="G491" s="2" t="str">
        <f>TRIM(Table1[[#This Row],[Typ]])</f>
        <v>Faktura VAT</v>
      </c>
      <c r="H491" s="2" t="str">
        <f>TRIM(Table1[[#This Row],[Magazyn]])</f>
        <v>Apteka Szpitalna</v>
      </c>
      <c r="I491" s="2" t="str">
        <f>TRIM(Table1[[#This Row],[Umowa]])</f>
        <v>UM-CEN-01</v>
      </c>
      <c r="J491" s="2" t="b">
        <f>ISTEXT(Table14[[#This Row],[Data_Wystawienia]])</f>
        <v>0</v>
      </c>
      <c r="K491" s="2">
        <f>VALUE(SUBSTITUTE(Table14[[#This Row],[Wartość]],".",","))</f>
        <v>12999.42</v>
      </c>
      <c r="L4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1" s="2" t="str">
        <f>IF(Table14[[#This Row],[Umowa]]="","Poza umową","Z umowy")</f>
        <v>Z umowy</v>
      </c>
      <c r="N491" s="2">
        <f>YEAR(Table14[[#This Row],[Data_Wystawienia]])</f>
        <v>2022</v>
      </c>
      <c r="O491" s="2" t="str">
        <f>TEXT(Table14[[#This Row],[Data_Wystawienia]],"rrrr-mm")</f>
        <v>2022-06</v>
      </c>
      <c r="P491" s="2">
        <v>1</v>
      </c>
    </row>
    <row r="492" spans="1:16" x14ac:dyDescent="0.3">
      <c r="A492" s="2" t="str">
        <f>TRIM(Table1[[#This Row],[Numer_FV]])</f>
        <v>FV/83/PP/2091/22</v>
      </c>
      <c r="B492" s="2" t="str">
        <f>TRIM(Table1[[#This Row],[Numer_PZ]])</f>
        <v>PZ/800490</v>
      </c>
      <c r="C492" s="2" t="str">
        <f>TRIM(Table1[[#This Row],[Dostawca]])</f>
        <v>PharmaPlus</v>
      </c>
      <c r="D492" s="3">
        <v>44742</v>
      </c>
      <c r="E492" s="4" t="s">
        <v>1495</v>
      </c>
      <c r="F492" s="2" t="str">
        <f>TRIM(Table1[[#This Row],[Status]])</f>
        <v>Zaakceptowana</v>
      </c>
      <c r="G492" s="2" t="str">
        <f>TRIM(Table1[[#This Row],[Typ]])</f>
        <v>Faktura VAT</v>
      </c>
      <c r="H492" s="2" t="str">
        <f>TRIM(Table1[[#This Row],[Magazyn]])</f>
        <v>Apteka Szpitalna</v>
      </c>
      <c r="I492" s="2" t="str">
        <f>TRIM(Table1[[#This Row],[Umowa]])</f>
        <v>UM-PHA-02</v>
      </c>
      <c r="J492" s="2" t="b">
        <f>ISTEXT(Table14[[#This Row],[Data_Wystawienia]])</f>
        <v>0</v>
      </c>
      <c r="K492" s="2">
        <f>VALUE(SUBSTITUTE(Table14[[#This Row],[Wartość]],".",","))</f>
        <v>10931.9</v>
      </c>
      <c r="L4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2" s="2" t="str">
        <f>IF(Table14[[#This Row],[Umowa]]="","Poza umową","Z umowy")</f>
        <v>Z umowy</v>
      </c>
      <c r="N492" s="2">
        <f>YEAR(Table14[[#This Row],[Data_Wystawienia]])</f>
        <v>2022</v>
      </c>
      <c r="O492" s="2" t="str">
        <f>TEXT(Table14[[#This Row],[Data_Wystawienia]],"rrrr-mm")</f>
        <v>2022-06</v>
      </c>
      <c r="P492" s="2">
        <v>1</v>
      </c>
    </row>
    <row r="493" spans="1:16" x14ac:dyDescent="0.3">
      <c r="A493" s="2" t="str">
        <f>TRIM(Table1[[#This Row],[Numer_FV]])</f>
        <v>FV/14/SAL/22</v>
      </c>
      <c r="B493" s="2" t="str">
        <f>TRIM(Table1[[#This Row],[Numer_PZ]])</f>
        <v>PZ/800491</v>
      </c>
      <c r="C493" s="2" t="str">
        <f>TRIM(Table1[[#This Row],[Dostawca]])</f>
        <v>SalusHurt</v>
      </c>
      <c r="D493" s="3">
        <v>44743</v>
      </c>
      <c r="E493" s="4" t="s">
        <v>1498</v>
      </c>
      <c r="F493" s="2" t="str">
        <f>TRIM(Table1[[#This Row],[Status]])</f>
        <v>Zaakceptowana</v>
      </c>
      <c r="G493" s="2" t="str">
        <f>TRIM(Table1[[#This Row],[Typ]])</f>
        <v>Faktura VAT</v>
      </c>
      <c r="H493" s="2" t="str">
        <f>TRIM(Table1[[#This Row],[Magazyn]])</f>
        <v>Apteka Szpitalna</v>
      </c>
      <c r="I493" s="2" t="str">
        <f>TRIM(Table1[[#This Row],[Umowa]])</f>
        <v>UM-SAL-02</v>
      </c>
      <c r="J493" s="2" t="b">
        <f>ISTEXT(Table14[[#This Row],[Data_Wystawienia]])</f>
        <v>0</v>
      </c>
      <c r="K493" s="2">
        <f>VALUE(SUBSTITUTE(Table14[[#This Row],[Wartość]],".",","))</f>
        <v>20957.009999999998</v>
      </c>
      <c r="L4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3" s="2" t="str">
        <f>IF(Table14[[#This Row],[Umowa]]="","Poza umową","Z umowy")</f>
        <v>Z umowy</v>
      </c>
      <c r="N493" s="2">
        <f>YEAR(Table14[[#This Row],[Data_Wystawienia]])</f>
        <v>2022</v>
      </c>
      <c r="O493" s="2" t="str">
        <f>TEXT(Table14[[#This Row],[Data_Wystawienia]],"rrrr-mm")</f>
        <v>2022-07</v>
      </c>
      <c r="P493" s="2">
        <v>1</v>
      </c>
    </row>
    <row r="494" spans="1:16" x14ac:dyDescent="0.3">
      <c r="A494" s="2" t="str">
        <f>TRIM(Table1[[#This Row],[Numer_FV]])</f>
        <v>FV/M/3620/P/22</v>
      </c>
      <c r="B494" s="2" t="str">
        <f>TRIM(Table1[[#This Row],[Numer_PZ]])</f>
        <v>PZ/800492</v>
      </c>
      <c r="C494" s="2" t="str">
        <f>TRIM(Table1[[#This Row],[Dostawca]])</f>
        <v>MedicaPharm</v>
      </c>
      <c r="D494" s="3">
        <v>44743</v>
      </c>
      <c r="E494" s="4" t="s">
        <v>1501</v>
      </c>
      <c r="F494" s="2" t="str">
        <f>TRIM(Table1[[#This Row],[Status]])</f>
        <v>Zaakceptowana</v>
      </c>
      <c r="G494" s="2" t="str">
        <f>TRIM(Table1[[#This Row],[Typ]])</f>
        <v>Faktura VAT</v>
      </c>
      <c r="H494" s="2" t="str">
        <f>TRIM(Table1[[#This Row],[Magazyn]])</f>
        <v>Apteka Szpitalna</v>
      </c>
      <c r="I494" s="2" t="str">
        <f>TRIM(Table1[[#This Row],[Umowa]])</f>
        <v>UM-MED-01</v>
      </c>
      <c r="J494" s="2" t="b">
        <f>ISTEXT(Table14[[#This Row],[Data_Wystawienia]])</f>
        <v>0</v>
      </c>
      <c r="K494" s="2">
        <f>VALUE(SUBSTITUTE(Table14[[#This Row],[Wartość]],".",","))</f>
        <v>13272.28</v>
      </c>
      <c r="L4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4" s="2" t="str">
        <f>IF(Table14[[#This Row],[Umowa]]="","Poza umową","Z umowy")</f>
        <v>Z umowy</v>
      </c>
      <c r="N494" s="2">
        <f>YEAR(Table14[[#This Row],[Data_Wystawienia]])</f>
        <v>2022</v>
      </c>
      <c r="O494" s="2" t="str">
        <f>TEXT(Table14[[#This Row],[Data_Wystawienia]],"rrrr-mm")</f>
        <v>2022-07</v>
      </c>
      <c r="P494" s="2">
        <v>1</v>
      </c>
    </row>
    <row r="495" spans="1:16" x14ac:dyDescent="0.3">
      <c r="A495" s="2" t="str">
        <f>TRIM(Table1[[#This Row],[Numer_FV]])</f>
        <v>FV/3145HM/22</v>
      </c>
      <c r="B495" s="2" t="str">
        <f>TRIM(Table1[[#This Row],[Numer_PZ]])</f>
        <v>PZ/800493</v>
      </c>
      <c r="C495" s="2" t="str">
        <f>TRIM(Table1[[#This Row],[Dostawca]])</f>
        <v>HurtMedix</v>
      </c>
      <c r="D495" s="3">
        <v>44743</v>
      </c>
      <c r="E495" s="4" t="s">
        <v>1504</v>
      </c>
      <c r="F495" s="2" t="str">
        <f>TRIM(Table1[[#This Row],[Status]])</f>
        <v>Zaakceptowana</v>
      </c>
      <c r="G495" s="2" t="str">
        <f>TRIM(Table1[[#This Row],[Typ]])</f>
        <v>Faktura VAT</v>
      </c>
      <c r="H495" s="2" t="str">
        <f>TRIM(Table1[[#This Row],[Magazyn]])</f>
        <v>Apteka Szpitalna</v>
      </c>
      <c r="I495" s="2" t="str">
        <f>TRIM(Table1[[#This Row],[Umowa]])</f>
        <v>UM-HUR-01</v>
      </c>
      <c r="J495" s="2" t="b">
        <f>ISTEXT(Table14[[#This Row],[Data_Wystawienia]])</f>
        <v>0</v>
      </c>
      <c r="K495" s="2">
        <f>VALUE(SUBSTITUTE(Table14[[#This Row],[Wartość]],".",","))</f>
        <v>22254.28</v>
      </c>
      <c r="L4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5" s="2" t="str">
        <f>IF(Table14[[#This Row],[Umowa]]="","Poza umową","Z umowy")</f>
        <v>Z umowy</v>
      </c>
      <c r="N495" s="2">
        <f>YEAR(Table14[[#This Row],[Data_Wystawienia]])</f>
        <v>2022</v>
      </c>
      <c r="O495" s="2" t="str">
        <f>TEXT(Table14[[#This Row],[Data_Wystawienia]],"rrrr-mm")</f>
        <v>2022-07</v>
      </c>
      <c r="P495" s="2">
        <v>1</v>
      </c>
    </row>
    <row r="496" spans="1:16" x14ac:dyDescent="0.3">
      <c r="A496" s="2" t="str">
        <f>TRIM(Table1[[#This Row],[Numer_FV]])</f>
        <v>FV/CENFA/526220/22</v>
      </c>
      <c r="B496" s="2" t="str">
        <f>TRIM(Table1[[#This Row],[Numer_PZ]])</f>
        <v>PZ/800494</v>
      </c>
      <c r="C496" s="2" t="str">
        <f>TRIM(Table1[[#This Row],[Dostawca]])</f>
        <v>CentrumFarm</v>
      </c>
      <c r="D496" s="3">
        <v>44744</v>
      </c>
      <c r="E496" s="4" t="s">
        <v>1507</v>
      </c>
      <c r="F496" s="2" t="str">
        <f>TRIM(Table1[[#This Row],[Status]])</f>
        <v>Zaakceptowana</v>
      </c>
      <c r="G496" s="2" t="str">
        <f>TRIM(Table1[[#This Row],[Typ]])</f>
        <v>Faktura VAT</v>
      </c>
      <c r="H496" s="2" t="str">
        <f>TRIM(Table1[[#This Row],[Magazyn]])</f>
        <v>Apteka Szpitalna</v>
      </c>
      <c r="I496" s="2" t="str">
        <f>TRIM(Table1[[#This Row],[Umowa]])</f>
        <v>UM-CEN-01</v>
      </c>
      <c r="J496" s="2" t="b">
        <f>ISTEXT(Table14[[#This Row],[Data_Wystawienia]])</f>
        <v>0</v>
      </c>
      <c r="K496" s="2">
        <f>VALUE(SUBSTITUTE(Table14[[#This Row],[Wartość]],".",","))</f>
        <v>7337.65</v>
      </c>
      <c r="L4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6" s="2" t="str">
        <f>IF(Table14[[#This Row],[Umowa]]="","Poza umową","Z umowy")</f>
        <v>Z umowy</v>
      </c>
      <c r="N496" s="2">
        <f>YEAR(Table14[[#This Row],[Data_Wystawienia]])</f>
        <v>2022</v>
      </c>
      <c r="O496" s="2" t="str">
        <f>TEXT(Table14[[#This Row],[Data_Wystawienia]],"rrrr-mm")</f>
        <v>2022-07</v>
      </c>
      <c r="P496" s="2">
        <v>1</v>
      </c>
    </row>
    <row r="497" spans="1:16" x14ac:dyDescent="0.3">
      <c r="A497" s="2" t="str">
        <f>TRIM(Table1[[#This Row],[Numer_FV]])</f>
        <v>FV/12/PP/9794/22</v>
      </c>
      <c r="B497" s="2" t="str">
        <f>TRIM(Table1[[#This Row],[Numer_PZ]])</f>
        <v>PZ/800495</v>
      </c>
      <c r="C497" s="2" t="str">
        <f>TRIM(Table1[[#This Row],[Dostawca]])</f>
        <v>PharmaPlus</v>
      </c>
      <c r="D497" s="3">
        <v>44744</v>
      </c>
      <c r="E497" s="4" t="s">
        <v>1510</v>
      </c>
      <c r="F497" s="2" t="str">
        <f>TRIM(Table1[[#This Row],[Status]])</f>
        <v>Zaakceptowana</v>
      </c>
      <c r="G497" s="2" t="str">
        <f>TRIM(Table1[[#This Row],[Typ]])</f>
        <v>Faktura VAT</v>
      </c>
      <c r="H497" s="2" t="str">
        <f>TRIM(Table1[[#This Row],[Magazyn]])</f>
        <v>Apteka Szpitalna</v>
      </c>
      <c r="I497" s="2" t="str">
        <f>TRIM(Table1[[#This Row],[Umowa]])</f>
        <v/>
      </c>
      <c r="J497" s="2" t="b">
        <f>ISTEXT(Table14[[#This Row],[Data_Wystawienia]])</f>
        <v>0</v>
      </c>
      <c r="K497" s="2">
        <f>VALUE(SUBSTITUTE(Table14[[#This Row],[Wartość]],".",","))</f>
        <v>10870.38</v>
      </c>
      <c r="L4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7" s="2" t="str">
        <f>IF(Table14[[#This Row],[Umowa]]="","Poza umową","Z umowy")</f>
        <v>Poza umową</v>
      </c>
      <c r="N497" s="2">
        <f>YEAR(Table14[[#This Row],[Data_Wystawienia]])</f>
        <v>2022</v>
      </c>
      <c r="O497" s="2" t="str">
        <f>TEXT(Table14[[#This Row],[Data_Wystawienia]],"rrrr-mm")</f>
        <v>2022-07</v>
      </c>
      <c r="P497" s="2">
        <v>1</v>
      </c>
    </row>
    <row r="498" spans="1:16" x14ac:dyDescent="0.3">
      <c r="A498" s="2" t="str">
        <f>TRIM(Table1[[#This Row],[Numer_FV]])</f>
        <v>FV/8009HM/22</v>
      </c>
      <c r="B498" s="2" t="str">
        <f>TRIM(Table1[[#This Row],[Numer_PZ]])</f>
        <v>PZ/800496</v>
      </c>
      <c r="C498" s="2" t="str">
        <f>TRIM(Table1[[#This Row],[Dostawca]])</f>
        <v>HurtMedix</v>
      </c>
      <c r="D498" s="3">
        <v>44745</v>
      </c>
      <c r="E498" s="4" t="s">
        <v>1513</v>
      </c>
      <c r="F498" s="2" t="str">
        <f>TRIM(Table1[[#This Row],[Status]])</f>
        <v>Zaakceptowana</v>
      </c>
      <c r="G498" s="2" t="str">
        <f>TRIM(Table1[[#This Row],[Typ]])</f>
        <v>Faktura VAT</v>
      </c>
      <c r="H498" s="2" t="str">
        <f>TRIM(Table1[[#This Row],[Magazyn]])</f>
        <v>Apteka Szpitalna</v>
      </c>
      <c r="I498" s="2" t="str">
        <f>TRIM(Table1[[#This Row],[Umowa]])</f>
        <v>UM-HUR-02</v>
      </c>
      <c r="J498" s="2" t="b">
        <f>ISTEXT(Table14[[#This Row],[Data_Wystawienia]])</f>
        <v>0</v>
      </c>
      <c r="K498" s="2">
        <f>VALUE(SUBSTITUTE(Table14[[#This Row],[Wartość]],".",","))</f>
        <v>18727.66</v>
      </c>
      <c r="L4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8" s="2" t="str">
        <f>IF(Table14[[#This Row],[Umowa]]="","Poza umową","Z umowy")</f>
        <v>Z umowy</v>
      </c>
      <c r="N498" s="2">
        <f>YEAR(Table14[[#This Row],[Data_Wystawienia]])</f>
        <v>2022</v>
      </c>
      <c r="O498" s="2" t="str">
        <f>TEXT(Table14[[#This Row],[Data_Wystawienia]],"rrrr-mm")</f>
        <v>2022-07</v>
      </c>
      <c r="P498" s="2">
        <v>1</v>
      </c>
    </row>
    <row r="499" spans="1:16" x14ac:dyDescent="0.3">
      <c r="A499" s="2" t="str">
        <f>TRIM(Table1[[#This Row],[Numer_FV]])</f>
        <v>FV/13/PP/8820/22</v>
      </c>
      <c r="B499" s="2" t="str">
        <f>TRIM(Table1[[#This Row],[Numer_PZ]])</f>
        <v>PZ/800497</v>
      </c>
      <c r="C499" s="2" t="str">
        <f>TRIM(Table1[[#This Row],[Dostawca]])</f>
        <v>PharmaPlus</v>
      </c>
      <c r="D499" s="3">
        <v>44746</v>
      </c>
      <c r="E499" s="4" t="s">
        <v>1516</v>
      </c>
      <c r="F499" s="2" t="str">
        <f>TRIM(Table1[[#This Row],[Status]])</f>
        <v>Zaakceptowana</v>
      </c>
      <c r="G499" s="2" t="str">
        <f>TRIM(Table1[[#This Row],[Typ]])</f>
        <v>Faktura VAT</v>
      </c>
      <c r="H499" s="2" t="str">
        <f>TRIM(Table1[[#This Row],[Magazyn]])</f>
        <v>Apteka Szpitalna</v>
      </c>
      <c r="I499" s="2" t="str">
        <f>TRIM(Table1[[#This Row],[Umowa]])</f>
        <v>UM-PHA-02</v>
      </c>
      <c r="J499" s="2" t="b">
        <f>ISTEXT(Table14[[#This Row],[Data_Wystawienia]])</f>
        <v>0</v>
      </c>
      <c r="K499" s="2">
        <f>VALUE(SUBSTITUTE(Table14[[#This Row],[Wartość]],".",","))</f>
        <v>6196.09</v>
      </c>
      <c r="L4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499" s="2" t="str">
        <f>IF(Table14[[#This Row],[Umowa]]="","Poza umową","Z umowy")</f>
        <v>Z umowy</v>
      </c>
      <c r="N499" s="2">
        <f>YEAR(Table14[[#This Row],[Data_Wystawienia]])</f>
        <v>2022</v>
      </c>
      <c r="O499" s="2" t="str">
        <f>TEXT(Table14[[#This Row],[Data_Wystawienia]],"rrrr-mm")</f>
        <v>2022-07</v>
      </c>
      <c r="P499" s="2">
        <v>1</v>
      </c>
    </row>
    <row r="500" spans="1:16" x14ac:dyDescent="0.3">
      <c r="A500" s="2" t="str">
        <f>TRIM(Table1[[#This Row],[Numer_FV]])</f>
        <v>FV/49015/VDb/2022</v>
      </c>
      <c r="B500" s="2" t="str">
        <f>TRIM(Table1[[#This Row],[Numer_PZ]])</f>
        <v>PZ/800498</v>
      </c>
      <c r="C500" s="2" t="str">
        <f>TRIM(Table1[[#This Row],[Dostawca]])</f>
        <v>VitaDistrib</v>
      </c>
      <c r="D500" s="3">
        <v>44746</v>
      </c>
      <c r="E500" s="4" t="s">
        <v>1519</v>
      </c>
      <c r="F500" s="2" t="str">
        <f>TRIM(Table1[[#This Row],[Status]])</f>
        <v>Zaakceptowana</v>
      </c>
      <c r="G500" s="2" t="str">
        <f>TRIM(Table1[[#This Row],[Typ]])</f>
        <v>Korekta FV</v>
      </c>
      <c r="H500" s="2" t="str">
        <f>TRIM(Table1[[#This Row],[Magazyn]])</f>
        <v>Apteka Szpitalna</v>
      </c>
      <c r="I500" s="2" t="str">
        <f>TRIM(Table1[[#This Row],[Umowa]])</f>
        <v>UM-VIT-01</v>
      </c>
      <c r="J500" s="2" t="b">
        <f>ISTEXT(Table14[[#This Row],[Data_Wystawienia]])</f>
        <v>0</v>
      </c>
      <c r="K500" s="2">
        <f>VALUE(SUBSTITUTE(Table14[[#This Row],[Wartość]],".",","))</f>
        <v>-2148.4899999999998</v>
      </c>
      <c r="L5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0" s="2" t="str">
        <f>IF(Table14[[#This Row],[Umowa]]="","Poza umową","Z umowy")</f>
        <v>Z umowy</v>
      </c>
      <c r="N500" s="2">
        <f>YEAR(Table14[[#This Row],[Data_Wystawienia]])</f>
        <v>2022</v>
      </c>
      <c r="O500" s="2" t="str">
        <f>TEXT(Table14[[#This Row],[Data_Wystawienia]],"rrrr-mm")</f>
        <v>2022-07</v>
      </c>
      <c r="P500" s="2">
        <v>1</v>
      </c>
    </row>
    <row r="501" spans="1:16" x14ac:dyDescent="0.3">
      <c r="A501" s="2" t="str">
        <f>TRIM(Table1[[#This Row],[Numer_FV]])</f>
        <v>FV/7754HM/22</v>
      </c>
      <c r="B501" s="2" t="str">
        <f>TRIM(Table1[[#This Row],[Numer_PZ]])</f>
        <v>PZ/800499</v>
      </c>
      <c r="C501" s="2" t="str">
        <f>TRIM(Table1[[#This Row],[Dostawca]])</f>
        <v>HurtMedix</v>
      </c>
      <c r="D501" s="3">
        <v>44746</v>
      </c>
      <c r="E501" s="4" t="s">
        <v>1522</v>
      </c>
      <c r="F501" s="2" t="str">
        <f>TRIM(Table1[[#This Row],[Status]])</f>
        <v>Zaakceptowana</v>
      </c>
      <c r="G501" s="2" t="str">
        <f>TRIM(Table1[[#This Row],[Typ]])</f>
        <v>Faktura VAT</v>
      </c>
      <c r="H501" s="2" t="str">
        <f>TRIM(Table1[[#This Row],[Magazyn]])</f>
        <v>Apteka Szpitalna</v>
      </c>
      <c r="I501" s="2" t="str">
        <f>TRIM(Table1[[#This Row],[Umowa]])</f>
        <v>UM-HUR-02</v>
      </c>
      <c r="J501" s="2" t="b">
        <f>ISTEXT(Table14[[#This Row],[Data_Wystawienia]])</f>
        <v>0</v>
      </c>
      <c r="K501" s="2">
        <f>VALUE(SUBSTITUTE(Table14[[#This Row],[Wartość]],".",","))</f>
        <v>13978.1</v>
      </c>
      <c r="L5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1" s="2" t="str">
        <f>IF(Table14[[#This Row],[Umowa]]="","Poza umową","Z umowy")</f>
        <v>Z umowy</v>
      </c>
      <c r="N501" s="2">
        <f>YEAR(Table14[[#This Row],[Data_Wystawienia]])</f>
        <v>2022</v>
      </c>
      <c r="O501" s="2" t="str">
        <f>TEXT(Table14[[#This Row],[Data_Wystawienia]],"rrrr-mm")</f>
        <v>2022-07</v>
      </c>
      <c r="P501" s="2">
        <v>1</v>
      </c>
    </row>
    <row r="502" spans="1:16" x14ac:dyDescent="0.3">
      <c r="A502" s="2" t="str">
        <f>TRIM(Table1[[#This Row],[Numer_FV]])</f>
        <v>FV/29/SAL/22</v>
      </c>
      <c r="B502" s="2" t="str">
        <f>TRIM(Table1[[#This Row],[Numer_PZ]])</f>
        <v>PZ/800500</v>
      </c>
      <c r="C502" s="2" t="str">
        <f>TRIM(Table1[[#This Row],[Dostawca]])</f>
        <v>SalusHurt</v>
      </c>
      <c r="D502" s="3">
        <v>44747</v>
      </c>
      <c r="E502" s="4" t="s">
        <v>1524</v>
      </c>
      <c r="F502" s="2" t="str">
        <f>TRIM(Table1[[#This Row],[Status]])</f>
        <v>Zaakceptowana</v>
      </c>
      <c r="G502" s="2" t="str">
        <f>TRIM(Table1[[#This Row],[Typ]])</f>
        <v>Faktura VAT</v>
      </c>
      <c r="H502" s="2" t="str">
        <f>TRIM(Table1[[#This Row],[Magazyn]])</f>
        <v>Apteka Szpitalna</v>
      </c>
      <c r="I502" s="2" t="str">
        <f>TRIM(Table1[[#This Row],[Umowa]])</f>
        <v>UM-SAL-01</v>
      </c>
      <c r="J502" s="2" t="b">
        <f>ISTEXT(Table14[[#This Row],[Data_Wystawienia]])</f>
        <v>0</v>
      </c>
      <c r="K502" s="2">
        <f>VALUE(SUBSTITUTE(Table14[[#This Row],[Wartość]],".",","))</f>
        <v>5848.24</v>
      </c>
      <c r="L5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2" s="2" t="str">
        <f>IF(Table14[[#This Row],[Umowa]]="","Poza umową","Z umowy")</f>
        <v>Z umowy</v>
      </c>
      <c r="N502" s="2">
        <f>YEAR(Table14[[#This Row],[Data_Wystawienia]])</f>
        <v>2022</v>
      </c>
      <c r="O502" s="2" t="str">
        <f>TEXT(Table14[[#This Row],[Data_Wystawienia]],"rrrr-mm")</f>
        <v>2022-07</v>
      </c>
      <c r="P502" s="2">
        <v>1</v>
      </c>
    </row>
    <row r="503" spans="1:16" x14ac:dyDescent="0.3">
      <c r="A503" s="2" t="str">
        <f>TRIM(Table1[[#This Row],[Numer_FV]])</f>
        <v>FV/POL/88160/2022</v>
      </c>
      <c r="B503" s="2" t="str">
        <f>TRIM(Table1[[#This Row],[Numer_PZ]])</f>
        <v>PZ/800501</v>
      </c>
      <c r="C503" s="2" t="str">
        <f>TRIM(Table1[[#This Row],[Dostawca]])</f>
        <v>Polmedica</v>
      </c>
      <c r="D503" s="3">
        <v>44747</v>
      </c>
      <c r="E503" s="4" t="s">
        <v>1527</v>
      </c>
      <c r="F503" s="2" t="str">
        <f>TRIM(Table1[[#This Row],[Status]])</f>
        <v>Zaakceptowana</v>
      </c>
      <c r="G503" s="2" t="str">
        <f>TRIM(Table1[[#This Row],[Typ]])</f>
        <v>Faktura VAT</v>
      </c>
      <c r="H503" s="2" t="str">
        <f>TRIM(Table1[[#This Row],[Magazyn]])</f>
        <v>Apteka Szpitalna</v>
      </c>
      <c r="I503" s="2" t="str">
        <f>TRIM(Table1[[#This Row],[Umowa]])</f>
        <v>UM-POL-02</v>
      </c>
      <c r="J503" s="2" t="b">
        <f>ISTEXT(Table14[[#This Row],[Data_Wystawienia]])</f>
        <v>0</v>
      </c>
      <c r="K503" s="2">
        <f>VALUE(SUBSTITUTE(Table14[[#This Row],[Wartość]],".",","))</f>
        <v>12237.05</v>
      </c>
      <c r="L5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3" s="2" t="str">
        <f>IF(Table14[[#This Row],[Umowa]]="","Poza umową","Z umowy")</f>
        <v>Z umowy</v>
      </c>
      <c r="N503" s="2">
        <f>YEAR(Table14[[#This Row],[Data_Wystawienia]])</f>
        <v>2022</v>
      </c>
      <c r="O503" s="2" t="str">
        <f>TEXT(Table14[[#This Row],[Data_Wystawienia]],"rrrr-mm")</f>
        <v>2022-07</v>
      </c>
      <c r="P503" s="2">
        <v>1</v>
      </c>
    </row>
    <row r="504" spans="1:16" x14ac:dyDescent="0.3">
      <c r="A504" s="2" t="str">
        <f>TRIM(Table1[[#This Row],[Numer_FV]])</f>
        <v>FV/51347/VDb/2022</v>
      </c>
      <c r="B504" s="2" t="str">
        <f>TRIM(Table1[[#This Row],[Numer_PZ]])</f>
        <v>PZ/800502</v>
      </c>
      <c r="C504" s="2" t="str">
        <f>TRIM(Table1[[#This Row],[Dostawca]])</f>
        <v>VitaDistrib</v>
      </c>
      <c r="D504" s="3">
        <v>44748</v>
      </c>
      <c r="E504" s="4" t="s">
        <v>1530</v>
      </c>
      <c r="F504" s="2" t="str">
        <f>TRIM(Table1[[#This Row],[Status]])</f>
        <v>Zaakceptowana</v>
      </c>
      <c r="G504" s="2" t="str">
        <f>TRIM(Table1[[#This Row],[Typ]])</f>
        <v>Faktura VAT</v>
      </c>
      <c r="H504" s="2" t="str">
        <f>TRIM(Table1[[#This Row],[Magazyn]])</f>
        <v>Apteka Szpitalna</v>
      </c>
      <c r="I504" s="2" t="str">
        <f>TRIM(Table1[[#This Row],[Umowa]])</f>
        <v>UM-VIT-01</v>
      </c>
      <c r="J504" s="2" t="b">
        <f>ISTEXT(Table14[[#This Row],[Data_Wystawienia]])</f>
        <v>0</v>
      </c>
      <c r="K504" s="2">
        <f>VALUE(SUBSTITUTE(Table14[[#This Row],[Wartość]],".",","))</f>
        <v>15981.72</v>
      </c>
      <c r="L5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4" s="2" t="str">
        <f>IF(Table14[[#This Row],[Umowa]]="","Poza umową","Z umowy")</f>
        <v>Z umowy</v>
      </c>
      <c r="N504" s="2">
        <f>YEAR(Table14[[#This Row],[Data_Wystawienia]])</f>
        <v>2022</v>
      </c>
      <c r="O504" s="2" t="str">
        <f>TEXT(Table14[[#This Row],[Data_Wystawienia]],"rrrr-mm")</f>
        <v>2022-07</v>
      </c>
      <c r="P504" s="2">
        <v>1</v>
      </c>
    </row>
    <row r="505" spans="1:16" x14ac:dyDescent="0.3">
      <c r="A505" s="2" t="str">
        <f>TRIM(Table1[[#This Row],[Numer_FV]])</f>
        <v>FV/CENFA/900457/22</v>
      </c>
      <c r="B505" s="2" t="str">
        <f>TRIM(Table1[[#This Row],[Numer_PZ]])</f>
        <v>PZ/800503</v>
      </c>
      <c r="C505" s="2" t="str">
        <f>TRIM(Table1[[#This Row],[Dostawca]])</f>
        <v>CentrumFarm</v>
      </c>
      <c r="D505" s="3">
        <v>44748</v>
      </c>
      <c r="E505" s="4" t="s">
        <v>1533</v>
      </c>
      <c r="F505" s="2" t="str">
        <f>TRIM(Table1[[#This Row],[Status]])</f>
        <v>Zaakceptowana</v>
      </c>
      <c r="G505" s="2" t="str">
        <f>TRIM(Table1[[#This Row],[Typ]])</f>
        <v>Faktura VAT</v>
      </c>
      <c r="H505" s="2" t="str">
        <f>TRIM(Table1[[#This Row],[Magazyn]])</f>
        <v>Apteka Szpitalna</v>
      </c>
      <c r="I505" s="2" t="str">
        <f>TRIM(Table1[[#This Row],[Umowa]])</f>
        <v>UM-CEN-02</v>
      </c>
      <c r="J505" s="2" t="b">
        <f>ISTEXT(Table14[[#This Row],[Data_Wystawienia]])</f>
        <v>0</v>
      </c>
      <c r="K505" s="2">
        <f>VALUE(SUBSTITUTE(Table14[[#This Row],[Wartość]],".",","))</f>
        <v>19875.97</v>
      </c>
      <c r="L5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5" s="2" t="str">
        <f>IF(Table14[[#This Row],[Umowa]]="","Poza umową","Z umowy")</f>
        <v>Z umowy</v>
      </c>
      <c r="N505" s="2">
        <f>YEAR(Table14[[#This Row],[Data_Wystawienia]])</f>
        <v>2022</v>
      </c>
      <c r="O505" s="2" t="str">
        <f>TEXT(Table14[[#This Row],[Data_Wystawienia]],"rrrr-mm")</f>
        <v>2022-07</v>
      </c>
      <c r="P505" s="2">
        <v>1</v>
      </c>
    </row>
    <row r="506" spans="1:16" x14ac:dyDescent="0.3">
      <c r="A506" s="2" t="str">
        <f>TRIM(Table1[[#This Row],[Numer_FV]])</f>
        <v>FV/POL/46602/2022</v>
      </c>
      <c r="B506" s="2" t="str">
        <f>TRIM(Table1[[#This Row],[Numer_PZ]])</f>
        <v>PZ/800504</v>
      </c>
      <c r="C506" s="2" t="str">
        <f>TRIM(Table1[[#This Row],[Dostawca]])</f>
        <v>Polmedica</v>
      </c>
      <c r="D506" s="3">
        <v>44748</v>
      </c>
      <c r="E506" s="4" t="s">
        <v>1536</v>
      </c>
      <c r="F506" s="2" t="str">
        <f>TRIM(Table1[[#This Row],[Status]])</f>
        <v>Zaakceptowana</v>
      </c>
      <c r="G506" s="2" t="str">
        <f>TRIM(Table1[[#This Row],[Typ]])</f>
        <v>Faktura VAT</v>
      </c>
      <c r="H506" s="2" t="str">
        <f>TRIM(Table1[[#This Row],[Magazyn]])</f>
        <v>Apteka Szpitalna</v>
      </c>
      <c r="I506" s="2" t="str">
        <f>TRIM(Table1[[#This Row],[Umowa]])</f>
        <v>UM-POL-01</v>
      </c>
      <c r="J506" s="2" t="b">
        <f>ISTEXT(Table14[[#This Row],[Data_Wystawienia]])</f>
        <v>0</v>
      </c>
      <c r="K506" s="2">
        <f>VALUE(SUBSTITUTE(Table14[[#This Row],[Wartość]],".",","))</f>
        <v>10445.93</v>
      </c>
      <c r="L5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6" s="2" t="str">
        <f>IF(Table14[[#This Row],[Umowa]]="","Poza umową","Z umowy")</f>
        <v>Z umowy</v>
      </c>
      <c r="N506" s="2">
        <f>YEAR(Table14[[#This Row],[Data_Wystawienia]])</f>
        <v>2022</v>
      </c>
      <c r="O506" s="2" t="str">
        <f>TEXT(Table14[[#This Row],[Data_Wystawienia]],"rrrr-mm")</f>
        <v>2022-07</v>
      </c>
      <c r="P506" s="2">
        <v>1</v>
      </c>
    </row>
    <row r="507" spans="1:16" x14ac:dyDescent="0.3">
      <c r="A507" s="2" t="str">
        <f>TRIM(Table1[[#This Row],[Numer_FV]])</f>
        <v>FV/91/SAL/22</v>
      </c>
      <c r="B507" s="2" t="str">
        <f>TRIM(Table1[[#This Row],[Numer_PZ]])</f>
        <v>PZ/800505</v>
      </c>
      <c r="C507" s="2" t="str">
        <f>TRIM(Table1[[#This Row],[Dostawca]])</f>
        <v>SalusHurt</v>
      </c>
      <c r="D507" s="3">
        <v>44749</v>
      </c>
      <c r="E507" s="4" t="s">
        <v>1539</v>
      </c>
      <c r="F507" s="2" t="str">
        <f>TRIM(Table1[[#This Row],[Status]])</f>
        <v>Zaakceptowana</v>
      </c>
      <c r="G507" s="2" t="str">
        <f>TRIM(Table1[[#This Row],[Typ]])</f>
        <v>Faktura VAT</v>
      </c>
      <c r="H507" s="2" t="str">
        <f>TRIM(Table1[[#This Row],[Magazyn]])</f>
        <v>Apteka Szpitalna</v>
      </c>
      <c r="I507" s="2" t="str">
        <f>TRIM(Table1[[#This Row],[Umowa]])</f>
        <v>UM-SAL-01</v>
      </c>
      <c r="J507" s="2" t="b">
        <f>ISTEXT(Table14[[#This Row],[Data_Wystawienia]])</f>
        <v>0</v>
      </c>
      <c r="K507" s="2">
        <f>VALUE(SUBSTITUTE(Table14[[#This Row],[Wartość]],".",","))</f>
        <v>16311.89</v>
      </c>
      <c r="L5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7" s="2" t="str">
        <f>IF(Table14[[#This Row],[Umowa]]="","Poza umową","Z umowy")</f>
        <v>Z umowy</v>
      </c>
      <c r="N507" s="2">
        <f>YEAR(Table14[[#This Row],[Data_Wystawienia]])</f>
        <v>2022</v>
      </c>
      <c r="O507" s="2" t="str">
        <f>TEXT(Table14[[#This Row],[Data_Wystawienia]],"rrrr-mm")</f>
        <v>2022-07</v>
      </c>
      <c r="P507" s="2">
        <v>1</v>
      </c>
    </row>
    <row r="508" spans="1:16" x14ac:dyDescent="0.3">
      <c r="A508" s="2" t="str">
        <f>TRIM(Table1[[#This Row],[Numer_FV]])</f>
        <v>FV/CENFA/852243/22</v>
      </c>
      <c r="B508" s="2" t="str">
        <f>TRIM(Table1[[#This Row],[Numer_PZ]])</f>
        <v>PZ/800506</v>
      </c>
      <c r="C508" s="2" t="str">
        <f>TRIM(Table1[[#This Row],[Dostawca]])</f>
        <v>CentrumFarm</v>
      </c>
      <c r="D508" s="3">
        <v>44750</v>
      </c>
      <c r="E508" s="4" t="s">
        <v>1542</v>
      </c>
      <c r="F508" s="2" t="str">
        <f>TRIM(Table1[[#This Row],[Status]])</f>
        <v>Zaakceptowana</v>
      </c>
      <c r="G508" s="2" t="str">
        <f>TRIM(Table1[[#This Row],[Typ]])</f>
        <v>Faktura VAT</v>
      </c>
      <c r="H508" s="2" t="str">
        <f>TRIM(Table1[[#This Row],[Magazyn]])</f>
        <v>Apteka Szpitalna</v>
      </c>
      <c r="I508" s="2" t="str">
        <f>TRIM(Table1[[#This Row],[Umowa]])</f>
        <v>UM-CEN-02</v>
      </c>
      <c r="J508" s="2" t="b">
        <f>ISTEXT(Table14[[#This Row],[Data_Wystawienia]])</f>
        <v>0</v>
      </c>
      <c r="K508" s="2">
        <f>VALUE(SUBSTITUTE(Table14[[#This Row],[Wartość]],".",","))</f>
        <v>14184.33</v>
      </c>
      <c r="L5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8" s="2" t="str">
        <f>IF(Table14[[#This Row],[Umowa]]="","Poza umową","Z umowy")</f>
        <v>Z umowy</v>
      </c>
      <c r="N508" s="2">
        <f>YEAR(Table14[[#This Row],[Data_Wystawienia]])</f>
        <v>2022</v>
      </c>
      <c r="O508" s="2" t="str">
        <f>TEXT(Table14[[#This Row],[Data_Wystawienia]],"rrrr-mm")</f>
        <v>2022-07</v>
      </c>
      <c r="P508" s="2">
        <v>1</v>
      </c>
    </row>
    <row r="509" spans="1:16" x14ac:dyDescent="0.3">
      <c r="A509" s="2" t="str">
        <f>TRIM(Table1[[#This Row],[Numer_FV]])</f>
        <v>FV/8038/NOVA/22</v>
      </c>
      <c r="B509" s="2" t="str">
        <f>TRIM(Table1[[#This Row],[Numer_PZ]])</f>
        <v>PZ/800507</v>
      </c>
      <c r="C509" s="2" t="str">
        <f>TRIM(Table1[[#This Row],[Dostawca]])</f>
        <v>NovaLek</v>
      </c>
      <c r="D509" s="3">
        <v>44750</v>
      </c>
      <c r="E509" s="4" t="s">
        <v>1545</v>
      </c>
      <c r="F509" s="2" t="str">
        <f>TRIM(Table1[[#This Row],[Status]])</f>
        <v>Zaakceptowana</v>
      </c>
      <c r="G509" s="2" t="str">
        <f>TRIM(Table1[[#This Row],[Typ]])</f>
        <v>Faktura VAT</v>
      </c>
      <c r="H509" s="2" t="str">
        <f>TRIM(Table1[[#This Row],[Magazyn]])</f>
        <v>Apteka Szpitalna</v>
      </c>
      <c r="I509" s="2" t="str">
        <f>TRIM(Table1[[#This Row],[Umowa]])</f>
        <v>UM-NOV-02</v>
      </c>
      <c r="J509" s="2" t="b">
        <f>ISTEXT(Table14[[#This Row],[Data_Wystawienia]])</f>
        <v>0</v>
      </c>
      <c r="K509" s="2">
        <f>VALUE(SUBSTITUTE(Table14[[#This Row],[Wartość]],".",","))</f>
        <v>10587.79</v>
      </c>
      <c r="L5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09" s="2" t="str">
        <f>IF(Table14[[#This Row],[Umowa]]="","Poza umową","Z umowy")</f>
        <v>Z umowy</v>
      </c>
      <c r="N509" s="2">
        <f>YEAR(Table14[[#This Row],[Data_Wystawienia]])</f>
        <v>2022</v>
      </c>
      <c r="O509" s="2" t="str">
        <f>TEXT(Table14[[#This Row],[Data_Wystawienia]],"rrrr-mm")</f>
        <v>2022-07</v>
      </c>
      <c r="P509" s="2">
        <v>1</v>
      </c>
    </row>
    <row r="510" spans="1:16" x14ac:dyDescent="0.3">
      <c r="A510" s="2" t="str">
        <f>TRIM(Table1[[#This Row],[Numer_FV]])</f>
        <v>FV/68/SAL/22</v>
      </c>
      <c r="B510" s="2" t="str">
        <f>TRIM(Table1[[#This Row],[Numer_PZ]])</f>
        <v>PZ/800508</v>
      </c>
      <c r="C510" s="2" t="str">
        <f>TRIM(Table1[[#This Row],[Dostawca]])</f>
        <v>SalusHurt</v>
      </c>
      <c r="D510" s="3">
        <v>44750</v>
      </c>
      <c r="E510" s="4" t="s">
        <v>1547</v>
      </c>
      <c r="F510" s="2" t="str">
        <f>TRIM(Table1[[#This Row],[Status]])</f>
        <v>Zaakceptowana</v>
      </c>
      <c r="G510" s="2" t="str">
        <f>TRIM(Table1[[#This Row],[Typ]])</f>
        <v>Faktura VAT</v>
      </c>
      <c r="H510" s="2" t="str">
        <f>TRIM(Table1[[#This Row],[Magazyn]])</f>
        <v>Apteka Szpitalna</v>
      </c>
      <c r="I510" s="2" t="str">
        <f>TRIM(Table1[[#This Row],[Umowa]])</f>
        <v>UM-SAL-02</v>
      </c>
      <c r="J510" s="2" t="b">
        <f>ISTEXT(Table14[[#This Row],[Data_Wystawienia]])</f>
        <v>0</v>
      </c>
      <c r="K510" s="2">
        <f>VALUE(SUBSTITUTE(Table14[[#This Row],[Wartość]],".",","))</f>
        <v>10812.54</v>
      </c>
      <c r="L5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0" s="2" t="str">
        <f>IF(Table14[[#This Row],[Umowa]]="","Poza umową","Z umowy")</f>
        <v>Z umowy</v>
      </c>
      <c r="N510" s="2">
        <f>YEAR(Table14[[#This Row],[Data_Wystawienia]])</f>
        <v>2022</v>
      </c>
      <c r="O510" s="2" t="str">
        <f>TEXT(Table14[[#This Row],[Data_Wystawienia]],"rrrr-mm")</f>
        <v>2022-07</v>
      </c>
      <c r="P510" s="2">
        <v>1</v>
      </c>
    </row>
    <row r="511" spans="1:16" x14ac:dyDescent="0.3">
      <c r="A511" s="2" t="str">
        <f>TRIM(Table1[[#This Row],[Numer_FV]])</f>
        <v>FV/81/PP/8686/22</v>
      </c>
      <c r="B511" s="2" t="str">
        <f>TRIM(Table1[[#This Row],[Numer_PZ]])</f>
        <v>PZ/800509</v>
      </c>
      <c r="C511" s="2" t="str">
        <f>TRIM(Table1[[#This Row],[Dostawca]])</f>
        <v>PharmaPlus</v>
      </c>
      <c r="D511" s="3">
        <v>44750</v>
      </c>
      <c r="E511" s="4" t="s">
        <v>1550</v>
      </c>
      <c r="F511" s="2" t="str">
        <f>TRIM(Table1[[#This Row],[Status]])</f>
        <v>Zaakceptowana</v>
      </c>
      <c r="G511" s="2" t="str">
        <f>TRIM(Table1[[#This Row],[Typ]])</f>
        <v>Faktura VAT</v>
      </c>
      <c r="H511" s="2" t="str">
        <f>TRIM(Table1[[#This Row],[Magazyn]])</f>
        <v>Apteka Szpitalna</v>
      </c>
      <c r="I511" s="2" t="str">
        <f>TRIM(Table1[[#This Row],[Umowa]])</f>
        <v/>
      </c>
      <c r="J511" s="2" t="b">
        <f>ISTEXT(Table14[[#This Row],[Data_Wystawienia]])</f>
        <v>0</v>
      </c>
      <c r="K511" s="2">
        <f>VALUE(SUBSTITUTE(Table14[[#This Row],[Wartość]],".",","))</f>
        <v>15570.46</v>
      </c>
      <c r="L5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1" s="2" t="str">
        <f>IF(Table14[[#This Row],[Umowa]]="","Poza umową","Z umowy")</f>
        <v>Poza umową</v>
      </c>
      <c r="N511" s="2">
        <f>YEAR(Table14[[#This Row],[Data_Wystawienia]])</f>
        <v>2022</v>
      </c>
      <c r="O511" s="2" t="str">
        <f>TEXT(Table14[[#This Row],[Data_Wystawienia]],"rrrr-mm")</f>
        <v>2022-07</v>
      </c>
      <c r="P511" s="2">
        <v>1</v>
      </c>
    </row>
    <row r="512" spans="1:16" x14ac:dyDescent="0.3">
      <c r="A512" s="2" t="str">
        <f>TRIM(Table1[[#This Row],[Numer_FV]])</f>
        <v>FV/81234/VDb/2022</v>
      </c>
      <c r="B512" s="2" t="str">
        <f>TRIM(Table1[[#This Row],[Numer_PZ]])</f>
        <v>PZ/800510</v>
      </c>
      <c r="C512" s="2" t="str">
        <f>TRIM(Table1[[#This Row],[Dostawca]])</f>
        <v>VitaDistrib</v>
      </c>
      <c r="D512" s="3">
        <v>44750</v>
      </c>
      <c r="E512" s="4" t="s">
        <v>1553</v>
      </c>
      <c r="F512" s="2" t="str">
        <f>TRIM(Table1[[#This Row],[Status]])</f>
        <v>Zaakceptowana</v>
      </c>
      <c r="G512" s="2" t="str">
        <f>TRIM(Table1[[#This Row],[Typ]])</f>
        <v>Faktura VAT</v>
      </c>
      <c r="H512" s="2" t="str">
        <f>TRIM(Table1[[#This Row],[Magazyn]])</f>
        <v>Apteka Szpitalna</v>
      </c>
      <c r="I512" s="2" t="str">
        <f>TRIM(Table1[[#This Row],[Umowa]])</f>
        <v>UM-VIT-01</v>
      </c>
      <c r="J512" s="2" t="b">
        <f>ISTEXT(Table14[[#This Row],[Data_Wystawienia]])</f>
        <v>0</v>
      </c>
      <c r="K512" s="2">
        <f>VALUE(SUBSTITUTE(Table14[[#This Row],[Wartość]],".",","))</f>
        <v>14812.48</v>
      </c>
      <c r="L5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2" s="2" t="str">
        <f>IF(Table14[[#This Row],[Umowa]]="","Poza umową","Z umowy")</f>
        <v>Z umowy</v>
      </c>
      <c r="N512" s="2">
        <f>YEAR(Table14[[#This Row],[Data_Wystawienia]])</f>
        <v>2022</v>
      </c>
      <c r="O512" s="2" t="str">
        <f>TEXT(Table14[[#This Row],[Data_Wystawienia]],"rrrr-mm")</f>
        <v>2022-07</v>
      </c>
      <c r="P512" s="2">
        <v>1</v>
      </c>
    </row>
    <row r="513" spans="1:16" x14ac:dyDescent="0.3">
      <c r="A513" s="2" t="str">
        <f>TRIM(Table1[[#This Row],[Numer_FV]])</f>
        <v>FV/16644/VDb/2022</v>
      </c>
      <c r="B513" s="2" t="str">
        <f>TRIM(Table1[[#This Row],[Numer_PZ]])</f>
        <v>PZ/800511</v>
      </c>
      <c r="C513" s="2" t="str">
        <f>TRIM(Table1[[#This Row],[Dostawca]])</f>
        <v>VitaDistrib</v>
      </c>
      <c r="D513" s="3">
        <v>44750</v>
      </c>
      <c r="E513" s="4" t="s">
        <v>1556</v>
      </c>
      <c r="F513" s="2" t="str">
        <f>TRIM(Table1[[#This Row],[Status]])</f>
        <v>Zaakceptowana</v>
      </c>
      <c r="G513" s="2" t="str">
        <f>TRIM(Table1[[#This Row],[Typ]])</f>
        <v>Faktura VAT</v>
      </c>
      <c r="H513" s="2" t="str">
        <f>TRIM(Table1[[#This Row],[Magazyn]])</f>
        <v>Apteka Szpitalna</v>
      </c>
      <c r="I513" s="2" t="str">
        <f>TRIM(Table1[[#This Row],[Umowa]])</f>
        <v>UM-VIT-01</v>
      </c>
      <c r="J513" s="2" t="b">
        <f>ISTEXT(Table14[[#This Row],[Data_Wystawienia]])</f>
        <v>0</v>
      </c>
      <c r="K513" s="2">
        <f>VALUE(SUBSTITUTE(Table14[[#This Row],[Wartość]],".",","))</f>
        <v>15644.49</v>
      </c>
      <c r="L5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3" s="2" t="str">
        <f>IF(Table14[[#This Row],[Umowa]]="","Poza umową","Z umowy")</f>
        <v>Z umowy</v>
      </c>
      <c r="N513" s="2">
        <f>YEAR(Table14[[#This Row],[Data_Wystawienia]])</f>
        <v>2022</v>
      </c>
      <c r="O513" s="2" t="str">
        <f>TEXT(Table14[[#This Row],[Data_Wystawienia]],"rrrr-mm")</f>
        <v>2022-07</v>
      </c>
      <c r="P513" s="2">
        <v>1</v>
      </c>
    </row>
    <row r="514" spans="1:16" x14ac:dyDescent="0.3">
      <c r="A514" s="2" t="str">
        <f>TRIM(Table1[[#This Row],[Numer_FV]])</f>
        <v>FV/7298HM/22</v>
      </c>
      <c r="B514" s="2" t="str">
        <f>TRIM(Table1[[#This Row],[Numer_PZ]])</f>
        <v>PZ/800512</v>
      </c>
      <c r="C514" s="2" t="str">
        <f>TRIM(Table1[[#This Row],[Dostawca]])</f>
        <v>HurtMedix</v>
      </c>
      <c r="D514" s="3">
        <v>44750</v>
      </c>
      <c r="E514" s="4" t="s">
        <v>1559</v>
      </c>
      <c r="F514" s="2" t="str">
        <f>TRIM(Table1[[#This Row],[Status]])</f>
        <v>Zaakceptowana</v>
      </c>
      <c r="G514" s="2" t="str">
        <f>TRIM(Table1[[#This Row],[Typ]])</f>
        <v>Korekta FV</v>
      </c>
      <c r="H514" s="2" t="str">
        <f>TRIM(Table1[[#This Row],[Magazyn]])</f>
        <v>Apteka Szpitalna</v>
      </c>
      <c r="I514" s="2" t="str">
        <f>TRIM(Table1[[#This Row],[Umowa]])</f>
        <v>UM-HUR-03</v>
      </c>
      <c r="J514" s="2" t="b">
        <f>ISTEXT(Table14[[#This Row],[Data_Wystawienia]])</f>
        <v>0</v>
      </c>
      <c r="K514" s="2">
        <f>VALUE(SUBSTITUTE(Table14[[#This Row],[Wartość]],".",","))</f>
        <v>-1108.2</v>
      </c>
      <c r="L5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4" s="2" t="str">
        <f>IF(Table14[[#This Row],[Umowa]]="","Poza umową","Z umowy")</f>
        <v>Z umowy</v>
      </c>
      <c r="N514" s="2">
        <f>YEAR(Table14[[#This Row],[Data_Wystawienia]])</f>
        <v>2022</v>
      </c>
      <c r="O514" s="2" t="str">
        <f>TEXT(Table14[[#This Row],[Data_Wystawienia]],"rrrr-mm")</f>
        <v>2022-07</v>
      </c>
      <c r="P514" s="2">
        <v>1</v>
      </c>
    </row>
    <row r="515" spans="1:16" x14ac:dyDescent="0.3">
      <c r="A515" s="2" t="str">
        <f>TRIM(Table1[[#This Row],[Numer_FV]])</f>
        <v>FV/51/SAL/22</v>
      </c>
      <c r="B515" s="2" t="str">
        <f>TRIM(Table1[[#This Row],[Numer_PZ]])</f>
        <v>PZ/800513</v>
      </c>
      <c r="C515" s="2" t="str">
        <f>TRIM(Table1[[#This Row],[Dostawca]])</f>
        <v>SalusHurt</v>
      </c>
      <c r="D515" s="3">
        <v>44751</v>
      </c>
      <c r="E515" s="4" t="s">
        <v>1561</v>
      </c>
      <c r="F515" s="2" t="str">
        <f>TRIM(Table1[[#This Row],[Status]])</f>
        <v>Zaakceptowana</v>
      </c>
      <c r="G515" s="2" t="str">
        <f>TRIM(Table1[[#This Row],[Typ]])</f>
        <v>Faktura VAT</v>
      </c>
      <c r="H515" s="2" t="str">
        <f>TRIM(Table1[[#This Row],[Magazyn]])</f>
        <v>Apteka Szpitalna</v>
      </c>
      <c r="I515" s="2" t="str">
        <f>TRIM(Table1[[#This Row],[Umowa]])</f>
        <v>UM-SAL-02</v>
      </c>
      <c r="J515" s="2" t="b">
        <f>ISTEXT(Table14[[#This Row],[Data_Wystawienia]])</f>
        <v>0</v>
      </c>
      <c r="K515" s="2">
        <f>VALUE(SUBSTITUTE(Table14[[#This Row],[Wartość]],".",","))</f>
        <v>18435.650000000001</v>
      </c>
      <c r="L5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5" s="2" t="str">
        <f>IF(Table14[[#This Row],[Umowa]]="","Poza umową","Z umowy")</f>
        <v>Z umowy</v>
      </c>
      <c r="N515" s="2">
        <f>YEAR(Table14[[#This Row],[Data_Wystawienia]])</f>
        <v>2022</v>
      </c>
      <c r="O515" s="2" t="str">
        <f>TEXT(Table14[[#This Row],[Data_Wystawienia]],"rrrr-mm")</f>
        <v>2022-07</v>
      </c>
      <c r="P515" s="2">
        <v>1</v>
      </c>
    </row>
    <row r="516" spans="1:16" x14ac:dyDescent="0.3">
      <c r="A516" s="2" t="str">
        <f>TRIM(Table1[[#This Row],[Numer_FV]])</f>
        <v>FV/6659HM/22</v>
      </c>
      <c r="B516" s="2" t="str">
        <f>TRIM(Table1[[#This Row],[Numer_PZ]])</f>
        <v>PZ/800514</v>
      </c>
      <c r="C516" s="2" t="str">
        <f>TRIM(Table1[[#This Row],[Dostawca]])</f>
        <v>HurtMedix</v>
      </c>
      <c r="D516" s="3">
        <v>44752</v>
      </c>
      <c r="E516" s="4" t="s">
        <v>1564</v>
      </c>
      <c r="F516" s="2" t="str">
        <f>TRIM(Table1[[#This Row],[Status]])</f>
        <v>Zaakceptowana</v>
      </c>
      <c r="G516" s="2" t="str">
        <f>TRIM(Table1[[#This Row],[Typ]])</f>
        <v>Faktura VAT</v>
      </c>
      <c r="H516" s="2" t="str">
        <f>TRIM(Table1[[#This Row],[Magazyn]])</f>
        <v>Apteka Szpitalna</v>
      </c>
      <c r="I516" s="2" t="str">
        <f>TRIM(Table1[[#This Row],[Umowa]])</f>
        <v>UM-HUR-01</v>
      </c>
      <c r="J516" s="2" t="b">
        <f>ISTEXT(Table14[[#This Row],[Data_Wystawienia]])</f>
        <v>0</v>
      </c>
      <c r="K516" s="2">
        <f>VALUE(SUBSTITUTE(Table14[[#This Row],[Wartość]],".",","))</f>
        <v>11398.07</v>
      </c>
      <c r="L5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6" s="2" t="str">
        <f>IF(Table14[[#This Row],[Umowa]]="","Poza umową","Z umowy")</f>
        <v>Z umowy</v>
      </c>
      <c r="N516" s="2">
        <f>YEAR(Table14[[#This Row],[Data_Wystawienia]])</f>
        <v>2022</v>
      </c>
      <c r="O516" s="2" t="str">
        <f>TEXT(Table14[[#This Row],[Data_Wystawienia]],"rrrr-mm")</f>
        <v>2022-07</v>
      </c>
      <c r="P516" s="2">
        <v>1</v>
      </c>
    </row>
    <row r="517" spans="1:16" x14ac:dyDescent="0.3">
      <c r="A517" s="2" t="str">
        <f>TRIM(Table1[[#This Row],[Numer_FV]])</f>
        <v>FV/82/PP/7149/22</v>
      </c>
      <c r="B517" s="2" t="str">
        <f>TRIM(Table1[[#This Row],[Numer_PZ]])</f>
        <v>PZ/800515</v>
      </c>
      <c r="C517" s="2" t="str">
        <f>TRIM(Table1[[#This Row],[Dostawca]])</f>
        <v>PharmaPlus</v>
      </c>
      <c r="D517" s="3">
        <v>44752</v>
      </c>
      <c r="E517" s="4" t="s">
        <v>1567</v>
      </c>
      <c r="F517" s="2" t="str">
        <f>TRIM(Table1[[#This Row],[Status]])</f>
        <v>Zaakceptowana</v>
      </c>
      <c r="G517" s="2" t="str">
        <f>TRIM(Table1[[#This Row],[Typ]])</f>
        <v>Faktura VAT</v>
      </c>
      <c r="H517" s="2" t="str">
        <f>TRIM(Table1[[#This Row],[Magazyn]])</f>
        <v>Apteka Szpitalna</v>
      </c>
      <c r="I517" s="2" t="str">
        <f>TRIM(Table1[[#This Row],[Umowa]])</f>
        <v>UM-PHA-02</v>
      </c>
      <c r="J517" s="2" t="b">
        <f>ISTEXT(Table14[[#This Row],[Data_Wystawienia]])</f>
        <v>0</v>
      </c>
      <c r="K517" s="2">
        <f>VALUE(SUBSTITUTE(Table14[[#This Row],[Wartość]],".",","))</f>
        <v>15531.01</v>
      </c>
      <c r="L5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7" s="2" t="str">
        <f>IF(Table14[[#This Row],[Umowa]]="","Poza umową","Z umowy")</f>
        <v>Z umowy</v>
      </c>
      <c r="N517" s="2">
        <f>YEAR(Table14[[#This Row],[Data_Wystawienia]])</f>
        <v>2022</v>
      </c>
      <c r="O517" s="2" t="str">
        <f>TEXT(Table14[[#This Row],[Data_Wystawienia]],"rrrr-mm")</f>
        <v>2022-07</v>
      </c>
      <c r="P517" s="2">
        <v>1</v>
      </c>
    </row>
    <row r="518" spans="1:16" x14ac:dyDescent="0.3">
      <c r="A518" s="2" t="str">
        <f>TRIM(Table1[[#This Row],[Numer_FV]])</f>
        <v>FV/4106/NOVA/22</v>
      </c>
      <c r="B518" s="2" t="str">
        <f>TRIM(Table1[[#This Row],[Numer_PZ]])</f>
        <v>PZ/800516</v>
      </c>
      <c r="C518" s="2" t="str">
        <f>TRIM(Table1[[#This Row],[Dostawca]])</f>
        <v>NovaLek</v>
      </c>
      <c r="D518" s="3">
        <v>44752</v>
      </c>
      <c r="E518" s="4" t="s">
        <v>1570</v>
      </c>
      <c r="F518" s="2" t="str">
        <f>TRIM(Table1[[#This Row],[Status]])</f>
        <v>Zaakceptowana</v>
      </c>
      <c r="G518" s="2" t="str">
        <f>TRIM(Table1[[#This Row],[Typ]])</f>
        <v>Faktura VAT</v>
      </c>
      <c r="H518" s="2" t="str">
        <f>TRIM(Table1[[#This Row],[Magazyn]])</f>
        <v>Apteka Szpitalna</v>
      </c>
      <c r="I518" s="2" t="str">
        <f>TRIM(Table1[[#This Row],[Umowa]])</f>
        <v>UM-NOV-03</v>
      </c>
      <c r="J518" s="2" t="b">
        <f>ISTEXT(Table14[[#This Row],[Data_Wystawienia]])</f>
        <v>0</v>
      </c>
      <c r="K518" s="2">
        <f>VALUE(SUBSTITUTE(Table14[[#This Row],[Wartość]],".",","))</f>
        <v>17494.95</v>
      </c>
      <c r="L5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8" s="2" t="str">
        <f>IF(Table14[[#This Row],[Umowa]]="","Poza umową","Z umowy")</f>
        <v>Z umowy</v>
      </c>
      <c r="N518" s="2">
        <f>YEAR(Table14[[#This Row],[Data_Wystawienia]])</f>
        <v>2022</v>
      </c>
      <c r="O518" s="2" t="str">
        <f>TEXT(Table14[[#This Row],[Data_Wystawienia]],"rrrr-mm")</f>
        <v>2022-07</v>
      </c>
      <c r="P518" s="2">
        <v>1</v>
      </c>
    </row>
    <row r="519" spans="1:16" x14ac:dyDescent="0.3">
      <c r="A519" s="2" t="str">
        <f>TRIM(Table1[[#This Row],[Numer_FV]])</f>
        <v>FV/POL/68257/2022</v>
      </c>
      <c r="B519" s="2" t="str">
        <f>TRIM(Table1[[#This Row],[Numer_PZ]])</f>
        <v>PZ/800517</v>
      </c>
      <c r="C519" s="2" t="str">
        <f>TRIM(Table1[[#This Row],[Dostawca]])</f>
        <v>Polmedica</v>
      </c>
      <c r="D519" s="3">
        <v>44752</v>
      </c>
      <c r="E519" s="4" t="s">
        <v>1573</v>
      </c>
      <c r="F519" s="2" t="str">
        <f>TRIM(Table1[[#This Row],[Status]])</f>
        <v>Zaakceptowana</v>
      </c>
      <c r="G519" s="2" t="str">
        <f>TRIM(Table1[[#This Row],[Typ]])</f>
        <v>Faktura VAT</v>
      </c>
      <c r="H519" s="2" t="str">
        <f>TRIM(Table1[[#This Row],[Magazyn]])</f>
        <v>Apteka Szpitalna</v>
      </c>
      <c r="I519" s="2" t="str">
        <f>TRIM(Table1[[#This Row],[Umowa]])</f>
        <v>UM-POL-01</v>
      </c>
      <c r="J519" s="2" t="b">
        <f>ISTEXT(Table14[[#This Row],[Data_Wystawienia]])</f>
        <v>0</v>
      </c>
      <c r="K519" s="2">
        <f>VALUE(SUBSTITUTE(Table14[[#This Row],[Wartość]],".",","))</f>
        <v>11441.12</v>
      </c>
      <c r="L5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19" s="2" t="str">
        <f>IF(Table14[[#This Row],[Umowa]]="","Poza umową","Z umowy")</f>
        <v>Z umowy</v>
      </c>
      <c r="N519" s="2">
        <f>YEAR(Table14[[#This Row],[Data_Wystawienia]])</f>
        <v>2022</v>
      </c>
      <c r="O519" s="2" t="str">
        <f>TEXT(Table14[[#This Row],[Data_Wystawienia]],"rrrr-mm")</f>
        <v>2022-07</v>
      </c>
      <c r="P519" s="2">
        <v>1</v>
      </c>
    </row>
    <row r="520" spans="1:16" x14ac:dyDescent="0.3">
      <c r="A520" s="2" t="str">
        <f>TRIM(Table1[[#This Row],[Numer_FV]])</f>
        <v>FV/22/PP/3218/22</v>
      </c>
      <c r="B520" s="2" t="str">
        <f>TRIM(Table1[[#This Row],[Numer_PZ]])</f>
        <v>PZ/800518</v>
      </c>
      <c r="C520" s="2" t="str">
        <f>TRIM(Table1[[#This Row],[Dostawca]])</f>
        <v>PharmaPlus</v>
      </c>
      <c r="D520" s="3">
        <v>44752</v>
      </c>
      <c r="E520" s="4" t="s">
        <v>1576</v>
      </c>
      <c r="F520" s="2" t="str">
        <f>TRIM(Table1[[#This Row],[Status]])</f>
        <v>Zaakceptowana</v>
      </c>
      <c r="G520" s="2" t="str">
        <f>TRIM(Table1[[#This Row],[Typ]])</f>
        <v>Faktura VAT</v>
      </c>
      <c r="H520" s="2" t="str">
        <f>TRIM(Table1[[#This Row],[Magazyn]])</f>
        <v>Apteka Szpitalna</v>
      </c>
      <c r="I520" s="2" t="str">
        <f>TRIM(Table1[[#This Row],[Umowa]])</f>
        <v/>
      </c>
      <c r="J520" s="2" t="b">
        <f>ISTEXT(Table14[[#This Row],[Data_Wystawienia]])</f>
        <v>0</v>
      </c>
      <c r="K520" s="2">
        <f>VALUE(SUBSTITUTE(Table14[[#This Row],[Wartość]],".",","))</f>
        <v>14251</v>
      </c>
      <c r="L5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0" s="2" t="str">
        <f>IF(Table14[[#This Row],[Umowa]]="","Poza umową","Z umowy")</f>
        <v>Poza umową</v>
      </c>
      <c r="N520" s="2">
        <f>YEAR(Table14[[#This Row],[Data_Wystawienia]])</f>
        <v>2022</v>
      </c>
      <c r="O520" s="2" t="str">
        <f>TEXT(Table14[[#This Row],[Data_Wystawienia]],"rrrr-mm")</f>
        <v>2022-07</v>
      </c>
      <c r="P520" s="2">
        <v>1</v>
      </c>
    </row>
    <row r="521" spans="1:16" x14ac:dyDescent="0.3">
      <c r="A521" s="2" t="str">
        <f>TRIM(Table1[[#This Row],[Numer_FV]])</f>
        <v>FV/84/PP/3153/22</v>
      </c>
      <c r="B521" s="2" t="str">
        <f>TRIM(Table1[[#This Row],[Numer_PZ]])</f>
        <v>PZ/800519</v>
      </c>
      <c r="C521" s="2" t="str">
        <f>TRIM(Table1[[#This Row],[Dostawca]])</f>
        <v>PharmaPlus</v>
      </c>
      <c r="D521" s="3">
        <v>44752</v>
      </c>
      <c r="E521" s="4" t="s">
        <v>1579</v>
      </c>
      <c r="F521" s="2" t="str">
        <f>TRIM(Table1[[#This Row],[Status]])</f>
        <v>Zaakceptowana</v>
      </c>
      <c r="G521" s="2" t="str">
        <f>TRIM(Table1[[#This Row],[Typ]])</f>
        <v>Korekta FV</v>
      </c>
      <c r="H521" s="2" t="str">
        <f>TRIM(Table1[[#This Row],[Magazyn]])</f>
        <v>Apteka Szpitalna</v>
      </c>
      <c r="I521" s="2" t="str">
        <f>TRIM(Table1[[#This Row],[Umowa]])</f>
        <v>UM-PHA-02</v>
      </c>
      <c r="J521" s="2" t="b">
        <f>ISTEXT(Table14[[#This Row],[Data_Wystawienia]])</f>
        <v>0</v>
      </c>
      <c r="K521" s="2">
        <f>VALUE(SUBSTITUTE(Table14[[#This Row],[Wartość]],".",","))</f>
        <v>-947.4</v>
      </c>
      <c r="L5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1" s="2" t="str">
        <f>IF(Table14[[#This Row],[Umowa]]="","Poza umową","Z umowy")</f>
        <v>Z umowy</v>
      </c>
      <c r="N521" s="2">
        <f>YEAR(Table14[[#This Row],[Data_Wystawienia]])</f>
        <v>2022</v>
      </c>
      <c r="O521" s="2" t="str">
        <f>TEXT(Table14[[#This Row],[Data_Wystawienia]],"rrrr-mm")</f>
        <v>2022-07</v>
      </c>
      <c r="P521" s="2">
        <v>1</v>
      </c>
    </row>
    <row r="522" spans="1:16" x14ac:dyDescent="0.3">
      <c r="A522" s="2" t="str">
        <f>TRIM(Table1[[#This Row],[Numer_FV]])</f>
        <v>FV/3698HM/22</v>
      </c>
      <c r="B522" s="2" t="str">
        <f>TRIM(Table1[[#This Row],[Numer_PZ]])</f>
        <v>PZ/800520</v>
      </c>
      <c r="C522" s="2" t="str">
        <f>TRIM(Table1[[#This Row],[Dostawca]])</f>
        <v>HurtMedix</v>
      </c>
      <c r="D522" s="3">
        <v>44753</v>
      </c>
      <c r="E522" s="4" t="s">
        <v>1582</v>
      </c>
      <c r="F522" s="2" t="str">
        <f>TRIM(Table1[[#This Row],[Status]])</f>
        <v>Zaakceptowana</v>
      </c>
      <c r="G522" s="2" t="str">
        <f>TRIM(Table1[[#This Row],[Typ]])</f>
        <v>Faktura VAT</v>
      </c>
      <c r="H522" s="2" t="str">
        <f>TRIM(Table1[[#This Row],[Magazyn]])</f>
        <v>Apteka Szpitalna</v>
      </c>
      <c r="I522" s="2" t="str">
        <f>TRIM(Table1[[#This Row],[Umowa]])</f>
        <v/>
      </c>
      <c r="J522" s="2" t="b">
        <f>ISTEXT(Table14[[#This Row],[Data_Wystawienia]])</f>
        <v>0</v>
      </c>
      <c r="K522" s="2">
        <f>VALUE(SUBSTITUTE(Table14[[#This Row],[Wartość]],".",","))</f>
        <v>18474.71</v>
      </c>
      <c r="L5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2" s="2" t="str">
        <f>IF(Table14[[#This Row],[Umowa]]="","Poza umową","Z umowy")</f>
        <v>Poza umową</v>
      </c>
      <c r="N522" s="2">
        <f>YEAR(Table14[[#This Row],[Data_Wystawienia]])</f>
        <v>2022</v>
      </c>
      <c r="O522" s="2" t="str">
        <f>TEXT(Table14[[#This Row],[Data_Wystawienia]],"rrrr-mm")</f>
        <v>2022-07</v>
      </c>
      <c r="P522" s="2">
        <v>1</v>
      </c>
    </row>
    <row r="523" spans="1:16" x14ac:dyDescent="0.3">
      <c r="A523" s="2" t="str">
        <f>TRIM(Table1[[#This Row],[Numer_FV]])</f>
        <v>FV/POL/27213/2022</v>
      </c>
      <c r="B523" s="2" t="str">
        <f>TRIM(Table1[[#This Row],[Numer_PZ]])</f>
        <v>PZ/800521</v>
      </c>
      <c r="C523" s="2" t="str">
        <f>TRIM(Table1[[#This Row],[Dostawca]])</f>
        <v>Polmedica</v>
      </c>
      <c r="D523" s="3">
        <v>44753</v>
      </c>
      <c r="E523" s="4" t="s">
        <v>1585</v>
      </c>
      <c r="F523" s="2" t="str">
        <f>TRIM(Table1[[#This Row],[Status]])</f>
        <v>Zaakceptowana</v>
      </c>
      <c r="G523" s="2" t="str">
        <f>TRIM(Table1[[#This Row],[Typ]])</f>
        <v>Faktura VAT</v>
      </c>
      <c r="H523" s="2" t="str">
        <f>TRIM(Table1[[#This Row],[Magazyn]])</f>
        <v>Apteka Szpitalna</v>
      </c>
      <c r="I523" s="2" t="str">
        <f>TRIM(Table1[[#This Row],[Umowa]])</f>
        <v>UM-POL-01</v>
      </c>
      <c r="J523" s="2" t="b">
        <f>ISTEXT(Table14[[#This Row],[Data_Wystawienia]])</f>
        <v>0</v>
      </c>
      <c r="K523" s="2">
        <f>VALUE(SUBSTITUTE(Table14[[#This Row],[Wartość]],".",","))</f>
        <v>11516.88</v>
      </c>
      <c r="L5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3" s="2" t="str">
        <f>IF(Table14[[#This Row],[Umowa]]="","Poza umową","Z umowy")</f>
        <v>Z umowy</v>
      </c>
      <c r="N523" s="2">
        <f>YEAR(Table14[[#This Row],[Data_Wystawienia]])</f>
        <v>2022</v>
      </c>
      <c r="O523" s="2" t="str">
        <f>TEXT(Table14[[#This Row],[Data_Wystawienia]],"rrrr-mm")</f>
        <v>2022-07</v>
      </c>
      <c r="P523" s="2">
        <v>1</v>
      </c>
    </row>
    <row r="524" spans="1:16" x14ac:dyDescent="0.3">
      <c r="A524" s="2" t="str">
        <f>TRIM(Table1[[#This Row],[Numer_FV]])</f>
        <v>FV/3767HM/22</v>
      </c>
      <c r="B524" s="2" t="str">
        <f>TRIM(Table1[[#This Row],[Numer_PZ]])</f>
        <v>PZ/800522</v>
      </c>
      <c r="C524" s="2" t="str">
        <f>TRIM(Table1[[#This Row],[Dostawca]])</f>
        <v>HurtMedix</v>
      </c>
      <c r="D524" s="3">
        <v>44754</v>
      </c>
      <c r="E524" s="4" t="s">
        <v>1588</v>
      </c>
      <c r="F524" s="2" t="str">
        <f>TRIM(Table1[[#This Row],[Status]])</f>
        <v>Zaakceptowana</v>
      </c>
      <c r="G524" s="2" t="str">
        <f>TRIM(Table1[[#This Row],[Typ]])</f>
        <v>Faktura VAT</v>
      </c>
      <c r="H524" s="2" t="str">
        <f>TRIM(Table1[[#This Row],[Magazyn]])</f>
        <v>Apteka Szpitalna</v>
      </c>
      <c r="I524" s="2" t="str">
        <f>TRIM(Table1[[#This Row],[Umowa]])</f>
        <v>UM-HUR-01</v>
      </c>
      <c r="J524" s="2" t="b">
        <f>ISTEXT(Table14[[#This Row],[Data_Wystawienia]])</f>
        <v>0</v>
      </c>
      <c r="K524" s="2">
        <f>VALUE(SUBSTITUTE(Table14[[#This Row],[Wartość]],".",","))</f>
        <v>8942.1299999999992</v>
      </c>
      <c r="L5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4" s="2" t="str">
        <f>IF(Table14[[#This Row],[Umowa]]="","Poza umową","Z umowy")</f>
        <v>Z umowy</v>
      </c>
      <c r="N524" s="2">
        <f>YEAR(Table14[[#This Row],[Data_Wystawienia]])</f>
        <v>2022</v>
      </c>
      <c r="O524" s="2" t="str">
        <f>TEXT(Table14[[#This Row],[Data_Wystawienia]],"rrrr-mm")</f>
        <v>2022-07</v>
      </c>
      <c r="P524" s="2">
        <v>1</v>
      </c>
    </row>
    <row r="525" spans="1:16" x14ac:dyDescent="0.3">
      <c r="A525" s="2" t="str">
        <f>TRIM(Table1[[#This Row],[Numer_FV]])</f>
        <v>FV/CENFA/206100/22</v>
      </c>
      <c r="B525" s="2" t="str">
        <f>TRIM(Table1[[#This Row],[Numer_PZ]])</f>
        <v>PZ/800523</v>
      </c>
      <c r="C525" s="2" t="str">
        <f>TRIM(Table1[[#This Row],[Dostawca]])</f>
        <v>CentrumFarm</v>
      </c>
      <c r="D525" s="3">
        <v>44754</v>
      </c>
      <c r="E525" s="4" t="s">
        <v>1591</v>
      </c>
      <c r="F525" s="2" t="str">
        <f>TRIM(Table1[[#This Row],[Status]])</f>
        <v>Zaakceptowana</v>
      </c>
      <c r="G525" s="2" t="str">
        <f>TRIM(Table1[[#This Row],[Typ]])</f>
        <v>Faktura VAT</v>
      </c>
      <c r="H525" s="2" t="str">
        <f>TRIM(Table1[[#This Row],[Magazyn]])</f>
        <v>Apteka Szpitalna</v>
      </c>
      <c r="I525" s="2" t="str">
        <f>TRIM(Table1[[#This Row],[Umowa]])</f>
        <v>UM-CEN-01</v>
      </c>
      <c r="J525" s="2" t="b">
        <f>ISTEXT(Table14[[#This Row],[Data_Wystawienia]])</f>
        <v>0</v>
      </c>
      <c r="K525" s="2">
        <f>VALUE(SUBSTITUTE(Table14[[#This Row],[Wartość]],".",","))</f>
        <v>16967.55</v>
      </c>
      <c r="L5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5" s="2" t="str">
        <f>IF(Table14[[#This Row],[Umowa]]="","Poza umową","Z umowy")</f>
        <v>Z umowy</v>
      </c>
      <c r="N525" s="2">
        <f>YEAR(Table14[[#This Row],[Data_Wystawienia]])</f>
        <v>2022</v>
      </c>
      <c r="O525" s="2" t="str">
        <f>TEXT(Table14[[#This Row],[Data_Wystawienia]],"rrrr-mm")</f>
        <v>2022-07</v>
      </c>
      <c r="P525" s="2">
        <v>1</v>
      </c>
    </row>
    <row r="526" spans="1:16" x14ac:dyDescent="0.3">
      <c r="A526" s="2" t="str">
        <f>TRIM(Table1[[#This Row],[Numer_FV]])</f>
        <v>FV/73/SAL/22</v>
      </c>
      <c r="B526" s="2" t="str">
        <f>TRIM(Table1[[#This Row],[Numer_PZ]])</f>
        <v>PZ/800524</v>
      </c>
      <c r="C526" s="2" t="str">
        <f>TRIM(Table1[[#This Row],[Dostawca]])</f>
        <v>SalusHurt</v>
      </c>
      <c r="D526" s="3">
        <v>44754</v>
      </c>
      <c r="E526" s="4" t="s">
        <v>1594</v>
      </c>
      <c r="F526" s="2" t="str">
        <f>TRIM(Table1[[#This Row],[Status]])</f>
        <v>Zaakceptowana</v>
      </c>
      <c r="G526" s="2" t="str">
        <f>TRIM(Table1[[#This Row],[Typ]])</f>
        <v>Faktura VAT</v>
      </c>
      <c r="H526" s="2" t="str">
        <f>TRIM(Table1[[#This Row],[Magazyn]])</f>
        <v>Apteka Szpitalna</v>
      </c>
      <c r="I526" s="2" t="str">
        <f>TRIM(Table1[[#This Row],[Umowa]])</f>
        <v>UM-SAL-02</v>
      </c>
      <c r="J526" s="2" t="b">
        <f>ISTEXT(Table14[[#This Row],[Data_Wystawienia]])</f>
        <v>0</v>
      </c>
      <c r="K526" s="2">
        <f>VALUE(SUBSTITUTE(Table14[[#This Row],[Wartość]],".",","))</f>
        <v>5931.67</v>
      </c>
      <c r="L5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6" s="2" t="str">
        <f>IF(Table14[[#This Row],[Umowa]]="","Poza umową","Z umowy")</f>
        <v>Z umowy</v>
      </c>
      <c r="N526" s="2">
        <f>YEAR(Table14[[#This Row],[Data_Wystawienia]])</f>
        <v>2022</v>
      </c>
      <c r="O526" s="2" t="str">
        <f>TEXT(Table14[[#This Row],[Data_Wystawienia]],"rrrr-mm")</f>
        <v>2022-07</v>
      </c>
      <c r="P526" s="2">
        <v>1</v>
      </c>
    </row>
    <row r="527" spans="1:16" x14ac:dyDescent="0.3">
      <c r="A527" s="2" t="str">
        <f>TRIM(Table1[[#This Row],[Numer_FV]])</f>
        <v>FV/4227/NOVA/22</v>
      </c>
      <c r="B527" s="2" t="str">
        <f>TRIM(Table1[[#This Row],[Numer_PZ]])</f>
        <v>PZ/800525</v>
      </c>
      <c r="C527" s="2" t="str">
        <f>TRIM(Table1[[#This Row],[Dostawca]])</f>
        <v>NovaLek</v>
      </c>
      <c r="D527" s="3">
        <v>44755</v>
      </c>
      <c r="E527" s="4" t="s">
        <v>1597</v>
      </c>
      <c r="F527" s="2" t="str">
        <f>TRIM(Table1[[#This Row],[Status]])</f>
        <v>Zaakceptowana</v>
      </c>
      <c r="G527" s="2" t="str">
        <f>TRIM(Table1[[#This Row],[Typ]])</f>
        <v>Faktura VAT</v>
      </c>
      <c r="H527" s="2" t="str">
        <f>TRIM(Table1[[#This Row],[Magazyn]])</f>
        <v>Apteka Szpitalna</v>
      </c>
      <c r="I527" s="2" t="str">
        <f>TRIM(Table1[[#This Row],[Umowa]])</f>
        <v>UM-NOV-02</v>
      </c>
      <c r="J527" s="2" t="b">
        <f>ISTEXT(Table14[[#This Row],[Data_Wystawienia]])</f>
        <v>0</v>
      </c>
      <c r="K527" s="2">
        <f>VALUE(SUBSTITUTE(Table14[[#This Row],[Wartość]],".",","))</f>
        <v>12439.71</v>
      </c>
      <c r="L5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7" s="2" t="str">
        <f>IF(Table14[[#This Row],[Umowa]]="","Poza umową","Z umowy")</f>
        <v>Z umowy</v>
      </c>
      <c r="N527" s="2">
        <f>YEAR(Table14[[#This Row],[Data_Wystawienia]])</f>
        <v>2022</v>
      </c>
      <c r="O527" s="2" t="str">
        <f>TEXT(Table14[[#This Row],[Data_Wystawienia]],"rrrr-mm")</f>
        <v>2022-07</v>
      </c>
      <c r="P527" s="2">
        <v>1</v>
      </c>
    </row>
    <row r="528" spans="1:16" x14ac:dyDescent="0.3">
      <c r="A528" s="2" t="str">
        <f>TRIM(Table1[[#This Row],[Numer_FV]])</f>
        <v>FV/1660HM/22</v>
      </c>
      <c r="B528" s="2" t="str">
        <f>TRIM(Table1[[#This Row],[Numer_PZ]])</f>
        <v>PZ/800526</v>
      </c>
      <c r="C528" s="2" t="str">
        <f>TRIM(Table1[[#This Row],[Dostawca]])</f>
        <v>HurtMedix</v>
      </c>
      <c r="D528" s="3">
        <v>44755</v>
      </c>
      <c r="E528" s="4" t="s">
        <v>1600</v>
      </c>
      <c r="F528" s="2" t="str">
        <f>TRIM(Table1[[#This Row],[Status]])</f>
        <v>Zaakceptowana</v>
      </c>
      <c r="G528" s="2" t="str">
        <f>TRIM(Table1[[#This Row],[Typ]])</f>
        <v>Faktura VAT</v>
      </c>
      <c r="H528" s="2" t="str">
        <f>TRIM(Table1[[#This Row],[Magazyn]])</f>
        <v>Apteka Szpitalna</v>
      </c>
      <c r="I528" s="2" t="str">
        <f>TRIM(Table1[[#This Row],[Umowa]])</f>
        <v>UM-HUR-01</v>
      </c>
      <c r="J528" s="2" t="b">
        <f>ISTEXT(Table14[[#This Row],[Data_Wystawienia]])</f>
        <v>0</v>
      </c>
      <c r="K528" s="2">
        <f>VALUE(SUBSTITUTE(Table14[[#This Row],[Wartość]],".",","))</f>
        <v>15499.22</v>
      </c>
      <c r="L5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8" s="2" t="str">
        <f>IF(Table14[[#This Row],[Umowa]]="","Poza umową","Z umowy")</f>
        <v>Z umowy</v>
      </c>
      <c r="N528" s="2">
        <f>YEAR(Table14[[#This Row],[Data_Wystawienia]])</f>
        <v>2022</v>
      </c>
      <c r="O528" s="2" t="str">
        <f>TEXT(Table14[[#This Row],[Data_Wystawienia]],"rrrr-mm")</f>
        <v>2022-07</v>
      </c>
      <c r="P528" s="2">
        <v>1</v>
      </c>
    </row>
    <row r="529" spans="1:16" x14ac:dyDescent="0.3">
      <c r="A529" s="2" t="str">
        <f>TRIM(Table1[[#This Row],[Numer_FV]])</f>
        <v>FV/92/PP/6063/22</v>
      </c>
      <c r="B529" s="2" t="str">
        <f>TRIM(Table1[[#This Row],[Numer_PZ]])</f>
        <v>PZ/800527</v>
      </c>
      <c r="C529" s="2" t="str">
        <f>TRIM(Table1[[#This Row],[Dostawca]])</f>
        <v>PharmaPlus</v>
      </c>
      <c r="D529" s="3">
        <v>44757</v>
      </c>
      <c r="E529" s="4" t="s">
        <v>1603</v>
      </c>
      <c r="F529" s="2" t="str">
        <f>TRIM(Table1[[#This Row],[Status]])</f>
        <v>Zaakceptowana</v>
      </c>
      <c r="G529" s="2" t="str">
        <f>TRIM(Table1[[#This Row],[Typ]])</f>
        <v>Faktura VAT</v>
      </c>
      <c r="H529" s="2" t="str">
        <f>TRIM(Table1[[#This Row],[Magazyn]])</f>
        <v>Apteka Szpitalna</v>
      </c>
      <c r="I529" s="2" t="str">
        <f>TRIM(Table1[[#This Row],[Umowa]])</f>
        <v/>
      </c>
      <c r="J529" s="2" t="b">
        <f>ISTEXT(Table14[[#This Row],[Data_Wystawienia]])</f>
        <v>0</v>
      </c>
      <c r="K529" s="2">
        <f>VALUE(SUBSTITUTE(Table14[[#This Row],[Wartość]],".",","))</f>
        <v>26290.04</v>
      </c>
      <c r="L5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29" s="2" t="str">
        <f>IF(Table14[[#This Row],[Umowa]]="","Poza umową","Z umowy")</f>
        <v>Poza umową</v>
      </c>
      <c r="N529" s="2">
        <f>YEAR(Table14[[#This Row],[Data_Wystawienia]])</f>
        <v>2022</v>
      </c>
      <c r="O529" s="2" t="str">
        <f>TEXT(Table14[[#This Row],[Data_Wystawienia]],"rrrr-mm")</f>
        <v>2022-07</v>
      </c>
      <c r="P529" s="2">
        <v>1</v>
      </c>
    </row>
    <row r="530" spans="1:16" x14ac:dyDescent="0.3">
      <c r="A530" s="2" t="str">
        <f>TRIM(Table1[[#This Row],[Numer_FV]])</f>
        <v>FV/POL/30196/2022</v>
      </c>
      <c r="B530" s="2" t="str">
        <f>TRIM(Table1[[#This Row],[Numer_PZ]])</f>
        <v>PZ/800528</v>
      </c>
      <c r="C530" s="2" t="str">
        <f>TRIM(Table1[[#This Row],[Dostawca]])</f>
        <v>Polmedica</v>
      </c>
      <c r="D530" s="3">
        <v>44757</v>
      </c>
      <c r="E530" s="4" t="s">
        <v>1606</v>
      </c>
      <c r="F530" s="2" t="str">
        <f>TRIM(Table1[[#This Row],[Status]])</f>
        <v>Zaakceptowana</v>
      </c>
      <c r="G530" s="2" t="str">
        <f>TRIM(Table1[[#This Row],[Typ]])</f>
        <v>Faktura VAT</v>
      </c>
      <c r="H530" s="2" t="str">
        <f>TRIM(Table1[[#This Row],[Magazyn]])</f>
        <v>Apteka Szpitalna</v>
      </c>
      <c r="I530" s="2" t="str">
        <f>TRIM(Table1[[#This Row],[Umowa]])</f>
        <v>UM-POL-01</v>
      </c>
      <c r="J530" s="2" t="b">
        <f>ISTEXT(Table14[[#This Row],[Data_Wystawienia]])</f>
        <v>0</v>
      </c>
      <c r="K530" s="2">
        <f>VALUE(SUBSTITUTE(Table14[[#This Row],[Wartość]],".",","))</f>
        <v>21223.48</v>
      </c>
      <c r="L5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0" s="2" t="str">
        <f>IF(Table14[[#This Row],[Umowa]]="","Poza umową","Z umowy")</f>
        <v>Z umowy</v>
      </c>
      <c r="N530" s="2">
        <f>YEAR(Table14[[#This Row],[Data_Wystawienia]])</f>
        <v>2022</v>
      </c>
      <c r="O530" s="2" t="str">
        <f>TEXT(Table14[[#This Row],[Data_Wystawienia]],"rrrr-mm")</f>
        <v>2022-07</v>
      </c>
      <c r="P530" s="2">
        <v>1</v>
      </c>
    </row>
    <row r="531" spans="1:16" x14ac:dyDescent="0.3">
      <c r="A531" s="2" t="str">
        <f>TRIM(Table1[[#This Row],[Numer_FV]])</f>
        <v>FV/7662/NOVA/22</v>
      </c>
      <c r="B531" s="2" t="str">
        <f>TRIM(Table1[[#This Row],[Numer_PZ]])</f>
        <v>PZ/800529</v>
      </c>
      <c r="C531" s="2" t="str">
        <f>TRIM(Table1[[#This Row],[Dostawca]])</f>
        <v>NovaLek</v>
      </c>
      <c r="D531" s="3">
        <v>44757</v>
      </c>
      <c r="E531" s="4" t="s">
        <v>1609</v>
      </c>
      <c r="F531" s="2" t="str">
        <f>TRIM(Table1[[#This Row],[Status]])</f>
        <v>Zaakceptowana</v>
      </c>
      <c r="G531" s="2" t="str">
        <f>TRIM(Table1[[#This Row],[Typ]])</f>
        <v>Faktura VAT</v>
      </c>
      <c r="H531" s="2" t="str">
        <f>TRIM(Table1[[#This Row],[Magazyn]])</f>
        <v>Apteka Szpitalna</v>
      </c>
      <c r="I531" s="2" t="str">
        <f>TRIM(Table1[[#This Row],[Umowa]])</f>
        <v>UM-NOV-01</v>
      </c>
      <c r="J531" s="2" t="b">
        <f>ISTEXT(Table14[[#This Row],[Data_Wystawienia]])</f>
        <v>0</v>
      </c>
      <c r="K531" s="2">
        <f>VALUE(SUBSTITUTE(Table14[[#This Row],[Wartość]],".",","))</f>
        <v>21949.4</v>
      </c>
      <c r="L5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1" s="2" t="str">
        <f>IF(Table14[[#This Row],[Umowa]]="","Poza umową","Z umowy")</f>
        <v>Z umowy</v>
      </c>
      <c r="N531" s="2">
        <f>YEAR(Table14[[#This Row],[Data_Wystawienia]])</f>
        <v>2022</v>
      </c>
      <c r="O531" s="2" t="str">
        <f>TEXT(Table14[[#This Row],[Data_Wystawienia]],"rrrr-mm")</f>
        <v>2022-07</v>
      </c>
      <c r="P531" s="2">
        <v>1</v>
      </c>
    </row>
    <row r="532" spans="1:16" x14ac:dyDescent="0.3">
      <c r="A532" s="2" t="str">
        <f>TRIM(Table1[[#This Row],[Numer_FV]])</f>
        <v>FV/30/SAL/22</v>
      </c>
      <c r="B532" s="2" t="str">
        <f>TRIM(Table1[[#This Row],[Numer_PZ]])</f>
        <v>PZ/800530</v>
      </c>
      <c r="C532" s="2" t="str">
        <f>TRIM(Table1[[#This Row],[Dostawca]])</f>
        <v>SalusHurt</v>
      </c>
      <c r="D532" s="3">
        <v>44758</v>
      </c>
      <c r="E532" s="4" t="s">
        <v>1611</v>
      </c>
      <c r="F532" s="2" t="str">
        <f>TRIM(Table1[[#This Row],[Status]])</f>
        <v>Zaakceptowana</v>
      </c>
      <c r="G532" s="2" t="str">
        <f>TRIM(Table1[[#This Row],[Typ]])</f>
        <v>Korekta FV</v>
      </c>
      <c r="H532" s="2" t="str">
        <f>TRIM(Table1[[#This Row],[Magazyn]])</f>
        <v>Apteka Szpitalna</v>
      </c>
      <c r="I532" s="2" t="str">
        <f>TRIM(Table1[[#This Row],[Umowa]])</f>
        <v>UM-SAL-02</v>
      </c>
      <c r="J532" s="2" t="b">
        <f>ISTEXT(Table14[[#This Row],[Data_Wystawienia]])</f>
        <v>0</v>
      </c>
      <c r="K532" s="2">
        <f>VALUE(SUBSTITUTE(Table14[[#This Row],[Wartość]],".",","))</f>
        <v>-777.91</v>
      </c>
      <c r="L5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2" s="2" t="str">
        <f>IF(Table14[[#This Row],[Umowa]]="","Poza umową","Z umowy")</f>
        <v>Z umowy</v>
      </c>
      <c r="N532" s="2">
        <f>YEAR(Table14[[#This Row],[Data_Wystawienia]])</f>
        <v>2022</v>
      </c>
      <c r="O532" s="2" t="str">
        <f>TEXT(Table14[[#This Row],[Data_Wystawienia]],"rrrr-mm")</f>
        <v>2022-07</v>
      </c>
      <c r="P532" s="2">
        <v>1</v>
      </c>
    </row>
    <row r="533" spans="1:16" x14ac:dyDescent="0.3">
      <c r="A533" s="2" t="str">
        <f>TRIM(Table1[[#This Row],[Numer_FV]])</f>
        <v>FV/33/SAL/22</v>
      </c>
      <c r="B533" s="2" t="str">
        <f>TRIM(Table1[[#This Row],[Numer_PZ]])</f>
        <v>PZ/800531</v>
      </c>
      <c r="C533" s="2" t="str">
        <f>TRIM(Table1[[#This Row],[Dostawca]])</f>
        <v>SalusHurt</v>
      </c>
      <c r="D533" s="3">
        <v>44758</v>
      </c>
      <c r="E533" s="4" t="s">
        <v>1614</v>
      </c>
      <c r="F533" s="2" t="str">
        <f>TRIM(Table1[[#This Row],[Status]])</f>
        <v>Zaakceptowana</v>
      </c>
      <c r="G533" s="2" t="str">
        <f>TRIM(Table1[[#This Row],[Typ]])</f>
        <v>Faktura VAT</v>
      </c>
      <c r="H533" s="2" t="str">
        <f>TRIM(Table1[[#This Row],[Magazyn]])</f>
        <v>Apteka Szpitalna</v>
      </c>
      <c r="I533" s="2" t="str">
        <f>TRIM(Table1[[#This Row],[Umowa]])</f>
        <v/>
      </c>
      <c r="J533" s="2" t="b">
        <f>ISTEXT(Table14[[#This Row],[Data_Wystawienia]])</f>
        <v>0</v>
      </c>
      <c r="K533" s="2">
        <f>VALUE(SUBSTITUTE(Table14[[#This Row],[Wartość]],".",","))</f>
        <v>10396.43</v>
      </c>
      <c r="L5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3" s="2" t="str">
        <f>IF(Table14[[#This Row],[Umowa]]="","Poza umową","Z umowy")</f>
        <v>Poza umową</v>
      </c>
      <c r="N533" s="2">
        <f>YEAR(Table14[[#This Row],[Data_Wystawienia]])</f>
        <v>2022</v>
      </c>
      <c r="O533" s="2" t="str">
        <f>TEXT(Table14[[#This Row],[Data_Wystawienia]],"rrrr-mm")</f>
        <v>2022-07</v>
      </c>
      <c r="P533" s="2">
        <v>1</v>
      </c>
    </row>
    <row r="534" spans="1:16" x14ac:dyDescent="0.3">
      <c r="A534" s="2" t="str">
        <f>TRIM(Table1[[#This Row],[Numer_FV]])</f>
        <v>FV/CENFA/417738/22</v>
      </c>
      <c r="B534" s="2" t="str">
        <f>TRIM(Table1[[#This Row],[Numer_PZ]])</f>
        <v>PZ/800532</v>
      </c>
      <c r="C534" s="2" t="str">
        <f>TRIM(Table1[[#This Row],[Dostawca]])</f>
        <v>CentrumFarm</v>
      </c>
      <c r="D534" s="3">
        <v>44758</v>
      </c>
      <c r="E534" s="4" t="s">
        <v>1617</v>
      </c>
      <c r="F534" s="2" t="str">
        <f>TRIM(Table1[[#This Row],[Status]])</f>
        <v>Zaakceptowana</v>
      </c>
      <c r="G534" s="2" t="str">
        <f>TRIM(Table1[[#This Row],[Typ]])</f>
        <v>Faktura VAT</v>
      </c>
      <c r="H534" s="2" t="str">
        <f>TRIM(Table1[[#This Row],[Magazyn]])</f>
        <v>Apteka Szpitalna</v>
      </c>
      <c r="I534" s="2" t="str">
        <f>TRIM(Table1[[#This Row],[Umowa]])</f>
        <v>UM-CEN-02</v>
      </c>
      <c r="J534" s="2" t="b">
        <f>ISTEXT(Table14[[#This Row],[Data_Wystawienia]])</f>
        <v>0</v>
      </c>
      <c r="K534" s="2">
        <f>VALUE(SUBSTITUTE(Table14[[#This Row],[Wartość]],".",","))</f>
        <v>12380.13</v>
      </c>
      <c r="L5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4" s="2" t="str">
        <f>IF(Table14[[#This Row],[Umowa]]="","Poza umową","Z umowy")</f>
        <v>Z umowy</v>
      </c>
      <c r="N534" s="2">
        <f>YEAR(Table14[[#This Row],[Data_Wystawienia]])</f>
        <v>2022</v>
      </c>
      <c r="O534" s="2" t="str">
        <f>TEXT(Table14[[#This Row],[Data_Wystawienia]],"rrrr-mm")</f>
        <v>2022-07</v>
      </c>
      <c r="P534" s="2">
        <v>1</v>
      </c>
    </row>
    <row r="535" spans="1:16" x14ac:dyDescent="0.3">
      <c r="A535" s="2" t="str">
        <f>TRIM(Table1[[#This Row],[Numer_FV]])</f>
        <v>FV/63/PP/7385/22</v>
      </c>
      <c r="B535" s="2" t="str">
        <f>TRIM(Table1[[#This Row],[Numer_PZ]])</f>
        <v>PZ/800533</v>
      </c>
      <c r="C535" s="2" t="str">
        <f>TRIM(Table1[[#This Row],[Dostawca]])</f>
        <v>PharmaPlus</v>
      </c>
      <c r="D535" s="3">
        <v>44759</v>
      </c>
      <c r="E535" s="4" t="s">
        <v>1620</v>
      </c>
      <c r="F535" s="2" t="str">
        <f>TRIM(Table1[[#This Row],[Status]])</f>
        <v>Zaakceptowana</v>
      </c>
      <c r="G535" s="2" t="str">
        <f>TRIM(Table1[[#This Row],[Typ]])</f>
        <v>Faktura VAT</v>
      </c>
      <c r="H535" s="2" t="str">
        <f>TRIM(Table1[[#This Row],[Magazyn]])</f>
        <v>Apteka Szpitalna</v>
      </c>
      <c r="I535" s="2" t="str">
        <f>TRIM(Table1[[#This Row],[Umowa]])</f>
        <v/>
      </c>
      <c r="J535" s="2" t="b">
        <f>ISTEXT(Table14[[#This Row],[Data_Wystawienia]])</f>
        <v>0</v>
      </c>
      <c r="K535" s="2">
        <f>VALUE(SUBSTITUTE(Table14[[#This Row],[Wartość]],".",","))</f>
        <v>15442.21</v>
      </c>
      <c r="L5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5" s="2" t="str">
        <f>IF(Table14[[#This Row],[Umowa]]="","Poza umową","Z umowy")</f>
        <v>Poza umową</v>
      </c>
      <c r="N535" s="2">
        <f>YEAR(Table14[[#This Row],[Data_Wystawienia]])</f>
        <v>2022</v>
      </c>
      <c r="O535" s="2" t="str">
        <f>TEXT(Table14[[#This Row],[Data_Wystawienia]],"rrrr-mm")</f>
        <v>2022-07</v>
      </c>
      <c r="P535" s="2">
        <v>1</v>
      </c>
    </row>
    <row r="536" spans="1:16" x14ac:dyDescent="0.3">
      <c r="A536" s="2" t="str">
        <f>TRIM(Table1[[#This Row],[Numer_FV]])</f>
        <v>FV/POL/26916/2022</v>
      </c>
      <c r="B536" s="2" t="str">
        <f>TRIM(Table1[[#This Row],[Numer_PZ]])</f>
        <v>PZ/800534</v>
      </c>
      <c r="C536" s="2" t="str">
        <f>TRIM(Table1[[#This Row],[Dostawca]])</f>
        <v>Polmedica</v>
      </c>
      <c r="D536" s="3">
        <v>44759</v>
      </c>
      <c r="E536" s="4" t="s">
        <v>1623</v>
      </c>
      <c r="F536" s="2" t="str">
        <f>TRIM(Table1[[#This Row],[Status]])</f>
        <v>Zaakceptowana</v>
      </c>
      <c r="G536" s="2" t="str">
        <f>TRIM(Table1[[#This Row],[Typ]])</f>
        <v>Faktura VAT</v>
      </c>
      <c r="H536" s="2" t="str">
        <f>TRIM(Table1[[#This Row],[Magazyn]])</f>
        <v>Apteka Szpitalna</v>
      </c>
      <c r="I536" s="2" t="str">
        <f>TRIM(Table1[[#This Row],[Umowa]])</f>
        <v>UM-POL-03</v>
      </c>
      <c r="J536" s="2" t="b">
        <f>ISTEXT(Table14[[#This Row],[Data_Wystawienia]])</f>
        <v>0</v>
      </c>
      <c r="K536" s="2">
        <f>VALUE(SUBSTITUTE(Table14[[#This Row],[Wartość]],".",","))</f>
        <v>11935.4</v>
      </c>
      <c r="L5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6" s="2" t="str">
        <f>IF(Table14[[#This Row],[Umowa]]="","Poza umową","Z umowy")</f>
        <v>Z umowy</v>
      </c>
      <c r="N536" s="2">
        <f>YEAR(Table14[[#This Row],[Data_Wystawienia]])</f>
        <v>2022</v>
      </c>
      <c r="O536" s="2" t="str">
        <f>TEXT(Table14[[#This Row],[Data_Wystawienia]],"rrrr-mm")</f>
        <v>2022-07</v>
      </c>
      <c r="P536" s="2">
        <v>1</v>
      </c>
    </row>
    <row r="537" spans="1:16" x14ac:dyDescent="0.3">
      <c r="A537" s="2" t="str">
        <f>TRIM(Table1[[#This Row],[Numer_FV]])</f>
        <v>FV/POL/99887/2022</v>
      </c>
      <c r="B537" s="2" t="str">
        <f>TRIM(Table1[[#This Row],[Numer_PZ]])</f>
        <v>PZ/800535</v>
      </c>
      <c r="C537" s="2" t="str">
        <f>TRIM(Table1[[#This Row],[Dostawca]])</f>
        <v>Polmedica</v>
      </c>
      <c r="D537" s="3">
        <v>44759</v>
      </c>
      <c r="E537" s="4" t="s">
        <v>1626</v>
      </c>
      <c r="F537" s="2" t="str">
        <f>TRIM(Table1[[#This Row],[Status]])</f>
        <v>Zaakceptowana</v>
      </c>
      <c r="G537" s="2" t="str">
        <f>TRIM(Table1[[#This Row],[Typ]])</f>
        <v>Faktura VAT</v>
      </c>
      <c r="H537" s="2" t="str">
        <f>TRIM(Table1[[#This Row],[Magazyn]])</f>
        <v>Apteka Szpitalna</v>
      </c>
      <c r="I537" s="2" t="str">
        <f>TRIM(Table1[[#This Row],[Umowa]])</f>
        <v>UM-POL-01</v>
      </c>
      <c r="J537" s="2" t="b">
        <f>ISTEXT(Table14[[#This Row],[Data_Wystawienia]])</f>
        <v>0</v>
      </c>
      <c r="K537" s="2">
        <f>VALUE(SUBSTITUTE(Table14[[#This Row],[Wartość]],".",","))</f>
        <v>15980.83</v>
      </c>
      <c r="L5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7" s="2" t="str">
        <f>IF(Table14[[#This Row],[Umowa]]="","Poza umową","Z umowy")</f>
        <v>Z umowy</v>
      </c>
      <c r="N537" s="2">
        <f>YEAR(Table14[[#This Row],[Data_Wystawienia]])</f>
        <v>2022</v>
      </c>
      <c r="O537" s="2" t="str">
        <f>TEXT(Table14[[#This Row],[Data_Wystawienia]],"rrrr-mm")</f>
        <v>2022-07</v>
      </c>
      <c r="P537" s="2">
        <v>1</v>
      </c>
    </row>
    <row r="538" spans="1:16" x14ac:dyDescent="0.3">
      <c r="A538" s="2" t="str">
        <f>TRIM(Table1[[#This Row],[Numer_FV]])</f>
        <v>FV/35/SAL/22</v>
      </c>
      <c r="B538" s="2" t="str">
        <f>TRIM(Table1[[#This Row],[Numer_PZ]])</f>
        <v>PZ/800536</v>
      </c>
      <c r="C538" s="2" t="str">
        <f>TRIM(Table1[[#This Row],[Dostawca]])</f>
        <v>SalusHurt</v>
      </c>
      <c r="D538" s="3">
        <v>44759</v>
      </c>
      <c r="E538" s="4" t="s">
        <v>1628</v>
      </c>
      <c r="F538" s="2" t="str">
        <f>TRIM(Table1[[#This Row],[Status]])</f>
        <v>Zaakceptowana</v>
      </c>
      <c r="G538" s="2" t="str">
        <f>TRIM(Table1[[#This Row],[Typ]])</f>
        <v>Faktura VAT</v>
      </c>
      <c r="H538" s="2" t="str">
        <f>TRIM(Table1[[#This Row],[Magazyn]])</f>
        <v>Apteka Szpitalna</v>
      </c>
      <c r="I538" s="2" t="str">
        <f>TRIM(Table1[[#This Row],[Umowa]])</f>
        <v>UM-SAL-01</v>
      </c>
      <c r="J538" s="2" t="b">
        <f>ISTEXT(Table14[[#This Row],[Data_Wystawienia]])</f>
        <v>0</v>
      </c>
      <c r="K538" s="2">
        <f>VALUE(SUBSTITUTE(Table14[[#This Row],[Wartość]],".",","))</f>
        <v>12342.53</v>
      </c>
      <c r="L5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8" s="2" t="str">
        <f>IF(Table14[[#This Row],[Umowa]]="","Poza umową","Z umowy")</f>
        <v>Z umowy</v>
      </c>
      <c r="N538" s="2">
        <f>YEAR(Table14[[#This Row],[Data_Wystawienia]])</f>
        <v>2022</v>
      </c>
      <c r="O538" s="2" t="str">
        <f>TEXT(Table14[[#This Row],[Data_Wystawienia]],"rrrr-mm")</f>
        <v>2022-07</v>
      </c>
      <c r="P538" s="2">
        <v>1</v>
      </c>
    </row>
    <row r="539" spans="1:16" x14ac:dyDescent="0.3">
      <c r="A539" s="2" t="str">
        <f>TRIM(Table1[[#This Row],[Numer_FV]])</f>
        <v>FV/5845HM/22</v>
      </c>
      <c r="B539" s="2" t="str">
        <f>TRIM(Table1[[#This Row],[Numer_PZ]])</f>
        <v>PZ/800537</v>
      </c>
      <c r="C539" s="2" t="str">
        <f>TRIM(Table1[[#This Row],[Dostawca]])</f>
        <v>HurtMedix</v>
      </c>
      <c r="D539" s="3">
        <v>44760</v>
      </c>
      <c r="E539" s="4" t="s">
        <v>1631</v>
      </c>
      <c r="F539" s="2" t="str">
        <f>TRIM(Table1[[#This Row],[Status]])</f>
        <v>Zaakceptowana</v>
      </c>
      <c r="G539" s="2" t="str">
        <f>TRIM(Table1[[#This Row],[Typ]])</f>
        <v>Faktura VAT</v>
      </c>
      <c r="H539" s="2" t="str">
        <f>TRIM(Table1[[#This Row],[Magazyn]])</f>
        <v>Apteka Szpitalna</v>
      </c>
      <c r="I539" s="2" t="str">
        <f>TRIM(Table1[[#This Row],[Umowa]])</f>
        <v>UM-HUR-02</v>
      </c>
      <c r="J539" s="2" t="b">
        <f>ISTEXT(Table14[[#This Row],[Data_Wystawienia]])</f>
        <v>0</v>
      </c>
      <c r="K539" s="2">
        <f>VALUE(SUBSTITUTE(Table14[[#This Row],[Wartość]],".",","))</f>
        <v>17996.47</v>
      </c>
      <c r="L5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39" s="2" t="str">
        <f>IF(Table14[[#This Row],[Umowa]]="","Poza umową","Z umowy")</f>
        <v>Z umowy</v>
      </c>
      <c r="N539" s="2">
        <f>YEAR(Table14[[#This Row],[Data_Wystawienia]])</f>
        <v>2022</v>
      </c>
      <c r="O539" s="2" t="str">
        <f>TEXT(Table14[[#This Row],[Data_Wystawienia]],"rrrr-mm")</f>
        <v>2022-07</v>
      </c>
      <c r="P539" s="2">
        <v>1</v>
      </c>
    </row>
    <row r="540" spans="1:16" x14ac:dyDescent="0.3">
      <c r="A540" s="2" t="str">
        <f>TRIM(Table1[[#This Row],[Numer_FV]])</f>
        <v>FV/CENFA/258695/22</v>
      </c>
      <c r="B540" s="2" t="str">
        <f>TRIM(Table1[[#This Row],[Numer_PZ]])</f>
        <v>PZ/800538</v>
      </c>
      <c r="C540" s="2" t="str">
        <f>TRIM(Table1[[#This Row],[Dostawca]])</f>
        <v>CentrumFarm</v>
      </c>
      <c r="D540" s="3">
        <v>44761</v>
      </c>
      <c r="E540" s="4" t="s">
        <v>1634</v>
      </c>
      <c r="F540" s="2" t="str">
        <f>TRIM(Table1[[#This Row],[Status]])</f>
        <v>Zaakceptowana</v>
      </c>
      <c r="G540" s="2" t="str">
        <f>TRIM(Table1[[#This Row],[Typ]])</f>
        <v>Faktura VAT</v>
      </c>
      <c r="H540" s="2" t="str">
        <f>TRIM(Table1[[#This Row],[Magazyn]])</f>
        <v>Apteka Szpitalna</v>
      </c>
      <c r="I540" s="2" t="str">
        <f>TRIM(Table1[[#This Row],[Umowa]])</f>
        <v/>
      </c>
      <c r="J540" s="2" t="b">
        <f>ISTEXT(Table14[[#This Row],[Data_Wystawienia]])</f>
        <v>0</v>
      </c>
      <c r="K540" s="2">
        <f>VALUE(SUBSTITUTE(Table14[[#This Row],[Wartość]],".",","))</f>
        <v>7692.13</v>
      </c>
      <c r="L5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0" s="2" t="str">
        <f>IF(Table14[[#This Row],[Umowa]]="","Poza umową","Z umowy")</f>
        <v>Poza umową</v>
      </c>
      <c r="N540" s="2">
        <f>YEAR(Table14[[#This Row],[Data_Wystawienia]])</f>
        <v>2022</v>
      </c>
      <c r="O540" s="2" t="str">
        <f>TEXT(Table14[[#This Row],[Data_Wystawienia]],"rrrr-mm")</f>
        <v>2022-07</v>
      </c>
      <c r="P540" s="2">
        <v>1</v>
      </c>
    </row>
    <row r="541" spans="1:16" x14ac:dyDescent="0.3">
      <c r="A541" s="2" t="str">
        <f>TRIM(Table1[[#This Row],[Numer_FV]])</f>
        <v>FV/19325/VDb/2022</v>
      </c>
      <c r="B541" s="2" t="str">
        <f>TRIM(Table1[[#This Row],[Numer_PZ]])</f>
        <v>PZ/800539</v>
      </c>
      <c r="C541" s="2" t="str">
        <f>TRIM(Table1[[#This Row],[Dostawca]])</f>
        <v>VitaDistrib</v>
      </c>
      <c r="D541" s="3">
        <v>44761</v>
      </c>
      <c r="E541" s="4" t="s">
        <v>1637</v>
      </c>
      <c r="F541" s="2" t="str">
        <f>TRIM(Table1[[#This Row],[Status]])</f>
        <v>Zaakceptowana</v>
      </c>
      <c r="G541" s="2" t="str">
        <f>TRIM(Table1[[#This Row],[Typ]])</f>
        <v>Faktura VAT</v>
      </c>
      <c r="H541" s="2" t="str">
        <f>TRIM(Table1[[#This Row],[Magazyn]])</f>
        <v>Apteka Szpitalna</v>
      </c>
      <c r="I541" s="2" t="str">
        <f>TRIM(Table1[[#This Row],[Umowa]])</f>
        <v>UM-VIT-01</v>
      </c>
      <c r="J541" s="2" t="b">
        <f>ISTEXT(Table14[[#This Row],[Data_Wystawienia]])</f>
        <v>0</v>
      </c>
      <c r="K541" s="2">
        <f>VALUE(SUBSTITUTE(Table14[[#This Row],[Wartość]],".",","))</f>
        <v>16505.47</v>
      </c>
      <c r="L5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1" s="2" t="str">
        <f>IF(Table14[[#This Row],[Umowa]]="","Poza umową","Z umowy")</f>
        <v>Z umowy</v>
      </c>
      <c r="N541" s="2">
        <f>YEAR(Table14[[#This Row],[Data_Wystawienia]])</f>
        <v>2022</v>
      </c>
      <c r="O541" s="2" t="str">
        <f>TEXT(Table14[[#This Row],[Data_Wystawienia]],"rrrr-mm")</f>
        <v>2022-07</v>
      </c>
      <c r="P541" s="2">
        <v>1</v>
      </c>
    </row>
    <row r="542" spans="1:16" x14ac:dyDescent="0.3">
      <c r="A542" s="2" t="str">
        <f>TRIM(Table1[[#This Row],[Numer_FV]])</f>
        <v>FV/1833HM/22</v>
      </c>
      <c r="B542" s="2" t="str">
        <f>TRIM(Table1[[#This Row],[Numer_PZ]])</f>
        <v>PZ/800540</v>
      </c>
      <c r="C542" s="2" t="str">
        <f>TRIM(Table1[[#This Row],[Dostawca]])</f>
        <v>HurtMedix</v>
      </c>
      <c r="D542" s="3">
        <v>44761</v>
      </c>
      <c r="E542" s="4" t="s">
        <v>1640</v>
      </c>
      <c r="F542" s="2" t="str">
        <f>TRIM(Table1[[#This Row],[Status]])</f>
        <v>Zaakceptowana</v>
      </c>
      <c r="G542" s="2" t="str">
        <f>TRIM(Table1[[#This Row],[Typ]])</f>
        <v>Faktura VAT</v>
      </c>
      <c r="H542" s="2" t="str">
        <f>TRIM(Table1[[#This Row],[Magazyn]])</f>
        <v>Apteka Szpitalna</v>
      </c>
      <c r="I542" s="2" t="str">
        <f>TRIM(Table1[[#This Row],[Umowa]])</f>
        <v>UM-HUR-02</v>
      </c>
      <c r="J542" s="2" t="b">
        <f>ISTEXT(Table14[[#This Row],[Data_Wystawienia]])</f>
        <v>0</v>
      </c>
      <c r="K542" s="2">
        <f>VALUE(SUBSTITUTE(Table14[[#This Row],[Wartość]],".",","))</f>
        <v>6222.74</v>
      </c>
      <c r="L5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2" s="2" t="str">
        <f>IF(Table14[[#This Row],[Umowa]]="","Poza umową","Z umowy")</f>
        <v>Z umowy</v>
      </c>
      <c r="N542" s="2">
        <f>YEAR(Table14[[#This Row],[Data_Wystawienia]])</f>
        <v>2022</v>
      </c>
      <c r="O542" s="2" t="str">
        <f>TEXT(Table14[[#This Row],[Data_Wystawienia]],"rrrr-mm")</f>
        <v>2022-07</v>
      </c>
      <c r="P542" s="2">
        <v>1</v>
      </c>
    </row>
    <row r="543" spans="1:16" x14ac:dyDescent="0.3">
      <c r="A543" s="2" t="str">
        <f>TRIM(Table1[[#This Row],[Numer_FV]])</f>
        <v>FV/M/8942/P/22</v>
      </c>
      <c r="B543" s="2" t="str">
        <f>TRIM(Table1[[#This Row],[Numer_PZ]])</f>
        <v>PZ/800541</v>
      </c>
      <c r="C543" s="2" t="str">
        <f>TRIM(Table1[[#This Row],[Dostawca]])</f>
        <v>MedicaPharm</v>
      </c>
      <c r="D543" s="3">
        <v>44762</v>
      </c>
      <c r="E543" s="4" t="s">
        <v>1643</v>
      </c>
      <c r="F543" s="2" t="str">
        <f>TRIM(Table1[[#This Row],[Status]])</f>
        <v>Zaakceptowana</v>
      </c>
      <c r="G543" s="2" t="str">
        <f>TRIM(Table1[[#This Row],[Typ]])</f>
        <v>Faktura VAT</v>
      </c>
      <c r="H543" s="2" t="str">
        <f>TRIM(Table1[[#This Row],[Magazyn]])</f>
        <v>Apteka Szpitalna</v>
      </c>
      <c r="I543" s="2" t="str">
        <f>TRIM(Table1[[#This Row],[Umowa]])</f>
        <v>UM-MED-01</v>
      </c>
      <c r="J543" s="2" t="b">
        <f>ISTEXT(Table14[[#This Row],[Data_Wystawienia]])</f>
        <v>0</v>
      </c>
      <c r="K543" s="2">
        <f>VALUE(SUBSTITUTE(Table14[[#This Row],[Wartość]],".",","))</f>
        <v>9631.2800000000007</v>
      </c>
      <c r="L5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3" s="2" t="str">
        <f>IF(Table14[[#This Row],[Umowa]]="","Poza umową","Z umowy")</f>
        <v>Z umowy</v>
      </c>
      <c r="N543" s="2">
        <f>YEAR(Table14[[#This Row],[Data_Wystawienia]])</f>
        <v>2022</v>
      </c>
      <c r="O543" s="2" t="str">
        <f>TEXT(Table14[[#This Row],[Data_Wystawienia]],"rrrr-mm")</f>
        <v>2022-07</v>
      </c>
      <c r="P543" s="2">
        <v>1</v>
      </c>
    </row>
    <row r="544" spans="1:16" x14ac:dyDescent="0.3">
      <c r="A544" s="2" t="str">
        <f>TRIM(Table1[[#This Row],[Numer_FV]])</f>
        <v>FV/1567/NOVA/22</v>
      </c>
      <c r="B544" s="2" t="str">
        <f>TRIM(Table1[[#This Row],[Numer_PZ]])</f>
        <v>PZ/800542</v>
      </c>
      <c r="C544" s="2" t="str">
        <f>TRIM(Table1[[#This Row],[Dostawca]])</f>
        <v>NovaLek</v>
      </c>
      <c r="D544" s="3">
        <v>44762</v>
      </c>
      <c r="E544" s="4" t="s">
        <v>1646</v>
      </c>
      <c r="F544" s="2" t="str">
        <f>TRIM(Table1[[#This Row],[Status]])</f>
        <v>Zaakceptowana</v>
      </c>
      <c r="G544" s="2" t="str">
        <f>TRIM(Table1[[#This Row],[Typ]])</f>
        <v>Faktura VAT</v>
      </c>
      <c r="H544" s="2" t="str">
        <f>TRIM(Table1[[#This Row],[Magazyn]])</f>
        <v>Apteka Szpitalna</v>
      </c>
      <c r="I544" s="2" t="str">
        <f>TRIM(Table1[[#This Row],[Umowa]])</f>
        <v>UM-NOV-03</v>
      </c>
      <c r="J544" s="2" t="b">
        <f>ISTEXT(Table14[[#This Row],[Data_Wystawienia]])</f>
        <v>0</v>
      </c>
      <c r="K544" s="2">
        <f>VALUE(SUBSTITUTE(Table14[[#This Row],[Wartość]],".",","))</f>
        <v>10741.83</v>
      </c>
      <c r="L5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4" s="2" t="str">
        <f>IF(Table14[[#This Row],[Umowa]]="","Poza umową","Z umowy")</f>
        <v>Z umowy</v>
      </c>
      <c r="N544" s="2">
        <f>YEAR(Table14[[#This Row],[Data_Wystawienia]])</f>
        <v>2022</v>
      </c>
      <c r="O544" s="2" t="str">
        <f>TEXT(Table14[[#This Row],[Data_Wystawienia]],"rrrr-mm")</f>
        <v>2022-07</v>
      </c>
      <c r="P544" s="2">
        <v>1</v>
      </c>
    </row>
    <row r="545" spans="1:16" x14ac:dyDescent="0.3">
      <c r="A545" s="2" t="str">
        <f>TRIM(Table1[[#This Row],[Numer_FV]])</f>
        <v>FV/53/SAL/22</v>
      </c>
      <c r="B545" s="2" t="str">
        <f>TRIM(Table1[[#This Row],[Numer_PZ]])</f>
        <v>PZ/800543</v>
      </c>
      <c r="C545" s="2" t="str">
        <f>TRIM(Table1[[#This Row],[Dostawca]])</f>
        <v>SalusHurt</v>
      </c>
      <c r="D545" s="3">
        <v>44763</v>
      </c>
      <c r="E545" s="4" t="s">
        <v>1648</v>
      </c>
      <c r="F545" s="2" t="str">
        <f>TRIM(Table1[[#This Row],[Status]])</f>
        <v>Zaakceptowana</v>
      </c>
      <c r="G545" s="2" t="str">
        <f>TRIM(Table1[[#This Row],[Typ]])</f>
        <v>Faktura VAT</v>
      </c>
      <c r="H545" s="2" t="str">
        <f>TRIM(Table1[[#This Row],[Magazyn]])</f>
        <v>Apteka Szpitalna</v>
      </c>
      <c r="I545" s="2" t="str">
        <f>TRIM(Table1[[#This Row],[Umowa]])</f>
        <v>UM-SAL-02</v>
      </c>
      <c r="J545" s="2" t="b">
        <f>ISTEXT(Table14[[#This Row],[Data_Wystawienia]])</f>
        <v>0</v>
      </c>
      <c r="K545" s="2">
        <f>VALUE(SUBSTITUTE(Table14[[#This Row],[Wartość]],".",","))</f>
        <v>17370.64</v>
      </c>
      <c r="L5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5" s="2" t="str">
        <f>IF(Table14[[#This Row],[Umowa]]="","Poza umową","Z umowy")</f>
        <v>Z umowy</v>
      </c>
      <c r="N545" s="2">
        <f>YEAR(Table14[[#This Row],[Data_Wystawienia]])</f>
        <v>2022</v>
      </c>
      <c r="O545" s="2" t="str">
        <f>TEXT(Table14[[#This Row],[Data_Wystawienia]],"rrrr-mm")</f>
        <v>2022-07</v>
      </c>
      <c r="P545" s="2">
        <v>1</v>
      </c>
    </row>
    <row r="546" spans="1:16" x14ac:dyDescent="0.3">
      <c r="A546" s="2" t="str">
        <f>TRIM(Table1[[#This Row],[Numer_FV]])</f>
        <v>FV/POL/83323/2022</v>
      </c>
      <c r="B546" s="2" t="str">
        <f>TRIM(Table1[[#This Row],[Numer_PZ]])</f>
        <v>PZ/800544</v>
      </c>
      <c r="C546" s="2" t="str">
        <f>TRIM(Table1[[#This Row],[Dostawca]])</f>
        <v>Polmedica</v>
      </c>
      <c r="D546" s="3">
        <v>44764</v>
      </c>
      <c r="E546" s="4" t="s">
        <v>1651</v>
      </c>
      <c r="F546" s="2" t="str">
        <f>TRIM(Table1[[#This Row],[Status]])</f>
        <v>Zaakceptowana</v>
      </c>
      <c r="G546" s="2" t="str">
        <f>TRIM(Table1[[#This Row],[Typ]])</f>
        <v>Faktura VAT</v>
      </c>
      <c r="H546" s="2" t="str">
        <f>TRIM(Table1[[#This Row],[Magazyn]])</f>
        <v>Apteka Szpitalna</v>
      </c>
      <c r="I546" s="2" t="str">
        <f>TRIM(Table1[[#This Row],[Umowa]])</f>
        <v>UM-POL-02</v>
      </c>
      <c r="J546" s="2" t="b">
        <f>ISTEXT(Table14[[#This Row],[Data_Wystawienia]])</f>
        <v>0</v>
      </c>
      <c r="K546" s="2">
        <f>VALUE(SUBSTITUTE(Table14[[#This Row],[Wartość]],".",","))</f>
        <v>19673.349999999999</v>
      </c>
      <c r="L5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6" s="2" t="str">
        <f>IF(Table14[[#This Row],[Umowa]]="","Poza umową","Z umowy")</f>
        <v>Z umowy</v>
      </c>
      <c r="N546" s="2">
        <f>YEAR(Table14[[#This Row],[Data_Wystawienia]])</f>
        <v>2022</v>
      </c>
      <c r="O546" s="2" t="str">
        <f>TEXT(Table14[[#This Row],[Data_Wystawienia]],"rrrr-mm")</f>
        <v>2022-07</v>
      </c>
      <c r="P546" s="2">
        <v>1</v>
      </c>
    </row>
    <row r="547" spans="1:16" x14ac:dyDescent="0.3">
      <c r="A547" s="2" t="str">
        <f>TRIM(Table1[[#This Row],[Numer_FV]])</f>
        <v>FV/2634HM/22</v>
      </c>
      <c r="B547" s="2" t="str">
        <f>TRIM(Table1[[#This Row],[Numer_PZ]])</f>
        <v>PZ/800545</v>
      </c>
      <c r="C547" s="2" t="str">
        <f>TRIM(Table1[[#This Row],[Dostawca]])</f>
        <v>HurtMedix</v>
      </c>
      <c r="D547" s="3">
        <v>44764</v>
      </c>
      <c r="E547" s="4" t="s">
        <v>1654</v>
      </c>
      <c r="F547" s="2" t="str">
        <f>TRIM(Table1[[#This Row],[Status]])</f>
        <v>Zaakceptowana</v>
      </c>
      <c r="G547" s="2" t="str">
        <f>TRIM(Table1[[#This Row],[Typ]])</f>
        <v>Korekta FV</v>
      </c>
      <c r="H547" s="2" t="str">
        <f>TRIM(Table1[[#This Row],[Magazyn]])</f>
        <v>Apteka Szpitalna</v>
      </c>
      <c r="I547" s="2" t="str">
        <f>TRIM(Table1[[#This Row],[Umowa]])</f>
        <v/>
      </c>
      <c r="J547" s="2" t="b">
        <f>ISTEXT(Table14[[#This Row],[Data_Wystawienia]])</f>
        <v>0</v>
      </c>
      <c r="K547" s="2">
        <f>VALUE(SUBSTITUTE(Table14[[#This Row],[Wartość]],".",","))</f>
        <v>-1596.81</v>
      </c>
      <c r="L5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7" s="2" t="str">
        <f>IF(Table14[[#This Row],[Umowa]]="","Poza umową","Z umowy")</f>
        <v>Poza umową</v>
      </c>
      <c r="N547" s="2">
        <f>YEAR(Table14[[#This Row],[Data_Wystawienia]])</f>
        <v>2022</v>
      </c>
      <c r="O547" s="2" t="str">
        <f>TEXT(Table14[[#This Row],[Data_Wystawienia]],"rrrr-mm")</f>
        <v>2022-07</v>
      </c>
      <c r="P547" s="2">
        <v>1</v>
      </c>
    </row>
    <row r="548" spans="1:16" x14ac:dyDescent="0.3">
      <c r="A548" s="2" t="str">
        <f>TRIM(Table1[[#This Row],[Numer_FV]])</f>
        <v>FV/30/SAL/22</v>
      </c>
      <c r="B548" s="2" t="str">
        <f>TRIM(Table1[[#This Row],[Numer_PZ]])</f>
        <v>PZ/800546</v>
      </c>
      <c r="C548" s="2" t="str">
        <f>TRIM(Table1[[#This Row],[Dostawca]])</f>
        <v>SalusHurt</v>
      </c>
      <c r="D548" s="3">
        <v>44764</v>
      </c>
      <c r="E548" s="4" t="s">
        <v>1656</v>
      </c>
      <c r="F548" s="2" t="str">
        <f>TRIM(Table1[[#This Row],[Status]])</f>
        <v>Zaakceptowana</v>
      </c>
      <c r="G548" s="2" t="str">
        <f>TRIM(Table1[[#This Row],[Typ]])</f>
        <v>Faktura VAT</v>
      </c>
      <c r="H548" s="2" t="str">
        <f>TRIM(Table1[[#This Row],[Magazyn]])</f>
        <v>Apteka Szpitalna</v>
      </c>
      <c r="I548" s="2" t="str">
        <f>TRIM(Table1[[#This Row],[Umowa]])</f>
        <v>UM-SAL-02</v>
      </c>
      <c r="J548" s="2" t="b">
        <f>ISTEXT(Table14[[#This Row],[Data_Wystawienia]])</f>
        <v>0</v>
      </c>
      <c r="K548" s="2">
        <f>VALUE(SUBSTITUTE(Table14[[#This Row],[Wartość]],".",","))</f>
        <v>15056.71</v>
      </c>
      <c r="L5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8" s="2" t="str">
        <f>IF(Table14[[#This Row],[Umowa]]="","Poza umową","Z umowy")</f>
        <v>Z umowy</v>
      </c>
      <c r="N548" s="2">
        <f>YEAR(Table14[[#This Row],[Data_Wystawienia]])</f>
        <v>2022</v>
      </c>
      <c r="O548" s="2" t="str">
        <f>TEXT(Table14[[#This Row],[Data_Wystawienia]],"rrrr-mm")</f>
        <v>2022-07</v>
      </c>
      <c r="P548" s="2">
        <v>1</v>
      </c>
    </row>
    <row r="549" spans="1:16" x14ac:dyDescent="0.3">
      <c r="A549" s="2" t="str">
        <f>TRIM(Table1[[#This Row],[Numer_FV]])</f>
        <v>FV/7221/NOVA/22</v>
      </c>
      <c r="B549" s="2" t="str">
        <f>TRIM(Table1[[#This Row],[Numer_PZ]])</f>
        <v>PZ/800547</v>
      </c>
      <c r="C549" s="2" t="str">
        <f>TRIM(Table1[[#This Row],[Dostawca]])</f>
        <v>NovaLek</v>
      </c>
      <c r="D549" s="3">
        <v>44764</v>
      </c>
      <c r="E549" s="4" t="s">
        <v>1659</v>
      </c>
      <c r="F549" s="2" t="str">
        <f>TRIM(Table1[[#This Row],[Status]])</f>
        <v>Zaakceptowana</v>
      </c>
      <c r="G549" s="2" t="str">
        <f>TRIM(Table1[[#This Row],[Typ]])</f>
        <v>Faktura VAT</v>
      </c>
      <c r="H549" s="2" t="str">
        <f>TRIM(Table1[[#This Row],[Magazyn]])</f>
        <v>Apteka Szpitalna</v>
      </c>
      <c r="I549" s="2" t="str">
        <f>TRIM(Table1[[#This Row],[Umowa]])</f>
        <v/>
      </c>
      <c r="J549" s="2" t="b">
        <f>ISTEXT(Table14[[#This Row],[Data_Wystawienia]])</f>
        <v>0</v>
      </c>
      <c r="K549" s="2">
        <f>VALUE(SUBSTITUTE(Table14[[#This Row],[Wartość]],".",","))</f>
        <v>23363.08</v>
      </c>
      <c r="L5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49" s="2" t="str">
        <f>IF(Table14[[#This Row],[Umowa]]="","Poza umową","Z umowy")</f>
        <v>Poza umową</v>
      </c>
      <c r="N549" s="2">
        <f>YEAR(Table14[[#This Row],[Data_Wystawienia]])</f>
        <v>2022</v>
      </c>
      <c r="O549" s="2" t="str">
        <f>TEXT(Table14[[#This Row],[Data_Wystawienia]],"rrrr-mm")</f>
        <v>2022-07</v>
      </c>
      <c r="P549" s="2">
        <v>1</v>
      </c>
    </row>
    <row r="550" spans="1:16" x14ac:dyDescent="0.3">
      <c r="A550" s="2" t="str">
        <f>TRIM(Table1[[#This Row],[Numer_FV]])</f>
        <v>FV/61/SAL/22</v>
      </c>
      <c r="B550" s="2" t="str">
        <f>TRIM(Table1[[#This Row],[Numer_PZ]])</f>
        <v>PZ/800548</v>
      </c>
      <c r="C550" s="2" t="str">
        <f>TRIM(Table1[[#This Row],[Dostawca]])</f>
        <v>SalusHurt</v>
      </c>
      <c r="D550" s="3">
        <v>44764</v>
      </c>
      <c r="E550" s="4" t="s">
        <v>1661</v>
      </c>
      <c r="F550" s="2" t="str">
        <f>TRIM(Table1[[#This Row],[Status]])</f>
        <v>Zaakceptowana</v>
      </c>
      <c r="G550" s="2" t="str">
        <f>TRIM(Table1[[#This Row],[Typ]])</f>
        <v>Faktura VAT</v>
      </c>
      <c r="H550" s="2" t="str">
        <f>TRIM(Table1[[#This Row],[Magazyn]])</f>
        <v>Apteka Szpitalna</v>
      </c>
      <c r="I550" s="2" t="str">
        <f>TRIM(Table1[[#This Row],[Umowa]])</f>
        <v>UM-SAL-02</v>
      </c>
      <c r="J550" s="2" t="b">
        <f>ISTEXT(Table14[[#This Row],[Data_Wystawienia]])</f>
        <v>0</v>
      </c>
      <c r="K550" s="2">
        <f>VALUE(SUBSTITUTE(Table14[[#This Row],[Wartość]],".",","))</f>
        <v>14801.17</v>
      </c>
      <c r="L5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0" s="2" t="str">
        <f>IF(Table14[[#This Row],[Umowa]]="","Poza umową","Z umowy")</f>
        <v>Z umowy</v>
      </c>
      <c r="N550" s="2">
        <f>YEAR(Table14[[#This Row],[Data_Wystawienia]])</f>
        <v>2022</v>
      </c>
      <c r="O550" s="2" t="str">
        <f>TEXT(Table14[[#This Row],[Data_Wystawienia]],"rrrr-mm")</f>
        <v>2022-07</v>
      </c>
      <c r="P550" s="2">
        <v>1</v>
      </c>
    </row>
    <row r="551" spans="1:16" x14ac:dyDescent="0.3">
      <c r="A551" s="2" t="str">
        <f>TRIM(Table1[[#This Row],[Numer_FV]])</f>
        <v>FV/POL/21610/2022</v>
      </c>
      <c r="B551" s="2" t="str">
        <f>TRIM(Table1[[#This Row],[Numer_PZ]])</f>
        <v>PZ/800549</v>
      </c>
      <c r="C551" s="2" t="str">
        <f>TRIM(Table1[[#This Row],[Dostawca]])</f>
        <v>Polmedica</v>
      </c>
      <c r="D551" s="3">
        <v>44765</v>
      </c>
      <c r="E551" s="4" t="s">
        <v>1664</v>
      </c>
      <c r="F551" s="2" t="str">
        <f>TRIM(Table1[[#This Row],[Status]])</f>
        <v>Zaakceptowana</v>
      </c>
      <c r="G551" s="2" t="str">
        <f>TRIM(Table1[[#This Row],[Typ]])</f>
        <v>Korekta FV</v>
      </c>
      <c r="H551" s="2" t="str">
        <f>TRIM(Table1[[#This Row],[Magazyn]])</f>
        <v>Apteka Szpitalna</v>
      </c>
      <c r="I551" s="2" t="str">
        <f>TRIM(Table1[[#This Row],[Umowa]])</f>
        <v>UM-POL-03</v>
      </c>
      <c r="J551" s="2" t="b">
        <f>ISTEXT(Table14[[#This Row],[Data_Wystawienia]])</f>
        <v>0</v>
      </c>
      <c r="K551" s="2">
        <f>VALUE(SUBSTITUTE(Table14[[#This Row],[Wartość]],".",","))</f>
        <v>-2709.3</v>
      </c>
      <c r="L5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1" s="2" t="str">
        <f>IF(Table14[[#This Row],[Umowa]]="","Poza umową","Z umowy")</f>
        <v>Z umowy</v>
      </c>
      <c r="N551" s="2">
        <f>YEAR(Table14[[#This Row],[Data_Wystawienia]])</f>
        <v>2022</v>
      </c>
      <c r="O551" s="2" t="str">
        <f>TEXT(Table14[[#This Row],[Data_Wystawienia]],"rrrr-mm")</f>
        <v>2022-07</v>
      </c>
      <c r="P551" s="2">
        <v>1</v>
      </c>
    </row>
    <row r="552" spans="1:16" x14ac:dyDescent="0.3">
      <c r="A552" s="2" t="str">
        <f>TRIM(Table1[[#This Row],[Numer_FV]])</f>
        <v>FV/4142/NOVA/22</v>
      </c>
      <c r="B552" s="2" t="str">
        <f>TRIM(Table1[[#This Row],[Numer_PZ]])</f>
        <v>PZ/800550</v>
      </c>
      <c r="C552" s="2" t="str">
        <f>TRIM(Table1[[#This Row],[Dostawca]])</f>
        <v>NovaLek</v>
      </c>
      <c r="D552" s="3">
        <v>44766</v>
      </c>
      <c r="E552" s="4" t="s">
        <v>1667</v>
      </c>
      <c r="F552" s="2" t="str">
        <f>TRIM(Table1[[#This Row],[Status]])</f>
        <v>Zaakceptowana</v>
      </c>
      <c r="G552" s="2" t="str">
        <f>TRIM(Table1[[#This Row],[Typ]])</f>
        <v>Faktura VAT</v>
      </c>
      <c r="H552" s="2" t="str">
        <f>TRIM(Table1[[#This Row],[Magazyn]])</f>
        <v>Apteka Szpitalna</v>
      </c>
      <c r="I552" s="2" t="str">
        <f>TRIM(Table1[[#This Row],[Umowa]])</f>
        <v>UM-NOV-03</v>
      </c>
      <c r="J552" s="2" t="b">
        <f>ISTEXT(Table14[[#This Row],[Data_Wystawienia]])</f>
        <v>0</v>
      </c>
      <c r="K552" s="2">
        <f>VALUE(SUBSTITUTE(Table14[[#This Row],[Wartość]],".",","))</f>
        <v>13570.81</v>
      </c>
      <c r="L5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2" s="2" t="str">
        <f>IF(Table14[[#This Row],[Umowa]]="","Poza umową","Z umowy")</f>
        <v>Z umowy</v>
      </c>
      <c r="N552" s="2">
        <f>YEAR(Table14[[#This Row],[Data_Wystawienia]])</f>
        <v>2022</v>
      </c>
      <c r="O552" s="2" t="str">
        <f>TEXT(Table14[[#This Row],[Data_Wystawienia]],"rrrr-mm")</f>
        <v>2022-07</v>
      </c>
      <c r="P552" s="2">
        <v>1</v>
      </c>
    </row>
    <row r="553" spans="1:16" x14ac:dyDescent="0.3">
      <c r="A553" s="2" t="str">
        <f>TRIM(Table1[[#This Row],[Numer_FV]])</f>
        <v>FV/POL/58397/2022</v>
      </c>
      <c r="B553" s="2" t="str">
        <f>TRIM(Table1[[#This Row],[Numer_PZ]])</f>
        <v>PZ/800551</v>
      </c>
      <c r="C553" s="2" t="str">
        <f>TRIM(Table1[[#This Row],[Dostawca]])</f>
        <v>Polmedica</v>
      </c>
      <c r="D553" s="3">
        <v>44768</v>
      </c>
      <c r="E553" s="4" t="s">
        <v>1670</v>
      </c>
      <c r="F553" s="2" t="str">
        <f>TRIM(Table1[[#This Row],[Status]])</f>
        <v>Zaakceptowana</v>
      </c>
      <c r="G553" s="2" t="str">
        <f>TRIM(Table1[[#This Row],[Typ]])</f>
        <v>Faktura VAT</v>
      </c>
      <c r="H553" s="2" t="str">
        <f>TRIM(Table1[[#This Row],[Magazyn]])</f>
        <v>Apteka Szpitalna</v>
      </c>
      <c r="I553" s="2" t="str">
        <f>TRIM(Table1[[#This Row],[Umowa]])</f>
        <v>UM-POL-01</v>
      </c>
      <c r="J553" s="2" t="b">
        <f>ISTEXT(Table14[[#This Row],[Data_Wystawienia]])</f>
        <v>0</v>
      </c>
      <c r="K553" s="2">
        <f>VALUE(SUBSTITUTE(Table14[[#This Row],[Wartość]],".",","))</f>
        <v>8621.4599999999991</v>
      </c>
      <c r="L5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3" s="2" t="str">
        <f>IF(Table14[[#This Row],[Umowa]]="","Poza umową","Z umowy")</f>
        <v>Z umowy</v>
      </c>
      <c r="N553" s="2">
        <f>YEAR(Table14[[#This Row],[Data_Wystawienia]])</f>
        <v>2022</v>
      </c>
      <c r="O553" s="2" t="str">
        <f>TEXT(Table14[[#This Row],[Data_Wystawienia]],"rrrr-mm")</f>
        <v>2022-07</v>
      </c>
      <c r="P553" s="2">
        <v>1</v>
      </c>
    </row>
    <row r="554" spans="1:16" x14ac:dyDescent="0.3">
      <c r="A554" s="2" t="str">
        <f>TRIM(Table1[[#This Row],[Numer_FV]])</f>
        <v>FV/76/SAL/22</v>
      </c>
      <c r="B554" s="2" t="str">
        <f>TRIM(Table1[[#This Row],[Numer_PZ]])</f>
        <v>PZ/800552</v>
      </c>
      <c r="C554" s="2" t="str">
        <f>TRIM(Table1[[#This Row],[Dostawca]])</f>
        <v>SalusHurt</v>
      </c>
      <c r="D554" s="3">
        <v>44768</v>
      </c>
      <c r="E554" s="4" t="s">
        <v>1673</v>
      </c>
      <c r="F554" s="2" t="str">
        <f>TRIM(Table1[[#This Row],[Status]])</f>
        <v>Zaakceptowana</v>
      </c>
      <c r="G554" s="2" t="str">
        <f>TRIM(Table1[[#This Row],[Typ]])</f>
        <v>Faktura VAT</v>
      </c>
      <c r="H554" s="2" t="str">
        <f>TRIM(Table1[[#This Row],[Magazyn]])</f>
        <v>Apteka Szpitalna</v>
      </c>
      <c r="I554" s="2" t="str">
        <f>TRIM(Table1[[#This Row],[Umowa]])</f>
        <v>UM-SAL-01</v>
      </c>
      <c r="J554" s="2" t="b">
        <f>ISTEXT(Table14[[#This Row],[Data_Wystawienia]])</f>
        <v>0</v>
      </c>
      <c r="K554" s="2">
        <f>VALUE(SUBSTITUTE(Table14[[#This Row],[Wartość]],".",","))</f>
        <v>17777.03</v>
      </c>
      <c r="L5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4" s="2" t="str">
        <f>IF(Table14[[#This Row],[Umowa]]="","Poza umową","Z umowy")</f>
        <v>Z umowy</v>
      </c>
      <c r="N554" s="2">
        <f>YEAR(Table14[[#This Row],[Data_Wystawienia]])</f>
        <v>2022</v>
      </c>
      <c r="O554" s="2" t="str">
        <f>TEXT(Table14[[#This Row],[Data_Wystawienia]],"rrrr-mm")</f>
        <v>2022-07</v>
      </c>
      <c r="P554" s="2">
        <v>1</v>
      </c>
    </row>
    <row r="555" spans="1:16" x14ac:dyDescent="0.3">
      <c r="A555" s="2" t="str">
        <f>TRIM(Table1[[#This Row],[Numer_FV]])</f>
        <v>FV/39/SAL/22</v>
      </c>
      <c r="B555" s="2" t="str">
        <f>TRIM(Table1[[#This Row],[Numer_PZ]])</f>
        <v>PZ/800553</v>
      </c>
      <c r="C555" s="2" t="str">
        <f>TRIM(Table1[[#This Row],[Dostawca]])</f>
        <v>SalusHurt</v>
      </c>
      <c r="D555" s="3">
        <v>44768</v>
      </c>
      <c r="E555" s="4" t="s">
        <v>1675</v>
      </c>
      <c r="F555" s="2" t="str">
        <f>TRIM(Table1[[#This Row],[Status]])</f>
        <v>Zaakceptowana</v>
      </c>
      <c r="G555" s="2" t="str">
        <f>TRIM(Table1[[#This Row],[Typ]])</f>
        <v>Faktura VAT</v>
      </c>
      <c r="H555" s="2" t="str">
        <f>TRIM(Table1[[#This Row],[Magazyn]])</f>
        <v>Apteka Szpitalna</v>
      </c>
      <c r="I555" s="2" t="str">
        <f>TRIM(Table1[[#This Row],[Umowa]])</f>
        <v>UM-SAL-02</v>
      </c>
      <c r="J555" s="2" t="b">
        <f>ISTEXT(Table14[[#This Row],[Data_Wystawienia]])</f>
        <v>0</v>
      </c>
      <c r="K555" s="2">
        <f>VALUE(SUBSTITUTE(Table14[[#This Row],[Wartość]],".",","))</f>
        <v>16168.04</v>
      </c>
      <c r="L5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5" s="2" t="str">
        <f>IF(Table14[[#This Row],[Umowa]]="","Poza umową","Z umowy")</f>
        <v>Z umowy</v>
      </c>
      <c r="N555" s="2">
        <f>YEAR(Table14[[#This Row],[Data_Wystawienia]])</f>
        <v>2022</v>
      </c>
      <c r="O555" s="2" t="str">
        <f>TEXT(Table14[[#This Row],[Data_Wystawienia]],"rrrr-mm")</f>
        <v>2022-07</v>
      </c>
      <c r="P555" s="2">
        <v>1</v>
      </c>
    </row>
    <row r="556" spans="1:16" x14ac:dyDescent="0.3">
      <c r="A556" s="2" t="str">
        <f>TRIM(Table1[[#This Row],[Numer_FV]])</f>
        <v>FV/M/1699/P/22</v>
      </c>
      <c r="B556" s="2" t="str">
        <f>TRIM(Table1[[#This Row],[Numer_PZ]])</f>
        <v>PZ/800554</v>
      </c>
      <c r="C556" s="2" t="str">
        <f>TRIM(Table1[[#This Row],[Dostawca]])</f>
        <v>MedicaPharm</v>
      </c>
      <c r="D556" s="3">
        <v>44768</v>
      </c>
      <c r="E556" s="4" t="s">
        <v>1678</v>
      </c>
      <c r="F556" s="2" t="str">
        <f>TRIM(Table1[[#This Row],[Status]])</f>
        <v>Zaakceptowana</v>
      </c>
      <c r="G556" s="2" t="str">
        <f>TRIM(Table1[[#This Row],[Typ]])</f>
        <v>Faktura VAT</v>
      </c>
      <c r="H556" s="2" t="str">
        <f>TRIM(Table1[[#This Row],[Magazyn]])</f>
        <v>Apteka Szpitalna</v>
      </c>
      <c r="I556" s="2" t="str">
        <f>TRIM(Table1[[#This Row],[Umowa]])</f>
        <v/>
      </c>
      <c r="J556" s="2" t="b">
        <f>ISTEXT(Table14[[#This Row],[Data_Wystawienia]])</f>
        <v>0</v>
      </c>
      <c r="K556" s="2">
        <f>VALUE(SUBSTITUTE(Table14[[#This Row],[Wartość]],".",","))</f>
        <v>10733.58</v>
      </c>
      <c r="L5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6" s="2" t="str">
        <f>IF(Table14[[#This Row],[Umowa]]="","Poza umową","Z umowy")</f>
        <v>Poza umową</v>
      </c>
      <c r="N556" s="2">
        <f>YEAR(Table14[[#This Row],[Data_Wystawienia]])</f>
        <v>2022</v>
      </c>
      <c r="O556" s="2" t="str">
        <f>TEXT(Table14[[#This Row],[Data_Wystawienia]],"rrrr-mm")</f>
        <v>2022-07</v>
      </c>
      <c r="P556" s="2">
        <v>1</v>
      </c>
    </row>
    <row r="557" spans="1:16" x14ac:dyDescent="0.3">
      <c r="A557" s="2" t="str">
        <f>TRIM(Table1[[#This Row],[Numer_FV]])</f>
        <v>FV/CENFA/377429/22</v>
      </c>
      <c r="B557" s="2" t="str">
        <f>TRIM(Table1[[#This Row],[Numer_PZ]])</f>
        <v>PZ/800555</v>
      </c>
      <c r="C557" s="2" t="str">
        <f>TRIM(Table1[[#This Row],[Dostawca]])</f>
        <v>CentrumFarm</v>
      </c>
      <c r="D557" s="3">
        <v>44768</v>
      </c>
      <c r="E557" s="4" t="s">
        <v>1681</v>
      </c>
      <c r="F557" s="2" t="str">
        <f>TRIM(Table1[[#This Row],[Status]])</f>
        <v>Zaakceptowana</v>
      </c>
      <c r="G557" s="2" t="str">
        <f>TRIM(Table1[[#This Row],[Typ]])</f>
        <v>Faktura VAT</v>
      </c>
      <c r="H557" s="2" t="str">
        <f>TRIM(Table1[[#This Row],[Magazyn]])</f>
        <v>Apteka Szpitalna</v>
      </c>
      <c r="I557" s="2" t="str">
        <f>TRIM(Table1[[#This Row],[Umowa]])</f>
        <v>UM-CEN-02</v>
      </c>
      <c r="J557" s="2" t="b">
        <f>ISTEXT(Table14[[#This Row],[Data_Wystawienia]])</f>
        <v>0</v>
      </c>
      <c r="K557" s="2">
        <f>VALUE(SUBSTITUTE(Table14[[#This Row],[Wartość]],".",","))</f>
        <v>19837.490000000002</v>
      </c>
      <c r="L5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7" s="2" t="str">
        <f>IF(Table14[[#This Row],[Umowa]]="","Poza umową","Z umowy")</f>
        <v>Z umowy</v>
      </c>
      <c r="N557" s="2">
        <f>YEAR(Table14[[#This Row],[Data_Wystawienia]])</f>
        <v>2022</v>
      </c>
      <c r="O557" s="2" t="str">
        <f>TEXT(Table14[[#This Row],[Data_Wystawienia]],"rrrr-mm")</f>
        <v>2022-07</v>
      </c>
      <c r="P557" s="2">
        <v>1</v>
      </c>
    </row>
    <row r="558" spans="1:16" x14ac:dyDescent="0.3">
      <c r="A558" s="2" t="str">
        <f>TRIM(Table1[[#This Row],[Numer_FV]])</f>
        <v>FV/7912HM/22</v>
      </c>
      <c r="B558" s="2" t="str">
        <f>TRIM(Table1[[#This Row],[Numer_PZ]])</f>
        <v>PZ/800556</v>
      </c>
      <c r="C558" s="2" t="str">
        <f>TRIM(Table1[[#This Row],[Dostawca]])</f>
        <v>HurtMedix</v>
      </c>
      <c r="D558" s="3">
        <v>44769</v>
      </c>
      <c r="E558" s="4" t="s">
        <v>1684</v>
      </c>
      <c r="F558" s="2" t="str">
        <f>TRIM(Table1[[#This Row],[Status]])</f>
        <v>Zaakceptowana</v>
      </c>
      <c r="G558" s="2" t="str">
        <f>TRIM(Table1[[#This Row],[Typ]])</f>
        <v>Faktura VAT</v>
      </c>
      <c r="H558" s="2" t="str">
        <f>TRIM(Table1[[#This Row],[Magazyn]])</f>
        <v>Apteka Szpitalna</v>
      </c>
      <c r="I558" s="2" t="str">
        <f>TRIM(Table1[[#This Row],[Umowa]])</f>
        <v>UM-HUR-02</v>
      </c>
      <c r="J558" s="2" t="b">
        <f>ISTEXT(Table14[[#This Row],[Data_Wystawienia]])</f>
        <v>0</v>
      </c>
      <c r="K558" s="2">
        <f>VALUE(SUBSTITUTE(Table14[[#This Row],[Wartość]],".",","))</f>
        <v>18099.25</v>
      </c>
      <c r="L5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8" s="2" t="str">
        <f>IF(Table14[[#This Row],[Umowa]]="","Poza umową","Z umowy")</f>
        <v>Z umowy</v>
      </c>
      <c r="N558" s="2">
        <f>YEAR(Table14[[#This Row],[Data_Wystawienia]])</f>
        <v>2022</v>
      </c>
      <c r="O558" s="2" t="str">
        <f>TEXT(Table14[[#This Row],[Data_Wystawienia]],"rrrr-mm")</f>
        <v>2022-07</v>
      </c>
      <c r="P558" s="2">
        <v>1</v>
      </c>
    </row>
    <row r="559" spans="1:16" x14ac:dyDescent="0.3">
      <c r="A559" s="2" t="str">
        <f>TRIM(Table1[[#This Row],[Numer_FV]])</f>
        <v>FV/41/PP/4464/22</v>
      </c>
      <c r="B559" s="2" t="str">
        <f>TRIM(Table1[[#This Row],[Numer_PZ]])</f>
        <v>PZ/800557</v>
      </c>
      <c r="C559" s="2" t="str">
        <f>TRIM(Table1[[#This Row],[Dostawca]])</f>
        <v>PharmaPlus</v>
      </c>
      <c r="D559" s="3">
        <v>44770</v>
      </c>
      <c r="E559" s="4" t="s">
        <v>1687</v>
      </c>
      <c r="F559" s="2" t="str">
        <f>TRIM(Table1[[#This Row],[Status]])</f>
        <v>Zaakceptowana</v>
      </c>
      <c r="G559" s="2" t="str">
        <f>TRIM(Table1[[#This Row],[Typ]])</f>
        <v>Faktura VAT</v>
      </c>
      <c r="H559" s="2" t="str">
        <f>TRIM(Table1[[#This Row],[Magazyn]])</f>
        <v>Apteka Szpitalna</v>
      </c>
      <c r="I559" s="2" t="str">
        <f>TRIM(Table1[[#This Row],[Umowa]])</f>
        <v>UM-PHA-02</v>
      </c>
      <c r="J559" s="2" t="b">
        <f>ISTEXT(Table14[[#This Row],[Data_Wystawienia]])</f>
        <v>0</v>
      </c>
      <c r="K559" s="2">
        <f>VALUE(SUBSTITUTE(Table14[[#This Row],[Wartość]],".",","))</f>
        <v>8910.39</v>
      </c>
      <c r="L5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59" s="2" t="str">
        <f>IF(Table14[[#This Row],[Umowa]]="","Poza umową","Z umowy")</f>
        <v>Z umowy</v>
      </c>
      <c r="N559" s="2">
        <f>YEAR(Table14[[#This Row],[Data_Wystawienia]])</f>
        <v>2022</v>
      </c>
      <c r="O559" s="2" t="str">
        <f>TEXT(Table14[[#This Row],[Data_Wystawienia]],"rrrr-mm")</f>
        <v>2022-07</v>
      </c>
      <c r="P559" s="2">
        <v>1</v>
      </c>
    </row>
    <row r="560" spans="1:16" x14ac:dyDescent="0.3">
      <c r="A560" s="2" t="str">
        <f>TRIM(Table1[[#This Row],[Numer_FV]])</f>
        <v>FV/7722HM/22</v>
      </c>
      <c r="B560" s="2" t="str">
        <f>TRIM(Table1[[#This Row],[Numer_PZ]])</f>
        <v>PZ/800558</v>
      </c>
      <c r="C560" s="2" t="str">
        <f>TRIM(Table1[[#This Row],[Dostawca]])</f>
        <v>HurtMedix</v>
      </c>
      <c r="D560" s="3">
        <v>44770</v>
      </c>
      <c r="E560" s="4" t="s">
        <v>1690</v>
      </c>
      <c r="F560" s="2" t="str">
        <f>TRIM(Table1[[#This Row],[Status]])</f>
        <v>Zaakceptowana</v>
      </c>
      <c r="G560" s="2" t="str">
        <f>TRIM(Table1[[#This Row],[Typ]])</f>
        <v>Faktura VAT</v>
      </c>
      <c r="H560" s="2" t="str">
        <f>TRIM(Table1[[#This Row],[Magazyn]])</f>
        <v>Apteka Szpitalna</v>
      </c>
      <c r="I560" s="2" t="str">
        <f>TRIM(Table1[[#This Row],[Umowa]])</f>
        <v>UM-HUR-03</v>
      </c>
      <c r="J560" s="2" t="b">
        <f>ISTEXT(Table14[[#This Row],[Data_Wystawienia]])</f>
        <v>0</v>
      </c>
      <c r="K560" s="2">
        <f>VALUE(SUBSTITUTE(Table14[[#This Row],[Wartość]],".",","))</f>
        <v>16991.57</v>
      </c>
      <c r="L5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0" s="2" t="str">
        <f>IF(Table14[[#This Row],[Umowa]]="","Poza umową","Z umowy")</f>
        <v>Z umowy</v>
      </c>
      <c r="N560" s="2">
        <f>YEAR(Table14[[#This Row],[Data_Wystawienia]])</f>
        <v>2022</v>
      </c>
      <c r="O560" s="2" t="str">
        <f>TEXT(Table14[[#This Row],[Data_Wystawienia]],"rrrr-mm")</f>
        <v>2022-07</v>
      </c>
      <c r="P560" s="2">
        <v>1</v>
      </c>
    </row>
    <row r="561" spans="1:16" x14ac:dyDescent="0.3">
      <c r="A561" s="2" t="str">
        <f>TRIM(Table1[[#This Row],[Numer_FV]])</f>
        <v>FV/M/3586/P/22</v>
      </c>
      <c r="B561" s="2" t="str">
        <f>TRIM(Table1[[#This Row],[Numer_PZ]])</f>
        <v>PZ/800559</v>
      </c>
      <c r="C561" s="2" t="str">
        <f>TRIM(Table1[[#This Row],[Dostawca]])</f>
        <v>MedicaPharm</v>
      </c>
      <c r="D561" s="3">
        <v>44771</v>
      </c>
      <c r="E561" s="4" t="s">
        <v>1693</v>
      </c>
      <c r="F561" s="2" t="str">
        <f>TRIM(Table1[[#This Row],[Status]])</f>
        <v>Zaakceptowana</v>
      </c>
      <c r="G561" s="2" t="str">
        <f>TRIM(Table1[[#This Row],[Typ]])</f>
        <v>Faktura VAT</v>
      </c>
      <c r="H561" s="2" t="str">
        <f>TRIM(Table1[[#This Row],[Magazyn]])</f>
        <v>Apteka Szpitalna</v>
      </c>
      <c r="I561" s="2" t="str">
        <f>TRIM(Table1[[#This Row],[Umowa]])</f>
        <v/>
      </c>
      <c r="J561" s="2" t="b">
        <f>ISTEXT(Table14[[#This Row],[Data_Wystawienia]])</f>
        <v>0</v>
      </c>
      <c r="K561" s="2">
        <f>VALUE(SUBSTITUTE(Table14[[#This Row],[Wartość]],".",","))</f>
        <v>11536.36</v>
      </c>
      <c r="L5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1" s="2" t="str">
        <f>IF(Table14[[#This Row],[Umowa]]="","Poza umową","Z umowy")</f>
        <v>Poza umową</v>
      </c>
      <c r="N561" s="2">
        <f>YEAR(Table14[[#This Row],[Data_Wystawienia]])</f>
        <v>2022</v>
      </c>
      <c r="O561" s="2" t="str">
        <f>TEXT(Table14[[#This Row],[Data_Wystawienia]],"rrrr-mm")</f>
        <v>2022-07</v>
      </c>
      <c r="P561" s="2">
        <v>1</v>
      </c>
    </row>
    <row r="562" spans="1:16" x14ac:dyDescent="0.3">
      <c r="A562" s="2" t="str">
        <f>TRIM(Table1[[#This Row],[Numer_FV]])</f>
        <v>FV/POL/72809/2022</v>
      </c>
      <c r="B562" s="2" t="str">
        <f>TRIM(Table1[[#This Row],[Numer_PZ]])</f>
        <v>PZ/800560</v>
      </c>
      <c r="C562" s="2" t="str">
        <f>TRIM(Table1[[#This Row],[Dostawca]])</f>
        <v>Polmedica</v>
      </c>
      <c r="D562" s="3">
        <v>44772</v>
      </c>
      <c r="E562" s="4" t="s">
        <v>1696</v>
      </c>
      <c r="F562" s="2" t="str">
        <f>TRIM(Table1[[#This Row],[Status]])</f>
        <v>Zaakceptowana</v>
      </c>
      <c r="G562" s="2" t="str">
        <f>TRIM(Table1[[#This Row],[Typ]])</f>
        <v>Faktura VAT</v>
      </c>
      <c r="H562" s="2" t="str">
        <f>TRIM(Table1[[#This Row],[Magazyn]])</f>
        <v>Apteka Szpitalna</v>
      </c>
      <c r="I562" s="2" t="str">
        <f>TRIM(Table1[[#This Row],[Umowa]])</f>
        <v>UM-POL-03</v>
      </c>
      <c r="J562" s="2" t="b">
        <f>ISTEXT(Table14[[#This Row],[Data_Wystawienia]])</f>
        <v>0</v>
      </c>
      <c r="K562" s="2">
        <f>VALUE(SUBSTITUTE(Table14[[#This Row],[Wartość]],".",","))</f>
        <v>18909.16</v>
      </c>
      <c r="L5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2" s="2" t="str">
        <f>IF(Table14[[#This Row],[Umowa]]="","Poza umową","Z umowy")</f>
        <v>Z umowy</v>
      </c>
      <c r="N562" s="2">
        <f>YEAR(Table14[[#This Row],[Data_Wystawienia]])</f>
        <v>2022</v>
      </c>
      <c r="O562" s="2" t="str">
        <f>TEXT(Table14[[#This Row],[Data_Wystawienia]],"rrrr-mm")</f>
        <v>2022-07</v>
      </c>
      <c r="P562" s="2">
        <v>1</v>
      </c>
    </row>
    <row r="563" spans="1:16" x14ac:dyDescent="0.3">
      <c r="A563" s="2" t="str">
        <f>TRIM(Table1[[#This Row],[Numer_FV]])</f>
        <v>FV/70692/VDb/2022</v>
      </c>
      <c r="B563" s="2" t="str">
        <f>TRIM(Table1[[#This Row],[Numer_PZ]])</f>
        <v>PZ/800561</v>
      </c>
      <c r="C563" s="2" t="str">
        <f>TRIM(Table1[[#This Row],[Dostawca]])</f>
        <v>VitaDistrib</v>
      </c>
      <c r="D563" s="3">
        <v>44772</v>
      </c>
      <c r="E563" s="4" t="s">
        <v>1699</v>
      </c>
      <c r="F563" s="2" t="str">
        <f>TRIM(Table1[[#This Row],[Status]])</f>
        <v>Zaakceptowana</v>
      </c>
      <c r="G563" s="2" t="str">
        <f>TRIM(Table1[[#This Row],[Typ]])</f>
        <v>Faktura VAT</v>
      </c>
      <c r="H563" s="2" t="str">
        <f>TRIM(Table1[[#This Row],[Magazyn]])</f>
        <v>Apteka Szpitalna</v>
      </c>
      <c r="I563" s="2" t="str">
        <f>TRIM(Table1[[#This Row],[Umowa]])</f>
        <v>UM-VIT-01</v>
      </c>
      <c r="J563" s="2" t="b">
        <f>ISTEXT(Table14[[#This Row],[Data_Wystawienia]])</f>
        <v>0</v>
      </c>
      <c r="K563" s="2">
        <f>VALUE(SUBSTITUTE(Table14[[#This Row],[Wartość]],".",","))</f>
        <v>18788.71</v>
      </c>
      <c r="L5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3" s="2" t="str">
        <f>IF(Table14[[#This Row],[Umowa]]="","Poza umową","Z umowy")</f>
        <v>Z umowy</v>
      </c>
      <c r="N563" s="2">
        <f>YEAR(Table14[[#This Row],[Data_Wystawienia]])</f>
        <v>2022</v>
      </c>
      <c r="O563" s="2" t="str">
        <f>TEXT(Table14[[#This Row],[Data_Wystawienia]],"rrrr-mm")</f>
        <v>2022-07</v>
      </c>
      <c r="P563" s="2">
        <v>1</v>
      </c>
    </row>
    <row r="564" spans="1:16" x14ac:dyDescent="0.3">
      <c r="A564" s="2" t="str">
        <f>TRIM(Table1[[#This Row],[Numer_FV]])</f>
        <v>FV/27/SAL/22</v>
      </c>
      <c r="B564" s="2" t="str">
        <f>TRIM(Table1[[#This Row],[Numer_PZ]])</f>
        <v>PZ/800562</v>
      </c>
      <c r="C564" s="2" t="str">
        <f>TRIM(Table1[[#This Row],[Dostawca]])</f>
        <v>SalusHurt</v>
      </c>
      <c r="D564" s="3">
        <v>44772</v>
      </c>
      <c r="E564" s="4" t="s">
        <v>1701</v>
      </c>
      <c r="F564" s="2" t="str">
        <f>TRIM(Table1[[#This Row],[Status]])</f>
        <v>Zaakceptowana</v>
      </c>
      <c r="G564" s="2" t="str">
        <f>TRIM(Table1[[#This Row],[Typ]])</f>
        <v>Faktura VAT</v>
      </c>
      <c r="H564" s="2" t="str">
        <f>TRIM(Table1[[#This Row],[Magazyn]])</f>
        <v>Apteka Szpitalna</v>
      </c>
      <c r="I564" s="2" t="str">
        <f>TRIM(Table1[[#This Row],[Umowa]])</f>
        <v>UM-SAL-02</v>
      </c>
      <c r="J564" s="2" t="b">
        <f>ISTEXT(Table14[[#This Row],[Data_Wystawienia]])</f>
        <v>0</v>
      </c>
      <c r="K564" s="2">
        <f>VALUE(SUBSTITUTE(Table14[[#This Row],[Wartość]],".",","))</f>
        <v>11723.53</v>
      </c>
      <c r="L5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4" s="2" t="str">
        <f>IF(Table14[[#This Row],[Umowa]]="","Poza umową","Z umowy")</f>
        <v>Z umowy</v>
      </c>
      <c r="N564" s="2">
        <f>YEAR(Table14[[#This Row],[Data_Wystawienia]])</f>
        <v>2022</v>
      </c>
      <c r="O564" s="2" t="str">
        <f>TEXT(Table14[[#This Row],[Data_Wystawienia]],"rrrr-mm")</f>
        <v>2022-07</v>
      </c>
      <c r="P564" s="2">
        <v>1</v>
      </c>
    </row>
    <row r="565" spans="1:16" x14ac:dyDescent="0.3">
      <c r="A565" s="2" t="str">
        <f>TRIM(Table1[[#This Row],[Numer_FV]])</f>
        <v>FV/81784/VDb/2022</v>
      </c>
      <c r="B565" s="2" t="str">
        <f>TRIM(Table1[[#This Row],[Numer_PZ]])</f>
        <v>PZ/800563</v>
      </c>
      <c r="C565" s="2" t="str">
        <f>TRIM(Table1[[#This Row],[Dostawca]])</f>
        <v>VitaDistrib</v>
      </c>
      <c r="D565" s="3">
        <v>44772</v>
      </c>
      <c r="E565" s="4" t="s">
        <v>1704</v>
      </c>
      <c r="F565" s="2" t="str">
        <f>TRIM(Table1[[#This Row],[Status]])</f>
        <v>Zaakceptowana</v>
      </c>
      <c r="G565" s="2" t="str">
        <f>TRIM(Table1[[#This Row],[Typ]])</f>
        <v>Faktura VAT</v>
      </c>
      <c r="H565" s="2" t="str">
        <f>TRIM(Table1[[#This Row],[Magazyn]])</f>
        <v>Apteka Szpitalna</v>
      </c>
      <c r="I565" s="2" t="str">
        <f>TRIM(Table1[[#This Row],[Umowa]])</f>
        <v/>
      </c>
      <c r="J565" s="2" t="b">
        <f>ISTEXT(Table14[[#This Row],[Data_Wystawienia]])</f>
        <v>0</v>
      </c>
      <c r="K565" s="2">
        <f>VALUE(SUBSTITUTE(Table14[[#This Row],[Wartość]],".",","))</f>
        <v>16766.669999999998</v>
      </c>
      <c r="L5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5" s="2" t="str">
        <f>IF(Table14[[#This Row],[Umowa]]="","Poza umową","Z umowy")</f>
        <v>Poza umową</v>
      </c>
      <c r="N565" s="2">
        <f>YEAR(Table14[[#This Row],[Data_Wystawienia]])</f>
        <v>2022</v>
      </c>
      <c r="O565" s="2" t="str">
        <f>TEXT(Table14[[#This Row],[Data_Wystawienia]],"rrrr-mm")</f>
        <v>2022-07</v>
      </c>
      <c r="P565" s="2">
        <v>1</v>
      </c>
    </row>
    <row r="566" spans="1:16" x14ac:dyDescent="0.3">
      <c r="A566" s="2" t="str">
        <f>TRIM(Table1[[#This Row],[Numer_FV]])</f>
        <v>FV/POL/25077/2022</v>
      </c>
      <c r="B566" s="2" t="str">
        <f>TRIM(Table1[[#This Row],[Numer_PZ]])</f>
        <v>PZ/800564</v>
      </c>
      <c r="C566" s="2" t="str">
        <f>TRIM(Table1[[#This Row],[Dostawca]])</f>
        <v>Polmedica</v>
      </c>
      <c r="D566" s="3">
        <v>44773</v>
      </c>
      <c r="E566" s="4" t="s">
        <v>1707</v>
      </c>
      <c r="F566" s="2" t="str">
        <f>TRIM(Table1[[#This Row],[Status]])</f>
        <v>Zaakceptowana</v>
      </c>
      <c r="G566" s="2" t="str">
        <f>TRIM(Table1[[#This Row],[Typ]])</f>
        <v>Faktura VAT</v>
      </c>
      <c r="H566" s="2" t="str">
        <f>TRIM(Table1[[#This Row],[Magazyn]])</f>
        <v>Apteka Szpitalna</v>
      </c>
      <c r="I566" s="2" t="str">
        <f>TRIM(Table1[[#This Row],[Umowa]])</f>
        <v>UM-POL-01</v>
      </c>
      <c r="J566" s="2" t="b">
        <f>ISTEXT(Table14[[#This Row],[Data_Wystawienia]])</f>
        <v>0</v>
      </c>
      <c r="K566" s="2">
        <f>VALUE(SUBSTITUTE(Table14[[#This Row],[Wartość]],".",","))</f>
        <v>7315.72</v>
      </c>
      <c r="L5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6" s="2" t="str">
        <f>IF(Table14[[#This Row],[Umowa]]="","Poza umową","Z umowy")</f>
        <v>Z umowy</v>
      </c>
      <c r="N566" s="2">
        <f>YEAR(Table14[[#This Row],[Data_Wystawienia]])</f>
        <v>2022</v>
      </c>
      <c r="O566" s="2" t="str">
        <f>TEXT(Table14[[#This Row],[Data_Wystawienia]],"rrrr-mm")</f>
        <v>2022-07</v>
      </c>
      <c r="P566" s="2">
        <v>1</v>
      </c>
    </row>
    <row r="567" spans="1:16" x14ac:dyDescent="0.3">
      <c r="A567" s="2" t="str">
        <f>TRIM(Table1[[#This Row],[Numer_FV]])</f>
        <v>FV/CENFA/683460/22</v>
      </c>
      <c r="B567" s="2" t="str">
        <f>TRIM(Table1[[#This Row],[Numer_PZ]])</f>
        <v>PZ/800565</v>
      </c>
      <c r="C567" s="2" t="str">
        <f>TRIM(Table1[[#This Row],[Dostawca]])</f>
        <v>CentrumFarm</v>
      </c>
      <c r="D567" s="3">
        <v>44773</v>
      </c>
      <c r="E567" s="4" t="s">
        <v>1710</v>
      </c>
      <c r="F567" s="2" t="str">
        <f>TRIM(Table1[[#This Row],[Status]])</f>
        <v>Zaakceptowana</v>
      </c>
      <c r="G567" s="2" t="str">
        <f>TRIM(Table1[[#This Row],[Typ]])</f>
        <v>Faktura VAT</v>
      </c>
      <c r="H567" s="2" t="str">
        <f>TRIM(Table1[[#This Row],[Magazyn]])</f>
        <v>Apteka Szpitalna</v>
      </c>
      <c r="I567" s="2" t="str">
        <f>TRIM(Table1[[#This Row],[Umowa]])</f>
        <v>UM-CEN-02</v>
      </c>
      <c r="J567" s="2" t="b">
        <f>ISTEXT(Table14[[#This Row],[Data_Wystawienia]])</f>
        <v>0</v>
      </c>
      <c r="K567" s="2">
        <f>VALUE(SUBSTITUTE(Table14[[#This Row],[Wartość]],".",","))</f>
        <v>12978.34</v>
      </c>
      <c r="L5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7" s="2" t="str">
        <f>IF(Table14[[#This Row],[Umowa]]="","Poza umową","Z umowy")</f>
        <v>Z umowy</v>
      </c>
      <c r="N567" s="2">
        <f>YEAR(Table14[[#This Row],[Data_Wystawienia]])</f>
        <v>2022</v>
      </c>
      <c r="O567" s="2" t="str">
        <f>TEXT(Table14[[#This Row],[Data_Wystawienia]],"rrrr-mm")</f>
        <v>2022-07</v>
      </c>
      <c r="P567" s="2">
        <v>1</v>
      </c>
    </row>
    <row r="568" spans="1:16" x14ac:dyDescent="0.3">
      <c r="A568" s="2" t="str">
        <f>TRIM(Table1[[#This Row],[Numer_FV]])</f>
        <v>FV/79/SAL/22</v>
      </c>
      <c r="B568" s="2" t="str">
        <f>TRIM(Table1[[#This Row],[Numer_PZ]])</f>
        <v>PZ/800566</v>
      </c>
      <c r="C568" s="2" t="str">
        <f>TRIM(Table1[[#This Row],[Dostawca]])</f>
        <v>SalusHurt</v>
      </c>
      <c r="D568" s="3">
        <v>44774</v>
      </c>
      <c r="E568" s="4" t="s">
        <v>1713</v>
      </c>
      <c r="F568" s="2" t="str">
        <f>TRIM(Table1[[#This Row],[Status]])</f>
        <v>Zaakceptowana</v>
      </c>
      <c r="G568" s="2" t="str">
        <f>TRIM(Table1[[#This Row],[Typ]])</f>
        <v>Faktura VAT</v>
      </c>
      <c r="H568" s="2" t="str">
        <f>TRIM(Table1[[#This Row],[Magazyn]])</f>
        <v>Apteka Szpitalna</v>
      </c>
      <c r="I568" s="2" t="str">
        <f>TRIM(Table1[[#This Row],[Umowa]])</f>
        <v>UM-SAL-01</v>
      </c>
      <c r="J568" s="2" t="b">
        <f>ISTEXT(Table14[[#This Row],[Data_Wystawienia]])</f>
        <v>0</v>
      </c>
      <c r="K568" s="2">
        <f>VALUE(SUBSTITUTE(Table14[[#This Row],[Wartość]],".",","))</f>
        <v>14208.88</v>
      </c>
      <c r="L5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8" s="2" t="str">
        <f>IF(Table14[[#This Row],[Umowa]]="","Poza umową","Z umowy")</f>
        <v>Z umowy</v>
      </c>
      <c r="N568" s="2">
        <f>YEAR(Table14[[#This Row],[Data_Wystawienia]])</f>
        <v>2022</v>
      </c>
      <c r="O568" s="2" t="str">
        <f>TEXT(Table14[[#This Row],[Data_Wystawienia]],"rrrr-mm")</f>
        <v>2022-08</v>
      </c>
      <c r="P568" s="2">
        <v>1</v>
      </c>
    </row>
    <row r="569" spans="1:16" x14ac:dyDescent="0.3">
      <c r="A569" s="2" t="str">
        <f>TRIM(Table1[[#This Row],[Numer_FV]])</f>
        <v>FV/84/SAL/22</v>
      </c>
      <c r="B569" s="2" t="str">
        <f>TRIM(Table1[[#This Row],[Numer_PZ]])</f>
        <v>PZ/800567</v>
      </c>
      <c r="C569" s="2" t="str">
        <f>TRIM(Table1[[#This Row],[Dostawca]])</f>
        <v>SalusHurt</v>
      </c>
      <c r="D569" s="3">
        <v>44775</v>
      </c>
      <c r="E569" s="4" t="s">
        <v>1716</v>
      </c>
      <c r="F569" s="2" t="str">
        <f>TRIM(Table1[[#This Row],[Status]])</f>
        <v>Zaakceptowana</v>
      </c>
      <c r="G569" s="2" t="str">
        <f>TRIM(Table1[[#This Row],[Typ]])</f>
        <v>Faktura VAT</v>
      </c>
      <c r="H569" s="2" t="str">
        <f>TRIM(Table1[[#This Row],[Magazyn]])</f>
        <v>Apteka Szpitalna</v>
      </c>
      <c r="I569" s="2" t="str">
        <f>TRIM(Table1[[#This Row],[Umowa]])</f>
        <v/>
      </c>
      <c r="J569" s="2" t="b">
        <f>ISTEXT(Table14[[#This Row],[Data_Wystawienia]])</f>
        <v>0</v>
      </c>
      <c r="K569" s="2">
        <f>VALUE(SUBSTITUTE(Table14[[#This Row],[Wartość]],".",","))</f>
        <v>12519.36</v>
      </c>
      <c r="L5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69" s="2" t="str">
        <f>IF(Table14[[#This Row],[Umowa]]="","Poza umową","Z umowy")</f>
        <v>Poza umową</v>
      </c>
      <c r="N569" s="2">
        <f>YEAR(Table14[[#This Row],[Data_Wystawienia]])</f>
        <v>2022</v>
      </c>
      <c r="O569" s="2" t="str">
        <f>TEXT(Table14[[#This Row],[Data_Wystawienia]],"rrrr-mm")</f>
        <v>2022-08</v>
      </c>
      <c r="P569" s="2">
        <v>1</v>
      </c>
    </row>
    <row r="570" spans="1:16" x14ac:dyDescent="0.3">
      <c r="A570" s="2" t="str">
        <f>TRIM(Table1[[#This Row],[Numer_FV]])</f>
        <v>FV/27451/VDb/2022</v>
      </c>
      <c r="B570" s="2" t="str">
        <f>TRIM(Table1[[#This Row],[Numer_PZ]])</f>
        <v>PZ/800568</v>
      </c>
      <c r="C570" s="2" t="str">
        <f>TRIM(Table1[[#This Row],[Dostawca]])</f>
        <v>VitaDistrib</v>
      </c>
      <c r="D570" s="3">
        <v>44776</v>
      </c>
      <c r="E570" s="4" t="s">
        <v>1719</v>
      </c>
      <c r="F570" s="2" t="str">
        <f>TRIM(Table1[[#This Row],[Status]])</f>
        <v>Zaakceptowana</v>
      </c>
      <c r="G570" s="2" t="str">
        <f>TRIM(Table1[[#This Row],[Typ]])</f>
        <v>Faktura VAT</v>
      </c>
      <c r="H570" s="2" t="str">
        <f>TRIM(Table1[[#This Row],[Magazyn]])</f>
        <v>Apteka Szpitalna</v>
      </c>
      <c r="I570" s="2" t="str">
        <f>TRIM(Table1[[#This Row],[Umowa]])</f>
        <v>UM-VIT-01</v>
      </c>
      <c r="J570" s="2" t="b">
        <f>ISTEXT(Table14[[#This Row],[Data_Wystawienia]])</f>
        <v>0</v>
      </c>
      <c r="K570" s="2">
        <f>VALUE(SUBSTITUTE(Table14[[#This Row],[Wartość]],".",","))</f>
        <v>15268.32</v>
      </c>
      <c r="L5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0" s="2" t="str">
        <f>IF(Table14[[#This Row],[Umowa]]="","Poza umową","Z umowy")</f>
        <v>Z umowy</v>
      </c>
      <c r="N570" s="2">
        <f>YEAR(Table14[[#This Row],[Data_Wystawienia]])</f>
        <v>2022</v>
      </c>
      <c r="O570" s="2" t="str">
        <f>TEXT(Table14[[#This Row],[Data_Wystawienia]],"rrrr-mm")</f>
        <v>2022-08</v>
      </c>
      <c r="P570" s="2">
        <v>1</v>
      </c>
    </row>
    <row r="571" spans="1:16" x14ac:dyDescent="0.3">
      <c r="A571" s="2" t="str">
        <f>TRIM(Table1[[#This Row],[Numer_FV]])</f>
        <v>FV/M/1129/P/22</v>
      </c>
      <c r="B571" s="2" t="str">
        <f>TRIM(Table1[[#This Row],[Numer_PZ]])</f>
        <v>PZ/800569</v>
      </c>
      <c r="C571" s="2" t="str">
        <f>TRIM(Table1[[#This Row],[Dostawca]])</f>
        <v>MedicaPharm</v>
      </c>
      <c r="D571" s="3">
        <v>44776</v>
      </c>
      <c r="E571" s="4" t="s">
        <v>1722</v>
      </c>
      <c r="F571" s="2" t="str">
        <f>TRIM(Table1[[#This Row],[Status]])</f>
        <v>Zaakceptowana</v>
      </c>
      <c r="G571" s="2" t="str">
        <f>TRIM(Table1[[#This Row],[Typ]])</f>
        <v>Faktura VAT</v>
      </c>
      <c r="H571" s="2" t="str">
        <f>TRIM(Table1[[#This Row],[Magazyn]])</f>
        <v>Apteka Szpitalna</v>
      </c>
      <c r="I571" s="2" t="str">
        <f>TRIM(Table1[[#This Row],[Umowa]])</f>
        <v>UM-MED-02</v>
      </c>
      <c r="J571" s="2" t="b">
        <f>ISTEXT(Table14[[#This Row],[Data_Wystawienia]])</f>
        <v>0</v>
      </c>
      <c r="K571" s="2">
        <f>VALUE(SUBSTITUTE(Table14[[#This Row],[Wartość]],".",","))</f>
        <v>24492.33</v>
      </c>
      <c r="L5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1" s="2" t="str">
        <f>IF(Table14[[#This Row],[Umowa]]="","Poza umową","Z umowy")</f>
        <v>Z umowy</v>
      </c>
      <c r="N571" s="2">
        <f>YEAR(Table14[[#This Row],[Data_Wystawienia]])</f>
        <v>2022</v>
      </c>
      <c r="O571" s="2" t="str">
        <f>TEXT(Table14[[#This Row],[Data_Wystawienia]],"rrrr-mm")</f>
        <v>2022-08</v>
      </c>
      <c r="P571" s="2">
        <v>1</v>
      </c>
    </row>
    <row r="572" spans="1:16" x14ac:dyDescent="0.3">
      <c r="A572" s="2" t="str">
        <f>TRIM(Table1[[#This Row],[Numer_FV]])</f>
        <v>FV/POL/38367/2022</v>
      </c>
      <c r="B572" s="2" t="str">
        <f>TRIM(Table1[[#This Row],[Numer_PZ]])</f>
        <v>PZ/800570</v>
      </c>
      <c r="C572" s="2" t="str">
        <f>TRIM(Table1[[#This Row],[Dostawca]])</f>
        <v>Polmedica</v>
      </c>
      <c r="D572" s="3">
        <v>44776</v>
      </c>
      <c r="E572" s="4" t="s">
        <v>1725</v>
      </c>
      <c r="F572" s="2" t="str">
        <f>TRIM(Table1[[#This Row],[Status]])</f>
        <v>Zaakceptowana</v>
      </c>
      <c r="G572" s="2" t="str">
        <f>TRIM(Table1[[#This Row],[Typ]])</f>
        <v>Korekta FV</v>
      </c>
      <c r="H572" s="2" t="str">
        <f>TRIM(Table1[[#This Row],[Magazyn]])</f>
        <v>Apteka Szpitalna</v>
      </c>
      <c r="I572" s="2" t="str">
        <f>TRIM(Table1[[#This Row],[Umowa]])</f>
        <v/>
      </c>
      <c r="J572" s="2" t="b">
        <f>ISTEXT(Table14[[#This Row],[Data_Wystawienia]])</f>
        <v>0</v>
      </c>
      <c r="K572" s="2">
        <f>VALUE(SUBSTITUTE(Table14[[#This Row],[Wartość]],".",","))</f>
        <v>-1006.43</v>
      </c>
      <c r="L5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2" s="2" t="str">
        <f>IF(Table14[[#This Row],[Umowa]]="","Poza umową","Z umowy")</f>
        <v>Poza umową</v>
      </c>
      <c r="N572" s="2">
        <f>YEAR(Table14[[#This Row],[Data_Wystawienia]])</f>
        <v>2022</v>
      </c>
      <c r="O572" s="2" t="str">
        <f>TEXT(Table14[[#This Row],[Data_Wystawienia]],"rrrr-mm")</f>
        <v>2022-08</v>
      </c>
      <c r="P572" s="2">
        <v>1</v>
      </c>
    </row>
    <row r="573" spans="1:16" x14ac:dyDescent="0.3">
      <c r="A573" s="2" t="str">
        <f>TRIM(Table1[[#This Row],[Numer_FV]])</f>
        <v>FV/8223HM/22</v>
      </c>
      <c r="B573" s="2" t="str">
        <f>TRIM(Table1[[#This Row],[Numer_PZ]])</f>
        <v>PZ/800571</v>
      </c>
      <c r="C573" s="2" t="str">
        <f>TRIM(Table1[[#This Row],[Dostawca]])</f>
        <v>HurtMedix</v>
      </c>
      <c r="D573" s="3">
        <v>44777</v>
      </c>
      <c r="E573" s="4" t="s">
        <v>1728</v>
      </c>
      <c r="F573" s="2" t="str">
        <f>TRIM(Table1[[#This Row],[Status]])</f>
        <v>Zaakceptowana</v>
      </c>
      <c r="G573" s="2" t="str">
        <f>TRIM(Table1[[#This Row],[Typ]])</f>
        <v>Faktura VAT</v>
      </c>
      <c r="H573" s="2" t="str">
        <f>TRIM(Table1[[#This Row],[Magazyn]])</f>
        <v>Apteka Szpitalna</v>
      </c>
      <c r="I573" s="2" t="str">
        <f>TRIM(Table1[[#This Row],[Umowa]])</f>
        <v>UM-HUR-02</v>
      </c>
      <c r="J573" s="2" t="b">
        <f>ISTEXT(Table14[[#This Row],[Data_Wystawienia]])</f>
        <v>0</v>
      </c>
      <c r="K573" s="2">
        <f>VALUE(SUBSTITUTE(Table14[[#This Row],[Wartość]],".",","))</f>
        <v>11691.2</v>
      </c>
      <c r="L5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3" s="2" t="str">
        <f>IF(Table14[[#This Row],[Umowa]]="","Poza umową","Z umowy")</f>
        <v>Z umowy</v>
      </c>
      <c r="N573" s="2">
        <f>YEAR(Table14[[#This Row],[Data_Wystawienia]])</f>
        <v>2022</v>
      </c>
      <c r="O573" s="2" t="str">
        <f>TEXT(Table14[[#This Row],[Data_Wystawienia]],"rrrr-mm")</f>
        <v>2022-08</v>
      </c>
      <c r="P573" s="2">
        <v>1</v>
      </c>
    </row>
    <row r="574" spans="1:16" x14ac:dyDescent="0.3">
      <c r="A574" s="2" t="str">
        <f>TRIM(Table1[[#This Row],[Numer_FV]])</f>
        <v>FV/23/SAL/22</v>
      </c>
      <c r="B574" s="2" t="str">
        <f>TRIM(Table1[[#This Row],[Numer_PZ]])</f>
        <v>PZ/800572</v>
      </c>
      <c r="C574" s="2" t="str">
        <f>TRIM(Table1[[#This Row],[Dostawca]])</f>
        <v>SalusHurt</v>
      </c>
      <c r="D574" s="3">
        <v>44777</v>
      </c>
      <c r="E574" s="4" t="s">
        <v>1731</v>
      </c>
      <c r="F574" s="2" t="str">
        <f>TRIM(Table1[[#This Row],[Status]])</f>
        <v>Zaakceptowana</v>
      </c>
      <c r="G574" s="2" t="str">
        <f>TRIM(Table1[[#This Row],[Typ]])</f>
        <v>Faktura VAT</v>
      </c>
      <c r="H574" s="2" t="str">
        <f>TRIM(Table1[[#This Row],[Magazyn]])</f>
        <v>Apteka Szpitalna</v>
      </c>
      <c r="I574" s="2" t="str">
        <f>TRIM(Table1[[#This Row],[Umowa]])</f>
        <v>UM-SAL-01</v>
      </c>
      <c r="J574" s="2" t="b">
        <f>ISTEXT(Table14[[#This Row],[Data_Wystawienia]])</f>
        <v>0</v>
      </c>
      <c r="K574" s="2">
        <f>VALUE(SUBSTITUTE(Table14[[#This Row],[Wartość]],".",","))</f>
        <v>9668.4699999999993</v>
      </c>
      <c r="L5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4" s="2" t="str">
        <f>IF(Table14[[#This Row],[Umowa]]="","Poza umową","Z umowy")</f>
        <v>Z umowy</v>
      </c>
      <c r="N574" s="2">
        <f>YEAR(Table14[[#This Row],[Data_Wystawienia]])</f>
        <v>2022</v>
      </c>
      <c r="O574" s="2" t="str">
        <f>TEXT(Table14[[#This Row],[Data_Wystawienia]],"rrrr-mm")</f>
        <v>2022-08</v>
      </c>
      <c r="P574" s="2">
        <v>1</v>
      </c>
    </row>
    <row r="575" spans="1:16" x14ac:dyDescent="0.3">
      <c r="A575" s="2" t="str">
        <f>TRIM(Table1[[#This Row],[Numer_FV]])</f>
        <v>FV/93933/VDb/2022</v>
      </c>
      <c r="B575" s="2" t="str">
        <f>TRIM(Table1[[#This Row],[Numer_PZ]])</f>
        <v>PZ/800573</v>
      </c>
      <c r="C575" s="2" t="str">
        <f>TRIM(Table1[[#This Row],[Dostawca]])</f>
        <v>VitaDistrib</v>
      </c>
      <c r="D575" s="3">
        <v>44777</v>
      </c>
      <c r="E575" s="4" t="s">
        <v>1734</v>
      </c>
      <c r="F575" s="2" t="str">
        <f>TRIM(Table1[[#This Row],[Status]])</f>
        <v>Zaakceptowana</v>
      </c>
      <c r="G575" s="2" t="str">
        <f>TRIM(Table1[[#This Row],[Typ]])</f>
        <v>Korekta FV</v>
      </c>
      <c r="H575" s="2" t="str">
        <f>TRIM(Table1[[#This Row],[Magazyn]])</f>
        <v>Apteka Szpitalna</v>
      </c>
      <c r="I575" s="2" t="str">
        <f>TRIM(Table1[[#This Row],[Umowa]])</f>
        <v>UM-VIT-01</v>
      </c>
      <c r="J575" s="2" t="b">
        <f>ISTEXT(Table14[[#This Row],[Data_Wystawienia]])</f>
        <v>0</v>
      </c>
      <c r="K575" s="2">
        <f>VALUE(SUBSTITUTE(Table14[[#This Row],[Wartość]],".",","))</f>
        <v>-3120.9</v>
      </c>
      <c r="L5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5" s="2" t="str">
        <f>IF(Table14[[#This Row],[Umowa]]="","Poza umową","Z umowy")</f>
        <v>Z umowy</v>
      </c>
      <c r="N575" s="2">
        <f>YEAR(Table14[[#This Row],[Data_Wystawienia]])</f>
        <v>2022</v>
      </c>
      <c r="O575" s="2" t="str">
        <f>TEXT(Table14[[#This Row],[Data_Wystawienia]],"rrrr-mm")</f>
        <v>2022-08</v>
      </c>
      <c r="P575" s="2">
        <v>1</v>
      </c>
    </row>
    <row r="576" spans="1:16" x14ac:dyDescent="0.3">
      <c r="A576" s="2" t="str">
        <f>TRIM(Table1[[#This Row],[Numer_FV]])</f>
        <v>FV/M/5564/P/22</v>
      </c>
      <c r="B576" s="2" t="str">
        <f>TRIM(Table1[[#This Row],[Numer_PZ]])</f>
        <v>PZ/800574</v>
      </c>
      <c r="C576" s="2" t="str">
        <f>TRIM(Table1[[#This Row],[Dostawca]])</f>
        <v>MedicaPharm</v>
      </c>
      <c r="D576" s="3">
        <v>44777</v>
      </c>
      <c r="E576" s="4" t="s">
        <v>1737</v>
      </c>
      <c r="F576" s="2" t="str">
        <f>TRIM(Table1[[#This Row],[Status]])</f>
        <v>Zaakceptowana</v>
      </c>
      <c r="G576" s="2" t="str">
        <f>TRIM(Table1[[#This Row],[Typ]])</f>
        <v>Faktura VAT</v>
      </c>
      <c r="H576" s="2" t="str">
        <f>TRIM(Table1[[#This Row],[Magazyn]])</f>
        <v>Apteka Szpitalna</v>
      </c>
      <c r="I576" s="2" t="str">
        <f>TRIM(Table1[[#This Row],[Umowa]])</f>
        <v>UM-MED-01</v>
      </c>
      <c r="J576" s="2" t="b">
        <f>ISTEXT(Table14[[#This Row],[Data_Wystawienia]])</f>
        <v>0</v>
      </c>
      <c r="K576" s="2">
        <f>VALUE(SUBSTITUTE(Table14[[#This Row],[Wartość]],".",","))</f>
        <v>10374.01</v>
      </c>
      <c r="L5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6" s="2" t="str">
        <f>IF(Table14[[#This Row],[Umowa]]="","Poza umową","Z umowy")</f>
        <v>Z umowy</v>
      </c>
      <c r="N576" s="2">
        <f>YEAR(Table14[[#This Row],[Data_Wystawienia]])</f>
        <v>2022</v>
      </c>
      <c r="O576" s="2" t="str">
        <f>TEXT(Table14[[#This Row],[Data_Wystawienia]],"rrrr-mm")</f>
        <v>2022-08</v>
      </c>
      <c r="P576" s="2">
        <v>1</v>
      </c>
    </row>
    <row r="577" spans="1:16" x14ac:dyDescent="0.3">
      <c r="A577" s="2" t="str">
        <f>TRIM(Table1[[#This Row],[Numer_FV]])</f>
        <v>FV/15/PP/1030/22</v>
      </c>
      <c r="B577" s="2" t="str">
        <f>TRIM(Table1[[#This Row],[Numer_PZ]])</f>
        <v>PZ/800575</v>
      </c>
      <c r="C577" s="2" t="str">
        <f>TRIM(Table1[[#This Row],[Dostawca]])</f>
        <v>PharmaPlus</v>
      </c>
      <c r="D577" s="3">
        <v>44777</v>
      </c>
      <c r="E577" s="4" t="s">
        <v>1740</v>
      </c>
      <c r="F577" s="2" t="str">
        <f>TRIM(Table1[[#This Row],[Status]])</f>
        <v>Zaakceptowana</v>
      </c>
      <c r="G577" s="2" t="str">
        <f>TRIM(Table1[[#This Row],[Typ]])</f>
        <v>Faktura VAT</v>
      </c>
      <c r="H577" s="2" t="str">
        <f>TRIM(Table1[[#This Row],[Magazyn]])</f>
        <v>Apteka Szpitalna</v>
      </c>
      <c r="I577" s="2" t="str">
        <f>TRIM(Table1[[#This Row],[Umowa]])</f>
        <v>UM-PHA-02</v>
      </c>
      <c r="J577" s="2" t="b">
        <f>ISTEXT(Table14[[#This Row],[Data_Wystawienia]])</f>
        <v>0</v>
      </c>
      <c r="K577" s="2">
        <f>VALUE(SUBSTITUTE(Table14[[#This Row],[Wartość]],".",","))</f>
        <v>17600.990000000002</v>
      </c>
      <c r="L5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7" s="2" t="str">
        <f>IF(Table14[[#This Row],[Umowa]]="","Poza umową","Z umowy")</f>
        <v>Z umowy</v>
      </c>
      <c r="N577" s="2">
        <f>YEAR(Table14[[#This Row],[Data_Wystawienia]])</f>
        <v>2022</v>
      </c>
      <c r="O577" s="2" t="str">
        <f>TEXT(Table14[[#This Row],[Data_Wystawienia]],"rrrr-mm")</f>
        <v>2022-08</v>
      </c>
      <c r="P577" s="2">
        <v>1</v>
      </c>
    </row>
    <row r="578" spans="1:16" x14ac:dyDescent="0.3">
      <c r="A578" s="2" t="str">
        <f>TRIM(Table1[[#This Row],[Numer_FV]])</f>
        <v>FV/CENFA/530829/22</v>
      </c>
      <c r="B578" s="2" t="str">
        <f>TRIM(Table1[[#This Row],[Numer_PZ]])</f>
        <v>PZ/800576</v>
      </c>
      <c r="C578" s="2" t="str">
        <f>TRIM(Table1[[#This Row],[Dostawca]])</f>
        <v>CentrumFarm</v>
      </c>
      <c r="D578" s="3">
        <v>44777</v>
      </c>
      <c r="E578" s="4" t="s">
        <v>1743</v>
      </c>
      <c r="F578" s="2" t="str">
        <f>TRIM(Table1[[#This Row],[Status]])</f>
        <v>Zaakceptowana</v>
      </c>
      <c r="G578" s="2" t="str">
        <f>TRIM(Table1[[#This Row],[Typ]])</f>
        <v>Faktura VAT</v>
      </c>
      <c r="H578" s="2" t="str">
        <f>TRIM(Table1[[#This Row],[Magazyn]])</f>
        <v>Apteka Szpitalna</v>
      </c>
      <c r="I578" s="2" t="str">
        <f>TRIM(Table1[[#This Row],[Umowa]])</f>
        <v>UM-CEN-02</v>
      </c>
      <c r="J578" s="2" t="b">
        <f>ISTEXT(Table14[[#This Row],[Data_Wystawienia]])</f>
        <v>0</v>
      </c>
      <c r="K578" s="2">
        <f>VALUE(SUBSTITUTE(Table14[[#This Row],[Wartość]],".",","))</f>
        <v>16220.32</v>
      </c>
      <c r="L5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8" s="2" t="str">
        <f>IF(Table14[[#This Row],[Umowa]]="","Poza umową","Z umowy")</f>
        <v>Z umowy</v>
      </c>
      <c r="N578" s="2">
        <f>YEAR(Table14[[#This Row],[Data_Wystawienia]])</f>
        <v>2022</v>
      </c>
      <c r="O578" s="2" t="str">
        <f>TEXT(Table14[[#This Row],[Data_Wystawienia]],"rrrr-mm")</f>
        <v>2022-08</v>
      </c>
      <c r="P578" s="2">
        <v>1</v>
      </c>
    </row>
    <row r="579" spans="1:16" x14ac:dyDescent="0.3">
      <c r="A579" s="2" t="str">
        <f>TRIM(Table1[[#This Row],[Numer_FV]])</f>
        <v>FV/CENFA/127024/22</v>
      </c>
      <c r="B579" s="2" t="str">
        <f>TRIM(Table1[[#This Row],[Numer_PZ]])</f>
        <v>PZ/800577</v>
      </c>
      <c r="C579" s="2" t="str">
        <f>TRIM(Table1[[#This Row],[Dostawca]])</f>
        <v>CentrumFarm</v>
      </c>
      <c r="D579" s="3">
        <v>44778</v>
      </c>
      <c r="E579" s="4" t="s">
        <v>1746</v>
      </c>
      <c r="F579" s="2" t="str">
        <f>TRIM(Table1[[#This Row],[Status]])</f>
        <v>Zaakceptowana</v>
      </c>
      <c r="G579" s="2" t="str">
        <f>TRIM(Table1[[#This Row],[Typ]])</f>
        <v>Faktura VAT</v>
      </c>
      <c r="H579" s="2" t="str">
        <f>TRIM(Table1[[#This Row],[Magazyn]])</f>
        <v>Apteka Szpitalna</v>
      </c>
      <c r="I579" s="2" t="str">
        <f>TRIM(Table1[[#This Row],[Umowa]])</f>
        <v>UM-CEN-02</v>
      </c>
      <c r="J579" s="2" t="b">
        <f>ISTEXT(Table14[[#This Row],[Data_Wystawienia]])</f>
        <v>0</v>
      </c>
      <c r="K579" s="2">
        <f>VALUE(SUBSTITUTE(Table14[[#This Row],[Wartość]],".",","))</f>
        <v>19416.95</v>
      </c>
      <c r="L5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79" s="2" t="str">
        <f>IF(Table14[[#This Row],[Umowa]]="","Poza umową","Z umowy")</f>
        <v>Z umowy</v>
      </c>
      <c r="N579" s="2">
        <f>YEAR(Table14[[#This Row],[Data_Wystawienia]])</f>
        <v>2022</v>
      </c>
      <c r="O579" s="2" t="str">
        <f>TEXT(Table14[[#This Row],[Data_Wystawienia]],"rrrr-mm")</f>
        <v>2022-08</v>
      </c>
      <c r="P579" s="2">
        <v>1</v>
      </c>
    </row>
    <row r="580" spans="1:16" x14ac:dyDescent="0.3">
      <c r="A580" s="2" t="str">
        <f>TRIM(Table1[[#This Row],[Numer_FV]])</f>
        <v>FV/18/SAL/22</v>
      </c>
      <c r="B580" s="2" t="str">
        <f>TRIM(Table1[[#This Row],[Numer_PZ]])</f>
        <v>PZ/800578</v>
      </c>
      <c r="C580" s="2" t="str">
        <f>TRIM(Table1[[#This Row],[Dostawca]])</f>
        <v>SalusHurt</v>
      </c>
      <c r="D580" s="3">
        <v>44779</v>
      </c>
      <c r="E580" s="4" t="s">
        <v>1748</v>
      </c>
      <c r="F580" s="2" t="str">
        <f>TRIM(Table1[[#This Row],[Status]])</f>
        <v>Zaakceptowana</v>
      </c>
      <c r="G580" s="2" t="str">
        <f>TRIM(Table1[[#This Row],[Typ]])</f>
        <v>Faktura VAT</v>
      </c>
      <c r="H580" s="2" t="str">
        <f>TRIM(Table1[[#This Row],[Magazyn]])</f>
        <v>Apteka Szpitalna</v>
      </c>
      <c r="I580" s="2" t="str">
        <f>TRIM(Table1[[#This Row],[Umowa]])</f>
        <v/>
      </c>
      <c r="J580" s="2" t="b">
        <f>ISTEXT(Table14[[#This Row],[Data_Wystawienia]])</f>
        <v>0</v>
      </c>
      <c r="K580" s="2">
        <f>VALUE(SUBSTITUTE(Table14[[#This Row],[Wartość]],".",","))</f>
        <v>15601.8</v>
      </c>
      <c r="L5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0" s="2" t="str">
        <f>IF(Table14[[#This Row],[Umowa]]="","Poza umową","Z umowy")</f>
        <v>Poza umową</v>
      </c>
      <c r="N580" s="2">
        <f>YEAR(Table14[[#This Row],[Data_Wystawienia]])</f>
        <v>2022</v>
      </c>
      <c r="O580" s="2" t="str">
        <f>TEXT(Table14[[#This Row],[Data_Wystawienia]],"rrrr-mm")</f>
        <v>2022-08</v>
      </c>
      <c r="P580" s="2">
        <v>1</v>
      </c>
    </row>
    <row r="581" spans="1:16" x14ac:dyDescent="0.3">
      <c r="A581" s="2" t="str">
        <f>TRIM(Table1[[#This Row],[Numer_FV]])</f>
        <v>FV/M/1088/P/22</v>
      </c>
      <c r="B581" s="2" t="str">
        <f>TRIM(Table1[[#This Row],[Numer_PZ]])</f>
        <v>PZ/800579</v>
      </c>
      <c r="C581" s="2" t="str">
        <f>TRIM(Table1[[#This Row],[Dostawca]])</f>
        <v>MedicaPharm</v>
      </c>
      <c r="D581" s="3">
        <v>44779</v>
      </c>
      <c r="E581" s="4" t="s">
        <v>1751</v>
      </c>
      <c r="F581" s="2" t="str">
        <f>TRIM(Table1[[#This Row],[Status]])</f>
        <v>Zaakceptowana</v>
      </c>
      <c r="G581" s="2" t="str">
        <f>TRIM(Table1[[#This Row],[Typ]])</f>
        <v>Faktura VAT</v>
      </c>
      <c r="H581" s="2" t="str">
        <f>TRIM(Table1[[#This Row],[Magazyn]])</f>
        <v>Apteka Szpitalna</v>
      </c>
      <c r="I581" s="2" t="str">
        <f>TRIM(Table1[[#This Row],[Umowa]])</f>
        <v/>
      </c>
      <c r="J581" s="2" t="b">
        <f>ISTEXT(Table14[[#This Row],[Data_Wystawienia]])</f>
        <v>0</v>
      </c>
      <c r="K581" s="2">
        <f>VALUE(SUBSTITUTE(Table14[[#This Row],[Wartość]],".",","))</f>
        <v>15294.07</v>
      </c>
      <c r="L5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1" s="2" t="str">
        <f>IF(Table14[[#This Row],[Umowa]]="","Poza umową","Z umowy")</f>
        <v>Poza umową</v>
      </c>
      <c r="N581" s="2">
        <f>YEAR(Table14[[#This Row],[Data_Wystawienia]])</f>
        <v>2022</v>
      </c>
      <c r="O581" s="2" t="str">
        <f>TEXT(Table14[[#This Row],[Data_Wystawienia]],"rrrr-mm")</f>
        <v>2022-08</v>
      </c>
      <c r="P581" s="2">
        <v>1</v>
      </c>
    </row>
    <row r="582" spans="1:16" x14ac:dyDescent="0.3">
      <c r="A582" s="2" t="str">
        <f>TRIM(Table1[[#This Row],[Numer_FV]])</f>
        <v>FV/2425HM/22</v>
      </c>
      <c r="B582" s="2" t="str">
        <f>TRIM(Table1[[#This Row],[Numer_PZ]])</f>
        <v>PZ/800580</v>
      </c>
      <c r="C582" s="2" t="str">
        <f>TRIM(Table1[[#This Row],[Dostawca]])</f>
        <v>HurtMedix</v>
      </c>
      <c r="D582" s="3">
        <v>44779</v>
      </c>
      <c r="E582" s="4" t="s">
        <v>1754</v>
      </c>
      <c r="F582" s="2" t="str">
        <f>TRIM(Table1[[#This Row],[Status]])</f>
        <v>Zaakceptowana</v>
      </c>
      <c r="G582" s="2" t="str">
        <f>TRIM(Table1[[#This Row],[Typ]])</f>
        <v>Faktura VAT</v>
      </c>
      <c r="H582" s="2" t="str">
        <f>TRIM(Table1[[#This Row],[Magazyn]])</f>
        <v>Apteka Szpitalna</v>
      </c>
      <c r="I582" s="2" t="str">
        <f>TRIM(Table1[[#This Row],[Umowa]])</f>
        <v>UM-HUR-02</v>
      </c>
      <c r="J582" s="2" t="b">
        <f>ISTEXT(Table14[[#This Row],[Data_Wystawienia]])</f>
        <v>0</v>
      </c>
      <c r="K582" s="2">
        <f>VALUE(SUBSTITUTE(Table14[[#This Row],[Wartość]],".",","))</f>
        <v>6079.44</v>
      </c>
      <c r="L5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2" s="2" t="str">
        <f>IF(Table14[[#This Row],[Umowa]]="","Poza umową","Z umowy")</f>
        <v>Z umowy</v>
      </c>
      <c r="N582" s="2">
        <f>YEAR(Table14[[#This Row],[Data_Wystawienia]])</f>
        <v>2022</v>
      </c>
      <c r="O582" s="2" t="str">
        <f>TEXT(Table14[[#This Row],[Data_Wystawienia]],"rrrr-mm")</f>
        <v>2022-08</v>
      </c>
      <c r="P582" s="2">
        <v>1</v>
      </c>
    </row>
    <row r="583" spans="1:16" x14ac:dyDescent="0.3">
      <c r="A583" s="2" t="str">
        <f>TRIM(Table1[[#This Row],[Numer_FV]])</f>
        <v>FV/27/PP/9702/22</v>
      </c>
      <c r="B583" s="2" t="str">
        <f>TRIM(Table1[[#This Row],[Numer_PZ]])</f>
        <v>PZ/800581</v>
      </c>
      <c r="C583" s="2" t="str">
        <f>TRIM(Table1[[#This Row],[Dostawca]])</f>
        <v>PharmaPlus</v>
      </c>
      <c r="D583" s="3">
        <v>44780</v>
      </c>
      <c r="E583" s="4" t="s">
        <v>1757</v>
      </c>
      <c r="F583" s="2" t="str">
        <f>TRIM(Table1[[#This Row],[Status]])</f>
        <v>Zaakceptowana</v>
      </c>
      <c r="G583" s="2" t="str">
        <f>TRIM(Table1[[#This Row],[Typ]])</f>
        <v>Faktura VAT</v>
      </c>
      <c r="H583" s="2" t="str">
        <f>TRIM(Table1[[#This Row],[Magazyn]])</f>
        <v>Apteka Szpitalna</v>
      </c>
      <c r="I583" s="2" t="str">
        <f>TRIM(Table1[[#This Row],[Umowa]])</f>
        <v>UM-PHA-02</v>
      </c>
      <c r="J583" s="2" t="b">
        <f>ISTEXT(Table14[[#This Row],[Data_Wystawienia]])</f>
        <v>0</v>
      </c>
      <c r="K583" s="2">
        <f>VALUE(SUBSTITUTE(Table14[[#This Row],[Wartość]],".",","))</f>
        <v>6440.27</v>
      </c>
      <c r="L5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3" s="2" t="str">
        <f>IF(Table14[[#This Row],[Umowa]]="","Poza umową","Z umowy")</f>
        <v>Z umowy</v>
      </c>
      <c r="N583" s="2">
        <f>YEAR(Table14[[#This Row],[Data_Wystawienia]])</f>
        <v>2022</v>
      </c>
      <c r="O583" s="2" t="str">
        <f>TEXT(Table14[[#This Row],[Data_Wystawienia]],"rrrr-mm")</f>
        <v>2022-08</v>
      </c>
      <c r="P583" s="2">
        <v>1</v>
      </c>
    </row>
    <row r="584" spans="1:16" x14ac:dyDescent="0.3">
      <c r="A584" s="2" t="str">
        <f>TRIM(Table1[[#This Row],[Numer_FV]])</f>
        <v>FV/8300/NOVA/22</v>
      </c>
      <c r="B584" s="2" t="str">
        <f>TRIM(Table1[[#This Row],[Numer_PZ]])</f>
        <v>PZ/800582</v>
      </c>
      <c r="C584" s="2" t="str">
        <f>TRIM(Table1[[#This Row],[Dostawca]])</f>
        <v>NovaLek</v>
      </c>
      <c r="D584" s="3">
        <v>44780</v>
      </c>
      <c r="E584" s="4" t="s">
        <v>1760</v>
      </c>
      <c r="F584" s="2" t="str">
        <f>TRIM(Table1[[#This Row],[Status]])</f>
        <v>Zaakceptowana</v>
      </c>
      <c r="G584" s="2" t="str">
        <f>TRIM(Table1[[#This Row],[Typ]])</f>
        <v>Faktura VAT</v>
      </c>
      <c r="H584" s="2" t="str">
        <f>TRIM(Table1[[#This Row],[Magazyn]])</f>
        <v>Apteka Szpitalna</v>
      </c>
      <c r="I584" s="2" t="str">
        <f>TRIM(Table1[[#This Row],[Umowa]])</f>
        <v>UM-NOV-02</v>
      </c>
      <c r="J584" s="2" t="b">
        <f>ISTEXT(Table14[[#This Row],[Data_Wystawienia]])</f>
        <v>0</v>
      </c>
      <c r="K584" s="2">
        <f>VALUE(SUBSTITUTE(Table14[[#This Row],[Wartość]],".",","))</f>
        <v>23708.09</v>
      </c>
      <c r="L5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4" s="2" t="str">
        <f>IF(Table14[[#This Row],[Umowa]]="","Poza umową","Z umowy")</f>
        <v>Z umowy</v>
      </c>
      <c r="N584" s="2">
        <f>YEAR(Table14[[#This Row],[Data_Wystawienia]])</f>
        <v>2022</v>
      </c>
      <c r="O584" s="2" t="str">
        <f>TEXT(Table14[[#This Row],[Data_Wystawienia]],"rrrr-mm")</f>
        <v>2022-08</v>
      </c>
      <c r="P584" s="2">
        <v>1</v>
      </c>
    </row>
    <row r="585" spans="1:16" x14ac:dyDescent="0.3">
      <c r="A585" s="2" t="str">
        <f>TRIM(Table1[[#This Row],[Numer_FV]])</f>
        <v>FV/CENFA/126287/22</v>
      </c>
      <c r="B585" s="2" t="str">
        <f>TRIM(Table1[[#This Row],[Numer_PZ]])</f>
        <v>PZ/800583</v>
      </c>
      <c r="C585" s="2" t="str">
        <f>TRIM(Table1[[#This Row],[Dostawca]])</f>
        <v>CentrumFarm</v>
      </c>
      <c r="D585" s="3">
        <v>44781</v>
      </c>
      <c r="E585" s="4" t="s">
        <v>1763</v>
      </c>
      <c r="F585" s="2" t="str">
        <f>TRIM(Table1[[#This Row],[Status]])</f>
        <v>Zaakceptowana</v>
      </c>
      <c r="G585" s="2" t="str">
        <f>TRIM(Table1[[#This Row],[Typ]])</f>
        <v>Faktura VAT</v>
      </c>
      <c r="H585" s="2" t="str">
        <f>TRIM(Table1[[#This Row],[Magazyn]])</f>
        <v>Apteka Szpitalna</v>
      </c>
      <c r="I585" s="2" t="str">
        <f>TRIM(Table1[[#This Row],[Umowa]])</f>
        <v>UM-CEN-01</v>
      </c>
      <c r="J585" s="2" t="b">
        <f>ISTEXT(Table14[[#This Row],[Data_Wystawienia]])</f>
        <v>0</v>
      </c>
      <c r="K585" s="2">
        <f>VALUE(SUBSTITUTE(Table14[[#This Row],[Wartość]],".",","))</f>
        <v>14870.04</v>
      </c>
      <c r="L5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5" s="2" t="str">
        <f>IF(Table14[[#This Row],[Umowa]]="","Poza umową","Z umowy")</f>
        <v>Z umowy</v>
      </c>
      <c r="N585" s="2">
        <f>YEAR(Table14[[#This Row],[Data_Wystawienia]])</f>
        <v>2022</v>
      </c>
      <c r="O585" s="2" t="str">
        <f>TEXT(Table14[[#This Row],[Data_Wystawienia]],"rrrr-mm")</f>
        <v>2022-08</v>
      </c>
      <c r="P585" s="2">
        <v>1</v>
      </c>
    </row>
    <row r="586" spans="1:16" x14ac:dyDescent="0.3">
      <c r="A586" s="2" t="str">
        <f>TRIM(Table1[[#This Row],[Numer_FV]])</f>
        <v>FV/M/8854/P/22</v>
      </c>
      <c r="B586" s="2" t="str">
        <f>TRIM(Table1[[#This Row],[Numer_PZ]])</f>
        <v>PZ/800584</v>
      </c>
      <c r="C586" s="2" t="str">
        <f>TRIM(Table1[[#This Row],[Dostawca]])</f>
        <v>MedicaPharm</v>
      </c>
      <c r="D586" s="3">
        <v>44781</v>
      </c>
      <c r="E586" s="4" t="s">
        <v>1766</v>
      </c>
      <c r="F586" s="2" t="str">
        <f>TRIM(Table1[[#This Row],[Status]])</f>
        <v>Zaakceptowana</v>
      </c>
      <c r="G586" s="2" t="str">
        <f>TRIM(Table1[[#This Row],[Typ]])</f>
        <v>Faktura VAT</v>
      </c>
      <c r="H586" s="2" t="str">
        <f>TRIM(Table1[[#This Row],[Magazyn]])</f>
        <v>Apteka Szpitalna</v>
      </c>
      <c r="I586" s="2" t="str">
        <f>TRIM(Table1[[#This Row],[Umowa]])</f>
        <v>UM-MED-02</v>
      </c>
      <c r="J586" s="2" t="b">
        <f>ISTEXT(Table14[[#This Row],[Data_Wystawienia]])</f>
        <v>0</v>
      </c>
      <c r="K586" s="2">
        <f>VALUE(SUBSTITUTE(Table14[[#This Row],[Wartość]],".",","))</f>
        <v>23298.7</v>
      </c>
      <c r="L5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6" s="2" t="str">
        <f>IF(Table14[[#This Row],[Umowa]]="","Poza umową","Z umowy")</f>
        <v>Z umowy</v>
      </c>
      <c r="N586" s="2">
        <f>YEAR(Table14[[#This Row],[Data_Wystawienia]])</f>
        <v>2022</v>
      </c>
      <c r="O586" s="2" t="str">
        <f>TEXT(Table14[[#This Row],[Data_Wystawienia]],"rrrr-mm")</f>
        <v>2022-08</v>
      </c>
      <c r="P586" s="2">
        <v>1</v>
      </c>
    </row>
    <row r="587" spans="1:16" x14ac:dyDescent="0.3">
      <c r="A587" s="2" t="str">
        <f>TRIM(Table1[[#This Row],[Numer_FV]])</f>
        <v>FV/M/1064/P/22</v>
      </c>
      <c r="B587" s="2" t="str">
        <f>TRIM(Table1[[#This Row],[Numer_PZ]])</f>
        <v>PZ/800585</v>
      </c>
      <c r="C587" s="2" t="str">
        <f>TRIM(Table1[[#This Row],[Dostawca]])</f>
        <v>MedicaPharm</v>
      </c>
      <c r="D587" s="3">
        <v>44782</v>
      </c>
      <c r="E587" s="4" t="s">
        <v>1769</v>
      </c>
      <c r="F587" s="2" t="str">
        <f>TRIM(Table1[[#This Row],[Status]])</f>
        <v>Zaakceptowana</v>
      </c>
      <c r="G587" s="2" t="str">
        <f>TRIM(Table1[[#This Row],[Typ]])</f>
        <v>Korekta FV</v>
      </c>
      <c r="H587" s="2" t="str">
        <f>TRIM(Table1[[#This Row],[Magazyn]])</f>
        <v>Apteka Szpitalna</v>
      </c>
      <c r="I587" s="2" t="str">
        <f>TRIM(Table1[[#This Row],[Umowa]])</f>
        <v/>
      </c>
      <c r="J587" s="2" t="b">
        <f>ISTEXT(Table14[[#This Row],[Data_Wystawienia]])</f>
        <v>0</v>
      </c>
      <c r="K587" s="2">
        <f>VALUE(SUBSTITUTE(Table14[[#This Row],[Wartość]],".",","))</f>
        <v>-1983.53</v>
      </c>
      <c r="L5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7" s="2" t="str">
        <f>IF(Table14[[#This Row],[Umowa]]="","Poza umową","Z umowy")</f>
        <v>Poza umową</v>
      </c>
      <c r="N587" s="2">
        <f>YEAR(Table14[[#This Row],[Data_Wystawienia]])</f>
        <v>2022</v>
      </c>
      <c r="O587" s="2" t="str">
        <f>TEXT(Table14[[#This Row],[Data_Wystawienia]],"rrrr-mm")</f>
        <v>2022-08</v>
      </c>
      <c r="P587" s="2">
        <v>1</v>
      </c>
    </row>
    <row r="588" spans="1:16" x14ac:dyDescent="0.3">
      <c r="A588" s="2" t="str">
        <f>TRIM(Table1[[#This Row],[Numer_FV]])</f>
        <v>FV/3595HM/22</v>
      </c>
      <c r="B588" s="2" t="str">
        <f>TRIM(Table1[[#This Row],[Numer_PZ]])</f>
        <v>PZ/800586</v>
      </c>
      <c r="C588" s="2" t="str">
        <f>TRIM(Table1[[#This Row],[Dostawca]])</f>
        <v>HurtMedix</v>
      </c>
      <c r="D588" s="3">
        <v>44782</v>
      </c>
      <c r="E588" s="4" t="s">
        <v>1772</v>
      </c>
      <c r="F588" s="2" t="str">
        <f>TRIM(Table1[[#This Row],[Status]])</f>
        <v>Zaakceptowana</v>
      </c>
      <c r="G588" s="2" t="str">
        <f>TRIM(Table1[[#This Row],[Typ]])</f>
        <v>Faktura VAT</v>
      </c>
      <c r="H588" s="2" t="str">
        <f>TRIM(Table1[[#This Row],[Magazyn]])</f>
        <v>Apteka Szpitalna</v>
      </c>
      <c r="I588" s="2" t="str">
        <f>TRIM(Table1[[#This Row],[Umowa]])</f>
        <v>UM-HUR-02</v>
      </c>
      <c r="J588" s="2" t="b">
        <f>ISTEXT(Table14[[#This Row],[Data_Wystawienia]])</f>
        <v>0</v>
      </c>
      <c r="K588" s="2">
        <f>VALUE(SUBSTITUTE(Table14[[#This Row],[Wartość]],".",","))</f>
        <v>16909.27</v>
      </c>
      <c r="L5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8" s="2" t="str">
        <f>IF(Table14[[#This Row],[Umowa]]="","Poza umową","Z umowy")</f>
        <v>Z umowy</v>
      </c>
      <c r="N588" s="2">
        <f>YEAR(Table14[[#This Row],[Data_Wystawienia]])</f>
        <v>2022</v>
      </c>
      <c r="O588" s="2" t="str">
        <f>TEXT(Table14[[#This Row],[Data_Wystawienia]],"rrrr-mm")</f>
        <v>2022-08</v>
      </c>
      <c r="P588" s="2">
        <v>1</v>
      </c>
    </row>
    <row r="589" spans="1:16" x14ac:dyDescent="0.3">
      <c r="A589" s="2" t="str">
        <f>TRIM(Table1[[#This Row],[Numer_FV]])</f>
        <v>FV/4237HM/22</v>
      </c>
      <c r="B589" s="2" t="str">
        <f>TRIM(Table1[[#This Row],[Numer_PZ]])</f>
        <v>PZ/800587</v>
      </c>
      <c r="C589" s="2" t="str">
        <f>TRIM(Table1[[#This Row],[Dostawca]])</f>
        <v>HurtMedix</v>
      </c>
      <c r="D589" s="3">
        <v>44782</v>
      </c>
      <c r="E589" s="4" t="s">
        <v>1775</v>
      </c>
      <c r="F589" s="2" t="str">
        <f>TRIM(Table1[[#This Row],[Status]])</f>
        <v>Zaakceptowana</v>
      </c>
      <c r="G589" s="2" t="str">
        <f>TRIM(Table1[[#This Row],[Typ]])</f>
        <v>Faktura VAT</v>
      </c>
      <c r="H589" s="2" t="str">
        <f>TRIM(Table1[[#This Row],[Magazyn]])</f>
        <v>Apteka Szpitalna</v>
      </c>
      <c r="I589" s="2" t="str">
        <f>TRIM(Table1[[#This Row],[Umowa]])</f>
        <v>UM-HUR-02</v>
      </c>
      <c r="J589" s="2" t="b">
        <f>ISTEXT(Table14[[#This Row],[Data_Wystawienia]])</f>
        <v>0</v>
      </c>
      <c r="K589" s="2">
        <f>VALUE(SUBSTITUTE(Table14[[#This Row],[Wartość]],".",","))</f>
        <v>14179.68</v>
      </c>
      <c r="L5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89" s="2" t="str">
        <f>IF(Table14[[#This Row],[Umowa]]="","Poza umową","Z umowy")</f>
        <v>Z umowy</v>
      </c>
      <c r="N589" s="2">
        <f>YEAR(Table14[[#This Row],[Data_Wystawienia]])</f>
        <v>2022</v>
      </c>
      <c r="O589" s="2" t="str">
        <f>TEXT(Table14[[#This Row],[Data_Wystawienia]],"rrrr-mm")</f>
        <v>2022-08</v>
      </c>
      <c r="P589" s="2">
        <v>1</v>
      </c>
    </row>
    <row r="590" spans="1:16" x14ac:dyDescent="0.3">
      <c r="A590" s="2" t="str">
        <f>TRIM(Table1[[#This Row],[Numer_FV]])</f>
        <v>FV/56/PP/8711/22</v>
      </c>
      <c r="B590" s="2" t="str">
        <f>TRIM(Table1[[#This Row],[Numer_PZ]])</f>
        <v>PZ/800588</v>
      </c>
      <c r="C590" s="2" t="str">
        <f>TRIM(Table1[[#This Row],[Dostawca]])</f>
        <v>PharmaPlus</v>
      </c>
      <c r="D590" s="3">
        <v>44782</v>
      </c>
      <c r="E590" s="4" t="s">
        <v>1778</v>
      </c>
      <c r="F590" s="2" t="str">
        <f>TRIM(Table1[[#This Row],[Status]])</f>
        <v>Zaakceptowana</v>
      </c>
      <c r="G590" s="2" t="str">
        <f>TRIM(Table1[[#This Row],[Typ]])</f>
        <v>Faktura VAT</v>
      </c>
      <c r="H590" s="2" t="str">
        <f>TRIM(Table1[[#This Row],[Magazyn]])</f>
        <v>Apteka Szpitalna</v>
      </c>
      <c r="I590" s="2" t="str">
        <f>TRIM(Table1[[#This Row],[Umowa]])</f>
        <v>UM-PHA-01</v>
      </c>
      <c r="J590" s="2" t="b">
        <f>ISTEXT(Table14[[#This Row],[Data_Wystawienia]])</f>
        <v>0</v>
      </c>
      <c r="K590" s="2">
        <f>VALUE(SUBSTITUTE(Table14[[#This Row],[Wartość]],".",","))</f>
        <v>17129.89</v>
      </c>
      <c r="L5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0" s="2" t="str">
        <f>IF(Table14[[#This Row],[Umowa]]="","Poza umową","Z umowy")</f>
        <v>Z umowy</v>
      </c>
      <c r="N590" s="2">
        <f>YEAR(Table14[[#This Row],[Data_Wystawienia]])</f>
        <v>2022</v>
      </c>
      <c r="O590" s="2" t="str">
        <f>TEXT(Table14[[#This Row],[Data_Wystawienia]],"rrrr-mm")</f>
        <v>2022-08</v>
      </c>
      <c r="P590" s="2">
        <v>1</v>
      </c>
    </row>
    <row r="591" spans="1:16" x14ac:dyDescent="0.3">
      <c r="A591" s="2" t="str">
        <f>TRIM(Table1[[#This Row],[Numer_FV]])</f>
        <v>FV/CENFA/851888/22</v>
      </c>
      <c r="B591" s="2" t="str">
        <f>TRIM(Table1[[#This Row],[Numer_PZ]])</f>
        <v>PZ/800589</v>
      </c>
      <c r="C591" s="2" t="str">
        <f>TRIM(Table1[[#This Row],[Dostawca]])</f>
        <v>CentrumFarm</v>
      </c>
      <c r="D591" s="3">
        <v>44784</v>
      </c>
      <c r="E591" s="4" t="s">
        <v>1781</v>
      </c>
      <c r="F591" s="2" t="str">
        <f>TRIM(Table1[[#This Row],[Status]])</f>
        <v>Zaakceptowana</v>
      </c>
      <c r="G591" s="2" t="str">
        <f>TRIM(Table1[[#This Row],[Typ]])</f>
        <v>Faktura VAT</v>
      </c>
      <c r="H591" s="2" t="str">
        <f>TRIM(Table1[[#This Row],[Magazyn]])</f>
        <v>Apteka Szpitalna</v>
      </c>
      <c r="I591" s="2" t="str">
        <f>TRIM(Table1[[#This Row],[Umowa]])</f>
        <v>UM-CEN-01</v>
      </c>
      <c r="J591" s="2" t="b">
        <f>ISTEXT(Table14[[#This Row],[Data_Wystawienia]])</f>
        <v>0</v>
      </c>
      <c r="K591" s="2">
        <f>VALUE(SUBSTITUTE(Table14[[#This Row],[Wartość]],".",","))</f>
        <v>23237.85</v>
      </c>
      <c r="L5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1" s="2" t="str">
        <f>IF(Table14[[#This Row],[Umowa]]="","Poza umową","Z umowy")</f>
        <v>Z umowy</v>
      </c>
      <c r="N591" s="2">
        <f>YEAR(Table14[[#This Row],[Data_Wystawienia]])</f>
        <v>2022</v>
      </c>
      <c r="O591" s="2" t="str">
        <f>TEXT(Table14[[#This Row],[Data_Wystawienia]],"rrrr-mm")</f>
        <v>2022-08</v>
      </c>
      <c r="P591" s="2">
        <v>1</v>
      </c>
    </row>
    <row r="592" spans="1:16" x14ac:dyDescent="0.3">
      <c r="A592" s="2" t="str">
        <f>TRIM(Table1[[#This Row],[Numer_FV]])</f>
        <v>FV/CENFA/732603/22</v>
      </c>
      <c r="B592" s="2" t="str">
        <f>TRIM(Table1[[#This Row],[Numer_PZ]])</f>
        <v>PZ/800590</v>
      </c>
      <c r="C592" s="2" t="str">
        <f>TRIM(Table1[[#This Row],[Dostawca]])</f>
        <v>CentrumFarm</v>
      </c>
      <c r="D592" s="3">
        <v>44784</v>
      </c>
      <c r="E592" s="4" t="s">
        <v>1784</v>
      </c>
      <c r="F592" s="2" t="str">
        <f>TRIM(Table1[[#This Row],[Status]])</f>
        <v>Zaakceptowana</v>
      </c>
      <c r="G592" s="2" t="str">
        <f>TRIM(Table1[[#This Row],[Typ]])</f>
        <v>Faktura VAT</v>
      </c>
      <c r="H592" s="2" t="str">
        <f>TRIM(Table1[[#This Row],[Magazyn]])</f>
        <v>Apteka Szpitalna</v>
      </c>
      <c r="I592" s="2" t="str">
        <f>TRIM(Table1[[#This Row],[Umowa]])</f>
        <v>UM-CEN-02</v>
      </c>
      <c r="J592" s="2" t="b">
        <f>ISTEXT(Table14[[#This Row],[Data_Wystawienia]])</f>
        <v>0</v>
      </c>
      <c r="K592" s="2">
        <f>VALUE(SUBSTITUTE(Table14[[#This Row],[Wartość]],".",","))</f>
        <v>5712.77</v>
      </c>
      <c r="L5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2" s="2" t="str">
        <f>IF(Table14[[#This Row],[Umowa]]="","Poza umową","Z umowy")</f>
        <v>Z umowy</v>
      </c>
      <c r="N592" s="2">
        <f>YEAR(Table14[[#This Row],[Data_Wystawienia]])</f>
        <v>2022</v>
      </c>
      <c r="O592" s="2" t="str">
        <f>TEXT(Table14[[#This Row],[Data_Wystawienia]],"rrrr-mm")</f>
        <v>2022-08</v>
      </c>
      <c r="P592" s="2">
        <v>1</v>
      </c>
    </row>
    <row r="593" spans="1:16" x14ac:dyDescent="0.3">
      <c r="A593" s="2" t="str">
        <f>TRIM(Table1[[#This Row],[Numer_FV]])</f>
        <v>FV/POL/58584/2022</v>
      </c>
      <c r="B593" s="2" t="str">
        <f>TRIM(Table1[[#This Row],[Numer_PZ]])</f>
        <v>PZ/800591</v>
      </c>
      <c r="C593" s="2" t="str">
        <f>TRIM(Table1[[#This Row],[Dostawca]])</f>
        <v>Polmedica</v>
      </c>
      <c r="D593" s="3">
        <v>44784</v>
      </c>
      <c r="E593" s="4" t="s">
        <v>1787</v>
      </c>
      <c r="F593" s="2" t="str">
        <f>TRIM(Table1[[#This Row],[Status]])</f>
        <v>Zaakceptowana</v>
      </c>
      <c r="G593" s="2" t="str">
        <f>TRIM(Table1[[#This Row],[Typ]])</f>
        <v>Faktura VAT</v>
      </c>
      <c r="H593" s="2" t="str">
        <f>TRIM(Table1[[#This Row],[Magazyn]])</f>
        <v>Apteka Szpitalna</v>
      </c>
      <c r="I593" s="2" t="str">
        <f>TRIM(Table1[[#This Row],[Umowa]])</f>
        <v/>
      </c>
      <c r="J593" s="2" t="b">
        <f>ISTEXT(Table14[[#This Row],[Data_Wystawienia]])</f>
        <v>0</v>
      </c>
      <c r="K593" s="2">
        <f>VALUE(SUBSTITUTE(Table14[[#This Row],[Wartość]],".",","))</f>
        <v>11885.37</v>
      </c>
      <c r="L5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3" s="2" t="str">
        <f>IF(Table14[[#This Row],[Umowa]]="","Poza umową","Z umowy")</f>
        <v>Poza umową</v>
      </c>
      <c r="N593" s="2">
        <f>YEAR(Table14[[#This Row],[Data_Wystawienia]])</f>
        <v>2022</v>
      </c>
      <c r="O593" s="2" t="str">
        <f>TEXT(Table14[[#This Row],[Data_Wystawienia]],"rrrr-mm")</f>
        <v>2022-08</v>
      </c>
      <c r="P593" s="2">
        <v>1</v>
      </c>
    </row>
    <row r="594" spans="1:16" x14ac:dyDescent="0.3">
      <c r="A594" s="2" t="str">
        <f>TRIM(Table1[[#This Row],[Numer_FV]])</f>
        <v>FV/POL/41606/2022</v>
      </c>
      <c r="B594" s="2" t="str">
        <f>TRIM(Table1[[#This Row],[Numer_PZ]])</f>
        <v>PZ/800592</v>
      </c>
      <c r="C594" s="2" t="str">
        <f>TRIM(Table1[[#This Row],[Dostawca]])</f>
        <v>Polmedica</v>
      </c>
      <c r="D594" s="3">
        <v>44784</v>
      </c>
      <c r="E594" s="4" t="s">
        <v>1790</v>
      </c>
      <c r="F594" s="2" t="str">
        <f>TRIM(Table1[[#This Row],[Status]])</f>
        <v>Zaakceptowana</v>
      </c>
      <c r="G594" s="2" t="str">
        <f>TRIM(Table1[[#This Row],[Typ]])</f>
        <v>Faktura VAT</v>
      </c>
      <c r="H594" s="2" t="str">
        <f>TRIM(Table1[[#This Row],[Magazyn]])</f>
        <v>Apteka Szpitalna</v>
      </c>
      <c r="I594" s="2" t="str">
        <f>TRIM(Table1[[#This Row],[Umowa]])</f>
        <v>UM-POL-01</v>
      </c>
      <c r="J594" s="2" t="b">
        <f>ISTEXT(Table14[[#This Row],[Data_Wystawienia]])</f>
        <v>0</v>
      </c>
      <c r="K594" s="2">
        <f>VALUE(SUBSTITUTE(Table14[[#This Row],[Wartość]],".",","))</f>
        <v>13745.88</v>
      </c>
      <c r="L5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4" s="2" t="str">
        <f>IF(Table14[[#This Row],[Umowa]]="","Poza umową","Z umowy")</f>
        <v>Z umowy</v>
      </c>
      <c r="N594" s="2">
        <f>YEAR(Table14[[#This Row],[Data_Wystawienia]])</f>
        <v>2022</v>
      </c>
      <c r="O594" s="2" t="str">
        <f>TEXT(Table14[[#This Row],[Data_Wystawienia]],"rrrr-mm")</f>
        <v>2022-08</v>
      </c>
      <c r="P594" s="2">
        <v>1</v>
      </c>
    </row>
    <row r="595" spans="1:16" x14ac:dyDescent="0.3">
      <c r="A595" s="2" t="str">
        <f>TRIM(Table1[[#This Row],[Numer_FV]])</f>
        <v>FV/POL/77020/2022</v>
      </c>
      <c r="B595" s="2" t="str">
        <f>TRIM(Table1[[#This Row],[Numer_PZ]])</f>
        <v>PZ/800593</v>
      </c>
      <c r="C595" s="2" t="str">
        <f>TRIM(Table1[[#This Row],[Dostawca]])</f>
        <v>Polmedica</v>
      </c>
      <c r="D595" s="3">
        <v>44784</v>
      </c>
      <c r="E595" s="4" t="s">
        <v>1793</v>
      </c>
      <c r="F595" s="2" t="str">
        <f>TRIM(Table1[[#This Row],[Status]])</f>
        <v>Zaakceptowana</v>
      </c>
      <c r="G595" s="2" t="str">
        <f>TRIM(Table1[[#This Row],[Typ]])</f>
        <v>Faktura VAT</v>
      </c>
      <c r="H595" s="2" t="str">
        <f>TRIM(Table1[[#This Row],[Magazyn]])</f>
        <v>Apteka Szpitalna</v>
      </c>
      <c r="I595" s="2" t="str">
        <f>TRIM(Table1[[#This Row],[Umowa]])</f>
        <v>UM-POL-03</v>
      </c>
      <c r="J595" s="2" t="b">
        <f>ISTEXT(Table14[[#This Row],[Data_Wystawienia]])</f>
        <v>0</v>
      </c>
      <c r="K595" s="2">
        <f>VALUE(SUBSTITUTE(Table14[[#This Row],[Wartość]],".",","))</f>
        <v>6124.69</v>
      </c>
      <c r="L5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5" s="2" t="str">
        <f>IF(Table14[[#This Row],[Umowa]]="","Poza umową","Z umowy")</f>
        <v>Z umowy</v>
      </c>
      <c r="N595" s="2">
        <f>YEAR(Table14[[#This Row],[Data_Wystawienia]])</f>
        <v>2022</v>
      </c>
      <c r="O595" s="2" t="str">
        <f>TEXT(Table14[[#This Row],[Data_Wystawienia]],"rrrr-mm")</f>
        <v>2022-08</v>
      </c>
      <c r="P595" s="2">
        <v>1</v>
      </c>
    </row>
    <row r="596" spans="1:16" x14ac:dyDescent="0.3">
      <c r="A596" s="2" t="str">
        <f>TRIM(Table1[[#This Row],[Numer_FV]])</f>
        <v>FV/1282HM/22</v>
      </c>
      <c r="B596" s="2" t="str">
        <f>TRIM(Table1[[#This Row],[Numer_PZ]])</f>
        <v>PZ/800594</v>
      </c>
      <c r="C596" s="2" t="str">
        <f>TRIM(Table1[[#This Row],[Dostawca]])</f>
        <v>HurtMedix</v>
      </c>
      <c r="D596" s="3">
        <v>44784</v>
      </c>
      <c r="E596" s="4" t="s">
        <v>1796</v>
      </c>
      <c r="F596" s="2" t="str">
        <f>TRIM(Table1[[#This Row],[Status]])</f>
        <v>Zaakceptowana</v>
      </c>
      <c r="G596" s="2" t="str">
        <f>TRIM(Table1[[#This Row],[Typ]])</f>
        <v>Faktura VAT</v>
      </c>
      <c r="H596" s="2" t="str">
        <f>TRIM(Table1[[#This Row],[Magazyn]])</f>
        <v>Apteka Szpitalna</v>
      </c>
      <c r="I596" s="2" t="str">
        <f>TRIM(Table1[[#This Row],[Umowa]])</f>
        <v>UM-HUR-02</v>
      </c>
      <c r="J596" s="2" t="b">
        <f>ISTEXT(Table14[[#This Row],[Data_Wystawienia]])</f>
        <v>0</v>
      </c>
      <c r="K596" s="2">
        <f>VALUE(SUBSTITUTE(Table14[[#This Row],[Wartość]],".",","))</f>
        <v>9383.6200000000008</v>
      </c>
      <c r="L5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6" s="2" t="str">
        <f>IF(Table14[[#This Row],[Umowa]]="","Poza umową","Z umowy")</f>
        <v>Z umowy</v>
      </c>
      <c r="N596" s="2">
        <f>YEAR(Table14[[#This Row],[Data_Wystawienia]])</f>
        <v>2022</v>
      </c>
      <c r="O596" s="2" t="str">
        <f>TEXT(Table14[[#This Row],[Data_Wystawienia]],"rrrr-mm")</f>
        <v>2022-08</v>
      </c>
      <c r="P596" s="2">
        <v>1</v>
      </c>
    </row>
    <row r="597" spans="1:16" x14ac:dyDescent="0.3">
      <c r="A597" s="2" t="str">
        <f>TRIM(Table1[[#This Row],[Numer_FV]])</f>
        <v>FV/30/SAL/22</v>
      </c>
      <c r="B597" s="2" t="str">
        <f>TRIM(Table1[[#This Row],[Numer_PZ]])</f>
        <v>PZ/800595</v>
      </c>
      <c r="C597" s="2" t="str">
        <f>TRIM(Table1[[#This Row],[Dostawca]])</f>
        <v>SalusHurt</v>
      </c>
      <c r="D597" s="3">
        <v>44785</v>
      </c>
      <c r="E597" s="4" t="s">
        <v>1798</v>
      </c>
      <c r="F597" s="2" t="str">
        <f>TRIM(Table1[[#This Row],[Status]])</f>
        <v>Zaakceptowana</v>
      </c>
      <c r="G597" s="2" t="str">
        <f>TRIM(Table1[[#This Row],[Typ]])</f>
        <v>Faktura VAT</v>
      </c>
      <c r="H597" s="2" t="str">
        <f>TRIM(Table1[[#This Row],[Magazyn]])</f>
        <v>Apteka Szpitalna</v>
      </c>
      <c r="I597" s="2" t="str">
        <f>TRIM(Table1[[#This Row],[Umowa]])</f>
        <v>UM-SAL-02</v>
      </c>
      <c r="J597" s="2" t="b">
        <f>ISTEXT(Table14[[#This Row],[Data_Wystawienia]])</f>
        <v>0</v>
      </c>
      <c r="K597" s="2">
        <f>VALUE(SUBSTITUTE(Table14[[#This Row],[Wartość]],".",","))</f>
        <v>17569.84</v>
      </c>
      <c r="L5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7" s="2" t="str">
        <f>IF(Table14[[#This Row],[Umowa]]="","Poza umową","Z umowy")</f>
        <v>Z umowy</v>
      </c>
      <c r="N597" s="2">
        <f>YEAR(Table14[[#This Row],[Data_Wystawienia]])</f>
        <v>2022</v>
      </c>
      <c r="O597" s="2" t="str">
        <f>TEXT(Table14[[#This Row],[Data_Wystawienia]],"rrrr-mm")</f>
        <v>2022-08</v>
      </c>
      <c r="P597" s="2">
        <v>1</v>
      </c>
    </row>
    <row r="598" spans="1:16" x14ac:dyDescent="0.3">
      <c r="A598" s="2" t="str">
        <f>TRIM(Table1[[#This Row],[Numer_FV]])</f>
        <v>FV/39/SAL/22</v>
      </c>
      <c r="B598" s="2" t="str">
        <f>TRIM(Table1[[#This Row],[Numer_PZ]])</f>
        <v>PZ/800596</v>
      </c>
      <c r="C598" s="2" t="str">
        <f>TRIM(Table1[[#This Row],[Dostawca]])</f>
        <v>SalusHurt</v>
      </c>
      <c r="D598" s="3">
        <v>44785</v>
      </c>
      <c r="E598" s="4" t="s">
        <v>1800</v>
      </c>
      <c r="F598" s="2" t="str">
        <f>TRIM(Table1[[#This Row],[Status]])</f>
        <v>Zaakceptowana</v>
      </c>
      <c r="G598" s="2" t="str">
        <f>TRIM(Table1[[#This Row],[Typ]])</f>
        <v>Faktura VAT</v>
      </c>
      <c r="H598" s="2" t="str">
        <f>TRIM(Table1[[#This Row],[Magazyn]])</f>
        <v>Apteka Szpitalna</v>
      </c>
      <c r="I598" s="2" t="str">
        <f>TRIM(Table1[[#This Row],[Umowa]])</f>
        <v>UM-SAL-02</v>
      </c>
      <c r="J598" s="2" t="b">
        <f>ISTEXT(Table14[[#This Row],[Data_Wystawienia]])</f>
        <v>0</v>
      </c>
      <c r="K598" s="2">
        <f>VALUE(SUBSTITUTE(Table14[[#This Row],[Wartość]],".",","))</f>
        <v>11305.85</v>
      </c>
      <c r="L5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8" s="2" t="str">
        <f>IF(Table14[[#This Row],[Umowa]]="","Poza umową","Z umowy")</f>
        <v>Z umowy</v>
      </c>
      <c r="N598" s="2">
        <f>YEAR(Table14[[#This Row],[Data_Wystawienia]])</f>
        <v>2022</v>
      </c>
      <c r="O598" s="2" t="str">
        <f>TEXT(Table14[[#This Row],[Data_Wystawienia]],"rrrr-mm")</f>
        <v>2022-08</v>
      </c>
      <c r="P598" s="2">
        <v>1</v>
      </c>
    </row>
    <row r="599" spans="1:16" x14ac:dyDescent="0.3">
      <c r="A599" s="2" t="str">
        <f>TRIM(Table1[[#This Row],[Numer_FV]])</f>
        <v>FV/8111HM/22</v>
      </c>
      <c r="B599" s="2" t="str">
        <f>TRIM(Table1[[#This Row],[Numer_PZ]])</f>
        <v>PZ/800597</v>
      </c>
      <c r="C599" s="2" t="str">
        <f>TRIM(Table1[[#This Row],[Dostawca]])</f>
        <v>HurtMedix</v>
      </c>
      <c r="D599" s="3">
        <v>44785</v>
      </c>
      <c r="E599" s="4" t="s">
        <v>1803</v>
      </c>
      <c r="F599" s="2" t="str">
        <f>TRIM(Table1[[#This Row],[Status]])</f>
        <v>Zaakceptowana</v>
      </c>
      <c r="G599" s="2" t="str">
        <f>TRIM(Table1[[#This Row],[Typ]])</f>
        <v>Faktura VAT</v>
      </c>
      <c r="H599" s="2" t="str">
        <f>TRIM(Table1[[#This Row],[Magazyn]])</f>
        <v>Apteka Szpitalna</v>
      </c>
      <c r="I599" s="2" t="str">
        <f>TRIM(Table1[[#This Row],[Umowa]])</f>
        <v>UM-HUR-01</v>
      </c>
      <c r="J599" s="2" t="b">
        <f>ISTEXT(Table14[[#This Row],[Data_Wystawienia]])</f>
        <v>0</v>
      </c>
      <c r="K599" s="2">
        <f>VALUE(SUBSTITUTE(Table14[[#This Row],[Wartość]],".",","))</f>
        <v>18293.38</v>
      </c>
      <c r="L5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599" s="2" t="str">
        <f>IF(Table14[[#This Row],[Umowa]]="","Poza umową","Z umowy")</f>
        <v>Z umowy</v>
      </c>
      <c r="N599" s="2">
        <f>YEAR(Table14[[#This Row],[Data_Wystawienia]])</f>
        <v>2022</v>
      </c>
      <c r="O599" s="2" t="str">
        <f>TEXT(Table14[[#This Row],[Data_Wystawienia]],"rrrr-mm")</f>
        <v>2022-08</v>
      </c>
      <c r="P599" s="2">
        <v>1</v>
      </c>
    </row>
    <row r="600" spans="1:16" x14ac:dyDescent="0.3">
      <c r="A600" s="2" t="str">
        <f>TRIM(Table1[[#This Row],[Numer_FV]])</f>
        <v>FV/2064/NOVA/22</v>
      </c>
      <c r="B600" s="2" t="str">
        <f>TRIM(Table1[[#This Row],[Numer_PZ]])</f>
        <v>PZ/800598</v>
      </c>
      <c r="C600" s="2" t="str">
        <f>TRIM(Table1[[#This Row],[Dostawca]])</f>
        <v>NovaLek</v>
      </c>
      <c r="D600" s="3">
        <v>44785</v>
      </c>
      <c r="E600" s="4" t="s">
        <v>1806</v>
      </c>
      <c r="F600" s="2" t="str">
        <f>TRIM(Table1[[#This Row],[Status]])</f>
        <v>Zaakceptowana</v>
      </c>
      <c r="G600" s="2" t="str">
        <f>TRIM(Table1[[#This Row],[Typ]])</f>
        <v>Faktura VAT</v>
      </c>
      <c r="H600" s="2" t="str">
        <f>TRIM(Table1[[#This Row],[Magazyn]])</f>
        <v>Apteka Szpitalna</v>
      </c>
      <c r="I600" s="2" t="str">
        <f>TRIM(Table1[[#This Row],[Umowa]])</f>
        <v>UM-NOV-03</v>
      </c>
      <c r="J600" s="2" t="b">
        <f>ISTEXT(Table14[[#This Row],[Data_Wystawienia]])</f>
        <v>0</v>
      </c>
      <c r="K600" s="2">
        <f>VALUE(SUBSTITUTE(Table14[[#This Row],[Wartość]],".",","))</f>
        <v>22213.78</v>
      </c>
      <c r="L6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0" s="2" t="str">
        <f>IF(Table14[[#This Row],[Umowa]]="","Poza umową","Z umowy")</f>
        <v>Z umowy</v>
      </c>
      <c r="N600" s="2">
        <f>YEAR(Table14[[#This Row],[Data_Wystawienia]])</f>
        <v>2022</v>
      </c>
      <c r="O600" s="2" t="str">
        <f>TEXT(Table14[[#This Row],[Data_Wystawienia]],"rrrr-mm")</f>
        <v>2022-08</v>
      </c>
      <c r="P600" s="2">
        <v>1</v>
      </c>
    </row>
    <row r="601" spans="1:16" x14ac:dyDescent="0.3">
      <c r="A601" s="2" t="str">
        <f>TRIM(Table1[[#This Row],[Numer_FV]])</f>
        <v>FV/93/SAL/22</v>
      </c>
      <c r="B601" s="2" t="str">
        <f>TRIM(Table1[[#This Row],[Numer_PZ]])</f>
        <v>PZ/800599</v>
      </c>
      <c r="C601" s="2" t="str">
        <f>TRIM(Table1[[#This Row],[Dostawca]])</f>
        <v>SalusHurt</v>
      </c>
      <c r="D601" s="3">
        <v>44787</v>
      </c>
      <c r="E601" s="4" t="s">
        <v>1808</v>
      </c>
      <c r="F601" s="2" t="str">
        <f>TRIM(Table1[[#This Row],[Status]])</f>
        <v>Zaakceptowana</v>
      </c>
      <c r="G601" s="2" t="str">
        <f>TRIM(Table1[[#This Row],[Typ]])</f>
        <v>Faktura VAT</v>
      </c>
      <c r="H601" s="2" t="str">
        <f>TRIM(Table1[[#This Row],[Magazyn]])</f>
        <v>Apteka Szpitalna</v>
      </c>
      <c r="I601" s="2" t="str">
        <f>TRIM(Table1[[#This Row],[Umowa]])</f>
        <v/>
      </c>
      <c r="J601" s="2" t="b">
        <f>ISTEXT(Table14[[#This Row],[Data_Wystawienia]])</f>
        <v>0</v>
      </c>
      <c r="K601" s="2">
        <f>VALUE(SUBSTITUTE(Table14[[#This Row],[Wartość]],".",","))</f>
        <v>21696.61</v>
      </c>
      <c r="L6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1" s="2" t="str">
        <f>IF(Table14[[#This Row],[Umowa]]="","Poza umową","Z umowy")</f>
        <v>Poza umową</v>
      </c>
      <c r="N601" s="2">
        <f>YEAR(Table14[[#This Row],[Data_Wystawienia]])</f>
        <v>2022</v>
      </c>
      <c r="O601" s="2" t="str">
        <f>TEXT(Table14[[#This Row],[Data_Wystawienia]],"rrrr-mm")</f>
        <v>2022-08</v>
      </c>
      <c r="P601" s="2">
        <v>1</v>
      </c>
    </row>
    <row r="602" spans="1:16" x14ac:dyDescent="0.3">
      <c r="A602" s="2" t="str">
        <f>TRIM(Table1[[#This Row],[Numer_FV]])</f>
        <v>FV/1266HM/22</v>
      </c>
      <c r="B602" s="2" t="str">
        <f>TRIM(Table1[[#This Row],[Numer_PZ]])</f>
        <v>PZ/800600</v>
      </c>
      <c r="C602" s="2" t="str">
        <f>TRIM(Table1[[#This Row],[Dostawca]])</f>
        <v>HurtMedix</v>
      </c>
      <c r="D602" s="3">
        <v>44787</v>
      </c>
      <c r="E602" s="4" t="s">
        <v>1811</v>
      </c>
      <c r="F602" s="2" t="str">
        <f>TRIM(Table1[[#This Row],[Status]])</f>
        <v>Zaakceptowana</v>
      </c>
      <c r="G602" s="2" t="str">
        <f>TRIM(Table1[[#This Row],[Typ]])</f>
        <v>Faktura VAT</v>
      </c>
      <c r="H602" s="2" t="str">
        <f>TRIM(Table1[[#This Row],[Magazyn]])</f>
        <v>Apteka Szpitalna</v>
      </c>
      <c r="I602" s="2" t="str">
        <f>TRIM(Table1[[#This Row],[Umowa]])</f>
        <v/>
      </c>
      <c r="J602" s="2" t="b">
        <f>ISTEXT(Table14[[#This Row],[Data_Wystawienia]])</f>
        <v>0</v>
      </c>
      <c r="K602" s="2">
        <f>VALUE(SUBSTITUTE(Table14[[#This Row],[Wartość]],".",","))</f>
        <v>20107.8</v>
      </c>
      <c r="L6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2" s="2" t="str">
        <f>IF(Table14[[#This Row],[Umowa]]="","Poza umową","Z umowy")</f>
        <v>Poza umową</v>
      </c>
      <c r="N602" s="2">
        <f>YEAR(Table14[[#This Row],[Data_Wystawienia]])</f>
        <v>2022</v>
      </c>
      <c r="O602" s="2" t="str">
        <f>TEXT(Table14[[#This Row],[Data_Wystawienia]],"rrrr-mm")</f>
        <v>2022-08</v>
      </c>
      <c r="P602" s="2">
        <v>1</v>
      </c>
    </row>
    <row r="603" spans="1:16" x14ac:dyDescent="0.3">
      <c r="A603" s="2" t="str">
        <f>TRIM(Table1[[#This Row],[Numer_FV]])</f>
        <v>FV/43/PP/4522/22</v>
      </c>
      <c r="B603" s="2" t="str">
        <f>TRIM(Table1[[#This Row],[Numer_PZ]])</f>
        <v>PZ/800601</v>
      </c>
      <c r="C603" s="2" t="str">
        <f>TRIM(Table1[[#This Row],[Dostawca]])</f>
        <v>PharmaPlus</v>
      </c>
      <c r="D603" s="3">
        <v>44787</v>
      </c>
      <c r="E603" s="4" t="s">
        <v>1814</v>
      </c>
      <c r="F603" s="2" t="str">
        <f>TRIM(Table1[[#This Row],[Status]])</f>
        <v>Zaakceptowana</v>
      </c>
      <c r="G603" s="2" t="str">
        <f>TRIM(Table1[[#This Row],[Typ]])</f>
        <v>Faktura VAT</v>
      </c>
      <c r="H603" s="2" t="str">
        <f>TRIM(Table1[[#This Row],[Magazyn]])</f>
        <v>Apteka Szpitalna</v>
      </c>
      <c r="I603" s="2" t="str">
        <f>TRIM(Table1[[#This Row],[Umowa]])</f>
        <v/>
      </c>
      <c r="J603" s="2" t="b">
        <f>ISTEXT(Table14[[#This Row],[Data_Wystawienia]])</f>
        <v>0</v>
      </c>
      <c r="K603" s="2">
        <f>VALUE(SUBSTITUTE(Table14[[#This Row],[Wartość]],".",","))</f>
        <v>12950.12</v>
      </c>
      <c r="L6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3" s="2" t="str">
        <f>IF(Table14[[#This Row],[Umowa]]="","Poza umową","Z umowy")</f>
        <v>Poza umową</v>
      </c>
      <c r="N603" s="2">
        <f>YEAR(Table14[[#This Row],[Data_Wystawienia]])</f>
        <v>2022</v>
      </c>
      <c r="O603" s="2" t="str">
        <f>TEXT(Table14[[#This Row],[Data_Wystawienia]],"rrrr-mm")</f>
        <v>2022-08</v>
      </c>
      <c r="P603" s="2">
        <v>1</v>
      </c>
    </row>
    <row r="604" spans="1:16" x14ac:dyDescent="0.3">
      <c r="A604" s="2" t="str">
        <f>TRIM(Table1[[#This Row],[Numer_FV]])</f>
        <v>FV/7398HM/22</v>
      </c>
      <c r="B604" s="2" t="str">
        <f>TRIM(Table1[[#This Row],[Numer_PZ]])</f>
        <v>PZ/800602</v>
      </c>
      <c r="C604" s="2" t="str">
        <f>TRIM(Table1[[#This Row],[Dostawca]])</f>
        <v>HurtMedix</v>
      </c>
      <c r="D604" s="3">
        <v>44787</v>
      </c>
      <c r="E604" s="4" t="s">
        <v>1817</v>
      </c>
      <c r="F604" s="2" t="str">
        <f>TRIM(Table1[[#This Row],[Status]])</f>
        <v>Zaakceptowana</v>
      </c>
      <c r="G604" s="2" t="str">
        <f>TRIM(Table1[[#This Row],[Typ]])</f>
        <v>Faktura VAT</v>
      </c>
      <c r="H604" s="2" t="str">
        <f>TRIM(Table1[[#This Row],[Magazyn]])</f>
        <v>Apteka Szpitalna</v>
      </c>
      <c r="I604" s="2" t="str">
        <f>TRIM(Table1[[#This Row],[Umowa]])</f>
        <v>UM-HUR-01</v>
      </c>
      <c r="J604" s="2" t="b">
        <f>ISTEXT(Table14[[#This Row],[Data_Wystawienia]])</f>
        <v>0</v>
      </c>
      <c r="K604" s="2">
        <f>VALUE(SUBSTITUTE(Table14[[#This Row],[Wartość]],".",","))</f>
        <v>16336.41</v>
      </c>
      <c r="L6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4" s="2" t="str">
        <f>IF(Table14[[#This Row],[Umowa]]="","Poza umową","Z umowy")</f>
        <v>Z umowy</v>
      </c>
      <c r="N604" s="2">
        <f>YEAR(Table14[[#This Row],[Data_Wystawienia]])</f>
        <v>2022</v>
      </c>
      <c r="O604" s="2" t="str">
        <f>TEXT(Table14[[#This Row],[Data_Wystawienia]],"rrrr-mm")</f>
        <v>2022-08</v>
      </c>
      <c r="P604" s="2">
        <v>1</v>
      </c>
    </row>
    <row r="605" spans="1:16" x14ac:dyDescent="0.3">
      <c r="A605" s="2" t="str">
        <f>TRIM(Table1[[#This Row],[Numer_FV]])</f>
        <v>FV/POL/69171/2022</v>
      </c>
      <c r="B605" s="2" t="str">
        <f>TRIM(Table1[[#This Row],[Numer_PZ]])</f>
        <v>PZ/800603</v>
      </c>
      <c r="C605" s="2" t="str">
        <f>TRIM(Table1[[#This Row],[Dostawca]])</f>
        <v>Polmedica</v>
      </c>
      <c r="D605" s="3">
        <v>44788</v>
      </c>
      <c r="E605" s="4" t="s">
        <v>1820</v>
      </c>
      <c r="F605" s="2" t="str">
        <f>TRIM(Table1[[#This Row],[Status]])</f>
        <v>Zaakceptowana</v>
      </c>
      <c r="G605" s="2" t="str">
        <f>TRIM(Table1[[#This Row],[Typ]])</f>
        <v>Faktura VAT</v>
      </c>
      <c r="H605" s="2" t="str">
        <f>TRIM(Table1[[#This Row],[Magazyn]])</f>
        <v>Apteka Szpitalna</v>
      </c>
      <c r="I605" s="2" t="str">
        <f>TRIM(Table1[[#This Row],[Umowa]])</f>
        <v/>
      </c>
      <c r="J605" s="2" t="b">
        <f>ISTEXT(Table14[[#This Row],[Data_Wystawienia]])</f>
        <v>0</v>
      </c>
      <c r="K605" s="2">
        <f>VALUE(SUBSTITUTE(Table14[[#This Row],[Wartość]],".",","))</f>
        <v>9464.49</v>
      </c>
      <c r="L6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5" s="2" t="str">
        <f>IF(Table14[[#This Row],[Umowa]]="","Poza umową","Z umowy")</f>
        <v>Poza umową</v>
      </c>
      <c r="N605" s="2">
        <f>YEAR(Table14[[#This Row],[Data_Wystawienia]])</f>
        <v>2022</v>
      </c>
      <c r="O605" s="2" t="str">
        <f>TEXT(Table14[[#This Row],[Data_Wystawienia]],"rrrr-mm")</f>
        <v>2022-08</v>
      </c>
      <c r="P605" s="2">
        <v>1</v>
      </c>
    </row>
    <row r="606" spans="1:16" x14ac:dyDescent="0.3">
      <c r="A606" s="2" t="str">
        <f>TRIM(Table1[[#This Row],[Numer_FV]])</f>
        <v>FV/46/PP/4126/22</v>
      </c>
      <c r="B606" s="2" t="str">
        <f>TRIM(Table1[[#This Row],[Numer_PZ]])</f>
        <v>PZ/800604</v>
      </c>
      <c r="C606" s="2" t="str">
        <f>TRIM(Table1[[#This Row],[Dostawca]])</f>
        <v>PharmaPlus</v>
      </c>
      <c r="D606" s="3">
        <v>44788</v>
      </c>
      <c r="E606" s="4" t="s">
        <v>1823</v>
      </c>
      <c r="F606" s="2" t="str">
        <f>TRIM(Table1[[#This Row],[Status]])</f>
        <v>Zaakceptowana</v>
      </c>
      <c r="G606" s="2" t="str">
        <f>TRIM(Table1[[#This Row],[Typ]])</f>
        <v>Faktura VAT</v>
      </c>
      <c r="H606" s="2" t="str">
        <f>TRIM(Table1[[#This Row],[Magazyn]])</f>
        <v>Apteka Szpitalna</v>
      </c>
      <c r="I606" s="2" t="str">
        <f>TRIM(Table1[[#This Row],[Umowa]])</f>
        <v>UM-PHA-02</v>
      </c>
      <c r="J606" s="2" t="b">
        <f>ISTEXT(Table14[[#This Row],[Data_Wystawienia]])</f>
        <v>0</v>
      </c>
      <c r="K606" s="2">
        <f>VALUE(SUBSTITUTE(Table14[[#This Row],[Wartość]],".",","))</f>
        <v>15341.56</v>
      </c>
      <c r="L6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6" s="2" t="str">
        <f>IF(Table14[[#This Row],[Umowa]]="","Poza umową","Z umowy")</f>
        <v>Z umowy</v>
      </c>
      <c r="N606" s="2">
        <f>YEAR(Table14[[#This Row],[Data_Wystawienia]])</f>
        <v>2022</v>
      </c>
      <c r="O606" s="2" t="str">
        <f>TEXT(Table14[[#This Row],[Data_Wystawienia]],"rrrr-mm")</f>
        <v>2022-08</v>
      </c>
      <c r="P606" s="2">
        <v>1</v>
      </c>
    </row>
    <row r="607" spans="1:16" x14ac:dyDescent="0.3">
      <c r="A607" s="2" t="str">
        <f>TRIM(Table1[[#This Row],[Numer_FV]])</f>
        <v>FV/15/SAL/22</v>
      </c>
      <c r="B607" s="2" t="str">
        <f>TRIM(Table1[[#This Row],[Numer_PZ]])</f>
        <v>PZ/800605</v>
      </c>
      <c r="C607" s="2" t="str">
        <f>TRIM(Table1[[#This Row],[Dostawca]])</f>
        <v>SalusHurt</v>
      </c>
      <c r="D607" s="3">
        <v>44788</v>
      </c>
      <c r="E607" s="4" t="s">
        <v>1825</v>
      </c>
      <c r="F607" s="2" t="str">
        <f>TRIM(Table1[[#This Row],[Status]])</f>
        <v>Zaakceptowana</v>
      </c>
      <c r="G607" s="2" t="str">
        <f>TRIM(Table1[[#This Row],[Typ]])</f>
        <v>Faktura VAT</v>
      </c>
      <c r="H607" s="2" t="str">
        <f>TRIM(Table1[[#This Row],[Magazyn]])</f>
        <v>Apteka Szpitalna</v>
      </c>
      <c r="I607" s="2" t="str">
        <f>TRIM(Table1[[#This Row],[Umowa]])</f>
        <v>UM-SAL-01</v>
      </c>
      <c r="J607" s="2" t="b">
        <f>ISTEXT(Table14[[#This Row],[Data_Wystawienia]])</f>
        <v>0</v>
      </c>
      <c r="K607" s="2">
        <f>VALUE(SUBSTITUTE(Table14[[#This Row],[Wartość]],".",","))</f>
        <v>6661.19</v>
      </c>
      <c r="L6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7" s="2" t="str">
        <f>IF(Table14[[#This Row],[Umowa]]="","Poza umową","Z umowy")</f>
        <v>Z umowy</v>
      </c>
      <c r="N607" s="2">
        <f>YEAR(Table14[[#This Row],[Data_Wystawienia]])</f>
        <v>2022</v>
      </c>
      <c r="O607" s="2" t="str">
        <f>TEXT(Table14[[#This Row],[Data_Wystawienia]],"rrrr-mm")</f>
        <v>2022-08</v>
      </c>
      <c r="P607" s="2">
        <v>1</v>
      </c>
    </row>
    <row r="608" spans="1:16" x14ac:dyDescent="0.3">
      <c r="A608" s="2" t="str">
        <f>TRIM(Table1[[#This Row],[Numer_FV]])</f>
        <v>FV/2860HM/22</v>
      </c>
      <c r="B608" s="2" t="str">
        <f>TRIM(Table1[[#This Row],[Numer_PZ]])</f>
        <v>PZ/800606</v>
      </c>
      <c r="C608" s="2" t="str">
        <f>TRIM(Table1[[#This Row],[Dostawca]])</f>
        <v>HurtMedix</v>
      </c>
      <c r="D608" s="3">
        <v>44789</v>
      </c>
      <c r="E608" s="4" t="s">
        <v>1828</v>
      </c>
      <c r="F608" s="2" t="str">
        <f>TRIM(Table1[[#This Row],[Status]])</f>
        <v>Zaakceptowana</v>
      </c>
      <c r="G608" s="2" t="str">
        <f>TRIM(Table1[[#This Row],[Typ]])</f>
        <v>Faktura VAT</v>
      </c>
      <c r="H608" s="2" t="str">
        <f>TRIM(Table1[[#This Row],[Magazyn]])</f>
        <v>Apteka Szpitalna</v>
      </c>
      <c r="I608" s="2" t="str">
        <f>TRIM(Table1[[#This Row],[Umowa]])</f>
        <v/>
      </c>
      <c r="J608" s="2" t="b">
        <f>ISTEXT(Table14[[#This Row],[Data_Wystawienia]])</f>
        <v>0</v>
      </c>
      <c r="K608" s="2">
        <f>VALUE(SUBSTITUTE(Table14[[#This Row],[Wartość]],".",","))</f>
        <v>8924.7199999999993</v>
      </c>
      <c r="L6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8" s="2" t="str">
        <f>IF(Table14[[#This Row],[Umowa]]="","Poza umową","Z umowy")</f>
        <v>Poza umową</v>
      </c>
      <c r="N608" s="2">
        <f>YEAR(Table14[[#This Row],[Data_Wystawienia]])</f>
        <v>2022</v>
      </c>
      <c r="O608" s="2" t="str">
        <f>TEXT(Table14[[#This Row],[Data_Wystawienia]],"rrrr-mm")</f>
        <v>2022-08</v>
      </c>
      <c r="P608" s="2">
        <v>1</v>
      </c>
    </row>
    <row r="609" spans="1:16" x14ac:dyDescent="0.3">
      <c r="A609" s="2" t="str">
        <f>TRIM(Table1[[#This Row],[Numer_FV]])</f>
        <v>FV/81/PP/1393/22</v>
      </c>
      <c r="B609" s="2" t="str">
        <f>TRIM(Table1[[#This Row],[Numer_PZ]])</f>
        <v>PZ/800607</v>
      </c>
      <c r="C609" s="2" t="str">
        <f>TRIM(Table1[[#This Row],[Dostawca]])</f>
        <v>PharmaPlus</v>
      </c>
      <c r="D609" s="3">
        <v>44789</v>
      </c>
      <c r="E609" s="4" t="s">
        <v>1831</v>
      </c>
      <c r="F609" s="2" t="str">
        <f>TRIM(Table1[[#This Row],[Status]])</f>
        <v>Zaakceptowana</v>
      </c>
      <c r="G609" s="2" t="str">
        <f>TRIM(Table1[[#This Row],[Typ]])</f>
        <v>Faktura VAT</v>
      </c>
      <c r="H609" s="2" t="str">
        <f>TRIM(Table1[[#This Row],[Magazyn]])</f>
        <v>Apteka Szpitalna</v>
      </c>
      <c r="I609" s="2" t="str">
        <f>TRIM(Table1[[#This Row],[Umowa]])</f>
        <v>UM-PHA-02</v>
      </c>
      <c r="J609" s="2" t="b">
        <f>ISTEXT(Table14[[#This Row],[Data_Wystawienia]])</f>
        <v>0</v>
      </c>
      <c r="K609" s="2">
        <f>VALUE(SUBSTITUTE(Table14[[#This Row],[Wartość]],".",","))</f>
        <v>16311.49</v>
      </c>
      <c r="L6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09" s="2" t="str">
        <f>IF(Table14[[#This Row],[Umowa]]="","Poza umową","Z umowy")</f>
        <v>Z umowy</v>
      </c>
      <c r="N609" s="2">
        <f>YEAR(Table14[[#This Row],[Data_Wystawienia]])</f>
        <v>2022</v>
      </c>
      <c r="O609" s="2" t="str">
        <f>TEXT(Table14[[#This Row],[Data_Wystawienia]],"rrrr-mm")</f>
        <v>2022-08</v>
      </c>
      <c r="P609" s="2">
        <v>1</v>
      </c>
    </row>
    <row r="610" spans="1:16" x14ac:dyDescent="0.3">
      <c r="A610" s="2" t="str">
        <f>TRIM(Table1[[#This Row],[Numer_FV]])</f>
        <v>FV/6009/NOVA/22</v>
      </c>
      <c r="B610" s="2" t="str">
        <f>TRIM(Table1[[#This Row],[Numer_PZ]])</f>
        <v>PZ/800608</v>
      </c>
      <c r="C610" s="2" t="str">
        <f>TRIM(Table1[[#This Row],[Dostawca]])</f>
        <v>NovaLek</v>
      </c>
      <c r="D610" s="3">
        <v>44789</v>
      </c>
      <c r="E610" s="4" t="s">
        <v>1834</v>
      </c>
      <c r="F610" s="2" t="str">
        <f>TRIM(Table1[[#This Row],[Status]])</f>
        <v>Zaakceptowana</v>
      </c>
      <c r="G610" s="2" t="str">
        <f>TRIM(Table1[[#This Row],[Typ]])</f>
        <v>Faktura VAT</v>
      </c>
      <c r="H610" s="2" t="str">
        <f>TRIM(Table1[[#This Row],[Magazyn]])</f>
        <v>Apteka Szpitalna</v>
      </c>
      <c r="I610" s="2" t="str">
        <f>TRIM(Table1[[#This Row],[Umowa]])</f>
        <v>UM-NOV-02</v>
      </c>
      <c r="J610" s="2" t="b">
        <f>ISTEXT(Table14[[#This Row],[Data_Wystawienia]])</f>
        <v>0</v>
      </c>
      <c r="K610" s="2">
        <f>VALUE(SUBSTITUTE(Table14[[#This Row],[Wartość]],".",","))</f>
        <v>7988.78</v>
      </c>
      <c r="L6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0" s="2" t="str">
        <f>IF(Table14[[#This Row],[Umowa]]="","Poza umową","Z umowy")</f>
        <v>Z umowy</v>
      </c>
      <c r="N610" s="2">
        <f>YEAR(Table14[[#This Row],[Data_Wystawienia]])</f>
        <v>2022</v>
      </c>
      <c r="O610" s="2" t="str">
        <f>TEXT(Table14[[#This Row],[Data_Wystawienia]],"rrrr-mm")</f>
        <v>2022-08</v>
      </c>
      <c r="P610" s="2">
        <v>1</v>
      </c>
    </row>
    <row r="611" spans="1:16" x14ac:dyDescent="0.3">
      <c r="A611" s="2" t="str">
        <f>TRIM(Table1[[#This Row],[Numer_FV]])</f>
        <v>FV/6904/NOVA/22</v>
      </c>
      <c r="B611" s="2" t="str">
        <f>TRIM(Table1[[#This Row],[Numer_PZ]])</f>
        <v>PZ/800609</v>
      </c>
      <c r="C611" s="2" t="str">
        <f>TRIM(Table1[[#This Row],[Dostawca]])</f>
        <v>NovaLek</v>
      </c>
      <c r="D611" s="3">
        <v>44789</v>
      </c>
      <c r="E611" s="4" t="s">
        <v>1837</v>
      </c>
      <c r="F611" s="2" t="str">
        <f>TRIM(Table1[[#This Row],[Status]])</f>
        <v>Zaakceptowana</v>
      </c>
      <c r="G611" s="2" t="str">
        <f>TRIM(Table1[[#This Row],[Typ]])</f>
        <v>Faktura VAT</v>
      </c>
      <c r="H611" s="2" t="str">
        <f>TRIM(Table1[[#This Row],[Magazyn]])</f>
        <v>Apteka Szpitalna</v>
      </c>
      <c r="I611" s="2" t="str">
        <f>TRIM(Table1[[#This Row],[Umowa]])</f>
        <v/>
      </c>
      <c r="J611" s="2" t="b">
        <f>ISTEXT(Table14[[#This Row],[Data_Wystawienia]])</f>
        <v>0</v>
      </c>
      <c r="K611" s="2">
        <f>VALUE(SUBSTITUTE(Table14[[#This Row],[Wartość]],".",","))</f>
        <v>15049.74</v>
      </c>
      <c r="L6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1" s="2" t="str">
        <f>IF(Table14[[#This Row],[Umowa]]="","Poza umową","Z umowy")</f>
        <v>Poza umową</v>
      </c>
      <c r="N611" s="2">
        <f>YEAR(Table14[[#This Row],[Data_Wystawienia]])</f>
        <v>2022</v>
      </c>
      <c r="O611" s="2" t="str">
        <f>TEXT(Table14[[#This Row],[Data_Wystawienia]],"rrrr-mm")</f>
        <v>2022-08</v>
      </c>
      <c r="P611" s="2">
        <v>1</v>
      </c>
    </row>
    <row r="612" spans="1:16" x14ac:dyDescent="0.3">
      <c r="A612" s="2" t="str">
        <f>TRIM(Table1[[#This Row],[Numer_FV]])</f>
        <v>FV/30/SAL/22</v>
      </c>
      <c r="B612" s="2" t="str">
        <f>TRIM(Table1[[#This Row],[Numer_PZ]])</f>
        <v>PZ/800610</v>
      </c>
      <c r="C612" s="2" t="str">
        <f>TRIM(Table1[[#This Row],[Dostawca]])</f>
        <v>SalusHurt</v>
      </c>
      <c r="D612" s="3">
        <v>44789</v>
      </c>
      <c r="E612" s="4" t="s">
        <v>1839</v>
      </c>
      <c r="F612" s="2" t="str">
        <f>TRIM(Table1[[#This Row],[Status]])</f>
        <v>Zaakceptowana</v>
      </c>
      <c r="G612" s="2" t="str">
        <f>TRIM(Table1[[#This Row],[Typ]])</f>
        <v>Faktura VAT</v>
      </c>
      <c r="H612" s="2" t="str">
        <f>TRIM(Table1[[#This Row],[Magazyn]])</f>
        <v>Apteka Szpitalna</v>
      </c>
      <c r="I612" s="2" t="str">
        <f>TRIM(Table1[[#This Row],[Umowa]])</f>
        <v/>
      </c>
      <c r="J612" s="2" t="b">
        <f>ISTEXT(Table14[[#This Row],[Data_Wystawienia]])</f>
        <v>0</v>
      </c>
      <c r="K612" s="2">
        <f>VALUE(SUBSTITUTE(Table14[[#This Row],[Wartość]],".",","))</f>
        <v>22549.56</v>
      </c>
      <c r="L6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2" s="2" t="str">
        <f>IF(Table14[[#This Row],[Umowa]]="","Poza umową","Z umowy")</f>
        <v>Poza umową</v>
      </c>
      <c r="N612" s="2">
        <f>YEAR(Table14[[#This Row],[Data_Wystawienia]])</f>
        <v>2022</v>
      </c>
      <c r="O612" s="2" t="str">
        <f>TEXT(Table14[[#This Row],[Data_Wystawienia]],"rrrr-mm")</f>
        <v>2022-08</v>
      </c>
      <c r="P612" s="2">
        <v>1</v>
      </c>
    </row>
    <row r="613" spans="1:16" x14ac:dyDescent="0.3">
      <c r="A613" s="2" t="str">
        <f>TRIM(Table1[[#This Row],[Numer_FV]])</f>
        <v>FV/41/SAL/22</v>
      </c>
      <c r="B613" s="2" t="str">
        <f>TRIM(Table1[[#This Row],[Numer_PZ]])</f>
        <v>PZ/800611</v>
      </c>
      <c r="C613" s="2" t="str">
        <f>TRIM(Table1[[#This Row],[Dostawca]])</f>
        <v>SalusHurt</v>
      </c>
      <c r="D613" s="3">
        <v>44789</v>
      </c>
      <c r="E613" s="4" t="s">
        <v>1842</v>
      </c>
      <c r="F613" s="2" t="str">
        <f>TRIM(Table1[[#This Row],[Status]])</f>
        <v>Zaakceptowana</v>
      </c>
      <c r="G613" s="2" t="str">
        <f>TRIM(Table1[[#This Row],[Typ]])</f>
        <v>Faktura VAT</v>
      </c>
      <c r="H613" s="2" t="str">
        <f>TRIM(Table1[[#This Row],[Magazyn]])</f>
        <v>Apteka Szpitalna</v>
      </c>
      <c r="I613" s="2" t="str">
        <f>TRIM(Table1[[#This Row],[Umowa]])</f>
        <v/>
      </c>
      <c r="J613" s="2" t="b">
        <f>ISTEXT(Table14[[#This Row],[Data_Wystawienia]])</f>
        <v>0</v>
      </c>
      <c r="K613" s="2">
        <f>VALUE(SUBSTITUTE(Table14[[#This Row],[Wartość]],".",","))</f>
        <v>18327.25</v>
      </c>
      <c r="L6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3" s="2" t="str">
        <f>IF(Table14[[#This Row],[Umowa]]="","Poza umową","Z umowy")</f>
        <v>Poza umową</v>
      </c>
      <c r="N613" s="2">
        <f>YEAR(Table14[[#This Row],[Data_Wystawienia]])</f>
        <v>2022</v>
      </c>
      <c r="O613" s="2" t="str">
        <f>TEXT(Table14[[#This Row],[Data_Wystawienia]],"rrrr-mm")</f>
        <v>2022-08</v>
      </c>
      <c r="P613" s="2">
        <v>1</v>
      </c>
    </row>
    <row r="614" spans="1:16" x14ac:dyDescent="0.3">
      <c r="A614" s="2" t="str">
        <f>TRIM(Table1[[#This Row],[Numer_FV]])</f>
        <v>FV/POL/23979/2022</v>
      </c>
      <c r="B614" s="2" t="str">
        <f>TRIM(Table1[[#This Row],[Numer_PZ]])</f>
        <v>PZ/800612</v>
      </c>
      <c r="C614" s="2" t="str">
        <f>TRIM(Table1[[#This Row],[Dostawca]])</f>
        <v>Polmedica</v>
      </c>
      <c r="D614" s="3">
        <v>44790</v>
      </c>
      <c r="E614" s="4" t="s">
        <v>1845</v>
      </c>
      <c r="F614" s="2" t="str">
        <f>TRIM(Table1[[#This Row],[Status]])</f>
        <v>Zaakceptowana</v>
      </c>
      <c r="G614" s="2" t="str">
        <f>TRIM(Table1[[#This Row],[Typ]])</f>
        <v>Faktura VAT</v>
      </c>
      <c r="H614" s="2" t="str">
        <f>TRIM(Table1[[#This Row],[Magazyn]])</f>
        <v>Apteka Szpitalna</v>
      </c>
      <c r="I614" s="2" t="str">
        <f>TRIM(Table1[[#This Row],[Umowa]])</f>
        <v>UM-POL-01</v>
      </c>
      <c r="J614" s="2" t="b">
        <f>ISTEXT(Table14[[#This Row],[Data_Wystawienia]])</f>
        <v>0</v>
      </c>
      <c r="K614" s="2">
        <f>VALUE(SUBSTITUTE(Table14[[#This Row],[Wartość]],".",","))</f>
        <v>11283.65</v>
      </c>
      <c r="L6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4" s="2" t="str">
        <f>IF(Table14[[#This Row],[Umowa]]="","Poza umową","Z umowy")</f>
        <v>Z umowy</v>
      </c>
      <c r="N614" s="2">
        <f>YEAR(Table14[[#This Row],[Data_Wystawienia]])</f>
        <v>2022</v>
      </c>
      <c r="O614" s="2" t="str">
        <f>TEXT(Table14[[#This Row],[Data_Wystawienia]],"rrrr-mm")</f>
        <v>2022-08</v>
      </c>
      <c r="P614" s="2">
        <v>1</v>
      </c>
    </row>
    <row r="615" spans="1:16" x14ac:dyDescent="0.3">
      <c r="A615" s="2" t="str">
        <f>TRIM(Table1[[#This Row],[Numer_FV]])</f>
        <v>FV/M/6307/P/22</v>
      </c>
      <c r="B615" s="2" t="str">
        <f>TRIM(Table1[[#This Row],[Numer_PZ]])</f>
        <v>PZ/800613</v>
      </c>
      <c r="C615" s="2" t="str">
        <f>TRIM(Table1[[#This Row],[Dostawca]])</f>
        <v>MedicaPharm</v>
      </c>
      <c r="D615" s="3">
        <v>44790</v>
      </c>
      <c r="E615" s="4" t="s">
        <v>1848</v>
      </c>
      <c r="F615" s="2" t="str">
        <f>TRIM(Table1[[#This Row],[Status]])</f>
        <v>Zaakceptowana</v>
      </c>
      <c r="G615" s="2" t="str">
        <f>TRIM(Table1[[#This Row],[Typ]])</f>
        <v>Faktura VAT</v>
      </c>
      <c r="H615" s="2" t="str">
        <f>TRIM(Table1[[#This Row],[Magazyn]])</f>
        <v>Apteka Szpitalna</v>
      </c>
      <c r="I615" s="2" t="str">
        <f>TRIM(Table1[[#This Row],[Umowa]])</f>
        <v>UM-MED-01</v>
      </c>
      <c r="J615" s="2" t="b">
        <f>ISTEXT(Table14[[#This Row],[Data_Wystawienia]])</f>
        <v>0</v>
      </c>
      <c r="K615" s="2">
        <f>VALUE(SUBSTITUTE(Table14[[#This Row],[Wartość]],".",","))</f>
        <v>9712.49</v>
      </c>
      <c r="L6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5" s="2" t="str">
        <f>IF(Table14[[#This Row],[Umowa]]="","Poza umową","Z umowy")</f>
        <v>Z umowy</v>
      </c>
      <c r="N615" s="2">
        <f>YEAR(Table14[[#This Row],[Data_Wystawienia]])</f>
        <v>2022</v>
      </c>
      <c r="O615" s="2" t="str">
        <f>TEXT(Table14[[#This Row],[Data_Wystawienia]],"rrrr-mm")</f>
        <v>2022-08</v>
      </c>
      <c r="P615" s="2">
        <v>1</v>
      </c>
    </row>
    <row r="616" spans="1:16" x14ac:dyDescent="0.3">
      <c r="A616" s="2" t="str">
        <f>TRIM(Table1[[#This Row],[Numer_FV]])</f>
        <v>FV/CENFA/110812/22</v>
      </c>
      <c r="B616" s="2" t="str">
        <f>TRIM(Table1[[#This Row],[Numer_PZ]])</f>
        <v>PZ/800614</v>
      </c>
      <c r="C616" s="2" t="str">
        <f>TRIM(Table1[[#This Row],[Dostawca]])</f>
        <v>CentrumFarm</v>
      </c>
      <c r="D616" s="3">
        <v>44791</v>
      </c>
      <c r="E616" s="4" t="s">
        <v>1851</v>
      </c>
      <c r="F616" s="2" t="str">
        <f>TRIM(Table1[[#This Row],[Status]])</f>
        <v>Zaakceptowana</v>
      </c>
      <c r="G616" s="2" t="str">
        <f>TRIM(Table1[[#This Row],[Typ]])</f>
        <v>Faktura VAT</v>
      </c>
      <c r="H616" s="2" t="str">
        <f>TRIM(Table1[[#This Row],[Magazyn]])</f>
        <v>Apteka Szpitalna</v>
      </c>
      <c r="I616" s="2" t="str">
        <f>TRIM(Table1[[#This Row],[Umowa]])</f>
        <v/>
      </c>
      <c r="J616" s="2" t="b">
        <f>ISTEXT(Table14[[#This Row],[Data_Wystawienia]])</f>
        <v>0</v>
      </c>
      <c r="K616" s="2">
        <f>VALUE(SUBSTITUTE(Table14[[#This Row],[Wartość]],".",","))</f>
        <v>14500.58</v>
      </c>
      <c r="L6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6" s="2" t="str">
        <f>IF(Table14[[#This Row],[Umowa]]="","Poza umową","Z umowy")</f>
        <v>Poza umową</v>
      </c>
      <c r="N616" s="2">
        <f>YEAR(Table14[[#This Row],[Data_Wystawienia]])</f>
        <v>2022</v>
      </c>
      <c r="O616" s="2" t="str">
        <f>TEXT(Table14[[#This Row],[Data_Wystawienia]],"rrrr-mm")</f>
        <v>2022-08</v>
      </c>
      <c r="P616" s="2">
        <v>1</v>
      </c>
    </row>
    <row r="617" spans="1:16" x14ac:dyDescent="0.3">
      <c r="A617" s="2" t="str">
        <f>TRIM(Table1[[#This Row],[Numer_FV]])</f>
        <v>FV/17/PP/9526/22</v>
      </c>
      <c r="B617" s="2" t="str">
        <f>TRIM(Table1[[#This Row],[Numer_PZ]])</f>
        <v>PZ/800615</v>
      </c>
      <c r="C617" s="2" t="str">
        <f>TRIM(Table1[[#This Row],[Dostawca]])</f>
        <v>PharmaPlus</v>
      </c>
      <c r="D617" s="3">
        <v>44791</v>
      </c>
      <c r="E617" s="4" t="s">
        <v>1854</v>
      </c>
      <c r="F617" s="2" t="str">
        <f>TRIM(Table1[[#This Row],[Status]])</f>
        <v>Zaakceptowana</v>
      </c>
      <c r="G617" s="2" t="str">
        <f>TRIM(Table1[[#This Row],[Typ]])</f>
        <v>Faktura VAT</v>
      </c>
      <c r="H617" s="2" t="str">
        <f>TRIM(Table1[[#This Row],[Magazyn]])</f>
        <v>Apteka Szpitalna</v>
      </c>
      <c r="I617" s="2" t="str">
        <f>TRIM(Table1[[#This Row],[Umowa]])</f>
        <v>UM-PHA-01</v>
      </c>
      <c r="J617" s="2" t="b">
        <f>ISTEXT(Table14[[#This Row],[Data_Wystawienia]])</f>
        <v>0</v>
      </c>
      <c r="K617" s="2">
        <f>VALUE(SUBSTITUTE(Table14[[#This Row],[Wartość]],".",","))</f>
        <v>11065.81</v>
      </c>
      <c r="L6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7" s="2" t="str">
        <f>IF(Table14[[#This Row],[Umowa]]="","Poza umową","Z umowy")</f>
        <v>Z umowy</v>
      </c>
      <c r="N617" s="2">
        <f>YEAR(Table14[[#This Row],[Data_Wystawienia]])</f>
        <v>2022</v>
      </c>
      <c r="O617" s="2" t="str">
        <f>TEXT(Table14[[#This Row],[Data_Wystawienia]],"rrrr-mm")</f>
        <v>2022-08</v>
      </c>
      <c r="P617" s="2">
        <v>1</v>
      </c>
    </row>
    <row r="618" spans="1:16" x14ac:dyDescent="0.3">
      <c r="A618" s="2" t="str">
        <f>TRIM(Table1[[#This Row],[Numer_FV]])</f>
        <v>FV/8965/NOVA/22</v>
      </c>
      <c r="B618" s="2" t="str">
        <f>TRIM(Table1[[#This Row],[Numer_PZ]])</f>
        <v>PZ/800616</v>
      </c>
      <c r="C618" s="2" t="str">
        <f>TRIM(Table1[[#This Row],[Dostawca]])</f>
        <v>NovaLek</v>
      </c>
      <c r="D618" s="3">
        <v>44791</v>
      </c>
      <c r="E618" s="4" t="s">
        <v>1857</v>
      </c>
      <c r="F618" s="2" t="str">
        <f>TRIM(Table1[[#This Row],[Status]])</f>
        <v>Zaakceptowana</v>
      </c>
      <c r="G618" s="2" t="str">
        <f>TRIM(Table1[[#This Row],[Typ]])</f>
        <v>Faktura VAT</v>
      </c>
      <c r="H618" s="2" t="str">
        <f>TRIM(Table1[[#This Row],[Magazyn]])</f>
        <v>Apteka Szpitalna</v>
      </c>
      <c r="I618" s="2" t="str">
        <f>TRIM(Table1[[#This Row],[Umowa]])</f>
        <v>UM-NOV-02</v>
      </c>
      <c r="J618" s="2" t="b">
        <f>ISTEXT(Table14[[#This Row],[Data_Wystawienia]])</f>
        <v>0</v>
      </c>
      <c r="K618" s="2">
        <f>VALUE(SUBSTITUTE(Table14[[#This Row],[Wartość]],".",","))</f>
        <v>17189.86</v>
      </c>
      <c r="L6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8" s="2" t="str">
        <f>IF(Table14[[#This Row],[Umowa]]="","Poza umową","Z umowy")</f>
        <v>Z umowy</v>
      </c>
      <c r="N618" s="2">
        <f>YEAR(Table14[[#This Row],[Data_Wystawienia]])</f>
        <v>2022</v>
      </c>
      <c r="O618" s="2" t="str">
        <f>TEXT(Table14[[#This Row],[Data_Wystawienia]],"rrrr-mm")</f>
        <v>2022-08</v>
      </c>
      <c r="P618" s="2">
        <v>1</v>
      </c>
    </row>
    <row r="619" spans="1:16" x14ac:dyDescent="0.3">
      <c r="A619" s="2" t="str">
        <f>TRIM(Table1[[#This Row],[Numer_FV]])</f>
        <v>FV/M/4666/P/22</v>
      </c>
      <c r="B619" s="2" t="str">
        <f>TRIM(Table1[[#This Row],[Numer_PZ]])</f>
        <v>PZ/800617</v>
      </c>
      <c r="C619" s="2" t="str">
        <f>TRIM(Table1[[#This Row],[Dostawca]])</f>
        <v>MedicaPharm</v>
      </c>
      <c r="D619" s="3">
        <v>44791</v>
      </c>
      <c r="E619" s="4" t="s">
        <v>1860</v>
      </c>
      <c r="F619" s="2" t="str">
        <f>TRIM(Table1[[#This Row],[Status]])</f>
        <v>Zaakceptowana</v>
      </c>
      <c r="G619" s="2" t="str">
        <f>TRIM(Table1[[#This Row],[Typ]])</f>
        <v>Faktura VAT</v>
      </c>
      <c r="H619" s="2" t="str">
        <f>TRIM(Table1[[#This Row],[Magazyn]])</f>
        <v>Apteka Szpitalna</v>
      </c>
      <c r="I619" s="2" t="str">
        <f>TRIM(Table1[[#This Row],[Umowa]])</f>
        <v>UM-MED-01</v>
      </c>
      <c r="J619" s="2" t="b">
        <f>ISTEXT(Table14[[#This Row],[Data_Wystawienia]])</f>
        <v>0</v>
      </c>
      <c r="K619" s="2">
        <f>VALUE(SUBSTITUTE(Table14[[#This Row],[Wartość]],".",","))</f>
        <v>22054.11</v>
      </c>
      <c r="L6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19" s="2" t="str">
        <f>IF(Table14[[#This Row],[Umowa]]="","Poza umową","Z umowy")</f>
        <v>Z umowy</v>
      </c>
      <c r="N619" s="2">
        <f>YEAR(Table14[[#This Row],[Data_Wystawienia]])</f>
        <v>2022</v>
      </c>
      <c r="O619" s="2" t="str">
        <f>TEXT(Table14[[#This Row],[Data_Wystawienia]],"rrrr-mm")</f>
        <v>2022-08</v>
      </c>
      <c r="P619" s="2">
        <v>1</v>
      </c>
    </row>
    <row r="620" spans="1:16" x14ac:dyDescent="0.3">
      <c r="A620" s="2" t="str">
        <f>TRIM(Table1[[#This Row],[Numer_FV]])</f>
        <v>FV/75169/VDb/2022</v>
      </c>
      <c r="B620" s="2" t="str">
        <f>TRIM(Table1[[#This Row],[Numer_PZ]])</f>
        <v>PZ/800618</v>
      </c>
      <c r="C620" s="2" t="str">
        <f>TRIM(Table1[[#This Row],[Dostawca]])</f>
        <v>VitaDistrib</v>
      </c>
      <c r="D620" s="3">
        <v>44791</v>
      </c>
      <c r="E620" s="4" t="s">
        <v>1863</v>
      </c>
      <c r="F620" s="2" t="str">
        <f>TRIM(Table1[[#This Row],[Status]])</f>
        <v>Zaakceptowana</v>
      </c>
      <c r="G620" s="2" t="str">
        <f>TRIM(Table1[[#This Row],[Typ]])</f>
        <v>Faktura VAT</v>
      </c>
      <c r="H620" s="2" t="str">
        <f>TRIM(Table1[[#This Row],[Magazyn]])</f>
        <v>Apteka Szpitalna</v>
      </c>
      <c r="I620" s="2" t="str">
        <f>TRIM(Table1[[#This Row],[Umowa]])</f>
        <v>UM-VIT-01</v>
      </c>
      <c r="J620" s="2" t="b">
        <f>ISTEXT(Table14[[#This Row],[Data_Wystawienia]])</f>
        <v>0</v>
      </c>
      <c r="K620" s="2">
        <f>VALUE(SUBSTITUTE(Table14[[#This Row],[Wartość]],".",","))</f>
        <v>17368.490000000002</v>
      </c>
      <c r="L6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0" s="2" t="str">
        <f>IF(Table14[[#This Row],[Umowa]]="","Poza umową","Z umowy")</f>
        <v>Z umowy</v>
      </c>
      <c r="N620" s="2">
        <f>YEAR(Table14[[#This Row],[Data_Wystawienia]])</f>
        <v>2022</v>
      </c>
      <c r="O620" s="2" t="str">
        <f>TEXT(Table14[[#This Row],[Data_Wystawienia]],"rrrr-mm")</f>
        <v>2022-08</v>
      </c>
      <c r="P620" s="2">
        <v>1</v>
      </c>
    </row>
    <row r="621" spans="1:16" x14ac:dyDescent="0.3">
      <c r="A621" s="2" t="str">
        <f>TRIM(Table1[[#This Row],[Numer_FV]])</f>
        <v>FV/12478/VDb/2022</v>
      </c>
      <c r="B621" s="2" t="str">
        <f>TRIM(Table1[[#This Row],[Numer_PZ]])</f>
        <v>PZ/800619</v>
      </c>
      <c r="C621" s="2" t="str">
        <f>TRIM(Table1[[#This Row],[Dostawca]])</f>
        <v>VitaDistrib</v>
      </c>
      <c r="D621" s="3">
        <v>44791</v>
      </c>
      <c r="E621" s="4" t="s">
        <v>1866</v>
      </c>
      <c r="F621" s="2" t="str">
        <f>TRIM(Table1[[#This Row],[Status]])</f>
        <v>Zaakceptowana</v>
      </c>
      <c r="G621" s="2" t="str">
        <f>TRIM(Table1[[#This Row],[Typ]])</f>
        <v>Faktura VAT</v>
      </c>
      <c r="H621" s="2" t="str">
        <f>TRIM(Table1[[#This Row],[Magazyn]])</f>
        <v>Apteka Szpitalna</v>
      </c>
      <c r="I621" s="2" t="str">
        <f>TRIM(Table1[[#This Row],[Umowa]])</f>
        <v>UM-VIT-01</v>
      </c>
      <c r="J621" s="2" t="b">
        <f>ISTEXT(Table14[[#This Row],[Data_Wystawienia]])</f>
        <v>0</v>
      </c>
      <c r="K621" s="2">
        <f>VALUE(SUBSTITUTE(Table14[[#This Row],[Wartość]],".",","))</f>
        <v>2482.89</v>
      </c>
      <c r="L6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1" s="2" t="str">
        <f>IF(Table14[[#This Row],[Umowa]]="","Poza umową","Z umowy")</f>
        <v>Z umowy</v>
      </c>
      <c r="N621" s="2">
        <f>YEAR(Table14[[#This Row],[Data_Wystawienia]])</f>
        <v>2022</v>
      </c>
      <c r="O621" s="2" t="str">
        <f>TEXT(Table14[[#This Row],[Data_Wystawienia]],"rrrr-mm")</f>
        <v>2022-08</v>
      </c>
      <c r="P621" s="2">
        <v>1</v>
      </c>
    </row>
    <row r="622" spans="1:16" x14ac:dyDescent="0.3">
      <c r="A622" s="2" t="str">
        <f>TRIM(Table1[[#This Row],[Numer_FV]])</f>
        <v>FV/4151/NOVA/22</v>
      </c>
      <c r="B622" s="2" t="str">
        <f>TRIM(Table1[[#This Row],[Numer_PZ]])</f>
        <v>PZ/800620</v>
      </c>
      <c r="C622" s="2" t="str">
        <f>TRIM(Table1[[#This Row],[Dostawca]])</f>
        <v>NovaLek</v>
      </c>
      <c r="D622" s="3">
        <v>44792</v>
      </c>
      <c r="E622" s="4" t="s">
        <v>1869</v>
      </c>
      <c r="F622" s="2" t="str">
        <f>TRIM(Table1[[#This Row],[Status]])</f>
        <v>Zaakceptowana</v>
      </c>
      <c r="G622" s="2" t="str">
        <f>TRIM(Table1[[#This Row],[Typ]])</f>
        <v>Faktura VAT</v>
      </c>
      <c r="H622" s="2" t="str">
        <f>TRIM(Table1[[#This Row],[Magazyn]])</f>
        <v>Apteka Szpitalna</v>
      </c>
      <c r="I622" s="2" t="str">
        <f>TRIM(Table1[[#This Row],[Umowa]])</f>
        <v>UM-NOV-02</v>
      </c>
      <c r="J622" s="2" t="b">
        <f>ISTEXT(Table14[[#This Row],[Data_Wystawienia]])</f>
        <v>0</v>
      </c>
      <c r="K622" s="2">
        <f>VALUE(SUBSTITUTE(Table14[[#This Row],[Wartość]],".",","))</f>
        <v>15794.47</v>
      </c>
      <c r="L6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2" s="2" t="str">
        <f>IF(Table14[[#This Row],[Umowa]]="","Poza umową","Z umowy")</f>
        <v>Z umowy</v>
      </c>
      <c r="N622" s="2">
        <f>YEAR(Table14[[#This Row],[Data_Wystawienia]])</f>
        <v>2022</v>
      </c>
      <c r="O622" s="2" t="str">
        <f>TEXT(Table14[[#This Row],[Data_Wystawienia]],"rrrr-mm")</f>
        <v>2022-08</v>
      </c>
      <c r="P622" s="2">
        <v>1</v>
      </c>
    </row>
    <row r="623" spans="1:16" x14ac:dyDescent="0.3">
      <c r="A623" s="2" t="str">
        <f>TRIM(Table1[[#This Row],[Numer_FV]])</f>
        <v>FV/6318HM/22</v>
      </c>
      <c r="B623" s="2" t="str">
        <f>TRIM(Table1[[#This Row],[Numer_PZ]])</f>
        <v>PZ/800621</v>
      </c>
      <c r="C623" s="2" t="str">
        <f>TRIM(Table1[[#This Row],[Dostawca]])</f>
        <v>HurtMedix</v>
      </c>
      <c r="D623" s="3">
        <v>44792</v>
      </c>
      <c r="E623" s="4" t="s">
        <v>1872</v>
      </c>
      <c r="F623" s="2" t="str">
        <f>TRIM(Table1[[#This Row],[Status]])</f>
        <v>Zaakceptowana</v>
      </c>
      <c r="G623" s="2" t="str">
        <f>TRIM(Table1[[#This Row],[Typ]])</f>
        <v>Faktura VAT</v>
      </c>
      <c r="H623" s="2" t="str">
        <f>TRIM(Table1[[#This Row],[Magazyn]])</f>
        <v>Apteka Szpitalna</v>
      </c>
      <c r="I623" s="2" t="str">
        <f>TRIM(Table1[[#This Row],[Umowa]])</f>
        <v>UM-HUR-02</v>
      </c>
      <c r="J623" s="2" t="b">
        <f>ISTEXT(Table14[[#This Row],[Data_Wystawienia]])</f>
        <v>0</v>
      </c>
      <c r="K623" s="2">
        <f>VALUE(SUBSTITUTE(Table14[[#This Row],[Wartość]],".",","))</f>
        <v>17240.080000000002</v>
      </c>
      <c r="L6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3" s="2" t="str">
        <f>IF(Table14[[#This Row],[Umowa]]="","Poza umową","Z umowy")</f>
        <v>Z umowy</v>
      </c>
      <c r="N623" s="2">
        <f>YEAR(Table14[[#This Row],[Data_Wystawienia]])</f>
        <v>2022</v>
      </c>
      <c r="O623" s="2" t="str">
        <f>TEXT(Table14[[#This Row],[Data_Wystawienia]],"rrrr-mm")</f>
        <v>2022-08</v>
      </c>
      <c r="P623" s="2">
        <v>1</v>
      </c>
    </row>
    <row r="624" spans="1:16" x14ac:dyDescent="0.3">
      <c r="A624" s="2" t="str">
        <f>TRIM(Table1[[#This Row],[Numer_FV]])</f>
        <v>FV/2057/NOVA/22</v>
      </c>
      <c r="B624" s="2" t="str">
        <f>TRIM(Table1[[#This Row],[Numer_PZ]])</f>
        <v>PZ/800622</v>
      </c>
      <c r="C624" s="2" t="str">
        <f>TRIM(Table1[[#This Row],[Dostawca]])</f>
        <v>NovaLek</v>
      </c>
      <c r="D624" s="3">
        <v>44792</v>
      </c>
      <c r="E624" s="4" t="s">
        <v>1875</v>
      </c>
      <c r="F624" s="2" t="str">
        <f>TRIM(Table1[[#This Row],[Status]])</f>
        <v>Zaakceptowana</v>
      </c>
      <c r="G624" s="2" t="str">
        <f>TRIM(Table1[[#This Row],[Typ]])</f>
        <v>Faktura VAT</v>
      </c>
      <c r="H624" s="2" t="str">
        <f>TRIM(Table1[[#This Row],[Magazyn]])</f>
        <v>Apteka Szpitalna</v>
      </c>
      <c r="I624" s="2" t="str">
        <f>TRIM(Table1[[#This Row],[Umowa]])</f>
        <v>UM-NOV-01</v>
      </c>
      <c r="J624" s="2" t="b">
        <f>ISTEXT(Table14[[#This Row],[Data_Wystawienia]])</f>
        <v>0</v>
      </c>
      <c r="K624" s="2">
        <f>VALUE(SUBSTITUTE(Table14[[#This Row],[Wartość]],".",","))</f>
        <v>22491.88</v>
      </c>
      <c r="L6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4" s="2" t="str">
        <f>IF(Table14[[#This Row],[Umowa]]="","Poza umową","Z umowy")</f>
        <v>Z umowy</v>
      </c>
      <c r="N624" s="2">
        <f>YEAR(Table14[[#This Row],[Data_Wystawienia]])</f>
        <v>2022</v>
      </c>
      <c r="O624" s="2" t="str">
        <f>TEXT(Table14[[#This Row],[Data_Wystawienia]],"rrrr-mm")</f>
        <v>2022-08</v>
      </c>
      <c r="P624" s="2">
        <v>1</v>
      </c>
    </row>
    <row r="625" spans="1:16" x14ac:dyDescent="0.3">
      <c r="A625" s="2" t="str">
        <f>TRIM(Table1[[#This Row],[Numer_FV]])</f>
        <v>FV/CENFA/827094/22</v>
      </c>
      <c r="B625" s="2" t="str">
        <f>TRIM(Table1[[#This Row],[Numer_PZ]])</f>
        <v>PZ/800623</v>
      </c>
      <c r="C625" s="2" t="str">
        <f>TRIM(Table1[[#This Row],[Dostawca]])</f>
        <v>CentrumFarm</v>
      </c>
      <c r="D625" s="3">
        <v>44793</v>
      </c>
      <c r="E625" s="4" t="s">
        <v>1878</v>
      </c>
      <c r="F625" s="2" t="str">
        <f>TRIM(Table1[[#This Row],[Status]])</f>
        <v>Zaakceptowana</v>
      </c>
      <c r="G625" s="2" t="str">
        <f>TRIM(Table1[[#This Row],[Typ]])</f>
        <v>Faktura VAT</v>
      </c>
      <c r="H625" s="2" t="str">
        <f>TRIM(Table1[[#This Row],[Magazyn]])</f>
        <v>Apteka Szpitalna</v>
      </c>
      <c r="I625" s="2" t="str">
        <f>TRIM(Table1[[#This Row],[Umowa]])</f>
        <v>UM-CEN-01</v>
      </c>
      <c r="J625" s="2" t="b">
        <f>ISTEXT(Table14[[#This Row],[Data_Wystawienia]])</f>
        <v>0</v>
      </c>
      <c r="K625" s="2">
        <f>VALUE(SUBSTITUTE(Table14[[#This Row],[Wartość]],".",","))</f>
        <v>9005.07</v>
      </c>
      <c r="L6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5" s="2" t="str">
        <f>IF(Table14[[#This Row],[Umowa]]="","Poza umową","Z umowy")</f>
        <v>Z umowy</v>
      </c>
      <c r="N625" s="2">
        <f>YEAR(Table14[[#This Row],[Data_Wystawienia]])</f>
        <v>2022</v>
      </c>
      <c r="O625" s="2" t="str">
        <f>TEXT(Table14[[#This Row],[Data_Wystawienia]],"rrrr-mm")</f>
        <v>2022-08</v>
      </c>
      <c r="P625" s="2">
        <v>1</v>
      </c>
    </row>
    <row r="626" spans="1:16" x14ac:dyDescent="0.3">
      <c r="A626" s="2" t="str">
        <f>TRIM(Table1[[#This Row],[Numer_FV]])</f>
        <v>FV/POL/31337/2022</v>
      </c>
      <c r="B626" s="2" t="str">
        <f>TRIM(Table1[[#This Row],[Numer_PZ]])</f>
        <v>PZ/800624</v>
      </c>
      <c r="C626" s="2" t="str">
        <f>TRIM(Table1[[#This Row],[Dostawca]])</f>
        <v>Polmedica</v>
      </c>
      <c r="D626" s="3">
        <v>44793</v>
      </c>
      <c r="E626" s="4" t="s">
        <v>1881</v>
      </c>
      <c r="F626" s="2" t="str">
        <f>TRIM(Table1[[#This Row],[Status]])</f>
        <v>Zaakceptowana</v>
      </c>
      <c r="G626" s="2" t="str">
        <f>TRIM(Table1[[#This Row],[Typ]])</f>
        <v>Faktura VAT</v>
      </c>
      <c r="H626" s="2" t="str">
        <f>TRIM(Table1[[#This Row],[Magazyn]])</f>
        <v>Apteka Szpitalna</v>
      </c>
      <c r="I626" s="2" t="str">
        <f>TRIM(Table1[[#This Row],[Umowa]])</f>
        <v>UM-POL-01</v>
      </c>
      <c r="J626" s="2" t="b">
        <f>ISTEXT(Table14[[#This Row],[Data_Wystawienia]])</f>
        <v>0</v>
      </c>
      <c r="K626" s="2">
        <f>VALUE(SUBSTITUTE(Table14[[#This Row],[Wartość]],".",","))</f>
        <v>12708.66</v>
      </c>
      <c r="L6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6" s="2" t="str">
        <f>IF(Table14[[#This Row],[Umowa]]="","Poza umową","Z umowy")</f>
        <v>Z umowy</v>
      </c>
      <c r="N626" s="2">
        <f>YEAR(Table14[[#This Row],[Data_Wystawienia]])</f>
        <v>2022</v>
      </c>
      <c r="O626" s="2" t="str">
        <f>TEXT(Table14[[#This Row],[Data_Wystawienia]],"rrrr-mm")</f>
        <v>2022-08</v>
      </c>
      <c r="P626" s="2">
        <v>1</v>
      </c>
    </row>
    <row r="627" spans="1:16" x14ac:dyDescent="0.3">
      <c r="A627" s="2" t="str">
        <f>TRIM(Table1[[#This Row],[Numer_FV]])</f>
        <v>FV/61/SAL/22</v>
      </c>
      <c r="B627" s="2" t="str">
        <f>TRIM(Table1[[#This Row],[Numer_PZ]])</f>
        <v>PZ/800625</v>
      </c>
      <c r="C627" s="2" t="str">
        <f>TRIM(Table1[[#This Row],[Dostawca]])</f>
        <v>SalusHurt</v>
      </c>
      <c r="D627" s="3">
        <v>44793</v>
      </c>
      <c r="E627" s="4" t="s">
        <v>1883</v>
      </c>
      <c r="F627" s="2" t="str">
        <f>TRIM(Table1[[#This Row],[Status]])</f>
        <v>Zaakceptowana</v>
      </c>
      <c r="G627" s="2" t="str">
        <f>TRIM(Table1[[#This Row],[Typ]])</f>
        <v>Faktura VAT</v>
      </c>
      <c r="H627" s="2" t="str">
        <f>TRIM(Table1[[#This Row],[Magazyn]])</f>
        <v>Apteka Szpitalna</v>
      </c>
      <c r="I627" s="2" t="str">
        <f>TRIM(Table1[[#This Row],[Umowa]])</f>
        <v/>
      </c>
      <c r="J627" s="2" t="b">
        <f>ISTEXT(Table14[[#This Row],[Data_Wystawienia]])</f>
        <v>0</v>
      </c>
      <c r="K627" s="2">
        <f>VALUE(SUBSTITUTE(Table14[[#This Row],[Wartość]],".",","))</f>
        <v>11133.2</v>
      </c>
      <c r="L6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7" s="2" t="str">
        <f>IF(Table14[[#This Row],[Umowa]]="","Poza umową","Z umowy")</f>
        <v>Poza umową</v>
      </c>
      <c r="N627" s="2">
        <f>YEAR(Table14[[#This Row],[Data_Wystawienia]])</f>
        <v>2022</v>
      </c>
      <c r="O627" s="2" t="str">
        <f>TEXT(Table14[[#This Row],[Data_Wystawienia]],"rrrr-mm")</f>
        <v>2022-08</v>
      </c>
      <c r="P627" s="2">
        <v>1</v>
      </c>
    </row>
    <row r="628" spans="1:16" x14ac:dyDescent="0.3">
      <c r="A628" s="2" t="str">
        <f>TRIM(Table1[[#This Row],[Numer_FV]])</f>
        <v>FV/M/2756/P/22</v>
      </c>
      <c r="B628" s="2" t="str">
        <f>TRIM(Table1[[#This Row],[Numer_PZ]])</f>
        <v>PZ/800626</v>
      </c>
      <c r="C628" s="2" t="str">
        <f>TRIM(Table1[[#This Row],[Dostawca]])</f>
        <v>MedicaPharm</v>
      </c>
      <c r="D628" s="3">
        <v>44794</v>
      </c>
      <c r="E628" s="4" t="s">
        <v>1886</v>
      </c>
      <c r="F628" s="2" t="str">
        <f>TRIM(Table1[[#This Row],[Status]])</f>
        <v>Zaakceptowana</v>
      </c>
      <c r="G628" s="2" t="str">
        <f>TRIM(Table1[[#This Row],[Typ]])</f>
        <v>Faktura VAT</v>
      </c>
      <c r="H628" s="2" t="str">
        <f>TRIM(Table1[[#This Row],[Magazyn]])</f>
        <v>Apteka Szpitalna</v>
      </c>
      <c r="I628" s="2" t="str">
        <f>TRIM(Table1[[#This Row],[Umowa]])</f>
        <v>UM-MED-02</v>
      </c>
      <c r="J628" s="2" t="b">
        <f>ISTEXT(Table14[[#This Row],[Data_Wystawienia]])</f>
        <v>0</v>
      </c>
      <c r="K628" s="2">
        <f>VALUE(SUBSTITUTE(Table14[[#This Row],[Wartość]],".",","))</f>
        <v>16711.189999999999</v>
      </c>
      <c r="L6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8" s="2" t="str">
        <f>IF(Table14[[#This Row],[Umowa]]="","Poza umową","Z umowy")</f>
        <v>Z umowy</v>
      </c>
      <c r="N628" s="2">
        <f>YEAR(Table14[[#This Row],[Data_Wystawienia]])</f>
        <v>2022</v>
      </c>
      <c r="O628" s="2" t="str">
        <f>TEXT(Table14[[#This Row],[Data_Wystawienia]],"rrrr-mm")</f>
        <v>2022-08</v>
      </c>
      <c r="P628" s="2">
        <v>1</v>
      </c>
    </row>
    <row r="629" spans="1:16" x14ac:dyDescent="0.3">
      <c r="A629" s="2" t="str">
        <f>TRIM(Table1[[#This Row],[Numer_FV]])</f>
        <v>FV/26/SAL/22</v>
      </c>
      <c r="B629" s="2" t="str">
        <f>TRIM(Table1[[#This Row],[Numer_PZ]])</f>
        <v>PZ/800627</v>
      </c>
      <c r="C629" s="2" t="str">
        <f>TRIM(Table1[[#This Row],[Dostawca]])</f>
        <v>SalusHurt</v>
      </c>
      <c r="D629" s="3">
        <v>44795</v>
      </c>
      <c r="E629" s="4" t="s">
        <v>1888</v>
      </c>
      <c r="F629" s="2" t="str">
        <f>TRIM(Table1[[#This Row],[Status]])</f>
        <v>Zaakceptowana</v>
      </c>
      <c r="G629" s="2" t="str">
        <f>TRIM(Table1[[#This Row],[Typ]])</f>
        <v>Faktura VAT</v>
      </c>
      <c r="H629" s="2" t="str">
        <f>TRIM(Table1[[#This Row],[Magazyn]])</f>
        <v>Apteka Szpitalna</v>
      </c>
      <c r="I629" s="2" t="str">
        <f>TRIM(Table1[[#This Row],[Umowa]])</f>
        <v/>
      </c>
      <c r="J629" s="2" t="b">
        <f>ISTEXT(Table14[[#This Row],[Data_Wystawienia]])</f>
        <v>0</v>
      </c>
      <c r="K629" s="2">
        <f>VALUE(SUBSTITUTE(Table14[[#This Row],[Wartość]],".",","))</f>
        <v>13273.69</v>
      </c>
      <c r="L6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29" s="2" t="str">
        <f>IF(Table14[[#This Row],[Umowa]]="","Poza umową","Z umowy")</f>
        <v>Poza umową</v>
      </c>
      <c r="N629" s="2">
        <f>YEAR(Table14[[#This Row],[Data_Wystawienia]])</f>
        <v>2022</v>
      </c>
      <c r="O629" s="2" t="str">
        <f>TEXT(Table14[[#This Row],[Data_Wystawienia]],"rrrr-mm")</f>
        <v>2022-08</v>
      </c>
      <c r="P629" s="2">
        <v>1</v>
      </c>
    </row>
    <row r="630" spans="1:16" x14ac:dyDescent="0.3">
      <c r="A630" s="2" t="str">
        <f>TRIM(Table1[[#This Row],[Numer_FV]])</f>
        <v>FV/M/9396/P/22</v>
      </c>
      <c r="B630" s="2" t="str">
        <f>TRIM(Table1[[#This Row],[Numer_PZ]])</f>
        <v>PZ/800628</v>
      </c>
      <c r="C630" s="2" t="str">
        <f>TRIM(Table1[[#This Row],[Dostawca]])</f>
        <v>MedicaPharm</v>
      </c>
      <c r="D630" s="3">
        <v>44796</v>
      </c>
      <c r="E630" s="4" t="s">
        <v>1891</v>
      </c>
      <c r="F630" s="2" t="str">
        <f>TRIM(Table1[[#This Row],[Status]])</f>
        <v>Zaakceptowana</v>
      </c>
      <c r="G630" s="2" t="str">
        <f>TRIM(Table1[[#This Row],[Typ]])</f>
        <v>Faktura VAT</v>
      </c>
      <c r="H630" s="2" t="str">
        <f>TRIM(Table1[[#This Row],[Magazyn]])</f>
        <v>Apteka Szpitalna</v>
      </c>
      <c r="I630" s="2" t="str">
        <f>TRIM(Table1[[#This Row],[Umowa]])</f>
        <v>UM-MED-02</v>
      </c>
      <c r="J630" s="2" t="b">
        <f>ISTEXT(Table14[[#This Row],[Data_Wystawienia]])</f>
        <v>0</v>
      </c>
      <c r="K630" s="2">
        <f>VALUE(SUBSTITUTE(Table14[[#This Row],[Wartość]],".",","))</f>
        <v>11537.34</v>
      </c>
      <c r="L6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0" s="2" t="str">
        <f>IF(Table14[[#This Row],[Umowa]]="","Poza umową","Z umowy")</f>
        <v>Z umowy</v>
      </c>
      <c r="N630" s="2">
        <f>YEAR(Table14[[#This Row],[Data_Wystawienia]])</f>
        <v>2022</v>
      </c>
      <c r="O630" s="2" t="str">
        <f>TEXT(Table14[[#This Row],[Data_Wystawienia]],"rrrr-mm")</f>
        <v>2022-08</v>
      </c>
      <c r="P630" s="2">
        <v>1</v>
      </c>
    </row>
    <row r="631" spans="1:16" x14ac:dyDescent="0.3">
      <c r="A631" s="2" t="str">
        <f>TRIM(Table1[[#This Row],[Numer_FV]])</f>
        <v>FV/1070HM/22</v>
      </c>
      <c r="B631" s="2" t="str">
        <f>TRIM(Table1[[#This Row],[Numer_PZ]])</f>
        <v>PZ/800629</v>
      </c>
      <c r="C631" s="2" t="str">
        <f>TRIM(Table1[[#This Row],[Dostawca]])</f>
        <v>HurtMedix</v>
      </c>
      <c r="D631" s="3">
        <v>44796</v>
      </c>
      <c r="E631" s="4" t="s">
        <v>1894</v>
      </c>
      <c r="F631" s="2" t="str">
        <f>TRIM(Table1[[#This Row],[Status]])</f>
        <v>Zaakceptowana</v>
      </c>
      <c r="G631" s="2" t="str">
        <f>TRIM(Table1[[#This Row],[Typ]])</f>
        <v>Faktura VAT</v>
      </c>
      <c r="H631" s="2" t="str">
        <f>TRIM(Table1[[#This Row],[Magazyn]])</f>
        <v>Apteka Szpitalna</v>
      </c>
      <c r="I631" s="2" t="str">
        <f>TRIM(Table1[[#This Row],[Umowa]])</f>
        <v>UM-HUR-03</v>
      </c>
      <c r="J631" s="2" t="b">
        <f>ISTEXT(Table14[[#This Row],[Data_Wystawienia]])</f>
        <v>0</v>
      </c>
      <c r="K631" s="2">
        <f>VALUE(SUBSTITUTE(Table14[[#This Row],[Wartość]],".",","))</f>
        <v>10957.11</v>
      </c>
      <c r="L6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1" s="2" t="str">
        <f>IF(Table14[[#This Row],[Umowa]]="","Poza umową","Z umowy")</f>
        <v>Z umowy</v>
      </c>
      <c r="N631" s="2">
        <f>YEAR(Table14[[#This Row],[Data_Wystawienia]])</f>
        <v>2022</v>
      </c>
      <c r="O631" s="2" t="str">
        <f>TEXT(Table14[[#This Row],[Data_Wystawienia]],"rrrr-mm")</f>
        <v>2022-08</v>
      </c>
      <c r="P631" s="2">
        <v>1</v>
      </c>
    </row>
    <row r="632" spans="1:16" x14ac:dyDescent="0.3">
      <c r="A632" s="2" t="str">
        <f>TRIM(Table1[[#This Row],[Numer_FV]])</f>
        <v>FV/M/1926/P/22</v>
      </c>
      <c r="B632" s="2" t="str">
        <f>TRIM(Table1[[#This Row],[Numer_PZ]])</f>
        <v>PZ/800630</v>
      </c>
      <c r="C632" s="2" t="str">
        <f>TRIM(Table1[[#This Row],[Dostawca]])</f>
        <v>MedicaPharm</v>
      </c>
      <c r="D632" s="3">
        <v>44798</v>
      </c>
      <c r="E632" s="4" t="s">
        <v>1897</v>
      </c>
      <c r="F632" s="2" t="str">
        <f>TRIM(Table1[[#This Row],[Status]])</f>
        <v>Zaakceptowana</v>
      </c>
      <c r="G632" s="2" t="str">
        <f>TRIM(Table1[[#This Row],[Typ]])</f>
        <v>Faktura VAT</v>
      </c>
      <c r="H632" s="2" t="str">
        <f>TRIM(Table1[[#This Row],[Magazyn]])</f>
        <v>Apteka Szpitalna</v>
      </c>
      <c r="I632" s="2" t="str">
        <f>TRIM(Table1[[#This Row],[Umowa]])</f>
        <v/>
      </c>
      <c r="J632" s="2" t="b">
        <f>ISTEXT(Table14[[#This Row],[Data_Wystawienia]])</f>
        <v>0</v>
      </c>
      <c r="K632" s="2">
        <f>VALUE(SUBSTITUTE(Table14[[#This Row],[Wartość]],".",","))</f>
        <v>15681.86</v>
      </c>
      <c r="L6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2" s="2" t="str">
        <f>IF(Table14[[#This Row],[Umowa]]="","Poza umową","Z umowy")</f>
        <v>Poza umową</v>
      </c>
      <c r="N632" s="2">
        <f>YEAR(Table14[[#This Row],[Data_Wystawienia]])</f>
        <v>2022</v>
      </c>
      <c r="O632" s="2" t="str">
        <f>TEXT(Table14[[#This Row],[Data_Wystawienia]],"rrrr-mm")</f>
        <v>2022-08</v>
      </c>
      <c r="P632" s="2">
        <v>1</v>
      </c>
    </row>
    <row r="633" spans="1:16" x14ac:dyDescent="0.3">
      <c r="A633" s="2" t="str">
        <f>TRIM(Table1[[#This Row],[Numer_FV]])</f>
        <v>FV/25537/VDb/2022</v>
      </c>
      <c r="B633" s="2" t="str">
        <f>TRIM(Table1[[#This Row],[Numer_PZ]])</f>
        <v>PZ/800631</v>
      </c>
      <c r="C633" s="2" t="str">
        <f>TRIM(Table1[[#This Row],[Dostawca]])</f>
        <v>VitaDistrib</v>
      </c>
      <c r="D633" s="3">
        <v>44798</v>
      </c>
      <c r="E633" s="4" t="s">
        <v>1900</v>
      </c>
      <c r="F633" s="2" t="str">
        <f>TRIM(Table1[[#This Row],[Status]])</f>
        <v>Zaakceptowana</v>
      </c>
      <c r="G633" s="2" t="str">
        <f>TRIM(Table1[[#This Row],[Typ]])</f>
        <v>Korekta FV</v>
      </c>
      <c r="H633" s="2" t="str">
        <f>TRIM(Table1[[#This Row],[Magazyn]])</f>
        <v>Apteka Szpitalna</v>
      </c>
      <c r="I633" s="2" t="str">
        <f>TRIM(Table1[[#This Row],[Umowa]])</f>
        <v>UM-VIT-01</v>
      </c>
      <c r="J633" s="2" t="b">
        <f>ISTEXT(Table14[[#This Row],[Data_Wystawienia]])</f>
        <v>0</v>
      </c>
      <c r="K633" s="2">
        <f>VALUE(SUBSTITUTE(Table14[[#This Row],[Wartość]],".",","))</f>
        <v>-2145.16</v>
      </c>
      <c r="L6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3" s="2" t="str">
        <f>IF(Table14[[#This Row],[Umowa]]="","Poza umową","Z umowy")</f>
        <v>Z umowy</v>
      </c>
      <c r="N633" s="2">
        <f>YEAR(Table14[[#This Row],[Data_Wystawienia]])</f>
        <v>2022</v>
      </c>
      <c r="O633" s="2" t="str">
        <f>TEXT(Table14[[#This Row],[Data_Wystawienia]],"rrrr-mm")</f>
        <v>2022-08</v>
      </c>
      <c r="P633" s="2">
        <v>1</v>
      </c>
    </row>
    <row r="634" spans="1:16" x14ac:dyDescent="0.3">
      <c r="A634" s="2" t="str">
        <f>TRIM(Table1[[#This Row],[Numer_FV]])</f>
        <v>FV/8858/NOVA/22</v>
      </c>
      <c r="B634" s="2" t="str">
        <f>TRIM(Table1[[#This Row],[Numer_PZ]])</f>
        <v>PZ/800632</v>
      </c>
      <c r="C634" s="2" t="str">
        <f>TRIM(Table1[[#This Row],[Dostawca]])</f>
        <v>NovaLek</v>
      </c>
      <c r="D634" s="3">
        <v>44799</v>
      </c>
      <c r="E634" s="4" t="s">
        <v>1903</v>
      </c>
      <c r="F634" s="2" t="str">
        <f>TRIM(Table1[[#This Row],[Status]])</f>
        <v>Zaakceptowana</v>
      </c>
      <c r="G634" s="2" t="str">
        <f>TRIM(Table1[[#This Row],[Typ]])</f>
        <v>Faktura VAT</v>
      </c>
      <c r="H634" s="2" t="str">
        <f>TRIM(Table1[[#This Row],[Magazyn]])</f>
        <v>Apteka Szpitalna</v>
      </c>
      <c r="I634" s="2" t="str">
        <f>TRIM(Table1[[#This Row],[Umowa]])</f>
        <v>UM-NOV-02</v>
      </c>
      <c r="J634" s="2" t="b">
        <f>ISTEXT(Table14[[#This Row],[Data_Wystawienia]])</f>
        <v>0</v>
      </c>
      <c r="K634" s="2">
        <f>VALUE(SUBSTITUTE(Table14[[#This Row],[Wartość]],".",","))</f>
        <v>9889.16</v>
      </c>
      <c r="L6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4" s="2" t="str">
        <f>IF(Table14[[#This Row],[Umowa]]="","Poza umową","Z umowy")</f>
        <v>Z umowy</v>
      </c>
      <c r="N634" s="2">
        <f>YEAR(Table14[[#This Row],[Data_Wystawienia]])</f>
        <v>2022</v>
      </c>
      <c r="O634" s="2" t="str">
        <f>TEXT(Table14[[#This Row],[Data_Wystawienia]],"rrrr-mm")</f>
        <v>2022-08</v>
      </c>
      <c r="P634" s="2">
        <v>1</v>
      </c>
    </row>
    <row r="635" spans="1:16" x14ac:dyDescent="0.3">
      <c r="A635" s="2" t="str">
        <f>TRIM(Table1[[#This Row],[Numer_FV]])</f>
        <v>FV/53/PP/2213/22</v>
      </c>
      <c r="B635" s="2" t="str">
        <f>TRIM(Table1[[#This Row],[Numer_PZ]])</f>
        <v>PZ/800633</v>
      </c>
      <c r="C635" s="2" t="str">
        <f>TRIM(Table1[[#This Row],[Dostawca]])</f>
        <v>PharmaPlus</v>
      </c>
      <c r="D635" s="3">
        <v>44799</v>
      </c>
      <c r="E635" s="4" t="s">
        <v>1906</v>
      </c>
      <c r="F635" s="2" t="str">
        <f>TRIM(Table1[[#This Row],[Status]])</f>
        <v>Zaakceptowana</v>
      </c>
      <c r="G635" s="2" t="str">
        <f>TRIM(Table1[[#This Row],[Typ]])</f>
        <v>Faktura VAT</v>
      </c>
      <c r="H635" s="2" t="str">
        <f>TRIM(Table1[[#This Row],[Magazyn]])</f>
        <v>Apteka Szpitalna</v>
      </c>
      <c r="I635" s="2" t="str">
        <f>TRIM(Table1[[#This Row],[Umowa]])</f>
        <v>UM-PHA-02</v>
      </c>
      <c r="J635" s="2" t="b">
        <f>ISTEXT(Table14[[#This Row],[Data_Wystawienia]])</f>
        <v>0</v>
      </c>
      <c r="K635" s="2">
        <f>VALUE(SUBSTITUTE(Table14[[#This Row],[Wartość]],".",","))</f>
        <v>12169.52</v>
      </c>
      <c r="L6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5" s="2" t="str">
        <f>IF(Table14[[#This Row],[Umowa]]="","Poza umową","Z umowy")</f>
        <v>Z umowy</v>
      </c>
      <c r="N635" s="2">
        <f>YEAR(Table14[[#This Row],[Data_Wystawienia]])</f>
        <v>2022</v>
      </c>
      <c r="O635" s="2" t="str">
        <f>TEXT(Table14[[#This Row],[Data_Wystawienia]],"rrrr-mm")</f>
        <v>2022-08</v>
      </c>
      <c r="P635" s="2">
        <v>1</v>
      </c>
    </row>
    <row r="636" spans="1:16" x14ac:dyDescent="0.3">
      <c r="A636" s="2" t="str">
        <f>TRIM(Table1[[#This Row],[Numer_FV]])</f>
        <v>FV/93517/VDb/2022</v>
      </c>
      <c r="B636" s="2" t="str">
        <f>TRIM(Table1[[#This Row],[Numer_PZ]])</f>
        <v>PZ/800634</v>
      </c>
      <c r="C636" s="2" t="str">
        <f>TRIM(Table1[[#This Row],[Dostawca]])</f>
        <v>VitaDistrib</v>
      </c>
      <c r="D636" s="3">
        <v>44799</v>
      </c>
      <c r="E636" s="4" t="s">
        <v>1909</v>
      </c>
      <c r="F636" s="2" t="str">
        <f>TRIM(Table1[[#This Row],[Status]])</f>
        <v>Zaakceptowana</v>
      </c>
      <c r="G636" s="2" t="str">
        <f>TRIM(Table1[[#This Row],[Typ]])</f>
        <v>Faktura VAT</v>
      </c>
      <c r="H636" s="2" t="str">
        <f>TRIM(Table1[[#This Row],[Magazyn]])</f>
        <v>Apteka Szpitalna</v>
      </c>
      <c r="I636" s="2" t="str">
        <f>TRIM(Table1[[#This Row],[Umowa]])</f>
        <v>UM-VIT-01</v>
      </c>
      <c r="J636" s="2" t="b">
        <f>ISTEXT(Table14[[#This Row],[Data_Wystawienia]])</f>
        <v>0</v>
      </c>
      <c r="K636" s="2">
        <f>VALUE(SUBSTITUTE(Table14[[#This Row],[Wartość]],".",","))</f>
        <v>12153.59</v>
      </c>
      <c r="L6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6" s="2" t="str">
        <f>IF(Table14[[#This Row],[Umowa]]="","Poza umową","Z umowy")</f>
        <v>Z umowy</v>
      </c>
      <c r="N636" s="2">
        <f>YEAR(Table14[[#This Row],[Data_Wystawienia]])</f>
        <v>2022</v>
      </c>
      <c r="O636" s="2" t="str">
        <f>TEXT(Table14[[#This Row],[Data_Wystawienia]],"rrrr-mm")</f>
        <v>2022-08</v>
      </c>
      <c r="P636" s="2">
        <v>1</v>
      </c>
    </row>
    <row r="637" spans="1:16" x14ac:dyDescent="0.3">
      <c r="A637" s="2" t="str">
        <f>TRIM(Table1[[#This Row],[Numer_FV]])</f>
        <v>FV/9922HM/22</v>
      </c>
      <c r="B637" s="2" t="str">
        <f>TRIM(Table1[[#This Row],[Numer_PZ]])</f>
        <v>PZ/800635</v>
      </c>
      <c r="C637" s="2" t="str">
        <f>TRIM(Table1[[#This Row],[Dostawca]])</f>
        <v>HurtMedix</v>
      </c>
      <c r="D637" s="3">
        <v>44800</v>
      </c>
      <c r="E637" s="4" t="s">
        <v>1912</v>
      </c>
      <c r="F637" s="2" t="str">
        <f>TRIM(Table1[[#This Row],[Status]])</f>
        <v>Zaakceptowana</v>
      </c>
      <c r="G637" s="2" t="str">
        <f>TRIM(Table1[[#This Row],[Typ]])</f>
        <v>Faktura VAT</v>
      </c>
      <c r="H637" s="2" t="str">
        <f>TRIM(Table1[[#This Row],[Magazyn]])</f>
        <v>Apteka Szpitalna</v>
      </c>
      <c r="I637" s="2" t="str">
        <f>TRIM(Table1[[#This Row],[Umowa]])</f>
        <v>UM-HUR-02</v>
      </c>
      <c r="J637" s="2" t="b">
        <f>ISTEXT(Table14[[#This Row],[Data_Wystawienia]])</f>
        <v>0</v>
      </c>
      <c r="K637" s="2">
        <f>VALUE(SUBSTITUTE(Table14[[#This Row],[Wartość]],".",","))</f>
        <v>18641.95</v>
      </c>
      <c r="L6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7" s="2" t="str">
        <f>IF(Table14[[#This Row],[Umowa]]="","Poza umową","Z umowy")</f>
        <v>Z umowy</v>
      </c>
      <c r="N637" s="2">
        <f>YEAR(Table14[[#This Row],[Data_Wystawienia]])</f>
        <v>2022</v>
      </c>
      <c r="O637" s="2" t="str">
        <f>TEXT(Table14[[#This Row],[Data_Wystawienia]],"rrrr-mm")</f>
        <v>2022-08</v>
      </c>
      <c r="P637" s="2">
        <v>1</v>
      </c>
    </row>
    <row r="638" spans="1:16" x14ac:dyDescent="0.3">
      <c r="A638" s="2" t="str">
        <f>TRIM(Table1[[#This Row],[Numer_FV]])</f>
        <v>FV/CENFA/203739/22</v>
      </c>
      <c r="B638" s="2" t="str">
        <f>TRIM(Table1[[#This Row],[Numer_PZ]])</f>
        <v>PZ/800636</v>
      </c>
      <c r="C638" s="2" t="str">
        <f>TRIM(Table1[[#This Row],[Dostawca]])</f>
        <v>CentrumFarm</v>
      </c>
      <c r="D638" s="3">
        <v>44800</v>
      </c>
      <c r="E638" s="4" t="s">
        <v>1915</v>
      </c>
      <c r="F638" s="2" t="str">
        <f>TRIM(Table1[[#This Row],[Status]])</f>
        <v>Zaakceptowana</v>
      </c>
      <c r="G638" s="2" t="str">
        <f>TRIM(Table1[[#This Row],[Typ]])</f>
        <v>Faktura VAT</v>
      </c>
      <c r="H638" s="2" t="str">
        <f>TRIM(Table1[[#This Row],[Magazyn]])</f>
        <v>Apteka Szpitalna</v>
      </c>
      <c r="I638" s="2" t="str">
        <f>TRIM(Table1[[#This Row],[Umowa]])</f>
        <v/>
      </c>
      <c r="J638" s="2" t="b">
        <f>ISTEXT(Table14[[#This Row],[Data_Wystawienia]])</f>
        <v>0</v>
      </c>
      <c r="K638" s="2">
        <f>VALUE(SUBSTITUTE(Table14[[#This Row],[Wartość]],".",","))</f>
        <v>14478.78</v>
      </c>
      <c r="L6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8" s="2" t="str">
        <f>IF(Table14[[#This Row],[Umowa]]="","Poza umową","Z umowy")</f>
        <v>Poza umową</v>
      </c>
      <c r="N638" s="2">
        <f>YEAR(Table14[[#This Row],[Data_Wystawienia]])</f>
        <v>2022</v>
      </c>
      <c r="O638" s="2" t="str">
        <f>TEXT(Table14[[#This Row],[Data_Wystawienia]],"rrrr-mm")</f>
        <v>2022-08</v>
      </c>
      <c r="P638" s="2">
        <v>1</v>
      </c>
    </row>
    <row r="639" spans="1:16" x14ac:dyDescent="0.3">
      <c r="A639" s="2" t="str">
        <f>TRIM(Table1[[#This Row],[Numer_FV]])</f>
        <v>FV/23/SAL/22</v>
      </c>
      <c r="B639" s="2" t="str">
        <f>TRIM(Table1[[#This Row],[Numer_PZ]])</f>
        <v>PZ/800637</v>
      </c>
      <c r="C639" s="2" t="str">
        <f>TRIM(Table1[[#This Row],[Dostawca]])</f>
        <v>SalusHurt</v>
      </c>
      <c r="D639" s="3">
        <v>44801</v>
      </c>
      <c r="E639" s="4" t="s">
        <v>1917</v>
      </c>
      <c r="F639" s="2" t="str">
        <f>TRIM(Table1[[#This Row],[Status]])</f>
        <v>Zaakceptowana</v>
      </c>
      <c r="G639" s="2" t="str">
        <f>TRIM(Table1[[#This Row],[Typ]])</f>
        <v>Faktura VAT</v>
      </c>
      <c r="H639" s="2" t="str">
        <f>TRIM(Table1[[#This Row],[Magazyn]])</f>
        <v>Apteka Szpitalna</v>
      </c>
      <c r="I639" s="2" t="str">
        <f>TRIM(Table1[[#This Row],[Umowa]])</f>
        <v/>
      </c>
      <c r="J639" s="2" t="b">
        <f>ISTEXT(Table14[[#This Row],[Data_Wystawienia]])</f>
        <v>0</v>
      </c>
      <c r="K639" s="2">
        <f>VALUE(SUBSTITUTE(Table14[[#This Row],[Wartość]],".",","))</f>
        <v>12893.55</v>
      </c>
      <c r="L6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39" s="2" t="str">
        <f>IF(Table14[[#This Row],[Umowa]]="","Poza umową","Z umowy")</f>
        <v>Poza umową</v>
      </c>
      <c r="N639" s="2">
        <f>YEAR(Table14[[#This Row],[Data_Wystawienia]])</f>
        <v>2022</v>
      </c>
      <c r="O639" s="2" t="str">
        <f>TEXT(Table14[[#This Row],[Data_Wystawienia]],"rrrr-mm")</f>
        <v>2022-08</v>
      </c>
      <c r="P639" s="2">
        <v>1</v>
      </c>
    </row>
    <row r="640" spans="1:16" x14ac:dyDescent="0.3">
      <c r="A640" s="2" t="str">
        <f>TRIM(Table1[[#This Row],[Numer_FV]])</f>
        <v>FV/89/SAL/22</v>
      </c>
      <c r="B640" s="2" t="str">
        <f>TRIM(Table1[[#This Row],[Numer_PZ]])</f>
        <v>PZ/800638</v>
      </c>
      <c r="C640" s="2" t="str">
        <f>TRIM(Table1[[#This Row],[Dostawca]])</f>
        <v>SalusHurt</v>
      </c>
      <c r="D640" s="3">
        <v>44801</v>
      </c>
      <c r="E640" s="4" t="s">
        <v>1920</v>
      </c>
      <c r="F640" s="2" t="str">
        <f>TRIM(Table1[[#This Row],[Status]])</f>
        <v>Zaakceptowana</v>
      </c>
      <c r="G640" s="2" t="str">
        <f>TRIM(Table1[[#This Row],[Typ]])</f>
        <v>Faktura VAT</v>
      </c>
      <c r="H640" s="2" t="str">
        <f>TRIM(Table1[[#This Row],[Magazyn]])</f>
        <v>Apteka Szpitalna</v>
      </c>
      <c r="I640" s="2" t="str">
        <f>TRIM(Table1[[#This Row],[Umowa]])</f>
        <v>UM-SAL-02</v>
      </c>
      <c r="J640" s="2" t="b">
        <f>ISTEXT(Table14[[#This Row],[Data_Wystawienia]])</f>
        <v>0</v>
      </c>
      <c r="K640" s="2">
        <f>VALUE(SUBSTITUTE(Table14[[#This Row],[Wartość]],".",","))</f>
        <v>16602.740000000002</v>
      </c>
      <c r="L6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0" s="2" t="str">
        <f>IF(Table14[[#This Row],[Umowa]]="","Poza umową","Z umowy")</f>
        <v>Z umowy</v>
      </c>
      <c r="N640" s="2">
        <f>YEAR(Table14[[#This Row],[Data_Wystawienia]])</f>
        <v>2022</v>
      </c>
      <c r="O640" s="2" t="str">
        <f>TEXT(Table14[[#This Row],[Data_Wystawienia]],"rrrr-mm")</f>
        <v>2022-08</v>
      </c>
      <c r="P640" s="2">
        <v>1</v>
      </c>
    </row>
    <row r="641" spans="1:16" x14ac:dyDescent="0.3">
      <c r="A641" s="2" t="str">
        <f>TRIM(Table1[[#This Row],[Numer_FV]])</f>
        <v>FV/49627/VDb/2022</v>
      </c>
      <c r="B641" s="2" t="str">
        <f>TRIM(Table1[[#This Row],[Numer_PZ]])</f>
        <v>PZ/800639</v>
      </c>
      <c r="C641" s="2" t="str">
        <f>TRIM(Table1[[#This Row],[Dostawca]])</f>
        <v>VitaDistrib</v>
      </c>
      <c r="D641" s="3">
        <v>44801</v>
      </c>
      <c r="E641" s="4" t="s">
        <v>1923</v>
      </c>
      <c r="F641" s="2" t="str">
        <f>TRIM(Table1[[#This Row],[Status]])</f>
        <v>Zaakceptowana</v>
      </c>
      <c r="G641" s="2" t="str">
        <f>TRIM(Table1[[#This Row],[Typ]])</f>
        <v>Faktura VAT</v>
      </c>
      <c r="H641" s="2" t="str">
        <f>TRIM(Table1[[#This Row],[Magazyn]])</f>
        <v>Apteka Szpitalna</v>
      </c>
      <c r="I641" s="2" t="str">
        <f>TRIM(Table1[[#This Row],[Umowa]])</f>
        <v>UM-VIT-01</v>
      </c>
      <c r="J641" s="2" t="b">
        <f>ISTEXT(Table14[[#This Row],[Data_Wystawienia]])</f>
        <v>0</v>
      </c>
      <c r="K641" s="2">
        <f>VALUE(SUBSTITUTE(Table14[[#This Row],[Wartość]],".",","))</f>
        <v>10583.21</v>
      </c>
      <c r="L6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1" s="2" t="str">
        <f>IF(Table14[[#This Row],[Umowa]]="","Poza umową","Z umowy")</f>
        <v>Z umowy</v>
      </c>
      <c r="N641" s="2">
        <f>YEAR(Table14[[#This Row],[Data_Wystawienia]])</f>
        <v>2022</v>
      </c>
      <c r="O641" s="2" t="str">
        <f>TEXT(Table14[[#This Row],[Data_Wystawienia]],"rrrr-mm")</f>
        <v>2022-08</v>
      </c>
      <c r="P641" s="2">
        <v>1</v>
      </c>
    </row>
    <row r="642" spans="1:16" x14ac:dyDescent="0.3">
      <c r="A642" s="2" t="str">
        <f>TRIM(Table1[[#This Row],[Numer_FV]])</f>
        <v>FV/M/8505/P/22</v>
      </c>
      <c r="B642" s="2" t="str">
        <f>TRIM(Table1[[#This Row],[Numer_PZ]])</f>
        <v>PZ/800640</v>
      </c>
      <c r="C642" s="2" t="str">
        <f>TRIM(Table1[[#This Row],[Dostawca]])</f>
        <v>MedicaPharm</v>
      </c>
      <c r="D642" s="3">
        <v>44802</v>
      </c>
      <c r="E642" s="4" t="s">
        <v>1926</v>
      </c>
      <c r="F642" s="2" t="str">
        <f>TRIM(Table1[[#This Row],[Status]])</f>
        <v>Zaakceptowana</v>
      </c>
      <c r="G642" s="2" t="str">
        <f>TRIM(Table1[[#This Row],[Typ]])</f>
        <v>Faktura VAT</v>
      </c>
      <c r="H642" s="2" t="str">
        <f>TRIM(Table1[[#This Row],[Magazyn]])</f>
        <v>Apteka Szpitalna</v>
      </c>
      <c r="I642" s="2" t="str">
        <f>TRIM(Table1[[#This Row],[Umowa]])</f>
        <v>UM-MED-02</v>
      </c>
      <c r="J642" s="2" t="b">
        <f>ISTEXT(Table14[[#This Row],[Data_Wystawienia]])</f>
        <v>0</v>
      </c>
      <c r="K642" s="2">
        <f>VALUE(SUBSTITUTE(Table14[[#This Row],[Wartość]],".",","))</f>
        <v>4950.8500000000004</v>
      </c>
      <c r="L6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2" s="2" t="str">
        <f>IF(Table14[[#This Row],[Umowa]]="","Poza umową","Z umowy")</f>
        <v>Z umowy</v>
      </c>
      <c r="N642" s="2">
        <f>YEAR(Table14[[#This Row],[Data_Wystawienia]])</f>
        <v>2022</v>
      </c>
      <c r="O642" s="2" t="str">
        <f>TEXT(Table14[[#This Row],[Data_Wystawienia]],"rrrr-mm")</f>
        <v>2022-08</v>
      </c>
      <c r="P642" s="2">
        <v>1</v>
      </c>
    </row>
    <row r="643" spans="1:16" x14ac:dyDescent="0.3">
      <c r="A643" s="2" t="str">
        <f>TRIM(Table1[[#This Row],[Numer_FV]])</f>
        <v>FV/M/3667/P/22</v>
      </c>
      <c r="B643" s="2" t="str">
        <f>TRIM(Table1[[#This Row],[Numer_PZ]])</f>
        <v>PZ/800641</v>
      </c>
      <c r="C643" s="2" t="str">
        <f>TRIM(Table1[[#This Row],[Dostawca]])</f>
        <v>MedicaPharm</v>
      </c>
      <c r="D643" s="3">
        <v>44802</v>
      </c>
      <c r="E643" s="4" t="s">
        <v>1929</v>
      </c>
      <c r="F643" s="2" t="str">
        <f>TRIM(Table1[[#This Row],[Status]])</f>
        <v>Zaakceptowana</v>
      </c>
      <c r="G643" s="2" t="str">
        <f>TRIM(Table1[[#This Row],[Typ]])</f>
        <v>Faktura VAT</v>
      </c>
      <c r="H643" s="2" t="str">
        <f>TRIM(Table1[[#This Row],[Magazyn]])</f>
        <v>Apteka Szpitalna</v>
      </c>
      <c r="I643" s="2" t="str">
        <f>TRIM(Table1[[#This Row],[Umowa]])</f>
        <v>UM-MED-01</v>
      </c>
      <c r="J643" s="2" t="b">
        <f>ISTEXT(Table14[[#This Row],[Data_Wystawienia]])</f>
        <v>0</v>
      </c>
      <c r="K643" s="2">
        <f>VALUE(SUBSTITUTE(Table14[[#This Row],[Wartość]],".",","))</f>
        <v>7639.72</v>
      </c>
      <c r="L6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3" s="2" t="str">
        <f>IF(Table14[[#This Row],[Umowa]]="","Poza umową","Z umowy")</f>
        <v>Z umowy</v>
      </c>
      <c r="N643" s="2">
        <f>YEAR(Table14[[#This Row],[Data_Wystawienia]])</f>
        <v>2022</v>
      </c>
      <c r="O643" s="2" t="str">
        <f>TEXT(Table14[[#This Row],[Data_Wystawienia]],"rrrr-mm")</f>
        <v>2022-08</v>
      </c>
      <c r="P643" s="2">
        <v>1</v>
      </c>
    </row>
    <row r="644" spans="1:16" x14ac:dyDescent="0.3">
      <c r="A644" s="2" t="str">
        <f>TRIM(Table1[[#This Row],[Numer_FV]])</f>
        <v>FV/1751HM/22</v>
      </c>
      <c r="B644" s="2" t="str">
        <f>TRIM(Table1[[#This Row],[Numer_PZ]])</f>
        <v>PZ/800642</v>
      </c>
      <c r="C644" s="2" t="str">
        <f>TRIM(Table1[[#This Row],[Dostawca]])</f>
        <v>HurtMedix</v>
      </c>
      <c r="D644" s="3">
        <v>44803</v>
      </c>
      <c r="E644" s="4" t="s">
        <v>1932</v>
      </c>
      <c r="F644" s="2" t="str">
        <f>TRIM(Table1[[#This Row],[Status]])</f>
        <v>Zaakceptowana</v>
      </c>
      <c r="G644" s="2" t="str">
        <f>TRIM(Table1[[#This Row],[Typ]])</f>
        <v>Faktura VAT</v>
      </c>
      <c r="H644" s="2" t="str">
        <f>TRIM(Table1[[#This Row],[Magazyn]])</f>
        <v>Apteka Szpitalna</v>
      </c>
      <c r="I644" s="2" t="str">
        <f>TRIM(Table1[[#This Row],[Umowa]])</f>
        <v>UM-HUR-03</v>
      </c>
      <c r="J644" s="2" t="b">
        <f>ISTEXT(Table14[[#This Row],[Data_Wystawienia]])</f>
        <v>0</v>
      </c>
      <c r="K644" s="2">
        <f>VALUE(SUBSTITUTE(Table14[[#This Row],[Wartość]],".",","))</f>
        <v>19812.09</v>
      </c>
      <c r="L6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4" s="2" t="str">
        <f>IF(Table14[[#This Row],[Umowa]]="","Poza umową","Z umowy")</f>
        <v>Z umowy</v>
      </c>
      <c r="N644" s="2">
        <f>YEAR(Table14[[#This Row],[Data_Wystawienia]])</f>
        <v>2022</v>
      </c>
      <c r="O644" s="2" t="str">
        <f>TEXT(Table14[[#This Row],[Data_Wystawienia]],"rrrr-mm")</f>
        <v>2022-08</v>
      </c>
      <c r="P644" s="2">
        <v>1</v>
      </c>
    </row>
    <row r="645" spans="1:16" x14ac:dyDescent="0.3">
      <c r="A645" s="2" t="str">
        <f>TRIM(Table1[[#This Row],[Numer_FV]])</f>
        <v>FV/98/SAL/22</v>
      </c>
      <c r="B645" s="2" t="str">
        <f>TRIM(Table1[[#This Row],[Numer_PZ]])</f>
        <v>PZ/800643</v>
      </c>
      <c r="C645" s="2" t="str">
        <f>TRIM(Table1[[#This Row],[Dostawca]])</f>
        <v>SalusHurt</v>
      </c>
      <c r="D645" s="3">
        <v>44803</v>
      </c>
      <c r="E645" s="4" t="s">
        <v>1934</v>
      </c>
      <c r="F645" s="2" t="str">
        <f>TRIM(Table1[[#This Row],[Status]])</f>
        <v>Zaakceptowana</v>
      </c>
      <c r="G645" s="2" t="str">
        <f>TRIM(Table1[[#This Row],[Typ]])</f>
        <v>Faktura VAT</v>
      </c>
      <c r="H645" s="2" t="str">
        <f>TRIM(Table1[[#This Row],[Magazyn]])</f>
        <v>Apteka Szpitalna</v>
      </c>
      <c r="I645" s="2" t="str">
        <f>TRIM(Table1[[#This Row],[Umowa]])</f>
        <v/>
      </c>
      <c r="J645" s="2" t="b">
        <f>ISTEXT(Table14[[#This Row],[Data_Wystawienia]])</f>
        <v>0</v>
      </c>
      <c r="K645" s="2">
        <f>VALUE(SUBSTITUTE(Table14[[#This Row],[Wartość]],".",","))</f>
        <v>12013.82</v>
      </c>
      <c r="L6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5" s="2" t="str">
        <f>IF(Table14[[#This Row],[Umowa]]="","Poza umową","Z umowy")</f>
        <v>Poza umową</v>
      </c>
      <c r="N645" s="2">
        <f>YEAR(Table14[[#This Row],[Data_Wystawienia]])</f>
        <v>2022</v>
      </c>
      <c r="O645" s="2" t="str">
        <f>TEXT(Table14[[#This Row],[Data_Wystawienia]],"rrrr-mm")</f>
        <v>2022-08</v>
      </c>
      <c r="P645" s="2">
        <v>1</v>
      </c>
    </row>
    <row r="646" spans="1:16" x14ac:dyDescent="0.3">
      <c r="A646" s="2" t="str">
        <f>TRIM(Table1[[#This Row],[Numer_FV]])</f>
        <v>FV/7338HM/22</v>
      </c>
      <c r="B646" s="2" t="str">
        <f>TRIM(Table1[[#This Row],[Numer_PZ]])</f>
        <v>PZ/800644</v>
      </c>
      <c r="C646" s="2" t="str">
        <f>TRIM(Table1[[#This Row],[Dostawca]])</f>
        <v>HurtMedix</v>
      </c>
      <c r="D646" s="3">
        <v>44805</v>
      </c>
      <c r="E646" s="4" t="s">
        <v>1937</v>
      </c>
      <c r="F646" s="2" t="str">
        <f>TRIM(Table1[[#This Row],[Status]])</f>
        <v>Zaakceptowana</v>
      </c>
      <c r="G646" s="2" t="str">
        <f>TRIM(Table1[[#This Row],[Typ]])</f>
        <v>Faktura VAT</v>
      </c>
      <c r="H646" s="2" t="str">
        <f>TRIM(Table1[[#This Row],[Magazyn]])</f>
        <v>Apteka Szpitalna</v>
      </c>
      <c r="I646" s="2" t="str">
        <f>TRIM(Table1[[#This Row],[Umowa]])</f>
        <v>UM-HUR-02</v>
      </c>
      <c r="J646" s="2" t="b">
        <f>ISTEXT(Table14[[#This Row],[Data_Wystawienia]])</f>
        <v>0</v>
      </c>
      <c r="K646" s="2">
        <f>VALUE(SUBSTITUTE(Table14[[#This Row],[Wartość]],".",","))</f>
        <v>11613.05</v>
      </c>
      <c r="L6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6" s="2" t="str">
        <f>IF(Table14[[#This Row],[Umowa]]="","Poza umową","Z umowy")</f>
        <v>Z umowy</v>
      </c>
      <c r="N646" s="2">
        <f>YEAR(Table14[[#This Row],[Data_Wystawienia]])</f>
        <v>2022</v>
      </c>
      <c r="O646" s="2" t="str">
        <f>TEXT(Table14[[#This Row],[Data_Wystawienia]],"rrrr-mm")</f>
        <v>2022-09</v>
      </c>
      <c r="P646" s="2">
        <v>1</v>
      </c>
    </row>
    <row r="647" spans="1:16" x14ac:dyDescent="0.3">
      <c r="A647" s="2" t="str">
        <f>TRIM(Table1[[#This Row],[Numer_FV]])</f>
        <v>FV/7767HM/22</v>
      </c>
      <c r="B647" s="2" t="str">
        <f>TRIM(Table1[[#This Row],[Numer_PZ]])</f>
        <v>PZ/800645</v>
      </c>
      <c r="C647" s="2" t="str">
        <f>TRIM(Table1[[#This Row],[Dostawca]])</f>
        <v>HurtMedix</v>
      </c>
      <c r="D647" s="3">
        <v>44805</v>
      </c>
      <c r="E647" s="4" t="s">
        <v>1940</v>
      </c>
      <c r="F647" s="2" t="str">
        <f>TRIM(Table1[[#This Row],[Status]])</f>
        <v>Zaakceptowana</v>
      </c>
      <c r="G647" s="2" t="str">
        <f>TRIM(Table1[[#This Row],[Typ]])</f>
        <v>Faktura VAT</v>
      </c>
      <c r="H647" s="2" t="str">
        <f>TRIM(Table1[[#This Row],[Magazyn]])</f>
        <v>Apteka Szpitalna</v>
      </c>
      <c r="I647" s="2" t="str">
        <f>TRIM(Table1[[#This Row],[Umowa]])</f>
        <v>UM-HUR-01</v>
      </c>
      <c r="J647" s="2" t="b">
        <f>ISTEXT(Table14[[#This Row],[Data_Wystawienia]])</f>
        <v>0</v>
      </c>
      <c r="K647" s="2">
        <f>VALUE(SUBSTITUTE(Table14[[#This Row],[Wartość]],".",","))</f>
        <v>10489.85</v>
      </c>
      <c r="L6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7" s="2" t="str">
        <f>IF(Table14[[#This Row],[Umowa]]="","Poza umową","Z umowy")</f>
        <v>Z umowy</v>
      </c>
      <c r="N647" s="2">
        <f>YEAR(Table14[[#This Row],[Data_Wystawienia]])</f>
        <v>2022</v>
      </c>
      <c r="O647" s="2" t="str">
        <f>TEXT(Table14[[#This Row],[Data_Wystawienia]],"rrrr-mm")</f>
        <v>2022-09</v>
      </c>
      <c r="P647" s="2">
        <v>1</v>
      </c>
    </row>
    <row r="648" spans="1:16" x14ac:dyDescent="0.3">
      <c r="A648" s="2" t="str">
        <f>TRIM(Table1[[#This Row],[Numer_FV]])</f>
        <v>FV/8970HM/22</v>
      </c>
      <c r="B648" s="2" t="str">
        <f>TRIM(Table1[[#This Row],[Numer_PZ]])</f>
        <v>PZ/800646</v>
      </c>
      <c r="C648" s="2" t="str">
        <f>TRIM(Table1[[#This Row],[Dostawca]])</f>
        <v>HurtMedix</v>
      </c>
      <c r="D648" s="3">
        <v>44806</v>
      </c>
      <c r="E648" s="4" t="s">
        <v>1943</v>
      </c>
      <c r="F648" s="2" t="str">
        <f>TRIM(Table1[[#This Row],[Status]])</f>
        <v>Zaakceptowana</v>
      </c>
      <c r="G648" s="2" t="str">
        <f>TRIM(Table1[[#This Row],[Typ]])</f>
        <v>Faktura VAT</v>
      </c>
      <c r="H648" s="2" t="str">
        <f>TRIM(Table1[[#This Row],[Magazyn]])</f>
        <v>Apteka Szpitalna</v>
      </c>
      <c r="I648" s="2" t="str">
        <f>TRIM(Table1[[#This Row],[Umowa]])</f>
        <v/>
      </c>
      <c r="J648" s="2" t="b">
        <f>ISTEXT(Table14[[#This Row],[Data_Wystawienia]])</f>
        <v>0</v>
      </c>
      <c r="K648" s="2">
        <f>VALUE(SUBSTITUTE(Table14[[#This Row],[Wartość]],".",","))</f>
        <v>14506.5</v>
      </c>
      <c r="L6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8" s="2" t="str">
        <f>IF(Table14[[#This Row],[Umowa]]="","Poza umową","Z umowy")</f>
        <v>Poza umową</v>
      </c>
      <c r="N648" s="2">
        <f>YEAR(Table14[[#This Row],[Data_Wystawienia]])</f>
        <v>2022</v>
      </c>
      <c r="O648" s="2" t="str">
        <f>TEXT(Table14[[#This Row],[Data_Wystawienia]],"rrrr-mm")</f>
        <v>2022-09</v>
      </c>
      <c r="P648" s="2">
        <v>1</v>
      </c>
    </row>
    <row r="649" spans="1:16" x14ac:dyDescent="0.3">
      <c r="A649" s="2" t="str">
        <f>TRIM(Table1[[#This Row],[Numer_FV]])</f>
        <v>FV/6912/NOVA/22</v>
      </c>
      <c r="B649" s="2" t="str">
        <f>TRIM(Table1[[#This Row],[Numer_PZ]])</f>
        <v>PZ/800647</v>
      </c>
      <c r="C649" s="2" t="str">
        <f>TRIM(Table1[[#This Row],[Dostawca]])</f>
        <v>NovaLek</v>
      </c>
      <c r="D649" s="3">
        <v>44806</v>
      </c>
      <c r="E649" s="4" t="s">
        <v>1946</v>
      </c>
      <c r="F649" s="2" t="str">
        <f>TRIM(Table1[[#This Row],[Status]])</f>
        <v>Zaakceptowana</v>
      </c>
      <c r="G649" s="2" t="str">
        <f>TRIM(Table1[[#This Row],[Typ]])</f>
        <v>Faktura VAT</v>
      </c>
      <c r="H649" s="2" t="str">
        <f>TRIM(Table1[[#This Row],[Magazyn]])</f>
        <v>Apteka Szpitalna</v>
      </c>
      <c r="I649" s="2" t="str">
        <f>TRIM(Table1[[#This Row],[Umowa]])</f>
        <v>UM-NOV-01</v>
      </c>
      <c r="J649" s="2" t="b">
        <f>ISTEXT(Table14[[#This Row],[Data_Wystawienia]])</f>
        <v>0</v>
      </c>
      <c r="K649" s="2">
        <f>VALUE(SUBSTITUTE(Table14[[#This Row],[Wartość]],".",","))</f>
        <v>11883.13</v>
      </c>
      <c r="L6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49" s="2" t="str">
        <f>IF(Table14[[#This Row],[Umowa]]="","Poza umową","Z umowy")</f>
        <v>Z umowy</v>
      </c>
      <c r="N649" s="2">
        <f>YEAR(Table14[[#This Row],[Data_Wystawienia]])</f>
        <v>2022</v>
      </c>
      <c r="O649" s="2" t="str">
        <f>TEXT(Table14[[#This Row],[Data_Wystawienia]],"rrrr-mm")</f>
        <v>2022-09</v>
      </c>
      <c r="P649" s="2">
        <v>1</v>
      </c>
    </row>
    <row r="650" spans="1:16" x14ac:dyDescent="0.3">
      <c r="A650" s="2" t="str">
        <f>TRIM(Table1[[#This Row],[Numer_FV]])</f>
        <v>FV/9401HM/22</v>
      </c>
      <c r="B650" s="2" t="str">
        <f>TRIM(Table1[[#This Row],[Numer_PZ]])</f>
        <v>PZ/800648</v>
      </c>
      <c r="C650" s="2" t="str">
        <f>TRIM(Table1[[#This Row],[Dostawca]])</f>
        <v>HurtMedix</v>
      </c>
      <c r="D650" s="3">
        <v>44807</v>
      </c>
      <c r="E650" s="4" t="s">
        <v>1949</v>
      </c>
      <c r="F650" s="2" t="str">
        <f>TRIM(Table1[[#This Row],[Status]])</f>
        <v>Zaakceptowana</v>
      </c>
      <c r="G650" s="2" t="str">
        <f>TRIM(Table1[[#This Row],[Typ]])</f>
        <v>Faktura VAT</v>
      </c>
      <c r="H650" s="2" t="str">
        <f>TRIM(Table1[[#This Row],[Magazyn]])</f>
        <v>Apteka Szpitalna</v>
      </c>
      <c r="I650" s="2" t="str">
        <f>TRIM(Table1[[#This Row],[Umowa]])</f>
        <v>UM-HUR-03</v>
      </c>
      <c r="J650" s="2" t="b">
        <f>ISTEXT(Table14[[#This Row],[Data_Wystawienia]])</f>
        <v>0</v>
      </c>
      <c r="K650" s="2">
        <f>VALUE(SUBSTITUTE(Table14[[#This Row],[Wartość]],".",","))</f>
        <v>16760.439999999999</v>
      </c>
      <c r="L6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0" s="2" t="str">
        <f>IF(Table14[[#This Row],[Umowa]]="","Poza umową","Z umowy")</f>
        <v>Z umowy</v>
      </c>
      <c r="N650" s="2">
        <f>YEAR(Table14[[#This Row],[Data_Wystawienia]])</f>
        <v>2022</v>
      </c>
      <c r="O650" s="2" t="str">
        <f>TEXT(Table14[[#This Row],[Data_Wystawienia]],"rrrr-mm")</f>
        <v>2022-09</v>
      </c>
      <c r="P650" s="2">
        <v>1</v>
      </c>
    </row>
    <row r="651" spans="1:16" x14ac:dyDescent="0.3">
      <c r="A651" s="2" t="str">
        <f>TRIM(Table1[[#This Row],[Numer_FV]])</f>
        <v>FV/82610/VDb/2022</v>
      </c>
      <c r="B651" s="2" t="str">
        <f>TRIM(Table1[[#This Row],[Numer_PZ]])</f>
        <v>PZ/800649</v>
      </c>
      <c r="C651" s="2" t="str">
        <f>TRIM(Table1[[#This Row],[Dostawca]])</f>
        <v>VitaDistrib</v>
      </c>
      <c r="D651" s="3">
        <v>44807</v>
      </c>
      <c r="E651" s="4" t="s">
        <v>1952</v>
      </c>
      <c r="F651" s="2" t="str">
        <f>TRIM(Table1[[#This Row],[Status]])</f>
        <v>Zaakceptowana</v>
      </c>
      <c r="G651" s="2" t="str">
        <f>TRIM(Table1[[#This Row],[Typ]])</f>
        <v>Faktura VAT</v>
      </c>
      <c r="H651" s="2" t="str">
        <f>TRIM(Table1[[#This Row],[Magazyn]])</f>
        <v>Apteka Szpitalna</v>
      </c>
      <c r="I651" s="2" t="str">
        <f>TRIM(Table1[[#This Row],[Umowa]])</f>
        <v>UM-VIT-01</v>
      </c>
      <c r="J651" s="2" t="b">
        <f>ISTEXT(Table14[[#This Row],[Data_Wystawienia]])</f>
        <v>0</v>
      </c>
      <c r="K651" s="2">
        <f>VALUE(SUBSTITUTE(Table14[[#This Row],[Wartość]],".",","))</f>
        <v>11702.25</v>
      </c>
      <c r="L6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1" s="2" t="str">
        <f>IF(Table14[[#This Row],[Umowa]]="","Poza umową","Z umowy")</f>
        <v>Z umowy</v>
      </c>
      <c r="N651" s="2">
        <f>YEAR(Table14[[#This Row],[Data_Wystawienia]])</f>
        <v>2022</v>
      </c>
      <c r="O651" s="2" t="str">
        <f>TEXT(Table14[[#This Row],[Data_Wystawienia]],"rrrr-mm")</f>
        <v>2022-09</v>
      </c>
      <c r="P651" s="2">
        <v>1</v>
      </c>
    </row>
    <row r="652" spans="1:16" x14ac:dyDescent="0.3">
      <c r="A652" s="2" t="str">
        <f>TRIM(Table1[[#This Row],[Numer_FV]])</f>
        <v>FV/CENFA/767292/22</v>
      </c>
      <c r="B652" s="2" t="str">
        <f>TRIM(Table1[[#This Row],[Numer_PZ]])</f>
        <v>PZ/800650</v>
      </c>
      <c r="C652" s="2" t="str">
        <f>TRIM(Table1[[#This Row],[Dostawca]])</f>
        <v>CentrumFarm</v>
      </c>
      <c r="D652" s="3">
        <v>44808</v>
      </c>
      <c r="E652" s="4" t="s">
        <v>1955</v>
      </c>
      <c r="F652" s="2" t="str">
        <f>TRIM(Table1[[#This Row],[Status]])</f>
        <v>Zaakceptowana</v>
      </c>
      <c r="G652" s="2" t="str">
        <f>TRIM(Table1[[#This Row],[Typ]])</f>
        <v>Faktura VAT</v>
      </c>
      <c r="H652" s="2" t="str">
        <f>TRIM(Table1[[#This Row],[Magazyn]])</f>
        <v>Apteka Szpitalna</v>
      </c>
      <c r="I652" s="2" t="str">
        <f>TRIM(Table1[[#This Row],[Umowa]])</f>
        <v>UM-CEN-02</v>
      </c>
      <c r="J652" s="2" t="b">
        <f>ISTEXT(Table14[[#This Row],[Data_Wystawienia]])</f>
        <v>0</v>
      </c>
      <c r="K652" s="2">
        <f>VALUE(SUBSTITUTE(Table14[[#This Row],[Wartość]],".",","))</f>
        <v>17844.55</v>
      </c>
      <c r="L6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2" s="2" t="str">
        <f>IF(Table14[[#This Row],[Umowa]]="","Poza umową","Z umowy")</f>
        <v>Z umowy</v>
      </c>
      <c r="N652" s="2">
        <f>YEAR(Table14[[#This Row],[Data_Wystawienia]])</f>
        <v>2022</v>
      </c>
      <c r="O652" s="2" t="str">
        <f>TEXT(Table14[[#This Row],[Data_Wystawienia]],"rrrr-mm")</f>
        <v>2022-09</v>
      </c>
      <c r="P652" s="2">
        <v>1</v>
      </c>
    </row>
    <row r="653" spans="1:16" x14ac:dyDescent="0.3">
      <c r="A653" s="2" t="str">
        <f>TRIM(Table1[[#This Row],[Numer_FV]])</f>
        <v>FV/12/PP/8605/22</v>
      </c>
      <c r="B653" s="2" t="str">
        <f>TRIM(Table1[[#This Row],[Numer_PZ]])</f>
        <v>PZ/800651</v>
      </c>
      <c r="C653" s="2" t="str">
        <f>TRIM(Table1[[#This Row],[Dostawca]])</f>
        <v>PharmaPlus</v>
      </c>
      <c r="D653" s="3">
        <v>44808</v>
      </c>
      <c r="E653" s="4" t="s">
        <v>1958</v>
      </c>
      <c r="F653" s="2" t="str">
        <f>TRIM(Table1[[#This Row],[Status]])</f>
        <v>Zaakceptowana</v>
      </c>
      <c r="G653" s="2" t="str">
        <f>TRIM(Table1[[#This Row],[Typ]])</f>
        <v>Faktura VAT</v>
      </c>
      <c r="H653" s="2" t="str">
        <f>TRIM(Table1[[#This Row],[Magazyn]])</f>
        <v>Apteka Szpitalna</v>
      </c>
      <c r="I653" s="2" t="str">
        <f>TRIM(Table1[[#This Row],[Umowa]])</f>
        <v>UM-PHA-01</v>
      </c>
      <c r="J653" s="2" t="b">
        <f>ISTEXT(Table14[[#This Row],[Data_Wystawienia]])</f>
        <v>0</v>
      </c>
      <c r="K653" s="2">
        <f>VALUE(SUBSTITUTE(Table14[[#This Row],[Wartość]],".",","))</f>
        <v>12873.29</v>
      </c>
      <c r="L6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3" s="2" t="str">
        <f>IF(Table14[[#This Row],[Umowa]]="","Poza umową","Z umowy")</f>
        <v>Z umowy</v>
      </c>
      <c r="N653" s="2">
        <f>YEAR(Table14[[#This Row],[Data_Wystawienia]])</f>
        <v>2022</v>
      </c>
      <c r="O653" s="2" t="str">
        <f>TEXT(Table14[[#This Row],[Data_Wystawienia]],"rrrr-mm")</f>
        <v>2022-09</v>
      </c>
      <c r="P653" s="2">
        <v>1</v>
      </c>
    </row>
    <row r="654" spans="1:16" x14ac:dyDescent="0.3">
      <c r="A654" s="2" t="str">
        <f>TRIM(Table1[[#This Row],[Numer_FV]])</f>
        <v>FV/M/5450/P/22</v>
      </c>
      <c r="B654" s="2" t="str">
        <f>TRIM(Table1[[#This Row],[Numer_PZ]])</f>
        <v>PZ/800652</v>
      </c>
      <c r="C654" s="2" t="str">
        <f>TRIM(Table1[[#This Row],[Dostawca]])</f>
        <v>MedicaPharm</v>
      </c>
      <c r="D654" s="3">
        <v>44808</v>
      </c>
      <c r="E654" s="4" t="s">
        <v>1961</v>
      </c>
      <c r="F654" s="2" t="str">
        <f>TRIM(Table1[[#This Row],[Status]])</f>
        <v>Zaakceptowana</v>
      </c>
      <c r="G654" s="2" t="str">
        <f>TRIM(Table1[[#This Row],[Typ]])</f>
        <v>Faktura VAT</v>
      </c>
      <c r="H654" s="2" t="str">
        <f>TRIM(Table1[[#This Row],[Magazyn]])</f>
        <v>Apteka Szpitalna</v>
      </c>
      <c r="I654" s="2" t="str">
        <f>TRIM(Table1[[#This Row],[Umowa]])</f>
        <v/>
      </c>
      <c r="J654" s="2" t="b">
        <f>ISTEXT(Table14[[#This Row],[Data_Wystawienia]])</f>
        <v>0</v>
      </c>
      <c r="K654" s="2">
        <f>VALUE(SUBSTITUTE(Table14[[#This Row],[Wartość]],".",","))</f>
        <v>21872.93</v>
      </c>
      <c r="L6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4" s="2" t="str">
        <f>IF(Table14[[#This Row],[Umowa]]="","Poza umową","Z umowy")</f>
        <v>Poza umową</v>
      </c>
      <c r="N654" s="2">
        <f>YEAR(Table14[[#This Row],[Data_Wystawienia]])</f>
        <v>2022</v>
      </c>
      <c r="O654" s="2" t="str">
        <f>TEXT(Table14[[#This Row],[Data_Wystawienia]],"rrrr-mm")</f>
        <v>2022-09</v>
      </c>
      <c r="P654" s="2">
        <v>1</v>
      </c>
    </row>
    <row r="655" spans="1:16" x14ac:dyDescent="0.3">
      <c r="A655" s="2" t="str">
        <f>TRIM(Table1[[#This Row],[Numer_FV]])</f>
        <v>FV/POL/79278/2022</v>
      </c>
      <c r="B655" s="2" t="str">
        <f>TRIM(Table1[[#This Row],[Numer_PZ]])</f>
        <v>PZ/800653</v>
      </c>
      <c r="C655" s="2" t="str">
        <f>TRIM(Table1[[#This Row],[Dostawca]])</f>
        <v>Polmedica</v>
      </c>
      <c r="D655" s="3">
        <v>44808</v>
      </c>
      <c r="E655" s="4" t="s">
        <v>1964</v>
      </c>
      <c r="F655" s="2" t="str">
        <f>TRIM(Table1[[#This Row],[Status]])</f>
        <v>Zaakceptowana</v>
      </c>
      <c r="G655" s="2" t="str">
        <f>TRIM(Table1[[#This Row],[Typ]])</f>
        <v>Faktura VAT</v>
      </c>
      <c r="H655" s="2" t="str">
        <f>TRIM(Table1[[#This Row],[Magazyn]])</f>
        <v>Apteka Szpitalna</v>
      </c>
      <c r="I655" s="2" t="str">
        <f>TRIM(Table1[[#This Row],[Umowa]])</f>
        <v>UM-POL-02</v>
      </c>
      <c r="J655" s="2" t="b">
        <f>ISTEXT(Table14[[#This Row],[Data_Wystawienia]])</f>
        <v>0</v>
      </c>
      <c r="K655" s="2">
        <f>VALUE(SUBSTITUTE(Table14[[#This Row],[Wartość]],".",","))</f>
        <v>13445.02</v>
      </c>
      <c r="L6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5" s="2" t="str">
        <f>IF(Table14[[#This Row],[Umowa]]="","Poza umową","Z umowy")</f>
        <v>Z umowy</v>
      </c>
      <c r="N655" s="2">
        <f>YEAR(Table14[[#This Row],[Data_Wystawienia]])</f>
        <v>2022</v>
      </c>
      <c r="O655" s="2" t="str">
        <f>TEXT(Table14[[#This Row],[Data_Wystawienia]],"rrrr-mm")</f>
        <v>2022-09</v>
      </c>
      <c r="P655" s="2">
        <v>1</v>
      </c>
    </row>
    <row r="656" spans="1:16" x14ac:dyDescent="0.3">
      <c r="A656" s="2" t="str">
        <f>TRIM(Table1[[#This Row],[Numer_FV]])</f>
        <v>FV/35/PP/8816/22</v>
      </c>
      <c r="B656" s="2" t="str">
        <f>TRIM(Table1[[#This Row],[Numer_PZ]])</f>
        <v>PZ/800654</v>
      </c>
      <c r="C656" s="2" t="str">
        <f>TRIM(Table1[[#This Row],[Dostawca]])</f>
        <v>PharmaPlus</v>
      </c>
      <c r="D656" s="3">
        <v>44809</v>
      </c>
      <c r="E656" s="4" t="s">
        <v>1967</v>
      </c>
      <c r="F656" s="2" t="str">
        <f>TRIM(Table1[[#This Row],[Status]])</f>
        <v>Zaakceptowana</v>
      </c>
      <c r="G656" s="2" t="str">
        <f>TRIM(Table1[[#This Row],[Typ]])</f>
        <v>Faktura VAT</v>
      </c>
      <c r="H656" s="2" t="str">
        <f>TRIM(Table1[[#This Row],[Magazyn]])</f>
        <v>Apteka Szpitalna</v>
      </c>
      <c r="I656" s="2" t="str">
        <f>TRIM(Table1[[#This Row],[Umowa]])</f>
        <v/>
      </c>
      <c r="J656" s="2" t="b">
        <f>ISTEXT(Table14[[#This Row],[Data_Wystawienia]])</f>
        <v>0</v>
      </c>
      <c r="K656" s="2">
        <f>VALUE(SUBSTITUTE(Table14[[#This Row],[Wartość]],".",","))</f>
        <v>26794.28</v>
      </c>
      <c r="L6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6" s="2" t="str">
        <f>IF(Table14[[#This Row],[Umowa]]="","Poza umową","Z umowy")</f>
        <v>Poza umową</v>
      </c>
      <c r="N656" s="2">
        <f>YEAR(Table14[[#This Row],[Data_Wystawienia]])</f>
        <v>2022</v>
      </c>
      <c r="O656" s="2" t="str">
        <f>TEXT(Table14[[#This Row],[Data_Wystawienia]],"rrrr-mm")</f>
        <v>2022-09</v>
      </c>
      <c r="P656" s="2">
        <v>1</v>
      </c>
    </row>
    <row r="657" spans="1:16" x14ac:dyDescent="0.3">
      <c r="A657" s="2" t="str">
        <f>TRIM(Table1[[#This Row],[Numer_FV]])</f>
        <v>FV/POL/81910/2022</v>
      </c>
      <c r="B657" s="2" t="str">
        <f>TRIM(Table1[[#This Row],[Numer_PZ]])</f>
        <v>PZ/800655</v>
      </c>
      <c r="C657" s="2" t="str">
        <f>TRIM(Table1[[#This Row],[Dostawca]])</f>
        <v>Polmedica</v>
      </c>
      <c r="D657" s="3">
        <v>44809</v>
      </c>
      <c r="E657" s="4" t="s">
        <v>1970</v>
      </c>
      <c r="F657" s="2" t="str">
        <f>TRIM(Table1[[#This Row],[Status]])</f>
        <v>Zaakceptowana</v>
      </c>
      <c r="G657" s="2" t="str">
        <f>TRIM(Table1[[#This Row],[Typ]])</f>
        <v>Faktura VAT</v>
      </c>
      <c r="H657" s="2" t="str">
        <f>TRIM(Table1[[#This Row],[Magazyn]])</f>
        <v>Apteka Szpitalna</v>
      </c>
      <c r="I657" s="2" t="str">
        <f>TRIM(Table1[[#This Row],[Umowa]])</f>
        <v>UM-POL-02</v>
      </c>
      <c r="J657" s="2" t="b">
        <f>ISTEXT(Table14[[#This Row],[Data_Wystawienia]])</f>
        <v>0</v>
      </c>
      <c r="K657" s="2">
        <f>VALUE(SUBSTITUTE(Table14[[#This Row],[Wartość]],".",","))</f>
        <v>8934.1299999999992</v>
      </c>
      <c r="L6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7" s="2" t="str">
        <f>IF(Table14[[#This Row],[Umowa]]="","Poza umową","Z umowy")</f>
        <v>Z umowy</v>
      </c>
      <c r="N657" s="2">
        <f>YEAR(Table14[[#This Row],[Data_Wystawienia]])</f>
        <v>2022</v>
      </c>
      <c r="O657" s="2" t="str">
        <f>TEXT(Table14[[#This Row],[Data_Wystawienia]],"rrrr-mm")</f>
        <v>2022-09</v>
      </c>
      <c r="P657" s="2">
        <v>1</v>
      </c>
    </row>
    <row r="658" spans="1:16" x14ac:dyDescent="0.3">
      <c r="A658" s="2" t="str">
        <f>TRIM(Table1[[#This Row],[Numer_FV]])</f>
        <v>FV/1719/NOVA/22</v>
      </c>
      <c r="B658" s="2" t="str">
        <f>TRIM(Table1[[#This Row],[Numer_PZ]])</f>
        <v>PZ/800656</v>
      </c>
      <c r="C658" s="2" t="str">
        <f>TRIM(Table1[[#This Row],[Dostawca]])</f>
        <v>NovaLek</v>
      </c>
      <c r="D658" s="3">
        <v>44809</v>
      </c>
      <c r="E658" s="4" t="s">
        <v>1973</v>
      </c>
      <c r="F658" s="2" t="str">
        <f>TRIM(Table1[[#This Row],[Status]])</f>
        <v>Zaakceptowana</v>
      </c>
      <c r="G658" s="2" t="str">
        <f>TRIM(Table1[[#This Row],[Typ]])</f>
        <v>Faktura VAT</v>
      </c>
      <c r="H658" s="2" t="str">
        <f>TRIM(Table1[[#This Row],[Magazyn]])</f>
        <v>Apteka Szpitalna</v>
      </c>
      <c r="I658" s="2" t="str">
        <f>TRIM(Table1[[#This Row],[Umowa]])</f>
        <v>UM-NOV-01</v>
      </c>
      <c r="J658" s="2" t="b">
        <f>ISTEXT(Table14[[#This Row],[Data_Wystawienia]])</f>
        <v>0</v>
      </c>
      <c r="K658" s="2">
        <f>VALUE(SUBSTITUTE(Table14[[#This Row],[Wartość]],".",","))</f>
        <v>3555.5</v>
      </c>
      <c r="L6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8" s="2" t="str">
        <f>IF(Table14[[#This Row],[Umowa]]="","Poza umową","Z umowy")</f>
        <v>Z umowy</v>
      </c>
      <c r="N658" s="2">
        <f>YEAR(Table14[[#This Row],[Data_Wystawienia]])</f>
        <v>2022</v>
      </c>
      <c r="O658" s="2" t="str">
        <f>TEXT(Table14[[#This Row],[Data_Wystawienia]],"rrrr-mm")</f>
        <v>2022-09</v>
      </c>
      <c r="P658" s="2">
        <v>1</v>
      </c>
    </row>
    <row r="659" spans="1:16" x14ac:dyDescent="0.3">
      <c r="A659" s="2" t="str">
        <f>TRIM(Table1[[#This Row],[Numer_FV]])</f>
        <v>FV/31/PP/9201/22</v>
      </c>
      <c r="B659" s="2" t="str">
        <f>TRIM(Table1[[#This Row],[Numer_PZ]])</f>
        <v>PZ/800657</v>
      </c>
      <c r="C659" s="2" t="str">
        <f>TRIM(Table1[[#This Row],[Dostawca]])</f>
        <v>PharmaPlus</v>
      </c>
      <c r="D659" s="3">
        <v>44809</v>
      </c>
      <c r="E659" s="4" t="s">
        <v>1976</v>
      </c>
      <c r="F659" s="2" t="str">
        <f>TRIM(Table1[[#This Row],[Status]])</f>
        <v>Zaakceptowana</v>
      </c>
      <c r="G659" s="2" t="str">
        <f>TRIM(Table1[[#This Row],[Typ]])</f>
        <v>Faktura VAT</v>
      </c>
      <c r="H659" s="2" t="str">
        <f>TRIM(Table1[[#This Row],[Magazyn]])</f>
        <v>Apteka Szpitalna</v>
      </c>
      <c r="I659" s="2" t="str">
        <f>TRIM(Table1[[#This Row],[Umowa]])</f>
        <v>UM-PHA-02</v>
      </c>
      <c r="J659" s="2" t="b">
        <f>ISTEXT(Table14[[#This Row],[Data_Wystawienia]])</f>
        <v>0</v>
      </c>
      <c r="K659" s="2">
        <f>VALUE(SUBSTITUTE(Table14[[#This Row],[Wartość]],".",","))</f>
        <v>17692.5</v>
      </c>
      <c r="L6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59" s="2" t="str">
        <f>IF(Table14[[#This Row],[Umowa]]="","Poza umową","Z umowy")</f>
        <v>Z umowy</v>
      </c>
      <c r="N659" s="2">
        <f>YEAR(Table14[[#This Row],[Data_Wystawienia]])</f>
        <v>2022</v>
      </c>
      <c r="O659" s="2" t="str">
        <f>TEXT(Table14[[#This Row],[Data_Wystawienia]],"rrrr-mm")</f>
        <v>2022-09</v>
      </c>
      <c r="P659" s="2">
        <v>1</v>
      </c>
    </row>
    <row r="660" spans="1:16" x14ac:dyDescent="0.3">
      <c r="A660" s="2" t="str">
        <f>TRIM(Table1[[#This Row],[Numer_FV]])</f>
        <v>FV/11/PP/3925/22</v>
      </c>
      <c r="B660" s="2" t="str">
        <f>TRIM(Table1[[#This Row],[Numer_PZ]])</f>
        <v>PZ/800658</v>
      </c>
      <c r="C660" s="2" t="str">
        <f>TRIM(Table1[[#This Row],[Dostawca]])</f>
        <v>PharmaPlus</v>
      </c>
      <c r="D660" s="3">
        <v>44809</v>
      </c>
      <c r="E660" s="4" t="s">
        <v>1979</v>
      </c>
      <c r="F660" s="2" t="str">
        <f>TRIM(Table1[[#This Row],[Status]])</f>
        <v>Zaakceptowana</v>
      </c>
      <c r="G660" s="2" t="str">
        <f>TRIM(Table1[[#This Row],[Typ]])</f>
        <v>Faktura VAT</v>
      </c>
      <c r="H660" s="2" t="str">
        <f>TRIM(Table1[[#This Row],[Magazyn]])</f>
        <v>Apteka Szpitalna</v>
      </c>
      <c r="I660" s="2" t="str">
        <f>TRIM(Table1[[#This Row],[Umowa]])</f>
        <v>UM-PHA-01</v>
      </c>
      <c r="J660" s="2" t="b">
        <f>ISTEXT(Table14[[#This Row],[Data_Wystawienia]])</f>
        <v>0</v>
      </c>
      <c r="K660" s="2">
        <f>VALUE(SUBSTITUTE(Table14[[#This Row],[Wartość]],".",","))</f>
        <v>14461.1</v>
      </c>
      <c r="L6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0" s="2" t="str">
        <f>IF(Table14[[#This Row],[Umowa]]="","Poza umową","Z umowy")</f>
        <v>Z umowy</v>
      </c>
      <c r="N660" s="2">
        <f>YEAR(Table14[[#This Row],[Data_Wystawienia]])</f>
        <v>2022</v>
      </c>
      <c r="O660" s="2" t="str">
        <f>TEXT(Table14[[#This Row],[Data_Wystawienia]],"rrrr-mm")</f>
        <v>2022-09</v>
      </c>
      <c r="P660" s="2">
        <v>1</v>
      </c>
    </row>
    <row r="661" spans="1:16" x14ac:dyDescent="0.3">
      <c r="A661" s="2" t="str">
        <f>TRIM(Table1[[#This Row],[Numer_FV]])</f>
        <v>FV/5463HM/22</v>
      </c>
      <c r="B661" s="2" t="str">
        <f>TRIM(Table1[[#This Row],[Numer_PZ]])</f>
        <v>PZ/800659</v>
      </c>
      <c r="C661" s="2" t="str">
        <f>TRIM(Table1[[#This Row],[Dostawca]])</f>
        <v>HurtMedix</v>
      </c>
      <c r="D661" s="3">
        <v>44809</v>
      </c>
      <c r="E661" s="4" t="s">
        <v>1982</v>
      </c>
      <c r="F661" s="2" t="str">
        <f>TRIM(Table1[[#This Row],[Status]])</f>
        <v>Zaakceptowana</v>
      </c>
      <c r="G661" s="2" t="str">
        <f>TRIM(Table1[[#This Row],[Typ]])</f>
        <v>Faktura VAT</v>
      </c>
      <c r="H661" s="2" t="str">
        <f>TRIM(Table1[[#This Row],[Magazyn]])</f>
        <v>Apteka Szpitalna</v>
      </c>
      <c r="I661" s="2" t="str">
        <f>TRIM(Table1[[#This Row],[Umowa]])</f>
        <v>UM-HUR-01</v>
      </c>
      <c r="J661" s="2" t="b">
        <f>ISTEXT(Table14[[#This Row],[Data_Wystawienia]])</f>
        <v>0</v>
      </c>
      <c r="K661" s="2">
        <f>VALUE(SUBSTITUTE(Table14[[#This Row],[Wartość]],".",","))</f>
        <v>26674.720000000001</v>
      </c>
      <c r="L6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1" s="2" t="str">
        <f>IF(Table14[[#This Row],[Umowa]]="","Poza umową","Z umowy")</f>
        <v>Z umowy</v>
      </c>
      <c r="N661" s="2">
        <f>YEAR(Table14[[#This Row],[Data_Wystawienia]])</f>
        <v>2022</v>
      </c>
      <c r="O661" s="2" t="str">
        <f>TEXT(Table14[[#This Row],[Data_Wystawienia]],"rrrr-mm")</f>
        <v>2022-09</v>
      </c>
      <c r="P661" s="2">
        <v>1</v>
      </c>
    </row>
    <row r="662" spans="1:16" x14ac:dyDescent="0.3">
      <c r="A662" s="2" t="str">
        <f>TRIM(Table1[[#This Row],[Numer_FV]])</f>
        <v>FV/M/4667/P/22</v>
      </c>
      <c r="B662" s="2" t="str">
        <f>TRIM(Table1[[#This Row],[Numer_PZ]])</f>
        <v>PZ/800660</v>
      </c>
      <c r="C662" s="2" t="str">
        <f>TRIM(Table1[[#This Row],[Dostawca]])</f>
        <v>MedicaPharm</v>
      </c>
      <c r="D662" s="3">
        <v>44810</v>
      </c>
      <c r="E662" s="4" t="s">
        <v>1985</v>
      </c>
      <c r="F662" s="2" t="str">
        <f>TRIM(Table1[[#This Row],[Status]])</f>
        <v>Zaakceptowana</v>
      </c>
      <c r="G662" s="2" t="str">
        <f>TRIM(Table1[[#This Row],[Typ]])</f>
        <v>Faktura VAT</v>
      </c>
      <c r="H662" s="2" t="str">
        <f>TRIM(Table1[[#This Row],[Magazyn]])</f>
        <v>Apteka Szpitalna</v>
      </c>
      <c r="I662" s="2" t="str">
        <f>TRIM(Table1[[#This Row],[Umowa]])</f>
        <v>UM-MED-01</v>
      </c>
      <c r="J662" s="2" t="b">
        <f>ISTEXT(Table14[[#This Row],[Data_Wystawienia]])</f>
        <v>0</v>
      </c>
      <c r="K662" s="2">
        <f>VALUE(SUBSTITUTE(Table14[[#This Row],[Wartość]],".",","))</f>
        <v>16078.84</v>
      </c>
      <c r="L6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2" s="2" t="str">
        <f>IF(Table14[[#This Row],[Umowa]]="","Poza umową","Z umowy")</f>
        <v>Z umowy</v>
      </c>
      <c r="N662" s="2">
        <f>YEAR(Table14[[#This Row],[Data_Wystawienia]])</f>
        <v>2022</v>
      </c>
      <c r="O662" s="2" t="str">
        <f>TEXT(Table14[[#This Row],[Data_Wystawienia]],"rrrr-mm")</f>
        <v>2022-09</v>
      </c>
      <c r="P662" s="2">
        <v>1</v>
      </c>
    </row>
    <row r="663" spans="1:16" x14ac:dyDescent="0.3">
      <c r="A663" s="2" t="str">
        <f>TRIM(Table1[[#This Row],[Numer_FV]])</f>
        <v>FV/4748HM/22</v>
      </c>
      <c r="B663" s="2" t="str">
        <f>TRIM(Table1[[#This Row],[Numer_PZ]])</f>
        <v>PZ/800661</v>
      </c>
      <c r="C663" s="2" t="str">
        <f>TRIM(Table1[[#This Row],[Dostawca]])</f>
        <v>HurtMedix</v>
      </c>
      <c r="D663" s="3">
        <v>44810</v>
      </c>
      <c r="E663" s="4" t="s">
        <v>1988</v>
      </c>
      <c r="F663" s="2" t="str">
        <f>TRIM(Table1[[#This Row],[Status]])</f>
        <v>Zaakceptowana</v>
      </c>
      <c r="G663" s="2" t="str">
        <f>TRIM(Table1[[#This Row],[Typ]])</f>
        <v>Faktura VAT</v>
      </c>
      <c r="H663" s="2" t="str">
        <f>TRIM(Table1[[#This Row],[Magazyn]])</f>
        <v>Apteka Szpitalna</v>
      </c>
      <c r="I663" s="2" t="str">
        <f>TRIM(Table1[[#This Row],[Umowa]])</f>
        <v>UM-HUR-03</v>
      </c>
      <c r="J663" s="2" t="b">
        <f>ISTEXT(Table14[[#This Row],[Data_Wystawienia]])</f>
        <v>0</v>
      </c>
      <c r="K663" s="2">
        <f>VALUE(SUBSTITUTE(Table14[[#This Row],[Wartość]],".",","))</f>
        <v>10475.17</v>
      </c>
      <c r="L6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3" s="2" t="str">
        <f>IF(Table14[[#This Row],[Umowa]]="","Poza umową","Z umowy")</f>
        <v>Z umowy</v>
      </c>
      <c r="N663" s="2">
        <f>YEAR(Table14[[#This Row],[Data_Wystawienia]])</f>
        <v>2022</v>
      </c>
      <c r="O663" s="2" t="str">
        <f>TEXT(Table14[[#This Row],[Data_Wystawienia]],"rrrr-mm")</f>
        <v>2022-09</v>
      </c>
      <c r="P663" s="2">
        <v>1</v>
      </c>
    </row>
    <row r="664" spans="1:16" x14ac:dyDescent="0.3">
      <c r="A664" s="2" t="str">
        <f>TRIM(Table1[[#This Row],[Numer_FV]])</f>
        <v>FV/9918HM/22</v>
      </c>
      <c r="B664" s="2" t="str">
        <f>TRIM(Table1[[#This Row],[Numer_PZ]])</f>
        <v>PZ/800662</v>
      </c>
      <c r="C664" s="2" t="str">
        <f>TRIM(Table1[[#This Row],[Dostawca]])</f>
        <v>HurtMedix</v>
      </c>
      <c r="D664" s="3">
        <v>44811</v>
      </c>
      <c r="E664" s="4" t="s">
        <v>1991</v>
      </c>
      <c r="F664" s="2" t="str">
        <f>TRIM(Table1[[#This Row],[Status]])</f>
        <v>Zaakceptowana</v>
      </c>
      <c r="G664" s="2" t="str">
        <f>TRIM(Table1[[#This Row],[Typ]])</f>
        <v>Faktura VAT</v>
      </c>
      <c r="H664" s="2" t="str">
        <f>TRIM(Table1[[#This Row],[Magazyn]])</f>
        <v>Apteka Szpitalna</v>
      </c>
      <c r="I664" s="2" t="str">
        <f>TRIM(Table1[[#This Row],[Umowa]])</f>
        <v>UM-HUR-03</v>
      </c>
      <c r="J664" s="2" t="b">
        <f>ISTEXT(Table14[[#This Row],[Data_Wystawienia]])</f>
        <v>0</v>
      </c>
      <c r="K664" s="2">
        <f>VALUE(SUBSTITUTE(Table14[[#This Row],[Wartość]],".",","))</f>
        <v>16026.94</v>
      </c>
      <c r="L6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4" s="2" t="str">
        <f>IF(Table14[[#This Row],[Umowa]]="","Poza umową","Z umowy")</f>
        <v>Z umowy</v>
      </c>
      <c r="N664" s="2">
        <f>YEAR(Table14[[#This Row],[Data_Wystawienia]])</f>
        <v>2022</v>
      </c>
      <c r="O664" s="2" t="str">
        <f>TEXT(Table14[[#This Row],[Data_Wystawienia]],"rrrr-mm")</f>
        <v>2022-09</v>
      </c>
      <c r="P664" s="2">
        <v>1</v>
      </c>
    </row>
    <row r="665" spans="1:16" x14ac:dyDescent="0.3">
      <c r="A665" s="2" t="str">
        <f>TRIM(Table1[[#This Row],[Numer_FV]])</f>
        <v>FV/CENFA/182253/22</v>
      </c>
      <c r="B665" s="2" t="str">
        <f>TRIM(Table1[[#This Row],[Numer_PZ]])</f>
        <v>PZ/800663</v>
      </c>
      <c r="C665" s="2" t="str">
        <f>TRIM(Table1[[#This Row],[Dostawca]])</f>
        <v>CentrumFarm</v>
      </c>
      <c r="D665" s="3">
        <v>44811</v>
      </c>
      <c r="E665" s="4" t="s">
        <v>1994</v>
      </c>
      <c r="F665" s="2" t="str">
        <f>TRIM(Table1[[#This Row],[Status]])</f>
        <v>Zaakceptowana</v>
      </c>
      <c r="G665" s="2" t="str">
        <f>TRIM(Table1[[#This Row],[Typ]])</f>
        <v>Faktura VAT</v>
      </c>
      <c r="H665" s="2" t="str">
        <f>TRIM(Table1[[#This Row],[Magazyn]])</f>
        <v>Apteka Szpitalna</v>
      </c>
      <c r="I665" s="2" t="str">
        <f>TRIM(Table1[[#This Row],[Umowa]])</f>
        <v>UM-CEN-01</v>
      </c>
      <c r="J665" s="2" t="b">
        <f>ISTEXT(Table14[[#This Row],[Data_Wystawienia]])</f>
        <v>0</v>
      </c>
      <c r="K665" s="2">
        <f>VALUE(SUBSTITUTE(Table14[[#This Row],[Wartość]],".",","))</f>
        <v>23792.22</v>
      </c>
      <c r="L6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5" s="2" t="str">
        <f>IF(Table14[[#This Row],[Umowa]]="","Poza umową","Z umowy")</f>
        <v>Z umowy</v>
      </c>
      <c r="N665" s="2">
        <f>YEAR(Table14[[#This Row],[Data_Wystawienia]])</f>
        <v>2022</v>
      </c>
      <c r="O665" s="2" t="str">
        <f>TEXT(Table14[[#This Row],[Data_Wystawienia]],"rrrr-mm")</f>
        <v>2022-09</v>
      </c>
      <c r="P665" s="2">
        <v>1</v>
      </c>
    </row>
    <row r="666" spans="1:16" x14ac:dyDescent="0.3">
      <c r="A666" s="2" t="str">
        <f>TRIM(Table1[[#This Row],[Numer_FV]])</f>
        <v>FV/CENFA/996921/22</v>
      </c>
      <c r="B666" s="2" t="str">
        <f>TRIM(Table1[[#This Row],[Numer_PZ]])</f>
        <v>PZ/800664</v>
      </c>
      <c r="C666" s="2" t="str">
        <f>TRIM(Table1[[#This Row],[Dostawca]])</f>
        <v>CentrumFarm</v>
      </c>
      <c r="D666" s="3">
        <v>44811</v>
      </c>
      <c r="E666" s="4" t="s">
        <v>1997</v>
      </c>
      <c r="F666" s="2" t="str">
        <f>TRIM(Table1[[#This Row],[Status]])</f>
        <v>Zaakceptowana</v>
      </c>
      <c r="G666" s="2" t="str">
        <f>TRIM(Table1[[#This Row],[Typ]])</f>
        <v>Faktura VAT</v>
      </c>
      <c r="H666" s="2" t="str">
        <f>TRIM(Table1[[#This Row],[Magazyn]])</f>
        <v>Apteka Szpitalna</v>
      </c>
      <c r="I666" s="2" t="str">
        <f>TRIM(Table1[[#This Row],[Umowa]])</f>
        <v>UM-CEN-02</v>
      </c>
      <c r="J666" s="2" t="b">
        <f>ISTEXT(Table14[[#This Row],[Data_Wystawienia]])</f>
        <v>0</v>
      </c>
      <c r="K666" s="2">
        <f>VALUE(SUBSTITUTE(Table14[[#This Row],[Wartość]],".",","))</f>
        <v>13965</v>
      </c>
      <c r="L6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6" s="2" t="str">
        <f>IF(Table14[[#This Row],[Umowa]]="","Poza umową","Z umowy")</f>
        <v>Z umowy</v>
      </c>
      <c r="N666" s="2">
        <f>YEAR(Table14[[#This Row],[Data_Wystawienia]])</f>
        <v>2022</v>
      </c>
      <c r="O666" s="2" t="str">
        <f>TEXT(Table14[[#This Row],[Data_Wystawienia]],"rrrr-mm")</f>
        <v>2022-09</v>
      </c>
      <c r="P666" s="2">
        <v>1</v>
      </c>
    </row>
    <row r="667" spans="1:16" x14ac:dyDescent="0.3">
      <c r="A667" s="2" t="str">
        <f>TRIM(Table1[[#This Row],[Numer_FV]])</f>
        <v>FV/62907/VDb/2022</v>
      </c>
      <c r="B667" s="2" t="str">
        <f>TRIM(Table1[[#This Row],[Numer_PZ]])</f>
        <v>PZ/800665</v>
      </c>
      <c r="C667" s="2" t="str">
        <f>TRIM(Table1[[#This Row],[Dostawca]])</f>
        <v>VitaDistrib</v>
      </c>
      <c r="D667" s="3">
        <v>44812</v>
      </c>
      <c r="E667" s="4" t="s">
        <v>2000</v>
      </c>
      <c r="F667" s="2" t="str">
        <f>TRIM(Table1[[#This Row],[Status]])</f>
        <v>Zaakceptowana</v>
      </c>
      <c r="G667" s="2" t="str">
        <f>TRIM(Table1[[#This Row],[Typ]])</f>
        <v>Faktura VAT</v>
      </c>
      <c r="H667" s="2" t="str">
        <f>TRIM(Table1[[#This Row],[Magazyn]])</f>
        <v>Apteka Szpitalna</v>
      </c>
      <c r="I667" s="2" t="str">
        <f>TRIM(Table1[[#This Row],[Umowa]])</f>
        <v>UM-VIT-01</v>
      </c>
      <c r="J667" s="2" t="b">
        <f>ISTEXT(Table14[[#This Row],[Data_Wystawienia]])</f>
        <v>0</v>
      </c>
      <c r="K667" s="2">
        <f>VALUE(SUBSTITUTE(Table14[[#This Row],[Wartość]],".",","))</f>
        <v>15835.47</v>
      </c>
      <c r="L6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7" s="2" t="str">
        <f>IF(Table14[[#This Row],[Umowa]]="","Poza umową","Z umowy")</f>
        <v>Z umowy</v>
      </c>
      <c r="N667" s="2">
        <f>YEAR(Table14[[#This Row],[Data_Wystawienia]])</f>
        <v>2022</v>
      </c>
      <c r="O667" s="2" t="str">
        <f>TEXT(Table14[[#This Row],[Data_Wystawienia]],"rrrr-mm")</f>
        <v>2022-09</v>
      </c>
      <c r="P667" s="2">
        <v>1</v>
      </c>
    </row>
    <row r="668" spans="1:16" x14ac:dyDescent="0.3">
      <c r="A668" s="2" t="str">
        <f>TRIM(Table1[[#This Row],[Numer_FV]])</f>
        <v>FV/3447/NOVA/22</v>
      </c>
      <c r="B668" s="2" t="str">
        <f>TRIM(Table1[[#This Row],[Numer_PZ]])</f>
        <v>PZ/800666</v>
      </c>
      <c r="C668" s="2" t="str">
        <f>TRIM(Table1[[#This Row],[Dostawca]])</f>
        <v>NovaLek</v>
      </c>
      <c r="D668" s="3">
        <v>44812</v>
      </c>
      <c r="E668" s="4" t="s">
        <v>2003</v>
      </c>
      <c r="F668" s="2" t="str">
        <f>TRIM(Table1[[#This Row],[Status]])</f>
        <v>Zaakceptowana</v>
      </c>
      <c r="G668" s="2" t="str">
        <f>TRIM(Table1[[#This Row],[Typ]])</f>
        <v>Faktura VAT</v>
      </c>
      <c r="H668" s="2" t="str">
        <f>TRIM(Table1[[#This Row],[Magazyn]])</f>
        <v>Apteka Szpitalna</v>
      </c>
      <c r="I668" s="2" t="str">
        <f>TRIM(Table1[[#This Row],[Umowa]])</f>
        <v>UM-NOV-01</v>
      </c>
      <c r="J668" s="2" t="b">
        <f>ISTEXT(Table14[[#This Row],[Data_Wystawienia]])</f>
        <v>0</v>
      </c>
      <c r="K668" s="2">
        <f>VALUE(SUBSTITUTE(Table14[[#This Row],[Wartość]],".",","))</f>
        <v>12569.09</v>
      </c>
      <c r="L6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8" s="2" t="str">
        <f>IF(Table14[[#This Row],[Umowa]]="","Poza umową","Z umowy")</f>
        <v>Z umowy</v>
      </c>
      <c r="N668" s="2">
        <f>YEAR(Table14[[#This Row],[Data_Wystawienia]])</f>
        <v>2022</v>
      </c>
      <c r="O668" s="2" t="str">
        <f>TEXT(Table14[[#This Row],[Data_Wystawienia]],"rrrr-mm")</f>
        <v>2022-09</v>
      </c>
      <c r="P668" s="2">
        <v>1</v>
      </c>
    </row>
    <row r="669" spans="1:16" x14ac:dyDescent="0.3">
      <c r="A669" s="2" t="str">
        <f>TRIM(Table1[[#This Row],[Numer_FV]])</f>
        <v>FV/59/PP/5782/22</v>
      </c>
      <c r="B669" s="2" t="str">
        <f>TRIM(Table1[[#This Row],[Numer_PZ]])</f>
        <v>PZ/800667</v>
      </c>
      <c r="C669" s="2" t="str">
        <f>TRIM(Table1[[#This Row],[Dostawca]])</f>
        <v>PharmaPlus</v>
      </c>
      <c r="D669" s="3">
        <v>44812</v>
      </c>
      <c r="E669" s="4" t="s">
        <v>2006</v>
      </c>
      <c r="F669" s="2" t="str">
        <f>TRIM(Table1[[#This Row],[Status]])</f>
        <v>Zaakceptowana</v>
      </c>
      <c r="G669" s="2" t="str">
        <f>TRIM(Table1[[#This Row],[Typ]])</f>
        <v>Faktura VAT</v>
      </c>
      <c r="H669" s="2" t="str">
        <f>TRIM(Table1[[#This Row],[Magazyn]])</f>
        <v>Apteka Szpitalna</v>
      </c>
      <c r="I669" s="2" t="str">
        <f>TRIM(Table1[[#This Row],[Umowa]])</f>
        <v/>
      </c>
      <c r="J669" s="2" t="b">
        <f>ISTEXT(Table14[[#This Row],[Data_Wystawienia]])</f>
        <v>0</v>
      </c>
      <c r="K669" s="2">
        <f>VALUE(SUBSTITUTE(Table14[[#This Row],[Wartość]],".",","))</f>
        <v>15579.43</v>
      </c>
      <c r="L6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69" s="2" t="str">
        <f>IF(Table14[[#This Row],[Umowa]]="","Poza umową","Z umowy")</f>
        <v>Poza umową</v>
      </c>
      <c r="N669" s="2">
        <f>YEAR(Table14[[#This Row],[Data_Wystawienia]])</f>
        <v>2022</v>
      </c>
      <c r="O669" s="2" t="str">
        <f>TEXT(Table14[[#This Row],[Data_Wystawienia]],"rrrr-mm")</f>
        <v>2022-09</v>
      </c>
      <c r="P669" s="2">
        <v>1</v>
      </c>
    </row>
    <row r="670" spans="1:16" x14ac:dyDescent="0.3">
      <c r="A670" s="2" t="str">
        <f>TRIM(Table1[[#This Row],[Numer_FV]])</f>
        <v>FV/8764/NOVA/22</v>
      </c>
      <c r="B670" s="2" t="str">
        <f>TRIM(Table1[[#This Row],[Numer_PZ]])</f>
        <v>PZ/800668</v>
      </c>
      <c r="C670" s="2" t="str">
        <f>TRIM(Table1[[#This Row],[Dostawca]])</f>
        <v>NovaLek</v>
      </c>
      <c r="D670" s="3">
        <v>44812</v>
      </c>
      <c r="E670" s="4" t="s">
        <v>2009</v>
      </c>
      <c r="F670" s="2" t="str">
        <f>TRIM(Table1[[#This Row],[Status]])</f>
        <v>Zaakceptowana</v>
      </c>
      <c r="G670" s="2" t="str">
        <f>TRIM(Table1[[#This Row],[Typ]])</f>
        <v>Faktura VAT</v>
      </c>
      <c r="H670" s="2" t="str">
        <f>TRIM(Table1[[#This Row],[Magazyn]])</f>
        <v>Apteka Szpitalna</v>
      </c>
      <c r="I670" s="2" t="str">
        <f>TRIM(Table1[[#This Row],[Umowa]])</f>
        <v>UM-NOV-02</v>
      </c>
      <c r="J670" s="2" t="b">
        <f>ISTEXT(Table14[[#This Row],[Data_Wystawienia]])</f>
        <v>0</v>
      </c>
      <c r="K670" s="2">
        <f>VALUE(SUBSTITUTE(Table14[[#This Row],[Wartość]],".",","))</f>
        <v>16337.74</v>
      </c>
      <c r="L6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0" s="2" t="str">
        <f>IF(Table14[[#This Row],[Umowa]]="","Poza umową","Z umowy")</f>
        <v>Z umowy</v>
      </c>
      <c r="N670" s="2">
        <f>YEAR(Table14[[#This Row],[Data_Wystawienia]])</f>
        <v>2022</v>
      </c>
      <c r="O670" s="2" t="str">
        <f>TEXT(Table14[[#This Row],[Data_Wystawienia]],"rrrr-mm")</f>
        <v>2022-09</v>
      </c>
      <c r="P670" s="2">
        <v>1</v>
      </c>
    </row>
    <row r="671" spans="1:16" x14ac:dyDescent="0.3">
      <c r="A671" s="2" t="str">
        <f>TRIM(Table1[[#This Row],[Numer_FV]])</f>
        <v>FV/30/SAL/22</v>
      </c>
      <c r="B671" s="2" t="str">
        <f>TRIM(Table1[[#This Row],[Numer_PZ]])</f>
        <v>PZ/800669</v>
      </c>
      <c r="C671" s="2" t="str">
        <f>TRIM(Table1[[#This Row],[Dostawca]])</f>
        <v>SalusHurt</v>
      </c>
      <c r="D671" s="3">
        <v>44813</v>
      </c>
      <c r="E671" s="4" t="s">
        <v>2011</v>
      </c>
      <c r="F671" s="2" t="str">
        <f>TRIM(Table1[[#This Row],[Status]])</f>
        <v>Zaakceptowana</v>
      </c>
      <c r="G671" s="2" t="str">
        <f>TRIM(Table1[[#This Row],[Typ]])</f>
        <v>Faktura VAT</v>
      </c>
      <c r="H671" s="2" t="str">
        <f>TRIM(Table1[[#This Row],[Magazyn]])</f>
        <v>Apteka Szpitalna</v>
      </c>
      <c r="I671" s="2" t="str">
        <f>TRIM(Table1[[#This Row],[Umowa]])</f>
        <v/>
      </c>
      <c r="J671" s="2" t="b">
        <f>ISTEXT(Table14[[#This Row],[Data_Wystawienia]])</f>
        <v>0</v>
      </c>
      <c r="K671" s="2">
        <f>VALUE(SUBSTITUTE(Table14[[#This Row],[Wartość]],".",","))</f>
        <v>19384.53</v>
      </c>
      <c r="L6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1" s="2" t="str">
        <f>IF(Table14[[#This Row],[Umowa]]="","Poza umową","Z umowy")</f>
        <v>Poza umową</v>
      </c>
      <c r="N671" s="2">
        <f>YEAR(Table14[[#This Row],[Data_Wystawienia]])</f>
        <v>2022</v>
      </c>
      <c r="O671" s="2" t="str">
        <f>TEXT(Table14[[#This Row],[Data_Wystawienia]],"rrrr-mm")</f>
        <v>2022-09</v>
      </c>
      <c r="P671" s="2">
        <v>1</v>
      </c>
    </row>
    <row r="672" spans="1:16" x14ac:dyDescent="0.3">
      <c r="A672" s="2" t="str">
        <f>TRIM(Table1[[#This Row],[Numer_FV]])</f>
        <v>FV/7776HM/22</v>
      </c>
      <c r="B672" s="2" t="str">
        <f>TRIM(Table1[[#This Row],[Numer_PZ]])</f>
        <v>PZ/800670</v>
      </c>
      <c r="C672" s="2" t="str">
        <f>TRIM(Table1[[#This Row],[Dostawca]])</f>
        <v>HurtMedix</v>
      </c>
      <c r="D672" s="3">
        <v>44813</v>
      </c>
      <c r="E672" s="4" t="s">
        <v>2014</v>
      </c>
      <c r="F672" s="2" t="str">
        <f>TRIM(Table1[[#This Row],[Status]])</f>
        <v>Zaakceptowana</v>
      </c>
      <c r="G672" s="2" t="str">
        <f>TRIM(Table1[[#This Row],[Typ]])</f>
        <v>Faktura VAT</v>
      </c>
      <c r="H672" s="2" t="str">
        <f>TRIM(Table1[[#This Row],[Magazyn]])</f>
        <v>Apteka Szpitalna</v>
      </c>
      <c r="I672" s="2" t="str">
        <f>TRIM(Table1[[#This Row],[Umowa]])</f>
        <v>UM-HUR-03</v>
      </c>
      <c r="J672" s="2" t="b">
        <f>ISTEXT(Table14[[#This Row],[Data_Wystawienia]])</f>
        <v>0</v>
      </c>
      <c r="K672" s="2">
        <f>VALUE(SUBSTITUTE(Table14[[#This Row],[Wartość]],".",","))</f>
        <v>12053.94</v>
      </c>
      <c r="L6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2" s="2" t="str">
        <f>IF(Table14[[#This Row],[Umowa]]="","Poza umową","Z umowy")</f>
        <v>Z umowy</v>
      </c>
      <c r="N672" s="2">
        <f>YEAR(Table14[[#This Row],[Data_Wystawienia]])</f>
        <v>2022</v>
      </c>
      <c r="O672" s="2" t="str">
        <f>TEXT(Table14[[#This Row],[Data_Wystawienia]],"rrrr-mm")</f>
        <v>2022-09</v>
      </c>
      <c r="P672" s="2">
        <v>1</v>
      </c>
    </row>
    <row r="673" spans="1:16" x14ac:dyDescent="0.3">
      <c r="A673" s="2" t="str">
        <f>TRIM(Table1[[#This Row],[Numer_FV]])</f>
        <v>FV/M/9490/P/22</v>
      </c>
      <c r="B673" s="2" t="str">
        <f>TRIM(Table1[[#This Row],[Numer_PZ]])</f>
        <v>PZ/800671</v>
      </c>
      <c r="C673" s="2" t="str">
        <f>TRIM(Table1[[#This Row],[Dostawca]])</f>
        <v>MedicaPharm</v>
      </c>
      <c r="D673" s="3">
        <v>44813</v>
      </c>
      <c r="E673" s="4" t="s">
        <v>2017</v>
      </c>
      <c r="F673" s="2" t="str">
        <f>TRIM(Table1[[#This Row],[Status]])</f>
        <v>Zaakceptowana</v>
      </c>
      <c r="G673" s="2" t="str">
        <f>TRIM(Table1[[#This Row],[Typ]])</f>
        <v>Faktura VAT</v>
      </c>
      <c r="H673" s="2" t="str">
        <f>TRIM(Table1[[#This Row],[Magazyn]])</f>
        <v>Apteka Szpitalna</v>
      </c>
      <c r="I673" s="2" t="str">
        <f>TRIM(Table1[[#This Row],[Umowa]])</f>
        <v>UM-MED-02</v>
      </c>
      <c r="J673" s="2" t="b">
        <f>ISTEXT(Table14[[#This Row],[Data_Wystawienia]])</f>
        <v>0</v>
      </c>
      <c r="K673" s="2">
        <f>VALUE(SUBSTITUTE(Table14[[#This Row],[Wartość]],".",","))</f>
        <v>15706.12</v>
      </c>
      <c r="L6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3" s="2" t="str">
        <f>IF(Table14[[#This Row],[Umowa]]="","Poza umową","Z umowy")</f>
        <v>Z umowy</v>
      </c>
      <c r="N673" s="2">
        <f>YEAR(Table14[[#This Row],[Data_Wystawienia]])</f>
        <v>2022</v>
      </c>
      <c r="O673" s="2" t="str">
        <f>TEXT(Table14[[#This Row],[Data_Wystawienia]],"rrrr-mm")</f>
        <v>2022-09</v>
      </c>
      <c r="P673" s="2">
        <v>1</v>
      </c>
    </row>
    <row r="674" spans="1:16" x14ac:dyDescent="0.3">
      <c r="A674" s="2" t="str">
        <f>TRIM(Table1[[#This Row],[Numer_FV]])</f>
        <v>FV/CENFA/522175/22</v>
      </c>
      <c r="B674" s="2" t="str">
        <f>TRIM(Table1[[#This Row],[Numer_PZ]])</f>
        <v>PZ/800672</v>
      </c>
      <c r="C674" s="2" t="str">
        <f>TRIM(Table1[[#This Row],[Dostawca]])</f>
        <v>CentrumFarm</v>
      </c>
      <c r="D674" s="3">
        <v>44813</v>
      </c>
      <c r="E674" s="4" t="s">
        <v>2020</v>
      </c>
      <c r="F674" s="2" t="str">
        <f>TRIM(Table1[[#This Row],[Status]])</f>
        <v>Zaakceptowana</v>
      </c>
      <c r="G674" s="2" t="str">
        <f>TRIM(Table1[[#This Row],[Typ]])</f>
        <v>Faktura VAT</v>
      </c>
      <c r="H674" s="2" t="str">
        <f>TRIM(Table1[[#This Row],[Magazyn]])</f>
        <v>Apteka Szpitalna</v>
      </c>
      <c r="I674" s="2" t="str">
        <f>TRIM(Table1[[#This Row],[Umowa]])</f>
        <v>UM-CEN-02</v>
      </c>
      <c r="J674" s="2" t="b">
        <f>ISTEXT(Table14[[#This Row],[Data_Wystawienia]])</f>
        <v>0</v>
      </c>
      <c r="K674" s="2">
        <f>VALUE(SUBSTITUTE(Table14[[#This Row],[Wartość]],".",","))</f>
        <v>10519.42</v>
      </c>
      <c r="L6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4" s="2" t="str">
        <f>IF(Table14[[#This Row],[Umowa]]="","Poza umową","Z umowy")</f>
        <v>Z umowy</v>
      </c>
      <c r="N674" s="2">
        <f>YEAR(Table14[[#This Row],[Data_Wystawienia]])</f>
        <v>2022</v>
      </c>
      <c r="O674" s="2" t="str">
        <f>TEXT(Table14[[#This Row],[Data_Wystawienia]],"rrrr-mm")</f>
        <v>2022-09</v>
      </c>
      <c r="P674" s="2">
        <v>1</v>
      </c>
    </row>
    <row r="675" spans="1:16" x14ac:dyDescent="0.3">
      <c r="A675" s="2" t="str">
        <f>TRIM(Table1[[#This Row],[Numer_FV]])</f>
        <v>FV/6777/NOVA/22</v>
      </c>
      <c r="B675" s="2" t="str">
        <f>TRIM(Table1[[#This Row],[Numer_PZ]])</f>
        <v>PZ/800673</v>
      </c>
      <c r="C675" s="2" t="str">
        <f>TRIM(Table1[[#This Row],[Dostawca]])</f>
        <v>NovaLek</v>
      </c>
      <c r="D675" s="3">
        <v>44814</v>
      </c>
      <c r="E675" s="4" t="s">
        <v>2023</v>
      </c>
      <c r="F675" s="2" t="str">
        <f>TRIM(Table1[[#This Row],[Status]])</f>
        <v>Zaakceptowana</v>
      </c>
      <c r="G675" s="2" t="str">
        <f>TRIM(Table1[[#This Row],[Typ]])</f>
        <v>Faktura VAT</v>
      </c>
      <c r="H675" s="2" t="str">
        <f>TRIM(Table1[[#This Row],[Magazyn]])</f>
        <v>Apteka Szpitalna</v>
      </c>
      <c r="I675" s="2" t="str">
        <f>TRIM(Table1[[#This Row],[Umowa]])</f>
        <v>UM-NOV-03</v>
      </c>
      <c r="J675" s="2" t="b">
        <f>ISTEXT(Table14[[#This Row],[Data_Wystawienia]])</f>
        <v>0</v>
      </c>
      <c r="K675" s="2">
        <f>VALUE(SUBSTITUTE(Table14[[#This Row],[Wartość]],".",","))</f>
        <v>19599.79</v>
      </c>
      <c r="L6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5" s="2" t="str">
        <f>IF(Table14[[#This Row],[Umowa]]="","Poza umową","Z umowy")</f>
        <v>Z umowy</v>
      </c>
      <c r="N675" s="2">
        <f>YEAR(Table14[[#This Row],[Data_Wystawienia]])</f>
        <v>2022</v>
      </c>
      <c r="O675" s="2" t="str">
        <f>TEXT(Table14[[#This Row],[Data_Wystawienia]],"rrrr-mm")</f>
        <v>2022-09</v>
      </c>
      <c r="P675" s="2">
        <v>1</v>
      </c>
    </row>
    <row r="676" spans="1:16" x14ac:dyDescent="0.3">
      <c r="A676" s="2" t="str">
        <f>TRIM(Table1[[#This Row],[Numer_FV]])</f>
        <v>FV/CENFA/657782/22</v>
      </c>
      <c r="B676" s="2" t="str">
        <f>TRIM(Table1[[#This Row],[Numer_PZ]])</f>
        <v>PZ/800674</v>
      </c>
      <c r="C676" s="2" t="str">
        <f>TRIM(Table1[[#This Row],[Dostawca]])</f>
        <v>CentrumFarm</v>
      </c>
      <c r="D676" s="3">
        <v>44814</v>
      </c>
      <c r="E676" s="4" t="s">
        <v>2026</v>
      </c>
      <c r="F676" s="2" t="str">
        <f>TRIM(Table1[[#This Row],[Status]])</f>
        <v>Zaakceptowana</v>
      </c>
      <c r="G676" s="2" t="str">
        <f>TRIM(Table1[[#This Row],[Typ]])</f>
        <v>Faktura VAT</v>
      </c>
      <c r="H676" s="2" t="str">
        <f>TRIM(Table1[[#This Row],[Magazyn]])</f>
        <v>Apteka Szpitalna</v>
      </c>
      <c r="I676" s="2" t="str">
        <f>TRIM(Table1[[#This Row],[Umowa]])</f>
        <v>UM-CEN-02</v>
      </c>
      <c r="J676" s="2" t="b">
        <f>ISTEXT(Table14[[#This Row],[Data_Wystawienia]])</f>
        <v>0</v>
      </c>
      <c r="K676" s="2">
        <f>VALUE(SUBSTITUTE(Table14[[#This Row],[Wartość]],".",","))</f>
        <v>4926.6400000000003</v>
      </c>
      <c r="L6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6" s="2" t="str">
        <f>IF(Table14[[#This Row],[Umowa]]="","Poza umową","Z umowy")</f>
        <v>Z umowy</v>
      </c>
      <c r="N676" s="2">
        <f>YEAR(Table14[[#This Row],[Data_Wystawienia]])</f>
        <v>2022</v>
      </c>
      <c r="O676" s="2" t="str">
        <f>TEXT(Table14[[#This Row],[Data_Wystawienia]],"rrrr-mm")</f>
        <v>2022-09</v>
      </c>
      <c r="P676" s="2">
        <v>1</v>
      </c>
    </row>
    <row r="677" spans="1:16" x14ac:dyDescent="0.3">
      <c r="A677" s="2" t="str">
        <f>TRIM(Table1[[#This Row],[Numer_FV]])</f>
        <v>FV/62713/VDb/2022</v>
      </c>
      <c r="B677" s="2" t="str">
        <f>TRIM(Table1[[#This Row],[Numer_PZ]])</f>
        <v>PZ/800675</v>
      </c>
      <c r="C677" s="2" t="str">
        <f>TRIM(Table1[[#This Row],[Dostawca]])</f>
        <v>VitaDistrib</v>
      </c>
      <c r="D677" s="3">
        <v>44814</v>
      </c>
      <c r="E677" s="4" t="s">
        <v>2029</v>
      </c>
      <c r="F677" s="2" t="str">
        <f>TRIM(Table1[[#This Row],[Status]])</f>
        <v>Zaakceptowana</v>
      </c>
      <c r="G677" s="2" t="str">
        <f>TRIM(Table1[[#This Row],[Typ]])</f>
        <v>Faktura VAT</v>
      </c>
      <c r="H677" s="2" t="str">
        <f>TRIM(Table1[[#This Row],[Magazyn]])</f>
        <v>Apteka Szpitalna</v>
      </c>
      <c r="I677" s="2" t="str">
        <f>TRIM(Table1[[#This Row],[Umowa]])</f>
        <v>UM-VIT-01</v>
      </c>
      <c r="J677" s="2" t="b">
        <f>ISTEXT(Table14[[#This Row],[Data_Wystawienia]])</f>
        <v>0</v>
      </c>
      <c r="K677" s="2">
        <f>VALUE(SUBSTITUTE(Table14[[#This Row],[Wartość]],".",","))</f>
        <v>13698.31</v>
      </c>
      <c r="L6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7" s="2" t="str">
        <f>IF(Table14[[#This Row],[Umowa]]="","Poza umową","Z umowy")</f>
        <v>Z umowy</v>
      </c>
      <c r="N677" s="2">
        <f>YEAR(Table14[[#This Row],[Data_Wystawienia]])</f>
        <v>2022</v>
      </c>
      <c r="O677" s="2" t="str">
        <f>TEXT(Table14[[#This Row],[Data_Wystawienia]],"rrrr-mm")</f>
        <v>2022-09</v>
      </c>
      <c r="P677" s="2">
        <v>1</v>
      </c>
    </row>
    <row r="678" spans="1:16" x14ac:dyDescent="0.3">
      <c r="A678" s="2" t="str">
        <f>TRIM(Table1[[#This Row],[Numer_FV]])</f>
        <v>FV/1529/NOVA/22</v>
      </c>
      <c r="B678" s="2" t="str">
        <f>TRIM(Table1[[#This Row],[Numer_PZ]])</f>
        <v>PZ/800676</v>
      </c>
      <c r="C678" s="2" t="str">
        <f>TRIM(Table1[[#This Row],[Dostawca]])</f>
        <v>NovaLek</v>
      </c>
      <c r="D678" s="3">
        <v>44814</v>
      </c>
      <c r="E678" s="4" t="s">
        <v>2032</v>
      </c>
      <c r="F678" s="2" t="str">
        <f>TRIM(Table1[[#This Row],[Status]])</f>
        <v>Zaakceptowana</v>
      </c>
      <c r="G678" s="2" t="str">
        <f>TRIM(Table1[[#This Row],[Typ]])</f>
        <v>Faktura VAT</v>
      </c>
      <c r="H678" s="2" t="str">
        <f>TRIM(Table1[[#This Row],[Magazyn]])</f>
        <v>Apteka Szpitalna</v>
      </c>
      <c r="I678" s="2" t="str">
        <f>TRIM(Table1[[#This Row],[Umowa]])</f>
        <v/>
      </c>
      <c r="J678" s="2" t="b">
        <f>ISTEXT(Table14[[#This Row],[Data_Wystawienia]])</f>
        <v>0</v>
      </c>
      <c r="K678" s="2">
        <f>VALUE(SUBSTITUTE(Table14[[#This Row],[Wartość]],".",","))</f>
        <v>16566.59</v>
      </c>
      <c r="L6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8" s="2" t="str">
        <f>IF(Table14[[#This Row],[Umowa]]="","Poza umową","Z umowy")</f>
        <v>Poza umową</v>
      </c>
      <c r="N678" s="2">
        <f>YEAR(Table14[[#This Row],[Data_Wystawienia]])</f>
        <v>2022</v>
      </c>
      <c r="O678" s="2" t="str">
        <f>TEXT(Table14[[#This Row],[Data_Wystawienia]],"rrrr-mm")</f>
        <v>2022-09</v>
      </c>
      <c r="P678" s="2">
        <v>1</v>
      </c>
    </row>
    <row r="679" spans="1:16" x14ac:dyDescent="0.3">
      <c r="A679" s="2" t="str">
        <f>TRIM(Table1[[#This Row],[Numer_FV]])</f>
        <v>FV/M/8664/P/22</v>
      </c>
      <c r="B679" s="2" t="str">
        <f>TRIM(Table1[[#This Row],[Numer_PZ]])</f>
        <v>PZ/800677</v>
      </c>
      <c r="C679" s="2" t="str">
        <f>TRIM(Table1[[#This Row],[Dostawca]])</f>
        <v>MedicaPharm</v>
      </c>
      <c r="D679" s="3">
        <v>44814</v>
      </c>
      <c r="E679" s="4" t="s">
        <v>2035</v>
      </c>
      <c r="F679" s="2" t="str">
        <f>TRIM(Table1[[#This Row],[Status]])</f>
        <v>Zaakceptowana</v>
      </c>
      <c r="G679" s="2" t="str">
        <f>TRIM(Table1[[#This Row],[Typ]])</f>
        <v>Korekta FV</v>
      </c>
      <c r="H679" s="2" t="str">
        <f>TRIM(Table1[[#This Row],[Magazyn]])</f>
        <v>Apteka Szpitalna</v>
      </c>
      <c r="I679" s="2" t="str">
        <f>TRIM(Table1[[#This Row],[Umowa]])</f>
        <v>UM-MED-02</v>
      </c>
      <c r="J679" s="2" t="b">
        <f>ISTEXT(Table14[[#This Row],[Data_Wystawienia]])</f>
        <v>0</v>
      </c>
      <c r="K679" s="2">
        <f>VALUE(SUBSTITUTE(Table14[[#This Row],[Wartość]],".",","))</f>
        <v>-2076.41</v>
      </c>
      <c r="L6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79" s="2" t="str">
        <f>IF(Table14[[#This Row],[Umowa]]="","Poza umową","Z umowy")</f>
        <v>Z umowy</v>
      </c>
      <c r="N679" s="2">
        <f>YEAR(Table14[[#This Row],[Data_Wystawienia]])</f>
        <v>2022</v>
      </c>
      <c r="O679" s="2" t="str">
        <f>TEXT(Table14[[#This Row],[Data_Wystawienia]],"rrrr-mm")</f>
        <v>2022-09</v>
      </c>
      <c r="P679" s="2">
        <v>1</v>
      </c>
    </row>
    <row r="680" spans="1:16" x14ac:dyDescent="0.3">
      <c r="A680" s="2" t="str">
        <f>TRIM(Table1[[#This Row],[Numer_FV]])</f>
        <v>FV/53/SAL/22</v>
      </c>
      <c r="B680" s="2" t="str">
        <f>TRIM(Table1[[#This Row],[Numer_PZ]])</f>
        <v>PZ/800678</v>
      </c>
      <c r="C680" s="2" t="str">
        <f>TRIM(Table1[[#This Row],[Dostawca]])</f>
        <v>SalusHurt</v>
      </c>
      <c r="D680" s="3">
        <v>44815</v>
      </c>
      <c r="E680" s="4" t="s">
        <v>2037</v>
      </c>
      <c r="F680" s="2" t="str">
        <f>TRIM(Table1[[#This Row],[Status]])</f>
        <v>Zaakceptowana</v>
      </c>
      <c r="G680" s="2" t="str">
        <f>TRIM(Table1[[#This Row],[Typ]])</f>
        <v>Faktura VAT</v>
      </c>
      <c r="H680" s="2" t="str">
        <f>TRIM(Table1[[#This Row],[Magazyn]])</f>
        <v>Apteka Szpitalna</v>
      </c>
      <c r="I680" s="2" t="str">
        <f>TRIM(Table1[[#This Row],[Umowa]])</f>
        <v>UM-SAL-01</v>
      </c>
      <c r="J680" s="2" t="b">
        <f>ISTEXT(Table14[[#This Row],[Data_Wystawienia]])</f>
        <v>0</v>
      </c>
      <c r="K680" s="2">
        <f>VALUE(SUBSTITUTE(Table14[[#This Row],[Wartość]],".",","))</f>
        <v>4774.47</v>
      </c>
      <c r="L6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0" s="2" t="str">
        <f>IF(Table14[[#This Row],[Umowa]]="","Poza umową","Z umowy")</f>
        <v>Z umowy</v>
      </c>
      <c r="N680" s="2">
        <f>YEAR(Table14[[#This Row],[Data_Wystawienia]])</f>
        <v>2022</v>
      </c>
      <c r="O680" s="2" t="str">
        <f>TEXT(Table14[[#This Row],[Data_Wystawienia]],"rrrr-mm")</f>
        <v>2022-09</v>
      </c>
      <c r="P680" s="2">
        <v>1</v>
      </c>
    </row>
    <row r="681" spans="1:16" x14ac:dyDescent="0.3">
      <c r="A681" s="2" t="str">
        <f>TRIM(Table1[[#This Row],[Numer_FV]])</f>
        <v>FV/58/SAL/22</v>
      </c>
      <c r="B681" s="2" t="str">
        <f>TRIM(Table1[[#This Row],[Numer_PZ]])</f>
        <v>PZ/800679</v>
      </c>
      <c r="C681" s="2" t="str">
        <f>TRIM(Table1[[#This Row],[Dostawca]])</f>
        <v>SalusHurt</v>
      </c>
      <c r="D681" s="3">
        <v>44816</v>
      </c>
      <c r="E681" s="4" t="s">
        <v>2039</v>
      </c>
      <c r="F681" s="2" t="str">
        <f>TRIM(Table1[[#This Row],[Status]])</f>
        <v>Zaakceptowana</v>
      </c>
      <c r="G681" s="2" t="str">
        <f>TRIM(Table1[[#This Row],[Typ]])</f>
        <v>Faktura VAT</v>
      </c>
      <c r="H681" s="2" t="str">
        <f>TRIM(Table1[[#This Row],[Magazyn]])</f>
        <v>Apteka Szpitalna</v>
      </c>
      <c r="I681" s="2" t="str">
        <f>TRIM(Table1[[#This Row],[Umowa]])</f>
        <v>UM-SAL-01</v>
      </c>
      <c r="J681" s="2" t="b">
        <f>ISTEXT(Table14[[#This Row],[Data_Wystawienia]])</f>
        <v>0</v>
      </c>
      <c r="K681" s="2">
        <f>VALUE(SUBSTITUTE(Table14[[#This Row],[Wartość]],".",","))</f>
        <v>22956.79</v>
      </c>
      <c r="L6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1" s="2" t="str">
        <f>IF(Table14[[#This Row],[Umowa]]="","Poza umową","Z umowy")</f>
        <v>Z umowy</v>
      </c>
      <c r="N681" s="2">
        <f>YEAR(Table14[[#This Row],[Data_Wystawienia]])</f>
        <v>2022</v>
      </c>
      <c r="O681" s="2" t="str">
        <f>TEXT(Table14[[#This Row],[Data_Wystawienia]],"rrrr-mm")</f>
        <v>2022-09</v>
      </c>
      <c r="P681" s="2">
        <v>1</v>
      </c>
    </row>
    <row r="682" spans="1:16" x14ac:dyDescent="0.3">
      <c r="A682" s="2" t="str">
        <f>TRIM(Table1[[#This Row],[Numer_FV]])</f>
        <v>FV/CENFA/345069/22</v>
      </c>
      <c r="B682" s="2" t="str">
        <f>TRIM(Table1[[#This Row],[Numer_PZ]])</f>
        <v>PZ/800680</v>
      </c>
      <c r="C682" s="2" t="str">
        <f>TRIM(Table1[[#This Row],[Dostawca]])</f>
        <v>CentrumFarm</v>
      </c>
      <c r="D682" s="3">
        <v>44817</v>
      </c>
      <c r="E682" s="4" t="s">
        <v>2042</v>
      </c>
      <c r="F682" s="2" t="str">
        <f>TRIM(Table1[[#This Row],[Status]])</f>
        <v>Zaakceptowana</v>
      </c>
      <c r="G682" s="2" t="str">
        <f>TRIM(Table1[[#This Row],[Typ]])</f>
        <v>Faktura VAT</v>
      </c>
      <c r="H682" s="2" t="str">
        <f>TRIM(Table1[[#This Row],[Magazyn]])</f>
        <v>Apteka Szpitalna</v>
      </c>
      <c r="I682" s="2" t="str">
        <f>TRIM(Table1[[#This Row],[Umowa]])</f>
        <v/>
      </c>
      <c r="J682" s="2" t="b">
        <f>ISTEXT(Table14[[#This Row],[Data_Wystawienia]])</f>
        <v>0</v>
      </c>
      <c r="K682" s="2">
        <f>VALUE(SUBSTITUTE(Table14[[#This Row],[Wartość]],".",","))</f>
        <v>15069.01</v>
      </c>
      <c r="L6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2" s="2" t="str">
        <f>IF(Table14[[#This Row],[Umowa]]="","Poza umową","Z umowy")</f>
        <v>Poza umową</v>
      </c>
      <c r="N682" s="2">
        <f>YEAR(Table14[[#This Row],[Data_Wystawienia]])</f>
        <v>2022</v>
      </c>
      <c r="O682" s="2" t="str">
        <f>TEXT(Table14[[#This Row],[Data_Wystawienia]],"rrrr-mm")</f>
        <v>2022-09</v>
      </c>
      <c r="P682" s="2">
        <v>1</v>
      </c>
    </row>
    <row r="683" spans="1:16" x14ac:dyDescent="0.3">
      <c r="A683" s="2" t="str">
        <f>TRIM(Table1[[#This Row],[Numer_FV]])</f>
        <v>FV/1505/NOVA/22</v>
      </c>
      <c r="B683" s="2" t="str">
        <f>TRIM(Table1[[#This Row],[Numer_PZ]])</f>
        <v>PZ/800681</v>
      </c>
      <c r="C683" s="2" t="str">
        <f>TRIM(Table1[[#This Row],[Dostawca]])</f>
        <v>NovaLek</v>
      </c>
      <c r="D683" s="3">
        <v>44818</v>
      </c>
      <c r="E683" s="4" t="s">
        <v>2045</v>
      </c>
      <c r="F683" s="2" t="str">
        <f>TRIM(Table1[[#This Row],[Status]])</f>
        <v>Zaakceptowana</v>
      </c>
      <c r="G683" s="2" t="str">
        <f>TRIM(Table1[[#This Row],[Typ]])</f>
        <v>Faktura VAT</v>
      </c>
      <c r="H683" s="2" t="str">
        <f>TRIM(Table1[[#This Row],[Magazyn]])</f>
        <v>Apteka Szpitalna</v>
      </c>
      <c r="I683" s="2" t="str">
        <f>TRIM(Table1[[#This Row],[Umowa]])</f>
        <v/>
      </c>
      <c r="J683" s="2" t="b">
        <f>ISTEXT(Table14[[#This Row],[Data_Wystawienia]])</f>
        <v>0</v>
      </c>
      <c r="K683" s="2">
        <f>VALUE(SUBSTITUTE(Table14[[#This Row],[Wartość]],".",","))</f>
        <v>21037.59</v>
      </c>
      <c r="L6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3" s="2" t="str">
        <f>IF(Table14[[#This Row],[Umowa]]="","Poza umową","Z umowy")</f>
        <v>Poza umową</v>
      </c>
      <c r="N683" s="2">
        <f>YEAR(Table14[[#This Row],[Data_Wystawienia]])</f>
        <v>2022</v>
      </c>
      <c r="O683" s="2" t="str">
        <f>TEXT(Table14[[#This Row],[Data_Wystawienia]],"rrrr-mm")</f>
        <v>2022-09</v>
      </c>
      <c r="P683" s="2">
        <v>1</v>
      </c>
    </row>
    <row r="684" spans="1:16" x14ac:dyDescent="0.3">
      <c r="A684" s="2" t="str">
        <f>TRIM(Table1[[#This Row],[Numer_FV]])</f>
        <v>FV/23497/VDb/2022</v>
      </c>
      <c r="B684" s="2" t="str">
        <f>TRIM(Table1[[#This Row],[Numer_PZ]])</f>
        <v>PZ/800682</v>
      </c>
      <c r="C684" s="2" t="str">
        <f>TRIM(Table1[[#This Row],[Dostawca]])</f>
        <v>VitaDistrib</v>
      </c>
      <c r="D684" s="3">
        <v>44818</v>
      </c>
      <c r="E684" s="4" t="s">
        <v>2048</v>
      </c>
      <c r="F684" s="2" t="str">
        <f>TRIM(Table1[[#This Row],[Status]])</f>
        <v>Zaakceptowana</v>
      </c>
      <c r="G684" s="2" t="str">
        <f>TRIM(Table1[[#This Row],[Typ]])</f>
        <v>Faktura VAT</v>
      </c>
      <c r="H684" s="2" t="str">
        <f>TRIM(Table1[[#This Row],[Magazyn]])</f>
        <v>Apteka Szpitalna</v>
      </c>
      <c r="I684" s="2" t="str">
        <f>TRIM(Table1[[#This Row],[Umowa]])</f>
        <v>UM-VIT-01</v>
      </c>
      <c r="J684" s="2" t="b">
        <f>ISTEXT(Table14[[#This Row],[Data_Wystawienia]])</f>
        <v>0</v>
      </c>
      <c r="K684" s="2">
        <f>VALUE(SUBSTITUTE(Table14[[#This Row],[Wartość]],".",","))</f>
        <v>18253.95</v>
      </c>
      <c r="L6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4" s="2" t="str">
        <f>IF(Table14[[#This Row],[Umowa]]="","Poza umową","Z umowy")</f>
        <v>Z umowy</v>
      </c>
      <c r="N684" s="2">
        <f>YEAR(Table14[[#This Row],[Data_Wystawienia]])</f>
        <v>2022</v>
      </c>
      <c r="O684" s="2" t="str">
        <f>TEXT(Table14[[#This Row],[Data_Wystawienia]],"rrrr-mm")</f>
        <v>2022-09</v>
      </c>
      <c r="P684" s="2">
        <v>1</v>
      </c>
    </row>
    <row r="685" spans="1:16" x14ac:dyDescent="0.3">
      <c r="A685" s="2" t="str">
        <f>TRIM(Table1[[#This Row],[Numer_FV]])</f>
        <v>FV/76/SAL/22</v>
      </c>
      <c r="B685" s="2" t="str">
        <f>TRIM(Table1[[#This Row],[Numer_PZ]])</f>
        <v>PZ/800683</v>
      </c>
      <c r="C685" s="2" t="str">
        <f>TRIM(Table1[[#This Row],[Dostawca]])</f>
        <v>SalusHurt</v>
      </c>
      <c r="D685" s="3">
        <v>44818</v>
      </c>
      <c r="E685" s="4" t="s">
        <v>2050</v>
      </c>
      <c r="F685" s="2" t="str">
        <f>TRIM(Table1[[#This Row],[Status]])</f>
        <v>Zaakceptowana</v>
      </c>
      <c r="G685" s="2" t="str">
        <f>TRIM(Table1[[#This Row],[Typ]])</f>
        <v>Faktura VAT</v>
      </c>
      <c r="H685" s="2" t="str">
        <f>TRIM(Table1[[#This Row],[Magazyn]])</f>
        <v>Apteka Szpitalna</v>
      </c>
      <c r="I685" s="2" t="str">
        <f>TRIM(Table1[[#This Row],[Umowa]])</f>
        <v/>
      </c>
      <c r="J685" s="2" t="b">
        <f>ISTEXT(Table14[[#This Row],[Data_Wystawienia]])</f>
        <v>0</v>
      </c>
      <c r="K685" s="2">
        <f>VALUE(SUBSTITUTE(Table14[[#This Row],[Wartość]],".",","))</f>
        <v>23234.77</v>
      </c>
      <c r="L6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5" s="2" t="str">
        <f>IF(Table14[[#This Row],[Umowa]]="","Poza umową","Z umowy")</f>
        <v>Poza umową</v>
      </c>
      <c r="N685" s="2">
        <f>YEAR(Table14[[#This Row],[Data_Wystawienia]])</f>
        <v>2022</v>
      </c>
      <c r="O685" s="2" t="str">
        <f>TEXT(Table14[[#This Row],[Data_Wystawienia]],"rrrr-mm")</f>
        <v>2022-09</v>
      </c>
      <c r="P685" s="2">
        <v>1</v>
      </c>
    </row>
    <row r="686" spans="1:16" x14ac:dyDescent="0.3">
      <c r="A686" s="2" t="str">
        <f>TRIM(Table1[[#This Row],[Numer_FV]])</f>
        <v>FV/CENFA/104543/22</v>
      </c>
      <c r="B686" s="2" t="str">
        <f>TRIM(Table1[[#This Row],[Numer_PZ]])</f>
        <v>PZ/800684</v>
      </c>
      <c r="C686" s="2" t="str">
        <f>TRIM(Table1[[#This Row],[Dostawca]])</f>
        <v>CentrumFarm</v>
      </c>
      <c r="D686" s="3">
        <v>44818</v>
      </c>
      <c r="E686" s="4" t="s">
        <v>2053</v>
      </c>
      <c r="F686" s="2" t="str">
        <f>TRIM(Table1[[#This Row],[Status]])</f>
        <v>Zaakceptowana</v>
      </c>
      <c r="G686" s="2" t="str">
        <f>TRIM(Table1[[#This Row],[Typ]])</f>
        <v>Faktura VAT</v>
      </c>
      <c r="H686" s="2" t="str">
        <f>TRIM(Table1[[#This Row],[Magazyn]])</f>
        <v>Apteka Szpitalna</v>
      </c>
      <c r="I686" s="2" t="str">
        <f>TRIM(Table1[[#This Row],[Umowa]])</f>
        <v/>
      </c>
      <c r="J686" s="2" t="b">
        <f>ISTEXT(Table14[[#This Row],[Data_Wystawienia]])</f>
        <v>0</v>
      </c>
      <c r="K686" s="2">
        <f>VALUE(SUBSTITUTE(Table14[[#This Row],[Wartość]],".",","))</f>
        <v>7802.65</v>
      </c>
      <c r="L6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6" s="2" t="str">
        <f>IF(Table14[[#This Row],[Umowa]]="","Poza umową","Z umowy")</f>
        <v>Poza umową</v>
      </c>
      <c r="N686" s="2">
        <f>YEAR(Table14[[#This Row],[Data_Wystawienia]])</f>
        <v>2022</v>
      </c>
      <c r="O686" s="2" t="str">
        <f>TEXT(Table14[[#This Row],[Data_Wystawienia]],"rrrr-mm")</f>
        <v>2022-09</v>
      </c>
      <c r="P686" s="2">
        <v>1</v>
      </c>
    </row>
    <row r="687" spans="1:16" x14ac:dyDescent="0.3">
      <c r="A687" s="2" t="str">
        <f>TRIM(Table1[[#This Row],[Numer_FV]])</f>
        <v>FV/CENFA/439181/22</v>
      </c>
      <c r="B687" s="2" t="str">
        <f>TRIM(Table1[[#This Row],[Numer_PZ]])</f>
        <v>PZ/800685</v>
      </c>
      <c r="C687" s="2" t="str">
        <f>TRIM(Table1[[#This Row],[Dostawca]])</f>
        <v>CentrumFarm</v>
      </c>
      <c r="D687" s="3">
        <v>44819</v>
      </c>
      <c r="E687" s="4" t="s">
        <v>2056</v>
      </c>
      <c r="F687" s="2" t="str">
        <f>TRIM(Table1[[#This Row],[Status]])</f>
        <v>Zaakceptowana</v>
      </c>
      <c r="G687" s="2" t="str">
        <f>TRIM(Table1[[#This Row],[Typ]])</f>
        <v>Faktura VAT</v>
      </c>
      <c r="H687" s="2" t="str">
        <f>TRIM(Table1[[#This Row],[Magazyn]])</f>
        <v>Apteka Szpitalna</v>
      </c>
      <c r="I687" s="2" t="str">
        <f>TRIM(Table1[[#This Row],[Umowa]])</f>
        <v/>
      </c>
      <c r="J687" s="2" t="b">
        <f>ISTEXT(Table14[[#This Row],[Data_Wystawienia]])</f>
        <v>0</v>
      </c>
      <c r="K687" s="2">
        <f>VALUE(SUBSTITUTE(Table14[[#This Row],[Wartość]],".",","))</f>
        <v>14996.74</v>
      </c>
      <c r="L6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7" s="2" t="str">
        <f>IF(Table14[[#This Row],[Umowa]]="","Poza umową","Z umowy")</f>
        <v>Poza umową</v>
      </c>
      <c r="N687" s="2">
        <f>YEAR(Table14[[#This Row],[Data_Wystawienia]])</f>
        <v>2022</v>
      </c>
      <c r="O687" s="2" t="str">
        <f>TEXT(Table14[[#This Row],[Data_Wystawienia]],"rrrr-mm")</f>
        <v>2022-09</v>
      </c>
      <c r="P687" s="2">
        <v>1</v>
      </c>
    </row>
    <row r="688" spans="1:16" x14ac:dyDescent="0.3">
      <c r="A688" s="2" t="str">
        <f>TRIM(Table1[[#This Row],[Numer_FV]])</f>
        <v>FV/34339/VDb/2022</v>
      </c>
      <c r="B688" s="2" t="str">
        <f>TRIM(Table1[[#This Row],[Numer_PZ]])</f>
        <v>PZ/800686</v>
      </c>
      <c r="C688" s="2" t="str">
        <f>TRIM(Table1[[#This Row],[Dostawca]])</f>
        <v>VitaDistrib</v>
      </c>
      <c r="D688" s="3">
        <v>44819</v>
      </c>
      <c r="E688" s="4" t="s">
        <v>2059</v>
      </c>
      <c r="F688" s="2" t="str">
        <f>TRIM(Table1[[#This Row],[Status]])</f>
        <v>Zaakceptowana</v>
      </c>
      <c r="G688" s="2" t="str">
        <f>TRIM(Table1[[#This Row],[Typ]])</f>
        <v>Faktura VAT</v>
      </c>
      <c r="H688" s="2" t="str">
        <f>TRIM(Table1[[#This Row],[Magazyn]])</f>
        <v>Apteka Szpitalna</v>
      </c>
      <c r="I688" s="2" t="str">
        <f>TRIM(Table1[[#This Row],[Umowa]])</f>
        <v>UM-VIT-01</v>
      </c>
      <c r="J688" s="2" t="b">
        <f>ISTEXT(Table14[[#This Row],[Data_Wystawienia]])</f>
        <v>0</v>
      </c>
      <c r="K688" s="2">
        <f>VALUE(SUBSTITUTE(Table14[[#This Row],[Wartość]],".",","))</f>
        <v>14160.18</v>
      </c>
      <c r="L6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8" s="2" t="str">
        <f>IF(Table14[[#This Row],[Umowa]]="","Poza umową","Z umowy")</f>
        <v>Z umowy</v>
      </c>
      <c r="N688" s="2">
        <f>YEAR(Table14[[#This Row],[Data_Wystawienia]])</f>
        <v>2022</v>
      </c>
      <c r="O688" s="2" t="str">
        <f>TEXT(Table14[[#This Row],[Data_Wystawienia]],"rrrr-mm")</f>
        <v>2022-09</v>
      </c>
      <c r="P688" s="2">
        <v>1</v>
      </c>
    </row>
    <row r="689" spans="1:16" x14ac:dyDescent="0.3">
      <c r="A689" s="2" t="str">
        <f>TRIM(Table1[[#This Row],[Numer_FV]])</f>
        <v>FV/32364/VDb/2022</v>
      </c>
      <c r="B689" s="2" t="str">
        <f>TRIM(Table1[[#This Row],[Numer_PZ]])</f>
        <v>PZ/800687</v>
      </c>
      <c r="C689" s="2" t="str">
        <f>TRIM(Table1[[#This Row],[Dostawca]])</f>
        <v>VitaDistrib</v>
      </c>
      <c r="D689" s="3">
        <v>44820</v>
      </c>
      <c r="E689" s="4" t="s">
        <v>2062</v>
      </c>
      <c r="F689" s="2" t="str">
        <f>TRIM(Table1[[#This Row],[Status]])</f>
        <v>Zaakceptowana</v>
      </c>
      <c r="G689" s="2" t="str">
        <f>TRIM(Table1[[#This Row],[Typ]])</f>
        <v>Faktura VAT</v>
      </c>
      <c r="H689" s="2" t="str">
        <f>TRIM(Table1[[#This Row],[Magazyn]])</f>
        <v>Apteka Szpitalna</v>
      </c>
      <c r="I689" s="2" t="str">
        <f>TRIM(Table1[[#This Row],[Umowa]])</f>
        <v/>
      </c>
      <c r="J689" s="2" t="b">
        <f>ISTEXT(Table14[[#This Row],[Data_Wystawienia]])</f>
        <v>0</v>
      </c>
      <c r="K689" s="2">
        <f>VALUE(SUBSTITUTE(Table14[[#This Row],[Wartość]],".",","))</f>
        <v>20652.939999999999</v>
      </c>
      <c r="L6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89" s="2" t="str">
        <f>IF(Table14[[#This Row],[Umowa]]="","Poza umową","Z umowy")</f>
        <v>Poza umową</v>
      </c>
      <c r="N689" s="2">
        <f>YEAR(Table14[[#This Row],[Data_Wystawienia]])</f>
        <v>2022</v>
      </c>
      <c r="O689" s="2" t="str">
        <f>TEXT(Table14[[#This Row],[Data_Wystawienia]],"rrrr-mm")</f>
        <v>2022-09</v>
      </c>
      <c r="P689" s="2">
        <v>1</v>
      </c>
    </row>
    <row r="690" spans="1:16" x14ac:dyDescent="0.3">
      <c r="A690" s="2" t="str">
        <f>TRIM(Table1[[#This Row],[Numer_FV]])</f>
        <v>FV/CENFA/680067/22</v>
      </c>
      <c r="B690" s="2" t="str">
        <f>TRIM(Table1[[#This Row],[Numer_PZ]])</f>
        <v>PZ/800688</v>
      </c>
      <c r="C690" s="2" t="str">
        <f>TRIM(Table1[[#This Row],[Dostawca]])</f>
        <v>CentrumFarm</v>
      </c>
      <c r="D690" s="3">
        <v>44820</v>
      </c>
      <c r="E690" s="4" t="s">
        <v>2065</v>
      </c>
      <c r="F690" s="2" t="str">
        <f>TRIM(Table1[[#This Row],[Status]])</f>
        <v>Zaakceptowana</v>
      </c>
      <c r="G690" s="2" t="str">
        <f>TRIM(Table1[[#This Row],[Typ]])</f>
        <v>Faktura VAT</v>
      </c>
      <c r="H690" s="2" t="str">
        <f>TRIM(Table1[[#This Row],[Magazyn]])</f>
        <v>Apteka Szpitalna</v>
      </c>
      <c r="I690" s="2" t="str">
        <f>TRIM(Table1[[#This Row],[Umowa]])</f>
        <v>UM-CEN-01</v>
      </c>
      <c r="J690" s="2" t="b">
        <f>ISTEXT(Table14[[#This Row],[Data_Wystawienia]])</f>
        <v>0</v>
      </c>
      <c r="K690" s="2">
        <f>VALUE(SUBSTITUTE(Table14[[#This Row],[Wartość]],".",","))</f>
        <v>14673.61</v>
      </c>
      <c r="L6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0" s="2" t="str">
        <f>IF(Table14[[#This Row],[Umowa]]="","Poza umową","Z umowy")</f>
        <v>Z umowy</v>
      </c>
      <c r="N690" s="2">
        <f>YEAR(Table14[[#This Row],[Data_Wystawienia]])</f>
        <v>2022</v>
      </c>
      <c r="O690" s="2" t="str">
        <f>TEXT(Table14[[#This Row],[Data_Wystawienia]],"rrrr-mm")</f>
        <v>2022-09</v>
      </c>
      <c r="P690" s="2">
        <v>1</v>
      </c>
    </row>
    <row r="691" spans="1:16" x14ac:dyDescent="0.3">
      <c r="A691" s="2" t="str">
        <f>TRIM(Table1[[#This Row],[Numer_FV]])</f>
        <v>FV/63772/VDb/2022</v>
      </c>
      <c r="B691" s="2" t="str">
        <f>TRIM(Table1[[#This Row],[Numer_PZ]])</f>
        <v>PZ/800689</v>
      </c>
      <c r="C691" s="2" t="str">
        <f>TRIM(Table1[[#This Row],[Dostawca]])</f>
        <v>VitaDistrib</v>
      </c>
      <c r="D691" s="3">
        <v>44820</v>
      </c>
      <c r="E691" s="4" t="s">
        <v>2068</v>
      </c>
      <c r="F691" s="2" t="str">
        <f>TRIM(Table1[[#This Row],[Status]])</f>
        <v>Zaakceptowana</v>
      </c>
      <c r="G691" s="2" t="str">
        <f>TRIM(Table1[[#This Row],[Typ]])</f>
        <v>Faktura VAT</v>
      </c>
      <c r="H691" s="2" t="str">
        <f>TRIM(Table1[[#This Row],[Magazyn]])</f>
        <v>Apteka Szpitalna</v>
      </c>
      <c r="I691" s="2" t="str">
        <f>TRIM(Table1[[#This Row],[Umowa]])</f>
        <v>UM-VIT-01</v>
      </c>
      <c r="J691" s="2" t="b">
        <f>ISTEXT(Table14[[#This Row],[Data_Wystawienia]])</f>
        <v>0</v>
      </c>
      <c r="K691" s="2">
        <f>VALUE(SUBSTITUTE(Table14[[#This Row],[Wartość]],".",","))</f>
        <v>11719.75</v>
      </c>
      <c r="L6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1" s="2" t="str">
        <f>IF(Table14[[#This Row],[Umowa]]="","Poza umową","Z umowy")</f>
        <v>Z umowy</v>
      </c>
      <c r="N691" s="2">
        <f>YEAR(Table14[[#This Row],[Data_Wystawienia]])</f>
        <v>2022</v>
      </c>
      <c r="O691" s="2" t="str">
        <f>TEXT(Table14[[#This Row],[Data_Wystawienia]],"rrrr-mm")</f>
        <v>2022-09</v>
      </c>
      <c r="P691" s="2">
        <v>1</v>
      </c>
    </row>
    <row r="692" spans="1:16" x14ac:dyDescent="0.3">
      <c r="A692" s="2" t="str">
        <f>TRIM(Table1[[#This Row],[Numer_FV]])</f>
        <v>FV/POL/61825/2022</v>
      </c>
      <c r="B692" s="2" t="str">
        <f>TRIM(Table1[[#This Row],[Numer_PZ]])</f>
        <v>PZ/800690</v>
      </c>
      <c r="C692" s="2" t="str">
        <f>TRIM(Table1[[#This Row],[Dostawca]])</f>
        <v>Polmedica</v>
      </c>
      <c r="D692" s="3">
        <v>44821</v>
      </c>
      <c r="E692" s="4" t="s">
        <v>2071</v>
      </c>
      <c r="F692" s="2" t="str">
        <f>TRIM(Table1[[#This Row],[Status]])</f>
        <v>Zaakceptowana</v>
      </c>
      <c r="G692" s="2" t="str">
        <f>TRIM(Table1[[#This Row],[Typ]])</f>
        <v>Faktura VAT</v>
      </c>
      <c r="H692" s="2" t="str">
        <f>TRIM(Table1[[#This Row],[Magazyn]])</f>
        <v>Apteka Szpitalna</v>
      </c>
      <c r="I692" s="2" t="str">
        <f>TRIM(Table1[[#This Row],[Umowa]])</f>
        <v>UM-POL-02</v>
      </c>
      <c r="J692" s="2" t="b">
        <f>ISTEXT(Table14[[#This Row],[Data_Wystawienia]])</f>
        <v>0</v>
      </c>
      <c r="K692" s="2">
        <f>VALUE(SUBSTITUTE(Table14[[#This Row],[Wartość]],".",","))</f>
        <v>10576.72</v>
      </c>
      <c r="L6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2" s="2" t="str">
        <f>IF(Table14[[#This Row],[Umowa]]="","Poza umową","Z umowy")</f>
        <v>Z umowy</v>
      </c>
      <c r="N692" s="2">
        <f>YEAR(Table14[[#This Row],[Data_Wystawienia]])</f>
        <v>2022</v>
      </c>
      <c r="O692" s="2" t="str">
        <f>TEXT(Table14[[#This Row],[Data_Wystawienia]],"rrrr-mm")</f>
        <v>2022-09</v>
      </c>
      <c r="P692" s="2">
        <v>1</v>
      </c>
    </row>
    <row r="693" spans="1:16" x14ac:dyDescent="0.3">
      <c r="A693" s="2" t="str">
        <f>TRIM(Table1[[#This Row],[Numer_FV]])</f>
        <v>FV/M/7460/P/22</v>
      </c>
      <c r="B693" s="2" t="str">
        <f>TRIM(Table1[[#This Row],[Numer_PZ]])</f>
        <v>PZ/800691</v>
      </c>
      <c r="C693" s="2" t="str">
        <f>TRIM(Table1[[#This Row],[Dostawca]])</f>
        <v>MedicaPharm</v>
      </c>
      <c r="D693" s="3">
        <v>44821</v>
      </c>
      <c r="E693" s="4" t="s">
        <v>2074</v>
      </c>
      <c r="F693" s="2" t="str">
        <f>TRIM(Table1[[#This Row],[Status]])</f>
        <v>Zaakceptowana</v>
      </c>
      <c r="G693" s="2" t="str">
        <f>TRIM(Table1[[#This Row],[Typ]])</f>
        <v>Faktura VAT</v>
      </c>
      <c r="H693" s="2" t="str">
        <f>TRIM(Table1[[#This Row],[Magazyn]])</f>
        <v>Apteka Szpitalna</v>
      </c>
      <c r="I693" s="2" t="str">
        <f>TRIM(Table1[[#This Row],[Umowa]])</f>
        <v>UM-MED-02</v>
      </c>
      <c r="J693" s="2" t="b">
        <f>ISTEXT(Table14[[#This Row],[Data_Wystawienia]])</f>
        <v>0</v>
      </c>
      <c r="K693" s="2">
        <f>VALUE(SUBSTITUTE(Table14[[#This Row],[Wartość]],".",","))</f>
        <v>12838.48</v>
      </c>
      <c r="L6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3" s="2" t="str">
        <f>IF(Table14[[#This Row],[Umowa]]="","Poza umową","Z umowy")</f>
        <v>Z umowy</v>
      </c>
      <c r="N693" s="2">
        <f>YEAR(Table14[[#This Row],[Data_Wystawienia]])</f>
        <v>2022</v>
      </c>
      <c r="O693" s="2" t="str">
        <f>TEXT(Table14[[#This Row],[Data_Wystawienia]],"rrrr-mm")</f>
        <v>2022-09</v>
      </c>
      <c r="P693" s="2">
        <v>1</v>
      </c>
    </row>
    <row r="694" spans="1:16" x14ac:dyDescent="0.3">
      <c r="A694" s="2" t="str">
        <f>TRIM(Table1[[#This Row],[Numer_FV]])</f>
        <v>FV/76/SAL/22</v>
      </c>
      <c r="B694" s="2" t="str">
        <f>TRIM(Table1[[#This Row],[Numer_PZ]])</f>
        <v>PZ/800692</v>
      </c>
      <c r="C694" s="2" t="str">
        <f>TRIM(Table1[[#This Row],[Dostawca]])</f>
        <v>SalusHurt</v>
      </c>
      <c r="D694" s="3">
        <v>44822</v>
      </c>
      <c r="E694" s="4" t="s">
        <v>2076</v>
      </c>
      <c r="F694" s="2" t="str">
        <f>TRIM(Table1[[#This Row],[Status]])</f>
        <v>Zaakceptowana</v>
      </c>
      <c r="G694" s="2" t="str">
        <f>TRIM(Table1[[#This Row],[Typ]])</f>
        <v>Faktura VAT</v>
      </c>
      <c r="H694" s="2" t="str">
        <f>TRIM(Table1[[#This Row],[Magazyn]])</f>
        <v>Apteka Szpitalna</v>
      </c>
      <c r="I694" s="2" t="str">
        <f>TRIM(Table1[[#This Row],[Umowa]])</f>
        <v>UM-SAL-01</v>
      </c>
      <c r="J694" s="2" t="b">
        <f>ISTEXT(Table14[[#This Row],[Data_Wystawienia]])</f>
        <v>0</v>
      </c>
      <c r="K694" s="2">
        <f>VALUE(SUBSTITUTE(Table14[[#This Row],[Wartość]],".",","))</f>
        <v>17168.95</v>
      </c>
      <c r="L6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4" s="2" t="str">
        <f>IF(Table14[[#This Row],[Umowa]]="","Poza umową","Z umowy")</f>
        <v>Z umowy</v>
      </c>
      <c r="N694" s="2">
        <f>YEAR(Table14[[#This Row],[Data_Wystawienia]])</f>
        <v>2022</v>
      </c>
      <c r="O694" s="2" t="str">
        <f>TEXT(Table14[[#This Row],[Data_Wystawienia]],"rrrr-mm")</f>
        <v>2022-09</v>
      </c>
      <c r="P694" s="2">
        <v>1</v>
      </c>
    </row>
    <row r="695" spans="1:16" x14ac:dyDescent="0.3">
      <c r="A695" s="2" t="str">
        <f>TRIM(Table1[[#This Row],[Numer_FV]])</f>
        <v>FV/8268HM/22</v>
      </c>
      <c r="B695" s="2" t="str">
        <f>TRIM(Table1[[#This Row],[Numer_PZ]])</f>
        <v>PZ/800693</v>
      </c>
      <c r="C695" s="2" t="str">
        <f>TRIM(Table1[[#This Row],[Dostawca]])</f>
        <v>HurtMedix</v>
      </c>
      <c r="D695" s="3">
        <v>44822</v>
      </c>
      <c r="E695" s="4" t="s">
        <v>2079</v>
      </c>
      <c r="F695" s="2" t="str">
        <f>TRIM(Table1[[#This Row],[Status]])</f>
        <v>Zaakceptowana</v>
      </c>
      <c r="G695" s="2" t="str">
        <f>TRIM(Table1[[#This Row],[Typ]])</f>
        <v>Korekta FV</v>
      </c>
      <c r="H695" s="2" t="str">
        <f>TRIM(Table1[[#This Row],[Magazyn]])</f>
        <v>Apteka Szpitalna</v>
      </c>
      <c r="I695" s="2" t="str">
        <f>TRIM(Table1[[#This Row],[Umowa]])</f>
        <v>UM-HUR-01</v>
      </c>
      <c r="J695" s="2" t="b">
        <f>ISTEXT(Table14[[#This Row],[Data_Wystawienia]])</f>
        <v>0</v>
      </c>
      <c r="K695" s="2">
        <f>VALUE(SUBSTITUTE(Table14[[#This Row],[Wartość]],".",","))</f>
        <v>-751.77</v>
      </c>
      <c r="L6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5" s="2" t="str">
        <f>IF(Table14[[#This Row],[Umowa]]="","Poza umową","Z umowy")</f>
        <v>Z umowy</v>
      </c>
      <c r="N695" s="2">
        <f>YEAR(Table14[[#This Row],[Data_Wystawienia]])</f>
        <v>2022</v>
      </c>
      <c r="O695" s="2" t="str">
        <f>TEXT(Table14[[#This Row],[Data_Wystawienia]],"rrrr-mm")</f>
        <v>2022-09</v>
      </c>
      <c r="P695" s="2">
        <v>1</v>
      </c>
    </row>
    <row r="696" spans="1:16" x14ac:dyDescent="0.3">
      <c r="A696" s="2" t="str">
        <f>TRIM(Table1[[#This Row],[Numer_FV]])</f>
        <v>FV/CENFA/923733/22</v>
      </c>
      <c r="B696" s="2" t="str">
        <f>TRIM(Table1[[#This Row],[Numer_PZ]])</f>
        <v>PZ/800694</v>
      </c>
      <c r="C696" s="2" t="str">
        <f>TRIM(Table1[[#This Row],[Dostawca]])</f>
        <v>CentrumFarm</v>
      </c>
      <c r="D696" s="3">
        <v>44822</v>
      </c>
      <c r="E696" s="4" t="s">
        <v>2082</v>
      </c>
      <c r="F696" s="2" t="str">
        <f>TRIM(Table1[[#This Row],[Status]])</f>
        <v>Zaakceptowana</v>
      </c>
      <c r="G696" s="2" t="str">
        <f>TRIM(Table1[[#This Row],[Typ]])</f>
        <v>Faktura VAT</v>
      </c>
      <c r="H696" s="2" t="str">
        <f>TRIM(Table1[[#This Row],[Magazyn]])</f>
        <v>Apteka Szpitalna</v>
      </c>
      <c r="I696" s="2" t="str">
        <f>TRIM(Table1[[#This Row],[Umowa]])</f>
        <v>UM-CEN-02</v>
      </c>
      <c r="J696" s="2" t="b">
        <f>ISTEXT(Table14[[#This Row],[Data_Wystawienia]])</f>
        <v>0</v>
      </c>
      <c r="K696" s="2">
        <f>VALUE(SUBSTITUTE(Table14[[#This Row],[Wartość]],".",","))</f>
        <v>29224.17</v>
      </c>
      <c r="L6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6" s="2" t="str">
        <f>IF(Table14[[#This Row],[Umowa]]="","Poza umową","Z umowy")</f>
        <v>Z umowy</v>
      </c>
      <c r="N696" s="2">
        <f>YEAR(Table14[[#This Row],[Data_Wystawienia]])</f>
        <v>2022</v>
      </c>
      <c r="O696" s="2" t="str">
        <f>TEXT(Table14[[#This Row],[Data_Wystawienia]],"rrrr-mm")</f>
        <v>2022-09</v>
      </c>
      <c r="P696" s="2">
        <v>1</v>
      </c>
    </row>
    <row r="697" spans="1:16" x14ac:dyDescent="0.3">
      <c r="A697" s="2" t="str">
        <f>TRIM(Table1[[#This Row],[Numer_FV]])</f>
        <v>FV/POL/87335/2022</v>
      </c>
      <c r="B697" s="2" t="str">
        <f>TRIM(Table1[[#This Row],[Numer_PZ]])</f>
        <v>PZ/800695</v>
      </c>
      <c r="C697" s="2" t="str">
        <f>TRIM(Table1[[#This Row],[Dostawca]])</f>
        <v>Polmedica</v>
      </c>
      <c r="D697" s="3">
        <v>44822</v>
      </c>
      <c r="E697" s="4" t="s">
        <v>2085</v>
      </c>
      <c r="F697" s="2" t="str">
        <f>TRIM(Table1[[#This Row],[Status]])</f>
        <v>Zaakceptowana</v>
      </c>
      <c r="G697" s="2" t="str">
        <f>TRIM(Table1[[#This Row],[Typ]])</f>
        <v>Faktura VAT</v>
      </c>
      <c r="H697" s="2" t="str">
        <f>TRIM(Table1[[#This Row],[Magazyn]])</f>
        <v>Apteka Szpitalna</v>
      </c>
      <c r="I697" s="2" t="str">
        <f>TRIM(Table1[[#This Row],[Umowa]])</f>
        <v>UM-POL-03</v>
      </c>
      <c r="J697" s="2" t="b">
        <f>ISTEXT(Table14[[#This Row],[Data_Wystawienia]])</f>
        <v>0</v>
      </c>
      <c r="K697" s="2">
        <f>VALUE(SUBSTITUTE(Table14[[#This Row],[Wartość]],".",","))</f>
        <v>17124.12</v>
      </c>
      <c r="L6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7" s="2" t="str">
        <f>IF(Table14[[#This Row],[Umowa]]="","Poza umową","Z umowy")</f>
        <v>Z umowy</v>
      </c>
      <c r="N697" s="2">
        <f>YEAR(Table14[[#This Row],[Data_Wystawienia]])</f>
        <v>2022</v>
      </c>
      <c r="O697" s="2" t="str">
        <f>TEXT(Table14[[#This Row],[Data_Wystawienia]],"rrrr-mm")</f>
        <v>2022-09</v>
      </c>
      <c r="P697" s="2">
        <v>1</v>
      </c>
    </row>
    <row r="698" spans="1:16" x14ac:dyDescent="0.3">
      <c r="A698" s="2" t="str">
        <f>TRIM(Table1[[#This Row],[Numer_FV]])</f>
        <v>FV/POL/75578/2022</v>
      </c>
      <c r="B698" s="2" t="str">
        <f>TRIM(Table1[[#This Row],[Numer_PZ]])</f>
        <v>PZ/800696</v>
      </c>
      <c r="C698" s="2" t="str">
        <f>TRIM(Table1[[#This Row],[Dostawca]])</f>
        <v>Polmedica</v>
      </c>
      <c r="D698" s="3">
        <v>44822</v>
      </c>
      <c r="E698" s="4" t="s">
        <v>2088</v>
      </c>
      <c r="F698" s="2" t="str">
        <f>TRIM(Table1[[#This Row],[Status]])</f>
        <v>Zaakceptowana</v>
      </c>
      <c r="G698" s="2" t="str">
        <f>TRIM(Table1[[#This Row],[Typ]])</f>
        <v>Faktura VAT</v>
      </c>
      <c r="H698" s="2" t="str">
        <f>TRIM(Table1[[#This Row],[Magazyn]])</f>
        <v>Apteka Szpitalna</v>
      </c>
      <c r="I698" s="2" t="str">
        <f>TRIM(Table1[[#This Row],[Umowa]])</f>
        <v>UM-POL-03</v>
      </c>
      <c r="J698" s="2" t="b">
        <f>ISTEXT(Table14[[#This Row],[Data_Wystawienia]])</f>
        <v>0</v>
      </c>
      <c r="K698" s="2">
        <f>VALUE(SUBSTITUTE(Table14[[#This Row],[Wartość]],".",","))</f>
        <v>12991.83</v>
      </c>
      <c r="L6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8" s="2" t="str">
        <f>IF(Table14[[#This Row],[Umowa]]="","Poza umową","Z umowy")</f>
        <v>Z umowy</v>
      </c>
      <c r="N698" s="2">
        <f>YEAR(Table14[[#This Row],[Data_Wystawienia]])</f>
        <v>2022</v>
      </c>
      <c r="O698" s="2" t="str">
        <f>TEXT(Table14[[#This Row],[Data_Wystawienia]],"rrrr-mm")</f>
        <v>2022-09</v>
      </c>
      <c r="P698" s="2">
        <v>1</v>
      </c>
    </row>
    <row r="699" spans="1:16" x14ac:dyDescent="0.3">
      <c r="A699" s="2" t="str">
        <f>TRIM(Table1[[#This Row],[Numer_FV]])</f>
        <v>FV/CENFA/402400/22</v>
      </c>
      <c r="B699" s="2" t="str">
        <f>TRIM(Table1[[#This Row],[Numer_PZ]])</f>
        <v>PZ/800697</v>
      </c>
      <c r="C699" s="2" t="str">
        <f>TRIM(Table1[[#This Row],[Dostawca]])</f>
        <v>CentrumFarm</v>
      </c>
      <c r="D699" s="3">
        <v>44823</v>
      </c>
      <c r="E699" s="4" t="s">
        <v>2091</v>
      </c>
      <c r="F699" s="2" t="str">
        <f>TRIM(Table1[[#This Row],[Status]])</f>
        <v>Zaakceptowana</v>
      </c>
      <c r="G699" s="2" t="str">
        <f>TRIM(Table1[[#This Row],[Typ]])</f>
        <v>Faktura VAT</v>
      </c>
      <c r="H699" s="2" t="str">
        <f>TRIM(Table1[[#This Row],[Magazyn]])</f>
        <v>Apteka Szpitalna</v>
      </c>
      <c r="I699" s="2" t="str">
        <f>TRIM(Table1[[#This Row],[Umowa]])</f>
        <v/>
      </c>
      <c r="J699" s="2" t="b">
        <f>ISTEXT(Table14[[#This Row],[Data_Wystawienia]])</f>
        <v>0</v>
      </c>
      <c r="K699" s="2">
        <f>VALUE(SUBSTITUTE(Table14[[#This Row],[Wartość]],".",","))</f>
        <v>11491.8</v>
      </c>
      <c r="L6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699" s="2" t="str">
        <f>IF(Table14[[#This Row],[Umowa]]="","Poza umową","Z umowy")</f>
        <v>Poza umową</v>
      </c>
      <c r="N699" s="2">
        <f>YEAR(Table14[[#This Row],[Data_Wystawienia]])</f>
        <v>2022</v>
      </c>
      <c r="O699" s="2" t="str">
        <f>TEXT(Table14[[#This Row],[Data_Wystawienia]],"rrrr-mm")</f>
        <v>2022-09</v>
      </c>
      <c r="P699" s="2">
        <v>1</v>
      </c>
    </row>
    <row r="700" spans="1:16" x14ac:dyDescent="0.3">
      <c r="A700" s="2" t="str">
        <f>TRIM(Table1[[#This Row],[Numer_FV]])</f>
        <v>FV/POL/21323/2022</v>
      </c>
      <c r="B700" s="2" t="str">
        <f>TRIM(Table1[[#This Row],[Numer_PZ]])</f>
        <v>PZ/800698</v>
      </c>
      <c r="C700" s="2" t="str">
        <f>TRIM(Table1[[#This Row],[Dostawca]])</f>
        <v>Polmedica</v>
      </c>
      <c r="D700" s="3">
        <v>44824</v>
      </c>
      <c r="E700" s="4" t="s">
        <v>2094</v>
      </c>
      <c r="F700" s="2" t="str">
        <f>TRIM(Table1[[#This Row],[Status]])</f>
        <v>Zaakceptowana</v>
      </c>
      <c r="G700" s="2" t="str">
        <f>TRIM(Table1[[#This Row],[Typ]])</f>
        <v>Faktura VAT</v>
      </c>
      <c r="H700" s="2" t="str">
        <f>TRIM(Table1[[#This Row],[Magazyn]])</f>
        <v>Apteka Szpitalna</v>
      </c>
      <c r="I700" s="2" t="str">
        <f>TRIM(Table1[[#This Row],[Umowa]])</f>
        <v/>
      </c>
      <c r="J700" s="2" t="b">
        <f>ISTEXT(Table14[[#This Row],[Data_Wystawienia]])</f>
        <v>0</v>
      </c>
      <c r="K700" s="2">
        <f>VALUE(SUBSTITUTE(Table14[[#This Row],[Wartość]],".",","))</f>
        <v>16155.01</v>
      </c>
      <c r="L7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0" s="2" t="str">
        <f>IF(Table14[[#This Row],[Umowa]]="","Poza umową","Z umowy")</f>
        <v>Poza umową</v>
      </c>
      <c r="N700" s="2">
        <f>YEAR(Table14[[#This Row],[Data_Wystawienia]])</f>
        <v>2022</v>
      </c>
      <c r="O700" s="2" t="str">
        <f>TEXT(Table14[[#This Row],[Data_Wystawienia]],"rrrr-mm")</f>
        <v>2022-09</v>
      </c>
      <c r="P700" s="2">
        <v>1</v>
      </c>
    </row>
    <row r="701" spans="1:16" x14ac:dyDescent="0.3">
      <c r="A701" s="2" t="str">
        <f>TRIM(Table1[[#This Row],[Numer_FV]])</f>
        <v>FV/82/PP/6701/22</v>
      </c>
      <c r="B701" s="2" t="str">
        <f>TRIM(Table1[[#This Row],[Numer_PZ]])</f>
        <v>PZ/800699</v>
      </c>
      <c r="C701" s="2" t="str">
        <f>TRIM(Table1[[#This Row],[Dostawca]])</f>
        <v>PharmaPlus</v>
      </c>
      <c r="D701" s="3">
        <v>44824</v>
      </c>
      <c r="E701" s="4" t="s">
        <v>2097</v>
      </c>
      <c r="F701" s="2" t="str">
        <f>TRIM(Table1[[#This Row],[Status]])</f>
        <v>Zaakceptowana</v>
      </c>
      <c r="G701" s="2" t="str">
        <f>TRIM(Table1[[#This Row],[Typ]])</f>
        <v>Faktura VAT</v>
      </c>
      <c r="H701" s="2" t="str">
        <f>TRIM(Table1[[#This Row],[Magazyn]])</f>
        <v>Apteka Szpitalna</v>
      </c>
      <c r="I701" s="2" t="str">
        <f>TRIM(Table1[[#This Row],[Umowa]])</f>
        <v>UM-PHA-02</v>
      </c>
      <c r="J701" s="2" t="b">
        <f>ISTEXT(Table14[[#This Row],[Data_Wystawienia]])</f>
        <v>0</v>
      </c>
      <c r="K701" s="2">
        <f>VALUE(SUBSTITUTE(Table14[[#This Row],[Wartość]],".",","))</f>
        <v>13396.55</v>
      </c>
      <c r="L7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1" s="2" t="str">
        <f>IF(Table14[[#This Row],[Umowa]]="","Poza umową","Z umowy")</f>
        <v>Z umowy</v>
      </c>
      <c r="N701" s="2">
        <f>YEAR(Table14[[#This Row],[Data_Wystawienia]])</f>
        <v>2022</v>
      </c>
      <c r="O701" s="2" t="str">
        <f>TEXT(Table14[[#This Row],[Data_Wystawienia]],"rrrr-mm")</f>
        <v>2022-09</v>
      </c>
      <c r="P701" s="2">
        <v>1</v>
      </c>
    </row>
    <row r="702" spans="1:16" x14ac:dyDescent="0.3">
      <c r="A702" s="2" t="str">
        <f>TRIM(Table1[[#This Row],[Numer_FV]])</f>
        <v>FV/3495HM/22</v>
      </c>
      <c r="B702" s="2" t="str">
        <f>TRIM(Table1[[#This Row],[Numer_PZ]])</f>
        <v>PZ/800700</v>
      </c>
      <c r="C702" s="2" t="str">
        <f>TRIM(Table1[[#This Row],[Dostawca]])</f>
        <v>HurtMedix</v>
      </c>
      <c r="D702" s="3">
        <v>44824</v>
      </c>
      <c r="E702" s="4" t="s">
        <v>2100</v>
      </c>
      <c r="F702" s="2" t="str">
        <f>TRIM(Table1[[#This Row],[Status]])</f>
        <v>Zaakceptowana</v>
      </c>
      <c r="G702" s="2" t="str">
        <f>TRIM(Table1[[#This Row],[Typ]])</f>
        <v>Faktura VAT</v>
      </c>
      <c r="H702" s="2" t="str">
        <f>TRIM(Table1[[#This Row],[Magazyn]])</f>
        <v>Apteka Szpitalna</v>
      </c>
      <c r="I702" s="2" t="str">
        <f>TRIM(Table1[[#This Row],[Umowa]])</f>
        <v>UM-HUR-01</v>
      </c>
      <c r="J702" s="2" t="b">
        <f>ISTEXT(Table14[[#This Row],[Data_Wystawienia]])</f>
        <v>0</v>
      </c>
      <c r="K702" s="2">
        <f>VALUE(SUBSTITUTE(Table14[[#This Row],[Wartość]],".",","))</f>
        <v>12170.57</v>
      </c>
      <c r="L7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2" s="2" t="str">
        <f>IF(Table14[[#This Row],[Umowa]]="","Poza umową","Z umowy")</f>
        <v>Z umowy</v>
      </c>
      <c r="N702" s="2">
        <f>YEAR(Table14[[#This Row],[Data_Wystawienia]])</f>
        <v>2022</v>
      </c>
      <c r="O702" s="2" t="str">
        <f>TEXT(Table14[[#This Row],[Data_Wystawienia]],"rrrr-mm")</f>
        <v>2022-09</v>
      </c>
      <c r="P702" s="2">
        <v>1</v>
      </c>
    </row>
    <row r="703" spans="1:16" x14ac:dyDescent="0.3">
      <c r="A703" s="2" t="str">
        <f>TRIM(Table1[[#This Row],[Numer_FV]])</f>
        <v>FV/4840/NOVA/22</v>
      </c>
      <c r="B703" s="2" t="str">
        <f>TRIM(Table1[[#This Row],[Numer_PZ]])</f>
        <v>PZ/800701</v>
      </c>
      <c r="C703" s="2" t="str">
        <f>TRIM(Table1[[#This Row],[Dostawca]])</f>
        <v>NovaLek</v>
      </c>
      <c r="D703" s="3">
        <v>44825</v>
      </c>
      <c r="E703" s="4" t="s">
        <v>2103</v>
      </c>
      <c r="F703" s="2" t="str">
        <f>TRIM(Table1[[#This Row],[Status]])</f>
        <v>Zaakceptowana</v>
      </c>
      <c r="G703" s="2" t="str">
        <f>TRIM(Table1[[#This Row],[Typ]])</f>
        <v>Faktura VAT</v>
      </c>
      <c r="H703" s="2" t="str">
        <f>TRIM(Table1[[#This Row],[Magazyn]])</f>
        <v>Apteka Szpitalna</v>
      </c>
      <c r="I703" s="2" t="str">
        <f>TRIM(Table1[[#This Row],[Umowa]])</f>
        <v/>
      </c>
      <c r="J703" s="2" t="b">
        <f>ISTEXT(Table14[[#This Row],[Data_Wystawienia]])</f>
        <v>0</v>
      </c>
      <c r="K703" s="2">
        <f>VALUE(SUBSTITUTE(Table14[[#This Row],[Wartość]],".",","))</f>
        <v>3276.15</v>
      </c>
      <c r="L7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3" s="2" t="str">
        <f>IF(Table14[[#This Row],[Umowa]]="","Poza umową","Z umowy")</f>
        <v>Poza umową</v>
      </c>
      <c r="N703" s="2">
        <f>YEAR(Table14[[#This Row],[Data_Wystawienia]])</f>
        <v>2022</v>
      </c>
      <c r="O703" s="2" t="str">
        <f>TEXT(Table14[[#This Row],[Data_Wystawienia]],"rrrr-mm")</f>
        <v>2022-09</v>
      </c>
      <c r="P703" s="2">
        <v>1</v>
      </c>
    </row>
    <row r="704" spans="1:16" x14ac:dyDescent="0.3">
      <c r="A704" s="2" t="str">
        <f>TRIM(Table1[[#This Row],[Numer_FV]])</f>
        <v>FV/63/PP/6964/22</v>
      </c>
      <c r="B704" s="2" t="str">
        <f>TRIM(Table1[[#This Row],[Numer_PZ]])</f>
        <v>PZ/800702</v>
      </c>
      <c r="C704" s="2" t="str">
        <f>TRIM(Table1[[#This Row],[Dostawca]])</f>
        <v>PharmaPlus</v>
      </c>
      <c r="D704" s="3">
        <v>44825</v>
      </c>
      <c r="E704" s="4" t="s">
        <v>2106</v>
      </c>
      <c r="F704" s="2" t="str">
        <f>TRIM(Table1[[#This Row],[Status]])</f>
        <v>Zaakceptowana</v>
      </c>
      <c r="G704" s="2" t="str">
        <f>TRIM(Table1[[#This Row],[Typ]])</f>
        <v>Faktura VAT</v>
      </c>
      <c r="H704" s="2" t="str">
        <f>TRIM(Table1[[#This Row],[Magazyn]])</f>
        <v>Apteka Szpitalna</v>
      </c>
      <c r="I704" s="2" t="str">
        <f>TRIM(Table1[[#This Row],[Umowa]])</f>
        <v>UM-PHA-01</v>
      </c>
      <c r="J704" s="2" t="b">
        <f>ISTEXT(Table14[[#This Row],[Data_Wystawienia]])</f>
        <v>0</v>
      </c>
      <c r="K704" s="2">
        <f>VALUE(SUBSTITUTE(Table14[[#This Row],[Wartość]],".",","))</f>
        <v>5996.2</v>
      </c>
      <c r="L7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4" s="2" t="str">
        <f>IF(Table14[[#This Row],[Umowa]]="","Poza umową","Z umowy")</f>
        <v>Z umowy</v>
      </c>
      <c r="N704" s="2">
        <f>YEAR(Table14[[#This Row],[Data_Wystawienia]])</f>
        <v>2022</v>
      </c>
      <c r="O704" s="2" t="str">
        <f>TEXT(Table14[[#This Row],[Data_Wystawienia]],"rrrr-mm")</f>
        <v>2022-09</v>
      </c>
      <c r="P704" s="2">
        <v>1</v>
      </c>
    </row>
    <row r="705" spans="1:16" x14ac:dyDescent="0.3">
      <c r="A705" s="2" t="str">
        <f>TRIM(Table1[[#This Row],[Numer_FV]])</f>
        <v>FV/1524/NOVA/22</v>
      </c>
      <c r="B705" s="2" t="str">
        <f>TRIM(Table1[[#This Row],[Numer_PZ]])</f>
        <v>PZ/800703</v>
      </c>
      <c r="C705" s="2" t="str">
        <f>TRIM(Table1[[#This Row],[Dostawca]])</f>
        <v>NovaLek</v>
      </c>
      <c r="D705" s="3">
        <v>44825</v>
      </c>
      <c r="E705" s="4" t="s">
        <v>2109</v>
      </c>
      <c r="F705" s="2" t="str">
        <f>TRIM(Table1[[#This Row],[Status]])</f>
        <v>Zaakceptowana</v>
      </c>
      <c r="G705" s="2" t="str">
        <f>TRIM(Table1[[#This Row],[Typ]])</f>
        <v>Faktura VAT</v>
      </c>
      <c r="H705" s="2" t="str">
        <f>TRIM(Table1[[#This Row],[Magazyn]])</f>
        <v>Apteka Szpitalna</v>
      </c>
      <c r="I705" s="2" t="str">
        <f>TRIM(Table1[[#This Row],[Umowa]])</f>
        <v/>
      </c>
      <c r="J705" s="2" t="b">
        <f>ISTEXT(Table14[[#This Row],[Data_Wystawienia]])</f>
        <v>0</v>
      </c>
      <c r="K705" s="2">
        <f>VALUE(SUBSTITUTE(Table14[[#This Row],[Wartość]],".",","))</f>
        <v>17839.88</v>
      </c>
      <c r="L7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5" s="2" t="str">
        <f>IF(Table14[[#This Row],[Umowa]]="","Poza umową","Z umowy")</f>
        <v>Poza umową</v>
      </c>
      <c r="N705" s="2">
        <f>YEAR(Table14[[#This Row],[Data_Wystawienia]])</f>
        <v>2022</v>
      </c>
      <c r="O705" s="2" t="str">
        <f>TEXT(Table14[[#This Row],[Data_Wystawienia]],"rrrr-mm")</f>
        <v>2022-09</v>
      </c>
      <c r="P705" s="2">
        <v>1</v>
      </c>
    </row>
    <row r="706" spans="1:16" x14ac:dyDescent="0.3">
      <c r="A706" s="2" t="str">
        <f>TRIM(Table1[[#This Row],[Numer_FV]])</f>
        <v>FV/9401/NOVA/22</v>
      </c>
      <c r="B706" s="2" t="str">
        <f>TRIM(Table1[[#This Row],[Numer_PZ]])</f>
        <v>PZ/800704</v>
      </c>
      <c r="C706" s="2" t="str">
        <f>TRIM(Table1[[#This Row],[Dostawca]])</f>
        <v>NovaLek</v>
      </c>
      <c r="D706" s="3">
        <v>44826</v>
      </c>
      <c r="E706" s="4" t="s">
        <v>2112</v>
      </c>
      <c r="F706" s="2" t="str">
        <f>TRIM(Table1[[#This Row],[Status]])</f>
        <v>Zaakceptowana</v>
      </c>
      <c r="G706" s="2" t="str">
        <f>TRIM(Table1[[#This Row],[Typ]])</f>
        <v>Faktura VAT</v>
      </c>
      <c r="H706" s="2" t="str">
        <f>TRIM(Table1[[#This Row],[Magazyn]])</f>
        <v>Apteka Szpitalna</v>
      </c>
      <c r="I706" s="2" t="str">
        <f>TRIM(Table1[[#This Row],[Umowa]])</f>
        <v>UM-NOV-03</v>
      </c>
      <c r="J706" s="2" t="b">
        <f>ISTEXT(Table14[[#This Row],[Data_Wystawienia]])</f>
        <v>0</v>
      </c>
      <c r="K706" s="2">
        <f>VALUE(SUBSTITUTE(Table14[[#This Row],[Wartość]],".",","))</f>
        <v>17478.759999999998</v>
      </c>
      <c r="L7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6" s="2" t="str">
        <f>IF(Table14[[#This Row],[Umowa]]="","Poza umową","Z umowy")</f>
        <v>Z umowy</v>
      </c>
      <c r="N706" s="2">
        <f>YEAR(Table14[[#This Row],[Data_Wystawienia]])</f>
        <v>2022</v>
      </c>
      <c r="O706" s="2" t="str">
        <f>TEXT(Table14[[#This Row],[Data_Wystawienia]],"rrrr-mm")</f>
        <v>2022-09</v>
      </c>
      <c r="P706" s="2">
        <v>1</v>
      </c>
    </row>
    <row r="707" spans="1:16" x14ac:dyDescent="0.3">
      <c r="A707" s="2" t="str">
        <f>TRIM(Table1[[#This Row],[Numer_FV]])</f>
        <v>FV/8694/NOVA/22</v>
      </c>
      <c r="B707" s="2" t="str">
        <f>TRIM(Table1[[#This Row],[Numer_PZ]])</f>
        <v>PZ/800705</v>
      </c>
      <c r="C707" s="2" t="str">
        <f>TRIM(Table1[[#This Row],[Dostawca]])</f>
        <v>NovaLek</v>
      </c>
      <c r="D707" s="3">
        <v>44826</v>
      </c>
      <c r="E707" s="4" t="s">
        <v>2115</v>
      </c>
      <c r="F707" s="2" t="str">
        <f>TRIM(Table1[[#This Row],[Status]])</f>
        <v>Zaakceptowana</v>
      </c>
      <c r="G707" s="2" t="str">
        <f>TRIM(Table1[[#This Row],[Typ]])</f>
        <v>Faktura VAT</v>
      </c>
      <c r="H707" s="2" t="str">
        <f>TRIM(Table1[[#This Row],[Magazyn]])</f>
        <v>Apteka Szpitalna</v>
      </c>
      <c r="I707" s="2" t="str">
        <f>TRIM(Table1[[#This Row],[Umowa]])</f>
        <v>UM-NOV-01</v>
      </c>
      <c r="J707" s="2" t="b">
        <f>ISTEXT(Table14[[#This Row],[Data_Wystawienia]])</f>
        <v>0</v>
      </c>
      <c r="K707" s="2">
        <f>VALUE(SUBSTITUTE(Table14[[#This Row],[Wartość]],".",","))</f>
        <v>8176.54</v>
      </c>
      <c r="L7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7" s="2" t="str">
        <f>IF(Table14[[#This Row],[Umowa]]="","Poza umową","Z umowy")</f>
        <v>Z umowy</v>
      </c>
      <c r="N707" s="2">
        <f>YEAR(Table14[[#This Row],[Data_Wystawienia]])</f>
        <v>2022</v>
      </c>
      <c r="O707" s="2" t="str">
        <f>TEXT(Table14[[#This Row],[Data_Wystawienia]],"rrrr-mm")</f>
        <v>2022-09</v>
      </c>
      <c r="P707" s="2">
        <v>1</v>
      </c>
    </row>
    <row r="708" spans="1:16" x14ac:dyDescent="0.3">
      <c r="A708" s="2" t="str">
        <f>TRIM(Table1[[#This Row],[Numer_FV]])</f>
        <v>FV/3304/NOVA/22</v>
      </c>
      <c r="B708" s="2" t="str">
        <f>TRIM(Table1[[#This Row],[Numer_PZ]])</f>
        <v>PZ/800706</v>
      </c>
      <c r="C708" s="2" t="str">
        <f>TRIM(Table1[[#This Row],[Dostawca]])</f>
        <v>NovaLek</v>
      </c>
      <c r="D708" s="3">
        <v>44826</v>
      </c>
      <c r="E708" s="4" t="s">
        <v>2118</v>
      </c>
      <c r="F708" s="2" t="str">
        <f>TRIM(Table1[[#This Row],[Status]])</f>
        <v>Zaakceptowana</v>
      </c>
      <c r="G708" s="2" t="str">
        <f>TRIM(Table1[[#This Row],[Typ]])</f>
        <v>Faktura VAT</v>
      </c>
      <c r="H708" s="2" t="str">
        <f>TRIM(Table1[[#This Row],[Magazyn]])</f>
        <v>Apteka Szpitalna</v>
      </c>
      <c r="I708" s="2" t="str">
        <f>TRIM(Table1[[#This Row],[Umowa]])</f>
        <v/>
      </c>
      <c r="J708" s="2" t="b">
        <f>ISTEXT(Table14[[#This Row],[Data_Wystawienia]])</f>
        <v>0</v>
      </c>
      <c r="K708" s="2">
        <f>VALUE(SUBSTITUTE(Table14[[#This Row],[Wartość]],".",","))</f>
        <v>13423.85</v>
      </c>
      <c r="L7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8" s="2" t="str">
        <f>IF(Table14[[#This Row],[Umowa]]="","Poza umową","Z umowy")</f>
        <v>Poza umową</v>
      </c>
      <c r="N708" s="2">
        <f>YEAR(Table14[[#This Row],[Data_Wystawienia]])</f>
        <v>2022</v>
      </c>
      <c r="O708" s="2" t="str">
        <f>TEXT(Table14[[#This Row],[Data_Wystawienia]],"rrrr-mm")</f>
        <v>2022-09</v>
      </c>
      <c r="P708" s="2">
        <v>1</v>
      </c>
    </row>
    <row r="709" spans="1:16" x14ac:dyDescent="0.3">
      <c r="A709" s="2" t="str">
        <f>TRIM(Table1[[#This Row],[Numer_FV]])</f>
        <v>FV/9148/NOVA/22</v>
      </c>
      <c r="B709" s="2" t="str">
        <f>TRIM(Table1[[#This Row],[Numer_PZ]])</f>
        <v>PZ/800707</v>
      </c>
      <c r="C709" s="2" t="str">
        <f>TRIM(Table1[[#This Row],[Dostawca]])</f>
        <v>NovaLek</v>
      </c>
      <c r="D709" s="3">
        <v>44827</v>
      </c>
      <c r="E709" s="4" t="s">
        <v>2121</v>
      </c>
      <c r="F709" s="2" t="str">
        <f>TRIM(Table1[[#This Row],[Status]])</f>
        <v>Zaakceptowana</v>
      </c>
      <c r="G709" s="2" t="str">
        <f>TRIM(Table1[[#This Row],[Typ]])</f>
        <v>Faktura VAT</v>
      </c>
      <c r="H709" s="2" t="str">
        <f>TRIM(Table1[[#This Row],[Magazyn]])</f>
        <v>Apteka Szpitalna</v>
      </c>
      <c r="I709" s="2" t="str">
        <f>TRIM(Table1[[#This Row],[Umowa]])</f>
        <v>UM-NOV-01</v>
      </c>
      <c r="J709" s="2" t="b">
        <f>ISTEXT(Table14[[#This Row],[Data_Wystawienia]])</f>
        <v>0</v>
      </c>
      <c r="K709" s="2">
        <f>VALUE(SUBSTITUTE(Table14[[#This Row],[Wartość]],".",","))</f>
        <v>15943.32</v>
      </c>
      <c r="L7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09" s="2" t="str">
        <f>IF(Table14[[#This Row],[Umowa]]="","Poza umową","Z umowy")</f>
        <v>Z umowy</v>
      </c>
      <c r="N709" s="2">
        <f>YEAR(Table14[[#This Row],[Data_Wystawienia]])</f>
        <v>2022</v>
      </c>
      <c r="O709" s="2" t="str">
        <f>TEXT(Table14[[#This Row],[Data_Wystawienia]],"rrrr-mm")</f>
        <v>2022-09</v>
      </c>
      <c r="P709" s="2">
        <v>1</v>
      </c>
    </row>
    <row r="710" spans="1:16" x14ac:dyDescent="0.3">
      <c r="A710" s="2" t="str">
        <f>TRIM(Table1[[#This Row],[Numer_FV]])</f>
        <v>FV/2150HM/22</v>
      </c>
      <c r="B710" s="2" t="str">
        <f>TRIM(Table1[[#This Row],[Numer_PZ]])</f>
        <v>PZ/800708</v>
      </c>
      <c r="C710" s="2" t="str">
        <f>TRIM(Table1[[#This Row],[Dostawca]])</f>
        <v>HurtMedix</v>
      </c>
      <c r="D710" s="3">
        <v>44829</v>
      </c>
      <c r="E710" s="4" t="s">
        <v>2124</v>
      </c>
      <c r="F710" s="2" t="str">
        <f>TRIM(Table1[[#This Row],[Status]])</f>
        <v>Zaakceptowana</v>
      </c>
      <c r="G710" s="2" t="str">
        <f>TRIM(Table1[[#This Row],[Typ]])</f>
        <v>Faktura VAT</v>
      </c>
      <c r="H710" s="2" t="str">
        <f>TRIM(Table1[[#This Row],[Magazyn]])</f>
        <v>Apteka Szpitalna</v>
      </c>
      <c r="I710" s="2" t="str">
        <f>TRIM(Table1[[#This Row],[Umowa]])</f>
        <v>UM-HUR-03</v>
      </c>
      <c r="J710" s="2" t="b">
        <f>ISTEXT(Table14[[#This Row],[Data_Wystawienia]])</f>
        <v>0</v>
      </c>
      <c r="K710" s="2">
        <f>VALUE(SUBSTITUTE(Table14[[#This Row],[Wartość]],".",","))</f>
        <v>14262.86</v>
      </c>
      <c r="L7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0" s="2" t="str">
        <f>IF(Table14[[#This Row],[Umowa]]="","Poza umową","Z umowy")</f>
        <v>Z umowy</v>
      </c>
      <c r="N710" s="2">
        <f>YEAR(Table14[[#This Row],[Data_Wystawienia]])</f>
        <v>2022</v>
      </c>
      <c r="O710" s="2" t="str">
        <f>TEXT(Table14[[#This Row],[Data_Wystawienia]],"rrrr-mm")</f>
        <v>2022-09</v>
      </c>
      <c r="P710" s="2">
        <v>1</v>
      </c>
    </row>
    <row r="711" spans="1:16" x14ac:dyDescent="0.3">
      <c r="A711" s="2" t="str">
        <f>TRIM(Table1[[#This Row],[Numer_FV]])</f>
        <v>FV/CENFA/297426/22</v>
      </c>
      <c r="B711" s="2" t="str">
        <f>TRIM(Table1[[#This Row],[Numer_PZ]])</f>
        <v>PZ/800709</v>
      </c>
      <c r="C711" s="2" t="str">
        <f>TRIM(Table1[[#This Row],[Dostawca]])</f>
        <v>CentrumFarm</v>
      </c>
      <c r="D711" s="3">
        <v>44829</v>
      </c>
      <c r="E711" s="4" t="s">
        <v>2127</v>
      </c>
      <c r="F711" s="2" t="str">
        <f>TRIM(Table1[[#This Row],[Status]])</f>
        <v>Zaakceptowana</v>
      </c>
      <c r="G711" s="2" t="str">
        <f>TRIM(Table1[[#This Row],[Typ]])</f>
        <v>Faktura VAT</v>
      </c>
      <c r="H711" s="2" t="str">
        <f>TRIM(Table1[[#This Row],[Magazyn]])</f>
        <v>Apteka Szpitalna</v>
      </c>
      <c r="I711" s="2" t="str">
        <f>TRIM(Table1[[#This Row],[Umowa]])</f>
        <v>UM-CEN-02</v>
      </c>
      <c r="J711" s="2" t="b">
        <f>ISTEXT(Table14[[#This Row],[Data_Wystawienia]])</f>
        <v>0</v>
      </c>
      <c r="K711" s="2">
        <f>VALUE(SUBSTITUTE(Table14[[#This Row],[Wartość]],".",","))</f>
        <v>14778.89</v>
      </c>
      <c r="L7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1" s="2" t="str">
        <f>IF(Table14[[#This Row],[Umowa]]="","Poza umową","Z umowy")</f>
        <v>Z umowy</v>
      </c>
      <c r="N711" s="2">
        <f>YEAR(Table14[[#This Row],[Data_Wystawienia]])</f>
        <v>2022</v>
      </c>
      <c r="O711" s="2" t="str">
        <f>TEXT(Table14[[#This Row],[Data_Wystawienia]],"rrrr-mm")</f>
        <v>2022-09</v>
      </c>
      <c r="P711" s="2">
        <v>1</v>
      </c>
    </row>
    <row r="712" spans="1:16" x14ac:dyDescent="0.3">
      <c r="A712" s="2" t="str">
        <f>TRIM(Table1[[#This Row],[Numer_FV]])</f>
        <v>FV/2432/NOVA/22</v>
      </c>
      <c r="B712" s="2" t="str">
        <f>TRIM(Table1[[#This Row],[Numer_PZ]])</f>
        <v>PZ/800710</v>
      </c>
      <c r="C712" s="2" t="str">
        <f>TRIM(Table1[[#This Row],[Dostawca]])</f>
        <v>NovaLek</v>
      </c>
      <c r="D712" s="3">
        <v>44830</v>
      </c>
      <c r="E712" s="4" t="s">
        <v>2130</v>
      </c>
      <c r="F712" s="2" t="str">
        <f>TRIM(Table1[[#This Row],[Status]])</f>
        <v>Zaakceptowana</v>
      </c>
      <c r="G712" s="2" t="str">
        <f>TRIM(Table1[[#This Row],[Typ]])</f>
        <v>Faktura VAT</v>
      </c>
      <c r="H712" s="2" t="str">
        <f>TRIM(Table1[[#This Row],[Magazyn]])</f>
        <v>Apteka Szpitalna</v>
      </c>
      <c r="I712" s="2" t="str">
        <f>TRIM(Table1[[#This Row],[Umowa]])</f>
        <v>UM-NOV-02</v>
      </c>
      <c r="J712" s="2" t="b">
        <f>ISTEXT(Table14[[#This Row],[Data_Wystawienia]])</f>
        <v>0</v>
      </c>
      <c r="K712" s="2">
        <f>VALUE(SUBSTITUTE(Table14[[#This Row],[Wartość]],".",","))</f>
        <v>16961.650000000001</v>
      </c>
      <c r="L7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2" s="2" t="str">
        <f>IF(Table14[[#This Row],[Umowa]]="","Poza umową","Z umowy")</f>
        <v>Z umowy</v>
      </c>
      <c r="N712" s="2">
        <f>YEAR(Table14[[#This Row],[Data_Wystawienia]])</f>
        <v>2022</v>
      </c>
      <c r="O712" s="2" t="str">
        <f>TEXT(Table14[[#This Row],[Data_Wystawienia]],"rrrr-mm")</f>
        <v>2022-09</v>
      </c>
      <c r="P712" s="2">
        <v>1</v>
      </c>
    </row>
    <row r="713" spans="1:16" x14ac:dyDescent="0.3">
      <c r="A713" s="2" t="str">
        <f>TRIM(Table1[[#This Row],[Numer_FV]])</f>
        <v>FV/46/SAL/22</v>
      </c>
      <c r="B713" s="2" t="str">
        <f>TRIM(Table1[[#This Row],[Numer_PZ]])</f>
        <v>PZ/800711</v>
      </c>
      <c r="C713" s="2" t="str">
        <f>TRIM(Table1[[#This Row],[Dostawca]])</f>
        <v>SalusHurt</v>
      </c>
      <c r="D713" s="3">
        <v>44830</v>
      </c>
      <c r="E713" s="4" t="s">
        <v>2133</v>
      </c>
      <c r="F713" s="2" t="str">
        <f>TRIM(Table1[[#This Row],[Status]])</f>
        <v>Zaakceptowana</v>
      </c>
      <c r="G713" s="2" t="str">
        <f>TRIM(Table1[[#This Row],[Typ]])</f>
        <v>Faktura VAT</v>
      </c>
      <c r="H713" s="2" t="str">
        <f>TRIM(Table1[[#This Row],[Magazyn]])</f>
        <v>Apteka Szpitalna</v>
      </c>
      <c r="I713" s="2" t="str">
        <f>TRIM(Table1[[#This Row],[Umowa]])</f>
        <v/>
      </c>
      <c r="J713" s="2" t="b">
        <f>ISTEXT(Table14[[#This Row],[Data_Wystawienia]])</f>
        <v>0</v>
      </c>
      <c r="K713" s="2">
        <f>VALUE(SUBSTITUTE(Table14[[#This Row],[Wartość]],".",","))</f>
        <v>11536.99</v>
      </c>
      <c r="L7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3" s="2" t="str">
        <f>IF(Table14[[#This Row],[Umowa]]="","Poza umową","Z umowy")</f>
        <v>Poza umową</v>
      </c>
      <c r="N713" s="2">
        <f>YEAR(Table14[[#This Row],[Data_Wystawienia]])</f>
        <v>2022</v>
      </c>
      <c r="O713" s="2" t="str">
        <f>TEXT(Table14[[#This Row],[Data_Wystawienia]],"rrrr-mm")</f>
        <v>2022-09</v>
      </c>
      <c r="P713" s="2">
        <v>1</v>
      </c>
    </row>
    <row r="714" spans="1:16" x14ac:dyDescent="0.3">
      <c r="A714" s="2" t="str">
        <f>TRIM(Table1[[#This Row],[Numer_FV]])</f>
        <v>FV/57/PP/9688/22</v>
      </c>
      <c r="B714" s="2" t="str">
        <f>TRIM(Table1[[#This Row],[Numer_PZ]])</f>
        <v>PZ/800712</v>
      </c>
      <c r="C714" s="2" t="str">
        <f>TRIM(Table1[[#This Row],[Dostawca]])</f>
        <v>PharmaPlus</v>
      </c>
      <c r="D714" s="3">
        <v>44830</v>
      </c>
      <c r="E714" s="4" t="s">
        <v>2136</v>
      </c>
      <c r="F714" s="2" t="str">
        <f>TRIM(Table1[[#This Row],[Status]])</f>
        <v>Zaakceptowana</v>
      </c>
      <c r="G714" s="2" t="str">
        <f>TRIM(Table1[[#This Row],[Typ]])</f>
        <v>Faktura VAT</v>
      </c>
      <c r="H714" s="2" t="str">
        <f>TRIM(Table1[[#This Row],[Magazyn]])</f>
        <v>Apteka Szpitalna</v>
      </c>
      <c r="I714" s="2" t="str">
        <f>TRIM(Table1[[#This Row],[Umowa]])</f>
        <v>UM-PHA-02</v>
      </c>
      <c r="J714" s="2" t="b">
        <f>ISTEXT(Table14[[#This Row],[Data_Wystawienia]])</f>
        <v>0</v>
      </c>
      <c r="K714" s="2">
        <f>VALUE(SUBSTITUTE(Table14[[#This Row],[Wartość]],".",","))</f>
        <v>7223.47</v>
      </c>
      <c r="L7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4" s="2" t="str">
        <f>IF(Table14[[#This Row],[Umowa]]="","Poza umową","Z umowy")</f>
        <v>Z umowy</v>
      </c>
      <c r="N714" s="2">
        <f>YEAR(Table14[[#This Row],[Data_Wystawienia]])</f>
        <v>2022</v>
      </c>
      <c r="O714" s="2" t="str">
        <f>TEXT(Table14[[#This Row],[Data_Wystawienia]],"rrrr-mm")</f>
        <v>2022-09</v>
      </c>
      <c r="P714" s="2">
        <v>1</v>
      </c>
    </row>
    <row r="715" spans="1:16" x14ac:dyDescent="0.3">
      <c r="A715" s="2" t="str">
        <f>TRIM(Table1[[#This Row],[Numer_FV]])</f>
        <v>FV/96/SAL/22</v>
      </c>
      <c r="B715" s="2" t="str">
        <f>TRIM(Table1[[#This Row],[Numer_PZ]])</f>
        <v>PZ/800713</v>
      </c>
      <c r="C715" s="2" t="str">
        <f>TRIM(Table1[[#This Row],[Dostawca]])</f>
        <v>SalusHurt</v>
      </c>
      <c r="D715" s="3">
        <v>44830</v>
      </c>
      <c r="E715" s="4" t="s">
        <v>2138</v>
      </c>
      <c r="F715" s="2" t="str">
        <f>TRIM(Table1[[#This Row],[Status]])</f>
        <v>Zaakceptowana</v>
      </c>
      <c r="G715" s="2" t="str">
        <f>TRIM(Table1[[#This Row],[Typ]])</f>
        <v>Faktura VAT</v>
      </c>
      <c r="H715" s="2" t="str">
        <f>TRIM(Table1[[#This Row],[Magazyn]])</f>
        <v>Apteka Szpitalna</v>
      </c>
      <c r="I715" s="2" t="str">
        <f>TRIM(Table1[[#This Row],[Umowa]])</f>
        <v>UM-SAL-02</v>
      </c>
      <c r="J715" s="2" t="b">
        <f>ISTEXT(Table14[[#This Row],[Data_Wystawienia]])</f>
        <v>0</v>
      </c>
      <c r="K715" s="2">
        <f>VALUE(SUBSTITUTE(Table14[[#This Row],[Wartość]],".",","))</f>
        <v>12845.89</v>
      </c>
      <c r="L7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5" s="2" t="str">
        <f>IF(Table14[[#This Row],[Umowa]]="","Poza umową","Z umowy")</f>
        <v>Z umowy</v>
      </c>
      <c r="N715" s="2">
        <f>YEAR(Table14[[#This Row],[Data_Wystawienia]])</f>
        <v>2022</v>
      </c>
      <c r="O715" s="2" t="str">
        <f>TEXT(Table14[[#This Row],[Data_Wystawienia]],"rrrr-mm")</f>
        <v>2022-09</v>
      </c>
      <c r="P715" s="2">
        <v>1</v>
      </c>
    </row>
    <row r="716" spans="1:16" x14ac:dyDescent="0.3">
      <c r="A716" s="2" t="str">
        <f>TRIM(Table1[[#This Row],[Numer_FV]])</f>
        <v>FV/5898HM/22</v>
      </c>
      <c r="B716" s="2" t="str">
        <f>TRIM(Table1[[#This Row],[Numer_PZ]])</f>
        <v>PZ/800714</v>
      </c>
      <c r="C716" s="2" t="str">
        <f>TRIM(Table1[[#This Row],[Dostawca]])</f>
        <v>HurtMedix</v>
      </c>
      <c r="D716" s="3">
        <v>44830</v>
      </c>
      <c r="E716" s="4" t="s">
        <v>2141</v>
      </c>
      <c r="F716" s="2" t="str">
        <f>TRIM(Table1[[#This Row],[Status]])</f>
        <v>Zaakceptowana</v>
      </c>
      <c r="G716" s="2" t="str">
        <f>TRIM(Table1[[#This Row],[Typ]])</f>
        <v>Faktura VAT</v>
      </c>
      <c r="H716" s="2" t="str">
        <f>TRIM(Table1[[#This Row],[Magazyn]])</f>
        <v>Apteka Szpitalna</v>
      </c>
      <c r="I716" s="2" t="str">
        <f>TRIM(Table1[[#This Row],[Umowa]])</f>
        <v>UM-HUR-02</v>
      </c>
      <c r="J716" s="2" t="b">
        <f>ISTEXT(Table14[[#This Row],[Data_Wystawienia]])</f>
        <v>0</v>
      </c>
      <c r="K716" s="2">
        <f>VALUE(SUBSTITUTE(Table14[[#This Row],[Wartość]],".",","))</f>
        <v>8996.82</v>
      </c>
      <c r="L7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6" s="2" t="str">
        <f>IF(Table14[[#This Row],[Umowa]]="","Poza umową","Z umowy")</f>
        <v>Z umowy</v>
      </c>
      <c r="N716" s="2">
        <f>YEAR(Table14[[#This Row],[Data_Wystawienia]])</f>
        <v>2022</v>
      </c>
      <c r="O716" s="2" t="str">
        <f>TEXT(Table14[[#This Row],[Data_Wystawienia]],"rrrr-mm")</f>
        <v>2022-09</v>
      </c>
      <c r="P716" s="2">
        <v>1</v>
      </c>
    </row>
    <row r="717" spans="1:16" x14ac:dyDescent="0.3">
      <c r="A717" s="2" t="str">
        <f>TRIM(Table1[[#This Row],[Numer_FV]])</f>
        <v>FV/82/SAL/22</v>
      </c>
      <c r="B717" s="2" t="str">
        <f>TRIM(Table1[[#This Row],[Numer_PZ]])</f>
        <v>PZ/800715</v>
      </c>
      <c r="C717" s="2" t="str">
        <f>TRIM(Table1[[#This Row],[Dostawca]])</f>
        <v>SalusHurt</v>
      </c>
      <c r="D717" s="3">
        <v>44831</v>
      </c>
      <c r="E717" s="4" t="s">
        <v>2143</v>
      </c>
      <c r="F717" s="2" t="str">
        <f>TRIM(Table1[[#This Row],[Status]])</f>
        <v>Zaakceptowana</v>
      </c>
      <c r="G717" s="2" t="str">
        <f>TRIM(Table1[[#This Row],[Typ]])</f>
        <v>Faktura VAT</v>
      </c>
      <c r="H717" s="2" t="str">
        <f>TRIM(Table1[[#This Row],[Magazyn]])</f>
        <v>Apteka Szpitalna</v>
      </c>
      <c r="I717" s="2" t="str">
        <f>TRIM(Table1[[#This Row],[Umowa]])</f>
        <v>UM-SAL-01</v>
      </c>
      <c r="J717" s="2" t="b">
        <f>ISTEXT(Table14[[#This Row],[Data_Wystawienia]])</f>
        <v>0</v>
      </c>
      <c r="K717" s="2">
        <f>VALUE(SUBSTITUTE(Table14[[#This Row],[Wartość]],".",","))</f>
        <v>14322.32</v>
      </c>
      <c r="L7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7" s="2" t="str">
        <f>IF(Table14[[#This Row],[Umowa]]="","Poza umową","Z umowy")</f>
        <v>Z umowy</v>
      </c>
      <c r="N717" s="2">
        <f>YEAR(Table14[[#This Row],[Data_Wystawienia]])</f>
        <v>2022</v>
      </c>
      <c r="O717" s="2" t="str">
        <f>TEXT(Table14[[#This Row],[Data_Wystawienia]],"rrrr-mm")</f>
        <v>2022-09</v>
      </c>
      <c r="P717" s="2">
        <v>1</v>
      </c>
    </row>
    <row r="718" spans="1:16" x14ac:dyDescent="0.3">
      <c r="A718" s="2" t="str">
        <f>TRIM(Table1[[#This Row],[Numer_FV]])</f>
        <v>FV/74/SAL/22</v>
      </c>
      <c r="B718" s="2" t="str">
        <f>TRIM(Table1[[#This Row],[Numer_PZ]])</f>
        <v>PZ/800716</v>
      </c>
      <c r="C718" s="2" t="str">
        <f>TRIM(Table1[[#This Row],[Dostawca]])</f>
        <v>SalusHurt</v>
      </c>
      <c r="D718" s="3">
        <v>44831</v>
      </c>
      <c r="E718" s="4" t="s">
        <v>2145</v>
      </c>
      <c r="F718" s="2" t="str">
        <f>TRIM(Table1[[#This Row],[Status]])</f>
        <v>Zaakceptowana</v>
      </c>
      <c r="G718" s="2" t="str">
        <f>TRIM(Table1[[#This Row],[Typ]])</f>
        <v>Faktura VAT</v>
      </c>
      <c r="H718" s="2" t="str">
        <f>TRIM(Table1[[#This Row],[Magazyn]])</f>
        <v>Apteka Szpitalna</v>
      </c>
      <c r="I718" s="2" t="str">
        <f>TRIM(Table1[[#This Row],[Umowa]])</f>
        <v>UM-SAL-01</v>
      </c>
      <c r="J718" s="2" t="b">
        <f>ISTEXT(Table14[[#This Row],[Data_Wystawienia]])</f>
        <v>0</v>
      </c>
      <c r="K718" s="2">
        <f>VALUE(SUBSTITUTE(Table14[[#This Row],[Wartość]],".",","))</f>
        <v>16402.11</v>
      </c>
      <c r="L7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8" s="2" t="str">
        <f>IF(Table14[[#This Row],[Umowa]]="","Poza umową","Z umowy")</f>
        <v>Z umowy</v>
      </c>
      <c r="N718" s="2">
        <f>YEAR(Table14[[#This Row],[Data_Wystawienia]])</f>
        <v>2022</v>
      </c>
      <c r="O718" s="2" t="str">
        <f>TEXT(Table14[[#This Row],[Data_Wystawienia]],"rrrr-mm")</f>
        <v>2022-09</v>
      </c>
      <c r="P718" s="2">
        <v>1</v>
      </c>
    </row>
    <row r="719" spans="1:16" x14ac:dyDescent="0.3">
      <c r="A719" s="2" t="str">
        <f>TRIM(Table1[[#This Row],[Numer_FV]])</f>
        <v>FV/M/9302/P/22</v>
      </c>
      <c r="B719" s="2" t="str">
        <f>TRIM(Table1[[#This Row],[Numer_PZ]])</f>
        <v>PZ/800717</v>
      </c>
      <c r="C719" s="2" t="str">
        <f>TRIM(Table1[[#This Row],[Dostawca]])</f>
        <v>MedicaPharm</v>
      </c>
      <c r="D719" s="3">
        <v>44831</v>
      </c>
      <c r="E719" s="4" t="s">
        <v>2148</v>
      </c>
      <c r="F719" s="2" t="str">
        <f>TRIM(Table1[[#This Row],[Status]])</f>
        <v>Zaakceptowana</v>
      </c>
      <c r="G719" s="2" t="str">
        <f>TRIM(Table1[[#This Row],[Typ]])</f>
        <v>Faktura VAT</v>
      </c>
      <c r="H719" s="2" t="str">
        <f>TRIM(Table1[[#This Row],[Magazyn]])</f>
        <v>Apteka Szpitalna</v>
      </c>
      <c r="I719" s="2" t="str">
        <f>TRIM(Table1[[#This Row],[Umowa]])</f>
        <v>UM-MED-02</v>
      </c>
      <c r="J719" s="2" t="b">
        <f>ISTEXT(Table14[[#This Row],[Data_Wystawienia]])</f>
        <v>0</v>
      </c>
      <c r="K719" s="2">
        <f>VALUE(SUBSTITUTE(Table14[[#This Row],[Wartość]],".",","))</f>
        <v>9629.19</v>
      </c>
      <c r="L7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19" s="2" t="str">
        <f>IF(Table14[[#This Row],[Umowa]]="","Poza umową","Z umowy")</f>
        <v>Z umowy</v>
      </c>
      <c r="N719" s="2">
        <f>YEAR(Table14[[#This Row],[Data_Wystawienia]])</f>
        <v>2022</v>
      </c>
      <c r="O719" s="2" t="str">
        <f>TEXT(Table14[[#This Row],[Data_Wystawienia]],"rrrr-mm")</f>
        <v>2022-09</v>
      </c>
      <c r="P719" s="2">
        <v>1</v>
      </c>
    </row>
    <row r="720" spans="1:16" x14ac:dyDescent="0.3">
      <c r="A720" s="2" t="str">
        <f>TRIM(Table1[[#This Row],[Numer_FV]])</f>
        <v>FV/36134/VDb/2022</v>
      </c>
      <c r="B720" s="2" t="str">
        <f>TRIM(Table1[[#This Row],[Numer_PZ]])</f>
        <v>PZ/800718</v>
      </c>
      <c r="C720" s="2" t="str">
        <f>TRIM(Table1[[#This Row],[Dostawca]])</f>
        <v>VitaDistrib</v>
      </c>
      <c r="D720" s="3">
        <v>44831</v>
      </c>
      <c r="E720" s="4" t="s">
        <v>2151</v>
      </c>
      <c r="F720" s="2" t="str">
        <f>TRIM(Table1[[#This Row],[Status]])</f>
        <v>Zaakceptowana</v>
      </c>
      <c r="G720" s="2" t="str">
        <f>TRIM(Table1[[#This Row],[Typ]])</f>
        <v>Faktura VAT</v>
      </c>
      <c r="H720" s="2" t="str">
        <f>TRIM(Table1[[#This Row],[Magazyn]])</f>
        <v>Apteka Szpitalna</v>
      </c>
      <c r="I720" s="2" t="str">
        <f>TRIM(Table1[[#This Row],[Umowa]])</f>
        <v>UM-VIT-01</v>
      </c>
      <c r="J720" s="2" t="b">
        <f>ISTEXT(Table14[[#This Row],[Data_Wystawienia]])</f>
        <v>0</v>
      </c>
      <c r="K720" s="2">
        <f>VALUE(SUBSTITUTE(Table14[[#This Row],[Wartość]],".",","))</f>
        <v>14447.41</v>
      </c>
      <c r="L7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0" s="2" t="str">
        <f>IF(Table14[[#This Row],[Umowa]]="","Poza umową","Z umowy")</f>
        <v>Z umowy</v>
      </c>
      <c r="N720" s="2">
        <f>YEAR(Table14[[#This Row],[Data_Wystawienia]])</f>
        <v>2022</v>
      </c>
      <c r="O720" s="2" t="str">
        <f>TEXT(Table14[[#This Row],[Data_Wystawienia]],"rrrr-mm")</f>
        <v>2022-09</v>
      </c>
      <c r="P720" s="2">
        <v>1</v>
      </c>
    </row>
    <row r="721" spans="1:16" x14ac:dyDescent="0.3">
      <c r="A721" s="2" t="str">
        <f>TRIM(Table1[[#This Row],[Numer_FV]])</f>
        <v>FV/CENFA/560480/22</v>
      </c>
      <c r="B721" s="2" t="str">
        <f>TRIM(Table1[[#This Row],[Numer_PZ]])</f>
        <v>PZ/800719</v>
      </c>
      <c r="C721" s="2" t="str">
        <f>TRIM(Table1[[#This Row],[Dostawca]])</f>
        <v>CentrumFarm</v>
      </c>
      <c r="D721" s="3">
        <v>44832</v>
      </c>
      <c r="E721" s="4" t="s">
        <v>2154</v>
      </c>
      <c r="F721" s="2" t="str">
        <f>TRIM(Table1[[#This Row],[Status]])</f>
        <v>Zaakceptowana</v>
      </c>
      <c r="G721" s="2" t="str">
        <f>TRIM(Table1[[#This Row],[Typ]])</f>
        <v>Faktura VAT</v>
      </c>
      <c r="H721" s="2" t="str">
        <f>TRIM(Table1[[#This Row],[Magazyn]])</f>
        <v>Apteka Szpitalna</v>
      </c>
      <c r="I721" s="2" t="str">
        <f>TRIM(Table1[[#This Row],[Umowa]])</f>
        <v>UM-CEN-01</v>
      </c>
      <c r="J721" s="2" t="b">
        <f>ISTEXT(Table14[[#This Row],[Data_Wystawienia]])</f>
        <v>0</v>
      </c>
      <c r="K721" s="2">
        <f>VALUE(SUBSTITUTE(Table14[[#This Row],[Wartość]],".",","))</f>
        <v>19369.919999999998</v>
      </c>
      <c r="L7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1" s="2" t="str">
        <f>IF(Table14[[#This Row],[Umowa]]="","Poza umową","Z umowy")</f>
        <v>Z umowy</v>
      </c>
      <c r="N721" s="2">
        <f>YEAR(Table14[[#This Row],[Data_Wystawienia]])</f>
        <v>2022</v>
      </c>
      <c r="O721" s="2" t="str">
        <f>TEXT(Table14[[#This Row],[Data_Wystawienia]],"rrrr-mm")</f>
        <v>2022-09</v>
      </c>
      <c r="P721" s="2">
        <v>1</v>
      </c>
    </row>
    <row r="722" spans="1:16" x14ac:dyDescent="0.3">
      <c r="A722" s="2" t="str">
        <f>TRIM(Table1[[#This Row],[Numer_FV]])</f>
        <v>FV/CENFA/703068/22</v>
      </c>
      <c r="B722" s="2" t="str">
        <f>TRIM(Table1[[#This Row],[Numer_PZ]])</f>
        <v>PZ/800720</v>
      </c>
      <c r="C722" s="2" t="str">
        <f>TRIM(Table1[[#This Row],[Dostawca]])</f>
        <v>CentrumFarm</v>
      </c>
      <c r="D722" s="3">
        <v>44832</v>
      </c>
      <c r="E722" s="4" t="s">
        <v>2157</v>
      </c>
      <c r="F722" s="2" t="str">
        <f>TRIM(Table1[[#This Row],[Status]])</f>
        <v>Zaakceptowana</v>
      </c>
      <c r="G722" s="2" t="str">
        <f>TRIM(Table1[[#This Row],[Typ]])</f>
        <v>Faktura VAT</v>
      </c>
      <c r="H722" s="2" t="str">
        <f>TRIM(Table1[[#This Row],[Magazyn]])</f>
        <v>Apteka Szpitalna</v>
      </c>
      <c r="I722" s="2" t="str">
        <f>TRIM(Table1[[#This Row],[Umowa]])</f>
        <v>UM-CEN-01</v>
      </c>
      <c r="J722" s="2" t="b">
        <f>ISTEXT(Table14[[#This Row],[Data_Wystawienia]])</f>
        <v>0</v>
      </c>
      <c r="K722" s="2">
        <f>VALUE(SUBSTITUTE(Table14[[#This Row],[Wartość]],".",","))</f>
        <v>21659.95</v>
      </c>
      <c r="L7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2" s="2" t="str">
        <f>IF(Table14[[#This Row],[Umowa]]="","Poza umową","Z umowy")</f>
        <v>Z umowy</v>
      </c>
      <c r="N722" s="2">
        <f>YEAR(Table14[[#This Row],[Data_Wystawienia]])</f>
        <v>2022</v>
      </c>
      <c r="O722" s="2" t="str">
        <f>TEXT(Table14[[#This Row],[Data_Wystawienia]],"rrrr-mm")</f>
        <v>2022-09</v>
      </c>
      <c r="P722" s="2">
        <v>1</v>
      </c>
    </row>
    <row r="723" spans="1:16" x14ac:dyDescent="0.3">
      <c r="A723" s="2" t="str">
        <f>TRIM(Table1[[#This Row],[Numer_FV]])</f>
        <v>FV/1431HM/22</v>
      </c>
      <c r="B723" s="2" t="str">
        <f>TRIM(Table1[[#This Row],[Numer_PZ]])</f>
        <v>PZ/800721</v>
      </c>
      <c r="C723" s="2" t="str">
        <f>TRIM(Table1[[#This Row],[Dostawca]])</f>
        <v>HurtMedix</v>
      </c>
      <c r="D723" s="3">
        <v>44832</v>
      </c>
      <c r="E723" s="4" t="s">
        <v>2160</v>
      </c>
      <c r="F723" s="2" t="str">
        <f>TRIM(Table1[[#This Row],[Status]])</f>
        <v>Zaakceptowana</v>
      </c>
      <c r="G723" s="2" t="str">
        <f>TRIM(Table1[[#This Row],[Typ]])</f>
        <v>Faktura VAT</v>
      </c>
      <c r="H723" s="2" t="str">
        <f>TRIM(Table1[[#This Row],[Magazyn]])</f>
        <v>Apteka Szpitalna</v>
      </c>
      <c r="I723" s="2" t="str">
        <f>TRIM(Table1[[#This Row],[Umowa]])</f>
        <v>UM-HUR-01</v>
      </c>
      <c r="J723" s="2" t="b">
        <f>ISTEXT(Table14[[#This Row],[Data_Wystawienia]])</f>
        <v>0</v>
      </c>
      <c r="K723" s="2">
        <f>VALUE(SUBSTITUTE(Table14[[#This Row],[Wartość]],".",","))</f>
        <v>18163.62</v>
      </c>
      <c r="L7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3" s="2" t="str">
        <f>IF(Table14[[#This Row],[Umowa]]="","Poza umową","Z umowy")</f>
        <v>Z umowy</v>
      </c>
      <c r="N723" s="2">
        <f>YEAR(Table14[[#This Row],[Data_Wystawienia]])</f>
        <v>2022</v>
      </c>
      <c r="O723" s="2" t="str">
        <f>TEXT(Table14[[#This Row],[Data_Wystawienia]],"rrrr-mm")</f>
        <v>2022-09</v>
      </c>
      <c r="P723" s="2">
        <v>1</v>
      </c>
    </row>
    <row r="724" spans="1:16" x14ac:dyDescent="0.3">
      <c r="A724" s="2" t="str">
        <f>TRIM(Table1[[#This Row],[Numer_FV]])</f>
        <v>FV/POL/77634/2022</v>
      </c>
      <c r="B724" s="2" t="str">
        <f>TRIM(Table1[[#This Row],[Numer_PZ]])</f>
        <v>PZ/800722</v>
      </c>
      <c r="C724" s="2" t="str">
        <f>TRIM(Table1[[#This Row],[Dostawca]])</f>
        <v>Polmedica</v>
      </c>
      <c r="D724" s="3">
        <v>44834</v>
      </c>
      <c r="E724" s="4" t="s">
        <v>2163</v>
      </c>
      <c r="F724" s="2" t="str">
        <f>TRIM(Table1[[#This Row],[Status]])</f>
        <v>Zaakceptowana</v>
      </c>
      <c r="G724" s="2" t="str">
        <f>TRIM(Table1[[#This Row],[Typ]])</f>
        <v>Korekta FV</v>
      </c>
      <c r="H724" s="2" t="str">
        <f>TRIM(Table1[[#This Row],[Magazyn]])</f>
        <v>Apteka Szpitalna</v>
      </c>
      <c r="I724" s="2" t="str">
        <f>TRIM(Table1[[#This Row],[Umowa]])</f>
        <v>UM-POL-01</v>
      </c>
      <c r="J724" s="2" t="b">
        <f>ISTEXT(Table14[[#This Row],[Data_Wystawienia]])</f>
        <v>0</v>
      </c>
      <c r="K724" s="2">
        <f>VALUE(SUBSTITUTE(Table14[[#This Row],[Wartość]],".",","))</f>
        <v>-2446.8200000000002</v>
      </c>
      <c r="L7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4" s="2" t="str">
        <f>IF(Table14[[#This Row],[Umowa]]="","Poza umową","Z umowy")</f>
        <v>Z umowy</v>
      </c>
      <c r="N724" s="2">
        <f>YEAR(Table14[[#This Row],[Data_Wystawienia]])</f>
        <v>2022</v>
      </c>
      <c r="O724" s="2" t="str">
        <f>TEXT(Table14[[#This Row],[Data_Wystawienia]],"rrrr-mm")</f>
        <v>2022-09</v>
      </c>
      <c r="P724" s="2">
        <v>1</v>
      </c>
    </row>
    <row r="725" spans="1:16" x14ac:dyDescent="0.3">
      <c r="A725" s="2" t="str">
        <f>TRIM(Table1[[#This Row],[Numer_FV]])</f>
        <v>FV/60/PP/3033/22</v>
      </c>
      <c r="B725" s="2" t="str">
        <f>TRIM(Table1[[#This Row],[Numer_PZ]])</f>
        <v>PZ/800723</v>
      </c>
      <c r="C725" s="2" t="str">
        <f>TRIM(Table1[[#This Row],[Dostawca]])</f>
        <v>PharmaPlus</v>
      </c>
      <c r="D725" s="3">
        <v>44834</v>
      </c>
      <c r="E725" s="4" t="s">
        <v>2166</v>
      </c>
      <c r="F725" s="2" t="str">
        <f>TRIM(Table1[[#This Row],[Status]])</f>
        <v>Zaakceptowana</v>
      </c>
      <c r="G725" s="2" t="str">
        <f>TRIM(Table1[[#This Row],[Typ]])</f>
        <v>Faktura VAT</v>
      </c>
      <c r="H725" s="2" t="str">
        <f>TRIM(Table1[[#This Row],[Magazyn]])</f>
        <v>Apteka Szpitalna</v>
      </c>
      <c r="I725" s="2" t="str">
        <f>TRIM(Table1[[#This Row],[Umowa]])</f>
        <v>UM-PHA-01</v>
      </c>
      <c r="J725" s="2" t="b">
        <f>ISTEXT(Table14[[#This Row],[Data_Wystawienia]])</f>
        <v>0</v>
      </c>
      <c r="K725" s="2">
        <f>VALUE(SUBSTITUTE(Table14[[#This Row],[Wartość]],".",","))</f>
        <v>5903.94</v>
      </c>
      <c r="L7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5" s="2" t="str">
        <f>IF(Table14[[#This Row],[Umowa]]="","Poza umową","Z umowy")</f>
        <v>Z umowy</v>
      </c>
      <c r="N725" s="2">
        <f>YEAR(Table14[[#This Row],[Data_Wystawienia]])</f>
        <v>2022</v>
      </c>
      <c r="O725" s="2" t="str">
        <f>TEXT(Table14[[#This Row],[Data_Wystawienia]],"rrrr-mm")</f>
        <v>2022-09</v>
      </c>
      <c r="P725" s="2">
        <v>1</v>
      </c>
    </row>
    <row r="726" spans="1:16" x14ac:dyDescent="0.3">
      <c r="A726" s="2" t="str">
        <f>TRIM(Table1[[#This Row],[Numer_FV]])</f>
        <v>FV/CENFA/252173/22</v>
      </c>
      <c r="B726" s="2" t="str">
        <f>TRIM(Table1[[#This Row],[Numer_PZ]])</f>
        <v>PZ/800724</v>
      </c>
      <c r="C726" s="2" t="str">
        <f>TRIM(Table1[[#This Row],[Dostawca]])</f>
        <v>CentrumFarm</v>
      </c>
      <c r="D726" s="3">
        <v>44834</v>
      </c>
      <c r="E726" s="4" t="s">
        <v>2169</v>
      </c>
      <c r="F726" s="2" t="str">
        <f>TRIM(Table1[[#This Row],[Status]])</f>
        <v>Zaakceptowana</v>
      </c>
      <c r="G726" s="2" t="str">
        <f>TRIM(Table1[[#This Row],[Typ]])</f>
        <v>Faktura VAT</v>
      </c>
      <c r="H726" s="2" t="str">
        <f>TRIM(Table1[[#This Row],[Magazyn]])</f>
        <v>Apteka Szpitalna</v>
      </c>
      <c r="I726" s="2" t="str">
        <f>TRIM(Table1[[#This Row],[Umowa]])</f>
        <v>UM-CEN-02</v>
      </c>
      <c r="J726" s="2" t="b">
        <f>ISTEXT(Table14[[#This Row],[Data_Wystawienia]])</f>
        <v>0</v>
      </c>
      <c r="K726" s="2">
        <f>VALUE(SUBSTITUTE(Table14[[#This Row],[Wartość]],".",","))</f>
        <v>17223.38</v>
      </c>
      <c r="L7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6" s="2" t="str">
        <f>IF(Table14[[#This Row],[Umowa]]="","Poza umową","Z umowy")</f>
        <v>Z umowy</v>
      </c>
      <c r="N726" s="2">
        <f>YEAR(Table14[[#This Row],[Data_Wystawienia]])</f>
        <v>2022</v>
      </c>
      <c r="O726" s="2" t="str">
        <f>TEXT(Table14[[#This Row],[Data_Wystawienia]],"rrrr-mm")</f>
        <v>2022-09</v>
      </c>
      <c r="P726" s="2">
        <v>1</v>
      </c>
    </row>
    <row r="727" spans="1:16" x14ac:dyDescent="0.3">
      <c r="A727" s="2" t="str">
        <f>TRIM(Table1[[#This Row],[Numer_FV]])</f>
        <v>FV/76438/VDb/2022</v>
      </c>
      <c r="B727" s="2" t="str">
        <f>TRIM(Table1[[#This Row],[Numer_PZ]])</f>
        <v>PZ/800725</v>
      </c>
      <c r="C727" s="2" t="str">
        <f>TRIM(Table1[[#This Row],[Dostawca]])</f>
        <v>VitaDistrib</v>
      </c>
      <c r="D727" s="3">
        <v>44834</v>
      </c>
      <c r="E727" s="4" t="s">
        <v>2172</v>
      </c>
      <c r="F727" s="2" t="str">
        <f>TRIM(Table1[[#This Row],[Status]])</f>
        <v>Zaakceptowana</v>
      </c>
      <c r="G727" s="2" t="str">
        <f>TRIM(Table1[[#This Row],[Typ]])</f>
        <v>Faktura VAT</v>
      </c>
      <c r="H727" s="2" t="str">
        <f>TRIM(Table1[[#This Row],[Magazyn]])</f>
        <v>Apteka Szpitalna</v>
      </c>
      <c r="I727" s="2" t="str">
        <f>TRIM(Table1[[#This Row],[Umowa]])</f>
        <v/>
      </c>
      <c r="J727" s="2" t="b">
        <f>ISTEXT(Table14[[#This Row],[Data_Wystawienia]])</f>
        <v>0</v>
      </c>
      <c r="K727" s="2">
        <f>VALUE(SUBSTITUTE(Table14[[#This Row],[Wartość]],".",","))</f>
        <v>17045.73</v>
      </c>
      <c r="L7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7" s="2" t="str">
        <f>IF(Table14[[#This Row],[Umowa]]="","Poza umową","Z umowy")</f>
        <v>Poza umową</v>
      </c>
      <c r="N727" s="2">
        <f>YEAR(Table14[[#This Row],[Data_Wystawienia]])</f>
        <v>2022</v>
      </c>
      <c r="O727" s="2" t="str">
        <f>TEXT(Table14[[#This Row],[Data_Wystawienia]],"rrrr-mm")</f>
        <v>2022-09</v>
      </c>
      <c r="P727" s="2">
        <v>1</v>
      </c>
    </row>
    <row r="728" spans="1:16" x14ac:dyDescent="0.3">
      <c r="A728" s="2" t="str">
        <f>TRIM(Table1[[#This Row],[Numer_FV]])</f>
        <v>FV/CENFA/607621/22</v>
      </c>
      <c r="B728" s="2" t="str">
        <f>TRIM(Table1[[#This Row],[Numer_PZ]])</f>
        <v>PZ/800726</v>
      </c>
      <c r="C728" s="2" t="str">
        <f>TRIM(Table1[[#This Row],[Dostawca]])</f>
        <v>CentrumFarm</v>
      </c>
      <c r="D728" s="3">
        <v>44836</v>
      </c>
      <c r="E728" s="4" t="s">
        <v>2175</v>
      </c>
      <c r="F728" s="2" t="str">
        <f>TRIM(Table1[[#This Row],[Status]])</f>
        <v>Zaakceptowana</v>
      </c>
      <c r="G728" s="2" t="str">
        <f>TRIM(Table1[[#This Row],[Typ]])</f>
        <v>Faktura VAT</v>
      </c>
      <c r="H728" s="2" t="str">
        <f>TRIM(Table1[[#This Row],[Magazyn]])</f>
        <v>Apteka Szpitalna</v>
      </c>
      <c r="I728" s="2" t="str">
        <f>TRIM(Table1[[#This Row],[Umowa]])</f>
        <v>UM-CEN-01</v>
      </c>
      <c r="J728" s="2" t="b">
        <f>ISTEXT(Table14[[#This Row],[Data_Wystawienia]])</f>
        <v>0</v>
      </c>
      <c r="K728" s="2">
        <f>VALUE(SUBSTITUTE(Table14[[#This Row],[Wartość]],".",","))</f>
        <v>16039.19</v>
      </c>
      <c r="L7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8" s="2" t="str">
        <f>IF(Table14[[#This Row],[Umowa]]="","Poza umową","Z umowy")</f>
        <v>Z umowy</v>
      </c>
      <c r="N728" s="2">
        <f>YEAR(Table14[[#This Row],[Data_Wystawienia]])</f>
        <v>2022</v>
      </c>
      <c r="O728" s="2" t="str">
        <f>TEXT(Table14[[#This Row],[Data_Wystawienia]],"rrrr-mm")</f>
        <v>2022-10</v>
      </c>
      <c r="P728" s="2">
        <v>1</v>
      </c>
    </row>
    <row r="729" spans="1:16" x14ac:dyDescent="0.3">
      <c r="A729" s="2" t="str">
        <f>TRIM(Table1[[#This Row],[Numer_FV]])</f>
        <v>FV/58/SAL/22</v>
      </c>
      <c r="B729" s="2" t="str">
        <f>TRIM(Table1[[#This Row],[Numer_PZ]])</f>
        <v>PZ/800727</v>
      </c>
      <c r="C729" s="2" t="str">
        <f>TRIM(Table1[[#This Row],[Dostawca]])</f>
        <v>SalusHurt</v>
      </c>
      <c r="D729" s="3">
        <v>44836</v>
      </c>
      <c r="E729" s="4" t="s">
        <v>2177</v>
      </c>
      <c r="F729" s="2" t="str">
        <f>TRIM(Table1[[#This Row],[Status]])</f>
        <v>Zaakceptowana</v>
      </c>
      <c r="G729" s="2" t="str">
        <f>TRIM(Table1[[#This Row],[Typ]])</f>
        <v>Faktura VAT</v>
      </c>
      <c r="H729" s="2" t="str">
        <f>TRIM(Table1[[#This Row],[Magazyn]])</f>
        <v>Apteka Szpitalna</v>
      </c>
      <c r="I729" s="2" t="str">
        <f>TRIM(Table1[[#This Row],[Umowa]])</f>
        <v>UM-SAL-01</v>
      </c>
      <c r="J729" s="2" t="b">
        <f>ISTEXT(Table14[[#This Row],[Data_Wystawienia]])</f>
        <v>0</v>
      </c>
      <c r="K729" s="2">
        <f>VALUE(SUBSTITUTE(Table14[[#This Row],[Wartość]],".",","))</f>
        <v>12196.89</v>
      </c>
      <c r="L7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29" s="2" t="str">
        <f>IF(Table14[[#This Row],[Umowa]]="","Poza umową","Z umowy")</f>
        <v>Z umowy</v>
      </c>
      <c r="N729" s="2">
        <f>YEAR(Table14[[#This Row],[Data_Wystawienia]])</f>
        <v>2022</v>
      </c>
      <c r="O729" s="2" t="str">
        <f>TEXT(Table14[[#This Row],[Data_Wystawienia]],"rrrr-mm")</f>
        <v>2022-10</v>
      </c>
      <c r="P729" s="2">
        <v>1</v>
      </c>
    </row>
    <row r="730" spans="1:16" x14ac:dyDescent="0.3">
      <c r="A730" s="2" t="str">
        <f>TRIM(Table1[[#This Row],[Numer_FV]])</f>
        <v>FV/7504HM/22</v>
      </c>
      <c r="B730" s="2" t="str">
        <f>TRIM(Table1[[#This Row],[Numer_PZ]])</f>
        <v>PZ/800728</v>
      </c>
      <c r="C730" s="2" t="str">
        <f>TRIM(Table1[[#This Row],[Dostawca]])</f>
        <v>HurtMedix</v>
      </c>
      <c r="D730" s="3">
        <v>44836</v>
      </c>
      <c r="E730" s="4" t="s">
        <v>2180</v>
      </c>
      <c r="F730" s="2" t="str">
        <f>TRIM(Table1[[#This Row],[Status]])</f>
        <v>Zaakceptowana</v>
      </c>
      <c r="G730" s="2" t="str">
        <f>TRIM(Table1[[#This Row],[Typ]])</f>
        <v>Faktura VAT</v>
      </c>
      <c r="H730" s="2" t="str">
        <f>TRIM(Table1[[#This Row],[Magazyn]])</f>
        <v>Apteka Szpitalna</v>
      </c>
      <c r="I730" s="2" t="str">
        <f>TRIM(Table1[[#This Row],[Umowa]])</f>
        <v>UM-HUR-02</v>
      </c>
      <c r="J730" s="2" t="b">
        <f>ISTEXT(Table14[[#This Row],[Data_Wystawienia]])</f>
        <v>0</v>
      </c>
      <c r="K730" s="2">
        <f>VALUE(SUBSTITUTE(Table14[[#This Row],[Wartość]],".",","))</f>
        <v>25320.49</v>
      </c>
      <c r="L7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0" s="2" t="str">
        <f>IF(Table14[[#This Row],[Umowa]]="","Poza umową","Z umowy")</f>
        <v>Z umowy</v>
      </c>
      <c r="N730" s="2">
        <f>YEAR(Table14[[#This Row],[Data_Wystawienia]])</f>
        <v>2022</v>
      </c>
      <c r="O730" s="2" t="str">
        <f>TEXT(Table14[[#This Row],[Data_Wystawienia]],"rrrr-mm")</f>
        <v>2022-10</v>
      </c>
      <c r="P730" s="2">
        <v>1</v>
      </c>
    </row>
    <row r="731" spans="1:16" x14ac:dyDescent="0.3">
      <c r="A731" s="2" t="str">
        <f>TRIM(Table1[[#This Row],[Numer_FV]])</f>
        <v>FV/M/6421/P/22</v>
      </c>
      <c r="B731" s="2" t="str">
        <f>TRIM(Table1[[#This Row],[Numer_PZ]])</f>
        <v>PZ/800729</v>
      </c>
      <c r="C731" s="2" t="str">
        <f>TRIM(Table1[[#This Row],[Dostawca]])</f>
        <v>MedicaPharm</v>
      </c>
      <c r="D731" s="3">
        <v>44836</v>
      </c>
      <c r="E731" s="4" t="s">
        <v>2183</v>
      </c>
      <c r="F731" s="2" t="str">
        <f>TRIM(Table1[[#This Row],[Status]])</f>
        <v>Zaakceptowana</v>
      </c>
      <c r="G731" s="2" t="str">
        <f>TRIM(Table1[[#This Row],[Typ]])</f>
        <v>Faktura VAT</v>
      </c>
      <c r="H731" s="2" t="str">
        <f>TRIM(Table1[[#This Row],[Magazyn]])</f>
        <v>Apteka Szpitalna</v>
      </c>
      <c r="I731" s="2" t="str">
        <f>TRIM(Table1[[#This Row],[Umowa]])</f>
        <v>UM-MED-01</v>
      </c>
      <c r="J731" s="2" t="b">
        <f>ISTEXT(Table14[[#This Row],[Data_Wystawienia]])</f>
        <v>0</v>
      </c>
      <c r="K731" s="2">
        <f>VALUE(SUBSTITUTE(Table14[[#This Row],[Wartość]],".",","))</f>
        <v>11510.6</v>
      </c>
      <c r="L7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1" s="2" t="str">
        <f>IF(Table14[[#This Row],[Umowa]]="","Poza umową","Z umowy")</f>
        <v>Z umowy</v>
      </c>
      <c r="N731" s="2">
        <f>YEAR(Table14[[#This Row],[Data_Wystawienia]])</f>
        <v>2022</v>
      </c>
      <c r="O731" s="2" t="str">
        <f>TEXT(Table14[[#This Row],[Data_Wystawienia]],"rrrr-mm")</f>
        <v>2022-10</v>
      </c>
      <c r="P731" s="2">
        <v>1</v>
      </c>
    </row>
    <row r="732" spans="1:16" x14ac:dyDescent="0.3">
      <c r="A732" s="2" t="str">
        <f>TRIM(Table1[[#This Row],[Numer_FV]])</f>
        <v>FV/6119/NOVA/22</v>
      </c>
      <c r="B732" s="2" t="str">
        <f>TRIM(Table1[[#This Row],[Numer_PZ]])</f>
        <v>PZ/800730</v>
      </c>
      <c r="C732" s="2" t="str">
        <f>TRIM(Table1[[#This Row],[Dostawca]])</f>
        <v>NovaLek</v>
      </c>
      <c r="D732" s="3">
        <v>44837</v>
      </c>
      <c r="E732" s="4" t="s">
        <v>2186</v>
      </c>
      <c r="F732" s="2" t="str">
        <f>TRIM(Table1[[#This Row],[Status]])</f>
        <v>Zaakceptowana</v>
      </c>
      <c r="G732" s="2" t="str">
        <f>TRIM(Table1[[#This Row],[Typ]])</f>
        <v>Faktura VAT</v>
      </c>
      <c r="H732" s="2" t="str">
        <f>TRIM(Table1[[#This Row],[Magazyn]])</f>
        <v>Apteka Szpitalna</v>
      </c>
      <c r="I732" s="2" t="str">
        <f>TRIM(Table1[[#This Row],[Umowa]])</f>
        <v>UM-NOV-01</v>
      </c>
      <c r="J732" s="2" t="b">
        <f>ISTEXT(Table14[[#This Row],[Data_Wystawienia]])</f>
        <v>0</v>
      </c>
      <c r="K732" s="2">
        <f>VALUE(SUBSTITUTE(Table14[[#This Row],[Wartość]],".",","))</f>
        <v>16223.11</v>
      </c>
      <c r="L7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2" s="2" t="str">
        <f>IF(Table14[[#This Row],[Umowa]]="","Poza umową","Z umowy")</f>
        <v>Z umowy</v>
      </c>
      <c r="N732" s="2">
        <f>YEAR(Table14[[#This Row],[Data_Wystawienia]])</f>
        <v>2022</v>
      </c>
      <c r="O732" s="2" t="str">
        <f>TEXT(Table14[[#This Row],[Data_Wystawienia]],"rrrr-mm")</f>
        <v>2022-10</v>
      </c>
      <c r="P732" s="2">
        <v>1</v>
      </c>
    </row>
    <row r="733" spans="1:16" x14ac:dyDescent="0.3">
      <c r="A733" s="2" t="str">
        <f>TRIM(Table1[[#This Row],[Numer_FV]])</f>
        <v>FV/29/PP/8623/22</v>
      </c>
      <c r="B733" s="2" t="str">
        <f>TRIM(Table1[[#This Row],[Numer_PZ]])</f>
        <v>PZ/800731</v>
      </c>
      <c r="C733" s="2" t="str">
        <f>TRIM(Table1[[#This Row],[Dostawca]])</f>
        <v>PharmaPlus</v>
      </c>
      <c r="D733" s="3">
        <v>44837</v>
      </c>
      <c r="E733" s="4" t="s">
        <v>2189</v>
      </c>
      <c r="F733" s="2" t="str">
        <f>TRIM(Table1[[#This Row],[Status]])</f>
        <v>Zaakceptowana</v>
      </c>
      <c r="G733" s="2" t="str">
        <f>TRIM(Table1[[#This Row],[Typ]])</f>
        <v>Faktura VAT</v>
      </c>
      <c r="H733" s="2" t="str">
        <f>TRIM(Table1[[#This Row],[Magazyn]])</f>
        <v>Apteka Szpitalna</v>
      </c>
      <c r="I733" s="2" t="str">
        <f>TRIM(Table1[[#This Row],[Umowa]])</f>
        <v>UM-PHA-01</v>
      </c>
      <c r="J733" s="2" t="b">
        <f>ISTEXT(Table14[[#This Row],[Data_Wystawienia]])</f>
        <v>0</v>
      </c>
      <c r="K733" s="2">
        <f>VALUE(SUBSTITUTE(Table14[[#This Row],[Wartość]],".",","))</f>
        <v>13944.41</v>
      </c>
      <c r="L7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3" s="2" t="str">
        <f>IF(Table14[[#This Row],[Umowa]]="","Poza umową","Z umowy")</f>
        <v>Z umowy</v>
      </c>
      <c r="N733" s="2">
        <f>YEAR(Table14[[#This Row],[Data_Wystawienia]])</f>
        <v>2022</v>
      </c>
      <c r="O733" s="2" t="str">
        <f>TEXT(Table14[[#This Row],[Data_Wystawienia]],"rrrr-mm")</f>
        <v>2022-10</v>
      </c>
      <c r="P733" s="2">
        <v>1</v>
      </c>
    </row>
    <row r="734" spans="1:16" x14ac:dyDescent="0.3">
      <c r="A734" s="2" t="str">
        <f>TRIM(Table1[[#This Row],[Numer_FV]])</f>
        <v>FV/62046/VDb/2022</v>
      </c>
      <c r="B734" s="2" t="str">
        <f>TRIM(Table1[[#This Row],[Numer_PZ]])</f>
        <v>PZ/800732</v>
      </c>
      <c r="C734" s="2" t="str">
        <f>TRIM(Table1[[#This Row],[Dostawca]])</f>
        <v>VitaDistrib</v>
      </c>
      <c r="D734" s="3">
        <v>44837</v>
      </c>
      <c r="E734" s="4" t="s">
        <v>2192</v>
      </c>
      <c r="F734" s="2" t="str">
        <f>TRIM(Table1[[#This Row],[Status]])</f>
        <v>Zaakceptowana</v>
      </c>
      <c r="G734" s="2" t="str">
        <f>TRIM(Table1[[#This Row],[Typ]])</f>
        <v>Faktura VAT</v>
      </c>
      <c r="H734" s="2" t="str">
        <f>TRIM(Table1[[#This Row],[Magazyn]])</f>
        <v>Apteka Szpitalna</v>
      </c>
      <c r="I734" s="2" t="str">
        <f>TRIM(Table1[[#This Row],[Umowa]])</f>
        <v>UM-VIT-01</v>
      </c>
      <c r="J734" s="2" t="b">
        <f>ISTEXT(Table14[[#This Row],[Data_Wystawienia]])</f>
        <v>0</v>
      </c>
      <c r="K734" s="2">
        <f>VALUE(SUBSTITUTE(Table14[[#This Row],[Wartość]],".",","))</f>
        <v>24928.71</v>
      </c>
      <c r="L7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4" s="2" t="str">
        <f>IF(Table14[[#This Row],[Umowa]]="","Poza umową","Z umowy")</f>
        <v>Z umowy</v>
      </c>
      <c r="N734" s="2">
        <f>YEAR(Table14[[#This Row],[Data_Wystawienia]])</f>
        <v>2022</v>
      </c>
      <c r="O734" s="2" t="str">
        <f>TEXT(Table14[[#This Row],[Data_Wystawienia]],"rrrr-mm")</f>
        <v>2022-10</v>
      </c>
      <c r="P734" s="2">
        <v>1</v>
      </c>
    </row>
    <row r="735" spans="1:16" x14ac:dyDescent="0.3">
      <c r="A735" s="2" t="str">
        <f>TRIM(Table1[[#This Row],[Numer_FV]])</f>
        <v>FV/POL/68310/2022</v>
      </c>
      <c r="B735" s="2" t="str">
        <f>TRIM(Table1[[#This Row],[Numer_PZ]])</f>
        <v>PZ/800733</v>
      </c>
      <c r="C735" s="2" t="str">
        <f>TRIM(Table1[[#This Row],[Dostawca]])</f>
        <v>Polmedica</v>
      </c>
      <c r="D735" s="3">
        <v>44837</v>
      </c>
      <c r="E735" s="4" t="s">
        <v>2195</v>
      </c>
      <c r="F735" s="2" t="str">
        <f>TRIM(Table1[[#This Row],[Status]])</f>
        <v>Zaakceptowana</v>
      </c>
      <c r="G735" s="2" t="str">
        <f>TRIM(Table1[[#This Row],[Typ]])</f>
        <v>Faktura VAT</v>
      </c>
      <c r="H735" s="2" t="str">
        <f>TRIM(Table1[[#This Row],[Magazyn]])</f>
        <v>Apteka Szpitalna</v>
      </c>
      <c r="I735" s="2" t="str">
        <f>TRIM(Table1[[#This Row],[Umowa]])</f>
        <v>UM-POL-02</v>
      </c>
      <c r="J735" s="2" t="b">
        <f>ISTEXT(Table14[[#This Row],[Data_Wystawienia]])</f>
        <v>0</v>
      </c>
      <c r="K735" s="2">
        <f>VALUE(SUBSTITUTE(Table14[[#This Row],[Wartość]],".",","))</f>
        <v>15431.73</v>
      </c>
      <c r="L7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5" s="2" t="str">
        <f>IF(Table14[[#This Row],[Umowa]]="","Poza umową","Z umowy")</f>
        <v>Z umowy</v>
      </c>
      <c r="N735" s="2">
        <f>YEAR(Table14[[#This Row],[Data_Wystawienia]])</f>
        <v>2022</v>
      </c>
      <c r="O735" s="2" t="str">
        <f>TEXT(Table14[[#This Row],[Data_Wystawienia]],"rrrr-mm")</f>
        <v>2022-10</v>
      </c>
      <c r="P735" s="2">
        <v>1</v>
      </c>
    </row>
    <row r="736" spans="1:16" x14ac:dyDescent="0.3">
      <c r="A736" s="2" t="str">
        <f>TRIM(Table1[[#This Row],[Numer_FV]])</f>
        <v>FV/M/1699/P/22</v>
      </c>
      <c r="B736" s="2" t="str">
        <f>TRIM(Table1[[#This Row],[Numer_PZ]])</f>
        <v>PZ/800734</v>
      </c>
      <c r="C736" s="2" t="str">
        <f>TRIM(Table1[[#This Row],[Dostawca]])</f>
        <v>MedicaPharm</v>
      </c>
      <c r="D736" s="3">
        <v>44837</v>
      </c>
      <c r="E736" s="4" t="s">
        <v>2197</v>
      </c>
      <c r="F736" s="2" t="str">
        <f>TRIM(Table1[[#This Row],[Status]])</f>
        <v>Zaakceptowana</v>
      </c>
      <c r="G736" s="2" t="str">
        <f>TRIM(Table1[[#This Row],[Typ]])</f>
        <v>Faktura VAT</v>
      </c>
      <c r="H736" s="2" t="str">
        <f>TRIM(Table1[[#This Row],[Magazyn]])</f>
        <v>Apteka Szpitalna</v>
      </c>
      <c r="I736" s="2" t="str">
        <f>TRIM(Table1[[#This Row],[Umowa]])</f>
        <v>UM-MED-02</v>
      </c>
      <c r="J736" s="2" t="b">
        <f>ISTEXT(Table14[[#This Row],[Data_Wystawienia]])</f>
        <v>0</v>
      </c>
      <c r="K736" s="2">
        <f>VALUE(SUBSTITUTE(Table14[[#This Row],[Wartość]],".",","))</f>
        <v>23222.65</v>
      </c>
      <c r="L7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6" s="2" t="str">
        <f>IF(Table14[[#This Row],[Umowa]]="","Poza umową","Z umowy")</f>
        <v>Z umowy</v>
      </c>
      <c r="N736" s="2">
        <f>YEAR(Table14[[#This Row],[Data_Wystawienia]])</f>
        <v>2022</v>
      </c>
      <c r="O736" s="2" t="str">
        <f>TEXT(Table14[[#This Row],[Data_Wystawienia]],"rrrr-mm")</f>
        <v>2022-10</v>
      </c>
      <c r="P736" s="2">
        <v>1</v>
      </c>
    </row>
    <row r="737" spans="1:16" x14ac:dyDescent="0.3">
      <c r="A737" s="2" t="str">
        <f>TRIM(Table1[[#This Row],[Numer_FV]])</f>
        <v>FV/M/7467/P/22</v>
      </c>
      <c r="B737" s="2" t="str">
        <f>TRIM(Table1[[#This Row],[Numer_PZ]])</f>
        <v>PZ/800735</v>
      </c>
      <c r="C737" s="2" t="str">
        <f>TRIM(Table1[[#This Row],[Dostawca]])</f>
        <v>MedicaPharm</v>
      </c>
      <c r="D737" s="3">
        <v>44838</v>
      </c>
      <c r="E737" s="4" t="s">
        <v>2200</v>
      </c>
      <c r="F737" s="2" t="str">
        <f>TRIM(Table1[[#This Row],[Status]])</f>
        <v>Zaakceptowana</v>
      </c>
      <c r="G737" s="2" t="str">
        <f>TRIM(Table1[[#This Row],[Typ]])</f>
        <v>Faktura VAT</v>
      </c>
      <c r="H737" s="2" t="str">
        <f>TRIM(Table1[[#This Row],[Magazyn]])</f>
        <v>Apteka Szpitalna</v>
      </c>
      <c r="I737" s="2" t="str">
        <f>TRIM(Table1[[#This Row],[Umowa]])</f>
        <v/>
      </c>
      <c r="J737" s="2" t="b">
        <f>ISTEXT(Table14[[#This Row],[Data_Wystawienia]])</f>
        <v>0</v>
      </c>
      <c r="K737" s="2">
        <f>VALUE(SUBSTITUTE(Table14[[#This Row],[Wartość]],".",","))</f>
        <v>15690.61</v>
      </c>
      <c r="L7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7" s="2" t="str">
        <f>IF(Table14[[#This Row],[Umowa]]="","Poza umową","Z umowy")</f>
        <v>Poza umową</v>
      </c>
      <c r="N737" s="2">
        <f>YEAR(Table14[[#This Row],[Data_Wystawienia]])</f>
        <v>2022</v>
      </c>
      <c r="O737" s="2" t="str">
        <f>TEXT(Table14[[#This Row],[Data_Wystawienia]],"rrrr-mm")</f>
        <v>2022-10</v>
      </c>
      <c r="P737" s="2">
        <v>1</v>
      </c>
    </row>
    <row r="738" spans="1:16" x14ac:dyDescent="0.3">
      <c r="A738" s="2" t="str">
        <f>TRIM(Table1[[#This Row],[Numer_FV]])</f>
        <v>FV/81/PP/9104/22</v>
      </c>
      <c r="B738" s="2" t="str">
        <f>TRIM(Table1[[#This Row],[Numer_PZ]])</f>
        <v>PZ/800736</v>
      </c>
      <c r="C738" s="2" t="str">
        <f>TRIM(Table1[[#This Row],[Dostawca]])</f>
        <v>PharmaPlus</v>
      </c>
      <c r="D738" s="3">
        <v>44838</v>
      </c>
      <c r="E738" s="4" t="s">
        <v>2203</v>
      </c>
      <c r="F738" s="2" t="str">
        <f>TRIM(Table1[[#This Row],[Status]])</f>
        <v>Zaakceptowana</v>
      </c>
      <c r="G738" s="2" t="str">
        <f>TRIM(Table1[[#This Row],[Typ]])</f>
        <v>Faktura VAT</v>
      </c>
      <c r="H738" s="2" t="str">
        <f>TRIM(Table1[[#This Row],[Magazyn]])</f>
        <v>Apteka Szpitalna</v>
      </c>
      <c r="I738" s="2" t="str">
        <f>TRIM(Table1[[#This Row],[Umowa]])</f>
        <v>UM-PHA-02</v>
      </c>
      <c r="J738" s="2" t="b">
        <f>ISTEXT(Table14[[#This Row],[Data_Wystawienia]])</f>
        <v>0</v>
      </c>
      <c r="K738" s="2">
        <f>VALUE(SUBSTITUTE(Table14[[#This Row],[Wartość]],".",","))</f>
        <v>24757.87</v>
      </c>
      <c r="L7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8" s="2" t="str">
        <f>IF(Table14[[#This Row],[Umowa]]="","Poza umową","Z umowy")</f>
        <v>Z umowy</v>
      </c>
      <c r="N738" s="2">
        <f>YEAR(Table14[[#This Row],[Data_Wystawienia]])</f>
        <v>2022</v>
      </c>
      <c r="O738" s="2" t="str">
        <f>TEXT(Table14[[#This Row],[Data_Wystawienia]],"rrrr-mm")</f>
        <v>2022-10</v>
      </c>
      <c r="P738" s="2">
        <v>1</v>
      </c>
    </row>
    <row r="739" spans="1:16" x14ac:dyDescent="0.3">
      <c r="A739" s="2" t="str">
        <f>TRIM(Table1[[#This Row],[Numer_FV]])</f>
        <v>FV/POL/54179/2022</v>
      </c>
      <c r="B739" s="2" t="str">
        <f>TRIM(Table1[[#This Row],[Numer_PZ]])</f>
        <v>PZ/800737</v>
      </c>
      <c r="C739" s="2" t="str">
        <f>TRIM(Table1[[#This Row],[Dostawca]])</f>
        <v>Polmedica</v>
      </c>
      <c r="D739" s="3">
        <v>44838</v>
      </c>
      <c r="E739" s="4" t="s">
        <v>2206</v>
      </c>
      <c r="F739" s="2" t="str">
        <f>TRIM(Table1[[#This Row],[Status]])</f>
        <v>Zaakceptowana</v>
      </c>
      <c r="G739" s="2" t="str">
        <f>TRIM(Table1[[#This Row],[Typ]])</f>
        <v>Faktura VAT</v>
      </c>
      <c r="H739" s="2" t="str">
        <f>TRIM(Table1[[#This Row],[Magazyn]])</f>
        <v>Apteka Szpitalna</v>
      </c>
      <c r="I739" s="2" t="str">
        <f>TRIM(Table1[[#This Row],[Umowa]])</f>
        <v>UM-POL-03</v>
      </c>
      <c r="J739" s="2" t="b">
        <f>ISTEXT(Table14[[#This Row],[Data_Wystawienia]])</f>
        <v>0</v>
      </c>
      <c r="K739" s="2">
        <f>VALUE(SUBSTITUTE(Table14[[#This Row],[Wartość]],".",","))</f>
        <v>15072.52</v>
      </c>
      <c r="L7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39" s="2" t="str">
        <f>IF(Table14[[#This Row],[Umowa]]="","Poza umową","Z umowy")</f>
        <v>Z umowy</v>
      </c>
      <c r="N739" s="2">
        <f>YEAR(Table14[[#This Row],[Data_Wystawienia]])</f>
        <v>2022</v>
      </c>
      <c r="O739" s="2" t="str">
        <f>TEXT(Table14[[#This Row],[Data_Wystawienia]],"rrrr-mm")</f>
        <v>2022-10</v>
      </c>
      <c r="P739" s="2">
        <v>1</v>
      </c>
    </row>
    <row r="740" spans="1:16" x14ac:dyDescent="0.3">
      <c r="A740" s="2" t="str">
        <f>TRIM(Table1[[#This Row],[Numer_FV]])</f>
        <v>FV/12/PP/3329/22</v>
      </c>
      <c r="B740" s="2" t="str">
        <f>TRIM(Table1[[#This Row],[Numer_PZ]])</f>
        <v>PZ/800738</v>
      </c>
      <c r="C740" s="2" t="str">
        <f>TRIM(Table1[[#This Row],[Dostawca]])</f>
        <v>PharmaPlus</v>
      </c>
      <c r="D740" s="3">
        <v>44838</v>
      </c>
      <c r="E740" s="4" t="s">
        <v>2209</v>
      </c>
      <c r="F740" s="2" t="str">
        <f>TRIM(Table1[[#This Row],[Status]])</f>
        <v>Zaakceptowana</v>
      </c>
      <c r="G740" s="2" t="str">
        <f>TRIM(Table1[[#This Row],[Typ]])</f>
        <v>Faktura VAT</v>
      </c>
      <c r="H740" s="2" t="str">
        <f>TRIM(Table1[[#This Row],[Magazyn]])</f>
        <v>Apteka Szpitalna</v>
      </c>
      <c r="I740" s="2" t="str">
        <f>TRIM(Table1[[#This Row],[Umowa]])</f>
        <v>UM-PHA-01</v>
      </c>
      <c r="J740" s="2" t="b">
        <f>ISTEXT(Table14[[#This Row],[Data_Wystawienia]])</f>
        <v>0</v>
      </c>
      <c r="K740" s="2">
        <f>VALUE(SUBSTITUTE(Table14[[#This Row],[Wartość]],".",","))</f>
        <v>26517.89</v>
      </c>
      <c r="L7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0" s="2" t="str">
        <f>IF(Table14[[#This Row],[Umowa]]="","Poza umową","Z umowy")</f>
        <v>Z umowy</v>
      </c>
      <c r="N740" s="2">
        <f>YEAR(Table14[[#This Row],[Data_Wystawienia]])</f>
        <v>2022</v>
      </c>
      <c r="O740" s="2" t="str">
        <f>TEXT(Table14[[#This Row],[Data_Wystawienia]],"rrrr-mm")</f>
        <v>2022-10</v>
      </c>
      <c r="P740" s="2">
        <v>1</v>
      </c>
    </row>
    <row r="741" spans="1:16" x14ac:dyDescent="0.3">
      <c r="A741" s="2" t="str">
        <f>TRIM(Table1[[#This Row],[Numer_FV]])</f>
        <v>FV/POL/77814/2022</v>
      </c>
      <c r="B741" s="2" t="str">
        <f>TRIM(Table1[[#This Row],[Numer_PZ]])</f>
        <v>PZ/800739</v>
      </c>
      <c r="C741" s="2" t="str">
        <f>TRIM(Table1[[#This Row],[Dostawca]])</f>
        <v>Polmedica</v>
      </c>
      <c r="D741" s="3">
        <v>44838</v>
      </c>
      <c r="E741" s="4" t="s">
        <v>2212</v>
      </c>
      <c r="F741" s="2" t="str">
        <f>TRIM(Table1[[#This Row],[Status]])</f>
        <v>Zaakceptowana</v>
      </c>
      <c r="G741" s="2" t="str">
        <f>TRIM(Table1[[#This Row],[Typ]])</f>
        <v>Faktura VAT</v>
      </c>
      <c r="H741" s="2" t="str">
        <f>TRIM(Table1[[#This Row],[Magazyn]])</f>
        <v>Apteka Szpitalna</v>
      </c>
      <c r="I741" s="2" t="str">
        <f>TRIM(Table1[[#This Row],[Umowa]])</f>
        <v/>
      </c>
      <c r="J741" s="2" t="b">
        <f>ISTEXT(Table14[[#This Row],[Data_Wystawienia]])</f>
        <v>0</v>
      </c>
      <c r="K741" s="2">
        <f>VALUE(SUBSTITUTE(Table14[[#This Row],[Wartość]],".",","))</f>
        <v>17990.64</v>
      </c>
      <c r="L7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1" s="2" t="str">
        <f>IF(Table14[[#This Row],[Umowa]]="","Poza umową","Z umowy")</f>
        <v>Poza umową</v>
      </c>
      <c r="N741" s="2">
        <f>YEAR(Table14[[#This Row],[Data_Wystawienia]])</f>
        <v>2022</v>
      </c>
      <c r="O741" s="2" t="str">
        <f>TEXT(Table14[[#This Row],[Data_Wystawienia]],"rrrr-mm")</f>
        <v>2022-10</v>
      </c>
      <c r="P741" s="2">
        <v>1</v>
      </c>
    </row>
    <row r="742" spans="1:16" x14ac:dyDescent="0.3">
      <c r="A742" s="2" t="str">
        <f>TRIM(Table1[[#This Row],[Numer_FV]])</f>
        <v>FV/9305HM/22</v>
      </c>
      <c r="B742" s="2" t="str">
        <f>TRIM(Table1[[#This Row],[Numer_PZ]])</f>
        <v>PZ/800740</v>
      </c>
      <c r="C742" s="2" t="str">
        <f>TRIM(Table1[[#This Row],[Dostawca]])</f>
        <v>HurtMedix</v>
      </c>
      <c r="D742" s="3">
        <v>44839</v>
      </c>
      <c r="E742" s="4" t="s">
        <v>2215</v>
      </c>
      <c r="F742" s="2" t="str">
        <f>TRIM(Table1[[#This Row],[Status]])</f>
        <v>Zaakceptowana</v>
      </c>
      <c r="G742" s="2" t="str">
        <f>TRIM(Table1[[#This Row],[Typ]])</f>
        <v>Faktura VAT</v>
      </c>
      <c r="H742" s="2" t="str">
        <f>TRIM(Table1[[#This Row],[Magazyn]])</f>
        <v>Apteka Szpitalna</v>
      </c>
      <c r="I742" s="2" t="str">
        <f>TRIM(Table1[[#This Row],[Umowa]])</f>
        <v>UM-HUR-01</v>
      </c>
      <c r="J742" s="2" t="b">
        <f>ISTEXT(Table14[[#This Row],[Data_Wystawienia]])</f>
        <v>0</v>
      </c>
      <c r="K742" s="2">
        <f>VALUE(SUBSTITUTE(Table14[[#This Row],[Wartość]],".",","))</f>
        <v>25970.31</v>
      </c>
      <c r="L7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2" s="2" t="str">
        <f>IF(Table14[[#This Row],[Umowa]]="","Poza umową","Z umowy")</f>
        <v>Z umowy</v>
      </c>
      <c r="N742" s="2">
        <f>YEAR(Table14[[#This Row],[Data_Wystawienia]])</f>
        <v>2022</v>
      </c>
      <c r="O742" s="2" t="str">
        <f>TEXT(Table14[[#This Row],[Data_Wystawienia]],"rrrr-mm")</f>
        <v>2022-10</v>
      </c>
      <c r="P742" s="2">
        <v>1</v>
      </c>
    </row>
    <row r="743" spans="1:16" x14ac:dyDescent="0.3">
      <c r="A743" s="2" t="str">
        <f>TRIM(Table1[[#This Row],[Numer_FV]])</f>
        <v>FV/CENFA/868178/22</v>
      </c>
      <c r="B743" s="2" t="str">
        <f>TRIM(Table1[[#This Row],[Numer_PZ]])</f>
        <v>PZ/800741</v>
      </c>
      <c r="C743" s="2" t="str">
        <f>TRIM(Table1[[#This Row],[Dostawca]])</f>
        <v>CentrumFarm</v>
      </c>
      <c r="D743" s="3">
        <v>44839</v>
      </c>
      <c r="E743" s="4" t="s">
        <v>2218</v>
      </c>
      <c r="F743" s="2" t="str">
        <f>TRIM(Table1[[#This Row],[Status]])</f>
        <v>Zaakceptowana</v>
      </c>
      <c r="G743" s="2" t="str">
        <f>TRIM(Table1[[#This Row],[Typ]])</f>
        <v>Faktura VAT</v>
      </c>
      <c r="H743" s="2" t="str">
        <f>TRIM(Table1[[#This Row],[Magazyn]])</f>
        <v>Apteka Szpitalna</v>
      </c>
      <c r="I743" s="2" t="str">
        <f>TRIM(Table1[[#This Row],[Umowa]])</f>
        <v>UM-CEN-02</v>
      </c>
      <c r="J743" s="2" t="b">
        <f>ISTEXT(Table14[[#This Row],[Data_Wystawienia]])</f>
        <v>0</v>
      </c>
      <c r="K743" s="2">
        <f>VALUE(SUBSTITUTE(Table14[[#This Row],[Wartość]],".",","))</f>
        <v>13226.34</v>
      </c>
      <c r="L7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3" s="2" t="str">
        <f>IF(Table14[[#This Row],[Umowa]]="","Poza umową","Z umowy")</f>
        <v>Z umowy</v>
      </c>
      <c r="N743" s="2">
        <f>YEAR(Table14[[#This Row],[Data_Wystawienia]])</f>
        <v>2022</v>
      </c>
      <c r="O743" s="2" t="str">
        <f>TEXT(Table14[[#This Row],[Data_Wystawienia]],"rrrr-mm")</f>
        <v>2022-10</v>
      </c>
      <c r="P743" s="2">
        <v>1</v>
      </c>
    </row>
    <row r="744" spans="1:16" x14ac:dyDescent="0.3">
      <c r="A744" s="2" t="str">
        <f>TRIM(Table1[[#This Row],[Numer_FV]])</f>
        <v>FV/52491/VDb/2022</v>
      </c>
      <c r="B744" s="2" t="str">
        <f>TRIM(Table1[[#This Row],[Numer_PZ]])</f>
        <v>PZ/800742</v>
      </c>
      <c r="C744" s="2" t="str">
        <f>TRIM(Table1[[#This Row],[Dostawca]])</f>
        <v>VitaDistrib</v>
      </c>
      <c r="D744" s="3">
        <v>44840</v>
      </c>
      <c r="E744" s="4" t="s">
        <v>2221</v>
      </c>
      <c r="F744" s="2" t="str">
        <f>TRIM(Table1[[#This Row],[Status]])</f>
        <v>Zaakceptowana</v>
      </c>
      <c r="G744" s="2" t="str">
        <f>TRIM(Table1[[#This Row],[Typ]])</f>
        <v>Faktura VAT</v>
      </c>
      <c r="H744" s="2" t="str">
        <f>TRIM(Table1[[#This Row],[Magazyn]])</f>
        <v>Apteka Szpitalna</v>
      </c>
      <c r="I744" s="2" t="str">
        <f>TRIM(Table1[[#This Row],[Umowa]])</f>
        <v/>
      </c>
      <c r="J744" s="2" t="b">
        <f>ISTEXT(Table14[[#This Row],[Data_Wystawienia]])</f>
        <v>0</v>
      </c>
      <c r="K744" s="2">
        <f>VALUE(SUBSTITUTE(Table14[[#This Row],[Wartość]],".",","))</f>
        <v>13459.33</v>
      </c>
      <c r="L7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4" s="2" t="str">
        <f>IF(Table14[[#This Row],[Umowa]]="","Poza umową","Z umowy")</f>
        <v>Poza umową</v>
      </c>
      <c r="N744" s="2">
        <f>YEAR(Table14[[#This Row],[Data_Wystawienia]])</f>
        <v>2022</v>
      </c>
      <c r="O744" s="2" t="str">
        <f>TEXT(Table14[[#This Row],[Data_Wystawienia]],"rrrr-mm")</f>
        <v>2022-10</v>
      </c>
      <c r="P744" s="2">
        <v>1</v>
      </c>
    </row>
    <row r="745" spans="1:16" x14ac:dyDescent="0.3">
      <c r="A745" s="2" t="str">
        <f>TRIM(Table1[[#This Row],[Numer_FV]])</f>
        <v>FV/18/SAL/22</v>
      </c>
      <c r="B745" s="2" t="str">
        <f>TRIM(Table1[[#This Row],[Numer_PZ]])</f>
        <v>PZ/800743</v>
      </c>
      <c r="C745" s="2" t="str">
        <f>TRIM(Table1[[#This Row],[Dostawca]])</f>
        <v>SalusHurt</v>
      </c>
      <c r="D745" s="3">
        <v>44840</v>
      </c>
      <c r="E745" s="4" t="s">
        <v>2223</v>
      </c>
      <c r="F745" s="2" t="str">
        <f>TRIM(Table1[[#This Row],[Status]])</f>
        <v>Zaakceptowana</v>
      </c>
      <c r="G745" s="2" t="str">
        <f>TRIM(Table1[[#This Row],[Typ]])</f>
        <v>Faktura VAT</v>
      </c>
      <c r="H745" s="2" t="str">
        <f>TRIM(Table1[[#This Row],[Magazyn]])</f>
        <v>Apteka Szpitalna</v>
      </c>
      <c r="I745" s="2" t="str">
        <f>TRIM(Table1[[#This Row],[Umowa]])</f>
        <v>UM-SAL-02</v>
      </c>
      <c r="J745" s="2" t="b">
        <f>ISTEXT(Table14[[#This Row],[Data_Wystawienia]])</f>
        <v>0</v>
      </c>
      <c r="K745" s="2">
        <f>VALUE(SUBSTITUTE(Table14[[#This Row],[Wartość]],".",","))</f>
        <v>28124.57</v>
      </c>
      <c r="L7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5" s="2" t="str">
        <f>IF(Table14[[#This Row],[Umowa]]="","Poza umową","Z umowy")</f>
        <v>Z umowy</v>
      </c>
      <c r="N745" s="2">
        <f>YEAR(Table14[[#This Row],[Data_Wystawienia]])</f>
        <v>2022</v>
      </c>
      <c r="O745" s="2" t="str">
        <f>TEXT(Table14[[#This Row],[Data_Wystawienia]],"rrrr-mm")</f>
        <v>2022-10</v>
      </c>
      <c r="P745" s="2">
        <v>1</v>
      </c>
    </row>
    <row r="746" spans="1:16" x14ac:dyDescent="0.3">
      <c r="A746" s="2" t="str">
        <f>TRIM(Table1[[#This Row],[Numer_FV]])</f>
        <v>FV/31554/VDb/2022</v>
      </c>
      <c r="B746" s="2" t="str">
        <f>TRIM(Table1[[#This Row],[Numer_PZ]])</f>
        <v>PZ/800744</v>
      </c>
      <c r="C746" s="2" t="str">
        <f>TRIM(Table1[[#This Row],[Dostawca]])</f>
        <v>VitaDistrib</v>
      </c>
      <c r="D746" s="3">
        <v>44841</v>
      </c>
      <c r="E746" s="4" t="s">
        <v>2226</v>
      </c>
      <c r="F746" s="2" t="str">
        <f>TRIM(Table1[[#This Row],[Status]])</f>
        <v>Zaakceptowana</v>
      </c>
      <c r="G746" s="2" t="str">
        <f>TRIM(Table1[[#This Row],[Typ]])</f>
        <v>Faktura VAT</v>
      </c>
      <c r="H746" s="2" t="str">
        <f>TRIM(Table1[[#This Row],[Magazyn]])</f>
        <v>Apteka Szpitalna</v>
      </c>
      <c r="I746" s="2" t="str">
        <f>TRIM(Table1[[#This Row],[Umowa]])</f>
        <v>UM-VIT-01</v>
      </c>
      <c r="J746" s="2" t="b">
        <f>ISTEXT(Table14[[#This Row],[Data_Wystawienia]])</f>
        <v>0</v>
      </c>
      <c r="K746" s="2">
        <f>VALUE(SUBSTITUTE(Table14[[#This Row],[Wartość]],".",","))</f>
        <v>16576.169999999998</v>
      </c>
      <c r="L7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6" s="2" t="str">
        <f>IF(Table14[[#This Row],[Umowa]]="","Poza umową","Z umowy")</f>
        <v>Z umowy</v>
      </c>
      <c r="N746" s="2">
        <f>YEAR(Table14[[#This Row],[Data_Wystawienia]])</f>
        <v>2022</v>
      </c>
      <c r="O746" s="2" t="str">
        <f>TEXT(Table14[[#This Row],[Data_Wystawienia]],"rrrr-mm")</f>
        <v>2022-10</v>
      </c>
      <c r="P746" s="2">
        <v>1</v>
      </c>
    </row>
    <row r="747" spans="1:16" x14ac:dyDescent="0.3">
      <c r="A747" s="2" t="str">
        <f>TRIM(Table1[[#This Row],[Numer_FV]])</f>
        <v>FV/10/PP/8577/22</v>
      </c>
      <c r="B747" s="2" t="str">
        <f>TRIM(Table1[[#This Row],[Numer_PZ]])</f>
        <v>PZ/800745</v>
      </c>
      <c r="C747" s="2" t="str">
        <f>TRIM(Table1[[#This Row],[Dostawca]])</f>
        <v>PharmaPlus</v>
      </c>
      <c r="D747" s="3">
        <v>44841</v>
      </c>
      <c r="E747" s="4" t="s">
        <v>2229</v>
      </c>
      <c r="F747" s="2" t="str">
        <f>TRIM(Table1[[#This Row],[Status]])</f>
        <v>Zaakceptowana</v>
      </c>
      <c r="G747" s="2" t="str">
        <f>TRIM(Table1[[#This Row],[Typ]])</f>
        <v>Faktura VAT</v>
      </c>
      <c r="H747" s="2" t="str">
        <f>TRIM(Table1[[#This Row],[Magazyn]])</f>
        <v>Apteka Szpitalna</v>
      </c>
      <c r="I747" s="2" t="str">
        <f>TRIM(Table1[[#This Row],[Umowa]])</f>
        <v>UM-PHA-02</v>
      </c>
      <c r="J747" s="2" t="b">
        <f>ISTEXT(Table14[[#This Row],[Data_Wystawienia]])</f>
        <v>0</v>
      </c>
      <c r="K747" s="2">
        <f>VALUE(SUBSTITUTE(Table14[[#This Row],[Wartość]],".",","))</f>
        <v>16884.38</v>
      </c>
      <c r="L7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7" s="2" t="str">
        <f>IF(Table14[[#This Row],[Umowa]]="","Poza umową","Z umowy")</f>
        <v>Z umowy</v>
      </c>
      <c r="N747" s="2">
        <f>YEAR(Table14[[#This Row],[Data_Wystawienia]])</f>
        <v>2022</v>
      </c>
      <c r="O747" s="2" t="str">
        <f>TEXT(Table14[[#This Row],[Data_Wystawienia]],"rrrr-mm")</f>
        <v>2022-10</v>
      </c>
      <c r="P747" s="2">
        <v>1</v>
      </c>
    </row>
    <row r="748" spans="1:16" x14ac:dyDescent="0.3">
      <c r="A748" s="2" t="str">
        <f>TRIM(Table1[[#This Row],[Numer_FV]])</f>
        <v>FV/POL/25371/2022</v>
      </c>
      <c r="B748" s="2" t="str">
        <f>TRIM(Table1[[#This Row],[Numer_PZ]])</f>
        <v>PZ/800746</v>
      </c>
      <c r="C748" s="2" t="str">
        <f>TRIM(Table1[[#This Row],[Dostawca]])</f>
        <v>Polmedica</v>
      </c>
      <c r="D748" s="3">
        <v>44841</v>
      </c>
      <c r="E748" s="4" t="s">
        <v>2232</v>
      </c>
      <c r="F748" s="2" t="str">
        <f>TRIM(Table1[[#This Row],[Status]])</f>
        <v>Zaakceptowana</v>
      </c>
      <c r="G748" s="2" t="str">
        <f>TRIM(Table1[[#This Row],[Typ]])</f>
        <v>Faktura VAT</v>
      </c>
      <c r="H748" s="2" t="str">
        <f>TRIM(Table1[[#This Row],[Magazyn]])</f>
        <v>Apteka Szpitalna</v>
      </c>
      <c r="I748" s="2" t="str">
        <f>TRIM(Table1[[#This Row],[Umowa]])</f>
        <v>UM-POL-02</v>
      </c>
      <c r="J748" s="2" t="b">
        <f>ISTEXT(Table14[[#This Row],[Data_Wystawienia]])</f>
        <v>0</v>
      </c>
      <c r="K748" s="2">
        <f>VALUE(SUBSTITUTE(Table14[[#This Row],[Wartość]],".",","))</f>
        <v>24275.27</v>
      </c>
      <c r="L7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8" s="2" t="str">
        <f>IF(Table14[[#This Row],[Umowa]]="","Poza umową","Z umowy")</f>
        <v>Z umowy</v>
      </c>
      <c r="N748" s="2">
        <f>YEAR(Table14[[#This Row],[Data_Wystawienia]])</f>
        <v>2022</v>
      </c>
      <c r="O748" s="2" t="str">
        <f>TEXT(Table14[[#This Row],[Data_Wystawienia]],"rrrr-mm")</f>
        <v>2022-10</v>
      </c>
      <c r="P748" s="2">
        <v>1</v>
      </c>
    </row>
    <row r="749" spans="1:16" x14ac:dyDescent="0.3">
      <c r="A749" s="2" t="str">
        <f>TRIM(Table1[[#This Row],[Numer_FV]])</f>
        <v>FV/CENFA/559251/22</v>
      </c>
      <c r="B749" s="2" t="str">
        <f>TRIM(Table1[[#This Row],[Numer_PZ]])</f>
        <v>PZ/800747</v>
      </c>
      <c r="C749" s="2" t="str">
        <f>TRIM(Table1[[#This Row],[Dostawca]])</f>
        <v>CentrumFarm</v>
      </c>
      <c r="D749" s="3">
        <v>44841</v>
      </c>
      <c r="E749" s="4" t="s">
        <v>2235</v>
      </c>
      <c r="F749" s="2" t="str">
        <f>TRIM(Table1[[#This Row],[Status]])</f>
        <v>Zaakceptowana</v>
      </c>
      <c r="G749" s="2" t="str">
        <f>TRIM(Table1[[#This Row],[Typ]])</f>
        <v>Faktura VAT</v>
      </c>
      <c r="H749" s="2" t="str">
        <f>TRIM(Table1[[#This Row],[Magazyn]])</f>
        <v>Apteka Szpitalna</v>
      </c>
      <c r="I749" s="2" t="str">
        <f>TRIM(Table1[[#This Row],[Umowa]])</f>
        <v>UM-CEN-02</v>
      </c>
      <c r="J749" s="2" t="b">
        <f>ISTEXT(Table14[[#This Row],[Data_Wystawienia]])</f>
        <v>0</v>
      </c>
      <c r="K749" s="2">
        <f>VALUE(SUBSTITUTE(Table14[[#This Row],[Wartość]],".",","))</f>
        <v>14837.27</v>
      </c>
      <c r="L7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49" s="2" t="str">
        <f>IF(Table14[[#This Row],[Umowa]]="","Poza umową","Z umowy")</f>
        <v>Z umowy</v>
      </c>
      <c r="N749" s="2">
        <f>YEAR(Table14[[#This Row],[Data_Wystawienia]])</f>
        <v>2022</v>
      </c>
      <c r="O749" s="2" t="str">
        <f>TEXT(Table14[[#This Row],[Data_Wystawienia]],"rrrr-mm")</f>
        <v>2022-10</v>
      </c>
      <c r="P749" s="2">
        <v>1</v>
      </c>
    </row>
    <row r="750" spans="1:16" x14ac:dyDescent="0.3">
      <c r="A750" s="2" t="str">
        <f>TRIM(Table1[[#This Row],[Numer_FV]])</f>
        <v>FV/CENFA/101175/22</v>
      </c>
      <c r="B750" s="2" t="str">
        <f>TRIM(Table1[[#This Row],[Numer_PZ]])</f>
        <v>PZ/800748</v>
      </c>
      <c r="C750" s="2" t="str">
        <f>TRIM(Table1[[#This Row],[Dostawca]])</f>
        <v>CentrumFarm</v>
      </c>
      <c r="D750" s="3">
        <v>44843</v>
      </c>
      <c r="E750" s="4" t="s">
        <v>2238</v>
      </c>
      <c r="F750" s="2" t="str">
        <f>TRIM(Table1[[#This Row],[Status]])</f>
        <v>Zaakceptowana</v>
      </c>
      <c r="G750" s="2" t="str">
        <f>TRIM(Table1[[#This Row],[Typ]])</f>
        <v>Faktura VAT</v>
      </c>
      <c r="H750" s="2" t="str">
        <f>TRIM(Table1[[#This Row],[Magazyn]])</f>
        <v>Apteka Szpitalna</v>
      </c>
      <c r="I750" s="2" t="str">
        <f>TRIM(Table1[[#This Row],[Umowa]])</f>
        <v>UM-CEN-01</v>
      </c>
      <c r="J750" s="2" t="b">
        <f>ISTEXT(Table14[[#This Row],[Data_Wystawienia]])</f>
        <v>0</v>
      </c>
      <c r="K750" s="2">
        <f>VALUE(SUBSTITUTE(Table14[[#This Row],[Wartość]],".",","))</f>
        <v>13500.58</v>
      </c>
      <c r="L7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0" s="2" t="str">
        <f>IF(Table14[[#This Row],[Umowa]]="","Poza umową","Z umowy")</f>
        <v>Z umowy</v>
      </c>
      <c r="N750" s="2">
        <f>YEAR(Table14[[#This Row],[Data_Wystawienia]])</f>
        <v>2022</v>
      </c>
      <c r="O750" s="2" t="str">
        <f>TEXT(Table14[[#This Row],[Data_Wystawienia]],"rrrr-mm")</f>
        <v>2022-10</v>
      </c>
      <c r="P750" s="2">
        <v>1</v>
      </c>
    </row>
    <row r="751" spans="1:16" x14ac:dyDescent="0.3">
      <c r="A751" s="2" t="str">
        <f>TRIM(Table1[[#This Row],[Numer_FV]])</f>
        <v>FV/9436/NOVA/22</v>
      </c>
      <c r="B751" s="2" t="str">
        <f>TRIM(Table1[[#This Row],[Numer_PZ]])</f>
        <v>PZ/800749</v>
      </c>
      <c r="C751" s="2" t="str">
        <f>TRIM(Table1[[#This Row],[Dostawca]])</f>
        <v>NovaLek</v>
      </c>
      <c r="D751" s="3">
        <v>44843</v>
      </c>
      <c r="E751" s="4" t="s">
        <v>2241</v>
      </c>
      <c r="F751" s="2" t="str">
        <f>TRIM(Table1[[#This Row],[Status]])</f>
        <v>Zaakceptowana</v>
      </c>
      <c r="G751" s="2" t="str">
        <f>TRIM(Table1[[#This Row],[Typ]])</f>
        <v>Faktura VAT</v>
      </c>
      <c r="H751" s="2" t="str">
        <f>TRIM(Table1[[#This Row],[Magazyn]])</f>
        <v>Apteka Szpitalna</v>
      </c>
      <c r="I751" s="2" t="str">
        <f>TRIM(Table1[[#This Row],[Umowa]])</f>
        <v>UM-NOV-03</v>
      </c>
      <c r="J751" s="2" t="b">
        <f>ISTEXT(Table14[[#This Row],[Data_Wystawienia]])</f>
        <v>0</v>
      </c>
      <c r="K751" s="2">
        <f>VALUE(SUBSTITUTE(Table14[[#This Row],[Wartość]],".",","))</f>
        <v>10358.85</v>
      </c>
      <c r="L7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1" s="2" t="str">
        <f>IF(Table14[[#This Row],[Umowa]]="","Poza umową","Z umowy")</f>
        <v>Z umowy</v>
      </c>
      <c r="N751" s="2">
        <f>YEAR(Table14[[#This Row],[Data_Wystawienia]])</f>
        <v>2022</v>
      </c>
      <c r="O751" s="2" t="str">
        <f>TEXT(Table14[[#This Row],[Data_Wystawienia]],"rrrr-mm")</f>
        <v>2022-10</v>
      </c>
      <c r="P751" s="2">
        <v>1</v>
      </c>
    </row>
    <row r="752" spans="1:16" x14ac:dyDescent="0.3">
      <c r="A752" s="2" t="str">
        <f>TRIM(Table1[[#This Row],[Numer_FV]])</f>
        <v>FV/9457HM/22</v>
      </c>
      <c r="B752" s="2" t="str">
        <f>TRIM(Table1[[#This Row],[Numer_PZ]])</f>
        <v>PZ/800750</v>
      </c>
      <c r="C752" s="2" t="str">
        <f>TRIM(Table1[[#This Row],[Dostawca]])</f>
        <v>HurtMedix</v>
      </c>
      <c r="D752" s="3">
        <v>44844</v>
      </c>
      <c r="E752" s="4" t="s">
        <v>2244</v>
      </c>
      <c r="F752" s="2" t="str">
        <f>TRIM(Table1[[#This Row],[Status]])</f>
        <v>Zaakceptowana</v>
      </c>
      <c r="G752" s="2" t="str">
        <f>TRIM(Table1[[#This Row],[Typ]])</f>
        <v>Faktura VAT</v>
      </c>
      <c r="H752" s="2" t="str">
        <f>TRIM(Table1[[#This Row],[Magazyn]])</f>
        <v>Apteka Szpitalna</v>
      </c>
      <c r="I752" s="2" t="str">
        <f>TRIM(Table1[[#This Row],[Umowa]])</f>
        <v>UM-HUR-01</v>
      </c>
      <c r="J752" s="2" t="b">
        <f>ISTEXT(Table14[[#This Row],[Data_Wystawienia]])</f>
        <v>0</v>
      </c>
      <c r="K752" s="2">
        <f>VALUE(SUBSTITUTE(Table14[[#This Row],[Wartość]],".",","))</f>
        <v>18580.25</v>
      </c>
      <c r="L7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2" s="2" t="str">
        <f>IF(Table14[[#This Row],[Umowa]]="","Poza umową","Z umowy")</f>
        <v>Z umowy</v>
      </c>
      <c r="N752" s="2">
        <f>YEAR(Table14[[#This Row],[Data_Wystawienia]])</f>
        <v>2022</v>
      </c>
      <c r="O752" s="2" t="str">
        <f>TEXT(Table14[[#This Row],[Data_Wystawienia]],"rrrr-mm")</f>
        <v>2022-10</v>
      </c>
      <c r="P752" s="2">
        <v>1</v>
      </c>
    </row>
    <row r="753" spans="1:16" x14ac:dyDescent="0.3">
      <c r="A753" s="2" t="str">
        <f>TRIM(Table1[[#This Row],[Numer_FV]])</f>
        <v>FV/98/PP/8938/22</v>
      </c>
      <c r="B753" s="2" t="str">
        <f>TRIM(Table1[[#This Row],[Numer_PZ]])</f>
        <v>PZ/800751</v>
      </c>
      <c r="C753" s="2" t="str">
        <f>TRIM(Table1[[#This Row],[Dostawca]])</f>
        <v>PharmaPlus</v>
      </c>
      <c r="D753" s="3">
        <v>44844</v>
      </c>
      <c r="E753" s="4" t="s">
        <v>2247</v>
      </c>
      <c r="F753" s="2" t="str">
        <f>TRIM(Table1[[#This Row],[Status]])</f>
        <v>Zaakceptowana</v>
      </c>
      <c r="G753" s="2" t="str">
        <f>TRIM(Table1[[#This Row],[Typ]])</f>
        <v>Faktura VAT</v>
      </c>
      <c r="H753" s="2" t="str">
        <f>TRIM(Table1[[#This Row],[Magazyn]])</f>
        <v>Apteka Szpitalna</v>
      </c>
      <c r="I753" s="2" t="str">
        <f>TRIM(Table1[[#This Row],[Umowa]])</f>
        <v/>
      </c>
      <c r="J753" s="2" t="b">
        <f>ISTEXT(Table14[[#This Row],[Data_Wystawienia]])</f>
        <v>0</v>
      </c>
      <c r="K753" s="2">
        <f>VALUE(SUBSTITUTE(Table14[[#This Row],[Wartość]],".",","))</f>
        <v>17322.97</v>
      </c>
      <c r="L7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3" s="2" t="str">
        <f>IF(Table14[[#This Row],[Umowa]]="","Poza umową","Z umowy")</f>
        <v>Poza umową</v>
      </c>
      <c r="N753" s="2">
        <f>YEAR(Table14[[#This Row],[Data_Wystawienia]])</f>
        <v>2022</v>
      </c>
      <c r="O753" s="2" t="str">
        <f>TEXT(Table14[[#This Row],[Data_Wystawienia]],"rrrr-mm")</f>
        <v>2022-10</v>
      </c>
      <c r="P753" s="2">
        <v>1</v>
      </c>
    </row>
    <row r="754" spans="1:16" x14ac:dyDescent="0.3">
      <c r="A754" s="2" t="str">
        <f>TRIM(Table1[[#This Row],[Numer_FV]])</f>
        <v>FV/M/4686/P/22</v>
      </c>
      <c r="B754" s="2" t="str">
        <f>TRIM(Table1[[#This Row],[Numer_PZ]])</f>
        <v>PZ/800752</v>
      </c>
      <c r="C754" s="2" t="str">
        <f>TRIM(Table1[[#This Row],[Dostawca]])</f>
        <v>MedicaPharm</v>
      </c>
      <c r="D754" s="3">
        <v>44844</v>
      </c>
      <c r="E754" s="4" t="s">
        <v>2250</v>
      </c>
      <c r="F754" s="2" t="str">
        <f>TRIM(Table1[[#This Row],[Status]])</f>
        <v>Zaakceptowana</v>
      </c>
      <c r="G754" s="2" t="str">
        <f>TRIM(Table1[[#This Row],[Typ]])</f>
        <v>Faktura VAT</v>
      </c>
      <c r="H754" s="2" t="str">
        <f>TRIM(Table1[[#This Row],[Magazyn]])</f>
        <v>Apteka Szpitalna</v>
      </c>
      <c r="I754" s="2" t="str">
        <f>TRIM(Table1[[#This Row],[Umowa]])</f>
        <v/>
      </c>
      <c r="J754" s="2" t="b">
        <f>ISTEXT(Table14[[#This Row],[Data_Wystawienia]])</f>
        <v>0</v>
      </c>
      <c r="K754" s="2">
        <f>VALUE(SUBSTITUTE(Table14[[#This Row],[Wartość]],".",","))</f>
        <v>7849.82</v>
      </c>
      <c r="L7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4" s="2" t="str">
        <f>IF(Table14[[#This Row],[Umowa]]="","Poza umową","Z umowy")</f>
        <v>Poza umową</v>
      </c>
      <c r="N754" s="2">
        <f>YEAR(Table14[[#This Row],[Data_Wystawienia]])</f>
        <v>2022</v>
      </c>
      <c r="O754" s="2" t="str">
        <f>TEXT(Table14[[#This Row],[Data_Wystawienia]],"rrrr-mm")</f>
        <v>2022-10</v>
      </c>
      <c r="P754" s="2">
        <v>1</v>
      </c>
    </row>
    <row r="755" spans="1:16" x14ac:dyDescent="0.3">
      <c r="A755" s="2" t="str">
        <f>TRIM(Table1[[#This Row],[Numer_FV]])</f>
        <v>FV/54/PP/4219/22</v>
      </c>
      <c r="B755" s="2" t="str">
        <f>TRIM(Table1[[#This Row],[Numer_PZ]])</f>
        <v>PZ/800753</v>
      </c>
      <c r="C755" s="2" t="str">
        <f>TRIM(Table1[[#This Row],[Dostawca]])</f>
        <v>PharmaPlus</v>
      </c>
      <c r="D755" s="3">
        <v>44845</v>
      </c>
      <c r="E755" s="4" t="s">
        <v>2253</v>
      </c>
      <c r="F755" s="2" t="str">
        <f>TRIM(Table1[[#This Row],[Status]])</f>
        <v>Zaakceptowana</v>
      </c>
      <c r="G755" s="2" t="str">
        <f>TRIM(Table1[[#This Row],[Typ]])</f>
        <v>Faktura VAT</v>
      </c>
      <c r="H755" s="2" t="str">
        <f>TRIM(Table1[[#This Row],[Magazyn]])</f>
        <v>Apteka Szpitalna</v>
      </c>
      <c r="I755" s="2" t="str">
        <f>TRIM(Table1[[#This Row],[Umowa]])</f>
        <v>UM-PHA-01</v>
      </c>
      <c r="J755" s="2" t="b">
        <f>ISTEXT(Table14[[#This Row],[Data_Wystawienia]])</f>
        <v>0</v>
      </c>
      <c r="K755" s="2">
        <f>VALUE(SUBSTITUTE(Table14[[#This Row],[Wartość]],".",","))</f>
        <v>27956.02</v>
      </c>
      <c r="L7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5" s="2" t="str">
        <f>IF(Table14[[#This Row],[Umowa]]="","Poza umową","Z umowy")</f>
        <v>Z umowy</v>
      </c>
      <c r="N755" s="2">
        <f>YEAR(Table14[[#This Row],[Data_Wystawienia]])</f>
        <v>2022</v>
      </c>
      <c r="O755" s="2" t="str">
        <f>TEXT(Table14[[#This Row],[Data_Wystawienia]],"rrrr-mm")</f>
        <v>2022-10</v>
      </c>
      <c r="P755" s="2">
        <v>1</v>
      </c>
    </row>
    <row r="756" spans="1:16" x14ac:dyDescent="0.3">
      <c r="A756" s="2" t="str">
        <f>TRIM(Table1[[#This Row],[Numer_FV]])</f>
        <v>FV/M/4919/P/22</v>
      </c>
      <c r="B756" s="2" t="str">
        <f>TRIM(Table1[[#This Row],[Numer_PZ]])</f>
        <v>PZ/800754</v>
      </c>
      <c r="C756" s="2" t="str">
        <f>TRIM(Table1[[#This Row],[Dostawca]])</f>
        <v>MedicaPharm</v>
      </c>
      <c r="D756" s="3">
        <v>44845</v>
      </c>
      <c r="E756" s="4" t="s">
        <v>2256</v>
      </c>
      <c r="F756" s="2" t="str">
        <f>TRIM(Table1[[#This Row],[Status]])</f>
        <v>Zaakceptowana</v>
      </c>
      <c r="G756" s="2" t="str">
        <f>TRIM(Table1[[#This Row],[Typ]])</f>
        <v>Faktura VAT</v>
      </c>
      <c r="H756" s="2" t="str">
        <f>TRIM(Table1[[#This Row],[Magazyn]])</f>
        <v>Apteka Szpitalna</v>
      </c>
      <c r="I756" s="2" t="str">
        <f>TRIM(Table1[[#This Row],[Umowa]])</f>
        <v>UM-MED-01</v>
      </c>
      <c r="J756" s="2" t="b">
        <f>ISTEXT(Table14[[#This Row],[Data_Wystawienia]])</f>
        <v>0</v>
      </c>
      <c r="K756" s="2">
        <f>VALUE(SUBSTITUTE(Table14[[#This Row],[Wartość]],".",","))</f>
        <v>22058.13</v>
      </c>
      <c r="L7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6" s="2" t="str">
        <f>IF(Table14[[#This Row],[Umowa]]="","Poza umową","Z umowy")</f>
        <v>Z umowy</v>
      </c>
      <c r="N756" s="2">
        <f>YEAR(Table14[[#This Row],[Data_Wystawienia]])</f>
        <v>2022</v>
      </c>
      <c r="O756" s="2" t="str">
        <f>TEXT(Table14[[#This Row],[Data_Wystawienia]],"rrrr-mm")</f>
        <v>2022-10</v>
      </c>
      <c r="P756" s="2">
        <v>1</v>
      </c>
    </row>
    <row r="757" spans="1:16" x14ac:dyDescent="0.3">
      <c r="A757" s="2" t="str">
        <f>TRIM(Table1[[#This Row],[Numer_FV]])</f>
        <v>FV/2423HM/22</v>
      </c>
      <c r="B757" s="2" t="str">
        <f>TRIM(Table1[[#This Row],[Numer_PZ]])</f>
        <v>PZ/800755</v>
      </c>
      <c r="C757" s="2" t="str">
        <f>TRIM(Table1[[#This Row],[Dostawca]])</f>
        <v>HurtMedix</v>
      </c>
      <c r="D757" s="3">
        <v>44845</v>
      </c>
      <c r="E757" s="4" t="s">
        <v>2259</v>
      </c>
      <c r="F757" s="2" t="str">
        <f>TRIM(Table1[[#This Row],[Status]])</f>
        <v>Zaakceptowana</v>
      </c>
      <c r="G757" s="2" t="str">
        <f>TRIM(Table1[[#This Row],[Typ]])</f>
        <v>Faktura VAT</v>
      </c>
      <c r="H757" s="2" t="str">
        <f>TRIM(Table1[[#This Row],[Magazyn]])</f>
        <v>Apteka Szpitalna</v>
      </c>
      <c r="I757" s="2" t="str">
        <f>TRIM(Table1[[#This Row],[Umowa]])</f>
        <v>UM-HUR-02</v>
      </c>
      <c r="J757" s="2" t="b">
        <f>ISTEXT(Table14[[#This Row],[Data_Wystawienia]])</f>
        <v>0</v>
      </c>
      <c r="K757" s="2">
        <f>VALUE(SUBSTITUTE(Table14[[#This Row],[Wartość]],".",","))</f>
        <v>8814.34</v>
      </c>
      <c r="L7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7" s="2" t="str">
        <f>IF(Table14[[#This Row],[Umowa]]="","Poza umową","Z umowy")</f>
        <v>Z umowy</v>
      </c>
      <c r="N757" s="2">
        <f>YEAR(Table14[[#This Row],[Data_Wystawienia]])</f>
        <v>2022</v>
      </c>
      <c r="O757" s="2" t="str">
        <f>TEXT(Table14[[#This Row],[Data_Wystawienia]],"rrrr-mm")</f>
        <v>2022-10</v>
      </c>
      <c r="P757" s="2">
        <v>1</v>
      </c>
    </row>
    <row r="758" spans="1:16" x14ac:dyDescent="0.3">
      <c r="A758" s="2" t="str">
        <f>TRIM(Table1[[#This Row],[Numer_FV]])</f>
        <v>FV/M/3638/P/22</v>
      </c>
      <c r="B758" s="2" t="str">
        <f>TRIM(Table1[[#This Row],[Numer_PZ]])</f>
        <v>PZ/800756</v>
      </c>
      <c r="C758" s="2" t="str">
        <f>TRIM(Table1[[#This Row],[Dostawca]])</f>
        <v>MedicaPharm</v>
      </c>
      <c r="D758" s="3">
        <v>44845</v>
      </c>
      <c r="E758" s="4" t="s">
        <v>2262</v>
      </c>
      <c r="F758" s="2" t="str">
        <f>TRIM(Table1[[#This Row],[Status]])</f>
        <v>Zaakceptowana</v>
      </c>
      <c r="G758" s="2" t="str">
        <f>TRIM(Table1[[#This Row],[Typ]])</f>
        <v>Faktura VAT</v>
      </c>
      <c r="H758" s="2" t="str">
        <f>TRIM(Table1[[#This Row],[Magazyn]])</f>
        <v>Apteka Szpitalna</v>
      </c>
      <c r="I758" s="2" t="str">
        <f>TRIM(Table1[[#This Row],[Umowa]])</f>
        <v>UM-MED-01</v>
      </c>
      <c r="J758" s="2" t="b">
        <f>ISTEXT(Table14[[#This Row],[Data_Wystawienia]])</f>
        <v>0</v>
      </c>
      <c r="K758" s="2">
        <f>VALUE(SUBSTITUTE(Table14[[#This Row],[Wartość]],".",","))</f>
        <v>20214.47</v>
      </c>
      <c r="L7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8" s="2" t="str">
        <f>IF(Table14[[#This Row],[Umowa]]="","Poza umową","Z umowy")</f>
        <v>Z umowy</v>
      </c>
      <c r="N758" s="2">
        <f>YEAR(Table14[[#This Row],[Data_Wystawienia]])</f>
        <v>2022</v>
      </c>
      <c r="O758" s="2" t="str">
        <f>TEXT(Table14[[#This Row],[Data_Wystawienia]],"rrrr-mm")</f>
        <v>2022-10</v>
      </c>
      <c r="P758" s="2">
        <v>1</v>
      </c>
    </row>
    <row r="759" spans="1:16" x14ac:dyDescent="0.3">
      <c r="A759" s="2" t="str">
        <f>TRIM(Table1[[#This Row],[Numer_FV]])</f>
        <v>FV/18/SAL/22</v>
      </c>
      <c r="B759" s="2" t="str">
        <f>TRIM(Table1[[#This Row],[Numer_PZ]])</f>
        <v>PZ/800757</v>
      </c>
      <c r="C759" s="2" t="str">
        <f>TRIM(Table1[[#This Row],[Dostawca]])</f>
        <v>SalusHurt</v>
      </c>
      <c r="D759" s="3">
        <v>44845</v>
      </c>
      <c r="E759" s="4" t="s">
        <v>2264</v>
      </c>
      <c r="F759" s="2" t="str">
        <f>TRIM(Table1[[#This Row],[Status]])</f>
        <v>Zaakceptowana</v>
      </c>
      <c r="G759" s="2" t="str">
        <f>TRIM(Table1[[#This Row],[Typ]])</f>
        <v>Faktura VAT</v>
      </c>
      <c r="H759" s="2" t="str">
        <f>TRIM(Table1[[#This Row],[Magazyn]])</f>
        <v>Apteka Szpitalna</v>
      </c>
      <c r="I759" s="2" t="str">
        <f>TRIM(Table1[[#This Row],[Umowa]])</f>
        <v/>
      </c>
      <c r="J759" s="2" t="b">
        <f>ISTEXT(Table14[[#This Row],[Data_Wystawienia]])</f>
        <v>0</v>
      </c>
      <c r="K759" s="2">
        <f>VALUE(SUBSTITUTE(Table14[[#This Row],[Wartość]],".",","))</f>
        <v>13858.98</v>
      </c>
      <c r="L7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59" s="2" t="str">
        <f>IF(Table14[[#This Row],[Umowa]]="","Poza umową","Z umowy")</f>
        <v>Poza umową</v>
      </c>
      <c r="N759" s="2">
        <f>YEAR(Table14[[#This Row],[Data_Wystawienia]])</f>
        <v>2022</v>
      </c>
      <c r="O759" s="2" t="str">
        <f>TEXT(Table14[[#This Row],[Data_Wystawienia]],"rrrr-mm")</f>
        <v>2022-10</v>
      </c>
      <c r="P759" s="2">
        <v>1</v>
      </c>
    </row>
    <row r="760" spans="1:16" x14ac:dyDescent="0.3">
      <c r="A760" s="2" t="str">
        <f>TRIM(Table1[[#This Row],[Numer_FV]])</f>
        <v>FV/6833/NOVA/22</v>
      </c>
      <c r="B760" s="2" t="str">
        <f>TRIM(Table1[[#This Row],[Numer_PZ]])</f>
        <v>PZ/800758</v>
      </c>
      <c r="C760" s="2" t="str">
        <f>TRIM(Table1[[#This Row],[Dostawca]])</f>
        <v>NovaLek</v>
      </c>
      <c r="D760" s="3">
        <v>44846</v>
      </c>
      <c r="E760" s="4" t="s">
        <v>2267</v>
      </c>
      <c r="F760" s="2" t="str">
        <f>TRIM(Table1[[#This Row],[Status]])</f>
        <v>Zaakceptowana</v>
      </c>
      <c r="G760" s="2" t="str">
        <f>TRIM(Table1[[#This Row],[Typ]])</f>
        <v>Faktura VAT</v>
      </c>
      <c r="H760" s="2" t="str">
        <f>TRIM(Table1[[#This Row],[Magazyn]])</f>
        <v>Apteka Szpitalna</v>
      </c>
      <c r="I760" s="2" t="str">
        <f>TRIM(Table1[[#This Row],[Umowa]])</f>
        <v>UM-NOV-03</v>
      </c>
      <c r="J760" s="2" t="b">
        <f>ISTEXT(Table14[[#This Row],[Data_Wystawienia]])</f>
        <v>0</v>
      </c>
      <c r="K760" s="2">
        <f>VALUE(SUBSTITUTE(Table14[[#This Row],[Wartość]],".",","))</f>
        <v>11961.94</v>
      </c>
      <c r="L7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0" s="2" t="str">
        <f>IF(Table14[[#This Row],[Umowa]]="","Poza umową","Z umowy")</f>
        <v>Z umowy</v>
      </c>
      <c r="N760" s="2">
        <f>YEAR(Table14[[#This Row],[Data_Wystawienia]])</f>
        <v>2022</v>
      </c>
      <c r="O760" s="2" t="str">
        <f>TEXT(Table14[[#This Row],[Data_Wystawienia]],"rrrr-mm")</f>
        <v>2022-10</v>
      </c>
      <c r="P760" s="2">
        <v>1</v>
      </c>
    </row>
    <row r="761" spans="1:16" x14ac:dyDescent="0.3">
      <c r="A761" s="2" t="str">
        <f>TRIM(Table1[[#This Row],[Numer_FV]])</f>
        <v>FV/M/5538/P/22</v>
      </c>
      <c r="B761" s="2" t="str">
        <f>TRIM(Table1[[#This Row],[Numer_PZ]])</f>
        <v>PZ/800759</v>
      </c>
      <c r="C761" s="2" t="str">
        <f>TRIM(Table1[[#This Row],[Dostawca]])</f>
        <v>MedicaPharm</v>
      </c>
      <c r="D761" s="3">
        <v>44846</v>
      </c>
      <c r="E761" s="4" t="s">
        <v>2270</v>
      </c>
      <c r="F761" s="2" t="str">
        <f>TRIM(Table1[[#This Row],[Status]])</f>
        <v>Zaakceptowana</v>
      </c>
      <c r="G761" s="2" t="str">
        <f>TRIM(Table1[[#This Row],[Typ]])</f>
        <v>Faktura VAT</v>
      </c>
      <c r="H761" s="2" t="str">
        <f>TRIM(Table1[[#This Row],[Magazyn]])</f>
        <v>Apteka Szpitalna</v>
      </c>
      <c r="I761" s="2" t="str">
        <f>TRIM(Table1[[#This Row],[Umowa]])</f>
        <v>UM-MED-02</v>
      </c>
      <c r="J761" s="2" t="b">
        <f>ISTEXT(Table14[[#This Row],[Data_Wystawienia]])</f>
        <v>0</v>
      </c>
      <c r="K761" s="2">
        <f>VALUE(SUBSTITUTE(Table14[[#This Row],[Wartość]],".",","))</f>
        <v>13513.37</v>
      </c>
      <c r="L7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1" s="2" t="str">
        <f>IF(Table14[[#This Row],[Umowa]]="","Poza umową","Z umowy")</f>
        <v>Z umowy</v>
      </c>
      <c r="N761" s="2">
        <f>YEAR(Table14[[#This Row],[Data_Wystawienia]])</f>
        <v>2022</v>
      </c>
      <c r="O761" s="2" t="str">
        <f>TEXT(Table14[[#This Row],[Data_Wystawienia]],"rrrr-mm")</f>
        <v>2022-10</v>
      </c>
      <c r="P761" s="2">
        <v>1</v>
      </c>
    </row>
    <row r="762" spans="1:16" x14ac:dyDescent="0.3">
      <c r="A762" s="2" t="str">
        <f>TRIM(Table1[[#This Row],[Numer_FV]])</f>
        <v>FV/POL/15863/2022</v>
      </c>
      <c r="B762" s="2" t="str">
        <f>TRIM(Table1[[#This Row],[Numer_PZ]])</f>
        <v>PZ/800760</v>
      </c>
      <c r="C762" s="2" t="str">
        <f>TRIM(Table1[[#This Row],[Dostawca]])</f>
        <v>Polmedica</v>
      </c>
      <c r="D762" s="3">
        <v>44847</v>
      </c>
      <c r="E762" s="4" t="s">
        <v>2273</v>
      </c>
      <c r="F762" s="2" t="str">
        <f>TRIM(Table1[[#This Row],[Status]])</f>
        <v>Zaakceptowana</v>
      </c>
      <c r="G762" s="2" t="str">
        <f>TRIM(Table1[[#This Row],[Typ]])</f>
        <v>Faktura VAT</v>
      </c>
      <c r="H762" s="2" t="str">
        <f>TRIM(Table1[[#This Row],[Magazyn]])</f>
        <v>Apteka Szpitalna</v>
      </c>
      <c r="I762" s="2" t="str">
        <f>TRIM(Table1[[#This Row],[Umowa]])</f>
        <v/>
      </c>
      <c r="J762" s="2" t="b">
        <f>ISTEXT(Table14[[#This Row],[Data_Wystawienia]])</f>
        <v>0</v>
      </c>
      <c r="K762" s="2">
        <f>VALUE(SUBSTITUTE(Table14[[#This Row],[Wartość]],".",","))</f>
        <v>20308.759999999998</v>
      </c>
      <c r="L7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2" s="2" t="str">
        <f>IF(Table14[[#This Row],[Umowa]]="","Poza umową","Z umowy")</f>
        <v>Poza umową</v>
      </c>
      <c r="N762" s="2">
        <f>YEAR(Table14[[#This Row],[Data_Wystawienia]])</f>
        <v>2022</v>
      </c>
      <c r="O762" s="2" t="str">
        <f>TEXT(Table14[[#This Row],[Data_Wystawienia]],"rrrr-mm")</f>
        <v>2022-10</v>
      </c>
      <c r="P762" s="2">
        <v>1</v>
      </c>
    </row>
    <row r="763" spans="1:16" x14ac:dyDescent="0.3">
      <c r="A763" s="2" t="str">
        <f>TRIM(Table1[[#This Row],[Numer_FV]])</f>
        <v>FV/63/PP/9994/22</v>
      </c>
      <c r="B763" s="2" t="str">
        <f>TRIM(Table1[[#This Row],[Numer_PZ]])</f>
        <v>PZ/800761</v>
      </c>
      <c r="C763" s="2" t="str">
        <f>TRIM(Table1[[#This Row],[Dostawca]])</f>
        <v>PharmaPlus</v>
      </c>
      <c r="D763" s="3">
        <v>44848</v>
      </c>
      <c r="E763" s="4" t="s">
        <v>2276</v>
      </c>
      <c r="F763" s="2" t="str">
        <f>TRIM(Table1[[#This Row],[Status]])</f>
        <v>Zaakceptowana</v>
      </c>
      <c r="G763" s="2" t="str">
        <f>TRIM(Table1[[#This Row],[Typ]])</f>
        <v>Faktura VAT</v>
      </c>
      <c r="H763" s="2" t="str">
        <f>TRIM(Table1[[#This Row],[Magazyn]])</f>
        <v>Apteka Szpitalna</v>
      </c>
      <c r="I763" s="2" t="str">
        <f>TRIM(Table1[[#This Row],[Umowa]])</f>
        <v/>
      </c>
      <c r="J763" s="2" t="b">
        <f>ISTEXT(Table14[[#This Row],[Data_Wystawienia]])</f>
        <v>0</v>
      </c>
      <c r="K763" s="2">
        <f>VALUE(SUBSTITUTE(Table14[[#This Row],[Wartość]],".",","))</f>
        <v>16093.02</v>
      </c>
      <c r="L7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3" s="2" t="str">
        <f>IF(Table14[[#This Row],[Umowa]]="","Poza umową","Z umowy")</f>
        <v>Poza umową</v>
      </c>
      <c r="N763" s="2">
        <f>YEAR(Table14[[#This Row],[Data_Wystawienia]])</f>
        <v>2022</v>
      </c>
      <c r="O763" s="2" t="str">
        <f>TEXT(Table14[[#This Row],[Data_Wystawienia]],"rrrr-mm")</f>
        <v>2022-10</v>
      </c>
      <c r="P763" s="2">
        <v>1</v>
      </c>
    </row>
    <row r="764" spans="1:16" x14ac:dyDescent="0.3">
      <c r="A764" s="2" t="str">
        <f>TRIM(Table1[[#This Row],[Numer_FV]])</f>
        <v>FV/8252/NOVA/22</v>
      </c>
      <c r="B764" s="2" t="str">
        <f>TRIM(Table1[[#This Row],[Numer_PZ]])</f>
        <v>PZ/800762</v>
      </c>
      <c r="C764" s="2" t="str">
        <f>TRIM(Table1[[#This Row],[Dostawca]])</f>
        <v>NovaLek</v>
      </c>
      <c r="D764" s="3">
        <v>44848</v>
      </c>
      <c r="E764" s="4" t="s">
        <v>2279</v>
      </c>
      <c r="F764" s="2" t="str">
        <f>TRIM(Table1[[#This Row],[Status]])</f>
        <v>Zaakceptowana</v>
      </c>
      <c r="G764" s="2" t="str">
        <f>TRIM(Table1[[#This Row],[Typ]])</f>
        <v>Faktura VAT</v>
      </c>
      <c r="H764" s="2" t="str">
        <f>TRIM(Table1[[#This Row],[Magazyn]])</f>
        <v>Apteka Szpitalna</v>
      </c>
      <c r="I764" s="2" t="str">
        <f>TRIM(Table1[[#This Row],[Umowa]])</f>
        <v>UM-NOV-03</v>
      </c>
      <c r="J764" s="2" t="b">
        <f>ISTEXT(Table14[[#This Row],[Data_Wystawienia]])</f>
        <v>0</v>
      </c>
      <c r="K764" s="2">
        <f>VALUE(SUBSTITUTE(Table14[[#This Row],[Wartość]],".",","))</f>
        <v>11786.89</v>
      </c>
      <c r="L7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4" s="2" t="str">
        <f>IF(Table14[[#This Row],[Umowa]]="","Poza umową","Z umowy")</f>
        <v>Z umowy</v>
      </c>
      <c r="N764" s="2">
        <f>YEAR(Table14[[#This Row],[Data_Wystawienia]])</f>
        <v>2022</v>
      </c>
      <c r="O764" s="2" t="str">
        <f>TEXT(Table14[[#This Row],[Data_Wystawienia]],"rrrr-mm")</f>
        <v>2022-10</v>
      </c>
      <c r="P764" s="2">
        <v>1</v>
      </c>
    </row>
    <row r="765" spans="1:16" x14ac:dyDescent="0.3">
      <c r="A765" s="2" t="str">
        <f>TRIM(Table1[[#This Row],[Numer_FV]])</f>
        <v>FV/45082/VDb/2022</v>
      </c>
      <c r="B765" s="2" t="str">
        <f>TRIM(Table1[[#This Row],[Numer_PZ]])</f>
        <v>PZ/800763</v>
      </c>
      <c r="C765" s="2" t="str">
        <f>TRIM(Table1[[#This Row],[Dostawca]])</f>
        <v>VitaDistrib</v>
      </c>
      <c r="D765" s="3">
        <v>44848</v>
      </c>
      <c r="E765" s="4" t="s">
        <v>2282</v>
      </c>
      <c r="F765" s="2" t="str">
        <f>TRIM(Table1[[#This Row],[Status]])</f>
        <v>Zaakceptowana</v>
      </c>
      <c r="G765" s="2" t="str">
        <f>TRIM(Table1[[#This Row],[Typ]])</f>
        <v>Faktura VAT</v>
      </c>
      <c r="H765" s="2" t="str">
        <f>TRIM(Table1[[#This Row],[Magazyn]])</f>
        <v>Apteka Szpitalna</v>
      </c>
      <c r="I765" s="2" t="str">
        <f>TRIM(Table1[[#This Row],[Umowa]])</f>
        <v>UM-VIT-01</v>
      </c>
      <c r="J765" s="2" t="b">
        <f>ISTEXT(Table14[[#This Row],[Data_Wystawienia]])</f>
        <v>0</v>
      </c>
      <c r="K765" s="2">
        <f>VALUE(SUBSTITUTE(Table14[[#This Row],[Wartość]],".",","))</f>
        <v>23336.65</v>
      </c>
      <c r="L7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5" s="2" t="str">
        <f>IF(Table14[[#This Row],[Umowa]]="","Poza umową","Z umowy")</f>
        <v>Z umowy</v>
      </c>
      <c r="N765" s="2">
        <f>YEAR(Table14[[#This Row],[Data_Wystawienia]])</f>
        <v>2022</v>
      </c>
      <c r="O765" s="2" t="str">
        <f>TEXT(Table14[[#This Row],[Data_Wystawienia]],"rrrr-mm")</f>
        <v>2022-10</v>
      </c>
      <c r="P765" s="2">
        <v>1</v>
      </c>
    </row>
    <row r="766" spans="1:16" x14ac:dyDescent="0.3">
      <c r="A766" s="2" t="str">
        <f>TRIM(Table1[[#This Row],[Numer_FV]])</f>
        <v>FV/15/PP/8043/22</v>
      </c>
      <c r="B766" s="2" t="str">
        <f>TRIM(Table1[[#This Row],[Numer_PZ]])</f>
        <v>PZ/800764</v>
      </c>
      <c r="C766" s="2" t="str">
        <f>TRIM(Table1[[#This Row],[Dostawca]])</f>
        <v>PharmaPlus</v>
      </c>
      <c r="D766" s="3">
        <v>44849</v>
      </c>
      <c r="E766" s="4" t="s">
        <v>2285</v>
      </c>
      <c r="F766" s="2" t="str">
        <f>TRIM(Table1[[#This Row],[Status]])</f>
        <v>Zaakceptowana</v>
      </c>
      <c r="G766" s="2" t="str">
        <f>TRIM(Table1[[#This Row],[Typ]])</f>
        <v>Faktura VAT</v>
      </c>
      <c r="H766" s="2" t="str">
        <f>TRIM(Table1[[#This Row],[Magazyn]])</f>
        <v>Apteka Szpitalna</v>
      </c>
      <c r="I766" s="2" t="str">
        <f>TRIM(Table1[[#This Row],[Umowa]])</f>
        <v>UM-PHA-02</v>
      </c>
      <c r="J766" s="2" t="b">
        <f>ISTEXT(Table14[[#This Row],[Data_Wystawienia]])</f>
        <v>0</v>
      </c>
      <c r="K766" s="2">
        <f>VALUE(SUBSTITUTE(Table14[[#This Row],[Wartość]],".",","))</f>
        <v>14239.15</v>
      </c>
      <c r="L7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6" s="2" t="str">
        <f>IF(Table14[[#This Row],[Umowa]]="","Poza umową","Z umowy")</f>
        <v>Z umowy</v>
      </c>
      <c r="N766" s="2">
        <f>YEAR(Table14[[#This Row],[Data_Wystawienia]])</f>
        <v>2022</v>
      </c>
      <c r="O766" s="2" t="str">
        <f>TEXT(Table14[[#This Row],[Data_Wystawienia]],"rrrr-mm")</f>
        <v>2022-10</v>
      </c>
      <c r="P766" s="2">
        <v>1</v>
      </c>
    </row>
    <row r="767" spans="1:16" x14ac:dyDescent="0.3">
      <c r="A767" s="2" t="str">
        <f>TRIM(Table1[[#This Row],[Numer_FV]])</f>
        <v>FV/9958/NOVA/22</v>
      </c>
      <c r="B767" s="2" t="str">
        <f>TRIM(Table1[[#This Row],[Numer_PZ]])</f>
        <v>PZ/800765</v>
      </c>
      <c r="C767" s="2" t="str">
        <f>TRIM(Table1[[#This Row],[Dostawca]])</f>
        <v>NovaLek</v>
      </c>
      <c r="D767" s="3">
        <v>44849</v>
      </c>
      <c r="E767" s="4" t="s">
        <v>2288</v>
      </c>
      <c r="F767" s="2" t="str">
        <f>TRIM(Table1[[#This Row],[Status]])</f>
        <v>Zaakceptowana</v>
      </c>
      <c r="G767" s="2" t="str">
        <f>TRIM(Table1[[#This Row],[Typ]])</f>
        <v>Faktura VAT</v>
      </c>
      <c r="H767" s="2" t="str">
        <f>TRIM(Table1[[#This Row],[Magazyn]])</f>
        <v>Apteka Szpitalna</v>
      </c>
      <c r="I767" s="2" t="str">
        <f>TRIM(Table1[[#This Row],[Umowa]])</f>
        <v>UM-NOV-02</v>
      </c>
      <c r="J767" s="2" t="b">
        <f>ISTEXT(Table14[[#This Row],[Data_Wystawienia]])</f>
        <v>0</v>
      </c>
      <c r="K767" s="2">
        <f>VALUE(SUBSTITUTE(Table14[[#This Row],[Wartość]],".",","))</f>
        <v>14764.39</v>
      </c>
      <c r="L7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7" s="2" t="str">
        <f>IF(Table14[[#This Row],[Umowa]]="","Poza umową","Z umowy")</f>
        <v>Z umowy</v>
      </c>
      <c r="N767" s="2">
        <f>YEAR(Table14[[#This Row],[Data_Wystawienia]])</f>
        <v>2022</v>
      </c>
      <c r="O767" s="2" t="str">
        <f>TEXT(Table14[[#This Row],[Data_Wystawienia]],"rrrr-mm")</f>
        <v>2022-10</v>
      </c>
      <c r="P767" s="2">
        <v>1</v>
      </c>
    </row>
    <row r="768" spans="1:16" x14ac:dyDescent="0.3">
      <c r="A768" s="2" t="str">
        <f>TRIM(Table1[[#This Row],[Numer_FV]])</f>
        <v>FV/6365HM/22</v>
      </c>
      <c r="B768" s="2" t="str">
        <f>TRIM(Table1[[#This Row],[Numer_PZ]])</f>
        <v>PZ/800766</v>
      </c>
      <c r="C768" s="2" t="str">
        <f>TRIM(Table1[[#This Row],[Dostawca]])</f>
        <v>HurtMedix</v>
      </c>
      <c r="D768" s="3">
        <v>44849</v>
      </c>
      <c r="E768" s="4" t="s">
        <v>2291</v>
      </c>
      <c r="F768" s="2" t="str">
        <f>TRIM(Table1[[#This Row],[Status]])</f>
        <v>Zaakceptowana</v>
      </c>
      <c r="G768" s="2" t="str">
        <f>TRIM(Table1[[#This Row],[Typ]])</f>
        <v>Faktura VAT</v>
      </c>
      <c r="H768" s="2" t="str">
        <f>TRIM(Table1[[#This Row],[Magazyn]])</f>
        <v>Apteka Szpitalna</v>
      </c>
      <c r="I768" s="2" t="str">
        <f>TRIM(Table1[[#This Row],[Umowa]])</f>
        <v>UM-HUR-03</v>
      </c>
      <c r="J768" s="2" t="b">
        <f>ISTEXT(Table14[[#This Row],[Data_Wystawienia]])</f>
        <v>0</v>
      </c>
      <c r="K768" s="2">
        <f>VALUE(SUBSTITUTE(Table14[[#This Row],[Wartość]],".",","))</f>
        <v>14111.42</v>
      </c>
      <c r="L7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8" s="2" t="str">
        <f>IF(Table14[[#This Row],[Umowa]]="","Poza umową","Z umowy")</f>
        <v>Z umowy</v>
      </c>
      <c r="N768" s="2">
        <f>YEAR(Table14[[#This Row],[Data_Wystawienia]])</f>
        <v>2022</v>
      </c>
      <c r="O768" s="2" t="str">
        <f>TEXT(Table14[[#This Row],[Data_Wystawienia]],"rrrr-mm")</f>
        <v>2022-10</v>
      </c>
      <c r="P768" s="2">
        <v>1</v>
      </c>
    </row>
    <row r="769" spans="1:16" x14ac:dyDescent="0.3">
      <c r="A769" s="2" t="str">
        <f>TRIM(Table1[[#This Row],[Numer_FV]])</f>
        <v>FV/37/SAL/22</v>
      </c>
      <c r="B769" s="2" t="str">
        <f>TRIM(Table1[[#This Row],[Numer_PZ]])</f>
        <v>PZ/800767</v>
      </c>
      <c r="C769" s="2" t="str">
        <f>TRIM(Table1[[#This Row],[Dostawca]])</f>
        <v>SalusHurt</v>
      </c>
      <c r="D769" s="3">
        <v>44850</v>
      </c>
      <c r="E769" s="4" t="s">
        <v>2294</v>
      </c>
      <c r="F769" s="2" t="str">
        <f>TRIM(Table1[[#This Row],[Status]])</f>
        <v>Zaakceptowana</v>
      </c>
      <c r="G769" s="2" t="str">
        <f>TRIM(Table1[[#This Row],[Typ]])</f>
        <v>Faktura VAT</v>
      </c>
      <c r="H769" s="2" t="str">
        <f>TRIM(Table1[[#This Row],[Magazyn]])</f>
        <v>Apteka Szpitalna</v>
      </c>
      <c r="I769" s="2" t="str">
        <f>TRIM(Table1[[#This Row],[Umowa]])</f>
        <v>UM-SAL-02</v>
      </c>
      <c r="J769" s="2" t="b">
        <f>ISTEXT(Table14[[#This Row],[Data_Wystawienia]])</f>
        <v>0</v>
      </c>
      <c r="K769" s="2">
        <f>VALUE(SUBSTITUTE(Table14[[#This Row],[Wartość]],".",","))</f>
        <v>19634.43</v>
      </c>
      <c r="L7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69" s="2" t="str">
        <f>IF(Table14[[#This Row],[Umowa]]="","Poza umową","Z umowy")</f>
        <v>Z umowy</v>
      </c>
      <c r="N769" s="2">
        <f>YEAR(Table14[[#This Row],[Data_Wystawienia]])</f>
        <v>2022</v>
      </c>
      <c r="O769" s="2" t="str">
        <f>TEXT(Table14[[#This Row],[Data_Wystawienia]],"rrrr-mm")</f>
        <v>2022-10</v>
      </c>
      <c r="P769" s="2">
        <v>1</v>
      </c>
    </row>
    <row r="770" spans="1:16" x14ac:dyDescent="0.3">
      <c r="A770" s="2" t="str">
        <f>TRIM(Table1[[#This Row],[Numer_FV]])</f>
        <v>FV/POL/66148/2022</v>
      </c>
      <c r="B770" s="2" t="str">
        <f>TRIM(Table1[[#This Row],[Numer_PZ]])</f>
        <v>PZ/800768</v>
      </c>
      <c r="C770" s="2" t="str">
        <f>TRIM(Table1[[#This Row],[Dostawca]])</f>
        <v>Polmedica</v>
      </c>
      <c r="D770" s="3">
        <v>44850</v>
      </c>
      <c r="E770" s="4" t="s">
        <v>2297</v>
      </c>
      <c r="F770" s="2" t="str">
        <f>TRIM(Table1[[#This Row],[Status]])</f>
        <v>Zaakceptowana</v>
      </c>
      <c r="G770" s="2" t="str">
        <f>TRIM(Table1[[#This Row],[Typ]])</f>
        <v>Faktura VAT</v>
      </c>
      <c r="H770" s="2" t="str">
        <f>TRIM(Table1[[#This Row],[Magazyn]])</f>
        <v>Apteka Szpitalna</v>
      </c>
      <c r="I770" s="2" t="str">
        <f>TRIM(Table1[[#This Row],[Umowa]])</f>
        <v>UM-POL-03</v>
      </c>
      <c r="J770" s="2" t="b">
        <f>ISTEXT(Table14[[#This Row],[Data_Wystawienia]])</f>
        <v>0</v>
      </c>
      <c r="K770" s="2">
        <f>VALUE(SUBSTITUTE(Table14[[#This Row],[Wartość]],".",","))</f>
        <v>11126.8</v>
      </c>
      <c r="L7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0" s="2" t="str">
        <f>IF(Table14[[#This Row],[Umowa]]="","Poza umową","Z umowy")</f>
        <v>Z umowy</v>
      </c>
      <c r="N770" s="2">
        <f>YEAR(Table14[[#This Row],[Data_Wystawienia]])</f>
        <v>2022</v>
      </c>
      <c r="O770" s="2" t="str">
        <f>TEXT(Table14[[#This Row],[Data_Wystawienia]],"rrrr-mm")</f>
        <v>2022-10</v>
      </c>
      <c r="P770" s="2">
        <v>1</v>
      </c>
    </row>
    <row r="771" spans="1:16" x14ac:dyDescent="0.3">
      <c r="A771" s="2" t="str">
        <f>TRIM(Table1[[#This Row],[Numer_FV]])</f>
        <v>FV/32/SAL/22</v>
      </c>
      <c r="B771" s="2" t="str">
        <f>TRIM(Table1[[#This Row],[Numer_PZ]])</f>
        <v>PZ/800769</v>
      </c>
      <c r="C771" s="2" t="str">
        <f>TRIM(Table1[[#This Row],[Dostawca]])</f>
        <v>SalusHurt</v>
      </c>
      <c r="D771" s="3">
        <v>44850</v>
      </c>
      <c r="E771" s="4" t="s">
        <v>2300</v>
      </c>
      <c r="F771" s="2" t="str">
        <f>TRIM(Table1[[#This Row],[Status]])</f>
        <v>Zaakceptowana</v>
      </c>
      <c r="G771" s="2" t="str">
        <f>TRIM(Table1[[#This Row],[Typ]])</f>
        <v>Faktura VAT</v>
      </c>
      <c r="H771" s="2" t="str">
        <f>TRIM(Table1[[#This Row],[Magazyn]])</f>
        <v>Apteka Szpitalna</v>
      </c>
      <c r="I771" s="2" t="str">
        <f>TRIM(Table1[[#This Row],[Umowa]])</f>
        <v>UM-SAL-01</v>
      </c>
      <c r="J771" s="2" t="b">
        <f>ISTEXT(Table14[[#This Row],[Data_Wystawienia]])</f>
        <v>0</v>
      </c>
      <c r="K771" s="2">
        <f>VALUE(SUBSTITUTE(Table14[[#This Row],[Wartość]],".",","))</f>
        <v>14068.16</v>
      </c>
      <c r="L7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1" s="2" t="str">
        <f>IF(Table14[[#This Row],[Umowa]]="","Poza umową","Z umowy")</f>
        <v>Z umowy</v>
      </c>
      <c r="N771" s="2">
        <f>YEAR(Table14[[#This Row],[Data_Wystawienia]])</f>
        <v>2022</v>
      </c>
      <c r="O771" s="2" t="str">
        <f>TEXT(Table14[[#This Row],[Data_Wystawienia]],"rrrr-mm")</f>
        <v>2022-10</v>
      </c>
      <c r="P771" s="2">
        <v>1</v>
      </c>
    </row>
    <row r="772" spans="1:16" x14ac:dyDescent="0.3">
      <c r="A772" s="2" t="str">
        <f>TRIM(Table1[[#This Row],[Numer_FV]])</f>
        <v>FV/7970/NOVA/22</v>
      </c>
      <c r="B772" s="2" t="str">
        <f>TRIM(Table1[[#This Row],[Numer_PZ]])</f>
        <v>PZ/800770</v>
      </c>
      <c r="C772" s="2" t="str">
        <f>TRIM(Table1[[#This Row],[Dostawca]])</f>
        <v>NovaLek</v>
      </c>
      <c r="D772" s="3">
        <v>44850</v>
      </c>
      <c r="E772" s="4" t="s">
        <v>2303</v>
      </c>
      <c r="F772" s="2" t="str">
        <f>TRIM(Table1[[#This Row],[Status]])</f>
        <v>Zaakceptowana</v>
      </c>
      <c r="G772" s="2" t="str">
        <f>TRIM(Table1[[#This Row],[Typ]])</f>
        <v>Faktura VAT</v>
      </c>
      <c r="H772" s="2" t="str">
        <f>TRIM(Table1[[#This Row],[Magazyn]])</f>
        <v>Apteka Szpitalna</v>
      </c>
      <c r="I772" s="2" t="str">
        <f>TRIM(Table1[[#This Row],[Umowa]])</f>
        <v/>
      </c>
      <c r="J772" s="2" t="b">
        <f>ISTEXT(Table14[[#This Row],[Data_Wystawienia]])</f>
        <v>0</v>
      </c>
      <c r="K772" s="2">
        <f>VALUE(SUBSTITUTE(Table14[[#This Row],[Wartość]],".",","))</f>
        <v>10069.879999999999</v>
      </c>
      <c r="L7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2" s="2" t="str">
        <f>IF(Table14[[#This Row],[Umowa]]="","Poza umową","Z umowy")</f>
        <v>Poza umową</v>
      </c>
      <c r="N772" s="2">
        <f>YEAR(Table14[[#This Row],[Data_Wystawienia]])</f>
        <v>2022</v>
      </c>
      <c r="O772" s="2" t="str">
        <f>TEXT(Table14[[#This Row],[Data_Wystawienia]],"rrrr-mm")</f>
        <v>2022-10</v>
      </c>
      <c r="P772" s="2">
        <v>1</v>
      </c>
    </row>
    <row r="773" spans="1:16" x14ac:dyDescent="0.3">
      <c r="A773" s="2" t="str">
        <f>TRIM(Table1[[#This Row],[Numer_FV]])</f>
        <v>FV/POL/21262/2022</v>
      </c>
      <c r="B773" s="2" t="str">
        <f>TRIM(Table1[[#This Row],[Numer_PZ]])</f>
        <v>PZ/800771</v>
      </c>
      <c r="C773" s="2" t="str">
        <f>TRIM(Table1[[#This Row],[Dostawca]])</f>
        <v>Polmedica</v>
      </c>
      <c r="D773" s="3">
        <v>44851</v>
      </c>
      <c r="E773" s="4" t="s">
        <v>2306</v>
      </c>
      <c r="F773" s="2" t="str">
        <f>TRIM(Table1[[#This Row],[Status]])</f>
        <v>Zaakceptowana</v>
      </c>
      <c r="G773" s="2" t="str">
        <f>TRIM(Table1[[#This Row],[Typ]])</f>
        <v>Faktura VAT</v>
      </c>
      <c r="H773" s="2" t="str">
        <f>TRIM(Table1[[#This Row],[Magazyn]])</f>
        <v>Apteka Szpitalna</v>
      </c>
      <c r="I773" s="2" t="str">
        <f>TRIM(Table1[[#This Row],[Umowa]])</f>
        <v>UM-POL-03</v>
      </c>
      <c r="J773" s="2" t="b">
        <f>ISTEXT(Table14[[#This Row],[Data_Wystawienia]])</f>
        <v>0</v>
      </c>
      <c r="K773" s="2">
        <f>VALUE(SUBSTITUTE(Table14[[#This Row],[Wartość]],".",","))</f>
        <v>15458.85</v>
      </c>
      <c r="L7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3" s="2" t="str">
        <f>IF(Table14[[#This Row],[Umowa]]="","Poza umową","Z umowy")</f>
        <v>Z umowy</v>
      </c>
      <c r="N773" s="2">
        <f>YEAR(Table14[[#This Row],[Data_Wystawienia]])</f>
        <v>2022</v>
      </c>
      <c r="O773" s="2" t="str">
        <f>TEXT(Table14[[#This Row],[Data_Wystawienia]],"rrrr-mm")</f>
        <v>2022-10</v>
      </c>
      <c r="P773" s="2">
        <v>1</v>
      </c>
    </row>
    <row r="774" spans="1:16" x14ac:dyDescent="0.3">
      <c r="A774" s="2" t="str">
        <f>TRIM(Table1[[#This Row],[Numer_FV]])</f>
        <v>FV/29/PP/7939/22</v>
      </c>
      <c r="B774" s="2" t="str">
        <f>TRIM(Table1[[#This Row],[Numer_PZ]])</f>
        <v>PZ/800772</v>
      </c>
      <c r="C774" s="2" t="str">
        <f>TRIM(Table1[[#This Row],[Dostawca]])</f>
        <v>PharmaPlus</v>
      </c>
      <c r="D774" s="3">
        <v>44851</v>
      </c>
      <c r="E774" s="4" t="s">
        <v>2309</v>
      </c>
      <c r="F774" s="2" t="str">
        <f>TRIM(Table1[[#This Row],[Status]])</f>
        <v>Zaakceptowana</v>
      </c>
      <c r="G774" s="2" t="str">
        <f>TRIM(Table1[[#This Row],[Typ]])</f>
        <v>Faktura VAT</v>
      </c>
      <c r="H774" s="2" t="str">
        <f>TRIM(Table1[[#This Row],[Magazyn]])</f>
        <v>Apteka Szpitalna</v>
      </c>
      <c r="I774" s="2" t="str">
        <f>TRIM(Table1[[#This Row],[Umowa]])</f>
        <v>UM-PHA-01</v>
      </c>
      <c r="J774" s="2" t="b">
        <f>ISTEXT(Table14[[#This Row],[Data_Wystawienia]])</f>
        <v>0</v>
      </c>
      <c r="K774" s="2">
        <f>VALUE(SUBSTITUTE(Table14[[#This Row],[Wartość]],".",","))</f>
        <v>22196.03</v>
      </c>
      <c r="L7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4" s="2" t="str">
        <f>IF(Table14[[#This Row],[Umowa]]="","Poza umową","Z umowy")</f>
        <v>Z umowy</v>
      </c>
      <c r="N774" s="2">
        <f>YEAR(Table14[[#This Row],[Data_Wystawienia]])</f>
        <v>2022</v>
      </c>
      <c r="O774" s="2" t="str">
        <f>TEXT(Table14[[#This Row],[Data_Wystawienia]],"rrrr-mm")</f>
        <v>2022-10</v>
      </c>
      <c r="P774" s="2">
        <v>1</v>
      </c>
    </row>
    <row r="775" spans="1:16" x14ac:dyDescent="0.3">
      <c r="A775" s="2" t="str">
        <f>TRIM(Table1[[#This Row],[Numer_FV]])</f>
        <v>FV/M/1495/P/22</v>
      </c>
      <c r="B775" s="2" t="str">
        <f>TRIM(Table1[[#This Row],[Numer_PZ]])</f>
        <v>PZ/800773</v>
      </c>
      <c r="C775" s="2" t="str">
        <f>TRIM(Table1[[#This Row],[Dostawca]])</f>
        <v>MedicaPharm</v>
      </c>
      <c r="D775" s="3">
        <v>44851</v>
      </c>
      <c r="E775" s="4" t="s">
        <v>2312</v>
      </c>
      <c r="F775" s="2" t="str">
        <f>TRIM(Table1[[#This Row],[Status]])</f>
        <v>Zaakceptowana</v>
      </c>
      <c r="G775" s="2" t="str">
        <f>TRIM(Table1[[#This Row],[Typ]])</f>
        <v>Faktura VAT</v>
      </c>
      <c r="H775" s="2" t="str">
        <f>TRIM(Table1[[#This Row],[Magazyn]])</f>
        <v>Apteka Szpitalna</v>
      </c>
      <c r="I775" s="2" t="str">
        <f>TRIM(Table1[[#This Row],[Umowa]])</f>
        <v>UM-MED-02</v>
      </c>
      <c r="J775" s="2" t="b">
        <f>ISTEXT(Table14[[#This Row],[Data_Wystawienia]])</f>
        <v>0</v>
      </c>
      <c r="K775" s="2">
        <f>VALUE(SUBSTITUTE(Table14[[#This Row],[Wartość]],".",","))</f>
        <v>21457.03</v>
      </c>
      <c r="L7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5" s="2" t="str">
        <f>IF(Table14[[#This Row],[Umowa]]="","Poza umową","Z umowy")</f>
        <v>Z umowy</v>
      </c>
      <c r="N775" s="2">
        <f>YEAR(Table14[[#This Row],[Data_Wystawienia]])</f>
        <v>2022</v>
      </c>
      <c r="O775" s="2" t="str">
        <f>TEXT(Table14[[#This Row],[Data_Wystawienia]],"rrrr-mm")</f>
        <v>2022-10</v>
      </c>
      <c r="P775" s="2">
        <v>1</v>
      </c>
    </row>
    <row r="776" spans="1:16" x14ac:dyDescent="0.3">
      <c r="A776" s="2" t="str">
        <f>TRIM(Table1[[#This Row],[Numer_FV]])</f>
        <v>FV/1215/NOVA/22</v>
      </c>
      <c r="B776" s="2" t="str">
        <f>TRIM(Table1[[#This Row],[Numer_PZ]])</f>
        <v>PZ/800774</v>
      </c>
      <c r="C776" s="2" t="str">
        <f>TRIM(Table1[[#This Row],[Dostawca]])</f>
        <v>NovaLek</v>
      </c>
      <c r="D776" s="3">
        <v>44851</v>
      </c>
      <c r="E776" s="4" t="s">
        <v>2315</v>
      </c>
      <c r="F776" s="2" t="str">
        <f>TRIM(Table1[[#This Row],[Status]])</f>
        <v>Zaakceptowana</v>
      </c>
      <c r="G776" s="2" t="str">
        <f>TRIM(Table1[[#This Row],[Typ]])</f>
        <v>Faktura VAT</v>
      </c>
      <c r="H776" s="2" t="str">
        <f>TRIM(Table1[[#This Row],[Magazyn]])</f>
        <v>Apteka Szpitalna</v>
      </c>
      <c r="I776" s="2" t="str">
        <f>TRIM(Table1[[#This Row],[Umowa]])</f>
        <v>UM-NOV-01</v>
      </c>
      <c r="J776" s="2" t="b">
        <f>ISTEXT(Table14[[#This Row],[Data_Wystawienia]])</f>
        <v>0</v>
      </c>
      <c r="K776" s="2">
        <f>VALUE(SUBSTITUTE(Table14[[#This Row],[Wartość]],".",","))</f>
        <v>14667.99</v>
      </c>
      <c r="L7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6" s="2" t="str">
        <f>IF(Table14[[#This Row],[Umowa]]="","Poza umową","Z umowy")</f>
        <v>Z umowy</v>
      </c>
      <c r="N776" s="2">
        <f>YEAR(Table14[[#This Row],[Data_Wystawienia]])</f>
        <v>2022</v>
      </c>
      <c r="O776" s="2" t="str">
        <f>TEXT(Table14[[#This Row],[Data_Wystawienia]],"rrrr-mm")</f>
        <v>2022-10</v>
      </c>
      <c r="P776" s="2">
        <v>1</v>
      </c>
    </row>
    <row r="777" spans="1:16" x14ac:dyDescent="0.3">
      <c r="A777" s="2" t="str">
        <f>TRIM(Table1[[#This Row],[Numer_FV]])</f>
        <v>FV/90/SAL/22</v>
      </c>
      <c r="B777" s="2" t="str">
        <f>TRIM(Table1[[#This Row],[Numer_PZ]])</f>
        <v>PZ/800775</v>
      </c>
      <c r="C777" s="2" t="str">
        <f>TRIM(Table1[[#This Row],[Dostawca]])</f>
        <v>SalusHurt</v>
      </c>
      <c r="D777" s="3">
        <v>44852</v>
      </c>
      <c r="E777" s="4" t="s">
        <v>2318</v>
      </c>
      <c r="F777" s="2" t="str">
        <f>TRIM(Table1[[#This Row],[Status]])</f>
        <v>Zaakceptowana</v>
      </c>
      <c r="G777" s="2" t="str">
        <f>TRIM(Table1[[#This Row],[Typ]])</f>
        <v>Faktura VAT</v>
      </c>
      <c r="H777" s="2" t="str">
        <f>TRIM(Table1[[#This Row],[Magazyn]])</f>
        <v>Apteka Szpitalna</v>
      </c>
      <c r="I777" s="2" t="str">
        <f>TRIM(Table1[[#This Row],[Umowa]])</f>
        <v/>
      </c>
      <c r="J777" s="2" t="b">
        <f>ISTEXT(Table14[[#This Row],[Data_Wystawienia]])</f>
        <v>0</v>
      </c>
      <c r="K777" s="2">
        <f>VALUE(SUBSTITUTE(Table14[[#This Row],[Wartość]],".",","))</f>
        <v>11991.92</v>
      </c>
      <c r="L7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7" s="2" t="str">
        <f>IF(Table14[[#This Row],[Umowa]]="","Poza umową","Z umowy")</f>
        <v>Poza umową</v>
      </c>
      <c r="N777" s="2">
        <f>YEAR(Table14[[#This Row],[Data_Wystawienia]])</f>
        <v>2022</v>
      </c>
      <c r="O777" s="2" t="str">
        <f>TEXT(Table14[[#This Row],[Data_Wystawienia]],"rrrr-mm")</f>
        <v>2022-10</v>
      </c>
      <c r="P777" s="2">
        <v>1</v>
      </c>
    </row>
    <row r="778" spans="1:16" x14ac:dyDescent="0.3">
      <c r="A778" s="2" t="str">
        <f>TRIM(Table1[[#This Row],[Numer_FV]])</f>
        <v>FV/POL/56394/2022</v>
      </c>
      <c r="B778" s="2" t="str">
        <f>TRIM(Table1[[#This Row],[Numer_PZ]])</f>
        <v>PZ/800776</v>
      </c>
      <c r="C778" s="2" t="str">
        <f>TRIM(Table1[[#This Row],[Dostawca]])</f>
        <v>Polmedica</v>
      </c>
      <c r="D778" s="3">
        <v>44852</v>
      </c>
      <c r="E778" s="4" t="s">
        <v>2321</v>
      </c>
      <c r="F778" s="2" t="str">
        <f>TRIM(Table1[[#This Row],[Status]])</f>
        <v>Zaakceptowana</v>
      </c>
      <c r="G778" s="2" t="str">
        <f>TRIM(Table1[[#This Row],[Typ]])</f>
        <v>Faktura VAT</v>
      </c>
      <c r="H778" s="2" t="str">
        <f>TRIM(Table1[[#This Row],[Magazyn]])</f>
        <v>Apteka Szpitalna</v>
      </c>
      <c r="I778" s="2" t="str">
        <f>TRIM(Table1[[#This Row],[Umowa]])</f>
        <v>UM-POL-01</v>
      </c>
      <c r="J778" s="2" t="b">
        <f>ISTEXT(Table14[[#This Row],[Data_Wystawienia]])</f>
        <v>0</v>
      </c>
      <c r="K778" s="2">
        <f>VALUE(SUBSTITUTE(Table14[[#This Row],[Wartość]],".",","))</f>
        <v>15872</v>
      </c>
      <c r="L7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8" s="2" t="str">
        <f>IF(Table14[[#This Row],[Umowa]]="","Poza umową","Z umowy")</f>
        <v>Z umowy</v>
      </c>
      <c r="N778" s="2">
        <f>YEAR(Table14[[#This Row],[Data_Wystawienia]])</f>
        <v>2022</v>
      </c>
      <c r="O778" s="2" t="str">
        <f>TEXT(Table14[[#This Row],[Data_Wystawienia]],"rrrr-mm")</f>
        <v>2022-10</v>
      </c>
      <c r="P778" s="2">
        <v>1</v>
      </c>
    </row>
    <row r="779" spans="1:16" x14ac:dyDescent="0.3">
      <c r="A779" s="2" t="str">
        <f>TRIM(Table1[[#This Row],[Numer_FV]])</f>
        <v>FV/2998/NOVA/22</v>
      </c>
      <c r="B779" s="2" t="str">
        <f>TRIM(Table1[[#This Row],[Numer_PZ]])</f>
        <v>PZ/800777</v>
      </c>
      <c r="C779" s="2" t="str">
        <f>TRIM(Table1[[#This Row],[Dostawca]])</f>
        <v>NovaLek</v>
      </c>
      <c r="D779" s="3">
        <v>44853</v>
      </c>
      <c r="E779" s="4" t="s">
        <v>2324</v>
      </c>
      <c r="F779" s="2" t="str">
        <f>TRIM(Table1[[#This Row],[Status]])</f>
        <v>Zaakceptowana</v>
      </c>
      <c r="G779" s="2" t="str">
        <f>TRIM(Table1[[#This Row],[Typ]])</f>
        <v>Faktura VAT</v>
      </c>
      <c r="H779" s="2" t="str">
        <f>TRIM(Table1[[#This Row],[Magazyn]])</f>
        <v>Apteka Szpitalna</v>
      </c>
      <c r="I779" s="2" t="str">
        <f>TRIM(Table1[[#This Row],[Umowa]])</f>
        <v>UM-NOV-01</v>
      </c>
      <c r="J779" s="2" t="b">
        <f>ISTEXT(Table14[[#This Row],[Data_Wystawienia]])</f>
        <v>0</v>
      </c>
      <c r="K779" s="2">
        <f>VALUE(SUBSTITUTE(Table14[[#This Row],[Wartość]],".",","))</f>
        <v>13730.52</v>
      </c>
      <c r="L7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79" s="2" t="str">
        <f>IF(Table14[[#This Row],[Umowa]]="","Poza umową","Z umowy")</f>
        <v>Z umowy</v>
      </c>
      <c r="N779" s="2">
        <f>YEAR(Table14[[#This Row],[Data_Wystawienia]])</f>
        <v>2022</v>
      </c>
      <c r="O779" s="2" t="str">
        <f>TEXT(Table14[[#This Row],[Data_Wystawienia]],"rrrr-mm")</f>
        <v>2022-10</v>
      </c>
      <c r="P779" s="2">
        <v>1</v>
      </c>
    </row>
    <row r="780" spans="1:16" x14ac:dyDescent="0.3">
      <c r="A780" s="2" t="str">
        <f>TRIM(Table1[[#This Row],[Numer_FV]])</f>
        <v>FV/M/8193/P/22</v>
      </c>
      <c r="B780" s="2" t="str">
        <f>TRIM(Table1[[#This Row],[Numer_PZ]])</f>
        <v>PZ/800778</v>
      </c>
      <c r="C780" s="2" t="str">
        <f>TRIM(Table1[[#This Row],[Dostawca]])</f>
        <v>MedicaPharm</v>
      </c>
      <c r="D780" s="3">
        <v>44853</v>
      </c>
      <c r="E780" s="4" t="s">
        <v>2327</v>
      </c>
      <c r="F780" s="2" t="str">
        <f>TRIM(Table1[[#This Row],[Status]])</f>
        <v>Zaakceptowana</v>
      </c>
      <c r="G780" s="2" t="str">
        <f>TRIM(Table1[[#This Row],[Typ]])</f>
        <v>Faktura VAT</v>
      </c>
      <c r="H780" s="2" t="str">
        <f>TRIM(Table1[[#This Row],[Magazyn]])</f>
        <v>Apteka Szpitalna</v>
      </c>
      <c r="I780" s="2" t="str">
        <f>TRIM(Table1[[#This Row],[Umowa]])</f>
        <v>UM-MED-01</v>
      </c>
      <c r="J780" s="2" t="b">
        <f>ISTEXT(Table14[[#This Row],[Data_Wystawienia]])</f>
        <v>0</v>
      </c>
      <c r="K780" s="2">
        <f>VALUE(SUBSTITUTE(Table14[[#This Row],[Wartość]],".",","))</f>
        <v>17961.63</v>
      </c>
      <c r="L7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0" s="2" t="str">
        <f>IF(Table14[[#This Row],[Umowa]]="","Poza umową","Z umowy")</f>
        <v>Z umowy</v>
      </c>
      <c r="N780" s="2">
        <f>YEAR(Table14[[#This Row],[Data_Wystawienia]])</f>
        <v>2022</v>
      </c>
      <c r="O780" s="2" t="str">
        <f>TEXT(Table14[[#This Row],[Data_Wystawienia]],"rrrr-mm")</f>
        <v>2022-10</v>
      </c>
      <c r="P780" s="2">
        <v>1</v>
      </c>
    </row>
    <row r="781" spans="1:16" x14ac:dyDescent="0.3">
      <c r="A781" s="2" t="str">
        <f>TRIM(Table1[[#This Row],[Numer_FV]])</f>
        <v>FV/97077/VDb/2022</v>
      </c>
      <c r="B781" s="2" t="str">
        <f>TRIM(Table1[[#This Row],[Numer_PZ]])</f>
        <v>PZ/800779</v>
      </c>
      <c r="C781" s="2" t="str">
        <f>TRIM(Table1[[#This Row],[Dostawca]])</f>
        <v>VitaDistrib</v>
      </c>
      <c r="D781" s="3">
        <v>44853</v>
      </c>
      <c r="E781" s="4" t="s">
        <v>2330</v>
      </c>
      <c r="F781" s="2" t="str">
        <f>TRIM(Table1[[#This Row],[Status]])</f>
        <v>Zaakceptowana</v>
      </c>
      <c r="G781" s="2" t="str">
        <f>TRIM(Table1[[#This Row],[Typ]])</f>
        <v>Faktura VAT</v>
      </c>
      <c r="H781" s="2" t="str">
        <f>TRIM(Table1[[#This Row],[Magazyn]])</f>
        <v>Apteka Szpitalna</v>
      </c>
      <c r="I781" s="2" t="str">
        <f>TRIM(Table1[[#This Row],[Umowa]])</f>
        <v/>
      </c>
      <c r="J781" s="2" t="b">
        <f>ISTEXT(Table14[[#This Row],[Data_Wystawienia]])</f>
        <v>0</v>
      </c>
      <c r="K781" s="2">
        <f>VALUE(SUBSTITUTE(Table14[[#This Row],[Wartość]],".",","))</f>
        <v>16759.3</v>
      </c>
      <c r="L7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1" s="2" t="str">
        <f>IF(Table14[[#This Row],[Umowa]]="","Poza umową","Z umowy")</f>
        <v>Poza umową</v>
      </c>
      <c r="N781" s="2">
        <f>YEAR(Table14[[#This Row],[Data_Wystawienia]])</f>
        <v>2022</v>
      </c>
      <c r="O781" s="2" t="str">
        <f>TEXT(Table14[[#This Row],[Data_Wystawienia]],"rrrr-mm")</f>
        <v>2022-10</v>
      </c>
      <c r="P781" s="2">
        <v>1</v>
      </c>
    </row>
    <row r="782" spans="1:16" x14ac:dyDescent="0.3">
      <c r="A782" s="2" t="str">
        <f>TRIM(Table1[[#This Row],[Numer_FV]])</f>
        <v>FV/CENFA/498645/22</v>
      </c>
      <c r="B782" s="2" t="str">
        <f>TRIM(Table1[[#This Row],[Numer_PZ]])</f>
        <v>PZ/800780</v>
      </c>
      <c r="C782" s="2" t="str">
        <f>TRIM(Table1[[#This Row],[Dostawca]])</f>
        <v>CentrumFarm</v>
      </c>
      <c r="D782" s="3">
        <v>44854</v>
      </c>
      <c r="E782" s="4" t="s">
        <v>2333</v>
      </c>
      <c r="F782" s="2" t="str">
        <f>TRIM(Table1[[#This Row],[Status]])</f>
        <v>Zaakceptowana</v>
      </c>
      <c r="G782" s="2" t="str">
        <f>TRIM(Table1[[#This Row],[Typ]])</f>
        <v>Faktura VAT</v>
      </c>
      <c r="H782" s="2" t="str">
        <f>TRIM(Table1[[#This Row],[Magazyn]])</f>
        <v>Apteka Szpitalna</v>
      </c>
      <c r="I782" s="2" t="str">
        <f>TRIM(Table1[[#This Row],[Umowa]])</f>
        <v>UM-CEN-02</v>
      </c>
      <c r="J782" s="2" t="b">
        <f>ISTEXT(Table14[[#This Row],[Data_Wystawienia]])</f>
        <v>0</v>
      </c>
      <c r="K782" s="2">
        <f>VALUE(SUBSTITUTE(Table14[[#This Row],[Wartość]],".",","))</f>
        <v>15335.66</v>
      </c>
      <c r="L7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2" s="2" t="str">
        <f>IF(Table14[[#This Row],[Umowa]]="","Poza umową","Z umowy")</f>
        <v>Z umowy</v>
      </c>
      <c r="N782" s="2">
        <f>YEAR(Table14[[#This Row],[Data_Wystawienia]])</f>
        <v>2022</v>
      </c>
      <c r="O782" s="2" t="str">
        <f>TEXT(Table14[[#This Row],[Data_Wystawienia]],"rrrr-mm")</f>
        <v>2022-10</v>
      </c>
      <c r="P782" s="2">
        <v>1</v>
      </c>
    </row>
    <row r="783" spans="1:16" x14ac:dyDescent="0.3">
      <c r="A783" s="2" t="str">
        <f>TRIM(Table1[[#This Row],[Numer_FV]])</f>
        <v>FV/68/PP/4688/22</v>
      </c>
      <c r="B783" s="2" t="str">
        <f>TRIM(Table1[[#This Row],[Numer_PZ]])</f>
        <v>PZ/800781</v>
      </c>
      <c r="C783" s="2" t="str">
        <f>TRIM(Table1[[#This Row],[Dostawca]])</f>
        <v>PharmaPlus</v>
      </c>
      <c r="D783" s="3">
        <v>44854</v>
      </c>
      <c r="E783" s="4" t="s">
        <v>2336</v>
      </c>
      <c r="F783" s="2" t="str">
        <f>TRIM(Table1[[#This Row],[Status]])</f>
        <v>Zaakceptowana</v>
      </c>
      <c r="G783" s="2" t="str">
        <f>TRIM(Table1[[#This Row],[Typ]])</f>
        <v>Faktura VAT</v>
      </c>
      <c r="H783" s="2" t="str">
        <f>TRIM(Table1[[#This Row],[Magazyn]])</f>
        <v>Apteka Szpitalna</v>
      </c>
      <c r="I783" s="2" t="str">
        <f>TRIM(Table1[[#This Row],[Umowa]])</f>
        <v>UM-PHA-02</v>
      </c>
      <c r="J783" s="2" t="b">
        <f>ISTEXT(Table14[[#This Row],[Data_Wystawienia]])</f>
        <v>0</v>
      </c>
      <c r="K783" s="2">
        <f>VALUE(SUBSTITUTE(Table14[[#This Row],[Wartość]],".",","))</f>
        <v>17911.259999999998</v>
      </c>
      <c r="L7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3" s="2" t="str">
        <f>IF(Table14[[#This Row],[Umowa]]="","Poza umową","Z umowy")</f>
        <v>Z umowy</v>
      </c>
      <c r="N783" s="2">
        <f>YEAR(Table14[[#This Row],[Data_Wystawienia]])</f>
        <v>2022</v>
      </c>
      <c r="O783" s="2" t="str">
        <f>TEXT(Table14[[#This Row],[Data_Wystawienia]],"rrrr-mm")</f>
        <v>2022-10</v>
      </c>
      <c r="P783" s="2">
        <v>1</v>
      </c>
    </row>
    <row r="784" spans="1:16" x14ac:dyDescent="0.3">
      <c r="A784" s="2" t="str">
        <f>TRIM(Table1[[#This Row],[Numer_FV]])</f>
        <v>FV/M/5349/P/22</v>
      </c>
      <c r="B784" s="2" t="str">
        <f>TRIM(Table1[[#This Row],[Numer_PZ]])</f>
        <v>PZ/800782</v>
      </c>
      <c r="C784" s="2" t="str">
        <f>TRIM(Table1[[#This Row],[Dostawca]])</f>
        <v>MedicaPharm</v>
      </c>
      <c r="D784" s="3">
        <v>44854</v>
      </c>
      <c r="E784" s="4" t="s">
        <v>2339</v>
      </c>
      <c r="F784" s="2" t="str">
        <f>TRIM(Table1[[#This Row],[Status]])</f>
        <v>Zaakceptowana</v>
      </c>
      <c r="G784" s="2" t="str">
        <f>TRIM(Table1[[#This Row],[Typ]])</f>
        <v>Faktura VAT</v>
      </c>
      <c r="H784" s="2" t="str">
        <f>TRIM(Table1[[#This Row],[Magazyn]])</f>
        <v>Apteka Szpitalna</v>
      </c>
      <c r="I784" s="2" t="str">
        <f>TRIM(Table1[[#This Row],[Umowa]])</f>
        <v>UM-MED-01</v>
      </c>
      <c r="J784" s="2" t="b">
        <f>ISTEXT(Table14[[#This Row],[Data_Wystawienia]])</f>
        <v>0</v>
      </c>
      <c r="K784" s="2">
        <f>VALUE(SUBSTITUTE(Table14[[#This Row],[Wartość]],".",","))</f>
        <v>16754.84</v>
      </c>
      <c r="L7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4" s="2" t="str">
        <f>IF(Table14[[#This Row],[Umowa]]="","Poza umową","Z umowy")</f>
        <v>Z umowy</v>
      </c>
      <c r="N784" s="2">
        <f>YEAR(Table14[[#This Row],[Data_Wystawienia]])</f>
        <v>2022</v>
      </c>
      <c r="O784" s="2" t="str">
        <f>TEXT(Table14[[#This Row],[Data_Wystawienia]],"rrrr-mm")</f>
        <v>2022-10</v>
      </c>
      <c r="P784" s="2">
        <v>1</v>
      </c>
    </row>
    <row r="785" spans="1:16" x14ac:dyDescent="0.3">
      <c r="A785" s="2" t="str">
        <f>TRIM(Table1[[#This Row],[Numer_FV]])</f>
        <v>FV/4195HM/22</v>
      </c>
      <c r="B785" s="2" t="str">
        <f>TRIM(Table1[[#This Row],[Numer_PZ]])</f>
        <v>PZ/800783</v>
      </c>
      <c r="C785" s="2" t="str">
        <f>TRIM(Table1[[#This Row],[Dostawca]])</f>
        <v>HurtMedix</v>
      </c>
      <c r="D785" s="3">
        <v>44854</v>
      </c>
      <c r="E785" s="4" t="s">
        <v>2342</v>
      </c>
      <c r="F785" s="2" t="str">
        <f>TRIM(Table1[[#This Row],[Status]])</f>
        <v>Zaakceptowana</v>
      </c>
      <c r="G785" s="2" t="str">
        <f>TRIM(Table1[[#This Row],[Typ]])</f>
        <v>Faktura VAT</v>
      </c>
      <c r="H785" s="2" t="str">
        <f>TRIM(Table1[[#This Row],[Magazyn]])</f>
        <v>Apteka Szpitalna</v>
      </c>
      <c r="I785" s="2" t="str">
        <f>TRIM(Table1[[#This Row],[Umowa]])</f>
        <v>UM-HUR-02</v>
      </c>
      <c r="J785" s="2" t="b">
        <f>ISTEXT(Table14[[#This Row],[Data_Wystawienia]])</f>
        <v>0</v>
      </c>
      <c r="K785" s="2">
        <f>VALUE(SUBSTITUTE(Table14[[#This Row],[Wartość]],".",","))</f>
        <v>19793.39</v>
      </c>
      <c r="L7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5" s="2" t="str">
        <f>IF(Table14[[#This Row],[Umowa]]="","Poza umową","Z umowy")</f>
        <v>Z umowy</v>
      </c>
      <c r="N785" s="2">
        <f>YEAR(Table14[[#This Row],[Data_Wystawienia]])</f>
        <v>2022</v>
      </c>
      <c r="O785" s="2" t="str">
        <f>TEXT(Table14[[#This Row],[Data_Wystawienia]],"rrrr-mm")</f>
        <v>2022-10</v>
      </c>
      <c r="P785" s="2">
        <v>1</v>
      </c>
    </row>
    <row r="786" spans="1:16" x14ac:dyDescent="0.3">
      <c r="A786" s="2" t="str">
        <f>TRIM(Table1[[#This Row],[Numer_FV]])</f>
        <v>FV/M/7850/P/22</v>
      </c>
      <c r="B786" s="2" t="str">
        <f>TRIM(Table1[[#This Row],[Numer_PZ]])</f>
        <v>PZ/800784</v>
      </c>
      <c r="C786" s="2" t="str">
        <f>TRIM(Table1[[#This Row],[Dostawca]])</f>
        <v>MedicaPharm</v>
      </c>
      <c r="D786" s="3">
        <v>44856</v>
      </c>
      <c r="E786" s="4" t="s">
        <v>2344</v>
      </c>
      <c r="F786" s="2" t="str">
        <f>TRIM(Table1[[#This Row],[Status]])</f>
        <v>Zaakceptowana</v>
      </c>
      <c r="G786" s="2" t="str">
        <f>TRIM(Table1[[#This Row],[Typ]])</f>
        <v>Faktura VAT</v>
      </c>
      <c r="H786" s="2" t="str">
        <f>TRIM(Table1[[#This Row],[Magazyn]])</f>
        <v>Apteka Szpitalna</v>
      </c>
      <c r="I786" s="2" t="str">
        <f>TRIM(Table1[[#This Row],[Umowa]])</f>
        <v>UM-MED-02</v>
      </c>
      <c r="J786" s="2" t="b">
        <f>ISTEXT(Table14[[#This Row],[Data_Wystawienia]])</f>
        <v>0</v>
      </c>
      <c r="K786" s="2">
        <f>VALUE(SUBSTITUTE(Table14[[#This Row],[Wartość]],".",","))</f>
        <v>14932.27</v>
      </c>
      <c r="L7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6" s="2" t="str">
        <f>IF(Table14[[#This Row],[Umowa]]="","Poza umową","Z umowy")</f>
        <v>Z umowy</v>
      </c>
      <c r="N786" s="2">
        <f>YEAR(Table14[[#This Row],[Data_Wystawienia]])</f>
        <v>2022</v>
      </c>
      <c r="O786" s="2" t="str">
        <f>TEXT(Table14[[#This Row],[Data_Wystawienia]],"rrrr-mm")</f>
        <v>2022-10</v>
      </c>
      <c r="P786" s="2">
        <v>1</v>
      </c>
    </row>
    <row r="787" spans="1:16" x14ac:dyDescent="0.3">
      <c r="A787" s="2" t="str">
        <f>TRIM(Table1[[#This Row],[Numer_FV]])</f>
        <v>FV/66/PP/5264/22</v>
      </c>
      <c r="B787" s="2" t="str">
        <f>TRIM(Table1[[#This Row],[Numer_PZ]])</f>
        <v>PZ/800785</v>
      </c>
      <c r="C787" s="2" t="str">
        <f>TRIM(Table1[[#This Row],[Dostawca]])</f>
        <v>PharmaPlus</v>
      </c>
      <c r="D787" s="3">
        <v>44856</v>
      </c>
      <c r="E787" s="4" t="s">
        <v>2347</v>
      </c>
      <c r="F787" s="2" t="str">
        <f>TRIM(Table1[[#This Row],[Status]])</f>
        <v>Zaakceptowana</v>
      </c>
      <c r="G787" s="2" t="str">
        <f>TRIM(Table1[[#This Row],[Typ]])</f>
        <v>Faktura VAT</v>
      </c>
      <c r="H787" s="2" t="str">
        <f>TRIM(Table1[[#This Row],[Magazyn]])</f>
        <v>Apteka Szpitalna</v>
      </c>
      <c r="I787" s="2" t="str">
        <f>TRIM(Table1[[#This Row],[Umowa]])</f>
        <v>UM-PHA-02</v>
      </c>
      <c r="J787" s="2" t="b">
        <f>ISTEXT(Table14[[#This Row],[Data_Wystawienia]])</f>
        <v>0</v>
      </c>
      <c r="K787" s="2">
        <f>VALUE(SUBSTITUTE(Table14[[#This Row],[Wartość]],".",","))</f>
        <v>22948.65</v>
      </c>
      <c r="L7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7" s="2" t="str">
        <f>IF(Table14[[#This Row],[Umowa]]="","Poza umową","Z umowy")</f>
        <v>Z umowy</v>
      </c>
      <c r="N787" s="2">
        <f>YEAR(Table14[[#This Row],[Data_Wystawienia]])</f>
        <v>2022</v>
      </c>
      <c r="O787" s="2" t="str">
        <f>TEXT(Table14[[#This Row],[Data_Wystawienia]],"rrrr-mm")</f>
        <v>2022-10</v>
      </c>
      <c r="P787" s="2">
        <v>1</v>
      </c>
    </row>
    <row r="788" spans="1:16" x14ac:dyDescent="0.3">
      <c r="A788" s="2" t="str">
        <f>TRIM(Table1[[#This Row],[Numer_FV]])</f>
        <v>FV/CENFA/821618/22</v>
      </c>
      <c r="B788" s="2" t="str">
        <f>TRIM(Table1[[#This Row],[Numer_PZ]])</f>
        <v>PZ/800786</v>
      </c>
      <c r="C788" s="2" t="str">
        <f>TRIM(Table1[[#This Row],[Dostawca]])</f>
        <v>CentrumFarm</v>
      </c>
      <c r="D788" s="3">
        <v>44856</v>
      </c>
      <c r="E788" s="4" t="s">
        <v>2350</v>
      </c>
      <c r="F788" s="2" t="str">
        <f>TRIM(Table1[[#This Row],[Status]])</f>
        <v>Zaakceptowana</v>
      </c>
      <c r="G788" s="2" t="str">
        <f>TRIM(Table1[[#This Row],[Typ]])</f>
        <v>Korekta FV</v>
      </c>
      <c r="H788" s="2" t="str">
        <f>TRIM(Table1[[#This Row],[Magazyn]])</f>
        <v>Apteka Szpitalna</v>
      </c>
      <c r="I788" s="2" t="str">
        <f>TRIM(Table1[[#This Row],[Umowa]])</f>
        <v>UM-CEN-01</v>
      </c>
      <c r="J788" s="2" t="b">
        <f>ISTEXT(Table14[[#This Row],[Data_Wystawienia]])</f>
        <v>0</v>
      </c>
      <c r="K788" s="2">
        <f>VALUE(SUBSTITUTE(Table14[[#This Row],[Wartość]],".",","))</f>
        <v>-2936.39</v>
      </c>
      <c r="L7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8" s="2" t="str">
        <f>IF(Table14[[#This Row],[Umowa]]="","Poza umową","Z umowy")</f>
        <v>Z umowy</v>
      </c>
      <c r="N788" s="2">
        <f>YEAR(Table14[[#This Row],[Data_Wystawienia]])</f>
        <v>2022</v>
      </c>
      <c r="O788" s="2" t="str">
        <f>TEXT(Table14[[#This Row],[Data_Wystawienia]],"rrrr-mm")</f>
        <v>2022-10</v>
      </c>
      <c r="P788" s="2">
        <v>1</v>
      </c>
    </row>
    <row r="789" spans="1:16" x14ac:dyDescent="0.3">
      <c r="A789" s="2" t="str">
        <f>TRIM(Table1[[#This Row],[Numer_FV]])</f>
        <v>FV/M/1733/P/22</v>
      </c>
      <c r="B789" s="2" t="str">
        <f>TRIM(Table1[[#This Row],[Numer_PZ]])</f>
        <v>PZ/800787</v>
      </c>
      <c r="C789" s="2" t="str">
        <f>TRIM(Table1[[#This Row],[Dostawca]])</f>
        <v>MedicaPharm</v>
      </c>
      <c r="D789" s="3">
        <v>44856</v>
      </c>
      <c r="E789" s="4" t="s">
        <v>2353</v>
      </c>
      <c r="F789" s="2" t="str">
        <f>TRIM(Table1[[#This Row],[Status]])</f>
        <v>Zaakceptowana</v>
      </c>
      <c r="G789" s="2" t="str">
        <f>TRIM(Table1[[#This Row],[Typ]])</f>
        <v>Faktura VAT</v>
      </c>
      <c r="H789" s="2" t="str">
        <f>TRIM(Table1[[#This Row],[Magazyn]])</f>
        <v>Apteka Szpitalna</v>
      </c>
      <c r="I789" s="2" t="str">
        <f>TRIM(Table1[[#This Row],[Umowa]])</f>
        <v>UM-MED-02</v>
      </c>
      <c r="J789" s="2" t="b">
        <f>ISTEXT(Table14[[#This Row],[Data_Wystawienia]])</f>
        <v>0</v>
      </c>
      <c r="K789" s="2">
        <f>VALUE(SUBSTITUTE(Table14[[#This Row],[Wartość]],".",","))</f>
        <v>20617.330000000002</v>
      </c>
      <c r="L7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89" s="2" t="str">
        <f>IF(Table14[[#This Row],[Umowa]]="","Poza umową","Z umowy")</f>
        <v>Z umowy</v>
      </c>
      <c r="N789" s="2">
        <f>YEAR(Table14[[#This Row],[Data_Wystawienia]])</f>
        <v>2022</v>
      </c>
      <c r="O789" s="2" t="str">
        <f>TEXT(Table14[[#This Row],[Data_Wystawienia]],"rrrr-mm")</f>
        <v>2022-10</v>
      </c>
      <c r="P789" s="2">
        <v>1</v>
      </c>
    </row>
    <row r="790" spans="1:16" x14ac:dyDescent="0.3">
      <c r="A790" s="2" t="str">
        <f>TRIM(Table1[[#This Row],[Numer_FV]])</f>
        <v>FV/6134HM/22</v>
      </c>
      <c r="B790" s="2" t="str">
        <f>TRIM(Table1[[#This Row],[Numer_PZ]])</f>
        <v>PZ/800788</v>
      </c>
      <c r="C790" s="2" t="str">
        <f>TRIM(Table1[[#This Row],[Dostawca]])</f>
        <v>HurtMedix</v>
      </c>
      <c r="D790" s="3">
        <v>44857</v>
      </c>
      <c r="E790" s="4" t="s">
        <v>2356</v>
      </c>
      <c r="F790" s="2" t="str">
        <f>TRIM(Table1[[#This Row],[Status]])</f>
        <v>Zaakceptowana</v>
      </c>
      <c r="G790" s="2" t="str">
        <f>TRIM(Table1[[#This Row],[Typ]])</f>
        <v>Faktura VAT</v>
      </c>
      <c r="H790" s="2" t="str">
        <f>TRIM(Table1[[#This Row],[Magazyn]])</f>
        <v>Apteka Szpitalna</v>
      </c>
      <c r="I790" s="2" t="str">
        <f>TRIM(Table1[[#This Row],[Umowa]])</f>
        <v>UM-HUR-02</v>
      </c>
      <c r="J790" s="2" t="b">
        <f>ISTEXT(Table14[[#This Row],[Data_Wystawienia]])</f>
        <v>0</v>
      </c>
      <c r="K790" s="2">
        <f>VALUE(SUBSTITUTE(Table14[[#This Row],[Wartość]],".",","))</f>
        <v>7715.44</v>
      </c>
      <c r="L7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0" s="2" t="str">
        <f>IF(Table14[[#This Row],[Umowa]]="","Poza umową","Z umowy")</f>
        <v>Z umowy</v>
      </c>
      <c r="N790" s="2">
        <f>YEAR(Table14[[#This Row],[Data_Wystawienia]])</f>
        <v>2022</v>
      </c>
      <c r="O790" s="2" t="str">
        <f>TEXT(Table14[[#This Row],[Data_Wystawienia]],"rrrr-mm")</f>
        <v>2022-10</v>
      </c>
      <c r="P790" s="2">
        <v>1</v>
      </c>
    </row>
    <row r="791" spans="1:16" x14ac:dyDescent="0.3">
      <c r="A791" s="2" t="str">
        <f>TRIM(Table1[[#This Row],[Numer_FV]])</f>
        <v>FV/9679HM/22</v>
      </c>
      <c r="B791" s="2" t="str">
        <f>TRIM(Table1[[#This Row],[Numer_PZ]])</f>
        <v>PZ/800789</v>
      </c>
      <c r="C791" s="2" t="str">
        <f>TRIM(Table1[[#This Row],[Dostawca]])</f>
        <v>HurtMedix</v>
      </c>
      <c r="D791" s="3">
        <v>44858</v>
      </c>
      <c r="E791" s="4" t="s">
        <v>2359</v>
      </c>
      <c r="F791" s="2" t="str">
        <f>TRIM(Table1[[#This Row],[Status]])</f>
        <v>Zaakceptowana</v>
      </c>
      <c r="G791" s="2" t="str">
        <f>TRIM(Table1[[#This Row],[Typ]])</f>
        <v>Faktura VAT</v>
      </c>
      <c r="H791" s="2" t="str">
        <f>TRIM(Table1[[#This Row],[Magazyn]])</f>
        <v>Apteka Szpitalna</v>
      </c>
      <c r="I791" s="2" t="str">
        <f>TRIM(Table1[[#This Row],[Umowa]])</f>
        <v>UM-HUR-03</v>
      </c>
      <c r="J791" s="2" t="b">
        <f>ISTEXT(Table14[[#This Row],[Data_Wystawienia]])</f>
        <v>0</v>
      </c>
      <c r="K791" s="2">
        <f>VALUE(SUBSTITUTE(Table14[[#This Row],[Wartość]],".",","))</f>
        <v>16882.939999999999</v>
      </c>
      <c r="L7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1" s="2" t="str">
        <f>IF(Table14[[#This Row],[Umowa]]="","Poza umową","Z umowy")</f>
        <v>Z umowy</v>
      </c>
      <c r="N791" s="2">
        <f>YEAR(Table14[[#This Row],[Data_Wystawienia]])</f>
        <v>2022</v>
      </c>
      <c r="O791" s="2" t="str">
        <f>TEXT(Table14[[#This Row],[Data_Wystawienia]],"rrrr-mm")</f>
        <v>2022-10</v>
      </c>
      <c r="P791" s="2">
        <v>1</v>
      </c>
    </row>
    <row r="792" spans="1:16" x14ac:dyDescent="0.3">
      <c r="A792" s="2" t="str">
        <f>TRIM(Table1[[#This Row],[Numer_FV]])</f>
        <v>FV/92/PP/5591/22</v>
      </c>
      <c r="B792" s="2" t="str">
        <f>TRIM(Table1[[#This Row],[Numer_PZ]])</f>
        <v>PZ/800790</v>
      </c>
      <c r="C792" s="2" t="str">
        <f>TRIM(Table1[[#This Row],[Dostawca]])</f>
        <v>PharmaPlus</v>
      </c>
      <c r="D792" s="3">
        <v>44858</v>
      </c>
      <c r="E792" s="4" t="s">
        <v>2362</v>
      </c>
      <c r="F792" s="2" t="str">
        <f>TRIM(Table1[[#This Row],[Status]])</f>
        <v>Zaakceptowana</v>
      </c>
      <c r="G792" s="2" t="str">
        <f>TRIM(Table1[[#This Row],[Typ]])</f>
        <v>Faktura VAT</v>
      </c>
      <c r="H792" s="2" t="str">
        <f>TRIM(Table1[[#This Row],[Magazyn]])</f>
        <v>Apteka Szpitalna</v>
      </c>
      <c r="I792" s="2" t="str">
        <f>TRIM(Table1[[#This Row],[Umowa]])</f>
        <v>UM-PHA-01</v>
      </c>
      <c r="J792" s="2" t="b">
        <f>ISTEXT(Table14[[#This Row],[Data_Wystawienia]])</f>
        <v>0</v>
      </c>
      <c r="K792" s="2">
        <f>VALUE(SUBSTITUTE(Table14[[#This Row],[Wartość]],".",","))</f>
        <v>12997.28</v>
      </c>
      <c r="L7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2" s="2" t="str">
        <f>IF(Table14[[#This Row],[Umowa]]="","Poza umową","Z umowy")</f>
        <v>Z umowy</v>
      </c>
      <c r="N792" s="2">
        <f>YEAR(Table14[[#This Row],[Data_Wystawienia]])</f>
        <v>2022</v>
      </c>
      <c r="O792" s="2" t="str">
        <f>TEXT(Table14[[#This Row],[Data_Wystawienia]],"rrrr-mm")</f>
        <v>2022-10</v>
      </c>
      <c r="P792" s="2">
        <v>1</v>
      </c>
    </row>
    <row r="793" spans="1:16" x14ac:dyDescent="0.3">
      <c r="A793" s="2" t="str">
        <f>TRIM(Table1[[#This Row],[Numer_FV]])</f>
        <v>FV/7469HM/22</v>
      </c>
      <c r="B793" s="2" t="str">
        <f>TRIM(Table1[[#This Row],[Numer_PZ]])</f>
        <v>PZ/800791</v>
      </c>
      <c r="C793" s="2" t="str">
        <f>TRIM(Table1[[#This Row],[Dostawca]])</f>
        <v>HurtMedix</v>
      </c>
      <c r="D793" s="3">
        <v>44858</v>
      </c>
      <c r="E793" s="4" t="s">
        <v>2365</v>
      </c>
      <c r="F793" s="2" t="str">
        <f>TRIM(Table1[[#This Row],[Status]])</f>
        <v>Zaakceptowana</v>
      </c>
      <c r="G793" s="2" t="str">
        <f>TRIM(Table1[[#This Row],[Typ]])</f>
        <v>Faktura VAT</v>
      </c>
      <c r="H793" s="2" t="str">
        <f>TRIM(Table1[[#This Row],[Magazyn]])</f>
        <v>Apteka Szpitalna</v>
      </c>
      <c r="I793" s="2" t="str">
        <f>TRIM(Table1[[#This Row],[Umowa]])</f>
        <v>UM-HUR-02</v>
      </c>
      <c r="J793" s="2" t="b">
        <f>ISTEXT(Table14[[#This Row],[Data_Wystawienia]])</f>
        <v>0</v>
      </c>
      <c r="K793" s="2">
        <f>VALUE(SUBSTITUTE(Table14[[#This Row],[Wartość]],".",","))</f>
        <v>10595.65</v>
      </c>
      <c r="L7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3" s="2" t="str">
        <f>IF(Table14[[#This Row],[Umowa]]="","Poza umową","Z umowy")</f>
        <v>Z umowy</v>
      </c>
      <c r="N793" s="2">
        <f>YEAR(Table14[[#This Row],[Data_Wystawienia]])</f>
        <v>2022</v>
      </c>
      <c r="O793" s="2" t="str">
        <f>TEXT(Table14[[#This Row],[Data_Wystawienia]],"rrrr-mm")</f>
        <v>2022-10</v>
      </c>
      <c r="P793" s="2">
        <v>1</v>
      </c>
    </row>
    <row r="794" spans="1:16" x14ac:dyDescent="0.3">
      <c r="A794" s="2" t="str">
        <f>TRIM(Table1[[#This Row],[Numer_FV]])</f>
        <v>FV/6822/NOVA/22</v>
      </c>
      <c r="B794" s="2" t="str">
        <f>TRIM(Table1[[#This Row],[Numer_PZ]])</f>
        <v>PZ/800792</v>
      </c>
      <c r="C794" s="2" t="str">
        <f>TRIM(Table1[[#This Row],[Dostawca]])</f>
        <v>NovaLek</v>
      </c>
      <c r="D794" s="3">
        <v>44858</v>
      </c>
      <c r="E794" s="4" t="s">
        <v>2368</v>
      </c>
      <c r="F794" s="2" t="str">
        <f>TRIM(Table1[[#This Row],[Status]])</f>
        <v>Zaakceptowana</v>
      </c>
      <c r="G794" s="2" t="str">
        <f>TRIM(Table1[[#This Row],[Typ]])</f>
        <v>Faktura VAT</v>
      </c>
      <c r="H794" s="2" t="str">
        <f>TRIM(Table1[[#This Row],[Magazyn]])</f>
        <v>Apteka Szpitalna</v>
      </c>
      <c r="I794" s="2" t="str">
        <f>TRIM(Table1[[#This Row],[Umowa]])</f>
        <v>UM-NOV-03</v>
      </c>
      <c r="J794" s="2" t="b">
        <f>ISTEXT(Table14[[#This Row],[Data_Wystawienia]])</f>
        <v>0</v>
      </c>
      <c r="K794" s="2">
        <f>VALUE(SUBSTITUTE(Table14[[#This Row],[Wartość]],".",","))</f>
        <v>10950.39</v>
      </c>
      <c r="L7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4" s="2" t="str">
        <f>IF(Table14[[#This Row],[Umowa]]="","Poza umową","Z umowy")</f>
        <v>Z umowy</v>
      </c>
      <c r="N794" s="2">
        <f>YEAR(Table14[[#This Row],[Data_Wystawienia]])</f>
        <v>2022</v>
      </c>
      <c r="O794" s="2" t="str">
        <f>TEXT(Table14[[#This Row],[Data_Wystawienia]],"rrrr-mm")</f>
        <v>2022-10</v>
      </c>
      <c r="P794" s="2">
        <v>1</v>
      </c>
    </row>
    <row r="795" spans="1:16" x14ac:dyDescent="0.3">
      <c r="A795" s="2" t="str">
        <f>TRIM(Table1[[#This Row],[Numer_FV]])</f>
        <v>FV/9660/NOVA/22</v>
      </c>
      <c r="B795" s="2" t="str">
        <f>TRIM(Table1[[#This Row],[Numer_PZ]])</f>
        <v>PZ/800793</v>
      </c>
      <c r="C795" s="2" t="str">
        <f>TRIM(Table1[[#This Row],[Dostawca]])</f>
        <v>NovaLek</v>
      </c>
      <c r="D795" s="3">
        <v>44858</v>
      </c>
      <c r="E795" s="4" t="s">
        <v>2371</v>
      </c>
      <c r="F795" s="2" t="str">
        <f>TRIM(Table1[[#This Row],[Status]])</f>
        <v>Zaakceptowana</v>
      </c>
      <c r="G795" s="2" t="str">
        <f>TRIM(Table1[[#This Row],[Typ]])</f>
        <v>Faktura VAT</v>
      </c>
      <c r="H795" s="2" t="str">
        <f>TRIM(Table1[[#This Row],[Magazyn]])</f>
        <v>Apteka Szpitalna</v>
      </c>
      <c r="I795" s="2" t="str">
        <f>TRIM(Table1[[#This Row],[Umowa]])</f>
        <v>UM-NOV-02</v>
      </c>
      <c r="J795" s="2" t="b">
        <f>ISTEXT(Table14[[#This Row],[Data_Wystawienia]])</f>
        <v>0</v>
      </c>
      <c r="K795" s="2">
        <f>VALUE(SUBSTITUTE(Table14[[#This Row],[Wartość]],".",","))</f>
        <v>10618.04</v>
      </c>
      <c r="L7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5" s="2" t="str">
        <f>IF(Table14[[#This Row],[Umowa]]="","Poza umową","Z umowy")</f>
        <v>Z umowy</v>
      </c>
      <c r="N795" s="2">
        <f>YEAR(Table14[[#This Row],[Data_Wystawienia]])</f>
        <v>2022</v>
      </c>
      <c r="O795" s="2" t="str">
        <f>TEXT(Table14[[#This Row],[Data_Wystawienia]],"rrrr-mm")</f>
        <v>2022-10</v>
      </c>
      <c r="P795" s="2">
        <v>1</v>
      </c>
    </row>
    <row r="796" spans="1:16" x14ac:dyDescent="0.3">
      <c r="A796" s="2" t="str">
        <f>TRIM(Table1[[#This Row],[Numer_FV]])</f>
        <v>FV/24/SAL/22</v>
      </c>
      <c r="B796" s="2" t="str">
        <f>TRIM(Table1[[#This Row],[Numer_PZ]])</f>
        <v>PZ/800794</v>
      </c>
      <c r="C796" s="2" t="str">
        <f>TRIM(Table1[[#This Row],[Dostawca]])</f>
        <v>SalusHurt</v>
      </c>
      <c r="D796" s="3">
        <v>44858</v>
      </c>
      <c r="E796" s="4" t="s">
        <v>2373</v>
      </c>
      <c r="F796" s="2" t="str">
        <f>TRIM(Table1[[#This Row],[Status]])</f>
        <v>Zaakceptowana</v>
      </c>
      <c r="G796" s="2" t="str">
        <f>TRIM(Table1[[#This Row],[Typ]])</f>
        <v>Faktura VAT</v>
      </c>
      <c r="H796" s="2" t="str">
        <f>TRIM(Table1[[#This Row],[Magazyn]])</f>
        <v>Apteka Szpitalna</v>
      </c>
      <c r="I796" s="2" t="str">
        <f>TRIM(Table1[[#This Row],[Umowa]])</f>
        <v/>
      </c>
      <c r="J796" s="2" t="b">
        <f>ISTEXT(Table14[[#This Row],[Data_Wystawienia]])</f>
        <v>0</v>
      </c>
      <c r="K796" s="2">
        <f>VALUE(SUBSTITUTE(Table14[[#This Row],[Wartość]],".",","))</f>
        <v>13227.68</v>
      </c>
      <c r="L7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6" s="2" t="str">
        <f>IF(Table14[[#This Row],[Umowa]]="","Poza umową","Z umowy")</f>
        <v>Poza umową</v>
      </c>
      <c r="N796" s="2">
        <f>YEAR(Table14[[#This Row],[Data_Wystawienia]])</f>
        <v>2022</v>
      </c>
      <c r="O796" s="2" t="str">
        <f>TEXT(Table14[[#This Row],[Data_Wystawienia]],"rrrr-mm")</f>
        <v>2022-10</v>
      </c>
      <c r="P796" s="2">
        <v>1</v>
      </c>
    </row>
    <row r="797" spans="1:16" x14ac:dyDescent="0.3">
      <c r="A797" s="2" t="str">
        <f>TRIM(Table1[[#This Row],[Numer_FV]])</f>
        <v>FV/M/5777/P/22</v>
      </c>
      <c r="B797" s="2" t="str">
        <f>TRIM(Table1[[#This Row],[Numer_PZ]])</f>
        <v>PZ/800795</v>
      </c>
      <c r="C797" s="2" t="str">
        <f>TRIM(Table1[[#This Row],[Dostawca]])</f>
        <v>MedicaPharm</v>
      </c>
      <c r="D797" s="3">
        <v>44859</v>
      </c>
      <c r="E797" s="4" t="s">
        <v>2376</v>
      </c>
      <c r="F797" s="2" t="str">
        <f>TRIM(Table1[[#This Row],[Status]])</f>
        <v>Zaakceptowana</v>
      </c>
      <c r="G797" s="2" t="str">
        <f>TRIM(Table1[[#This Row],[Typ]])</f>
        <v>Faktura VAT</v>
      </c>
      <c r="H797" s="2" t="str">
        <f>TRIM(Table1[[#This Row],[Magazyn]])</f>
        <v>Apteka Szpitalna</v>
      </c>
      <c r="I797" s="2" t="str">
        <f>TRIM(Table1[[#This Row],[Umowa]])</f>
        <v/>
      </c>
      <c r="J797" s="2" t="b">
        <f>ISTEXT(Table14[[#This Row],[Data_Wystawienia]])</f>
        <v>0</v>
      </c>
      <c r="K797" s="2">
        <f>VALUE(SUBSTITUTE(Table14[[#This Row],[Wartość]],".",","))</f>
        <v>18470.18</v>
      </c>
      <c r="L7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7" s="2" t="str">
        <f>IF(Table14[[#This Row],[Umowa]]="","Poza umową","Z umowy")</f>
        <v>Poza umową</v>
      </c>
      <c r="N797" s="2">
        <f>YEAR(Table14[[#This Row],[Data_Wystawienia]])</f>
        <v>2022</v>
      </c>
      <c r="O797" s="2" t="str">
        <f>TEXT(Table14[[#This Row],[Data_Wystawienia]],"rrrr-mm")</f>
        <v>2022-10</v>
      </c>
      <c r="P797" s="2">
        <v>1</v>
      </c>
    </row>
    <row r="798" spans="1:16" x14ac:dyDescent="0.3">
      <c r="A798" s="2" t="str">
        <f>TRIM(Table1[[#This Row],[Numer_FV]])</f>
        <v>FV/M/7733/P/22</v>
      </c>
      <c r="B798" s="2" t="str">
        <f>TRIM(Table1[[#This Row],[Numer_PZ]])</f>
        <v>PZ/800796</v>
      </c>
      <c r="C798" s="2" t="str">
        <f>TRIM(Table1[[#This Row],[Dostawca]])</f>
        <v>MedicaPharm</v>
      </c>
      <c r="D798" s="3">
        <v>44859</v>
      </c>
      <c r="E798" s="4" t="s">
        <v>2379</v>
      </c>
      <c r="F798" s="2" t="str">
        <f>TRIM(Table1[[#This Row],[Status]])</f>
        <v>Zaakceptowana</v>
      </c>
      <c r="G798" s="2" t="str">
        <f>TRIM(Table1[[#This Row],[Typ]])</f>
        <v>Faktura VAT</v>
      </c>
      <c r="H798" s="2" t="str">
        <f>TRIM(Table1[[#This Row],[Magazyn]])</f>
        <v>Apteka Szpitalna</v>
      </c>
      <c r="I798" s="2" t="str">
        <f>TRIM(Table1[[#This Row],[Umowa]])</f>
        <v/>
      </c>
      <c r="J798" s="2" t="b">
        <f>ISTEXT(Table14[[#This Row],[Data_Wystawienia]])</f>
        <v>0</v>
      </c>
      <c r="K798" s="2">
        <f>VALUE(SUBSTITUTE(Table14[[#This Row],[Wartość]],".",","))</f>
        <v>24963.45</v>
      </c>
      <c r="L7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8" s="2" t="str">
        <f>IF(Table14[[#This Row],[Umowa]]="","Poza umową","Z umowy")</f>
        <v>Poza umową</v>
      </c>
      <c r="N798" s="2">
        <f>YEAR(Table14[[#This Row],[Data_Wystawienia]])</f>
        <v>2022</v>
      </c>
      <c r="O798" s="2" t="str">
        <f>TEXT(Table14[[#This Row],[Data_Wystawienia]],"rrrr-mm")</f>
        <v>2022-10</v>
      </c>
      <c r="P798" s="2">
        <v>1</v>
      </c>
    </row>
    <row r="799" spans="1:16" x14ac:dyDescent="0.3">
      <c r="A799" s="2" t="str">
        <f>TRIM(Table1[[#This Row],[Numer_FV]])</f>
        <v>FV/1309HM/22</v>
      </c>
      <c r="B799" s="2" t="str">
        <f>TRIM(Table1[[#This Row],[Numer_PZ]])</f>
        <v>PZ/800797</v>
      </c>
      <c r="C799" s="2" t="str">
        <f>TRIM(Table1[[#This Row],[Dostawca]])</f>
        <v>HurtMedix</v>
      </c>
      <c r="D799" s="3">
        <v>44859</v>
      </c>
      <c r="E799" s="4" t="s">
        <v>2382</v>
      </c>
      <c r="F799" s="2" t="str">
        <f>TRIM(Table1[[#This Row],[Status]])</f>
        <v>Zaakceptowana</v>
      </c>
      <c r="G799" s="2" t="str">
        <f>TRIM(Table1[[#This Row],[Typ]])</f>
        <v>Faktura VAT</v>
      </c>
      <c r="H799" s="2" t="str">
        <f>TRIM(Table1[[#This Row],[Magazyn]])</f>
        <v>Apteka Szpitalna</v>
      </c>
      <c r="I799" s="2" t="str">
        <f>TRIM(Table1[[#This Row],[Umowa]])</f>
        <v>UM-HUR-01</v>
      </c>
      <c r="J799" s="2" t="b">
        <f>ISTEXT(Table14[[#This Row],[Data_Wystawienia]])</f>
        <v>0</v>
      </c>
      <c r="K799" s="2">
        <f>VALUE(SUBSTITUTE(Table14[[#This Row],[Wartość]],".",","))</f>
        <v>14221.46</v>
      </c>
      <c r="L7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799" s="2" t="str">
        <f>IF(Table14[[#This Row],[Umowa]]="","Poza umową","Z umowy")</f>
        <v>Z umowy</v>
      </c>
      <c r="N799" s="2">
        <f>YEAR(Table14[[#This Row],[Data_Wystawienia]])</f>
        <v>2022</v>
      </c>
      <c r="O799" s="2" t="str">
        <f>TEXT(Table14[[#This Row],[Data_Wystawienia]],"rrrr-mm")</f>
        <v>2022-10</v>
      </c>
      <c r="P799" s="2">
        <v>1</v>
      </c>
    </row>
    <row r="800" spans="1:16" x14ac:dyDescent="0.3">
      <c r="A800" s="2" t="str">
        <f>TRIM(Table1[[#This Row],[Numer_FV]])</f>
        <v>FV/M/3032/P/22</v>
      </c>
      <c r="B800" s="2" t="str">
        <f>TRIM(Table1[[#This Row],[Numer_PZ]])</f>
        <v>PZ/800798</v>
      </c>
      <c r="C800" s="2" t="str">
        <f>TRIM(Table1[[#This Row],[Dostawca]])</f>
        <v>MedicaPharm</v>
      </c>
      <c r="D800" s="3">
        <v>44859</v>
      </c>
      <c r="E800" s="4" t="s">
        <v>2385</v>
      </c>
      <c r="F800" s="2" t="str">
        <f>TRIM(Table1[[#This Row],[Status]])</f>
        <v>Zaakceptowana</v>
      </c>
      <c r="G800" s="2" t="str">
        <f>TRIM(Table1[[#This Row],[Typ]])</f>
        <v>Faktura VAT</v>
      </c>
      <c r="H800" s="2" t="str">
        <f>TRIM(Table1[[#This Row],[Magazyn]])</f>
        <v>Apteka Szpitalna</v>
      </c>
      <c r="I800" s="2" t="str">
        <f>TRIM(Table1[[#This Row],[Umowa]])</f>
        <v>UM-MED-02</v>
      </c>
      <c r="J800" s="2" t="b">
        <f>ISTEXT(Table14[[#This Row],[Data_Wystawienia]])</f>
        <v>0</v>
      </c>
      <c r="K800" s="2">
        <f>VALUE(SUBSTITUTE(Table14[[#This Row],[Wartość]],".",","))</f>
        <v>15842.63</v>
      </c>
      <c r="L8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0" s="2" t="str">
        <f>IF(Table14[[#This Row],[Umowa]]="","Poza umową","Z umowy")</f>
        <v>Z umowy</v>
      </c>
      <c r="N800" s="2">
        <f>YEAR(Table14[[#This Row],[Data_Wystawienia]])</f>
        <v>2022</v>
      </c>
      <c r="O800" s="2" t="str">
        <f>TEXT(Table14[[#This Row],[Data_Wystawienia]],"rrrr-mm")</f>
        <v>2022-10</v>
      </c>
      <c r="P800" s="2">
        <v>1</v>
      </c>
    </row>
    <row r="801" spans="1:16" x14ac:dyDescent="0.3">
      <c r="A801" s="2" t="str">
        <f>TRIM(Table1[[#This Row],[Numer_FV]])</f>
        <v>FV/89016/VDb/2022</v>
      </c>
      <c r="B801" s="2" t="str">
        <f>TRIM(Table1[[#This Row],[Numer_PZ]])</f>
        <v>PZ/800799</v>
      </c>
      <c r="C801" s="2" t="str">
        <f>TRIM(Table1[[#This Row],[Dostawca]])</f>
        <v>VitaDistrib</v>
      </c>
      <c r="D801" s="3">
        <v>44860</v>
      </c>
      <c r="E801" s="4" t="s">
        <v>2388</v>
      </c>
      <c r="F801" s="2" t="str">
        <f>TRIM(Table1[[#This Row],[Status]])</f>
        <v>Zaakceptowana</v>
      </c>
      <c r="G801" s="2" t="str">
        <f>TRIM(Table1[[#This Row],[Typ]])</f>
        <v>Faktura VAT</v>
      </c>
      <c r="H801" s="2" t="str">
        <f>TRIM(Table1[[#This Row],[Magazyn]])</f>
        <v>Apteka Szpitalna</v>
      </c>
      <c r="I801" s="2" t="str">
        <f>TRIM(Table1[[#This Row],[Umowa]])</f>
        <v>UM-VIT-01</v>
      </c>
      <c r="J801" s="2" t="b">
        <f>ISTEXT(Table14[[#This Row],[Data_Wystawienia]])</f>
        <v>0</v>
      </c>
      <c r="K801" s="2">
        <f>VALUE(SUBSTITUTE(Table14[[#This Row],[Wartość]],".",","))</f>
        <v>21728.7</v>
      </c>
      <c r="L8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1" s="2" t="str">
        <f>IF(Table14[[#This Row],[Umowa]]="","Poza umową","Z umowy")</f>
        <v>Z umowy</v>
      </c>
      <c r="N801" s="2">
        <f>YEAR(Table14[[#This Row],[Data_Wystawienia]])</f>
        <v>2022</v>
      </c>
      <c r="O801" s="2" t="str">
        <f>TEXT(Table14[[#This Row],[Data_Wystawienia]],"rrrr-mm")</f>
        <v>2022-10</v>
      </c>
      <c r="P801" s="2">
        <v>1</v>
      </c>
    </row>
    <row r="802" spans="1:16" x14ac:dyDescent="0.3">
      <c r="A802" s="2" t="str">
        <f>TRIM(Table1[[#This Row],[Numer_FV]])</f>
        <v>FV/2669/NOVA/22</v>
      </c>
      <c r="B802" s="2" t="str">
        <f>TRIM(Table1[[#This Row],[Numer_PZ]])</f>
        <v>PZ/800800</v>
      </c>
      <c r="C802" s="2" t="str">
        <f>TRIM(Table1[[#This Row],[Dostawca]])</f>
        <v>NovaLek</v>
      </c>
      <c r="D802" s="3">
        <v>44860</v>
      </c>
      <c r="E802" s="4" t="s">
        <v>2391</v>
      </c>
      <c r="F802" s="2" t="str">
        <f>TRIM(Table1[[#This Row],[Status]])</f>
        <v>Zaakceptowana</v>
      </c>
      <c r="G802" s="2" t="str">
        <f>TRIM(Table1[[#This Row],[Typ]])</f>
        <v>Faktura VAT</v>
      </c>
      <c r="H802" s="2" t="str">
        <f>TRIM(Table1[[#This Row],[Magazyn]])</f>
        <v>Apteka Szpitalna</v>
      </c>
      <c r="I802" s="2" t="str">
        <f>TRIM(Table1[[#This Row],[Umowa]])</f>
        <v>UM-NOV-02</v>
      </c>
      <c r="J802" s="2" t="b">
        <f>ISTEXT(Table14[[#This Row],[Data_Wystawienia]])</f>
        <v>0</v>
      </c>
      <c r="K802" s="2">
        <f>VALUE(SUBSTITUTE(Table14[[#This Row],[Wartość]],".",","))</f>
        <v>12851.82</v>
      </c>
      <c r="L8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2" s="2" t="str">
        <f>IF(Table14[[#This Row],[Umowa]]="","Poza umową","Z umowy")</f>
        <v>Z umowy</v>
      </c>
      <c r="N802" s="2">
        <f>YEAR(Table14[[#This Row],[Data_Wystawienia]])</f>
        <v>2022</v>
      </c>
      <c r="O802" s="2" t="str">
        <f>TEXT(Table14[[#This Row],[Data_Wystawienia]],"rrrr-mm")</f>
        <v>2022-10</v>
      </c>
      <c r="P802" s="2">
        <v>1</v>
      </c>
    </row>
    <row r="803" spans="1:16" x14ac:dyDescent="0.3">
      <c r="A803" s="2" t="str">
        <f>TRIM(Table1[[#This Row],[Numer_FV]])</f>
        <v>FV/POL/43405/2022</v>
      </c>
      <c r="B803" s="2" t="str">
        <f>TRIM(Table1[[#This Row],[Numer_PZ]])</f>
        <v>PZ/800801</v>
      </c>
      <c r="C803" s="2" t="str">
        <f>TRIM(Table1[[#This Row],[Dostawca]])</f>
        <v>Polmedica</v>
      </c>
      <c r="D803" s="3">
        <v>44860</v>
      </c>
      <c r="E803" s="4" t="s">
        <v>2394</v>
      </c>
      <c r="F803" s="2" t="str">
        <f>TRIM(Table1[[#This Row],[Status]])</f>
        <v>Zaakceptowana</v>
      </c>
      <c r="G803" s="2" t="str">
        <f>TRIM(Table1[[#This Row],[Typ]])</f>
        <v>Faktura VAT</v>
      </c>
      <c r="H803" s="2" t="str">
        <f>TRIM(Table1[[#This Row],[Magazyn]])</f>
        <v>Apteka Szpitalna</v>
      </c>
      <c r="I803" s="2" t="str">
        <f>TRIM(Table1[[#This Row],[Umowa]])</f>
        <v/>
      </c>
      <c r="J803" s="2" t="b">
        <f>ISTEXT(Table14[[#This Row],[Data_Wystawienia]])</f>
        <v>0</v>
      </c>
      <c r="K803" s="2">
        <f>VALUE(SUBSTITUTE(Table14[[#This Row],[Wartość]],".",","))</f>
        <v>16123.35</v>
      </c>
      <c r="L8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3" s="2" t="str">
        <f>IF(Table14[[#This Row],[Umowa]]="","Poza umową","Z umowy")</f>
        <v>Poza umową</v>
      </c>
      <c r="N803" s="2">
        <f>YEAR(Table14[[#This Row],[Data_Wystawienia]])</f>
        <v>2022</v>
      </c>
      <c r="O803" s="2" t="str">
        <f>TEXT(Table14[[#This Row],[Data_Wystawienia]],"rrrr-mm")</f>
        <v>2022-10</v>
      </c>
      <c r="P803" s="2">
        <v>1</v>
      </c>
    </row>
    <row r="804" spans="1:16" x14ac:dyDescent="0.3">
      <c r="A804" s="2" t="str">
        <f>TRIM(Table1[[#This Row],[Numer_FV]])</f>
        <v>FV/CENFA/503320/22</v>
      </c>
      <c r="B804" s="2" t="str">
        <f>TRIM(Table1[[#This Row],[Numer_PZ]])</f>
        <v>PZ/800802</v>
      </c>
      <c r="C804" s="2" t="str">
        <f>TRIM(Table1[[#This Row],[Dostawca]])</f>
        <v>CentrumFarm</v>
      </c>
      <c r="D804" s="3">
        <v>44861</v>
      </c>
      <c r="E804" s="4" t="s">
        <v>2397</v>
      </c>
      <c r="F804" s="2" t="str">
        <f>TRIM(Table1[[#This Row],[Status]])</f>
        <v>Zaakceptowana</v>
      </c>
      <c r="G804" s="2" t="str">
        <f>TRIM(Table1[[#This Row],[Typ]])</f>
        <v>Korekta FV</v>
      </c>
      <c r="H804" s="2" t="str">
        <f>TRIM(Table1[[#This Row],[Magazyn]])</f>
        <v>Apteka Szpitalna</v>
      </c>
      <c r="I804" s="2" t="str">
        <f>TRIM(Table1[[#This Row],[Umowa]])</f>
        <v>UM-CEN-01</v>
      </c>
      <c r="J804" s="2" t="b">
        <f>ISTEXT(Table14[[#This Row],[Data_Wystawienia]])</f>
        <v>0</v>
      </c>
      <c r="K804" s="2">
        <f>VALUE(SUBSTITUTE(Table14[[#This Row],[Wartość]],".",","))</f>
        <v>-903.79</v>
      </c>
      <c r="L8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4" s="2" t="str">
        <f>IF(Table14[[#This Row],[Umowa]]="","Poza umową","Z umowy")</f>
        <v>Z umowy</v>
      </c>
      <c r="N804" s="2">
        <f>YEAR(Table14[[#This Row],[Data_Wystawienia]])</f>
        <v>2022</v>
      </c>
      <c r="O804" s="2" t="str">
        <f>TEXT(Table14[[#This Row],[Data_Wystawienia]],"rrrr-mm")</f>
        <v>2022-10</v>
      </c>
      <c r="P804" s="2">
        <v>1</v>
      </c>
    </row>
    <row r="805" spans="1:16" x14ac:dyDescent="0.3">
      <c r="A805" s="2" t="str">
        <f>TRIM(Table1[[#This Row],[Numer_FV]])</f>
        <v>FV/POL/58829/2022</v>
      </c>
      <c r="B805" s="2" t="str">
        <f>TRIM(Table1[[#This Row],[Numer_PZ]])</f>
        <v>PZ/800803</v>
      </c>
      <c r="C805" s="2" t="str">
        <f>TRIM(Table1[[#This Row],[Dostawca]])</f>
        <v>Polmedica</v>
      </c>
      <c r="D805" s="3">
        <v>44861</v>
      </c>
      <c r="E805" s="4" t="s">
        <v>2400</v>
      </c>
      <c r="F805" s="2" t="str">
        <f>TRIM(Table1[[#This Row],[Status]])</f>
        <v>Zaakceptowana</v>
      </c>
      <c r="G805" s="2" t="str">
        <f>TRIM(Table1[[#This Row],[Typ]])</f>
        <v>Faktura VAT</v>
      </c>
      <c r="H805" s="2" t="str">
        <f>TRIM(Table1[[#This Row],[Magazyn]])</f>
        <v>Apteka Szpitalna</v>
      </c>
      <c r="I805" s="2" t="str">
        <f>TRIM(Table1[[#This Row],[Umowa]])</f>
        <v>UM-POL-02</v>
      </c>
      <c r="J805" s="2" t="b">
        <f>ISTEXT(Table14[[#This Row],[Data_Wystawienia]])</f>
        <v>0</v>
      </c>
      <c r="K805" s="2">
        <f>VALUE(SUBSTITUTE(Table14[[#This Row],[Wartość]],".",","))</f>
        <v>8835.39</v>
      </c>
      <c r="L8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5" s="2" t="str">
        <f>IF(Table14[[#This Row],[Umowa]]="","Poza umową","Z umowy")</f>
        <v>Z umowy</v>
      </c>
      <c r="N805" s="2">
        <f>YEAR(Table14[[#This Row],[Data_Wystawienia]])</f>
        <v>2022</v>
      </c>
      <c r="O805" s="2" t="str">
        <f>TEXT(Table14[[#This Row],[Data_Wystawienia]],"rrrr-mm")</f>
        <v>2022-10</v>
      </c>
      <c r="P805" s="2">
        <v>1</v>
      </c>
    </row>
    <row r="806" spans="1:16" x14ac:dyDescent="0.3">
      <c r="A806" s="2" t="str">
        <f>TRIM(Table1[[#This Row],[Numer_FV]])</f>
        <v>FV/POL/93193/2022</v>
      </c>
      <c r="B806" s="2" t="str">
        <f>TRIM(Table1[[#This Row],[Numer_PZ]])</f>
        <v>PZ/800804</v>
      </c>
      <c r="C806" s="2" t="str">
        <f>TRIM(Table1[[#This Row],[Dostawca]])</f>
        <v>Polmedica</v>
      </c>
      <c r="D806" s="3">
        <v>44861</v>
      </c>
      <c r="E806" s="4" t="s">
        <v>2403</v>
      </c>
      <c r="F806" s="2" t="str">
        <f>TRIM(Table1[[#This Row],[Status]])</f>
        <v>Zaakceptowana</v>
      </c>
      <c r="G806" s="2" t="str">
        <f>TRIM(Table1[[#This Row],[Typ]])</f>
        <v>Faktura VAT</v>
      </c>
      <c r="H806" s="2" t="str">
        <f>TRIM(Table1[[#This Row],[Magazyn]])</f>
        <v>Apteka Szpitalna</v>
      </c>
      <c r="I806" s="2" t="str">
        <f>TRIM(Table1[[#This Row],[Umowa]])</f>
        <v>UM-POL-01</v>
      </c>
      <c r="J806" s="2" t="b">
        <f>ISTEXT(Table14[[#This Row],[Data_Wystawienia]])</f>
        <v>0</v>
      </c>
      <c r="K806" s="2">
        <f>VALUE(SUBSTITUTE(Table14[[#This Row],[Wartość]],".",","))</f>
        <v>18758.849999999999</v>
      </c>
      <c r="L8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6" s="2" t="str">
        <f>IF(Table14[[#This Row],[Umowa]]="","Poza umową","Z umowy")</f>
        <v>Z umowy</v>
      </c>
      <c r="N806" s="2">
        <f>YEAR(Table14[[#This Row],[Data_Wystawienia]])</f>
        <v>2022</v>
      </c>
      <c r="O806" s="2" t="str">
        <f>TEXT(Table14[[#This Row],[Data_Wystawienia]],"rrrr-mm")</f>
        <v>2022-10</v>
      </c>
      <c r="P806" s="2">
        <v>1</v>
      </c>
    </row>
    <row r="807" spans="1:16" x14ac:dyDescent="0.3">
      <c r="A807" s="2" t="str">
        <f>TRIM(Table1[[#This Row],[Numer_FV]])</f>
        <v>FV/81756/VDb/2022</v>
      </c>
      <c r="B807" s="2" t="str">
        <f>TRIM(Table1[[#This Row],[Numer_PZ]])</f>
        <v>PZ/800805</v>
      </c>
      <c r="C807" s="2" t="str">
        <f>TRIM(Table1[[#This Row],[Dostawca]])</f>
        <v>VitaDistrib</v>
      </c>
      <c r="D807" s="3">
        <v>44862</v>
      </c>
      <c r="E807" s="4" t="s">
        <v>2406</v>
      </c>
      <c r="F807" s="2" t="str">
        <f>TRIM(Table1[[#This Row],[Status]])</f>
        <v>Zaakceptowana</v>
      </c>
      <c r="G807" s="2" t="str">
        <f>TRIM(Table1[[#This Row],[Typ]])</f>
        <v>Faktura VAT</v>
      </c>
      <c r="H807" s="2" t="str">
        <f>TRIM(Table1[[#This Row],[Magazyn]])</f>
        <v>Apteka Szpitalna</v>
      </c>
      <c r="I807" s="2" t="str">
        <f>TRIM(Table1[[#This Row],[Umowa]])</f>
        <v/>
      </c>
      <c r="J807" s="2" t="b">
        <f>ISTEXT(Table14[[#This Row],[Data_Wystawienia]])</f>
        <v>0</v>
      </c>
      <c r="K807" s="2">
        <f>VALUE(SUBSTITUTE(Table14[[#This Row],[Wartość]],".",","))</f>
        <v>17927.560000000001</v>
      </c>
      <c r="L8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7" s="2" t="str">
        <f>IF(Table14[[#This Row],[Umowa]]="","Poza umową","Z umowy")</f>
        <v>Poza umową</v>
      </c>
      <c r="N807" s="2">
        <f>YEAR(Table14[[#This Row],[Data_Wystawienia]])</f>
        <v>2022</v>
      </c>
      <c r="O807" s="2" t="str">
        <f>TEXT(Table14[[#This Row],[Data_Wystawienia]],"rrrr-mm")</f>
        <v>2022-10</v>
      </c>
      <c r="P807" s="2">
        <v>1</v>
      </c>
    </row>
    <row r="808" spans="1:16" x14ac:dyDescent="0.3">
      <c r="A808" s="2" t="str">
        <f>TRIM(Table1[[#This Row],[Numer_FV]])</f>
        <v>FV/POL/35042/2022</v>
      </c>
      <c r="B808" s="2" t="str">
        <f>TRIM(Table1[[#This Row],[Numer_PZ]])</f>
        <v>PZ/800806</v>
      </c>
      <c r="C808" s="2" t="str">
        <f>TRIM(Table1[[#This Row],[Dostawca]])</f>
        <v>Polmedica</v>
      </c>
      <c r="D808" s="3">
        <v>44862</v>
      </c>
      <c r="E808" s="4" t="s">
        <v>2409</v>
      </c>
      <c r="F808" s="2" t="str">
        <f>TRIM(Table1[[#This Row],[Status]])</f>
        <v>Zaakceptowana</v>
      </c>
      <c r="G808" s="2" t="str">
        <f>TRIM(Table1[[#This Row],[Typ]])</f>
        <v>Faktura VAT</v>
      </c>
      <c r="H808" s="2" t="str">
        <f>TRIM(Table1[[#This Row],[Magazyn]])</f>
        <v>Apteka Szpitalna</v>
      </c>
      <c r="I808" s="2" t="str">
        <f>TRIM(Table1[[#This Row],[Umowa]])</f>
        <v>UM-POL-03</v>
      </c>
      <c r="J808" s="2" t="b">
        <f>ISTEXT(Table14[[#This Row],[Data_Wystawienia]])</f>
        <v>0</v>
      </c>
      <c r="K808" s="2">
        <f>VALUE(SUBSTITUTE(Table14[[#This Row],[Wartość]],".",","))</f>
        <v>8883.4500000000007</v>
      </c>
      <c r="L8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8" s="2" t="str">
        <f>IF(Table14[[#This Row],[Umowa]]="","Poza umową","Z umowy")</f>
        <v>Z umowy</v>
      </c>
      <c r="N808" s="2">
        <f>YEAR(Table14[[#This Row],[Data_Wystawienia]])</f>
        <v>2022</v>
      </c>
      <c r="O808" s="2" t="str">
        <f>TEXT(Table14[[#This Row],[Data_Wystawienia]],"rrrr-mm")</f>
        <v>2022-10</v>
      </c>
      <c r="P808" s="2">
        <v>1</v>
      </c>
    </row>
    <row r="809" spans="1:16" x14ac:dyDescent="0.3">
      <c r="A809" s="2" t="str">
        <f>TRIM(Table1[[#This Row],[Numer_FV]])</f>
        <v>FV/60538/VDb/2022</v>
      </c>
      <c r="B809" s="2" t="str">
        <f>TRIM(Table1[[#This Row],[Numer_PZ]])</f>
        <v>PZ/800807</v>
      </c>
      <c r="C809" s="2" t="str">
        <f>TRIM(Table1[[#This Row],[Dostawca]])</f>
        <v>VitaDistrib</v>
      </c>
      <c r="D809" s="3">
        <v>44862</v>
      </c>
      <c r="E809" s="4" t="s">
        <v>2412</v>
      </c>
      <c r="F809" s="2" t="str">
        <f>TRIM(Table1[[#This Row],[Status]])</f>
        <v>Zaakceptowana</v>
      </c>
      <c r="G809" s="2" t="str">
        <f>TRIM(Table1[[#This Row],[Typ]])</f>
        <v>Faktura VAT</v>
      </c>
      <c r="H809" s="2" t="str">
        <f>TRIM(Table1[[#This Row],[Magazyn]])</f>
        <v>Apteka Szpitalna</v>
      </c>
      <c r="I809" s="2" t="str">
        <f>TRIM(Table1[[#This Row],[Umowa]])</f>
        <v>UM-VIT-01</v>
      </c>
      <c r="J809" s="2" t="b">
        <f>ISTEXT(Table14[[#This Row],[Data_Wystawienia]])</f>
        <v>0</v>
      </c>
      <c r="K809" s="2">
        <f>VALUE(SUBSTITUTE(Table14[[#This Row],[Wartość]],".",","))</f>
        <v>11912.39</v>
      </c>
      <c r="L8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09" s="2" t="str">
        <f>IF(Table14[[#This Row],[Umowa]]="","Poza umową","Z umowy")</f>
        <v>Z umowy</v>
      </c>
      <c r="N809" s="2">
        <f>YEAR(Table14[[#This Row],[Data_Wystawienia]])</f>
        <v>2022</v>
      </c>
      <c r="O809" s="2" t="str">
        <f>TEXT(Table14[[#This Row],[Data_Wystawienia]],"rrrr-mm")</f>
        <v>2022-10</v>
      </c>
      <c r="P809" s="2">
        <v>1</v>
      </c>
    </row>
    <row r="810" spans="1:16" x14ac:dyDescent="0.3">
      <c r="A810" s="2" t="str">
        <f>TRIM(Table1[[#This Row],[Numer_FV]])</f>
        <v>FV/7264/NOVA/22</v>
      </c>
      <c r="B810" s="2" t="str">
        <f>TRIM(Table1[[#This Row],[Numer_PZ]])</f>
        <v>PZ/800808</v>
      </c>
      <c r="C810" s="2" t="str">
        <f>TRIM(Table1[[#This Row],[Dostawca]])</f>
        <v>NovaLek</v>
      </c>
      <c r="D810" s="3">
        <v>44863</v>
      </c>
      <c r="E810" s="4" t="s">
        <v>2415</v>
      </c>
      <c r="F810" s="2" t="str">
        <f>TRIM(Table1[[#This Row],[Status]])</f>
        <v>Zaakceptowana</v>
      </c>
      <c r="G810" s="2" t="str">
        <f>TRIM(Table1[[#This Row],[Typ]])</f>
        <v>Faktura VAT</v>
      </c>
      <c r="H810" s="2" t="str">
        <f>TRIM(Table1[[#This Row],[Magazyn]])</f>
        <v>Apteka Szpitalna</v>
      </c>
      <c r="I810" s="2" t="str">
        <f>TRIM(Table1[[#This Row],[Umowa]])</f>
        <v>UM-NOV-03</v>
      </c>
      <c r="J810" s="2" t="b">
        <f>ISTEXT(Table14[[#This Row],[Data_Wystawienia]])</f>
        <v>0</v>
      </c>
      <c r="K810" s="2">
        <f>VALUE(SUBSTITUTE(Table14[[#This Row],[Wartość]],".",","))</f>
        <v>5645.92</v>
      </c>
      <c r="L8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0" s="2" t="str">
        <f>IF(Table14[[#This Row],[Umowa]]="","Poza umową","Z umowy")</f>
        <v>Z umowy</v>
      </c>
      <c r="N810" s="2">
        <f>YEAR(Table14[[#This Row],[Data_Wystawienia]])</f>
        <v>2022</v>
      </c>
      <c r="O810" s="2" t="str">
        <f>TEXT(Table14[[#This Row],[Data_Wystawienia]],"rrrr-mm")</f>
        <v>2022-10</v>
      </c>
      <c r="P810" s="2">
        <v>1</v>
      </c>
    </row>
    <row r="811" spans="1:16" x14ac:dyDescent="0.3">
      <c r="A811" s="2" t="str">
        <f>TRIM(Table1[[#This Row],[Numer_FV]])</f>
        <v>FV/1334HM/22</v>
      </c>
      <c r="B811" s="2" t="str">
        <f>TRIM(Table1[[#This Row],[Numer_PZ]])</f>
        <v>PZ/800809</v>
      </c>
      <c r="C811" s="2" t="str">
        <f>TRIM(Table1[[#This Row],[Dostawca]])</f>
        <v>HurtMedix</v>
      </c>
      <c r="D811" s="3">
        <v>44863</v>
      </c>
      <c r="E811" s="4" t="s">
        <v>2418</v>
      </c>
      <c r="F811" s="2" t="str">
        <f>TRIM(Table1[[#This Row],[Status]])</f>
        <v>Zaakceptowana</v>
      </c>
      <c r="G811" s="2" t="str">
        <f>TRIM(Table1[[#This Row],[Typ]])</f>
        <v>Faktura VAT</v>
      </c>
      <c r="H811" s="2" t="str">
        <f>TRIM(Table1[[#This Row],[Magazyn]])</f>
        <v>Apteka Szpitalna</v>
      </c>
      <c r="I811" s="2" t="str">
        <f>TRIM(Table1[[#This Row],[Umowa]])</f>
        <v>UM-HUR-02</v>
      </c>
      <c r="J811" s="2" t="b">
        <f>ISTEXT(Table14[[#This Row],[Data_Wystawienia]])</f>
        <v>0</v>
      </c>
      <c r="K811" s="2">
        <f>VALUE(SUBSTITUTE(Table14[[#This Row],[Wartość]],".",","))</f>
        <v>13302.27</v>
      </c>
      <c r="L8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1" s="2" t="str">
        <f>IF(Table14[[#This Row],[Umowa]]="","Poza umową","Z umowy")</f>
        <v>Z umowy</v>
      </c>
      <c r="N811" s="2">
        <f>YEAR(Table14[[#This Row],[Data_Wystawienia]])</f>
        <v>2022</v>
      </c>
      <c r="O811" s="2" t="str">
        <f>TEXT(Table14[[#This Row],[Data_Wystawienia]],"rrrr-mm")</f>
        <v>2022-10</v>
      </c>
      <c r="P811" s="2">
        <v>1</v>
      </c>
    </row>
    <row r="812" spans="1:16" x14ac:dyDescent="0.3">
      <c r="A812" s="2" t="str">
        <f>TRIM(Table1[[#This Row],[Numer_FV]])</f>
        <v>FV/50/PP/9822/22</v>
      </c>
      <c r="B812" s="2" t="str">
        <f>TRIM(Table1[[#This Row],[Numer_PZ]])</f>
        <v>PZ/800810</v>
      </c>
      <c r="C812" s="2" t="str">
        <f>TRIM(Table1[[#This Row],[Dostawca]])</f>
        <v>PharmaPlus</v>
      </c>
      <c r="D812" s="3">
        <v>44864</v>
      </c>
      <c r="E812" s="4" t="s">
        <v>2421</v>
      </c>
      <c r="F812" s="2" t="str">
        <f>TRIM(Table1[[#This Row],[Status]])</f>
        <v>Zaakceptowana</v>
      </c>
      <c r="G812" s="2" t="str">
        <f>TRIM(Table1[[#This Row],[Typ]])</f>
        <v>Faktura VAT</v>
      </c>
      <c r="H812" s="2" t="str">
        <f>TRIM(Table1[[#This Row],[Magazyn]])</f>
        <v>Apteka Szpitalna</v>
      </c>
      <c r="I812" s="2" t="str">
        <f>TRIM(Table1[[#This Row],[Umowa]])</f>
        <v>UM-PHA-01</v>
      </c>
      <c r="J812" s="2" t="b">
        <f>ISTEXT(Table14[[#This Row],[Data_Wystawienia]])</f>
        <v>0</v>
      </c>
      <c r="K812" s="2">
        <f>VALUE(SUBSTITUTE(Table14[[#This Row],[Wartość]],".",","))</f>
        <v>24625.439999999999</v>
      </c>
      <c r="L8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2" s="2" t="str">
        <f>IF(Table14[[#This Row],[Umowa]]="","Poza umową","Z umowy")</f>
        <v>Z umowy</v>
      </c>
      <c r="N812" s="2">
        <f>YEAR(Table14[[#This Row],[Data_Wystawienia]])</f>
        <v>2022</v>
      </c>
      <c r="O812" s="2" t="str">
        <f>TEXT(Table14[[#This Row],[Data_Wystawienia]],"rrrr-mm")</f>
        <v>2022-10</v>
      </c>
      <c r="P812" s="2">
        <v>1</v>
      </c>
    </row>
    <row r="813" spans="1:16" x14ac:dyDescent="0.3">
      <c r="A813" s="2" t="str">
        <f>TRIM(Table1[[#This Row],[Numer_FV]])</f>
        <v>FV/24/PP/4746/22</v>
      </c>
      <c r="B813" s="2" t="str">
        <f>TRIM(Table1[[#This Row],[Numer_PZ]])</f>
        <v>PZ/800811</v>
      </c>
      <c r="C813" s="2" t="str">
        <f>TRIM(Table1[[#This Row],[Dostawca]])</f>
        <v>PharmaPlus</v>
      </c>
      <c r="D813" s="3">
        <v>44864</v>
      </c>
      <c r="E813" s="4" t="s">
        <v>2424</v>
      </c>
      <c r="F813" s="2" t="str">
        <f>TRIM(Table1[[#This Row],[Status]])</f>
        <v>Zaakceptowana</v>
      </c>
      <c r="G813" s="2" t="str">
        <f>TRIM(Table1[[#This Row],[Typ]])</f>
        <v>Faktura VAT</v>
      </c>
      <c r="H813" s="2" t="str">
        <f>TRIM(Table1[[#This Row],[Magazyn]])</f>
        <v>Apteka Szpitalna</v>
      </c>
      <c r="I813" s="2" t="str">
        <f>TRIM(Table1[[#This Row],[Umowa]])</f>
        <v>UM-PHA-02</v>
      </c>
      <c r="J813" s="2" t="b">
        <f>ISTEXT(Table14[[#This Row],[Data_Wystawienia]])</f>
        <v>0</v>
      </c>
      <c r="K813" s="2">
        <f>VALUE(SUBSTITUTE(Table14[[#This Row],[Wartość]],".",","))</f>
        <v>19113.22</v>
      </c>
      <c r="L8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3" s="2" t="str">
        <f>IF(Table14[[#This Row],[Umowa]]="","Poza umową","Z umowy")</f>
        <v>Z umowy</v>
      </c>
      <c r="N813" s="2">
        <f>YEAR(Table14[[#This Row],[Data_Wystawienia]])</f>
        <v>2022</v>
      </c>
      <c r="O813" s="2" t="str">
        <f>TEXT(Table14[[#This Row],[Data_Wystawienia]],"rrrr-mm")</f>
        <v>2022-10</v>
      </c>
      <c r="P813" s="2">
        <v>1</v>
      </c>
    </row>
    <row r="814" spans="1:16" x14ac:dyDescent="0.3">
      <c r="A814" s="2" t="str">
        <f>TRIM(Table1[[#This Row],[Numer_FV]])</f>
        <v>FV/68116/VDb/2022</v>
      </c>
      <c r="B814" s="2" t="str">
        <f>TRIM(Table1[[#This Row],[Numer_PZ]])</f>
        <v>PZ/800812</v>
      </c>
      <c r="C814" s="2" t="str">
        <f>TRIM(Table1[[#This Row],[Dostawca]])</f>
        <v>VitaDistrib</v>
      </c>
      <c r="D814" s="3">
        <v>44864</v>
      </c>
      <c r="E814" s="4" t="s">
        <v>2427</v>
      </c>
      <c r="F814" s="2" t="str">
        <f>TRIM(Table1[[#This Row],[Status]])</f>
        <v>Zaakceptowana</v>
      </c>
      <c r="G814" s="2" t="str">
        <f>TRIM(Table1[[#This Row],[Typ]])</f>
        <v>Faktura VAT</v>
      </c>
      <c r="H814" s="2" t="str">
        <f>TRIM(Table1[[#This Row],[Magazyn]])</f>
        <v>Apteka Szpitalna</v>
      </c>
      <c r="I814" s="2" t="str">
        <f>TRIM(Table1[[#This Row],[Umowa]])</f>
        <v>UM-VIT-01</v>
      </c>
      <c r="J814" s="2" t="b">
        <f>ISTEXT(Table14[[#This Row],[Data_Wystawienia]])</f>
        <v>0</v>
      </c>
      <c r="K814" s="2">
        <f>VALUE(SUBSTITUTE(Table14[[#This Row],[Wartość]],".",","))</f>
        <v>17519.41</v>
      </c>
      <c r="L8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4" s="2" t="str">
        <f>IF(Table14[[#This Row],[Umowa]]="","Poza umową","Z umowy")</f>
        <v>Z umowy</v>
      </c>
      <c r="N814" s="2">
        <f>YEAR(Table14[[#This Row],[Data_Wystawienia]])</f>
        <v>2022</v>
      </c>
      <c r="O814" s="2" t="str">
        <f>TEXT(Table14[[#This Row],[Data_Wystawienia]],"rrrr-mm")</f>
        <v>2022-10</v>
      </c>
      <c r="P814" s="2">
        <v>1</v>
      </c>
    </row>
    <row r="815" spans="1:16" x14ac:dyDescent="0.3">
      <c r="A815" s="2" t="str">
        <f>TRIM(Table1[[#This Row],[Numer_FV]])</f>
        <v>FV/3181HM/22</v>
      </c>
      <c r="B815" s="2" t="str">
        <f>TRIM(Table1[[#This Row],[Numer_PZ]])</f>
        <v>PZ/800813</v>
      </c>
      <c r="C815" s="2" t="str">
        <f>TRIM(Table1[[#This Row],[Dostawca]])</f>
        <v>HurtMedix</v>
      </c>
      <c r="D815" s="3">
        <v>44865</v>
      </c>
      <c r="E815" s="4" t="s">
        <v>2430</v>
      </c>
      <c r="F815" s="2" t="str">
        <f>TRIM(Table1[[#This Row],[Status]])</f>
        <v>Zaakceptowana</v>
      </c>
      <c r="G815" s="2" t="str">
        <f>TRIM(Table1[[#This Row],[Typ]])</f>
        <v>Faktura VAT</v>
      </c>
      <c r="H815" s="2" t="str">
        <f>TRIM(Table1[[#This Row],[Magazyn]])</f>
        <v>Apteka Szpitalna</v>
      </c>
      <c r="I815" s="2" t="str">
        <f>TRIM(Table1[[#This Row],[Umowa]])</f>
        <v>UM-HUR-02</v>
      </c>
      <c r="J815" s="2" t="b">
        <f>ISTEXT(Table14[[#This Row],[Data_Wystawienia]])</f>
        <v>0</v>
      </c>
      <c r="K815" s="2">
        <f>VALUE(SUBSTITUTE(Table14[[#This Row],[Wartość]],".",","))</f>
        <v>13336.54</v>
      </c>
      <c r="L8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5" s="2" t="str">
        <f>IF(Table14[[#This Row],[Umowa]]="","Poza umową","Z umowy")</f>
        <v>Z umowy</v>
      </c>
      <c r="N815" s="2">
        <f>YEAR(Table14[[#This Row],[Data_Wystawienia]])</f>
        <v>2022</v>
      </c>
      <c r="O815" s="2" t="str">
        <f>TEXT(Table14[[#This Row],[Data_Wystawienia]],"rrrr-mm")</f>
        <v>2022-10</v>
      </c>
      <c r="P815" s="2">
        <v>1</v>
      </c>
    </row>
    <row r="816" spans="1:16" x14ac:dyDescent="0.3">
      <c r="A816" s="2" t="str">
        <f>TRIM(Table1[[#This Row],[Numer_FV]])</f>
        <v>FV/9599HM/22</v>
      </c>
      <c r="B816" s="2" t="str">
        <f>TRIM(Table1[[#This Row],[Numer_PZ]])</f>
        <v>PZ/800814</v>
      </c>
      <c r="C816" s="2" t="str">
        <f>TRIM(Table1[[#This Row],[Dostawca]])</f>
        <v>HurtMedix</v>
      </c>
      <c r="D816" s="3">
        <v>44867</v>
      </c>
      <c r="E816" s="4" t="s">
        <v>2433</v>
      </c>
      <c r="F816" s="2" t="str">
        <f>TRIM(Table1[[#This Row],[Status]])</f>
        <v>Zaakceptowana</v>
      </c>
      <c r="G816" s="2" t="str">
        <f>TRIM(Table1[[#This Row],[Typ]])</f>
        <v>Faktura VAT</v>
      </c>
      <c r="H816" s="2" t="str">
        <f>TRIM(Table1[[#This Row],[Magazyn]])</f>
        <v>Apteka Szpitalna</v>
      </c>
      <c r="I816" s="2" t="str">
        <f>TRIM(Table1[[#This Row],[Umowa]])</f>
        <v>UM-HUR-03</v>
      </c>
      <c r="J816" s="2" t="b">
        <f>ISTEXT(Table14[[#This Row],[Data_Wystawienia]])</f>
        <v>0</v>
      </c>
      <c r="K816" s="2">
        <f>VALUE(SUBSTITUTE(Table14[[#This Row],[Wartość]],".",","))</f>
        <v>17571.2</v>
      </c>
      <c r="L8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6" s="2" t="str">
        <f>IF(Table14[[#This Row],[Umowa]]="","Poza umową","Z umowy")</f>
        <v>Z umowy</v>
      </c>
      <c r="N816" s="2">
        <f>YEAR(Table14[[#This Row],[Data_Wystawienia]])</f>
        <v>2022</v>
      </c>
      <c r="O816" s="2" t="str">
        <f>TEXT(Table14[[#This Row],[Data_Wystawienia]],"rrrr-mm")</f>
        <v>2022-11</v>
      </c>
      <c r="P816" s="2">
        <v>1</v>
      </c>
    </row>
    <row r="817" spans="1:16" x14ac:dyDescent="0.3">
      <c r="A817" s="2" t="str">
        <f>TRIM(Table1[[#This Row],[Numer_FV]])</f>
        <v>FV/11227/VDb/2022</v>
      </c>
      <c r="B817" s="2" t="str">
        <f>TRIM(Table1[[#This Row],[Numer_PZ]])</f>
        <v>PZ/800815</v>
      </c>
      <c r="C817" s="2" t="str">
        <f>TRIM(Table1[[#This Row],[Dostawca]])</f>
        <v>VitaDistrib</v>
      </c>
      <c r="D817" s="3">
        <v>44867</v>
      </c>
      <c r="E817" s="4" t="s">
        <v>2436</v>
      </c>
      <c r="F817" s="2" t="str">
        <f>TRIM(Table1[[#This Row],[Status]])</f>
        <v>Zaakceptowana</v>
      </c>
      <c r="G817" s="2" t="str">
        <f>TRIM(Table1[[#This Row],[Typ]])</f>
        <v>Faktura VAT</v>
      </c>
      <c r="H817" s="2" t="str">
        <f>TRIM(Table1[[#This Row],[Magazyn]])</f>
        <v>Apteka Szpitalna</v>
      </c>
      <c r="I817" s="2" t="str">
        <f>TRIM(Table1[[#This Row],[Umowa]])</f>
        <v>UM-VIT-01</v>
      </c>
      <c r="J817" s="2" t="b">
        <f>ISTEXT(Table14[[#This Row],[Data_Wystawienia]])</f>
        <v>0</v>
      </c>
      <c r="K817" s="2">
        <f>VALUE(SUBSTITUTE(Table14[[#This Row],[Wartość]],".",","))</f>
        <v>18355.349999999999</v>
      </c>
      <c r="L8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7" s="2" t="str">
        <f>IF(Table14[[#This Row],[Umowa]]="","Poza umową","Z umowy")</f>
        <v>Z umowy</v>
      </c>
      <c r="N817" s="2">
        <f>YEAR(Table14[[#This Row],[Data_Wystawienia]])</f>
        <v>2022</v>
      </c>
      <c r="O817" s="2" t="str">
        <f>TEXT(Table14[[#This Row],[Data_Wystawienia]],"rrrr-mm")</f>
        <v>2022-11</v>
      </c>
      <c r="P817" s="2">
        <v>1</v>
      </c>
    </row>
    <row r="818" spans="1:16" x14ac:dyDescent="0.3">
      <c r="A818" s="2" t="str">
        <f>TRIM(Table1[[#This Row],[Numer_FV]])</f>
        <v>FV/2629HM/22</v>
      </c>
      <c r="B818" s="2" t="str">
        <f>TRIM(Table1[[#This Row],[Numer_PZ]])</f>
        <v>PZ/800816</v>
      </c>
      <c r="C818" s="2" t="str">
        <f>TRIM(Table1[[#This Row],[Dostawca]])</f>
        <v>HurtMedix</v>
      </c>
      <c r="D818" s="3">
        <v>44868</v>
      </c>
      <c r="E818" s="4" t="s">
        <v>2439</v>
      </c>
      <c r="F818" s="2" t="str">
        <f>TRIM(Table1[[#This Row],[Status]])</f>
        <v>Zaakceptowana</v>
      </c>
      <c r="G818" s="2" t="str">
        <f>TRIM(Table1[[#This Row],[Typ]])</f>
        <v>Faktura VAT</v>
      </c>
      <c r="H818" s="2" t="str">
        <f>TRIM(Table1[[#This Row],[Magazyn]])</f>
        <v>Apteka Szpitalna</v>
      </c>
      <c r="I818" s="2" t="str">
        <f>TRIM(Table1[[#This Row],[Umowa]])</f>
        <v>UM-HUR-03</v>
      </c>
      <c r="J818" s="2" t="b">
        <f>ISTEXT(Table14[[#This Row],[Data_Wystawienia]])</f>
        <v>0</v>
      </c>
      <c r="K818" s="2">
        <f>VALUE(SUBSTITUTE(Table14[[#This Row],[Wartość]],".",","))</f>
        <v>9966.19</v>
      </c>
      <c r="L8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8" s="2" t="str">
        <f>IF(Table14[[#This Row],[Umowa]]="","Poza umową","Z umowy")</f>
        <v>Z umowy</v>
      </c>
      <c r="N818" s="2">
        <f>YEAR(Table14[[#This Row],[Data_Wystawienia]])</f>
        <v>2022</v>
      </c>
      <c r="O818" s="2" t="str">
        <f>TEXT(Table14[[#This Row],[Data_Wystawienia]],"rrrr-mm")</f>
        <v>2022-11</v>
      </c>
      <c r="P818" s="2">
        <v>1</v>
      </c>
    </row>
    <row r="819" spans="1:16" x14ac:dyDescent="0.3">
      <c r="A819" s="2" t="str">
        <f>TRIM(Table1[[#This Row],[Numer_FV]])</f>
        <v>FV/CENFA/794442/22</v>
      </c>
      <c r="B819" s="2" t="str">
        <f>TRIM(Table1[[#This Row],[Numer_PZ]])</f>
        <v>PZ/800817</v>
      </c>
      <c r="C819" s="2" t="str">
        <f>TRIM(Table1[[#This Row],[Dostawca]])</f>
        <v>CentrumFarm</v>
      </c>
      <c r="D819" s="3">
        <v>44868</v>
      </c>
      <c r="E819" s="4" t="s">
        <v>2442</v>
      </c>
      <c r="F819" s="2" t="str">
        <f>TRIM(Table1[[#This Row],[Status]])</f>
        <v>Zaakceptowana</v>
      </c>
      <c r="G819" s="2" t="str">
        <f>TRIM(Table1[[#This Row],[Typ]])</f>
        <v>Faktura VAT</v>
      </c>
      <c r="H819" s="2" t="str">
        <f>TRIM(Table1[[#This Row],[Magazyn]])</f>
        <v>Apteka Szpitalna</v>
      </c>
      <c r="I819" s="2" t="str">
        <f>TRIM(Table1[[#This Row],[Umowa]])</f>
        <v>UM-CEN-02</v>
      </c>
      <c r="J819" s="2" t="b">
        <f>ISTEXT(Table14[[#This Row],[Data_Wystawienia]])</f>
        <v>0</v>
      </c>
      <c r="K819" s="2">
        <f>VALUE(SUBSTITUTE(Table14[[#This Row],[Wartość]],".",","))</f>
        <v>20199.349999999999</v>
      </c>
      <c r="L8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19" s="2" t="str">
        <f>IF(Table14[[#This Row],[Umowa]]="","Poza umową","Z umowy")</f>
        <v>Z umowy</v>
      </c>
      <c r="N819" s="2">
        <f>YEAR(Table14[[#This Row],[Data_Wystawienia]])</f>
        <v>2022</v>
      </c>
      <c r="O819" s="2" t="str">
        <f>TEXT(Table14[[#This Row],[Data_Wystawienia]],"rrrr-mm")</f>
        <v>2022-11</v>
      </c>
      <c r="P819" s="2">
        <v>1</v>
      </c>
    </row>
    <row r="820" spans="1:16" x14ac:dyDescent="0.3">
      <c r="A820" s="2" t="str">
        <f>TRIM(Table1[[#This Row],[Numer_FV]])</f>
        <v>FV/24/PP/8699/22</v>
      </c>
      <c r="B820" s="2" t="str">
        <f>TRIM(Table1[[#This Row],[Numer_PZ]])</f>
        <v>PZ/800818</v>
      </c>
      <c r="C820" s="2" t="str">
        <f>TRIM(Table1[[#This Row],[Dostawca]])</f>
        <v>PharmaPlus</v>
      </c>
      <c r="D820" s="3">
        <v>44868</v>
      </c>
      <c r="E820" s="4" t="s">
        <v>2445</v>
      </c>
      <c r="F820" s="2" t="str">
        <f>TRIM(Table1[[#This Row],[Status]])</f>
        <v>Zaakceptowana</v>
      </c>
      <c r="G820" s="2" t="str">
        <f>TRIM(Table1[[#This Row],[Typ]])</f>
        <v>Faktura VAT</v>
      </c>
      <c r="H820" s="2" t="str">
        <f>TRIM(Table1[[#This Row],[Magazyn]])</f>
        <v>Apteka Szpitalna</v>
      </c>
      <c r="I820" s="2" t="str">
        <f>TRIM(Table1[[#This Row],[Umowa]])</f>
        <v/>
      </c>
      <c r="J820" s="2" t="b">
        <f>ISTEXT(Table14[[#This Row],[Data_Wystawienia]])</f>
        <v>0</v>
      </c>
      <c r="K820" s="2">
        <f>VALUE(SUBSTITUTE(Table14[[#This Row],[Wartość]],".",","))</f>
        <v>10545.4</v>
      </c>
      <c r="L8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0" s="2" t="str">
        <f>IF(Table14[[#This Row],[Umowa]]="","Poza umową","Z umowy")</f>
        <v>Poza umową</v>
      </c>
      <c r="N820" s="2">
        <f>YEAR(Table14[[#This Row],[Data_Wystawienia]])</f>
        <v>2022</v>
      </c>
      <c r="O820" s="2" t="str">
        <f>TEXT(Table14[[#This Row],[Data_Wystawienia]],"rrrr-mm")</f>
        <v>2022-11</v>
      </c>
      <c r="P820" s="2">
        <v>1</v>
      </c>
    </row>
    <row r="821" spans="1:16" x14ac:dyDescent="0.3">
      <c r="A821" s="2" t="str">
        <f>TRIM(Table1[[#This Row],[Numer_FV]])</f>
        <v>FV/39/SAL/22</v>
      </c>
      <c r="B821" s="2" t="str">
        <f>TRIM(Table1[[#This Row],[Numer_PZ]])</f>
        <v>PZ/800819</v>
      </c>
      <c r="C821" s="2" t="str">
        <f>TRIM(Table1[[#This Row],[Dostawca]])</f>
        <v>SalusHurt</v>
      </c>
      <c r="D821" s="3">
        <v>44868</v>
      </c>
      <c r="E821" s="4" t="s">
        <v>2447</v>
      </c>
      <c r="F821" s="2" t="str">
        <f>TRIM(Table1[[#This Row],[Status]])</f>
        <v>Zaakceptowana</v>
      </c>
      <c r="G821" s="2" t="str">
        <f>TRIM(Table1[[#This Row],[Typ]])</f>
        <v>Faktura VAT</v>
      </c>
      <c r="H821" s="2" t="str">
        <f>TRIM(Table1[[#This Row],[Magazyn]])</f>
        <v>Apteka Szpitalna</v>
      </c>
      <c r="I821" s="2" t="str">
        <f>TRIM(Table1[[#This Row],[Umowa]])</f>
        <v>UM-SAL-02</v>
      </c>
      <c r="J821" s="2" t="b">
        <f>ISTEXT(Table14[[#This Row],[Data_Wystawienia]])</f>
        <v>0</v>
      </c>
      <c r="K821" s="2">
        <f>VALUE(SUBSTITUTE(Table14[[#This Row],[Wartość]],".",","))</f>
        <v>12733.55</v>
      </c>
      <c r="L8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1" s="2" t="str">
        <f>IF(Table14[[#This Row],[Umowa]]="","Poza umową","Z umowy")</f>
        <v>Z umowy</v>
      </c>
      <c r="N821" s="2">
        <f>YEAR(Table14[[#This Row],[Data_Wystawienia]])</f>
        <v>2022</v>
      </c>
      <c r="O821" s="2" t="str">
        <f>TEXT(Table14[[#This Row],[Data_Wystawienia]],"rrrr-mm")</f>
        <v>2022-11</v>
      </c>
      <c r="P821" s="2">
        <v>1</v>
      </c>
    </row>
    <row r="822" spans="1:16" x14ac:dyDescent="0.3">
      <c r="A822" s="2" t="str">
        <f>TRIM(Table1[[#This Row],[Numer_FV]])</f>
        <v>FV/POL/70099/2022</v>
      </c>
      <c r="B822" s="2" t="str">
        <f>TRIM(Table1[[#This Row],[Numer_PZ]])</f>
        <v>PZ/800820</v>
      </c>
      <c r="C822" s="2" t="str">
        <f>TRIM(Table1[[#This Row],[Dostawca]])</f>
        <v>Polmedica</v>
      </c>
      <c r="D822" s="3">
        <v>44869</v>
      </c>
      <c r="E822" s="4" t="s">
        <v>2450</v>
      </c>
      <c r="F822" s="2" t="str">
        <f>TRIM(Table1[[#This Row],[Status]])</f>
        <v>Zaakceptowana</v>
      </c>
      <c r="G822" s="2" t="str">
        <f>TRIM(Table1[[#This Row],[Typ]])</f>
        <v>Faktura VAT</v>
      </c>
      <c r="H822" s="2" t="str">
        <f>TRIM(Table1[[#This Row],[Magazyn]])</f>
        <v>Apteka Szpitalna</v>
      </c>
      <c r="I822" s="2" t="str">
        <f>TRIM(Table1[[#This Row],[Umowa]])</f>
        <v>UM-POL-01</v>
      </c>
      <c r="J822" s="2" t="b">
        <f>ISTEXT(Table14[[#This Row],[Data_Wystawienia]])</f>
        <v>0</v>
      </c>
      <c r="K822" s="2">
        <f>VALUE(SUBSTITUTE(Table14[[#This Row],[Wartość]],".",","))</f>
        <v>11635.37</v>
      </c>
      <c r="L8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2" s="2" t="str">
        <f>IF(Table14[[#This Row],[Umowa]]="","Poza umową","Z umowy")</f>
        <v>Z umowy</v>
      </c>
      <c r="N822" s="2">
        <f>YEAR(Table14[[#This Row],[Data_Wystawienia]])</f>
        <v>2022</v>
      </c>
      <c r="O822" s="2" t="str">
        <f>TEXT(Table14[[#This Row],[Data_Wystawienia]],"rrrr-mm")</f>
        <v>2022-11</v>
      </c>
      <c r="P822" s="2">
        <v>1</v>
      </c>
    </row>
    <row r="823" spans="1:16" x14ac:dyDescent="0.3">
      <c r="A823" s="2" t="str">
        <f>TRIM(Table1[[#This Row],[Numer_FV]])</f>
        <v>FV/6468/NOVA/22</v>
      </c>
      <c r="B823" s="2" t="str">
        <f>TRIM(Table1[[#This Row],[Numer_PZ]])</f>
        <v>PZ/800821</v>
      </c>
      <c r="C823" s="2" t="str">
        <f>TRIM(Table1[[#This Row],[Dostawca]])</f>
        <v>NovaLek</v>
      </c>
      <c r="D823" s="3">
        <v>44869</v>
      </c>
      <c r="E823" s="4" t="s">
        <v>2453</v>
      </c>
      <c r="F823" s="2" t="str">
        <f>TRIM(Table1[[#This Row],[Status]])</f>
        <v>Zaakceptowana</v>
      </c>
      <c r="G823" s="2" t="str">
        <f>TRIM(Table1[[#This Row],[Typ]])</f>
        <v>Faktura VAT</v>
      </c>
      <c r="H823" s="2" t="str">
        <f>TRIM(Table1[[#This Row],[Magazyn]])</f>
        <v>Apteka Szpitalna</v>
      </c>
      <c r="I823" s="2" t="str">
        <f>TRIM(Table1[[#This Row],[Umowa]])</f>
        <v>UM-NOV-03</v>
      </c>
      <c r="J823" s="2" t="b">
        <f>ISTEXT(Table14[[#This Row],[Data_Wystawienia]])</f>
        <v>0</v>
      </c>
      <c r="K823" s="2">
        <f>VALUE(SUBSTITUTE(Table14[[#This Row],[Wartość]],".",","))</f>
        <v>11585.41</v>
      </c>
      <c r="L8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3" s="2" t="str">
        <f>IF(Table14[[#This Row],[Umowa]]="","Poza umową","Z umowy")</f>
        <v>Z umowy</v>
      </c>
      <c r="N823" s="2">
        <f>YEAR(Table14[[#This Row],[Data_Wystawienia]])</f>
        <v>2022</v>
      </c>
      <c r="O823" s="2" t="str">
        <f>TEXT(Table14[[#This Row],[Data_Wystawienia]],"rrrr-mm")</f>
        <v>2022-11</v>
      </c>
      <c r="P823" s="2">
        <v>1</v>
      </c>
    </row>
    <row r="824" spans="1:16" x14ac:dyDescent="0.3">
      <c r="A824" s="2" t="str">
        <f>TRIM(Table1[[#This Row],[Numer_FV]])</f>
        <v>FV/6968/NOVA/22</v>
      </c>
      <c r="B824" s="2" t="str">
        <f>TRIM(Table1[[#This Row],[Numer_PZ]])</f>
        <v>PZ/800822</v>
      </c>
      <c r="C824" s="2" t="str">
        <f>TRIM(Table1[[#This Row],[Dostawca]])</f>
        <v>NovaLek</v>
      </c>
      <c r="D824" s="3">
        <v>44869</v>
      </c>
      <c r="E824" s="4" t="s">
        <v>2456</v>
      </c>
      <c r="F824" s="2" t="str">
        <f>TRIM(Table1[[#This Row],[Status]])</f>
        <v>Zaakceptowana</v>
      </c>
      <c r="G824" s="2" t="str">
        <f>TRIM(Table1[[#This Row],[Typ]])</f>
        <v>Faktura VAT</v>
      </c>
      <c r="H824" s="2" t="str">
        <f>TRIM(Table1[[#This Row],[Magazyn]])</f>
        <v>Apteka Szpitalna</v>
      </c>
      <c r="I824" s="2" t="str">
        <f>TRIM(Table1[[#This Row],[Umowa]])</f>
        <v>UM-NOV-03</v>
      </c>
      <c r="J824" s="2" t="b">
        <f>ISTEXT(Table14[[#This Row],[Data_Wystawienia]])</f>
        <v>0</v>
      </c>
      <c r="K824" s="2">
        <f>VALUE(SUBSTITUTE(Table14[[#This Row],[Wartość]],".",","))</f>
        <v>3397.5</v>
      </c>
      <c r="L8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4" s="2" t="str">
        <f>IF(Table14[[#This Row],[Umowa]]="","Poza umową","Z umowy")</f>
        <v>Z umowy</v>
      </c>
      <c r="N824" s="2">
        <f>YEAR(Table14[[#This Row],[Data_Wystawienia]])</f>
        <v>2022</v>
      </c>
      <c r="O824" s="2" t="str">
        <f>TEXT(Table14[[#This Row],[Data_Wystawienia]],"rrrr-mm")</f>
        <v>2022-11</v>
      </c>
      <c r="P824" s="2">
        <v>1</v>
      </c>
    </row>
    <row r="825" spans="1:16" x14ac:dyDescent="0.3">
      <c r="A825" s="2" t="str">
        <f>TRIM(Table1[[#This Row],[Numer_FV]])</f>
        <v>FV/43/SAL/22</v>
      </c>
      <c r="B825" s="2" t="str">
        <f>TRIM(Table1[[#This Row],[Numer_PZ]])</f>
        <v>PZ/800823</v>
      </c>
      <c r="C825" s="2" t="str">
        <f>TRIM(Table1[[#This Row],[Dostawca]])</f>
        <v>SalusHurt</v>
      </c>
      <c r="D825" s="3">
        <v>44869</v>
      </c>
      <c r="E825" s="4" t="s">
        <v>2458</v>
      </c>
      <c r="F825" s="2" t="str">
        <f>TRIM(Table1[[#This Row],[Status]])</f>
        <v>Zaakceptowana</v>
      </c>
      <c r="G825" s="2" t="str">
        <f>TRIM(Table1[[#This Row],[Typ]])</f>
        <v>Faktura VAT</v>
      </c>
      <c r="H825" s="2" t="str">
        <f>TRIM(Table1[[#This Row],[Magazyn]])</f>
        <v>Apteka Szpitalna</v>
      </c>
      <c r="I825" s="2" t="str">
        <f>TRIM(Table1[[#This Row],[Umowa]])</f>
        <v/>
      </c>
      <c r="J825" s="2" t="b">
        <f>ISTEXT(Table14[[#This Row],[Data_Wystawienia]])</f>
        <v>0</v>
      </c>
      <c r="K825" s="2">
        <f>VALUE(SUBSTITUTE(Table14[[#This Row],[Wartość]],".",","))</f>
        <v>1547.93</v>
      </c>
      <c r="L8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5" s="2" t="str">
        <f>IF(Table14[[#This Row],[Umowa]]="","Poza umową","Z umowy")</f>
        <v>Poza umową</v>
      </c>
      <c r="N825" s="2">
        <f>YEAR(Table14[[#This Row],[Data_Wystawienia]])</f>
        <v>2022</v>
      </c>
      <c r="O825" s="2" t="str">
        <f>TEXT(Table14[[#This Row],[Data_Wystawienia]],"rrrr-mm")</f>
        <v>2022-11</v>
      </c>
      <c r="P825" s="2">
        <v>1</v>
      </c>
    </row>
    <row r="826" spans="1:16" x14ac:dyDescent="0.3">
      <c r="A826" s="2" t="str">
        <f>TRIM(Table1[[#This Row],[Numer_FV]])</f>
        <v>FV/M/6316/P/22</v>
      </c>
      <c r="B826" s="2" t="str">
        <f>TRIM(Table1[[#This Row],[Numer_PZ]])</f>
        <v>PZ/800824</v>
      </c>
      <c r="C826" s="2" t="str">
        <f>TRIM(Table1[[#This Row],[Dostawca]])</f>
        <v>MedicaPharm</v>
      </c>
      <c r="D826" s="3">
        <v>44870</v>
      </c>
      <c r="E826" s="4" t="s">
        <v>2461</v>
      </c>
      <c r="F826" s="2" t="str">
        <f>TRIM(Table1[[#This Row],[Status]])</f>
        <v>Zaakceptowana</v>
      </c>
      <c r="G826" s="2" t="str">
        <f>TRIM(Table1[[#This Row],[Typ]])</f>
        <v>Faktura VAT</v>
      </c>
      <c r="H826" s="2" t="str">
        <f>TRIM(Table1[[#This Row],[Magazyn]])</f>
        <v>Apteka Szpitalna</v>
      </c>
      <c r="I826" s="2" t="str">
        <f>TRIM(Table1[[#This Row],[Umowa]])</f>
        <v>UM-MED-01</v>
      </c>
      <c r="J826" s="2" t="b">
        <f>ISTEXT(Table14[[#This Row],[Data_Wystawienia]])</f>
        <v>0</v>
      </c>
      <c r="K826" s="2">
        <f>VALUE(SUBSTITUTE(Table14[[#This Row],[Wartość]],".",","))</f>
        <v>15730.6</v>
      </c>
      <c r="L8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6" s="2" t="str">
        <f>IF(Table14[[#This Row],[Umowa]]="","Poza umową","Z umowy")</f>
        <v>Z umowy</v>
      </c>
      <c r="N826" s="2">
        <f>YEAR(Table14[[#This Row],[Data_Wystawienia]])</f>
        <v>2022</v>
      </c>
      <c r="O826" s="2" t="str">
        <f>TEXT(Table14[[#This Row],[Data_Wystawienia]],"rrrr-mm")</f>
        <v>2022-11</v>
      </c>
      <c r="P826" s="2">
        <v>1</v>
      </c>
    </row>
    <row r="827" spans="1:16" x14ac:dyDescent="0.3">
      <c r="A827" s="2" t="str">
        <f>TRIM(Table1[[#This Row],[Numer_FV]])</f>
        <v>FV/3851/NOVA/22</v>
      </c>
      <c r="B827" s="2" t="str">
        <f>TRIM(Table1[[#This Row],[Numer_PZ]])</f>
        <v>PZ/800825</v>
      </c>
      <c r="C827" s="2" t="str">
        <f>TRIM(Table1[[#This Row],[Dostawca]])</f>
        <v>NovaLek</v>
      </c>
      <c r="D827" s="3">
        <v>44870</v>
      </c>
      <c r="E827" s="4" t="s">
        <v>2464</v>
      </c>
      <c r="F827" s="2" t="str">
        <f>TRIM(Table1[[#This Row],[Status]])</f>
        <v>Zaakceptowana</v>
      </c>
      <c r="G827" s="2" t="str">
        <f>TRIM(Table1[[#This Row],[Typ]])</f>
        <v>Faktura VAT</v>
      </c>
      <c r="H827" s="2" t="str">
        <f>TRIM(Table1[[#This Row],[Magazyn]])</f>
        <v>Apteka Szpitalna</v>
      </c>
      <c r="I827" s="2" t="str">
        <f>TRIM(Table1[[#This Row],[Umowa]])</f>
        <v>UM-NOV-02</v>
      </c>
      <c r="J827" s="2" t="b">
        <f>ISTEXT(Table14[[#This Row],[Data_Wystawienia]])</f>
        <v>0</v>
      </c>
      <c r="K827" s="2">
        <f>VALUE(SUBSTITUTE(Table14[[#This Row],[Wartość]],".",","))</f>
        <v>21347.14</v>
      </c>
      <c r="L8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7" s="2" t="str">
        <f>IF(Table14[[#This Row],[Umowa]]="","Poza umową","Z umowy")</f>
        <v>Z umowy</v>
      </c>
      <c r="N827" s="2">
        <f>YEAR(Table14[[#This Row],[Data_Wystawienia]])</f>
        <v>2022</v>
      </c>
      <c r="O827" s="2" t="str">
        <f>TEXT(Table14[[#This Row],[Data_Wystawienia]],"rrrr-mm")</f>
        <v>2022-11</v>
      </c>
      <c r="P827" s="2">
        <v>1</v>
      </c>
    </row>
    <row r="828" spans="1:16" x14ac:dyDescent="0.3">
      <c r="A828" s="2" t="str">
        <f>TRIM(Table1[[#This Row],[Numer_FV]])</f>
        <v>FV/POL/36291/2022</v>
      </c>
      <c r="B828" s="2" t="str">
        <f>TRIM(Table1[[#This Row],[Numer_PZ]])</f>
        <v>PZ/800826</v>
      </c>
      <c r="C828" s="2" t="str">
        <f>TRIM(Table1[[#This Row],[Dostawca]])</f>
        <v>Polmedica</v>
      </c>
      <c r="D828" s="3">
        <v>44871</v>
      </c>
      <c r="E828" s="4" t="s">
        <v>2467</v>
      </c>
      <c r="F828" s="2" t="str">
        <f>TRIM(Table1[[#This Row],[Status]])</f>
        <v>Zaakceptowana</v>
      </c>
      <c r="G828" s="2" t="str">
        <f>TRIM(Table1[[#This Row],[Typ]])</f>
        <v>Faktura VAT</v>
      </c>
      <c r="H828" s="2" t="str">
        <f>TRIM(Table1[[#This Row],[Magazyn]])</f>
        <v>Apteka Szpitalna</v>
      </c>
      <c r="I828" s="2" t="str">
        <f>TRIM(Table1[[#This Row],[Umowa]])</f>
        <v>UM-POL-03</v>
      </c>
      <c r="J828" s="2" t="b">
        <f>ISTEXT(Table14[[#This Row],[Data_Wystawienia]])</f>
        <v>0</v>
      </c>
      <c r="K828" s="2">
        <f>VALUE(SUBSTITUTE(Table14[[#This Row],[Wartość]],".",","))</f>
        <v>14237.72</v>
      </c>
      <c r="L8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8" s="2" t="str">
        <f>IF(Table14[[#This Row],[Umowa]]="","Poza umową","Z umowy")</f>
        <v>Z umowy</v>
      </c>
      <c r="N828" s="2">
        <f>YEAR(Table14[[#This Row],[Data_Wystawienia]])</f>
        <v>2022</v>
      </c>
      <c r="O828" s="2" t="str">
        <f>TEXT(Table14[[#This Row],[Data_Wystawienia]],"rrrr-mm")</f>
        <v>2022-11</v>
      </c>
      <c r="P828" s="2">
        <v>1</v>
      </c>
    </row>
    <row r="829" spans="1:16" x14ac:dyDescent="0.3">
      <c r="A829" s="2" t="str">
        <f>TRIM(Table1[[#This Row],[Numer_FV]])</f>
        <v>FV/65180/VDb/2022</v>
      </c>
      <c r="B829" s="2" t="str">
        <f>TRIM(Table1[[#This Row],[Numer_PZ]])</f>
        <v>PZ/800827</v>
      </c>
      <c r="C829" s="2" t="str">
        <f>TRIM(Table1[[#This Row],[Dostawca]])</f>
        <v>VitaDistrib</v>
      </c>
      <c r="D829" s="3">
        <v>44871</v>
      </c>
      <c r="E829" s="4" t="s">
        <v>2470</v>
      </c>
      <c r="F829" s="2" t="str">
        <f>TRIM(Table1[[#This Row],[Status]])</f>
        <v>Zaakceptowana</v>
      </c>
      <c r="G829" s="2" t="str">
        <f>TRIM(Table1[[#This Row],[Typ]])</f>
        <v>Faktura VAT</v>
      </c>
      <c r="H829" s="2" t="str">
        <f>TRIM(Table1[[#This Row],[Magazyn]])</f>
        <v>Apteka Szpitalna</v>
      </c>
      <c r="I829" s="2" t="str">
        <f>TRIM(Table1[[#This Row],[Umowa]])</f>
        <v>UM-VIT-01</v>
      </c>
      <c r="J829" s="2" t="b">
        <f>ISTEXT(Table14[[#This Row],[Data_Wystawienia]])</f>
        <v>0</v>
      </c>
      <c r="K829" s="2">
        <f>VALUE(SUBSTITUTE(Table14[[#This Row],[Wartość]],".",","))</f>
        <v>8454.44</v>
      </c>
      <c r="L8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29" s="2" t="str">
        <f>IF(Table14[[#This Row],[Umowa]]="","Poza umową","Z umowy")</f>
        <v>Z umowy</v>
      </c>
      <c r="N829" s="2">
        <f>YEAR(Table14[[#This Row],[Data_Wystawienia]])</f>
        <v>2022</v>
      </c>
      <c r="O829" s="2" t="str">
        <f>TEXT(Table14[[#This Row],[Data_Wystawienia]],"rrrr-mm")</f>
        <v>2022-11</v>
      </c>
      <c r="P829" s="2">
        <v>1</v>
      </c>
    </row>
    <row r="830" spans="1:16" x14ac:dyDescent="0.3">
      <c r="A830" s="2" t="str">
        <f>TRIM(Table1[[#This Row],[Numer_FV]])</f>
        <v>FV/CENFA/912258/22</v>
      </c>
      <c r="B830" s="2" t="str">
        <f>TRIM(Table1[[#This Row],[Numer_PZ]])</f>
        <v>PZ/800828</v>
      </c>
      <c r="C830" s="2" t="str">
        <f>TRIM(Table1[[#This Row],[Dostawca]])</f>
        <v>CentrumFarm</v>
      </c>
      <c r="D830" s="3">
        <v>44871</v>
      </c>
      <c r="E830" s="4" t="s">
        <v>2473</v>
      </c>
      <c r="F830" s="2" t="str">
        <f>TRIM(Table1[[#This Row],[Status]])</f>
        <v>Zaakceptowana</v>
      </c>
      <c r="G830" s="2" t="str">
        <f>TRIM(Table1[[#This Row],[Typ]])</f>
        <v>Faktura VAT</v>
      </c>
      <c r="H830" s="2" t="str">
        <f>TRIM(Table1[[#This Row],[Magazyn]])</f>
        <v>Apteka Szpitalna</v>
      </c>
      <c r="I830" s="2" t="str">
        <f>TRIM(Table1[[#This Row],[Umowa]])</f>
        <v>UM-CEN-02</v>
      </c>
      <c r="J830" s="2" t="b">
        <f>ISTEXT(Table14[[#This Row],[Data_Wystawienia]])</f>
        <v>0</v>
      </c>
      <c r="K830" s="2">
        <f>VALUE(SUBSTITUTE(Table14[[#This Row],[Wartość]],".",","))</f>
        <v>15419.68</v>
      </c>
      <c r="L8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0" s="2" t="str">
        <f>IF(Table14[[#This Row],[Umowa]]="","Poza umową","Z umowy")</f>
        <v>Z umowy</v>
      </c>
      <c r="N830" s="2">
        <f>YEAR(Table14[[#This Row],[Data_Wystawienia]])</f>
        <v>2022</v>
      </c>
      <c r="O830" s="2" t="str">
        <f>TEXT(Table14[[#This Row],[Data_Wystawienia]],"rrrr-mm")</f>
        <v>2022-11</v>
      </c>
      <c r="P830" s="2">
        <v>1</v>
      </c>
    </row>
    <row r="831" spans="1:16" x14ac:dyDescent="0.3">
      <c r="A831" s="2" t="str">
        <f>TRIM(Table1[[#This Row],[Numer_FV]])</f>
        <v>FV/4440HM/22</v>
      </c>
      <c r="B831" s="2" t="str">
        <f>TRIM(Table1[[#This Row],[Numer_PZ]])</f>
        <v>PZ/800829</v>
      </c>
      <c r="C831" s="2" t="str">
        <f>TRIM(Table1[[#This Row],[Dostawca]])</f>
        <v>HurtMedix</v>
      </c>
      <c r="D831" s="3">
        <v>44871</v>
      </c>
      <c r="E831" s="4" t="s">
        <v>2476</v>
      </c>
      <c r="F831" s="2" t="str">
        <f>TRIM(Table1[[#This Row],[Status]])</f>
        <v>Zaakceptowana</v>
      </c>
      <c r="G831" s="2" t="str">
        <f>TRIM(Table1[[#This Row],[Typ]])</f>
        <v>Faktura VAT</v>
      </c>
      <c r="H831" s="2" t="str">
        <f>TRIM(Table1[[#This Row],[Magazyn]])</f>
        <v>Apteka Szpitalna</v>
      </c>
      <c r="I831" s="2" t="str">
        <f>TRIM(Table1[[#This Row],[Umowa]])</f>
        <v>UM-HUR-03</v>
      </c>
      <c r="J831" s="2" t="b">
        <f>ISTEXT(Table14[[#This Row],[Data_Wystawienia]])</f>
        <v>0</v>
      </c>
      <c r="K831" s="2">
        <f>VALUE(SUBSTITUTE(Table14[[#This Row],[Wartość]],".",","))</f>
        <v>18285.25</v>
      </c>
      <c r="L8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1" s="2" t="str">
        <f>IF(Table14[[#This Row],[Umowa]]="","Poza umową","Z umowy")</f>
        <v>Z umowy</v>
      </c>
      <c r="N831" s="2">
        <f>YEAR(Table14[[#This Row],[Data_Wystawienia]])</f>
        <v>2022</v>
      </c>
      <c r="O831" s="2" t="str">
        <f>TEXT(Table14[[#This Row],[Data_Wystawienia]],"rrrr-mm")</f>
        <v>2022-11</v>
      </c>
      <c r="P831" s="2">
        <v>1</v>
      </c>
    </row>
    <row r="832" spans="1:16" x14ac:dyDescent="0.3">
      <c r="A832" s="2" t="str">
        <f>TRIM(Table1[[#This Row],[Numer_FV]])</f>
        <v>FV/POL/60951/2022</v>
      </c>
      <c r="B832" s="2" t="str">
        <f>TRIM(Table1[[#This Row],[Numer_PZ]])</f>
        <v>PZ/800830</v>
      </c>
      <c r="C832" s="2" t="str">
        <f>TRIM(Table1[[#This Row],[Dostawca]])</f>
        <v>Polmedica</v>
      </c>
      <c r="D832" s="3">
        <v>44871</v>
      </c>
      <c r="E832" s="4" t="s">
        <v>2479</v>
      </c>
      <c r="F832" s="2" t="str">
        <f>TRIM(Table1[[#This Row],[Status]])</f>
        <v>Zaakceptowana</v>
      </c>
      <c r="G832" s="2" t="str">
        <f>TRIM(Table1[[#This Row],[Typ]])</f>
        <v>Faktura VAT</v>
      </c>
      <c r="H832" s="2" t="str">
        <f>TRIM(Table1[[#This Row],[Magazyn]])</f>
        <v>Apteka Szpitalna</v>
      </c>
      <c r="I832" s="2" t="str">
        <f>TRIM(Table1[[#This Row],[Umowa]])</f>
        <v>UM-POL-03</v>
      </c>
      <c r="J832" s="2" t="b">
        <f>ISTEXT(Table14[[#This Row],[Data_Wystawienia]])</f>
        <v>0</v>
      </c>
      <c r="K832" s="2">
        <f>VALUE(SUBSTITUTE(Table14[[#This Row],[Wartość]],".",","))</f>
        <v>15554.04</v>
      </c>
      <c r="L8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2" s="2" t="str">
        <f>IF(Table14[[#This Row],[Umowa]]="","Poza umową","Z umowy")</f>
        <v>Z umowy</v>
      </c>
      <c r="N832" s="2">
        <f>YEAR(Table14[[#This Row],[Data_Wystawienia]])</f>
        <v>2022</v>
      </c>
      <c r="O832" s="2" t="str">
        <f>TEXT(Table14[[#This Row],[Data_Wystawienia]],"rrrr-mm")</f>
        <v>2022-11</v>
      </c>
      <c r="P832" s="2">
        <v>1</v>
      </c>
    </row>
    <row r="833" spans="1:16" x14ac:dyDescent="0.3">
      <c r="A833" s="2" t="str">
        <f>TRIM(Table1[[#This Row],[Numer_FV]])</f>
        <v>FV/POL/46611/2022</v>
      </c>
      <c r="B833" s="2" t="str">
        <f>TRIM(Table1[[#This Row],[Numer_PZ]])</f>
        <v>PZ/800831</v>
      </c>
      <c r="C833" s="2" t="str">
        <f>TRIM(Table1[[#This Row],[Dostawca]])</f>
        <v>Polmedica</v>
      </c>
      <c r="D833" s="3">
        <v>44871</v>
      </c>
      <c r="E833" s="4" t="s">
        <v>2482</v>
      </c>
      <c r="F833" s="2" t="str">
        <f>TRIM(Table1[[#This Row],[Status]])</f>
        <v>Zaakceptowana</v>
      </c>
      <c r="G833" s="2" t="str">
        <f>TRIM(Table1[[#This Row],[Typ]])</f>
        <v>Faktura VAT</v>
      </c>
      <c r="H833" s="2" t="str">
        <f>TRIM(Table1[[#This Row],[Magazyn]])</f>
        <v>Apteka Szpitalna</v>
      </c>
      <c r="I833" s="2" t="str">
        <f>TRIM(Table1[[#This Row],[Umowa]])</f>
        <v>UM-POL-02</v>
      </c>
      <c r="J833" s="2" t="b">
        <f>ISTEXT(Table14[[#This Row],[Data_Wystawienia]])</f>
        <v>0</v>
      </c>
      <c r="K833" s="2">
        <f>VALUE(SUBSTITUTE(Table14[[#This Row],[Wartość]],".",","))</f>
        <v>4639.2</v>
      </c>
      <c r="L8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3" s="2" t="str">
        <f>IF(Table14[[#This Row],[Umowa]]="","Poza umową","Z umowy")</f>
        <v>Z umowy</v>
      </c>
      <c r="N833" s="2">
        <f>YEAR(Table14[[#This Row],[Data_Wystawienia]])</f>
        <v>2022</v>
      </c>
      <c r="O833" s="2" t="str">
        <f>TEXT(Table14[[#This Row],[Data_Wystawienia]],"rrrr-mm")</f>
        <v>2022-11</v>
      </c>
      <c r="P833" s="2">
        <v>1</v>
      </c>
    </row>
    <row r="834" spans="1:16" x14ac:dyDescent="0.3">
      <c r="A834" s="2" t="str">
        <f>TRIM(Table1[[#This Row],[Numer_FV]])</f>
        <v>FV/57/PP/3602/22</v>
      </c>
      <c r="B834" s="2" t="str">
        <f>TRIM(Table1[[#This Row],[Numer_PZ]])</f>
        <v>PZ/800832</v>
      </c>
      <c r="C834" s="2" t="str">
        <f>TRIM(Table1[[#This Row],[Dostawca]])</f>
        <v>PharmaPlus</v>
      </c>
      <c r="D834" s="3">
        <v>44871</v>
      </c>
      <c r="E834" s="4" t="s">
        <v>2485</v>
      </c>
      <c r="F834" s="2" t="str">
        <f>TRIM(Table1[[#This Row],[Status]])</f>
        <v>Zaakceptowana</v>
      </c>
      <c r="G834" s="2" t="str">
        <f>TRIM(Table1[[#This Row],[Typ]])</f>
        <v>Faktura VAT</v>
      </c>
      <c r="H834" s="2" t="str">
        <f>TRIM(Table1[[#This Row],[Magazyn]])</f>
        <v>Apteka Szpitalna</v>
      </c>
      <c r="I834" s="2" t="str">
        <f>TRIM(Table1[[#This Row],[Umowa]])</f>
        <v/>
      </c>
      <c r="J834" s="2" t="b">
        <f>ISTEXT(Table14[[#This Row],[Data_Wystawienia]])</f>
        <v>0</v>
      </c>
      <c r="K834" s="2">
        <f>VALUE(SUBSTITUTE(Table14[[#This Row],[Wartość]],".",","))</f>
        <v>9038.66</v>
      </c>
      <c r="L8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4" s="2" t="str">
        <f>IF(Table14[[#This Row],[Umowa]]="","Poza umową","Z umowy")</f>
        <v>Poza umową</v>
      </c>
      <c r="N834" s="2">
        <f>YEAR(Table14[[#This Row],[Data_Wystawienia]])</f>
        <v>2022</v>
      </c>
      <c r="O834" s="2" t="str">
        <f>TEXT(Table14[[#This Row],[Data_Wystawienia]],"rrrr-mm")</f>
        <v>2022-11</v>
      </c>
      <c r="P834" s="2">
        <v>1</v>
      </c>
    </row>
    <row r="835" spans="1:16" x14ac:dyDescent="0.3">
      <c r="A835" s="2" t="str">
        <f>TRIM(Table1[[#This Row],[Numer_FV]])</f>
        <v>FV/78711/VDb/2022</v>
      </c>
      <c r="B835" s="2" t="str">
        <f>TRIM(Table1[[#This Row],[Numer_PZ]])</f>
        <v>PZ/800833</v>
      </c>
      <c r="C835" s="2" t="str">
        <f>TRIM(Table1[[#This Row],[Dostawca]])</f>
        <v>VitaDistrib</v>
      </c>
      <c r="D835" s="3">
        <v>44872</v>
      </c>
      <c r="E835" s="4" t="s">
        <v>2488</v>
      </c>
      <c r="F835" s="2" t="str">
        <f>TRIM(Table1[[#This Row],[Status]])</f>
        <v>Zaakceptowana</v>
      </c>
      <c r="G835" s="2" t="str">
        <f>TRIM(Table1[[#This Row],[Typ]])</f>
        <v>Faktura VAT</v>
      </c>
      <c r="H835" s="2" t="str">
        <f>TRIM(Table1[[#This Row],[Magazyn]])</f>
        <v>Apteka Szpitalna</v>
      </c>
      <c r="I835" s="2" t="str">
        <f>TRIM(Table1[[#This Row],[Umowa]])</f>
        <v>UM-VIT-01</v>
      </c>
      <c r="J835" s="2" t="b">
        <f>ISTEXT(Table14[[#This Row],[Data_Wystawienia]])</f>
        <v>0</v>
      </c>
      <c r="K835" s="2">
        <f>VALUE(SUBSTITUTE(Table14[[#This Row],[Wartość]],".",","))</f>
        <v>15757.17</v>
      </c>
      <c r="L8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5" s="2" t="str">
        <f>IF(Table14[[#This Row],[Umowa]]="","Poza umową","Z umowy")</f>
        <v>Z umowy</v>
      </c>
      <c r="N835" s="2">
        <f>YEAR(Table14[[#This Row],[Data_Wystawienia]])</f>
        <v>2022</v>
      </c>
      <c r="O835" s="2" t="str">
        <f>TEXT(Table14[[#This Row],[Data_Wystawienia]],"rrrr-mm")</f>
        <v>2022-11</v>
      </c>
      <c r="P835" s="2">
        <v>1</v>
      </c>
    </row>
    <row r="836" spans="1:16" x14ac:dyDescent="0.3">
      <c r="A836" s="2" t="str">
        <f>TRIM(Table1[[#This Row],[Numer_FV]])</f>
        <v>FV/18303/VDb/2022</v>
      </c>
      <c r="B836" s="2" t="str">
        <f>TRIM(Table1[[#This Row],[Numer_PZ]])</f>
        <v>PZ/800834</v>
      </c>
      <c r="C836" s="2" t="str">
        <f>TRIM(Table1[[#This Row],[Dostawca]])</f>
        <v>VitaDistrib</v>
      </c>
      <c r="D836" s="3">
        <v>44872</v>
      </c>
      <c r="E836" s="4" t="s">
        <v>2491</v>
      </c>
      <c r="F836" s="2" t="str">
        <f>TRIM(Table1[[#This Row],[Status]])</f>
        <v>Zaakceptowana</v>
      </c>
      <c r="G836" s="2" t="str">
        <f>TRIM(Table1[[#This Row],[Typ]])</f>
        <v>Faktura VAT</v>
      </c>
      <c r="H836" s="2" t="str">
        <f>TRIM(Table1[[#This Row],[Magazyn]])</f>
        <v>Apteka Szpitalna</v>
      </c>
      <c r="I836" s="2" t="str">
        <f>TRIM(Table1[[#This Row],[Umowa]])</f>
        <v>UM-VIT-01</v>
      </c>
      <c r="J836" s="2" t="b">
        <f>ISTEXT(Table14[[#This Row],[Data_Wystawienia]])</f>
        <v>0</v>
      </c>
      <c r="K836" s="2">
        <f>VALUE(SUBSTITUTE(Table14[[#This Row],[Wartość]],".",","))</f>
        <v>21612.32</v>
      </c>
      <c r="L8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6" s="2" t="str">
        <f>IF(Table14[[#This Row],[Umowa]]="","Poza umową","Z umowy")</f>
        <v>Z umowy</v>
      </c>
      <c r="N836" s="2">
        <f>YEAR(Table14[[#This Row],[Data_Wystawienia]])</f>
        <v>2022</v>
      </c>
      <c r="O836" s="2" t="str">
        <f>TEXT(Table14[[#This Row],[Data_Wystawienia]],"rrrr-mm")</f>
        <v>2022-11</v>
      </c>
      <c r="P836" s="2">
        <v>1</v>
      </c>
    </row>
    <row r="837" spans="1:16" x14ac:dyDescent="0.3">
      <c r="A837" s="2" t="str">
        <f>TRIM(Table1[[#This Row],[Numer_FV]])</f>
        <v>FV/POL/73098/2022</v>
      </c>
      <c r="B837" s="2" t="str">
        <f>TRIM(Table1[[#This Row],[Numer_PZ]])</f>
        <v>PZ/800835</v>
      </c>
      <c r="C837" s="2" t="str">
        <f>TRIM(Table1[[#This Row],[Dostawca]])</f>
        <v>Polmedica</v>
      </c>
      <c r="D837" s="3">
        <v>44872</v>
      </c>
      <c r="E837" s="4" t="s">
        <v>2494</v>
      </c>
      <c r="F837" s="2" t="str">
        <f>TRIM(Table1[[#This Row],[Status]])</f>
        <v>Zaakceptowana</v>
      </c>
      <c r="G837" s="2" t="str">
        <f>TRIM(Table1[[#This Row],[Typ]])</f>
        <v>Faktura VAT</v>
      </c>
      <c r="H837" s="2" t="str">
        <f>TRIM(Table1[[#This Row],[Magazyn]])</f>
        <v>Apteka Szpitalna</v>
      </c>
      <c r="I837" s="2" t="str">
        <f>TRIM(Table1[[#This Row],[Umowa]])</f>
        <v/>
      </c>
      <c r="J837" s="2" t="b">
        <f>ISTEXT(Table14[[#This Row],[Data_Wystawienia]])</f>
        <v>0</v>
      </c>
      <c r="K837" s="2">
        <f>VALUE(SUBSTITUTE(Table14[[#This Row],[Wartość]],".",","))</f>
        <v>22654.71</v>
      </c>
      <c r="L8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7" s="2" t="str">
        <f>IF(Table14[[#This Row],[Umowa]]="","Poza umową","Z umowy")</f>
        <v>Poza umową</v>
      </c>
      <c r="N837" s="2">
        <f>YEAR(Table14[[#This Row],[Data_Wystawienia]])</f>
        <v>2022</v>
      </c>
      <c r="O837" s="2" t="str">
        <f>TEXT(Table14[[#This Row],[Data_Wystawienia]],"rrrr-mm")</f>
        <v>2022-11</v>
      </c>
      <c r="P837" s="2">
        <v>1</v>
      </c>
    </row>
    <row r="838" spans="1:16" x14ac:dyDescent="0.3">
      <c r="A838" s="2" t="str">
        <f>TRIM(Table1[[#This Row],[Numer_FV]])</f>
        <v>FV/10/SAL/22</v>
      </c>
      <c r="B838" s="2" t="str">
        <f>TRIM(Table1[[#This Row],[Numer_PZ]])</f>
        <v>PZ/800836</v>
      </c>
      <c r="C838" s="2" t="str">
        <f>TRIM(Table1[[#This Row],[Dostawca]])</f>
        <v>SalusHurt</v>
      </c>
      <c r="D838" s="3">
        <v>44872</v>
      </c>
      <c r="E838" s="4" t="s">
        <v>2497</v>
      </c>
      <c r="F838" s="2" t="str">
        <f>TRIM(Table1[[#This Row],[Status]])</f>
        <v>Zaakceptowana</v>
      </c>
      <c r="G838" s="2" t="str">
        <f>TRIM(Table1[[#This Row],[Typ]])</f>
        <v>Faktura VAT</v>
      </c>
      <c r="H838" s="2" t="str">
        <f>TRIM(Table1[[#This Row],[Magazyn]])</f>
        <v>Apteka Szpitalna</v>
      </c>
      <c r="I838" s="2" t="str">
        <f>TRIM(Table1[[#This Row],[Umowa]])</f>
        <v>UM-SAL-02</v>
      </c>
      <c r="J838" s="2" t="b">
        <f>ISTEXT(Table14[[#This Row],[Data_Wystawienia]])</f>
        <v>0</v>
      </c>
      <c r="K838" s="2">
        <f>VALUE(SUBSTITUTE(Table14[[#This Row],[Wartość]],".",","))</f>
        <v>10341.959999999999</v>
      </c>
      <c r="L8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8" s="2" t="str">
        <f>IF(Table14[[#This Row],[Umowa]]="","Poza umową","Z umowy")</f>
        <v>Z umowy</v>
      </c>
      <c r="N838" s="2">
        <f>YEAR(Table14[[#This Row],[Data_Wystawienia]])</f>
        <v>2022</v>
      </c>
      <c r="O838" s="2" t="str">
        <f>TEXT(Table14[[#This Row],[Data_Wystawienia]],"rrrr-mm")</f>
        <v>2022-11</v>
      </c>
      <c r="P838" s="2">
        <v>1</v>
      </c>
    </row>
    <row r="839" spans="1:16" x14ac:dyDescent="0.3">
      <c r="A839" s="2" t="str">
        <f>TRIM(Table1[[#This Row],[Numer_FV]])</f>
        <v>FV/44/PP/3839/22</v>
      </c>
      <c r="B839" s="2" t="str">
        <f>TRIM(Table1[[#This Row],[Numer_PZ]])</f>
        <v>PZ/800837</v>
      </c>
      <c r="C839" s="2" t="str">
        <f>TRIM(Table1[[#This Row],[Dostawca]])</f>
        <v>PharmaPlus</v>
      </c>
      <c r="D839" s="3">
        <v>44872</v>
      </c>
      <c r="E839" s="4" t="s">
        <v>2500</v>
      </c>
      <c r="F839" s="2" t="str">
        <f>TRIM(Table1[[#This Row],[Status]])</f>
        <v>Zaakceptowana</v>
      </c>
      <c r="G839" s="2" t="str">
        <f>TRIM(Table1[[#This Row],[Typ]])</f>
        <v>Faktura VAT</v>
      </c>
      <c r="H839" s="2" t="str">
        <f>TRIM(Table1[[#This Row],[Magazyn]])</f>
        <v>Apteka Szpitalna</v>
      </c>
      <c r="I839" s="2" t="str">
        <f>TRIM(Table1[[#This Row],[Umowa]])</f>
        <v>UM-PHA-01</v>
      </c>
      <c r="J839" s="2" t="b">
        <f>ISTEXT(Table14[[#This Row],[Data_Wystawienia]])</f>
        <v>0</v>
      </c>
      <c r="K839" s="2">
        <f>VALUE(SUBSTITUTE(Table14[[#This Row],[Wartość]],".",","))</f>
        <v>11287.54</v>
      </c>
      <c r="L8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39" s="2" t="str">
        <f>IF(Table14[[#This Row],[Umowa]]="","Poza umową","Z umowy")</f>
        <v>Z umowy</v>
      </c>
      <c r="N839" s="2">
        <f>YEAR(Table14[[#This Row],[Data_Wystawienia]])</f>
        <v>2022</v>
      </c>
      <c r="O839" s="2" t="str">
        <f>TEXT(Table14[[#This Row],[Data_Wystawienia]],"rrrr-mm")</f>
        <v>2022-11</v>
      </c>
      <c r="P839" s="2">
        <v>1</v>
      </c>
    </row>
    <row r="840" spans="1:16" x14ac:dyDescent="0.3">
      <c r="A840" s="2" t="str">
        <f>TRIM(Table1[[#This Row],[Numer_FV]])</f>
        <v>FV/37/SAL/22</v>
      </c>
      <c r="B840" s="2" t="str">
        <f>TRIM(Table1[[#This Row],[Numer_PZ]])</f>
        <v>PZ/800838</v>
      </c>
      <c r="C840" s="2" t="str">
        <f>TRIM(Table1[[#This Row],[Dostawca]])</f>
        <v>SalusHurt</v>
      </c>
      <c r="D840" s="3">
        <v>44874</v>
      </c>
      <c r="E840" s="4" t="s">
        <v>2502</v>
      </c>
      <c r="F840" s="2" t="str">
        <f>TRIM(Table1[[#This Row],[Status]])</f>
        <v>Zaakceptowana</v>
      </c>
      <c r="G840" s="2" t="str">
        <f>TRIM(Table1[[#This Row],[Typ]])</f>
        <v>Faktura VAT</v>
      </c>
      <c r="H840" s="2" t="str">
        <f>TRIM(Table1[[#This Row],[Magazyn]])</f>
        <v>Apteka Szpitalna</v>
      </c>
      <c r="I840" s="2" t="str">
        <f>TRIM(Table1[[#This Row],[Umowa]])</f>
        <v>UM-SAL-02</v>
      </c>
      <c r="J840" s="2" t="b">
        <f>ISTEXT(Table14[[#This Row],[Data_Wystawienia]])</f>
        <v>0</v>
      </c>
      <c r="K840" s="2">
        <f>VALUE(SUBSTITUTE(Table14[[#This Row],[Wartość]],".",","))</f>
        <v>20595.759999999998</v>
      </c>
      <c r="L8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0" s="2" t="str">
        <f>IF(Table14[[#This Row],[Umowa]]="","Poza umową","Z umowy")</f>
        <v>Z umowy</v>
      </c>
      <c r="N840" s="2">
        <f>YEAR(Table14[[#This Row],[Data_Wystawienia]])</f>
        <v>2022</v>
      </c>
      <c r="O840" s="2" t="str">
        <f>TEXT(Table14[[#This Row],[Data_Wystawienia]],"rrrr-mm")</f>
        <v>2022-11</v>
      </c>
      <c r="P840" s="2">
        <v>1</v>
      </c>
    </row>
    <row r="841" spans="1:16" x14ac:dyDescent="0.3">
      <c r="A841" s="2" t="str">
        <f>TRIM(Table1[[#This Row],[Numer_FV]])</f>
        <v>FV/POL/23356/2022</v>
      </c>
      <c r="B841" s="2" t="str">
        <f>TRIM(Table1[[#This Row],[Numer_PZ]])</f>
        <v>PZ/800839</v>
      </c>
      <c r="C841" s="2" t="str">
        <f>TRIM(Table1[[#This Row],[Dostawca]])</f>
        <v>Polmedica</v>
      </c>
      <c r="D841" s="3">
        <v>44874</v>
      </c>
      <c r="E841" s="4" t="s">
        <v>2505</v>
      </c>
      <c r="F841" s="2" t="str">
        <f>TRIM(Table1[[#This Row],[Status]])</f>
        <v>Zaakceptowana</v>
      </c>
      <c r="G841" s="2" t="str">
        <f>TRIM(Table1[[#This Row],[Typ]])</f>
        <v>Faktura VAT</v>
      </c>
      <c r="H841" s="2" t="str">
        <f>TRIM(Table1[[#This Row],[Magazyn]])</f>
        <v>Apteka Szpitalna</v>
      </c>
      <c r="I841" s="2" t="str">
        <f>TRIM(Table1[[#This Row],[Umowa]])</f>
        <v>UM-POL-01</v>
      </c>
      <c r="J841" s="2" t="b">
        <f>ISTEXT(Table14[[#This Row],[Data_Wystawienia]])</f>
        <v>0</v>
      </c>
      <c r="K841" s="2">
        <f>VALUE(SUBSTITUTE(Table14[[#This Row],[Wartość]],".",","))</f>
        <v>7310.94</v>
      </c>
      <c r="L8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1" s="2" t="str">
        <f>IF(Table14[[#This Row],[Umowa]]="","Poza umową","Z umowy")</f>
        <v>Z umowy</v>
      </c>
      <c r="N841" s="2">
        <f>YEAR(Table14[[#This Row],[Data_Wystawienia]])</f>
        <v>2022</v>
      </c>
      <c r="O841" s="2" t="str">
        <f>TEXT(Table14[[#This Row],[Data_Wystawienia]],"rrrr-mm")</f>
        <v>2022-11</v>
      </c>
      <c r="P841" s="2">
        <v>1</v>
      </c>
    </row>
    <row r="842" spans="1:16" x14ac:dyDescent="0.3">
      <c r="A842" s="2" t="str">
        <f>TRIM(Table1[[#This Row],[Numer_FV]])</f>
        <v>FV/CENFA/287722/22</v>
      </c>
      <c r="B842" s="2" t="str">
        <f>TRIM(Table1[[#This Row],[Numer_PZ]])</f>
        <v>PZ/800840</v>
      </c>
      <c r="C842" s="2" t="str">
        <f>TRIM(Table1[[#This Row],[Dostawca]])</f>
        <v>CentrumFarm</v>
      </c>
      <c r="D842" s="3">
        <v>44874</v>
      </c>
      <c r="E842" s="4" t="s">
        <v>2508</v>
      </c>
      <c r="F842" s="2" t="str">
        <f>TRIM(Table1[[#This Row],[Status]])</f>
        <v>Zaakceptowana</v>
      </c>
      <c r="G842" s="2" t="str">
        <f>TRIM(Table1[[#This Row],[Typ]])</f>
        <v>Faktura VAT</v>
      </c>
      <c r="H842" s="2" t="str">
        <f>TRIM(Table1[[#This Row],[Magazyn]])</f>
        <v>Apteka Szpitalna</v>
      </c>
      <c r="I842" s="2" t="str">
        <f>TRIM(Table1[[#This Row],[Umowa]])</f>
        <v>UM-CEN-02</v>
      </c>
      <c r="J842" s="2" t="b">
        <f>ISTEXT(Table14[[#This Row],[Data_Wystawienia]])</f>
        <v>0</v>
      </c>
      <c r="K842" s="2">
        <f>VALUE(SUBSTITUTE(Table14[[#This Row],[Wartość]],".",","))</f>
        <v>14931.92</v>
      </c>
      <c r="L8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2" s="2" t="str">
        <f>IF(Table14[[#This Row],[Umowa]]="","Poza umową","Z umowy")</f>
        <v>Z umowy</v>
      </c>
      <c r="N842" s="2">
        <f>YEAR(Table14[[#This Row],[Data_Wystawienia]])</f>
        <v>2022</v>
      </c>
      <c r="O842" s="2" t="str">
        <f>TEXT(Table14[[#This Row],[Data_Wystawienia]],"rrrr-mm")</f>
        <v>2022-11</v>
      </c>
      <c r="P842" s="2">
        <v>1</v>
      </c>
    </row>
    <row r="843" spans="1:16" x14ac:dyDescent="0.3">
      <c r="A843" s="2" t="str">
        <f>TRIM(Table1[[#This Row],[Numer_FV]])</f>
        <v>FV/17/PP/7814/22</v>
      </c>
      <c r="B843" s="2" t="str">
        <f>TRIM(Table1[[#This Row],[Numer_PZ]])</f>
        <v>PZ/800841</v>
      </c>
      <c r="C843" s="2" t="str">
        <f>TRIM(Table1[[#This Row],[Dostawca]])</f>
        <v>PharmaPlus</v>
      </c>
      <c r="D843" s="3">
        <v>44874</v>
      </c>
      <c r="E843" s="4" t="s">
        <v>2511</v>
      </c>
      <c r="F843" s="2" t="str">
        <f>TRIM(Table1[[#This Row],[Status]])</f>
        <v>Zaakceptowana</v>
      </c>
      <c r="G843" s="2" t="str">
        <f>TRIM(Table1[[#This Row],[Typ]])</f>
        <v>Faktura VAT</v>
      </c>
      <c r="H843" s="2" t="str">
        <f>TRIM(Table1[[#This Row],[Magazyn]])</f>
        <v>Apteka Szpitalna</v>
      </c>
      <c r="I843" s="2" t="str">
        <f>TRIM(Table1[[#This Row],[Umowa]])</f>
        <v>UM-PHA-01</v>
      </c>
      <c r="J843" s="2" t="b">
        <f>ISTEXT(Table14[[#This Row],[Data_Wystawienia]])</f>
        <v>0</v>
      </c>
      <c r="K843" s="2">
        <f>VALUE(SUBSTITUTE(Table14[[#This Row],[Wartość]],".",","))</f>
        <v>12141.51</v>
      </c>
      <c r="L8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3" s="2" t="str">
        <f>IF(Table14[[#This Row],[Umowa]]="","Poza umową","Z umowy")</f>
        <v>Z umowy</v>
      </c>
      <c r="N843" s="2">
        <f>YEAR(Table14[[#This Row],[Data_Wystawienia]])</f>
        <v>2022</v>
      </c>
      <c r="O843" s="2" t="str">
        <f>TEXT(Table14[[#This Row],[Data_Wystawienia]],"rrrr-mm")</f>
        <v>2022-11</v>
      </c>
      <c r="P843" s="2">
        <v>1</v>
      </c>
    </row>
    <row r="844" spans="1:16" x14ac:dyDescent="0.3">
      <c r="A844" s="2" t="str">
        <f>TRIM(Table1[[#This Row],[Numer_FV]])</f>
        <v>FV/8903HM/22</v>
      </c>
      <c r="B844" s="2" t="str">
        <f>TRIM(Table1[[#This Row],[Numer_PZ]])</f>
        <v>PZ/800842</v>
      </c>
      <c r="C844" s="2" t="str">
        <f>TRIM(Table1[[#This Row],[Dostawca]])</f>
        <v>HurtMedix</v>
      </c>
      <c r="D844" s="3">
        <v>44875</v>
      </c>
      <c r="E844" s="4" t="s">
        <v>2514</v>
      </c>
      <c r="F844" s="2" t="str">
        <f>TRIM(Table1[[#This Row],[Status]])</f>
        <v>Zaakceptowana</v>
      </c>
      <c r="G844" s="2" t="str">
        <f>TRIM(Table1[[#This Row],[Typ]])</f>
        <v>Faktura VAT</v>
      </c>
      <c r="H844" s="2" t="str">
        <f>TRIM(Table1[[#This Row],[Magazyn]])</f>
        <v>Apteka Szpitalna</v>
      </c>
      <c r="I844" s="2" t="str">
        <f>TRIM(Table1[[#This Row],[Umowa]])</f>
        <v>UM-HUR-03</v>
      </c>
      <c r="J844" s="2" t="b">
        <f>ISTEXT(Table14[[#This Row],[Data_Wystawienia]])</f>
        <v>0</v>
      </c>
      <c r="K844" s="2">
        <f>VALUE(SUBSTITUTE(Table14[[#This Row],[Wartość]],".",","))</f>
        <v>19167.48</v>
      </c>
      <c r="L8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4" s="2" t="str">
        <f>IF(Table14[[#This Row],[Umowa]]="","Poza umową","Z umowy")</f>
        <v>Z umowy</v>
      </c>
      <c r="N844" s="2">
        <f>YEAR(Table14[[#This Row],[Data_Wystawienia]])</f>
        <v>2022</v>
      </c>
      <c r="O844" s="2" t="str">
        <f>TEXT(Table14[[#This Row],[Data_Wystawienia]],"rrrr-mm")</f>
        <v>2022-11</v>
      </c>
      <c r="P844" s="2">
        <v>1</v>
      </c>
    </row>
    <row r="845" spans="1:16" x14ac:dyDescent="0.3">
      <c r="A845" s="2" t="str">
        <f>TRIM(Table1[[#This Row],[Numer_FV]])</f>
        <v>FV/4479HM/22</v>
      </c>
      <c r="B845" s="2" t="str">
        <f>TRIM(Table1[[#This Row],[Numer_PZ]])</f>
        <v>PZ/800843</v>
      </c>
      <c r="C845" s="2" t="str">
        <f>TRIM(Table1[[#This Row],[Dostawca]])</f>
        <v>HurtMedix</v>
      </c>
      <c r="D845" s="3">
        <v>44875</v>
      </c>
      <c r="E845" s="4" t="s">
        <v>2517</v>
      </c>
      <c r="F845" s="2" t="str">
        <f>TRIM(Table1[[#This Row],[Status]])</f>
        <v>Zaakceptowana</v>
      </c>
      <c r="G845" s="2" t="str">
        <f>TRIM(Table1[[#This Row],[Typ]])</f>
        <v>Faktura VAT</v>
      </c>
      <c r="H845" s="2" t="str">
        <f>TRIM(Table1[[#This Row],[Magazyn]])</f>
        <v>Apteka Szpitalna</v>
      </c>
      <c r="I845" s="2" t="str">
        <f>TRIM(Table1[[#This Row],[Umowa]])</f>
        <v/>
      </c>
      <c r="J845" s="2" t="b">
        <f>ISTEXT(Table14[[#This Row],[Data_Wystawienia]])</f>
        <v>0</v>
      </c>
      <c r="K845" s="2">
        <f>VALUE(SUBSTITUTE(Table14[[#This Row],[Wartość]],".",","))</f>
        <v>5505.71</v>
      </c>
      <c r="L8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5" s="2" t="str">
        <f>IF(Table14[[#This Row],[Umowa]]="","Poza umową","Z umowy")</f>
        <v>Poza umową</v>
      </c>
      <c r="N845" s="2">
        <f>YEAR(Table14[[#This Row],[Data_Wystawienia]])</f>
        <v>2022</v>
      </c>
      <c r="O845" s="2" t="str">
        <f>TEXT(Table14[[#This Row],[Data_Wystawienia]],"rrrr-mm")</f>
        <v>2022-11</v>
      </c>
      <c r="P845" s="2">
        <v>1</v>
      </c>
    </row>
    <row r="846" spans="1:16" x14ac:dyDescent="0.3">
      <c r="A846" s="2" t="str">
        <f>TRIM(Table1[[#This Row],[Numer_FV]])</f>
        <v>FV/M/8011/P/22</v>
      </c>
      <c r="B846" s="2" t="str">
        <f>TRIM(Table1[[#This Row],[Numer_PZ]])</f>
        <v>PZ/800844</v>
      </c>
      <c r="C846" s="2" t="str">
        <f>TRIM(Table1[[#This Row],[Dostawca]])</f>
        <v>MedicaPharm</v>
      </c>
      <c r="D846" s="3">
        <v>44875</v>
      </c>
      <c r="E846" s="4" t="s">
        <v>2520</v>
      </c>
      <c r="F846" s="2" t="str">
        <f>TRIM(Table1[[#This Row],[Status]])</f>
        <v>Zaakceptowana</v>
      </c>
      <c r="G846" s="2" t="str">
        <f>TRIM(Table1[[#This Row],[Typ]])</f>
        <v>Faktura VAT</v>
      </c>
      <c r="H846" s="2" t="str">
        <f>TRIM(Table1[[#This Row],[Magazyn]])</f>
        <v>Apteka Szpitalna</v>
      </c>
      <c r="I846" s="2" t="str">
        <f>TRIM(Table1[[#This Row],[Umowa]])</f>
        <v>UM-MED-02</v>
      </c>
      <c r="J846" s="2" t="b">
        <f>ISTEXT(Table14[[#This Row],[Data_Wystawienia]])</f>
        <v>0</v>
      </c>
      <c r="K846" s="2">
        <f>VALUE(SUBSTITUTE(Table14[[#This Row],[Wartość]],".",","))</f>
        <v>9542.98</v>
      </c>
      <c r="L8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6" s="2" t="str">
        <f>IF(Table14[[#This Row],[Umowa]]="","Poza umową","Z umowy")</f>
        <v>Z umowy</v>
      </c>
      <c r="N846" s="2">
        <f>YEAR(Table14[[#This Row],[Data_Wystawienia]])</f>
        <v>2022</v>
      </c>
      <c r="O846" s="2" t="str">
        <f>TEXT(Table14[[#This Row],[Data_Wystawienia]],"rrrr-mm")</f>
        <v>2022-11</v>
      </c>
      <c r="P846" s="2">
        <v>1</v>
      </c>
    </row>
    <row r="847" spans="1:16" x14ac:dyDescent="0.3">
      <c r="A847" s="2" t="str">
        <f>TRIM(Table1[[#This Row],[Numer_FV]])</f>
        <v>FV/97164/VDb/2022</v>
      </c>
      <c r="B847" s="2" t="str">
        <f>TRIM(Table1[[#This Row],[Numer_PZ]])</f>
        <v>PZ/800845</v>
      </c>
      <c r="C847" s="2" t="str">
        <f>TRIM(Table1[[#This Row],[Dostawca]])</f>
        <v>VitaDistrib</v>
      </c>
      <c r="D847" s="3">
        <v>44875</v>
      </c>
      <c r="E847" s="4" t="s">
        <v>2523</v>
      </c>
      <c r="F847" s="2" t="str">
        <f>TRIM(Table1[[#This Row],[Status]])</f>
        <v>Zaakceptowana</v>
      </c>
      <c r="G847" s="2" t="str">
        <f>TRIM(Table1[[#This Row],[Typ]])</f>
        <v>Faktura VAT</v>
      </c>
      <c r="H847" s="2" t="str">
        <f>TRIM(Table1[[#This Row],[Magazyn]])</f>
        <v>Apteka Szpitalna</v>
      </c>
      <c r="I847" s="2" t="str">
        <f>TRIM(Table1[[#This Row],[Umowa]])</f>
        <v>UM-VIT-01</v>
      </c>
      <c r="J847" s="2" t="b">
        <f>ISTEXT(Table14[[#This Row],[Data_Wystawienia]])</f>
        <v>0</v>
      </c>
      <c r="K847" s="2">
        <f>VALUE(SUBSTITUTE(Table14[[#This Row],[Wartość]],".",","))</f>
        <v>13377.01</v>
      </c>
      <c r="L8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7" s="2" t="str">
        <f>IF(Table14[[#This Row],[Umowa]]="","Poza umową","Z umowy")</f>
        <v>Z umowy</v>
      </c>
      <c r="N847" s="2">
        <f>YEAR(Table14[[#This Row],[Data_Wystawienia]])</f>
        <v>2022</v>
      </c>
      <c r="O847" s="2" t="str">
        <f>TEXT(Table14[[#This Row],[Data_Wystawienia]],"rrrr-mm")</f>
        <v>2022-11</v>
      </c>
      <c r="P847" s="2">
        <v>1</v>
      </c>
    </row>
    <row r="848" spans="1:16" x14ac:dyDescent="0.3">
      <c r="A848" s="2" t="str">
        <f>TRIM(Table1[[#This Row],[Numer_FV]])</f>
        <v>FV/80/SAL/22</v>
      </c>
      <c r="B848" s="2" t="str">
        <f>TRIM(Table1[[#This Row],[Numer_PZ]])</f>
        <v>PZ/800846</v>
      </c>
      <c r="C848" s="2" t="str">
        <f>TRIM(Table1[[#This Row],[Dostawca]])</f>
        <v>SalusHurt</v>
      </c>
      <c r="D848" s="3">
        <v>44875</v>
      </c>
      <c r="E848" s="4" t="s">
        <v>2526</v>
      </c>
      <c r="F848" s="2" t="str">
        <f>TRIM(Table1[[#This Row],[Status]])</f>
        <v>Zaakceptowana</v>
      </c>
      <c r="G848" s="2" t="str">
        <f>TRIM(Table1[[#This Row],[Typ]])</f>
        <v>Faktura VAT</v>
      </c>
      <c r="H848" s="2" t="str">
        <f>TRIM(Table1[[#This Row],[Magazyn]])</f>
        <v>Apteka Szpitalna</v>
      </c>
      <c r="I848" s="2" t="str">
        <f>TRIM(Table1[[#This Row],[Umowa]])</f>
        <v>UM-SAL-02</v>
      </c>
      <c r="J848" s="2" t="b">
        <f>ISTEXT(Table14[[#This Row],[Data_Wystawienia]])</f>
        <v>0</v>
      </c>
      <c r="K848" s="2">
        <f>VALUE(SUBSTITUTE(Table14[[#This Row],[Wartość]],".",","))</f>
        <v>12588.78</v>
      </c>
      <c r="L8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8" s="2" t="str">
        <f>IF(Table14[[#This Row],[Umowa]]="","Poza umową","Z umowy")</f>
        <v>Z umowy</v>
      </c>
      <c r="N848" s="2">
        <f>YEAR(Table14[[#This Row],[Data_Wystawienia]])</f>
        <v>2022</v>
      </c>
      <c r="O848" s="2" t="str">
        <f>TEXT(Table14[[#This Row],[Data_Wystawienia]],"rrrr-mm")</f>
        <v>2022-11</v>
      </c>
      <c r="P848" s="2">
        <v>1</v>
      </c>
    </row>
    <row r="849" spans="1:16" x14ac:dyDescent="0.3">
      <c r="A849" s="2" t="str">
        <f>TRIM(Table1[[#This Row],[Numer_FV]])</f>
        <v>FV/POL/71203/2022</v>
      </c>
      <c r="B849" s="2" t="str">
        <f>TRIM(Table1[[#This Row],[Numer_PZ]])</f>
        <v>PZ/800847</v>
      </c>
      <c r="C849" s="2" t="str">
        <f>TRIM(Table1[[#This Row],[Dostawca]])</f>
        <v>Polmedica</v>
      </c>
      <c r="D849" s="3">
        <v>44876</v>
      </c>
      <c r="E849" s="4" t="s">
        <v>2529</v>
      </c>
      <c r="F849" s="2" t="str">
        <f>TRIM(Table1[[#This Row],[Status]])</f>
        <v>Zaakceptowana</v>
      </c>
      <c r="G849" s="2" t="str">
        <f>TRIM(Table1[[#This Row],[Typ]])</f>
        <v>Faktura VAT</v>
      </c>
      <c r="H849" s="2" t="str">
        <f>TRIM(Table1[[#This Row],[Magazyn]])</f>
        <v>Apteka Szpitalna</v>
      </c>
      <c r="I849" s="2" t="str">
        <f>TRIM(Table1[[#This Row],[Umowa]])</f>
        <v>UM-POL-01</v>
      </c>
      <c r="J849" s="2" t="b">
        <f>ISTEXT(Table14[[#This Row],[Data_Wystawienia]])</f>
        <v>0</v>
      </c>
      <c r="K849" s="2">
        <f>VALUE(SUBSTITUTE(Table14[[#This Row],[Wartość]],".",","))</f>
        <v>19979.18</v>
      </c>
      <c r="L8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49" s="2" t="str">
        <f>IF(Table14[[#This Row],[Umowa]]="","Poza umową","Z umowy")</f>
        <v>Z umowy</v>
      </c>
      <c r="N849" s="2">
        <f>YEAR(Table14[[#This Row],[Data_Wystawienia]])</f>
        <v>2022</v>
      </c>
      <c r="O849" s="2" t="str">
        <f>TEXT(Table14[[#This Row],[Data_Wystawienia]],"rrrr-mm")</f>
        <v>2022-11</v>
      </c>
      <c r="P849" s="2">
        <v>1</v>
      </c>
    </row>
    <row r="850" spans="1:16" x14ac:dyDescent="0.3">
      <c r="A850" s="2" t="str">
        <f>TRIM(Table1[[#This Row],[Numer_FV]])</f>
        <v>FV/90320/VDb/2022</v>
      </c>
      <c r="B850" s="2" t="str">
        <f>TRIM(Table1[[#This Row],[Numer_PZ]])</f>
        <v>PZ/800848</v>
      </c>
      <c r="C850" s="2" t="str">
        <f>TRIM(Table1[[#This Row],[Dostawca]])</f>
        <v>VitaDistrib</v>
      </c>
      <c r="D850" s="3">
        <v>44876</v>
      </c>
      <c r="E850" s="4" t="s">
        <v>2532</v>
      </c>
      <c r="F850" s="2" t="str">
        <f>TRIM(Table1[[#This Row],[Status]])</f>
        <v>Zaakceptowana</v>
      </c>
      <c r="G850" s="2" t="str">
        <f>TRIM(Table1[[#This Row],[Typ]])</f>
        <v>Faktura VAT</v>
      </c>
      <c r="H850" s="2" t="str">
        <f>TRIM(Table1[[#This Row],[Magazyn]])</f>
        <v>Apteka Szpitalna</v>
      </c>
      <c r="I850" s="2" t="str">
        <f>TRIM(Table1[[#This Row],[Umowa]])</f>
        <v>UM-VIT-01</v>
      </c>
      <c r="J850" s="2" t="b">
        <f>ISTEXT(Table14[[#This Row],[Data_Wystawienia]])</f>
        <v>0</v>
      </c>
      <c r="K850" s="2">
        <f>VALUE(SUBSTITUTE(Table14[[#This Row],[Wartość]],".",","))</f>
        <v>19261.04</v>
      </c>
      <c r="L8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0" s="2" t="str">
        <f>IF(Table14[[#This Row],[Umowa]]="","Poza umową","Z umowy")</f>
        <v>Z umowy</v>
      </c>
      <c r="N850" s="2">
        <f>YEAR(Table14[[#This Row],[Data_Wystawienia]])</f>
        <v>2022</v>
      </c>
      <c r="O850" s="2" t="str">
        <f>TEXT(Table14[[#This Row],[Data_Wystawienia]],"rrrr-mm")</f>
        <v>2022-11</v>
      </c>
      <c r="P850" s="2">
        <v>1</v>
      </c>
    </row>
    <row r="851" spans="1:16" x14ac:dyDescent="0.3">
      <c r="A851" s="2" t="str">
        <f>TRIM(Table1[[#This Row],[Numer_FV]])</f>
        <v>FV/26858/VDb/2022</v>
      </c>
      <c r="B851" s="2" t="str">
        <f>TRIM(Table1[[#This Row],[Numer_PZ]])</f>
        <v>PZ/800849</v>
      </c>
      <c r="C851" s="2" t="str">
        <f>TRIM(Table1[[#This Row],[Dostawca]])</f>
        <v>VitaDistrib</v>
      </c>
      <c r="D851" s="3">
        <v>44876</v>
      </c>
      <c r="E851" s="4" t="s">
        <v>2535</v>
      </c>
      <c r="F851" s="2" t="str">
        <f>TRIM(Table1[[#This Row],[Status]])</f>
        <v>Zaakceptowana</v>
      </c>
      <c r="G851" s="2" t="str">
        <f>TRIM(Table1[[#This Row],[Typ]])</f>
        <v>Faktura VAT</v>
      </c>
      <c r="H851" s="2" t="str">
        <f>TRIM(Table1[[#This Row],[Magazyn]])</f>
        <v>Apteka Szpitalna</v>
      </c>
      <c r="I851" s="2" t="str">
        <f>TRIM(Table1[[#This Row],[Umowa]])</f>
        <v>UM-VIT-01</v>
      </c>
      <c r="J851" s="2" t="b">
        <f>ISTEXT(Table14[[#This Row],[Data_Wystawienia]])</f>
        <v>0</v>
      </c>
      <c r="K851" s="2">
        <f>VALUE(SUBSTITUTE(Table14[[#This Row],[Wartość]],".",","))</f>
        <v>9908.98</v>
      </c>
      <c r="L8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1" s="2" t="str">
        <f>IF(Table14[[#This Row],[Umowa]]="","Poza umową","Z umowy")</f>
        <v>Z umowy</v>
      </c>
      <c r="N851" s="2">
        <f>YEAR(Table14[[#This Row],[Data_Wystawienia]])</f>
        <v>2022</v>
      </c>
      <c r="O851" s="2" t="str">
        <f>TEXT(Table14[[#This Row],[Data_Wystawienia]],"rrrr-mm")</f>
        <v>2022-11</v>
      </c>
      <c r="P851" s="2">
        <v>1</v>
      </c>
    </row>
    <row r="852" spans="1:16" x14ac:dyDescent="0.3">
      <c r="A852" s="2" t="str">
        <f>TRIM(Table1[[#This Row],[Numer_FV]])</f>
        <v>FV/61/SAL/22</v>
      </c>
      <c r="B852" s="2" t="str">
        <f>TRIM(Table1[[#This Row],[Numer_PZ]])</f>
        <v>PZ/800850</v>
      </c>
      <c r="C852" s="2" t="str">
        <f>TRIM(Table1[[#This Row],[Dostawca]])</f>
        <v>SalusHurt</v>
      </c>
      <c r="D852" s="3">
        <v>44877</v>
      </c>
      <c r="E852" s="4" t="s">
        <v>2537</v>
      </c>
      <c r="F852" s="2" t="str">
        <f>TRIM(Table1[[#This Row],[Status]])</f>
        <v>Zaakceptowana</v>
      </c>
      <c r="G852" s="2" t="str">
        <f>TRIM(Table1[[#This Row],[Typ]])</f>
        <v>Faktura VAT</v>
      </c>
      <c r="H852" s="2" t="str">
        <f>TRIM(Table1[[#This Row],[Magazyn]])</f>
        <v>Apteka Szpitalna</v>
      </c>
      <c r="I852" s="2" t="str">
        <f>TRIM(Table1[[#This Row],[Umowa]])</f>
        <v>UM-SAL-01</v>
      </c>
      <c r="J852" s="2" t="b">
        <f>ISTEXT(Table14[[#This Row],[Data_Wystawienia]])</f>
        <v>0</v>
      </c>
      <c r="K852" s="2">
        <f>VALUE(SUBSTITUTE(Table14[[#This Row],[Wartość]],".",","))</f>
        <v>19383.77</v>
      </c>
      <c r="L8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2" s="2" t="str">
        <f>IF(Table14[[#This Row],[Umowa]]="","Poza umową","Z umowy")</f>
        <v>Z umowy</v>
      </c>
      <c r="N852" s="2">
        <f>YEAR(Table14[[#This Row],[Data_Wystawienia]])</f>
        <v>2022</v>
      </c>
      <c r="O852" s="2" t="str">
        <f>TEXT(Table14[[#This Row],[Data_Wystawienia]],"rrrr-mm")</f>
        <v>2022-11</v>
      </c>
      <c r="P852" s="2">
        <v>1</v>
      </c>
    </row>
    <row r="853" spans="1:16" x14ac:dyDescent="0.3">
      <c r="A853" s="2" t="str">
        <f>TRIM(Table1[[#This Row],[Numer_FV]])</f>
        <v>FV/89849/VDb/2022</v>
      </c>
      <c r="B853" s="2" t="str">
        <f>TRIM(Table1[[#This Row],[Numer_PZ]])</f>
        <v>PZ/800851</v>
      </c>
      <c r="C853" s="2" t="str">
        <f>TRIM(Table1[[#This Row],[Dostawca]])</f>
        <v>VitaDistrib</v>
      </c>
      <c r="D853" s="3">
        <v>44877</v>
      </c>
      <c r="E853" s="4" t="s">
        <v>2540</v>
      </c>
      <c r="F853" s="2" t="str">
        <f>TRIM(Table1[[#This Row],[Status]])</f>
        <v>Zaakceptowana</v>
      </c>
      <c r="G853" s="2" t="str">
        <f>TRIM(Table1[[#This Row],[Typ]])</f>
        <v>Faktura VAT</v>
      </c>
      <c r="H853" s="2" t="str">
        <f>TRIM(Table1[[#This Row],[Magazyn]])</f>
        <v>Apteka Szpitalna</v>
      </c>
      <c r="I853" s="2" t="str">
        <f>TRIM(Table1[[#This Row],[Umowa]])</f>
        <v>UM-VIT-01</v>
      </c>
      <c r="J853" s="2" t="b">
        <f>ISTEXT(Table14[[#This Row],[Data_Wystawienia]])</f>
        <v>0</v>
      </c>
      <c r="K853" s="2">
        <f>VALUE(SUBSTITUTE(Table14[[#This Row],[Wartość]],".",","))</f>
        <v>7985.98</v>
      </c>
      <c r="L8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3" s="2" t="str">
        <f>IF(Table14[[#This Row],[Umowa]]="","Poza umową","Z umowy")</f>
        <v>Z umowy</v>
      </c>
      <c r="N853" s="2">
        <f>YEAR(Table14[[#This Row],[Data_Wystawienia]])</f>
        <v>2022</v>
      </c>
      <c r="O853" s="2" t="str">
        <f>TEXT(Table14[[#This Row],[Data_Wystawienia]],"rrrr-mm")</f>
        <v>2022-11</v>
      </c>
      <c r="P853" s="2">
        <v>1</v>
      </c>
    </row>
    <row r="854" spans="1:16" x14ac:dyDescent="0.3">
      <c r="A854" s="2" t="str">
        <f>TRIM(Table1[[#This Row],[Numer_FV]])</f>
        <v>FV/POL/28255/2022</v>
      </c>
      <c r="B854" s="2" t="str">
        <f>TRIM(Table1[[#This Row],[Numer_PZ]])</f>
        <v>PZ/800852</v>
      </c>
      <c r="C854" s="2" t="str">
        <f>TRIM(Table1[[#This Row],[Dostawca]])</f>
        <v>Polmedica</v>
      </c>
      <c r="D854" s="3">
        <v>44877</v>
      </c>
      <c r="E854" s="4" t="s">
        <v>2543</v>
      </c>
      <c r="F854" s="2" t="str">
        <f>TRIM(Table1[[#This Row],[Status]])</f>
        <v>Zaakceptowana</v>
      </c>
      <c r="G854" s="2" t="str">
        <f>TRIM(Table1[[#This Row],[Typ]])</f>
        <v>Faktura VAT</v>
      </c>
      <c r="H854" s="2" t="str">
        <f>TRIM(Table1[[#This Row],[Magazyn]])</f>
        <v>Apteka Szpitalna</v>
      </c>
      <c r="I854" s="2" t="str">
        <f>TRIM(Table1[[#This Row],[Umowa]])</f>
        <v>UM-POL-02</v>
      </c>
      <c r="J854" s="2" t="b">
        <f>ISTEXT(Table14[[#This Row],[Data_Wystawienia]])</f>
        <v>0</v>
      </c>
      <c r="K854" s="2">
        <f>VALUE(SUBSTITUTE(Table14[[#This Row],[Wartość]],".",","))</f>
        <v>23186.63</v>
      </c>
      <c r="L8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4" s="2" t="str">
        <f>IF(Table14[[#This Row],[Umowa]]="","Poza umową","Z umowy")</f>
        <v>Z umowy</v>
      </c>
      <c r="N854" s="2">
        <f>YEAR(Table14[[#This Row],[Data_Wystawienia]])</f>
        <v>2022</v>
      </c>
      <c r="O854" s="2" t="str">
        <f>TEXT(Table14[[#This Row],[Data_Wystawienia]],"rrrr-mm")</f>
        <v>2022-11</v>
      </c>
      <c r="P854" s="2">
        <v>1</v>
      </c>
    </row>
    <row r="855" spans="1:16" x14ac:dyDescent="0.3">
      <c r="A855" s="2" t="str">
        <f>TRIM(Table1[[#This Row],[Numer_FV]])</f>
        <v>FV/2168/NOVA/22</v>
      </c>
      <c r="B855" s="2" t="str">
        <f>TRIM(Table1[[#This Row],[Numer_PZ]])</f>
        <v>PZ/800853</v>
      </c>
      <c r="C855" s="2" t="str">
        <f>TRIM(Table1[[#This Row],[Dostawca]])</f>
        <v>NovaLek</v>
      </c>
      <c r="D855" s="3">
        <v>44877</v>
      </c>
      <c r="E855" s="4" t="s">
        <v>2546</v>
      </c>
      <c r="F855" s="2" t="str">
        <f>TRIM(Table1[[#This Row],[Status]])</f>
        <v>Zaakceptowana</v>
      </c>
      <c r="G855" s="2" t="str">
        <f>TRIM(Table1[[#This Row],[Typ]])</f>
        <v>Faktura VAT</v>
      </c>
      <c r="H855" s="2" t="str">
        <f>TRIM(Table1[[#This Row],[Magazyn]])</f>
        <v>Apteka Szpitalna</v>
      </c>
      <c r="I855" s="2" t="str">
        <f>TRIM(Table1[[#This Row],[Umowa]])</f>
        <v>UM-NOV-03</v>
      </c>
      <c r="J855" s="2" t="b">
        <f>ISTEXT(Table14[[#This Row],[Data_Wystawienia]])</f>
        <v>0</v>
      </c>
      <c r="K855" s="2">
        <f>VALUE(SUBSTITUTE(Table14[[#This Row],[Wartość]],".",","))</f>
        <v>18396.150000000001</v>
      </c>
      <c r="L8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5" s="2" t="str">
        <f>IF(Table14[[#This Row],[Umowa]]="","Poza umową","Z umowy")</f>
        <v>Z umowy</v>
      </c>
      <c r="N855" s="2">
        <f>YEAR(Table14[[#This Row],[Data_Wystawienia]])</f>
        <v>2022</v>
      </c>
      <c r="O855" s="2" t="str">
        <f>TEXT(Table14[[#This Row],[Data_Wystawienia]],"rrrr-mm")</f>
        <v>2022-11</v>
      </c>
      <c r="P855" s="2">
        <v>1</v>
      </c>
    </row>
    <row r="856" spans="1:16" x14ac:dyDescent="0.3">
      <c r="A856" s="2" t="str">
        <f>TRIM(Table1[[#This Row],[Numer_FV]])</f>
        <v>FV/CENFA/265187/22</v>
      </c>
      <c r="B856" s="2" t="str">
        <f>TRIM(Table1[[#This Row],[Numer_PZ]])</f>
        <v>PZ/800854</v>
      </c>
      <c r="C856" s="2" t="str">
        <f>TRIM(Table1[[#This Row],[Dostawca]])</f>
        <v>CentrumFarm</v>
      </c>
      <c r="D856" s="3">
        <v>44877</v>
      </c>
      <c r="E856" s="4" t="s">
        <v>2549</v>
      </c>
      <c r="F856" s="2" t="str">
        <f>TRIM(Table1[[#This Row],[Status]])</f>
        <v>Zaakceptowana</v>
      </c>
      <c r="G856" s="2" t="str">
        <f>TRIM(Table1[[#This Row],[Typ]])</f>
        <v>Faktura VAT</v>
      </c>
      <c r="H856" s="2" t="str">
        <f>TRIM(Table1[[#This Row],[Magazyn]])</f>
        <v>Apteka Szpitalna</v>
      </c>
      <c r="I856" s="2" t="str">
        <f>TRIM(Table1[[#This Row],[Umowa]])</f>
        <v>UM-CEN-01</v>
      </c>
      <c r="J856" s="2" t="b">
        <f>ISTEXT(Table14[[#This Row],[Data_Wystawienia]])</f>
        <v>0</v>
      </c>
      <c r="K856" s="2">
        <f>VALUE(SUBSTITUTE(Table14[[#This Row],[Wartość]],".",","))</f>
        <v>6462.33</v>
      </c>
      <c r="L8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6" s="2" t="str">
        <f>IF(Table14[[#This Row],[Umowa]]="","Poza umową","Z umowy")</f>
        <v>Z umowy</v>
      </c>
      <c r="N856" s="2">
        <f>YEAR(Table14[[#This Row],[Data_Wystawienia]])</f>
        <v>2022</v>
      </c>
      <c r="O856" s="2" t="str">
        <f>TEXT(Table14[[#This Row],[Data_Wystawienia]],"rrrr-mm")</f>
        <v>2022-11</v>
      </c>
      <c r="P856" s="2">
        <v>1</v>
      </c>
    </row>
    <row r="857" spans="1:16" x14ac:dyDescent="0.3">
      <c r="A857" s="2" t="str">
        <f>TRIM(Table1[[#This Row],[Numer_FV]])</f>
        <v>FV/84779/VDb/2022</v>
      </c>
      <c r="B857" s="2" t="str">
        <f>TRIM(Table1[[#This Row],[Numer_PZ]])</f>
        <v>PZ/800855</v>
      </c>
      <c r="C857" s="2" t="str">
        <f>TRIM(Table1[[#This Row],[Dostawca]])</f>
        <v>VitaDistrib</v>
      </c>
      <c r="D857" s="3">
        <v>44877</v>
      </c>
      <c r="E857" s="4" t="s">
        <v>2552</v>
      </c>
      <c r="F857" s="2" t="str">
        <f>TRIM(Table1[[#This Row],[Status]])</f>
        <v>Zaakceptowana</v>
      </c>
      <c r="G857" s="2" t="str">
        <f>TRIM(Table1[[#This Row],[Typ]])</f>
        <v>Faktura VAT</v>
      </c>
      <c r="H857" s="2" t="str">
        <f>TRIM(Table1[[#This Row],[Magazyn]])</f>
        <v>Apteka Szpitalna</v>
      </c>
      <c r="I857" s="2" t="str">
        <f>TRIM(Table1[[#This Row],[Umowa]])</f>
        <v/>
      </c>
      <c r="J857" s="2" t="b">
        <f>ISTEXT(Table14[[#This Row],[Data_Wystawienia]])</f>
        <v>0</v>
      </c>
      <c r="K857" s="2">
        <f>VALUE(SUBSTITUTE(Table14[[#This Row],[Wartość]],".",","))</f>
        <v>20745.77</v>
      </c>
      <c r="L8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7" s="2" t="str">
        <f>IF(Table14[[#This Row],[Umowa]]="","Poza umową","Z umowy")</f>
        <v>Poza umową</v>
      </c>
      <c r="N857" s="2">
        <f>YEAR(Table14[[#This Row],[Data_Wystawienia]])</f>
        <v>2022</v>
      </c>
      <c r="O857" s="2" t="str">
        <f>TEXT(Table14[[#This Row],[Data_Wystawienia]],"rrrr-mm")</f>
        <v>2022-11</v>
      </c>
      <c r="P857" s="2">
        <v>1</v>
      </c>
    </row>
    <row r="858" spans="1:16" x14ac:dyDescent="0.3">
      <c r="A858" s="2" t="str">
        <f>TRIM(Table1[[#This Row],[Numer_FV]])</f>
        <v>FV/7007/NOVA/22</v>
      </c>
      <c r="B858" s="2" t="str">
        <f>TRIM(Table1[[#This Row],[Numer_PZ]])</f>
        <v>PZ/800856</v>
      </c>
      <c r="C858" s="2" t="str">
        <f>TRIM(Table1[[#This Row],[Dostawca]])</f>
        <v>NovaLek</v>
      </c>
      <c r="D858" s="3">
        <v>44878</v>
      </c>
      <c r="E858" s="4" t="s">
        <v>2555</v>
      </c>
      <c r="F858" s="2" t="str">
        <f>TRIM(Table1[[#This Row],[Status]])</f>
        <v>Zaakceptowana</v>
      </c>
      <c r="G858" s="2" t="str">
        <f>TRIM(Table1[[#This Row],[Typ]])</f>
        <v>Faktura VAT</v>
      </c>
      <c r="H858" s="2" t="str">
        <f>TRIM(Table1[[#This Row],[Magazyn]])</f>
        <v>Apteka Szpitalna</v>
      </c>
      <c r="I858" s="2" t="str">
        <f>TRIM(Table1[[#This Row],[Umowa]])</f>
        <v>UM-NOV-02</v>
      </c>
      <c r="J858" s="2" t="b">
        <f>ISTEXT(Table14[[#This Row],[Data_Wystawienia]])</f>
        <v>0</v>
      </c>
      <c r="K858" s="2">
        <f>VALUE(SUBSTITUTE(Table14[[#This Row],[Wartość]],".",","))</f>
        <v>3585.74</v>
      </c>
      <c r="L8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8" s="2" t="str">
        <f>IF(Table14[[#This Row],[Umowa]]="","Poza umową","Z umowy")</f>
        <v>Z umowy</v>
      </c>
      <c r="N858" s="2">
        <f>YEAR(Table14[[#This Row],[Data_Wystawienia]])</f>
        <v>2022</v>
      </c>
      <c r="O858" s="2" t="str">
        <f>TEXT(Table14[[#This Row],[Data_Wystawienia]],"rrrr-mm")</f>
        <v>2022-11</v>
      </c>
      <c r="P858" s="2">
        <v>1</v>
      </c>
    </row>
    <row r="859" spans="1:16" x14ac:dyDescent="0.3">
      <c r="A859" s="2" t="str">
        <f>TRIM(Table1[[#This Row],[Numer_FV]])</f>
        <v>FV/CENFA/387792/22</v>
      </c>
      <c r="B859" s="2" t="str">
        <f>TRIM(Table1[[#This Row],[Numer_PZ]])</f>
        <v>PZ/800857</v>
      </c>
      <c r="C859" s="2" t="str">
        <f>TRIM(Table1[[#This Row],[Dostawca]])</f>
        <v>CentrumFarm</v>
      </c>
      <c r="D859" s="3">
        <v>44879</v>
      </c>
      <c r="E859" s="4" t="s">
        <v>2558</v>
      </c>
      <c r="F859" s="2" t="str">
        <f>TRIM(Table1[[#This Row],[Status]])</f>
        <v>Zaakceptowana</v>
      </c>
      <c r="G859" s="2" t="str">
        <f>TRIM(Table1[[#This Row],[Typ]])</f>
        <v>Faktura VAT</v>
      </c>
      <c r="H859" s="2" t="str">
        <f>TRIM(Table1[[#This Row],[Magazyn]])</f>
        <v>Apteka Szpitalna</v>
      </c>
      <c r="I859" s="2" t="str">
        <f>TRIM(Table1[[#This Row],[Umowa]])</f>
        <v>UM-CEN-01</v>
      </c>
      <c r="J859" s="2" t="b">
        <f>ISTEXT(Table14[[#This Row],[Data_Wystawienia]])</f>
        <v>0</v>
      </c>
      <c r="K859" s="2">
        <f>VALUE(SUBSTITUTE(Table14[[#This Row],[Wartość]],".",","))</f>
        <v>18144.84</v>
      </c>
      <c r="L8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59" s="2" t="str">
        <f>IF(Table14[[#This Row],[Umowa]]="","Poza umową","Z umowy")</f>
        <v>Z umowy</v>
      </c>
      <c r="N859" s="2">
        <f>YEAR(Table14[[#This Row],[Data_Wystawienia]])</f>
        <v>2022</v>
      </c>
      <c r="O859" s="2" t="str">
        <f>TEXT(Table14[[#This Row],[Data_Wystawienia]],"rrrr-mm")</f>
        <v>2022-11</v>
      </c>
      <c r="P859" s="2">
        <v>1</v>
      </c>
    </row>
    <row r="860" spans="1:16" x14ac:dyDescent="0.3">
      <c r="A860" s="2" t="str">
        <f>TRIM(Table1[[#This Row],[Numer_FV]])</f>
        <v>FV/44/PP/8738/22</v>
      </c>
      <c r="B860" s="2" t="str">
        <f>TRIM(Table1[[#This Row],[Numer_PZ]])</f>
        <v>PZ/800858</v>
      </c>
      <c r="C860" s="2" t="str">
        <f>TRIM(Table1[[#This Row],[Dostawca]])</f>
        <v>PharmaPlus</v>
      </c>
      <c r="D860" s="3">
        <v>44880</v>
      </c>
      <c r="E860" s="4" t="s">
        <v>2561</v>
      </c>
      <c r="F860" s="2" t="str">
        <f>TRIM(Table1[[#This Row],[Status]])</f>
        <v>Zaakceptowana</v>
      </c>
      <c r="G860" s="2" t="str">
        <f>TRIM(Table1[[#This Row],[Typ]])</f>
        <v>Faktura VAT</v>
      </c>
      <c r="H860" s="2" t="str">
        <f>TRIM(Table1[[#This Row],[Magazyn]])</f>
        <v>Apteka Szpitalna</v>
      </c>
      <c r="I860" s="2" t="str">
        <f>TRIM(Table1[[#This Row],[Umowa]])</f>
        <v>UM-PHA-01</v>
      </c>
      <c r="J860" s="2" t="b">
        <f>ISTEXT(Table14[[#This Row],[Data_Wystawienia]])</f>
        <v>0</v>
      </c>
      <c r="K860" s="2">
        <f>VALUE(SUBSTITUTE(Table14[[#This Row],[Wartość]],".",","))</f>
        <v>9768.75</v>
      </c>
      <c r="L8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0" s="2" t="str">
        <f>IF(Table14[[#This Row],[Umowa]]="","Poza umową","Z umowy")</f>
        <v>Z umowy</v>
      </c>
      <c r="N860" s="2">
        <f>YEAR(Table14[[#This Row],[Data_Wystawienia]])</f>
        <v>2022</v>
      </c>
      <c r="O860" s="2" t="str">
        <f>TEXT(Table14[[#This Row],[Data_Wystawienia]],"rrrr-mm")</f>
        <v>2022-11</v>
      </c>
      <c r="P860" s="2">
        <v>1</v>
      </c>
    </row>
    <row r="861" spans="1:16" x14ac:dyDescent="0.3">
      <c r="A861" s="2" t="str">
        <f>TRIM(Table1[[#This Row],[Numer_FV]])</f>
        <v>FV/31/PP/3205/22</v>
      </c>
      <c r="B861" s="2" t="str">
        <f>TRIM(Table1[[#This Row],[Numer_PZ]])</f>
        <v>PZ/800859</v>
      </c>
      <c r="C861" s="2" t="str">
        <f>TRIM(Table1[[#This Row],[Dostawca]])</f>
        <v>PharmaPlus</v>
      </c>
      <c r="D861" s="3">
        <v>44881</v>
      </c>
      <c r="E861" s="4" t="s">
        <v>2564</v>
      </c>
      <c r="F861" s="2" t="str">
        <f>TRIM(Table1[[#This Row],[Status]])</f>
        <v>Zaakceptowana</v>
      </c>
      <c r="G861" s="2" t="str">
        <f>TRIM(Table1[[#This Row],[Typ]])</f>
        <v>Faktura VAT</v>
      </c>
      <c r="H861" s="2" t="str">
        <f>TRIM(Table1[[#This Row],[Magazyn]])</f>
        <v>Apteka Szpitalna</v>
      </c>
      <c r="I861" s="2" t="str">
        <f>TRIM(Table1[[#This Row],[Umowa]])</f>
        <v>UM-PHA-01</v>
      </c>
      <c r="J861" s="2" t="b">
        <f>ISTEXT(Table14[[#This Row],[Data_Wystawienia]])</f>
        <v>0</v>
      </c>
      <c r="K861" s="2">
        <f>VALUE(SUBSTITUTE(Table14[[#This Row],[Wartość]],".",","))</f>
        <v>17202.48</v>
      </c>
      <c r="L8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1" s="2" t="str">
        <f>IF(Table14[[#This Row],[Umowa]]="","Poza umową","Z umowy")</f>
        <v>Z umowy</v>
      </c>
      <c r="N861" s="2">
        <f>YEAR(Table14[[#This Row],[Data_Wystawienia]])</f>
        <v>2022</v>
      </c>
      <c r="O861" s="2" t="str">
        <f>TEXT(Table14[[#This Row],[Data_Wystawienia]],"rrrr-mm")</f>
        <v>2022-11</v>
      </c>
      <c r="P861" s="2">
        <v>1</v>
      </c>
    </row>
    <row r="862" spans="1:16" x14ac:dyDescent="0.3">
      <c r="A862" s="2" t="str">
        <f>TRIM(Table1[[#This Row],[Numer_FV]])</f>
        <v>FV/M/9991/P/22</v>
      </c>
      <c r="B862" s="2" t="str">
        <f>TRIM(Table1[[#This Row],[Numer_PZ]])</f>
        <v>PZ/800860</v>
      </c>
      <c r="C862" s="2" t="str">
        <f>TRIM(Table1[[#This Row],[Dostawca]])</f>
        <v>MedicaPharm</v>
      </c>
      <c r="D862" s="3">
        <v>44881</v>
      </c>
      <c r="E862" s="4" t="s">
        <v>2567</v>
      </c>
      <c r="F862" s="2" t="str">
        <f>TRIM(Table1[[#This Row],[Status]])</f>
        <v>Zaakceptowana</v>
      </c>
      <c r="G862" s="2" t="str">
        <f>TRIM(Table1[[#This Row],[Typ]])</f>
        <v>Faktura VAT</v>
      </c>
      <c r="H862" s="2" t="str">
        <f>TRIM(Table1[[#This Row],[Magazyn]])</f>
        <v>Apteka Szpitalna</v>
      </c>
      <c r="I862" s="2" t="str">
        <f>TRIM(Table1[[#This Row],[Umowa]])</f>
        <v>UM-MED-02</v>
      </c>
      <c r="J862" s="2" t="b">
        <f>ISTEXT(Table14[[#This Row],[Data_Wystawienia]])</f>
        <v>0</v>
      </c>
      <c r="K862" s="2">
        <f>VALUE(SUBSTITUTE(Table14[[#This Row],[Wartość]],".",","))</f>
        <v>13130.67</v>
      </c>
      <c r="L8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2" s="2" t="str">
        <f>IF(Table14[[#This Row],[Umowa]]="","Poza umową","Z umowy")</f>
        <v>Z umowy</v>
      </c>
      <c r="N862" s="2">
        <f>YEAR(Table14[[#This Row],[Data_Wystawienia]])</f>
        <v>2022</v>
      </c>
      <c r="O862" s="2" t="str">
        <f>TEXT(Table14[[#This Row],[Data_Wystawienia]],"rrrr-mm")</f>
        <v>2022-11</v>
      </c>
      <c r="P862" s="2">
        <v>1</v>
      </c>
    </row>
    <row r="863" spans="1:16" x14ac:dyDescent="0.3">
      <c r="A863" s="2" t="str">
        <f>TRIM(Table1[[#This Row],[Numer_FV]])</f>
        <v>FV/CENFA/430514/22</v>
      </c>
      <c r="B863" s="2" t="str">
        <f>TRIM(Table1[[#This Row],[Numer_PZ]])</f>
        <v>PZ/800861</v>
      </c>
      <c r="C863" s="2" t="str">
        <f>TRIM(Table1[[#This Row],[Dostawca]])</f>
        <v>CentrumFarm</v>
      </c>
      <c r="D863" s="3">
        <v>44881</v>
      </c>
      <c r="E863" s="4" t="s">
        <v>2570</v>
      </c>
      <c r="F863" s="2" t="str">
        <f>TRIM(Table1[[#This Row],[Status]])</f>
        <v>Zaakceptowana</v>
      </c>
      <c r="G863" s="2" t="str">
        <f>TRIM(Table1[[#This Row],[Typ]])</f>
        <v>Faktura VAT</v>
      </c>
      <c r="H863" s="2" t="str">
        <f>TRIM(Table1[[#This Row],[Magazyn]])</f>
        <v>Apteka Szpitalna</v>
      </c>
      <c r="I863" s="2" t="str">
        <f>TRIM(Table1[[#This Row],[Umowa]])</f>
        <v>UM-CEN-01</v>
      </c>
      <c r="J863" s="2" t="b">
        <f>ISTEXT(Table14[[#This Row],[Data_Wystawienia]])</f>
        <v>0</v>
      </c>
      <c r="K863" s="2">
        <f>VALUE(SUBSTITUTE(Table14[[#This Row],[Wartość]],".",","))</f>
        <v>12005.72</v>
      </c>
      <c r="L8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3" s="2" t="str">
        <f>IF(Table14[[#This Row],[Umowa]]="","Poza umową","Z umowy")</f>
        <v>Z umowy</v>
      </c>
      <c r="N863" s="2">
        <f>YEAR(Table14[[#This Row],[Data_Wystawienia]])</f>
        <v>2022</v>
      </c>
      <c r="O863" s="2" t="str">
        <f>TEXT(Table14[[#This Row],[Data_Wystawienia]],"rrrr-mm")</f>
        <v>2022-11</v>
      </c>
      <c r="P863" s="2">
        <v>1</v>
      </c>
    </row>
    <row r="864" spans="1:16" x14ac:dyDescent="0.3">
      <c r="A864" s="2" t="str">
        <f>TRIM(Table1[[#This Row],[Numer_FV]])</f>
        <v>FV/M/6740/P/22</v>
      </c>
      <c r="B864" s="2" t="str">
        <f>TRIM(Table1[[#This Row],[Numer_PZ]])</f>
        <v>PZ/800862</v>
      </c>
      <c r="C864" s="2" t="str">
        <f>TRIM(Table1[[#This Row],[Dostawca]])</f>
        <v>MedicaPharm</v>
      </c>
      <c r="D864" s="3">
        <v>44881</v>
      </c>
      <c r="E864" s="4" t="s">
        <v>2573</v>
      </c>
      <c r="F864" s="2" t="str">
        <f>TRIM(Table1[[#This Row],[Status]])</f>
        <v>Zaakceptowana</v>
      </c>
      <c r="G864" s="2" t="str">
        <f>TRIM(Table1[[#This Row],[Typ]])</f>
        <v>Faktura VAT</v>
      </c>
      <c r="H864" s="2" t="str">
        <f>TRIM(Table1[[#This Row],[Magazyn]])</f>
        <v>Apteka Szpitalna</v>
      </c>
      <c r="I864" s="2" t="str">
        <f>TRIM(Table1[[#This Row],[Umowa]])</f>
        <v>UM-MED-02</v>
      </c>
      <c r="J864" s="2" t="b">
        <f>ISTEXT(Table14[[#This Row],[Data_Wystawienia]])</f>
        <v>0</v>
      </c>
      <c r="K864" s="2">
        <f>VALUE(SUBSTITUTE(Table14[[#This Row],[Wartość]],".",","))</f>
        <v>15945.12</v>
      </c>
      <c r="L8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4" s="2" t="str">
        <f>IF(Table14[[#This Row],[Umowa]]="","Poza umową","Z umowy")</f>
        <v>Z umowy</v>
      </c>
      <c r="N864" s="2">
        <f>YEAR(Table14[[#This Row],[Data_Wystawienia]])</f>
        <v>2022</v>
      </c>
      <c r="O864" s="2" t="str">
        <f>TEXT(Table14[[#This Row],[Data_Wystawienia]],"rrrr-mm")</f>
        <v>2022-11</v>
      </c>
      <c r="P864" s="2">
        <v>1</v>
      </c>
    </row>
    <row r="865" spans="1:16" x14ac:dyDescent="0.3">
      <c r="A865" s="2" t="str">
        <f>TRIM(Table1[[#This Row],[Numer_FV]])</f>
        <v>FV/9967HM/22</v>
      </c>
      <c r="B865" s="2" t="str">
        <f>TRIM(Table1[[#This Row],[Numer_PZ]])</f>
        <v>PZ/800863</v>
      </c>
      <c r="C865" s="2" t="str">
        <f>TRIM(Table1[[#This Row],[Dostawca]])</f>
        <v>HurtMedix</v>
      </c>
      <c r="D865" s="3">
        <v>44881</v>
      </c>
      <c r="E865" s="4" t="s">
        <v>2576</v>
      </c>
      <c r="F865" s="2" t="str">
        <f>TRIM(Table1[[#This Row],[Status]])</f>
        <v>Zaakceptowana</v>
      </c>
      <c r="G865" s="2" t="str">
        <f>TRIM(Table1[[#This Row],[Typ]])</f>
        <v>Faktura VAT</v>
      </c>
      <c r="H865" s="2" t="str">
        <f>TRIM(Table1[[#This Row],[Magazyn]])</f>
        <v>Apteka Szpitalna</v>
      </c>
      <c r="I865" s="2" t="str">
        <f>TRIM(Table1[[#This Row],[Umowa]])</f>
        <v>UM-HUR-01</v>
      </c>
      <c r="J865" s="2" t="b">
        <f>ISTEXT(Table14[[#This Row],[Data_Wystawienia]])</f>
        <v>0</v>
      </c>
      <c r="K865" s="2">
        <f>VALUE(SUBSTITUTE(Table14[[#This Row],[Wartość]],".",","))</f>
        <v>14770.61</v>
      </c>
      <c r="L8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5" s="2" t="str">
        <f>IF(Table14[[#This Row],[Umowa]]="","Poza umową","Z umowy")</f>
        <v>Z umowy</v>
      </c>
      <c r="N865" s="2">
        <f>YEAR(Table14[[#This Row],[Data_Wystawienia]])</f>
        <v>2022</v>
      </c>
      <c r="O865" s="2" t="str">
        <f>TEXT(Table14[[#This Row],[Data_Wystawienia]],"rrrr-mm")</f>
        <v>2022-11</v>
      </c>
      <c r="P865" s="2">
        <v>1</v>
      </c>
    </row>
    <row r="866" spans="1:16" x14ac:dyDescent="0.3">
      <c r="A866" s="2" t="str">
        <f>TRIM(Table1[[#This Row],[Numer_FV]])</f>
        <v>FV/4741/NOVA/22</v>
      </c>
      <c r="B866" s="2" t="str">
        <f>TRIM(Table1[[#This Row],[Numer_PZ]])</f>
        <v>PZ/800864</v>
      </c>
      <c r="C866" s="2" t="str">
        <f>TRIM(Table1[[#This Row],[Dostawca]])</f>
        <v>NovaLek</v>
      </c>
      <c r="D866" s="3">
        <v>44881</v>
      </c>
      <c r="E866" s="4" t="s">
        <v>2579</v>
      </c>
      <c r="F866" s="2" t="str">
        <f>TRIM(Table1[[#This Row],[Status]])</f>
        <v>Zaakceptowana</v>
      </c>
      <c r="G866" s="2" t="str">
        <f>TRIM(Table1[[#This Row],[Typ]])</f>
        <v>Faktura VAT</v>
      </c>
      <c r="H866" s="2" t="str">
        <f>TRIM(Table1[[#This Row],[Magazyn]])</f>
        <v>Apteka Szpitalna</v>
      </c>
      <c r="I866" s="2" t="str">
        <f>TRIM(Table1[[#This Row],[Umowa]])</f>
        <v>UM-NOV-02</v>
      </c>
      <c r="J866" s="2" t="b">
        <f>ISTEXT(Table14[[#This Row],[Data_Wystawienia]])</f>
        <v>0</v>
      </c>
      <c r="K866" s="2">
        <f>VALUE(SUBSTITUTE(Table14[[#This Row],[Wartość]],".",","))</f>
        <v>7067.19</v>
      </c>
      <c r="L8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6" s="2" t="str">
        <f>IF(Table14[[#This Row],[Umowa]]="","Poza umową","Z umowy")</f>
        <v>Z umowy</v>
      </c>
      <c r="N866" s="2">
        <f>YEAR(Table14[[#This Row],[Data_Wystawienia]])</f>
        <v>2022</v>
      </c>
      <c r="O866" s="2" t="str">
        <f>TEXT(Table14[[#This Row],[Data_Wystawienia]],"rrrr-mm")</f>
        <v>2022-11</v>
      </c>
      <c r="P866" s="2">
        <v>1</v>
      </c>
    </row>
    <row r="867" spans="1:16" x14ac:dyDescent="0.3">
      <c r="A867" s="2" t="str">
        <f>TRIM(Table1[[#This Row],[Numer_FV]])</f>
        <v>FV/M/9152/P/22</v>
      </c>
      <c r="B867" s="2" t="str">
        <f>TRIM(Table1[[#This Row],[Numer_PZ]])</f>
        <v>PZ/800865</v>
      </c>
      <c r="C867" s="2" t="str">
        <f>TRIM(Table1[[#This Row],[Dostawca]])</f>
        <v>MedicaPharm</v>
      </c>
      <c r="D867" s="3">
        <v>44882</v>
      </c>
      <c r="E867" s="4" t="s">
        <v>2582</v>
      </c>
      <c r="F867" s="2" t="str">
        <f>TRIM(Table1[[#This Row],[Status]])</f>
        <v>Zaakceptowana</v>
      </c>
      <c r="G867" s="2" t="str">
        <f>TRIM(Table1[[#This Row],[Typ]])</f>
        <v>Faktura VAT</v>
      </c>
      <c r="H867" s="2" t="str">
        <f>TRIM(Table1[[#This Row],[Magazyn]])</f>
        <v>Apteka Szpitalna</v>
      </c>
      <c r="I867" s="2" t="str">
        <f>TRIM(Table1[[#This Row],[Umowa]])</f>
        <v/>
      </c>
      <c r="J867" s="2" t="b">
        <f>ISTEXT(Table14[[#This Row],[Data_Wystawienia]])</f>
        <v>0</v>
      </c>
      <c r="K867" s="2">
        <f>VALUE(SUBSTITUTE(Table14[[#This Row],[Wartość]],".",","))</f>
        <v>14281.41</v>
      </c>
      <c r="L8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7" s="2" t="str">
        <f>IF(Table14[[#This Row],[Umowa]]="","Poza umową","Z umowy")</f>
        <v>Poza umową</v>
      </c>
      <c r="N867" s="2">
        <f>YEAR(Table14[[#This Row],[Data_Wystawienia]])</f>
        <v>2022</v>
      </c>
      <c r="O867" s="2" t="str">
        <f>TEXT(Table14[[#This Row],[Data_Wystawienia]],"rrrr-mm")</f>
        <v>2022-11</v>
      </c>
      <c r="P867" s="2">
        <v>1</v>
      </c>
    </row>
    <row r="868" spans="1:16" x14ac:dyDescent="0.3">
      <c r="A868" s="2" t="str">
        <f>TRIM(Table1[[#This Row],[Numer_FV]])</f>
        <v>FV/CENFA/818256/22</v>
      </c>
      <c r="B868" s="2" t="str">
        <f>TRIM(Table1[[#This Row],[Numer_PZ]])</f>
        <v>PZ/800866</v>
      </c>
      <c r="C868" s="2" t="str">
        <f>TRIM(Table1[[#This Row],[Dostawca]])</f>
        <v>CentrumFarm</v>
      </c>
      <c r="D868" s="3">
        <v>44883</v>
      </c>
      <c r="E868" s="4" t="s">
        <v>2585</v>
      </c>
      <c r="F868" s="2" t="str">
        <f>TRIM(Table1[[#This Row],[Status]])</f>
        <v>Zaakceptowana</v>
      </c>
      <c r="G868" s="2" t="str">
        <f>TRIM(Table1[[#This Row],[Typ]])</f>
        <v>Faktura VAT</v>
      </c>
      <c r="H868" s="2" t="str">
        <f>TRIM(Table1[[#This Row],[Magazyn]])</f>
        <v>Apteka Szpitalna</v>
      </c>
      <c r="I868" s="2" t="str">
        <f>TRIM(Table1[[#This Row],[Umowa]])</f>
        <v>UM-CEN-01</v>
      </c>
      <c r="J868" s="2" t="b">
        <f>ISTEXT(Table14[[#This Row],[Data_Wystawienia]])</f>
        <v>0</v>
      </c>
      <c r="K868" s="2">
        <f>VALUE(SUBSTITUTE(Table14[[#This Row],[Wartość]],".",","))</f>
        <v>7108.54</v>
      </c>
      <c r="L8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8" s="2" t="str">
        <f>IF(Table14[[#This Row],[Umowa]]="","Poza umową","Z umowy")</f>
        <v>Z umowy</v>
      </c>
      <c r="N868" s="2">
        <f>YEAR(Table14[[#This Row],[Data_Wystawienia]])</f>
        <v>2022</v>
      </c>
      <c r="O868" s="2" t="str">
        <f>TEXT(Table14[[#This Row],[Data_Wystawienia]],"rrrr-mm")</f>
        <v>2022-11</v>
      </c>
      <c r="P868" s="2">
        <v>1</v>
      </c>
    </row>
    <row r="869" spans="1:16" x14ac:dyDescent="0.3">
      <c r="A869" s="2" t="str">
        <f>TRIM(Table1[[#This Row],[Numer_FV]])</f>
        <v>FV/POL/22154/2022</v>
      </c>
      <c r="B869" s="2" t="str">
        <f>TRIM(Table1[[#This Row],[Numer_PZ]])</f>
        <v>PZ/800867</v>
      </c>
      <c r="C869" s="2" t="str">
        <f>TRIM(Table1[[#This Row],[Dostawca]])</f>
        <v>Polmedica</v>
      </c>
      <c r="D869" s="3">
        <v>44883</v>
      </c>
      <c r="E869" s="4" t="s">
        <v>2588</v>
      </c>
      <c r="F869" s="2" t="str">
        <f>TRIM(Table1[[#This Row],[Status]])</f>
        <v>Zaakceptowana</v>
      </c>
      <c r="G869" s="2" t="str">
        <f>TRIM(Table1[[#This Row],[Typ]])</f>
        <v>Faktura VAT</v>
      </c>
      <c r="H869" s="2" t="str">
        <f>TRIM(Table1[[#This Row],[Magazyn]])</f>
        <v>Apteka Szpitalna</v>
      </c>
      <c r="I869" s="2" t="str">
        <f>TRIM(Table1[[#This Row],[Umowa]])</f>
        <v>UM-POL-03</v>
      </c>
      <c r="J869" s="2" t="b">
        <f>ISTEXT(Table14[[#This Row],[Data_Wystawienia]])</f>
        <v>0</v>
      </c>
      <c r="K869" s="2">
        <f>VALUE(SUBSTITUTE(Table14[[#This Row],[Wartość]],".",","))</f>
        <v>10860.26</v>
      </c>
      <c r="L8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69" s="2" t="str">
        <f>IF(Table14[[#This Row],[Umowa]]="","Poza umową","Z umowy")</f>
        <v>Z umowy</v>
      </c>
      <c r="N869" s="2">
        <f>YEAR(Table14[[#This Row],[Data_Wystawienia]])</f>
        <v>2022</v>
      </c>
      <c r="O869" s="2" t="str">
        <f>TEXT(Table14[[#This Row],[Data_Wystawienia]],"rrrr-mm")</f>
        <v>2022-11</v>
      </c>
      <c r="P869" s="2">
        <v>1</v>
      </c>
    </row>
    <row r="870" spans="1:16" x14ac:dyDescent="0.3">
      <c r="A870" s="2" t="str">
        <f>TRIM(Table1[[#This Row],[Numer_FV]])</f>
        <v>FV/CENFA/991651/22</v>
      </c>
      <c r="B870" s="2" t="str">
        <f>TRIM(Table1[[#This Row],[Numer_PZ]])</f>
        <v>PZ/800868</v>
      </c>
      <c r="C870" s="2" t="str">
        <f>TRIM(Table1[[#This Row],[Dostawca]])</f>
        <v>CentrumFarm</v>
      </c>
      <c r="D870" s="3">
        <v>44883</v>
      </c>
      <c r="E870" s="4" t="s">
        <v>2591</v>
      </c>
      <c r="F870" s="2" t="str">
        <f>TRIM(Table1[[#This Row],[Status]])</f>
        <v>Zaakceptowana</v>
      </c>
      <c r="G870" s="2" t="str">
        <f>TRIM(Table1[[#This Row],[Typ]])</f>
        <v>Faktura VAT</v>
      </c>
      <c r="H870" s="2" t="str">
        <f>TRIM(Table1[[#This Row],[Magazyn]])</f>
        <v>Apteka Szpitalna</v>
      </c>
      <c r="I870" s="2" t="str">
        <f>TRIM(Table1[[#This Row],[Umowa]])</f>
        <v>UM-CEN-01</v>
      </c>
      <c r="J870" s="2" t="b">
        <f>ISTEXT(Table14[[#This Row],[Data_Wystawienia]])</f>
        <v>0</v>
      </c>
      <c r="K870" s="2">
        <f>VALUE(SUBSTITUTE(Table14[[#This Row],[Wartość]],".",","))</f>
        <v>5445.4</v>
      </c>
      <c r="L8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0" s="2" t="str">
        <f>IF(Table14[[#This Row],[Umowa]]="","Poza umową","Z umowy")</f>
        <v>Z umowy</v>
      </c>
      <c r="N870" s="2">
        <f>YEAR(Table14[[#This Row],[Data_Wystawienia]])</f>
        <v>2022</v>
      </c>
      <c r="O870" s="2" t="str">
        <f>TEXT(Table14[[#This Row],[Data_Wystawienia]],"rrrr-mm")</f>
        <v>2022-11</v>
      </c>
      <c r="P870" s="2">
        <v>1</v>
      </c>
    </row>
    <row r="871" spans="1:16" x14ac:dyDescent="0.3">
      <c r="A871" s="2" t="str">
        <f>TRIM(Table1[[#This Row],[Numer_FV]])</f>
        <v>FV/22/PP/9327/22</v>
      </c>
      <c r="B871" s="2" t="str">
        <f>TRIM(Table1[[#This Row],[Numer_PZ]])</f>
        <v>PZ/800869</v>
      </c>
      <c r="C871" s="2" t="str">
        <f>TRIM(Table1[[#This Row],[Dostawca]])</f>
        <v>PharmaPlus</v>
      </c>
      <c r="D871" s="3">
        <v>44883</v>
      </c>
      <c r="E871" s="4" t="s">
        <v>2594</v>
      </c>
      <c r="F871" s="2" t="str">
        <f>TRIM(Table1[[#This Row],[Status]])</f>
        <v>Zaakceptowana</v>
      </c>
      <c r="G871" s="2" t="str">
        <f>TRIM(Table1[[#This Row],[Typ]])</f>
        <v>Faktura VAT</v>
      </c>
      <c r="H871" s="2" t="str">
        <f>TRIM(Table1[[#This Row],[Magazyn]])</f>
        <v>Apteka Szpitalna</v>
      </c>
      <c r="I871" s="2" t="str">
        <f>TRIM(Table1[[#This Row],[Umowa]])</f>
        <v>UM-PHA-01</v>
      </c>
      <c r="J871" s="2" t="b">
        <f>ISTEXT(Table14[[#This Row],[Data_Wystawienia]])</f>
        <v>0</v>
      </c>
      <c r="K871" s="2">
        <f>VALUE(SUBSTITUTE(Table14[[#This Row],[Wartość]],".",","))</f>
        <v>19351.310000000001</v>
      </c>
      <c r="L8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1" s="2" t="str">
        <f>IF(Table14[[#This Row],[Umowa]]="","Poza umową","Z umowy")</f>
        <v>Z umowy</v>
      </c>
      <c r="N871" s="2">
        <f>YEAR(Table14[[#This Row],[Data_Wystawienia]])</f>
        <v>2022</v>
      </c>
      <c r="O871" s="2" t="str">
        <f>TEXT(Table14[[#This Row],[Data_Wystawienia]],"rrrr-mm")</f>
        <v>2022-11</v>
      </c>
      <c r="P871" s="2">
        <v>1</v>
      </c>
    </row>
    <row r="872" spans="1:16" x14ac:dyDescent="0.3">
      <c r="A872" s="2" t="str">
        <f>TRIM(Table1[[#This Row],[Numer_FV]])</f>
        <v>FV/73976/VDb/2022</v>
      </c>
      <c r="B872" s="2" t="str">
        <f>TRIM(Table1[[#This Row],[Numer_PZ]])</f>
        <v>PZ/800870</v>
      </c>
      <c r="C872" s="2" t="str">
        <f>TRIM(Table1[[#This Row],[Dostawca]])</f>
        <v>VitaDistrib</v>
      </c>
      <c r="D872" s="3">
        <v>44884</v>
      </c>
      <c r="E872" s="4" t="s">
        <v>2597</v>
      </c>
      <c r="F872" s="2" t="str">
        <f>TRIM(Table1[[#This Row],[Status]])</f>
        <v>Zaakceptowana</v>
      </c>
      <c r="G872" s="2" t="str">
        <f>TRIM(Table1[[#This Row],[Typ]])</f>
        <v>Faktura VAT</v>
      </c>
      <c r="H872" s="2" t="str">
        <f>TRIM(Table1[[#This Row],[Magazyn]])</f>
        <v>Apteka Szpitalna</v>
      </c>
      <c r="I872" s="2" t="str">
        <f>TRIM(Table1[[#This Row],[Umowa]])</f>
        <v/>
      </c>
      <c r="J872" s="2" t="b">
        <f>ISTEXT(Table14[[#This Row],[Data_Wystawienia]])</f>
        <v>0</v>
      </c>
      <c r="K872" s="2">
        <f>VALUE(SUBSTITUTE(Table14[[#This Row],[Wartość]],".",","))</f>
        <v>24758.05</v>
      </c>
      <c r="L8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2" s="2" t="str">
        <f>IF(Table14[[#This Row],[Umowa]]="","Poza umową","Z umowy")</f>
        <v>Poza umową</v>
      </c>
      <c r="N872" s="2">
        <f>YEAR(Table14[[#This Row],[Data_Wystawienia]])</f>
        <v>2022</v>
      </c>
      <c r="O872" s="2" t="str">
        <f>TEXT(Table14[[#This Row],[Data_Wystawienia]],"rrrr-mm")</f>
        <v>2022-11</v>
      </c>
      <c r="P872" s="2">
        <v>1</v>
      </c>
    </row>
    <row r="873" spans="1:16" x14ac:dyDescent="0.3">
      <c r="A873" s="2" t="str">
        <f>TRIM(Table1[[#This Row],[Numer_FV]])</f>
        <v>FV/5176HM/22</v>
      </c>
      <c r="B873" s="2" t="str">
        <f>TRIM(Table1[[#This Row],[Numer_PZ]])</f>
        <v>PZ/800871</v>
      </c>
      <c r="C873" s="2" t="str">
        <f>TRIM(Table1[[#This Row],[Dostawca]])</f>
        <v>HurtMedix</v>
      </c>
      <c r="D873" s="3">
        <v>44884</v>
      </c>
      <c r="E873" s="4" t="s">
        <v>2600</v>
      </c>
      <c r="F873" s="2" t="str">
        <f>TRIM(Table1[[#This Row],[Status]])</f>
        <v>Zaakceptowana</v>
      </c>
      <c r="G873" s="2" t="str">
        <f>TRIM(Table1[[#This Row],[Typ]])</f>
        <v>Faktura VAT</v>
      </c>
      <c r="H873" s="2" t="str">
        <f>TRIM(Table1[[#This Row],[Magazyn]])</f>
        <v>Apteka Szpitalna</v>
      </c>
      <c r="I873" s="2" t="str">
        <f>TRIM(Table1[[#This Row],[Umowa]])</f>
        <v>UM-HUR-02</v>
      </c>
      <c r="J873" s="2" t="b">
        <f>ISTEXT(Table14[[#This Row],[Data_Wystawienia]])</f>
        <v>0</v>
      </c>
      <c r="K873" s="2">
        <f>VALUE(SUBSTITUTE(Table14[[#This Row],[Wartość]],".",","))</f>
        <v>7996.15</v>
      </c>
      <c r="L8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3" s="2" t="str">
        <f>IF(Table14[[#This Row],[Umowa]]="","Poza umową","Z umowy")</f>
        <v>Z umowy</v>
      </c>
      <c r="N873" s="2">
        <f>YEAR(Table14[[#This Row],[Data_Wystawienia]])</f>
        <v>2022</v>
      </c>
      <c r="O873" s="2" t="str">
        <f>TEXT(Table14[[#This Row],[Data_Wystawienia]],"rrrr-mm")</f>
        <v>2022-11</v>
      </c>
      <c r="P873" s="2">
        <v>1</v>
      </c>
    </row>
    <row r="874" spans="1:16" x14ac:dyDescent="0.3">
      <c r="A874" s="2" t="str">
        <f>TRIM(Table1[[#This Row],[Numer_FV]])</f>
        <v>FV/CENFA/830723/22</v>
      </c>
      <c r="B874" s="2" t="str">
        <f>TRIM(Table1[[#This Row],[Numer_PZ]])</f>
        <v>PZ/800872</v>
      </c>
      <c r="C874" s="2" t="str">
        <f>TRIM(Table1[[#This Row],[Dostawca]])</f>
        <v>CentrumFarm</v>
      </c>
      <c r="D874" s="3">
        <v>44884</v>
      </c>
      <c r="E874" s="4" t="s">
        <v>2603</v>
      </c>
      <c r="F874" s="2" t="str">
        <f>TRIM(Table1[[#This Row],[Status]])</f>
        <v>Zaakceptowana</v>
      </c>
      <c r="G874" s="2" t="str">
        <f>TRIM(Table1[[#This Row],[Typ]])</f>
        <v>Faktura VAT</v>
      </c>
      <c r="H874" s="2" t="str">
        <f>TRIM(Table1[[#This Row],[Magazyn]])</f>
        <v>Apteka Szpitalna</v>
      </c>
      <c r="I874" s="2" t="str">
        <f>TRIM(Table1[[#This Row],[Umowa]])</f>
        <v>UM-CEN-01</v>
      </c>
      <c r="J874" s="2" t="b">
        <f>ISTEXT(Table14[[#This Row],[Data_Wystawienia]])</f>
        <v>0</v>
      </c>
      <c r="K874" s="2">
        <f>VALUE(SUBSTITUTE(Table14[[#This Row],[Wartość]],".",","))</f>
        <v>19892.400000000001</v>
      </c>
      <c r="L8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4" s="2" t="str">
        <f>IF(Table14[[#This Row],[Umowa]]="","Poza umową","Z umowy")</f>
        <v>Z umowy</v>
      </c>
      <c r="N874" s="2">
        <f>YEAR(Table14[[#This Row],[Data_Wystawienia]])</f>
        <v>2022</v>
      </c>
      <c r="O874" s="2" t="str">
        <f>TEXT(Table14[[#This Row],[Data_Wystawienia]],"rrrr-mm")</f>
        <v>2022-11</v>
      </c>
      <c r="P874" s="2">
        <v>1</v>
      </c>
    </row>
    <row r="875" spans="1:16" x14ac:dyDescent="0.3">
      <c r="A875" s="2" t="str">
        <f>TRIM(Table1[[#This Row],[Numer_FV]])</f>
        <v>FV/46/PP/5287/22</v>
      </c>
      <c r="B875" s="2" t="str">
        <f>TRIM(Table1[[#This Row],[Numer_PZ]])</f>
        <v>PZ/800873</v>
      </c>
      <c r="C875" s="2" t="str">
        <f>TRIM(Table1[[#This Row],[Dostawca]])</f>
        <v>PharmaPlus</v>
      </c>
      <c r="D875" s="3">
        <v>44885</v>
      </c>
      <c r="E875" s="4" t="s">
        <v>2606</v>
      </c>
      <c r="F875" s="2" t="str">
        <f>TRIM(Table1[[#This Row],[Status]])</f>
        <v>Zaakceptowana</v>
      </c>
      <c r="G875" s="2" t="str">
        <f>TRIM(Table1[[#This Row],[Typ]])</f>
        <v>Korekta FV</v>
      </c>
      <c r="H875" s="2" t="str">
        <f>TRIM(Table1[[#This Row],[Magazyn]])</f>
        <v>Apteka Szpitalna</v>
      </c>
      <c r="I875" s="2" t="str">
        <f>TRIM(Table1[[#This Row],[Umowa]])</f>
        <v>UM-PHA-01</v>
      </c>
      <c r="J875" s="2" t="b">
        <f>ISTEXT(Table14[[#This Row],[Data_Wystawienia]])</f>
        <v>0</v>
      </c>
      <c r="K875" s="2">
        <f>VALUE(SUBSTITUTE(Table14[[#This Row],[Wartość]],".",","))</f>
        <v>-2537.4699999999998</v>
      </c>
      <c r="L8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5" s="2" t="str">
        <f>IF(Table14[[#This Row],[Umowa]]="","Poza umową","Z umowy")</f>
        <v>Z umowy</v>
      </c>
      <c r="N875" s="2">
        <f>YEAR(Table14[[#This Row],[Data_Wystawienia]])</f>
        <v>2022</v>
      </c>
      <c r="O875" s="2" t="str">
        <f>TEXT(Table14[[#This Row],[Data_Wystawienia]],"rrrr-mm")</f>
        <v>2022-11</v>
      </c>
      <c r="P875" s="2">
        <v>1</v>
      </c>
    </row>
    <row r="876" spans="1:16" x14ac:dyDescent="0.3">
      <c r="A876" s="2" t="str">
        <f>TRIM(Table1[[#This Row],[Numer_FV]])</f>
        <v>FV/POL/41035/2022</v>
      </c>
      <c r="B876" s="2" t="str">
        <f>TRIM(Table1[[#This Row],[Numer_PZ]])</f>
        <v>PZ/800874</v>
      </c>
      <c r="C876" s="2" t="str">
        <f>TRIM(Table1[[#This Row],[Dostawca]])</f>
        <v>Polmedica</v>
      </c>
      <c r="D876" s="3">
        <v>44885</v>
      </c>
      <c r="E876" s="4" t="s">
        <v>2609</v>
      </c>
      <c r="F876" s="2" t="str">
        <f>TRIM(Table1[[#This Row],[Status]])</f>
        <v>Zaakceptowana</v>
      </c>
      <c r="G876" s="2" t="str">
        <f>TRIM(Table1[[#This Row],[Typ]])</f>
        <v>Faktura VAT</v>
      </c>
      <c r="H876" s="2" t="str">
        <f>TRIM(Table1[[#This Row],[Magazyn]])</f>
        <v>Apteka Szpitalna</v>
      </c>
      <c r="I876" s="2" t="str">
        <f>TRIM(Table1[[#This Row],[Umowa]])</f>
        <v>UM-POL-03</v>
      </c>
      <c r="J876" s="2" t="b">
        <f>ISTEXT(Table14[[#This Row],[Data_Wystawienia]])</f>
        <v>0</v>
      </c>
      <c r="K876" s="2">
        <f>VALUE(SUBSTITUTE(Table14[[#This Row],[Wartość]],".",","))</f>
        <v>15098.65</v>
      </c>
      <c r="L8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6" s="2" t="str">
        <f>IF(Table14[[#This Row],[Umowa]]="","Poza umową","Z umowy")</f>
        <v>Z umowy</v>
      </c>
      <c r="N876" s="2">
        <f>YEAR(Table14[[#This Row],[Data_Wystawienia]])</f>
        <v>2022</v>
      </c>
      <c r="O876" s="2" t="str">
        <f>TEXT(Table14[[#This Row],[Data_Wystawienia]],"rrrr-mm")</f>
        <v>2022-11</v>
      </c>
      <c r="P876" s="2">
        <v>1</v>
      </c>
    </row>
    <row r="877" spans="1:16" x14ac:dyDescent="0.3">
      <c r="A877" s="2" t="str">
        <f>TRIM(Table1[[#This Row],[Numer_FV]])</f>
        <v>FV/9261/NOVA/22</v>
      </c>
      <c r="B877" s="2" t="str">
        <f>TRIM(Table1[[#This Row],[Numer_PZ]])</f>
        <v>PZ/800875</v>
      </c>
      <c r="C877" s="2" t="str">
        <f>TRIM(Table1[[#This Row],[Dostawca]])</f>
        <v>NovaLek</v>
      </c>
      <c r="D877" s="3">
        <v>44885</v>
      </c>
      <c r="E877" s="4" t="s">
        <v>2612</v>
      </c>
      <c r="F877" s="2" t="str">
        <f>TRIM(Table1[[#This Row],[Status]])</f>
        <v>Zaakceptowana</v>
      </c>
      <c r="G877" s="2" t="str">
        <f>TRIM(Table1[[#This Row],[Typ]])</f>
        <v>Faktura VAT</v>
      </c>
      <c r="H877" s="2" t="str">
        <f>TRIM(Table1[[#This Row],[Magazyn]])</f>
        <v>Apteka Szpitalna</v>
      </c>
      <c r="I877" s="2" t="str">
        <f>TRIM(Table1[[#This Row],[Umowa]])</f>
        <v/>
      </c>
      <c r="J877" s="2" t="b">
        <f>ISTEXT(Table14[[#This Row],[Data_Wystawienia]])</f>
        <v>0</v>
      </c>
      <c r="K877" s="2">
        <f>VALUE(SUBSTITUTE(Table14[[#This Row],[Wartość]],".",","))</f>
        <v>17440.009999999998</v>
      </c>
      <c r="L8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7" s="2" t="str">
        <f>IF(Table14[[#This Row],[Umowa]]="","Poza umową","Z umowy")</f>
        <v>Poza umową</v>
      </c>
      <c r="N877" s="2">
        <f>YEAR(Table14[[#This Row],[Data_Wystawienia]])</f>
        <v>2022</v>
      </c>
      <c r="O877" s="2" t="str">
        <f>TEXT(Table14[[#This Row],[Data_Wystawienia]],"rrrr-mm")</f>
        <v>2022-11</v>
      </c>
      <c r="P877" s="2">
        <v>1</v>
      </c>
    </row>
    <row r="878" spans="1:16" x14ac:dyDescent="0.3">
      <c r="A878" s="2" t="str">
        <f>TRIM(Table1[[#This Row],[Numer_FV]])</f>
        <v>FV/53510/VDb/2022</v>
      </c>
      <c r="B878" s="2" t="str">
        <f>TRIM(Table1[[#This Row],[Numer_PZ]])</f>
        <v>PZ/800876</v>
      </c>
      <c r="C878" s="2" t="str">
        <f>TRIM(Table1[[#This Row],[Dostawca]])</f>
        <v>VitaDistrib</v>
      </c>
      <c r="D878" s="3">
        <v>44885</v>
      </c>
      <c r="E878" s="4" t="s">
        <v>2615</v>
      </c>
      <c r="F878" s="2" t="str">
        <f>TRIM(Table1[[#This Row],[Status]])</f>
        <v>Zaakceptowana</v>
      </c>
      <c r="G878" s="2" t="str">
        <f>TRIM(Table1[[#This Row],[Typ]])</f>
        <v>Faktura VAT</v>
      </c>
      <c r="H878" s="2" t="str">
        <f>TRIM(Table1[[#This Row],[Magazyn]])</f>
        <v>Apteka Szpitalna</v>
      </c>
      <c r="I878" s="2" t="str">
        <f>TRIM(Table1[[#This Row],[Umowa]])</f>
        <v>UM-VIT-01</v>
      </c>
      <c r="J878" s="2" t="b">
        <f>ISTEXT(Table14[[#This Row],[Data_Wystawienia]])</f>
        <v>0</v>
      </c>
      <c r="K878" s="2">
        <f>VALUE(SUBSTITUTE(Table14[[#This Row],[Wartość]],".",","))</f>
        <v>18975.5</v>
      </c>
      <c r="L8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8" s="2" t="str">
        <f>IF(Table14[[#This Row],[Umowa]]="","Poza umową","Z umowy")</f>
        <v>Z umowy</v>
      </c>
      <c r="N878" s="2">
        <f>YEAR(Table14[[#This Row],[Data_Wystawienia]])</f>
        <v>2022</v>
      </c>
      <c r="O878" s="2" t="str">
        <f>TEXT(Table14[[#This Row],[Data_Wystawienia]],"rrrr-mm")</f>
        <v>2022-11</v>
      </c>
      <c r="P878" s="2">
        <v>1</v>
      </c>
    </row>
    <row r="879" spans="1:16" x14ac:dyDescent="0.3">
      <c r="A879" s="2" t="str">
        <f>TRIM(Table1[[#This Row],[Numer_FV]])</f>
        <v>FV/54715/VDb/2022</v>
      </c>
      <c r="B879" s="2" t="str">
        <f>TRIM(Table1[[#This Row],[Numer_PZ]])</f>
        <v>PZ/800877</v>
      </c>
      <c r="C879" s="2" t="str">
        <f>TRIM(Table1[[#This Row],[Dostawca]])</f>
        <v>VitaDistrib</v>
      </c>
      <c r="D879" s="3">
        <v>44886</v>
      </c>
      <c r="E879" s="4" t="s">
        <v>2618</v>
      </c>
      <c r="F879" s="2" t="str">
        <f>TRIM(Table1[[#This Row],[Status]])</f>
        <v>Zaakceptowana</v>
      </c>
      <c r="G879" s="2" t="str">
        <f>TRIM(Table1[[#This Row],[Typ]])</f>
        <v>Faktura VAT</v>
      </c>
      <c r="H879" s="2" t="str">
        <f>TRIM(Table1[[#This Row],[Magazyn]])</f>
        <v>Apteka Szpitalna</v>
      </c>
      <c r="I879" s="2" t="str">
        <f>TRIM(Table1[[#This Row],[Umowa]])</f>
        <v/>
      </c>
      <c r="J879" s="2" t="b">
        <f>ISTEXT(Table14[[#This Row],[Data_Wystawienia]])</f>
        <v>0</v>
      </c>
      <c r="K879" s="2">
        <f>VALUE(SUBSTITUTE(Table14[[#This Row],[Wartość]],".",","))</f>
        <v>16777.3</v>
      </c>
      <c r="L8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79" s="2" t="str">
        <f>IF(Table14[[#This Row],[Umowa]]="","Poza umową","Z umowy")</f>
        <v>Poza umową</v>
      </c>
      <c r="N879" s="2">
        <f>YEAR(Table14[[#This Row],[Data_Wystawienia]])</f>
        <v>2022</v>
      </c>
      <c r="O879" s="2" t="str">
        <f>TEXT(Table14[[#This Row],[Data_Wystawienia]],"rrrr-mm")</f>
        <v>2022-11</v>
      </c>
      <c r="P879" s="2">
        <v>1</v>
      </c>
    </row>
    <row r="880" spans="1:16" x14ac:dyDescent="0.3">
      <c r="A880" s="2" t="str">
        <f>TRIM(Table1[[#This Row],[Numer_FV]])</f>
        <v>FV/5281/NOVA/22</v>
      </c>
      <c r="B880" s="2" t="str">
        <f>TRIM(Table1[[#This Row],[Numer_PZ]])</f>
        <v>PZ/800878</v>
      </c>
      <c r="C880" s="2" t="str">
        <f>TRIM(Table1[[#This Row],[Dostawca]])</f>
        <v>NovaLek</v>
      </c>
      <c r="D880" s="3">
        <v>44887</v>
      </c>
      <c r="E880" s="4" t="s">
        <v>2621</v>
      </c>
      <c r="F880" s="2" t="str">
        <f>TRIM(Table1[[#This Row],[Status]])</f>
        <v>Zaakceptowana</v>
      </c>
      <c r="G880" s="2" t="str">
        <f>TRIM(Table1[[#This Row],[Typ]])</f>
        <v>Faktura VAT</v>
      </c>
      <c r="H880" s="2" t="str">
        <f>TRIM(Table1[[#This Row],[Magazyn]])</f>
        <v>Apteka Szpitalna</v>
      </c>
      <c r="I880" s="2" t="str">
        <f>TRIM(Table1[[#This Row],[Umowa]])</f>
        <v>UM-NOV-03</v>
      </c>
      <c r="J880" s="2" t="b">
        <f>ISTEXT(Table14[[#This Row],[Data_Wystawienia]])</f>
        <v>0</v>
      </c>
      <c r="K880" s="2">
        <f>VALUE(SUBSTITUTE(Table14[[#This Row],[Wartość]],".",","))</f>
        <v>16128.82</v>
      </c>
      <c r="L8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0" s="2" t="str">
        <f>IF(Table14[[#This Row],[Umowa]]="","Poza umową","Z umowy")</f>
        <v>Z umowy</v>
      </c>
      <c r="N880" s="2">
        <f>YEAR(Table14[[#This Row],[Data_Wystawienia]])</f>
        <v>2022</v>
      </c>
      <c r="O880" s="2" t="str">
        <f>TEXT(Table14[[#This Row],[Data_Wystawienia]],"rrrr-mm")</f>
        <v>2022-11</v>
      </c>
      <c r="P880" s="2">
        <v>1</v>
      </c>
    </row>
    <row r="881" spans="1:16" x14ac:dyDescent="0.3">
      <c r="A881" s="2" t="str">
        <f>TRIM(Table1[[#This Row],[Numer_FV]])</f>
        <v>FV/M/1173/P/22</v>
      </c>
      <c r="B881" s="2" t="str">
        <f>TRIM(Table1[[#This Row],[Numer_PZ]])</f>
        <v>PZ/800879</v>
      </c>
      <c r="C881" s="2" t="str">
        <f>TRIM(Table1[[#This Row],[Dostawca]])</f>
        <v>MedicaPharm</v>
      </c>
      <c r="D881" s="3">
        <v>44887</v>
      </c>
      <c r="E881" s="4" t="s">
        <v>2624</v>
      </c>
      <c r="F881" s="2" t="str">
        <f>TRIM(Table1[[#This Row],[Status]])</f>
        <v>Zaakceptowana</v>
      </c>
      <c r="G881" s="2" t="str">
        <f>TRIM(Table1[[#This Row],[Typ]])</f>
        <v>Faktura VAT</v>
      </c>
      <c r="H881" s="2" t="str">
        <f>TRIM(Table1[[#This Row],[Magazyn]])</f>
        <v>Apteka Szpitalna</v>
      </c>
      <c r="I881" s="2" t="str">
        <f>TRIM(Table1[[#This Row],[Umowa]])</f>
        <v>UM-MED-02</v>
      </c>
      <c r="J881" s="2" t="b">
        <f>ISTEXT(Table14[[#This Row],[Data_Wystawienia]])</f>
        <v>0</v>
      </c>
      <c r="K881" s="2">
        <f>VALUE(SUBSTITUTE(Table14[[#This Row],[Wartość]],".",","))</f>
        <v>17758.53</v>
      </c>
      <c r="L8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1" s="2" t="str">
        <f>IF(Table14[[#This Row],[Umowa]]="","Poza umową","Z umowy")</f>
        <v>Z umowy</v>
      </c>
      <c r="N881" s="2">
        <f>YEAR(Table14[[#This Row],[Data_Wystawienia]])</f>
        <v>2022</v>
      </c>
      <c r="O881" s="2" t="str">
        <f>TEXT(Table14[[#This Row],[Data_Wystawienia]],"rrrr-mm")</f>
        <v>2022-11</v>
      </c>
      <c r="P881" s="2">
        <v>1</v>
      </c>
    </row>
    <row r="882" spans="1:16" x14ac:dyDescent="0.3">
      <c r="A882" s="2" t="str">
        <f>TRIM(Table1[[#This Row],[Numer_FV]])</f>
        <v>FV/84519/VDb/2022</v>
      </c>
      <c r="B882" s="2" t="str">
        <f>TRIM(Table1[[#This Row],[Numer_PZ]])</f>
        <v>PZ/800880</v>
      </c>
      <c r="C882" s="2" t="str">
        <f>TRIM(Table1[[#This Row],[Dostawca]])</f>
        <v>VitaDistrib</v>
      </c>
      <c r="D882" s="3">
        <v>44887</v>
      </c>
      <c r="E882" s="4" t="s">
        <v>2627</v>
      </c>
      <c r="F882" s="2" t="str">
        <f>TRIM(Table1[[#This Row],[Status]])</f>
        <v>Zaakceptowana</v>
      </c>
      <c r="G882" s="2" t="str">
        <f>TRIM(Table1[[#This Row],[Typ]])</f>
        <v>Faktura VAT</v>
      </c>
      <c r="H882" s="2" t="str">
        <f>TRIM(Table1[[#This Row],[Magazyn]])</f>
        <v>Apteka Szpitalna</v>
      </c>
      <c r="I882" s="2" t="str">
        <f>TRIM(Table1[[#This Row],[Umowa]])</f>
        <v>UM-VIT-01</v>
      </c>
      <c r="J882" s="2" t="b">
        <f>ISTEXT(Table14[[#This Row],[Data_Wystawienia]])</f>
        <v>0</v>
      </c>
      <c r="K882" s="2">
        <f>VALUE(SUBSTITUTE(Table14[[#This Row],[Wartość]],".",","))</f>
        <v>7889.21</v>
      </c>
      <c r="L8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2" s="2" t="str">
        <f>IF(Table14[[#This Row],[Umowa]]="","Poza umową","Z umowy")</f>
        <v>Z umowy</v>
      </c>
      <c r="N882" s="2">
        <f>YEAR(Table14[[#This Row],[Data_Wystawienia]])</f>
        <v>2022</v>
      </c>
      <c r="O882" s="2" t="str">
        <f>TEXT(Table14[[#This Row],[Data_Wystawienia]],"rrrr-mm")</f>
        <v>2022-11</v>
      </c>
      <c r="P882" s="2">
        <v>1</v>
      </c>
    </row>
    <row r="883" spans="1:16" x14ac:dyDescent="0.3">
      <c r="A883" s="2" t="str">
        <f>TRIM(Table1[[#This Row],[Numer_FV]])</f>
        <v>FV/CENFA/597040/22</v>
      </c>
      <c r="B883" s="2" t="str">
        <f>TRIM(Table1[[#This Row],[Numer_PZ]])</f>
        <v>PZ/800881</v>
      </c>
      <c r="C883" s="2" t="str">
        <f>TRIM(Table1[[#This Row],[Dostawca]])</f>
        <v>CentrumFarm</v>
      </c>
      <c r="D883" s="3">
        <v>44888</v>
      </c>
      <c r="E883" s="4" t="s">
        <v>2630</v>
      </c>
      <c r="F883" s="2" t="str">
        <f>TRIM(Table1[[#This Row],[Status]])</f>
        <v>Zaakceptowana</v>
      </c>
      <c r="G883" s="2" t="str">
        <f>TRIM(Table1[[#This Row],[Typ]])</f>
        <v>Faktura VAT</v>
      </c>
      <c r="H883" s="2" t="str">
        <f>TRIM(Table1[[#This Row],[Magazyn]])</f>
        <v>Apteka Szpitalna</v>
      </c>
      <c r="I883" s="2" t="str">
        <f>TRIM(Table1[[#This Row],[Umowa]])</f>
        <v>UM-CEN-01</v>
      </c>
      <c r="J883" s="2" t="b">
        <f>ISTEXT(Table14[[#This Row],[Data_Wystawienia]])</f>
        <v>0</v>
      </c>
      <c r="K883" s="2">
        <f>VALUE(SUBSTITUTE(Table14[[#This Row],[Wartość]],".",","))</f>
        <v>16284.27</v>
      </c>
      <c r="L8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3" s="2" t="str">
        <f>IF(Table14[[#This Row],[Umowa]]="","Poza umową","Z umowy")</f>
        <v>Z umowy</v>
      </c>
      <c r="N883" s="2">
        <f>YEAR(Table14[[#This Row],[Data_Wystawienia]])</f>
        <v>2022</v>
      </c>
      <c r="O883" s="2" t="str">
        <f>TEXT(Table14[[#This Row],[Data_Wystawienia]],"rrrr-mm")</f>
        <v>2022-11</v>
      </c>
      <c r="P883" s="2">
        <v>1</v>
      </c>
    </row>
    <row r="884" spans="1:16" x14ac:dyDescent="0.3">
      <c r="A884" s="2" t="str">
        <f>TRIM(Table1[[#This Row],[Numer_FV]])</f>
        <v>FV/7013HM/22</v>
      </c>
      <c r="B884" s="2" t="str">
        <f>TRIM(Table1[[#This Row],[Numer_PZ]])</f>
        <v>PZ/800882</v>
      </c>
      <c r="C884" s="2" t="str">
        <f>TRIM(Table1[[#This Row],[Dostawca]])</f>
        <v>HurtMedix</v>
      </c>
      <c r="D884" s="3">
        <v>44888</v>
      </c>
      <c r="E884" s="4" t="s">
        <v>2633</v>
      </c>
      <c r="F884" s="2" t="str">
        <f>TRIM(Table1[[#This Row],[Status]])</f>
        <v>Zaakceptowana</v>
      </c>
      <c r="G884" s="2" t="str">
        <f>TRIM(Table1[[#This Row],[Typ]])</f>
        <v>Faktura VAT</v>
      </c>
      <c r="H884" s="2" t="str">
        <f>TRIM(Table1[[#This Row],[Magazyn]])</f>
        <v>Apteka Szpitalna</v>
      </c>
      <c r="I884" s="2" t="str">
        <f>TRIM(Table1[[#This Row],[Umowa]])</f>
        <v/>
      </c>
      <c r="J884" s="2" t="b">
        <f>ISTEXT(Table14[[#This Row],[Data_Wystawienia]])</f>
        <v>0</v>
      </c>
      <c r="K884" s="2">
        <f>VALUE(SUBSTITUTE(Table14[[#This Row],[Wartość]],".",","))</f>
        <v>17522.75</v>
      </c>
      <c r="L8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4" s="2" t="str">
        <f>IF(Table14[[#This Row],[Umowa]]="","Poza umową","Z umowy")</f>
        <v>Poza umową</v>
      </c>
      <c r="N884" s="2">
        <f>YEAR(Table14[[#This Row],[Data_Wystawienia]])</f>
        <v>2022</v>
      </c>
      <c r="O884" s="2" t="str">
        <f>TEXT(Table14[[#This Row],[Data_Wystawienia]],"rrrr-mm")</f>
        <v>2022-11</v>
      </c>
      <c r="P884" s="2">
        <v>1</v>
      </c>
    </row>
    <row r="885" spans="1:16" x14ac:dyDescent="0.3">
      <c r="A885" s="2" t="str">
        <f>TRIM(Table1[[#This Row],[Numer_FV]])</f>
        <v>FV/POL/90890/2022</v>
      </c>
      <c r="B885" s="2" t="str">
        <f>TRIM(Table1[[#This Row],[Numer_PZ]])</f>
        <v>PZ/800883</v>
      </c>
      <c r="C885" s="2" t="str">
        <f>TRIM(Table1[[#This Row],[Dostawca]])</f>
        <v>Polmedica</v>
      </c>
      <c r="D885" s="3">
        <v>44889</v>
      </c>
      <c r="E885" s="4" t="s">
        <v>2636</v>
      </c>
      <c r="F885" s="2" t="str">
        <f>TRIM(Table1[[#This Row],[Status]])</f>
        <v>Zaakceptowana</v>
      </c>
      <c r="G885" s="2" t="str">
        <f>TRIM(Table1[[#This Row],[Typ]])</f>
        <v>Faktura VAT</v>
      </c>
      <c r="H885" s="2" t="str">
        <f>TRIM(Table1[[#This Row],[Magazyn]])</f>
        <v>Apteka Szpitalna</v>
      </c>
      <c r="I885" s="2" t="str">
        <f>TRIM(Table1[[#This Row],[Umowa]])</f>
        <v>UM-POL-03</v>
      </c>
      <c r="J885" s="2" t="b">
        <f>ISTEXT(Table14[[#This Row],[Data_Wystawienia]])</f>
        <v>0</v>
      </c>
      <c r="K885" s="2">
        <f>VALUE(SUBSTITUTE(Table14[[#This Row],[Wartość]],".",","))</f>
        <v>22254.45</v>
      </c>
      <c r="L8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5" s="2" t="str">
        <f>IF(Table14[[#This Row],[Umowa]]="","Poza umową","Z umowy")</f>
        <v>Z umowy</v>
      </c>
      <c r="N885" s="2">
        <f>YEAR(Table14[[#This Row],[Data_Wystawienia]])</f>
        <v>2022</v>
      </c>
      <c r="O885" s="2" t="str">
        <f>TEXT(Table14[[#This Row],[Data_Wystawienia]],"rrrr-mm")</f>
        <v>2022-11</v>
      </c>
      <c r="P885" s="2">
        <v>1</v>
      </c>
    </row>
    <row r="886" spans="1:16" x14ac:dyDescent="0.3">
      <c r="A886" s="2" t="str">
        <f>TRIM(Table1[[#This Row],[Numer_FV]])</f>
        <v>FV/8625/NOVA/22</v>
      </c>
      <c r="B886" s="2" t="str">
        <f>TRIM(Table1[[#This Row],[Numer_PZ]])</f>
        <v>PZ/800884</v>
      </c>
      <c r="C886" s="2" t="str">
        <f>TRIM(Table1[[#This Row],[Dostawca]])</f>
        <v>NovaLek</v>
      </c>
      <c r="D886" s="3">
        <v>44889</v>
      </c>
      <c r="E886" s="4" t="s">
        <v>2639</v>
      </c>
      <c r="F886" s="2" t="str">
        <f>TRIM(Table1[[#This Row],[Status]])</f>
        <v>Zaakceptowana</v>
      </c>
      <c r="G886" s="2" t="str">
        <f>TRIM(Table1[[#This Row],[Typ]])</f>
        <v>Faktura VAT</v>
      </c>
      <c r="H886" s="2" t="str">
        <f>TRIM(Table1[[#This Row],[Magazyn]])</f>
        <v>Apteka Szpitalna</v>
      </c>
      <c r="I886" s="2" t="str">
        <f>TRIM(Table1[[#This Row],[Umowa]])</f>
        <v>UM-NOV-01</v>
      </c>
      <c r="J886" s="2" t="b">
        <f>ISTEXT(Table14[[#This Row],[Data_Wystawienia]])</f>
        <v>0</v>
      </c>
      <c r="K886" s="2">
        <f>VALUE(SUBSTITUTE(Table14[[#This Row],[Wartość]],".",","))</f>
        <v>16102.16</v>
      </c>
      <c r="L8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6" s="2" t="str">
        <f>IF(Table14[[#This Row],[Umowa]]="","Poza umową","Z umowy")</f>
        <v>Z umowy</v>
      </c>
      <c r="N886" s="2">
        <f>YEAR(Table14[[#This Row],[Data_Wystawienia]])</f>
        <v>2022</v>
      </c>
      <c r="O886" s="2" t="str">
        <f>TEXT(Table14[[#This Row],[Data_Wystawienia]],"rrrr-mm")</f>
        <v>2022-11</v>
      </c>
      <c r="P886" s="2">
        <v>1</v>
      </c>
    </row>
    <row r="887" spans="1:16" x14ac:dyDescent="0.3">
      <c r="A887" s="2" t="str">
        <f>TRIM(Table1[[#This Row],[Numer_FV]])</f>
        <v>FV/9214/NOVA/22</v>
      </c>
      <c r="B887" s="2" t="str">
        <f>TRIM(Table1[[#This Row],[Numer_PZ]])</f>
        <v>PZ/800885</v>
      </c>
      <c r="C887" s="2" t="str">
        <f>TRIM(Table1[[#This Row],[Dostawca]])</f>
        <v>NovaLek</v>
      </c>
      <c r="D887" s="3">
        <v>44890</v>
      </c>
      <c r="E887" s="4" t="s">
        <v>2642</v>
      </c>
      <c r="F887" s="2" t="str">
        <f>TRIM(Table1[[#This Row],[Status]])</f>
        <v>Zaakceptowana</v>
      </c>
      <c r="G887" s="2" t="str">
        <f>TRIM(Table1[[#This Row],[Typ]])</f>
        <v>Korekta FV</v>
      </c>
      <c r="H887" s="2" t="str">
        <f>TRIM(Table1[[#This Row],[Magazyn]])</f>
        <v>Apteka Szpitalna</v>
      </c>
      <c r="I887" s="2" t="str">
        <f>TRIM(Table1[[#This Row],[Umowa]])</f>
        <v>UM-NOV-01</v>
      </c>
      <c r="J887" s="2" t="b">
        <f>ISTEXT(Table14[[#This Row],[Data_Wystawienia]])</f>
        <v>0</v>
      </c>
      <c r="K887" s="2">
        <f>VALUE(SUBSTITUTE(Table14[[#This Row],[Wartość]],".",","))</f>
        <v>-312.29000000000002</v>
      </c>
      <c r="L8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7" s="2" t="str">
        <f>IF(Table14[[#This Row],[Umowa]]="","Poza umową","Z umowy")</f>
        <v>Z umowy</v>
      </c>
      <c r="N887" s="2">
        <f>YEAR(Table14[[#This Row],[Data_Wystawienia]])</f>
        <v>2022</v>
      </c>
      <c r="O887" s="2" t="str">
        <f>TEXT(Table14[[#This Row],[Data_Wystawienia]],"rrrr-mm")</f>
        <v>2022-11</v>
      </c>
      <c r="P887" s="2">
        <v>1</v>
      </c>
    </row>
    <row r="888" spans="1:16" x14ac:dyDescent="0.3">
      <c r="A888" s="2" t="str">
        <f>TRIM(Table1[[#This Row],[Numer_FV]])</f>
        <v>FV/POL/52884/2022</v>
      </c>
      <c r="B888" s="2" t="str">
        <f>TRIM(Table1[[#This Row],[Numer_PZ]])</f>
        <v>PZ/800886</v>
      </c>
      <c r="C888" s="2" t="str">
        <f>TRIM(Table1[[#This Row],[Dostawca]])</f>
        <v>Polmedica</v>
      </c>
      <c r="D888" s="3">
        <v>44890</v>
      </c>
      <c r="E888" s="4" t="s">
        <v>2645</v>
      </c>
      <c r="F888" s="2" t="str">
        <f>TRIM(Table1[[#This Row],[Status]])</f>
        <v>Zaakceptowana</v>
      </c>
      <c r="G888" s="2" t="str">
        <f>TRIM(Table1[[#This Row],[Typ]])</f>
        <v>Faktura VAT</v>
      </c>
      <c r="H888" s="2" t="str">
        <f>TRIM(Table1[[#This Row],[Magazyn]])</f>
        <v>Apteka Szpitalna</v>
      </c>
      <c r="I888" s="2" t="str">
        <f>TRIM(Table1[[#This Row],[Umowa]])</f>
        <v>UM-POL-03</v>
      </c>
      <c r="J888" s="2" t="b">
        <f>ISTEXT(Table14[[#This Row],[Data_Wystawienia]])</f>
        <v>0</v>
      </c>
      <c r="K888" s="2">
        <f>VALUE(SUBSTITUTE(Table14[[#This Row],[Wartość]],".",","))</f>
        <v>20858.240000000002</v>
      </c>
      <c r="L8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8" s="2" t="str">
        <f>IF(Table14[[#This Row],[Umowa]]="","Poza umową","Z umowy")</f>
        <v>Z umowy</v>
      </c>
      <c r="N888" s="2">
        <f>YEAR(Table14[[#This Row],[Data_Wystawienia]])</f>
        <v>2022</v>
      </c>
      <c r="O888" s="2" t="str">
        <f>TEXT(Table14[[#This Row],[Data_Wystawienia]],"rrrr-mm")</f>
        <v>2022-11</v>
      </c>
      <c r="P888" s="2">
        <v>1</v>
      </c>
    </row>
    <row r="889" spans="1:16" x14ac:dyDescent="0.3">
      <c r="A889" s="2" t="str">
        <f>TRIM(Table1[[#This Row],[Numer_FV]])</f>
        <v>FV/CENFA/983975/22</v>
      </c>
      <c r="B889" s="2" t="str">
        <f>TRIM(Table1[[#This Row],[Numer_PZ]])</f>
        <v>PZ/800887</v>
      </c>
      <c r="C889" s="2" t="str">
        <f>TRIM(Table1[[#This Row],[Dostawca]])</f>
        <v>CentrumFarm</v>
      </c>
      <c r="D889" s="3">
        <v>44890</v>
      </c>
      <c r="E889" s="4" t="s">
        <v>2648</v>
      </c>
      <c r="F889" s="2" t="str">
        <f>TRIM(Table1[[#This Row],[Status]])</f>
        <v>Zaakceptowana</v>
      </c>
      <c r="G889" s="2" t="str">
        <f>TRIM(Table1[[#This Row],[Typ]])</f>
        <v>Faktura VAT</v>
      </c>
      <c r="H889" s="2" t="str">
        <f>TRIM(Table1[[#This Row],[Magazyn]])</f>
        <v>Apteka Szpitalna</v>
      </c>
      <c r="I889" s="2" t="str">
        <f>TRIM(Table1[[#This Row],[Umowa]])</f>
        <v>UM-CEN-02</v>
      </c>
      <c r="J889" s="2" t="b">
        <f>ISTEXT(Table14[[#This Row],[Data_Wystawienia]])</f>
        <v>0</v>
      </c>
      <c r="K889" s="2">
        <f>VALUE(SUBSTITUTE(Table14[[#This Row],[Wartość]],".",","))</f>
        <v>15078.9</v>
      </c>
      <c r="L8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89" s="2" t="str">
        <f>IF(Table14[[#This Row],[Umowa]]="","Poza umową","Z umowy")</f>
        <v>Z umowy</v>
      </c>
      <c r="N889" s="2">
        <f>YEAR(Table14[[#This Row],[Data_Wystawienia]])</f>
        <v>2022</v>
      </c>
      <c r="O889" s="2" t="str">
        <f>TEXT(Table14[[#This Row],[Data_Wystawienia]],"rrrr-mm")</f>
        <v>2022-11</v>
      </c>
      <c r="P889" s="2">
        <v>1</v>
      </c>
    </row>
    <row r="890" spans="1:16" x14ac:dyDescent="0.3">
      <c r="A890" s="2" t="str">
        <f>TRIM(Table1[[#This Row],[Numer_FV]])</f>
        <v>FV/6799HM/22</v>
      </c>
      <c r="B890" s="2" t="str">
        <f>TRIM(Table1[[#This Row],[Numer_PZ]])</f>
        <v>PZ/800888</v>
      </c>
      <c r="C890" s="2" t="str">
        <f>TRIM(Table1[[#This Row],[Dostawca]])</f>
        <v>HurtMedix</v>
      </c>
      <c r="D890" s="3">
        <v>44890</v>
      </c>
      <c r="E890" s="4" t="s">
        <v>2651</v>
      </c>
      <c r="F890" s="2" t="str">
        <f>TRIM(Table1[[#This Row],[Status]])</f>
        <v>Zaakceptowana</v>
      </c>
      <c r="G890" s="2" t="str">
        <f>TRIM(Table1[[#This Row],[Typ]])</f>
        <v>Faktura VAT</v>
      </c>
      <c r="H890" s="2" t="str">
        <f>TRIM(Table1[[#This Row],[Magazyn]])</f>
        <v>Apteka Szpitalna</v>
      </c>
      <c r="I890" s="2" t="str">
        <f>TRIM(Table1[[#This Row],[Umowa]])</f>
        <v>UM-HUR-02</v>
      </c>
      <c r="J890" s="2" t="b">
        <f>ISTEXT(Table14[[#This Row],[Data_Wystawienia]])</f>
        <v>0</v>
      </c>
      <c r="K890" s="2">
        <f>VALUE(SUBSTITUTE(Table14[[#This Row],[Wartość]],".",","))</f>
        <v>13057.02</v>
      </c>
      <c r="L8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0" s="2" t="str">
        <f>IF(Table14[[#This Row],[Umowa]]="","Poza umową","Z umowy")</f>
        <v>Z umowy</v>
      </c>
      <c r="N890" s="2">
        <f>YEAR(Table14[[#This Row],[Data_Wystawienia]])</f>
        <v>2022</v>
      </c>
      <c r="O890" s="2" t="str">
        <f>TEXT(Table14[[#This Row],[Data_Wystawienia]],"rrrr-mm")</f>
        <v>2022-11</v>
      </c>
      <c r="P890" s="2">
        <v>1</v>
      </c>
    </row>
    <row r="891" spans="1:16" x14ac:dyDescent="0.3">
      <c r="A891" s="2" t="str">
        <f>TRIM(Table1[[#This Row],[Numer_FV]])</f>
        <v>FV/7039/NOVA/22</v>
      </c>
      <c r="B891" s="2" t="str">
        <f>TRIM(Table1[[#This Row],[Numer_PZ]])</f>
        <v>PZ/800889</v>
      </c>
      <c r="C891" s="2" t="str">
        <f>TRIM(Table1[[#This Row],[Dostawca]])</f>
        <v>NovaLek</v>
      </c>
      <c r="D891" s="3">
        <v>44891</v>
      </c>
      <c r="E891" s="4" t="s">
        <v>2654</v>
      </c>
      <c r="F891" s="2" t="str">
        <f>TRIM(Table1[[#This Row],[Status]])</f>
        <v>Zaakceptowana</v>
      </c>
      <c r="G891" s="2" t="str">
        <f>TRIM(Table1[[#This Row],[Typ]])</f>
        <v>Faktura VAT</v>
      </c>
      <c r="H891" s="2" t="str">
        <f>TRIM(Table1[[#This Row],[Magazyn]])</f>
        <v>Apteka Szpitalna</v>
      </c>
      <c r="I891" s="2" t="str">
        <f>TRIM(Table1[[#This Row],[Umowa]])</f>
        <v/>
      </c>
      <c r="J891" s="2" t="b">
        <f>ISTEXT(Table14[[#This Row],[Data_Wystawienia]])</f>
        <v>0</v>
      </c>
      <c r="K891" s="2">
        <f>VALUE(SUBSTITUTE(Table14[[#This Row],[Wartość]],".",","))</f>
        <v>11993.08</v>
      </c>
      <c r="L8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1" s="2" t="str">
        <f>IF(Table14[[#This Row],[Umowa]]="","Poza umową","Z umowy")</f>
        <v>Poza umową</v>
      </c>
      <c r="N891" s="2">
        <f>YEAR(Table14[[#This Row],[Data_Wystawienia]])</f>
        <v>2022</v>
      </c>
      <c r="O891" s="2" t="str">
        <f>TEXT(Table14[[#This Row],[Data_Wystawienia]],"rrrr-mm")</f>
        <v>2022-11</v>
      </c>
      <c r="P891" s="2">
        <v>1</v>
      </c>
    </row>
    <row r="892" spans="1:16" x14ac:dyDescent="0.3">
      <c r="A892" s="2" t="str">
        <f>TRIM(Table1[[#This Row],[Numer_FV]])</f>
        <v>FV/37/PP/8127/22</v>
      </c>
      <c r="B892" s="2" t="str">
        <f>TRIM(Table1[[#This Row],[Numer_PZ]])</f>
        <v>PZ/800890</v>
      </c>
      <c r="C892" s="2" t="str">
        <f>TRIM(Table1[[#This Row],[Dostawca]])</f>
        <v>PharmaPlus</v>
      </c>
      <c r="D892" s="3">
        <v>44892</v>
      </c>
      <c r="E892" s="4" t="s">
        <v>2657</v>
      </c>
      <c r="F892" s="2" t="str">
        <f>TRIM(Table1[[#This Row],[Status]])</f>
        <v>Zaakceptowana</v>
      </c>
      <c r="G892" s="2" t="str">
        <f>TRIM(Table1[[#This Row],[Typ]])</f>
        <v>Faktura VAT</v>
      </c>
      <c r="H892" s="2" t="str">
        <f>TRIM(Table1[[#This Row],[Magazyn]])</f>
        <v>Apteka Szpitalna</v>
      </c>
      <c r="I892" s="2" t="str">
        <f>TRIM(Table1[[#This Row],[Umowa]])</f>
        <v>UM-PHA-01</v>
      </c>
      <c r="J892" s="2" t="b">
        <f>ISTEXT(Table14[[#This Row],[Data_Wystawienia]])</f>
        <v>0</v>
      </c>
      <c r="K892" s="2">
        <f>VALUE(SUBSTITUTE(Table14[[#This Row],[Wartość]],".",","))</f>
        <v>10379.89</v>
      </c>
      <c r="L8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2" s="2" t="str">
        <f>IF(Table14[[#This Row],[Umowa]]="","Poza umową","Z umowy")</f>
        <v>Z umowy</v>
      </c>
      <c r="N892" s="2">
        <f>YEAR(Table14[[#This Row],[Data_Wystawienia]])</f>
        <v>2022</v>
      </c>
      <c r="O892" s="2" t="str">
        <f>TEXT(Table14[[#This Row],[Data_Wystawienia]],"rrrr-mm")</f>
        <v>2022-11</v>
      </c>
      <c r="P892" s="2">
        <v>1</v>
      </c>
    </row>
    <row r="893" spans="1:16" x14ac:dyDescent="0.3">
      <c r="A893" s="2" t="str">
        <f>TRIM(Table1[[#This Row],[Numer_FV]])</f>
        <v>FV/M/1451/P/22</v>
      </c>
      <c r="B893" s="2" t="str">
        <f>TRIM(Table1[[#This Row],[Numer_PZ]])</f>
        <v>PZ/800891</v>
      </c>
      <c r="C893" s="2" t="str">
        <f>TRIM(Table1[[#This Row],[Dostawca]])</f>
        <v>MedicaPharm</v>
      </c>
      <c r="D893" s="3">
        <v>44892</v>
      </c>
      <c r="E893" s="4" t="s">
        <v>2660</v>
      </c>
      <c r="F893" s="2" t="str">
        <f>TRIM(Table1[[#This Row],[Status]])</f>
        <v>Zaakceptowana</v>
      </c>
      <c r="G893" s="2" t="str">
        <f>TRIM(Table1[[#This Row],[Typ]])</f>
        <v>Faktura VAT</v>
      </c>
      <c r="H893" s="2" t="str">
        <f>TRIM(Table1[[#This Row],[Magazyn]])</f>
        <v>Apteka Szpitalna</v>
      </c>
      <c r="I893" s="2" t="str">
        <f>TRIM(Table1[[#This Row],[Umowa]])</f>
        <v>UM-MED-02</v>
      </c>
      <c r="J893" s="2" t="b">
        <f>ISTEXT(Table14[[#This Row],[Data_Wystawienia]])</f>
        <v>0</v>
      </c>
      <c r="K893" s="2">
        <f>VALUE(SUBSTITUTE(Table14[[#This Row],[Wartość]],".",","))</f>
        <v>20708.169999999998</v>
      </c>
      <c r="L8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3" s="2" t="str">
        <f>IF(Table14[[#This Row],[Umowa]]="","Poza umową","Z umowy")</f>
        <v>Z umowy</v>
      </c>
      <c r="N893" s="2">
        <f>YEAR(Table14[[#This Row],[Data_Wystawienia]])</f>
        <v>2022</v>
      </c>
      <c r="O893" s="2" t="str">
        <f>TEXT(Table14[[#This Row],[Data_Wystawienia]],"rrrr-mm")</f>
        <v>2022-11</v>
      </c>
      <c r="P893" s="2">
        <v>1</v>
      </c>
    </row>
    <row r="894" spans="1:16" x14ac:dyDescent="0.3">
      <c r="A894" s="2" t="str">
        <f>TRIM(Table1[[#This Row],[Numer_FV]])</f>
        <v>FV/6412/NOVA/22</v>
      </c>
      <c r="B894" s="2" t="str">
        <f>TRIM(Table1[[#This Row],[Numer_PZ]])</f>
        <v>PZ/800892</v>
      </c>
      <c r="C894" s="2" t="str">
        <f>TRIM(Table1[[#This Row],[Dostawca]])</f>
        <v>NovaLek</v>
      </c>
      <c r="D894" s="3">
        <v>44893</v>
      </c>
      <c r="E894" s="4" t="s">
        <v>2663</v>
      </c>
      <c r="F894" s="2" t="str">
        <f>TRIM(Table1[[#This Row],[Status]])</f>
        <v>Zaakceptowana</v>
      </c>
      <c r="G894" s="2" t="str">
        <f>TRIM(Table1[[#This Row],[Typ]])</f>
        <v>Faktura VAT</v>
      </c>
      <c r="H894" s="2" t="str">
        <f>TRIM(Table1[[#This Row],[Magazyn]])</f>
        <v>Apteka Szpitalna</v>
      </c>
      <c r="I894" s="2" t="str">
        <f>TRIM(Table1[[#This Row],[Umowa]])</f>
        <v>UM-NOV-01</v>
      </c>
      <c r="J894" s="2" t="b">
        <f>ISTEXT(Table14[[#This Row],[Data_Wystawienia]])</f>
        <v>0</v>
      </c>
      <c r="K894" s="2">
        <f>VALUE(SUBSTITUTE(Table14[[#This Row],[Wartość]],".",","))</f>
        <v>1248.32</v>
      </c>
      <c r="L8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4" s="2" t="str">
        <f>IF(Table14[[#This Row],[Umowa]]="","Poza umową","Z umowy")</f>
        <v>Z umowy</v>
      </c>
      <c r="N894" s="2">
        <f>YEAR(Table14[[#This Row],[Data_Wystawienia]])</f>
        <v>2022</v>
      </c>
      <c r="O894" s="2" t="str">
        <f>TEXT(Table14[[#This Row],[Data_Wystawienia]],"rrrr-mm")</f>
        <v>2022-11</v>
      </c>
      <c r="P894" s="2">
        <v>1</v>
      </c>
    </row>
    <row r="895" spans="1:16" x14ac:dyDescent="0.3">
      <c r="A895" s="2" t="str">
        <f>TRIM(Table1[[#This Row],[Numer_FV]])</f>
        <v>FV/2989HM/22</v>
      </c>
      <c r="B895" s="2" t="str">
        <f>TRIM(Table1[[#This Row],[Numer_PZ]])</f>
        <v>PZ/800893</v>
      </c>
      <c r="C895" s="2" t="str">
        <f>TRIM(Table1[[#This Row],[Dostawca]])</f>
        <v>HurtMedix</v>
      </c>
      <c r="D895" s="3">
        <v>44893</v>
      </c>
      <c r="E895" s="4" t="s">
        <v>2666</v>
      </c>
      <c r="F895" s="2" t="str">
        <f>TRIM(Table1[[#This Row],[Status]])</f>
        <v>Zaakceptowana</v>
      </c>
      <c r="G895" s="2" t="str">
        <f>TRIM(Table1[[#This Row],[Typ]])</f>
        <v>Faktura VAT</v>
      </c>
      <c r="H895" s="2" t="str">
        <f>TRIM(Table1[[#This Row],[Magazyn]])</f>
        <v>Apteka Szpitalna</v>
      </c>
      <c r="I895" s="2" t="str">
        <f>TRIM(Table1[[#This Row],[Umowa]])</f>
        <v/>
      </c>
      <c r="J895" s="2" t="b">
        <f>ISTEXT(Table14[[#This Row],[Data_Wystawienia]])</f>
        <v>0</v>
      </c>
      <c r="K895" s="2">
        <f>VALUE(SUBSTITUTE(Table14[[#This Row],[Wartość]],".",","))</f>
        <v>19313.25</v>
      </c>
      <c r="L8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5" s="2" t="str">
        <f>IF(Table14[[#This Row],[Umowa]]="","Poza umową","Z umowy")</f>
        <v>Poza umową</v>
      </c>
      <c r="N895" s="2">
        <f>YEAR(Table14[[#This Row],[Data_Wystawienia]])</f>
        <v>2022</v>
      </c>
      <c r="O895" s="2" t="str">
        <f>TEXT(Table14[[#This Row],[Data_Wystawienia]],"rrrr-mm")</f>
        <v>2022-11</v>
      </c>
      <c r="P895" s="2">
        <v>1</v>
      </c>
    </row>
    <row r="896" spans="1:16" x14ac:dyDescent="0.3">
      <c r="A896" s="2" t="str">
        <f>TRIM(Table1[[#This Row],[Numer_FV]])</f>
        <v>FV/3501/NOVA/22</v>
      </c>
      <c r="B896" s="2" t="str">
        <f>TRIM(Table1[[#This Row],[Numer_PZ]])</f>
        <v>PZ/800894</v>
      </c>
      <c r="C896" s="2" t="str">
        <f>TRIM(Table1[[#This Row],[Dostawca]])</f>
        <v>NovaLek</v>
      </c>
      <c r="D896" s="3">
        <v>44894</v>
      </c>
      <c r="E896" s="4" t="s">
        <v>2669</v>
      </c>
      <c r="F896" s="2" t="str">
        <f>TRIM(Table1[[#This Row],[Status]])</f>
        <v>Zaakceptowana</v>
      </c>
      <c r="G896" s="2" t="str">
        <f>TRIM(Table1[[#This Row],[Typ]])</f>
        <v>Faktura VAT</v>
      </c>
      <c r="H896" s="2" t="str">
        <f>TRIM(Table1[[#This Row],[Magazyn]])</f>
        <v>Apteka Szpitalna</v>
      </c>
      <c r="I896" s="2" t="str">
        <f>TRIM(Table1[[#This Row],[Umowa]])</f>
        <v>UM-NOV-03</v>
      </c>
      <c r="J896" s="2" t="b">
        <f>ISTEXT(Table14[[#This Row],[Data_Wystawienia]])</f>
        <v>0</v>
      </c>
      <c r="K896" s="2">
        <f>VALUE(SUBSTITUTE(Table14[[#This Row],[Wartość]],".",","))</f>
        <v>22144.85</v>
      </c>
      <c r="L8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6" s="2" t="str">
        <f>IF(Table14[[#This Row],[Umowa]]="","Poza umową","Z umowy")</f>
        <v>Z umowy</v>
      </c>
      <c r="N896" s="2">
        <f>YEAR(Table14[[#This Row],[Data_Wystawienia]])</f>
        <v>2022</v>
      </c>
      <c r="O896" s="2" t="str">
        <f>TEXT(Table14[[#This Row],[Data_Wystawienia]],"rrrr-mm")</f>
        <v>2022-11</v>
      </c>
      <c r="P896" s="2">
        <v>1</v>
      </c>
    </row>
    <row r="897" spans="1:16" x14ac:dyDescent="0.3">
      <c r="A897" s="2" t="str">
        <f>TRIM(Table1[[#This Row],[Numer_FV]])</f>
        <v>FV/7428HM/22</v>
      </c>
      <c r="B897" s="2" t="str">
        <f>TRIM(Table1[[#This Row],[Numer_PZ]])</f>
        <v>PZ/800895</v>
      </c>
      <c r="C897" s="2" t="str">
        <f>TRIM(Table1[[#This Row],[Dostawca]])</f>
        <v>HurtMedix</v>
      </c>
      <c r="D897" s="3">
        <v>44895</v>
      </c>
      <c r="E897" s="4" t="s">
        <v>2672</v>
      </c>
      <c r="F897" s="2" t="str">
        <f>TRIM(Table1[[#This Row],[Status]])</f>
        <v>Zaakceptowana</v>
      </c>
      <c r="G897" s="2" t="str">
        <f>TRIM(Table1[[#This Row],[Typ]])</f>
        <v>Faktura VAT</v>
      </c>
      <c r="H897" s="2" t="str">
        <f>TRIM(Table1[[#This Row],[Magazyn]])</f>
        <v>Apteka Szpitalna</v>
      </c>
      <c r="I897" s="2" t="str">
        <f>TRIM(Table1[[#This Row],[Umowa]])</f>
        <v>UM-HUR-01</v>
      </c>
      <c r="J897" s="2" t="b">
        <f>ISTEXT(Table14[[#This Row],[Data_Wystawienia]])</f>
        <v>0</v>
      </c>
      <c r="K897" s="2">
        <f>VALUE(SUBSTITUTE(Table14[[#This Row],[Wartość]],".",","))</f>
        <v>9933.42</v>
      </c>
      <c r="L8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7" s="2" t="str">
        <f>IF(Table14[[#This Row],[Umowa]]="","Poza umową","Z umowy")</f>
        <v>Z umowy</v>
      </c>
      <c r="N897" s="2">
        <f>YEAR(Table14[[#This Row],[Data_Wystawienia]])</f>
        <v>2022</v>
      </c>
      <c r="O897" s="2" t="str">
        <f>TEXT(Table14[[#This Row],[Data_Wystawienia]],"rrrr-mm")</f>
        <v>2022-11</v>
      </c>
      <c r="P897" s="2">
        <v>1</v>
      </c>
    </row>
    <row r="898" spans="1:16" x14ac:dyDescent="0.3">
      <c r="A898" s="2" t="str">
        <f>TRIM(Table1[[#This Row],[Numer_FV]])</f>
        <v>FV/6299/NOVA/22</v>
      </c>
      <c r="B898" s="2" t="str">
        <f>TRIM(Table1[[#This Row],[Numer_PZ]])</f>
        <v>PZ/800896</v>
      </c>
      <c r="C898" s="2" t="str">
        <f>TRIM(Table1[[#This Row],[Dostawca]])</f>
        <v>NovaLek</v>
      </c>
      <c r="D898" s="3">
        <v>44895</v>
      </c>
      <c r="E898" s="4" t="s">
        <v>2675</v>
      </c>
      <c r="F898" s="2" t="str">
        <f>TRIM(Table1[[#This Row],[Status]])</f>
        <v>Zaakceptowana</v>
      </c>
      <c r="G898" s="2" t="str">
        <f>TRIM(Table1[[#This Row],[Typ]])</f>
        <v>Faktura VAT</v>
      </c>
      <c r="H898" s="2" t="str">
        <f>TRIM(Table1[[#This Row],[Magazyn]])</f>
        <v>Apteka Szpitalna</v>
      </c>
      <c r="I898" s="2" t="str">
        <f>TRIM(Table1[[#This Row],[Umowa]])</f>
        <v>UM-NOV-03</v>
      </c>
      <c r="J898" s="2" t="b">
        <f>ISTEXT(Table14[[#This Row],[Data_Wystawienia]])</f>
        <v>0</v>
      </c>
      <c r="K898" s="2">
        <f>VALUE(SUBSTITUTE(Table14[[#This Row],[Wartość]],".",","))</f>
        <v>12995.77</v>
      </c>
      <c r="L8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8" s="2" t="str">
        <f>IF(Table14[[#This Row],[Umowa]]="","Poza umową","Z umowy")</f>
        <v>Z umowy</v>
      </c>
      <c r="N898" s="2">
        <f>YEAR(Table14[[#This Row],[Data_Wystawienia]])</f>
        <v>2022</v>
      </c>
      <c r="O898" s="2" t="str">
        <f>TEXT(Table14[[#This Row],[Data_Wystawienia]],"rrrr-mm")</f>
        <v>2022-11</v>
      </c>
      <c r="P898" s="2">
        <v>1</v>
      </c>
    </row>
    <row r="899" spans="1:16" x14ac:dyDescent="0.3">
      <c r="A899" s="2" t="str">
        <f>TRIM(Table1[[#This Row],[Numer_FV]])</f>
        <v>FV/25/PP/1393/22</v>
      </c>
      <c r="B899" s="2" t="str">
        <f>TRIM(Table1[[#This Row],[Numer_PZ]])</f>
        <v>PZ/800897</v>
      </c>
      <c r="C899" s="2" t="str">
        <f>TRIM(Table1[[#This Row],[Dostawca]])</f>
        <v>PharmaPlus</v>
      </c>
      <c r="D899" s="3">
        <v>44895</v>
      </c>
      <c r="E899" s="4" t="s">
        <v>2678</v>
      </c>
      <c r="F899" s="2" t="str">
        <f>TRIM(Table1[[#This Row],[Status]])</f>
        <v>Zaakceptowana</v>
      </c>
      <c r="G899" s="2" t="str">
        <f>TRIM(Table1[[#This Row],[Typ]])</f>
        <v>Faktura VAT</v>
      </c>
      <c r="H899" s="2" t="str">
        <f>TRIM(Table1[[#This Row],[Magazyn]])</f>
        <v>Apteka Szpitalna</v>
      </c>
      <c r="I899" s="2" t="str">
        <f>TRIM(Table1[[#This Row],[Umowa]])</f>
        <v/>
      </c>
      <c r="J899" s="2" t="b">
        <f>ISTEXT(Table14[[#This Row],[Data_Wystawienia]])</f>
        <v>0</v>
      </c>
      <c r="K899" s="2">
        <f>VALUE(SUBSTITUTE(Table14[[#This Row],[Wartość]],".",","))</f>
        <v>9136.42</v>
      </c>
      <c r="L8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899" s="2" t="str">
        <f>IF(Table14[[#This Row],[Umowa]]="","Poza umową","Z umowy")</f>
        <v>Poza umową</v>
      </c>
      <c r="N899" s="2">
        <f>YEAR(Table14[[#This Row],[Data_Wystawienia]])</f>
        <v>2022</v>
      </c>
      <c r="O899" s="2" t="str">
        <f>TEXT(Table14[[#This Row],[Data_Wystawienia]],"rrrr-mm")</f>
        <v>2022-11</v>
      </c>
      <c r="P899" s="2">
        <v>1</v>
      </c>
    </row>
    <row r="900" spans="1:16" x14ac:dyDescent="0.3">
      <c r="A900" s="2" t="str">
        <f>TRIM(Table1[[#This Row],[Numer_FV]])</f>
        <v>FV/8837HM/22</v>
      </c>
      <c r="B900" s="2" t="str">
        <f>TRIM(Table1[[#This Row],[Numer_PZ]])</f>
        <v>PZ/800898</v>
      </c>
      <c r="C900" s="2" t="str">
        <f>TRIM(Table1[[#This Row],[Dostawca]])</f>
        <v>HurtMedix</v>
      </c>
      <c r="D900" s="3">
        <v>44896</v>
      </c>
      <c r="E900" s="4" t="s">
        <v>2681</v>
      </c>
      <c r="F900" s="2" t="str">
        <f>TRIM(Table1[[#This Row],[Status]])</f>
        <v>Zaakceptowana</v>
      </c>
      <c r="G900" s="2" t="str">
        <f>TRIM(Table1[[#This Row],[Typ]])</f>
        <v>Faktura VAT</v>
      </c>
      <c r="H900" s="2" t="str">
        <f>TRIM(Table1[[#This Row],[Magazyn]])</f>
        <v>Apteka Szpitalna</v>
      </c>
      <c r="I900" s="2" t="str">
        <f>TRIM(Table1[[#This Row],[Umowa]])</f>
        <v/>
      </c>
      <c r="J900" s="2" t="b">
        <f>ISTEXT(Table14[[#This Row],[Data_Wystawienia]])</f>
        <v>0</v>
      </c>
      <c r="K900" s="2">
        <f>VALUE(SUBSTITUTE(Table14[[#This Row],[Wartość]],".",","))</f>
        <v>18869.580000000002</v>
      </c>
      <c r="L9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0" s="2" t="str">
        <f>IF(Table14[[#This Row],[Umowa]]="","Poza umową","Z umowy")</f>
        <v>Poza umową</v>
      </c>
      <c r="N900" s="2">
        <f>YEAR(Table14[[#This Row],[Data_Wystawienia]])</f>
        <v>2022</v>
      </c>
      <c r="O900" s="2" t="str">
        <f>TEXT(Table14[[#This Row],[Data_Wystawienia]],"rrrr-mm")</f>
        <v>2022-12</v>
      </c>
      <c r="P900" s="2">
        <v>1</v>
      </c>
    </row>
    <row r="901" spans="1:16" x14ac:dyDescent="0.3">
      <c r="A901" s="2" t="str">
        <f>TRIM(Table1[[#This Row],[Numer_FV]])</f>
        <v>FV/36/PP/8233/22</v>
      </c>
      <c r="B901" s="2" t="str">
        <f>TRIM(Table1[[#This Row],[Numer_PZ]])</f>
        <v>PZ/800899</v>
      </c>
      <c r="C901" s="2" t="str">
        <f>TRIM(Table1[[#This Row],[Dostawca]])</f>
        <v>PharmaPlus</v>
      </c>
      <c r="D901" s="3">
        <v>44896</v>
      </c>
      <c r="E901" s="4" t="s">
        <v>2684</v>
      </c>
      <c r="F901" s="2" t="str">
        <f>TRIM(Table1[[#This Row],[Status]])</f>
        <v>Zaakceptowana</v>
      </c>
      <c r="G901" s="2" t="str">
        <f>TRIM(Table1[[#This Row],[Typ]])</f>
        <v>Faktura VAT</v>
      </c>
      <c r="H901" s="2" t="str">
        <f>TRIM(Table1[[#This Row],[Magazyn]])</f>
        <v>Apteka Szpitalna</v>
      </c>
      <c r="I901" s="2" t="str">
        <f>TRIM(Table1[[#This Row],[Umowa]])</f>
        <v>UM-PHA-02</v>
      </c>
      <c r="J901" s="2" t="b">
        <f>ISTEXT(Table14[[#This Row],[Data_Wystawienia]])</f>
        <v>0</v>
      </c>
      <c r="K901" s="2">
        <f>VALUE(SUBSTITUTE(Table14[[#This Row],[Wartość]],".",","))</f>
        <v>20739.57</v>
      </c>
      <c r="L9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1" s="2" t="str">
        <f>IF(Table14[[#This Row],[Umowa]]="","Poza umową","Z umowy")</f>
        <v>Z umowy</v>
      </c>
      <c r="N901" s="2">
        <f>YEAR(Table14[[#This Row],[Data_Wystawienia]])</f>
        <v>2022</v>
      </c>
      <c r="O901" s="2" t="str">
        <f>TEXT(Table14[[#This Row],[Data_Wystawienia]],"rrrr-mm")</f>
        <v>2022-12</v>
      </c>
      <c r="P901" s="2">
        <v>1</v>
      </c>
    </row>
    <row r="902" spans="1:16" x14ac:dyDescent="0.3">
      <c r="A902" s="2" t="str">
        <f>TRIM(Table1[[#This Row],[Numer_FV]])</f>
        <v>FV/CENFA/891474/22</v>
      </c>
      <c r="B902" s="2" t="str">
        <f>TRIM(Table1[[#This Row],[Numer_PZ]])</f>
        <v>PZ/800900</v>
      </c>
      <c r="C902" s="2" t="str">
        <f>TRIM(Table1[[#This Row],[Dostawca]])</f>
        <v>CentrumFarm</v>
      </c>
      <c r="D902" s="3">
        <v>44896</v>
      </c>
      <c r="E902" s="4" t="s">
        <v>2687</v>
      </c>
      <c r="F902" s="2" t="str">
        <f>TRIM(Table1[[#This Row],[Status]])</f>
        <v>Zaakceptowana</v>
      </c>
      <c r="G902" s="2" t="str">
        <f>TRIM(Table1[[#This Row],[Typ]])</f>
        <v>Faktura VAT</v>
      </c>
      <c r="H902" s="2" t="str">
        <f>TRIM(Table1[[#This Row],[Magazyn]])</f>
        <v>Apteka Szpitalna</v>
      </c>
      <c r="I902" s="2" t="str">
        <f>TRIM(Table1[[#This Row],[Umowa]])</f>
        <v/>
      </c>
      <c r="J902" s="2" t="b">
        <f>ISTEXT(Table14[[#This Row],[Data_Wystawienia]])</f>
        <v>0</v>
      </c>
      <c r="K902" s="2">
        <f>VALUE(SUBSTITUTE(Table14[[#This Row],[Wartość]],".",","))</f>
        <v>14871.94</v>
      </c>
      <c r="L9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2" s="2" t="str">
        <f>IF(Table14[[#This Row],[Umowa]]="","Poza umową","Z umowy")</f>
        <v>Poza umową</v>
      </c>
      <c r="N902" s="2">
        <f>YEAR(Table14[[#This Row],[Data_Wystawienia]])</f>
        <v>2022</v>
      </c>
      <c r="O902" s="2" t="str">
        <f>TEXT(Table14[[#This Row],[Data_Wystawienia]],"rrrr-mm")</f>
        <v>2022-12</v>
      </c>
      <c r="P902" s="2">
        <v>1</v>
      </c>
    </row>
    <row r="903" spans="1:16" x14ac:dyDescent="0.3">
      <c r="A903" s="2" t="str">
        <f>TRIM(Table1[[#This Row],[Numer_FV]])</f>
        <v>FV/1306/NOVA/22</v>
      </c>
      <c r="B903" s="2" t="str">
        <f>TRIM(Table1[[#This Row],[Numer_PZ]])</f>
        <v>PZ/800901</v>
      </c>
      <c r="C903" s="2" t="str">
        <f>TRIM(Table1[[#This Row],[Dostawca]])</f>
        <v>NovaLek</v>
      </c>
      <c r="D903" s="3">
        <v>44896</v>
      </c>
      <c r="E903" s="4" t="s">
        <v>2690</v>
      </c>
      <c r="F903" s="2" t="str">
        <f>TRIM(Table1[[#This Row],[Status]])</f>
        <v>Zaakceptowana</v>
      </c>
      <c r="G903" s="2" t="str">
        <f>TRIM(Table1[[#This Row],[Typ]])</f>
        <v>Faktura VAT</v>
      </c>
      <c r="H903" s="2" t="str">
        <f>TRIM(Table1[[#This Row],[Magazyn]])</f>
        <v>Apteka Szpitalna</v>
      </c>
      <c r="I903" s="2" t="str">
        <f>TRIM(Table1[[#This Row],[Umowa]])</f>
        <v>UM-NOV-03</v>
      </c>
      <c r="J903" s="2" t="b">
        <f>ISTEXT(Table14[[#This Row],[Data_Wystawienia]])</f>
        <v>0</v>
      </c>
      <c r="K903" s="2">
        <f>VALUE(SUBSTITUTE(Table14[[#This Row],[Wartość]],".",","))</f>
        <v>15933.08</v>
      </c>
      <c r="L9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3" s="2" t="str">
        <f>IF(Table14[[#This Row],[Umowa]]="","Poza umową","Z umowy")</f>
        <v>Z umowy</v>
      </c>
      <c r="N903" s="2">
        <f>YEAR(Table14[[#This Row],[Data_Wystawienia]])</f>
        <v>2022</v>
      </c>
      <c r="O903" s="2" t="str">
        <f>TEXT(Table14[[#This Row],[Data_Wystawienia]],"rrrr-mm")</f>
        <v>2022-12</v>
      </c>
      <c r="P903" s="2">
        <v>1</v>
      </c>
    </row>
    <row r="904" spans="1:16" x14ac:dyDescent="0.3">
      <c r="A904" s="2" t="str">
        <f>TRIM(Table1[[#This Row],[Numer_FV]])</f>
        <v>FV/M/1284/P/22</v>
      </c>
      <c r="B904" s="2" t="str">
        <f>TRIM(Table1[[#This Row],[Numer_PZ]])</f>
        <v>PZ/800902</v>
      </c>
      <c r="C904" s="2" t="str">
        <f>TRIM(Table1[[#This Row],[Dostawca]])</f>
        <v>MedicaPharm</v>
      </c>
      <c r="D904" s="3">
        <v>44897</v>
      </c>
      <c r="E904" s="4" t="s">
        <v>2693</v>
      </c>
      <c r="F904" s="2" t="str">
        <f>TRIM(Table1[[#This Row],[Status]])</f>
        <v>Zaakceptowana</v>
      </c>
      <c r="G904" s="2" t="str">
        <f>TRIM(Table1[[#This Row],[Typ]])</f>
        <v>Korekta FV</v>
      </c>
      <c r="H904" s="2" t="str">
        <f>TRIM(Table1[[#This Row],[Magazyn]])</f>
        <v>Apteka Szpitalna</v>
      </c>
      <c r="I904" s="2" t="str">
        <f>TRIM(Table1[[#This Row],[Umowa]])</f>
        <v>UM-MED-01</v>
      </c>
      <c r="J904" s="2" t="b">
        <f>ISTEXT(Table14[[#This Row],[Data_Wystawienia]])</f>
        <v>0</v>
      </c>
      <c r="K904" s="2">
        <f>VALUE(SUBSTITUTE(Table14[[#This Row],[Wartość]],".",","))</f>
        <v>-1000.71</v>
      </c>
      <c r="L9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4" s="2" t="str">
        <f>IF(Table14[[#This Row],[Umowa]]="","Poza umową","Z umowy")</f>
        <v>Z umowy</v>
      </c>
      <c r="N904" s="2">
        <f>YEAR(Table14[[#This Row],[Data_Wystawienia]])</f>
        <v>2022</v>
      </c>
      <c r="O904" s="2" t="str">
        <f>TEXT(Table14[[#This Row],[Data_Wystawienia]],"rrrr-mm")</f>
        <v>2022-12</v>
      </c>
      <c r="P904" s="2">
        <v>1</v>
      </c>
    </row>
    <row r="905" spans="1:16" x14ac:dyDescent="0.3">
      <c r="A905" s="2" t="str">
        <f>TRIM(Table1[[#This Row],[Numer_FV]])</f>
        <v>FV/4876HM/22</v>
      </c>
      <c r="B905" s="2" t="str">
        <f>TRIM(Table1[[#This Row],[Numer_PZ]])</f>
        <v>PZ/800903</v>
      </c>
      <c r="C905" s="2" t="str">
        <f>TRIM(Table1[[#This Row],[Dostawca]])</f>
        <v>HurtMedix</v>
      </c>
      <c r="D905" s="3">
        <v>44897</v>
      </c>
      <c r="E905" s="4" t="s">
        <v>2696</v>
      </c>
      <c r="F905" s="2" t="str">
        <f>TRIM(Table1[[#This Row],[Status]])</f>
        <v>Zaakceptowana</v>
      </c>
      <c r="G905" s="2" t="str">
        <f>TRIM(Table1[[#This Row],[Typ]])</f>
        <v>Faktura VAT</v>
      </c>
      <c r="H905" s="2" t="str">
        <f>TRIM(Table1[[#This Row],[Magazyn]])</f>
        <v>Apteka Szpitalna</v>
      </c>
      <c r="I905" s="2" t="str">
        <f>TRIM(Table1[[#This Row],[Umowa]])</f>
        <v>UM-HUR-02</v>
      </c>
      <c r="J905" s="2" t="b">
        <f>ISTEXT(Table14[[#This Row],[Data_Wystawienia]])</f>
        <v>0</v>
      </c>
      <c r="K905" s="2">
        <f>VALUE(SUBSTITUTE(Table14[[#This Row],[Wartość]],".",","))</f>
        <v>27397.27</v>
      </c>
      <c r="L9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5" s="2" t="str">
        <f>IF(Table14[[#This Row],[Umowa]]="","Poza umową","Z umowy")</f>
        <v>Z umowy</v>
      </c>
      <c r="N905" s="2">
        <f>YEAR(Table14[[#This Row],[Data_Wystawienia]])</f>
        <v>2022</v>
      </c>
      <c r="O905" s="2" t="str">
        <f>TEXT(Table14[[#This Row],[Data_Wystawienia]],"rrrr-mm")</f>
        <v>2022-12</v>
      </c>
      <c r="P905" s="2">
        <v>1</v>
      </c>
    </row>
    <row r="906" spans="1:16" x14ac:dyDescent="0.3">
      <c r="A906" s="2" t="str">
        <f>TRIM(Table1[[#This Row],[Numer_FV]])</f>
        <v>FV/7185HM/22</v>
      </c>
      <c r="B906" s="2" t="str">
        <f>TRIM(Table1[[#This Row],[Numer_PZ]])</f>
        <v>PZ/800904</v>
      </c>
      <c r="C906" s="2" t="str">
        <f>TRIM(Table1[[#This Row],[Dostawca]])</f>
        <v>HurtMedix</v>
      </c>
      <c r="D906" s="3">
        <v>44897</v>
      </c>
      <c r="E906" s="4" t="s">
        <v>2699</v>
      </c>
      <c r="F906" s="2" t="str">
        <f>TRIM(Table1[[#This Row],[Status]])</f>
        <v>Zaakceptowana</v>
      </c>
      <c r="G906" s="2" t="str">
        <f>TRIM(Table1[[#This Row],[Typ]])</f>
        <v>Faktura VAT</v>
      </c>
      <c r="H906" s="2" t="str">
        <f>TRIM(Table1[[#This Row],[Magazyn]])</f>
        <v>Apteka Szpitalna</v>
      </c>
      <c r="I906" s="2" t="str">
        <f>TRIM(Table1[[#This Row],[Umowa]])</f>
        <v>UM-HUR-03</v>
      </c>
      <c r="J906" s="2" t="b">
        <f>ISTEXT(Table14[[#This Row],[Data_Wystawienia]])</f>
        <v>0</v>
      </c>
      <c r="K906" s="2">
        <f>VALUE(SUBSTITUTE(Table14[[#This Row],[Wartość]],".",","))</f>
        <v>19414.47</v>
      </c>
      <c r="L9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6" s="2" t="str">
        <f>IF(Table14[[#This Row],[Umowa]]="","Poza umową","Z umowy")</f>
        <v>Z umowy</v>
      </c>
      <c r="N906" s="2">
        <f>YEAR(Table14[[#This Row],[Data_Wystawienia]])</f>
        <v>2022</v>
      </c>
      <c r="O906" s="2" t="str">
        <f>TEXT(Table14[[#This Row],[Data_Wystawienia]],"rrrr-mm")</f>
        <v>2022-12</v>
      </c>
      <c r="P906" s="2">
        <v>1</v>
      </c>
    </row>
    <row r="907" spans="1:16" x14ac:dyDescent="0.3">
      <c r="A907" s="2" t="str">
        <f>TRIM(Table1[[#This Row],[Numer_FV]])</f>
        <v>FV/21/SAL/22</v>
      </c>
      <c r="B907" s="2" t="str">
        <f>TRIM(Table1[[#This Row],[Numer_PZ]])</f>
        <v>PZ/800905</v>
      </c>
      <c r="C907" s="2" t="str">
        <f>TRIM(Table1[[#This Row],[Dostawca]])</f>
        <v>SalusHurt</v>
      </c>
      <c r="D907" s="3">
        <v>44898</v>
      </c>
      <c r="E907" s="4" t="s">
        <v>2702</v>
      </c>
      <c r="F907" s="2" t="str">
        <f>TRIM(Table1[[#This Row],[Status]])</f>
        <v>Zaakceptowana</v>
      </c>
      <c r="G907" s="2" t="str">
        <f>TRIM(Table1[[#This Row],[Typ]])</f>
        <v>Faktura VAT</v>
      </c>
      <c r="H907" s="2" t="str">
        <f>TRIM(Table1[[#This Row],[Magazyn]])</f>
        <v>Apteka Szpitalna</v>
      </c>
      <c r="I907" s="2" t="str">
        <f>TRIM(Table1[[#This Row],[Umowa]])</f>
        <v>UM-SAL-01</v>
      </c>
      <c r="J907" s="2" t="b">
        <f>ISTEXT(Table14[[#This Row],[Data_Wystawienia]])</f>
        <v>0</v>
      </c>
      <c r="K907" s="2">
        <f>VALUE(SUBSTITUTE(Table14[[#This Row],[Wartość]],".",","))</f>
        <v>11429.97</v>
      </c>
      <c r="L9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7" s="2" t="str">
        <f>IF(Table14[[#This Row],[Umowa]]="","Poza umową","Z umowy")</f>
        <v>Z umowy</v>
      </c>
      <c r="N907" s="2">
        <f>YEAR(Table14[[#This Row],[Data_Wystawienia]])</f>
        <v>2022</v>
      </c>
      <c r="O907" s="2" t="str">
        <f>TEXT(Table14[[#This Row],[Data_Wystawienia]],"rrrr-mm")</f>
        <v>2022-12</v>
      </c>
      <c r="P907" s="2">
        <v>1</v>
      </c>
    </row>
    <row r="908" spans="1:16" x14ac:dyDescent="0.3">
      <c r="A908" s="2" t="str">
        <f>TRIM(Table1[[#This Row],[Numer_FV]])</f>
        <v>FV/CENFA/314914/22</v>
      </c>
      <c r="B908" s="2" t="str">
        <f>TRIM(Table1[[#This Row],[Numer_PZ]])</f>
        <v>PZ/800906</v>
      </c>
      <c r="C908" s="2" t="str">
        <f>TRIM(Table1[[#This Row],[Dostawca]])</f>
        <v>CentrumFarm</v>
      </c>
      <c r="D908" s="3">
        <v>44898</v>
      </c>
      <c r="E908" s="4" t="s">
        <v>2705</v>
      </c>
      <c r="F908" s="2" t="str">
        <f>TRIM(Table1[[#This Row],[Status]])</f>
        <v>Zaakceptowana</v>
      </c>
      <c r="G908" s="2" t="str">
        <f>TRIM(Table1[[#This Row],[Typ]])</f>
        <v>Faktura VAT</v>
      </c>
      <c r="H908" s="2" t="str">
        <f>TRIM(Table1[[#This Row],[Magazyn]])</f>
        <v>Apteka Szpitalna</v>
      </c>
      <c r="I908" s="2" t="str">
        <f>TRIM(Table1[[#This Row],[Umowa]])</f>
        <v>UM-CEN-02</v>
      </c>
      <c r="J908" s="2" t="b">
        <f>ISTEXT(Table14[[#This Row],[Data_Wystawienia]])</f>
        <v>0</v>
      </c>
      <c r="K908" s="2">
        <f>VALUE(SUBSTITUTE(Table14[[#This Row],[Wartość]],".",","))</f>
        <v>20996.86</v>
      </c>
      <c r="L9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8" s="2" t="str">
        <f>IF(Table14[[#This Row],[Umowa]]="","Poza umową","Z umowy")</f>
        <v>Z umowy</v>
      </c>
      <c r="N908" s="2">
        <f>YEAR(Table14[[#This Row],[Data_Wystawienia]])</f>
        <v>2022</v>
      </c>
      <c r="O908" s="2" t="str">
        <f>TEXT(Table14[[#This Row],[Data_Wystawienia]],"rrrr-mm")</f>
        <v>2022-12</v>
      </c>
      <c r="P908" s="2">
        <v>1</v>
      </c>
    </row>
    <row r="909" spans="1:16" x14ac:dyDescent="0.3">
      <c r="A909" s="2" t="str">
        <f>TRIM(Table1[[#This Row],[Numer_FV]])</f>
        <v>FV/90/SAL/22</v>
      </c>
      <c r="B909" s="2" t="str">
        <f>TRIM(Table1[[#This Row],[Numer_PZ]])</f>
        <v>PZ/800907</v>
      </c>
      <c r="C909" s="2" t="str">
        <f>TRIM(Table1[[#This Row],[Dostawca]])</f>
        <v>SalusHurt</v>
      </c>
      <c r="D909" s="3">
        <v>44899</v>
      </c>
      <c r="E909" s="4" t="s">
        <v>2707</v>
      </c>
      <c r="F909" s="2" t="str">
        <f>TRIM(Table1[[#This Row],[Status]])</f>
        <v>Zaakceptowana</v>
      </c>
      <c r="G909" s="2" t="str">
        <f>TRIM(Table1[[#This Row],[Typ]])</f>
        <v>Faktura VAT</v>
      </c>
      <c r="H909" s="2" t="str">
        <f>TRIM(Table1[[#This Row],[Magazyn]])</f>
        <v>Apteka Szpitalna</v>
      </c>
      <c r="I909" s="2" t="str">
        <f>TRIM(Table1[[#This Row],[Umowa]])</f>
        <v>UM-SAL-02</v>
      </c>
      <c r="J909" s="2" t="b">
        <f>ISTEXT(Table14[[#This Row],[Data_Wystawienia]])</f>
        <v>0</v>
      </c>
      <c r="K909" s="2">
        <f>VALUE(SUBSTITUTE(Table14[[#This Row],[Wartość]],".",","))</f>
        <v>23021.71</v>
      </c>
      <c r="L9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09" s="2" t="str">
        <f>IF(Table14[[#This Row],[Umowa]]="","Poza umową","Z umowy")</f>
        <v>Z umowy</v>
      </c>
      <c r="N909" s="2">
        <f>YEAR(Table14[[#This Row],[Data_Wystawienia]])</f>
        <v>2022</v>
      </c>
      <c r="O909" s="2" t="str">
        <f>TEXT(Table14[[#This Row],[Data_Wystawienia]],"rrrr-mm")</f>
        <v>2022-12</v>
      </c>
      <c r="P909" s="2">
        <v>1</v>
      </c>
    </row>
    <row r="910" spans="1:16" x14ac:dyDescent="0.3">
      <c r="A910" s="2" t="str">
        <f>TRIM(Table1[[#This Row],[Numer_FV]])</f>
        <v>FV/CENFA/688668/22</v>
      </c>
      <c r="B910" s="2" t="str">
        <f>TRIM(Table1[[#This Row],[Numer_PZ]])</f>
        <v>PZ/800908</v>
      </c>
      <c r="C910" s="2" t="str">
        <f>TRIM(Table1[[#This Row],[Dostawca]])</f>
        <v>CentrumFarm</v>
      </c>
      <c r="D910" s="3">
        <v>44899</v>
      </c>
      <c r="E910" s="4" t="s">
        <v>2710</v>
      </c>
      <c r="F910" s="2" t="str">
        <f>TRIM(Table1[[#This Row],[Status]])</f>
        <v>Zaakceptowana</v>
      </c>
      <c r="G910" s="2" t="str">
        <f>TRIM(Table1[[#This Row],[Typ]])</f>
        <v>Faktura VAT</v>
      </c>
      <c r="H910" s="2" t="str">
        <f>TRIM(Table1[[#This Row],[Magazyn]])</f>
        <v>Apteka Szpitalna</v>
      </c>
      <c r="I910" s="2" t="str">
        <f>TRIM(Table1[[#This Row],[Umowa]])</f>
        <v>UM-CEN-01</v>
      </c>
      <c r="J910" s="2" t="b">
        <f>ISTEXT(Table14[[#This Row],[Data_Wystawienia]])</f>
        <v>0</v>
      </c>
      <c r="K910" s="2">
        <f>VALUE(SUBSTITUTE(Table14[[#This Row],[Wartość]],".",","))</f>
        <v>6631.41</v>
      </c>
      <c r="L9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0" s="2" t="str">
        <f>IF(Table14[[#This Row],[Umowa]]="","Poza umową","Z umowy")</f>
        <v>Z umowy</v>
      </c>
      <c r="N910" s="2">
        <f>YEAR(Table14[[#This Row],[Data_Wystawienia]])</f>
        <v>2022</v>
      </c>
      <c r="O910" s="2" t="str">
        <f>TEXT(Table14[[#This Row],[Data_Wystawienia]],"rrrr-mm")</f>
        <v>2022-12</v>
      </c>
      <c r="P910" s="2">
        <v>1</v>
      </c>
    </row>
    <row r="911" spans="1:16" x14ac:dyDescent="0.3">
      <c r="A911" s="2" t="str">
        <f>TRIM(Table1[[#This Row],[Numer_FV]])</f>
        <v>FV/CENFA/811257/22</v>
      </c>
      <c r="B911" s="2" t="str">
        <f>TRIM(Table1[[#This Row],[Numer_PZ]])</f>
        <v>PZ/800909</v>
      </c>
      <c r="C911" s="2" t="str">
        <f>TRIM(Table1[[#This Row],[Dostawca]])</f>
        <v>CentrumFarm</v>
      </c>
      <c r="D911" s="3">
        <v>44899</v>
      </c>
      <c r="E911" s="4" t="s">
        <v>2713</v>
      </c>
      <c r="F911" s="2" t="str">
        <f>TRIM(Table1[[#This Row],[Status]])</f>
        <v>Zaakceptowana</v>
      </c>
      <c r="G911" s="2" t="str">
        <f>TRIM(Table1[[#This Row],[Typ]])</f>
        <v>Faktura VAT</v>
      </c>
      <c r="H911" s="2" t="str">
        <f>TRIM(Table1[[#This Row],[Magazyn]])</f>
        <v>Apteka Szpitalna</v>
      </c>
      <c r="I911" s="2" t="str">
        <f>TRIM(Table1[[#This Row],[Umowa]])</f>
        <v>UM-CEN-02</v>
      </c>
      <c r="J911" s="2" t="b">
        <f>ISTEXT(Table14[[#This Row],[Data_Wystawienia]])</f>
        <v>0</v>
      </c>
      <c r="K911" s="2">
        <f>VALUE(SUBSTITUTE(Table14[[#This Row],[Wartość]],".",","))</f>
        <v>17289.32</v>
      </c>
      <c r="L9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1" s="2" t="str">
        <f>IF(Table14[[#This Row],[Umowa]]="","Poza umową","Z umowy")</f>
        <v>Z umowy</v>
      </c>
      <c r="N911" s="2">
        <f>YEAR(Table14[[#This Row],[Data_Wystawienia]])</f>
        <v>2022</v>
      </c>
      <c r="O911" s="2" t="str">
        <f>TEXT(Table14[[#This Row],[Data_Wystawienia]],"rrrr-mm")</f>
        <v>2022-12</v>
      </c>
      <c r="P911" s="2">
        <v>1</v>
      </c>
    </row>
    <row r="912" spans="1:16" x14ac:dyDescent="0.3">
      <c r="A912" s="2" t="str">
        <f>TRIM(Table1[[#This Row],[Numer_FV]])</f>
        <v>FV/CENFA/425089/22</v>
      </c>
      <c r="B912" s="2" t="str">
        <f>TRIM(Table1[[#This Row],[Numer_PZ]])</f>
        <v>PZ/800910</v>
      </c>
      <c r="C912" s="2" t="str">
        <f>TRIM(Table1[[#This Row],[Dostawca]])</f>
        <v>CentrumFarm</v>
      </c>
      <c r="D912" s="3">
        <v>44899</v>
      </c>
      <c r="E912" s="4" t="s">
        <v>2716</v>
      </c>
      <c r="F912" s="2" t="str">
        <f>TRIM(Table1[[#This Row],[Status]])</f>
        <v>Zaakceptowana</v>
      </c>
      <c r="G912" s="2" t="str">
        <f>TRIM(Table1[[#This Row],[Typ]])</f>
        <v>Faktura VAT</v>
      </c>
      <c r="H912" s="2" t="str">
        <f>TRIM(Table1[[#This Row],[Magazyn]])</f>
        <v>Apteka Szpitalna</v>
      </c>
      <c r="I912" s="2" t="str">
        <f>TRIM(Table1[[#This Row],[Umowa]])</f>
        <v/>
      </c>
      <c r="J912" s="2" t="b">
        <f>ISTEXT(Table14[[#This Row],[Data_Wystawienia]])</f>
        <v>0</v>
      </c>
      <c r="K912" s="2">
        <f>VALUE(SUBSTITUTE(Table14[[#This Row],[Wartość]],".",","))</f>
        <v>12582.83</v>
      </c>
      <c r="L9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2" s="2" t="str">
        <f>IF(Table14[[#This Row],[Umowa]]="","Poza umową","Z umowy")</f>
        <v>Poza umową</v>
      </c>
      <c r="N912" s="2">
        <f>YEAR(Table14[[#This Row],[Data_Wystawienia]])</f>
        <v>2022</v>
      </c>
      <c r="O912" s="2" t="str">
        <f>TEXT(Table14[[#This Row],[Data_Wystawienia]],"rrrr-mm")</f>
        <v>2022-12</v>
      </c>
      <c r="P912" s="2">
        <v>1</v>
      </c>
    </row>
    <row r="913" spans="1:16" x14ac:dyDescent="0.3">
      <c r="A913" s="2" t="str">
        <f>TRIM(Table1[[#This Row],[Numer_FV]])</f>
        <v>FV/6493HM/22</v>
      </c>
      <c r="B913" s="2" t="str">
        <f>TRIM(Table1[[#This Row],[Numer_PZ]])</f>
        <v>PZ/800911</v>
      </c>
      <c r="C913" s="2" t="str">
        <f>TRIM(Table1[[#This Row],[Dostawca]])</f>
        <v>HurtMedix</v>
      </c>
      <c r="D913" s="3">
        <v>44900</v>
      </c>
      <c r="E913" s="4" t="s">
        <v>2719</v>
      </c>
      <c r="F913" s="2" t="str">
        <f>TRIM(Table1[[#This Row],[Status]])</f>
        <v>Zaakceptowana</v>
      </c>
      <c r="G913" s="2" t="str">
        <f>TRIM(Table1[[#This Row],[Typ]])</f>
        <v>Faktura VAT</v>
      </c>
      <c r="H913" s="2" t="str">
        <f>TRIM(Table1[[#This Row],[Magazyn]])</f>
        <v>Apteka Szpitalna</v>
      </c>
      <c r="I913" s="2" t="str">
        <f>TRIM(Table1[[#This Row],[Umowa]])</f>
        <v>UM-HUR-01</v>
      </c>
      <c r="J913" s="2" t="b">
        <f>ISTEXT(Table14[[#This Row],[Data_Wystawienia]])</f>
        <v>0</v>
      </c>
      <c r="K913" s="2">
        <f>VALUE(SUBSTITUTE(Table14[[#This Row],[Wartość]],".",","))</f>
        <v>24453.8</v>
      </c>
      <c r="L9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3" s="2" t="str">
        <f>IF(Table14[[#This Row],[Umowa]]="","Poza umową","Z umowy")</f>
        <v>Z umowy</v>
      </c>
      <c r="N913" s="2">
        <f>YEAR(Table14[[#This Row],[Data_Wystawienia]])</f>
        <v>2022</v>
      </c>
      <c r="O913" s="2" t="str">
        <f>TEXT(Table14[[#This Row],[Data_Wystawienia]],"rrrr-mm")</f>
        <v>2022-12</v>
      </c>
      <c r="P913" s="2">
        <v>1</v>
      </c>
    </row>
    <row r="914" spans="1:16" x14ac:dyDescent="0.3">
      <c r="A914" s="2" t="str">
        <f>TRIM(Table1[[#This Row],[Numer_FV]])</f>
        <v>FV/CENFA/486861/22</v>
      </c>
      <c r="B914" s="2" t="str">
        <f>TRIM(Table1[[#This Row],[Numer_PZ]])</f>
        <v>PZ/800912</v>
      </c>
      <c r="C914" s="2" t="str">
        <f>TRIM(Table1[[#This Row],[Dostawca]])</f>
        <v>CentrumFarm</v>
      </c>
      <c r="D914" s="3">
        <v>44900</v>
      </c>
      <c r="E914" s="4" t="s">
        <v>2722</v>
      </c>
      <c r="F914" s="2" t="str">
        <f>TRIM(Table1[[#This Row],[Status]])</f>
        <v>Zaakceptowana</v>
      </c>
      <c r="G914" s="2" t="str">
        <f>TRIM(Table1[[#This Row],[Typ]])</f>
        <v>Faktura VAT</v>
      </c>
      <c r="H914" s="2" t="str">
        <f>TRIM(Table1[[#This Row],[Magazyn]])</f>
        <v>Apteka Szpitalna</v>
      </c>
      <c r="I914" s="2" t="str">
        <f>TRIM(Table1[[#This Row],[Umowa]])</f>
        <v>UM-CEN-02</v>
      </c>
      <c r="J914" s="2" t="b">
        <f>ISTEXT(Table14[[#This Row],[Data_Wystawienia]])</f>
        <v>0</v>
      </c>
      <c r="K914" s="2">
        <f>VALUE(SUBSTITUTE(Table14[[#This Row],[Wartość]],".",","))</f>
        <v>11898.14</v>
      </c>
      <c r="L9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4" s="2" t="str">
        <f>IF(Table14[[#This Row],[Umowa]]="","Poza umową","Z umowy")</f>
        <v>Z umowy</v>
      </c>
      <c r="N914" s="2">
        <f>YEAR(Table14[[#This Row],[Data_Wystawienia]])</f>
        <v>2022</v>
      </c>
      <c r="O914" s="2" t="str">
        <f>TEXT(Table14[[#This Row],[Data_Wystawienia]],"rrrr-mm")</f>
        <v>2022-12</v>
      </c>
      <c r="P914" s="2">
        <v>1</v>
      </c>
    </row>
    <row r="915" spans="1:16" x14ac:dyDescent="0.3">
      <c r="A915" s="2" t="str">
        <f>TRIM(Table1[[#This Row],[Numer_FV]])</f>
        <v>FV/CENFA/712654/22</v>
      </c>
      <c r="B915" s="2" t="str">
        <f>TRIM(Table1[[#This Row],[Numer_PZ]])</f>
        <v>PZ/800913</v>
      </c>
      <c r="C915" s="2" t="str">
        <f>TRIM(Table1[[#This Row],[Dostawca]])</f>
        <v>CentrumFarm</v>
      </c>
      <c r="D915" s="3">
        <v>44901</v>
      </c>
      <c r="E915" s="4" t="s">
        <v>2725</v>
      </c>
      <c r="F915" s="2" t="str">
        <f>TRIM(Table1[[#This Row],[Status]])</f>
        <v>Zaakceptowana</v>
      </c>
      <c r="G915" s="2" t="str">
        <f>TRIM(Table1[[#This Row],[Typ]])</f>
        <v>Faktura VAT</v>
      </c>
      <c r="H915" s="2" t="str">
        <f>TRIM(Table1[[#This Row],[Magazyn]])</f>
        <v>Apteka Szpitalna</v>
      </c>
      <c r="I915" s="2" t="str">
        <f>TRIM(Table1[[#This Row],[Umowa]])</f>
        <v>UM-CEN-02</v>
      </c>
      <c r="J915" s="2" t="b">
        <f>ISTEXT(Table14[[#This Row],[Data_Wystawienia]])</f>
        <v>0</v>
      </c>
      <c r="K915" s="2">
        <f>VALUE(SUBSTITUTE(Table14[[#This Row],[Wartość]],".",","))</f>
        <v>18498.29</v>
      </c>
      <c r="L9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5" s="2" t="str">
        <f>IF(Table14[[#This Row],[Umowa]]="","Poza umową","Z umowy")</f>
        <v>Z umowy</v>
      </c>
      <c r="N915" s="2">
        <f>YEAR(Table14[[#This Row],[Data_Wystawienia]])</f>
        <v>2022</v>
      </c>
      <c r="O915" s="2" t="str">
        <f>TEXT(Table14[[#This Row],[Data_Wystawienia]],"rrrr-mm")</f>
        <v>2022-12</v>
      </c>
      <c r="P915" s="2">
        <v>1</v>
      </c>
    </row>
    <row r="916" spans="1:16" x14ac:dyDescent="0.3">
      <c r="A916" s="2" t="str">
        <f>TRIM(Table1[[#This Row],[Numer_FV]])</f>
        <v>FV/M/3709/P/22</v>
      </c>
      <c r="B916" s="2" t="str">
        <f>TRIM(Table1[[#This Row],[Numer_PZ]])</f>
        <v>PZ/800914</v>
      </c>
      <c r="C916" s="2" t="str">
        <f>TRIM(Table1[[#This Row],[Dostawca]])</f>
        <v>MedicaPharm</v>
      </c>
      <c r="D916" s="3">
        <v>44901</v>
      </c>
      <c r="E916" s="4" t="s">
        <v>2728</v>
      </c>
      <c r="F916" s="2" t="str">
        <f>TRIM(Table1[[#This Row],[Status]])</f>
        <v>Zaakceptowana</v>
      </c>
      <c r="G916" s="2" t="str">
        <f>TRIM(Table1[[#This Row],[Typ]])</f>
        <v>Faktura VAT</v>
      </c>
      <c r="H916" s="2" t="str">
        <f>TRIM(Table1[[#This Row],[Magazyn]])</f>
        <v>Apteka Szpitalna</v>
      </c>
      <c r="I916" s="2" t="str">
        <f>TRIM(Table1[[#This Row],[Umowa]])</f>
        <v>UM-MED-01</v>
      </c>
      <c r="J916" s="2" t="b">
        <f>ISTEXT(Table14[[#This Row],[Data_Wystawienia]])</f>
        <v>0</v>
      </c>
      <c r="K916" s="2">
        <f>VALUE(SUBSTITUTE(Table14[[#This Row],[Wartość]],".",","))</f>
        <v>21233.74</v>
      </c>
      <c r="L9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6" s="2" t="str">
        <f>IF(Table14[[#This Row],[Umowa]]="","Poza umową","Z umowy")</f>
        <v>Z umowy</v>
      </c>
      <c r="N916" s="2">
        <f>YEAR(Table14[[#This Row],[Data_Wystawienia]])</f>
        <v>2022</v>
      </c>
      <c r="O916" s="2" t="str">
        <f>TEXT(Table14[[#This Row],[Data_Wystawienia]],"rrrr-mm")</f>
        <v>2022-12</v>
      </c>
      <c r="P916" s="2">
        <v>1</v>
      </c>
    </row>
    <row r="917" spans="1:16" x14ac:dyDescent="0.3">
      <c r="A917" s="2" t="str">
        <f>TRIM(Table1[[#This Row],[Numer_FV]])</f>
        <v>FV/9070HM/22</v>
      </c>
      <c r="B917" s="2" t="str">
        <f>TRIM(Table1[[#This Row],[Numer_PZ]])</f>
        <v>PZ/800915</v>
      </c>
      <c r="C917" s="2" t="str">
        <f>TRIM(Table1[[#This Row],[Dostawca]])</f>
        <v>HurtMedix</v>
      </c>
      <c r="D917" s="3">
        <v>44901</v>
      </c>
      <c r="E917" s="4" t="s">
        <v>2731</v>
      </c>
      <c r="F917" s="2" t="str">
        <f>TRIM(Table1[[#This Row],[Status]])</f>
        <v>Zaakceptowana</v>
      </c>
      <c r="G917" s="2" t="str">
        <f>TRIM(Table1[[#This Row],[Typ]])</f>
        <v>Faktura VAT</v>
      </c>
      <c r="H917" s="2" t="str">
        <f>TRIM(Table1[[#This Row],[Magazyn]])</f>
        <v>Apteka Szpitalna</v>
      </c>
      <c r="I917" s="2" t="str">
        <f>TRIM(Table1[[#This Row],[Umowa]])</f>
        <v>UM-HUR-01</v>
      </c>
      <c r="J917" s="2" t="b">
        <f>ISTEXT(Table14[[#This Row],[Data_Wystawienia]])</f>
        <v>0</v>
      </c>
      <c r="K917" s="2">
        <f>VALUE(SUBSTITUTE(Table14[[#This Row],[Wartość]],".",","))</f>
        <v>16914.14</v>
      </c>
      <c r="L9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7" s="2" t="str">
        <f>IF(Table14[[#This Row],[Umowa]]="","Poza umową","Z umowy")</f>
        <v>Z umowy</v>
      </c>
      <c r="N917" s="2">
        <f>YEAR(Table14[[#This Row],[Data_Wystawienia]])</f>
        <v>2022</v>
      </c>
      <c r="O917" s="2" t="str">
        <f>TEXT(Table14[[#This Row],[Data_Wystawienia]],"rrrr-mm")</f>
        <v>2022-12</v>
      </c>
      <c r="P917" s="2">
        <v>1</v>
      </c>
    </row>
    <row r="918" spans="1:16" x14ac:dyDescent="0.3">
      <c r="A918" s="2" t="str">
        <f>TRIM(Table1[[#This Row],[Numer_FV]])</f>
        <v>FV/89/PP/3357/22</v>
      </c>
      <c r="B918" s="2" t="str">
        <f>TRIM(Table1[[#This Row],[Numer_PZ]])</f>
        <v>PZ/800916</v>
      </c>
      <c r="C918" s="2" t="str">
        <f>TRIM(Table1[[#This Row],[Dostawca]])</f>
        <v>PharmaPlus</v>
      </c>
      <c r="D918" s="3">
        <v>44902</v>
      </c>
      <c r="E918" s="4" t="s">
        <v>2734</v>
      </c>
      <c r="F918" s="2" t="str">
        <f>TRIM(Table1[[#This Row],[Status]])</f>
        <v>Zaakceptowana</v>
      </c>
      <c r="G918" s="2" t="str">
        <f>TRIM(Table1[[#This Row],[Typ]])</f>
        <v>Faktura VAT</v>
      </c>
      <c r="H918" s="2" t="str">
        <f>TRIM(Table1[[#This Row],[Magazyn]])</f>
        <v>Apteka Szpitalna</v>
      </c>
      <c r="I918" s="2" t="str">
        <f>TRIM(Table1[[#This Row],[Umowa]])</f>
        <v>UM-PHA-01</v>
      </c>
      <c r="J918" s="2" t="b">
        <f>ISTEXT(Table14[[#This Row],[Data_Wystawienia]])</f>
        <v>0</v>
      </c>
      <c r="K918" s="2">
        <f>VALUE(SUBSTITUTE(Table14[[#This Row],[Wartość]],".",","))</f>
        <v>6719.11</v>
      </c>
      <c r="L9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8" s="2" t="str">
        <f>IF(Table14[[#This Row],[Umowa]]="","Poza umową","Z umowy")</f>
        <v>Z umowy</v>
      </c>
      <c r="N918" s="2">
        <f>YEAR(Table14[[#This Row],[Data_Wystawienia]])</f>
        <v>2022</v>
      </c>
      <c r="O918" s="2" t="str">
        <f>TEXT(Table14[[#This Row],[Data_Wystawienia]],"rrrr-mm")</f>
        <v>2022-12</v>
      </c>
      <c r="P918" s="2">
        <v>1</v>
      </c>
    </row>
    <row r="919" spans="1:16" x14ac:dyDescent="0.3">
      <c r="A919" s="2" t="str">
        <f>TRIM(Table1[[#This Row],[Numer_FV]])</f>
        <v>FV/CENFA/808311/22</v>
      </c>
      <c r="B919" s="2" t="str">
        <f>TRIM(Table1[[#This Row],[Numer_PZ]])</f>
        <v>PZ/800917</v>
      </c>
      <c r="C919" s="2" t="str">
        <f>TRIM(Table1[[#This Row],[Dostawca]])</f>
        <v>CentrumFarm</v>
      </c>
      <c r="D919" s="3">
        <v>44902</v>
      </c>
      <c r="E919" s="4" t="s">
        <v>2737</v>
      </c>
      <c r="F919" s="2" t="str">
        <f>TRIM(Table1[[#This Row],[Status]])</f>
        <v>Zaakceptowana</v>
      </c>
      <c r="G919" s="2" t="str">
        <f>TRIM(Table1[[#This Row],[Typ]])</f>
        <v>Faktura VAT</v>
      </c>
      <c r="H919" s="2" t="str">
        <f>TRIM(Table1[[#This Row],[Magazyn]])</f>
        <v>Apteka Szpitalna</v>
      </c>
      <c r="I919" s="2" t="str">
        <f>TRIM(Table1[[#This Row],[Umowa]])</f>
        <v>UM-CEN-02</v>
      </c>
      <c r="J919" s="2" t="b">
        <f>ISTEXT(Table14[[#This Row],[Data_Wystawienia]])</f>
        <v>0</v>
      </c>
      <c r="K919" s="2">
        <f>VALUE(SUBSTITUTE(Table14[[#This Row],[Wartość]],".",","))</f>
        <v>4343.8599999999997</v>
      </c>
      <c r="L9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19" s="2" t="str">
        <f>IF(Table14[[#This Row],[Umowa]]="","Poza umową","Z umowy")</f>
        <v>Z umowy</v>
      </c>
      <c r="N919" s="2">
        <f>YEAR(Table14[[#This Row],[Data_Wystawienia]])</f>
        <v>2022</v>
      </c>
      <c r="O919" s="2" t="str">
        <f>TEXT(Table14[[#This Row],[Data_Wystawienia]],"rrrr-mm")</f>
        <v>2022-12</v>
      </c>
      <c r="P919" s="2">
        <v>1</v>
      </c>
    </row>
    <row r="920" spans="1:16" x14ac:dyDescent="0.3">
      <c r="A920" s="2" t="str">
        <f>TRIM(Table1[[#This Row],[Numer_FV]])</f>
        <v>FV/6760/NOVA/22</v>
      </c>
      <c r="B920" s="2" t="str">
        <f>TRIM(Table1[[#This Row],[Numer_PZ]])</f>
        <v>PZ/800918</v>
      </c>
      <c r="C920" s="2" t="str">
        <f>TRIM(Table1[[#This Row],[Dostawca]])</f>
        <v>NovaLek</v>
      </c>
      <c r="D920" s="3">
        <v>44902</v>
      </c>
      <c r="E920" s="4" t="s">
        <v>2740</v>
      </c>
      <c r="F920" s="2" t="str">
        <f>TRIM(Table1[[#This Row],[Status]])</f>
        <v>Zaakceptowana</v>
      </c>
      <c r="G920" s="2" t="str">
        <f>TRIM(Table1[[#This Row],[Typ]])</f>
        <v>Faktura VAT</v>
      </c>
      <c r="H920" s="2" t="str">
        <f>TRIM(Table1[[#This Row],[Magazyn]])</f>
        <v>Apteka Szpitalna</v>
      </c>
      <c r="I920" s="2" t="str">
        <f>TRIM(Table1[[#This Row],[Umowa]])</f>
        <v>UM-NOV-02</v>
      </c>
      <c r="J920" s="2" t="b">
        <f>ISTEXT(Table14[[#This Row],[Data_Wystawienia]])</f>
        <v>0</v>
      </c>
      <c r="K920" s="2">
        <f>VALUE(SUBSTITUTE(Table14[[#This Row],[Wartość]],".",","))</f>
        <v>16583.310000000001</v>
      </c>
      <c r="L9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0" s="2" t="str">
        <f>IF(Table14[[#This Row],[Umowa]]="","Poza umową","Z umowy")</f>
        <v>Z umowy</v>
      </c>
      <c r="N920" s="2">
        <f>YEAR(Table14[[#This Row],[Data_Wystawienia]])</f>
        <v>2022</v>
      </c>
      <c r="O920" s="2" t="str">
        <f>TEXT(Table14[[#This Row],[Data_Wystawienia]],"rrrr-mm")</f>
        <v>2022-12</v>
      </c>
      <c r="P920" s="2">
        <v>1</v>
      </c>
    </row>
    <row r="921" spans="1:16" x14ac:dyDescent="0.3">
      <c r="A921" s="2" t="str">
        <f>TRIM(Table1[[#This Row],[Numer_FV]])</f>
        <v>FV/CENFA/268577/22</v>
      </c>
      <c r="B921" s="2" t="str">
        <f>TRIM(Table1[[#This Row],[Numer_PZ]])</f>
        <v>PZ/800919</v>
      </c>
      <c r="C921" s="2" t="str">
        <f>TRIM(Table1[[#This Row],[Dostawca]])</f>
        <v>CentrumFarm</v>
      </c>
      <c r="D921" s="3">
        <v>44902</v>
      </c>
      <c r="E921" s="4" t="s">
        <v>2743</v>
      </c>
      <c r="F921" s="2" t="str">
        <f>TRIM(Table1[[#This Row],[Status]])</f>
        <v>Zaakceptowana</v>
      </c>
      <c r="G921" s="2" t="str">
        <f>TRIM(Table1[[#This Row],[Typ]])</f>
        <v>Faktura VAT</v>
      </c>
      <c r="H921" s="2" t="str">
        <f>TRIM(Table1[[#This Row],[Magazyn]])</f>
        <v>Apteka Szpitalna</v>
      </c>
      <c r="I921" s="2" t="str">
        <f>TRIM(Table1[[#This Row],[Umowa]])</f>
        <v/>
      </c>
      <c r="J921" s="2" t="b">
        <f>ISTEXT(Table14[[#This Row],[Data_Wystawienia]])</f>
        <v>0</v>
      </c>
      <c r="K921" s="2">
        <f>VALUE(SUBSTITUTE(Table14[[#This Row],[Wartość]],".",","))</f>
        <v>19000.86</v>
      </c>
      <c r="L9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1" s="2" t="str">
        <f>IF(Table14[[#This Row],[Umowa]]="","Poza umową","Z umowy")</f>
        <v>Poza umową</v>
      </c>
      <c r="N921" s="2">
        <f>YEAR(Table14[[#This Row],[Data_Wystawienia]])</f>
        <v>2022</v>
      </c>
      <c r="O921" s="2" t="str">
        <f>TEXT(Table14[[#This Row],[Data_Wystawienia]],"rrrr-mm")</f>
        <v>2022-12</v>
      </c>
      <c r="P921" s="2">
        <v>1</v>
      </c>
    </row>
    <row r="922" spans="1:16" x14ac:dyDescent="0.3">
      <c r="A922" s="2" t="str">
        <f>TRIM(Table1[[#This Row],[Numer_FV]])</f>
        <v>FV/1700/NOVA/22</v>
      </c>
      <c r="B922" s="2" t="str">
        <f>TRIM(Table1[[#This Row],[Numer_PZ]])</f>
        <v>PZ/800920</v>
      </c>
      <c r="C922" s="2" t="str">
        <f>TRIM(Table1[[#This Row],[Dostawca]])</f>
        <v>NovaLek</v>
      </c>
      <c r="D922" s="3">
        <v>44902</v>
      </c>
      <c r="E922" s="4" t="s">
        <v>2746</v>
      </c>
      <c r="F922" s="2" t="str">
        <f>TRIM(Table1[[#This Row],[Status]])</f>
        <v>Zaakceptowana</v>
      </c>
      <c r="G922" s="2" t="str">
        <f>TRIM(Table1[[#This Row],[Typ]])</f>
        <v>Faktura VAT</v>
      </c>
      <c r="H922" s="2" t="str">
        <f>TRIM(Table1[[#This Row],[Magazyn]])</f>
        <v>Apteka Szpitalna</v>
      </c>
      <c r="I922" s="2" t="str">
        <f>TRIM(Table1[[#This Row],[Umowa]])</f>
        <v/>
      </c>
      <c r="J922" s="2" t="b">
        <f>ISTEXT(Table14[[#This Row],[Data_Wystawienia]])</f>
        <v>0</v>
      </c>
      <c r="K922" s="2">
        <f>VALUE(SUBSTITUTE(Table14[[#This Row],[Wartość]],".",","))</f>
        <v>14777.15</v>
      </c>
      <c r="L9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2" s="2" t="str">
        <f>IF(Table14[[#This Row],[Umowa]]="","Poza umową","Z umowy")</f>
        <v>Poza umową</v>
      </c>
      <c r="N922" s="2">
        <f>YEAR(Table14[[#This Row],[Data_Wystawienia]])</f>
        <v>2022</v>
      </c>
      <c r="O922" s="2" t="str">
        <f>TEXT(Table14[[#This Row],[Data_Wystawienia]],"rrrr-mm")</f>
        <v>2022-12</v>
      </c>
      <c r="P922" s="2">
        <v>1</v>
      </c>
    </row>
    <row r="923" spans="1:16" x14ac:dyDescent="0.3">
      <c r="A923" s="2" t="str">
        <f>TRIM(Table1[[#This Row],[Numer_FV]])</f>
        <v>FV/30762/VDb/2022</v>
      </c>
      <c r="B923" s="2" t="str">
        <f>TRIM(Table1[[#This Row],[Numer_PZ]])</f>
        <v>PZ/800921</v>
      </c>
      <c r="C923" s="2" t="str">
        <f>TRIM(Table1[[#This Row],[Dostawca]])</f>
        <v>VitaDistrib</v>
      </c>
      <c r="D923" s="3">
        <v>44902</v>
      </c>
      <c r="E923" s="4" t="s">
        <v>2749</v>
      </c>
      <c r="F923" s="2" t="str">
        <f>TRIM(Table1[[#This Row],[Status]])</f>
        <v>Zaakceptowana</v>
      </c>
      <c r="G923" s="2" t="str">
        <f>TRIM(Table1[[#This Row],[Typ]])</f>
        <v>Faktura VAT</v>
      </c>
      <c r="H923" s="2" t="str">
        <f>TRIM(Table1[[#This Row],[Magazyn]])</f>
        <v>Apteka Szpitalna</v>
      </c>
      <c r="I923" s="2" t="str">
        <f>TRIM(Table1[[#This Row],[Umowa]])</f>
        <v>UM-VIT-01</v>
      </c>
      <c r="J923" s="2" t="b">
        <f>ISTEXT(Table14[[#This Row],[Data_Wystawienia]])</f>
        <v>0</v>
      </c>
      <c r="K923" s="2">
        <f>VALUE(SUBSTITUTE(Table14[[#This Row],[Wartość]],".",","))</f>
        <v>16092.47</v>
      </c>
      <c r="L9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3" s="2" t="str">
        <f>IF(Table14[[#This Row],[Umowa]]="","Poza umową","Z umowy")</f>
        <v>Z umowy</v>
      </c>
      <c r="N923" s="2">
        <f>YEAR(Table14[[#This Row],[Data_Wystawienia]])</f>
        <v>2022</v>
      </c>
      <c r="O923" s="2" t="str">
        <f>TEXT(Table14[[#This Row],[Data_Wystawienia]],"rrrr-mm")</f>
        <v>2022-12</v>
      </c>
      <c r="P923" s="2">
        <v>1</v>
      </c>
    </row>
    <row r="924" spans="1:16" x14ac:dyDescent="0.3">
      <c r="A924" s="2" t="str">
        <f>TRIM(Table1[[#This Row],[Numer_FV]])</f>
        <v>FV/CENFA/692975/22</v>
      </c>
      <c r="B924" s="2" t="str">
        <f>TRIM(Table1[[#This Row],[Numer_PZ]])</f>
        <v>PZ/800922</v>
      </c>
      <c r="C924" s="2" t="str">
        <f>TRIM(Table1[[#This Row],[Dostawca]])</f>
        <v>CentrumFarm</v>
      </c>
      <c r="D924" s="3">
        <v>44902</v>
      </c>
      <c r="E924" s="4" t="s">
        <v>2752</v>
      </c>
      <c r="F924" s="2" t="str">
        <f>TRIM(Table1[[#This Row],[Status]])</f>
        <v>Zaakceptowana</v>
      </c>
      <c r="G924" s="2" t="str">
        <f>TRIM(Table1[[#This Row],[Typ]])</f>
        <v>Faktura VAT</v>
      </c>
      <c r="H924" s="2" t="str">
        <f>TRIM(Table1[[#This Row],[Magazyn]])</f>
        <v>Apteka Szpitalna</v>
      </c>
      <c r="I924" s="2" t="str">
        <f>TRIM(Table1[[#This Row],[Umowa]])</f>
        <v/>
      </c>
      <c r="J924" s="2" t="b">
        <f>ISTEXT(Table14[[#This Row],[Data_Wystawienia]])</f>
        <v>0</v>
      </c>
      <c r="K924" s="2">
        <f>VALUE(SUBSTITUTE(Table14[[#This Row],[Wartość]],".",","))</f>
        <v>1298.6199999999999</v>
      </c>
      <c r="L9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4" s="2" t="str">
        <f>IF(Table14[[#This Row],[Umowa]]="","Poza umową","Z umowy")</f>
        <v>Poza umową</v>
      </c>
      <c r="N924" s="2">
        <f>YEAR(Table14[[#This Row],[Data_Wystawienia]])</f>
        <v>2022</v>
      </c>
      <c r="O924" s="2" t="str">
        <f>TEXT(Table14[[#This Row],[Data_Wystawienia]],"rrrr-mm")</f>
        <v>2022-12</v>
      </c>
      <c r="P924" s="2">
        <v>1</v>
      </c>
    </row>
    <row r="925" spans="1:16" x14ac:dyDescent="0.3">
      <c r="A925" s="2" t="str">
        <f>TRIM(Table1[[#This Row],[Numer_FV]])</f>
        <v>FV/POL/57732/2022</v>
      </c>
      <c r="B925" s="2" t="str">
        <f>TRIM(Table1[[#This Row],[Numer_PZ]])</f>
        <v>PZ/800923</v>
      </c>
      <c r="C925" s="2" t="str">
        <f>TRIM(Table1[[#This Row],[Dostawca]])</f>
        <v>Polmedica</v>
      </c>
      <c r="D925" s="3">
        <v>44902</v>
      </c>
      <c r="E925" s="4" t="s">
        <v>2755</v>
      </c>
      <c r="F925" s="2" t="str">
        <f>TRIM(Table1[[#This Row],[Status]])</f>
        <v>Zaakceptowana</v>
      </c>
      <c r="G925" s="2" t="str">
        <f>TRIM(Table1[[#This Row],[Typ]])</f>
        <v>Faktura VAT</v>
      </c>
      <c r="H925" s="2" t="str">
        <f>TRIM(Table1[[#This Row],[Magazyn]])</f>
        <v>Apteka Szpitalna</v>
      </c>
      <c r="I925" s="2" t="str">
        <f>TRIM(Table1[[#This Row],[Umowa]])</f>
        <v>UM-POL-01</v>
      </c>
      <c r="J925" s="2" t="b">
        <f>ISTEXT(Table14[[#This Row],[Data_Wystawienia]])</f>
        <v>0</v>
      </c>
      <c r="K925" s="2">
        <f>VALUE(SUBSTITUTE(Table14[[#This Row],[Wartość]],".",","))</f>
        <v>9218.57</v>
      </c>
      <c r="L9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5" s="2" t="str">
        <f>IF(Table14[[#This Row],[Umowa]]="","Poza umową","Z umowy")</f>
        <v>Z umowy</v>
      </c>
      <c r="N925" s="2">
        <f>YEAR(Table14[[#This Row],[Data_Wystawienia]])</f>
        <v>2022</v>
      </c>
      <c r="O925" s="2" t="str">
        <f>TEXT(Table14[[#This Row],[Data_Wystawienia]],"rrrr-mm")</f>
        <v>2022-12</v>
      </c>
      <c r="P925" s="2">
        <v>1</v>
      </c>
    </row>
    <row r="926" spans="1:16" x14ac:dyDescent="0.3">
      <c r="A926" s="2" t="str">
        <f>TRIM(Table1[[#This Row],[Numer_FV]])</f>
        <v>FV/73/PP/5722/22</v>
      </c>
      <c r="B926" s="2" t="str">
        <f>TRIM(Table1[[#This Row],[Numer_PZ]])</f>
        <v>PZ/800924</v>
      </c>
      <c r="C926" s="2" t="str">
        <f>TRIM(Table1[[#This Row],[Dostawca]])</f>
        <v>PharmaPlus</v>
      </c>
      <c r="D926" s="3">
        <v>44902</v>
      </c>
      <c r="E926" s="4" t="s">
        <v>2758</v>
      </c>
      <c r="F926" s="2" t="str">
        <f>TRIM(Table1[[#This Row],[Status]])</f>
        <v>Zaakceptowana</v>
      </c>
      <c r="G926" s="2" t="str">
        <f>TRIM(Table1[[#This Row],[Typ]])</f>
        <v>Faktura VAT</v>
      </c>
      <c r="H926" s="2" t="str">
        <f>TRIM(Table1[[#This Row],[Magazyn]])</f>
        <v>Apteka Szpitalna</v>
      </c>
      <c r="I926" s="2" t="str">
        <f>TRIM(Table1[[#This Row],[Umowa]])</f>
        <v>UM-PHA-02</v>
      </c>
      <c r="J926" s="2" t="b">
        <f>ISTEXT(Table14[[#This Row],[Data_Wystawienia]])</f>
        <v>0</v>
      </c>
      <c r="K926" s="2">
        <f>VALUE(SUBSTITUTE(Table14[[#This Row],[Wartość]],".",","))</f>
        <v>17635.32</v>
      </c>
      <c r="L9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6" s="2" t="str">
        <f>IF(Table14[[#This Row],[Umowa]]="","Poza umową","Z umowy")</f>
        <v>Z umowy</v>
      </c>
      <c r="N926" s="2">
        <f>YEAR(Table14[[#This Row],[Data_Wystawienia]])</f>
        <v>2022</v>
      </c>
      <c r="O926" s="2" t="str">
        <f>TEXT(Table14[[#This Row],[Data_Wystawienia]],"rrrr-mm")</f>
        <v>2022-12</v>
      </c>
      <c r="P926" s="2">
        <v>1</v>
      </c>
    </row>
    <row r="927" spans="1:16" x14ac:dyDescent="0.3">
      <c r="A927" s="2" t="str">
        <f>TRIM(Table1[[#This Row],[Numer_FV]])</f>
        <v>FV/12/PP/2213/22</v>
      </c>
      <c r="B927" s="2" t="str">
        <f>TRIM(Table1[[#This Row],[Numer_PZ]])</f>
        <v>PZ/800925</v>
      </c>
      <c r="C927" s="2" t="str">
        <f>TRIM(Table1[[#This Row],[Dostawca]])</f>
        <v>PharmaPlus</v>
      </c>
      <c r="D927" s="3">
        <v>44903</v>
      </c>
      <c r="E927" s="4" t="s">
        <v>2761</v>
      </c>
      <c r="F927" s="2" t="str">
        <f>TRIM(Table1[[#This Row],[Status]])</f>
        <v>Zaakceptowana</v>
      </c>
      <c r="G927" s="2" t="str">
        <f>TRIM(Table1[[#This Row],[Typ]])</f>
        <v>Faktura VAT</v>
      </c>
      <c r="H927" s="2" t="str">
        <f>TRIM(Table1[[#This Row],[Magazyn]])</f>
        <v>Apteka Szpitalna</v>
      </c>
      <c r="I927" s="2" t="str">
        <f>TRIM(Table1[[#This Row],[Umowa]])</f>
        <v>UM-PHA-02</v>
      </c>
      <c r="J927" s="2" t="b">
        <f>ISTEXT(Table14[[#This Row],[Data_Wystawienia]])</f>
        <v>0</v>
      </c>
      <c r="K927" s="2">
        <f>VALUE(SUBSTITUTE(Table14[[#This Row],[Wartość]],".",","))</f>
        <v>14253.86</v>
      </c>
      <c r="L9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7" s="2" t="str">
        <f>IF(Table14[[#This Row],[Umowa]]="","Poza umową","Z umowy")</f>
        <v>Z umowy</v>
      </c>
      <c r="N927" s="2">
        <f>YEAR(Table14[[#This Row],[Data_Wystawienia]])</f>
        <v>2022</v>
      </c>
      <c r="O927" s="2" t="str">
        <f>TEXT(Table14[[#This Row],[Data_Wystawienia]],"rrrr-mm")</f>
        <v>2022-12</v>
      </c>
      <c r="P927" s="2">
        <v>1</v>
      </c>
    </row>
    <row r="928" spans="1:16" x14ac:dyDescent="0.3">
      <c r="A928" s="2" t="str">
        <f>TRIM(Table1[[#This Row],[Numer_FV]])</f>
        <v>FV/4030/NOVA/22</v>
      </c>
      <c r="B928" s="2" t="str">
        <f>TRIM(Table1[[#This Row],[Numer_PZ]])</f>
        <v>PZ/800926</v>
      </c>
      <c r="C928" s="2" t="str">
        <f>TRIM(Table1[[#This Row],[Dostawca]])</f>
        <v>NovaLek</v>
      </c>
      <c r="D928" s="3">
        <v>44903</v>
      </c>
      <c r="E928" s="4" t="s">
        <v>2764</v>
      </c>
      <c r="F928" s="2" t="str">
        <f>TRIM(Table1[[#This Row],[Status]])</f>
        <v>Zaakceptowana</v>
      </c>
      <c r="G928" s="2" t="str">
        <f>TRIM(Table1[[#This Row],[Typ]])</f>
        <v>Faktura VAT</v>
      </c>
      <c r="H928" s="2" t="str">
        <f>TRIM(Table1[[#This Row],[Magazyn]])</f>
        <v>Apteka Szpitalna</v>
      </c>
      <c r="I928" s="2" t="str">
        <f>TRIM(Table1[[#This Row],[Umowa]])</f>
        <v>UM-NOV-01</v>
      </c>
      <c r="J928" s="2" t="b">
        <f>ISTEXT(Table14[[#This Row],[Data_Wystawienia]])</f>
        <v>0</v>
      </c>
      <c r="K928" s="2">
        <f>VALUE(SUBSTITUTE(Table14[[#This Row],[Wartość]],".",","))</f>
        <v>9262.11</v>
      </c>
      <c r="L9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8" s="2" t="str">
        <f>IF(Table14[[#This Row],[Umowa]]="","Poza umową","Z umowy")</f>
        <v>Z umowy</v>
      </c>
      <c r="N928" s="2">
        <f>YEAR(Table14[[#This Row],[Data_Wystawienia]])</f>
        <v>2022</v>
      </c>
      <c r="O928" s="2" t="str">
        <f>TEXT(Table14[[#This Row],[Data_Wystawienia]],"rrrr-mm")</f>
        <v>2022-12</v>
      </c>
      <c r="P928" s="2">
        <v>1</v>
      </c>
    </row>
    <row r="929" spans="1:16" x14ac:dyDescent="0.3">
      <c r="A929" s="2" t="str">
        <f>TRIM(Table1[[#This Row],[Numer_FV]])</f>
        <v>FV/64517/VDb/2022</v>
      </c>
      <c r="B929" s="2" t="str">
        <f>TRIM(Table1[[#This Row],[Numer_PZ]])</f>
        <v>PZ/800927</v>
      </c>
      <c r="C929" s="2" t="str">
        <f>TRIM(Table1[[#This Row],[Dostawca]])</f>
        <v>VitaDistrib</v>
      </c>
      <c r="D929" s="3">
        <v>44904</v>
      </c>
      <c r="E929" s="4" t="s">
        <v>2767</v>
      </c>
      <c r="F929" s="2" t="str">
        <f>TRIM(Table1[[#This Row],[Status]])</f>
        <v>Zaakceptowana</v>
      </c>
      <c r="G929" s="2" t="str">
        <f>TRIM(Table1[[#This Row],[Typ]])</f>
        <v>Faktura VAT</v>
      </c>
      <c r="H929" s="2" t="str">
        <f>TRIM(Table1[[#This Row],[Magazyn]])</f>
        <v>Apteka Szpitalna</v>
      </c>
      <c r="I929" s="2" t="str">
        <f>TRIM(Table1[[#This Row],[Umowa]])</f>
        <v>UM-VIT-01</v>
      </c>
      <c r="J929" s="2" t="b">
        <f>ISTEXT(Table14[[#This Row],[Data_Wystawienia]])</f>
        <v>0</v>
      </c>
      <c r="K929" s="2">
        <f>VALUE(SUBSTITUTE(Table14[[#This Row],[Wartość]],".",","))</f>
        <v>16734.419999999998</v>
      </c>
      <c r="L9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29" s="2" t="str">
        <f>IF(Table14[[#This Row],[Umowa]]="","Poza umową","Z umowy")</f>
        <v>Z umowy</v>
      </c>
      <c r="N929" s="2">
        <f>YEAR(Table14[[#This Row],[Data_Wystawienia]])</f>
        <v>2022</v>
      </c>
      <c r="O929" s="2" t="str">
        <f>TEXT(Table14[[#This Row],[Data_Wystawienia]],"rrrr-mm")</f>
        <v>2022-12</v>
      </c>
      <c r="P929" s="2">
        <v>1</v>
      </c>
    </row>
    <row r="930" spans="1:16" x14ac:dyDescent="0.3">
      <c r="A930" s="2" t="str">
        <f>TRIM(Table1[[#This Row],[Numer_FV]])</f>
        <v>FV/M/3915/P/22</v>
      </c>
      <c r="B930" s="2" t="str">
        <f>TRIM(Table1[[#This Row],[Numer_PZ]])</f>
        <v>PZ/800928</v>
      </c>
      <c r="C930" s="2" t="str">
        <f>TRIM(Table1[[#This Row],[Dostawca]])</f>
        <v>MedicaPharm</v>
      </c>
      <c r="D930" s="3">
        <v>44904</v>
      </c>
      <c r="E930" s="4" t="s">
        <v>2770</v>
      </c>
      <c r="F930" s="2" t="str">
        <f>TRIM(Table1[[#This Row],[Status]])</f>
        <v>Zaakceptowana</v>
      </c>
      <c r="G930" s="2" t="str">
        <f>TRIM(Table1[[#This Row],[Typ]])</f>
        <v>Faktura VAT</v>
      </c>
      <c r="H930" s="2" t="str">
        <f>TRIM(Table1[[#This Row],[Magazyn]])</f>
        <v>Apteka Szpitalna</v>
      </c>
      <c r="I930" s="2" t="str">
        <f>TRIM(Table1[[#This Row],[Umowa]])</f>
        <v>UM-MED-02</v>
      </c>
      <c r="J930" s="2" t="b">
        <f>ISTEXT(Table14[[#This Row],[Data_Wystawienia]])</f>
        <v>0</v>
      </c>
      <c r="K930" s="2">
        <f>VALUE(SUBSTITUTE(Table14[[#This Row],[Wartość]],".",","))</f>
        <v>19529.28</v>
      </c>
      <c r="L9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0" s="2" t="str">
        <f>IF(Table14[[#This Row],[Umowa]]="","Poza umową","Z umowy")</f>
        <v>Z umowy</v>
      </c>
      <c r="N930" s="2">
        <f>YEAR(Table14[[#This Row],[Data_Wystawienia]])</f>
        <v>2022</v>
      </c>
      <c r="O930" s="2" t="str">
        <f>TEXT(Table14[[#This Row],[Data_Wystawienia]],"rrrr-mm")</f>
        <v>2022-12</v>
      </c>
      <c r="P930" s="2">
        <v>1</v>
      </c>
    </row>
    <row r="931" spans="1:16" x14ac:dyDescent="0.3">
      <c r="A931" s="2" t="str">
        <f>TRIM(Table1[[#This Row],[Numer_FV]])</f>
        <v>FV/34945/VDb/2022</v>
      </c>
      <c r="B931" s="2" t="str">
        <f>TRIM(Table1[[#This Row],[Numer_PZ]])</f>
        <v>PZ/800929</v>
      </c>
      <c r="C931" s="2" t="str">
        <f>TRIM(Table1[[#This Row],[Dostawca]])</f>
        <v>VitaDistrib</v>
      </c>
      <c r="D931" s="3">
        <v>44904</v>
      </c>
      <c r="E931" s="4" t="s">
        <v>2773</v>
      </c>
      <c r="F931" s="2" t="str">
        <f>TRIM(Table1[[#This Row],[Status]])</f>
        <v>Zaakceptowana</v>
      </c>
      <c r="G931" s="2" t="str">
        <f>TRIM(Table1[[#This Row],[Typ]])</f>
        <v>Faktura VAT</v>
      </c>
      <c r="H931" s="2" t="str">
        <f>TRIM(Table1[[#This Row],[Magazyn]])</f>
        <v>Apteka Szpitalna</v>
      </c>
      <c r="I931" s="2" t="str">
        <f>TRIM(Table1[[#This Row],[Umowa]])</f>
        <v>UM-VIT-01</v>
      </c>
      <c r="J931" s="2" t="b">
        <f>ISTEXT(Table14[[#This Row],[Data_Wystawienia]])</f>
        <v>0</v>
      </c>
      <c r="K931" s="2">
        <f>VALUE(SUBSTITUTE(Table14[[#This Row],[Wartość]],".",","))</f>
        <v>5223.18</v>
      </c>
      <c r="L9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1" s="2" t="str">
        <f>IF(Table14[[#This Row],[Umowa]]="","Poza umową","Z umowy")</f>
        <v>Z umowy</v>
      </c>
      <c r="N931" s="2">
        <f>YEAR(Table14[[#This Row],[Data_Wystawienia]])</f>
        <v>2022</v>
      </c>
      <c r="O931" s="2" t="str">
        <f>TEXT(Table14[[#This Row],[Data_Wystawienia]],"rrrr-mm")</f>
        <v>2022-12</v>
      </c>
      <c r="P931" s="2">
        <v>1</v>
      </c>
    </row>
    <row r="932" spans="1:16" x14ac:dyDescent="0.3">
      <c r="A932" s="2" t="str">
        <f>TRIM(Table1[[#This Row],[Numer_FV]])</f>
        <v>FV/3194/NOVA/22</v>
      </c>
      <c r="B932" s="2" t="str">
        <f>TRIM(Table1[[#This Row],[Numer_PZ]])</f>
        <v>PZ/800930</v>
      </c>
      <c r="C932" s="2" t="str">
        <f>TRIM(Table1[[#This Row],[Dostawca]])</f>
        <v>NovaLek</v>
      </c>
      <c r="D932" s="3">
        <v>44904</v>
      </c>
      <c r="E932" s="4" t="s">
        <v>2776</v>
      </c>
      <c r="F932" s="2" t="str">
        <f>TRIM(Table1[[#This Row],[Status]])</f>
        <v>Zaakceptowana</v>
      </c>
      <c r="G932" s="2" t="str">
        <f>TRIM(Table1[[#This Row],[Typ]])</f>
        <v>Faktura VAT</v>
      </c>
      <c r="H932" s="2" t="str">
        <f>TRIM(Table1[[#This Row],[Magazyn]])</f>
        <v>Apteka Szpitalna</v>
      </c>
      <c r="I932" s="2" t="str">
        <f>TRIM(Table1[[#This Row],[Umowa]])</f>
        <v>UM-NOV-03</v>
      </c>
      <c r="J932" s="2" t="b">
        <f>ISTEXT(Table14[[#This Row],[Data_Wystawienia]])</f>
        <v>0</v>
      </c>
      <c r="K932" s="2">
        <f>VALUE(SUBSTITUTE(Table14[[#This Row],[Wartość]],".",","))</f>
        <v>15503.92</v>
      </c>
      <c r="L9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2" s="2" t="str">
        <f>IF(Table14[[#This Row],[Umowa]]="","Poza umową","Z umowy")</f>
        <v>Z umowy</v>
      </c>
      <c r="N932" s="2">
        <f>YEAR(Table14[[#This Row],[Data_Wystawienia]])</f>
        <v>2022</v>
      </c>
      <c r="O932" s="2" t="str">
        <f>TEXT(Table14[[#This Row],[Data_Wystawienia]],"rrrr-mm")</f>
        <v>2022-12</v>
      </c>
      <c r="P932" s="2">
        <v>1</v>
      </c>
    </row>
    <row r="933" spans="1:16" x14ac:dyDescent="0.3">
      <c r="A933" s="2" t="str">
        <f>TRIM(Table1[[#This Row],[Numer_FV]])</f>
        <v>FV/16/PP/7257/22</v>
      </c>
      <c r="B933" s="2" t="str">
        <f>TRIM(Table1[[#This Row],[Numer_PZ]])</f>
        <v>PZ/800931</v>
      </c>
      <c r="C933" s="2" t="str">
        <f>TRIM(Table1[[#This Row],[Dostawca]])</f>
        <v>PharmaPlus</v>
      </c>
      <c r="D933" s="3">
        <v>44905</v>
      </c>
      <c r="E933" s="4" t="s">
        <v>2779</v>
      </c>
      <c r="F933" s="2" t="str">
        <f>TRIM(Table1[[#This Row],[Status]])</f>
        <v>Zaakceptowana</v>
      </c>
      <c r="G933" s="2" t="str">
        <f>TRIM(Table1[[#This Row],[Typ]])</f>
        <v>Faktura VAT</v>
      </c>
      <c r="H933" s="2" t="str">
        <f>TRIM(Table1[[#This Row],[Magazyn]])</f>
        <v>Apteka Szpitalna</v>
      </c>
      <c r="I933" s="2" t="str">
        <f>TRIM(Table1[[#This Row],[Umowa]])</f>
        <v/>
      </c>
      <c r="J933" s="2" t="b">
        <f>ISTEXT(Table14[[#This Row],[Data_Wystawienia]])</f>
        <v>0</v>
      </c>
      <c r="K933" s="2">
        <f>VALUE(SUBSTITUTE(Table14[[#This Row],[Wartość]],".",","))</f>
        <v>10082.15</v>
      </c>
      <c r="L9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3" s="2" t="str">
        <f>IF(Table14[[#This Row],[Umowa]]="","Poza umową","Z umowy")</f>
        <v>Poza umową</v>
      </c>
      <c r="N933" s="2">
        <f>YEAR(Table14[[#This Row],[Data_Wystawienia]])</f>
        <v>2022</v>
      </c>
      <c r="O933" s="2" t="str">
        <f>TEXT(Table14[[#This Row],[Data_Wystawienia]],"rrrr-mm")</f>
        <v>2022-12</v>
      </c>
      <c r="P933" s="2">
        <v>1</v>
      </c>
    </row>
    <row r="934" spans="1:16" x14ac:dyDescent="0.3">
      <c r="A934" s="2" t="str">
        <f>TRIM(Table1[[#This Row],[Numer_FV]])</f>
        <v>FV/M/7012/P/22</v>
      </c>
      <c r="B934" s="2" t="str">
        <f>TRIM(Table1[[#This Row],[Numer_PZ]])</f>
        <v>PZ/800932</v>
      </c>
      <c r="C934" s="2" t="str">
        <f>TRIM(Table1[[#This Row],[Dostawca]])</f>
        <v>MedicaPharm</v>
      </c>
      <c r="D934" s="3">
        <v>44905</v>
      </c>
      <c r="E934" s="4" t="s">
        <v>2782</v>
      </c>
      <c r="F934" s="2" t="str">
        <f>TRIM(Table1[[#This Row],[Status]])</f>
        <v>Zaakceptowana</v>
      </c>
      <c r="G934" s="2" t="str">
        <f>TRIM(Table1[[#This Row],[Typ]])</f>
        <v>Faktura VAT</v>
      </c>
      <c r="H934" s="2" t="str">
        <f>TRIM(Table1[[#This Row],[Magazyn]])</f>
        <v>Apteka Szpitalna</v>
      </c>
      <c r="I934" s="2" t="str">
        <f>TRIM(Table1[[#This Row],[Umowa]])</f>
        <v>UM-MED-02</v>
      </c>
      <c r="J934" s="2" t="b">
        <f>ISTEXT(Table14[[#This Row],[Data_Wystawienia]])</f>
        <v>0</v>
      </c>
      <c r="K934" s="2">
        <f>VALUE(SUBSTITUTE(Table14[[#This Row],[Wartość]],".",","))</f>
        <v>10447.75</v>
      </c>
      <c r="L9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4" s="2" t="str">
        <f>IF(Table14[[#This Row],[Umowa]]="","Poza umową","Z umowy")</f>
        <v>Z umowy</v>
      </c>
      <c r="N934" s="2">
        <f>YEAR(Table14[[#This Row],[Data_Wystawienia]])</f>
        <v>2022</v>
      </c>
      <c r="O934" s="2" t="str">
        <f>TEXT(Table14[[#This Row],[Data_Wystawienia]],"rrrr-mm")</f>
        <v>2022-12</v>
      </c>
      <c r="P934" s="2">
        <v>1</v>
      </c>
    </row>
    <row r="935" spans="1:16" x14ac:dyDescent="0.3">
      <c r="A935" s="2" t="str">
        <f>TRIM(Table1[[#This Row],[Numer_FV]])</f>
        <v>FV/6138HM/22</v>
      </c>
      <c r="B935" s="2" t="str">
        <f>TRIM(Table1[[#This Row],[Numer_PZ]])</f>
        <v>PZ/800933</v>
      </c>
      <c r="C935" s="2" t="str">
        <f>TRIM(Table1[[#This Row],[Dostawca]])</f>
        <v>HurtMedix</v>
      </c>
      <c r="D935" s="3">
        <v>44906</v>
      </c>
      <c r="E935" s="4" t="s">
        <v>2785</v>
      </c>
      <c r="F935" s="2" t="str">
        <f>TRIM(Table1[[#This Row],[Status]])</f>
        <v>Zaakceptowana</v>
      </c>
      <c r="G935" s="2" t="str">
        <f>TRIM(Table1[[#This Row],[Typ]])</f>
        <v>Faktura VAT</v>
      </c>
      <c r="H935" s="2" t="str">
        <f>TRIM(Table1[[#This Row],[Magazyn]])</f>
        <v>Apteka Szpitalna</v>
      </c>
      <c r="I935" s="2" t="str">
        <f>TRIM(Table1[[#This Row],[Umowa]])</f>
        <v>UM-HUR-03</v>
      </c>
      <c r="J935" s="2" t="b">
        <f>ISTEXT(Table14[[#This Row],[Data_Wystawienia]])</f>
        <v>0</v>
      </c>
      <c r="K935" s="2">
        <f>VALUE(SUBSTITUTE(Table14[[#This Row],[Wartość]],".",","))</f>
        <v>17005.54</v>
      </c>
      <c r="L9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5" s="2" t="str">
        <f>IF(Table14[[#This Row],[Umowa]]="","Poza umową","Z umowy")</f>
        <v>Z umowy</v>
      </c>
      <c r="N935" s="2">
        <f>YEAR(Table14[[#This Row],[Data_Wystawienia]])</f>
        <v>2022</v>
      </c>
      <c r="O935" s="2" t="str">
        <f>TEXT(Table14[[#This Row],[Data_Wystawienia]],"rrrr-mm")</f>
        <v>2022-12</v>
      </c>
      <c r="P935" s="2">
        <v>1</v>
      </c>
    </row>
    <row r="936" spans="1:16" x14ac:dyDescent="0.3">
      <c r="A936" s="2" t="str">
        <f>TRIM(Table1[[#This Row],[Numer_FV]])</f>
        <v>FV/POL/83202/2022</v>
      </c>
      <c r="B936" s="2" t="str">
        <f>TRIM(Table1[[#This Row],[Numer_PZ]])</f>
        <v>PZ/800934</v>
      </c>
      <c r="C936" s="2" t="str">
        <f>TRIM(Table1[[#This Row],[Dostawca]])</f>
        <v>Polmedica</v>
      </c>
      <c r="D936" s="3">
        <v>44906</v>
      </c>
      <c r="E936" s="4" t="s">
        <v>2788</v>
      </c>
      <c r="F936" s="2" t="str">
        <f>TRIM(Table1[[#This Row],[Status]])</f>
        <v>Zaakceptowana</v>
      </c>
      <c r="G936" s="2" t="str">
        <f>TRIM(Table1[[#This Row],[Typ]])</f>
        <v>Faktura VAT</v>
      </c>
      <c r="H936" s="2" t="str">
        <f>TRIM(Table1[[#This Row],[Magazyn]])</f>
        <v>Apteka Szpitalna</v>
      </c>
      <c r="I936" s="2" t="str">
        <f>TRIM(Table1[[#This Row],[Umowa]])</f>
        <v>UM-POL-03</v>
      </c>
      <c r="J936" s="2" t="b">
        <f>ISTEXT(Table14[[#This Row],[Data_Wystawienia]])</f>
        <v>0</v>
      </c>
      <c r="K936" s="2">
        <f>VALUE(SUBSTITUTE(Table14[[#This Row],[Wartość]],".",","))</f>
        <v>13165.26</v>
      </c>
      <c r="L9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6" s="2" t="str">
        <f>IF(Table14[[#This Row],[Umowa]]="","Poza umową","Z umowy")</f>
        <v>Z umowy</v>
      </c>
      <c r="N936" s="2">
        <f>YEAR(Table14[[#This Row],[Data_Wystawienia]])</f>
        <v>2022</v>
      </c>
      <c r="O936" s="2" t="str">
        <f>TEXT(Table14[[#This Row],[Data_Wystawienia]],"rrrr-mm")</f>
        <v>2022-12</v>
      </c>
      <c r="P936" s="2">
        <v>1</v>
      </c>
    </row>
    <row r="937" spans="1:16" x14ac:dyDescent="0.3">
      <c r="A937" s="2" t="str">
        <f>TRIM(Table1[[#This Row],[Numer_FV]])</f>
        <v>FV/28134/VDb/2022</v>
      </c>
      <c r="B937" s="2" t="str">
        <f>TRIM(Table1[[#This Row],[Numer_PZ]])</f>
        <v>PZ/800935</v>
      </c>
      <c r="C937" s="2" t="str">
        <f>TRIM(Table1[[#This Row],[Dostawca]])</f>
        <v>VitaDistrib</v>
      </c>
      <c r="D937" s="3">
        <v>44906</v>
      </c>
      <c r="E937" s="4" t="s">
        <v>2791</v>
      </c>
      <c r="F937" s="2" t="str">
        <f>TRIM(Table1[[#This Row],[Status]])</f>
        <v>Zaakceptowana</v>
      </c>
      <c r="G937" s="2" t="str">
        <f>TRIM(Table1[[#This Row],[Typ]])</f>
        <v>Faktura VAT</v>
      </c>
      <c r="H937" s="2" t="str">
        <f>TRIM(Table1[[#This Row],[Magazyn]])</f>
        <v>Apteka Szpitalna</v>
      </c>
      <c r="I937" s="2" t="str">
        <f>TRIM(Table1[[#This Row],[Umowa]])</f>
        <v>UM-VIT-01</v>
      </c>
      <c r="J937" s="2" t="b">
        <f>ISTEXT(Table14[[#This Row],[Data_Wystawienia]])</f>
        <v>0</v>
      </c>
      <c r="K937" s="2">
        <f>VALUE(SUBSTITUTE(Table14[[#This Row],[Wartość]],".",","))</f>
        <v>12804.34</v>
      </c>
      <c r="L9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7" s="2" t="str">
        <f>IF(Table14[[#This Row],[Umowa]]="","Poza umową","Z umowy")</f>
        <v>Z umowy</v>
      </c>
      <c r="N937" s="2">
        <f>YEAR(Table14[[#This Row],[Data_Wystawienia]])</f>
        <v>2022</v>
      </c>
      <c r="O937" s="2" t="str">
        <f>TEXT(Table14[[#This Row],[Data_Wystawienia]],"rrrr-mm")</f>
        <v>2022-12</v>
      </c>
      <c r="P937" s="2">
        <v>1</v>
      </c>
    </row>
    <row r="938" spans="1:16" x14ac:dyDescent="0.3">
      <c r="A938" s="2" t="str">
        <f>TRIM(Table1[[#This Row],[Numer_FV]])</f>
        <v>FV/M/8867/P/22</v>
      </c>
      <c r="B938" s="2" t="str">
        <f>TRIM(Table1[[#This Row],[Numer_PZ]])</f>
        <v>PZ/800936</v>
      </c>
      <c r="C938" s="2" t="str">
        <f>TRIM(Table1[[#This Row],[Dostawca]])</f>
        <v>MedicaPharm</v>
      </c>
      <c r="D938" s="3">
        <v>44906</v>
      </c>
      <c r="E938" s="4" t="s">
        <v>2794</v>
      </c>
      <c r="F938" s="2" t="str">
        <f>TRIM(Table1[[#This Row],[Status]])</f>
        <v>Zaakceptowana</v>
      </c>
      <c r="G938" s="2" t="str">
        <f>TRIM(Table1[[#This Row],[Typ]])</f>
        <v>Faktura VAT</v>
      </c>
      <c r="H938" s="2" t="str">
        <f>TRIM(Table1[[#This Row],[Magazyn]])</f>
        <v>Apteka Szpitalna</v>
      </c>
      <c r="I938" s="2" t="str">
        <f>TRIM(Table1[[#This Row],[Umowa]])</f>
        <v>UM-MED-01</v>
      </c>
      <c r="J938" s="2" t="b">
        <f>ISTEXT(Table14[[#This Row],[Data_Wystawienia]])</f>
        <v>0</v>
      </c>
      <c r="K938" s="2">
        <f>VALUE(SUBSTITUTE(Table14[[#This Row],[Wartość]],".",","))</f>
        <v>12723.11</v>
      </c>
      <c r="L9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8" s="2" t="str">
        <f>IF(Table14[[#This Row],[Umowa]]="","Poza umową","Z umowy")</f>
        <v>Z umowy</v>
      </c>
      <c r="N938" s="2">
        <f>YEAR(Table14[[#This Row],[Data_Wystawienia]])</f>
        <v>2022</v>
      </c>
      <c r="O938" s="2" t="str">
        <f>TEXT(Table14[[#This Row],[Data_Wystawienia]],"rrrr-mm")</f>
        <v>2022-12</v>
      </c>
      <c r="P938" s="2">
        <v>1</v>
      </c>
    </row>
    <row r="939" spans="1:16" x14ac:dyDescent="0.3">
      <c r="A939" s="2" t="str">
        <f>TRIM(Table1[[#This Row],[Numer_FV]])</f>
        <v>FV/77/SAL/22</v>
      </c>
      <c r="B939" s="2" t="str">
        <f>TRIM(Table1[[#This Row],[Numer_PZ]])</f>
        <v>PZ/800937</v>
      </c>
      <c r="C939" s="2" t="str">
        <f>TRIM(Table1[[#This Row],[Dostawca]])</f>
        <v>SalusHurt</v>
      </c>
      <c r="D939" s="3">
        <v>44906</v>
      </c>
      <c r="E939" s="4" t="s">
        <v>2796</v>
      </c>
      <c r="F939" s="2" t="str">
        <f>TRIM(Table1[[#This Row],[Status]])</f>
        <v>Zaakceptowana</v>
      </c>
      <c r="G939" s="2" t="str">
        <f>TRIM(Table1[[#This Row],[Typ]])</f>
        <v>Faktura VAT</v>
      </c>
      <c r="H939" s="2" t="str">
        <f>TRIM(Table1[[#This Row],[Magazyn]])</f>
        <v>Apteka Szpitalna</v>
      </c>
      <c r="I939" s="2" t="str">
        <f>TRIM(Table1[[#This Row],[Umowa]])</f>
        <v>UM-SAL-01</v>
      </c>
      <c r="J939" s="2" t="b">
        <f>ISTEXT(Table14[[#This Row],[Data_Wystawienia]])</f>
        <v>0</v>
      </c>
      <c r="K939" s="2">
        <f>VALUE(SUBSTITUTE(Table14[[#This Row],[Wartość]],".",","))</f>
        <v>17681.78</v>
      </c>
      <c r="L9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39" s="2" t="str">
        <f>IF(Table14[[#This Row],[Umowa]]="","Poza umową","Z umowy")</f>
        <v>Z umowy</v>
      </c>
      <c r="N939" s="2">
        <f>YEAR(Table14[[#This Row],[Data_Wystawienia]])</f>
        <v>2022</v>
      </c>
      <c r="O939" s="2" t="str">
        <f>TEXT(Table14[[#This Row],[Data_Wystawienia]],"rrrr-mm")</f>
        <v>2022-12</v>
      </c>
      <c r="P939" s="2">
        <v>1</v>
      </c>
    </row>
    <row r="940" spans="1:16" x14ac:dyDescent="0.3">
      <c r="A940" s="2" t="str">
        <f>TRIM(Table1[[#This Row],[Numer_FV]])</f>
        <v>FV/17/SAL/22</v>
      </c>
      <c r="B940" s="2" t="str">
        <f>TRIM(Table1[[#This Row],[Numer_PZ]])</f>
        <v>PZ/800938</v>
      </c>
      <c r="C940" s="2" t="str">
        <f>TRIM(Table1[[#This Row],[Dostawca]])</f>
        <v>SalusHurt</v>
      </c>
      <c r="D940" s="3">
        <v>44907</v>
      </c>
      <c r="E940" s="4" t="s">
        <v>2798</v>
      </c>
      <c r="F940" s="2" t="str">
        <f>TRIM(Table1[[#This Row],[Status]])</f>
        <v>Zaakceptowana</v>
      </c>
      <c r="G940" s="2" t="str">
        <f>TRIM(Table1[[#This Row],[Typ]])</f>
        <v>Faktura VAT</v>
      </c>
      <c r="H940" s="2" t="str">
        <f>TRIM(Table1[[#This Row],[Magazyn]])</f>
        <v>Apteka Szpitalna</v>
      </c>
      <c r="I940" s="2" t="str">
        <f>TRIM(Table1[[#This Row],[Umowa]])</f>
        <v>UM-SAL-02</v>
      </c>
      <c r="J940" s="2" t="b">
        <f>ISTEXT(Table14[[#This Row],[Data_Wystawienia]])</f>
        <v>0</v>
      </c>
      <c r="K940" s="2">
        <f>VALUE(SUBSTITUTE(Table14[[#This Row],[Wartość]],".",","))</f>
        <v>18190.990000000002</v>
      </c>
      <c r="L9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0" s="2" t="str">
        <f>IF(Table14[[#This Row],[Umowa]]="","Poza umową","Z umowy")</f>
        <v>Z umowy</v>
      </c>
      <c r="N940" s="2">
        <f>YEAR(Table14[[#This Row],[Data_Wystawienia]])</f>
        <v>2022</v>
      </c>
      <c r="O940" s="2" t="str">
        <f>TEXT(Table14[[#This Row],[Data_Wystawienia]],"rrrr-mm")</f>
        <v>2022-12</v>
      </c>
      <c r="P940" s="2">
        <v>1</v>
      </c>
    </row>
    <row r="941" spans="1:16" x14ac:dyDescent="0.3">
      <c r="A941" s="2" t="str">
        <f>TRIM(Table1[[#This Row],[Numer_FV]])</f>
        <v>FV/99/PP/2872/22</v>
      </c>
      <c r="B941" s="2" t="str">
        <f>TRIM(Table1[[#This Row],[Numer_PZ]])</f>
        <v>PZ/800939</v>
      </c>
      <c r="C941" s="2" t="str">
        <f>TRIM(Table1[[#This Row],[Dostawca]])</f>
        <v>PharmaPlus</v>
      </c>
      <c r="D941" s="3">
        <v>44907</v>
      </c>
      <c r="E941" s="4" t="s">
        <v>2801</v>
      </c>
      <c r="F941" s="2" t="str">
        <f>TRIM(Table1[[#This Row],[Status]])</f>
        <v>Zaakceptowana</v>
      </c>
      <c r="G941" s="2" t="str">
        <f>TRIM(Table1[[#This Row],[Typ]])</f>
        <v>Faktura VAT</v>
      </c>
      <c r="H941" s="2" t="str">
        <f>TRIM(Table1[[#This Row],[Magazyn]])</f>
        <v>Apteka Szpitalna</v>
      </c>
      <c r="I941" s="2" t="str">
        <f>TRIM(Table1[[#This Row],[Umowa]])</f>
        <v>UM-PHA-02</v>
      </c>
      <c r="J941" s="2" t="b">
        <f>ISTEXT(Table14[[#This Row],[Data_Wystawienia]])</f>
        <v>0</v>
      </c>
      <c r="K941" s="2">
        <f>VALUE(SUBSTITUTE(Table14[[#This Row],[Wartość]],".",","))</f>
        <v>9450.43</v>
      </c>
      <c r="L9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1" s="2" t="str">
        <f>IF(Table14[[#This Row],[Umowa]]="","Poza umową","Z umowy")</f>
        <v>Z umowy</v>
      </c>
      <c r="N941" s="2">
        <f>YEAR(Table14[[#This Row],[Data_Wystawienia]])</f>
        <v>2022</v>
      </c>
      <c r="O941" s="2" t="str">
        <f>TEXT(Table14[[#This Row],[Data_Wystawienia]],"rrrr-mm")</f>
        <v>2022-12</v>
      </c>
      <c r="P941" s="2">
        <v>1</v>
      </c>
    </row>
    <row r="942" spans="1:16" x14ac:dyDescent="0.3">
      <c r="A942" s="2" t="str">
        <f>TRIM(Table1[[#This Row],[Numer_FV]])</f>
        <v>FV/M/7710/P/22</v>
      </c>
      <c r="B942" s="2" t="str">
        <f>TRIM(Table1[[#This Row],[Numer_PZ]])</f>
        <v>PZ/800940</v>
      </c>
      <c r="C942" s="2" t="str">
        <f>TRIM(Table1[[#This Row],[Dostawca]])</f>
        <v>MedicaPharm</v>
      </c>
      <c r="D942" s="3">
        <v>44907</v>
      </c>
      <c r="E942" s="4" t="s">
        <v>2804</v>
      </c>
      <c r="F942" s="2" t="str">
        <f>TRIM(Table1[[#This Row],[Status]])</f>
        <v>Zaakceptowana</v>
      </c>
      <c r="G942" s="2" t="str">
        <f>TRIM(Table1[[#This Row],[Typ]])</f>
        <v>Faktura VAT</v>
      </c>
      <c r="H942" s="2" t="str">
        <f>TRIM(Table1[[#This Row],[Magazyn]])</f>
        <v>Apteka Szpitalna</v>
      </c>
      <c r="I942" s="2" t="str">
        <f>TRIM(Table1[[#This Row],[Umowa]])</f>
        <v/>
      </c>
      <c r="J942" s="2" t="b">
        <f>ISTEXT(Table14[[#This Row],[Data_Wystawienia]])</f>
        <v>0</v>
      </c>
      <c r="K942" s="2">
        <f>VALUE(SUBSTITUTE(Table14[[#This Row],[Wartość]],".",","))</f>
        <v>13774.19</v>
      </c>
      <c r="L9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2" s="2" t="str">
        <f>IF(Table14[[#This Row],[Umowa]]="","Poza umową","Z umowy")</f>
        <v>Poza umową</v>
      </c>
      <c r="N942" s="2">
        <f>YEAR(Table14[[#This Row],[Data_Wystawienia]])</f>
        <v>2022</v>
      </c>
      <c r="O942" s="2" t="str">
        <f>TEXT(Table14[[#This Row],[Data_Wystawienia]],"rrrr-mm")</f>
        <v>2022-12</v>
      </c>
      <c r="P942" s="2">
        <v>1</v>
      </c>
    </row>
    <row r="943" spans="1:16" x14ac:dyDescent="0.3">
      <c r="A943" s="2" t="str">
        <f>TRIM(Table1[[#This Row],[Numer_FV]])</f>
        <v>FV/CENFA/121145/22</v>
      </c>
      <c r="B943" s="2" t="str">
        <f>TRIM(Table1[[#This Row],[Numer_PZ]])</f>
        <v>PZ/800941</v>
      </c>
      <c r="C943" s="2" t="str">
        <f>TRIM(Table1[[#This Row],[Dostawca]])</f>
        <v>CentrumFarm</v>
      </c>
      <c r="D943" s="3">
        <v>44907</v>
      </c>
      <c r="E943" s="4" t="s">
        <v>2807</v>
      </c>
      <c r="F943" s="2" t="str">
        <f>TRIM(Table1[[#This Row],[Status]])</f>
        <v>Zaakceptowana</v>
      </c>
      <c r="G943" s="2" t="str">
        <f>TRIM(Table1[[#This Row],[Typ]])</f>
        <v>Faktura VAT</v>
      </c>
      <c r="H943" s="2" t="str">
        <f>TRIM(Table1[[#This Row],[Magazyn]])</f>
        <v>Apteka Szpitalna</v>
      </c>
      <c r="I943" s="2" t="str">
        <f>TRIM(Table1[[#This Row],[Umowa]])</f>
        <v>UM-CEN-01</v>
      </c>
      <c r="J943" s="2" t="b">
        <f>ISTEXT(Table14[[#This Row],[Data_Wystawienia]])</f>
        <v>0</v>
      </c>
      <c r="K943" s="2">
        <f>VALUE(SUBSTITUTE(Table14[[#This Row],[Wartość]],".",","))</f>
        <v>14110.99</v>
      </c>
      <c r="L9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3" s="2" t="str">
        <f>IF(Table14[[#This Row],[Umowa]]="","Poza umową","Z umowy")</f>
        <v>Z umowy</v>
      </c>
      <c r="N943" s="2">
        <f>YEAR(Table14[[#This Row],[Data_Wystawienia]])</f>
        <v>2022</v>
      </c>
      <c r="O943" s="2" t="str">
        <f>TEXT(Table14[[#This Row],[Data_Wystawienia]],"rrrr-mm")</f>
        <v>2022-12</v>
      </c>
      <c r="P943" s="2">
        <v>1</v>
      </c>
    </row>
    <row r="944" spans="1:16" x14ac:dyDescent="0.3">
      <c r="A944" s="2" t="str">
        <f>TRIM(Table1[[#This Row],[Numer_FV]])</f>
        <v>FV/43/SAL/22</v>
      </c>
      <c r="B944" s="2" t="str">
        <f>TRIM(Table1[[#This Row],[Numer_PZ]])</f>
        <v>PZ/800942</v>
      </c>
      <c r="C944" s="2" t="str">
        <f>TRIM(Table1[[#This Row],[Dostawca]])</f>
        <v>SalusHurt</v>
      </c>
      <c r="D944" s="3">
        <v>44908</v>
      </c>
      <c r="E944" s="4" t="s">
        <v>2809</v>
      </c>
      <c r="F944" s="2" t="str">
        <f>TRIM(Table1[[#This Row],[Status]])</f>
        <v>Zaakceptowana</v>
      </c>
      <c r="G944" s="2" t="str">
        <f>TRIM(Table1[[#This Row],[Typ]])</f>
        <v>Faktura VAT</v>
      </c>
      <c r="H944" s="2" t="str">
        <f>TRIM(Table1[[#This Row],[Magazyn]])</f>
        <v>Apteka Szpitalna</v>
      </c>
      <c r="I944" s="2" t="str">
        <f>TRIM(Table1[[#This Row],[Umowa]])</f>
        <v>UM-SAL-02</v>
      </c>
      <c r="J944" s="2" t="b">
        <f>ISTEXT(Table14[[#This Row],[Data_Wystawienia]])</f>
        <v>0</v>
      </c>
      <c r="K944" s="2">
        <f>VALUE(SUBSTITUTE(Table14[[#This Row],[Wartość]],".",","))</f>
        <v>9055.48</v>
      </c>
      <c r="L9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4" s="2" t="str">
        <f>IF(Table14[[#This Row],[Umowa]]="","Poza umową","Z umowy")</f>
        <v>Z umowy</v>
      </c>
      <c r="N944" s="2">
        <f>YEAR(Table14[[#This Row],[Data_Wystawienia]])</f>
        <v>2022</v>
      </c>
      <c r="O944" s="2" t="str">
        <f>TEXT(Table14[[#This Row],[Data_Wystawienia]],"rrrr-mm")</f>
        <v>2022-12</v>
      </c>
      <c r="P944" s="2">
        <v>1</v>
      </c>
    </row>
    <row r="945" spans="1:16" x14ac:dyDescent="0.3">
      <c r="A945" s="2" t="str">
        <f>TRIM(Table1[[#This Row],[Numer_FV]])</f>
        <v>FV/2124/NOVA/22</v>
      </c>
      <c r="B945" s="2" t="str">
        <f>TRIM(Table1[[#This Row],[Numer_PZ]])</f>
        <v>PZ/800943</v>
      </c>
      <c r="C945" s="2" t="str">
        <f>TRIM(Table1[[#This Row],[Dostawca]])</f>
        <v>NovaLek</v>
      </c>
      <c r="D945" s="3">
        <v>44908</v>
      </c>
      <c r="E945" s="4" t="s">
        <v>2812</v>
      </c>
      <c r="F945" s="2" t="str">
        <f>TRIM(Table1[[#This Row],[Status]])</f>
        <v>Zaakceptowana</v>
      </c>
      <c r="G945" s="2" t="str">
        <f>TRIM(Table1[[#This Row],[Typ]])</f>
        <v>Faktura VAT</v>
      </c>
      <c r="H945" s="2" t="str">
        <f>TRIM(Table1[[#This Row],[Magazyn]])</f>
        <v>Apteka Szpitalna</v>
      </c>
      <c r="I945" s="2" t="str">
        <f>TRIM(Table1[[#This Row],[Umowa]])</f>
        <v>UM-NOV-03</v>
      </c>
      <c r="J945" s="2" t="b">
        <f>ISTEXT(Table14[[#This Row],[Data_Wystawienia]])</f>
        <v>0</v>
      </c>
      <c r="K945" s="2">
        <f>VALUE(SUBSTITUTE(Table14[[#This Row],[Wartość]],".",","))</f>
        <v>18246.32</v>
      </c>
      <c r="L9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5" s="2" t="str">
        <f>IF(Table14[[#This Row],[Umowa]]="","Poza umową","Z umowy")</f>
        <v>Z umowy</v>
      </c>
      <c r="N945" s="2">
        <f>YEAR(Table14[[#This Row],[Data_Wystawienia]])</f>
        <v>2022</v>
      </c>
      <c r="O945" s="2" t="str">
        <f>TEXT(Table14[[#This Row],[Data_Wystawienia]],"rrrr-mm")</f>
        <v>2022-12</v>
      </c>
      <c r="P945" s="2">
        <v>1</v>
      </c>
    </row>
    <row r="946" spans="1:16" x14ac:dyDescent="0.3">
      <c r="A946" s="2" t="str">
        <f>TRIM(Table1[[#This Row],[Numer_FV]])</f>
        <v>FV/55/PP/8460/22</v>
      </c>
      <c r="B946" s="2" t="str">
        <f>TRIM(Table1[[#This Row],[Numer_PZ]])</f>
        <v>PZ/800944</v>
      </c>
      <c r="C946" s="2" t="str">
        <f>TRIM(Table1[[#This Row],[Dostawca]])</f>
        <v>PharmaPlus</v>
      </c>
      <c r="D946" s="3">
        <v>44908</v>
      </c>
      <c r="E946" s="4" t="s">
        <v>2815</v>
      </c>
      <c r="F946" s="2" t="str">
        <f>TRIM(Table1[[#This Row],[Status]])</f>
        <v>Zaakceptowana</v>
      </c>
      <c r="G946" s="2" t="str">
        <f>TRIM(Table1[[#This Row],[Typ]])</f>
        <v>Faktura VAT</v>
      </c>
      <c r="H946" s="2" t="str">
        <f>TRIM(Table1[[#This Row],[Magazyn]])</f>
        <v>Apteka Szpitalna</v>
      </c>
      <c r="I946" s="2" t="str">
        <f>TRIM(Table1[[#This Row],[Umowa]])</f>
        <v>UM-PHA-02</v>
      </c>
      <c r="J946" s="2" t="b">
        <f>ISTEXT(Table14[[#This Row],[Data_Wystawienia]])</f>
        <v>0</v>
      </c>
      <c r="K946" s="2">
        <f>VALUE(SUBSTITUTE(Table14[[#This Row],[Wartość]],".",","))</f>
        <v>10785.33</v>
      </c>
      <c r="L9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6" s="2" t="str">
        <f>IF(Table14[[#This Row],[Umowa]]="","Poza umową","Z umowy")</f>
        <v>Z umowy</v>
      </c>
      <c r="N946" s="2">
        <f>YEAR(Table14[[#This Row],[Data_Wystawienia]])</f>
        <v>2022</v>
      </c>
      <c r="O946" s="2" t="str">
        <f>TEXT(Table14[[#This Row],[Data_Wystawienia]],"rrrr-mm")</f>
        <v>2022-12</v>
      </c>
      <c r="P946" s="2">
        <v>1</v>
      </c>
    </row>
    <row r="947" spans="1:16" x14ac:dyDescent="0.3">
      <c r="A947" s="2" t="str">
        <f>TRIM(Table1[[#This Row],[Numer_FV]])</f>
        <v>FV/POL/57954/2022</v>
      </c>
      <c r="B947" s="2" t="str">
        <f>TRIM(Table1[[#This Row],[Numer_PZ]])</f>
        <v>PZ/800945</v>
      </c>
      <c r="C947" s="2" t="str">
        <f>TRIM(Table1[[#This Row],[Dostawca]])</f>
        <v>Polmedica</v>
      </c>
      <c r="D947" s="3">
        <v>44910</v>
      </c>
      <c r="E947" s="4" t="s">
        <v>2818</v>
      </c>
      <c r="F947" s="2" t="str">
        <f>TRIM(Table1[[#This Row],[Status]])</f>
        <v>Zaakceptowana</v>
      </c>
      <c r="G947" s="2" t="str">
        <f>TRIM(Table1[[#This Row],[Typ]])</f>
        <v>Faktura VAT</v>
      </c>
      <c r="H947" s="2" t="str">
        <f>TRIM(Table1[[#This Row],[Magazyn]])</f>
        <v>Apteka Szpitalna</v>
      </c>
      <c r="I947" s="2" t="str">
        <f>TRIM(Table1[[#This Row],[Umowa]])</f>
        <v>UM-POL-01</v>
      </c>
      <c r="J947" s="2" t="b">
        <f>ISTEXT(Table14[[#This Row],[Data_Wystawienia]])</f>
        <v>0</v>
      </c>
      <c r="K947" s="2">
        <f>VALUE(SUBSTITUTE(Table14[[#This Row],[Wartość]],".",","))</f>
        <v>8632.17</v>
      </c>
      <c r="L9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7" s="2" t="str">
        <f>IF(Table14[[#This Row],[Umowa]]="","Poza umową","Z umowy")</f>
        <v>Z umowy</v>
      </c>
      <c r="N947" s="2">
        <f>YEAR(Table14[[#This Row],[Data_Wystawienia]])</f>
        <v>2022</v>
      </c>
      <c r="O947" s="2" t="str">
        <f>TEXT(Table14[[#This Row],[Data_Wystawienia]],"rrrr-mm")</f>
        <v>2022-12</v>
      </c>
      <c r="P947" s="2">
        <v>1</v>
      </c>
    </row>
    <row r="948" spans="1:16" x14ac:dyDescent="0.3">
      <c r="A948" s="2" t="str">
        <f>TRIM(Table1[[#This Row],[Numer_FV]])</f>
        <v>FV/58724/VDb/2022</v>
      </c>
      <c r="B948" s="2" t="str">
        <f>TRIM(Table1[[#This Row],[Numer_PZ]])</f>
        <v>PZ/800946</v>
      </c>
      <c r="C948" s="2" t="str">
        <f>TRIM(Table1[[#This Row],[Dostawca]])</f>
        <v>VitaDistrib</v>
      </c>
      <c r="D948" s="3">
        <v>44912</v>
      </c>
      <c r="E948" s="4" t="s">
        <v>2821</v>
      </c>
      <c r="F948" s="2" t="str">
        <f>TRIM(Table1[[#This Row],[Status]])</f>
        <v>Zaakceptowana</v>
      </c>
      <c r="G948" s="2" t="str">
        <f>TRIM(Table1[[#This Row],[Typ]])</f>
        <v>Faktura VAT</v>
      </c>
      <c r="H948" s="2" t="str">
        <f>TRIM(Table1[[#This Row],[Magazyn]])</f>
        <v>Apteka Szpitalna</v>
      </c>
      <c r="I948" s="2" t="str">
        <f>TRIM(Table1[[#This Row],[Umowa]])</f>
        <v>UM-VIT-01</v>
      </c>
      <c r="J948" s="2" t="b">
        <f>ISTEXT(Table14[[#This Row],[Data_Wystawienia]])</f>
        <v>0</v>
      </c>
      <c r="K948" s="2">
        <f>VALUE(SUBSTITUTE(Table14[[#This Row],[Wartość]],".",","))</f>
        <v>12912.72</v>
      </c>
      <c r="L9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8" s="2" t="str">
        <f>IF(Table14[[#This Row],[Umowa]]="","Poza umową","Z umowy")</f>
        <v>Z umowy</v>
      </c>
      <c r="N948" s="2">
        <f>YEAR(Table14[[#This Row],[Data_Wystawienia]])</f>
        <v>2022</v>
      </c>
      <c r="O948" s="2" t="str">
        <f>TEXT(Table14[[#This Row],[Data_Wystawienia]],"rrrr-mm")</f>
        <v>2022-12</v>
      </c>
      <c r="P948" s="2">
        <v>1</v>
      </c>
    </row>
    <row r="949" spans="1:16" x14ac:dyDescent="0.3">
      <c r="A949" s="2" t="str">
        <f>TRIM(Table1[[#This Row],[Numer_FV]])</f>
        <v>FV/99199/VDb/2022</v>
      </c>
      <c r="B949" s="2" t="str">
        <f>TRIM(Table1[[#This Row],[Numer_PZ]])</f>
        <v>PZ/800947</v>
      </c>
      <c r="C949" s="2" t="str">
        <f>TRIM(Table1[[#This Row],[Dostawca]])</f>
        <v>VitaDistrib</v>
      </c>
      <c r="D949" s="3">
        <v>44912</v>
      </c>
      <c r="E949" s="4" t="s">
        <v>2824</v>
      </c>
      <c r="F949" s="2" t="str">
        <f>TRIM(Table1[[#This Row],[Status]])</f>
        <v>Zaakceptowana</v>
      </c>
      <c r="G949" s="2" t="str">
        <f>TRIM(Table1[[#This Row],[Typ]])</f>
        <v>Faktura VAT</v>
      </c>
      <c r="H949" s="2" t="str">
        <f>TRIM(Table1[[#This Row],[Magazyn]])</f>
        <v>Apteka Szpitalna</v>
      </c>
      <c r="I949" s="2" t="str">
        <f>TRIM(Table1[[#This Row],[Umowa]])</f>
        <v>UM-VIT-01</v>
      </c>
      <c r="J949" s="2" t="b">
        <f>ISTEXT(Table14[[#This Row],[Data_Wystawienia]])</f>
        <v>0</v>
      </c>
      <c r="K949" s="2">
        <f>VALUE(SUBSTITUTE(Table14[[#This Row],[Wartość]],".",","))</f>
        <v>7265.75</v>
      </c>
      <c r="L9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49" s="2" t="str">
        <f>IF(Table14[[#This Row],[Umowa]]="","Poza umową","Z umowy")</f>
        <v>Z umowy</v>
      </c>
      <c r="N949" s="2">
        <f>YEAR(Table14[[#This Row],[Data_Wystawienia]])</f>
        <v>2022</v>
      </c>
      <c r="O949" s="2" t="str">
        <f>TEXT(Table14[[#This Row],[Data_Wystawienia]],"rrrr-mm")</f>
        <v>2022-12</v>
      </c>
      <c r="P949" s="2">
        <v>1</v>
      </c>
    </row>
    <row r="950" spans="1:16" x14ac:dyDescent="0.3">
      <c r="A950" s="2" t="str">
        <f>TRIM(Table1[[#This Row],[Numer_FV]])</f>
        <v>FV/15883/VDb/2022</v>
      </c>
      <c r="B950" s="2" t="str">
        <f>TRIM(Table1[[#This Row],[Numer_PZ]])</f>
        <v>PZ/800948</v>
      </c>
      <c r="C950" s="2" t="str">
        <f>TRIM(Table1[[#This Row],[Dostawca]])</f>
        <v>VitaDistrib</v>
      </c>
      <c r="D950" s="3">
        <v>44912</v>
      </c>
      <c r="E950" s="4" t="s">
        <v>2827</v>
      </c>
      <c r="F950" s="2" t="str">
        <f>TRIM(Table1[[#This Row],[Status]])</f>
        <v>Zaakceptowana</v>
      </c>
      <c r="G950" s="2" t="str">
        <f>TRIM(Table1[[#This Row],[Typ]])</f>
        <v>Faktura VAT</v>
      </c>
      <c r="H950" s="2" t="str">
        <f>TRIM(Table1[[#This Row],[Magazyn]])</f>
        <v>Apteka Szpitalna</v>
      </c>
      <c r="I950" s="2" t="str">
        <f>TRIM(Table1[[#This Row],[Umowa]])</f>
        <v/>
      </c>
      <c r="J950" s="2" t="b">
        <f>ISTEXT(Table14[[#This Row],[Data_Wystawienia]])</f>
        <v>0</v>
      </c>
      <c r="K950" s="2">
        <f>VALUE(SUBSTITUTE(Table14[[#This Row],[Wartość]],".",","))</f>
        <v>17227.16</v>
      </c>
      <c r="L9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0" s="2" t="str">
        <f>IF(Table14[[#This Row],[Umowa]]="","Poza umową","Z umowy")</f>
        <v>Poza umową</v>
      </c>
      <c r="N950" s="2">
        <f>YEAR(Table14[[#This Row],[Data_Wystawienia]])</f>
        <v>2022</v>
      </c>
      <c r="O950" s="2" t="str">
        <f>TEXT(Table14[[#This Row],[Data_Wystawienia]],"rrrr-mm")</f>
        <v>2022-12</v>
      </c>
      <c r="P950" s="2">
        <v>1</v>
      </c>
    </row>
    <row r="951" spans="1:16" x14ac:dyDescent="0.3">
      <c r="A951" s="2" t="str">
        <f>TRIM(Table1[[#This Row],[Numer_FV]])</f>
        <v>FV/CENFA/790433/22</v>
      </c>
      <c r="B951" s="2" t="str">
        <f>TRIM(Table1[[#This Row],[Numer_PZ]])</f>
        <v>PZ/800949</v>
      </c>
      <c r="C951" s="2" t="str">
        <f>TRIM(Table1[[#This Row],[Dostawca]])</f>
        <v>CentrumFarm</v>
      </c>
      <c r="D951" s="3">
        <v>44913</v>
      </c>
      <c r="E951" s="4" t="s">
        <v>2830</v>
      </c>
      <c r="F951" s="2" t="str">
        <f>TRIM(Table1[[#This Row],[Status]])</f>
        <v>Zaakceptowana</v>
      </c>
      <c r="G951" s="2" t="str">
        <f>TRIM(Table1[[#This Row],[Typ]])</f>
        <v>Faktura VAT</v>
      </c>
      <c r="H951" s="2" t="str">
        <f>TRIM(Table1[[#This Row],[Magazyn]])</f>
        <v>Apteka Szpitalna</v>
      </c>
      <c r="I951" s="2" t="str">
        <f>TRIM(Table1[[#This Row],[Umowa]])</f>
        <v>UM-CEN-02</v>
      </c>
      <c r="J951" s="2" t="b">
        <f>ISTEXT(Table14[[#This Row],[Data_Wystawienia]])</f>
        <v>0</v>
      </c>
      <c r="K951" s="2">
        <f>VALUE(SUBSTITUTE(Table14[[#This Row],[Wartość]],".",","))</f>
        <v>16691.14</v>
      </c>
      <c r="L9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1" s="2" t="str">
        <f>IF(Table14[[#This Row],[Umowa]]="","Poza umową","Z umowy")</f>
        <v>Z umowy</v>
      </c>
      <c r="N951" s="2">
        <f>YEAR(Table14[[#This Row],[Data_Wystawienia]])</f>
        <v>2022</v>
      </c>
      <c r="O951" s="2" t="str">
        <f>TEXT(Table14[[#This Row],[Data_Wystawienia]],"rrrr-mm")</f>
        <v>2022-12</v>
      </c>
      <c r="P951" s="2">
        <v>1</v>
      </c>
    </row>
    <row r="952" spans="1:16" x14ac:dyDescent="0.3">
      <c r="A952" s="2" t="str">
        <f>TRIM(Table1[[#This Row],[Numer_FV]])</f>
        <v>FV/4694HM/22</v>
      </c>
      <c r="B952" s="2" t="str">
        <f>TRIM(Table1[[#This Row],[Numer_PZ]])</f>
        <v>PZ/800950</v>
      </c>
      <c r="C952" s="2" t="str">
        <f>TRIM(Table1[[#This Row],[Dostawca]])</f>
        <v>HurtMedix</v>
      </c>
      <c r="D952" s="3">
        <v>44913</v>
      </c>
      <c r="E952" s="4" t="s">
        <v>2833</v>
      </c>
      <c r="F952" s="2" t="str">
        <f>TRIM(Table1[[#This Row],[Status]])</f>
        <v>Zaakceptowana</v>
      </c>
      <c r="G952" s="2" t="str">
        <f>TRIM(Table1[[#This Row],[Typ]])</f>
        <v>Faktura VAT</v>
      </c>
      <c r="H952" s="2" t="str">
        <f>TRIM(Table1[[#This Row],[Magazyn]])</f>
        <v>Apteka Szpitalna</v>
      </c>
      <c r="I952" s="2" t="str">
        <f>TRIM(Table1[[#This Row],[Umowa]])</f>
        <v/>
      </c>
      <c r="J952" s="2" t="b">
        <f>ISTEXT(Table14[[#This Row],[Data_Wystawienia]])</f>
        <v>0</v>
      </c>
      <c r="K952" s="2">
        <f>VALUE(SUBSTITUTE(Table14[[#This Row],[Wartość]],".",","))</f>
        <v>18268.02</v>
      </c>
      <c r="L9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2" s="2" t="str">
        <f>IF(Table14[[#This Row],[Umowa]]="","Poza umową","Z umowy")</f>
        <v>Poza umową</v>
      </c>
      <c r="N952" s="2">
        <f>YEAR(Table14[[#This Row],[Data_Wystawienia]])</f>
        <v>2022</v>
      </c>
      <c r="O952" s="2" t="str">
        <f>TEXT(Table14[[#This Row],[Data_Wystawienia]],"rrrr-mm")</f>
        <v>2022-12</v>
      </c>
      <c r="P952" s="2">
        <v>1</v>
      </c>
    </row>
    <row r="953" spans="1:16" x14ac:dyDescent="0.3">
      <c r="A953" s="2" t="str">
        <f>TRIM(Table1[[#This Row],[Numer_FV]])</f>
        <v>FV/M/6282/P/22</v>
      </c>
      <c r="B953" s="2" t="str">
        <f>TRIM(Table1[[#This Row],[Numer_PZ]])</f>
        <v>PZ/800951</v>
      </c>
      <c r="C953" s="2" t="str">
        <f>TRIM(Table1[[#This Row],[Dostawca]])</f>
        <v>MedicaPharm</v>
      </c>
      <c r="D953" s="3">
        <v>44913</v>
      </c>
      <c r="E953" s="4" t="s">
        <v>2836</v>
      </c>
      <c r="F953" s="2" t="str">
        <f>TRIM(Table1[[#This Row],[Status]])</f>
        <v>Zaakceptowana</v>
      </c>
      <c r="G953" s="2" t="str">
        <f>TRIM(Table1[[#This Row],[Typ]])</f>
        <v>Faktura VAT</v>
      </c>
      <c r="H953" s="2" t="str">
        <f>TRIM(Table1[[#This Row],[Magazyn]])</f>
        <v>Apteka Szpitalna</v>
      </c>
      <c r="I953" s="2" t="str">
        <f>TRIM(Table1[[#This Row],[Umowa]])</f>
        <v>UM-MED-01</v>
      </c>
      <c r="J953" s="2" t="b">
        <f>ISTEXT(Table14[[#This Row],[Data_Wystawienia]])</f>
        <v>0</v>
      </c>
      <c r="K953" s="2">
        <f>VALUE(SUBSTITUTE(Table14[[#This Row],[Wartość]],".",","))</f>
        <v>18650.740000000002</v>
      </c>
      <c r="L9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3" s="2" t="str">
        <f>IF(Table14[[#This Row],[Umowa]]="","Poza umową","Z umowy")</f>
        <v>Z umowy</v>
      </c>
      <c r="N953" s="2">
        <f>YEAR(Table14[[#This Row],[Data_Wystawienia]])</f>
        <v>2022</v>
      </c>
      <c r="O953" s="2" t="str">
        <f>TEXT(Table14[[#This Row],[Data_Wystawienia]],"rrrr-mm")</f>
        <v>2022-12</v>
      </c>
      <c r="P953" s="2">
        <v>1</v>
      </c>
    </row>
    <row r="954" spans="1:16" x14ac:dyDescent="0.3">
      <c r="A954" s="2" t="str">
        <f>TRIM(Table1[[#This Row],[Numer_FV]])</f>
        <v>FV/9104/NOVA/22</v>
      </c>
      <c r="B954" s="2" t="str">
        <f>TRIM(Table1[[#This Row],[Numer_PZ]])</f>
        <v>PZ/800952</v>
      </c>
      <c r="C954" s="2" t="str">
        <f>TRIM(Table1[[#This Row],[Dostawca]])</f>
        <v>NovaLek</v>
      </c>
      <c r="D954" s="3">
        <v>44913</v>
      </c>
      <c r="E954" s="4" t="s">
        <v>2839</v>
      </c>
      <c r="F954" s="2" t="str">
        <f>TRIM(Table1[[#This Row],[Status]])</f>
        <v>Zaakceptowana</v>
      </c>
      <c r="G954" s="2" t="str">
        <f>TRIM(Table1[[#This Row],[Typ]])</f>
        <v>Faktura VAT</v>
      </c>
      <c r="H954" s="2" t="str">
        <f>TRIM(Table1[[#This Row],[Magazyn]])</f>
        <v>Apteka Szpitalna</v>
      </c>
      <c r="I954" s="2" t="str">
        <f>TRIM(Table1[[#This Row],[Umowa]])</f>
        <v>UM-NOV-02</v>
      </c>
      <c r="J954" s="2" t="b">
        <f>ISTEXT(Table14[[#This Row],[Data_Wystawienia]])</f>
        <v>0</v>
      </c>
      <c r="K954" s="2">
        <f>VALUE(SUBSTITUTE(Table14[[#This Row],[Wartość]],".",","))</f>
        <v>13973.5</v>
      </c>
      <c r="L9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4" s="2" t="str">
        <f>IF(Table14[[#This Row],[Umowa]]="","Poza umową","Z umowy")</f>
        <v>Z umowy</v>
      </c>
      <c r="N954" s="2">
        <f>YEAR(Table14[[#This Row],[Data_Wystawienia]])</f>
        <v>2022</v>
      </c>
      <c r="O954" s="2" t="str">
        <f>TEXT(Table14[[#This Row],[Data_Wystawienia]],"rrrr-mm")</f>
        <v>2022-12</v>
      </c>
      <c r="P954" s="2">
        <v>1</v>
      </c>
    </row>
    <row r="955" spans="1:16" x14ac:dyDescent="0.3">
      <c r="A955" s="2" t="str">
        <f>TRIM(Table1[[#This Row],[Numer_FV]])</f>
        <v>FV/6227HM/22</v>
      </c>
      <c r="B955" s="2" t="str">
        <f>TRIM(Table1[[#This Row],[Numer_PZ]])</f>
        <v>PZ/800953</v>
      </c>
      <c r="C955" s="2" t="str">
        <f>TRIM(Table1[[#This Row],[Dostawca]])</f>
        <v>HurtMedix</v>
      </c>
      <c r="D955" s="3">
        <v>44913</v>
      </c>
      <c r="E955" s="4" t="s">
        <v>2842</v>
      </c>
      <c r="F955" s="2" t="str">
        <f>TRIM(Table1[[#This Row],[Status]])</f>
        <v>Zaakceptowana</v>
      </c>
      <c r="G955" s="2" t="str">
        <f>TRIM(Table1[[#This Row],[Typ]])</f>
        <v>Faktura VAT</v>
      </c>
      <c r="H955" s="2" t="str">
        <f>TRIM(Table1[[#This Row],[Magazyn]])</f>
        <v>Apteka Szpitalna</v>
      </c>
      <c r="I955" s="2" t="str">
        <f>TRIM(Table1[[#This Row],[Umowa]])</f>
        <v>UM-HUR-01</v>
      </c>
      <c r="J955" s="2" t="b">
        <f>ISTEXT(Table14[[#This Row],[Data_Wystawienia]])</f>
        <v>0</v>
      </c>
      <c r="K955" s="2">
        <f>VALUE(SUBSTITUTE(Table14[[#This Row],[Wartość]],".",","))</f>
        <v>14795.14</v>
      </c>
      <c r="L9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5" s="2" t="str">
        <f>IF(Table14[[#This Row],[Umowa]]="","Poza umową","Z umowy")</f>
        <v>Z umowy</v>
      </c>
      <c r="N955" s="2">
        <f>YEAR(Table14[[#This Row],[Data_Wystawienia]])</f>
        <v>2022</v>
      </c>
      <c r="O955" s="2" t="str">
        <f>TEXT(Table14[[#This Row],[Data_Wystawienia]],"rrrr-mm")</f>
        <v>2022-12</v>
      </c>
      <c r="P955" s="2">
        <v>1</v>
      </c>
    </row>
    <row r="956" spans="1:16" x14ac:dyDescent="0.3">
      <c r="A956" s="2" t="str">
        <f>TRIM(Table1[[#This Row],[Numer_FV]])</f>
        <v>FV/24/SAL/22</v>
      </c>
      <c r="B956" s="2" t="str">
        <f>TRIM(Table1[[#This Row],[Numer_PZ]])</f>
        <v>PZ/800954</v>
      </c>
      <c r="C956" s="2" t="str">
        <f>TRIM(Table1[[#This Row],[Dostawca]])</f>
        <v>SalusHurt</v>
      </c>
      <c r="D956" s="3">
        <v>44913</v>
      </c>
      <c r="E956" s="4" t="s">
        <v>2844</v>
      </c>
      <c r="F956" s="2" t="str">
        <f>TRIM(Table1[[#This Row],[Status]])</f>
        <v>Zaakceptowana</v>
      </c>
      <c r="G956" s="2" t="str">
        <f>TRIM(Table1[[#This Row],[Typ]])</f>
        <v>Faktura VAT</v>
      </c>
      <c r="H956" s="2" t="str">
        <f>TRIM(Table1[[#This Row],[Magazyn]])</f>
        <v>Apteka Szpitalna</v>
      </c>
      <c r="I956" s="2" t="str">
        <f>TRIM(Table1[[#This Row],[Umowa]])</f>
        <v>UM-SAL-02</v>
      </c>
      <c r="J956" s="2" t="b">
        <f>ISTEXT(Table14[[#This Row],[Data_Wystawienia]])</f>
        <v>0</v>
      </c>
      <c r="K956" s="2">
        <f>VALUE(SUBSTITUTE(Table14[[#This Row],[Wartość]],".",","))</f>
        <v>18180.419999999998</v>
      </c>
      <c r="L9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6" s="2" t="str">
        <f>IF(Table14[[#This Row],[Umowa]]="","Poza umową","Z umowy")</f>
        <v>Z umowy</v>
      </c>
      <c r="N956" s="2">
        <f>YEAR(Table14[[#This Row],[Data_Wystawienia]])</f>
        <v>2022</v>
      </c>
      <c r="O956" s="2" t="str">
        <f>TEXT(Table14[[#This Row],[Data_Wystawienia]],"rrrr-mm")</f>
        <v>2022-12</v>
      </c>
      <c r="P956" s="2">
        <v>1</v>
      </c>
    </row>
    <row r="957" spans="1:16" x14ac:dyDescent="0.3">
      <c r="A957" s="2" t="str">
        <f>TRIM(Table1[[#This Row],[Numer_FV]])</f>
        <v>FV/78/SAL/22</v>
      </c>
      <c r="B957" s="2" t="str">
        <f>TRIM(Table1[[#This Row],[Numer_PZ]])</f>
        <v>PZ/800955</v>
      </c>
      <c r="C957" s="2" t="str">
        <f>TRIM(Table1[[#This Row],[Dostawca]])</f>
        <v>SalusHurt</v>
      </c>
      <c r="D957" s="3">
        <v>44914</v>
      </c>
      <c r="E957" s="4" t="s">
        <v>2846</v>
      </c>
      <c r="F957" s="2" t="str">
        <f>TRIM(Table1[[#This Row],[Status]])</f>
        <v>Zaakceptowana</v>
      </c>
      <c r="G957" s="2" t="str">
        <f>TRIM(Table1[[#This Row],[Typ]])</f>
        <v>Faktura VAT</v>
      </c>
      <c r="H957" s="2" t="str">
        <f>TRIM(Table1[[#This Row],[Magazyn]])</f>
        <v>Apteka Szpitalna</v>
      </c>
      <c r="I957" s="2" t="str">
        <f>TRIM(Table1[[#This Row],[Umowa]])</f>
        <v>UM-SAL-02</v>
      </c>
      <c r="J957" s="2" t="b">
        <f>ISTEXT(Table14[[#This Row],[Data_Wystawienia]])</f>
        <v>0</v>
      </c>
      <c r="K957" s="2">
        <f>VALUE(SUBSTITUTE(Table14[[#This Row],[Wartość]],".",","))</f>
        <v>18613.29</v>
      </c>
      <c r="L9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7" s="2" t="str">
        <f>IF(Table14[[#This Row],[Umowa]]="","Poza umową","Z umowy")</f>
        <v>Z umowy</v>
      </c>
      <c r="N957" s="2">
        <f>YEAR(Table14[[#This Row],[Data_Wystawienia]])</f>
        <v>2022</v>
      </c>
      <c r="O957" s="2" t="str">
        <f>TEXT(Table14[[#This Row],[Data_Wystawienia]],"rrrr-mm")</f>
        <v>2022-12</v>
      </c>
      <c r="P957" s="2">
        <v>1</v>
      </c>
    </row>
    <row r="958" spans="1:16" x14ac:dyDescent="0.3">
      <c r="A958" s="2" t="str">
        <f>TRIM(Table1[[#This Row],[Numer_FV]])</f>
        <v>FV/POL/65762/2022</v>
      </c>
      <c r="B958" s="2" t="str">
        <f>TRIM(Table1[[#This Row],[Numer_PZ]])</f>
        <v>PZ/800956</v>
      </c>
      <c r="C958" s="2" t="str">
        <f>TRIM(Table1[[#This Row],[Dostawca]])</f>
        <v>Polmedica</v>
      </c>
      <c r="D958" s="3">
        <v>44914</v>
      </c>
      <c r="E958" s="4" t="s">
        <v>2849</v>
      </c>
      <c r="F958" s="2" t="str">
        <f>TRIM(Table1[[#This Row],[Status]])</f>
        <v>Zaakceptowana</v>
      </c>
      <c r="G958" s="2" t="str">
        <f>TRIM(Table1[[#This Row],[Typ]])</f>
        <v>Faktura VAT</v>
      </c>
      <c r="H958" s="2" t="str">
        <f>TRIM(Table1[[#This Row],[Magazyn]])</f>
        <v>Apteka Szpitalna</v>
      </c>
      <c r="I958" s="2" t="str">
        <f>TRIM(Table1[[#This Row],[Umowa]])</f>
        <v>UM-POL-01</v>
      </c>
      <c r="J958" s="2" t="b">
        <f>ISTEXT(Table14[[#This Row],[Data_Wystawienia]])</f>
        <v>0</v>
      </c>
      <c r="K958" s="2">
        <f>VALUE(SUBSTITUTE(Table14[[#This Row],[Wartość]],".",","))</f>
        <v>14391.68</v>
      </c>
      <c r="L9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8" s="2" t="str">
        <f>IF(Table14[[#This Row],[Umowa]]="","Poza umową","Z umowy")</f>
        <v>Z umowy</v>
      </c>
      <c r="N958" s="2">
        <f>YEAR(Table14[[#This Row],[Data_Wystawienia]])</f>
        <v>2022</v>
      </c>
      <c r="O958" s="2" t="str">
        <f>TEXT(Table14[[#This Row],[Data_Wystawienia]],"rrrr-mm")</f>
        <v>2022-12</v>
      </c>
      <c r="P958" s="2">
        <v>1</v>
      </c>
    </row>
    <row r="959" spans="1:16" x14ac:dyDescent="0.3">
      <c r="A959" s="2" t="str">
        <f>TRIM(Table1[[#This Row],[Numer_FV]])</f>
        <v>FV/POL/12136/2022</v>
      </c>
      <c r="B959" s="2" t="str">
        <f>TRIM(Table1[[#This Row],[Numer_PZ]])</f>
        <v>PZ/800957</v>
      </c>
      <c r="C959" s="2" t="str">
        <f>TRIM(Table1[[#This Row],[Dostawca]])</f>
        <v>Polmedica</v>
      </c>
      <c r="D959" s="3">
        <v>44914</v>
      </c>
      <c r="E959" s="4" t="s">
        <v>2852</v>
      </c>
      <c r="F959" s="2" t="str">
        <f>TRIM(Table1[[#This Row],[Status]])</f>
        <v>Zaakceptowana</v>
      </c>
      <c r="G959" s="2" t="str">
        <f>TRIM(Table1[[#This Row],[Typ]])</f>
        <v>Faktura VAT</v>
      </c>
      <c r="H959" s="2" t="str">
        <f>TRIM(Table1[[#This Row],[Magazyn]])</f>
        <v>Apteka Szpitalna</v>
      </c>
      <c r="I959" s="2" t="str">
        <f>TRIM(Table1[[#This Row],[Umowa]])</f>
        <v>UM-POL-01</v>
      </c>
      <c r="J959" s="2" t="b">
        <f>ISTEXT(Table14[[#This Row],[Data_Wystawienia]])</f>
        <v>0</v>
      </c>
      <c r="K959" s="2">
        <f>VALUE(SUBSTITUTE(Table14[[#This Row],[Wartość]],".",","))</f>
        <v>19901.66</v>
      </c>
      <c r="L9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59" s="2" t="str">
        <f>IF(Table14[[#This Row],[Umowa]]="","Poza umową","Z umowy")</f>
        <v>Z umowy</v>
      </c>
      <c r="N959" s="2">
        <f>YEAR(Table14[[#This Row],[Data_Wystawienia]])</f>
        <v>2022</v>
      </c>
      <c r="O959" s="2" t="str">
        <f>TEXT(Table14[[#This Row],[Data_Wystawienia]],"rrrr-mm")</f>
        <v>2022-12</v>
      </c>
      <c r="P959" s="2">
        <v>1</v>
      </c>
    </row>
    <row r="960" spans="1:16" x14ac:dyDescent="0.3">
      <c r="A960" s="2" t="str">
        <f>TRIM(Table1[[#This Row],[Numer_FV]])</f>
        <v>FV/1699/NOVA/22</v>
      </c>
      <c r="B960" s="2" t="str">
        <f>TRIM(Table1[[#This Row],[Numer_PZ]])</f>
        <v>PZ/800958</v>
      </c>
      <c r="C960" s="2" t="str">
        <f>TRIM(Table1[[#This Row],[Dostawca]])</f>
        <v>NovaLek</v>
      </c>
      <c r="D960" s="3">
        <v>44914</v>
      </c>
      <c r="E960" s="4" t="s">
        <v>2855</v>
      </c>
      <c r="F960" s="2" t="str">
        <f>TRIM(Table1[[#This Row],[Status]])</f>
        <v>Zaakceptowana</v>
      </c>
      <c r="G960" s="2" t="str">
        <f>TRIM(Table1[[#This Row],[Typ]])</f>
        <v>Faktura VAT</v>
      </c>
      <c r="H960" s="2" t="str">
        <f>TRIM(Table1[[#This Row],[Magazyn]])</f>
        <v>Apteka Szpitalna</v>
      </c>
      <c r="I960" s="2" t="str">
        <f>TRIM(Table1[[#This Row],[Umowa]])</f>
        <v>UM-NOV-03</v>
      </c>
      <c r="J960" s="2" t="b">
        <f>ISTEXT(Table14[[#This Row],[Data_Wystawienia]])</f>
        <v>0</v>
      </c>
      <c r="K960" s="2">
        <f>VALUE(SUBSTITUTE(Table14[[#This Row],[Wartość]],".",","))</f>
        <v>11166.03</v>
      </c>
      <c r="L9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0" s="2" t="str">
        <f>IF(Table14[[#This Row],[Umowa]]="","Poza umową","Z umowy")</f>
        <v>Z umowy</v>
      </c>
      <c r="N960" s="2">
        <f>YEAR(Table14[[#This Row],[Data_Wystawienia]])</f>
        <v>2022</v>
      </c>
      <c r="O960" s="2" t="str">
        <f>TEXT(Table14[[#This Row],[Data_Wystawienia]],"rrrr-mm")</f>
        <v>2022-12</v>
      </c>
      <c r="P960" s="2">
        <v>1</v>
      </c>
    </row>
    <row r="961" spans="1:16" x14ac:dyDescent="0.3">
      <c r="A961" s="2" t="str">
        <f>TRIM(Table1[[#This Row],[Numer_FV]])</f>
        <v>FV/6327/NOVA/22</v>
      </c>
      <c r="B961" s="2" t="str">
        <f>TRIM(Table1[[#This Row],[Numer_PZ]])</f>
        <v>PZ/800959</v>
      </c>
      <c r="C961" s="2" t="str">
        <f>TRIM(Table1[[#This Row],[Dostawca]])</f>
        <v>NovaLek</v>
      </c>
      <c r="D961" s="3">
        <v>44914</v>
      </c>
      <c r="E961" s="4" t="s">
        <v>2858</v>
      </c>
      <c r="F961" s="2" t="str">
        <f>TRIM(Table1[[#This Row],[Status]])</f>
        <v>Zaakceptowana</v>
      </c>
      <c r="G961" s="2" t="str">
        <f>TRIM(Table1[[#This Row],[Typ]])</f>
        <v>Faktura VAT</v>
      </c>
      <c r="H961" s="2" t="str">
        <f>TRIM(Table1[[#This Row],[Magazyn]])</f>
        <v>Apteka Szpitalna</v>
      </c>
      <c r="I961" s="2" t="str">
        <f>TRIM(Table1[[#This Row],[Umowa]])</f>
        <v>UM-NOV-03</v>
      </c>
      <c r="J961" s="2" t="b">
        <f>ISTEXT(Table14[[#This Row],[Data_Wystawienia]])</f>
        <v>0</v>
      </c>
      <c r="K961" s="2">
        <f>VALUE(SUBSTITUTE(Table14[[#This Row],[Wartość]],".",","))</f>
        <v>14643.72</v>
      </c>
      <c r="L9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1" s="2" t="str">
        <f>IF(Table14[[#This Row],[Umowa]]="","Poza umową","Z umowy")</f>
        <v>Z umowy</v>
      </c>
      <c r="N961" s="2">
        <f>YEAR(Table14[[#This Row],[Data_Wystawienia]])</f>
        <v>2022</v>
      </c>
      <c r="O961" s="2" t="str">
        <f>TEXT(Table14[[#This Row],[Data_Wystawienia]],"rrrr-mm")</f>
        <v>2022-12</v>
      </c>
      <c r="P961" s="2">
        <v>1</v>
      </c>
    </row>
    <row r="962" spans="1:16" x14ac:dyDescent="0.3">
      <c r="A962" s="2" t="str">
        <f>TRIM(Table1[[#This Row],[Numer_FV]])</f>
        <v>FV/8489HM/22</v>
      </c>
      <c r="B962" s="2" t="str">
        <f>TRIM(Table1[[#This Row],[Numer_PZ]])</f>
        <v>PZ/800960</v>
      </c>
      <c r="C962" s="2" t="str">
        <f>TRIM(Table1[[#This Row],[Dostawca]])</f>
        <v>HurtMedix</v>
      </c>
      <c r="D962" s="3">
        <v>44914</v>
      </c>
      <c r="E962" s="4" t="s">
        <v>2861</v>
      </c>
      <c r="F962" s="2" t="str">
        <f>TRIM(Table1[[#This Row],[Status]])</f>
        <v>Zaakceptowana</v>
      </c>
      <c r="G962" s="2" t="str">
        <f>TRIM(Table1[[#This Row],[Typ]])</f>
        <v>Faktura VAT</v>
      </c>
      <c r="H962" s="2" t="str">
        <f>TRIM(Table1[[#This Row],[Magazyn]])</f>
        <v>Apteka Szpitalna</v>
      </c>
      <c r="I962" s="2" t="str">
        <f>TRIM(Table1[[#This Row],[Umowa]])</f>
        <v>UM-HUR-01</v>
      </c>
      <c r="J962" s="2" t="b">
        <f>ISTEXT(Table14[[#This Row],[Data_Wystawienia]])</f>
        <v>0</v>
      </c>
      <c r="K962" s="2">
        <f>VALUE(SUBSTITUTE(Table14[[#This Row],[Wartość]],".",","))</f>
        <v>14336.8</v>
      </c>
      <c r="L9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2" s="2" t="str">
        <f>IF(Table14[[#This Row],[Umowa]]="","Poza umową","Z umowy")</f>
        <v>Z umowy</v>
      </c>
      <c r="N962" s="2">
        <f>YEAR(Table14[[#This Row],[Data_Wystawienia]])</f>
        <v>2022</v>
      </c>
      <c r="O962" s="2" t="str">
        <f>TEXT(Table14[[#This Row],[Data_Wystawienia]],"rrrr-mm")</f>
        <v>2022-12</v>
      </c>
      <c r="P962" s="2">
        <v>1</v>
      </c>
    </row>
    <row r="963" spans="1:16" x14ac:dyDescent="0.3">
      <c r="A963" s="2" t="str">
        <f>TRIM(Table1[[#This Row],[Numer_FV]])</f>
        <v>FV/98338/VDb/2022</v>
      </c>
      <c r="B963" s="2" t="str">
        <f>TRIM(Table1[[#This Row],[Numer_PZ]])</f>
        <v>PZ/800961</v>
      </c>
      <c r="C963" s="2" t="str">
        <f>TRIM(Table1[[#This Row],[Dostawca]])</f>
        <v>VitaDistrib</v>
      </c>
      <c r="D963" s="3">
        <v>44915</v>
      </c>
      <c r="E963" s="4" t="s">
        <v>2864</v>
      </c>
      <c r="F963" s="2" t="str">
        <f>TRIM(Table1[[#This Row],[Status]])</f>
        <v>Zaakceptowana</v>
      </c>
      <c r="G963" s="2" t="str">
        <f>TRIM(Table1[[#This Row],[Typ]])</f>
        <v>Faktura VAT</v>
      </c>
      <c r="H963" s="2" t="str">
        <f>TRIM(Table1[[#This Row],[Magazyn]])</f>
        <v>Apteka Szpitalna</v>
      </c>
      <c r="I963" s="2" t="str">
        <f>TRIM(Table1[[#This Row],[Umowa]])</f>
        <v/>
      </c>
      <c r="J963" s="2" t="b">
        <f>ISTEXT(Table14[[#This Row],[Data_Wystawienia]])</f>
        <v>0</v>
      </c>
      <c r="K963" s="2">
        <f>VALUE(SUBSTITUTE(Table14[[#This Row],[Wartość]],".",","))</f>
        <v>14737.55</v>
      </c>
      <c r="L9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3" s="2" t="str">
        <f>IF(Table14[[#This Row],[Umowa]]="","Poza umową","Z umowy")</f>
        <v>Poza umową</v>
      </c>
      <c r="N963" s="2">
        <f>YEAR(Table14[[#This Row],[Data_Wystawienia]])</f>
        <v>2022</v>
      </c>
      <c r="O963" s="2" t="str">
        <f>TEXT(Table14[[#This Row],[Data_Wystawienia]],"rrrr-mm")</f>
        <v>2022-12</v>
      </c>
      <c r="P963" s="2">
        <v>1</v>
      </c>
    </row>
    <row r="964" spans="1:16" x14ac:dyDescent="0.3">
      <c r="A964" s="2" t="str">
        <f>TRIM(Table1[[#This Row],[Numer_FV]])</f>
        <v>FV/POL/97495/2022</v>
      </c>
      <c r="B964" s="2" t="str">
        <f>TRIM(Table1[[#This Row],[Numer_PZ]])</f>
        <v>PZ/800962</v>
      </c>
      <c r="C964" s="2" t="str">
        <f>TRIM(Table1[[#This Row],[Dostawca]])</f>
        <v>Polmedica</v>
      </c>
      <c r="D964" s="3">
        <v>44915</v>
      </c>
      <c r="E964" s="4" t="s">
        <v>2867</v>
      </c>
      <c r="F964" s="2" t="str">
        <f>TRIM(Table1[[#This Row],[Status]])</f>
        <v>Zaakceptowana</v>
      </c>
      <c r="G964" s="2" t="str">
        <f>TRIM(Table1[[#This Row],[Typ]])</f>
        <v>Faktura VAT</v>
      </c>
      <c r="H964" s="2" t="str">
        <f>TRIM(Table1[[#This Row],[Magazyn]])</f>
        <v>Apteka Szpitalna</v>
      </c>
      <c r="I964" s="2" t="str">
        <f>TRIM(Table1[[#This Row],[Umowa]])</f>
        <v>UM-POL-03</v>
      </c>
      <c r="J964" s="2" t="b">
        <f>ISTEXT(Table14[[#This Row],[Data_Wystawienia]])</f>
        <v>0</v>
      </c>
      <c r="K964" s="2">
        <f>VALUE(SUBSTITUTE(Table14[[#This Row],[Wartość]],".",","))</f>
        <v>12911.31</v>
      </c>
      <c r="L9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4" s="2" t="str">
        <f>IF(Table14[[#This Row],[Umowa]]="","Poza umową","Z umowy")</f>
        <v>Z umowy</v>
      </c>
      <c r="N964" s="2">
        <f>YEAR(Table14[[#This Row],[Data_Wystawienia]])</f>
        <v>2022</v>
      </c>
      <c r="O964" s="2" t="str">
        <f>TEXT(Table14[[#This Row],[Data_Wystawienia]],"rrrr-mm")</f>
        <v>2022-12</v>
      </c>
      <c r="P964" s="2">
        <v>1</v>
      </c>
    </row>
    <row r="965" spans="1:16" x14ac:dyDescent="0.3">
      <c r="A965" s="2" t="str">
        <f>TRIM(Table1[[#This Row],[Numer_FV]])</f>
        <v>FV/CENFA/835394/22</v>
      </c>
      <c r="B965" s="2" t="str">
        <f>TRIM(Table1[[#This Row],[Numer_PZ]])</f>
        <v>PZ/800963</v>
      </c>
      <c r="C965" s="2" t="str">
        <f>TRIM(Table1[[#This Row],[Dostawca]])</f>
        <v>CentrumFarm</v>
      </c>
      <c r="D965" s="3">
        <v>44917</v>
      </c>
      <c r="E965" s="4" t="s">
        <v>2870</v>
      </c>
      <c r="F965" s="2" t="str">
        <f>TRIM(Table1[[#This Row],[Status]])</f>
        <v>Zaakceptowana</v>
      </c>
      <c r="G965" s="2" t="str">
        <f>TRIM(Table1[[#This Row],[Typ]])</f>
        <v>Faktura VAT</v>
      </c>
      <c r="H965" s="2" t="str">
        <f>TRIM(Table1[[#This Row],[Magazyn]])</f>
        <v>Apteka Szpitalna</v>
      </c>
      <c r="I965" s="2" t="str">
        <f>TRIM(Table1[[#This Row],[Umowa]])</f>
        <v>UM-CEN-01</v>
      </c>
      <c r="J965" s="2" t="b">
        <f>ISTEXT(Table14[[#This Row],[Data_Wystawienia]])</f>
        <v>0</v>
      </c>
      <c r="K965" s="2">
        <f>VALUE(SUBSTITUTE(Table14[[#This Row],[Wartość]],".",","))</f>
        <v>22613.98</v>
      </c>
      <c r="L9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5" s="2" t="str">
        <f>IF(Table14[[#This Row],[Umowa]]="","Poza umową","Z umowy")</f>
        <v>Z umowy</v>
      </c>
      <c r="N965" s="2">
        <f>YEAR(Table14[[#This Row],[Data_Wystawienia]])</f>
        <v>2022</v>
      </c>
      <c r="O965" s="2" t="str">
        <f>TEXT(Table14[[#This Row],[Data_Wystawienia]],"rrrr-mm")</f>
        <v>2022-12</v>
      </c>
      <c r="P965" s="2">
        <v>1</v>
      </c>
    </row>
    <row r="966" spans="1:16" x14ac:dyDescent="0.3">
      <c r="A966" s="2" t="str">
        <f>TRIM(Table1[[#This Row],[Numer_FV]])</f>
        <v>FV/86/PP/4601/22</v>
      </c>
      <c r="B966" s="2" t="str">
        <f>TRIM(Table1[[#This Row],[Numer_PZ]])</f>
        <v>PZ/800964</v>
      </c>
      <c r="C966" s="2" t="str">
        <f>TRIM(Table1[[#This Row],[Dostawca]])</f>
        <v>PharmaPlus</v>
      </c>
      <c r="D966" s="3">
        <v>44918</v>
      </c>
      <c r="E966" s="4" t="s">
        <v>2873</v>
      </c>
      <c r="F966" s="2" t="str">
        <f>TRIM(Table1[[#This Row],[Status]])</f>
        <v>Zaakceptowana</v>
      </c>
      <c r="G966" s="2" t="str">
        <f>TRIM(Table1[[#This Row],[Typ]])</f>
        <v>Faktura VAT</v>
      </c>
      <c r="H966" s="2" t="str">
        <f>TRIM(Table1[[#This Row],[Magazyn]])</f>
        <v>Apteka Szpitalna</v>
      </c>
      <c r="I966" s="2" t="str">
        <f>TRIM(Table1[[#This Row],[Umowa]])</f>
        <v>UM-PHA-02</v>
      </c>
      <c r="J966" s="2" t="b">
        <f>ISTEXT(Table14[[#This Row],[Data_Wystawienia]])</f>
        <v>0</v>
      </c>
      <c r="K966" s="2">
        <f>VALUE(SUBSTITUTE(Table14[[#This Row],[Wartość]],".",","))</f>
        <v>12871.78</v>
      </c>
      <c r="L9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6" s="2" t="str">
        <f>IF(Table14[[#This Row],[Umowa]]="","Poza umową","Z umowy")</f>
        <v>Z umowy</v>
      </c>
      <c r="N966" s="2">
        <f>YEAR(Table14[[#This Row],[Data_Wystawienia]])</f>
        <v>2022</v>
      </c>
      <c r="O966" s="2" t="str">
        <f>TEXT(Table14[[#This Row],[Data_Wystawienia]],"rrrr-mm")</f>
        <v>2022-12</v>
      </c>
      <c r="P966" s="2">
        <v>1</v>
      </c>
    </row>
    <row r="967" spans="1:16" x14ac:dyDescent="0.3">
      <c r="A967" s="2" t="str">
        <f>TRIM(Table1[[#This Row],[Numer_FV]])</f>
        <v>FV/6988HM/22</v>
      </c>
      <c r="B967" s="2" t="str">
        <f>TRIM(Table1[[#This Row],[Numer_PZ]])</f>
        <v>PZ/800965</v>
      </c>
      <c r="C967" s="2" t="str">
        <f>TRIM(Table1[[#This Row],[Dostawca]])</f>
        <v>HurtMedix</v>
      </c>
      <c r="D967" s="3">
        <v>44918</v>
      </c>
      <c r="E967" s="4" t="s">
        <v>2876</v>
      </c>
      <c r="F967" s="2" t="str">
        <f>TRIM(Table1[[#This Row],[Status]])</f>
        <v>Zaakceptowana</v>
      </c>
      <c r="G967" s="2" t="str">
        <f>TRIM(Table1[[#This Row],[Typ]])</f>
        <v>Faktura VAT</v>
      </c>
      <c r="H967" s="2" t="str">
        <f>TRIM(Table1[[#This Row],[Magazyn]])</f>
        <v>Apteka Szpitalna</v>
      </c>
      <c r="I967" s="2" t="str">
        <f>TRIM(Table1[[#This Row],[Umowa]])</f>
        <v>UM-HUR-02</v>
      </c>
      <c r="J967" s="2" t="b">
        <f>ISTEXT(Table14[[#This Row],[Data_Wystawienia]])</f>
        <v>0</v>
      </c>
      <c r="K967" s="2">
        <f>VALUE(SUBSTITUTE(Table14[[#This Row],[Wartość]],".",","))</f>
        <v>14968.48</v>
      </c>
      <c r="L9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7" s="2" t="str">
        <f>IF(Table14[[#This Row],[Umowa]]="","Poza umową","Z umowy")</f>
        <v>Z umowy</v>
      </c>
      <c r="N967" s="2">
        <f>YEAR(Table14[[#This Row],[Data_Wystawienia]])</f>
        <v>2022</v>
      </c>
      <c r="O967" s="2" t="str">
        <f>TEXT(Table14[[#This Row],[Data_Wystawienia]],"rrrr-mm")</f>
        <v>2022-12</v>
      </c>
      <c r="P967" s="2">
        <v>1</v>
      </c>
    </row>
    <row r="968" spans="1:16" x14ac:dyDescent="0.3">
      <c r="A968" s="2" t="str">
        <f>TRIM(Table1[[#This Row],[Numer_FV]])</f>
        <v>FV/5922HM/22</v>
      </c>
      <c r="B968" s="2" t="str">
        <f>TRIM(Table1[[#This Row],[Numer_PZ]])</f>
        <v>PZ/800966</v>
      </c>
      <c r="C968" s="2" t="str">
        <f>TRIM(Table1[[#This Row],[Dostawca]])</f>
        <v>HurtMedix</v>
      </c>
      <c r="D968" s="3">
        <v>44918</v>
      </c>
      <c r="E968" s="4" t="s">
        <v>2879</v>
      </c>
      <c r="F968" s="2" t="str">
        <f>TRIM(Table1[[#This Row],[Status]])</f>
        <v>Zaakceptowana</v>
      </c>
      <c r="G968" s="2" t="str">
        <f>TRIM(Table1[[#This Row],[Typ]])</f>
        <v>Faktura VAT</v>
      </c>
      <c r="H968" s="2" t="str">
        <f>TRIM(Table1[[#This Row],[Magazyn]])</f>
        <v>Apteka Szpitalna</v>
      </c>
      <c r="I968" s="2" t="str">
        <f>TRIM(Table1[[#This Row],[Umowa]])</f>
        <v/>
      </c>
      <c r="J968" s="2" t="b">
        <f>ISTEXT(Table14[[#This Row],[Data_Wystawienia]])</f>
        <v>0</v>
      </c>
      <c r="K968" s="2">
        <f>VALUE(SUBSTITUTE(Table14[[#This Row],[Wartość]],".",","))</f>
        <v>19377.810000000001</v>
      </c>
      <c r="L9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8" s="2" t="str">
        <f>IF(Table14[[#This Row],[Umowa]]="","Poza umową","Z umowy")</f>
        <v>Poza umową</v>
      </c>
      <c r="N968" s="2">
        <f>YEAR(Table14[[#This Row],[Data_Wystawienia]])</f>
        <v>2022</v>
      </c>
      <c r="O968" s="2" t="str">
        <f>TEXT(Table14[[#This Row],[Data_Wystawienia]],"rrrr-mm")</f>
        <v>2022-12</v>
      </c>
      <c r="P968" s="2">
        <v>1</v>
      </c>
    </row>
    <row r="969" spans="1:16" x14ac:dyDescent="0.3">
      <c r="A969" s="2" t="str">
        <f>TRIM(Table1[[#This Row],[Numer_FV]])</f>
        <v>FV/POL/67351/2022</v>
      </c>
      <c r="B969" s="2" t="str">
        <f>TRIM(Table1[[#This Row],[Numer_PZ]])</f>
        <v>PZ/800967</v>
      </c>
      <c r="C969" s="2" t="str">
        <f>TRIM(Table1[[#This Row],[Dostawca]])</f>
        <v>Polmedica</v>
      </c>
      <c r="D969" s="3">
        <v>44918</v>
      </c>
      <c r="E969" s="4" t="s">
        <v>2882</v>
      </c>
      <c r="F969" s="2" t="str">
        <f>TRIM(Table1[[#This Row],[Status]])</f>
        <v>Zaakceptowana</v>
      </c>
      <c r="G969" s="2" t="str">
        <f>TRIM(Table1[[#This Row],[Typ]])</f>
        <v>Faktura VAT</v>
      </c>
      <c r="H969" s="2" t="str">
        <f>TRIM(Table1[[#This Row],[Magazyn]])</f>
        <v>Apteka Szpitalna</v>
      </c>
      <c r="I969" s="2" t="str">
        <f>TRIM(Table1[[#This Row],[Umowa]])</f>
        <v>UM-POL-01</v>
      </c>
      <c r="J969" s="2" t="b">
        <f>ISTEXT(Table14[[#This Row],[Data_Wystawienia]])</f>
        <v>0</v>
      </c>
      <c r="K969" s="2">
        <f>VALUE(SUBSTITUTE(Table14[[#This Row],[Wartość]],".",","))</f>
        <v>14603.63</v>
      </c>
      <c r="L9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69" s="2" t="str">
        <f>IF(Table14[[#This Row],[Umowa]]="","Poza umową","Z umowy")</f>
        <v>Z umowy</v>
      </c>
      <c r="N969" s="2">
        <f>YEAR(Table14[[#This Row],[Data_Wystawienia]])</f>
        <v>2022</v>
      </c>
      <c r="O969" s="2" t="str">
        <f>TEXT(Table14[[#This Row],[Data_Wystawienia]],"rrrr-mm")</f>
        <v>2022-12</v>
      </c>
      <c r="P969" s="2">
        <v>1</v>
      </c>
    </row>
    <row r="970" spans="1:16" x14ac:dyDescent="0.3">
      <c r="A970" s="2" t="str">
        <f>TRIM(Table1[[#This Row],[Numer_FV]])</f>
        <v>FV/4304/NOVA/22</v>
      </c>
      <c r="B970" s="2" t="str">
        <f>TRIM(Table1[[#This Row],[Numer_PZ]])</f>
        <v>PZ/800968</v>
      </c>
      <c r="C970" s="2" t="str">
        <f>TRIM(Table1[[#This Row],[Dostawca]])</f>
        <v>NovaLek</v>
      </c>
      <c r="D970" s="3">
        <v>44918</v>
      </c>
      <c r="E970" s="4" t="s">
        <v>2885</v>
      </c>
      <c r="F970" s="2" t="str">
        <f>TRIM(Table1[[#This Row],[Status]])</f>
        <v>Zaakceptowana</v>
      </c>
      <c r="G970" s="2" t="str">
        <f>TRIM(Table1[[#This Row],[Typ]])</f>
        <v>Faktura VAT</v>
      </c>
      <c r="H970" s="2" t="str">
        <f>TRIM(Table1[[#This Row],[Magazyn]])</f>
        <v>Apteka Szpitalna</v>
      </c>
      <c r="I970" s="2" t="str">
        <f>TRIM(Table1[[#This Row],[Umowa]])</f>
        <v>UM-NOV-02</v>
      </c>
      <c r="J970" s="2" t="b">
        <f>ISTEXT(Table14[[#This Row],[Data_Wystawienia]])</f>
        <v>0</v>
      </c>
      <c r="K970" s="2">
        <f>VALUE(SUBSTITUTE(Table14[[#This Row],[Wartość]],".",","))</f>
        <v>17467.259999999998</v>
      </c>
      <c r="L9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0" s="2" t="str">
        <f>IF(Table14[[#This Row],[Umowa]]="","Poza umową","Z umowy")</f>
        <v>Z umowy</v>
      </c>
      <c r="N970" s="2">
        <f>YEAR(Table14[[#This Row],[Data_Wystawienia]])</f>
        <v>2022</v>
      </c>
      <c r="O970" s="2" t="str">
        <f>TEXT(Table14[[#This Row],[Data_Wystawienia]],"rrrr-mm")</f>
        <v>2022-12</v>
      </c>
      <c r="P970" s="2">
        <v>1</v>
      </c>
    </row>
    <row r="971" spans="1:16" x14ac:dyDescent="0.3">
      <c r="A971" s="2" t="str">
        <f>TRIM(Table1[[#This Row],[Numer_FV]])</f>
        <v>FV/CENFA/866430/22</v>
      </c>
      <c r="B971" s="2" t="str">
        <f>TRIM(Table1[[#This Row],[Numer_PZ]])</f>
        <v>PZ/800969</v>
      </c>
      <c r="C971" s="2" t="str">
        <f>TRIM(Table1[[#This Row],[Dostawca]])</f>
        <v>CentrumFarm</v>
      </c>
      <c r="D971" s="3">
        <v>44919</v>
      </c>
      <c r="E971" s="4" t="s">
        <v>2888</v>
      </c>
      <c r="F971" s="2" t="str">
        <f>TRIM(Table1[[#This Row],[Status]])</f>
        <v>Zaakceptowana</v>
      </c>
      <c r="G971" s="2" t="str">
        <f>TRIM(Table1[[#This Row],[Typ]])</f>
        <v>Faktura VAT</v>
      </c>
      <c r="H971" s="2" t="str">
        <f>TRIM(Table1[[#This Row],[Magazyn]])</f>
        <v>Apteka Szpitalna</v>
      </c>
      <c r="I971" s="2" t="str">
        <f>TRIM(Table1[[#This Row],[Umowa]])</f>
        <v>UM-CEN-01</v>
      </c>
      <c r="J971" s="2" t="b">
        <f>ISTEXT(Table14[[#This Row],[Data_Wystawienia]])</f>
        <v>0</v>
      </c>
      <c r="K971" s="2">
        <f>VALUE(SUBSTITUTE(Table14[[#This Row],[Wartość]],".",","))</f>
        <v>21874.93</v>
      </c>
      <c r="L9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1" s="2" t="str">
        <f>IF(Table14[[#This Row],[Umowa]]="","Poza umową","Z umowy")</f>
        <v>Z umowy</v>
      </c>
      <c r="N971" s="2">
        <f>YEAR(Table14[[#This Row],[Data_Wystawienia]])</f>
        <v>2022</v>
      </c>
      <c r="O971" s="2" t="str">
        <f>TEXT(Table14[[#This Row],[Data_Wystawienia]],"rrrr-mm")</f>
        <v>2022-12</v>
      </c>
      <c r="P971" s="2">
        <v>1</v>
      </c>
    </row>
    <row r="972" spans="1:16" x14ac:dyDescent="0.3">
      <c r="A972" s="2" t="str">
        <f>TRIM(Table1[[#This Row],[Numer_FV]])</f>
        <v>FV/CENFA/491411/22</v>
      </c>
      <c r="B972" s="2" t="str">
        <f>TRIM(Table1[[#This Row],[Numer_PZ]])</f>
        <v>PZ/800970</v>
      </c>
      <c r="C972" s="2" t="str">
        <f>TRIM(Table1[[#This Row],[Dostawca]])</f>
        <v>CentrumFarm</v>
      </c>
      <c r="D972" s="3">
        <v>44919</v>
      </c>
      <c r="E972" s="4" t="s">
        <v>2891</v>
      </c>
      <c r="F972" s="2" t="str">
        <f>TRIM(Table1[[#This Row],[Status]])</f>
        <v>Zaakceptowana</v>
      </c>
      <c r="G972" s="2" t="str">
        <f>TRIM(Table1[[#This Row],[Typ]])</f>
        <v>Korekta FV</v>
      </c>
      <c r="H972" s="2" t="str">
        <f>TRIM(Table1[[#This Row],[Magazyn]])</f>
        <v>Apteka Szpitalna</v>
      </c>
      <c r="I972" s="2" t="str">
        <f>TRIM(Table1[[#This Row],[Umowa]])</f>
        <v>UM-CEN-01</v>
      </c>
      <c r="J972" s="2" t="b">
        <f>ISTEXT(Table14[[#This Row],[Data_Wystawienia]])</f>
        <v>0</v>
      </c>
      <c r="K972" s="2">
        <f>VALUE(SUBSTITUTE(Table14[[#This Row],[Wartość]],".",","))</f>
        <v>-2387.5300000000002</v>
      </c>
      <c r="L9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2" s="2" t="str">
        <f>IF(Table14[[#This Row],[Umowa]]="","Poza umową","Z umowy")</f>
        <v>Z umowy</v>
      </c>
      <c r="N972" s="2">
        <f>YEAR(Table14[[#This Row],[Data_Wystawienia]])</f>
        <v>2022</v>
      </c>
      <c r="O972" s="2" t="str">
        <f>TEXT(Table14[[#This Row],[Data_Wystawienia]],"rrrr-mm")</f>
        <v>2022-12</v>
      </c>
      <c r="P972" s="2">
        <v>1</v>
      </c>
    </row>
    <row r="973" spans="1:16" x14ac:dyDescent="0.3">
      <c r="A973" s="2" t="str">
        <f>TRIM(Table1[[#This Row],[Numer_FV]])</f>
        <v>FV/M/9121/P/22</v>
      </c>
      <c r="B973" s="2" t="str">
        <f>TRIM(Table1[[#This Row],[Numer_PZ]])</f>
        <v>PZ/800971</v>
      </c>
      <c r="C973" s="2" t="str">
        <f>TRIM(Table1[[#This Row],[Dostawca]])</f>
        <v>MedicaPharm</v>
      </c>
      <c r="D973" s="3">
        <v>44919</v>
      </c>
      <c r="E973" s="4" t="s">
        <v>2894</v>
      </c>
      <c r="F973" s="2" t="str">
        <f>TRIM(Table1[[#This Row],[Status]])</f>
        <v>Zaakceptowana</v>
      </c>
      <c r="G973" s="2" t="str">
        <f>TRIM(Table1[[#This Row],[Typ]])</f>
        <v>Faktura VAT</v>
      </c>
      <c r="H973" s="2" t="str">
        <f>TRIM(Table1[[#This Row],[Magazyn]])</f>
        <v>Apteka Szpitalna</v>
      </c>
      <c r="I973" s="2" t="str">
        <f>TRIM(Table1[[#This Row],[Umowa]])</f>
        <v>UM-MED-01</v>
      </c>
      <c r="J973" s="2" t="b">
        <f>ISTEXT(Table14[[#This Row],[Data_Wystawienia]])</f>
        <v>0</v>
      </c>
      <c r="K973" s="2">
        <f>VALUE(SUBSTITUTE(Table14[[#This Row],[Wartość]],".",","))</f>
        <v>20189.189999999999</v>
      </c>
      <c r="L9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3" s="2" t="str">
        <f>IF(Table14[[#This Row],[Umowa]]="","Poza umową","Z umowy")</f>
        <v>Z umowy</v>
      </c>
      <c r="N973" s="2">
        <f>YEAR(Table14[[#This Row],[Data_Wystawienia]])</f>
        <v>2022</v>
      </c>
      <c r="O973" s="2" t="str">
        <f>TEXT(Table14[[#This Row],[Data_Wystawienia]],"rrrr-mm")</f>
        <v>2022-12</v>
      </c>
      <c r="P973" s="2">
        <v>1</v>
      </c>
    </row>
    <row r="974" spans="1:16" x14ac:dyDescent="0.3">
      <c r="A974" s="2" t="str">
        <f>TRIM(Table1[[#This Row],[Numer_FV]])</f>
        <v>FV/1384HM/22</v>
      </c>
      <c r="B974" s="2" t="str">
        <f>TRIM(Table1[[#This Row],[Numer_PZ]])</f>
        <v>PZ/800972</v>
      </c>
      <c r="C974" s="2" t="str">
        <f>TRIM(Table1[[#This Row],[Dostawca]])</f>
        <v>HurtMedix</v>
      </c>
      <c r="D974" s="3">
        <v>44919</v>
      </c>
      <c r="E974" s="4" t="s">
        <v>2897</v>
      </c>
      <c r="F974" s="2" t="str">
        <f>TRIM(Table1[[#This Row],[Status]])</f>
        <v>Zaakceptowana</v>
      </c>
      <c r="G974" s="2" t="str">
        <f>TRIM(Table1[[#This Row],[Typ]])</f>
        <v>Faktura VAT</v>
      </c>
      <c r="H974" s="2" t="str">
        <f>TRIM(Table1[[#This Row],[Magazyn]])</f>
        <v>Apteka Szpitalna</v>
      </c>
      <c r="I974" s="2" t="str">
        <f>TRIM(Table1[[#This Row],[Umowa]])</f>
        <v/>
      </c>
      <c r="J974" s="2" t="b">
        <f>ISTEXT(Table14[[#This Row],[Data_Wystawienia]])</f>
        <v>0</v>
      </c>
      <c r="K974" s="2">
        <f>VALUE(SUBSTITUTE(Table14[[#This Row],[Wartość]],".",","))</f>
        <v>11547.3</v>
      </c>
      <c r="L9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4" s="2" t="str">
        <f>IF(Table14[[#This Row],[Umowa]]="","Poza umową","Z umowy")</f>
        <v>Poza umową</v>
      </c>
      <c r="N974" s="2">
        <f>YEAR(Table14[[#This Row],[Data_Wystawienia]])</f>
        <v>2022</v>
      </c>
      <c r="O974" s="2" t="str">
        <f>TEXT(Table14[[#This Row],[Data_Wystawienia]],"rrrr-mm")</f>
        <v>2022-12</v>
      </c>
      <c r="P974" s="2">
        <v>1</v>
      </c>
    </row>
    <row r="975" spans="1:16" x14ac:dyDescent="0.3">
      <c r="A975" s="2" t="str">
        <f>TRIM(Table1[[#This Row],[Numer_FV]])</f>
        <v>FV/67/PP/1306/22</v>
      </c>
      <c r="B975" s="2" t="str">
        <f>TRIM(Table1[[#This Row],[Numer_PZ]])</f>
        <v>PZ/800973</v>
      </c>
      <c r="C975" s="2" t="str">
        <f>TRIM(Table1[[#This Row],[Dostawca]])</f>
        <v>PharmaPlus</v>
      </c>
      <c r="D975" s="3">
        <v>44920</v>
      </c>
      <c r="E975" s="4" t="s">
        <v>2900</v>
      </c>
      <c r="F975" s="2" t="str">
        <f>TRIM(Table1[[#This Row],[Status]])</f>
        <v>Zaakceptowana</v>
      </c>
      <c r="G975" s="2" t="str">
        <f>TRIM(Table1[[#This Row],[Typ]])</f>
        <v>Faktura VAT</v>
      </c>
      <c r="H975" s="2" t="str">
        <f>TRIM(Table1[[#This Row],[Magazyn]])</f>
        <v>Apteka Szpitalna</v>
      </c>
      <c r="I975" s="2" t="str">
        <f>TRIM(Table1[[#This Row],[Umowa]])</f>
        <v>UM-PHA-02</v>
      </c>
      <c r="J975" s="2" t="b">
        <f>ISTEXT(Table14[[#This Row],[Data_Wystawienia]])</f>
        <v>0</v>
      </c>
      <c r="K975" s="2">
        <f>VALUE(SUBSTITUTE(Table14[[#This Row],[Wartość]],".",","))</f>
        <v>15206.36</v>
      </c>
      <c r="L9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5" s="2" t="str">
        <f>IF(Table14[[#This Row],[Umowa]]="","Poza umową","Z umowy")</f>
        <v>Z umowy</v>
      </c>
      <c r="N975" s="2">
        <f>YEAR(Table14[[#This Row],[Data_Wystawienia]])</f>
        <v>2022</v>
      </c>
      <c r="O975" s="2" t="str">
        <f>TEXT(Table14[[#This Row],[Data_Wystawienia]],"rrrr-mm")</f>
        <v>2022-12</v>
      </c>
      <c r="P975" s="2">
        <v>1</v>
      </c>
    </row>
    <row r="976" spans="1:16" x14ac:dyDescent="0.3">
      <c r="A976" s="2" t="str">
        <f>TRIM(Table1[[#This Row],[Numer_FV]])</f>
        <v>FV/POL/11595/2022</v>
      </c>
      <c r="B976" s="2" t="str">
        <f>TRIM(Table1[[#This Row],[Numer_PZ]])</f>
        <v>PZ/800974</v>
      </c>
      <c r="C976" s="2" t="str">
        <f>TRIM(Table1[[#This Row],[Dostawca]])</f>
        <v>Polmedica</v>
      </c>
      <c r="D976" s="3">
        <v>44920</v>
      </c>
      <c r="E976" s="4" t="s">
        <v>2903</v>
      </c>
      <c r="F976" s="2" t="str">
        <f>TRIM(Table1[[#This Row],[Status]])</f>
        <v>Zaakceptowana</v>
      </c>
      <c r="G976" s="2" t="str">
        <f>TRIM(Table1[[#This Row],[Typ]])</f>
        <v>Faktura VAT</v>
      </c>
      <c r="H976" s="2" t="str">
        <f>TRIM(Table1[[#This Row],[Magazyn]])</f>
        <v>Apteka Szpitalna</v>
      </c>
      <c r="I976" s="2" t="str">
        <f>TRIM(Table1[[#This Row],[Umowa]])</f>
        <v>UM-POL-03</v>
      </c>
      <c r="J976" s="2" t="b">
        <f>ISTEXT(Table14[[#This Row],[Data_Wystawienia]])</f>
        <v>0</v>
      </c>
      <c r="K976" s="2">
        <f>VALUE(SUBSTITUTE(Table14[[#This Row],[Wartość]],".",","))</f>
        <v>12567.32</v>
      </c>
      <c r="L9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6" s="2" t="str">
        <f>IF(Table14[[#This Row],[Umowa]]="","Poza umową","Z umowy")</f>
        <v>Z umowy</v>
      </c>
      <c r="N976" s="2">
        <f>YEAR(Table14[[#This Row],[Data_Wystawienia]])</f>
        <v>2022</v>
      </c>
      <c r="O976" s="2" t="str">
        <f>TEXT(Table14[[#This Row],[Data_Wystawienia]],"rrrr-mm")</f>
        <v>2022-12</v>
      </c>
      <c r="P976" s="2">
        <v>1</v>
      </c>
    </row>
    <row r="977" spans="1:16" x14ac:dyDescent="0.3">
      <c r="A977" s="2" t="str">
        <f>TRIM(Table1[[#This Row],[Numer_FV]])</f>
        <v>FV/2687HM/22</v>
      </c>
      <c r="B977" s="2" t="str">
        <f>TRIM(Table1[[#This Row],[Numer_PZ]])</f>
        <v>PZ/800975</v>
      </c>
      <c r="C977" s="2" t="str">
        <f>TRIM(Table1[[#This Row],[Dostawca]])</f>
        <v>HurtMedix</v>
      </c>
      <c r="D977" s="3">
        <v>44920</v>
      </c>
      <c r="E977" s="4" t="s">
        <v>2906</v>
      </c>
      <c r="F977" s="2" t="str">
        <f>TRIM(Table1[[#This Row],[Status]])</f>
        <v>Zaakceptowana</v>
      </c>
      <c r="G977" s="2" t="str">
        <f>TRIM(Table1[[#This Row],[Typ]])</f>
        <v>Faktura VAT</v>
      </c>
      <c r="H977" s="2" t="str">
        <f>TRIM(Table1[[#This Row],[Magazyn]])</f>
        <v>Apteka Szpitalna</v>
      </c>
      <c r="I977" s="2" t="str">
        <f>TRIM(Table1[[#This Row],[Umowa]])</f>
        <v>UM-HUR-01</v>
      </c>
      <c r="J977" s="2" t="b">
        <f>ISTEXT(Table14[[#This Row],[Data_Wystawienia]])</f>
        <v>0</v>
      </c>
      <c r="K977" s="2">
        <f>VALUE(SUBSTITUTE(Table14[[#This Row],[Wartość]],".",","))</f>
        <v>10147.07</v>
      </c>
      <c r="L9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7" s="2" t="str">
        <f>IF(Table14[[#This Row],[Umowa]]="","Poza umową","Z umowy")</f>
        <v>Z umowy</v>
      </c>
      <c r="N977" s="2">
        <f>YEAR(Table14[[#This Row],[Data_Wystawienia]])</f>
        <v>2022</v>
      </c>
      <c r="O977" s="2" t="str">
        <f>TEXT(Table14[[#This Row],[Data_Wystawienia]],"rrrr-mm")</f>
        <v>2022-12</v>
      </c>
      <c r="P977" s="2">
        <v>1</v>
      </c>
    </row>
    <row r="978" spans="1:16" x14ac:dyDescent="0.3">
      <c r="A978" s="2" t="str">
        <f>TRIM(Table1[[#This Row],[Numer_FV]])</f>
        <v>FV/CENFA/571082/22</v>
      </c>
      <c r="B978" s="2" t="str">
        <f>TRIM(Table1[[#This Row],[Numer_PZ]])</f>
        <v>PZ/800976</v>
      </c>
      <c r="C978" s="2" t="str">
        <f>TRIM(Table1[[#This Row],[Dostawca]])</f>
        <v>CentrumFarm</v>
      </c>
      <c r="D978" s="3">
        <v>44921</v>
      </c>
      <c r="E978" s="4" t="s">
        <v>2909</v>
      </c>
      <c r="F978" s="2" t="str">
        <f>TRIM(Table1[[#This Row],[Status]])</f>
        <v>Zaakceptowana</v>
      </c>
      <c r="G978" s="2" t="str">
        <f>TRIM(Table1[[#This Row],[Typ]])</f>
        <v>Faktura VAT</v>
      </c>
      <c r="H978" s="2" t="str">
        <f>TRIM(Table1[[#This Row],[Magazyn]])</f>
        <v>Apteka Szpitalna</v>
      </c>
      <c r="I978" s="2" t="str">
        <f>TRIM(Table1[[#This Row],[Umowa]])</f>
        <v>UM-CEN-02</v>
      </c>
      <c r="J978" s="2" t="b">
        <f>ISTEXT(Table14[[#This Row],[Data_Wystawienia]])</f>
        <v>0</v>
      </c>
      <c r="K978" s="2">
        <f>VALUE(SUBSTITUTE(Table14[[#This Row],[Wartość]],".",","))</f>
        <v>17738.59</v>
      </c>
      <c r="L9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8" s="2" t="str">
        <f>IF(Table14[[#This Row],[Umowa]]="","Poza umową","Z umowy")</f>
        <v>Z umowy</v>
      </c>
      <c r="N978" s="2">
        <f>YEAR(Table14[[#This Row],[Data_Wystawienia]])</f>
        <v>2022</v>
      </c>
      <c r="O978" s="2" t="str">
        <f>TEXT(Table14[[#This Row],[Data_Wystawienia]],"rrrr-mm")</f>
        <v>2022-12</v>
      </c>
      <c r="P978" s="2">
        <v>1</v>
      </c>
    </row>
    <row r="979" spans="1:16" x14ac:dyDescent="0.3">
      <c r="A979" s="2" t="str">
        <f>TRIM(Table1[[#This Row],[Numer_FV]])</f>
        <v>FV/21/SAL/22</v>
      </c>
      <c r="B979" s="2" t="str">
        <f>TRIM(Table1[[#This Row],[Numer_PZ]])</f>
        <v>PZ/800977</v>
      </c>
      <c r="C979" s="2" t="str">
        <f>TRIM(Table1[[#This Row],[Dostawca]])</f>
        <v>SalusHurt</v>
      </c>
      <c r="D979" s="3">
        <v>44921</v>
      </c>
      <c r="E979" s="4" t="s">
        <v>2911</v>
      </c>
      <c r="F979" s="2" t="str">
        <f>TRIM(Table1[[#This Row],[Status]])</f>
        <v>Zaakceptowana</v>
      </c>
      <c r="G979" s="2" t="str">
        <f>TRIM(Table1[[#This Row],[Typ]])</f>
        <v>Faktura VAT</v>
      </c>
      <c r="H979" s="2" t="str">
        <f>TRIM(Table1[[#This Row],[Magazyn]])</f>
        <v>Apteka Szpitalna</v>
      </c>
      <c r="I979" s="2" t="str">
        <f>TRIM(Table1[[#This Row],[Umowa]])</f>
        <v/>
      </c>
      <c r="J979" s="2" t="b">
        <f>ISTEXT(Table14[[#This Row],[Data_Wystawienia]])</f>
        <v>0</v>
      </c>
      <c r="K979" s="2">
        <f>VALUE(SUBSTITUTE(Table14[[#This Row],[Wartość]],".",","))</f>
        <v>10678.2</v>
      </c>
      <c r="L9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79" s="2" t="str">
        <f>IF(Table14[[#This Row],[Umowa]]="","Poza umową","Z umowy")</f>
        <v>Poza umową</v>
      </c>
      <c r="N979" s="2">
        <f>YEAR(Table14[[#This Row],[Data_Wystawienia]])</f>
        <v>2022</v>
      </c>
      <c r="O979" s="2" t="str">
        <f>TEXT(Table14[[#This Row],[Data_Wystawienia]],"rrrr-mm")</f>
        <v>2022-12</v>
      </c>
      <c r="P979" s="2">
        <v>1</v>
      </c>
    </row>
    <row r="980" spans="1:16" x14ac:dyDescent="0.3">
      <c r="A980" s="2" t="str">
        <f>TRIM(Table1[[#This Row],[Numer_FV]])</f>
        <v>FV/4452HM/22</v>
      </c>
      <c r="B980" s="2" t="str">
        <f>TRIM(Table1[[#This Row],[Numer_PZ]])</f>
        <v>PZ/800978</v>
      </c>
      <c r="C980" s="2" t="str">
        <f>TRIM(Table1[[#This Row],[Dostawca]])</f>
        <v>HurtMedix</v>
      </c>
      <c r="D980" s="3">
        <v>44921</v>
      </c>
      <c r="E980" s="4" t="s">
        <v>2914</v>
      </c>
      <c r="F980" s="2" t="str">
        <f>TRIM(Table1[[#This Row],[Status]])</f>
        <v>Zaakceptowana</v>
      </c>
      <c r="G980" s="2" t="str">
        <f>TRIM(Table1[[#This Row],[Typ]])</f>
        <v>Faktura VAT</v>
      </c>
      <c r="H980" s="2" t="str">
        <f>TRIM(Table1[[#This Row],[Magazyn]])</f>
        <v>Apteka Szpitalna</v>
      </c>
      <c r="I980" s="2" t="str">
        <f>TRIM(Table1[[#This Row],[Umowa]])</f>
        <v>UM-HUR-03</v>
      </c>
      <c r="J980" s="2" t="b">
        <f>ISTEXT(Table14[[#This Row],[Data_Wystawienia]])</f>
        <v>0</v>
      </c>
      <c r="K980" s="2">
        <f>VALUE(SUBSTITUTE(Table14[[#This Row],[Wartość]],".",","))</f>
        <v>15045.31</v>
      </c>
      <c r="L9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0" s="2" t="str">
        <f>IF(Table14[[#This Row],[Umowa]]="","Poza umową","Z umowy")</f>
        <v>Z umowy</v>
      </c>
      <c r="N980" s="2">
        <f>YEAR(Table14[[#This Row],[Data_Wystawienia]])</f>
        <v>2022</v>
      </c>
      <c r="O980" s="2" t="str">
        <f>TEXT(Table14[[#This Row],[Data_Wystawienia]],"rrrr-mm")</f>
        <v>2022-12</v>
      </c>
      <c r="P980" s="2">
        <v>1</v>
      </c>
    </row>
    <row r="981" spans="1:16" x14ac:dyDescent="0.3">
      <c r="A981" s="2" t="str">
        <f>TRIM(Table1[[#This Row],[Numer_FV]])</f>
        <v>FV/M/8556/P/22</v>
      </c>
      <c r="B981" s="2" t="str">
        <f>TRIM(Table1[[#This Row],[Numer_PZ]])</f>
        <v>PZ/800979</v>
      </c>
      <c r="C981" s="2" t="str">
        <f>TRIM(Table1[[#This Row],[Dostawca]])</f>
        <v>MedicaPharm</v>
      </c>
      <c r="D981" s="3">
        <v>44921</v>
      </c>
      <c r="E981" s="4" t="s">
        <v>2917</v>
      </c>
      <c r="F981" s="2" t="str">
        <f>TRIM(Table1[[#This Row],[Status]])</f>
        <v>Zaakceptowana</v>
      </c>
      <c r="G981" s="2" t="str">
        <f>TRIM(Table1[[#This Row],[Typ]])</f>
        <v>Faktura VAT</v>
      </c>
      <c r="H981" s="2" t="str">
        <f>TRIM(Table1[[#This Row],[Magazyn]])</f>
        <v>Apteka Szpitalna</v>
      </c>
      <c r="I981" s="2" t="str">
        <f>TRIM(Table1[[#This Row],[Umowa]])</f>
        <v>UM-MED-01</v>
      </c>
      <c r="J981" s="2" t="b">
        <f>ISTEXT(Table14[[#This Row],[Data_Wystawienia]])</f>
        <v>0</v>
      </c>
      <c r="K981" s="2">
        <f>VALUE(SUBSTITUTE(Table14[[#This Row],[Wartość]],".",","))</f>
        <v>17361.66</v>
      </c>
      <c r="L9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1" s="2" t="str">
        <f>IF(Table14[[#This Row],[Umowa]]="","Poza umową","Z umowy")</f>
        <v>Z umowy</v>
      </c>
      <c r="N981" s="2">
        <f>YEAR(Table14[[#This Row],[Data_Wystawienia]])</f>
        <v>2022</v>
      </c>
      <c r="O981" s="2" t="str">
        <f>TEXT(Table14[[#This Row],[Data_Wystawienia]],"rrrr-mm")</f>
        <v>2022-12</v>
      </c>
      <c r="P981" s="2">
        <v>1</v>
      </c>
    </row>
    <row r="982" spans="1:16" x14ac:dyDescent="0.3">
      <c r="A982" s="2" t="str">
        <f>TRIM(Table1[[#This Row],[Numer_FV]])</f>
        <v>FV/POL/58140/2022</v>
      </c>
      <c r="B982" s="2" t="str">
        <f>TRIM(Table1[[#This Row],[Numer_PZ]])</f>
        <v>PZ/800980</v>
      </c>
      <c r="C982" s="2" t="str">
        <f>TRIM(Table1[[#This Row],[Dostawca]])</f>
        <v>Polmedica</v>
      </c>
      <c r="D982" s="3">
        <v>44922</v>
      </c>
      <c r="E982" s="4" t="s">
        <v>2920</v>
      </c>
      <c r="F982" s="2" t="str">
        <f>TRIM(Table1[[#This Row],[Status]])</f>
        <v>Zaakceptowana</v>
      </c>
      <c r="G982" s="2" t="str">
        <f>TRIM(Table1[[#This Row],[Typ]])</f>
        <v>Faktura VAT</v>
      </c>
      <c r="H982" s="2" t="str">
        <f>TRIM(Table1[[#This Row],[Magazyn]])</f>
        <v>Apteka Szpitalna</v>
      </c>
      <c r="I982" s="2" t="str">
        <f>TRIM(Table1[[#This Row],[Umowa]])</f>
        <v>UM-POL-01</v>
      </c>
      <c r="J982" s="2" t="b">
        <f>ISTEXT(Table14[[#This Row],[Data_Wystawienia]])</f>
        <v>0</v>
      </c>
      <c r="K982" s="2">
        <f>VALUE(SUBSTITUTE(Table14[[#This Row],[Wartość]],".",","))</f>
        <v>17569.810000000001</v>
      </c>
      <c r="L9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2" s="2" t="str">
        <f>IF(Table14[[#This Row],[Umowa]]="","Poza umową","Z umowy")</f>
        <v>Z umowy</v>
      </c>
      <c r="N982" s="2">
        <f>YEAR(Table14[[#This Row],[Data_Wystawienia]])</f>
        <v>2022</v>
      </c>
      <c r="O982" s="2" t="str">
        <f>TEXT(Table14[[#This Row],[Data_Wystawienia]],"rrrr-mm")</f>
        <v>2022-12</v>
      </c>
      <c r="P982" s="2">
        <v>1</v>
      </c>
    </row>
    <row r="983" spans="1:16" x14ac:dyDescent="0.3">
      <c r="A983" s="2" t="str">
        <f>TRIM(Table1[[#This Row],[Numer_FV]])</f>
        <v>FV/27/PP/3546/22</v>
      </c>
      <c r="B983" s="2" t="str">
        <f>TRIM(Table1[[#This Row],[Numer_PZ]])</f>
        <v>PZ/800981</v>
      </c>
      <c r="C983" s="2" t="str">
        <f>TRIM(Table1[[#This Row],[Dostawca]])</f>
        <v>PharmaPlus</v>
      </c>
      <c r="D983" s="3">
        <v>44922</v>
      </c>
      <c r="E983" s="4" t="s">
        <v>2923</v>
      </c>
      <c r="F983" s="2" t="str">
        <f>TRIM(Table1[[#This Row],[Status]])</f>
        <v>Zaakceptowana</v>
      </c>
      <c r="G983" s="2" t="str">
        <f>TRIM(Table1[[#This Row],[Typ]])</f>
        <v>Faktura VAT</v>
      </c>
      <c r="H983" s="2" t="str">
        <f>TRIM(Table1[[#This Row],[Magazyn]])</f>
        <v>Apteka Szpitalna</v>
      </c>
      <c r="I983" s="2" t="str">
        <f>TRIM(Table1[[#This Row],[Umowa]])</f>
        <v/>
      </c>
      <c r="J983" s="2" t="b">
        <f>ISTEXT(Table14[[#This Row],[Data_Wystawienia]])</f>
        <v>0</v>
      </c>
      <c r="K983" s="2">
        <f>VALUE(SUBSTITUTE(Table14[[#This Row],[Wartość]],".",","))</f>
        <v>13788.39</v>
      </c>
      <c r="L9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3" s="2" t="str">
        <f>IF(Table14[[#This Row],[Umowa]]="","Poza umową","Z umowy")</f>
        <v>Poza umową</v>
      </c>
      <c r="N983" s="2">
        <f>YEAR(Table14[[#This Row],[Data_Wystawienia]])</f>
        <v>2022</v>
      </c>
      <c r="O983" s="2" t="str">
        <f>TEXT(Table14[[#This Row],[Data_Wystawienia]],"rrrr-mm")</f>
        <v>2022-12</v>
      </c>
      <c r="P983" s="2">
        <v>1</v>
      </c>
    </row>
    <row r="984" spans="1:16" x14ac:dyDescent="0.3">
      <c r="A984" s="2" t="str">
        <f>TRIM(Table1[[#This Row],[Numer_FV]])</f>
        <v>FV/8066/NOVA/22</v>
      </c>
      <c r="B984" s="2" t="str">
        <f>TRIM(Table1[[#This Row],[Numer_PZ]])</f>
        <v>PZ/800982</v>
      </c>
      <c r="C984" s="2" t="str">
        <f>TRIM(Table1[[#This Row],[Dostawca]])</f>
        <v>NovaLek</v>
      </c>
      <c r="D984" s="3">
        <v>44922</v>
      </c>
      <c r="E984" s="4" t="s">
        <v>2926</v>
      </c>
      <c r="F984" s="2" t="str">
        <f>TRIM(Table1[[#This Row],[Status]])</f>
        <v>Zaakceptowana</v>
      </c>
      <c r="G984" s="2" t="str">
        <f>TRIM(Table1[[#This Row],[Typ]])</f>
        <v>Faktura VAT</v>
      </c>
      <c r="H984" s="2" t="str">
        <f>TRIM(Table1[[#This Row],[Magazyn]])</f>
        <v>Apteka Szpitalna</v>
      </c>
      <c r="I984" s="2" t="str">
        <f>TRIM(Table1[[#This Row],[Umowa]])</f>
        <v>UM-NOV-03</v>
      </c>
      <c r="J984" s="2" t="b">
        <f>ISTEXT(Table14[[#This Row],[Data_Wystawienia]])</f>
        <v>0</v>
      </c>
      <c r="K984" s="2">
        <f>VALUE(SUBSTITUTE(Table14[[#This Row],[Wartość]],".",","))</f>
        <v>13234.69</v>
      </c>
      <c r="L9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4" s="2" t="str">
        <f>IF(Table14[[#This Row],[Umowa]]="","Poza umową","Z umowy")</f>
        <v>Z umowy</v>
      </c>
      <c r="N984" s="2">
        <f>YEAR(Table14[[#This Row],[Data_Wystawienia]])</f>
        <v>2022</v>
      </c>
      <c r="O984" s="2" t="str">
        <f>TEXT(Table14[[#This Row],[Data_Wystawienia]],"rrrr-mm")</f>
        <v>2022-12</v>
      </c>
      <c r="P984" s="2">
        <v>1</v>
      </c>
    </row>
    <row r="985" spans="1:16" x14ac:dyDescent="0.3">
      <c r="A985" s="2" t="str">
        <f>TRIM(Table1[[#This Row],[Numer_FV]])</f>
        <v>FV/96959/VDb/2022</v>
      </c>
      <c r="B985" s="2" t="str">
        <f>TRIM(Table1[[#This Row],[Numer_PZ]])</f>
        <v>PZ/800983</v>
      </c>
      <c r="C985" s="2" t="str">
        <f>TRIM(Table1[[#This Row],[Dostawca]])</f>
        <v>VitaDistrib</v>
      </c>
      <c r="D985" s="3">
        <v>44922</v>
      </c>
      <c r="E985" s="4" t="s">
        <v>2929</v>
      </c>
      <c r="F985" s="2" t="str">
        <f>TRIM(Table1[[#This Row],[Status]])</f>
        <v>Zaakceptowana</v>
      </c>
      <c r="G985" s="2" t="str">
        <f>TRIM(Table1[[#This Row],[Typ]])</f>
        <v>Faktura VAT</v>
      </c>
      <c r="H985" s="2" t="str">
        <f>TRIM(Table1[[#This Row],[Magazyn]])</f>
        <v>Apteka Szpitalna</v>
      </c>
      <c r="I985" s="2" t="str">
        <f>TRIM(Table1[[#This Row],[Umowa]])</f>
        <v>UM-VIT-01</v>
      </c>
      <c r="J985" s="2" t="b">
        <f>ISTEXT(Table14[[#This Row],[Data_Wystawienia]])</f>
        <v>0</v>
      </c>
      <c r="K985" s="2">
        <f>VALUE(SUBSTITUTE(Table14[[#This Row],[Wartość]],".",","))</f>
        <v>11968.43</v>
      </c>
      <c r="L9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5" s="2" t="str">
        <f>IF(Table14[[#This Row],[Umowa]]="","Poza umową","Z umowy")</f>
        <v>Z umowy</v>
      </c>
      <c r="N985" s="2">
        <f>YEAR(Table14[[#This Row],[Data_Wystawienia]])</f>
        <v>2022</v>
      </c>
      <c r="O985" s="2" t="str">
        <f>TEXT(Table14[[#This Row],[Data_Wystawienia]],"rrrr-mm")</f>
        <v>2022-12</v>
      </c>
      <c r="P985" s="2">
        <v>1</v>
      </c>
    </row>
    <row r="986" spans="1:16" x14ac:dyDescent="0.3">
      <c r="A986" s="2" t="str">
        <f>TRIM(Table1[[#This Row],[Numer_FV]])</f>
        <v>FV/53/SAL/22</v>
      </c>
      <c r="B986" s="2" t="str">
        <f>TRIM(Table1[[#This Row],[Numer_PZ]])</f>
        <v>PZ/800984</v>
      </c>
      <c r="C986" s="2" t="str">
        <f>TRIM(Table1[[#This Row],[Dostawca]])</f>
        <v>SalusHurt</v>
      </c>
      <c r="D986" s="3">
        <v>44923</v>
      </c>
      <c r="E986" s="4" t="s">
        <v>2931</v>
      </c>
      <c r="F986" s="2" t="str">
        <f>TRIM(Table1[[#This Row],[Status]])</f>
        <v>Zaakceptowana</v>
      </c>
      <c r="G986" s="2" t="str">
        <f>TRIM(Table1[[#This Row],[Typ]])</f>
        <v>Faktura VAT</v>
      </c>
      <c r="H986" s="2" t="str">
        <f>TRIM(Table1[[#This Row],[Magazyn]])</f>
        <v>Apteka Szpitalna</v>
      </c>
      <c r="I986" s="2" t="str">
        <f>TRIM(Table1[[#This Row],[Umowa]])</f>
        <v>UM-SAL-01</v>
      </c>
      <c r="J986" s="2" t="b">
        <f>ISTEXT(Table14[[#This Row],[Data_Wystawienia]])</f>
        <v>0</v>
      </c>
      <c r="K986" s="2">
        <f>VALUE(SUBSTITUTE(Table14[[#This Row],[Wartość]],".",","))</f>
        <v>18508.509999999998</v>
      </c>
      <c r="L9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6" s="2" t="str">
        <f>IF(Table14[[#This Row],[Umowa]]="","Poza umową","Z umowy")</f>
        <v>Z umowy</v>
      </c>
      <c r="N986" s="2">
        <f>YEAR(Table14[[#This Row],[Data_Wystawienia]])</f>
        <v>2022</v>
      </c>
      <c r="O986" s="2" t="str">
        <f>TEXT(Table14[[#This Row],[Data_Wystawienia]],"rrrr-mm")</f>
        <v>2022-12</v>
      </c>
      <c r="P986" s="2">
        <v>1</v>
      </c>
    </row>
    <row r="987" spans="1:16" x14ac:dyDescent="0.3">
      <c r="A987" s="2" t="str">
        <f>TRIM(Table1[[#This Row],[Numer_FV]])</f>
        <v>FV/97/SAL/22</v>
      </c>
      <c r="B987" s="2" t="str">
        <f>TRIM(Table1[[#This Row],[Numer_PZ]])</f>
        <v>PZ/800985</v>
      </c>
      <c r="C987" s="2" t="str">
        <f>TRIM(Table1[[#This Row],[Dostawca]])</f>
        <v>SalusHurt</v>
      </c>
      <c r="D987" s="3">
        <v>44923</v>
      </c>
      <c r="E987" s="4" t="s">
        <v>2934</v>
      </c>
      <c r="F987" s="2" t="str">
        <f>TRIM(Table1[[#This Row],[Status]])</f>
        <v>Zaakceptowana</v>
      </c>
      <c r="G987" s="2" t="str">
        <f>TRIM(Table1[[#This Row],[Typ]])</f>
        <v>Faktura VAT</v>
      </c>
      <c r="H987" s="2" t="str">
        <f>TRIM(Table1[[#This Row],[Magazyn]])</f>
        <v>Apteka Szpitalna</v>
      </c>
      <c r="I987" s="2" t="str">
        <f>TRIM(Table1[[#This Row],[Umowa]])</f>
        <v/>
      </c>
      <c r="J987" s="2" t="b">
        <f>ISTEXT(Table14[[#This Row],[Data_Wystawienia]])</f>
        <v>0</v>
      </c>
      <c r="K987" s="2">
        <f>VALUE(SUBSTITUTE(Table14[[#This Row],[Wartość]],".",","))</f>
        <v>20982.959999999999</v>
      </c>
      <c r="L9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7" s="2" t="str">
        <f>IF(Table14[[#This Row],[Umowa]]="","Poza umową","Z umowy")</f>
        <v>Poza umową</v>
      </c>
      <c r="N987" s="2">
        <f>YEAR(Table14[[#This Row],[Data_Wystawienia]])</f>
        <v>2022</v>
      </c>
      <c r="O987" s="2" t="str">
        <f>TEXT(Table14[[#This Row],[Data_Wystawienia]],"rrrr-mm")</f>
        <v>2022-12</v>
      </c>
      <c r="P987" s="2">
        <v>1</v>
      </c>
    </row>
    <row r="988" spans="1:16" x14ac:dyDescent="0.3">
      <c r="A988" s="2" t="str">
        <f>TRIM(Table1[[#This Row],[Numer_FV]])</f>
        <v>FV/67/SAL/22</v>
      </c>
      <c r="B988" s="2" t="str">
        <f>TRIM(Table1[[#This Row],[Numer_PZ]])</f>
        <v>PZ/800986</v>
      </c>
      <c r="C988" s="2" t="str">
        <f>TRIM(Table1[[#This Row],[Dostawca]])</f>
        <v>SalusHurt</v>
      </c>
      <c r="D988" s="3">
        <v>44923</v>
      </c>
      <c r="E988" s="4" t="s">
        <v>2936</v>
      </c>
      <c r="F988" s="2" t="str">
        <f>TRIM(Table1[[#This Row],[Status]])</f>
        <v>Zaakceptowana</v>
      </c>
      <c r="G988" s="2" t="str">
        <f>TRIM(Table1[[#This Row],[Typ]])</f>
        <v>Faktura VAT</v>
      </c>
      <c r="H988" s="2" t="str">
        <f>TRIM(Table1[[#This Row],[Magazyn]])</f>
        <v>Apteka Szpitalna</v>
      </c>
      <c r="I988" s="2" t="str">
        <f>TRIM(Table1[[#This Row],[Umowa]])</f>
        <v>UM-SAL-02</v>
      </c>
      <c r="J988" s="2" t="b">
        <f>ISTEXT(Table14[[#This Row],[Data_Wystawienia]])</f>
        <v>0</v>
      </c>
      <c r="K988" s="2">
        <f>VALUE(SUBSTITUTE(Table14[[#This Row],[Wartość]],".",","))</f>
        <v>18623.95</v>
      </c>
      <c r="L9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8" s="2" t="str">
        <f>IF(Table14[[#This Row],[Umowa]]="","Poza umową","Z umowy")</f>
        <v>Z umowy</v>
      </c>
      <c r="N988" s="2">
        <f>YEAR(Table14[[#This Row],[Data_Wystawienia]])</f>
        <v>2022</v>
      </c>
      <c r="O988" s="2" t="str">
        <f>TEXT(Table14[[#This Row],[Data_Wystawienia]],"rrrr-mm")</f>
        <v>2022-12</v>
      </c>
      <c r="P988" s="2">
        <v>1</v>
      </c>
    </row>
    <row r="989" spans="1:16" x14ac:dyDescent="0.3">
      <c r="A989" s="2" t="str">
        <f>TRIM(Table1[[#This Row],[Numer_FV]])</f>
        <v>FV/CENFA/982678/22</v>
      </c>
      <c r="B989" s="2" t="str">
        <f>TRIM(Table1[[#This Row],[Numer_PZ]])</f>
        <v>PZ/800987</v>
      </c>
      <c r="C989" s="2" t="str">
        <f>TRIM(Table1[[#This Row],[Dostawca]])</f>
        <v>CentrumFarm</v>
      </c>
      <c r="D989" s="3">
        <v>44923</v>
      </c>
      <c r="E989" s="4" t="s">
        <v>2939</v>
      </c>
      <c r="F989" s="2" t="str">
        <f>TRIM(Table1[[#This Row],[Status]])</f>
        <v>Zaakceptowana</v>
      </c>
      <c r="G989" s="2" t="str">
        <f>TRIM(Table1[[#This Row],[Typ]])</f>
        <v>Faktura VAT</v>
      </c>
      <c r="H989" s="2" t="str">
        <f>TRIM(Table1[[#This Row],[Magazyn]])</f>
        <v>Apteka Szpitalna</v>
      </c>
      <c r="I989" s="2" t="str">
        <f>TRIM(Table1[[#This Row],[Umowa]])</f>
        <v>UM-CEN-01</v>
      </c>
      <c r="J989" s="2" t="b">
        <f>ISTEXT(Table14[[#This Row],[Data_Wystawienia]])</f>
        <v>0</v>
      </c>
      <c r="K989" s="2">
        <f>VALUE(SUBSTITUTE(Table14[[#This Row],[Wartość]],".",","))</f>
        <v>20765.900000000001</v>
      </c>
      <c r="L9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89" s="2" t="str">
        <f>IF(Table14[[#This Row],[Umowa]]="","Poza umową","Z umowy")</f>
        <v>Z umowy</v>
      </c>
      <c r="N989" s="2">
        <f>YEAR(Table14[[#This Row],[Data_Wystawienia]])</f>
        <v>2022</v>
      </c>
      <c r="O989" s="2" t="str">
        <f>TEXT(Table14[[#This Row],[Data_Wystawienia]],"rrrr-mm")</f>
        <v>2022-12</v>
      </c>
      <c r="P989" s="2">
        <v>1</v>
      </c>
    </row>
    <row r="990" spans="1:16" x14ac:dyDescent="0.3">
      <c r="A990" s="2" t="str">
        <f>TRIM(Table1[[#This Row],[Numer_FV]])</f>
        <v>FV/M/9897/P/22</v>
      </c>
      <c r="B990" s="2" t="str">
        <f>TRIM(Table1[[#This Row],[Numer_PZ]])</f>
        <v>PZ/800988</v>
      </c>
      <c r="C990" s="2" t="str">
        <f>TRIM(Table1[[#This Row],[Dostawca]])</f>
        <v>MedicaPharm</v>
      </c>
      <c r="D990" s="3">
        <v>44924</v>
      </c>
      <c r="E990" s="4" t="s">
        <v>2942</v>
      </c>
      <c r="F990" s="2" t="str">
        <f>TRIM(Table1[[#This Row],[Status]])</f>
        <v>Zaakceptowana</v>
      </c>
      <c r="G990" s="2" t="str">
        <f>TRIM(Table1[[#This Row],[Typ]])</f>
        <v>Faktura VAT</v>
      </c>
      <c r="H990" s="2" t="str">
        <f>TRIM(Table1[[#This Row],[Magazyn]])</f>
        <v>Apteka Szpitalna</v>
      </c>
      <c r="I990" s="2" t="str">
        <f>TRIM(Table1[[#This Row],[Umowa]])</f>
        <v>UM-MED-02</v>
      </c>
      <c r="J990" s="2" t="b">
        <f>ISTEXT(Table14[[#This Row],[Data_Wystawienia]])</f>
        <v>0</v>
      </c>
      <c r="K990" s="2">
        <f>VALUE(SUBSTITUTE(Table14[[#This Row],[Wartość]],".",","))</f>
        <v>8676.09</v>
      </c>
      <c r="L9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0" s="2" t="str">
        <f>IF(Table14[[#This Row],[Umowa]]="","Poza umową","Z umowy")</f>
        <v>Z umowy</v>
      </c>
      <c r="N990" s="2">
        <f>YEAR(Table14[[#This Row],[Data_Wystawienia]])</f>
        <v>2022</v>
      </c>
      <c r="O990" s="2" t="str">
        <f>TEXT(Table14[[#This Row],[Data_Wystawienia]],"rrrr-mm")</f>
        <v>2022-12</v>
      </c>
      <c r="P990" s="2">
        <v>1</v>
      </c>
    </row>
    <row r="991" spans="1:16" x14ac:dyDescent="0.3">
      <c r="A991" s="2" t="str">
        <f>TRIM(Table1[[#This Row],[Numer_FV]])</f>
        <v>FV/15/SAL/22</v>
      </c>
      <c r="B991" s="2" t="str">
        <f>TRIM(Table1[[#This Row],[Numer_PZ]])</f>
        <v>PZ/800989</v>
      </c>
      <c r="C991" s="2" t="str">
        <f>TRIM(Table1[[#This Row],[Dostawca]])</f>
        <v>SalusHurt</v>
      </c>
      <c r="D991" s="3">
        <v>44924</v>
      </c>
      <c r="E991" s="4" t="s">
        <v>2944</v>
      </c>
      <c r="F991" s="2" t="str">
        <f>TRIM(Table1[[#This Row],[Status]])</f>
        <v>Zaakceptowana</v>
      </c>
      <c r="G991" s="2" t="str">
        <f>TRIM(Table1[[#This Row],[Typ]])</f>
        <v>Faktura VAT</v>
      </c>
      <c r="H991" s="2" t="str">
        <f>TRIM(Table1[[#This Row],[Magazyn]])</f>
        <v>Apteka Szpitalna</v>
      </c>
      <c r="I991" s="2" t="str">
        <f>TRIM(Table1[[#This Row],[Umowa]])</f>
        <v/>
      </c>
      <c r="J991" s="2" t="b">
        <f>ISTEXT(Table14[[#This Row],[Data_Wystawienia]])</f>
        <v>0</v>
      </c>
      <c r="K991" s="2">
        <f>VALUE(SUBSTITUTE(Table14[[#This Row],[Wartość]],".",","))</f>
        <v>20138.439999999999</v>
      </c>
      <c r="L9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1" s="2" t="str">
        <f>IF(Table14[[#This Row],[Umowa]]="","Poza umową","Z umowy")</f>
        <v>Poza umową</v>
      </c>
      <c r="N991" s="2">
        <f>YEAR(Table14[[#This Row],[Data_Wystawienia]])</f>
        <v>2022</v>
      </c>
      <c r="O991" s="2" t="str">
        <f>TEXT(Table14[[#This Row],[Data_Wystawienia]],"rrrr-mm")</f>
        <v>2022-12</v>
      </c>
      <c r="P991" s="2">
        <v>1</v>
      </c>
    </row>
    <row r="992" spans="1:16" x14ac:dyDescent="0.3">
      <c r="A992" s="2" t="str">
        <f>TRIM(Table1[[#This Row],[Numer_FV]])</f>
        <v>FV/M/6099/P/22</v>
      </c>
      <c r="B992" s="2" t="str">
        <f>TRIM(Table1[[#This Row],[Numer_PZ]])</f>
        <v>PZ/800990</v>
      </c>
      <c r="C992" s="2" t="str">
        <f>TRIM(Table1[[#This Row],[Dostawca]])</f>
        <v>MedicaPharm</v>
      </c>
      <c r="D992" s="3">
        <v>44925</v>
      </c>
      <c r="E992" s="4" t="s">
        <v>2947</v>
      </c>
      <c r="F992" s="2" t="str">
        <f>TRIM(Table1[[#This Row],[Status]])</f>
        <v>Zaakceptowana</v>
      </c>
      <c r="G992" s="2" t="str">
        <f>TRIM(Table1[[#This Row],[Typ]])</f>
        <v>Faktura VAT</v>
      </c>
      <c r="H992" s="2" t="str">
        <f>TRIM(Table1[[#This Row],[Magazyn]])</f>
        <v>Apteka Szpitalna</v>
      </c>
      <c r="I992" s="2" t="str">
        <f>TRIM(Table1[[#This Row],[Umowa]])</f>
        <v>UM-MED-01</v>
      </c>
      <c r="J992" s="2" t="b">
        <f>ISTEXT(Table14[[#This Row],[Data_Wystawienia]])</f>
        <v>0</v>
      </c>
      <c r="K992" s="2">
        <f>VALUE(SUBSTITUTE(Table14[[#This Row],[Wartość]],".",","))</f>
        <v>15647.34</v>
      </c>
      <c r="L9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2" s="2" t="str">
        <f>IF(Table14[[#This Row],[Umowa]]="","Poza umową","Z umowy")</f>
        <v>Z umowy</v>
      </c>
      <c r="N992" s="2">
        <f>YEAR(Table14[[#This Row],[Data_Wystawienia]])</f>
        <v>2022</v>
      </c>
      <c r="O992" s="2" t="str">
        <f>TEXT(Table14[[#This Row],[Data_Wystawienia]],"rrrr-mm")</f>
        <v>2022-12</v>
      </c>
      <c r="P992" s="2">
        <v>1</v>
      </c>
    </row>
    <row r="993" spans="1:16" x14ac:dyDescent="0.3">
      <c r="A993" s="2" t="str">
        <f>TRIM(Table1[[#This Row],[Numer_FV]])</f>
        <v>FV/2550HM/22</v>
      </c>
      <c r="B993" s="2" t="str">
        <f>TRIM(Table1[[#This Row],[Numer_PZ]])</f>
        <v>PZ/800991</v>
      </c>
      <c r="C993" s="2" t="str">
        <f>TRIM(Table1[[#This Row],[Dostawca]])</f>
        <v>HurtMedix</v>
      </c>
      <c r="D993" s="3">
        <v>44925</v>
      </c>
      <c r="E993" s="4" t="s">
        <v>2950</v>
      </c>
      <c r="F993" s="2" t="str">
        <f>TRIM(Table1[[#This Row],[Status]])</f>
        <v>Zaakceptowana</v>
      </c>
      <c r="G993" s="2" t="str">
        <f>TRIM(Table1[[#This Row],[Typ]])</f>
        <v>Faktura VAT</v>
      </c>
      <c r="H993" s="2" t="str">
        <f>TRIM(Table1[[#This Row],[Magazyn]])</f>
        <v>Apteka Szpitalna</v>
      </c>
      <c r="I993" s="2" t="str">
        <f>TRIM(Table1[[#This Row],[Umowa]])</f>
        <v>UM-HUR-02</v>
      </c>
      <c r="J993" s="2" t="b">
        <f>ISTEXT(Table14[[#This Row],[Data_Wystawienia]])</f>
        <v>0</v>
      </c>
      <c r="K993" s="2">
        <f>VALUE(SUBSTITUTE(Table14[[#This Row],[Wartość]],".",","))</f>
        <v>14832.53</v>
      </c>
      <c r="L9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3" s="2" t="str">
        <f>IF(Table14[[#This Row],[Umowa]]="","Poza umową","Z umowy")</f>
        <v>Z umowy</v>
      </c>
      <c r="N993" s="2">
        <f>YEAR(Table14[[#This Row],[Data_Wystawienia]])</f>
        <v>2022</v>
      </c>
      <c r="O993" s="2" t="str">
        <f>TEXT(Table14[[#This Row],[Data_Wystawienia]],"rrrr-mm")</f>
        <v>2022-12</v>
      </c>
      <c r="P993" s="2">
        <v>1</v>
      </c>
    </row>
    <row r="994" spans="1:16" x14ac:dyDescent="0.3">
      <c r="A994" s="2" t="str">
        <f>TRIM(Table1[[#This Row],[Numer_FV]])</f>
        <v>FV/38981/VDb/2022</v>
      </c>
      <c r="B994" s="2" t="str">
        <f>TRIM(Table1[[#This Row],[Numer_PZ]])</f>
        <v>PZ/800992</v>
      </c>
      <c r="C994" s="2" t="str">
        <f>TRIM(Table1[[#This Row],[Dostawca]])</f>
        <v>VitaDistrib</v>
      </c>
      <c r="D994" s="3">
        <v>44925</v>
      </c>
      <c r="E994" s="4" t="s">
        <v>2953</v>
      </c>
      <c r="F994" s="2" t="str">
        <f>TRIM(Table1[[#This Row],[Status]])</f>
        <v>Zaakceptowana</v>
      </c>
      <c r="G994" s="2" t="str">
        <f>TRIM(Table1[[#This Row],[Typ]])</f>
        <v>Faktura VAT</v>
      </c>
      <c r="H994" s="2" t="str">
        <f>TRIM(Table1[[#This Row],[Magazyn]])</f>
        <v>Apteka Szpitalna</v>
      </c>
      <c r="I994" s="2" t="str">
        <f>TRIM(Table1[[#This Row],[Umowa]])</f>
        <v/>
      </c>
      <c r="J994" s="2" t="b">
        <f>ISTEXT(Table14[[#This Row],[Data_Wystawienia]])</f>
        <v>0</v>
      </c>
      <c r="K994" s="2">
        <f>VALUE(SUBSTITUTE(Table14[[#This Row],[Wartość]],".",","))</f>
        <v>15228.03</v>
      </c>
      <c r="L9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4" s="2" t="str">
        <f>IF(Table14[[#This Row],[Umowa]]="","Poza umową","Z umowy")</f>
        <v>Poza umową</v>
      </c>
      <c r="N994" s="2">
        <f>YEAR(Table14[[#This Row],[Data_Wystawienia]])</f>
        <v>2022</v>
      </c>
      <c r="O994" s="2" t="str">
        <f>TEXT(Table14[[#This Row],[Data_Wystawienia]],"rrrr-mm")</f>
        <v>2022-12</v>
      </c>
      <c r="P994" s="2">
        <v>1</v>
      </c>
    </row>
    <row r="995" spans="1:16" x14ac:dyDescent="0.3">
      <c r="A995" s="2" t="str">
        <f>TRIM(Table1[[#This Row],[Numer_FV]])</f>
        <v>FV/M/9246/P/22</v>
      </c>
      <c r="B995" s="2" t="str">
        <f>TRIM(Table1[[#This Row],[Numer_PZ]])</f>
        <v>PZ/800993</v>
      </c>
      <c r="C995" s="2" t="str">
        <f>TRIM(Table1[[#This Row],[Dostawca]])</f>
        <v>MedicaPharm</v>
      </c>
      <c r="D995" s="3">
        <v>44925</v>
      </c>
      <c r="E995" s="4" t="s">
        <v>2956</v>
      </c>
      <c r="F995" s="2" t="str">
        <f>TRIM(Table1[[#This Row],[Status]])</f>
        <v>Zaakceptowana</v>
      </c>
      <c r="G995" s="2" t="str">
        <f>TRIM(Table1[[#This Row],[Typ]])</f>
        <v>Faktura VAT</v>
      </c>
      <c r="H995" s="2" t="str">
        <f>TRIM(Table1[[#This Row],[Magazyn]])</f>
        <v>Apteka Szpitalna</v>
      </c>
      <c r="I995" s="2" t="str">
        <f>TRIM(Table1[[#This Row],[Umowa]])</f>
        <v>UM-MED-01</v>
      </c>
      <c r="J995" s="2" t="b">
        <f>ISTEXT(Table14[[#This Row],[Data_Wystawienia]])</f>
        <v>0</v>
      </c>
      <c r="K995" s="2">
        <f>VALUE(SUBSTITUTE(Table14[[#This Row],[Wartość]],".",","))</f>
        <v>7039.35</v>
      </c>
      <c r="L9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5" s="2" t="str">
        <f>IF(Table14[[#This Row],[Umowa]]="","Poza umową","Z umowy")</f>
        <v>Z umowy</v>
      </c>
      <c r="N995" s="2">
        <f>YEAR(Table14[[#This Row],[Data_Wystawienia]])</f>
        <v>2022</v>
      </c>
      <c r="O995" s="2" t="str">
        <f>TEXT(Table14[[#This Row],[Data_Wystawienia]],"rrrr-mm")</f>
        <v>2022-12</v>
      </c>
      <c r="P995" s="2">
        <v>1</v>
      </c>
    </row>
    <row r="996" spans="1:16" x14ac:dyDescent="0.3">
      <c r="A996" s="2" t="str">
        <f>TRIM(Table1[[#This Row],[Numer_FV]])</f>
        <v>FV/38898/VDb/2022</v>
      </c>
      <c r="B996" s="2" t="str">
        <f>TRIM(Table1[[#This Row],[Numer_PZ]])</f>
        <v>PZ/800994</v>
      </c>
      <c r="C996" s="2" t="str">
        <f>TRIM(Table1[[#This Row],[Dostawca]])</f>
        <v>VitaDistrib</v>
      </c>
      <c r="D996" s="3">
        <v>44925</v>
      </c>
      <c r="E996" s="4" t="s">
        <v>2959</v>
      </c>
      <c r="F996" s="2" t="str">
        <f>TRIM(Table1[[#This Row],[Status]])</f>
        <v>Zaakceptowana</v>
      </c>
      <c r="G996" s="2" t="str">
        <f>TRIM(Table1[[#This Row],[Typ]])</f>
        <v>Faktura VAT</v>
      </c>
      <c r="H996" s="2" t="str">
        <f>TRIM(Table1[[#This Row],[Magazyn]])</f>
        <v>Apteka Szpitalna</v>
      </c>
      <c r="I996" s="2" t="str">
        <f>TRIM(Table1[[#This Row],[Umowa]])</f>
        <v>UM-VIT-01</v>
      </c>
      <c r="J996" s="2" t="b">
        <f>ISTEXT(Table14[[#This Row],[Data_Wystawienia]])</f>
        <v>0</v>
      </c>
      <c r="K996" s="2">
        <f>VALUE(SUBSTITUTE(Table14[[#This Row],[Wartość]],".",","))</f>
        <v>10830.2</v>
      </c>
      <c r="L9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6" s="2" t="str">
        <f>IF(Table14[[#This Row],[Umowa]]="","Poza umową","Z umowy")</f>
        <v>Z umowy</v>
      </c>
      <c r="N996" s="2">
        <f>YEAR(Table14[[#This Row],[Data_Wystawienia]])</f>
        <v>2022</v>
      </c>
      <c r="O996" s="2" t="str">
        <f>TEXT(Table14[[#This Row],[Data_Wystawienia]],"rrrr-mm")</f>
        <v>2022-12</v>
      </c>
      <c r="P996" s="2">
        <v>1</v>
      </c>
    </row>
    <row r="997" spans="1:16" x14ac:dyDescent="0.3">
      <c r="A997" s="2" t="str">
        <f>TRIM(Table1[[#This Row],[Numer_FV]])</f>
        <v>FV/CENFA/918479/22</v>
      </c>
      <c r="B997" s="2" t="str">
        <f>TRIM(Table1[[#This Row],[Numer_PZ]])</f>
        <v>PZ/800995</v>
      </c>
      <c r="C997" s="2" t="str">
        <f>TRIM(Table1[[#This Row],[Dostawca]])</f>
        <v>CentrumFarm</v>
      </c>
      <c r="D997" s="3">
        <v>44926</v>
      </c>
      <c r="E997" s="4" t="s">
        <v>2962</v>
      </c>
      <c r="F997" s="2" t="str">
        <f>TRIM(Table1[[#This Row],[Status]])</f>
        <v>Zaakceptowana</v>
      </c>
      <c r="G997" s="2" t="str">
        <f>TRIM(Table1[[#This Row],[Typ]])</f>
        <v>Faktura VAT</v>
      </c>
      <c r="H997" s="2" t="str">
        <f>TRIM(Table1[[#This Row],[Magazyn]])</f>
        <v>Apteka Szpitalna</v>
      </c>
      <c r="I997" s="2" t="str">
        <f>TRIM(Table1[[#This Row],[Umowa]])</f>
        <v>UM-CEN-02</v>
      </c>
      <c r="J997" s="2" t="b">
        <f>ISTEXT(Table14[[#This Row],[Data_Wystawienia]])</f>
        <v>0</v>
      </c>
      <c r="K997" s="2">
        <f>VALUE(SUBSTITUTE(Table14[[#This Row],[Wartość]],".",","))</f>
        <v>17505.7</v>
      </c>
      <c r="L9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7" s="2" t="str">
        <f>IF(Table14[[#This Row],[Umowa]]="","Poza umową","Z umowy")</f>
        <v>Z umowy</v>
      </c>
      <c r="N997" s="2">
        <f>YEAR(Table14[[#This Row],[Data_Wystawienia]])</f>
        <v>2022</v>
      </c>
      <c r="O997" s="2" t="str">
        <f>TEXT(Table14[[#This Row],[Data_Wystawienia]],"rrrr-mm")</f>
        <v>2022-12</v>
      </c>
      <c r="P997" s="2">
        <v>1</v>
      </c>
    </row>
    <row r="998" spans="1:16" x14ac:dyDescent="0.3">
      <c r="A998" s="2" t="str">
        <f>TRIM(Table1[[#This Row],[Numer_FV]])</f>
        <v>FV/5151HM/22</v>
      </c>
      <c r="B998" s="2" t="str">
        <f>TRIM(Table1[[#This Row],[Numer_PZ]])</f>
        <v>PZ/800996</v>
      </c>
      <c r="C998" s="2" t="str">
        <f>TRIM(Table1[[#This Row],[Dostawca]])</f>
        <v>HurtMedix</v>
      </c>
      <c r="D998" s="3">
        <v>44926</v>
      </c>
      <c r="E998" s="4" t="s">
        <v>2965</v>
      </c>
      <c r="F998" s="2" t="str">
        <f>TRIM(Table1[[#This Row],[Status]])</f>
        <v>Zaakceptowana</v>
      </c>
      <c r="G998" s="2" t="str">
        <f>TRIM(Table1[[#This Row],[Typ]])</f>
        <v>Korekta FV</v>
      </c>
      <c r="H998" s="2" t="str">
        <f>TRIM(Table1[[#This Row],[Magazyn]])</f>
        <v>Apteka Szpitalna</v>
      </c>
      <c r="I998" s="2" t="str">
        <f>TRIM(Table1[[#This Row],[Umowa]])</f>
        <v>UM-HUR-02</v>
      </c>
      <c r="J998" s="2" t="b">
        <f>ISTEXT(Table14[[#This Row],[Data_Wystawienia]])</f>
        <v>0</v>
      </c>
      <c r="K998" s="2">
        <f>VALUE(SUBSTITUTE(Table14[[#This Row],[Wartość]],".",","))</f>
        <v>-382.56</v>
      </c>
      <c r="L9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8" s="2" t="str">
        <f>IF(Table14[[#This Row],[Umowa]]="","Poza umową","Z umowy")</f>
        <v>Z umowy</v>
      </c>
      <c r="N998" s="2">
        <f>YEAR(Table14[[#This Row],[Data_Wystawienia]])</f>
        <v>2022</v>
      </c>
      <c r="O998" s="2" t="str">
        <f>TEXT(Table14[[#This Row],[Data_Wystawienia]],"rrrr-mm")</f>
        <v>2022-12</v>
      </c>
      <c r="P998" s="2">
        <v>1</v>
      </c>
    </row>
    <row r="999" spans="1:16" x14ac:dyDescent="0.3">
      <c r="A999" s="2" t="str">
        <f>TRIM(Table1[[#This Row],[Numer_FV]])</f>
        <v>FV/66/PP/3552/22</v>
      </c>
      <c r="B999" s="2" t="str">
        <f>TRIM(Table1[[#This Row],[Numer_PZ]])</f>
        <v>PZ/800997</v>
      </c>
      <c r="C999" s="2" t="str">
        <f>TRIM(Table1[[#This Row],[Dostawca]])</f>
        <v>PharmaPlus</v>
      </c>
      <c r="D999" s="3">
        <v>44926</v>
      </c>
      <c r="E999" s="4" t="s">
        <v>2968</v>
      </c>
      <c r="F999" s="2" t="str">
        <f>TRIM(Table1[[#This Row],[Status]])</f>
        <v>Zaakceptowana</v>
      </c>
      <c r="G999" s="2" t="str">
        <f>TRIM(Table1[[#This Row],[Typ]])</f>
        <v>Faktura VAT</v>
      </c>
      <c r="H999" s="2" t="str">
        <f>TRIM(Table1[[#This Row],[Magazyn]])</f>
        <v>Apteka Szpitalna</v>
      </c>
      <c r="I999" s="2" t="str">
        <f>TRIM(Table1[[#This Row],[Umowa]])</f>
        <v>UM-PHA-01</v>
      </c>
      <c r="J999" s="2" t="b">
        <f>ISTEXT(Table14[[#This Row],[Data_Wystawienia]])</f>
        <v>0</v>
      </c>
      <c r="K999" s="2">
        <f>VALUE(SUBSTITUTE(Table14[[#This Row],[Wartość]],".",","))</f>
        <v>10448.27</v>
      </c>
      <c r="L9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999" s="2" t="str">
        <f>IF(Table14[[#This Row],[Umowa]]="","Poza umową","Z umowy")</f>
        <v>Z umowy</v>
      </c>
      <c r="N999" s="2">
        <f>YEAR(Table14[[#This Row],[Data_Wystawienia]])</f>
        <v>2022</v>
      </c>
      <c r="O999" s="2" t="str">
        <f>TEXT(Table14[[#This Row],[Data_Wystawienia]],"rrrr-mm")</f>
        <v>2022-12</v>
      </c>
      <c r="P999" s="2">
        <v>1</v>
      </c>
    </row>
    <row r="1000" spans="1:16" x14ac:dyDescent="0.3">
      <c r="A1000" s="2" t="str">
        <f>TRIM(Table1[[#This Row],[Numer_FV]])</f>
        <v>FV/2554/NOVA/22</v>
      </c>
      <c r="B1000" s="2" t="str">
        <f>TRIM(Table1[[#This Row],[Numer_PZ]])</f>
        <v>PZ/800998</v>
      </c>
      <c r="C1000" s="2" t="str">
        <f>TRIM(Table1[[#This Row],[Dostawca]])</f>
        <v>NovaLek</v>
      </c>
      <c r="D1000" s="3">
        <v>44926</v>
      </c>
      <c r="E1000" s="4" t="s">
        <v>2971</v>
      </c>
      <c r="F1000" s="2" t="str">
        <f>TRIM(Table1[[#This Row],[Status]])</f>
        <v>Zaakceptowana</v>
      </c>
      <c r="G1000" s="2" t="str">
        <f>TRIM(Table1[[#This Row],[Typ]])</f>
        <v>Faktura VAT</v>
      </c>
      <c r="H1000" s="2" t="str">
        <f>TRIM(Table1[[#This Row],[Magazyn]])</f>
        <v>Apteka Szpitalna</v>
      </c>
      <c r="I1000" s="2" t="str">
        <f>TRIM(Table1[[#This Row],[Umowa]])</f>
        <v/>
      </c>
      <c r="J1000" s="2" t="b">
        <f>ISTEXT(Table14[[#This Row],[Data_Wystawienia]])</f>
        <v>0</v>
      </c>
      <c r="K1000" s="2">
        <f>VALUE(SUBSTITUTE(Table14[[#This Row],[Wartość]],".",","))</f>
        <v>19187.72</v>
      </c>
      <c r="L10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0" s="2" t="str">
        <f>IF(Table14[[#This Row],[Umowa]]="","Poza umową","Z umowy")</f>
        <v>Poza umową</v>
      </c>
      <c r="N1000" s="2">
        <f>YEAR(Table14[[#This Row],[Data_Wystawienia]])</f>
        <v>2022</v>
      </c>
      <c r="O1000" s="2" t="str">
        <f>TEXT(Table14[[#This Row],[Data_Wystawienia]],"rrrr-mm")</f>
        <v>2022-12</v>
      </c>
      <c r="P1000" s="2">
        <v>1</v>
      </c>
    </row>
    <row r="1001" spans="1:16" x14ac:dyDescent="0.3">
      <c r="A1001" s="2" t="str">
        <f>TRIM(Table1[[#This Row],[Numer_FV]])</f>
        <v>FV/2465/NOVA/23</v>
      </c>
      <c r="B1001" s="2" t="str">
        <f>TRIM(Table1[[#This Row],[Numer_PZ]])</f>
        <v>PZ/800999</v>
      </c>
      <c r="C1001" s="2" t="str">
        <f>TRIM(Table1[[#This Row],[Dostawca]])</f>
        <v>NovaLek</v>
      </c>
      <c r="D1001" s="3">
        <v>44927</v>
      </c>
      <c r="E1001" s="4" t="s">
        <v>2974</v>
      </c>
      <c r="F1001" s="2" t="str">
        <f>TRIM(Table1[[#This Row],[Status]])</f>
        <v>Zaakceptowana</v>
      </c>
      <c r="G1001" s="2" t="str">
        <f>TRIM(Table1[[#This Row],[Typ]])</f>
        <v>Faktura VAT</v>
      </c>
      <c r="H1001" s="2" t="str">
        <f>TRIM(Table1[[#This Row],[Magazyn]])</f>
        <v>Apteka Szpitalna</v>
      </c>
      <c r="I1001" s="2" t="str">
        <f>TRIM(Table1[[#This Row],[Umowa]])</f>
        <v/>
      </c>
      <c r="J1001" s="2" t="b">
        <f>ISTEXT(Table14[[#This Row],[Data_Wystawienia]])</f>
        <v>0</v>
      </c>
      <c r="K1001" s="2">
        <f>VALUE(SUBSTITUTE(Table14[[#This Row],[Wartość]],".",","))</f>
        <v>14966.14</v>
      </c>
      <c r="L10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1" s="2" t="str">
        <f>IF(Table14[[#This Row],[Umowa]]="","Poza umową","Z umowy")</f>
        <v>Poza umową</v>
      </c>
      <c r="N1001" s="2">
        <f>YEAR(Table14[[#This Row],[Data_Wystawienia]])</f>
        <v>2023</v>
      </c>
      <c r="O1001" s="2" t="str">
        <f>TEXT(Table14[[#This Row],[Data_Wystawienia]],"rrrr-mm")</f>
        <v>2023-01</v>
      </c>
      <c r="P1001" s="2">
        <v>1</v>
      </c>
    </row>
    <row r="1002" spans="1:16" x14ac:dyDescent="0.3">
      <c r="A1002" s="2" t="str">
        <f>TRIM(Table1[[#This Row],[Numer_FV]])</f>
        <v>FV/12341/VDb/2023</v>
      </c>
      <c r="B1002" s="2" t="str">
        <f>TRIM(Table1[[#This Row],[Numer_PZ]])</f>
        <v>PZ/801000</v>
      </c>
      <c r="C1002" s="2" t="str">
        <f>TRIM(Table1[[#This Row],[Dostawca]])</f>
        <v>VitaDistrib</v>
      </c>
      <c r="D1002" s="3">
        <v>44927</v>
      </c>
      <c r="E1002" s="4" t="s">
        <v>2977</v>
      </c>
      <c r="F1002" s="2" t="str">
        <f>TRIM(Table1[[#This Row],[Status]])</f>
        <v>Zaakceptowana</v>
      </c>
      <c r="G1002" s="2" t="str">
        <f>TRIM(Table1[[#This Row],[Typ]])</f>
        <v>Faktura VAT</v>
      </c>
      <c r="H1002" s="2" t="str">
        <f>TRIM(Table1[[#This Row],[Magazyn]])</f>
        <v>Apteka Szpitalna</v>
      </c>
      <c r="I1002" s="2" t="str">
        <f>TRIM(Table1[[#This Row],[Umowa]])</f>
        <v/>
      </c>
      <c r="J1002" s="2" t="b">
        <f>ISTEXT(Table14[[#This Row],[Data_Wystawienia]])</f>
        <v>0</v>
      </c>
      <c r="K1002" s="2">
        <f>VALUE(SUBSTITUTE(Table14[[#This Row],[Wartość]],".",","))</f>
        <v>10212.09</v>
      </c>
      <c r="L10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2" s="2" t="str">
        <f>IF(Table14[[#This Row],[Umowa]]="","Poza umową","Z umowy")</f>
        <v>Poza umową</v>
      </c>
      <c r="N1002" s="2">
        <f>YEAR(Table14[[#This Row],[Data_Wystawienia]])</f>
        <v>2023</v>
      </c>
      <c r="O1002" s="2" t="str">
        <f>TEXT(Table14[[#This Row],[Data_Wystawienia]],"rrrr-mm")</f>
        <v>2023-01</v>
      </c>
      <c r="P1002" s="2">
        <v>1</v>
      </c>
    </row>
    <row r="1003" spans="1:16" x14ac:dyDescent="0.3">
      <c r="A1003" s="2" t="str">
        <f>TRIM(Table1[[#This Row],[Numer_FV]])</f>
        <v>FV/7317HM/23</v>
      </c>
      <c r="B1003" s="2" t="str">
        <f>TRIM(Table1[[#This Row],[Numer_PZ]])</f>
        <v>PZ/801001</v>
      </c>
      <c r="C1003" s="2" t="str">
        <f>TRIM(Table1[[#This Row],[Dostawca]])</f>
        <v>HurtMedix</v>
      </c>
      <c r="D1003" s="3">
        <v>44927</v>
      </c>
      <c r="E1003" s="4" t="s">
        <v>2980</v>
      </c>
      <c r="F1003" s="2" t="str">
        <f>TRIM(Table1[[#This Row],[Status]])</f>
        <v>Zaakceptowana</v>
      </c>
      <c r="G1003" s="2" t="str">
        <f>TRIM(Table1[[#This Row],[Typ]])</f>
        <v>Faktura VAT</v>
      </c>
      <c r="H1003" s="2" t="str">
        <f>TRIM(Table1[[#This Row],[Magazyn]])</f>
        <v>Apteka Szpitalna</v>
      </c>
      <c r="I1003" s="2" t="str">
        <f>TRIM(Table1[[#This Row],[Umowa]])</f>
        <v>UM-HUR-01</v>
      </c>
      <c r="J1003" s="2" t="b">
        <f>ISTEXT(Table14[[#This Row],[Data_Wystawienia]])</f>
        <v>0</v>
      </c>
      <c r="K1003" s="2">
        <f>VALUE(SUBSTITUTE(Table14[[#This Row],[Wartość]],".",","))</f>
        <v>5927.5</v>
      </c>
      <c r="L10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3" s="2" t="str">
        <f>IF(Table14[[#This Row],[Umowa]]="","Poza umową","Z umowy")</f>
        <v>Z umowy</v>
      </c>
      <c r="N1003" s="2">
        <f>YEAR(Table14[[#This Row],[Data_Wystawienia]])</f>
        <v>2023</v>
      </c>
      <c r="O1003" s="2" t="str">
        <f>TEXT(Table14[[#This Row],[Data_Wystawienia]],"rrrr-mm")</f>
        <v>2023-01</v>
      </c>
      <c r="P1003" s="2">
        <v>1</v>
      </c>
    </row>
    <row r="1004" spans="1:16" x14ac:dyDescent="0.3">
      <c r="A1004" s="2" t="str">
        <f>TRIM(Table1[[#This Row],[Numer_FV]])</f>
        <v>FV/70/SAL/23</v>
      </c>
      <c r="B1004" s="2" t="str">
        <f>TRIM(Table1[[#This Row],[Numer_PZ]])</f>
        <v>PZ/801002</v>
      </c>
      <c r="C1004" s="2" t="str">
        <f>TRIM(Table1[[#This Row],[Dostawca]])</f>
        <v>SalusHurt</v>
      </c>
      <c r="D1004" s="3">
        <v>44927</v>
      </c>
      <c r="E1004" s="4" t="s">
        <v>2983</v>
      </c>
      <c r="F1004" s="2" t="str">
        <f>TRIM(Table1[[#This Row],[Status]])</f>
        <v>Zaakceptowana</v>
      </c>
      <c r="G1004" s="2" t="str">
        <f>TRIM(Table1[[#This Row],[Typ]])</f>
        <v>Faktura VAT</v>
      </c>
      <c r="H1004" s="2" t="str">
        <f>TRIM(Table1[[#This Row],[Magazyn]])</f>
        <v>Apteka Szpitalna</v>
      </c>
      <c r="I1004" s="2" t="str">
        <f>TRIM(Table1[[#This Row],[Umowa]])</f>
        <v>UM-SAL-02</v>
      </c>
      <c r="J1004" s="2" t="b">
        <f>ISTEXT(Table14[[#This Row],[Data_Wystawienia]])</f>
        <v>0</v>
      </c>
      <c r="K1004" s="2">
        <f>VALUE(SUBSTITUTE(Table14[[#This Row],[Wartość]],".",","))</f>
        <v>11386.9</v>
      </c>
      <c r="L10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4" s="2" t="str">
        <f>IF(Table14[[#This Row],[Umowa]]="","Poza umową","Z umowy")</f>
        <v>Z umowy</v>
      </c>
      <c r="N1004" s="2">
        <f>YEAR(Table14[[#This Row],[Data_Wystawienia]])</f>
        <v>2023</v>
      </c>
      <c r="O1004" s="2" t="str">
        <f>TEXT(Table14[[#This Row],[Data_Wystawienia]],"rrrr-mm")</f>
        <v>2023-01</v>
      </c>
      <c r="P1004" s="2">
        <v>1</v>
      </c>
    </row>
    <row r="1005" spans="1:16" x14ac:dyDescent="0.3">
      <c r="A1005" s="2" t="str">
        <f>TRIM(Table1[[#This Row],[Numer_FV]])</f>
        <v>FV/M/1018/P/23</v>
      </c>
      <c r="B1005" s="2" t="str">
        <f>TRIM(Table1[[#This Row],[Numer_PZ]])</f>
        <v>PZ/801003</v>
      </c>
      <c r="C1005" s="2" t="str">
        <f>TRIM(Table1[[#This Row],[Dostawca]])</f>
        <v>MedicaPharm</v>
      </c>
      <c r="D1005" s="3">
        <v>44927</v>
      </c>
      <c r="E1005" s="4" t="s">
        <v>2986</v>
      </c>
      <c r="F1005" s="2" t="str">
        <f>TRIM(Table1[[#This Row],[Status]])</f>
        <v>Zaakceptowana</v>
      </c>
      <c r="G1005" s="2" t="str">
        <f>TRIM(Table1[[#This Row],[Typ]])</f>
        <v>Faktura VAT</v>
      </c>
      <c r="H1005" s="2" t="str">
        <f>TRIM(Table1[[#This Row],[Magazyn]])</f>
        <v>Apteka Szpitalna</v>
      </c>
      <c r="I1005" s="2" t="str">
        <f>TRIM(Table1[[#This Row],[Umowa]])</f>
        <v>UM-MED-01</v>
      </c>
      <c r="J1005" s="2" t="b">
        <f>ISTEXT(Table14[[#This Row],[Data_Wystawienia]])</f>
        <v>0</v>
      </c>
      <c r="K1005" s="2">
        <f>VALUE(SUBSTITUTE(Table14[[#This Row],[Wartość]],".",","))</f>
        <v>15604.09</v>
      </c>
      <c r="L10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5" s="2" t="str">
        <f>IF(Table14[[#This Row],[Umowa]]="","Poza umową","Z umowy")</f>
        <v>Z umowy</v>
      </c>
      <c r="N1005" s="2">
        <f>YEAR(Table14[[#This Row],[Data_Wystawienia]])</f>
        <v>2023</v>
      </c>
      <c r="O1005" s="2" t="str">
        <f>TEXT(Table14[[#This Row],[Data_Wystawienia]],"rrrr-mm")</f>
        <v>2023-01</v>
      </c>
      <c r="P1005" s="2">
        <v>1</v>
      </c>
    </row>
    <row r="1006" spans="1:16" x14ac:dyDescent="0.3">
      <c r="A1006" s="2" t="str">
        <f>TRIM(Table1[[#This Row],[Numer_FV]])</f>
        <v>FV/6164HM/23</v>
      </c>
      <c r="B1006" s="2" t="str">
        <f>TRIM(Table1[[#This Row],[Numer_PZ]])</f>
        <v>PZ/801004</v>
      </c>
      <c r="C1006" s="2" t="str">
        <f>TRIM(Table1[[#This Row],[Dostawca]])</f>
        <v>HurtMedix</v>
      </c>
      <c r="D1006" s="3">
        <v>44928</v>
      </c>
      <c r="E1006" s="4" t="s">
        <v>2989</v>
      </c>
      <c r="F1006" s="2" t="str">
        <f>TRIM(Table1[[#This Row],[Status]])</f>
        <v>Zaakceptowana</v>
      </c>
      <c r="G1006" s="2" t="str">
        <f>TRIM(Table1[[#This Row],[Typ]])</f>
        <v>Faktura VAT</v>
      </c>
      <c r="H1006" s="2" t="str">
        <f>TRIM(Table1[[#This Row],[Magazyn]])</f>
        <v>Apteka Szpitalna</v>
      </c>
      <c r="I1006" s="2" t="str">
        <f>TRIM(Table1[[#This Row],[Umowa]])</f>
        <v>UM-HUR-01</v>
      </c>
      <c r="J1006" s="2" t="b">
        <f>ISTEXT(Table14[[#This Row],[Data_Wystawienia]])</f>
        <v>0</v>
      </c>
      <c r="K1006" s="2">
        <f>VALUE(SUBSTITUTE(Table14[[#This Row],[Wartość]],".",","))</f>
        <v>15969.65</v>
      </c>
      <c r="L10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6" s="2" t="str">
        <f>IF(Table14[[#This Row],[Umowa]]="","Poza umową","Z umowy")</f>
        <v>Z umowy</v>
      </c>
      <c r="N1006" s="2">
        <f>YEAR(Table14[[#This Row],[Data_Wystawienia]])</f>
        <v>2023</v>
      </c>
      <c r="O1006" s="2" t="str">
        <f>TEXT(Table14[[#This Row],[Data_Wystawienia]],"rrrr-mm")</f>
        <v>2023-01</v>
      </c>
      <c r="P1006" s="2">
        <v>1</v>
      </c>
    </row>
    <row r="1007" spans="1:16" x14ac:dyDescent="0.3">
      <c r="A1007" s="2" t="str">
        <f>TRIM(Table1[[#This Row],[Numer_FV]])</f>
        <v>FV/8865/NOVA/23</v>
      </c>
      <c r="B1007" s="2" t="str">
        <f>TRIM(Table1[[#This Row],[Numer_PZ]])</f>
        <v>PZ/801005</v>
      </c>
      <c r="C1007" s="2" t="str">
        <f>TRIM(Table1[[#This Row],[Dostawca]])</f>
        <v>NovaLek</v>
      </c>
      <c r="D1007" s="3">
        <v>44928</v>
      </c>
      <c r="E1007" s="4" t="s">
        <v>2992</v>
      </c>
      <c r="F1007" s="2" t="str">
        <f>TRIM(Table1[[#This Row],[Status]])</f>
        <v>Zaakceptowana</v>
      </c>
      <c r="G1007" s="2" t="str">
        <f>TRIM(Table1[[#This Row],[Typ]])</f>
        <v>Faktura VAT</v>
      </c>
      <c r="H1007" s="2" t="str">
        <f>TRIM(Table1[[#This Row],[Magazyn]])</f>
        <v>Apteka Szpitalna</v>
      </c>
      <c r="I1007" s="2" t="str">
        <f>TRIM(Table1[[#This Row],[Umowa]])</f>
        <v>UM-NOV-01</v>
      </c>
      <c r="J1007" s="2" t="b">
        <f>ISTEXT(Table14[[#This Row],[Data_Wystawienia]])</f>
        <v>0</v>
      </c>
      <c r="K1007" s="2">
        <f>VALUE(SUBSTITUTE(Table14[[#This Row],[Wartość]],".",","))</f>
        <v>12116.45</v>
      </c>
      <c r="L10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7" s="2" t="str">
        <f>IF(Table14[[#This Row],[Umowa]]="","Poza umową","Z umowy")</f>
        <v>Z umowy</v>
      </c>
      <c r="N1007" s="2">
        <f>YEAR(Table14[[#This Row],[Data_Wystawienia]])</f>
        <v>2023</v>
      </c>
      <c r="O1007" s="2" t="str">
        <f>TEXT(Table14[[#This Row],[Data_Wystawienia]],"rrrr-mm")</f>
        <v>2023-01</v>
      </c>
      <c r="P1007" s="2">
        <v>1</v>
      </c>
    </row>
    <row r="1008" spans="1:16" x14ac:dyDescent="0.3">
      <c r="A1008" s="2" t="str">
        <f>TRIM(Table1[[#This Row],[Numer_FV]])</f>
        <v>FV/POL/11509/2023</v>
      </c>
      <c r="B1008" s="2" t="str">
        <f>TRIM(Table1[[#This Row],[Numer_PZ]])</f>
        <v>PZ/801006</v>
      </c>
      <c r="C1008" s="2" t="str">
        <f>TRIM(Table1[[#This Row],[Dostawca]])</f>
        <v>Polmedica</v>
      </c>
      <c r="D1008" s="3">
        <v>44928</v>
      </c>
      <c r="E1008" s="4" t="s">
        <v>2995</v>
      </c>
      <c r="F1008" s="2" t="str">
        <f>TRIM(Table1[[#This Row],[Status]])</f>
        <v>Zaakceptowana</v>
      </c>
      <c r="G1008" s="2" t="str">
        <f>TRIM(Table1[[#This Row],[Typ]])</f>
        <v>Faktura VAT</v>
      </c>
      <c r="H1008" s="2" t="str">
        <f>TRIM(Table1[[#This Row],[Magazyn]])</f>
        <v>Apteka Szpitalna</v>
      </c>
      <c r="I1008" s="2" t="str">
        <f>TRIM(Table1[[#This Row],[Umowa]])</f>
        <v>UM-POL-03</v>
      </c>
      <c r="J1008" s="2" t="b">
        <f>ISTEXT(Table14[[#This Row],[Data_Wystawienia]])</f>
        <v>0</v>
      </c>
      <c r="K1008" s="2">
        <f>VALUE(SUBSTITUTE(Table14[[#This Row],[Wartość]],".",","))</f>
        <v>14805.94</v>
      </c>
      <c r="L10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8" s="2" t="str">
        <f>IF(Table14[[#This Row],[Umowa]]="","Poza umową","Z umowy")</f>
        <v>Z umowy</v>
      </c>
      <c r="N1008" s="2">
        <f>YEAR(Table14[[#This Row],[Data_Wystawienia]])</f>
        <v>2023</v>
      </c>
      <c r="O1008" s="2" t="str">
        <f>TEXT(Table14[[#This Row],[Data_Wystawienia]],"rrrr-mm")</f>
        <v>2023-01</v>
      </c>
      <c r="P1008" s="2">
        <v>1</v>
      </c>
    </row>
    <row r="1009" spans="1:16" x14ac:dyDescent="0.3">
      <c r="A1009" s="2" t="str">
        <f>TRIM(Table1[[#This Row],[Numer_FV]])</f>
        <v>FV/2826/NOVA/23</v>
      </c>
      <c r="B1009" s="2" t="str">
        <f>TRIM(Table1[[#This Row],[Numer_PZ]])</f>
        <v>PZ/801007</v>
      </c>
      <c r="C1009" s="2" t="str">
        <f>TRIM(Table1[[#This Row],[Dostawca]])</f>
        <v>NovaLek</v>
      </c>
      <c r="D1009" s="3">
        <v>44929</v>
      </c>
      <c r="E1009" s="4" t="s">
        <v>2998</v>
      </c>
      <c r="F1009" s="2" t="str">
        <f>TRIM(Table1[[#This Row],[Status]])</f>
        <v>Zaakceptowana</v>
      </c>
      <c r="G1009" s="2" t="str">
        <f>TRIM(Table1[[#This Row],[Typ]])</f>
        <v>Faktura VAT</v>
      </c>
      <c r="H1009" s="2" t="str">
        <f>TRIM(Table1[[#This Row],[Magazyn]])</f>
        <v>Apteka Szpitalna</v>
      </c>
      <c r="I1009" s="2" t="str">
        <f>TRIM(Table1[[#This Row],[Umowa]])</f>
        <v>UM-NOV-03</v>
      </c>
      <c r="J1009" s="2" t="b">
        <f>ISTEXT(Table14[[#This Row],[Data_Wystawienia]])</f>
        <v>0</v>
      </c>
      <c r="K1009" s="2">
        <f>VALUE(SUBSTITUTE(Table14[[#This Row],[Wartość]],".",","))</f>
        <v>10232.879999999999</v>
      </c>
      <c r="L10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09" s="2" t="str">
        <f>IF(Table14[[#This Row],[Umowa]]="","Poza umową","Z umowy")</f>
        <v>Z umowy</v>
      </c>
      <c r="N1009" s="2">
        <f>YEAR(Table14[[#This Row],[Data_Wystawienia]])</f>
        <v>2023</v>
      </c>
      <c r="O1009" s="2" t="str">
        <f>TEXT(Table14[[#This Row],[Data_Wystawienia]],"rrrr-mm")</f>
        <v>2023-01</v>
      </c>
      <c r="P1009" s="2">
        <v>1</v>
      </c>
    </row>
    <row r="1010" spans="1:16" x14ac:dyDescent="0.3">
      <c r="A1010" s="2" t="str">
        <f>TRIM(Table1[[#This Row],[Numer_FV]])</f>
        <v>FV/8167/NOVA/23</v>
      </c>
      <c r="B1010" s="2" t="str">
        <f>TRIM(Table1[[#This Row],[Numer_PZ]])</f>
        <v>PZ/801008</v>
      </c>
      <c r="C1010" s="2" t="str">
        <f>TRIM(Table1[[#This Row],[Dostawca]])</f>
        <v>NovaLek</v>
      </c>
      <c r="D1010" s="3">
        <v>44929</v>
      </c>
      <c r="E1010" s="4" t="s">
        <v>3001</v>
      </c>
      <c r="F1010" s="2" t="str">
        <f>TRIM(Table1[[#This Row],[Status]])</f>
        <v>Zaakceptowana</v>
      </c>
      <c r="G1010" s="2" t="str">
        <f>TRIM(Table1[[#This Row],[Typ]])</f>
        <v>Faktura VAT</v>
      </c>
      <c r="H1010" s="2" t="str">
        <f>TRIM(Table1[[#This Row],[Magazyn]])</f>
        <v>Apteka Szpitalna</v>
      </c>
      <c r="I1010" s="2" t="str">
        <f>TRIM(Table1[[#This Row],[Umowa]])</f>
        <v>UM-NOV-01</v>
      </c>
      <c r="J1010" s="2" t="b">
        <f>ISTEXT(Table14[[#This Row],[Data_Wystawienia]])</f>
        <v>0</v>
      </c>
      <c r="K1010" s="2">
        <f>VALUE(SUBSTITUTE(Table14[[#This Row],[Wartość]],".",","))</f>
        <v>20728.98</v>
      </c>
      <c r="L10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0" s="2" t="str">
        <f>IF(Table14[[#This Row],[Umowa]]="","Poza umową","Z umowy")</f>
        <v>Z umowy</v>
      </c>
      <c r="N1010" s="2">
        <f>YEAR(Table14[[#This Row],[Data_Wystawienia]])</f>
        <v>2023</v>
      </c>
      <c r="O1010" s="2" t="str">
        <f>TEXT(Table14[[#This Row],[Data_Wystawienia]],"rrrr-mm")</f>
        <v>2023-01</v>
      </c>
      <c r="P1010" s="2">
        <v>1</v>
      </c>
    </row>
    <row r="1011" spans="1:16" x14ac:dyDescent="0.3">
      <c r="A1011" s="2" t="str">
        <f>TRIM(Table1[[#This Row],[Numer_FV]])</f>
        <v>FV/CENFA/517580/23</v>
      </c>
      <c r="B1011" s="2" t="str">
        <f>TRIM(Table1[[#This Row],[Numer_PZ]])</f>
        <v>PZ/801009</v>
      </c>
      <c r="C1011" s="2" t="str">
        <f>TRIM(Table1[[#This Row],[Dostawca]])</f>
        <v>CentrumFarm</v>
      </c>
      <c r="D1011" s="3">
        <v>44930</v>
      </c>
      <c r="E1011" s="4" t="s">
        <v>3004</v>
      </c>
      <c r="F1011" s="2" t="str">
        <f>TRIM(Table1[[#This Row],[Status]])</f>
        <v>Zaakceptowana</v>
      </c>
      <c r="G1011" s="2" t="str">
        <f>TRIM(Table1[[#This Row],[Typ]])</f>
        <v>Faktura VAT</v>
      </c>
      <c r="H1011" s="2" t="str">
        <f>TRIM(Table1[[#This Row],[Magazyn]])</f>
        <v>Apteka Szpitalna</v>
      </c>
      <c r="I1011" s="2" t="str">
        <f>TRIM(Table1[[#This Row],[Umowa]])</f>
        <v>UM-CEN-01</v>
      </c>
      <c r="J1011" s="2" t="b">
        <f>ISTEXT(Table14[[#This Row],[Data_Wystawienia]])</f>
        <v>0</v>
      </c>
      <c r="K1011" s="2">
        <f>VALUE(SUBSTITUTE(Table14[[#This Row],[Wartość]],".",","))</f>
        <v>19779.810000000001</v>
      </c>
      <c r="L10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1" s="2" t="str">
        <f>IF(Table14[[#This Row],[Umowa]]="","Poza umową","Z umowy")</f>
        <v>Z umowy</v>
      </c>
      <c r="N1011" s="2">
        <f>YEAR(Table14[[#This Row],[Data_Wystawienia]])</f>
        <v>2023</v>
      </c>
      <c r="O1011" s="2" t="str">
        <f>TEXT(Table14[[#This Row],[Data_Wystawienia]],"rrrr-mm")</f>
        <v>2023-01</v>
      </c>
      <c r="P1011" s="2">
        <v>1</v>
      </c>
    </row>
    <row r="1012" spans="1:16" x14ac:dyDescent="0.3">
      <c r="A1012" s="2" t="str">
        <f>TRIM(Table1[[#This Row],[Numer_FV]])</f>
        <v>FV/M/2855/P/23</v>
      </c>
      <c r="B1012" s="2" t="str">
        <f>TRIM(Table1[[#This Row],[Numer_PZ]])</f>
        <v>PZ/801010</v>
      </c>
      <c r="C1012" s="2" t="str">
        <f>TRIM(Table1[[#This Row],[Dostawca]])</f>
        <v>MedicaPharm</v>
      </c>
      <c r="D1012" s="3">
        <v>44930</v>
      </c>
      <c r="E1012" s="4" t="s">
        <v>3007</v>
      </c>
      <c r="F1012" s="2" t="str">
        <f>TRIM(Table1[[#This Row],[Status]])</f>
        <v>Zaakceptowana</v>
      </c>
      <c r="G1012" s="2" t="str">
        <f>TRIM(Table1[[#This Row],[Typ]])</f>
        <v>Faktura VAT</v>
      </c>
      <c r="H1012" s="2" t="str">
        <f>TRIM(Table1[[#This Row],[Magazyn]])</f>
        <v>Apteka Szpitalna</v>
      </c>
      <c r="I1012" s="2" t="str">
        <f>TRIM(Table1[[#This Row],[Umowa]])</f>
        <v/>
      </c>
      <c r="J1012" s="2" t="b">
        <f>ISTEXT(Table14[[#This Row],[Data_Wystawienia]])</f>
        <v>0</v>
      </c>
      <c r="K1012" s="2">
        <f>VALUE(SUBSTITUTE(Table14[[#This Row],[Wartość]],".",","))</f>
        <v>16556.02</v>
      </c>
      <c r="L10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2" s="2" t="str">
        <f>IF(Table14[[#This Row],[Umowa]]="","Poza umową","Z umowy")</f>
        <v>Poza umową</v>
      </c>
      <c r="N1012" s="2">
        <f>YEAR(Table14[[#This Row],[Data_Wystawienia]])</f>
        <v>2023</v>
      </c>
      <c r="O1012" s="2" t="str">
        <f>TEXT(Table14[[#This Row],[Data_Wystawienia]],"rrrr-mm")</f>
        <v>2023-01</v>
      </c>
      <c r="P1012" s="2">
        <v>1</v>
      </c>
    </row>
    <row r="1013" spans="1:16" x14ac:dyDescent="0.3">
      <c r="A1013" s="2" t="str">
        <f>TRIM(Table1[[#This Row],[Numer_FV]])</f>
        <v>FV/12020/VDb/2023</v>
      </c>
      <c r="B1013" s="2" t="str">
        <f>TRIM(Table1[[#This Row],[Numer_PZ]])</f>
        <v>PZ/801011</v>
      </c>
      <c r="C1013" s="2" t="str">
        <f>TRIM(Table1[[#This Row],[Dostawca]])</f>
        <v>VitaDistrib</v>
      </c>
      <c r="D1013" s="3">
        <v>44930</v>
      </c>
      <c r="E1013" s="4" t="s">
        <v>3010</v>
      </c>
      <c r="F1013" s="2" t="str">
        <f>TRIM(Table1[[#This Row],[Status]])</f>
        <v>Zaakceptowana</v>
      </c>
      <c r="G1013" s="2" t="str">
        <f>TRIM(Table1[[#This Row],[Typ]])</f>
        <v>Faktura VAT</v>
      </c>
      <c r="H1013" s="2" t="str">
        <f>TRIM(Table1[[#This Row],[Magazyn]])</f>
        <v>Apteka Szpitalna</v>
      </c>
      <c r="I1013" s="2" t="str">
        <f>TRIM(Table1[[#This Row],[Umowa]])</f>
        <v>UM-VIT-01</v>
      </c>
      <c r="J1013" s="2" t="b">
        <f>ISTEXT(Table14[[#This Row],[Data_Wystawienia]])</f>
        <v>0</v>
      </c>
      <c r="K1013" s="2">
        <f>VALUE(SUBSTITUTE(Table14[[#This Row],[Wartość]],".",","))</f>
        <v>17308.900000000001</v>
      </c>
      <c r="L10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3" s="2" t="str">
        <f>IF(Table14[[#This Row],[Umowa]]="","Poza umową","Z umowy")</f>
        <v>Z umowy</v>
      </c>
      <c r="N1013" s="2">
        <f>YEAR(Table14[[#This Row],[Data_Wystawienia]])</f>
        <v>2023</v>
      </c>
      <c r="O1013" s="2" t="str">
        <f>TEXT(Table14[[#This Row],[Data_Wystawienia]],"rrrr-mm")</f>
        <v>2023-01</v>
      </c>
      <c r="P1013" s="2">
        <v>1</v>
      </c>
    </row>
    <row r="1014" spans="1:16" x14ac:dyDescent="0.3">
      <c r="A1014" s="2" t="str">
        <f>TRIM(Table1[[#This Row],[Numer_FV]])</f>
        <v>FV/7664HM/23</v>
      </c>
      <c r="B1014" s="2" t="str">
        <f>TRIM(Table1[[#This Row],[Numer_PZ]])</f>
        <v>PZ/801012</v>
      </c>
      <c r="C1014" s="2" t="str">
        <f>TRIM(Table1[[#This Row],[Dostawca]])</f>
        <v>HurtMedix</v>
      </c>
      <c r="D1014" s="3">
        <v>44932</v>
      </c>
      <c r="E1014" s="4" t="s">
        <v>3013</v>
      </c>
      <c r="F1014" s="2" t="str">
        <f>TRIM(Table1[[#This Row],[Status]])</f>
        <v>Zaakceptowana</v>
      </c>
      <c r="G1014" s="2" t="str">
        <f>TRIM(Table1[[#This Row],[Typ]])</f>
        <v>Faktura VAT</v>
      </c>
      <c r="H1014" s="2" t="str">
        <f>TRIM(Table1[[#This Row],[Magazyn]])</f>
        <v>Apteka Szpitalna</v>
      </c>
      <c r="I1014" s="2" t="str">
        <f>TRIM(Table1[[#This Row],[Umowa]])</f>
        <v>UM-HUR-02</v>
      </c>
      <c r="J1014" s="2" t="b">
        <f>ISTEXT(Table14[[#This Row],[Data_Wystawienia]])</f>
        <v>0</v>
      </c>
      <c r="K1014" s="2">
        <f>VALUE(SUBSTITUTE(Table14[[#This Row],[Wartość]],".",","))</f>
        <v>19525.75</v>
      </c>
      <c r="L10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4" s="2" t="str">
        <f>IF(Table14[[#This Row],[Umowa]]="","Poza umową","Z umowy")</f>
        <v>Z umowy</v>
      </c>
      <c r="N1014" s="2">
        <f>YEAR(Table14[[#This Row],[Data_Wystawienia]])</f>
        <v>2023</v>
      </c>
      <c r="O1014" s="2" t="str">
        <f>TEXT(Table14[[#This Row],[Data_Wystawienia]],"rrrr-mm")</f>
        <v>2023-01</v>
      </c>
      <c r="P1014" s="2">
        <v>1</v>
      </c>
    </row>
    <row r="1015" spans="1:16" x14ac:dyDescent="0.3">
      <c r="A1015" s="2" t="str">
        <f>TRIM(Table1[[#This Row],[Numer_FV]])</f>
        <v>FV/35/SAL/23</v>
      </c>
      <c r="B1015" s="2" t="str">
        <f>TRIM(Table1[[#This Row],[Numer_PZ]])</f>
        <v>PZ/801013</v>
      </c>
      <c r="C1015" s="2" t="str">
        <f>TRIM(Table1[[#This Row],[Dostawca]])</f>
        <v>SalusHurt</v>
      </c>
      <c r="D1015" s="3">
        <v>44932</v>
      </c>
      <c r="E1015" s="4" t="s">
        <v>3016</v>
      </c>
      <c r="F1015" s="2" t="str">
        <f>TRIM(Table1[[#This Row],[Status]])</f>
        <v>Zaakceptowana</v>
      </c>
      <c r="G1015" s="2" t="str">
        <f>TRIM(Table1[[#This Row],[Typ]])</f>
        <v>Faktura VAT</v>
      </c>
      <c r="H1015" s="2" t="str">
        <f>TRIM(Table1[[#This Row],[Magazyn]])</f>
        <v>Apteka Szpitalna</v>
      </c>
      <c r="I1015" s="2" t="str">
        <f>TRIM(Table1[[#This Row],[Umowa]])</f>
        <v>UM-SAL-02</v>
      </c>
      <c r="J1015" s="2" t="b">
        <f>ISTEXT(Table14[[#This Row],[Data_Wystawienia]])</f>
        <v>0</v>
      </c>
      <c r="K1015" s="2">
        <f>VALUE(SUBSTITUTE(Table14[[#This Row],[Wartość]],".",","))</f>
        <v>20828.580000000002</v>
      </c>
      <c r="L10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5" s="2" t="str">
        <f>IF(Table14[[#This Row],[Umowa]]="","Poza umową","Z umowy")</f>
        <v>Z umowy</v>
      </c>
      <c r="N1015" s="2">
        <f>YEAR(Table14[[#This Row],[Data_Wystawienia]])</f>
        <v>2023</v>
      </c>
      <c r="O1015" s="2" t="str">
        <f>TEXT(Table14[[#This Row],[Data_Wystawienia]],"rrrr-mm")</f>
        <v>2023-01</v>
      </c>
      <c r="P1015" s="2">
        <v>1</v>
      </c>
    </row>
    <row r="1016" spans="1:16" x14ac:dyDescent="0.3">
      <c r="A1016" s="2" t="str">
        <f>TRIM(Table1[[#This Row],[Numer_FV]])</f>
        <v>FV/4653/NOVA/23</v>
      </c>
      <c r="B1016" s="2" t="str">
        <f>TRIM(Table1[[#This Row],[Numer_PZ]])</f>
        <v>PZ/801014</v>
      </c>
      <c r="C1016" s="2" t="str">
        <f>TRIM(Table1[[#This Row],[Dostawca]])</f>
        <v>NovaLek</v>
      </c>
      <c r="D1016" s="3">
        <v>44932</v>
      </c>
      <c r="E1016" s="4" t="s">
        <v>3019</v>
      </c>
      <c r="F1016" s="2" t="str">
        <f>TRIM(Table1[[#This Row],[Status]])</f>
        <v>Zaakceptowana</v>
      </c>
      <c r="G1016" s="2" t="str">
        <f>TRIM(Table1[[#This Row],[Typ]])</f>
        <v>Faktura VAT</v>
      </c>
      <c r="H1016" s="2" t="str">
        <f>TRIM(Table1[[#This Row],[Magazyn]])</f>
        <v>Apteka Szpitalna</v>
      </c>
      <c r="I1016" s="2" t="str">
        <f>TRIM(Table1[[#This Row],[Umowa]])</f>
        <v>UM-NOV-01</v>
      </c>
      <c r="J1016" s="2" t="b">
        <f>ISTEXT(Table14[[#This Row],[Data_Wystawienia]])</f>
        <v>0</v>
      </c>
      <c r="K1016" s="2">
        <f>VALUE(SUBSTITUTE(Table14[[#This Row],[Wartość]],".",","))</f>
        <v>10208.040000000001</v>
      </c>
      <c r="L10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6" s="2" t="str">
        <f>IF(Table14[[#This Row],[Umowa]]="","Poza umową","Z umowy")</f>
        <v>Z umowy</v>
      </c>
      <c r="N1016" s="2">
        <f>YEAR(Table14[[#This Row],[Data_Wystawienia]])</f>
        <v>2023</v>
      </c>
      <c r="O1016" s="2" t="str">
        <f>TEXT(Table14[[#This Row],[Data_Wystawienia]],"rrrr-mm")</f>
        <v>2023-01</v>
      </c>
      <c r="P1016" s="2">
        <v>1</v>
      </c>
    </row>
    <row r="1017" spans="1:16" x14ac:dyDescent="0.3">
      <c r="A1017" s="2" t="str">
        <f>TRIM(Table1[[#This Row],[Numer_FV]])</f>
        <v>FV/POL/10991/2023</v>
      </c>
      <c r="B1017" s="2" t="str">
        <f>TRIM(Table1[[#This Row],[Numer_PZ]])</f>
        <v>PZ/801015</v>
      </c>
      <c r="C1017" s="2" t="str">
        <f>TRIM(Table1[[#This Row],[Dostawca]])</f>
        <v>Polmedica</v>
      </c>
      <c r="D1017" s="3">
        <v>44932</v>
      </c>
      <c r="E1017" s="4" t="s">
        <v>3022</v>
      </c>
      <c r="F1017" s="2" t="str">
        <f>TRIM(Table1[[#This Row],[Status]])</f>
        <v>Zaakceptowana</v>
      </c>
      <c r="G1017" s="2" t="str">
        <f>TRIM(Table1[[#This Row],[Typ]])</f>
        <v>Faktura VAT</v>
      </c>
      <c r="H1017" s="2" t="str">
        <f>TRIM(Table1[[#This Row],[Magazyn]])</f>
        <v>Apteka Szpitalna</v>
      </c>
      <c r="I1017" s="2" t="str">
        <f>TRIM(Table1[[#This Row],[Umowa]])</f>
        <v>UM-POL-01</v>
      </c>
      <c r="J1017" s="2" t="b">
        <f>ISTEXT(Table14[[#This Row],[Data_Wystawienia]])</f>
        <v>0</v>
      </c>
      <c r="K1017" s="2">
        <f>VALUE(SUBSTITUTE(Table14[[#This Row],[Wartość]],".",","))</f>
        <v>13330.2</v>
      </c>
      <c r="L10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7" s="2" t="str">
        <f>IF(Table14[[#This Row],[Umowa]]="","Poza umową","Z umowy")</f>
        <v>Z umowy</v>
      </c>
      <c r="N1017" s="2">
        <f>YEAR(Table14[[#This Row],[Data_Wystawienia]])</f>
        <v>2023</v>
      </c>
      <c r="O1017" s="2" t="str">
        <f>TEXT(Table14[[#This Row],[Data_Wystawienia]],"rrrr-mm")</f>
        <v>2023-01</v>
      </c>
      <c r="P1017" s="2">
        <v>1</v>
      </c>
    </row>
    <row r="1018" spans="1:16" x14ac:dyDescent="0.3">
      <c r="A1018" s="2" t="str">
        <f>TRIM(Table1[[#This Row],[Numer_FV]])</f>
        <v>FV/POL/79844/2023</v>
      </c>
      <c r="B1018" s="2" t="str">
        <f>TRIM(Table1[[#This Row],[Numer_PZ]])</f>
        <v>PZ/801016</v>
      </c>
      <c r="C1018" s="2" t="str">
        <f>TRIM(Table1[[#This Row],[Dostawca]])</f>
        <v>Polmedica</v>
      </c>
      <c r="D1018" s="3">
        <v>44933</v>
      </c>
      <c r="E1018" s="4" t="s">
        <v>3025</v>
      </c>
      <c r="F1018" s="2" t="str">
        <f>TRIM(Table1[[#This Row],[Status]])</f>
        <v>Zaakceptowana</v>
      </c>
      <c r="G1018" s="2" t="str">
        <f>TRIM(Table1[[#This Row],[Typ]])</f>
        <v>Faktura VAT</v>
      </c>
      <c r="H1018" s="2" t="str">
        <f>TRIM(Table1[[#This Row],[Magazyn]])</f>
        <v>Apteka Szpitalna</v>
      </c>
      <c r="I1018" s="2" t="str">
        <f>TRIM(Table1[[#This Row],[Umowa]])</f>
        <v>UM-POL-02</v>
      </c>
      <c r="J1018" s="2" t="b">
        <f>ISTEXT(Table14[[#This Row],[Data_Wystawienia]])</f>
        <v>0</v>
      </c>
      <c r="K1018" s="2">
        <f>VALUE(SUBSTITUTE(Table14[[#This Row],[Wartość]],".",","))</f>
        <v>22553.7</v>
      </c>
      <c r="L10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8" s="2" t="str">
        <f>IF(Table14[[#This Row],[Umowa]]="","Poza umową","Z umowy")</f>
        <v>Z umowy</v>
      </c>
      <c r="N1018" s="2">
        <f>YEAR(Table14[[#This Row],[Data_Wystawienia]])</f>
        <v>2023</v>
      </c>
      <c r="O1018" s="2" t="str">
        <f>TEXT(Table14[[#This Row],[Data_Wystawienia]],"rrrr-mm")</f>
        <v>2023-01</v>
      </c>
      <c r="P1018" s="2">
        <v>1</v>
      </c>
    </row>
    <row r="1019" spans="1:16" x14ac:dyDescent="0.3">
      <c r="A1019" s="2" t="str">
        <f>TRIM(Table1[[#This Row],[Numer_FV]])</f>
        <v>FV/26941/VDb/2023</v>
      </c>
      <c r="B1019" s="2" t="str">
        <f>TRIM(Table1[[#This Row],[Numer_PZ]])</f>
        <v>PZ/801017</v>
      </c>
      <c r="C1019" s="2" t="str">
        <f>TRIM(Table1[[#This Row],[Dostawca]])</f>
        <v>VitaDistrib</v>
      </c>
      <c r="D1019" s="3">
        <v>44933</v>
      </c>
      <c r="E1019" s="4" t="s">
        <v>3028</v>
      </c>
      <c r="F1019" s="2" t="str">
        <f>TRIM(Table1[[#This Row],[Status]])</f>
        <v>Zaakceptowana</v>
      </c>
      <c r="G1019" s="2" t="str">
        <f>TRIM(Table1[[#This Row],[Typ]])</f>
        <v>Faktura VAT</v>
      </c>
      <c r="H1019" s="2" t="str">
        <f>TRIM(Table1[[#This Row],[Magazyn]])</f>
        <v>Apteka Szpitalna</v>
      </c>
      <c r="I1019" s="2" t="str">
        <f>TRIM(Table1[[#This Row],[Umowa]])</f>
        <v>UM-VIT-01</v>
      </c>
      <c r="J1019" s="2" t="b">
        <f>ISTEXT(Table14[[#This Row],[Data_Wystawienia]])</f>
        <v>0</v>
      </c>
      <c r="K1019" s="2">
        <f>VALUE(SUBSTITUTE(Table14[[#This Row],[Wartość]],".",","))</f>
        <v>25038.52</v>
      </c>
      <c r="L10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19" s="2" t="str">
        <f>IF(Table14[[#This Row],[Umowa]]="","Poza umową","Z umowy")</f>
        <v>Z umowy</v>
      </c>
      <c r="N1019" s="2">
        <f>YEAR(Table14[[#This Row],[Data_Wystawienia]])</f>
        <v>2023</v>
      </c>
      <c r="O1019" s="2" t="str">
        <f>TEXT(Table14[[#This Row],[Data_Wystawienia]],"rrrr-mm")</f>
        <v>2023-01</v>
      </c>
      <c r="P1019" s="2">
        <v>1</v>
      </c>
    </row>
    <row r="1020" spans="1:16" x14ac:dyDescent="0.3">
      <c r="A1020" s="2" t="str">
        <f>TRIM(Table1[[#This Row],[Numer_FV]])</f>
        <v>FV/CENFA/329830/23</v>
      </c>
      <c r="B1020" s="2" t="str">
        <f>TRIM(Table1[[#This Row],[Numer_PZ]])</f>
        <v>PZ/801018</v>
      </c>
      <c r="C1020" s="2" t="str">
        <f>TRIM(Table1[[#This Row],[Dostawca]])</f>
        <v>CentrumFarm</v>
      </c>
      <c r="D1020" s="3">
        <v>44933</v>
      </c>
      <c r="E1020" s="4" t="s">
        <v>3031</v>
      </c>
      <c r="F1020" s="2" t="str">
        <f>TRIM(Table1[[#This Row],[Status]])</f>
        <v>Zaakceptowana</v>
      </c>
      <c r="G1020" s="2" t="str">
        <f>TRIM(Table1[[#This Row],[Typ]])</f>
        <v>Faktura VAT</v>
      </c>
      <c r="H1020" s="2" t="str">
        <f>TRIM(Table1[[#This Row],[Magazyn]])</f>
        <v>Apteka Szpitalna</v>
      </c>
      <c r="I1020" s="2" t="str">
        <f>TRIM(Table1[[#This Row],[Umowa]])</f>
        <v/>
      </c>
      <c r="J1020" s="2" t="b">
        <f>ISTEXT(Table14[[#This Row],[Data_Wystawienia]])</f>
        <v>0</v>
      </c>
      <c r="K1020" s="2">
        <f>VALUE(SUBSTITUTE(Table14[[#This Row],[Wartość]],".",","))</f>
        <v>13661.85</v>
      </c>
      <c r="L10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0" s="2" t="str">
        <f>IF(Table14[[#This Row],[Umowa]]="","Poza umową","Z umowy")</f>
        <v>Poza umową</v>
      </c>
      <c r="N1020" s="2">
        <f>YEAR(Table14[[#This Row],[Data_Wystawienia]])</f>
        <v>2023</v>
      </c>
      <c r="O1020" s="2" t="str">
        <f>TEXT(Table14[[#This Row],[Data_Wystawienia]],"rrrr-mm")</f>
        <v>2023-01</v>
      </c>
      <c r="P1020" s="2">
        <v>1</v>
      </c>
    </row>
    <row r="1021" spans="1:16" x14ac:dyDescent="0.3">
      <c r="A1021" s="2" t="str">
        <f>TRIM(Table1[[#This Row],[Numer_FV]])</f>
        <v>FV/44/PP/5365/23</v>
      </c>
      <c r="B1021" s="2" t="str">
        <f>TRIM(Table1[[#This Row],[Numer_PZ]])</f>
        <v>PZ/801019</v>
      </c>
      <c r="C1021" s="2" t="str">
        <f>TRIM(Table1[[#This Row],[Dostawca]])</f>
        <v>PharmaPlus</v>
      </c>
      <c r="D1021" s="3">
        <v>44933</v>
      </c>
      <c r="E1021" s="4" t="s">
        <v>3034</v>
      </c>
      <c r="F1021" s="2" t="str">
        <f>TRIM(Table1[[#This Row],[Status]])</f>
        <v>Zaakceptowana</v>
      </c>
      <c r="G1021" s="2" t="str">
        <f>TRIM(Table1[[#This Row],[Typ]])</f>
        <v>Faktura VAT</v>
      </c>
      <c r="H1021" s="2" t="str">
        <f>TRIM(Table1[[#This Row],[Magazyn]])</f>
        <v>Apteka Szpitalna</v>
      </c>
      <c r="I1021" s="2" t="str">
        <f>TRIM(Table1[[#This Row],[Umowa]])</f>
        <v>UM-PHA-02</v>
      </c>
      <c r="J1021" s="2" t="b">
        <f>ISTEXT(Table14[[#This Row],[Data_Wystawienia]])</f>
        <v>0</v>
      </c>
      <c r="K1021" s="2">
        <f>VALUE(SUBSTITUTE(Table14[[#This Row],[Wartość]],".",","))</f>
        <v>18092.5</v>
      </c>
      <c r="L10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1" s="2" t="str">
        <f>IF(Table14[[#This Row],[Umowa]]="","Poza umową","Z umowy")</f>
        <v>Z umowy</v>
      </c>
      <c r="N1021" s="2">
        <f>YEAR(Table14[[#This Row],[Data_Wystawienia]])</f>
        <v>2023</v>
      </c>
      <c r="O1021" s="2" t="str">
        <f>TEXT(Table14[[#This Row],[Data_Wystawienia]],"rrrr-mm")</f>
        <v>2023-01</v>
      </c>
      <c r="P1021" s="2">
        <v>1</v>
      </c>
    </row>
    <row r="1022" spans="1:16" x14ac:dyDescent="0.3">
      <c r="A1022" s="2" t="str">
        <f>TRIM(Table1[[#This Row],[Numer_FV]])</f>
        <v>FV/M/3724/P/23</v>
      </c>
      <c r="B1022" s="2" t="str">
        <f>TRIM(Table1[[#This Row],[Numer_PZ]])</f>
        <v>PZ/801020</v>
      </c>
      <c r="C1022" s="2" t="str">
        <f>TRIM(Table1[[#This Row],[Dostawca]])</f>
        <v>MedicaPharm</v>
      </c>
      <c r="D1022" s="3">
        <v>44933</v>
      </c>
      <c r="E1022" s="4" t="s">
        <v>3037</v>
      </c>
      <c r="F1022" s="2" t="str">
        <f>TRIM(Table1[[#This Row],[Status]])</f>
        <v>Zaakceptowana</v>
      </c>
      <c r="G1022" s="2" t="str">
        <f>TRIM(Table1[[#This Row],[Typ]])</f>
        <v>Faktura VAT</v>
      </c>
      <c r="H1022" s="2" t="str">
        <f>TRIM(Table1[[#This Row],[Magazyn]])</f>
        <v>Apteka Szpitalna</v>
      </c>
      <c r="I1022" s="2" t="str">
        <f>TRIM(Table1[[#This Row],[Umowa]])</f>
        <v>UM-MED-01</v>
      </c>
      <c r="J1022" s="2" t="b">
        <f>ISTEXT(Table14[[#This Row],[Data_Wystawienia]])</f>
        <v>0</v>
      </c>
      <c r="K1022" s="2">
        <f>VALUE(SUBSTITUTE(Table14[[#This Row],[Wartość]],".",","))</f>
        <v>12660.58</v>
      </c>
      <c r="L10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2" s="2" t="str">
        <f>IF(Table14[[#This Row],[Umowa]]="","Poza umową","Z umowy")</f>
        <v>Z umowy</v>
      </c>
      <c r="N1022" s="2">
        <f>YEAR(Table14[[#This Row],[Data_Wystawienia]])</f>
        <v>2023</v>
      </c>
      <c r="O1022" s="2" t="str">
        <f>TEXT(Table14[[#This Row],[Data_Wystawienia]],"rrrr-mm")</f>
        <v>2023-01</v>
      </c>
      <c r="P1022" s="2">
        <v>1</v>
      </c>
    </row>
    <row r="1023" spans="1:16" x14ac:dyDescent="0.3">
      <c r="A1023" s="2" t="str">
        <f>TRIM(Table1[[#This Row],[Numer_FV]])</f>
        <v>FV/54/SAL/23</v>
      </c>
      <c r="B1023" s="2" t="str">
        <f>TRIM(Table1[[#This Row],[Numer_PZ]])</f>
        <v>PZ/801021</v>
      </c>
      <c r="C1023" s="2" t="str">
        <f>TRIM(Table1[[#This Row],[Dostawca]])</f>
        <v>SalusHurt</v>
      </c>
      <c r="D1023" s="3">
        <v>44934</v>
      </c>
      <c r="E1023" s="4" t="s">
        <v>3040</v>
      </c>
      <c r="F1023" s="2" t="str">
        <f>TRIM(Table1[[#This Row],[Status]])</f>
        <v>Zaakceptowana</v>
      </c>
      <c r="G1023" s="2" t="str">
        <f>TRIM(Table1[[#This Row],[Typ]])</f>
        <v>Korekta FV</v>
      </c>
      <c r="H1023" s="2" t="str">
        <f>TRIM(Table1[[#This Row],[Magazyn]])</f>
        <v>Apteka Szpitalna</v>
      </c>
      <c r="I1023" s="2" t="str">
        <f>TRIM(Table1[[#This Row],[Umowa]])</f>
        <v>UM-SAL-01</v>
      </c>
      <c r="J1023" s="2" t="b">
        <f>ISTEXT(Table14[[#This Row],[Data_Wystawienia]])</f>
        <v>0</v>
      </c>
      <c r="K1023" s="2">
        <f>VALUE(SUBSTITUTE(Table14[[#This Row],[Wartość]],".",","))</f>
        <v>-1698.41</v>
      </c>
      <c r="L10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3" s="2" t="str">
        <f>IF(Table14[[#This Row],[Umowa]]="","Poza umową","Z umowy")</f>
        <v>Z umowy</v>
      </c>
      <c r="N1023" s="2">
        <f>YEAR(Table14[[#This Row],[Data_Wystawienia]])</f>
        <v>2023</v>
      </c>
      <c r="O1023" s="2" t="str">
        <f>TEXT(Table14[[#This Row],[Data_Wystawienia]],"rrrr-mm")</f>
        <v>2023-01</v>
      </c>
      <c r="P1023" s="2">
        <v>1</v>
      </c>
    </row>
    <row r="1024" spans="1:16" x14ac:dyDescent="0.3">
      <c r="A1024" s="2" t="str">
        <f>TRIM(Table1[[#This Row],[Numer_FV]])</f>
        <v>FV/4229HM/23</v>
      </c>
      <c r="B1024" s="2" t="str">
        <f>TRIM(Table1[[#This Row],[Numer_PZ]])</f>
        <v>PZ/801022</v>
      </c>
      <c r="C1024" s="2" t="str">
        <f>TRIM(Table1[[#This Row],[Dostawca]])</f>
        <v>HurtMedix</v>
      </c>
      <c r="D1024" s="3">
        <v>44934</v>
      </c>
      <c r="E1024" s="4" t="s">
        <v>3043</v>
      </c>
      <c r="F1024" s="2" t="str">
        <f>TRIM(Table1[[#This Row],[Status]])</f>
        <v>Zaakceptowana</v>
      </c>
      <c r="G1024" s="2" t="str">
        <f>TRIM(Table1[[#This Row],[Typ]])</f>
        <v>Faktura VAT</v>
      </c>
      <c r="H1024" s="2" t="str">
        <f>TRIM(Table1[[#This Row],[Magazyn]])</f>
        <v>Apteka Szpitalna</v>
      </c>
      <c r="I1024" s="2" t="str">
        <f>TRIM(Table1[[#This Row],[Umowa]])</f>
        <v/>
      </c>
      <c r="J1024" s="2" t="b">
        <f>ISTEXT(Table14[[#This Row],[Data_Wystawienia]])</f>
        <v>0</v>
      </c>
      <c r="K1024" s="2">
        <f>VALUE(SUBSTITUTE(Table14[[#This Row],[Wartość]],".",","))</f>
        <v>11331.49</v>
      </c>
      <c r="L10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4" s="2" t="str">
        <f>IF(Table14[[#This Row],[Umowa]]="","Poza umową","Z umowy")</f>
        <v>Poza umową</v>
      </c>
      <c r="N1024" s="2">
        <f>YEAR(Table14[[#This Row],[Data_Wystawienia]])</f>
        <v>2023</v>
      </c>
      <c r="O1024" s="2" t="str">
        <f>TEXT(Table14[[#This Row],[Data_Wystawienia]],"rrrr-mm")</f>
        <v>2023-01</v>
      </c>
      <c r="P1024" s="2">
        <v>1</v>
      </c>
    </row>
    <row r="1025" spans="1:16" x14ac:dyDescent="0.3">
      <c r="A1025" s="2" t="str">
        <f>TRIM(Table1[[#This Row],[Numer_FV]])</f>
        <v>FV/CENFA/916020/23</v>
      </c>
      <c r="B1025" s="2" t="str">
        <f>TRIM(Table1[[#This Row],[Numer_PZ]])</f>
        <v>PZ/801023</v>
      </c>
      <c r="C1025" s="2" t="str">
        <f>TRIM(Table1[[#This Row],[Dostawca]])</f>
        <v>CentrumFarm</v>
      </c>
      <c r="D1025" s="3">
        <v>44935</v>
      </c>
      <c r="E1025" s="4" t="s">
        <v>3046</v>
      </c>
      <c r="F1025" s="2" t="str">
        <f>TRIM(Table1[[#This Row],[Status]])</f>
        <v>Zaakceptowana</v>
      </c>
      <c r="G1025" s="2" t="str">
        <f>TRIM(Table1[[#This Row],[Typ]])</f>
        <v>Faktura VAT</v>
      </c>
      <c r="H1025" s="2" t="str">
        <f>TRIM(Table1[[#This Row],[Magazyn]])</f>
        <v>Apteka Szpitalna</v>
      </c>
      <c r="I1025" s="2" t="str">
        <f>TRIM(Table1[[#This Row],[Umowa]])</f>
        <v>UM-CEN-02</v>
      </c>
      <c r="J1025" s="2" t="b">
        <f>ISTEXT(Table14[[#This Row],[Data_Wystawienia]])</f>
        <v>0</v>
      </c>
      <c r="K1025" s="2">
        <f>VALUE(SUBSTITUTE(Table14[[#This Row],[Wartość]],".",","))</f>
        <v>21605.360000000001</v>
      </c>
      <c r="L10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5" s="2" t="str">
        <f>IF(Table14[[#This Row],[Umowa]]="","Poza umową","Z umowy")</f>
        <v>Z umowy</v>
      </c>
      <c r="N1025" s="2">
        <f>YEAR(Table14[[#This Row],[Data_Wystawienia]])</f>
        <v>2023</v>
      </c>
      <c r="O1025" s="2" t="str">
        <f>TEXT(Table14[[#This Row],[Data_Wystawienia]],"rrrr-mm")</f>
        <v>2023-01</v>
      </c>
      <c r="P1025" s="2">
        <v>1</v>
      </c>
    </row>
    <row r="1026" spans="1:16" x14ac:dyDescent="0.3">
      <c r="A1026" s="2" t="str">
        <f>TRIM(Table1[[#This Row],[Numer_FV]])</f>
        <v>FV/POL/28690/2023</v>
      </c>
      <c r="B1026" s="2" t="str">
        <f>TRIM(Table1[[#This Row],[Numer_PZ]])</f>
        <v>PZ/801024</v>
      </c>
      <c r="C1026" s="2" t="str">
        <f>TRIM(Table1[[#This Row],[Dostawca]])</f>
        <v>Polmedica</v>
      </c>
      <c r="D1026" s="3">
        <v>44935</v>
      </c>
      <c r="E1026" s="4" t="s">
        <v>3049</v>
      </c>
      <c r="F1026" s="2" t="str">
        <f>TRIM(Table1[[#This Row],[Status]])</f>
        <v>Zaakceptowana</v>
      </c>
      <c r="G1026" s="2" t="str">
        <f>TRIM(Table1[[#This Row],[Typ]])</f>
        <v>Faktura VAT</v>
      </c>
      <c r="H1026" s="2" t="str">
        <f>TRIM(Table1[[#This Row],[Magazyn]])</f>
        <v>Apteka Szpitalna</v>
      </c>
      <c r="I1026" s="2" t="str">
        <f>TRIM(Table1[[#This Row],[Umowa]])</f>
        <v>UM-POL-01</v>
      </c>
      <c r="J1026" s="2" t="b">
        <f>ISTEXT(Table14[[#This Row],[Data_Wystawienia]])</f>
        <v>0</v>
      </c>
      <c r="K1026" s="2">
        <f>VALUE(SUBSTITUTE(Table14[[#This Row],[Wartość]],".",","))</f>
        <v>20104.509999999998</v>
      </c>
      <c r="L10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6" s="2" t="str">
        <f>IF(Table14[[#This Row],[Umowa]]="","Poza umową","Z umowy")</f>
        <v>Z umowy</v>
      </c>
      <c r="N1026" s="2">
        <f>YEAR(Table14[[#This Row],[Data_Wystawienia]])</f>
        <v>2023</v>
      </c>
      <c r="O1026" s="2" t="str">
        <f>TEXT(Table14[[#This Row],[Data_Wystawienia]],"rrrr-mm")</f>
        <v>2023-01</v>
      </c>
      <c r="P1026" s="2">
        <v>1</v>
      </c>
    </row>
    <row r="1027" spans="1:16" x14ac:dyDescent="0.3">
      <c r="A1027" s="2" t="str">
        <f>TRIM(Table1[[#This Row],[Numer_FV]])</f>
        <v>FV/9325/NOVA/23</v>
      </c>
      <c r="B1027" s="2" t="str">
        <f>TRIM(Table1[[#This Row],[Numer_PZ]])</f>
        <v>PZ/801025</v>
      </c>
      <c r="C1027" s="2" t="str">
        <f>TRIM(Table1[[#This Row],[Dostawca]])</f>
        <v>NovaLek</v>
      </c>
      <c r="D1027" s="3">
        <v>44936</v>
      </c>
      <c r="E1027" s="4" t="s">
        <v>3052</v>
      </c>
      <c r="F1027" s="2" t="str">
        <f>TRIM(Table1[[#This Row],[Status]])</f>
        <v>Zaakceptowana</v>
      </c>
      <c r="G1027" s="2" t="str">
        <f>TRIM(Table1[[#This Row],[Typ]])</f>
        <v>Faktura VAT</v>
      </c>
      <c r="H1027" s="2" t="str">
        <f>TRIM(Table1[[#This Row],[Magazyn]])</f>
        <v>Apteka Szpitalna</v>
      </c>
      <c r="I1027" s="2" t="str">
        <f>TRIM(Table1[[#This Row],[Umowa]])</f>
        <v/>
      </c>
      <c r="J1027" s="2" t="b">
        <f>ISTEXT(Table14[[#This Row],[Data_Wystawienia]])</f>
        <v>0</v>
      </c>
      <c r="K1027" s="2">
        <f>VALUE(SUBSTITUTE(Table14[[#This Row],[Wartość]],".",","))</f>
        <v>17858.45</v>
      </c>
      <c r="L10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7" s="2" t="str">
        <f>IF(Table14[[#This Row],[Umowa]]="","Poza umową","Z umowy")</f>
        <v>Poza umową</v>
      </c>
      <c r="N1027" s="2">
        <f>YEAR(Table14[[#This Row],[Data_Wystawienia]])</f>
        <v>2023</v>
      </c>
      <c r="O1027" s="2" t="str">
        <f>TEXT(Table14[[#This Row],[Data_Wystawienia]],"rrrr-mm")</f>
        <v>2023-01</v>
      </c>
      <c r="P1027" s="2">
        <v>1</v>
      </c>
    </row>
    <row r="1028" spans="1:16" x14ac:dyDescent="0.3">
      <c r="A1028" s="2" t="str">
        <f>TRIM(Table1[[#This Row],[Numer_FV]])</f>
        <v>FV/83/PP/7902/23</v>
      </c>
      <c r="B1028" s="2" t="str">
        <f>TRIM(Table1[[#This Row],[Numer_PZ]])</f>
        <v>PZ/801026</v>
      </c>
      <c r="C1028" s="2" t="str">
        <f>TRIM(Table1[[#This Row],[Dostawca]])</f>
        <v>PharmaPlus</v>
      </c>
      <c r="D1028" s="3">
        <v>44936</v>
      </c>
      <c r="E1028" s="4" t="s">
        <v>3055</v>
      </c>
      <c r="F1028" s="2" t="str">
        <f>TRIM(Table1[[#This Row],[Status]])</f>
        <v>Zaakceptowana</v>
      </c>
      <c r="G1028" s="2" t="str">
        <f>TRIM(Table1[[#This Row],[Typ]])</f>
        <v>Faktura VAT</v>
      </c>
      <c r="H1028" s="2" t="str">
        <f>TRIM(Table1[[#This Row],[Magazyn]])</f>
        <v>Apteka Szpitalna</v>
      </c>
      <c r="I1028" s="2" t="str">
        <f>TRIM(Table1[[#This Row],[Umowa]])</f>
        <v>UM-PHA-02</v>
      </c>
      <c r="J1028" s="2" t="b">
        <f>ISTEXT(Table14[[#This Row],[Data_Wystawienia]])</f>
        <v>0</v>
      </c>
      <c r="K1028" s="2">
        <f>VALUE(SUBSTITUTE(Table14[[#This Row],[Wartość]],".",","))</f>
        <v>13830.91</v>
      </c>
      <c r="L10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8" s="2" t="str">
        <f>IF(Table14[[#This Row],[Umowa]]="","Poza umową","Z umowy")</f>
        <v>Z umowy</v>
      </c>
      <c r="N1028" s="2">
        <f>YEAR(Table14[[#This Row],[Data_Wystawienia]])</f>
        <v>2023</v>
      </c>
      <c r="O1028" s="2" t="str">
        <f>TEXT(Table14[[#This Row],[Data_Wystawienia]],"rrrr-mm")</f>
        <v>2023-01</v>
      </c>
      <c r="P1028" s="2">
        <v>1</v>
      </c>
    </row>
    <row r="1029" spans="1:16" x14ac:dyDescent="0.3">
      <c r="A1029" s="2" t="str">
        <f>TRIM(Table1[[#This Row],[Numer_FV]])</f>
        <v>FV/POL/45386/2023</v>
      </c>
      <c r="B1029" s="2" t="str">
        <f>TRIM(Table1[[#This Row],[Numer_PZ]])</f>
        <v>PZ/801027</v>
      </c>
      <c r="C1029" s="2" t="str">
        <f>TRIM(Table1[[#This Row],[Dostawca]])</f>
        <v>Polmedica</v>
      </c>
      <c r="D1029" s="3">
        <v>44937</v>
      </c>
      <c r="E1029" s="4" t="s">
        <v>3058</v>
      </c>
      <c r="F1029" s="2" t="str">
        <f>TRIM(Table1[[#This Row],[Status]])</f>
        <v>Zaakceptowana</v>
      </c>
      <c r="G1029" s="2" t="str">
        <f>TRIM(Table1[[#This Row],[Typ]])</f>
        <v>Korekta FV</v>
      </c>
      <c r="H1029" s="2" t="str">
        <f>TRIM(Table1[[#This Row],[Magazyn]])</f>
        <v>Apteka Szpitalna</v>
      </c>
      <c r="I1029" s="2" t="str">
        <f>TRIM(Table1[[#This Row],[Umowa]])</f>
        <v/>
      </c>
      <c r="J1029" s="2" t="b">
        <f>ISTEXT(Table14[[#This Row],[Data_Wystawienia]])</f>
        <v>0</v>
      </c>
      <c r="K1029" s="2">
        <f>VALUE(SUBSTITUTE(Table14[[#This Row],[Wartość]],".",","))</f>
        <v>-2426.04</v>
      </c>
      <c r="L10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29" s="2" t="str">
        <f>IF(Table14[[#This Row],[Umowa]]="","Poza umową","Z umowy")</f>
        <v>Poza umową</v>
      </c>
      <c r="N1029" s="2">
        <f>YEAR(Table14[[#This Row],[Data_Wystawienia]])</f>
        <v>2023</v>
      </c>
      <c r="O1029" s="2" t="str">
        <f>TEXT(Table14[[#This Row],[Data_Wystawienia]],"rrrr-mm")</f>
        <v>2023-01</v>
      </c>
      <c r="P1029" s="2">
        <v>1</v>
      </c>
    </row>
    <row r="1030" spans="1:16" x14ac:dyDescent="0.3">
      <c r="A1030" s="2" t="str">
        <f>TRIM(Table1[[#This Row],[Numer_FV]])</f>
        <v>FV/5653HM/23</v>
      </c>
      <c r="B1030" s="2" t="str">
        <f>TRIM(Table1[[#This Row],[Numer_PZ]])</f>
        <v>PZ/801028</v>
      </c>
      <c r="C1030" s="2" t="str">
        <f>TRIM(Table1[[#This Row],[Dostawca]])</f>
        <v>HurtMedix</v>
      </c>
      <c r="D1030" s="3">
        <v>44937</v>
      </c>
      <c r="E1030" s="4" t="s">
        <v>3061</v>
      </c>
      <c r="F1030" s="2" t="str">
        <f>TRIM(Table1[[#This Row],[Status]])</f>
        <v>Zaakceptowana</v>
      </c>
      <c r="G1030" s="2" t="str">
        <f>TRIM(Table1[[#This Row],[Typ]])</f>
        <v>Korekta FV</v>
      </c>
      <c r="H1030" s="2" t="str">
        <f>TRIM(Table1[[#This Row],[Magazyn]])</f>
        <v>Apteka Szpitalna</v>
      </c>
      <c r="I1030" s="2" t="str">
        <f>TRIM(Table1[[#This Row],[Umowa]])</f>
        <v/>
      </c>
      <c r="J1030" s="2" t="b">
        <f>ISTEXT(Table14[[#This Row],[Data_Wystawienia]])</f>
        <v>0</v>
      </c>
      <c r="K1030" s="2">
        <f>VALUE(SUBSTITUTE(Table14[[#This Row],[Wartość]],".",","))</f>
        <v>-1859.67</v>
      </c>
      <c r="L10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0" s="2" t="str">
        <f>IF(Table14[[#This Row],[Umowa]]="","Poza umową","Z umowy")</f>
        <v>Poza umową</v>
      </c>
      <c r="N1030" s="2">
        <f>YEAR(Table14[[#This Row],[Data_Wystawienia]])</f>
        <v>2023</v>
      </c>
      <c r="O1030" s="2" t="str">
        <f>TEXT(Table14[[#This Row],[Data_Wystawienia]],"rrrr-mm")</f>
        <v>2023-01</v>
      </c>
      <c r="P1030" s="2">
        <v>1</v>
      </c>
    </row>
    <row r="1031" spans="1:16" x14ac:dyDescent="0.3">
      <c r="A1031" s="2" t="str">
        <f>TRIM(Table1[[#This Row],[Numer_FV]])</f>
        <v>FV/CENFA/351218/23</v>
      </c>
      <c r="B1031" s="2" t="str">
        <f>TRIM(Table1[[#This Row],[Numer_PZ]])</f>
        <v>PZ/801029</v>
      </c>
      <c r="C1031" s="2" t="str">
        <f>TRIM(Table1[[#This Row],[Dostawca]])</f>
        <v>CentrumFarm</v>
      </c>
      <c r="D1031" s="3">
        <v>44937</v>
      </c>
      <c r="E1031" s="4" t="s">
        <v>3064</v>
      </c>
      <c r="F1031" s="2" t="str">
        <f>TRIM(Table1[[#This Row],[Status]])</f>
        <v>Zaakceptowana</v>
      </c>
      <c r="G1031" s="2" t="str">
        <f>TRIM(Table1[[#This Row],[Typ]])</f>
        <v>Faktura VAT</v>
      </c>
      <c r="H1031" s="2" t="str">
        <f>TRIM(Table1[[#This Row],[Magazyn]])</f>
        <v>Apteka Szpitalna</v>
      </c>
      <c r="I1031" s="2" t="str">
        <f>TRIM(Table1[[#This Row],[Umowa]])</f>
        <v>UM-CEN-02</v>
      </c>
      <c r="J1031" s="2" t="b">
        <f>ISTEXT(Table14[[#This Row],[Data_Wystawienia]])</f>
        <v>0</v>
      </c>
      <c r="K1031" s="2">
        <f>VALUE(SUBSTITUTE(Table14[[#This Row],[Wartość]],".",","))</f>
        <v>9413.6200000000008</v>
      </c>
      <c r="L10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1" s="2" t="str">
        <f>IF(Table14[[#This Row],[Umowa]]="","Poza umową","Z umowy")</f>
        <v>Z umowy</v>
      </c>
      <c r="N1031" s="2">
        <f>YEAR(Table14[[#This Row],[Data_Wystawienia]])</f>
        <v>2023</v>
      </c>
      <c r="O1031" s="2" t="str">
        <f>TEXT(Table14[[#This Row],[Data_Wystawienia]],"rrrr-mm")</f>
        <v>2023-01</v>
      </c>
      <c r="P1031" s="2">
        <v>1</v>
      </c>
    </row>
    <row r="1032" spans="1:16" x14ac:dyDescent="0.3">
      <c r="A1032" s="2" t="str">
        <f>TRIM(Table1[[#This Row],[Numer_FV]])</f>
        <v>FV/4343HM/23</v>
      </c>
      <c r="B1032" s="2" t="str">
        <f>TRIM(Table1[[#This Row],[Numer_PZ]])</f>
        <v>PZ/801030</v>
      </c>
      <c r="C1032" s="2" t="str">
        <f>TRIM(Table1[[#This Row],[Dostawca]])</f>
        <v>HurtMedix</v>
      </c>
      <c r="D1032" s="3">
        <v>44938</v>
      </c>
      <c r="E1032" s="4" t="s">
        <v>3067</v>
      </c>
      <c r="F1032" s="2" t="str">
        <f>TRIM(Table1[[#This Row],[Status]])</f>
        <v>Zaakceptowana</v>
      </c>
      <c r="G1032" s="2" t="str">
        <f>TRIM(Table1[[#This Row],[Typ]])</f>
        <v>Faktura VAT</v>
      </c>
      <c r="H1032" s="2" t="str">
        <f>TRIM(Table1[[#This Row],[Magazyn]])</f>
        <v>Apteka Szpitalna</v>
      </c>
      <c r="I1032" s="2" t="str">
        <f>TRIM(Table1[[#This Row],[Umowa]])</f>
        <v>UM-HUR-01</v>
      </c>
      <c r="J1032" s="2" t="b">
        <f>ISTEXT(Table14[[#This Row],[Data_Wystawienia]])</f>
        <v>0</v>
      </c>
      <c r="K1032" s="2">
        <f>VALUE(SUBSTITUTE(Table14[[#This Row],[Wartość]],".",","))</f>
        <v>14758.86</v>
      </c>
      <c r="L10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2" s="2" t="str">
        <f>IF(Table14[[#This Row],[Umowa]]="","Poza umową","Z umowy")</f>
        <v>Z umowy</v>
      </c>
      <c r="N1032" s="2">
        <f>YEAR(Table14[[#This Row],[Data_Wystawienia]])</f>
        <v>2023</v>
      </c>
      <c r="O1032" s="2" t="str">
        <f>TEXT(Table14[[#This Row],[Data_Wystawienia]],"rrrr-mm")</f>
        <v>2023-01</v>
      </c>
      <c r="P1032" s="2">
        <v>1</v>
      </c>
    </row>
    <row r="1033" spans="1:16" x14ac:dyDescent="0.3">
      <c r="A1033" s="2" t="str">
        <f>TRIM(Table1[[#This Row],[Numer_FV]])</f>
        <v>FV/CENFA/302013/23</v>
      </c>
      <c r="B1033" s="2" t="str">
        <f>TRIM(Table1[[#This Row],[Numer_PZ]])</f>
        <v>PZ/801031</v>
      </c>
      <c r="C1033" s="2" t="str">
        <f>TRIM(Table1[[#This Row],[Dostawca]])</f>
        <v>CentrumFarm</v>
      </c>
      <c r="D1033" s="3">
        <v>44939</v>
      </c>
      <c r="E1033" s="4" t="s">
        <v>3070</v>
      </c>
      <c r="F1033" s="2" t="str">
        <f>TRIM(Table1[[#This Row],[Status]])</f>
        <v>Zaakceptowana</v>
      </c>
      <c r="G1033" s="2" t="str">
        <f>TRIM(Table1[[#This Row],[Typ]])</f>
        <v>Faktura VAT</v>
      </c>
      <c r="H1033" s="2" t="str">
        <f>TRIM(Table1[[#This Row],[Magazyn]])</f>
        <v>Apteka Szpitalna</v>
      </c>
      <c r="I1033" s="2" t="str">
        <f>TRIM(Table1[[#This Row],[Umowa]])</f>
        <v>UM-CEN-01</v>
      </c>
      <c r="J1033" s="2" t="b">
        <f>ISTEXT(Table14[[#This Row],[Data_Wystawienia]])</f>
        <v>0</v>
      </c>
      <c r="K1033" s="2">
        <f>VALUE(SUBSTITUTE(Table14[[#This Row],[Wartość]],".",","))</f>
        <v>18082.55</v>
      </c>
      <c r="L10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3" s="2" t="str">
        <f>IF(Table14[[#This Row],[Umowa]]="","Poza umową","Z umowy")</f>
        <v>Z umowy</v>
      </c>
      <c r="N1033" s="2">
        <f>YEAR(Table14[[#This Row],[Data_Wystawienia]])</f>
        <v>2023</v>
      </c>
      <c r="O1033" s="2" t="str">
        <f>TEXT(Table14[[#This Row],[Data_Wystawienia]],"rrrr-mm")</f>
        <v>2023-01</v>
      </c>
      <c r="P1033" s="2">
        <v>1</v>
      </c>
    </row>
    <row r="1034" spans="1:16" x14ac:dyDescent="0.3">
      <c r="A1034" s="2" t="str">
        <f>TRIM(Table1[[#This Row],[Numer_FV]])</f>
        <v>FV/4230HM/23</v>
      </c>
      <c r="B1034" s="2" t="str">
        <f>TRIM(Table1[[#This Row],[Numer_PZ]])</f>
        <v>PZ/801032</v>
      </c>
      <c r="C1034" s="2" t="str">
        <f>TRIM(Table1[[#This Row],[Dostawca]])</f>
        <v>HurtMedix</v>
      </c>
      <c r="D1034" s="3">
        <v>44939</v>
      </c>
      <c r="E1034" s="4" t="s">
        <v>3073</v>
      </c>
      <c r="F1034" s="2" t="str">
        <f>TRIM(Table1[[#This Row],[Status]])</f>
        <v>Zaakceptowana</v>
      </c>
      <c r="G1034" s="2" t="str">
        <f>TRIM(Table1[[#This Row],[Typ]])</f>
        <v>Faktura VAT</v>
      </c>
      <c r="H1034" s="2" t="str">
        <f>TRIM(Table1[[#This Row],[Magazyn]])</f>
        <v>Apteka Szpitalna</v>
      </c>
      <c r="I1034" s="2" t="str">
        <f>TRIM(Table1[[#This Row],[Umowa]])</f>
        <v>UM-HUR-02</v>
      </c>
      <c r="J1034" s="2" t="b">
        <f>ISTEXT(Table14[[#This Row],[Data_Wystawienia]])</f>
        <v>0</v>
      </c>
      <c r="K1034" s="2">
        <f>VALUE(SUBSTITUTE(Table14[[#This Row],[Wartość]],".",","))</f>
        <v>20228.37</v>
      </c>
      <c r="L10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4" s="2" t="str">
        <f>IF(Table14[[#This Row],[Umowa]]="","Poza umową","Z umowy")</f>
        <v>Z umowy</v>
      </c>
      <c r="N1034" s="2">
        <f>YEAR(Table14[[#This Row],[Data_Wystawienia]])</f>
        <v>2023</v>
      </c>
      <c r="O1034" s="2" t="str">
        <f>TEXT(Table14[[#This Row],[Data_Wystawienia]],"rrrr-mm")</f>
        <v>2023-01</v>
      </c>
      <c r="P1034" s="2">
        <v>1</v>
      </c>
    </row>
    <row r="1035" spans="1:16" x14ac:dyDescent="0.3">
      <c r="A1035" s="2" t="str">
        <f>TRIM(Table1[[#This Row],[Numer_FV]])</f>
        <v>FV/1796HM/23</v>
      </c>
      <c r="B1035" s="2" t="str">
        <f>TRIM(Table1[[#This Row],[Numer_PZ]])</f>
        <v>PZ/801033</v>
      </c>
      <c r="C1035" s="2" t="str">
        <f>TRIM(Table1[[#This Row],[Dostawca]])</f>
        <v>HurtMedix</v>
      </c>
      <c r="D1035" s="3">
        <v>44940</v>
      </c>
      <c r="E1035" s="4" t="s">
        <v>3076</v>
      </c>
      <c r="F1035" s="2" t="str">
        <f>TRIM(Table1[[#This Row],[Status]])</f>
        <v>Zaakceptowana</v>
      </c>
      <c r="G1035" s="2" t="str">
        <f>TRIM(Table1[[#This Row],[Typ]])</f>
        <v>Faktura VAT</v>
      </c>
      <c r="H1035" s="2" t="str">
        <f>TRIM(Table1[[#This Row],[Magazyn]])</f>
        <v>Apteka Szpitalna</v>
      </c>
      <c r="I1035" s="2" t="str">
        <f>TRIM(Table1[[#This Row],[Umowa]])</f>
        <v/>
      </c>
      <c r="J1035" s="2" t="b">
        <f>ISTEXT(Table14[[#This Row],[Data_Wystawienia]])</f>
        <v>0</v>
      </c>
      <c r="K1035" s="2">
        <f>VALUE(SUBSTITUTE(Table14[[#This Row],[Wartość]],".",","))</f>
        <v>29338.32</v>
      </c>
      <c r="L10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5" s="2" t="str">
        <f>IF(Table14[[#This Row],[Umowa]]="","Poza umową","Z umowy")</f>
        <v>Poza umową</v>
      </c>
      <c r="N1035" s="2">
        <f>YEAR(Table14[[#This Row],[Data_Wystawienia]])</f>
        <v>2023</v>
      </c>
      <c r="O1035" s="2" t="str">
        <f>TEXT(Table14[[#This Row],[Data_Wystawienia]],"rrrr-mm")</f>
        <v>2023-01</v>
      </c>
      <c r="P1035" s="2">
        <v>1</v>
      </c>
    </row>
    <row r="1036" spans="1:16" x14ac:dyDescent="0.3">
      <c r="A1036" s="2" t="str">
        <f>TRIM(Table1[[#This Row],[Numer_FV]])</f>
        <v>FV/CENFA/518664/23</v>
      </c>
      <c r="B1036" s="2" t="str">
        <f>TRIM(Table1[[#This Row],[Numer_PZ]])</f>
        <v>PZ/801034</v>
      </c>
      <c r="C1036" s="2" t="str">
        <f>TRIM(Table1[[#This Row],[Dostawca]])</f>
        <v>CentrumFarm</v>
      </c>
      <c r="D1036" s="3">
        <v>44940</v>
      </c>
      <c r="E1036" s="4" t="s">
        <v>3079</v>
      </c>
      <c r="F1036" s="2" t="str">
        <f>TRIM(Table1[[#This Row],[Status]])</f>
        <v>Zaakceptowana</v>
      </c>
      <c r="G1036" s="2" t="str">
        <f>TRIM(Table1[[#This Row],[Typ]])</f>
        <v>Faktura VAT</v>
      </c>
      <c r="H1036" s="2" t="str">
        <f>TRIM(Table1[[#This Row],[Magazyn]])</f>
        <v>Apteka Szpitalna</v>
      </c>
      <c r="I1036" s="2" t="str">
        <f>TRIM(Table1[[#This Row],[Umowa]])</f>
        <v>UM-CEN-02</v>
      </c>
      <c r="J1036" s="2" t="b">
        <f>ISTEXT(Table14[[#This Row],[Data_Wystawienia]])</f>
        <v>0</v>
      </c>
      <c r="K1036" s="2">
        <f>VALUE(SUBSTITUTE(Table14[[#This Row],[Wartość]],".",","))</f>
        <v>15337.85</v>
      </c>
      <c r="L10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6" s="2" t="str">
        <f>IF(Table14[[#This Row],[Umowa]]="","Poza umową","Z umowy")</f>
        <v>Z umowy</v>
      </c>
      <c r="N1036" s="2">
        <f>YEAR(Table14[[#This Row],[Data_Wystawienia]])</f>
        <v>2023</v>
      </c>
      <c r="O1036" s="2" t="str">
        <f>TEXT(Table14[[#This Row],[Data_Wystawienia]],"rrrr-mm")</f>
        <v>2023-01</v>
      </c>
      <c r="P1036" s="2">
        <v>1</v>
      </c>
    </row>
    <row r="1037" spans="1:16" x14ac:dyDescent="0.3">
      <c r="A1037" s="2" t="str">
        <f>TRIM(Table1[[#This Row],[Numer_FV]])</f>
        <v>FV/28/SAL/23</v>
      </c>
      <c r="B1037" s="2" t="str">
        <f>TRIM(Table1[[#This Row],[Numer_PZ]])</f>
        <v>PZ/801035</v>
      </c>
      <c r="C1037" s="2" t="str">
        <f>TRIM(Table1[[#This Row],[Dostawca]])</f>
        <v>SalusHurt</v>
      </c>
      <c r="D1037" s="3">
        <v>44940</v>
      </c>
      <c r="E1037" s="4" t="s">
        <v>3082</v>
      </c>
      <c r="F1037" s="2" t="str">
        <f>TRIM(Table1[[#This Row],[Status]])</f>
        <v>Zaakceptowana</v>
      </c>
      <c r="G1037" s="2" t="str">
        <f>TRIM(Table1[[#This Row],[Typ]])</f>
        <v>Faktura VAT</v>
      </c>
      <c r="H1037" s="2" t="str">
        <f>TRIM(Table1[[#This Row],[Magazyn]])</f>
        <v>Apteka Szpitalna</v>
      </c>
      <c r="I1037" s="2" t="str">
        <f>TRIM(Table1[[#This Row],[Umowa]])</f>
        <v>UM-SAL-01</v>
      </c>
      <c r="J1037" s="2" t="b">
        <f>ISTEXT(Table14[[#This Row],[Data_Wystawienia]])</f>
        <v>0</v>
      </c>
      <c r="K1037" s="2">
        <f>VALUE(SUBSTITUTE(Table14[[#This Row],[Wartość]],".",","))</f>
        <v>11004.78</v>
      </c>
      <c r="L10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7" s="2" t="str">
        <f>IF(Table14[[#This Row],[Umowa]]="","Poza umową","Z umowy")</f>
        <v>Z umowy</v>
      </c>
      <c r="N1037" s="2">
        <f>YEAR(Table14[[#This Row],[Data_Wystawienia]])</f>
        <v>2023</v>
      </c>
      <c r="O1037" s="2" t="str">
        <f>TEXT(Table14[[#This Row],[Data_Wystawienia]],"rrrr-mm")</f>
        <v>2023-01</v>
      </c>
      <c r="P1037" s="2">
        <v>1</v>
      </c>
    </row>
    <row r="1038" spans="1:16" x14ac:dyDescent="0.3">
      <c r="A1038" s="2" t="str">
        <f>TRIM(Table1[[#This Row],[Numer_FV]])</f>
        <v>FV/7546HM/23</v>
      </c>
      <c r="B1038" s="2" t="str">
        <f>TRIM(Table1[[#This Row],[Numer_PZ]])</f>
        <v>PZ/801036</v>
      </c>
      <c r="C1038" s="2" t="str">
        <f>TRIM(Table1[[#This Row],[Dostawca]])</f>
        <v>HurtMedix</v>
      </c>
      <c r="D1038" s="3">
        <v>44940</v>
      </c>
      <c r="E1038" s="4" t="s">
        <v>3085</v>
      </c>
      <c r="F1038" s="2" t="str">
        <f>TRIM(Table1[[#This Row],[Status]])</f>
        <v>Zaakceptowana</v>
      </c>
      <c r="G1038" s="2" t="str">
        <f>TRIM(Table1[[#This Row],[Typ]])</f>
        <v>Faktura VAT</v>
      </c>
      <c r="H1038" s="2" t="str">
        <f>TRIM(Table1[[#This Row],[Magazyn]])</f>
        <v>Apteka Szpitalna</v>
      </c>
      <c r="I1038" s="2" t="str">
        <f>TRIM(Table1[[#This Row],[Umowa]])</f>
        <v>UM-HUR-01</v>
      </c>
      <c r="J1038" s="2" t="b">
        <f>ISTEXT(Table14[[#This Row],[Data_Wystawienia]])</f>
        <v>0</v>
      </c>
      <c r="K1038" s="2">
        <f>VALUE(SUBSTITUTE(Table14[[#This Row],[Wartość]],".",","))</f>
        <v>11542.2</v>
      </c>
      <c r="L10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8" s="2" t="str">
        <f>IF(Table14[[#This Row],[Umowa]]="","Poza umową","Z umowy")</f>
        <v>Z umowy</v>
      </c>
      <c r="N1038" s="2">
        <f>YEAR(Table14[[#This Row],[Data_Wystawienia]])</f>
        <v>2023</v>
      </c>
      <c r="O1038" s="2" t="str">
        <f>TEXT(Table14[[#This Row],[Data_Wystawienia]],"rrrr-mm")</f>
        <v>2023-01</v>
      </c>
      <c r="P1038" s="2">
        <v>1</v>
      </c>
    </row>
    <row r="1039" spans="1:16" x14ac:dyDescent="0.3">
      <c r="A1039" s="2" t="str">
        <f>TRIM(Table1[[#This Row],[Numer_FV]])</f>
        <v>FV/4361/NOVA/23</v>
      </c>
      <c r="B1039" s="2" t="str">
        <f>TRIM(Table1[[#This Row],[Numer_PZ]])</f>
        <v>PZ/801037</v>
      </c>
      <c r="C1039" s="2" t="str">
        <f>TRIM(Table1[[#This Row],[Dostawca]])</f>
        <v>NovaLek</v>
      </c>
      <c r="D1039" s="3">
        <v>44941</v>
      </c>
      <c r="E1039" s="4" t="s">
        <v>3088</v>
      </c>
      <c r="F1039" s="2" t="str">
        <f>TRIM(Table1[[#This Row],[Status]])</f>
        <v>Zaakceptowana</v>
      </c>
      <c r="G1039" s="2" t="str">
        <f>TRIM(Table1[[#This Row],[Typ]])</f>
        <v>Faktura VAT</v>
      </c>
      <c r="H1039" s="2" t="str">
        <f>TRIM(Table1[[#This Row],[Magazyn]])</f>
        <v>Apteka Szpitalna</v>
      </c>
      <c r="I1039" s="2" t="str">
        <f>TRIM(Table1[[#This Row],[Umowa]])</f>
        <v>UM-NOV-03</v>
      </c>
      <c r="J1039" s="2" t="b">
        <f>ISTEXT(Table14[[#This Row],[Data_Wystawienia]])</f>
        <v>0</v>
      </c>
      <c r="K1039" s="2">
        <f>VALUE(SUBSTITUTE(Table14[[#This Row],[Wartość]],".",","))</f>
        <v>18106</v>
      </c>
      <c r="L10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39" s="2" t="str">
        <f>IF(Table14[[#This Row],[Umowa]]="","Poza umową","Z umowy")</f>
        <v>Z umowy</v>
      </c>
      <c r="N1039" s="2">
        <f>YEAR(Table14[[#This Row],[Data_Wystawienia]])</f>
        <v>2023</v>
      </c>
      <c r="O1039" s="2" t="str">
        <f>TEXT(Table14[[#This Row],[Data_Wystawienia]],"rrrr-mm")</f>
        <v>2023-01</v>
      </c>
      <c r="P1039" s="2">
        <v>1</v>
      </c>
    </row>
    <row r="1040" spans="1:16" x14ac:dyDescent="0.3">
      <c r="A1040" s="2" t="str">
        <f>TRIM(Table1[[#This Row],[Numer_FV]])</f>
        <v>FV/POL/54750/2023</v>
      </c>
      <c r="B1040" s="2" t="str">
        <f>TRIM(Table1[[#This Row],[Numer_PZ]])</f>
        <v>PZ/801038</v>
      </c>
      <c r="C1040" s="2" t="str">
        <f>TRIM(Table1[[#This Row],[Dostawca]])</f>
        <v>Polmedica</v>
      </c>
      <c r="D1040" s="3">
        <v>44941</v>
      </c>
      <c r="E1040" s="4" t="s">
        <v>3091</v>
      </c>
      <c r="F1040" s="2" t="str">
        <f>TRIM(Table1[[#This Row],[Status]])</f>
        <v>Zaakceptowana</v>
      </c>
      <c r="G1040" s="2" t="str">
        <f>TRIM(Table1[[#This Row],[Typ]])</f>
        <v>Faktura VAT</v>
      </c>
      <c r="H1040" s="2" t="str">
        <f>TRIM(Table1[[#This Row],[Magazyn]])</f>
        <v>Apteka Szpitalna</v>
      </c>
      <c r="I1040" s="2" t="str">
        <f>TRIM(Table1[[#This Row],[Umowa]])</f>
        <v>UM-POL-03</v>
      </c>
      <c r="J1040" s="2" t="b">
        <f>ISTEXT(Table14[[#This Row],[Data_Wystawienia]])</f>
        <v>0</v>
      </c>
      <c r="K1040" s="2">
        <f>VALUE(SUBSTITUTE(Table14[[#This Row],[Wartość]],".",","))</f>
        <v>9844.4599999999991</v>
      </c>
      <c r="L10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0" s="2" t="str">
        <f>IF(Table14[[#This Row],[Umowa]]="","Poza umową","Z umowy")</f>
        <v>Z umowy</v>
      </c>
      <c r="N1040" s="2">
        <f>YEAR(Table14[[#This Row],[Data_Wystawienia]])</f>
        <v>2023</v>
      </c>
      <c r="O1040" s="2" t="str">
        <f>TEXT(Table14[[#This Row],[Data_Wystawienia]],"rrrr-mm")</f>
        <v>2023-01</v>
      </c>
      <c r="P1040" s="2">
        <v>1</v>
      </c>
    </row>
    <row r="1041" spans="1:16" x14ac:dyDescent="0.3">
      <c r="A1041" s="2" t="str">
        <f>TRIM(Table1[[#This Row],[Numer_FV]])</f>
        <v>FV/59/SAL/23</v>
      </c>
      <c r="B1041" s="2" t="str">
        <f>TRIM(Table1[[#This Row],[Numer_PZ]])</f>
        <v>PZ/801039</v>
      </c>
      <c r="C1041" s="2" t="str">
        <f>TRIM(Table1[[#This Row],[Dostawca]])</f>
        <v>SalusHurt</v>
      </c>
      <c r="D1041" s="3">
        <v>44942</v>
      </c>
      <c r="E1041" s="4" t="s">
        <v>3094</v>
      </c>
      <c r="F1041" s="2" t="str">
        <f>TRIM(Table1[[#This Row],[Status]])</f>
        <v>Zaakceptowana</v>
      </c>
      <c r="G1041" s="2" t="str">
        <f>TRIM(Table1[[#This Row],[Typ]])</f>
        <v>Faktura VAT</v>
      </c>
      <c r="H1041" s="2" t="str">
        <f>TRIM(Table1[[#This Row],[Magazyn]])</f>
        <v>Apteka Szpitalna</v>
      </c>
      <c r="I1041" s="2" t="str">
        <f>TRIM(Table1[[#This Row],[Umowa]])</f>
        <v>UM-SAL-01</v>
      </c>
      <c r="J1041" s="2" t="b">
        <f>ISTEXT(Table14[[#This Row],[Data_Wystawienia]])</f>
        <v>0</v>
      </c>
      <c r="K1041" s="2">
        <f>VALUE(SUBSTITUTE(Table14[[#This Row],[Wartość]],".",","))</f>
        <v>18131</v>
      </c>
      <c r="L10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1" s="2" t="str">
        <f>IF(Table14[[#This Row],[Umowa]]="","Poza umową","Z umowy")</f>
        <v>Z umowy</v>
      </c>
      <c r="N1041" s="2">
        <f>YEAR(Table14[[#This Row],[Data_Wystawienia]])</f>
        <v>2023</v>
      </c>
      <c r="O1041" s="2" t="str">
        <f>TEXT(Table14[[#This Row],[Data_Wystawienia]],"rrrr-mm")</f>
        <v>2023-01</v>
      </c>
      <c r="P1041" s="2">
        <v>1</v>
      </c>
    </row>
    <row r="1042" spans="1:16" x14ac:dyDescent="0.3">
      <c r="A1042" s="2" t="str">
        <f>TRIM(Table1[[#This Row],[Numer_FV]])</f>
        <v>FV/46/PP/9854/23</v>
      </c>
      <c r="B1042" s="2" t="str">
        <f>TRIM(Table1[[#This Row],[Numer_PZ]])</f>
        <v>PZ/801040</v>
      </c>
      <c r="C1042" s="2" t="str">
        <f>TRIM(Table1[[#This Row],[Dostawca]])</f>
        <v>PharmaPlus</v>
      </c>
      <c r="D1042" s="3">
        <v>44943</v>
      </c>
      <c r="E1042" s="4" t="s">
        <v>3097</v>
      </c>
      <c r="F1042" s="2" t="str">
        <f>TRIM(Table1[[#This Row],[Status]])</f>
        <v>Zaakceptowana</v>
      </c>
      <c r="G1042" s="2" t="str">
        <f>TRIM(Table1[[#This Row],[Typ]])</f>
        <v>Faktura VAT</v>
      </c>
      <c r="H1042" s="2" t="str">
        <f>TRIM(Table1[[#This Row],[Magazyn]])</f>
        <v>Apteka Szpitalna</v>
      </c>
      <c r="I1042" s="2" t="str">
        <f>TRIM(Table1[[#This Row],[Umowa]])</f>
        <v>UM-PHA-01</v>
      </c>
      <c r="J1042" s="2" t="b">
        <f>ISTEXT(Table14[[#This Row],[Data_Wystawienia]])</f>
        <v>0</v>
      </c>
      <c r="K1042" s="2">
        <f>VALUE(SUBSTITUTE(Table14[[#This Row],[Wartość]],".",","))</f>
        <v>22030.33</v>
      </c>
      <c r="L10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2" s="2" t="str">
        <f>IF(Table14[[#This Row],[Umowa]]="","Poza umową","Z umowy")</f>
        <v>Z umowy</v>
      </c>
      <c r="N1042" s="2">
        <f>YEAR(Table14[[#This Row],[Data_Wystawienia]])</f>
        <v>2023</v>
      </c>
      <c r="O1042" s="2" t="str">
        <f>TEXT(Table14[[#This Row],[Data_Wystawienia]],"rrrr-mm")</f>
        <v>2023-01</v>
      </c>
      <c r="P1042" s="2">
        <v>1</v>
      </c>
    </row>
    <row r="1043" spans="1:16" x14ac:dyDescent="0.3">
      <c r="A1043" s="2" t="str">
        <f>TRIM(Table1[[#This Row],[Numer_FV]])</f>
        <v>FV/M/1411/P/23</v>
      </c>
      <c r="B1043" s="2" t="str">
        <f>TRIM(Table1[[#This Row],[Numer_PZ]])</f>
        <v>PZ/801041</v>
      </c>
      <c r="C1043" s="2" t="str">
        <f>TRIM(Table1[[#This Row],[Dostawca]])</f>
        <v>MedicaPharm</v>
      </c>
      <c r="D1043" s="3">
        <v>44944</v>
      </c>
      <c r="E1043" s="4" t="s">
        <v>3100</v>
      </c>
      <c r="F1043" s="2" t="str">
        <f>TRIM(Table1[[#This Row],[Status]])</f>
        <v>Zaakceptowana</v>
      </c>
      <c r="G1043" s="2" t="str">
        <f>TRIM(Table1[[#This Row],[Typ]])</f>
        <v>Faktura VAT</v>
      </c>
      <c r="H1043" s="2" t="str">
        <f>TRIM(Table1[[#This Row],[Magazyn]])</f>
        <v>Apteka Szpitalna</v>
      </c>
      <c r="I1043" s="2" t="str">
        <f>TRIM(Table1[[#This Row],[Umowa]])</f>
        <v>UM-MED-02</v>
      </c>
      <c r="J1043" s="2" t="b">
        <f>ISTEXT(Table14[[#This Row],[Data_Wystawienia]])</f>
        <v>0</v>
      </c>
      <c r="K1043" s="2">
        <f>VALUE(SUBSTITUTE(Table14[[#This Row],[Wartość]],".",","))</f>
        <v>14747.95</v>
      </c>
      <c r="L10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3" s="2" t="str">
        <f>IF(Table14[[#This Row],[Umowa]]="","Poza umową","Z umowy")</f>
        <v>Z umowy</v>
      </c>
      <c r="N1043" s="2">
        <f>YEAR(Table14[[#This Row],[Data_Wystawienia]])</f>
        <v>2023</v>
      </c>
      <c r="O1043" s="2" t="str">
        <f>TEXT(Table14[[#This Row],[Data_Wystawienia]],"rrrr-mm")</f>
        <v>2023-01</v>
      </c>
      <c r="P1043" s="2">
        <v>1</v>
      </c>
    </row>
    <row r="1044" spans="1:16" x14ac:dyDescent="0.3">
      <c r="A1044" s="2" t="str">
        <f>TRIM(Table1[[#This Row],[Numer_FV]])</f>
        <v>FV/CENFA/622047/23</v>
      </c>
      <c r="B1044" s="2" t="str">
        <f>TRIM(Table1[[#This Row],[Numer_PZ]])</f>
        <v>PZ/801042</v>
      </c>
      <c r="C1044" s="2" t="str">
        <f>TRIM(Table1[[#This Row],[Dostawca]])</f>
        <v>CentrumFarm</v>
      </c>
      <c r="D1044" s="3">
        <v>44944</v>
      </c>
      <c r="E1044" s="4" t="s">
        <v>3103</v>
      </c>
      <c r="F1044" s="2" t="str">
        <f>TRIM(Table1[[#This Row],[Status]])</f>
        <v>Zaakceptowana</v>
      </c>
      <c r="G1044" s="2" t="str">
        <f>TRIM(Table1[[#This Row],[Typ]])</f>
        <v>Faktura VAT</v>
      </c>
      <c r="H1044" s="2" t="str">
        <f>TRIM(Table1[[#This Row],[Magazyn]])</f>
        <v>Apteka Szpitalna</v>
      </c>
      <c r="I1044" s="2" t="str">
        <f>TRIM(Table1[[#This Row],[Umowa]])</f>
        <v>UM-CEN-01</v>
      </c>
      <c r="J1044" s="2" t="b">
        <f>ISTEXT(Table14[[#This Row],[Data_Wystawienia]])</f>
        <v>0</v>
      </c>
      <c r="K1044" s="2">
        <f>VALUE(SUBSTITUTE(Table14[[#This Row],[Wartość]],".",","))</f>
        <v>9656.48</v>
      </c>
      <c r="L10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4" s="2" t="str">
        <f>IF(Table14[[#This Row],[Umowa]]="","Poza umową","Z umowy")</f>
        <v>Z umowy</v>
      </c>
      <c r="N1044" s="2">
        <f>YEAR(Table14[[#This Row],[Data_Wystawienia]])</f>
        <v>2023</v>
      </c>
      <c r="O1044" s="2" t="str">
        <f>TEXT(Table14[[#This Row],[Data_Wystawienia]],"rrrr-mm")</f>
        <v>2023-01</v>
      </c>
      <c r="P1044" s="2">
        <v>1</v>
      </c>
    </row>
    <row r="1045" spans="1:16" x14ac:dyDescent="0.3">
      <c r="A1045" s="2" t="str">
        <f>TRIM(Table1[[#This Row],[Numer_FV]])</f>
        <v>FV/M/7681/P/23</v>
      </c>
      <c r="B1045" s="2" t="str">
        <f>TRIM(Table1[[#This Row],[Numer_PZ]])</f>
        <v>PZ/801043</v>
      </c>
      <c r="C1045" s="2" t="str">
        <f>TRIM(Table1[[#This Row],[Dostawca]])</f>
        <v>MedicaPharm</v>
      </c>
      <c r="D1045" s="3">
        <v>44945</v>
      </c>
      <c r="E1045" s="4" t="s">
        <v>3106</v>
      </c>
      <c r="F1045" s="2" t="str">
        <f>TRIM(Table1[[#This Row],[Status]])</f>
        <v>Zaakceptowana</v>
      </c>
      <c r="G1045" s="2" t="str">
        <f>TRIM(Table1[[#This Row],[Typ]])</f>
        <v>Faktura VAT</v>
      </c>
      <c r="H1045" s="2" t="str">
        <f>TRIM(Table1[[#This Row],[Magazyn]])</f>
        <v>Apteka Szpitalna</v>
      </c>
      <c r="I1045" s="2" t="str">
        <f>TRIM(Table1[[#This Row],[Umowa]])</f>
        <v>UM-MED-01</v>
      </c>
      <c r="J1045" s="2" t="b">
        <f>ISTEXT(Table14[[#This Row],[Data_Wystawienia]])</f>
        <v>0</v>
      </c>
      <c r="K1045" s="2">
        <f>VALUE(SUBSTITUTE(Table14[[#This Row],[Wartość]],".",","))</f>
        <v>2391.6999999999998</v>
      </c>
      <c r="L10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5" s="2" t="str">
        <f>IF(Table14[[#This Row],[Umowa]]="","Poza umową","Z umowy")</f>
        <v>Z umowy</v>
      </c>
      <c r="N1045" s="2">
        <f>YEAR(Table14[[#This Row],[Data_Wystawienia]])</f>
        <v>2023</v>
      </c>
      <c r="O1045" s="2" t="str">
        <f>TEXT(Table14[[#This Row],[Data_Wystawienia]],"rrrr-mm")</f>
        <v>2023-01</v>
      </c>
      <c r="P1045" s="2">
        <v>1</v>
      </c>
    </row>
    <row r="1046" spans="1:16" x14ac:dyDescent="0.3">
      <c r="A1046" s="2" t="str">
        <f>TRIM(Table1[[#This Row],[Numer_FV]])</f>
        <v>FV/1625HM/23</v>
      </c>
      <c r="B1046" s="2" t="str">
        <f>TRIM(Table1[[#This Row],[Numer_PZ]])</f>
        <v>PZ/801044</v>
      </c>
      <c r="C1046" s="2" t="str">
        <f>TRIM(Table1[[#This Row],[Dostawca]])</f>
        <v>HurtMedix</v>
      </c>
      <c r="D1046" s="3">
        <v>44945</v>
      </c>
      <c r="E1046" s="4" t="s">
        <v>3109</v>
      </c>
      <c r="F1046" s="2" t="str">
        <f>TRIM(Table1[[#This Row],[Status]])</f>
        <v>Zaakceptowana</v>
      </c>
      <c r="G1046" s="2" t="str">
        <f>TRIM(Table1[[#This Row],[Typ]])</f>
        <v>Faktura VAT</v>
      </c>
      <c r="H1046" s="2" t="str">
        <f>TRIM(Table1[[#This Row],[Magazyn]])</f>
        <v>Apteka Szpitalna</v>
      </c>
      <c r="I1046" s="2" t="str">
        <f>TRIM(Table1[[#This Row],[Umowa]])</f>
        <v/>
      </c>
      <c r="J1046" s="2" t="b">
        <f>ISTEXT(Table14[[#This Row],[Data_Wystawienia]])</f>
        <v>0</v>
      </c>
      <c r="K1046" s="2">
        <f>VALUE(SUBSTITUTE(Table14[[#This Row],[Wartość]],".",","))</f>
        <v>28189.88</v>
      </c>
      <c r="L10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6" s="2" t="str">
        <f>IF(Table14[[#This Row],[Umowa]]="","Poza umową","Z umowy")</f>
        <v>Poza umową</v>
      </c>
      <c r="N1046" s="2">
        <f>YEAR(Table14[[#This Row],[Data_Wystawienia]])</f>
        <v>2023</v>
      </c>
      <c r="O1046" s="2" t="str">
        <f>TEXT(Table14[[#This Row],[Data_Wystawienia]],"rrrr-mm")</f>
        <v>2023-01</v>
      </c>
      <c r="P1046" s="2">
        <v>1</v>
      </c>
    </row>
    <row r="1047" spans="1:16" x14ac:dyDescent="0.3">
      <c r="A1047" s="2" t="str">
        <f>TRIM(Table1[[#This Row],[Numer_FV]])</f>
        <v>FV/CENFA/946452/23</v>
      </c>
      <c r="B1047" s="2" t="str">
        <f>TRIM(Table1[[#This Row],[Numer_PZ]])</f>
        <v>PZ/801045</v>
      </c>
      <c r="C1047" s="2" t="str">
        <f>TRIM(Table1[[#This Row],[Dostawca]])</f>
        <v>CentrumFarm</v>
      </c>
      <c r="D1047" s="3">
        <v>44945</v>
      </c>
      <c r="E1047" s="4" t="s">
        <v>3112</v>
      </c>
      <c r="F1047" s="2" t="str">
        <f>TRIM(Table1[[#This Row],[Status]])</f>
        <v>Zaakceptowana</v>
      </c>
      <c r="G1047" s="2" t="str">
        <f>TRIM(Table1[[#This Row],[Typ]])</f>
        <v>Faktura VAT</v>
      </c>
      <c r="H1047" s="2" t="str">
        <f>TRIM(Table1[[#This Row],[Magazyn]])</f>
        <v>Apteka Szpitalna</v>
      </c>
      <c r="I1047" s="2" t="str">
        <f>TRIM(Table1[[#This Row],[Umowa]])</f>
        <v>UM-CEN-01</v>
      </c>
      <c r="J1047" s="2" t="b">
        <f>ISTEXT(Table14[[#This Row],[Data_Wystawienia]])</f>
        <v>0</v>
      </c>
      <c r="K1047" s="2">
        <f>VALUE(SUBSTITUTE(Table14[[#This Row],[Wartość]],".",","))</f>
        <v>17695.509999999998</v>
      </c>
      <c r="L10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7" s="2" t="str">
        <f>IF(Table14[[#This Row],[Umowa]]="","Poza umową","Z umowy")</f>
        <v>Z umowy</v>
      </c>
      <c r="N1047" s="2">
        <f>YEAR(Table14[[#This Row],[Data_Wystawienia]])</f>
        <v>2023</v>
      </c>
      <c r="O1047" s="2" t="str">
        <f>TEXT(Table14[[#This Row],[Data_Wystawienia]],"rrrr-mm")</f>
        <v>2023-01</v>
      </c>
      <c r="P1047" s="2">
        <v>1</v>
      </c>
    </row>
    <row r="1048" spans="1:16" x14ac:dyDescent="0.3">
      <c r="A1048" s="2" t="str">
        <f>TRIM(Table1[[#This Row],[Numer_FV]])</f>
        <v>FV/89/PP/4293/23</v>
      </c>
      <c r="B1048" s="2" t="str">
        <f>TRIM(Table1[[#This Row],[Numer_PZ]])</f>
        <v>PZ/801046</v>
      </c>
      <c r="C1048" s="2" t="str">
        <f>TRIM(Table1[[#This Row],[Dostawca]])</f>
        <v>PharmaPlus</v>
      </c>
      <c r="D1048" s="3">
        <v>44946</v>
      </c>
      <c r="E1048" s="4" t="s">
        <v>3115</v>
      </c>
      <c r="F1048" s="2" t="str">
        <f>TRIM(Table1[[#This Row],[Status]])</f>
        <v>Zaakceptowana</v>
      </c>
      <c r="G1048" s="2" t="str">
        <f>TRIM(Table1[[#This Row],[Typ]])</f>
        <v>Faktura VAT</v>
      </c>
      <c r="H1048" s="2" t="str">
        <f>TRIM(Table1[[#This Row],[Magazyn]])</f>
        <v>Apteka Szpitalna</v>
      </c>
      <c r="I1048" s="2" t="str">
        <f>TRIM(Table1[[#This Row],[Umowa]])</f>
        <v>UM-PHA-02</v>
      </c>
      <c r="J1048" s="2" t="b">
        <f>ISTEXT(Table14[[#This Row],[Data_Wystawienia]])</f>
        <v>0</v>
      </c>
      <c r="K1048" s="2">
        <f>VALUE(SUBSTITUTE(Table14[[#This Row],[Wartość]],".",","))</f>
        <v>14833.18</v>
      </c>
      <c r="L10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8" s="2" t="str">
        <f>IF(Table14[[#This Row],[Umowa]]="","Poza umową","Z umowy")</f>
        <v>Z umowy</v>
      </c>
      <c r="N1048" s="2">
        <f>YEAR(Table14[[#This Row],[Data_Wystawienia]])</f>
        <v>2023</v>
      </c>
      <c r="O1048" s="2" t="str">
        <f>TEXT(Table14[[#This Row],[Data_Wystawienia]],"rrrr-mm")</f>
        <v>2023-01</v>
      </c>
      <c r="P1048" s="2">
        <v>1</v>
      </c>
    </row>
    <row r="1049" spans="1:16" x14ac:dyDescent="0.3">
      <c r="A1049" s="2" t="str">
        <f>TRIM(Table1[[#This Row],[Numer_FV]])</f>
        <v>FV/75789/VDb/2023</v>
      </c>
      <c r="B1049" s="2" t="str">
        <f>TRIM(Table1[[#This Row],[Numer_PZ]])</f>
        <v>PZ/801047</v>
      </c>
      <c r="C1049" s="2" t="str">
        <f>TRIM(Table1[[#This Row],[Dostawca]])</f>
        <v>VitaDistrib</v>
      </c>
      <c r="D1049" s="3">
        <v>44946</v>
      </c>
      <c r="E1049" s="4" t="s">
        <v>3118</v>
      </c>
      <c r="F1049" s="2" t="str">
        <f>TRIM(Table1[[#This Row],[Status]])</f>
        <v>Zaakceptowana</v>
      </c>
      <c r="G1049" s="2" t="str">
        <f>TRIM(Table1[[#This Row],[Typ]])</f>
        <v>Faktura VAT</v>
      </c>
      <c r="H1049" s="2" t="str">
        <f>TRIM(Table1[[#This Row],[Magazyn]])</f>
        <v>Apteka Szpitalna</v>
      </c>
      <c r="I1049" s="2" t="str">
        <f>TRIM(Table1[[#This Row],[Umowa]])</f>
        <v>UM-VIT-01</v>
      </c>
      <c r="J1049" s="2" t="b">
        <f>ISTEXT(Table14[[#This Row],[Data_Wystawienia]])</f>
        <v>0</v>
      </c>
      <c r="K1049" s="2">
        <f>VALUE(SUBSTITUTE(Table14[[#This Row],[Wartość]],".",","))</f>
        <v>17747.169999999998</v>
      </c>
      <c r="L10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49" s="2" t="str">
        <f>IF(Table14[[#This Row],[Umowa]]="","Poza umową","Z umowy")</f>
        <v>Z umowy</v>
      </c>
      <c r="N1049" s="2">
        <f>YEAR(Table14[[#This Row],[Data_Wystawienia]])</f>
        <v>2023</v>
      </c>
      <c r="O1049" s="2" t="str">
        <f>TEXT(Table14[[#This Row],[Data_Wystawienia]],"rrrr-mm")</f>
        <v>2023-01</v>
      </c>
      <c r="P1049" s="2">
        <v>1</v>
      </c>
    </row>
    <row r="1050" spans="1:16" x14ac:dyDescent="0.3">
      <c r="A1050" s="2" t="str">
        <f>TRIM(Table1[[#This Row],[Numer_FV]])</f>
        <v>FV/CENFA/329492/23</v>
      </c>
      <c r="B1050" s="2" t="str">
        <f>TRIM(Table1[[#This Row],[Numer_PZ]])</f>
        <v>PZ/801048</v>
      </c>
      <c r="C1050" s="2" t="str">
        <f>TRIM(Table1[[#This Row],[Dostawca]])</f>
        <v>CentrumFarm</v>
      </c>
      <c r="D1050" s="3">
        <v>44946</v>
      </c>
      <c r="E1050" s="4" t="s">
        <v>3121</v>
      </c>
      <c r="F1050" s="2" t="str">
        <f>TRIM(Table1[[#This Row],[Status]])</f>
        <v>Zaakceptowana</v>
      </c>
      <c r="G1050" s="2" t="str">
        <f>TRIM(Table1[[#This Row],[Typ]])</f>
        <v>Faktura VAT</v>
      </c>
      <c r="H1050" s="2" t="str">
        <f>TRIM(Table1[[#This Row],[Magazyn]])</f>
        <v>Apteka Szpitalna</v>
      </c>
      <c r="I1050" s="2" t="str">
        <f>TRIM(Table1[[#This Row],[Umowa]])</f>
        <v>UM-CEN-02</v>
      </c>
      <c r="J1050" s="2" t="b">
        <f>ISTEXT(Table14[[#This Row],[Data_Wystawienia]])</f>
        <v>0</v>
      </c>
      <c r="K1050" s="2">
        <f>VALUE(SUBSTITUTE(Table14[[#This Row],[Wartość]],".",","))</f>
        <v>15501.98</v>
      </c>
      <c r="L10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0" s="2" t="str">
        <f>IF(Table14[[#This Row],[Umowa]]="","Poza umową","Z umowy")</f>
        <v>Z umowy</v>
      </c>
      <c r="N1050" s="2">
        <f>YEAR(Table14[[#This Row],[Data_Wystawienia]])</f>
        <v>2023</v>
      </c>
      <c r="O1050" s="2" t="str">
        <f>TEXT(Table14[[#This Row],[Data_Wystawienia]],"rrrr-mm")</f>
        <v>2023-01</v>
      </c>
      <c r="P1050" s="2">
        <v>1</v>
      </c>
    </row>
    <row r="1051" spans="1:16" x14ac:dyDescent="0.3">
      <c r="A1051" s="2" t="str">
        <f>TRIM(Table1[[#This Row],[Numer_FV]])</f>
        <v>FV/1337HM/23</v>
      </c>
      <c r="B1051" s="2" t="str">
        <f>TRIM(Table1[[#This Row],[Numer_PZ]])</f>
        <v>PZ/801049</v>
      </c>
      <c r="C1051" s="2" t="str">
        <f>TRIM(Table1[[#This Row],[Dostawca]])</f>
        <v>HurtMedix</v>
      </c>
      <c r="D1051" s="3">
        <v>44947</v>
      </c>
      <c r="E1051" s="4" t="s">
        <v>3124</v>
      </c>
      <c r="F1051" s="2" t="str">
        <f>TRIM(Table1[[#This Row],[Status]])</f>
        <v>Zaakceptowana</v>
      </c>
      <c r="G1051" s="2" t="str">
        <f>TRIM(Table1[[#This Row],[Typ]])</f>
        <v>Faktura VAT</v>
      </c>
      <c r="H1051" s="2" t="str">
        <f>TRIM(Table1[[#This Row],[Magazyn]])</f>
        <v>Apteka Szpitalna</v>
      </c>
      <c r="I1051" s="2" t="str">
        <f>TRIM(Table1[[#This Row],[Umowa]])</f>
        <v>UM-HUR-03</v>
      </c>
      <c r="J1051" s="2" t="b">
        <f>ISTEXT(Table14[[#This Row],[Data_Wystawienia]])</f>
        <v>0</v>
      </c>
      <c r="K1051" s="2">
        <f>VALUE(SUBSTITUTE(Table14[[#This Row],[Wartość]],".",","))</f>
        <v>12820.3</v>
      </c>
      <c r="L10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1" s="2" t="str">
        <f>IF(Table14[[#This Row],[Umowa]]="","Poza umową","Z umowy")</f>
        <v>Z umowy</v>
      </c>
      <c r="N1051" s="2">
        <f>YEAR(Table14[[#This Row],[Data_Wystawienia]])</f>
        <v>2023</v>
      </c>
      <c r="O1051" s="2" t="str">
        <f>TEXT(Table14[[#This Row],[Data_Wystawienia]],"rrrr-mm")</f>
        <v>2023-01</v>
      </c>
      <c r="P1051" s="2">
        <v>1</v>
      </c>
    </row>
    <row r="1052" spans="1:16" x14ac:dyDescent="0.3">
      <c r="A1052" s="2" t="str">
        <f>TRIM(Table1[[#This Row],[Numer_FV]])</f>
        <v>FV/CENFA/751325/23</v>
      </c>
      <c r="B1052" s="2" t="str">
        <f>TRIM(Table1[[#This Row],[Numer_PZ]])</f>
        <v>PZ/801050</v>
      </c>
      <c r="C1052" s="2" t="str">
        <f>TRIM(Table1[[#This Row],[Dostawca]])</f>
        <v>CentrumFarm</v>
      </c>
      <c r="D1052" s="3">
        <v>44947</v>
      </c>
      <c r="E1052" s="4" t="s">
        <v>3127</v>
      </c>
      <c r="F1052" s="2" t="str">
        <f>TRIM(Table1[[#This Row],[Status]])</f>
        <v>Zaakceptowana</v>
      </c>
      <c r="G1052" s="2" t="str">
        <f>TRIM(Table1[[#This Row],[Typ]])</f>
        <v>Faktura VAT</v>
      </c>
      <c r="H1052" s="2" t="str">
        <f>TRIM(Table1[[#This Row],[Magazyn]])</f>
        <v>Apteka Szpitalna</v>
      </c>
      <c r="I1052" s="2" t="str">
        <f>TRIM(Table1[[#This Row],[Umowa]])</f>
        <v>UM-CEN-01</v>
      </c>
      <c r="J1052" s="2" t="b">
        <f>ISTEXT(Table14[[#This Row],[Data_Wystawienia]])</f>
        <v>0</v>
      </c>
      <c r="K1052" s="2">
        <f>VALUE(SUBSTITUTE(Table14[[#This Row],[Wartość]],".",","))</f>
        <v>15154.31</v>
      </c>
      <c r="L10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2" s="2" t="str">
        <f>IF(Table14[[#This Row],[Umowa]]="","Poza umową","Z umowy")</f>
        <v>Z umowy</v>
      </c>
      <c r="N1052" s="2">
        <f>YEAR(Table14[[#This Row],[Data_Wystawienia]])</f>
        <v>2023</v>
      </c>
      <c r="O1052" s="2" t="str">
        <f>TEXT(Table14[[#This Row],[Data_Wystawienia]],"rrrr-mm")</f>
        <v>2023-01</v>
      </c>
      <c r="P1052" s="2">
        <v>1</v>
      </c>
    </row>
    <row r="1053" spans="1:16" x14ac:dyDescent="0.3">
      <c r="A1053" s="2" t="str">
        <f>TRIM(Table1[[#This Row],[Numer_FV]])</f>
        <v>FV/M/2511/P/23</v>
      </c>
      <c r="B1053" s="2" t="str">
        <f>TRIM(Table1[[#This Row],[Numer_PZ]])</f>
        <v>PZ/801051</v>
      </c>
      <c r="C1053" s="2" t="str">
        <f>TRIM(Table1[[#This Row],[Dostawca]])</f>
        <v>MedicaPharm</v>
      </c>
      <c r="D1053" s="3">
        <v>44947</v>
      </c>
      <c r="E1053" s="4" t="s">
        <v>3130</v>
      </c>
      <c r="F1053" s="2" t="str">
        <f>TRIM(Table1[[#This Row],[Status]])</f>
        <v>Zaakceptowana</v>
      </c>
      <c r="G1053" s="2" t="str">
        <f>TRIM(Table1[[#This Row],[Typ]])</f>
        <v>Faktura VAT</v>
      </c>
      <c r="H1053" s="2" t="str">
        <f>TRIM(Table1[[#This Row],[Magazyn]])</f>
        <v>Apteka Szpitalna</v>
      </c>
      <c r="I1053" s="2" t="str">
        <f>TRIM(Table1[[#This Row],[Umowa]])</f>
        <v>UM-MED-01</v>
      </c>
      <c r="J1053" s="2" t="b">
        <f>ISTEXT(Table14[[#This Row],[Data_Wystawienia]])</f>
        <v>0</v>
      </c>
      <c r="K1053" s="2">
        <f>VALUE(SUBSTITUTE(Table14[[#This Row],[Wartość]],".",","))</f>
        <v>16026.21</v>
      </c>
      <c r="L10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3" s="2" t="str">
        <f>IF(Table14[[#This Row],[Umowa]]="","Poza umową","Z umowy")</f>
        <v>Z umowy</v>
      </c>
      <c r="N1053" s="2">
        <f>YEAR(Table14[[#This Row],[Data_Wystawienia]])</f>
        <v>2023</v>
      </c>
      <c r="O1053" s="2" t="str">
        <f>TEXT(Table14[[#This Row],[Data_Wystawienia]],"rrrr-mm")</f>
        <v>2023-01</v>
      </c>
      <c r="P1053" s="2">
        <v>1</v>
      </c>
    </row>
    <row r="1054" spans="1:16" x14ac:dyDescent="0.3">
      <c r="A1054" s="2" t="str">
        <f>TRIM(Table1[[#This Row],[Numer_FV]])</f>
        <v>FV/96/PP/3775/23</v>
      </c>
      <c r="B1054" s="2" t="str">
        <f>TRIM(Table1[[#This Row],[Numer_PZ]])</f>
        <v>PZ/801052</v>
      </c>
      <c r="C1054" s="2" t="str">
        <f>TRIM(Table1[[#This Row],[Dostawca]])</f>
        <v>PharmaPlus</v>
      </c>
      <c r="D1054" s="3">
        <v>44948</v>
      </c>
      <c r="E1054" s="4" t="s">
        <v>3133</v>
      </c>
      <c r="F1054" s="2" t="str">
        <f>TRIM(Table1[[#This Row],[Status]])</f>
        <v>Zaakceptowana</v>
      </c>
      <c r="G1054" s="2" t="str">
        <f>TRIM(Table1[[#This Row],[Typ]])</f>
        <v>Faktura VAT</v>
      </c>
      <c r="H1054" s="2" t="str">
        <f>TRIM(Table1[[#This Row],[Magazyn]])</f>
        <v>Apteka Szpitalna</v>
      </c>
      <c r="I1054" s="2" t="str">
        <f>TRIM(Table1[[#This Row],[Umowa]])</f>
        <v>UM-PHA-02</v>
      </c>
      <c r="J1054" s="2" t="b">
        <f>ISTEXT(Table14[[#This Row],[Data_Wystawienia]])</f>
        <v>0</v>
      </c>
      <c r="K1054" s="2">
        <f>VALUE(SUBSTITUTE(Table14[[#This Row],[Wartość]],".",","))</f>
        <v>16875.419999999998</v>
      </c>
      <c r="L10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4" s="2" t="str">
        <f>IF(Table14[[#This Row],[Umowa]]="","Poza umową","Z umowy")</f>
        <v>Z umowy</v>
      </c>
      <c r="N1054" s="2">
        <f>YEAR(Table14[[#This Row],[Data_Wystawienia]])</f>
        <v>2023</v>
      </c>
      <c r="O1054" s="2" t="str">
        <f>TEXT(Table14[[#This Row],[Data_Wystawienia]],"rrrr-mm")</f>
        <v>2023-01</v>
      </c>
      <c r="P1054" s="2">
        <v>1</v>
      </c>
    </row>
    <row r="1055" spans="1:16" x14ac:dyDescent="0.3">
      <c r="A1055" s="2" t="str">
        <f>TRIM(Table1[[#This Row],[Numer_FV]])</f>
        <v>FV/POL/96880/2023</v>
      </c>
      <c r="B1055" s="2" t="str">
        <f>TRIM(Table1[[#This Row],[Numer_PZ]])</f>
        <v>PZ/801053</v>
      </c>
      <c r="C1055" s="2" t="str">
        <f>TRIM(Table1[[#This Row],[Dostawca]])</f>
        <v>Polmedica</v>
      </c>
      <c r="D1055" s="3">
        <v>44948</v>
      </c>
      <c r="E1055" s="4" t="s">
        <v>3136</v>
      </c>
      <c r="F1055" s="2" t="str">
        <f>TRIM(Table1[[#This Row],[Status]])</f>
        <v>Zaakceptowana</v>
      </c>
      <c r="G1055" s="2" t="str">
        <f>TRIM(Table1[[#This Row],[Typ]])</f>
        <v>Faktura VAT</v>
      </c>
      <c r="H1055" s="2" t="str">
        <f>TRIM(Table1[[#This Row],[Magazyn]])</f>
        <v>Apteka Szpitalna</v>
      </c>
      <c r="I1055" s="2" t="str">
        <f>TRIM(Table1[[#This Row],[Umowa]])</f>
        <v>UM-POL-01</v>
      </c>
      <c r="J1055" s="2" t="b">
        <f>ISTEXT(Table14[[#This Row],[Data_Wystawienia]])</f>
        <v>0</v>
      </c>
      <c r="K1055" s="2">
        <f>VALUE(SUBSTITUTE(Table14[[#This Row],[Wartość]],".",","))</f>
        <v>25060.240000000002</v>
      </c>
      <c r="L10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5" s="2" t="str">
        <f>IF(Table14[[#This Row],[Umowa]]="","Poza umową","Z umowy")</f>
        <v>Z umowy</v>
      </c>
      <c r="N1055" s="2">
        <f>YEAR(Table14[[#This Row],[Data_Wystawienia]])</f>
        <v>2023</v>
      </c>
      <c r="O1055" s="2" t="str">
        <f>TEXT(Table14[[#This Row],[Data_Wystawienia]],"rrrr-mm")</f>
        <v>2023-01</v>
      </c>
      <c r="P1055" s="2">
        <v>1</v>
      </c>
    </row>
    <row r="1056" spans="1:16" x14ac:dyDescent="0.3">
      <c r="A1056" s="2" t="str">
        <f>TRIM(Table1[[#This Row],[Numer_FV]])</f>
        <v>FV/CENFA/607525/23</v>
      </c>
      <c r="B1056" s="2" t="str">
        <f>TRIM(Table1[[#This Row],[Numer_PZ]])</f>
        <v>PZ/801054</v>
      </c>
      <c r="C1056" s="2" t="str">
        <f>TRIM(Table1[[#This Row],[Dostawca]])</f>
        <v>CentrumFarm</v>
      </c>
      <c r="D1056" s="3">
        <v>44949</v>
      </c>
      <c r="E1056" s="4" t="s">
        <v>3139</v>
      </c>
      <c r="F1056" s="2" t="str">
        <f>TRIM(Table1[[#This Row],[Status]])</f>
        <v>Zaakceptowana</v>
      </c>
      <c r="G1056" s="2" t="str">
        <f>TRIM(Table1[[#This Row],[Typ]])</f>
        <v>Faktura VAT</v>
      </c>
      <c r="H1056" s="2" t="str">
        <f>TRIM(Table1[[#This Row],[Magazyn]])</f>
        <v>Apteka Szpitalna</v>
      </c>
      <c r="I1056" s="2" t="str">
        <f>TRIM(Table1[[#This Row],[Umowa]])</f>
        <v>UM-CEN-01</v>
      </c>
      <c r="J1056" s="2" t="b">
        <f>ISTEXT(Table14[[#This Row],[Data_Wystawienia]])</f>
        <v>0</v>
      </c>
      <c r="K1056" s="2">
        <f>VALUE(SUBSTITUTE(Table14[[#This Row],[Wartość]],".",","))</f>
        <v>28321.439999999999</v>
      </c>
      <c r="L10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6" s="2" t="str">
        <f>IF(Table14[[#This Row],[Umowa]]="","Poza umową","Z umowy")</f>
        <v>Z umowy</v>
      </c>
      <c r="N1056" s="2">
        <f>YEAR(Table14[[#This Row],[Data_Wystawienia]])</f>
        <v>2023</v>
      </c>
      <c r="O1056" s="2" t="str">
        <f>TEXT(Table14[[#This Row],[Data_Wystawienia]],"rrrr-mm")</f>
        <v>2023-01</v>
      </c>
      <c r="P1056" s="2">
        <v>1</v>
      </c>
    </row>
    <row r="1057" spans="1:16" x14ac:dyDescent="0.3">
      <c r="A1057" s="2" t="str">
        <f>TRIM(Table1[[#This Row],[Numer_FV]])</f>
        <v>FV/65/PP/5555/23</v>
      </c>
      <c r="B1057" s="2" t="str">
        <f>TRIM(Table1[[#This Row],[Numer_PZ]])</f>
        <v>PZ/801055</v>
      </c>
      <c r="C1057" s="2" t="str">
        <f>TRIM(Table1[[#This Row],[Dostawca]])</f>
        <v>PharmaPlus</v>
      </c>
      <c r="D1057" s="3">
        <v>44949</v>
      </c>
      <c r="E1057" s="4" t="s">
        <v>3142</v>
      </c>
      <c r="F1057" s="2" t="str">
        <f>TRIM(Table1[[#This Row],[Status]])</f>
        <v>Zaakceptowana</v>
      </c>
      <c r="G1057" s="2" t="str">
        <f>TRIM(Table1[[#This Row],[Typ]])</f>
        <v>Faktura VAT</v>
      </c>
      <c r="H1057" s="2" t="str">
        <f>TRIM(Table1[[#This Row],[Magazyn]])</f>
        <v>Apteka Szpitalna</v>
      </c>
      <c r="I1057" s="2" t="str">
        <f>TRIM(Table1[[#This Row],[Umowa]])</f>
        <v>UM-PHA-02</v>
      </c>
      <c r="J1057" s="2" t="b">
        <f>ISTEXT(Table14[[#This Row],[Data_Wystawienia]])</f>
        <v>0</v>
      </c>
      <c r="K1057" s="2">
        <f>VALUE(SUBSTITUTE(Table14[[#This Row],[Wartość]],".",","))</f>
        <v>19813.86</v>
      </c>
      <c r="L10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7" s="2" t="str">
        <f>IF(Table14[[#This Row],[Umowa]]="","Poza umową","Z umowy")</f>
        <v>Z umowy</v>
      </c>
      <c r="N1057" s="2">
        <f>YEAR(Table14[[#This Row],[Data_Wystawienia]])</f>
        <v>2023</v>
      </c>
      <c r="O1057" s="2" t="str">
        <f>TEXT(Table14[[#This Row],[Data_Wystawienia]],"rrrr-mm")</f>
        <v>2023-01</v>
      </c>
      <c r="P1057" s="2">
        <v>1</v>
      </c>
    </row>
    <row r="1058" spans="1:16" x14ac:dyDescent="0.3">
      <c r="A1058" s="2" t="str">
        <f>TRIM(Table1[[#This Row],[Numer_FV]])</f>
        <v>FV/6361HM/23</v>
      </c>
      <c r="B1058" s="2" t="str">
        <f>TRIM(Table1[[#This Row],[Numer_PZ]])</f>
        <v>PZ/801056</v>
      </c>
      <c r="C1058" s="2" t="str">
        <f>TRIM(Table1[[#This Row],[Dostawca]])</f>
        <v>HurtMedix</v>
      </c>
      <c r="D1058" s="3">
        <v>44949</v>
      </c>
      <c r="E1058" s="4" t="s">
        <v>3145</v>
      </c>
      <c r="F1058" s="2" t="str">
        <f>TRIM(Table1[[#This Row],[Status]])</f>
        <v>Zaakceptowana</v>
      </c>
      <c r="G1058" s="2" t="str">
        <f>TRIM(Table1[[#This Row],[Typ]])</f>
        <v>Faktura VAT</v>
      </c>
      <c r="H1058" s="2" t="str">
        <f>TRIM(Table1[[#This Row],[Magazyn]])</f>
        <v>Apteka Szpitalna</v>
      </c>
      <c r="I1058" s="2" t="str">
        <f>TRIM(Table1[[#This Row],[Umowa]])</f>
        <v>UM-HUR-02</v>
      </c>
      <c r="J1058" s="2" t="b">
        <f>ISTEXT(Table14[[#This Row],[Data_Wystawienia]])</f>
        <v>0</v>
      </c>
      <c r="K1058" s="2">
        <f>VALUE(SUBSTITUTE(Table14[[#This Row],[Wartość]],".",","))</f>
        <v>16343.13</v>
      </c>
      <c r="L10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8" s="2" t="str">
        <f>IF(Table14[[#This Row],[Umowa]]="","Poza umową","Z umowy")</f>
        <v>Z umowy</v>
      </c>
      <c r="N1058" s="2">
        <f>YEAR(Table14[[#This Row],[Data_Wystawienia]])</f>
        <v>2023</v>
      </c>
      <c r="O1058" s="2" t="str">
        <f>TEXT(Table14[[#This Row],[Data_Wystawienia]],"rrrr-mm")</f>
        <v>2023-01</v>
      </c>
      <c r="P1058" s="2">
        <v>1</v>
      </c>
    </row>
    <row r="1059" spans="1:16" x14ac:dyDescent="0.3">
      <c r="A1059" s="2" t="str">
        <f>TRIM(Table1[[#This Row],[Numer_FV]])</f>
        <v>FV/M/3661/P/23</v>
      </c>
      <c r="B1059" s="2" t="str">
        <f>TRIM(Table1[[#This Row],[Numer_PZ]])</f>
        <v>PZ/801057</v>
      </c>
      <c r="C1059" s="2" t="str">
        <f>TRIM(Table1[[#This Row],[Dostawca]])</f>
        <v>MedicaPharm</v>
      </c>
      <c r="D1059" s="3">
        <v>44949</v>
      </c>
      <c r="E1059" s="4" t="s">
        <v>3148</v>
      </c>
      <c r="F1059" s="2" t="str">
        <f>TRIM(Table1[[#This Row],[Status]])</f>
        <v>Zaakceptowana</v>
      </c>
      <c r="G1059" s="2" t="str">
        <f>TRIM(Table1[[#This Row],[Typ]])</f>
        <v>Faktura VAT</v>
      </c>
      <c r="H1059" s="2" t="str">
        <f>TRIM(Table1[[#This Row],[Magazyn]])</f>
        <v>Apteka Szpitalna</v>
      </c>
      <c r="I1059" s="2" t="str">
        <f>TRIM(Table1[[#This Row],[Umowa]])</f>
        <v>UM-MED-02</v>
      </c>
      <c r="J1059" s="2" t="b">
        <f>ISTEXT(Table14[[#This Row],[Data_Wystawienia]])</f>
        <v>0</v>
      </c>
      <c r="K1059" s="2">
        <f>VALUE(SUBSTITUTE(Table14[[#This Row],[Wartość]],".",","))</f>
        <v>18953.900000000001</v>
      </c>
      <c r="L10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59" s="2" t="str">
        <f>IF(Table14[[#This Row],[Umowa]]="","Poza umową","Z umowy")</f>
        <v>Z umowy</v>
      </c>
      <c r="N1059" s="2">
        <f>YEAR(Table14[[#This Row],[Data_Wystawienia]])</f>
        <v>2023</v>
      </c>
      <c r="O1059" s="2" t="str">
        <f>TEXT(Table14[[#This Row],[Data_Wystawienia]],"rrrr-mm")</f>
        <v>2023-01</v>
      </c>
      <c r="P1059" s="2">
        <v>1</v>
      </c>
    </row>
    <row r="1060" spans="1:16" x14ac:dyDescent="0.3">
      <c r="A1060" s="2" t="str">
        <f>TRIM(Table1[[#This Row],[Numer_FV]])</f>
        <v>FV/57/PP/6664/23</v>
      </c>
      <c r="B1060" s="2" t="str">
        <f>TRIM(Table1[[#This Row],[Numer_PZ]])</f>
        <v>PZ/801058</v>
      </c>
      <c r="C1060" s="2" t="str">
        <f>TRIM(Table1[[#This Row],[Dostawca]])</f>
        <v>PharmaPlus</v>
      </c>
      <c r="D1060" s="3">
        <v>44951</v>
      </c>
      <c r="E1060" s="4" t="s">
        <v>3151</v>
      </c>
      <c r="F1060" s="2" t="str">
        <f>TRIM(Table1[[#This Row],[Status]])</f>
        <v>Zaakceptowana</v>
      </c>
      <c r="G1060" s="2" t="str">
        <f>TRIM(Table1[[#This Row],[Typ]])</f>
        <v>Korekta FV</v>
      </c>
      <c r="H1060" s="2" t="str">
        <f>TRIM(Table1[[#This Row],[Magazyn]])</f>
        <v>Apteka Szpitalna</v>
      </c>
      <c r="I1060" s="2" t="str">
        <f>TRIM(Table1[[#This Row],[Umowa]])</f>
        <v/>
      </c>
      <c r="J1060" s="2" t="b">
        <f>ISTEXT(Table14[[#This Row],[Data_Wystawienia]])</f>
        <v>0</v>
      </c>
      <c r="K1060" s="2">
        <f>VALUE(SUBSTITUTE(Table14[[#This Row],[Wartość]],".",","))</f>
        <v>-1731.33</v>
      </c>
      <c r="L10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0" s="2" t="str">
        <f>IF(Table14[[#This Row],[Umowa]]="","Poza umową","Z umowy")</f>
        <v>Poza umową</v>
      </c>
      <c r="N1060" s="2">
        <f>YEAR(Table14[[#This Row],[Data_Wystawienia]])</f>
        <v>2023</v>
      </c>
      <c r="O1060" s="2" t="str">
        <f>TEXT(Table14[[#This Row],[Data_Wystawienia]],"rrrr-mm")</f>
        <v>2023-01</v>
      </c>
      <c r="P1060" s="2">
        <v>1</v>
      </c>
    </row>
    <row r="1061" spans="1:16" x14ac:dyDescent="0.3">
      <c r="A1061" s="2" t="str">
        <f>TRIM(Table1[[#This Row],[Numer_FV]])</f>
        <v>FV/3434HM/23</v>
      </c>
      <c r="B1061" s="2" t="str">
        <f>TRIM(Table1[[#This Row],[Numer_PZ]])</f>
        <v>PZ/801059</v>
      </c>
      <c r="C1061" s="2" t="str">
        <f>TRIM(Table1[[#This Row],[Dostawca]])</f>
        <v>HurtMedix</v>
      </c>
      <c r="D1061" s="3">
        <v>44951</v>
      </c>
      <c r="E1061" s="4" t="s">
        <v>3154</v>
      </c>
      <c r="F1061" s="2" t="str">
        <f>TRIM(Table1[[#This Row],[Status]])</f>
        <v>Zaakceptowana</v>
      </c>
      <c r="G1061" s="2" t="str">
        <f>TRIM(Table1[[#This Row],[Typ]])</f>
        <v>Faktura VAT</v>
      </c>
      <c r="H1061" s="2" t="str">
        <f>TRIM(Table1[[#This Row],[Magazyn]])</f>
        <v>Apteka Szpitalna</v>
      </c>
      <c r="I1061" s="2" t="str">
        <f>TRIM(Table1[[#This Row],[Umowa]])</f>
        <v>UM-HUR-02</v>
      </c>
      <c r="J1061" s="2" t="b">
        <f>ISTEXT(Table14[[#This Row],[Data_Wystawienia]])</f>
        <v>0</v>
      </c>
      <c r="K1061" s="2">
        <f>VALUE(SUBSTITUTE(Table14[[#This Row],[Wartość]],".",","))</f>
        <v>12382.93</v>
      </c>
      <c r="L10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1" s="2" t="str">
        <f>IF(Table14[[#This Row],[Umowa]]="","Poza umową","Z umowy")</f>
        <v>Z umowy</v>
      </c>
      <c r="N1061" s="2">
        <f>YEAR(Table14[[#This Row],[Data_Wystawienia]])</f>
        <v>2023</v>
      </c>
      <c r="O1061" s="2" t="str">
        <f>TEXT(Table14[[#This Row],[Data_Wystawienia]],"rrrr-mm")</f>
        <v>2023-01</v>
      </c>
      <c r="P1061" s="2">
        <v>1</v>
      </c>
    </row>
    <row r="1062" spans="1:16" x14ac:dyDescent="0.3">
      <c r="A1062" s="2" t="str">
        <f>TRIM(Table1[[#This Row],[Numer_FV]])</f>
        <v>FV/44/PP/9789/23</v>
      </c>
      <c r="B1062" s="2" t="str">
        <f>TRIM(Table1[[#This Row],[Numer_PZ]])</f>
        <v>PZ/801060</v>
      </c>
      <c r="C1062" s="2" t="str">
        <f>TRIM(Table1[[#This Row],[Dostawca]])</f>
        <v>PharmaPlus</v>
      </c>
      <c r="D1062" s="3">
        <v>44951</v>
      </c>
      <c r="E1062" s="4" t="s">
        <v>3157</v>
      </c>
      <c r="F1062" s="2" t="str">
        <f>TRIM(Table1[[#This Row],[Status]])</f>
        <v>Zaakceptowana</v>
      </c>
      <c r="G1062" s="2" t="str">
        <f>TRIM(Table1[[#This Row],[Typ]])</f>
        <v>Faktura VAT</v>
      </c>
      <c r="H1062" s="2" t="str">
        <f>TRIM(Table1[[#This Row],[Magazyn]])</f>
        <v>Apteka Szpitalna</v>
      </c>
      <c r="I1062" s="2" t="str">
        <f>TRIM(Table1[[#This Row],[Umowa]])</f>
        <v>UM-PHA-02</v>
      </c>
      <c r="J1062" s="2" t="b">
        <f>ISTEXT(Table14[[#This Row],[Data_Wystawienia]])</f>
        <v>0</v>
      </c>
      <c r="K1062" s="2">
        <f>VALUE(SUBSTITUTE(Table14[[#This Row],[Wartość]],".",","))</f>
        <v>10407.1</v>
      </c>
      <c r="L10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2" s="2" t="str">
        <f>IF(Table14[[#This Row],[Umowa]]="","Poza umową","Z umowy")</f>
        <v>Z umowy</v>
      </c>
      <c r="N1062" s="2">
        <f>YEAR(Table14[[#This Row],[Data_Wystawienia]])</f>
        <v>2023</v>
      </c>
      <c r="O1062" s="2" t="str">
        <f>TEXT(Table14[[#This Row],[Data_Wystawienia]],"rrrr-mm")</f>
        <v>2023-01</v>
      </c>
      <c r="P1062" s="2">
        <v>1</v>
      </c>
    </row>
    <row r="1063" spans="1:16" x14ac:dyDescent="0.3">
      <c r="A1063" s="2" t="str">
        <f>TRIM(Table1[[#This Row],[Numer_FV]])</f>
        <v>FV/37/SAL/23</v>
      </c>
      <c r="B1063" s="2" t="str">
        <f>TRIM(Table1[[#This Row],[Numer_PZ]])</f>
        <v>PZ/801061</v>
      </c>
      <c r="C1063" s="2" t="str">
        <f>TRIM(Table1[[#This Row],[Dostawca]])</f>
        <v>SalusHurt</v>
      </c>
      <c r="D1063" s="3">
        <v>44951</v>
      </c>
      <c r="E1063" s="4" t="s">
        <v>3160</v>
      </c>
      <c r="F1063" s="2" t="str">
        <f>TRIM(Table1[[#This Row],[Status]])</f>
        <v>Zaakceptowana</v>
      </c>
      <c r="G1063" s="2" t="str">
        <f>TRIM(Table1[[#This Row],[Typ]])</f>
        <v>Faktura VAT</v>
      </c>
      <c r="H1063" s="2" t="str">
        <f>TRIM(Table1[[#This Row],[Magazyn]])</f>
        <v>Apteka Szpitalna</v>
      </c>
      <c r="I1063" s="2" t="str">
        <f>TRIM(Table1[[#This Row],[Umowa]])</f>
        <v>UM-SAL-01</v>
      </c>
      <c r="J1063" s="2" t="b">
        <f>ISTEXT(Table14[[#This Row],[Data_Wystawienia]])</f>
        <v>0</v>
      </c>
      <c r="K1063" s="2">
        <f>VALUE(SUBSTITUTE(Table14[[#This Row],[Wartość]],".",","))</f>
        <v>18389.09</v>
      </c>
      <c r="L10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3" s="2" t="str">
        <f>IF(Table14[[#This Row],[Umowa]]="","Poza umową","Z umowy")</f>
        <v>Z umowy</v>
      </c>
      <c r="N1063" s="2">
        <f>YEAR(Table14[[#This Row],[Data_Wystawienia]])</f>
        <v>2023</v>
      </c>
      <c r="O1063" s="2" t="str">
        <f>TEXT(Table14[[#This Row],[Data_Wystawienia]],"rrrr-mm")</f>
        <v>2023-01</v>
      </c>
      <c r="P1063" s="2">
        <v>1</v>
      </c>
    </row>
    <row r="1064" spans="1:16" x14ac:dyDescent="0.3">
      <c r="A1064" s="2" t="str">
        <f>TRIM(Table1[[#This Row],[Numer_FV]])</f>
        <v>FV/42062/VDb/2023</v>
      </c>
      <c r="B1064" s="2" t="str">
        <f>TRIM(Table1[[#This Row],[Numer_PZ]])</f>
        <v>PZ/801062</v>
      </c>
      <c r="C1064" s="2" t="str">
        <f>TRIM(Table1[[#This Row],[Dostawca]])</f>
        <v>VitaDistrib</v>
      </c>
      <c r="D1064" s="3">
        <v>44952</v>
      </c>
      <c r="E1064" s="4" t="s">
        <v>3163</v>
      </c>
      <c r="F1064" s="2" t="str">
        <f>TRIM(Table1[[#This Row],[Status]])</f>
        <v>Zaakceptowana</v>
      </c>
      <c r="G1064" s="2" t="str">
        <f>TRIM(Table1[[#This Row],[Typ]])</f>
        <v>Faktura VAT</v>
      </c>
      <c r="H1064" s="2" t="str">
        <f>TRIM(Table1[[#This Row],[Magazyn]])</f>
        <v>Apteka Szpitalna</v>
      </c>
      <c r="I1064" s="2" t="str">
        <f>TRIM(Table1[[#This Row],[Umowa]])</f>
        <v>UM-VIT-01</v>
      </c>
      <c r="J1064" s="2" t="b">
        <f>ISTEXT(Table14[[#This Row],[Data_Wystawienia]])</f>
        <v>0</v>
      </c>
      <c r="K1064" s="2">
        <f>VALUE(SUBSTITUTE(Table14[[#This Row],[Wartość]],".",","))</f>
        <v>16107.35</v>
      </c>
      <c r="L10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4" s="2" t="str">
        <f>IF(Table14[[#This Row],[Umowa]]="","Poza umową","Z umowy")</f>
        <v>Z umowy</v>
      </c>
      <c r="N1064" s="2">
        <f>YEAR(Table14[[#This Row],[Data_Wystawienia]])</f>
        <v>2023</v>
      </c>
      <c r="O1064" s="2" t="str">
        <f>TEXT(Table14[[#This Row],[Data_Wystawienia]],"rrrr-mm")</f>
        <v>2023-01</v>
      </c>
      <c r="P1064" s="2">
        <v>1</v>
      </c>
    </row>
    <row r="1065" spans="1:16" x14ac:dyDescent="0.3">
      <c r="A1065" s="2" t="str">
        <f>TRIM(Table1[[#This Row],[Numer_FV]])</f>
        <v>FV/95/PP/9229/23</v>
      </c>
      <c r="B1065" s="2" t="str">
        <f>TRIM(Table1[[#This Row],[Numer_PZ]])</f>
        <v>PZ/801063</v>
      </c>
      <c r="C1065" s="2" t="str">
        <f>TRIM(Table1[[#This Row],[Dostawca]])</f>
        <v>PharmaPlus</v>
      </c>
      <c r="D1065" s="3">
        <v>44952</v>
      </c>
      <c r="E1065" s="4" t="s">
        <v>3166</v>
      </c>
      <c r="F1065" s="2" t="str">
        <f>TRIM(Table1[[#This Row],[Status]])</f>
        <v>Zaakceptowana</v>
      </c>
      <c r="G1065" s="2" t="str">
        <f>TRIM(Table1[[#This Row],[Typ]])</f>
        <v>Faktura VAT</v>
      </c>
      <c r="H1065" s="2" t="str">
        <f>TRIM(Table1[[#This Row],[Magazyn]])</f>
        <v>Apteka Szpitalna</v>
      </c>
      <c r="I1065" s="2" t="str">
        <f>TRIM(Table1[[#This Row],[Umowa]])</f>
        <v>UM-PHA-01</v>
      </c>
      <c r="J1065" s="2" t="b">
        <f>ISTEXT(Table14[[#This Row],[Data_Wystawienia]])</f>
        <v>0</v>
      </c>
      <c r="K1065" s="2">
        <f>VALUE(SUBSTITUTE(Table14[[#This Row],[Wartość]],".",","))</f>
        <v>6219.75</v>
      </c>
      <c r="L10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5" s="2" t="str">
        <f>IF(Table14[[#This Row],[Umowa]]="","Poza umową","Z umowy")</f>
        <v>Z umowy</v>
      </c>
      <c r="N1065" s="2">
        <f>YEAR(Table14[[#This Row],[Data_Wystawienia]])</f>
        <v>2023</v>
      </c>
      <c r="O1065" s="2" t="str">
        <f>TEXT(Table14[[#This Row],[Data_Wystawienia]],"rrrr-mm")</f>
        <v>2023-01</v>
      </c>
      <c r="P1065" s="2">
        <v>1</v>
      </c>
    </row>
    <row r="1066" spans="1:16" x14ac:dyDescent="0.3">
      <c r="A1066" s="2" t="str">
        <f>TRIM(Table1[[#This Row],[Numer_FV]])</f>
        <v>FV/46/SAL/23</v>
      </c>
      <c r="B1066" s="2" t="str">
        <f>TRIM(Table1[[#This Row],[Numer_PZ]])</f>
        <v>PZ/801064</v>
      </c>
      <c r="C1066" s="2" t="str">
        <f>TRIM(Table1[[#This Row],[Dostawca]])</f>
        <v>SalusHurt</v>
      </c>
      <c r="D1066" s="3">
        <v>44952</v>
      </c>
      <c r="E1066" s="4" t="s">
        <v>3169</v>
      </c>
      <c r="F1066" s="2" t="str">
        <f>TRIM(Table1[[#This Row],[Status]])</f>
        <v>Zaakceptowana</v>
      </c>
      <c r="G1066" s="2" t="str">
        <f>TRIM(Table1[[#This Row],[Typ]])</f>
        <v>Faktura VAT</v>
      </c>
      <c r="H1066" s="2" t="str">
        <f>TRIM(Table1[[#This Row],[Magazyn]])</f>
        <v>Apteka Szpitalna</v>
      </c>
      <c r="I1066" s="2" t="str">
        <f>TRIM(Table1[[#This Row],[Umowa]])</f>
        <v/>
      </c>
      <c r="J1066" s="2" t="b">
        <f>ISTEXT(Table14[[#This Row],[Data_Wystawienia]])</f>
        <v>0</v>
      </c>
      <c r="K1066" s="2">
        <f>VALUE(SUBSTITUTE(Table14[[#This Row],[Wartość]],".",","))</f>
        <v>11800.46</v>
      </c>
      <c r="L10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6" s="2" t="str">
        <f>IF(Table14[[#This Row],[Umowa]]="","Poza umową","Z umowy")</f>
        <v>Poza umową</v>
      </c>
      <c r="N1066" s="2">
        <f>YEAR(Table14[[#This Row],[Data_Wystawienia]])</f>
        <v>2023</v>
      </c>
      <c r="O1066" s="2" t="str">
        <f>TEXT(Table14[[#This Row],[Data_Wystawienia]],"rrrr-mm")</f>
        <v>2023-01</v>
      </c>
      <c r="P1066" s="2">
        <v>1</v>
      </c>
    </row>
    <row r="1067" spans="1:16" x14ac:dyDescent="0.3">
      <c r="A1067" s="2" t="str">
        <f>TRIM(Table1[[#This Row],[Numer_FV]])</f>
        <v>FV/M/5059/P/23</v>
      </c>
      <c r="B1067" s="2" t="str">
        <f>TRIM(Table1[[#This Row],[Numer_PZ]])</f>
        <v>PZ/801065</v>
      </c>
      <c r="C1067" s="2" t="str">
        <f>TRIM(Table1[[#This Row],[Dostawca]])</f>
        <v>MedicaPharm</v>
      </c>
      <c r="D1067" s="3">
        <v>44952</v>
      </c>
      <c r="E1067" s="4" t="s">
        <v>3172</v>
      </c>
      <c r="F1067" s="2" t="str">
        <f>TRIM(Table1[[#This Row],[Status]])</f>
        <v>Zaakceptowana</v>
      </c>
      <c r="G1067" s="2" t="str">
        <f>TRIM(Table1[[#This Row],[Typ]])</f>
        <v>Faktura VAT</v>
      </c>
      <c r="H1067" s="2" t="str">
        <f>TRIM(Table1[[#This Row],[Magazyn]])</f>
        <v>Apteka Szpitalna</v>
      </c>
      <c r="I1067" s="2" t="str">
        <f>TRIM(Table1[[#This Row],[Umowa]])</f>
        <v>UM-MED-02</v>
      </c>
      <c r="J1067" s="2" t="b">
        <f>ISTEXT(Table14[[#This Row],[Data_Wystawienia]])</f>
        <v>0</v>
      </c>
      <c r="K1067" s="2">
        <f>VALUE(SUBSTITUTE(Table14[[#This Row],[Wartość]],".",","))</f>
        <v>12726.46</v>
      </c>
      <c r="L10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7" s="2" t="str">
        <f>IF(Table14[[#This Row],[Umowa]]="","Poza umową","Z umowy")</f>
        <v>Z umowy</v>
      </c>
      <c r="N1067" s="2">
        <f>YEAR(Table14[[#This Row],[Data_Wystawienia]])</f>
        <v>2023</v>
      </c>
      <c r="O1067" s="2" t="str">
        <f>TEXT(Table14[[#This Row],[Data_Wystawienia]],"rrrr-mm")</f>
        <v>2023-01</v>
      </c>
      <c r="P1067" s="2">
        <v>1</v>
      </c>
    </row>
    <row r="1068" spans="1:16" x14ac:dyDescent="0.3">
      <c r="A1068" s="2" t="str">
        <f>TRIM(Table1[[#This Row],[Numer_FV]])</f>
        <v>FV/72682/VDb/2023</v>
      </c>
      <c r="B1068" s="2" t="str">
        <f>TRIM(Table1[[#This Row],[Numer_PZ]])</f>
        <v>PZ/801066</v>
      </c>
      <c r="C1068" s="2" t="str">
        <f>TRIM(Table1[[#This Row],[Dostawca]])</f>
        <v>VitaDistrib</v>
      </c>
      <c r="D1068" s="3">
        <v>44953</v>
      </c>
      <c r="E1068" s="4" t="s">
        <v>3175</v>
      </c>
      <c r="F1068" s="2" t="str">
        <f>TRIM(Table1[[#This Row],[Status]])</f>
        <v>Zaakceptowana</v>
      </c>
      <c r="G1068" s="2" t="str">
        <f>TRIM(Table1[[#This Row],[Typ]])</f>
        <v>Faktura VAT</v>
      </c>
      <c r="H1068" s="2" t="str">
        <f>TRIM(Table1[[#This Row],[Magazyn]])</f>
        <v>Apteka Szpitalna</v>
      </c>
      <c r="I1068" s="2" t="str">
        <f>TRIM(Table1[[#This Row],[Umowa]])</f>
        <v>UM-VIT-01</v>
      </c>
      <c r="J1068" s="2" t="b">
        <f>ISTEXT(Table14[[#This Row],[Data_Wystawienia]])</f>
        <v>0</v>
      </c>
      <c r="K1068" s="2">
        <f>VALUE(SUBSTITUTE(Table14[[#This Row],[Wartość]],".",","))</f>
        <v>18423.95</v>
      </c>
      <c r="L10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8" s="2" t="str">
        <f>IF(Table14[[#This Row],[Umowa]]="","Poza umową","Z umowy")</f>
        <v>Z umowy</v>
      </c>
      <c r="N1068" s="2">
        <f>YEAR(Table14[[#This Row],[Data_Wystawienia]])</f>
        <v>2023</v>
      </c>
      <c r="O1068" s="2" t="str">
        <f>TEXT(Table14[[#This Row],[Data_Wystawienia]],"rrrr-mm")</f>
        <v>2023-01</v>
      </c>
      <c r="P1068" s="2">
        <v>1</v>
      </c>
    </row>
    <row r="1069" spans="1:16" x14ac:dyDescent="0.3">
      <c r="A1069" s="2" t="str">
        <f>TRIM(Table1[[#This Row],[Numer_FV]])</f>
        <v>FV/11801/VDb/2023</v>
      </c>
      <c r="B1069" s="2" t="str">
        <f>TRIM(Table1[[#This Row],[Numer_PZ]])</f>
        <v>PZ/801067</v>
      </c>
      <c r="C1069" s="2" t="str">
        <f>TRIM(Table1[[#This Row],[Dostawca]])</f>
        <v>VitaDistrib</v>
      </c>
      <c r="D1069" s="3">
        <v>44953</v>
      </c>
      <c r="E1069" s="4" t="s">
        <v>3178</v>
      </c>
      <c r="F1069" s="2" t="str">
        <f>TRIM(Table1[[#This Row],[Status]])</f>
        <v>Zaakceptowana</v>
      </c>
      <c r="G1069" s="2" t="str">
        <f>TRIM(Table1[[#This Row],[Typ]])</f>
        <v>Faktura VAT</v>
      </c>
      <c r="H1069" s="2" t="str">
        <f>TRIM(Table1[[#This Row],[Magazyn]])</f>
        <v>Apteka Szpitalna</v>
      </c>
      <c r="I1069" s="2" t="str">
        <f>TRIM(Table1[[#This Row],[Umowa]])</f>
        <v>UM-VIT-01</v>
      </c>
      <c r="J1069" s="2" t="b">
        <f>ISTEXT(Table14[[#This Row],[Data_Wystawienia]])</f>
        <v>0</v>
      </c>
      <c r="K1069" s="2">
        <f>VALUE(SUBSTITUTE(Table14[[#This Row],[Wartość]],".",","))</f>
        <v>23630.68</v>
      </c>
      <c r="L10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69" s="2" t="str">
        <f>IF(Table14[[#This Row],[Umowa]]="","Poza umową","Z umowy")</f>
        <v>Z umowy</v>
      </c>
      <c r="N1069" s="2">
        <f>YEAR(Table14[[#This Row],[Data_Wystawienia]])</f>
        <v>2023</v>
      </c>
      <c r="O1069" s="2" t="str">
        <f>TEXT(Table14[[#This Row],[Data_Wystawienia]],"rrrr-mm")</f>
        <v>2023-01</v>
      </c>
      <c r="P1069" s="2">
        <v>1</v>
      </c>
    </row>
    <row r="1070" spans="1:16" x14ac:dyDescent="0.3">
      <c r="A1070" s="2" t="str">
        <f>TRIM(Table1[[#This Row],[Numer_FV]])</f>
        <v>FV/3388HM/23</v>
      </c>
      <c r="B1070" s="2" t="str">
        <f>TRIM(Table1[[#This Row],[Numer_PZ]])</f>
        <v>PZ/801068</v>
      </c>
      <c r="C1070" s="2" t="str">
        <f>TRIM(Table1[[#This Row],[Dostawca]])</f>
        <v>HurtMedix</v>
      </c>
      <c r="D1070" s="3">
        <v>44954</v>
      </c>
      <c r="E1070" s="4" t="s">
        <v>3181</v>
      </c>
      <c r="F1070" s="2" t="str">
        <f>TRIM(Table1[[#This Row],[Status]])</f>
        <v>Zaakceptowana</v>
      </c>
      <c r="G1070" s="2" t="str">
        <f>TRIM(Table1[[#This Row],[Typ]])</f>
        <v>Faktura VAT</v>
      </c>
      <c r="H1070" s="2" t="str">
        <f>TRIM(Table1[[#This Row],[Magazyn]])</f>
        <v>Apteka Szpitalna</v>
      </c>
      <c r="I1070" s="2" t="str">
        <f>TRIM(Table1[[#This Row],[Umowa]])</f>
        <v>UM-HUR-02</v>
      </c>
      <c r="J1070" s="2" t="b">
        <f>ISTEXT(Table14[[#This Row],[Data_Wystawienia]])</f>
        <v>0</v>
      </c>
      <c r="K1070" s="2">
        <f>VALUE(SUBSTITUTE(Table14[[#This Row],[Wartość]],".",","))</f>
        <v>16120.51</v>
      </c>
      <c r="L10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0" s="2" t="str">
        <f>IF(Table14[[#This Row],[Umowa]]="","Poza umową","Z umowy")</f>
        <v>Z umowy</v>
      </c>
      <c r="N1070" s="2">
        <f>YEAR(Table14[[#This Row],[Data_Wystawienia]])</f>
        <v>2023</v>
      </c>
      <c r="O1070" s="2" t="str">
        <f>TEXT(Table14[[#This Row],[Data_Wystawienia]],"rrrr-mm")</f>
        <v>2023-01</v>
      </c>
      <c r="P1070" s="2">
        <v>1</v>
      </c>
    </row>
    <row r="1071" spans="1:16" x14ac:dyDescent="0.3">
      <c r="A1071" s="2" t="str">
        <f>TRIM(Table1[[#This Row],[Numer_FV]])</f>
        <v>FV/M/8778/P/23</v>
      </c>
      <c r="B1071" s="2" t="str">
        <f>TRIM(Table1[[#This Row],[Numer_PZ]])</f>
        <v>PZ/801069</v>
      </c>
      <c r="C1071" s="2" t="str">
        <f>TRIM(Table1[[#This Row],[Dostawca]])</f>
        <v>MedicaPharm</v>
      </c>
      <c r="D1071" s="3">
        <v>44955</v>
      </c>
      <c r="E1071" s="4" t="s">
        <v>3184</v>
      </c>
      <c r="F1071" s="2" t="str">
        <f>TRIM(Table1[[#This Row],[Status]])</f>
        <v>Zaakceptowana</v>
      </c>
      <c r="G1071" s="2" t="str">
        <f>TRIM(Table1[[#This Row],[Typ]])</f>
        <v>Faktura VAT</v>
      </c>
      <c r="H1071" s="2" t="str">
        <f>TRIM(Table1[[#This Row],[Magazyn]])</f>
        <v>Apteka Szpitalna</v>
      </c>
      <c r="I1071" s="2" t="str">
        <f>TRIM(Table1[[#This Row],[Umowa]])</f>
        <v>UM-MED-01</v>
      </c>
      <c r="J1071" s="2" t="b">
        <f>ISTEXT(Table14[[#This Row],[Data_Wystawienia]])</f>
        <v>0</v>
      </c>
      <c r="K1071" s="2">
        <f>VALUE(SUBSTITUTE(Table14[[#This Row],[Wartość]],".",","))</f>
        <v>9100.5300000000007</v>
      </c>
      <c r="L10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1" s="2" t="str">
        <f>IF(Table14[[#This Row],[Umowa]]="","Poza umową","Z umowy")</f>
        <v>Z umowy</v>
      </c>
      <c r="N1071" s="2">
        <f>YEAR(Table14[[#This Row],[Data_Wystawienia]])</f>
        <v>2023</v>
      </c>
      <c r="O1071" s="2" t="str">
        <f>TEXT(Table14[[#This Row],[Data_Wystawienia]],"rrrr-mm")</f>
        <v>2023-01</v>
      </c>
      <c r="P1071" s="2">
        <v>1</v>
      </c>
    </row>
    <row r="1072" spans="1:16" x14ac:dyDescent="0.3">
      <c r="A1072" s="2" t="str">
        <f>TRIM(Table1[[#This Row],[Numer_FV]])</f>
        <v>FV/POL/86644/2023</v>
      </c>
      <c r="B1072" s="2" t="str">
        <f>TRIM(Table1[[#This Row],[Numer_PZ]])</f>
        <v>PZ/801070</v>
      </c>
      <c r="C1072" s="2" t="str">
        <f>TRIM(Table1[[#This Row],[Dostawca]])</f>
        <v>Polmedica</v>
      </c>
      <c r="D1072" s="3">
        <v>44955</v>
      </c>
      <c r="E1072" s="4" t="s">
        <v>3187</v>
      </c>
      <c r="F1072" s="2" t="str">
        <f>TRIM(Table1[[#This Row],[Status]])</f>
        <v>Zaakceptowana</v>
      </c>
      <c r="G1072" s="2" t="str">
        <f>TRIM(Table1[[#This Row],[Typ]])</f>
        <v>Faktura VAT</v>
      </c>
      <c r="H1072" s="2" t="str">
        <f>TRIM(Table1[[#This Row],[Magazyn]])</f>
        <v>Apteka Szpitalna</v>
      </c>
      <c r="I1072" s="2" t="str">
        <f>TRIM(Table1[[#This Row],[Umowa]])</f>
        <v>UM-POL-01</v>
      </c>
      <c r="J1072" s="2" t="b">
        <f>ISTEXT(Table14[[#This Row],[Data_Wystawienia]])</f>
        <v>0</v>
      </c>
      <c r="K1072" s="2">
        <f>VALUE(SUBSTITUTE(Table14[[#This Row],[Wartość]],".",","))</f>
        <v>19614.39</v>
      </c>
      <c r="L10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2" s="2" t="str">
        <f>IF(Table14[[#This Row],[Umowa]]="","Poza umową","Z umowy")</f>
        <v>Z umowy</v>
      </c>
      <c r="N1072" s="2">
        <f>YEAR(Table14[[#This Row],[Data_Wystawienia]])</f>
        <v>2023</v>
      </c>
      <c r="O1072" s="2" t="str">
        <f>TEXT(Table14[[#This Row],[Data_Wystawienia]],"rrrr-mm")</f>
        <v>2023-01</v>
      </c>
      <c r="P1072" s="2">
        <v>1</v>
      </c>
    </row>
    <row r="1073" spans="1:16" x14ac:dyDescent="0.3">
      <c r="A1073" s="2" t="str">
        <f>TRIM(Table1[[#This Row],[Numer_FV]])</f>
        <v>FV/CENFA/640525/23</v>
      </c>
      <c r="B1073" s="2" t="str">
        <f>TRIM(Table1[[#This Row],[Numer_PZ]])</f>
        <v>PZ/801071</v>
      </c>
      <c r="C1073" s="2" t="str">
        <f>TRIM(Table1[[#This Row],[Dostawca]])</f>
        <v>CentrumFarm</v>
      </c>
      <c r="D1073" s="3">
        <v>44955</v>
      </c>
      <c r="E1073" s="4" t="s">
        <v>3190</v>
      </c>
      <c r="F1073" s="2" t="str">
        <f>TRIM(Table1[[#This Row],[Status]])</f>
        <v>Zaakceptowana</v>
      </c>
      <c r="G1073" s="2" t="str">
        <f>TRIM(Table1[[#This Row],[Typ]])</f>
        <v>Faktura VAT</v>
      </c>
      <c r="H1073" s="2" t="str">
        <f>TRIM(Table1[[#This Row],[Magazyn]])</f>
        <v>Apteka Szpitalna</v>
      </c>
      <c r="I1073" s="2" t="str">
        <f>TRIM(Table1[[#This Row],[Umowa]])</f>
        <v>UM-CEN-01</v>
      </c>
      <c r="J1073" s="2" t="b">
        <f>ISTEXT(Table14[[#This Row],[Data_Wystawienia]])</f>
        <v>0</v>
      </c>
      <c r="K1073" s="2">
        <f>VALUE(SUBSTITUTE(Table14[[#This Row],[Wartość]],".",","))</f>
        <v>13018.87</v>
      </c>
      <c r="L10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3" s="2" t="str">
        <f>IF(Table14[[#This Row],[Umowa]]="","Poza umową","Z umowy")</f>
        <v>Z umowy</v>
      </c>
      <c r="N1073" s="2">
        <f>YEAR(Table14[[#This Row],[Data_Wystawienia]])</f>
        <v>2023</v>
      </c>
      <c r="O1073" s="2" t="str">
        <f>TEXT(Table14[[#This Row],[Data_Wystawienia]],"rrrr-mm")</f>
        <v>2023-01</v>
      </c>
      <c r="P1073" s="2">
        <v>1</v>
      </c>
    </row>
    <row r="1074" spans="1:16" x14ac:dyDescent="0.3">
      <c r="A1074" s="2" t="str">
        <f>TRIM(Table1[[#This Row],[Numer_FV]])</f>
        <v>FV/2252HM/23</v>
      </c>
      <c r="B1074" s="2" t="str">
        <f>TRIM(Table1[[#This Row],[Numer_PZ]])</f>
        <v>PZ/801072</v>
      </c>
      <c r="C1074" s="2" t="str">
        <f>TRIM(Table1[[#This Row],[Dostawca]])</f>
        <v>HurtMedix</v>
      </c>
      <c r="D1074" s="3">
        <v>44956</v>
      </c>
      <c r="E1074" s="4" t="s">
        <v>3193</v>
      </c>
      <c r="F1074" s="2" t="str">
        <f>TRIM(Table1[[#This Row],[Status]])</f>
        <v>Zaakceptowana</v>
      </c>
      <c r="G1074" s="2" t="str">
        <f>TRIM(Table1[[#This Row],[Typ]])</f>
        <v>Faktura VAT</v>
      </c>
      <c r="H1074" s="2" t="str">
        <f>TRIM(Table1[[#This Row],[Magazyn]])</f>
        <v>Apteka Szpitalna</v>
      </c>
      <c r="I1074" s="2" t="str">
        <f>TRIM(Table1[[#This Row],[Umowa]])</f>
        <v>UM-HUR-01</v>
      </c>
      <c r="J1074" s="2" t="b">
        <f>ISTEXT(Table14[[#This Row],[Data_Wystawienia]])</f>
        <v>0</v>
      </c>
      <c r="K1074" s="2">
        <f>VALUE(SUBSTITUTE(Table14[[#This Row],[Wartość]],".",","))</f>
        <v>16313.92</v>
      </c>
      <c r="L10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4" s="2" t="str">
        <f>IF(Table14[[#This Row],[Umowa]]="","Poza umową","Z umowy")</f>
        <v>Z umowy</v>
      </c>
      <c r="N1074" s="2">
        <f>YEAR(Table14[[#This Row],[Data_Wystawienia]])</f>
        <v>2023</v>
      </c>
      <c r="O1074" s="2" t="str">
        <f>TEXT(Table14[[#This Row],[Data_Wystawienia]],"rrrr-mm")</f>
        <v>2023-01</v>
      </c>
      <c r="P1074" s="2">
        <v>1</v>
      </c>
    </row>
    <row r="1075" spans="1:16" x14ac:dyDescent="0.3">
      <c r="A1075" s="2" t="str">
        <f>TRIM(Table1[[#This Row],[Numer_FV]])</f>
        <v>FV/17/SAL/23</v>
      </c>
      <c r="B1075" s="2" t="str">
        <f>TRIM(Table1[[#This Row],[Numer_PZ]])</f>
        <v>PZ/801073</v>
      </c>
      <c r="C1075" s="2" t="str">
        <f>TRIM(Table1[[#This Row],[Dostawca]])</f>
        <v>SalusHurt</v>
      </c>
      <c r="D1075" s="3">
        <v>44956</v>
      </c>
      <c r="E1075" s="4" t="s">
        <v>3196</v>
      </c>
      <c r="F1075" s="2" t="str">
        <f>TRIM(Table1[[#This Row],[Status]])</f>
        <v>Zaakceptowana</v>
      </c>
      <c r="G1075" s="2" t="str">
        <f>TRIM(Table1[[#This Row],[Typ]])</f>
        <v>Faktura VAT</v>
      </c>
      <c r="H1075" s="2" t="str">
        <f>TRIM(Table1[[#This Row],[Magazyn]])</f>
        <v>Apteka Szpitalna</v>
      </c>
      <c r="I1075" s="2" t="str">
        <f>TRIM(Table1[[#This Row],[Umowa]])</f>
        <v>UM-SAL-02</v>
      </c>
      <c r="J1075" s="2" t="b">
        <f>ISTEXT(Table14[[#This Row],[Data_Wystawienia]])</f>
        <v>0</v>
      </c>
      <c r="K1075" s="2">
        <f>VALUE(SUBSTITUTE(Table14[[#This Row],[Wartość]],".",","))</f>
        <v>16897.75</v>
      </c>
      <c r="L10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5" s="2" t="str">
        <f>IF(Table14[[#This Row],[Umowa]]="","Poza umową","Z umowy")</f>
        <v>Z umowy</v>
      </c>
      <c r="N1075" s="2">
        <f>YEAR(Table14[[#This Row],[Data_Wystawienia]])</f>
        <v>2023</v>
      </c>
      <c r="O1075" s="2" t="str">
        <f>TEXT(Table14[[#This Row],[Data_Wystawienia]],"rrrr-mm")</f>
        <v>2023-01</v>
      </c>
      <c r="P1075" s="2">
        <v>1</v>
      </c>
    </row>
    <row r="1076" spans="1:16" x14ac:dyDescent="0.3">
      <c r="A1076" s="2" t="str">
        <f>TRIM(Table1[[#This Row],[Numer_FV]])</f>
        <v>FV/CENFA/360452/23</v>
      </c>
      <c r="B1076" s="2" t="str">
        <f>TRIM(Table1[[#This Row],[Numer_PZ]])</f>
        <v>PZ/801074</v>
      </c>
      <c r="C1076" s="2" t="str">
        <f>TRIM(Table1[[#This Row],[Dostawca]])</f>
        <v>CentrumFarm</v>
      </c>
      <c r="D1076" s="3">
        <v>44956</v>
      </c>
      <c r="E1076" s="4" t="s">
        <v>3199</v>
      </c>
      <c r="F1076" s="2" t="str">
        <f>TRIM(Table1[[#This Row],[Status]])</f>
        <v>Zaakceptowana</v>
      </c>
      <c r="G1076" s="2" t="str">
        <f>TRIM(Table1[[#This Row],[Typ]])</f>
        <v>Faktura VAT</v>
      </c>
      <c r="H1076" s="2" t="str">
        <f>TRIM(Table1[[#This Row],[Magazyn]])</f>
        <v>Apteka Szpitalna</v>
      </c>
      <c r="I1076" s="2" t="str">
        <f>TRIM(Table1[[#This Row],[Umowa]])</f>
        <v>UM-CEN-01</v>
      </c>
      <c r="J1076" s="2" t="b">
        <f>ISTEXT(Table14[[#This Row],[Data_Wystawienia]])</f>
        <v>0</v>
      </c>
      <c r="K1076" s="2">
        <f>VALUE(SUBSTITUTE(Table14[[#This Row],[Wartość]],".",","))</f>
        <v>11158.25</v>
      </c>
      <c r="L10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6" s="2" t="str">
        <f>IF(Table14[[#This Row],[Umowa]]="","Poza umową","Z umowy")</f>
        <v>Z umowy</v>
      </c>
      <c r="N1076" s="2">
        <f>YEAR(Table14[[#This Row],[Data_Wystawienia]])</f>
        <v>2023</v>
      </c>
      <c r="O1076" s="2" t="str">
        <f>TEXT(Table14[[#This Row],[Data_Wystawienia]],"rrrr-mm")</f>
        <v>2023-01</v>
      </c>
      <c r="P1076" s="2">
        <v>1</v>
      </c>
    </row>
    <row r="1077" spans="1:16" x14ac:dyDescent="0.3">
      <c r="A1077" s="2" t="str">
        <f>TRIM(Table1[[#This Row],[Numer_FV]])</f>
        <v>FV/52/PP/1093/23</v>
      </c>
      <c r="B1077" s="2" t="str">
        <f>TRIM(Table1[[#This Row],[Numer_PZ]])</f>
        <v>PZ/801075</v>
      </c>
      <c r="C1077" s="2" t="str">
        <f>TRIM(Table1[[#This Row],[Dostawca]])</f>
        <v>PharmaPlus</v>
      </c>
      <c r="D1077" s="3">
        <v>44956</v>
      </c>
      <c r="E1077" s="4" t="s">
        <v>3202</v>
      </c>
      <c r="F1077" s="2" t="str">
        <f>TRIM(Table1[[#This Row],[Status]])</f>
        <v>Zaakceptowana</v>
      </c>
      <c r="G1077" s="2" t="str">
        <f>TRIM(Table1[[#This Row],[Typ]])</f>
        <v>Faktura VAT</v>
      </c>
      <c r="H1077" s="2" t="str">
        <f>TRIM(Table1[[#This Row],[Magazyn]])</f>
        <v>Apteka Szpitalna</v>
      </c>
      <c r="I1077" s="2" t="str">
        <f>TRIM(Table1[[#This Row],[Umowa]])</f>
        <v>UM-PHA-01</v>
      </c>
      <c r="J1077" s="2" t="b">
        <f>ISTEXT(Table14[[#This Row],[Data_Wystawienia]])</f>
        <v>0</v>
      </c>
      <c r="K1077" s="2">
        <f>VALUE(SUBSTITUTE(Table14[[#This Row],[Wartość]],".",","))</f>
        <v>11957.55</v>
      </c>
      <c r="L10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7" s="2" t="str">
        <f>IF(Table14[[#This Row],[Umowa]]="","Poza umową","Z umowy")</f>
        <v>Z umowy</v>
      </c>
      <c r="N1077" s="2">
        <f>YEAR(Table14[[#This Row],[Data_Wystawienia]])</f>
        <v>2023</v>
      </c>
      <c r="O1077" s="2" t="str">
        <f>TEXT(Table14[[#This Row],[Data_Wystawienia]],"rrrr-mm")</f>
        <v>2023-01</v>
      </c>
      <c r="P1077" s="2">
        <v>1</v>
      </c>
    </row>
    <row r="1078" spans="1:16" x14ac:dyDescent="0.3">
      <c r="A1078" s="2" t="str">
        <f>TRIM(Table1[[#This Row],[Numer_FV]])</f>
        <v>FV/CENFA/315153/23</v>
      </c>
      <c r="B1078" s="2" t="str">
        <f>TRIM(Table1[[#This Row],[Numer_PZ]])</f>
        <v>PZ/801076</v>
      </c>
      <c r="C1078" s="2" t="str">
        <f>TRIM(Table1[[#This Row],[Dostawca]])</f>
        <v>CentrumFarm</v>
      </c>
      <c r="D1078" s="3">
        <v>44956</v>
      </c>
      <c r="E1078" s="4" t="s">
        <v>3205</v>
      </c>
      <c r="F1078" s="2" t="str">
        <f>TRIM(Table1[[#This Row],[Status]])</f>
        <v>Zaakceptowana</v>
      </c>
      <c r="G1078" s="2" t="str">
        <f>TRIM(Table1[[#This Row],[Typ]])</f>
        <v>Faktura VAT</v>
      </c>
      <c r="H1078" s="2" t="str">
        <f>TRIM(Table1[[#This Row],[Magazyn]])</f>
        <v>Apteka Szpitalna</v>
      </c>
      <c r="I1078" s="2" t="str">
        <f>TRIM(Table1[[#This Row],[Umowa]])</f>
        <v>UM-CEN-01</v>
      </c>
      <c r="J1078" s="2" t="b">
        <f>ISTEXT(Table14[[#This Row],[Data_Wystawienia]])</f>
        <v>0</v>
      </c>
      <c r="K1078" s="2">
        <f>VALUE(SUBSTITUTE(Table14[[#This Row],[Wartość]],".",","))</f>
        <v>20570.810000000001</v>
      </c>
      <c r="L10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8" s="2" t="str">
        <f>IF(Table14[[#This Row],[Umowa]]="","Poza umową","Z umowy")</f>
        <v>Z umowy</v>
      </c>
      <c r="N1078" s="2">
        <f>YEAR(Table14[[#This Row],[Data_Wystawienia]])</f>
        <v>2023</v>
      </c>
      <c r="O1078" s="2" t="str">
        <f>TEXT(Table14[[#This Row],[Data_Wystawienia]],"rrrr-mm")</f>
        <v>2023-01</v>
      </c>
      <c r="P1078" s="2">
        <v>1</v>
      </c>
    </row>
    <row r="1079" spans="1:16" x14ac:dyDescent="0.3">
      <c r="A1079" s="2" t="str">
        <f>TRIM(Table1[[#This Row],[Numer_FV]])</f>
        <v>FV/1073HM/23</v>
      </c>
      <c r="B1079" s="2" t="str">
        <f>TRIM(Table1[[#This Row],[Numer_PZ]])</f>
        <v>PZ/801077</v>
      </c>
      <c r="C1079" s="2" t="str">
        <f>TRIM(Table1[[#This Row],[Dostawca]])</f>
        <v>HurtMedix</v>
      </c>
      <c r="D1079" s="3">
        <v>44957</v>
      </c>
      <c r="E1079" s="4" t="s">
        <v>3208</v>
      </c>
      <c r="F1079" s="2" t="str">
        <f>TRIM(Table1[[#This Row],[Status]])</f>
        <v>Zaakceptowana</v>
      </c>
      <c r="G1079" s="2" t="str">
        <f>TRIM(Table1[[#This Row],[Typ]])</f>
        <v>Faktura VAT</v>
      </c>
      <c r="H1079" s="2" t="str">
        <f>TRIM(Table1[[#This Row],[Magazyn]])</f>
        <v>Apteka Szpitalna</v>
      </c>
      <c r="I1079" s="2" t="str">
        <f>TRIM(Table1[[#This Row],[Umowa]])</f>
        <v>UM-HUR-03</v>
      </c>
      <c r="J1079" s="2" t="b">
        <f>ISTEXT(Table14[[#This Row],[Data_Wystawienia]])</f>
        <v>0</v>
      </c>
      <c r="K1079" s="2">
        <f>VALUE(SUBSTITUTE(Table14[[#This Row],[Wartość]],".",","))</f>
        <v>14846.25</v>
      </c>
      <c r="L10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79" s="2" t="str">
        <f>IF(Table14[[#This Row],[Umowa]]="","Poza umową","Z umowy")</f>
        <v>Z umowy</v>
      </c>
      <c r="N1079" s="2">
        <f>YEAR(Table14[[#This Row],[Data_Wystawienia]])</f>
        <v>2023</v>
      </c>
      <c r="O1079" s="2" t="str">
        <f>TEXT(Table14[[#This Row],[Data_Wystawienia]],"rrrr-mm")</f>
        <v>2023-01</v>
      </c>
      <c r="P1079" s="2">
        <v>1</v>
      </c>
    </row>
    <row r="1080" spans="1:16" x14ac:dyDescent="0.3">
      <c r="A1080" s="2" t="str">
        <f>TRIM(Table1[[#This Row],[Numer_FV]])</f>
        <v>FV/POL/69521/2023</v>
      </c>
      <c r="B1080" s="2" t="str">
        <f>TRIM(Table1[[#This Row],[Numer_PZ]])</f>
        <v>PZ/801078</v>
      </c>
      <c r="C1080" s="2" t="str">
        <f>TRIM(Table1[[#This Row],[Dostawca]])</f>
        <v>Polmedica</v>
      </c>
      <c r="D1080" s="3">
        <v>44957</v>
      </c>
      <c r="E1080" s="4" t="s">
        <v>3211</v>
      </c>
      <c r="F1080" s="2" t="str">
        <f>TRIM(Table1[[#This Row],[Status]])</f>
        <v>Zaakceptowana</v>
      </c>
      <c r="G1080" s="2" t="str">
        <f>TRIM(Table1[[#This Row],[Typ]])</f>
        <v>Faktura VAT</v>
      </c>
      <c r="H1080" s="2" t="str">
        <f>TRIM(Table1[[#This Row],[Magazyn]])</f>
        <v>Apteka Szpitalna</v>
      </c>
      <c r="I1080" s="2" t="str">
        <f>TRIM(Table1[[#This Row],[Umowa]])</f>
        <v>UM-POL-01</v>
      </c>
      <c r="J1080" s="2" t="b">
        <f>ISTEXT(Table14[[#This Row],[Data_Wystawienia]])</f>
        <v>0</v>
      </c>
      <c r="K1080" s="2">
        <f>VALUE(SUBSTITUTE(Table14[[#This Row],[Wartość]],".",","))</f>
        <v>9130.57</v>
      </c>
      <c r="L10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0" s="2" t="str">
        <f>IF(Table14[[#This Row],[Umowa]]="","Poza umową","Z umowy")</f>
        <v>Z umowy</v>
      </c>
      <c r="N1080" s="2">
        <f>YEAR(Table14[[#This Row],[Data_Wystawienia]])</f>
        <v>2023</v>
      </c>
      <c r="O1080" s="2" t="str">
        <f>TEXT(Table14[[#This Row],[Data_Wystawienia]],"rrrr-mm")</f>
        <v>2023-01</v>
      </c>
      <c r="P1080" s="2">
        <v>1</v>
      </c>
    </row>
    <row r="1081" spans="1:16" x14ac:dyDescent="0.3">
      <c r="A1081" s="2" t="str">
        <f>TRIM(Table1[[#This Row],[Numer_FV]])</f>
        <v>FV/POL/66382/2023</v>
      </c>
      <c r="B1081" s="2" t="str">
        <f>TRIM(Table1[[#This Row],[Numer_PZ]])</f>
        <v>PZ/801079</v>
      </c>
      <c r="C1081" s="2" t="str">
        <f>TRIM(Table1[[#This Row],[Dostawca]])</f>
        <v>Polmedica</v>
      </c>
      <c r="D1081" s="3">
        <v>44958</v>
      </c>
      <c r="E1081" s="4" t="s">
        <v>3214</v>
      </c>
      <c r="F1081" s="2" t="str">
        <f>TRIM(Table1[[#This Row],[Status]])</f>
        <v>Zaakceptowana</v>
      </c>
      <c r="G1081" s="2" t="str">
        <f>TRIM(Table1[[#This Row],[Typ]])</f>
        <v>Faktura VAT</v>
      </c>
      <c r="H1081" s="2" t="str">
        <f>TRIM(Table1[[#This Row],[Magazyn]])</f>
        <v>Apteka Szpitalna</v>
      </c>
      <c r="I1081" s="2" t="str">
        <f>TRIM(Table1[[#This Row],[Umowa]])</f>
        <v>UM-POL-01</v>
      </c>
      <c r="J1081" s="2" t="b">
        <f>ISTEXT(Table14[[#This Row],[Data_Wystawienia]])</f>
        <v>0</v>
      </c>
      <c r="K1081" s="2">
        <f>VALUE(SUBSTITUTE(Table14[[#This Row],[Wartość]],".",","))</f>
        <v>14449.47</v>
      </c>
      <c r="L10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1" s="2" t="str">
        <f>IF(Table14[[#This Row],[Umowa]]="","Poza umową","Z umowy")</f>
        <v>Z umowy</v>
      </c>
      <c r="N1081" s="2">
        <f>YEAR(Table14[[#This Row],[Data_Wystawienia]])</f>
        <v>2023</v>
      </c>
      <c r="O1081" s="2" t="str">
        <f>TEXT(Table14[[#This Row],[Data_Wystawienia]],"rrrr-mm")</f>
        <v>2023-02</v>
      </c>
      <c r="P1081" s="2">
        <v>1</v>
      </c>
    </row>
    <row r="1082" spans="1:16" x14ac:dyDescent="0.3">
      <c r="A1082" s="2" t="str">
        <f>TRIM(Table1[[#This Row],[Numer_FV]])</f>
        <v>FV/6963HM/23</v>
      </c>
      <c r="B1082" s="2" t="str">
        <f>TRIM(Table1[[#This Row],[Numer_PZ]])</f>
        <v>PZ/801080</v>
      </c>
      <c r="C1082" s="2" t="str">
        <f>TRIM(Table1[[#This Row],[Dostawca]])</f>
        <v>HurtMedix</v>
      </c>
      <c r="D1082" s="3">
        <v>44958</v>
      </c>
      <c r="E1082" s="4" t="s">
        <v>3217</v>
      </c>
      <c r="F1082" s="2" t="str">
        <f>TRIM(Table1[[#This Row],[Status]])</f>
        <v>Zaakceptowana</v>
      </c>
      <c r="G1082" s="2" t="str">
        <f>TRIM(Table1[[#This Row],[Typ]])</f>
        <v>Faktura VAT</v>
      </c>
      <c r="H1082" s="2" t="str">
        <f>TRIM(Table1[[#This Row],[Magazyn]])</f>
        <v>Apteka Szpitalna</v>
      </c>
      <c r="I1082" s="2" t="str">
        <f>TRIM(Table1[[#This Row],[Umowa]])</f>
        <v>UM-HUR-01</v>
      </c>
      <c r="J1082" s="2" t="b">
        <f>ISTEXT(Table14[[#This Row],[Data_Wystawienia]])</f>
        <v>0</v>
      </c>
      <c r="K1082" s="2">
        <f>VALUE(SUBSTITUTE(Table14[[#This Row],[Wartość]],".",","))</f>
        <v>13245.81</v>
      </c>
      <c r="L10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2" s="2" t="str">
        <f>IF(Table14[[#This Row],[Umowa]]="","Poza umową","Z umowy")</f>
        <v>Z umowy</v>
      </c>
      <c r="N1082" s="2">
        <f>YEAR(Table14[[#This Row],[Data_Wystawienia]])</f>
        <v>2023</v>
      </c>
      <c r="O1082" s="2" t="str">
        <f>TEXT(Table14[[#This Row],[Data_Wystawienia]],"rrrr-mm")</f>
        <v>2023-02</v>
      </c>
      <c r="P1082" s="2">
        <v>1</v>
      </c>
    </row>
    <row r="1083" spans="1:16" x14ac:dyDescent="0.3">
      <c r="A1083" s="2" t="str">
        <f>TRIM(Table1[[#This Row],[Numer_FV]])</f>
        <v>FV/46/SAL/23</v>
      </c>
      <c r="B1083" s="2" t="str">
        <f>TRIM(Table1[[#This Row],[Numer_PZ]])</f>
        <v>PZ/801081</v>
      </c>
      <c r="C1083" s="2" t="str">
        <f>TRIM(Table1[[#This Row],[Dostawca]])</f>
        <v>SalusHurt</v>
      </c>
      <c r="D1083" s="3">
        <v>44959</v>
      </c>
      <c r="E1083" s="4" t="s">
        <v>3219</v>
      </c>
      <c r="F1083" s="2" t="str">
        <f>TRIM(Table1[[#This Row],[Status]])</f>
        <v>Zaakceptowana</v>
      </c>
      <c r="G1083" s="2" t="str">
        <f>TRIM(Table1[[#This Row],[Typ]])</f>
        <v>Faktura VAT</v>
      </c>
      <c r="H1083" s="2" t="str">
        <f>TRIM(Table1[[#This Row],[Magazyn]])</f>
        <v>Apteka Szpitalna</v>
      </c>
      <c r="I1083" s="2" t="str">
        <f>TRIM(Table1[[#This Row],[Umowa]])</f>
        <v>UM-SAL-01</v>
      </c>
      <c r="J1083" s="2" t="b">
        <f>ISTEXT(Table14[[#This Row],[Data_Wystawienia]])</f>
        <v>0</v>
      </c>
      <c r="K1083" s="2">
        <f>VALUE(SUBSTITUTE(Table14[[#This Row],[Wartość]],".",","))</f>
        <v>20496.64</v>
      </c>
      <c r="L10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3" s="2" t="str">
        <f>IF(Table14[[#This Row],[Umowa]]="","Poza umową","Z umowy")</f>
        <v>Z umowy</v>
      </c>
      <c r="N1083" s="2">
        <f>YEAR(Table14[[#This Row],[Data_Wystawienia]])</f>
        <v>2023</v>
      </c>
      <c r="O1083" s="2" t="str">
        <f>TEXT(Table14[[#This Row],[Data_Wystawienia]],"rrrr-mm")</f>
        <v>2023-02</v>
      </c>
      <c r="P1083" s="2">
        <v>1</v>
      </c>
    </row>
    <row r="1084" spans="1:16" x14ac:dyDescent="0.3">
      <c r="A1084" s="2" t="str">
        <f>TRIM(Table1[[#This Row],[Numer_FV]])</f>
        <v>FV/81/PP/6120/23</v>
      </c>
      <c r="B1084" s="2" t="str">
        <f>TRIM(Table1[[#This Row],[Numer_PZ]])</f>
        <v>PZ/801082</v>
      </c>
      <c r="C1084" s="2" t="str">
        <f>TRIM(Table1[[#This Row],[Dostawca]])</f>
        <v>PharmaPlus</v>
      </c>
      <c r="D1084" s="3">
        <v>44960</v>
      </c>
      <c r="E1084" s="4" t="s">
        <v>3222</v>
      </c>
      <c r="F1084" s="2" t="str">
        <f>TRIM(Table1[[#This Row],[Status]])</f>
        <v>Zaakceptowana</v>
      </c>
      <c r="G1084" s="2" t="str">
        <f>TRIM(Table1[[#This Row],[Typ]])</f>
        <v>Faktura VAT</v>
      </c>
      <c r="H1084" s="2" t="str">
        <f>TRIM(Table1[[#This Row],[Magazyn]])</f>
        <v>Apteka Szpitalna</v>
      </c>
      <c r="I1084" s="2" t="str">
        <f>TRIM(Table1[[#This Row],[Umowa]])</f>
        <v/>
      </c>
      <c r="J1084" s="2" t="b">
        <f>ISTEXT(Table14[[#This Row],[Data_Wystawienia]])</f>
        <v>0</v>
      </c>
      <c r="K1084" s="2">
        <f>VALUE(SUBSTITUTE(Table14[[#This Row],[Wartość]],".",","))</f>
        <v>12002.98</v>
      </c>
      <c r="L10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4" s="2" t="str">
        <f>IF(Table14[[#This Row],[Umowa]]="","Poza umową","Z umowy")</f>
        <v>Poza umową</v>
      </c>
      <c r="N1084" s="2">
        <f>YEAR(Table14[[#This Row],[Data_Wystawienia]])</f>
        <v>2023</v>
      </c>
      <c r="O1084" s="2" t="str">
        <f>TEXT(Table14[[#This Row],[Data_Wystawienia]],"rrrr-mm")</f>
        <v>2023-02</v>
      </c>
      <c r="P1084" s="2">
        <v>1</v>
      </c>
    </row>
    <row r="1085" spans="1:16" x14ac:dyDescent="0.3">
      <c r="A1085" s="2" t="str">
        <f>TRIM(Table1[[#This Row],[Numer_FV]])</f>
        <v>FV/71472/VDb/2023</v>
      </c>
      <c r="B1085" s="2" t="str">
        <f>TRIM(Table1[[#This Row],[Numer_PZ]])</f>
        <v>PZ/801083</v>
      </c>
      <c r="C1085" s="2" t="str">
        <f>TRIM(Table1[[#This Row],[Dostawca]])</f>
        <v>VitaDistrib</v>
      </c>
      <c r="D1085" s="3">
        <v>44960</v>
      </c>
      <c r="E1085" s="4" t="s">
        <v>3225</v>
      </c>
      <c r="F1085" s="2" t="str">
        <f>TRIM(Table1[[#This Row],[Status]])</f>
        <v>Zaakceptowana</v>
      </c>
      <c r="G1085" s="2" t="str">
        <f>TRIM(Table1[[#This Row],[Typ]])</f>
        <v>Faktura VAT</v>
      </c>
      <c r="H1085" s="2" t="str">
        <f>TRIM(Table1[[#This Row],[Magazyn]])</f>
        <v>Apteka Szpitalna</v>
      </c>
      <c r="I1085" s="2" t="str">
        <f>TRIM(Table1[[#This Row],[Umowa]])</f>
        <v>UM-VIT-01</v>
      </c>
      <c r="J1085" s="2" t="b">
        <f>ISTEXT(Table14[[#This Row],[Data_Wystawienia]])</f>
        <v>0</v>
      </c>
      <c r="K1085" s="2">
        <f>VALUE(SUBSTITUTE(Table14[[#This Row],[Wartość]],".",","))</f>
        <v>10666.24</v>
      </c>
      <c r="L10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5" s="2" t="str">
        <f>IF(Table14[[#This Row],[Umowa]]="","Poza umową","Z umowy")</f>
        <v>Z umowy</v>
      </c>
      <c r="N1085" s="2">
        <f>YEAR(Table14[[#This Row],[Data_Wystawienia]])</f>
        <v>2023</v>
      </c>
      <c r="O1085" s="2" t="str">
        <f>TEXT(Table14[[#This Row],[Data_Wystawienia]],"rrrr-mm")</f>
        <v>2023-02</v>
      </c>
      <c r="P1085" s="2">
        <v>1</v>
      </c>
    </row>
    <row r="1086" spans="1:16" x14ac:dyDescent="0.3">
      <c r="A1086" s="2" t="str">
        <f>TRIM(Table1[[#This Row],[Numer_FV]])</f>
        <v>FV/3270HM/23</v>
      </c>
      <c r="B1086" s="2" t="str">
        <f>TRIM(Table1[[#This Row],[Numer_PZ]])</f>
        <v>PZ/801084</v>
      </c>
      <c r="C1086" s="2" t="str">
        <f>TRIM(Table1[[#This Row],[Dostawca]])</f>
        <v>HurtMedix</v>
      </c>
      <c r="D1086" s="3">
        <v>44961</v>
      </c>
      <c r="E1086" s="4" t="s">
        <v>3228</v>
      </c>
      <c r="F1086" s="2" t="str">
        <f>TRIM(Table1[[#This Row],[Status]])</f>
        <v>Zaakceptowana</v>
      </c>
      <c r="G1086" s="2" t="str">
        <f>TRIM(Table1[[#This Row],[Typ]])</f>
        <v>Faktura VAT</v>
      </c>
      <c r="H1086" s="2" t="str">
        <f>TRIM(Table1[[#This Row],[Magazyn]])</f>
        <v>Apteka Szpitalna</v>
      </c>
      <c r="I1086" s="2" t="str">
        <f>TRIM(Table1[[#This Row],[Umowa]])</f>
        <v>UM-HUR-01</v>
      </c>
      <c r="J1086" s="2" t="b">
        <f>ISTEXT(Table14[[#This Row],[Data_Wystawienia]])</f>
        <v>0</v>
      </c>
      <c r="K1086" s="2">
        <f>VALUE(SUBSTITUTE(Table14[[#This Row],[Wartość]],".",","))</f>
        <v>21897.200000000001</v>
      </c>
      <c r="L10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6" s="2" t="str">
        <f>IF(Table14[[#This Row],[Umowa]]="","Poza umową","Z umowy")</f>
        <v>Z umowy</v>
      </c>
      <c r="N1086" s="2">
        <f>YEAR(Table14[[#This Row],[Data_Wystawienia]])</f>
        <v>2023</v>
      </c>
      <c r="O1086" s="2" t="str">
        <f>TEXT(Table14[[#This Row],[Data_Wystawienia]],"rrrr-mm")</f>
        <v>2023-02</v>
      </c>
      <c r="P1086" s="2">
        <v>1</v>
      </c>
    </row>
    <row r="1087" spans="1:16" x14ac:dyDescent="0.3">
      <c r="A1087" s="2" t="str">
        <f>TRIM(Table1[[#This Row],[Numer_FV]])</f>
        <v>FV/POL/63574/2023</v>
      </c>
      <c r="B1087" s="2" t="str">
        <f>TRIM(Table1[[#This Row],[Numer_PZ]])</f>
        <v>PZ/801085</v>
      </c>
      <c r="C1087" s="2" t="str">
        <f>TRIM(Table1[[#This Row],[Dostawca]])</f>
        <v>Polmedica</v>
      </c>
      <c r="D1087" s="3">
        <v>44961</v>
      </c>
      <c r="E1087" s="4" t="s">
        <v>3231</v>
      </c>
      <c r="F1087" s="2" t="str">
        <f>TRIM(Table1[[#This Row],[Status]])</f>
        <v>Zaakceptowana</v>
      </c>
      <c r="G1087" s="2" t="str">
        <f>TRIM(Table1[[#This Row],[Typ]])</f>
        <v>Faktura VAT</v>
      </c>
      <c r="H1087" s="2" t="str">
        <f>TRIM(Table1[[#This Row],[Magazyn]])</f>
        <v>Apteka Szpitalna</v>
      </c>
      <c r="I1087" s="2" t="str">
        <f>TRIM(Table1[[#This Row],[Umowa]])</f>
        <v>UM-POL-02</v>
      </c>
      <c r="J1087" s="2" t="b">
        <f>ISTEXT(Table14[[#This Row],[Data_Wystawienia]])</f>
        <v>0</v>
      </c>
      <c r="K1087" s="2">
        <f>VALUE(SUBSTITUTE(Table14[[#This Row],[Wartość]],".",","))</f>
        <v>22057.1</v>
      </c>
      <c r="L10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7" s="2" t="str">
        <f>IF(Table14[[#This Row],[Umowa]]="","Poza umową","Z umowy")</f>
        <v>Z umowy</v>
      </c>
      <c r="N1087" s="2">
        <f>YEAR(Table14[[#This Row],[Data_Wystawienia]])</f>
        <v>2023</v>
      </c>
      <c r="O1087" s="2" t="str">
        <f>TEXT(Table14[[#This Row],[Data_Wystawienia]],"rrrr-mm")</f>
        <v>2023-02</v>
      </c>
      <c r="P1087" s="2">
        <v>1</v>
      </c>
    </row>
    <row r="1088" spans="1:16" x14ac:dyDescent="0.3">
      <c r="A1088" s="2" t="str">
        <f>TRIM(Table1[[#This Row],[Numer_FV]])</f>
        <v>FV/84826/VDb/2023</v>
      </c>
      <c r="B1088" s="2" t="str">
        <f>TRIM(Table1[[#This Row],[Numer_PZ]])</f>
        <v>PZ/801086</v>
      </c>
      <c r="C1088" s="2" t="str">
        <f>TRIM(Table1[[#This Row],[Dostawca]])</f>
        <v>VitaDistrib</v>
      </c>
      <c r="D1088" s="3">
        <v>44961</v>
      </c>
      <c r="E1088" s="4" t="s">
        <v>3234</v>
      </c>
      <c r="F1088" s="2" t="str">
        <f>TRIM(Table1[[#This Row],[Status]])</f>
        <v>Zaakceptowana</v>
      </c>
      <c r="G1088" s="2" t="str">
        <f>TRIM(Table1[[#This Row],[Typ]])</f>
        <v>Faktura VAT</v>
      </c>
      <c r="H1088" s="2" t="str">
        <f>TRIM(Table1[[#This Row],[Magazyn]])</f>
        <v>Apteka Szpitalna</v>
      </c>
      <c r="I1088" s="2" t="str">
        <f>TRIM(Table1[[#This Row],[Umowa]])</f>
        <v/>
      </c>
      <c r="J1088" s="2" t="b">
        <f>ISTEXT(Table14[[#This Row],[Data_Wystawienia]])</f>
        <v>0</v>
      </c>
      <c r="K1088" s="2">
        <f>VALUE(SUBSTITUTE(Table14[[#This Row],[Wartość]],".",","))</f>
        <v>24007.87</v>
      </c>
      <c r="L10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8" s="2" t="str">
        <f>IF(Table14[[#This Row],[Umowa]]="","Poza umową","Z umowy")</f>
        <v>Poza umową</v>
      </c>
      <c r="N1088" s="2">
        <f>YEAR(Table14[[#This Row],[Data_Wystawienia]])</f>
        <v>2023</v>
      </c>
      <c r="O1088" s="2" t="str">
        <f>TEXT(Table14[[#This Row],[Data_Wystawienia]],"rrrr-mm")</f>
        <v>2023-02</v>
      </c>
      <c r="P1088" s="2">
        <v>1</v>
      </c>
    </row>
    <row r="1089" spans="1:16" x14ac:dyDescent="0.3">
      <c r="A1089" s="2" t="str">
        <f>TRIM(Table1[[#This Row],[Numer_FV]])</f>
        <v>FV/71814/VDb/2023</v>
      </c>
      <c r="B1089" s="2" t="str">
        <f>TRIM(Table1[[#This Row],[Numer_PZ]])</f>
        <v>PZ/801087</v>
      </c>
      <c r="C1089" s="2" t="str">
        <f>TRIM(Table1[[#This Row],[Dostawca]])</f>
        <v>VitaDistrib</v>
      </c>
      <c r="D1089" s="3">
        <v>44962</v>
      </c>
      <c r="E1089" s="4" t="s">
        <v>3237</v>
      </c>
      <c r="F1089" s="2" t="str">
        <f>TRIM(Table1[[#This Row],[Status]])</f>
        <v>Zaakceptowana</v>
      </c>
      <c r="G1089" s="2" t="str">
        <f>TRIM(Table1[[#This Row],[Typ]])</f>
        <v>Faktura VAT</v>
      </c>
      <c r="H1089" s="2" t="str">
        <f>TRIM(Table1[[#This Row],[Magazyn]])</f>
        <v>Apteka Szpitalna</v>
      </c>
      <c r="I1089" s="2" t="str">
        <f>TRIM(Table1[[#This Row],[Umowa]])</f>
        <v>UM-VIT-01</v>
      </c>
      <c r="J1089" s="2" t="b">
        <f>ISTEXT(Table14[[#This Row],[Data_Wystawienia]])</f>
        <v>0</v>
      </c>
      <c r="K1089" s="2">
        <f>VALUE(SUBSTITUTE(Table14[[#This Row],[Wartość]],".",","))</f>
        <v>8005.89</v>
      </c>
      <c r="L10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89" s="2" t="str">
        <f>IF(Table14[[#This Row],[Umowa]]="","Poza umową","Z umowy")</f>
        <v>Z umowy</v>
      </c>
      <c r="N1089" s="2">
        <f>YEAR(Table14[[#This Row],[Data_Wystawienia]])</f>
        <v>2023</v>
      </c>
      <c r="O1089" s="2" t="str">
        <f>TEXT(Table14[[#This Row],[Data_Wystawienia]],"rrrr-mm")</f>
        <v>2023-02</v>
      </c>
      <c r="P1089" s="2">
        <v>1</v>
      </c>
    </row>
    <row r="1090" spans="1:16" x14ac:dyDescent="0.3">
      <c r="A1090" s="2" t="str">
        <f>TRIM(Table1[[#This Row],[Numer_FV]])</f>
        <v>FV/44/PP/2296/23</v>
      </c>
      <c r="B1090" s="2" t="str">
        <f>TRIM(Table1[[#This Row],[Numer_PZ]])</f>
        <v>PZ/801088</v>
      </c>
      <c r="C1090" s="2" t="str">
        <f>TRIM(Table1[[#This Row],[Dostawca]])</f>
        <v>PharmaPlus</v>
      </c>
      <c r="D1090" s="3">
        <v>44963</v>
      </c>
      <c r="E1090" s="4" t="s">
        <v>3240</v>
      </c>
      <c r="F1090" s="2" t="str">
        <f>TRIM(Table1[[#This Row],[Status]])</f>
        <v>Zaakceptowana</v>
      </c>
      <c r="G1090" s="2" t="str">
        <f>TRIM(Table1[[#This Row],[Typ]])</f>
        <v>Faktura VAT</v>
      </c>
      <c r="H1090" s="2" t="str">
        <f>TRIM(Table1[[#This Row],[Magazyn]])</f>
        <v>Apteka Szpitalna</v>
      </c>
      <c r="I1090" s="2" t="str">
        <f>TRIM(Table1[[#This Row],[Umowa]])</f>
        <v>UM-PHA-01</v>
      </c>
      <c r="J1090" s="2" t="b">
        <f>ISTEXT(Table14[[#This Row],[Data_Wystawienia]])</f>
        <v>0</v>
      </c>
      <c r="K1090" s="2">
        <f>VALUE(SUBSTITUTE(Table14[[#This Row],[Wartość]],".",","))</f>
        <v>16632.599999999999</v>
      </c>
      <c r="L10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0" s="2" t="str">
        <f>IF(Table14[[#This Row],[Umowa]]="","Poza umową","Z umowy")</f>
        <v>Z umowy</v>
      </c>
      <c r="N1090" s="2">
        <f>YEAR(Table14[[#This Row],[Data_Wystawienia]])</f>
        <v>2023</v>
      </c>
      <c r="O1090" s="2" t="str">
        <f>TEXT(Table14[[#This Row],[Data_Wystawienia]],"rrrr-mm")</f>
        <v>2023-02</v>
      </c>
      <c r="P1090" s="2">
        <v>1</v>
      </c>
    </row>
    <row r="1091" spans="1:16" x14ac:dyDescent="0.3">
      <c r="A1091" s="2" t="str">
        <f>TRIM(Table1[[#This Row],[Numer_FV]])</f>
        <v>FV/M/5993/P/23</v>
      </c>
      <c r="B1091" s="2" t="str">
        <f>TRIM(Table1[[#This Row],[Numer_PZ]])</f>
        <v>PZ/801089</v>
      </c>
      <c r="C1091" s="2" t="str">
        <f>TRIM(Table1[[#This Row],[Dostawca]])</f>
        <v>MedicaPharm</v>
      </c>
      <c r="D1091" s="3">
        <v>44963</v>
      </c>
      <c r="E1091" s="4" t="s">
        <v>3243</v>
      </c>
      <c r="F1091" s="2" t="str">
        <f>TRIM(Table1[[#This Row],[Status]])</f>
        <v>Zaakceptowana</v>
      </c>
      <c r="G1091" s="2" t="str">
        <f>TRIM(Table1[[#This Row],[Typ]])</f>
        <v>Faktura VAT</v>
      </c>
      <c r="H1091" s="2" t="str">
        <f>TRIM(Table1[[#This Row],[Magazyn]])</f>
        <v>Apteka Szpitalna</v>
      </c>
      <c r="I1091" s="2" t="str">
        <f>TRIM(Table1[[#This Row],[Umowa]])</f>
        <v>UM-MED-02</v>
      </c>
      <c r="J1091" s="2" t="b">
        <f>ISTEXT(Table14[[#This Row],[Data_Wystawienia]])</f>
        <v>0</v>
      </c>
      <c r="K1091" s="2">
        <f>VALUE(SUBSTITUTE(Table14[[#This Row],[Wartość]],".",","))</f>
        <v>14019.59</v>
      </c>
      <c r="L10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1" s="2" t="str">
        <f>IF(Table14[[#This Row],[Umowa]]="","Poza umową","Z umowy")</f>
        <v>Z umowy</v>
      </c>
      <c r="N1091" s="2">
        <f>YEAR(Table14[[#This Row],[Data_Wystawienia]])</f>
        <v>2023</v>
      </c>
      <c r="O1091" s="2" t="str">
        <f>TEXT(Table14[[#This Row],[Data_Wystawienia]],"rrrr-mm")</f>
        <v>2023-02</v>
      </c>
      <c r="P1091" s="2">
        <v>1</v>
      </c>
    </row>
    <row r="1092" spans="1:16" x14ac:dyDescent="0.3">
      <c r="A1092" s="2" t="str">
        <f>TRIM(Table1[[#This Row],[Numer_FV]])</f>
        <v>FV/9819HM/23</v>
      </c>
      <c r="B1092" s="2" t="str">
        <f>TRIM(Table1[[#This Row],[Numer_PZ]])</f>
        <v>PZ/801090</v>
      </c>
      <c r="C1092" s="2" t="str">
        <f>TRIM(Table1[[#This Row],[Dostawca]])</f>
        <v>HurtMedix</v>
      </c>
      <c r="D1092" s="3">
        <v>44964</v>
      </c>
      <c r="E1092" s="4" t="s">
        <v>3246</v>
      </c>
      <c r="F1092" s="2" t="str">
        <f>TRIM(Table1[[#This Row],[Status]])</f>
        <v>Zaakceptowana</v>
      </c>
      <c r="G1092" s="2" t="str">
        <f>TRIM(Table1[[#This Row],[Typ]])</f>
        <v>Faktura VAT</v>
      </c>
      <c r="H1092" s="2" t="str">
        <f>TRIM(Table1[[#This Row],[Magazyn]])</f>
        <v>Apteka Szpitalna</v>
      </c>
      <c r="I1092" s="2" t="str">
        <f>TRIM(Table1[[#This Row],[Umowa]])</f>
        <v>UM-HUR-03</v>
      </c>
      <c r="J1092" s="2" t="b">
        <f>ISTEXT(Table14[[#This Row],[Data_Wystawienia]])</f>
        <v>0</v>
      </c>
      <c r="K1092" s="2">
        <f>VALUE(SUBSTITUTE(Table14[[#This Row],[Wartość]],".",","))</f>
        <v>14880.89</v>
      </c>
      <c r="L10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2" s="2" t="str">
        <f>IF(Table14[[#This Row],[Umowa]]="","Poza umową","Z umowy")</f>
        <v>Z umowy</v>
      </c>
      <c r="N1092" s="2">
        <f>YEAR(Table14[[#This Row],[Data_Wystawienia]])</f>
        <v>2023</v>
      </c>
      <c r="O1092" s="2" t="str">
        <f>TEXT(Table14[[#This Row],[Data_Wystawienia]],"rrrr-mm")</f>
        <v>2023-02</v>
      </c>
      <c r="P1092" s="2">
        <v>1</v>
      </c>
    </row>
    <row r="1093" spans="1:16" x14ac:dyDescent="0.3">
      <c r="A1093" s="2" t="str">
        <f>TRIM(Table1[[#This Row],[Numer_FV]])</f>
        <v>FV/M/9271/P/23</v>
      </c>
      <c r="B1093" s="2" t="str">
        <f>TRIM(Table1[[#This Row],[Numer_PZ]])</f>
        <v>PZ/801091</v>
      </c>
      <c r="C1093" s="2" t="str">
        <f>TRIM(Table1[[#This Row],[Dostawca]])</f>
        <v>MedicaPharm</v>
      </c>
      <c r="D1093" s="3">
        <v>44965</v>
      </c>
      <c r="E1093" s="4" t="s">
        <v>3249</v>
      </c>
      <c r="F1093" s="2" t="str">
        <f>TRIM(Table1[[#This Row],[Status]])</f>
        <v>Zaakceptowana</v>
      </c>
      <c r="G1093" s="2" t="str">
        <f>TRIM(Table1[[#This Row],[Typ]])</f>
        <v>Faktura VAT</v>
      </c>
      <c r="H1093" s="2" t="str">
        <f>TRIM(Table1[[#This Row],[Magazyn]])</f>
        <v>Apteka Szpitalna</v>
      </c>
      <c r="I1093" s="2" t="str">
        <f>TRIM(Table1[[#This Row],[Umowa]])</f>
        <v>UM-MED-01</v>
      </c>
      <c r="J1093" s="2" t="b">
        <f>ISTEXT(Table14[[#This Row],[Data_Wystawienia]])</f>
        <v>0</v>
      </c>
      <c r="K1093" s="2">
        <f>VALUE(SUBSTITUTE(Table14[[#This Row],[Wartość]],".",","))</f>
        <v>11571.53</v>
      </c>
      <c r="L10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3" s="2" t="str">
        <f>IF(Table14[[#This Row],[Umowa]]="","Poza umową","Z umowy")</f>
        <v>Z umowy</v>
      </c>
      <c r="N1093" s="2">
        <f>YEAR(Table14[[#This Row],[Data_Wystawienia]])</f>
        <v>2023</v>
      </c>
      <c r="O1093" s="2" t="str">
        <f>TEXT(Table14[[#This Row],[Data_Wystawienia]],"rrrr-mm")</f>
        <v>2023-02</v>
      </c>
      <c r="P1093" s="2">
        <v>1</v>
      </c>
    </row>
    <row r="1094" spans="1:16" x14ac:dyDescent="0.3">
      <c r="A1094" s="2" t="str">
        <f>TRIM(Table1[[#This Row],[Numer_FV]])</f>
        <v>FV/CENFA/251928/23</v>
      </c>
      <c r="B1094" s="2" t="str">
        <f>TRIM(Table1[[#This Row],[Numer_PZ]])</f>
        <v>PZ/801092</v>
      </c>
      <c r="C1094" s="2" t="str">
        <f>TRIM(Table1[[#This Row],[Dostawca]])</f>
        <v>CentrumFarm</v>
      </c>
      <c r="D1094" s="3">
        <v>44965</v>
      </c>
      <c r="E1094" s="4" t="s">
        <v>3252</v>
      </c>
      <c r="F1094" s="2" t="str">
        <f>TRIM(Table1[[#This Row],[Status]])</f>
        <v>Zaakceptowana</v>
      </c>
      <c r="G1094" s="2" t="str">
        <f>TRIM(Table1[[#This Row],[Typ]])</f>
        <v>Faktura VAT</v>
      </c>
      <c r="H1094" s="2" t="str">
        <f>TRIM(Table1[[#This Row],[Magazyn]])</f>
        <v>Apteka Szpitalna</v>
      </c>
      <c r="I1094" s="2" t="str">
        <f>TRIM(Table1[[#This Row],[Umowa]])</f>
        <v>UM-CEN-02</v>
      </c>
      <c r="J1094" s="2" t="b">
        <f>ISTEXT(Table14[[#This Row],[Data_Wystawienia]])</f>
        <v>0</v>
      </c>
      <c r="K1094" s="2">
        <f>VALUE(SUBSTITUTE(Table14[[#This Row],[Wartość]],".",","))</f>
        <v>15184.36</v>
      </c>
      <c r="L10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4" s="2" t="str">
        <f>IF(Table14[[#This Row],[Umowa]]="","Poza umową","Z umowy")</f>
        <v>Z umowy</v>
      </c>
      <c r="N1094" s="2">
        <f>YEAR(Table14[[#This Row],[Data_Wystawienia]])</f>
        <v>2023</v>
      </c>
      <c r="O1094" s="2" t="str">
        <f>TEXT(Table14[[#This Row],[Data_Wystawienia]],"rrrr-mm")</f>
        <v>2023-02</v>
      </c>
      <c r="P1094" s="2">
        <v>1</v>
      </c>
    </row>
    <row r="1095" spans="1:16" x14ac:dyDescent="0.3">
      <c r="A1095" s="2" t="str">
        <f>TRIM(Table1[[#This Row],[Numer_FV]])</f>
        <v>FV/1511HM/23</v>
      </c>
      <c r="B1095" s="2" t="str">
        <f>TRIM(Table1[[#This Row],[Numer_PZ]])</f>
        <v>PZ/801093</v>
      </c>
      <c r="C1095" s="2" t="str">
        <f>TRIM(Table1[[#This Row],[Dostawca]])</f>
        <v>HurtMedix</v>
      </c>
      <c r="D1095" s="3">
        <v>44966</v>
      </c>
      <c r="E1095" s="4" t="s">
        <v>3255</v>
      </c>
      <c r="F1095" s="2" t="str">
        <f>TRIM(Table1[[#This Row],[Status]])</f>
        <v>Zaakceptowana</v>
      </c>
      <c r="G1095" s="2" t="str">
        <f>TRIM(Table1[[#This Row],[Typ]])</f>
        <v>Faktura VAT</v>
      </c>
      <c r="H1095" s="2" t="str">
        <f>TRIM(Table1[[#This Row],[Magazyn]])</f>
        <v>Apteka Szpitalna</v>
      </c>
      <c r="I1095" s="2" t="str">
        <f>TRIM(Table1[[#This Row],[Umowa]])</f>
        <v>UM-HUR-01</v>
      </c>
      <c r="J1095" s="2" t="b">
        <f>ISTEXT(Table14[[#This Row],[Data_Wystawienia]])</f>
        <v>0</v>
      </c>
      <c r="K1095" s="2">
        <f>VALUE(SUBSTITUTE(Table14[[#This Row],[Wartość]],".",","))</f>
        <v>12007.01</v>
      </c>
      <c r="L10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5" s="2" t="str">
        <f>IF(Table14[[#This Row],[Umowa]]="","Poza umową","Z umowy")</f>
        <v>Z umowy</v>
      </c>
      <c r="N1095" s="2">
        <f>YEAR(Table14[[#This Row],[Data_Wystawienia]])</f>
        <v>2023</v>
      </c>
      <c r="O1095" s="2" t="str">
        <f>TEXT(Table14[[#This Row],[Data_Wystawienia]],"rrrr-mm")</f>
        <v>2023-02</v>
      </c>
      <c r="P1095" s="2">
        <v>1</v>
      </c>
    </row>
    <row r="1096" spans="1:16" x14ac:dyDescent="0.3">
      <c r="A1096" s="2" t="str">
        <f>TRIM(Table1[[#This Row],[Numer_FV]])</f>
        <v>FV/POL/24303/2023</v>
      </c>
      <c r="B1096" s="2" t="str">
        <f>TRIM(Table1[[#This Row],[Numer_PZ]])</f>
        <v>PZ/801094</v>
      </c>
      <c r="C1096" s="2" t="str">
        <f>TRIM(Table1[[#This Row],[Dostawca]])</f>
        <v>Polmedica</v>
      </c>
      <c r="D1096" s="3">
        <v>44966</v>
      </c>
      <c r="E1096" s="4" t="s">
        <v>3258</v>
      </c>
      <c r="F1096" s="2" t="str">
        <f>TRIM(Table1[[#This Row],[Status]])</f>
        <v>Zaakceptowana</v>
      </c>
      <c r="G1096" s="2" t="str">
        <f>TRIM(Table1[[#This Row],[Typ]])</f>
        <v>Faktura VAT</v>
      </c>
      <c r="H1096" s="2" t="str">
        <f>TRIM(Table1[[#This Row],[Magazyn]])</f>
        <v>Apteka Szpitalna</v>
      </c>
      <c r="I1096" s="2" t="str">
        <f>TRIM(Table1[[#This Row],[Umowa]])</f>
        <v>UM-POL-01</v>
      </c>
      <c r="J1096" s="2" t="b">
        <f>ISTEXT(Table14[[#This Row],[Data_Wystawienia]])</f>
        <v>0</v>
      </c>
      <c r="K1096" s="2">
        <f>VALUE(SUBSTITUTE(Table14[[#This Row],[Wartość]],".",","))</f>
        <v>16241.21</v>
      </c>
      <c r="L10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6" s="2" t="str">
        <f>IF(Table14[[#This Row],[Umowa]]="","Poza umową","Z umowy")</f>
        <v>Z umowy</v>
      </c>
      <c r="N1096" s="2">
        <f>YEAR(Table14[[#This Row],[Data_Wystawienia]])</f>
        <v>2023</v>
      </c>
      <c r="O1096" s="2" t="str">
        <f>TEXT(Table14[[#This Row],[Data_Wystawienia]],"rrrr-mm")</f>
        <v>2023-02</v>
      </c>
      <c r="P1096" s="2">
        <v>1</v>
      </c>
    </row>
    <row r="1097" spans="1:16" x14ac:dyDescent="0.3">
      <c r="A1097" s="2" t="str">
        <f>TRIM(Table1[[#This Row],[Numer_FV]])</f>
        <v>FV/41528/VDb/2023</v>
      </c>
      <c r="B1097" s="2" t="str">
        <f>TRIM(Table1[[#This Row],[Numer_PZ]])</f>
        <v>PZ/801095</v>
      </c>
      <c r="C1097" s="2" t="str">
        <f>TRIM(Table1[[#This Row],[Dostawca]])</f>
        <v>VitaDistrib</v>
      </c>
      <c r="D1097" s="3">
        <v>44966</v>
      </c>
      <c r="E1097" s="4" t="s">
        <v>3261</v>
      </c>
      <c r="F1097" s="2" t="str">
        <f>TRIM(Table1[[#This Row],[Status]])</f>
        <v>Zaakceptowana</v>
      </c>
      <c r="G1097" s="2" t="str">
        <f>TRIM(Table1[[#This Row],[Typ]])</f>
        <v>Faktura VAT</v>
      </c>
      <c r="H1097" s="2" t="str">
        <f>TRIM(Table1[[#This Row],[Magazyn]])</f>
        <v>Apteka Szpitalna</v>
      </c>
      <c r="I1097" s="2" t="str">
        <f>TRIM(Table1[[#This Row],[Umowa]])</f>
        <v>UM-VIT-01</v>
      </c>
      <c r="J1097" s="2" t="b">
        <f>ISTEXT(Table14[[#This Row],[Data_Wystawienia]])</f>
        <v>0</v>
      </c>
      <c r="K1097" s="2">
        <f>VALUE(SUBSTITUTE(Table14[[#This Row],[Wartość]],".",","))</f>
        <v>18178.849999999999</v>
      </c>
      <c r="L10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7" s="2" t="str">
        <f>IF(Table14[[#This Row],[Umowa]]="","Poza umową","Z umowy")</f>
        <v>Z umowy</v>
      </c>
      <c r="N1097" s="2">
        <f>YEAR(Table14[[#This Row],[Data_Wystawienia]])</f>
        <v>2023</v>
      </c>
      <c r="O1097" s="2" t="str">
        <f>TEXT(Table14[[#This Row],[Data_Wystawienia]],"rrrr-mm")</f>
        <v>2023-02</v>
      </c>
      <c r="P1097" s="2">
        <v>1</v>
      </c>
    </row>
    <row r="1098" spans="1:16" x14ac:dyDescent="0.3">
      <c r="A1098" s="2" t="str">
        <f>TRIM(Table1[[#This Row],[Numer_FV]])</f>
        <v>FV/POL/14421/2023</v>
      </c>
      <c r="B1098" s="2" t="str">
        <f>TRIM(Table1[[#This Row],[Numer_PZ]])</f>
        <v>PZ/801096</v>
      </c>
      <c r="C1098" s="2" t="str">
        <f>TRIM(Table1[[#This Row],[Dostawca]])</f>
        <v>Polmedica</v>
      </c>
      <c r="D1098" s="3">
        <v>44967</v>
      </c>
      <c r="E1098" s="4" t="s">
        <v>3264</v>
      </c>
      <c r="F1098" s="2" t="str">
        <f>TRIM(Table1[[#This Row],[Status]])</f>
        <v>Zaakceptowana</v>
      </c>
      <c r="G1098" s="2" t="str">
        <f>TRIM(Table1[[#This Row],[Typ]])</f>
        <v>Faktura VAT</v>
      </c>
      <c r="H1098" s="2" t="str">
        <f>TRIM(Table1[[#This Row],[Magazyn]])</f>
        <v>Apteka Szpitalna</v>
      </c>
      <c r="I1098" s="2" t="str">
        <f>TRIM(Table1[[#This Row],[Umowa]])</f>
        <v>UM-POL-03</v>
      </c>
      <c r="J1098" s="2" t="b">
        <f>ISTEXT(Table14[[#This Row],[Data_Wystawienia]])</f>
        <v>0</v>
      </c>
      <c r="K1098" s="2">
        <f>VALUE(SUBSTITUTE(Table14[[#This Row],[Wartość]],".",","))</f>
        <v>18116.990000000002</v>
      </c>
      <c r="L10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8" s="2" t="str">
        <f>IF(Table14[[#This Row],[Umowa]]="","Poza umową","Z umowy")</f>
        <v>Z umowy</v>
      </c>
      <c r="N1098" s="2">
        <f>YEAR(Table14[[#This Row],[Data_Wystawienia]])</f>
        <v>2023</v>
      </c>
      <c r="O1098" s="2" t="str">
        <f>TEXT(Table14[[#This Row],[Data_Wystawienia]],"rrrr-mm")</f>
        <v>2023-02</v>
      </c>
      <c r="P1098" s="2">
        <v>1</v>
      </c>
    </row>
    <row r="1099" spans="1:16" x14ac:dyDescent="0.3">
      <c r="A1099" s="2" t="str">
        <f>TRIM(Table1[[#This Row],[Numer_FV]])</f>
        <v>FV/M/7490/P/23</v>
      </c>
      <c r="B1099" s="2" t="str">
        <f>TRIM(Table1[[#This Row],[Numer_PZ]])</f>
        <v>PZ/801097</v>
      </c>
      <c r="C1099" s="2" t="str">
        <f>TRIM(Table1[[#This Row],[Dostawca]])</f>
        <v>MedicaPharm</v>
      </c>
      <c r="D1099" s="3">
        <v>44967</v>
      </c>
      <c r="E1099" s="4" t="s">
        <v>3267</v>
      </c>
      <c r="F1099" s="2" t="str">
        <f>TRIM(Table1[[#This Row],[Status]])</f>
        <v>Zaakceptowana</v>
      </c>
      <c r="G1099" s="2" t="str">
        <f>TRIM(Table1[[#This Row],[Typ]])</f>
        <v>Faktura VAT</v>
      </c>
      <c r="H1099" s="2" t="str">
        <f>TRIM(Table1[[#This Row],[Magazyn]])</f>
        <v>Apteka Szpitalna</v>
      </c>
      <c r="I1099" s="2" t="str">
        <f>TRIM(Table1[[#This Row],[Umowa]])</f>
        <v/>
      </c>
      <c r="J1099" s="2" t="b">
        <f>ISTEXT(Table14[[#This Row],[Data_Wystawienia]])</f>
        <v>0</v>
      </c>
      <c r="K1099" s="2">
        <f>VALUE(SUBSTITUTE(Table14[[#This Row],[Wartość]],".",","))</f>
        <v>16984.23</v>
      </c>
      <c r="L10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099" s="2" t="str">
        <f>IF(Table14[[#This Row],[Umowa]]="","Poza umową","Z umowy")</f>
        <v>Poza umową</v>
      </c>
      <c r="N1099" s="2">
        <f>YEAR(Table14[[#This Row],[Data_Wystawienia]])</f>
        <v>2023</v>
      </c>
      <c r="O1099" s="2" t="str">
        <f>TEXT(Table14[[#This Row],[Data_Wystawienia]],"rrrr-mm")</f>
        <v>2023-02</v>
      </c>
      <c r="P1099" s="2">
        <v>1</v>
      </c>
    </row>
    <row r="1100" spans="1:16" x14ac:dyDescent="0.3">
      <c r="A1100" s="2" t="str">
        <f>TRIM(Table1[[#This Row],[Numer_FV]])</f>
        <v>FV/CENFA/655185/23</v>
      </c>
      <c r="B1100" s="2" t="str">
        <f>TRIM(Table1[[#This Row],[Numer_PZ]])</f>
        <v>PZ/801098</v>
      </c>
      <c r="C1100" s="2" t="str">
        <f>TRIM(Table1[[#This Row],[Dostawca]])</f>
        <v>CentrumFarm</v>
      </c>
      <c r="D1100" s="3">
        <v>44968</v>
      </c>
      <c r="E1100" s="4" t="s">
        <v>3270</v>
      </c>
      <c r="F1100" s="2" t="str">
        <f>TRIM(Table1[[#This Row],[Status]])</f>
        <v>Zaakceptowana</v>
      </c>
      <c r="G1100" s="2" t="str">
        <f>TRIM(Table1[[#This Row],[Typ]])</f>
        <v>Faktura VAT</v>
      </c>
      <c r="H1100" s="2" t="str">
        <f>TRIM(Table1[[#This Row],[Magazyn]])</f>
        <v>Apteka Szpitalna</v>
      </c>
      <c r="I1100" s="2" t="str">
        <f>TRIM(Table1[[#This Row],[Umowa]])</f>
        <v>UM-CEN-02</v>
      </c>
      <c r="J1100" s="2" t="b">
        <f>ISTEXT(Table14[[#This Row],[Data_Wystawienia]])</f>
        <v>0</v>
      </c>
      <c r="K1100" s="2">
        <f>VALUE(SUBSTITUTE(Table14[[#This Row],[Wartość]],".",","))</f>
        <v>14437.05</v>
      </c>
      <c r="L11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0" s="2" t="str">
        <f>IF(Table14[[#This Row],[Umowa]]="","Poza umową","Z umowy")</f>
        <v>Z umowy</v>
      </c>
      <c r="N1100" s="2">
        <f>YEAR(Table14[[#This Row],[Data_Wystawienia]])</f>
        <v>2023</v>
      </c>
      <c r="O1100" s="2" t="str">
        <f>TEXT(Table14[[#This Row],[Data_Wystawienia]],"rrrr-mm")</f>
        <v>2023-02</v>
      </c>
      <c r="P1100" s="2">
        <v>1</v>
      </c>
    </row>
    <row r="1101" spans="1:16" x14ac:dyDescent="0.3">
      <c r="A1101" s="2" t="str">
        <f>TRIM(Table1[[#This Row],[Numer_FV]])</f>
        <v>FV/POL/63133/2023</v>
      </c>
      <c r="B1101" s="2" t="str">
        <f>TRIM(Table1[[#This Row],[Numer_PZ]])</f>
        <v>PZ/801099</v>
      </c>
      <c r="C1101" s="2" t="str">
        <f>TRIM(Table1[[#This Row],[Dostawca]])</f>
        <v>Polmedica</v>
      </c>
      <c r="D1101" s="3">
        <v>44968</v>
      </c>
      <c r="E1101" s="4" t="s">
        <v>3273</v>
      </c>
      <c r="F1101" s="2" t="str">
        <f>TRIM(Table1[[#This Row],[Status]])</f>
        <v>Zaakceptowana</v>
      </c>
      <c r="G1101" s="2" t="str">
        <f>TRIM(Table1[[#This Row],[Typ]])</f>
        <v>Faktura VAT</v>
      </c>
      <c r="H1101" s="2" t="str">
        <f>TRIM(Table1[[#This Row],[Magazyn]])</f>
        <v>Apteka Szpitalna</v>
      </c>
      <c r="I1101" s="2" t="str">
        <f>TRIM(Table1[[#This Row],[Umowa]])</f>
        <v/>
      </c>
      <c r="J1101" s="2" t="b">
        <f>ISTEXT(Table14[[#This Row],[Data_Wystawienia]])</f>
        <v>0</v>
      </c>
      <c r="K1101" s="2">
        <f>VALUE(SUBSTITUTE(Table14[[#This Row],[Wartość]],".",","))</f>
        <v>11511.68</v>
      </c>
      <c r="L11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1" s="2" t="str">
        <f>IF(Table14[[#This Row],[Umowa]]="","Poza umową","Z umowy")</f>
        <v>Poza umową</v>
      </c>
      <c r="N1101" s="2">
        <f>YEAR(Table14[[#This Row],[Data_Wystawienia]])</f>
        <v>2023</v>
      </c>
      <c r="O1101" s="2" t="str">
        <f>TEXT(Table14[[#This Row],[Data_Wystawienia]],"rrrr-mm")</f>
        <v>2023-02</v>
      </c>
      <c r="P1101" s="2">
        <v>1</v>
      </c>
    </row>
    <row r="1102" spans="1:16" x14ac:dyDescent="0.3">
      <c r="A1102" s="2" t="str">
        <f>TRIM(Table1[[#This Row],[Numer_FV]])</f>
        <v>FV/1151HM/23</v>
      </c>
      <c r="B1102" s="2" t="str">
        <f>TRIM(Table1[[#This Row],[Numer_PZ]])</f>
        <v>PZ/801100</v>
      </c>
      <c r="C1102" s="2" t="str">
        <f>TRIM(Table1[[#This Row],[Dostawca]])</f>
        <v>HurtMedix</v>
      </c>
      <c r="D1102" s="3">
        <v>44968</v>
      </c>
      <c r="E1102" s="4" t="s">
        <v>3276</v>
      </c>
      <c r="F1102" s="2" t="str">
        <f>TRIM(Table1[[#This Row],[Status]])</f>
        <v>Zaakceptowana</v>
      </c>
      <c r="G1102" s="2" t="str">
        <f>TRIM(Table1[[#This Row],[Typ]])</f>
        <v>Faktura VAT</v>
      </c>
      <c r="H1102" s="2" t="str">
        <f>TRIM(Table1[[#This Row],[Magazyn]])</f>
        <v>Apteka Szpitalna</v>
      </c>
      <c r="I1102" s="2" t="str">
        <f>TRIM(Table1[[#This Row],[Umowa]])</f>
        <v/>
      </c>
      <c r="J1102" s="2" t="b">
        <f>ISTEXT(Table14[[#This Row],[Data_Wystawienia]])</f>
        <v>0</v>
      </c>
      <c r="K1102" s="2">
        <f>VALUE(SUBSTITUTE(Table14[[#This Row],[Wartość]],".",","))</f>
        <v>18974.84</v>
      </c>
      <c r="L11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2" s="2" t="str">
        <f>IF(Table14[[#This Row],[Umowa]]="","Poza umową","Z umowy")</f>
        <v>Poza umową</v>
      </c>
      <c r="N1102" s="2">
        <f>YEAR(Table14[[#This Row],[Data_Wystawienia]])</f>
        <v>2023</v>
      </c>
      <c r="O1102" s="2" t="str">
        <f>TEXT(Table14[[#This Row],[Data_Wystawienia]],"rrrr-mm")</f>
        <v>2023-02</v>
      </c>
      <c r="P1102" s="2">
        <v>1</v>
      </c>
    </row>
    <row r="1103" spans="1:16" x14ac:dyDescent="0.3">
      <c r="A1103" s="2" t="str">
        <f>TRIM(Table1[[#This Row],[Numer_FV]])</f>
        <v>FV/48311/VDb/2023</v>
      </c>
      <c r="B1103" s="2" t="str">
        <f>TRIM(Table1[[#This Row],[Numer_PZ]])</f>
        <v>PZ/801101</v>
      </c>
      <c r="C1103" s="2" t="str">
        <f>TRIM(Table1[[#This Row],[Dostawca]])</f>
        <v>VitaDistrib</v>
      </c>
      <c r="D1103" s="3">
        <v>44968</v>
      </c>
      <c r="E1103" s="4" t="s">
        <v>3279</v>
      </c>
      <c r="F1103" s="2" t="str">
        <f>TRIM(Table1[[#This Row],[Status]])</f>
        <v>Zaakceptowana</v>
      </c>
      <c r="G1103" s="2" t="str">
        <f>TRIM(Table1[[#This Row],[Typ]])</f>
        <v>Faktura VAT</v>
      </c>
      <c r="H1103" s="2" t="str">
        <f>TRIM(Table1[[#This Row],[Magazyn]])</f>
        <v>Apteka Szpitalna</v>
      </c>
      <c r="I1103" s="2" t="str">
        <f>TRIM(Table1[[#This Row],[Umowa]])</f>
        <v>UM-VIT-01</v>
      </c>
      <c r="J1103" s="2" t="b">
        <f>ISTEXT(Table14[[#This Row],[Data_Wystawienia]])</f>
        <v>0</v>
      </c>
      <c r="K1103" s="2">
        <f>VALUE(SUBSTITUTE(Table14[[#This Row],[Wartość]],".",","))</f>
        <v>16353.42</v>
      </c>
      <c r="L11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3" s="2" t="str">
        <f>IF(Table14[[#This Row],[Umowa]]="","Poza umową","Z umowy")</f>
        <v>Z umowy</v>
      </c>
      <c r="N1103" s="2">
        <f>YEAR(Table14[[#This Row],[Data_Wystawienia]])</f>
        <v>2023</v>
      </c>
      <c r="O1103" s="2" t="str">
        <f>TEXT(Table14[[#This Row],[Data_Wystawienia]],"rrrr-mm")</f>
        <v>2023-02</v>
      </c>
      <c r="P1103" s="2">
        <v>1</v>
      </c>
    </row>
    <row r="1104" spans="1:16" x14ac:dyDescent="0.3">
      <c r="A1104" s="2" t="str">
        <f>TRIM(Table1[[#This Row],[Numer_FV]])</f>
        <v>FV/33/SAL/23</v>
      </c>
      <c r="B1104" s="2" t="str">
        <f>TRIM(Table1[[#This Row],[Numer_PZ]])</f>
        <v>PZ/801102</v>
      </c>
      <c r="C1104" s="2" t="str">
        <f>TRIM(Table1[[#This Row],[Dostawca]])</f>
        <v>SalusHurt</v>
      </c>
      <c r="D1104" s="3">
        <v>44968</v>
      </c>
      <c r="E1104" s="4" t="s">
        <v>3282</v>
      </c>
      <c r="F1104" s="2" t="str">
        <f>TRIM(Table1[[#This Row],[Status]])</f>
        <v>Zaakceptowana</v>
      </c>
      <c r="G1104" s="2" t="str">
        <f>TRIM(Table1[[#This Row],[Typ]])</f>
        <v>Korekta FV</v>
      </c>
      <c r="H1104" s="2" t="str">
        <f>TRIM(Table1[[#This Row],[Magazyn]])</f>
        <v>Apteka Szpitalna</v>
      </c>
      <c r="I1104" s="2" t="str">
        <f>TRIM(Table1[[#This Row],[Umowa]])</f>
        <v>UM-SAL-01</v>
      </c>
      <c r="J1104" s="2" t="b">
        <f>ISTEXT(Table14[[#This Row],[Data_Wystawienia]])</f>
        <v>0</v>
      </c>
      <c r="K1104" s="2">
        <f>VALUE(SUBSTITUTE(Table14[[#This Row],[Wartość]],".",","))</f>
        <v>-2081.0100000000002</v>
      </c>
      <c r="L11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4" s="2" t="str">
        <f>IF(Table14[[#This Row],[Umowa]]="","Poza umową","Z umowy")</f>
        <v>Z umowy</v>
      </c>
      <c r="N1104" s="2">
        <f>YEAR(Table14[[#This Row],[Data_Wystawienia]])</f>
        <v>2023</v>
      </c>
      <c r="O1104" s="2" t="str">
        <f>TEXT(Table14[[#This Row],[Data_Wystawienia]],"rrrr-mm")</f>
        <v>2023-02</v>
      </c>
      <c r="P1104" s="2">
        <v>1</v>
      </c>
    </row>
    <row r="1105" spans="1:16" x14ac:dyDescent="0.3">
      <c r="A1105" s="2" t="str">
        <f>TRIM(Table1[[#This Row],[Numer_FV]])</f>
        <v>FV/32848/VDb/2023</v>
      </c>
      <c r="B1105" s="2" t="str">
        <f>TRIM(Table1[[#This Row],[Numer_PZ]])</f>
        <v>PZ/801103</v>
      </c>
      <c r="C1105" s="2" t="str">
        <f>TRIM(Table1[[#This Row],[Dostawca]])</f>
        <v>VitaDistrib</v>
      </c>
      <c r="D1105" s="3">
        <v>44968</v>
      </c>
      <c r="E1105" s="4" t="s">
        <v>3285</v>
      </c>
      <c r="F1105" s="2" t="str">
        <f>TRIM(Table1[[#This Row],[Status]])</f>
        <v>Zaakceptowana</v>
      </c>
      <c r="G1105" s="2" t="str">
        <f>TRIM(Table1[[#This Row],[Typ]])</f>
        <v>Faktura VAT</v>
      </c>
      <c r="H1105" s="2" t="str">
        <f>TRIM(Table1[[#This Row],[Magazyn]])</f>
        <v>Apteka Szpitalna</v>
      </c>
      <c r="I1105" s="2" t="str">
        <f>TRIM(Table1[[#This Row],[Umowa]])</f>
        <v>UM-VIT-01</v>
      </c>
      <c r="J1105" s="2" t="b">
        <f>ISTEXT(Table14[[#This Row],[Data_Wystawienia]])</f>
        <v>0</v>
      </c>
      <c r="K1105" s="2">
        <f>VALUE(SUBSTITUTE(Table14[[#This Row],[Wartość]],".",","))</f>
        <v>14489.73</v>
      </c>
      <c r="L11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5" s="2" t="str">
        <f>IF(Table14[[#This Row],[Umowa]]="","Poza umową","Z umowy")</f>
        <v>Z umowy</v>
      </c>
      <c r="N1105" s="2">
        <f>YEAR(Table14[[#This Row],[Data_Wystawienia]])</f>
        <v>2023</v>
      </c>
      <c r="O1105" s="2" t="str">
        <f>TEXT(Table14[[#This Row],[Data_Wystawienia]],"rrrr-mm")</f>
        <v>2023-02</v>
      </c>
      <c r="P1105" s="2">
        <v>1</v>
      </c>
    </row>
    <row r="1106" spans="1:16" x14ac:dyDescent="0.3">
      <c r="A1106" s="2" t="str">
        <f>TRIM(Table1[[#This Row],[Numer_FV]])</f>
        <v>FV/CENFA/174537/23</v>
      </c>
      <c r="B1106" s="2" t="str">
        <f>TRIM(Table1[[#This Row],[Numer_PZ]])</f>
        <v>PZ/801104</v>
      </c>
      <c r="C1106" s="2" t="str">
        <f>TRIM(Table1[[#This Row],[Dostawca]])</f>
        <v>CentrumFarm</v>
      </c>
      <c r="D1106" s="3">
        <v>44969</v>
      </c>
      <c r="E1106" s="4" t="s">
        <v>3288</v>
      </c>
      <c r="F1106" s="2" t="str">
        <f>TRIM(Table1[[#This Row],[Status]])</f>
        <v>Zaakceptowana</v>
      </c>
      <c r="G1106" s="2" t="str">
        <f>TRIM(Table1[[#This Row],[Typ]])</f>
        <v>Faktura VAT</v>
      </c>
      <c r="H1106" s="2" t="str">
        <f>TRIM(Table1[[#This Row],[Magazyn]])</f>
        <v>Apteka Szpitalna</v>
      </c>
      <c r="I1106" s="2" t="str">
        <f>TRIM(Table1[[#This Row],[Umowa]])</f>
        <v>UM-CEN-01</v>
      </c>
      <c r="J1106" s="2" t="b">
        <f>ISTEXT(Table14[[#This Row],[Data_Wystawienia]])</f>
        <v>0</v>
      </c>
      <c r="K1106" s="2">
        <f>VALUE(SUBSTITUTE(Table14[[#This Row],[Wartość]],".",","))</f>
        <v>13651.16</v>
      </c>
      <c r="L11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6" s="2" t="str">
        <f>IF(Table14[[#This Row],[Umowa]]="","Poza umową","Z umowy")</f>
        <v>Z umowy</v>
      </c>
      <c r="N1106" s="2">
        <f>YEAR(Table14[[#This Row],[Data_Wystawienia]])</f>
        <v>2023</v>
      </c>
      <c r="O1106" s="2" t="str">
        <f>TEXT(Table14[[#This Row],[Data_Wystawienia]],"rrrr-mm")</f>
        <v>2023-02</v>
      </c>
      <c r="P1106" s="2">
        <v>1</v>
      </c>
    </row>
    <row r="1107" spans="1:16" x14ac:dyDescent="0.3">
      <c r="A1107" s="2" t="str">
        <f>TRIM(Table1[[#This Row],[Numer_FV]])</f>
        <v>FV/CENFA/691379/23</v>
      </c>
      <c r="B1107" s="2" t="str">
        <f>TRIM(Table1[[#This Row],[Numer_PZ]])</f>
        <v>PZ/801105</v>
      </c>
      <c r="C1107" s="2" t="str">
        <f>TRIM(Table1[[#This Row],[Dostawca]])</f>
        <v>CentrumFarm</v>
      </c>
      <c r="D1107" s="3">
        <v>44969</v>
      </c>
      <c r="E1107" s="4" t="s">
        <v>3291</v>
      </c>
      <c r="F1107" s="2" t="str">
        <f>TRIM(Table1[[#This Row],[Status]])</f>
        <v>Zaakceptowana</v>
      </c>
      <c r="G1107" s="2" t="str">
        <f>TRIM(Table1[[#This Row],[Typ]])</f>
        <v>Faktura VAT</v>
      </c>
      <c r="H1107" s="2" t="str">
        <f>TRIM(Table1[[#This Row],[Magazyn]])</f>
        <v>Apteka Szpitalna</v>
      </c>
      <c r="I1107" s="2" t="str">
        <f>TRIM(Table1[[#This Row],[Umowa]])</f>
        <v/>
      </c>
      <c r="J1107" s="2" t="b">
        <f>ISTEXT(Table14[[#This Row],[Data_Wystawienia]])</f>
        <v>0</v>
      </c>
      <c r="K1107" s="2">
        <f>VALUE(SUBSTITUTE(Table14[[#This Row],[Wartość]],".",","))</f>
        <v>13514.79</v>
      </c>
      <c r="L11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7" s="2" t="str">
        <f>IF(Table14[[#This Row],[Umowa]]="","Poza umową","Z umowy")</f>
        <v>Poza umową</v>
      </c>
      <c r="N1107" s="2">
        <f>YEAR(Table14[[#This Row],[Data_Wystawienia]])</f>
        <v>2023</v>
      </c>
      <c r="O1107" s="2" t="str">
        <f>TEXT(Table14[[#This Row],[Data_Wystawienia]],"rrrr-mm")</f>
        <v>2023-02</v>
      </c>
      <c r="P1107" s="2">
        <v>1</v>
      </c>
    </row>
    <row r="1108" spans="1:16" x14ac:dyDescent="0.3">
      <c r="A1108" s="2" t="str">
        <f>TRIM(Table1[[#This Row],[Numer_FV]])</f>
        <v>FV/57/SAL/23</v>
      </c>
      <c r="B1108" s="2" t="str">
        <f>TRIM(Table1[[#This Row],[Numer_PZ]])</f>
        <v>PZ/801106</v>
      </c>
      <c r="C1108" s="2" t="str">
        <f>TRIM(Table1[[#This Row],[Dostawca]])</f>
        <v>SalusHurt</v>
      </c>
      <c r="D1108" s="3">
        <v>44969</v>
      </c>
      <c r="E1108" s="4" t="s">
        <v>3294</v>
      </c>
      <c r="F1108" s="2" t="str">
        <f>TRIM(Table1[[#This Row],[Status]])</f>
        <v>Zaakceptowana</v>
      </c>
      <c r="G1108" s="2" t="str">
        <f>TRIM(Table1[[#This Row],[Typ]])</f>
        <v>Faktura VAT</v>
      </c>
      <c r="H1108" s="2" t="str">
        <f>TRIM(Table1[[#This Row],[Magazyn]])</f>
        <v>Apteka Szpitalna</v>
      </c>
      <c r="I1108" s="2" t="str">
        <f>TRIM(Table1[[#This Row],[Umowa]])</f>
        <v>UM-SAL-02</v>
      </c>
      <c r="J1108" s="2" t="b">
        <f>ISTEXT(Table14[[#This Row],[Data_Wystawienia]])</f>
        <v>0</v>
      </c>
      <c r="K1108" s="2">
        <f>VALUE(SUBSTITUTE(Table14[[#This Row],[Wartość]],".",","))</f>
        <v>23020.44</v>
      </c>
      <c r="L11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8" s="2" t="str">
        <f>IF(Table14[[#This Row],[Umowa]]="","Poza umową","Z umowy")</f>
        <v>Z umowy</v>
      </c>
      <c r="N1108" s="2">
        <f>YEAR(Table14[[#This Row],[Data_Wystawienia]])</f>
        <v>2023</v>
      </c>
      <c r="O1108" s="2" t="str">
        <f>TEXT(Table14[[#This Row],[Data_Wystawienia]],"rrrr-mm")</f>
        <v>2023-02</v>
      </c>
      <c r="P1108" s="2">
        <v>1</v>
      </c>
    </row>
    <row r="1109" spans="1:16" x14ac:dyDescent="0.3">
      <c r="A1109" s="2" t="str">
        <f>TRIM(Table1[[#This Row],[Numer_FV]])</f>
        <v>FV/60/PP/8793/23</v>
      </c>
      <c r="B1109" s="2" t="str">
        <f>TRIM(Table1[[#This Row],[Numer_PZ]])</f>
        <v>PZ/801107</v>
      </c>
      <c r="C1109" s="2" t="str">
        <f>TRIM(Table1[[#This Row],[Dostawca]])</f>
        <v>PharmaPlus</v>
      </c>
      <c r="D1109" s="3">
        <v>44969</v>
      </c>
      <c r="E1109" s="4" t="s">
        <v>3297</v>
      </c>
      <c r="F1109" s="2" t="str">
        <f>TRIM(Table1[[#This Row],[Status]])</f>
        <v>Zaakceptowana</v>
      </c>
      <c r="G1109" s="2" t="str">
        <f>TRIM(Table1[[#This Row],[Typ]])</f>
        <v>Faktura VAT</v>
      </c>
      <c r="H1109" s="2" t="str">
        <f>TRIM(Table1[[#This Row],[Magazyn]])</f>
        <v>Apteka Szpitalna</v>
      </c>
      <c r="I1109" s="2" t="str">
        <f>TRIM(Table1[[#This Row],[Umowa]])</f>
        <v/>
      </c>
      <c r="J1109" s="2" t="b">
        <f>ISTEXT(Table14[[#This Row],[Data_Wystawienia]])</f>
        <v>0</v>
      </c>
      <c r="K1109" s="2">
        <f>VALUE(SUBSTITUTE(Table14[[#This Row],[Wartość]],".",","))</f>
        <v>14641.67</v>
      </c>
      <c r="L11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09" s="2" t="str">
        <f>IF(Table14[[#This Row],[Umowa]]="","Poza umową","Z umowy")</f>
        <v>Poza umową</v>
      </c>
      <c r="N1109" s="2">
        <f>YEAR(Table14[[#This Row],[Data_Wystawienia]])</f>
        <v>2023</v>
      </c>
      <c r="O1109" s="2" t="str">
        <f>TEXT(Table14[[#This Row],[Data_Wystawienia]],"rrrr-mm")</f>
        <v>2023-02</v>
      </c>
      <c r="P1109" s="2">
        <v>1</v>
      </c>
    </row>
    <row r="1110" spans="1:16" x14ac:dyDescent="0.3">
      <c r="A1110" s="2" t="str">
        <f>TRIM(Table1[[#This Row],[Numer_FV]])</f>
        <v>FV/92/PP/9716/23</v>
      </c>
      <c r="B1110" s="2" t="str">
        <f>TRIM(Table1[[#This Row],[Numer_PZ]])</f>
        <v>PZ/801108</v>
      </c>
      <c r="C1110" s="2" t="str">
        <f>TRIM(Table1[[#This Row],[Dostawca]])</f>
        <v>PharmaPlus</v>
      </c>
      <c r="D1110" s="3">
        <v>44969</v>
      </c>
      <c r="E1110" s="4" t="s">
        <v>3300</v>
      </c>
      <c r="F1110" s="2" t="str">
        <f>TRIM(Table1[[#This Row],[Status]])</f>
        <v>Zaakceptowana</v>
      </c>
      <c r="G1110" s="2" t="str">
        <f>TRIM(Table1[[#This Row],[Typ]])</f>
        <v>Faktura VAT</v>
      </c>
      <c r="H1110" s="2" t="str">
        <f>TRIM(Table1[[#This Row],[Magazyn]])</f>
        <v>Apteka Szpitalna</v>
      </c>
      <c r="I1110" s="2" t="str">
        <f>TRIM(Table1[[#This Row],[Umowa]])</f>
        <v>UM-PHA-02</v>
      </c>
      <c r="J1110" s="2" t="b">
        <f>ISTEXT(Table14[[#This Row],[Data_Wystawienia]])</f>
        <v>0</v>
      </c>
      <c r="K1110" s="2">
        <f>VALUE(SUBSTITUTE(Table14[[#This Row],[Wartość]],".",","))</f>
        <v>28349.77</v>
      </c>
      <c r="L11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0" s="2" t="str">
        <f>IF(Table14[[#This Row],[Umowa]]="","Poza umową","Z umowy")</f>
        <v>Z umowy</v>
      </c>
      <c r="N1110" s="2">
        <f>YEAR(Table14[[#This Row],[Data_Wystawienia]])</f>
        <v>2023</v>
      </c>
      <c r="O1110" s="2" t="str">
        <f>TEXT(Table14[[#This Row],[Data_Wystawienia]],"rrrr-mm")</f>
        <v>2023-02</v>
      </c>
      <c r="P1110" s="2">
        <v>1</v>
      </c>
    </row>
    <row r="1111" spans="1:16" x14ac:dyDescent="0.3">
      <c r="A1111" s="2" t="str">
        <f>TRIM(Table1[[#This Row],[Numer_FV]])</f>
        <v>FV/CENFA/510179/23</v>
      </c>
      <c r="B1111" s="2" t="str">
        <f>TRIM(Table1[[#This Row],[Numer_PZ]])</f>
        <v>PZ/801109</v>
      </c>
      <c r="C1111" s="2" t="str">
        <f>TRIM(Table1[[#This Row],[Dostawca]])</f>
        <v>CentrumFarm</v>
      </c>
      <c r="D1111" s="3">
        <v>44970</v>
      </c>
      <c r="E1111" s="4" t="s">
        <v>3303</v>
      </c>
      <c r="F1111" s="2" t="str">
        <f>TRIM(Table1[[#This Row],[Status]])</f>
        <v>Zaakceptowana</v>
      </c>
      <c r="G1111" s="2" t="str">
        <f>TRIM(Table1[[#This Row],[Typ]])</f>
        <v>Faktura VAT</v>
      </c>
      <c r="H1111" s="2" t="str">
        <f>TRIM(Table1[[#This Row],[Magazyn]])</f>
        <v>Apteka Szpitalna</v>
      </c>
      <c r="I1111" s="2" t="str">
        <f>TRIM(Table1[[#This Row],[Umowa]])</f>
        <v>UM-CEN-02</v>
      </c>
      <c r="J1111" s="2" t="b">
        <f>ISTEXT(Table14[[#This Row],[Data_Wystawienia]])</f>
        <v>0</v>
      </c>
      <c r="K1111" s="2">
        <f>VALUE(SUBSTITUTE(Table14[[#This Row],[Wartość]],".",","))</f>
        <v>14825</v>
      </c>
      <c r="L11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1" s="2" t="str">
        <f>IF(Table14[[#This Row],[Umowa]]="","Poza umową","Z umowy")</f>
        <v>Z umowy</v>
      </c>
      <c r="N1111" s="2">
        <f>YEAR(Table14[[#This Row],[Data_Wystawienia]])</f>
        <v>2023</v>
      </c>
      <c r="O1111" s="2" t="str">
        <f>TEXT(Table14[[#This Row],[Data_Wystawienia]],"rrrr-mm")</f>
        <v>2023-02</v>
      </c>
      <c r="P1111" s="2">
        <v>1</v>
      </c>
    </row>
    <row r="1112" spans="1:16" x14ac:dyDescent="0.3">
      <c r="A1112" s="2" t="str">
        <f>TRIM(Table1[[#This Row],[Numer_FV]])</f>
        <v>FV/77/SAL/23</v>
      </c>
      <c r="B1112" s="2" t="str">
        <f>TRIM(Table1[[#This Row],[Numer_PZ]])</f>
        <v>PZ/801110</v>
      </c>
      <c r="C1112" s="2" t="str">
        <f>TRIM(Table1[[#This Row],[Dostawca]])</f>
        <v>SalusHurt</v>
      </c>
      <c r="D1112" s="3">
        <v>44970</v>
      </c>
      <c r="E1112" s="4" t="s">
        <v>3306</v>
      </c>
      <c r="F1112" s="2" t="str">
        <f>TRIM(Table1[[#This Row],[Status]])</f>
        <v>Zaakceptowana</v>
      </c>
      <c r="G1112" s="2" t="str">
        <f>TRIM(Table1[[#This Row],[Typ]])</f>
        <v>Faktura VAT</v>
      </c>
      <c r="H1112" s="2" t="str">
        <f>TRIM(Table1[[#This Row],[Magazyn]])</f>
        <v>Apteka Szpitalna</v>
      </c>
      <c r="I1112" s="2" t="str">
        <f>TRIM(Table1[[#This Row],[Umowa]])</f>
        <v>UM-SAL-01</v>
      </c>
      <c r="J1112" s="2" t="b">
        <f>ISTEXT(Table14[[#This Row],[Data_Wystawienia]])</f>
        <v>0</v>
      </c>
      <c r="K1112" s="2">
        <f>VALUE(SUBSTITUTE(Table14[[#This Row],[Wartość]],".",","))</f>
        <v>16620.82</v>
      </c>
      <c r="L11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2" s="2" t="str">
        <f>IF(Table14[[#This Row],[Umowa]]="","Poza umową","Z umowy")</f>
        <v>Z umowy</v>
      </c>
      <c r="N1112" s="2">
        <f>YEAR(Table14[[#This Row],[Data_Wystawienia]])</f>
        <v>2023</v>
      </c>
      <c r="O1112" s="2" t="str">
        <f>TEXT(Table14[[#This Row],[Data_Wystawienia]],"rrrr-mm")</f>
        <v>2023-02</v>
      </c>
      <c r="P1112" s="2">
        <v>1</v>
      </c>
    </row>
    <row r="1113" spans="1:16" x14ac:dyDescent="0.3">
      <c r="A1113" s="2" t="str">
        <f>TRIM(Table1[[#This Row],[Numer_FV]])</f>
        <v>FV/CENFA/101213/23</v>
      </c>
      <c r="B1113" s="2" t="str">
        <f>TRIM(Table1[[#This Row],[Numer_PZ]])</f>
        <v>PZ/801111</v>
      </c>
      <c r="C1113" s="2" t="str">
        <f>TRIM(Table1[[#This Row],[Dostawca]])</f>
        <v>CentrumFarm</v>
      </c>
      <c r="D1113" s="3">
        <v>44971</v>
      </c>
      <c r="E1113" s="4" t="s">
        <v>3309</v>
      </c>
      <c r="F1113" s="2" t="str">
        <f>TRIM(Table1[[#This Row],[Status]])</f>
        <v>Zaakceptowana</v>
      </c>
      <c r="G1113" s="2" t="str">
        <f>TRIM(Table1[[#This Row],[Typ]])</f>
        <v>Faktura VAT</v>
      </c>
      <c r="H1113" s="2" t="str">
        <f>TRIM(Table1[[#This Row],[Magazyn]])</f>
        <v>Apteka Szpitalna</v>
      </c>
      <c r="I1113" s="2" t="str">
        <f>TRIM(Table1[[#This Row],[Umowa]])</f>
        <v/>
      </c>
      <c r="J1113" s="2" t="b">
        <f>ISTEXT(Table14[[#This Row],[Data_Wystawienia]])</f>
        <v>0</v>
      </c>
      <c r="K1113" s="2">
        <f>VALUE(SUBSTITUTE(Table14[[#This Row],[Wartość]],".",","))</f>
        <v>19762.46</v>
      </c>
      <c r="L11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3" s="2" t="str">
        <f>IF(Table14[[#This Row],[Umowa]]="","Poza umową","Z umowy")</f>
        <v>Poza umową</v>
      </c>
      <c r="N1113" s="2">
        <f>YEAR(Table14[[#This Row],[Data_Wystawienia]])</f>
        <v>2023</v>
      </c>
      <c r="O1113" s="2" t="str">
        <f>TEXT(Table14[[#This Row],[Data_Wystawienia]],"rrrr-mm")</f>
        <v>2023-02</v>
      </c>
      <c r="P1113" s="2">
        <v>1</v>
      </c>
    </row>
    <row r="1114" spans="1:16" x14ac:dyDescent="0.3">
      <c r="A1114" s="2" t="str">
        <f>TRIM(Table1[[#This Row],[Numer_FV]])</f>
        <v>FV/POL/47801/2023</v>
      </c>
      <c r="B1114" s="2" t="str">
        <f>TRIM(Table1[[#This Row],[Numer_PZ]])</f>
        <v>PZ/801112</v>
      </c>
      <c r="C1114" s="2" t="str">
        <f>TRIM(Table1[[#This Row],[Dostawca]])</f>
        <v>Polmedica</v>
      </c>
      <c r="D1114" s="3">
        <v>44971</v>
      </c>
      <c r="E1114" s="4" t="s">
        <v>3312</v>
      </c>
      <c r="F1114" s="2" t="str">
        <f>TRIM(Table1[[#This Row],[Status]])</f>
        <v>Zaakceptowana</v>
      </c>
      <c r="G1114" s="2" t="str">
        <f>TRIM(Table1[[#This Row],[Typ]])</f>
        <v>Faktura VAT</v>
      </c>
      <c r="H1114" s="2" t="str">
        <f>TRIM(Table1[[#This Row],[Magazyn]])</f>
        <v>Apteka Szpitalna</v>
      </c>
      <c r="I1114" s="2" t="str">
        <f>TRIM(Table1[[#This Row],[Umowa]])</f>
        <v>UM-POL-01</v>
      </c>
      <c r="J1114" s="2" t="b">
        <f>ISTEXT(Table14[[#This Row],[Data_Wystawienia]])</f>
        <v>0</v>
      </c>
      <c r="K1114" s="2">
        <f>VALUE(SUBSTITUTE(Table14[[#This Row],[Wartość]],".",","))</f>
        <v>15118.64</v>
      </c>
      <c r="L11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4" s="2" t="str">
        <f>IF(Table14[[#This Row],[Umowa]]="","Poza umową","Z umowy")</f>
        <v>Z umowy</v>
      </c>
      <c r="N1114" s="2">
        <f>YEAR(Table14[[#This Row],[Data_Wystawienia]])</f>
        <v>2023</v>
      </c>
      <c r="O1114" s="2" t="str">
        <f>TEXT(Table14[[#This Row],[Data_Wystawienia]],"rrrr-mm")</f>
        <v>2023-02</v>
      </c>
      <c r="P1114" s="2">
        <v>1</v>
      </c>
    </row>
    <row r="1115" spans="1:16" x14ac:dyDescent="0.3">
      <c r="A1115" s="2" t="str">
        <f>TRIM(Table1[[#This Row],[Numer_FV]])</f>
        <v>FV/2791HM/23</v>
      </c>
      <c r="B1115" s="2" t="str">
        <f>TRIM(Table1[[#This Row],[Numer_PZ]])</f>
        <v>PZ/801113</v>
      </c>
      <c r="C1115" s="2" t="str">
        <f>TRIM(Table1[[#This Row],[Dostawca]])</f>
        <v>HurtMedix</v>
      </c>
      <c r="D1115" s="3">
        <v>44971</v>
      </c>
      <c r="E1115" s="4" t="s">
        <v>3315</v>
      </c>
      <c r="F1115" s="2" t="str">
        <f>TRIM(Table1[[#This Row],[Status]])</f>
        <v>Zaakceptowana</v>
      </c>
      <c r="G1115" s="2" t="str">
        <f>TRIM(Table1[[#This Row],[Typ]])</f>
        <v>Faktura VAT</v>
      </c>
      <c r="H1115" s="2" t="str">
        <f>TRIM(Table1[[#This Row],[Magazyn]])</f>
        <v>Apteka Szpitalna</v>
      </c>
      <c r="I1115" s="2" t="str">
        <f>TRIM(Table1[[#This Row],[Umowa]])</f>
        <v/>
      </c>
      <c r="J1115" s="2" t="b">
        <f>ISTEXT(Table14[[#This Row],[Data_Wystawienia]])</f>
        <v>0</v>
      </c>
      <c r="K1115" s="2">
        <f>VALUE(SUBSTITUTE(Table14[[#This Row],[Wartość]],".",","))</f>
        <v>12528.26</v>
      </c>
      <c r="L11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5" s="2" t="str">
        <f>IF(Table14[[#This Row],[Umowa]]="","Poza umową","Z umowy")</f>
        <v>Poza umową</v>
      </c>
      <c r="N1115" s="2">
        <f>YEAR(Table14[[#This Row],[Data_Wystawienia]])</f>
        <v>2023</v>
      </c>
      <c r="O1115" s="2" t="str">
        <f>TEXT(Table14[[#This Row],[Data_Wystawienia]],"rrrr-mm")</f>
        <v>2023-02</v>
      </c>
      <c r="P1115" s="2">
        <v>1</v>
      </c>
    </row>
    <row r="1116" spans="1:16" x14ac:dyDescent="0.3">
      <c r="A1116" s="2" t="str">
        <f>TRIM(Table1[[#This Row],[Numer_FV]])</f>
        <v>FV/1878HM/23</v>
      </c>
      <c r="B1116" s="2" t="str">
        <f>TRIM(Table1[[#This Row],[Numer_PZ]])</f>
        <v>PZ/801114</v>
      </c>
      <c r="C1116" s="2" t="str">
        <f>TRIM(Table1[[#This Row],[Dostawca]])</f>
        <v>HurtMedix</v>
      </c>
      <c r="D1116" s="3">
        <v>44971</v>
      </c>
      <c r="E1116" s="4" t="s">
        <v>3318</v>
      </c>
      <c r="F1116" s="2" t="str">
        <f>TRIM(Table1[[#This Row],[Status]])</f>
        <v>Zaakceptowana</v>
      </c>
      <c r="G1116" s="2" t="str">
        <f>TRIM(Table1[[#This Row],[Typ]])</f>
        <v>Faktura VAT</v>
      </c>
      <c r="H1116" s="2" t="str">
        <f>TRIM(Table1[[#This Row],[Magazyn]])</f>
        <v>Apteka Szpitalna</v>
      </c>
      <c r="I1116" s="2" t="str">
        <f>TRIM(Table1[[#This Row],[Umowa]])</f>
        <v>UM-HUR-01</v>
      </c>
      <c r="J1116" s="2" t="b">
        <f>ISTEXT(Table14[[#This Row],[Data_Wystawienia]])</f>
        <v>0</v>
      </c>
      <c r="K1116" s="2">
        <f>VALUE(SUBSTITUTE(Table14[[#This Row],[Wartość]],".",","))</f>
        <v>11786.1</v>
      </c>
      <c r="L11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6" s="2" t="str">
        <f>IF(Table14[[#This Row],[Umowa]]="","Poza umową","Z umowy")</f>
        <v>Z umowy</v>
      </c>
      <c r="N1116" s="2">
        <f>YEAR(Table14[[#This Row],[Data_Wystawienia]])</f>
        <v>2023</v>
      </c>
      <c r="O1116" s="2" t="str">
        <f>TEXT(Table14[[#This Row],[Data_Wystawienia]],"rrrr-mm")</f>
        <v>2023-02</v>
      </c>
      <c r="P1116" s="2">
        <v>1</v>
      </c>
    </row>
    <row r="1117" spans="1:16" x14ac:dyDescent="0.3">
      <c r="A1117" s="2" t="str">
        <f>TRIM(Table1[[#This Row],[Numer_FV]])</f>
        <v>FV/CENFA/709975/23</v>
      </c>
      <c r="B1117" s="2" t="str">
        <f>TRIM(Table1[[#This Row],[Numer_PZ]])</f>
        <v>PZ/801115</v>
      </c>
      <c r="C1117" s="2" t="str">
        <f>TRIM(Table1[[#This Row],[Dostawca]])</f>
        <v>CentrumFarm</v>
      </c>
      <c r="D1117" s="3">
        <v>44972</v>
      </c>
      <c r="E1117" s="4" t="s">
        <v>3321</v>
      </c>
      <c r="F1117" s="2" t="str">
        <f>TRIM(Table1[[#This Row],[Status]])</f>
        <v>Zaakceptowana</v>
      </c>
      <c r="G1117" s="2" t="str">
        <f>TRIM(Table1[[#This Row],[Typ]])</f>
        <v>Faktura VAT</v>
      </c>
      <c r="H1117" s="2" t="str">
        <f>TRIM(Table1[[#This Row],[Magazyn]])</f>
        <v>Apteka Szpitalna</v>
      </c>
      <c r="I1117" s="2" t="str">
        <f>TRIM(Table1[[#This Row],[Umowa]])</f>
        <v/>
      </c>
      <c r="J1117" s="2" t="b">
        <f>ISTEXT(Table14[[#This Row],[Data_Wystawienia]])</f>
        <v>0</v>
      </c>
      <c r="K1117" s="2">
        <f>VALUE(SUBSTITUTE(Table14[[#This Row],[Wartość]],".",","))</f>
        <v>13314.79</v>
      </c>
      <c r="L11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7" s="2" t="str">
        <f>IF(Table14[[#This Row],[Umowa]]="","Poza umową","Z umowy")</f>
        <v>Poza umową</v>
      </c>
      <c r="N1117" s="2">
        <f>YEAR(Table14[[#This Row],[Data_Wystawienia]])</f>
        <v>2023</v>
      </c>
      <c r="O1117" s="2" t="str">
        <f>TEXT(Table14[[#This Row],[Data_Wystawienia]],"rrrr-mm")</f>
        <v>2023-02</v>
      </c>
      <c r="P1117" s="2">
        <v>1</v>
      </c>
    </row>
    <row r="1118" spans="1:16" x14ac:dyDescent="0.3">
      <c r="A1118" s="2" t="str">
        <f>TRIM(Table1[[#This Row],[Numer_FV]])</f>
        <v>FV/M/8683/P/23</v>
      </c>
      <c r="B1118" s="2" t="str">
        <f>TRIM(Table1[[#This Row],[Numer_PZ]])</f>
        <v>PZ/801116</v>
      </c>
      <c r="C1118" s="2" t="str">
        <f>TRIM(Table1[[#This Row],[Dostawca]])</f>
        <v>MedicaPharm</v>
      </c>
      <c r="D1118" s="3">
        <v>44972</v>
      </c>
      <c r="E1118" s="4" t="s">
        <v>3324</v>
      </c>
      <c r="F1118" s="2" t="str">
        <f>TRIM(Table1[[#This Row],[Status]])</f>
        <v>Zaakceptowana</v>
      </c>
      <c r="G1118" s="2" t="str">
        <f>TRIM(Table1[[#This Row],[Typ]])</f>
        <v>Faktura VAT</v>
      </c>
      <c r="H1118" s="2" t="str">
        <f>TRIM(Table1[[#This Row],[Magazyn]])</f>
        <v>Apteka Szpitalna</v>
      </c>
      <c r="I1118" s="2" t="str">
        <f>TRIM(Table1[[#This Row],[Umowa]])</f>
        <v/>
      </c>
      <c r="J1118" s="2" t="b">
        <f>ISTEXT(Table14[[#This Row],[Data_Wystawienia]])</f>
        <v>0</v>
      </c>
      <c r="K1118" s="2">
        <f>VALUE(SUBSTITUTE(Table14[[#This Row],[Wartość]],".",","))</f>
        <v>17350.18</v>
      </c>
      <c r="L11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8" s="2" t="str">
        <f>IF(Table14[[#This Row],[Umowa]]="","Poza umową","Z umowy")</f>
        <v>Poza umową</v>
      </c>
      <c r="N1118" s="2">
        <f>YEAR(Table14[[#This Row],[Data_Wystawienia]])</f>
        <v>2023</v>
      </c>
      <c r="O1118" s="2" t="str">
        <f>TEXT(Table14[[#This Row],[Data_Wystawienia]],"rrrr-mm")</f>
        <v>2023-02</v>
      </c>
      <c r="P1118" s="2">
        <v>1</v>
      </c>
    </row>
    <row r="1119" spans="1:16" x14ac:dyDescent="0.3">
      <c r="A1119" s="2" t="str">
        <f>TRIM(Table1[[#This Row],[Numer_FV]])</f>
        <v>FV/M/3834/P/23</v>
      </c>
      <c r="B1119" s="2" t="str">
        <f>TRIM(Table1[[#This Row],[Numer_PZ]])</f>
        <v>PZ/801117</v>
      </c>
      <c r="C1119" s="2" t="str">
        <f>TRIM(Table1[[#This Row],[Dostawca]])</f>
        <v>MedicaPharm</v>
      </c>
      <c r="D1119" s="3">
        <v>44973</v>
      </c>
      <c r="E1119" s="4" t="s">
        <v>3327</v>
      </c>
      <c r="F1119" s="2" t="str">
        <f>TRIM(Table1[[#This Row],[Status]])</f>
        <v>Zaakceptowana</v>
      </c>
      <c r="G1119" s="2" t="str">
        <f>TRIM(Table1[[#This Row],[Typ]])</f>
        <v>Faktura VAT</v>
      </c>
      <c r="H1119" s="2" t="str">
        <f>TRIM(Table1[[#This Row],[Magazyn]])</f>
        <v>Apteka Szpitalna</v>
      </c>
      <c r="I1119" s="2" t="str">
        <f>TRIM(Table1[[#This Row],[Umowa]])</f>
        <v>UM-MED-02</v>
      </c>
      <c r="J1119" s="2" t="b">
        <f>ISTEXT(Table14[[#This Row],[Data_Wystawienia]])</f>
        <v>0</v>
      </c>
      <c r="K1119" s="2">
        <f>VALUE(SUBSTITUTE(Table14[[#This Row],[Wartość]],".",","))</f>
        <v>22910.15</v>
      </c>
      <c r="L11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19" s="2" t="str">
        <f>IF(Table14[[#This Row],[Umowa]]="","Poza umową","Z umowy")</f>
        <v>Z umowy</v>
      </c>
      <c r="N1119" s="2">
        <f>YEAR(Table14[[#This Row],[Data_Wystawienia]])</f>
        <v>2023</v>
      </c>
      <c r="O1119" s="2" t="str">
        <f>TEXT(Table14[[#This Row],[Data_Wystawienia]],"rrrr-mm")</f>
        <v>2023-02</v>
      </c>
      <c r="P1119" s="2">
        <v>1</v>
      </c>
    </row>
    <row r="1120" spans="1:16" x14ac:dyDescent="0.3">
      <c r="A1120" s="2" t="str">
        <f>TRIM(Table1[[#This Row],[Numer_FV]])</f>
        <v>FV/9324/NOVA/23</v>
      </c>
      <c r="B1120" s="2" t="str">
        <f>TRIM(Table1[[#This Row],[Numer_PZ]])</f>
        <v>PZ/801118</v>
      </c>
      <c r="C1120" s="2" t="str">
        <f>TRIM(Table1[[#This Row],[Dostawca]])</f>
        <v>NovaLek</v>
      </c>
      <c r="D1120" s="3">
        <v>44973</v>
      </c>
      <c r="E1120" s="4" t="s">
        <v>3330</v>
      </c>
      <c r="F1120" s="2" t="str">
        <f>TRIM(Table1[[#This Row],[Status]])</f>
        <v>Zaakceptowana</v>
      </c>
      <c r="G1120" s="2" t="str">
        <f>TRIM(Table1[[#This Row],[Typ]])</f>
        <v>Faktura VAT</v>
      </c>
      <c r="H1120" s="2" t="str">
        <f>TRIM(Table1[[#This Row],[Magazyn]])</f>
        <v>Apteka Szpitalna</v>
      </c>
      <c r="I1120" s="2" t="str">
        <f>TRIM(Table1[[#This Row],[Umowa]])</f>
        <v>UM-NOV-03</v>
      </c>
      <c r="J1120" s="2" t="b">
        <f>ISTEXT(Table14[[#This Row],[Data_Wystawienia]])</f>
        <v>0</v>
      </c>
      <c r="K1120" s="2">
        <f>VALUE(SUBSTITUTE(Table14[[#This Row],[Wartość]],".",","))</f>
        <v>3895.29</v>
      </c>
      <c r="L11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0" s="2" t="str">
        <f>IF(Table14[[#This Row],[Umowa]]="","Poza umową","Z umowy")</f>
        <v>Z umowy</v>
      </c>
      <c r="N1120" s="2">
        <f>YEAR(Table14[[#This Row],[Data_Wystawienia]])</f>
        <v>2023</v>
      </c>
      <c r="O1120" s="2" t="str">
        <f>TEXT(Table14[[#This Row],[Data_Wystawienia]],"rrrr-mm")</f>
        <v>2023-02</v>
      </c>
      <c r="P1120" s="2">
        <v>1</v>
      </c>
    </row>
    <row r="1121" spans="1:16" x14ac:dyDescent="0.3">
      <c r="A1121" s="2" t="str">
        <f>TRIM(Table1[[#This Row],[Numer_FV]])</f>
        <v>FV/14925/VDb/2023</v>
      </c>
      <c r="B1121" s="2" t="str">
        <f>TRIM(Table1[[#This Row],[Numer_PZ]])</f>
        <v>PZ/801119</v>
      </c>
      <c r="C1121" s="2" t="str">
        <f>TRIM(Table1[[#This Row],[Dostawca]])</f>
        <v>VitaDistrib</v>
      </c>
      <c r="D1121" s="3">
        <v>44974</v>
      </c>
      <c r="E1121" s="4" t="s">
        <v>3333</v>
      </c>
      <c r="F1121" s="2" t="str">
        <f>TRIM(Table1[[#This Row],[Status]])</f>
        <v>Zaakceptowana</v>
      </c>
      <c r="G1121" s="2" t="str">
        <f>TRIM(Table1[[#This Row],[Typ]])</f>
        <v>Faktura VAT</v>
      </c>
      <c r="H1121" s="2" t="str">
        <f>TRIM(Table1[[#This Row],[Magazyn]])</f>
        <v>Apteka Szpitalna</v>
      </c>
      <c r="I1121" s="2" t="str">
        <f>TRIM(Table1[[#This Row],[Umowa]])</f>
        <v/>
      </c>
      <c r="J1121" s="2" t="b">
        <f>ISTEXT(Table14[[#This Row],[Data_Wystawienia]])</f>
        <v>0</v>
      </c>
      <c r="K1121" s="2">
        <f>VALUE(SUBSTITUTE(Table14[[#This Row],[Wartość]],".",","))</f>
        <v>21213.16</v>
      </c>
      <c r="L11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1" s="2" t="str">
        <f>IF(Table14[[#This Row],[Umowa]]="","Poza umową","Z umowy")</f>
        <v>Poza umową</v>
      </c>
      <c r="N1121" s="2">
        <f>YEAR(Table14[[#This Row],[Data_Wystawienia]])</f>
        <v>2023</v>
      </c>
      <c r="O1121" s="2" t="str">
        <f>TEXT(Table14[[#This Row],[Data_Wystawienia]],"rrrr-mm")</f>
        <v>2023-02</v>
      </c>
      <c r="P1121" s="2">
        <v>1</v>
      </c>
    </row>
    <row r="1122" spans="1:16" x14ac:dyDescent="0.3">
      <c r="A1122" s="2" t="str">
        <f>TRIM(Table1[[#This Row],[Numer_FV]])</f>
        <v>FV/37/PP/9035/23</v>
      </c>
      <c r="B1122" s="2" t="str">
        <f>TRIM(Table1[[#This Row],[Numer_PZ]])</f>
        <v>PZ/801120</v>
      </c>
      <c r="C1122" s="2" t="str">
        <f>TRIM(Table1[[#This Row],[Dostawca]])</f>
        <v>PharmaPlus</v>
      </c>
      <c r="D1122" s="3">
        <v>44975</v>
      </c>
      <c r="E1122" s="4" t="s">
        <v>3336</v>
      </c>
      <c r="F1122" s="2" t="str">
        <f>TRIM(Table1[[#This Row],[Status]])</f>
        <v>Zaakceptowana</v>
      </c>
      <c r="G1122" s="2" t="str">
        <f>TRIM(Table1[[#This Row],[Typ]])</f>
        <v>Faktura VAT</v>
      </c>
      <c r="H1122" s="2" t="str">
        <f>TRIM(Table1[[#This Row],[Magazyn]])</f>
        <v>Apteka Szpitalna</v>
      </c>
      <c r="I1122" s="2" t="str">
        <f>TRIM(Table1[[#This Row],[Umowa]])</f>
        <v>UM-PHA-01</v>
      </c>
      <c r="J1122" s="2" t="b">
        <f>ISTEXT(Table14[[#This Row],[Data_Wystawienia]])</f>
        <v>0</v>
      </c>
      <c r="K1122" s="2">
        <f>VALUE(SUBSTITUTE(Table14[[#This Row],[Wartość]],".",","))</f>
        <v>18740.52</v>
      </c>
      <c r="L11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2" s="2" t="str">
        <f>IF(Table14[[#This Row],[Umowa]]="","Poza umową","Z umowy")</f>
        <v>Z umowy</v>
      </c>
      <c r="N1122" s="2">
        <f>YEAR(Table14[[#This Row],[Data_Wystawienia]])</f>
        <v>2023</v>
      </c>
      <c r="O1122" s="2" t="str">
        <f>TEXT(Table14[[#This Row],[Data_Wystawienia]],"rrrr-mm")</f>
        <v>2023-02</v>
      </c>
      <c r="P1122" s="2">
        <v>1</v>
      </c>
    </row>
    <row r="1123" spans="1:16" x14ac:dyDescent="0.3">
      <c r="A1123" s="2" t="str">
        <f>TRIM(Table1[[#This Row],[Numer_FV]])</f>
        <v>FV/4285/NOVA/23</v>
      </c>
      <c r="B1123" s="2" t="str">
        <f>TRIM(Table1[[#This Row],[Numer_PZ]])</f>
        <v>PZ/801121</v>
      </c>
      <c r="C1123" s="2" t="str">
        <f>TRIM(Table1[[#This Row],[Dostawca]])</f>
        <v>NovaLek</v>
      </c>
      <c r="D1123" s="3">
        <v>44975</v>
      </c>
      <c r="E1123" s="4" t="s">
        <v>3339</v>
      </c>
      <c r="F1123" s="2" t="str">
        <f>TRIM(Table1[[#This Row],[Status]])</f>
        <v>Zaakceptowana</v>
      </c>
      <c r="G1123" s="2" t="str">
        <f>TRIM(Table1[[#This Row],[Typ]])</f>
        <v>Faktura VAT</v>
      </c>
      <c r="H1123" s="2" t="str">
        <f>TRIM(Table1[[#This Row],[Magazyn]])</f>
        <v>Apteka Szpitalna</v>
      </c>
      <c r="I1123" s="2" t="str">
        <f>TRIM(Table1[[#This Row],[Umowa]])</f>
        <v>UM-NOV-03</v>
      </c>
      <c r="J1123" s="2" t="b">
        <f>ISTEXT(Table14[[#This Row],[Data_Wystawienia]])</f>
        <v>0</v>
      </c>
      <c r="K1123" s="2">
        <f>VALUE(SUBSTITUTE(Table14[[#This Row],[Wartość]],".",","))</f>
        <v>12485.58</v>
      </c>
      <c r="L11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3" s="2" t="str">
        <f>IF(Table14[[#This Row],[Umowa]]="","Poza umową","Z umowy")</f>
        <v>Z umowy</v>
      </c>
      <c r="N1123" s="2">
        <f>YEAR(Table14[[#This Row],[Data_Wystawienia]])</f>
        <v>2023</v>
      </c>
      <c r="O1123" s="2" t="str">
        <f>TEXT(Table14[[#This Row],[Data_Wystawienia]],"rrrr-mm")</f>
        <v>2023-02</v>
      </c>
      <c r="P1123" s="2">
        <v>1</v>
      </c>
    </row>
    <row r="1124" spans="1:16" x14ac:dyDescent="0.3">
      <c r="A1124" s="2" t="str">
        <f>TRIM(Table1[[#This Row],[Numer_FV]])</f>
        <v>FV/4647HM/23</v>
      </c>
      <c r="B1124" s="2" t="str">
        <f>TRIM(Table1[[#This Row],[Numer_PZ]])</f>
        <v>PZ/801122</v>
      </c>
      <c r="C1124" s="2" t="str">
        <f>TRIM(Table1[[#This Row],[Dostawca]])</f>
        <v>HurtMedix</v>
      </c>
      <c r="D1124" s="3">
        <v>44975</v>
      </c>
      <c r="E1124" s="4" t="s">
        <v>3342</v>
      </c>
      <c r="F1124" s="2" t="str">
        <f>TRIM(Table1[[#This Row],[Status]])</f>
        <v>Zaakceptowana</v>
      </c>
      <c r="G1124" s="2" t="str">
        <f>TRIM(Table1[[#This Row],[Typ]])</f>
        <v>Faktura VAT</v>
      </c>
      <c r="H1124" s="2" t="str">
        <f>TRIM(Table1[[#This Row],[Magazyn]])</f>
        <v>Apteka Szpitalna</v>
      </c>
      <c r="I1124" s="2" t="str">
        <f>TRIM(Table1[[#This Row],[Umowa]])</f>
        <v>UM-HUR-02</v>
      </c>
      <c r="J1124" s="2" t="b">
        <f>ISTEXT(Table14[[#This Row],[Data_Wystawienia]])</f>
        <v>0</v>
      </c>
      <c r="K1124" s="2">
        <f>VALUE(SUBSTITUTE(Table14[[#This Row],[Wartość]],".",","))</f>
        <v>12180.71</v>
      </c>
      <c r="L11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4" s="2" t="str">
        <f>IF(Table14[[#This Row],[Umowa]]="","Poza umową","Z umowy")</f>
        <v>Z umowy</v>
      </c>
      <c r="N1124" s="2">
        <f>YEAR(Table14[[#This Row],[Data_Wystawienia]])</f>
        <v>2023</v>
      </c>
      <c r="O1124" s="2" t="str">
        <f>TEXT(Table14[[#This Row],[Data_Wystawienia]],"rrrr-mm")</f>
        <v>2023-02</v>
      </c>
      <c r="P1124" s="2">
        <v>1</v>
      </c>
    </row>
    <row r="1125" spans="1:16" x14ac:dyDescent="0.3">
      <c r="A1125" s="2" t="str">
        <f>TRIM(Table1[[#This Row],[Numer_FV]])</f>
        <v>FV/POL/53020/2023</v>
      </c>
      <c r="B1125" s="2" t="str">
        <f>TRIM(Table1[[#This Row],[Numer_PZ]])</f>
        <v>PZ/801123</v>
      </c>
      <c r="C1125" s="2" t="str">
        <f>TRIM(Table1[[#This Row],[Dostawca]])</f>
        <v>Polmedica</v>
      </c>
      <c r="D1125" s="3">
        <v>44975</v>
      </c>
      <c r="E1125" s="4" t="s">
        <v>3345</v>
      </c>
      <c r="F1125" s="2" t="str">
        <f>TRIM(Table1[[#This Row],[Status]])</f>
        <v>Zaakceptowana</v>
      </c>
      <c r="G1125" s="2" t="str">
        <f>TRIM(Table1[[#This Row],[Typ]])</f>
        <v>Faktura VAT</v>
      </c>
      <c r="H1125" s="2" t="str">
        <f>TRIM(Table1[[#This Row],[Magazyn]])</f>
        <v>Apteka Szpitalna</v>
      </c>
      <c r="I1125" s="2" t="str">
        <f>TRIM(Table1[[#This Row],[Umowa]])</f>
        <v>UM-POL-02</v>
      </c>
      <c r="J1125" s="2" t="b">
        <f>ISTEXT(Table14[[#This Row],[Data_Wystawienia]])</f>
        <v>0</v>
      </c>
      <c r="K1125" s="2">
        <f>VALUE(SUBSTITUTE(Table14[[#This Row],[Wartość]],".",","))</f>
        <v>16137.68</v>
      </c>
      <c r="L11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5" s="2" t="str">
        <f>IF(Table14[[#This Row],[Umowa]]="","Poza umową","Z umowy")</f>
        <v>Z umowy</v>
      </c>
      <c r="N1125" s="2">
        <f>YEAR(Table14[[#This Row],[Data_Wystawienia]])</f>
        <v>2023</v>
      </c>
      <c r="O1125" s="2" t="str">
        <f>TEXT(Table14[[#This Row],[Data_Wystawienia]],"rrrr-mm")</f>
        <v>2023-02</v>
      </c>
      <c r="P1125" s="2">
        <v>1</v>
      </c>
    </row>
    <row r="1126" spans="1:16" x14ac:dyDescent="0.3">
      <c r="A1126" s="2" t="str">
        <f>TRIM(Table1[[#This Row],[Numer_FV]])</f>
        <v>FV/CENFA/912884/23</v>
      </c>
      <c r="B1126" s="2" t="str">
        <f>TRIM(Table1[[#This Row],[Numer_PZ]])</f>
        <v>PZ/801124</v>
      </c>
      <c r="C1126" s="2" t="str">
        <f>TRIM(Table1[[#This Row],[Dostawca]])</f>
        <v>CentrumFarm</v>
      </c>
      <c r="D1126" s="3">
        <v>44975</v>
      </c>
      <c r="E1126" s="4" t="s">
        <v>3348</v>
      </c>
      <c r="F1126" s="2" t="str">
        <f>TRIM(Table1[[#This Row],[Status]])</f>
        <v>Zaakceptowana</v>
      </c>
      <c r="G1126" s="2" t="str">
        <f>TRIM(Table1[[#This Row],[Typ]])</f>
        <v>Faktura VAT</v>
      </c>
      <c r="H1126" s="2" t="str">
        <f>TRIM(Table1[[#This Row],[Magazyn]])</f>
        <v>Apteka Szpitalna</v>
      </c>
      <c r="I1126" s="2" t="str">
        <f>TRIM(Table1[[#This Row],[Umowa]])</f>
        <v>UM-CEN-02</v>
      </c>
      <c r="J1126" s="2" t="b">
        <f>ISTEXT(Table14[[#This Row],[Data_Wystawienia]])</f>
        <v>0</v>
      </c>
      <c r="K1126" s="2">
        <f>VALUE(SUBSTITUTE(Table14[[#This Row],[Wartość]],".",","))</f>
        <v>22372.29</v>
      </c>
      <c r="L11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6" s="2" t="str">
        <f>IF(Table14[[#This Row],[Umowa]]="","Poza umową","Z umowy")</f>
        <v>Z umowy</v>
      </c>
      <c r="N1126" s="2">
        <f>YEAR(Table14[[#This Row],[Data_Wystawienia]])</f>
        <v>2023</v>
      </c>
      <c r="O1126" s="2" t="str">
        <f>TEXT(Table14[[#This Row],[Data_Wystawienia]],"rrrr-mm")</f>
        <v>2023-02</v>
      </c>
      <c r="P1126" s="2">
        <v>1</v>
      </c>
    </row>
    <row r="1127" spans="1:16" x14ac:dyDescent="0.3">
      <c r="A1127" s="2" t="str">
        <f>TRIM(Table1[[#This Row],[Numer_FV]])</f>
        <v>FV/5959/NOVA/23</v>
      </c>
      <c r="B1127" s="2" t="str">
        <f>TRIM(Table1[[#This Row],[Numer_PZ]])</f>
        <v>PZ/801125</v>
      </c>
      <c r="C1127" s="2" t="str">
        <f>TRIM(Table1[[#This Row],[Dostawca]])</f>
        <v>NovaLek</v>
      </c>
      <c r="D1127" s="3">
        <v>44976</v>
      </c>
      <c r="E1127" s="4" t="s">
        <v>3351</v>
      </c>
      <c r="F1127" s="2" t="str">
        <f>TRIM(Table1[[#This Row],[Status]])</f>
        <v>Zaakceptowana</v>
      </c>
      <c r="G1127" s="2" t="str">
        <f>TRIM(Table1[[#This Row],[Typ]])</f>
        <v>Faktura VAT</v>
      </c>
      <c r="H1127" s="2" t="str">
        <f>TRIM(Table1[[#This Row],[Magazyn]])</f>
        <v>Apteka Szpitalna</v>
      </c>
      <c r="I1127" s="2" t="str">
        <f>TRIM(Table1[[#This Row],[Umowa]])</f>
        <v>UM-NOV-02</v>
      </c>
      <c r="J1127" s="2" t="b">
        <f>ISTEXT(Table14[[#This Row],[Data_Wystawienia]])</f>
        <v>0</v>
      </c>
      <c r="K1127" s="2">
        <f>VALUE(SUBSTITUTE(Table14[[#This Row],[Wartość]],".",","))</f>
        <v>8906.1</v>
      </c>
      <c r="L11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7" s="2" t="str">
        <f>IF(Table14[[#This Row],[Umowa]]="","Poza umową","Z umowy")</f>
        <v>Z umowy</v>
      </c>
      <c r="N1127" s="2">
        <f>YEAR(Table14[[#This Row],[Data_Wystawienia]])</f>
        <v>2023</v>
      </c>
      <c r="O1127" s="2" t="str">
        <f>TEXT(Table14[[#This Row],[Data_Wystawienia]],"rrrr-mm")</f>
        <v>2023-02</v>
      </c>
      <c r="P1127" s="2">
        <v>1</v>
      </c>
    </row>
    <row r="1128" spans="1:16" x14ac:dyDescent="0.3">
      <c r="A1128" s="2" t="str">
        <f>TRIM(Table1[[#This Row],[Numer_FV]])</f>
        <v>FV/POL/88269/2023</v>
      </c>
      <c r="B1128" s="2" t="str">
        <f>TRIM(Table1[[#This Row],[Numer_PZ]])</f>
        <v>PZ/801126</v>
      </c>
      <c r="C1128" s="2" t="str">
        <f>TRIM(Table1[[#This Row],[Dostawca]])</f>
        <v>Polmedica</v>
      </c>
      <c r="D1128" s="3">
        <v>44976</v>
      </c>
      <c r="E1128" s="4" t="s">
        <v>3354</v>
      </c>
      <c r="F1128" s="2" t="str">
        <f>TRIM(Table1[[#This Row],[Status]])</f>
        <v>Zaakceptowana</v>
      </c>
      <c r="G1128" s="2" t="str">
        <f>TRIM(Table1[[#This Row],[Typ]])</f>
        <v>Faktura VAT</v>
      </c>
      <c r="H1128" s="2" t="str">
        <f>TRIM(Table1[[#This Row],[Magazyn]])</f>
        <v>Apteka Szpitalna</v>
      </c>
      <c r="I1128" s="2" t="str">
        <f>TRIM(Table1[[#This Row],[Umowa]])</f>
        <v>UM-POL-03</v>
      </c>
      <c r="J1128" s="2" t="b">
        <f>ISTEXT(Table14[[#This Row],[Data_Wystawienia]])</f>
        <v>0</v>
      </c>
      <c r="K1128" s="2">
        <f>VALUE(SUBSTITUTE(Table14[[#This Row],[Wartość]],".",","))</f>
        <v>19984.71</v>
      </c>
      <c r="L11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8" s="2" t="str">
        <f>IF(Table14[[#This Row],[Umowa]]="","Poza umową","Z umowy")</f>
        <v>Z umowy</v>
      </c>
      <c r="N1128" s="2">
        <f>YEAR(Table14[[#This Row],[Data_Wystawienia]])</f>
        <v>2023</v>
      </c>
      <c r="O1128" s="2" t="str">
        <f>TEXT(Table14[[#This Row],[Data_Wystawienia]],"rrrr-mm")</f>
        <v>2023-02</v>
      </c>
      <c r="P1128" s="2">
        <v>1</v>
      </c>
    </row>
    <row r="1129" spans="1:16" x14ac:dyDescent="0.3">
      <c r="A1129" s="2" t="str">
        <f>TRIM(Table1[[#This Row],[Numer_FV]])</f>
        <v>FV/8371/NOVA/23</v>
      </c>
      <c r="B1129" s="2" t="str">
        <f>TRIM(Table1[[#This Row],[Numer_PZ]])</f>
        <v>PZ/801127</v>
      </c>
      <c r="C1129" s="2" t="str">
        <f>TRIM(Table1[[#This Row],[Dostawca]])</f>
        <v>NovaLek</v>
      </c>
      <c r="D1129" s="3">
        <v>44976</v>
      </c>
      <c r="E1129" s="4" t="s">
        <v>3357</v>
      </c>
      <c r="F1129" s="2" t="str">
        <f>TRIM(Table1[[#This Row],[Status]])</f>
        <v>Zaakceptowana</v>
      </c>
      <c r="G1129" s="2" t="str">
        <f>TRIM(Table1[[#This Row],[Typ]])</f>
        <v>Faktura VAT</v>
      </c>
      <c r="H1129" s="2" t="str">
        <f>TRIM(Table1[[#This Row],[Magazyn]])</f>
        <v>Apteka Szpitalna</v>
      </c>
      <c r="I1129" s="2" t="str">
        <f>TRIM(Table1[[#This Row],[Umowa]])</f>
        <v>UM-NOV-02</v>
      </c>
      <c r="J1129" s="2" t="b">
        <f>ISTEXT(Table14[[#This Row],[Data_Wystawienia]])</f>
        <v>0</v>
      </c>
      <c r="K1129" s="2">
        <f>VALUE(SUBSTITUTE(Table14[[#This Row],[Wartość]],".",","))</f>
        <v>18993.240000000002</v>
      </c>
      <c r="L11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29" s="2" t="str">
        <f>IF(Table14[[#This Row],[Umowa]]="","Poza umową","Z umowy")</f>
        <v>Z umowy</v>
      </c>
      <c r="N1129" s="2">
        <f>YEAR(Table14[[#This Row],[Data_Wystawienia]])</f>
        <v>2023</v>
      </c>
      <c r="O1129" s="2" t="str">
        <f>TEXT(Table14[[#This Row],[Data_Wystawienia]],"rrrr-mm")</f>
        <v>2023-02</v>
      </c>
      <c r="P1129" s="2">
        <v>1</v>
      </c>
    </row>
    <row r="1130" spans="1:16" x14ac:dyDescent="0.3">
      <c r="A1130" s="2" t="str">
        <f>TRIM(Table1[[#This Row],[Numer_FV]])</f>
        <v>FV/POL/30832/2023</v>
      </c>
      <c r="B1130" s="2" t="str">
        <f>TRIM(Table1[[#This Row],[Numer_PZ]])</f>
        <v>PZ/801128</v>
      </c>
      <c r="C1130" s="2" t="str">
        <f>TRIM(Table1[[#This Row],[Dostawca]])</f>
        <v>Polmedica</v>
      </c>
      <c r="D1130" s="3">
        <v>44976</v>
      </c>
      <c r="E1130" s="4" t="s">
        <v>3360</v>
      </c>
      <c r="F1130" s="2" t="str">
        <f>TRIM(Table1[[#This Row],[Status]])</f>
        <v>Zaakceptowana</v>
      </c>
      <c r="G1130" s="2" t="str">
        <f>TRIM(Table1[[#This Row],[Typ]])</f>
        <v>Faktura VAT</v>
      </c>
      <c r="H1130" s="2" t="str">
        <f>TRIM(Table1[[#This Row],[Magazyn]])</f>
        <v>Apteka Szpitalna</v>
      </c>
      <c r="I1130" s="2" t="str">
        <f>TRIM(Table1[[#This Row],[Umowa]])</f>
        <v>UM-POL-02</v>
      </c>
      <c r="J1130" s="2" t="b">
        <f>ISTEXT(Table14[[#This Row],[Data_Wystawienia]])</f>
        <v>0</v>
      </c>
      <c r="K1130" s="2">
        <f>VALUE(SUBSTITUTE(Table14[[#This Row],[Wartość]],".",","))</f>
        <v>13833.12</v>
      </c>
      <c r="L11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0" s="2" t="str">
        <f>IF(Table14[[#This Row],[Umowa]]="","Poza umową","Z umowy")</f>
        <v>Z umowy</v>
      </c>
      <c r="N1130" s="2">
        <f>YEAR(Table14[[#This Row],[Data_Wystawienia]])</f>
        <v>2023</v>
      </c>
      <c r="O1130" s="2" t="str">
        <f>TEXT(Table14[[#This Row],[Data_Wystawienia]],"rrrr-mm")</f>
        <v>2023-02</v>
      </c>
      <c r="P1130" s="2">
        <v>1</v>
      </c>
    </row>
    <row r="1131" spans="1:16" x14ac:dyDescent="0.3">
      <c r="A1131" s="2" t="str">
        <f>TRIM(Table1[[#This Row],[Numer_FV]])</f>
        <v>FV/POL/95219/2023</v>
      </c>
      <c r="B1131" s="2" t="str">
        <f>TRIM(Table1[[#This Row],[Numer_PZ]])</f>
        <v>PZ/801129</v>
      </c>
      <c r="C1131" s="2" t="str">
        <f>TRIM(Table1[[#This Row],[Dostawca]])</f>
        <v>Polmedica</v>
      </c>
      <c r="D1131" s="3">
        <v>44976</v>
      </c>
      <c r="E1131" s="4" t="s">
        <v>3363</v>
      </c>
      <c r="F1131" s="2" t="str">
        <f>TRIM(Table1[[#This Row],[Status]])</f>
        <v>Zaakceptowana</v>
      </c>
      <c r="G1131" s="2" t="str">
        <f>TRIM(Table1[[#This Row],[Typ]])</f>
        <v>Faktura VAT</v>
      </c>
      <c r="H1131" s="2" t="str">
        <f>TRIM(Table1[[#This Row],[Magazyn]])</f>
        <v>Apteka Szpitalna</v>
      </c>
      <c r="I1131" s="2" t="str">
        <f>TRIM(Table1[[#This Row],[Umowa]])</f>
        <v/>
      </c>
      <c r="J1131" s="2" t="b">
        <f>ISTEXT(Table14[[#This Row],[Data_Wystawienia]])</f>
        <v>0</v>
      </c>
      <c r="K1131" s="2">
        <f>VALUE(SUBSTITUTE(Table14[[#This Row],[Wartość]],".",","))</f>
        <v>12002.6</v>
      </c>
      <c r="L11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1" s="2" t="str">
        <f>IF(Table14[[#This Row],[Umowa]]="","Poza umową","Z umowy")</f>
        <v>Poza umową</v>
      </c>
      <c r="N1131" s="2">
        <f>YEAR(Table14[[#This Row],[Data_Wystawienia]])</f>
        <v>2023</v>
      </c>
      <c r="O1131" s="2" t="str">
        <f>TEXT(Table14[[#This Row],[Data_Wystawienia]],"rrrr-mm")</f>
        <v>2023-02</v>
      </c>
      <c r="P1131" s="2">
        <v>1</v>
      </c>
    </row>
    <row r="1132" spans="1:16" x14ac:dyDescent="0.3">
      <c r="A1132" s="2" t="str">
        <f>TRIM(Table1[[#This Row],[Numer_FV]])</f>
        <v>FV/POL/86361/2023</v>
      </c>
      <c r="B1132" s="2" t="str">
        <f>TRIM(Table1[[#This Row],[Numer_PZ]])</f>
        <v>PZ/801130</v>
      </c>
      <c r="C1132" s="2" t="str">
        <f>TRIM(Table1[[#This Row],[Dostawca]])</f>
        <v>Polmedica</v>
      </c>
      <c r="D1132" s="3">
        <v>44977</v>
      </c>
      <c r="E1132" s="4" t="s">
        <v>3366</v>
      </c>
      <c r="F1132" s="2" t="str">
        <f>TRIM(Table1[[#This Row],[Status]])</f>
        <v>Zaakceptowana</v>
      </c>
      <c r="G1132" s="2" t="str">
        <f>TRIM(Table1[[#This Row],[Typ]])</f>
        <v>Faktura VAT</v>
      </c>
      <c r="H1132" s="2" t="str">
        <f>TRIM(Table1[[#This Row],[Magazyn]])</f>
        <v>Apteka Szpitalna</v>
      </c>
      <c r="I1132" s="2" t="str">
        <f>TRIM(Table1[[#This Row],[Umowa]])</f>
        <v>UM-POL-01</v>
      </c>
      <c r="J1132" s="2" t="b">
        <f>ISTEXT(Table14[[#This Row],[Data_Wystawienia]])</f>
        <v>0</v>
      </c>
      <c r="K1132" s="2">
        <f>VALUE(SUBSTITUTE(Table14[[#This Row],[Wartość]],".",","))</f>
        <v>9930.5300000000007</v>
      </c>
      <c r="L11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2" s="2" t="str">
        <f>IF(Table14[[#This Row],[Umowa]]="","Poza umową","Z umowy")</f>
        <v>Z umowy</v>
      </c>
      <c r="N1132" s="2">
        <f>YEAR(Table14[[#This Row],[Data_Wystawienia]])</f>
        <v>2023</v>
      </c>
      <c r="O1132" s="2" t="str">
        <f>TEXT(Table14[[#This Row],[Data_Wystawienia]],"rrrr-mm")</f>
        <v>2023-02</v>
      </c>
      <c r="P1132" s="2">
        <v>1</v>
      </c>
    </row>
    <row r="1133" spans="1:16" x14ac:dyDescent="0.3">
      <c r="A1133" s="2" t="str">
        <f>TRIM(Table1[[#This Row],[Numer_FV]])</f>
        <v>FV/POL/31742/2023</v>
      </c>
      <c r="B1133" s="2" t="str">
        <f>TRIM(Table1[[#This Row],[Numer_PZ]])</f>
        <v>PZ/801131</v>
      </c>
      <c r="C1133" s="2" t="str">
        <f>TRIM(Table1[[#This Row],[Dostawca]])</f>
        <v>Polmedica</v>
      </c>
      <c r="D1133" s="3">
        <v>44977</v>
      </c>
      <c r="E1133" s="4" t="s">
        <v>3369</v>
      </c>
      <c r="F1133" s="2" t="str">
        <f>TRIM(Table1[[#This Row],[Status]])</f>
        <v>Zaakceptowana</v>
      </c>
      <c r="G1133" s="2" t="str">
        <f>TRIM(Table1[[#This Row],[Typ]])</f>
        <v>Faktura VAT</v>
      </c>
      <c r="H1133" s="2" t="str">
        <f>TRIM(Table1[[#This Row],[Magazyn]])</f>
        <v>Apteka Szpitalna</v>
      </c>
      <c r="I1133" s="2" t="str">
        <f>TRIM(Table1[[#This Row],[Umowa]])</f>
        <v>UM-POL-01</v>
      </c>
      <c r="J1133" s="2" t="b">
        <f>ISTEXT(Table14[[#This Row],[Data_Wystawienia]])</f>
        <v>0</v>
      </c>
      <c r="K1133" s="2">
        <f>VALUE(SUBSTITUTE(Table14[[#This Row],[Wartość]],".",","))</f>
        <v>16271.03</v>
      </c>
      <c r="L11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3" s="2" t="str">
        <f>IF(Table14[[#This Row],[Umowa]]="","Poza umową","Z umowy")</f>
        <v>Z umowy</v>
      </c>
      <c r="N1133" s="2">
        <f>YEAR(Table14[[#This Row],[Data_Wystawienia]])</f>
        <v>2023</v>
      </c>
      <c r="O1133" s="2" t="str">
        <f>TEXT(Table14[[#This Row],[Data_Wystawienia]],"rrrr-mm")</f>
        <v>2023-02</v>
      </c>
      <c r="P1133" s="2">
        <v>1</v>
      </c>
    </row>
    <row r="1134" spans="1:16" x14ac:dyDescent="0.3">
      <c r="A1134" s="2" t="str">
        <f>TRIM(Table1[[#This Row],[Numer_FV]])</f>
        <v>FV/58/SAL/23</v>
      </c>
      <c r="B1134" s="2" t="str">
        <f>TRIM(Table1[[#This Row],[Numer_PZ]])</f>
        <v>PZ/801132</v>
      </c>
      <c r="C1134" s="2" t="str">
        <f>TRIM(Table1[[#This Row],[Dostawca]])</f>
        <v>SalusHurt</v>
      </c>
      <c r="D1134" s="3">
        <v>44978</v>
      </c>
      <c r="E1134" s="4" t="s">
        <v>3372</v>
      </c>
      <c r="F1134" s="2" t="str">
        <f>TRIM(Table1[[#This Row],[Status]])</f>
        <v>Zaakceptowana</v>
      </c>
      <c r="G1134" s="2" t="str">
        <f>TRIM(Table1[[#This Row],[Typ]])</f>
        <v>Faktura VAT</v>
      </c>
      <c r="H1134" s="2" t="str">
        <f>TRIM(Table1[[#This Row],[Magazyn]])</f>
        <v>Apteka Szpitalna</v>
      </c>
      <c r="I1134" s="2" t="str">
        <f>TRIM(Table1[[#This Row],[Umowa]])</f>
        <v>UM-SAL-01</v>
      </c>
      <c r="J1134" s="2" t="b">
        <f>ISTEXT(Table14[[#This Row],[Data_Wystawienia]])</f>
        <v>0</v>
      </c>
      <c r="K1134" s="2">
        <f>VALUE(SUBSTITUTE(Table14[[#This Row],[Wartość]],".",","))</f>
        <v>11044.94</v>
      </c>
      <c r="L11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4" s="2" t="str">
        <f>IF(Table14[[#This Row],[Umowa]]="","Poza umową","Z umowy")</f>
        <v>Z umowy</v>
      </c>
      <c r="N1134" s="2">
        <f>YEAR(Table14[[#This Row],[Data_Wystawienia]])</f>
        <v>2023</v>
      </c>
      <c r="O1134" s="2" t="str">
        <f>TEXT(Table14[[#This Row],[Data_Wystawienia]],"rrrr-mm")</f>
        <v>2023-02</v>
      </c>
      <c r="P1134" s="2">
        <v>1</v>
      </c>
    </row>
    <row r="1135" spans="1:16" x14ac:dyDescent="0.3">
      <c r="A1135" s="2" t="str">
        <f>TRIM(Table1[[#This Row],[Numer_FV]])</f>
        <v>FV/94/SAL/23</v>
      </c>
      <c r="B1135" s="2" t="str">
        <f>TRIM(Table1[[#This Row],[Numer_PZ]])</f>
        <v>PZ/801133</v>
      </c>
      <c r="C1135" s="2" t="str">
        <f>TRIM(Table1[[#This Row],[Dostawca]])</f>
        <v>SalusHurt</v>
      </c>
      <c r="D1135" s="3">
        <v>44978</v>
      </c>
      <c r="E1135" s="4" t="s">
        <v>3375</v>
      </c>
      <c r="F1135" s="2" t="str">
        <f>TRIM(Table1[[#This Row],[Status]])</f>
        <v>Zaakceptowana</v>
      </c>
      <c r="G1135" s="2" t="str">
        <f>TRIM(Table1[[#This Row],[Typ]])</f>
        <v>Faktura VAT</v>
      </c>
      <c r="H1135" s="2" t="str">
        <f>TRIM(Table1[[#This Row],[Magazyn]])</f>
        <v>Apteka Szpitalna</v>
      </c>
      <c r="I1135" s="2" t="str">
        <f>TRIM(Table1[[#This Row],[Umowa]])</f>
        <v/>
      </c>
      <c r="J1135" s="2" t="b">
        <f>ISTEXT(Table14[[#This Row],[Data_Wystawienia]])</f>
        <v>0</v>
      </c>
      <c r="K1135" s="2">
        <f>VALUE(SUBSTITUTE(Table14[[#This Row],[Wartość]],".",","))</f>
        <v>19627.27</v>
      </c>
      <c r="L11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5" s="2" t="str">
        <f>IF(Table14[[#This Row],[Umowa]]="","Poza umową","Z umowy")</f>
        <v>Poza umową</v>
      </c>
      <c r="N1135" s="2">
        <f>YEAR(Table14[[#This Row],[Data_Wystawienia]])</f>
        <v>2023</v>
      </c>
      <c r="O1135" s="2" t="str">
        <f>TEXT(Table14[[#This Row],[Data_Wystawienia]],"rrrr-mm")</f>
        <v>2023-02</v>
      </c>
      <c r="P1135" s="2">
        <v>1</v>
      </c>
    </row>
    <row r="1136" spans="1:16" x14ac:dyDescent="0.3">
      <c r="A1136" s="2" t="str">
        <f>TRIM(Table1[[#This Row],[Numer_FV]])</f>
        <v>FV/3485/NOVA/23</v>
      </c>
      <c r="B1136" s="2" t="str">
        <f>TRIM(Table1[[#This Row],[Numer_PZ]])</f>
        <v>PZ/801134</v>
      </c>
      <c r="C1136" s="2" t="str">
        <f>TRIM(Table1[[#This Row],[Dostawca]])</f>
        <v>NovaLek</v>
      </c>
      <c r="D1136" s="3">
        <v>44978</v>
      </c>
      <c r="E1136" s="4" t="s">
        <v>3378</v>
      </c>
      <c r="F1136" s="2" t="str">
        <f>TRIM(Table1[[#This Row],[Status]])</f>
        <v>Zaakceptowana</v>
      </c>
      <c r="G1136" s="2" t="str">
        <f>TRIM(Table1[[#This Row],[Typ]])</f>
        <v>Faktura VAT</v>
      </c>
      <c r="H1136" s="2" t="str">
        <f>TRIM(Table1[[#This Row],[Magazyn]])</f>
        <v>Apteka Szpitalna</v>
      </c>
      <c r="I1136" s="2" t="str">
        <f>TRIM(Table1[[#This Row],[Umowa]])</f>
        <v>UM-NOV-01</v>
      </c>
      <c r="J1136" s="2" t="b">
        <f>ISTEXT(Table14[[#This Row],[Data_Wystawienia]])</f>
        <v>0</v>
      </c>
      <c r="K1136" s="2">
        <f>VALUE(SUBSTITUTE(Table14[[#This Row],[Wartość]],".",","))</f>
        <v>22976.18</v>
      </c>
      <c r="L11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6" s="2" t="str">
        <f>IF(Table14[[#This Row],[Umowa]]="","Poza umową","Z umowy")</f>
        <v>Z umowy</v>
      </c>
      <c r="N1136" s="2">
        <f>YEAR(Table14[[#This Row],[Data_Wystawienia]])</f>
        <v>2023</v>
      </c>
      <c r="O1136" s="2" t="str">
        <f>TEXT(Table14[[#This Row],[Data_Wystawienia]],"rrrr-mm")</f>
        <v>2023-02</v>
      </c>
      <c r="P1136" s="2">
        <v>1</v>
      </c>
    </row>
    <row r="1137" spans="1:16" x14ac:dyDescent="0.3">
      <c r="A1137" s="2" t="str">
        <f>TRIM(Table1[[#This Row],[Numer_FV]])</f>
        <v>FV/69/SAL/23</v>
      </c>
      <c r="B1137" s="2" t="str">
        <f>TRIM(Table1[[#This Row],[Numer_PZ]])</f>
        <v>PZ/801135</v>
      </c>
      <c r="C1137" s="2" t="str">
        <f>TRIM(Table1[[#This Row],[Dostawca]])</f>
        <v>SalusHurt</v>
      </c>
      <c r="D1137" s="3">
        <v>44979</v>
      </c>
      <c r="E1137" s="4" t="s">
        <v>3381</v>
      </c>
      <c r="F1137" s="2" t="str">
        <f>TRIM(Table1[[#This Row],[Status]])</f>
        <v>Zaakceptowana</v>
      </c>
      <c r="G1137" s="2" t="str">
        <f>TRIM(Table1[[#This Row],[Typ]])</f>
        <v>Faktura VAT</v>
      </c>
      <c r="H1137" s="2" t="str">
        <f>TRIM(Table1[[#This Row],[Magazyn]])</f>
        <v>Apteka Szpitalna</v>
      </c>
      <c r="I1137" s="2" t="str">
        <f>TRIM(Table1[[#This Row],[Umowa]])</f>
        <v>UM-SAL-01</v>
      </c>
      <c r="J1137" s="2" t="b">
        <f>ISTEXT(Table14[[#This Row],[Data_Wystawienia]])</f>
        <v>0</v>
      </c>
      <c r="K1137" s="2">
        <f>VALUE(SUBSTITUTE(Table14[[#This Row],[Wartość]],".",","))</f>
        <v>14802.85</v>
      </c>
      <c r="L11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7" s="2" t="str">
        <f>IF(Table14[[#This Row],[Umowa]]="","Poza umową","Z umowy")</f>
        <v>Z umowy</v>
      </c>
      <c r="N1137" s="2">
        <f>YEAR(Table14[[#This Row],[Data_Wystawienia]])</f>
        <v>2023</v>
      </c>
      <c r="O1137" s="2" t="str">
        <f>TEXT(Table14[[#This Row],[Data_Wystawienia]],"rrrr-mm")</f>
        <v>2023-02</v>
      </c>
      <c r="P1137" s="2">
        <v>1</v>
      </c>
    </row>
    <row r="1138" spans="1:16" x14ac:dyDescent="0.3">
      <c r="A1138" s="2" t="str">
        <f>TRIM(Table1[[#This Row],[Numer_FV]])</f>
        <v>FV/5826HM/23</v>
      </c>
      <c r="B1138" s="2" t="str">
        <f>TRIM(Table1[[#This Row],[Numer_PZ]])</f>
        <v>PZ/801136</v>
      </c>
      <c r="C1138" s="2" t="str">
        <f>TRIM(Table1[[#This Row],[Dostawca]])</f>
        <v>HurtMedix</v>
      </c>
      <c r="D1138" s="3">
        <v>44979</v>
      </c>
      <c r="E1138" s="4" t="s">
        <v>3384</v>
      </c>
      <c r="F1138" s="2" t="str">
        <f>TRIM(Table1[[#This Row],[Status]])</f>
        <v>Zaakceptowana</v>
      </c>
      <c r="G1138" s="2" t="str">
        <f>TRIM(Table1[[#This Row],[Typ]])</f>
        <v>Faktura VAT</v>
      </c>
      <c r="H1138" s="2" t="str">
        <f>TRIM(Table1[[#This Row],[Magazyn]])</f>
        <v>Apteka Szpitalna</v>
      </c>
      <c r="I1138" s="2" t="str">
        <f>TRIM(Table1[[#This Row],[Umowa]])</f>
        <v>UM-HUR-03</v>
      </c>
      <c r="J1138" s="2" t="b">
        <f>ISTEXT(Table14[[#This Row],[Data_Wystawienia]])</f>
        <v>0</v>
      </c>
      <c r="K1138" s="2">
        <f>VALUE(SUBSTITUTE(Table14[[#This Row],[Wartość]],".",","))</f>
        <v>5409.68</v>
      </c>
      <c r="L11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8" s="2" t="str">
        <f>IF(Table14[[#This Row],[Umowa]]="","Poza umową","Z umowy")</f>
        <v>Z umowy</v>
      </c>
      <c r="N1138" s="2">
        <f>YEAR(Table14[[#This Row],[Data_Wystawienia]])</f>
        <v>2023</v>
      </c>
      <c r="O1138" s="2" t="str">
        <f>TEXT(Table14[[#This Row],[Data_Wystawienia]],"rrrr-mm")</f>
        <v>2023-02</v>
      </c>
      <c r="P1138" s="2">
        <v>1</v>
      </c>
    </row>
    <row r="1139" spans="1:16" x14ac:dyDescent="0.3">
      <c r="A1139" s="2" t="str">
        <f>TRIM(Table1[[#This Row],[Numer_FV]])</f>
        <v>FV/M/6727/P/23</v>
      </c>
      <c r="B1139" s="2" t="str">
        <f>TRIM(Table1[[#This Row],[Numer_PZ]])</f>
        <v>PZ/801137</v>
      </c>
      <c r="C1139" s="2" t="str">
        <f>TRIM(Table1[[#This Row],[Dostawca]])</f>
        <v>MedicaPharm</v>
      </c>
      <c r="D1139" s="3">
        <v>44980</v>
      </c>
      <c r="E1139" s="4" t="s">
        <v>3387</v>
      </c>
      <c r="F1139" s="2" t="str">
        <f>TRIM(Table1[[#This Row],[Status]])</f>
        <v>Zaakceptowana</v>
      </c>
      <c r="G1139" s="2" t="str">
        <f>TRIM(Table1[[#This Row],[Typ]])</f>
        <v>Faktura VAT</v>
      </c>
      <c r="H1139" s="2" t="str">
        <f>TRIM(Table1[[#This Row],[Magazyn]])</f>
        <v>Apteka Szpitalna</v>
      </c>
      <c r="I1139" s="2" t="str">
        <f>TRIM(Table1[[#This Row],[Umowa]])</f>
        <v>UM-MED-02</v>
      </c>
      <c r="J1139" s="2" t="b">
        <f>ISTEXT(Table14[[#This Row],[Data_Wystawienia]])</f>
        <v>0</v>
      </c>
      <c r="K1139" s="2">
        <f>VALUE(SUBSTITUTE(Table14[[#This Row],[Wartość]],".",","))</f>
        <v>21955.82</v>
      </c>
      <c r="L11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39" s="2" t="str">
        <f>IF(Table14[[#This Row],[Umowa]]="","Poza umową","Z umowy")</f>
        <v>Z umowy</v>
      </c>
      <c r="N1139" s="2">
        <f>YEAR(Table14[[#This Row],[Data_Wystawienia]])</f>
        <v>2023</v>
      </c>
      <c r="O1139" s="2" t="str">
        <f>TEXT(Table14[[#This Row],[Data_Wystawienia]],"rrrr-mm")</f>
        <v>2023-02</v>
      </c>
      <c r="P1139" s="2">
        <v>1</v>
      </c>
    </row>
    <row r="1140" spans="1:16" x14ac:dyDescent="0.3">
      <c r="A1140" s="2" t="str">
        <f>TRIM(Table1[[#This Row],[Numer_FV]])</f>
        <v>FV/CENFA/127949/23</v>
      </c>
      <c r="B1140" s="2" t="str">
        <f>TRIM(Table1[[#This Row],[Numer_PZ]])</f>
        <v>PZ/801138</v>
      </c>
      <c r="C1140" s="2" t="str">
        <f>TRIM(Table1[[#This Row],[Dostawca]])</f>
        <v>CentrumFarm</v>
      </c>
      <c r="D1140" s="3">
        <v>44980</v>
      </c>
      <c r="E1140" s="4" t="s">
        <v>3390</v>
      </c>
      <c r="F1140" s="2" t="str">
        <f>TRIM(Table1[[#This Row],[Status]])</f>
        <v>Zaakceptowana</v>
      </c>
      <c r="G1140" s="2" t="str">
        <f>TRIM(Table1[[#This Row],[Typ]])</f>
        <v>Faktura VAT</v>
      </c>
      <c r="H1140" s="2" t="str">
        <f>TRIM(Table1[[#This Row],[Magazyn]])</f>
        <v>Apteka Szpitalna</v>
      </c>
      <c r="I1140" s="2" t="str">
        <f>TRIM(Table1[[#This Row],[Umowa]])</f>
        <v>UM-CEN-01</v>
      </c>
      <c r="J1140" s="2" t="b">
        <f>ISTEXT(Table14[[#This Row],[Data_Wystawienia]])</f>
        <v>0</v>
      </c>
      <c r="K1140" s="2">
        <f>VALUE(SUBSTITUTE(Table14[[#This Row],[Wartość]],".",","))</f>
        <v>9805.7099999999991</v>
      </c>
      <c r="L11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0" s="2" t="str">
        <f>IF(Table14[[#This Row],[Umowa]]="","Poza umową","Z umowy")</f>
        <v>Z umowy</v>
      </c>
      <c r="N1140" s="2">
        <f>YEAR(Table14[[#This Row],[Data_Wystawienia]])</f>
        <v>2023</v>
      </c>
      <c r="O1140" s="2" t="str">
        <f>TEXT(Table14[[#This Row],[Data_Wystawienia]],"rrrr-mm")</f>
        <v>2023-02</v>
      </c>
      <c r="P1140" s="2">
        <v>1</v>
      </c>
    </row>
    <row r="1141" spans="1:16" x14ac:dyDescent="0.3">
      <c r="A1141" s="2" t="str">
        <f>TRIM(Table1[[#This Row],[Numer_FV]])</f>
        <v>FV/39/PP/4594/23</v>
      </c>
      <c r="B1141" s="2" t="str">
        <f>TRIM(Table1[[#This Row],[Numer_PZ]])</f>
        <v>PZ/801139</v>
      </c>
      <c r="C1141" s="2" t="str">
        <f>TRIM(Table1[[#This Row],[Dostawca]])</f>
        <v>PharmaPlus</v>
      </c>
      <c r="D1141" s="3">
        <v>44980</v>
      </c>
      <c r="E1141" s="4" t="s">
        <v>3393</v>
      </c>
      <c r="F1141" s="2" t="str">
        <f>TRIM(Table1[[#This Row],[Status]])</f>
        <v>Zaakceptowana</v>
      </c>
      <c r="G1141" s="2" t="str">
        <f>TRIM(Table1[[#This Row],[Typ]])</f>
        <v>Faktura VAT</v>
      </c>
      <c r="H1141" s="2" t="str">
        <f>TRIM(Table1[[#This Row],[Magazyn]])</f>
        <v>Apteka Szpitalna</v>
      </c>
      <c r="I1141" s="2" t="str">
        <f>TRIM(Table1[[#This Row],[Umowa]])</f>
        <v>UM-PHA-01</v>
      </c>
      <c r="J1141" s="2" t="b">
        <f>ISTEXT(Table14[[#This Row],[Data_Wystawienia]])</f>
        <v>0</v>
      </c>
      <c r="K1141" s="2">
        <f>VALUE(SUBSTITUTE(Table14[[#This Row],[Wartość]],".",","))</f>
        <v>17906.57</v>
      </c>
      <c r="L11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1" s="2" t="str">
        <f>IF(Table14[[#This Row],[Umowa]]="","Poza umową","Z umowy")</f>
        <v>Z umowy</v>
      </c>
      <c r="N1141" s="2">
        <f>YEAR(Table14[[#This Row],[Data_Wystawienia]])</f>
        <v>2023</v>
      </c>
      <c r="O1141" s="2" t="str">
        <f>TEXT(Table14[[#This Row],[Data_Wystawienia]],"rrrr-mm")</f>
        <v>2023-02</v>
      </c>
      <c r="P1141" s="2">
        <v>1</v>
      </c>
    </row>
    <row r="1142" spans="1:16" x14ac:dyDescent="0.3">
      <c r="A1142" s="2" t="str">
        <f>TRIM(Table1[[#This Row],[Numer_FV]])</f>
        <v>FV/3132/NOVA/23</v>
      </c>
      <c r="B1142" s="2" t="str">
        <f>TRIM(Table1[[#This Row],[Numer_PZ]])</f>
        <v>PZ/801140</v>
      </c>
      <c r="C1142" s="2" t="str">
        <f>TRIM(Table1[[#This Row],[Dostawca]])</f>
        <v>NovaLek</v>
      </c>
      <c r="D1142" s="3">
        <v>44981</v>
      </c>
      <c r="E1142" s="4" t="s">
        <v>3396</v>
      </c>
      <c r="F1142" s="2" t="str">
        <f>TRIM(Table1[[#This Row],[Status]])</f>
        <v>Zaakceptowana</v>
      </c>
      <c r="G1142" s="2" t="str">
        <f>TRIM(Table1[[#This Row],[Typ]])</f>
        <v>Faktura VAT</v>
      </c>
      <c r="H1142" s="2" t="str">
        <f>TRIM(Table1[[#This Row],[Magazyn]])</f>
        <v>Apteka Szpitalna</v>
      </c>
      <c r="I1142" s="2" t="str">
        <f>TRIM(Table1[[#This Row],[Umowa]])</f>
        <v>UM-NOV-01</v>
      </c>
      <c r="J1142" s="2" t="b">
        <f>ISTEXT(Table14[[#This Row],[Data_Wystawienia]])</f>
        <v>0</v>
      </c>
      <c r="K1142" s="2">
        <f>VALUE(SUBSTITUTE(Table14[[#This Row],[Wartość]],".",","))</f>
        <v>22097.5</v>
      </c>
      <c r="L11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2" s="2" t="str">
        <f>IF(Table14[[#This Row],[Umowa]]="","Poza umową","Z umowy")</f>
        <v>Z umowy</v>
      </c>
      <c r="N1142" s="2">
        <f>YEAR(Table14[[#This Row],[Data_Wystawienia]])</f>
        <v>2023</v>
      </c>
      <c r="O1142" s="2" t="str">
        <f>TEXT(Table14[[#This Row],[Data_Wystawienia]],"rrrr-mm")</f>
        <v>2023-02</v>
      </c>
      <c r="P1142" s="2">
        <v>1</v>
      </c>
    </row>
    <row r="1143" spans="1:16" x14ac:dyDescent="0.3">
      <c r="A1143" s="2" t="str">
        <f>TRIM(Table1[[#This Row],[Numer_FV]])</f>
        <v>FV/CENFA/133673/23</v>
      </c>
      <c r="B1143" s="2" t="str">
        <f>TRIM(Table1[[#This Row],[Numer_PZ]])</f>
        <v>PZ/801141</v>
      </c>
      <c r="C1143" s="2" t="str">
        <f>TRIM(Table1[[#This Row],[Dostawca]])</f>
        <v>CentrumFarm</v>
      </c>
      <c r="D1143" s="3">
        <v>44981</v>
      </c>
      <c r="E1143" s="4" t="s">
        <v>3399</v>
      </c>
      <c r="F1143" s="2" t="str">
        <f>TRIM(Table1[[#This Row],[Status]])</f>
        <v>Zaakceptowana</v>
      </c>
      <c r="G1143" s="2" t="str">
        <f>TRIM(Table1[[#This Row],[Typ]])</f>
        <v>Faktura VAT</v>
      </c>
      <c r="H1143" s="2" t="str">
        <f>TRIM(Table1[[#This Row],[Magazyn]])</f>
        <v>Apteka Szpitalna</v>
      </c>
      <c r="I1143" s="2" t="str">
        <f>TRIM(Table1[[#This Row],[Umowa]])</f>
        <v/>
      </c>
      <c r="J1143" s="2" t="b">
        <f>ISTEXT(Table14[[#This Row],[Data_Wystawienia]])</f>
        <v>0</v>
      </c>
      <c r="K1143" s="2">
        <f>VALUE(SUBSTITUTE(Table14[[#This Row],[Wartość]],".",","))</f>
        <v>15389.56</v>
      </c>
      <c r="L11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3" s="2" t="str">
        <f>IF(Table14[[#This Row],[Umowa]]="","Poza umową","Z umowy")</f>
        <v>Poza umową</v>
      </c>
      <c r="N1143" s="2">
        <f>YEAR(Table14[[#This Row],[Data_Wystawienia]])</f>
        <v>2023</v>
      </c>
      <c r="O1143" s="2" t="str">
        <f>TEXT(Table14[[#This Row],[Data_Wystawienia]],"rrrr-mm")</f>
        <v>2023-02</v>
      </c>
      <c r="P1143" s="2">
        <v>1</v>
      </c>
    </row>
    <row r="1144" spans="1:16" x14ac:dyDescent="0.3">
      <c r="A1144" s="2" t="str">
        <f>TRIM(Table1[[#This Row],[Numer_FV]])</f>
        <v>FV/55103/VDb/2023</v>
      </c>
      <c r="B1144" s="2" t="str">
        <f>TRIM(Table1[[#This Row],[Numer_PZ]])</f>
        <v>PZ/801142</v>
      </c>
      <c r="C1144" s="2" t="str">
        <f>TRIM(Table1[[#This Row],[Dostawca]])</f>
        <v>VitaDistrib</v>
      </c>
      <c r="D1144" s="3">
        <v>44981</v>
      </c>
      <c r="E1144" s="4" t="s">
        <v>3402</v>
      </c>
      <c r="F1144" s="2" t="str">
        <f>TRIM(Table1[[#This Row],[Status]])</f>
        <v>Zaakceptowana</v>
      </c>
      <c r="G1144" s="2" t="str">
        <f>TRIM(Table1[[#This Row],[Typ]])</f>
        <v>Faktura VAT</v>
      </c>
      <c r="H1144" s="2" t="str">
        <f>TRIM(Table1[[#This Row],[Magazyn]])</f>
        <v>Apteka Szpitalna</v>
      </c>
      <c r="I1144" s="2" t="str">
        <f>TRIM(Table1[[#This Row],[Umowa]])</f>
        <v>UM-VIT-01</v>
      </c>
      <c r="J1144" s="2" t="b">
        <f>ISTEXT(Table14[[#This Row],[Data_Wystawienia]])</f>
        <v>0</v>
      </c>
      <c r="K1144" s="2">
        <f>VALUE(SUBSTITUTE(Table14[[#This Row],[Wartość]],".",","))</f>
        <v>8442.5300000000007</v>
      </c>
      <c r="L11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4" s="2" t="str">
        <f>IF(Table14[[#This Row],[Umowa]]="","Poza umową","Z umowy")</f>
        <v>Z umowy</v>
      </c>
      <c r="N1144" s="2">
        <f>YEAR(Table14[[#This Row],[Data_Wystawienia]])</f>
        <v>2023</v>
      </c>
      <c r="O1144" s="2" t="str">
        <f>TEXT(Table14[[#This Row],[Data_Wystawienia]],"rrrr-mm")</f>
        <v>2023-02</v>
      </c>
      <c r="P1144" s="2">
        <v>1</v>
      </c>
    </row>
    <row r="1145" spans="1:16" x14ac:dyDescent="0.3">
      <c r="A1145" s="2" t="str">
        <f>TRIM(Table1[[#This Row],[Numer_FV]])</f>
        <v>FV/M/3269/P/23</v>
      </c>
      <c r="B1145" s="2" t="str">
        <f>TRIM(Table1[[#This Row],[Numer_PZ]])</f>
        <v>PZ/801143</v>
      </c>
      <c r="C1145" s="2" t="str">
        <f>TRIM(Table1[[#This Row],[Dostawca]])</f>
        <v>MedicaPharm</v>
      </c>
      <c r="D1145" s="3">
        <v>44981</v>
      </c>
      <c r="E1145" s="4" t="s">
        <v>3405</v>
      </c>
      <c r="F1145" s="2" t="str">
        <f>TRIM(Table1[[#This Row],[Status]])</f>
        <v>Zaakceptowana</v>
      </c>
      <c r="G1145" s="2" t="str">
        <f>TRIM(Table1[[#This Row],[Typ]])</f>
        <v>Faktura VAT</v>
      </c>
      <c r="H1145" s="2" t="str">
        <f>TRIM(Table1[[#This Row],[Magazyn]])</f>
        <v>Apteka Szpitalna</v>
      </c>
      <c r="I1145" s="2" t="str">
        <f>TRIM(Table1[[#This Row],[Umowa]])</f>
        <v/>
      </c>
      <c r="J1145" s="2" t="b">
        <f>ISTEXT(Table14[[#This Row],[Data_Wystawienia]])</f>
        <v>0</v>
      </c>
      <c r="K1145" s="2">
        <f>VALUE(SUBSTITUTE(Table14[[#This Row],[Wartość]],".",","))</f>
        <v>12399</v>
      </c>
      <c r="L11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5" s="2" t="str">
        <f>IF(Table14[[#This Row],[Umowa]]="","Poza umową","Z umowy")</f>
        <v>Poza umową</v>
      </c>
      <c r="N1145" s="2">
        <f>YEAR(Table14[[#This Row],[Data_Wystawienia]])</f>
        <v>2023</v>
      </c>
      <c r="O1145" s="2" t="str">
        <f>TEXT(Table14[[#This Row],[Data_Wystawienia]],"rrrr-mm")</f>
        <v>2023-02</v>
      </c>
      <c r="P1145" s="2">
        <v>1</v>
      </c>
    </row>
    <row r="1146" spans="1:16" x14ac:dyDescent="0.3">
      <c r="A1146" s="2" t="str">
        <f>TRIM(Table1[[#This Row],[Numer_FV]])</f>
        <v>FV/M/2331/P/23</v>
      </c>
      <c r="B1146" s="2" t="str">
        <f>TRIM(Table1[[#This Row],[Numer_PZ]])</f>
        <v>PZ/801144</v>
      </c>
      <c r="C1146" s="2" t="str">
        <f>TRIM(Table1[[#This Row],[Dostawca]])</f>
        <v>MedicaPharm</v>
      </c>
      <c r="D1146" s="3">
        <v>44981</v>
      </c>
      <c r="E1146" s="4" t="s">
        <v>3408</v>
      </c>
      <c r="F1146" s="2" t="str">
        <f>TRIM(Table1[[#This Row],[Status]])</f>
        <v>Zaakceptowana</v>
      </c>
      <c r="G1146" s="2" t="str">
        <f>TRIM(Table1[[#This Row],[Typ]])</f>
        <v>Faktura VAT</v>
      </c>
      <c r="H1146" s="2" t="str">
        <f>TRIM(Table1[[#This Row],[Magazyn]])</f>
        <v>Apteka Szpitalna</v>
      </c>
      <c r="I1146" s="2" t="str">
        <f>TRIM(Table1[[#This Row],[Umowa]])</f>
        <v>UM-MED-02</v>
      </c>
      <c r="J1146" s="2" t="b">
        <f>ISTEXT(Table14[[#This Row],[Data_Wystawienia]])</f>
        <v>0</v>
      </c>
      <c r="K1146" s="2">
        <f>VALUE(SUBSTITUTE(Table14[[#This Row],[Wartość]],".",","))</f>
        <v>11758.05</v>
      </c>
      <c r="L11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6" s="2" t="str">
        <f>IF(Table14[[#This Row],[Umowa]]="","Poza umową","Z umowy")</f>
        <v>Z umowy</v>
      </c>
      <c r="N1146" s="2">
        <f>YEAR(Table14[[#This Row],[Data_Wystawienia]])</f>
        <v>2023</v>
      </c>
      <c r="O1146" s="2" t="str">
        <f>TEXT(Table14[[#This Row],[Data_Wystawienia]],"rrrr-mm")</f>
        <v>2023-02</v>
      </c>
      <c r="P1146" s="2">
        <v>1</v>
      </c>
    </row>
    <row r="1147" spans="1:16" x14ac:dyDescent="0.3">
      <c r="A1147" s="2" t="str">
        <f>TRIM(Table1[[#This Row],[Numer_FV]])</f>
        <v>FV/POL/61169/2023</v>
      </c>
      <c r="B1147" s="2" t="str">
        <f>TRIM(Table1[[#This Row],[Numer_PZ]])</f>
        <v>PZ/801145</v>
      </c>
      <c r="C1147" s="2" t="str">
        <f>TRIM(Table1[[#This Row],[Dostawca]])</f>
        <v>Polmedica</v>
      </c>
      <c r="D1147" s="3">
        <v>44981</v>
      </c>
      <c r="E1147" s="4" t="s">
        <v>3411</v>
      </c>
      <c r="F1147" s="2" t="str">
        <f>TRIM(Table1[[#This Row],[Status]])</f>
        <v>Zaakceptowana</v>
      </c>
      <c r="G1147" s="2" t="str">
        <f>TRIM(Table1[[#This Row],[Typ]])</f>
        <v>Faktura VAT</v>
      </c>
      <c r="H1147" s="2" t="str">
        <f>TRIM(Table1[[#This Row],[Magazyn]])</f>
        <v>Apteka Szpitalna</v>
      </c>
      <c r="I1147" s="2" t="str">
        <f>TRIM(Table1[[#This Row],[Umowa]])</f>
        <v/>
      </c>
      <c r="J1147" s="2" t="b">
        <f>ISTEXT(Table14[[#This Row],[Data_Wystawienia]])</f>
        <v>0</v>
      </c>
      <c r="K1147" s="2">
        <f>VALUE(SUBSTITUTE(Table14[[#This Row],[Wartość]],".",","))</f>
        <v>13343.71</v>
      </c>
      <c r="L11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7" s="2" t="str">
        <f>IF(Table14[[#This Row],[Umowa]]="","Poza umową","Z umowy")</f>
        <v>Poza umową</v>
      </c>
      <c r="N1147" s="2">
        <f>YEAR(Table14[[#This Row],[Data_Wystawienia]])</f>
        <v>2023</v>
      </c>
      <c r="O1147" s="2" t="str">
        <f>TEXT(Table14[[#This Row],[Data_Wystawienia]],"rrrr-mm")</f>
        <v>2023-02</v>
      </c>
      <c r="P1147" s="2">
        <v>1</v>
      </c>
    </row>
    <row r="1148" spans="1:16" x14ac:dyDescent="0.3">
      <c r="A1148" s="2" t="str">
        <f>TRIM(Table1[[#This Row],[Numer_FV]])</f>
        <v>FV/4885HM/23</v>
      </c>
      <c r="B1148" s="2" t="str">
        <f>TRIM(Table1[[#This Row],[Numer_PZ]])</f>
        <v>PZ/801146</v>
      </c>
      <c r="C1148" s="2" t="str">
        <f>TRIM(Table1[[#This Row],[Dostawca]])</f>
        <v>HurtMedix</v>
      </c>
      <c r="D1148" s="3">
        <v>44982</v>
      </c>
      <c r="E1148" s="4" t="s">
        <v>3414</v>
      </c>
      <c r="F1148" s="2" t="str">
        <f>TRIM(Table1[[#This Row],[Status]])</f>
        <v>Zaakceptowana</v>
      </c>
      <c r="G1148" s="2" t="str">
        <f>TRIM(Table1[[#This Row],[Typ]])</f>
        <v>Faktura VAT</v>
      </c>
      <c r="H1148" s="2" t="str">
        <f>TRIM(Table1[[#This Row],[Magazyn]])</f>
        <v>Apteka Szpitalna</v>
      </c>
      <c r="I1148" s="2" t="str">
        <f>TRIM(Table1[[#This Row],[Umowa]])</f>
        <v>UM-HUR-01</v>
      </c>
      <c r="J1148" s="2" t="b">
        <f>ISTEXT(Table14[[#This Row],[Data_Wystawienia]])</f>
        <v>0</v>
      </c>
      <c r="K1148" s="2">
        <f>VALUE(SUBSTITUTE(Table14[[#This Row],[Wartość]],".",","))</f>
        <v>14815.99</v>
      </c>
      <c r="L11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8" s="2" t="str">
        <f>IF(Table14[[#This Row],[Umowa]]="","Poza umową","Z umowy")</f>
        <v>Z umowy</v>
      </c>
      <c r="N1148" s="2">
        <f>YEAR(Table14[[#This Row],[Data_Wystawienia]])</f>
        <v>2023</v>
      </c>
      <c r="O1148" s="2" t="str">
        <f>TEXT(Table14[[#This Row],[Data_Wystawienia]],"rrrr-mm")</f>
        <v>2023-02</v>
      </c>
      <c r="P1148" s="2">
        <v>1</v>
      </c>
    </row>
    <row r="1149" spans="1:16" x14ac:dyDescent="0.3">
      <c r="A1149" s="2" t="str">
        <f>TRIM(Table1[[#This Row],[Numer_FV]])</f>
        <v>FV/5876HM/23</v>
      </c>
      <c r="B1149" s="2" t="str">
        <f>TRIM(Table1[[#This Row],[Numer_PZ]])</f>
        <v>PZ/801147</v>
      </c>
      <c r="C1149" s="2" t="str">
        <f>TRIM(Table1[[#This Row],[Dostawca]])</f>
        <v>HurtMedix</v>
      </c>
      <c r="D1149" s="3">
        <v>44982</v>
      </c>
      <c r="E1149" s="4" t="s">
        <v>3417</v>
      </c>
      <c r="F1149" s="2" t="str">
        <f>TRIM(Table1[[#This Row],[Status]])</f>
        <v>Zaakceptowana</v>
      </c>
      <c r="G1149" s="2" t="str">
        <f>TRIM(Table1[[#This Row],[Typ]])</f>
        <v>Faktura VAT</v>
      </c>
      <c r="H1149" s="2" t="str">
        <f>TRIM(Table1[[#This Row],[Magazyn]])</f>
        <v>Apteka Szpitalna</v>
      </c>
      <c r="I1149" s="2" t="str">
        <f>TRIM(Table1[[#This Row],[Umowa]])</f>
        <v>UM-HUR-02</v>
      </c>
      <c r="J1149" s="2" t="b">
        <f>ISTEXT(Table14[[#This Row],[Data_Wystawienia]])</f>
        <v>0</v>
      </c>
      <c r="K1149" s="2">
        <f>VALUE(SUBSTITUTE(Table14[[#This Row],[Wartość]],".",","))</f>
        <v>20142.82</v>
      </c>
      <c r="L11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49" s="2" t="str">
        <f>IF(Table14[[#This Row],[Umowa]]="","Poza umową","Z umowy")</f>
        <v>Z umowy</v>
      </c>
      <c r="N1149" s="2">
        <f>YEAR(Table14[[#This Row],[Data_Wystawienia]])</f>
        <v>2023</v>
      </c>
      <c r="O1149" s="2" t="str">
        <f>TEXT(Table14[[#This Row],[Data_Wystawienia]],"rrrr-mm")</f>
        <v>2023-02</v>
      </c>
      <c r="P1149" s="2">
        <v>1</v>
      </c>
    </row>
    <row r="1150" spans="1:16" x14ac:dyDescent="0.3">
      <c r="A1150" s="2" t="str">
        <f>TRIM(Table1[[#This Row],[Numer_FV]])</f>
        <v>FV/81411/VDb/2023</v>
      </c>
      <c r="B1150" s="2" t="str">
        <f>TRIM(Table1[[#This Row],[Numer_PZ]])</f>
        <v>PZ/801148</v>
      </c>
      <c r="C1150" s="2" t="str">
        <f>TRIM(Table1[[#This Row],[Dostawca]])</f>
        <v>VitaDistrib</v>
      </c>
      <c r="D1150" s="3">
        <v>44982</v>
      </c>
      <c r="E1150" s="4" t="s">
        <v>3420</v>
      </c>
      <c r="F1150" s="2" t="str">
        <f>TRIM(Table1[[#This Row],[Status]])</f>
        <v>Zaakceptowana</v>
      </c>
      <c r="G1150" s="2" t="str">
        <f>TRIM(Table1[[#This Row],[Typ]])</f>
        <v>Faktura VAT</v>
      </c>
      <c r="H1150" s="2" t="str">
        <f>TRIM(Table1[[#This Row],[Magazyn]])</f>
        <v>Apteka Szpitalna</v>
      </c>
      <c r="I1150" s="2" t="str">
        <f>TRIM(Table1[[#This Row],[Umowa]])</f>
        <v>UM-VIT-01</v>
      </c>
      <c r="J1150" s="2" t="b">
        <f>ISTEXT(Table14[[#This Row],[Data_Wystawienia]])</f>
        <v>0</v>
      </c>
      <c r="K1150" s="2">
        <f>VALUE(SUBSTITUTE(Table14[[#This Row],[Wartość]],".",","))</f>
        <v>12277.51</v>
      </c>
      <c r="L11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0" s="2" t="str">
        <f>IF(Table14[[#This Row],[Umowa]]="","Poza umową","Z umowy")</f>
        <v>Z umowy</v>
      </c>
      <c r="N1150" s="2">
        <f>YEAR(Table14[[#This Row],[Data_Wystawienia]])</f>
        <v>2023</v>
      </c>
      <c r="O1150" s="2" t="str">
        <f>TEXT(Table14[[#This Row],[Data_Wystawienia]],"rrrr-mm")</f>
        <v>2023-02</v>
      </c>
      <c r="P1150" s="2">
        <v>1</v>
      </c>
    </row>
    <row r="1151" spans="1:16" x14ac:dyDescent="0.3">
      <c r="A1151" s="2" t="str">
        <f>TRIM(Table1[[#This Row],[Numer_FV]])</f>
        <v>FV/POL/97883/2023</v>
      </c>
      <c r="B1151" s="2" t="str">
        <f>TRIM(Table1[[#This Row],[Numer_PZ]])</f>
        <v>PZ/801149</v>
      </c>
      <c r="C1151" s="2" t="str">
        <f>TRIM(Table1[[#This Row],[Dostawca]])</f>
        <v>Polmedica</v>
      </c>
      <c r="D1151" s="3">
        <v>44982</v>
      </c>
      <c r="E1151" s="4" t="s">
        <v>3423</v>
      </c>
      <c r="F1151" s="2" t="str">
        <f>TRIM(Table1[[#This Row],[Status]])</f>
        <v>Zaakceptowana</v>
      </c>
      <c r="G1151" s="2" t="str">
        <f>TRIM(Table1[[#This Row],[Typ]])</f>
        <v>Faktura VAT</v>
      </c>
      <c r="H1151" s="2" t="str">
        <f>TRIM(Table1[[#This Row],[Magazyn]])</f>
        <v>Apteka Szpitalna</v>
      </c>
      <c r="I1151" s="2" t="str">
        <f>TRIM(Table1[[#This Row],[Umowa]])</f>
        <v>UM-POL-02</v>
      </c>
      <c r="J1151" s="2" t="b">
        <f>ISTEXT(Table14[[#This Row],[Data_Wystawienia]])</f>
        <v>0</v>
      </c>
      <c r="K1151" s="2">
        <f>VALUE(SUBSTITUTE(Table14[[#This Row],[Wartość]],".",","))</f>
        <v>9431.9</v>
      </c>
      <c r="L11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1" s="2" t="str">
        <f>IF(Table14[[#This Row],[Umowa]]="","Poza umową","Z umowy")</f>
        <v>Z umowy</v>
      </c>
      <c r="N1151" s="2">
        <f>YEAR(Table14[[#This Row],[Data_Wystawienia]])</f>
        <v>2023</v>
      </c>
      <c r="O1151" s="2" t="str">
        <f>TEXT(Table14[[#This Row],[Data_Wystawienia]],"rrrr-mm")</f>
        <v>2023-02</v>
      </c>
      <c r="P1151" s="2">
        <v>1</v>
      </c>
    </row>
    <row r="1152" spans="1:16" x14ac:dyDescent="0.3">
      <c r="A1152" s="2" t="str">
        <f>TRIM(Table1[[#This Row],[Numer_FV]])</f>
        <v>FV/CENFA/766168/23</v>
      </c>
      <c r="B1152" s="2" t="str">
        <f>TRIM(Table1[[#This Row],[Numer_PZ]])</f>
        <v>PZ/801150</v>
      </c>
      <c r="C1152" s="2" t="str">
        <f>TRIM(Table1[[#This Row],[Dostawca]])</f>
        <v>CentrumFarm</v>
      </c>
      <c r="D1152" s="3">
        <v>44982</v>
      </c>
      <c r="E1152" s="4" t="s">
        <v>3426</v>
      </c>
      <c r="F1152" s="2" t="str">
        <f>TRIM(Table1[[#This Row],[Status]])</f>
        <v>Zaakceptowana</v>
      </c>
      <c r="G1152" s="2" t="str">
        <f>TRIM(Table1[[#This Row],[Typ]])</f>
        <v>Faktura VAT</v>
      </c>
      <c r="H1152" s="2" t="str">
        <f>TRIM(Table1[[#This Row],[Magazyn]])</f>
        <v>Apteka Szpitalna</v>
      </c>
      <c r="I1152" s="2" t="str">
        <f>TRIM(Table1[[#This Row],[Umowa]])</f>
        <v>UM-CEN-02</v>
      </c>
      <c r="J1152" s="2" t="b">
        <f>ISTEXT(Table14[[#This Row],[Data_Wystawienia]])</f>
        <v>0</v>
      </c>
      <c r="K1152" s="2">
        <f>VALUE(SUBSTITUTE(Table14[[#This Row],[Wartość]],".",","))</f>
        <v>15739.28</v>
      </c>
      <c r="L11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2" s="2" t="str">
        <f>IF(Table14[[#This Row],[Umowa]]="","Poza umową","Z umowy")</f>
        <v>Z umowy</v>
      </c>
      <c r="N1152" s="2">
        <f>YEAR(Table14[[#This Row],[Data_Wystawienia]])</f>
        <v>2023</v>
      </c>
      <c r="O1152" s="2" t="str">
        <f>TEXT(Table14[[#This Row],[Data_Wystawienia]],"rrrr-mm")</f>
        <v>2023-02</v>
      </c>
      <c r="P1152" s="2">
        <v>1</v>
      </c>
    </row>
    <row r="1153" spans="1:16" x14ac:dyDescent="0.3">
      <c r="A1153" s="2" t="str">
        <f>TRIM(Table1[[#This Row],[Numer_FV]])</f>
        <v>FV/CENFA/836174/23</v>
      </c>
      <c r="B1153" s="2" t="str">
        <f>TRIM(Table1[[#This Row],[Numer_PZ]])</f>
        <v>PZ/801151</v>
      </c>
      <c r="C1153" s="2" t="str">
        <f>TRIM(Table1[[#This Row],[Dostawca]])</f>
        <v>CentrumFarm</v>
      </c>
      <c r="D1153" s="3">
        <v>44983</v>
      </c>
      <c r="E1153" s="4" t="s">
        <v>3429</v>
      </c>
      <c r="F1153" s="2" t="str">
        <f>TRIM(Table1[[#This Row],[Status]])</f>
        <v>Zaakceptowana</v>
      </c>
      <c r="G1153" s="2" t="str">
        <f>TRIM(Table1[[#This Row],[Typ]])</f>
        <v>Faktura VAT</v>
      </c>
      <c r="H1153" s="2" t="str">
        <f>TRIM(Table1[[#This Row],[Magazyn]])</f>
        <v>Apteka Szpitalna</v>
      </c>
      <c r="I1153" s="2" t="str">
        <f>TRIM(Table1[[#This Row],[Umowa]])</f>
        <v>UM-CEN-01</v>
      </c>
      <c r="J1153" s="2" t="b">
        <f>ISTEXT(Table14[[#This Row],[Data_Wystawienia]])</f>
        <v>0</v>
      </c>
      <c r="K1153" s="2">
        <f>VALUE(SUBSTITUTE(Table14[[#This Row],[Wartość]],".",","))</f>
        <v>17363.189999999999</v>
      </c>
      <c r="L11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3" s="2" t="str">
        <f>IF(Table14[[#This Row],[Umowa]]="","Poza umową","Z umowy")</f>
        <v>Z umowy</v>
      </c>
      <c r="N1153" s="2">
        <f>YEAR(Table14[[#This Row],[Data_Wystawienia]])</f>
        <v>2023</v>
      </c>
      <c r="O1153" s="2" t="str">
        <f>TEXT(Table14[[#This Row],[Data_Wystawienia]],"rrrr-mm")</f>
        <v>2023-02</v>
      </c>
      <c r="P1153" s="2">
        <v>1</v>
      </c>
    </row>
    <row r="1154" spans="1:16" x14ac:dyDescent="0.3">
      <c r="A1154" s="2" t="str">
        <f>TRIM(Table1[[#This Row],[Numer_FV]])</f>
        <v>FV/10/SAL/23</v>
      </c>
      <c r="B1154" s="2" t="str">
        <f>TRIM(Table1[[#This Row],[Numer_PZ]])</f>
        <v>PZ/801152</v>
      </c>
      <c r="C1154" s="2" t="str">
        <f>TRIM(Table1[[#This Row],[Dostawca]])</f>
        <v>SalusHurt</v>
      </c>
      <c r="D1154" s="3">
        <v>44983</v>
      </c>
      <c r="E1154" s="4" t="s">
        <v>3432</v>
      </c>
      <c r="F1154" s="2" t="str">
        <f>TRIM(Table1[[#This Row],[Status]])</f>
        <v>Zaakceptowana</v>
      </c>
      <c r="G1154" s="2" t="str">
        <f>TRIM(Table1[[#This Row],[Typ]])</f>
        <v>Faktura VAT</v>
      </c>
      <c r="H1154" s="2" t="str">
        <f>TRIM(Table1[[#This Row],[Magazyn]])</f>
        <v>Apteka Szpitalna</v>
      </c>
      <c r="I1154" s="2" t="str">
        <f>TRIM(Table1[[#This Row],[Umowa]])</f>
        <v>UM-SAL-01</v>
      </c>
      <c r="J1154" s="2" t="b">
        <f>ISTEXT(Table14[[#This Row],[Data_Wystawienia]])</f>
        <v>0</v>
      </c>
      <c r="K1154" s="2">
        <f>VALUE(SUBSTITUTE(Table14[[#This Row],[Wartość]],".",","))</f>
        <v>16339.19</v>
      </c>
      <c r="L11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4" s="2" t="str">
        <f>IF(Table14[[#This Row],[Umowa]]="","Poza umową","Z umowy")</f>
        <v>Z umowy</v>
      </c>
      <c r="N1154" s="2">
        <f>YEAR(Table14[[#This Row],[Data_Wystawienia]])</f>
        <v>2023</v>
      </c>
      <c r="O1154" s="2" t="str">
        <f>TEXT(Table14[[#This Row],[Data_Wystawienia]],"rrrr-mm")</f>
        <v>2023-02</v>
      </c>
      <c r="P1154" s="2">
        <v>1</v>
      </c>
    </row>
    <row r="1155" spans="1:16" x14ac:dyDescent="0.3">
      <c r="A1155" s="2" t="str">
        <f>TRIM(Table1[[#This Row],[Numer_FV]])</f>
        <v>FV/1776/NOVA/23</v>
      </c>
      <c r="B1155" s="2" t="str">
        <f>TRIM(Table1[[#This Row],[Numer_PZ]])</f>
        <v>PZ/801153</v>
      </c>
      <c r="C1155" s="2" t="str">
        <f>TRIM(Table1[[#This Row],[Dostawca]])</f>
        <v>NovaLek</v>
      </c>
      <c r="D1155" s="3">
        <v>44984</v>
      </c>
      <c r="E1155" s="4" t="s">
        <v>3435</v>
      </c>
      <c r="F1155" s="2" t="str">
        <f>TRIM(Table1[[#This Row],[Status]])</f>
        <v>Zaakceptowana</v>
      </c>
      <c r="G1155" s="2" t="str">
        <f>TRIM(Table1[[#This Row],[Typ]])</f>
        <v>Faktura VAT</v>
      </c>
      <c r="H1155" s="2" t="str">
        <f>TRIM(Table1[[#This Row],[Magazyn]])</f>
        <v>Apteka Szpitalna</v>
      </c>
      <c r="I1155" s="2" t="str">
        <f>TRIM(Table1[[#This Row],[Umowa]])</f>
        <v/>
      </c>
      <c r="J1155" s="2" t="b">
        <f>ISTEXT(Table14[[#This Row],[Data_Wystawienia]])</f>
        <v>0</v>
      </c>
      <c r="K1155" s="2">
        <f>VALUE(SUBSTITUTE(Table14[[#This Row],[Wartość]],".",","))</f>
        <v>15057.87</v>
      </c>
      <c r="L11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5" s="2" t="str">
        <f>IF(Table14[[#This Row],[Umowa]]="","Poza umową","Z umowy")</f>
        <v>Poza umową</v>
      </c>
      <c r="N1155" s="2">
        <f>YEAR(Table14[[#This Row],[Data_Wystawienia]])</f>
        <v>2023</v>
      </c>
      <c r="O1155" s="2" t="str">
        <f>TEXT(Table14[[#This Row],[Data_Wystawienia]],"rrrr-mm")</f>
        <v>2023-02</v>
      </c>
      <c r="P1155" s="2">
        <v>1</v>
      </c>
    </row>
    <row r="1156" spans="1:16" x14ac:dyDescent="0.3">
      <c r="A1156" s="2" t="str">
        <f>TRIM(Table1[[#This Row],[Numer_FV]])</f>
        <v>FV/POL/86835/2023</v>
      </c>
      <c r="B1156" s="2" t="str">
        <f>TRIM(Table1[[#This Row],[Numer_PZ]])</f>
        <v>PZ/801154</v>
      </c>
      <c r="C1156" s="2" t="str">
        <f>TRIM(Table1[[#This Row],[Dostawca]])</f>
        <v>Polmedica</v>
      </c>
      <c r="D1156" s="3">
        <v>44984</v>
      </c>
      <c r="E1156" s="4" t="s">
        <v>3438</v>
      </c>
      <c r="F1156" s="2" t="str">
        <f>TRIM(Table1[[#This Row],[Status]])</f>
        <v>Zaakceptowana</v>
      </c>
      <c r="G1156" s="2" t="str">
        <f>TRIM(Table1[[#This Row],[Typ]])</f>
        <v>Faktura VAT</v>
      </c>
      <c r="H1156" s="2" t="str">
        <f>TRIM(Table1[[#This Row],[Magazyn]])</f>
        <v>Apteka Szpitalna</v>
      </c>
      <c r="I1156" s="2" t="str">
        <f>TRIM(Table1[[#This Row],[Umowa]])</f>
        <v>UM-POL-01</v>
      </c>
      <c r="J1156" s="2" t="b">
        <f>ISTEXT(Table14[[#This Row],[Data_Wystawienia]])</f>
        <v>0</v>
      </c>
      <c r="K1156" s="2">
        <f>VALUE(SUBSTITUTE(Table14[[#This Row],[Wartość]],".",","))</f>
        <v>25285.63</v>
      </c>
      <c r="L11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6" s="2" t="str">
        <f>IF(Table14[[#This Row],[Umowa]]="","Poza umową","Z umowy")</f>
        <v>Z umowy</v>
      </c>
      <c r="N1156" s="2">
        <f>YEAR(Table14[[#This Row],[Data_Wystawienia]])</f>
        <v>2023</v>
      </c>
      <c r="O1156" s="2" t="str">
        <f>TEXT(Table14[[#This Row],[Data_Wystawienia]],"rrrr-mm")</f>
        <v>2023-02</v>
      </c>
      <c r="P1156" s="2">
        <v>1</v>
      </c>
    </row>
    <row r="1157" spans="1:16" x14ac:dyDescent="0.3">
      <c r="A1157" s="2" t="str">
        <f>TRIM(Table1[[#This Row],[Numer_FV]])</f>
        <v>FV/M/7931/P/23</v>
      </c>
      <c r="B1157" s="2" t="str">
        <f>TRIM(Table1[[#This Row],[Numer_PZ]])</f>
        <v>PZ/801155</v>
      </c>
      <c r="C1157" s="2" t="str">
        <f>TRIM(Table1[[#This Row],[Dostawca]])</f>
        <v>MedicaPharm</v>
      </c>
      <c r="D1157" s="3">
        <v>44984</v>
      </c>
      <c r="E1157" s="4" t="s">
        <v>3441</v>
      </c>
      <c r="F1157" s="2" t="str">
        <f>TRIM(Table1[[#This Row],[Status]])</f>
        <v>Zaakceptowana</v>
      </c>
      <c r="G1157" s="2" t="str">
        <f>TRIM(Table1[[#This Row],[Typ]])</f>
        <v>Faktura VAT</v>
      </c>
      <c r="H1157" s="2" t="str">
        <f>TRIM(Table1[[#This Row],[Magazyn]])</f>
        <v>Apteka Szpitalna</v>
      </c>
      <c r="I1157" s="2" t="str">
        <f>TRIM(Table1[[#This Row],[Umowa]])</f>
        <v>UM-MED-01</v>
      </c>
      <c r="J1157" s="2" t="b">
        <f>ISTEXT(Table14[[#This Row],[Data_Wystawienia]])</f>
        <v>0</v>
      </c>
      <c r="K1157" s="2">
        <f>VALUE(SUBSTITUTE(Table14[[#This Row],[Wartość]],".",","))</f>
        <v>16632.849999999999</v>
      </c>
      <c r="L11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7" s="2" t="str">
        <f>IF(Table14[[#This Row],[Umowa]]="","Poza umową","Z umowy")</f>
        <v>Z umowy</v>
      </c>
      <c r="N1157" s="2">
        <f>YEAR(Table14[[#This Row],[Data_Wystawienia]])</f>
        <v>2023</v>
      </c>
      <c r="O1157" s="2" t="str">
        <f>TEXT(Table14[[#This Row],[Data_Wystawienia]],"rrrr-mm")</f>
        <v>2023-02</v>
      </c>
      <c r="P1157" s="2">
        <v>1</v>
      </c>
    </row>
    <row r="1158" spans="1:16" x14ac:dyDescent="0.3">
      <c r="A1158" s="2" t="str">
        <f>TRIM(Table1[[#This Row],[Numer_FV]])</f>
        <v>FV/87/PP/2083/23</v>
      </c>
      <c r="B1158" s="2" t="str">
        <f>TRIM(Table1[[#This Row],[Numer_PZ]])</f>
        <v>PZ/801156</v>
      </c>
      <c r="C1158" s="2" t="str">
        <f>TRIM(Table1[[#This Row],[Dostawca]])</f>
        <v>PharmaPlus</v>
      </c>
      <c r="D1158" s="3">
        <v>44985</v>
      </c>
      <c r="E1158" s="4" t="s">
        <v>3444</v>
      </c>
      <c r="F1158" s="2" t="str">
        <f>TRIM(Table1[[#This Row],[Status]])</f>
        <v>Zaakceptowana</v>
      </c>
      <c r="G1158" s="2" t="str">
        <f>TRIM(Table1[[#This Row],[Typ]])</f>
        <v>Faktura VAT</v>
      </c>
      <c r="H1158" s="2" t="str">
        <f>TRIM(Table1[[#This Row],[Magazyn]])</f>
        <v>Apteka Szpitalna</v>
      </c>
      <c r="I1158" s="2" t="str">
        <f>TRIM(Table1[[#This Row],[Umowa]])</f>
        <v>UM-PHA-01</v>
      </c>
      <c r="J1158" s="2" t="b">
        <f>ISTEXT(Table14[[#This Row],[Data_Wystawienia]])</f>
        <v>0</v>
      </c>
      <c r="K1158" s="2">
        <f>VALUE(SUBSTITUTE(Table14[[#This Row],[Wartość]],".",","))</f>
        <v>19966</v>
      </c>
      <c r="L11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8" s="2" t="str">
        <f>IF(Table14[[#This Row],[Umowa]]="","Poza umową","Z umowy")</f>
        <v>Z umowy</v>
      </c>
      <c r="N1158" s="2">
        <f>YEAR(Table14[[#This Row],[Data_Wystawienia]])</f>
        <v>2023</v>
      </c>
      <c r="O1158" s="2" t="str">
        <f>TEXT(Table14[[#This Row],[Data_Wystawienia]],"rrrr-mm")</f>
        <v>2023-02</v>
      </c>
      <c r="P1158" s="2">
        <v>1</v>
      </c>
    </row>
    <row r="1159" spans="1:16" x14ac:dyDescent="0.3">
      <c r="A1159" s="2" t="str">
        <f>TRIM(Table1[[#This Row],[Numer_FV]])</f>
        <v>FV/7961/NOVA/23</v>
      </c>
      <c r="B1159" s="2" t="str">
        <f>TRIM(Table1[[#This Row],[Numer_PZ]])</f>
        <v>PZ/801157</v>
      </c>
      <c r="C1159" s="2" t="str">
        <f>TRIM(Table1[[#This Row],[Dostawca]])</f>
        <v>NovaLek</v>
      </c>
      <c r="D1159" s="3">
        <v>44985</v>
      </c>
      <c r="E1159" s="4" t="s">
        <v>3447</v>
      </c>
      <c r="F1159" s="2" t="str">
        <f>TRIM(Table1[[#This Row],[Status]])</f>
        <v>Zaakceptowana</v>
      </c>
      <c r="G1159" s="2" t="str">
        <f>TRIM(Table1[[#This Row],[Typ]])</f>
        <v>Faktura VAT</v>
      </c>
      <c r="H1159" s="2" t="str">
        <f>TRIM(Table1[[#This Row],[Magazyn]])</f>
        <v>Apteka Szpitalna</v>
      </c>
      <c r="I1159" s="2" t="str">
        <f>TRIM(Table1[[#This Row],[Umowa]])</f>
        <v>UM-NOV-02</v>
      </c>
      <c r="J1159" s="2" t="b">
        <f>ISTEXT(Table14[[#This Row],[Data_Wystawienia]])</f>
        <v>0</v>
      </c>
      <c r="K1159" s="2">
        <f>VALUE(SUBSTITUTE(Table14[[#This Row],[Wartość]],".",","))</f>
        <v>20287.79</v>
      </c>
      <c r="L11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59" s="2" t="str">
        <f>IF(Table14[[#This Row],[Umowa]]="","Poza umową","Z umowy")</f>
        <v>Z umowy</v>
      </c>
      <c r="N1159" s="2">
        <f>YEAR(Table14[[#This Row],[Data_Wystawienia]])</f>
        <v>2023</v>
      </c>
      <c r="O1159" s="2" t="str">
        <f>TEXT(Table14[[#This Row],[Data_Wystawienia]],"rrrr-mm")</f>
        <v>2023-02</v>
      </c>
      <c r="P1159" s="2">
        <v>1</v>
      </c>
    </row>
    <row r="1160" spans="1:16" x14ac:dyDescent="0.3">
      <c r="A1160" s="2" t="str">
        <f>TRIM(Table1[[#This Row],[Numer_FV]])</f>
        <v>FV/M/6238/P/23</v>
      </c>
      <c r="B1160" s="2" t="str">
        <f>TRIM(Table1[[#This Row],[Numer_PZ]])</f>
        <v>PZ/801158</v>
      </c>
      <c r="C1160" s="2" t="str">
        <f>TRIM(Table1[[#This Row],[Dostawca]])</f>
        <v>MedicaPharm</v>
      </c>
      <c r="D1160" s="3">
        <v>44985</v>
      </c>
      <c r="E1160" s="4" t="s">
        <v>3450</v>
      </c>
      <c r="F1160" s="2" t="str">
        <f>TRIM(Table1[[#This Row],[Status]])</f>
        <v>Zaakceptowana</v>
      </c>
      <c r="G1160" s="2" t="str">
        <f>TRIM(Table1[[#This Row],[Typ]])</f>
        <v>Faktura VAT</v>
      </c>
      <c r="H1160" s="2" t="str">
        <f>TRIM(Table1[[#This Row],[Magazyn]])</f>
        <v>Apteka Szpitalna</v>
      </c>
      <c r="I1160" s="2" t="str">
        <f>TRIM(Table1[[#This Row],[Umowa]])</f>
        <v>UM-MED-01</v>
      </c>
      <c r="J1160" s="2" t="b">
        <f>ISTEXT(Table14[[#This Row],[Data_Wystawienia]])</f>
        <v>0</v>
      </c>
      <c r="K1160" s="2">
        <f>VALUE(SUBSTITUTE(Table14[[#This Row],[Wartość]],".",","))</f>
        <v>8396.3799999999992</v>
      </c>
      <c r="L11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0" s="2" t="str">
        <f>IF(Table14[[#This Row],[Umowa]]="","Poza umową","Z umowy")</f>
        <v>Z umowy</v>
      </c>
      <c r="N1160" s="2">
        <f>YEAR(Table14[[#This Row],[Data_Wystawienia]])</f>
        <v>2023</v>
      </c>
      <c r="O1160" s="2" t="str">
        <f>TEXT(Table14[[#This Row],[Data_Wystawienia]],"rrrr-mm")</f>
        <v>2023-02</v>
      </c>
      <c r="P1160" s="2">
        <v>1</v>
      </c>
    </row>
    <row r="1161" spans="1:16" x14ac:dyDescent="0.3">
      <c r="A1161" s="2" t="str">
        <f>TRIM(Table1[[#This Row],[Numer_FV]])</f>
        <v>FV/44365/VDb/2023</v>
      </c>
      <c r="B1161" s="2" t="str">
        <f>TRIM(Table1[[#This Row],[Numer_PZ]])</f>
        <v>PZ/801159</v>
      </c>
      <c r="C1161" s="2" t="str">
        <f>TRIM(Table1[[#This Row],[Dostawca]])</f>
        <v>VitaDistrib</v>
      </c>
      <c r="D1161" s="3">
        <v>44986</v>
      </c>
      <c r="E1161" s="4" t="s">
        <v>3453</v>
      </c>
      <c r="F1161" s="2" t="str">
        <f>TRIM(Table1[[#This Row],[Status]])</f>
        <v>Zaakceptowana</v>
      </c>
      <c r="G1161" s="2" t="str">
        <f>TRIM(Table1[[#This Row],[Typ]])</f>
        <v>Faktura VAT</v>
      </c>
      <c r="H1161" s="2" t="str">
        <f>TRIM(Table1[[#This Row],[Magazyn]])</f>
        <v>Apteka Szpitalna</v>
      </c>
      <c r="I1161" s="2" t="str">
        <f>TRIM(Table1[[#This Row],[Umowa]])</f>
        <v>UM-VIT-01</v>
      </c>
      <c r="J1161" s="2" t="b">
        <f>ISTEXT(Table14[[#This Row],[Data_Wystawienia]])</f>
        <v>0</v>
      </c>
      <c r="K1161" s="2">
        <f>VALUE(SUBSTITUTE(Table14[[#This Row],[Wartość]],".",","))</f>
        <v>22902.26</v>
      </c>
      <c r="L11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1" s="2" t="str">
        <f>IF(Table14[[#This Row],[Umowa]]="","Poza umową","Z umowy")</f>
        <v>Z umowy</v>
      </c>
      <c r="N1161" s="2">
        <f>YEAR(Table14[[#This Row],[Data_Wystawienia]])</f>
        <v>2023</v>
      </c>
      <c r="O1161" s="2" t="str">
        <f>TEXT(Table14[[#This Row],[Data_Wystawienia]],"rrrr-mm")</f>
        <v>2023-03</v>
      </c>
      <c r="P1161" s="2">
        <v>1</v>
      </c>
    </row>
    <row r="1162" spans="1:16" x14ac:dyDescent="0.3">
      <c r="A1162" s="2" t="str">
        <f>TRIM(Table1[[#This Row],[Numer_FV]])</f>
        <v>FV/CENFA/344235/23</v>
      </c>
      <c r="B1162" s="2" t="str">
        <f>TRIM(Table1[[#This Row],[Numer_PZ]])</f>
        <v>PZ/801160</v>
      </c>
      <c r="C1162" s="2" t="str">
        <f>TRIM(Table1[[#This Row],[Dostawca]])</f>
        <v>CentrumFarm</v>
      </c>
      <c r="D1162" s="3">
        <v>44986</v>
      </c>
      <c r="E1162" s="4" t="s">
        <v>3456</v>
      </c>
      <c r="F1162" s="2" t="str">
        <f>TRIM(Table1[[#This Row],[Status]])</f>
        <v>Zaakceptowana</v>
      </c>
      <c r="G1162" s="2" t="str">
        <f>TRIM(Table1[[#This Row],[Typ]])</f>
        <v>Faktura VAT</v>
      </c>
      <c r="H1162" s="2" t="str">
        <f>TRIM(Table1[[#This Row],[Magazyn]])</f>
        <v>Apteka Szpitalna</v>
      </c>
      <c r="I1162" s="2" t="str">
        <f>TRIM(Table1[[#This Row],[Umowa]])</f>
        <v>UM-CEN-02</v>
      </c>
      <c r="J1162" s="2" t="b">
        <f>ISTEXT(Table14[[#This Row],[Data_Wystawienia]])</f>
        <v>0</v>
      </c>
      <c r="K1162" s="2">
        <f>VALUE(SUBSTITUTE(Table14[[#This Row],[Wartość]],".",","))</f>
        <v>5700.3</v>
      </c>
      <c r="L11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2" s="2" t="str">
        <f>IF(Table14[[#This Row],[Umowa]]="","Poza umową","Z umowy")</f>
        <v>Z umowy</v>
      </c>
      <c r="N1162" s="2">
        <f>YEAR(Table14[[#This Row],[Data_Wystawienia]])</f>
        <v>2023</v>
      </c>
      <c r="O1162" s="2" t="str">
        <f>TEXT(Table14[[#This Row],[Data_Wystawienia]],"rrrr-mm")</f>
        <v>2023-03</v>
      </c>
      <c r="P1162" s="2">
        <v>1</v>
      </c>
    </row>
    <row r="1163" spans="1:16" x14ac:dyDescent="0.3">
      <c r="A1163" s="2" t="str">
        <f>TRIM(Table1[[#This Row],[Numer_FV]])</f>
        <v>FV/32918/VDb/2023</v>
      </c>
      <c r="B1163" s="2" t="str">
        <f>TRIM(Table1[[#This Row],[Numer_PZ]])</f>
        <v>PZ/801161</v>
      </c>
      <c r="C1163" s="2" t="str">
        <f>TRIM(Table1[[#This Row],[Dostawca]])</f>
        <v>VitaDistrib</v>
      </c>
      <c r="D1163" s="3">
        <v>44986</v>
      </c>
      <c r="E1163" s="4" t="s">
        <v>3459</v>
      </c>
      <c r="F1163" s="2" t="str">
        <f>TRIM(Table1[[#This Row],[Status]])</f>
        <v>Zaakceptowana</v>
      </c>
      <c r="G1163" s="2" t="str">
        <f>TRIM(Table1[[#This Row],[Typ]])</f>
        <v>Faktura VAT</v>
      </c>
      <c r="H1163" s="2" t="str">
        <f>TRIM(Table1[[#This Row],[Magazyn]])</f>
        <v>Apteka Szpitalna</v>
      </c>
      <c r="I1163" s="2" t="str">
        <f>TRIM(Table1[[#This Row],[Umowa]])</f>
        <v/>
      </c>
      <c r="J1163" s="2" t="b">
        <f>ISTEXT(Table14[[#This Row],[Data_Wystawienia]])</f>
        <v>0</v>
      </c>
      <c r="K1163" s="2">
        <f>VALUE(SUBSTITUTE(Table14[[#This Row],[Wartość]],".",","))</f>
        <v>14673.07</v>
      </c>
      <c r="L11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3" s="2" t="str">
        <f>IF(Table14[[#This Row],[Umowa]]="","Poza umową","Z umowy")</f>
        <v>Poza umową</v>
      </c>
      <c r="N1163" s="2">
        <f>YEAR(Table14[[#This Row],[Data_Wystawienia]])</f>
        <v>2023</v>
      </c>
      <c r="O1163" s="2" t="str">
        <f>TEXT(Table14[[#This Row],[Data_Wystawienia]],"rrrr-mm")</f>
        <v>2023-03</v>
      </c>
      <c r="P1163" s="2">
        <v>1</v>
      </c>
    </row>
    <row r="1164" spans="1:16" x14ac:dyDescent="0.3">
      <c r="A1164" s="2" t="str">
        <f>TRIM(Table1[[#This Row],[Numer_FV]])</f>
        <v>FV/13/SAL/23</v>
      </c>
      <c r="B1164" s="2" t="str">
        <f>TRIM(Table1[[#This Row],[Numer_PZ]])</f>
        <v>PZ/801162</v>
      </c>
      <c r="C1164" s="2" t="str">
        <f>TRIM(Table1[[#This Row],[Dostawca]])</f>
        <v>SalusHurt</v>
      </c>
      <c r="D1164" s="3">
        <v>44986</v>
      </c>
      <c r="E1164" s="4" t="s">
        <v>3462</v>
      </c>
      <c r="F1164" s="2" t="str">
        <f>TRIM(Table1[[#This Row],[Status]])</f>
        <v>Zaakceptowana</v>
      </c>
      <c r="G1164" s="2" t="str">
        <f>TRIM(Table1[[#This Row],[Typ]])</f>
        <v>Faktura VAT</v>
      </c>
      <c r="H1164" s="2" t="str">
        <f>TRIM(Table1[[#This Row],[Magazyn]])</f>
        <v>Apteka Szpitalna</v>
      </c>
      <c r="I1164" s="2" t="str">
        <f>TRIM(Table1[[#This Row],[Umowa]])</f>
        <v>UM-SAL-01</v>
      </c>
      <c r="J1164" s="2" t="b">
        <f>ISTEXT(Table14[[#This Row],[Data_Wystawienia]])</f>
        <v>0</v>
      </c>
      <c r="K1164" s="2">
        <f>VALUE(SUBSTITUTE(Table14[[#This Row],[Wartość]],".",","))</f>
        <v>14175.19</v>
      </c>
      <c r="L11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4" s="2" t="str">
        <f>IF(Table14[[#This Row],[Umowa]]="","Poza umową","Z umowy")</f>
        <v>Z umowy</v>
      </c>
      <c r="N1164" s="2">
        <f>YEAR(Table14[[#This Row],[Data_Wystawienia]])</f>
        <v>2023</v>
      </c>
      <c r="O1164" s="2" t="str">
        <f>TEXT(Table14[[#This Row],[Data_Wystawienia]],"rrrr-mm")</f>
        <v>2023-03</v>
      </c>
      <c r="P1164" s="2">
        <v>1</v>
      </c>
    </row>
    <row r="1165" spans="1:16" x14ac:dyDescent="0.3">
      <c r="A1165" s="2" t="str">
        <f>TRIM(Table1[[#This Row],[Numer_FV]])</f>
        <v>FV/11051/VDb/2023</v>
      </c>
      <c r="B1165" s="2" t="str">
        <f>TRIM(Table1[[#This Row],[Numer_PZ]])</f>
        <v>PZ/801163</v>
      </c>
      <c r="C1165" s="2" t="str">
        <f>TRIM(Table1[[#This Row],[Dostawca]])</f>
        <v>VitaDistrib</v>
      </c>
      <c r="D1165" s="3">
        <v>44987</v>
      </c>
      <c r="E1165" s="4" t="s">
        <v>3465</v>
      </c>
      <c r="F1165" s="2" t="str">
        <f>TRIM(Table1[[#This Row],[Status]])</f>
        <v>Zaakceptowana</v>
      </c>
      <c r="G1165" s="2" t="str">
        <f>TRIM(Table1[[#This Row],[Typ]])</f>
        <v>Faktura VAT</v>
      </c>
      <c r="H1165" s="2" t="str">
        <f>TRIM(Table1[[#This Row],[Magazyn]])</f>
        <v>Apteka Szpitalna</v>
      </c>
      <c r="I1165" s="2" t="str">
        <f>TRIM(Table1[[#This Row],[Umowa]])</f>
        <v>UM-VIT-01</v>
      </c>
      <c r="J1165" s="2" t="b">
        <f>ISTEXT(Table14[[#This Row],[Data_Wystawienia]])</f>
        <v>0</v>
      </c>
      <c r="K1165" s="2">
        <f>VALUE(SUBSTITUTE(Table14[[#This Row],[Wartość]],".",","))</f>
        <v>13300.51</v>
      </c>
      <c r="L11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5" s="2" t="str">
        <f>IF(Table14[[#This Row],[Umowa]]="","Poza umową","Z umowy")</f>
        <v>Z umowy</v>
      </c>
      <c r="N1165" s="2">
        <f>YEAR(Table14[[#This Row],[Data_Wystawienia]])</f>
        <v>2023</v>
      </c>
      <c r="O1165" s="2" t="str">
        <f>TEXT(Table14[[#This Row],[Data_Wystawienia]],"rrrr-mm")</f>
        <v>2023-03</v>
      </c>
      <c r="P1165" s="2">
        <v>1</v>
      </c>
    </row>
    <row r="1166" spans="1:16" x14ac:dyDescent="0.3">
      <c r="A1166" s="2" t="str">
        <f>TRIM(Table1[[#This Row],[Numer_FV]])</f>
        <v>FV/M/9291/P/23</v>
      </c>
      <c r="B1166" s="2" t="str">
        <f>TRIM(Table1[[#This Row],[Numer_PZ]])</f>
        <v>PZ/801164</v>
      </c>
      <c r="C1166" s="2" t="str">
        <f>TRIM(Table1[[#This Row],[Dostawca]])</f>
        <v>MedicaPharm</v>
      </c>
      <c r="D1166" s="3">
        <v>44987</v>
      </c>
      <c r="E1166" s="4" t="s">
        <v>3468</v>
      </c>
      <c r="F1166" s="2" t="str">
        <f>TRIM(Table1[[#This Row],[Status]])</f>
        <v>Zaakceptowana</v>
      </c>
      <c r="G1166" s="2" t="str">
        <f>TRIM(Table1[[#This Row],[Typ]])</f>
        <v>Faktura VAT</v>
      </c>
      <c r="H1166" s="2" t="str">
        <f>TRIM(Table1[[#This Row],[Magazyn]])</f>
        <v>Apteka Szpitalna</v>
      </c>
      <c r="I1166" s="2" t="str">
        <f>TRIM(Table1[[#This Row],[Umowa]])</f>
        <v>UM-MED-02</v>
      </c>
      <c r="J1166" s="2" t="b">
        <f>ISTEXT(Table14[[#This Row],[Data_Wystawienia]])</f>
        <v>0</v>
      </c>
      <c r="K1166" s="2">
        <f>VALUE(SUBSTITUTE(Table14[[#This Row],[Wartość]],".",","))</f>
        <v>12829.81</v>
      </c>
      <c r="L11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6" s="2" t="str">
        <f>IF(Table14[[#This Row],[Umowa]]="","Poza umową","Z umowy")</f>
        <v>Z umowy</v>
      </c>
      <c r="N1166" s="2">
        <f>YEAR(Table14[[#This Row],[Data_Wystawienia]])</f>
        <v>2023</v>
      </c>
      <c r="O1166" s="2" t="str">
        <f>TEXT(Table14[[#This Row],[Data_Wystawienia]],"rrrr-mm")</f>
        <v>2023-03</v>
      </c>
      <c r="P1166" s="2">
        <v>1</v>
      </c>
    </row>
    <row r="1167" spans="1:16" x14ac:dyDescent="0.3">
      <c r="A1167" s="2" t="str">
        <f>TRIM(Table1[[#This Row],[Numer_FV]])</f>
        <v>FV/M/6464/P/23</v>
      </c>
      <c r="B1167" s="2" t="str">
        <f>TRIM(Table1[[#This Row],[Numer_PZ]])</f>
        <v>PZ/801165</v>
      </c>
      <c r="C1167" s="2" t="str">
        <f>TRIM(Table1[[#This Row],[Dostawca]])</f>
        <v>MedicaPharm</v>
      </c>
      <c r="D1167" s="3">
        <v>44987</v>
      </c>
      <c r="E1167" s="4" t="s">
        <v>3471</v>
      </c>
      <c r="F1167" s="2" t="str">
        <f>TRIM(Table1[[#This Row],[Status]])</f>
        <v>Zaakceptowana</v>
      </c>
      <c r="G1167" s="2" t="str">
        <f>TRIM(Table1[[#This Row],[Typ]])</f>
        <v>Faktura VAT</v>
      </c>
      <c r="H1167" s="2" t="str">
        <f>TRIM(Table1[[#This Row],[Magazyn]])</f>
        <v>Apteka Szpitalna</v>
      </c>
      <c r="I1167" s="2" t="str">
        <f>TRIM(Table1[[#This Row],[Umowa]])</f>
        <v>UM-MED-01</v>
      </c>
      <c r="J1167" s="2" t="b">
        <f>ISTEXT(Table14[[#This Row],[Data_Wystawienia]])</f>
        <v>0</v>
      </c>
      <c r="K1167" s="2">
        <f>VALUE(SUBSTITUTE(Table14[[#This Row],[Wartość]],".",","))</f>
        <v>16155.04</v>
      </c>
      <c r="L11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7" s="2" t="str">
        <f>IF(Table14[[#This Row],[Umowa]]="","Poza umową","Z umowy")</f>
        <v>Z umowy</v>
      </c>
      <c r="N1167" s="2">
        <f>YEAR(Table14[[#This Row],[Data_Wystawienia]])</f>
        <v>2023</v>
      </c>
      <c r="O1167" s="2" t="str">
        <f>TEXT(Table14[[#This Row],[Data_Wystawienia]],"rrrr-mm")</f>
        <v>2023-03</v>
      </c>
      <c r="P1167" s="2">
        <v>1</v>
      </c>
    </row>
    <row r="1168" spans="1:16" x14ac:dyDescent="0.3">
      <c r="A1168" s="2" t="str">
        <f>TRIM(Table1[[#This Row],[Numer_FV]])</f>
        <v>FV/POL/78859/2023</v>
      </c>
      <c r="B1168" s="2" t="str">
        <f>TRIM(Table1[[#This Row],[Numer_PZ]])</f>
        <v>PZ/801166</v>
      </c>
      <c r="C1168" s="2" t="str">
        <f>TRIM(Table1[[#This Row],[Dostawca]])</f>
        <v>Polmedica</v>
      </c>
      <c r="D1168" s="3">
        <v>44987</v>
      </c>
      <c r="E1168" s="4" t="s">
        <v>3474</v>
      </c>
      <c r="F1168" s="2" t="str">
        <f>TRIM(Table1[[#This Row],[Status]])</f>
        <v>Zaakceptowana</v>
      </c>
      <c r="G1168" s="2" t="str">
        <f>TRIM(Table1[[#This Row],[Typ]])</f>
        <v>Faktura VAT</v>
      </c>
      <c r="H1168" s="2" t="str">
        <f>TRIM(Table1[[#This Row],[Magazyn]])</f>
        <v>Apteka Szpitalna</v>
      </c>
      <c r="I1168" s="2" t="str">
        <f>TRIM(Table1[[#This Row],[Umowa]])</f>
        <v>UM-POL-03</v>
      </c>
      <c r="J1168" s="2" t="b">
        <f>ISTEXT(Table14[[#This Row],[Data_Wystawienia]])</f>
        <v>0</v>
      </c>
      <c r="K1168" s="2">
        <f>VALUE(SUBSTITUTE(Table14[[#This Row],[Wartość]],".",","))</f>
        <v>9093.43</v>
      </c>
      <c r="L11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8" s="2" t="str">
        <f>IF(Table14[[#This Row],[Umowa]]="","Poza umową","Z umowy")</f>
        <v>Z umowy</v>
      </c>
      <c r="N1168" s="2">
        <f>YEAR(Table14[[#This Row],[Data_Wystawienia]])</f>
        <v>2023</v>
      </c>
      <c r="O1168" s="2" t="str">
        <f>TEXT(Table14[[#This Row],[Data_Wystawienia]],"rrrr-mm")</f>
        <v>2023-03</v>
      </c>
      <c r="P1168" s="2">
        <v>1</v>
      </c>
    </row>
    <row r="1169" spans="1:16" x14ac:dyDescent="0.3">
      <c r="A1169" s="2" t="str">
        <f>TRIM(Table1[[#This Row],[Numer_FV]])</f>
        <v>FV/M/2913/P/23</v>
      </c>
      <c r="B1169" s="2" t="str">
        <f>TRIM(Table1[[#This Row],[Numer_PZ]])</f>
        <v>PZ/801167</v>
      </c>
      <c r="C1169" s="2" t="str">
        <f>TRIM(Table1[[#This Row],[Dostawca]])</f>
        <v>MedicaPharm</v>
      </c>
      <c r="D1169" s="3">
        <v>44987</v>
      </c>
      <c r="E1169" s="4" t="s">
        <v>3477</v>
      </c>
      <c r="F1169" s="2" t="str">
        <f>TRIM(Table1[[#This Row],[Status]])</f>
        <v>Zaakceptowana</v>
      </c>
      <c r="G1169" s="2" t="str">
        <f>TRIM(Table1[[#This Row],[Typ]])</f>
        <v>Faktura VAT</v>
      </c>
      <c r="H1169" s="2" t="str">
        <f>TRIM(Table1[[#This Row],[Magazyn]])</f>
        <v>Apteka Szpitalna</v>
      </c>
      <c r="I1169" s="2" t="str">
        <f>TRIM(Table1[[#This Row],[Umowa]])</f>
        <v>UM-MED-01</v>
      </c>
      <c r="J1169" s="2" t="b">
        <f>ISTEXT(Table14[[#This Row],[Data_Wystawienia]])</f>
        <v>0</v>
      </c>
      <c r="K1169" s="2">
        <f>VALUE(SUBSTITUTE(Table14[[#This Row],[Wartość]],".",","))</f>
        <v>16832.27</v>
      </c>
      <c r="L11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69" s="2" t="str">
        <f>IF(Table14[[#This Row],[Umowa]]="","Poza umową","Z umowy")</f>
        <v>Z umowy</v>
      </c>
      <c r="N1169" s="2">
        <f>YEAR(Table14[[#This Row],[Data_Wystawienia]])</f>
        <v>2023</v>
      </c>
      <c r="O1169" s="2" t="str">
        <f>TEXT(Table14[[#This Row],[Data_Wystawienia]],"rrrr-mm")</f>
        <v>2023-03</v>
      </c>
      <c r="P1169" s="2">
        <v>1</v>
      </c>
    </row>
    <row r="1170" spans="1:16" x14ac:dyDescent="0.3">
      <c r="A1170" s="2" t="str">
        <f>TRIM(Table1[[#This Row],[Numer_FV]])</f>
        <v>FV/CENFA/634240/23</v>
      </c>
      <c r="B1170" s="2" t="str">
        <f>TRIM(Table1[[#This Row],[Numer_PZ]])</f>
        <v>PZ/801168</v>
      </c>
      <c r="C1170" s="2" t="str">
        <f>TRIM(Table1[[#This Row],[Dostawca]])</f>
        <v>CentrumFarm</v>
      </c>
      <c r="D1170" s="3">
        <v>44988</v>
      </c>
      <c r="E1170" s="4" t="s">
        <v>3480</v>
      </c>
      <c r="F1170" s="2" t="str">
        <f>TRIM(Table1[[#This Row],[Status]])</f>
        <v>Zaakceptowana</v>
      </c>
      <c r="G1170" s="2" t="str">
        <f>TRIM(Table1[[#This Row],[Typ]])</f>
        <v>Faktura VAT</v>
      </c>
      <c r="H1170" s="2" t="str">
        <f>TRIM(Table1[[#This Row],[Magazyn]])</f>
        <v>Apteka Szpitalna</v>
      </c>
      <c r="I1170" s="2" t="str">
        <f>TRIM(Table1[[#This Row],[Umowa]])</f>
        <v/>
      </c>
      <c r="J1170" s="2" t="b">
        <f>ISTEXT(Table14[[#This Row],[Data_Wystawienia]])</f>
        <v>0</v>
      </c>
      <c r="K1170" s="2">
        <f>VALUE(SUBSTITUTE(Table14[[#This Row],[Wartość]],".",","))</f>
        <v>24481.15</v>
      </c>
      <c r="L11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0" s="2" t="str">
        <f>IF(Table14[[#This Row],[Umowa]]="","Poza umową","Z umowy")</f>
        <v>Poza umową</v>
      </c>
      <c r="N1170" s="2">
        <f>YEAR(Table14[[#This Row],[Data_Wystawienia]])</f>
        <v>2023</v>
      </c>
      <c r="O1170" s="2" t="str">
        <f>TEXT(Table14[[#This Row],[Data_Wystawienia]],"rrrr-mm")</f>
        <v>2023-03</v>
      </c>
      <c r="P1170" s="2">
        <v>1</v>
      </c>
    </row>
    <row r="1171" spans="1:16" x14ac:dyDescent="0.3">
      <c r="A1171" s="2" t="str">
        <f>TRIM(Table1[[#This Row],[Numer_FV]])</f>
        <v>FV/1901HM/23</v>
      </c>
      <c r="B1171" s="2" t="str">
        <f>TRIM(Table1[[#This Row],[Numer_PZ]])</f>
        <v>PZ/801169</v>
      </c>
      <c r="C1171" s="2" t="str">
        <f>TRIM(Table1[[#This Row],[Dostawca]])</f>
        <v>HurtMedix</v>
      </c>
      <c r="D1171" s="3">
        <v>44988</v>
      </c>
      <c r="E1171" s="4" t="s">
        <v>3483</v>
      </c>
      <c r="F1171" s="2" t="str">
        <f>TRIM(Table1[[#This Row],[Status]])</f>
        <v>Zaakceptowana</v>
      </c>
      <c r="G1171" s="2" t="str">
        <f>TRIM(Table1[[#This Row],[Typ]])</f>
        <v>Faktura VAT</v>
      </c>
      <c r="H1171" s="2" t="str">
        <f>TRIM(Table1[[#This Row],[Magazyn]])</f>
        <v>Apteka Szpitalna</v>
      </c>
      <c r="I1171" s="2" t="str">
        <f>TRIM(Table1[[#This Row],[Umowa]])</f>
        <v>UM-HUR-02</v>
      </c>
      <c r="J1171" s="2" t="b">
        <f>ISTEXT(Table14[[#This Row],[Data_Wystawienia]])</f>
        <v>0</v>
      </c>
      <c r="K1171" s="2">
        <f>VALUE(SUBSTITUTE(Table14[[#This Row],[Wartość]],".",","))</f>
        <v>24232.01</v>
      </c>
      <c r="L11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1" s="2" t="str">
        <f>IF(Table14[[#This Row],[Umowa]]="","Poza umową","Z umowy")</f>
        <v>Z umowy</v>
      </c>
      <c r="N1171" s="2">
        <f>YEAR(Table14[[#This Row],[Data_Wystawienia]])</f>
        <v>2023</v>
      </c>
      <c r="O1171" s="2" t="str">
        <f>TEXT(Table14[[#This Row],[Data_Wystawienia]],"rrrr-mm")</f>
        <v>2023-03</v>
      </c>
      <c r="P1171" s="2">
        <v>1</v>
      </c>
    </row>
    <row r="1172" spans="1:16" x14ac:dyDescent="0.3">
      <c r="A1172" s="2" t="str">
        <f>TRIM(Table1[[#This Row],[Numer_FV]])</f>
        <v>FV/POL/93026/2023</v>
      </c>
      <c r="B1172" s="2" t="str">
        <f>TRIM(Table1[[#This Row],[Numer_PZ]])</f>
        <v>PZ/801170</v>
      </c>
      <c r="C1172" s="2" t="str">
        <f>TRIM(Table1[[#This Row],[Dostawca]])</f>
        <v>Polmedica</v>
      </c>
      <c r="D1172" s="3">
        <v>44988</v>
      </c>
      <c r="E1172" s="4" t="s">
        <v>3486</v>
      </c>
      <c r="F1172" s="2" t="str">
        <f>TRIM(Table1[[#This Row],[Status]])</f>
        <v>Zaakceptowana</v>
      </c>
      <c r="G1172" s="2" t="str">
        <f>TRIM(Table1[[#This Row],[Typ]])</f>
        <v>Korekta FV</v>
      </c>
      <c r="H1172" s="2" t="str">
        <f>TRIM(Table1[[#This Row],[Magazyn]])</f>
        <v>Apteka Szpitalna</v>
      </c>
      <c r="I1172" s="2" t="str">
        <f>TRIM(Table1[[#This Row],[Umowa]])</f>
        <v/>
      </c>
      <c r="J1172" s="2" t="b">
        <f>ISTEXT(Table14[[#This Row],[Data_Wystawienia]])</f>
        <v>0</v>
      </c>
      <c r="K1172" s="2">
        <f>VALUE(SUBSTITUTE(Table14[[#This Row],[Wartość]],".",","))</f>
        <v>-462.87</v>
      </c>
      <c r="L11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2" s="2" t="str">
        <f>IF(Table14[[#This Row],[Umowa]]="","Poza umową","Z umowy")</f>
        <v>Poza umową</v>
      </c>
      <c r="N1172" s="2">
        <f>YEAR(Table14[[#This Row],[Data_Wystawienia]])</f>
        <v>2023</v>
      </c>
      <c r="O1172" s="2" t="str">
        <f>TEXT(Table14[[#This Row],[Data_Wystawienia]],"rrrr-mm")</f>
        <v>2023-03</v>
      </c>
      <c r="P1172" s="2">
        <v>1</v>
      </c>
    </row>
    <row r="1173" spans="1:16" x14ac:dyDescent="0.3">
      <c r="A1173" s="2" t="str">
        <f>TRIM(Table1[[#This Row],[Numer_FV]])</f>
        <v>FV/95/PP/1396/23</v>
      </c>
      <c r="B1173" s="2" t="str">
        <f>TRIM(Table1[[#This Row],[Numer_PZ]])</f>
        <v>PZ/801171</v>
      </c>
      <c r="C1173" s="2" t="str">
        <f>TRIM(Table1[[#This Row],[Dostawca]])</f>
        <v>PharmaPlus</v>
      </c>
      <c r="D1173" s="3">
        <v>44988</v>
      </c>
      <c r="E1173" s="4" t="s">
        <v>3489</v>
      </c>
      <c r="F1173" s="2" t="str">
        <f>TRIM(Table1[[#This Row],[Status]])</f>
        <v>Zaakceptowana</v>
      </c>
      <c r="G1173" s="2" t="str">
        <f>TRIM(Table1[[#This Row],[Typ]])</f>
        <v>Faktura VAT</v>
      </c>
      <c r="H1173" s="2" t="str">
        <f>TRIM(Table1[[#This Row],[Magazyn]])</f>
        <v>Apteka Szpitalna</v>
      </c>
      <c r="I1173" s="2" t="str">
        <f>TRIM(Table1[[#This Row],[Umowa]])</f>
        <v>UM-PHA-02</v>
      </c>
      <c r="J1173" s="2" t="b">
        <f>ISTEXT(Table14[[#This Row],[Data_Wystawienia]])</f>
        <v>0</v>
      </c>
      <c r="K1173" s="2">
        <f>VALUE(SUBSTITUTE(Table14[[#This Row],[Wartość]],".",","))</f>
        <v>15102.55</v>
      </c>
      <c r="L11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3" s="2" t="str">
        <f>IF(Table14[[#This Row],[Umowa]]="","Poza umową","Z umowy")</f>
        <v>Z umowy</v>
      </c>
      <c r="N1173" s="2">
        <f>YEAR(Table14[[#This Row],[Data_Wystawienia]])</f>
        <v>2023</v>
      </c>
      <c r="O1173" s="2" t="str">
        <f>TEXT(Table14[[#This Row],[Data_Wystawienia]],"rrrr-mm")</f>
        <v>2023-03</v>
      </c>
      <c r="P1173" s="2">
        <v>1</v>
      </c>
    </row>
    <row r="1174" spans="1:16" x14ac:dyDescent="0.3">
      <c r="A1174" s="2" t="str">
        <f>TRIM(Table1[[#This Row],[Numer_FV]])</f>
        <v>FV/CENFA/913256/23</v>
      </c>
      <c r="B1174" s="2" t="str">
        <f>TRIM(Table1[[#This Row],[Numer_PZ]])</f>
        <v>PZ/801172</v>
      </c>
      <c r="C1174" s="2" t="str">
        <f>TRIM(Table1[[#This Row],[Dostawca]])</f>
        <v>CentrumFarm</v>
      </c>
      <c r="D1174" s="3">
        <v>44988</v>
      </c>
      <c r="E1174" s="4" t="s">
        <v>3492</v>
      </c>
      <c r="F1174" s="2" t="str">
        <f>TRIM(Table1[[#This Row],[Status]])</f>
        <v>Zaakceptowana</v>
      </c>
      <c r="G1174" s="2" t="str">
        <f>TRIM(Table1[[#This Row],[Typ]])</f>
        <v>Faktura VAT</v>
      </c>
      <c r="H1174" s="2" t="str">
        <f>TRIM(Table1[[#This Row],[Magazyn]])</f>
        <v>Apteka Szpitalna</v>
      </c>
      <c r="I1174" s="2" t="str">
        <f>TRIM(Table1[[#This Row],[Umowa]])</f>
        <v>UM-CEN-01</v>
      </c>
      <c r="J1174" s="2" t="b">
        <f>ISTEXT(Table14[[#This Row],[Data_Wystawienia]])</f>
        <v>0</v>
      </c>
      <c r="K1174" s="2">
        <f>VALUE(SUBSTITUTE(Table14[[#This Row],[Wartość]],".",","))</f>
        <v>26945.75</v>
      </c>
      <c r="L11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4" s="2" t="str">
        <f>IF(Table14[[#This Row],[Umowa]]="","Poza umową","Z umowy")</f>
        <v>Z umowy</v>
      </c>
      <c r="N1174" s="2">
        <f>YEAR(Table14[[#This Row],[Data_Wystawienia]])</f>
        <v>2023</v>
      </c>
      <c r="O1174" s="2" t="str">
        <f>TEXT(Table14[[#This Row],[Data_Wystawienia]],"rrrr-mm")</f>
        <v>2023-03</v>
      </c>
      <c r="P1174" s="2">
        <v>1</v>
      </c>
    </row>
    <row r="1175" spans="1:16" x14ac:dyDescent="0.3">
      <c r="A1175" s="2" t="str">
        <f>TRIM(Table1[[#This Row],[Numer_FV]])</f>
        <v>FV/POL/97591/2023</v>
      </c>
      <c r="B1175" s="2" t="str">
        <f>TRIM(Table1[[#This Row],[Numer_PZ]])</f>
        <v>PZ/801173</v>
      </c>
      <c r="C1175" s="2" t="str">
        <f>TRIM(Table1[[#This Row],[Dostawca]])</f>
        <v>Polmedica</v>
      </c>
      <c r="D1175" s="3">
        <v>44989</v>
      </c>
      <c r="E1175" s="4" t="s">
        <v>3495</v>
      </c>
      <c r="F1175" s="2" t="str">
        <f>TRIM(Table1[[#This Row],[Status]])</f>
        <v>Zaakceptowana</v>
      </c>
      <c r="G1175" s="2" t="str">
        <f>TRIM(Table1[[#This Row],[Typ]])</f>
        <v>Korekta FV</v>
      </c>
      <c r="H1175" s="2" t="str">
        <f>TRIM(Table1[[#This Row],[Magazyn]])</f>
        <v>Apteka Szpitalna</v>
      </c>
      <c r="I1175" s="2" t="str">
        <f>TRIM(Table1[[#This Row],[Umowa]])</f>
        <v>UM-POL-03</v>
      </c>
      <c r="J1175" s="2" t="b">
        <f>ISTEXT(Table14[[#This Row],[Data_Wystawienia]])</f>
        <v>0</v>
      </c>
      <c r="K1175" s="2">
        <f>VALUE(SUBSTITUTE(Table14[[#This Row],[Wartość]],".",","))</f>
        <v>-1503.76</v>
      </c>
      <c r="L11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5" s="2" t="str">
        <f>IF(Table14[[#This Row],[Umowa]]="","Poza umową","Z umowy")</f>
        <v>Z umowy</v>
      </c>
      <c r="N1175" s="2">
        <f>YEAR(Table14[[#This Row],[Data_Wystawienia]])</f>
        <v>2023</v>
      </c>
      <c r="O1175" s="2" t="str">
        <f>TEXT(Table14[[#This Row],[Data_Wystawienia]],"rrrr-mm")</f>
        <v>2023-03</v>
      </c>
      <c r="P1175" s="2">
        <v>1</v>
      </c>
    </row>
    <row r="1176" spans="1:16" x14ac:dyDescent="0.3">
      <c r="A1176" s="2" t="str">
        <f>TRIM(Table1[[#This Row],[Numer_FV]])</f>
        <v>FV/94979/VDb/2023</v>
      </c>
      <c r="B1176" s="2" t="str">
        <f>TRIM(Table1[[#This Row],[Numer_PZ]])</f>
        <v>PZ/801174</v>
      </c>
      <c r="C1176" s="2" t="str">
        <f>TRIM(Table1[[#This Row],[Dostawca]])</f>
        <v>VitaDistrib</v>
      </c>
      <c r="D1176" s="3">
        <v>44989</v>
      </c>
      <c r="E1176" s="4" t="s">
        <v>3498</v>
      </c>
      <c r="F1176" s="2" t="str">
        <f>TRIM(Table1[[#This Row],[Status]])</f>
        <v>Zaakceptowana</v>
      </c>
      <c r="G1176" s="2" t="str">
        <f>TRIM(Table1[[#This Row],[Typ]])</f>
        <v>Faktura VAT</v>
      </c>
      <c r="H1176" s="2" t="str">
        <f>TRIM(Table1[[#This Row],[Magazyn]])</f>
        <v>Apteka Szpitalna</v>
      </c>
      <c r="I1176" s="2" t="str">
        <f>TRIM(Table1[[#This Row],[Umowa]])</f>
        <v>UM-VIT-01</v>
      </c>
      <c r="J1176" s="2" t="b">
        <f>ISTEXT(Table14[[#This Row],[Data_Wystawienia]])</f>
        <v>0</v>
      </c>
      <c r="K1176" s="2">
        <f>VALUE(SUBSTITUTE(Table14[[#This Row],[Wartość]],".",","))</f>
        <v>19431.560000000001</v>
      </c>
      <c r="L11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6" s="2" t="str">
        <f>IF(Table14[[#This Row],[Umowa]]="","Poza umową","Z umowy")</f>
        <v>Z umowy</v>
      </c>
      <c r="N1176" s="2">
        <f>YEAR(Table14[[#This Row],[Data_Wystawienia]])</f>
        <v>2023</v>
      </c>
      <c r="O1176" s="2" t="str">
        <f>TEXT(Table14[[#This Row],[Data_Wystawienia]],"rrrr-mm")</f>
        <v>2023-03</v>
      </c>
      <c r="P1176" s="2">
        <v>1</v>
      </c>
    </row>
    <row r="1177" spans="1:16" x14ac:dyDescent="0.3">
      <c r="A1177" s="2" t="str">
        <f>TRIM(Table1[[#This Row],[Numer_FV]])</f>
        <v>FV/POL/38537/2023</v>
      </c>
      <c r="B1177" s="2" t="str">
        <f>TRIM(Table1[[#This Row],[Numer_PZ]])</f>
        <v>PZ/801175</v>
      </c>
      <c r="C1177" s="2" t="str">
        <f>TRIM(Table1[[#This Row],[Dostawca]])</f>
        <v>Polmedica</v>
      </c>
      <c r="D1177" s="3">
        <v>44989</v>
      </c>
      <c r="E1177" s="4" t="s">
        <v>3501</v>
      </c>
      <c r="F1177" s="2" t="str">
        <f>TRIM(Table1[[#This Row],[Status]])</f>
        <v>Zaakceptowana</v>
      </c>
      <c r="G1177" s="2" t="str">
        <f>TRIM(Table1[[#This Row],[Typ]])</f>
        <v>Faktura VAT</v>
      </c>
      <c r="H1177" s="2" t="str">
        <f>TRIM(Table1[[#This Row],[Magazyn]])</f>
        <v>Apteka Szpitalna</v>
      </c>
      <c r="I1177" s="2" t="str">
        <f>TRIM(Table1[[#This Row],[Umowa]])</f>
        <v>UM-POL-02</v>
      </c>
      <c r="J1177" s="2" t="b">
        <f>ISTEXT(Table14[[#This Row],[Data_Wystawienia]])</f>
        <v>0</v>
      </c>
      <c r="K1177" s="2">
        <f>VALUE(SUBSTITUTE(Table14[[#This Row],[Wartość]],".",","))</f>
        <v>13157.56</v>
      </c>
      <c r="L11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7" s="2" t="str">
        <f>IF(Table14[[#This Row],[Umowa]]="","Poza umową","Z umowy")</f>
        <v>Z umowy</v>
      </c>
      <c r="N1177" s="2">
        <f>YEAR(Table14[[#This Row],[Data_Wystawienia]])</f>
        <v>2023</v>
      </c>
      <c r="O1177" s="2" t="str">
        <f>TEXT(Table14[[#This Row],[Data_Wystawienia]],"rrrr-mm")</f>
        <v>2023-03</v>
      </c>
      <c r="P1177" s="2">
        <v>1</v>
      </c>
    </row>
    <row r="1178" spans="1:16" x14ac:dyDescent="0.3">
      <c r="A1178" s="2" t="str">
        <f>TRIM(Table1[[#This Row],[Numer_FV]])</f>
        <v>FV/51/SAL/23</v>
      </c>
      <c r="B1178" s="2" t="str">
        <f>TRIM(Table1[[#This Row],[Numer_PZ]])</f>
        <v>PZ/801176</v>
      </c>
      <c r="C1178" s="2" t="str">
        <f>TRIM(Table1[[#This Row],[Dostawca]])</f>
        <v>SalusHurt</v>
      </c>
      <c r="D1178" s="3">
        <v>44990</v>
      </c>
      <c r="E1178" s="4" t="s">
        <v>3504</v>
      </c>
      <c r="F1178" s="2" t="str">
        <f>TRIM(Table1[[#This Row],[Status]])</f>
        <v>Zaakceptowana</v>
      </c>
      <c r="G1178" s="2" t="str">
        <f>TRIM(Table1[[#This Row],[Typ]])</f>
        <v>Faktura VAT</v>
      </c>
      <c r="H1178" s="2" t="str">
        <f>TRIM(Table1[[#This Row],[Magazyn]])</f>
        <v>Apteka Szpitalna</v>
      </c>
      <c r="I1178" s="2" t="str">
        <f>TRIM(Table1[[#This Row],[Umowa]])</f>
        <v>UM-SAL-02</v>
      </c>
      <c r="J1178" s="2" t="b">
        <f>ISTEXT(Table14[[#This Row],[Data_Wystawienia]])</f>
        <v>0</v>
      </c>
      <c r="K1178" s="2">
        <f>VALUE(SUBSTITUTE(Table14[[#This Row],[Wartość]],".",","))</f>
        <v>18443.71</v>
      </c>
      <c r="L11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8" s="2" t="str">
        <f>IF(Table14[[#This Row],[Umowa]]="","Poza umową","Z umowy")</f>
        <v>Z umowy</v>
      </c>
      <c r="N1178" s="2">
        <f>YEAR(Table14[[#This Row],[Data_Wystawienia]])</f>
        <v>2023</v>
      </c>
      <c r="O1178" s="2" t="str">
        <f>TEXT(Table14[[#This Row],[Data_Wystawienia]],"rrrr-mm")</f>
        <v>2023-03</v>
      </c>
      <c r="P1178" s="2">
        <v>1</v>
      </c>
    </row>
    <row r="1179" spans="1:16" x14ac:dyDescent="0.3">
      <c r="A1179" s="2" t="str">
        <f>TRIM(Table1[[#This Row],[Numer_FV]])</f>
        <v>FV/57/SAL/23</v>
      </c>
      <c r="B1179" s="2" t="str">
        <f>TRIM(Table1[[#This Row],[Numer_PZ]])</f>
        <v>PZ/801177</v>
      </c>
      <c r="C1179" s="2" t="str">
        <f>TRIM(Table1[[#This Row],[Dostawca]])</f>
        <v>SalusHurt</v>
      </c>
      <c r="D1179" s="3">
        <v>44990</v>
      </c>
      <c r="E1179" s="4" t="s">
        <v>3506</v>
      </c>
      <c r="F1179" s="2" t="str">
        <f>TRIM(Table1[[#This Row],[Status]])</f>
        <v>Zaakceptowana</v>
      </c>
      <c r="G1179" s="2" t="str">
        <f>TRIM(Table1[[#This Row],[Typ]])</f>
        <v>Faktura VAT</v>
      </c>
      <c r="H1179" s="2" t="str">
        <f>TRIM(Table1[[#This Row],[Magazyn]])</f>
        <v>Apteka Szpitalna</v>
      </c>
      <c r="I1179" s="2" t="str">
        <f>TRIM(Table1[[#This Row],[Umowa]])</f>
        <v>UM-SAL-02</v>
      </c>
      <c r="J1179" s="2" t="b">
        <f>ISTEXT(Table14[[#This Row],[Data_Wystawienia]])</f>
        <v>0</v>
      </c>
      <c r="K1179" s="2">
        <f>VALUE(SUBSTITUTE(Table14[[#This Row],[Wartość]],".",","))</f>
        <v>8889.91</v>
      </c>
      <c r="L11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79" s="2" t="str">
        <f>IF(Table14[[#This Row],[Umowa]]="","Poza umową","Z umowy")</f>
        <v>Z umowy</v>
      </c>
      <c r="N1179" s="2">
        <f>YEAR(Table14[[#This Row],[Data_Wystawienia]])</f>
        <v>2023</v>
      </c>
      <c r="O1179" s="2" t="str">
        <f>TEXT(Table14[[#This Row],[Data_Wystawienia]],"rrrr-mm")</f>
        <v>2023-03</v>
      </c>
      <c r="P1179" s="2">
        <v>1</v>
      </c>
    </row>
    <row r="1180" spans="1:16" x14ac:dyDescent="0.3">
      <c r="A1180" s="2" t="str">
        <f>TRIM(Table1[[#This Row],[Numer_FV]])</f>
        <v>FV/M/3735/P/23</v>
      </c>
      <c r="B1180" s="2" t="str">
        <f>TRIM(Table1[[#This Row],[Numer_PZ]])</f>
        <v>PZ/801178</v>
      </c>
      <c r="C1180" s="2" t="str">
        <f>TRIM(Table1[[#This Row],[Dostawca]])</f>
        <v>MedicaPharm</v>
      </c>
      <c r="D1180" s="3">
        <v>44990</v>
      </c>
      <c r="E1180" s="4" t="s">
        <v>3509</v>
      </c>
      <c r="F1180" s="2" t="str">
        <f>TRIM(Table1[[#This Row],[Status]])</f>
        <v>Zaakceptowana</v>
      </c>
      <c r="G1180" s="2" t="str">
        <f>TRIM(Table1[[#This Row],[Typ]])</f>
        <v>Faktura VAT</v>
      </c>
      <c r="H1180" s="2" t="str">
        <f>TRIM(Table1[[#This Row],[Magazyn]])</f>
        <v>Apteka Szpitalna</v>
      </c>
      <c r="I1180" s="2" t="str">
        <f>TRIM(Table1[[#This Row],[Umowa]])</f>
        <v>UM-MED-01</v>
      </c>
      <c r="J1180" s="2" t="b">
        <f>ISTEXT(Table14[[#This Row],[Data_Wystawienia]])</f>
        <v>0</v>
      </c>
      <c r="K1180" s="2">
        <f>VALUE(SUBSTITUTE(Table14[[#This Row],[Wartość]],".",","))</f>
        <v>13866.71</v>
      </c>
      <c r="L11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0" s="2" t="str">
        <f>IF(Table14[[#This Row],[Umowa]]="","Poza umową","Z umowy")</f>
        <v>Z umowy</v>
      </c>
      <c r="N1180" s="2">
        <f>YEAR(Table14[[#This Row],[Data_Wystawienia]])</f>
        <v>2023</v>
      </c>
      <c r="O1180" s="2" t="str">
        <f>TEXT(Table14[[#This Row],[Data_Wystawienia]],"rrrr-mm")</f>
        <v>2023-03</v>
      </c>
      <c r="P1180" s="2">
        <v>1</v>
      </c>
    </row>
    <row r="1181" spans="1:16" x14ac:dyDescent="0.3">
      <c r="A1181" s="2" t="str">
        <f>TRIM(Table1[[#This Row],[Numer_FV]])</f>
        <v>FV/13/SAL/23</v>
      </c>
      <c r="B1181" s="2" t="str">
        <f>TRIM(Table1[[#This Row],[Numer_PZ]])</f>
        <v>PZ/801179</v>
      </c>
      <c r="C1181" s="2" t="str">
        <f>TRIM(Table1[[#This Row],[Dostawca]])</f>
        <v>SalusHurt</v>
      </c>
      <c r="D1181" s="3">
        <v>44991</v>
      </c>
      <c r="E1181" s="4" t="s">
        <v>3511</v>
      </c>
      <c r="F1181" s="2" t="str">
        <f>TRIM(Table1[[#This Row],[Status]])</f>
        <v>Zaakceptowana</v>
      </c>
      <c r="G1181" s="2" t="str">
        <f>TRIM(Table1[[#This Row],[Typ]])</f>
        <v>Faktura VAT</v>
      </c>
      <c r="H1181" s="2" t="str">
        <f>TRIM(Table1[[#This Row],[Magazyn]])</f>
        <v>Apteka Szpitalna</v>
      </c>
      <c r="I1181" s="2" t="str">
        <f>TRIM(Table1[[#This Row],[Umowa]])</f>
        <v>UM-SAL-02</v>
      </c>
      <c r="J1181" s="2" t="b">
        <f>ISTEXT(Table14[[#This Row],[Data_Wystawienia]])</f>
        <v>0</v>
      </c>
      <c r="K1181" s="2">
        <f>VALUE(SUBSTITUTE(Table14[[#This Row],[Wartość]],".",","))</f>
        <v>10175.17</v>
      </c>
      <c r="L11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1" s="2" t="str">
        <f>IF(Table14[[#This Row],[Umowa]]="","Poza umową","Z umowy")</f>
        <v>Z umowy</v>
      </c>
      <c r="N1181" s="2">
        <f>YEAR(Table14[[#This Row],[Data_Wystawienia]])</f>
        <v>2023</v>
      </c>
      <c r="O1181" s="2" t="str">
        <f>TEXT(Table14[[#This Row],[Data_Wystawienia]],"rrrr-mm")</f>
        <v>2023-03</v>
      </c>
      <c r="P1181" s="2">
        <v>1</v>
      </c>
    </row>
    <row r="1182" spans="1:16" x14ac:dyDescent="0.3">
      <c r="A1182" s="2" t="str">
        <f>TRIM(Table1[[#This Row],[Numer_FV]])</f>
        <v>FV/6310/NOVA/23</v>
      </c>
      <c r="B1182" s="2" t="str">
        <f>TRIM(Table1[[#This Row],[Numer_PZ]])</f>
        <v>PZ/801180</v>
      </c>
      <c r="C1182" s="2" t="str">
        <f>TRIM(Table1[[#This Row],[Dostawca]])</f>
        <v>NovaLek</v>
      </c>
      <c r="D1182" s="3">
        <v>44993</v>
      </c>
      <c r="E1182" s="4" t="s">
        <v>3514</v>
      </c>
      <c r="F1182" s="2" t="str">
        <f>TRIM(Table1[[#This Row],[Status]])</f>
        <v>Zaakceptowana</v>
      </c>
      <c r="G1182" s="2" t="str">
        <f>TRIM(Table1[[#This Row],[Typ]])</f>
        <v>Korekta FV</v>
      </c>
      <c r="H1182" s="2" t="str">
        <f>TRIM(Table1[[#This Row],[Magazyn]])</f>
        <v>Apteka Szpitalna</v>
      </c>
      <c r="I1182" s="2" t="str">
        <f>TRIM(Table1[[#This Row],[Umowa]])</f>
        <v>UM-NOV-02</v>
      </c>
      <c r="J1182" s="2" t="b">
        <f>ISTEXT(Table14[[#This Row],[Data_Wystawienia]])</f>
        <v>0</v>
      </c>
      <c r="K1182" s="2">
        <f>VALUE(SUBSTITUTE(Table14[[#This Row],[Wartość]],".",","))</f>
        <v>-839.12</v>
      </c>
      <c r="L11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2" s="2" t="str">
        <f>IF(Table14[[#This Row],[Umowa]]="","Poza umową","Z umowy")</f>
        <v>Z umowy</v>
      </c>
      <c r="N1182" s="2">
        <f>YEAR(Table14[[#This Row],[Data_Wystawienia]])</f>
        <v>2023</v>
      </c>
      <c r="O1182" s="2" t="str">
        <f>TEXT(Table14[[#This Row],[Data_Wystawienia]],"rrrr-mm")</f>
        <v>2023-03</v>
      </c>
      <c r="P1182" s="2">
        <v>1</v>
      </c>
    </row>
    <row r="1183" spans="1:16" x14ac:dyDescent="0.3">
      <c r="A1183" s="2" t="str">
        <f>TRIM(Table1[[#This Row],[Numer_FV]])</f>
        <v>FV/24175/VDb/2023</v>
      </c>
      <c r="B1183" s="2" t="str">
        <f>TRIM(Table1[[#This Row],[Numer_PZ]])</f>
        <v>PZ/801181</v>
      </c>
      <c r="C1183" s="2" t="str">
        <f>TRIM(Table1[[#This Row],[Dostawca]])</f>
        <v>VitaDistrib</v>
      </c>
      <c r="D1183" s="3">
        <v>44993</v>
      </c>
      <c r="E1183" s="4" t="s">
        <v>3517</v>
      </c>
      <c r="F1183" s="2" t="str">
        <f>TRIM(Table1[[#This Row],[Status]])</f>
        <v>Zaakceptowana</v>
      </c>
      <c r="G1183" s="2" t="str">
        <f>TRIM(Table1[[#This Row],[Typ]])</f>
        <v>Faktura VAT</v>
      </c>
      <c r="H1183" s="2" t="str">
        <f>TRIM(Table1[[#This Row],[Magazyn]])</f>
        <v>Apteka Szpitalna</v>
      </c>
      <c r="I1183" s="2" t="str">
        <f>TRIM(Table1[[#This Row],[Umowa]])</f>
        <v>UM-VIT-01</v>
      </c>
      <c r="J1183" s="2" t="b">
        <f>ISTEXT(Table14[[#This Row],[Data_Wystawienia]])</f>
        <v>0</v>
      </c>
      <c r="K1183" s="2">
        <f>VALUE(SUBSTITUTE(Table14[[#This Row],[Wartość]],".",","))</f>
        <v>8854.6299999999992</v>
      </c>
      <c r="L11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3" s="2" t="str">
        <f>IF(Table14[[#This Row],[Umowa]]="","Poza umową","Z umowy")</f>
        <v>Z umowy</v>
      </c>
      <c r="N1183" s="2">
        <f>YEAR(Table14[[#This Row],[Data_Wystawienia]])</f>
        <v>2023</v>
      </c>
      <c r="O1183" s="2" t="str">
        <f>TEXT(Table14[[#This Row],[Data_Wystawienia]],"rrrr-mm")</f>
        <v>2023-03</v>
      </c>
      <c r="P1183" s="2">
        <v>1</v>
      </c>
    </row>
    <row r="1184" spans="1:16" x14ac:dyDescent="0.3">
      <c r="A1184" s="2" t="str">
        <f>TRIM(Table1[[#This Row],[Numer_FV]])</f>
        <v>FV/21/SAL/23</v>
      </c>
      <c r="B1184" s="2" t="str">
        <f>TRIM(Table1[[#This Row],[Numer_PZ]])</f>
        <v>PZ/801182</v>
      </c>
      <c r="C1184" s="2" t="str">
        <f>TRIM(Table1[[#This Row],[Dostawca]])</f>
        <v>SalusHurt</v>
      </c>
      <c r="D1184" s="3">
        <v>44993</v>
      </c>
      <c r="E1184" s="4" t="s">
        <v>3520</v>
      </c>
      <c r="F1184" s="2" t="str">
        <f>TRIM(Table1[[#This Row],[Status]])</f>
        <v>Zaakceptowana</v>
      </c>
      <c r="G1184" s="2" t="str">
        <f>TRIM(Table1[[#This Row],[Typ]])</f>
        <v>Faktura VAT</v>
      </c>
      <c r="H1184" s="2" t="str">
        <f>TRIM(Table1[[#This Row],[Magazyn]])</f>
        <v>Apteka Szpitalna</v>
      </c>
      <c r="I1184" s="2" t="str">
        <f>TRIM(Table1[[#This Row],[Umowa]])</f>
        <v>UM-SAL-02</v>
      </c>
      <c r="J1184" s="2" t="b">
        <f>ISTEXT(Table14[[#This Row],[Data_Wystawienia]])</f>
        <v>0</v>
      </c>
      <c r="K1184" s="2">
        <f>VALUE(SUBSTITUTE(Table14[[#This Row],[Wartość]],".",","))</f>
        <v>17492.71</v>
      </c>
      <c r="L11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4" s="2" t="str">
        <f>IF(Table14[[#This Row],[Umowa]]="","Poza umową","Z umowy")</f>
        <v>Z umowy</v>
      </c>
      <c r="N1184" s="2">
        <f>YEAR(Table14[[#This Row],[Data_Wystawienia]])</f>
        <v>2023</v>
      </c>
      <c r="O1184" s="2" t="str">
        <f>TEXT(Table14[[#This Row],[Data_Wystawienia]],"rrrr-mm")</f>
        <v>2023-03</v>
      </c>
      <c r="P1184" s="2">
        <v>1</v>
      </c>
    </row>
    <row r="1185" spans="1:16" x14ac:dyDescent="0.3">
      <c r="A1185" s="2" t="str">
        <f>TRIM(Table1[[#This Row],[Numer_FV]])</f>
        <v>FV/CENFA/404190/23</v>
      </c>
      <c r="B1185" s="2" t="str">
        <f>TRIM(Table1[[#This Row],[Numer_PZ]])</f>
        <v>PZ/801183</v>
      </c>
      <c r="C1185" s="2" t="str">
        <f>TRIM(Table1[[#This Row],[Dostawca]])</f>
        <v>CentrumFarm</v>
      </c>
      <c r="D1185" s="3">
        <v>44993</v>
      </c>
      <c r="E1185" s="4" t="s">
        <v>3523</v>
      </c>
      <c r="F1185" s="2" t="str">
        <f>TRIM(Table1[[#This Row],[Status]])</f>
        <v>Zaakceptowana</v>
      </c>
      <c r="G1185" s="2" t="str">
        <f>TRIM(Table1[[#This Row],[Typ]])</f>
        <v>Faktura VAT</v>
      </c>
      <c r="H1185" s="2" t="str">
        <f>TRIM(Table1[[#This Row],[Magazyn]])</f>
        <v>Apteka Szpitalna</v>
      </c>
      <c r="I1185" s="2" t="str">
        <f>TRIM(Table1[[#This Row],[Umowa]])</f>
        <v>UM-CEN-01</v>
      </c>
      <c r="J1185" s="2" t="b">
        <f>ISTEXT(Table14[[#This Row],[Data_Wystawienia]])</f>
        <v>0</v>
      </c>
      <c r="K1185" s="2">
        <f>VALUE(SUBSTITUTE(Table14[[#This Row],[Wartość]],".",","))</f>
        <v>8655.2099999999991</v>
      </c>
      <c r="L11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5" s="2" t="str">
        <f>IF(Table14[[#This Row],[Umowa]]="","Poza umową","Z umowy")</f>
        <v>Z umowy</v>
      </c>
      <c r="N1185" s="2">
        <f>YEAR(Table14[[#This Row],[Data_Wystawienia]])</f>
        <v>2023</v>
      </c>
      <c r="O1185" s="2" t="str">
        <f>TEXT(Table14[[#This Row],[Data_Wystawienia]],"rrrr-mm")</f>
        <v>2023-03</v>
      </c>
      <c r="P1185" s="2">
        <v>1</v>
      </c>
    </row>
    <row r="1186" spans="1:16" x14ac:dyDescent="0.3">
      <c r="A1186" s="2" t="str">
        <f>TRIM(Table1[[#This Row],[Numer_FV]])</f>
        <v>FV/82649/VDb/2023</v>
      </c>
      <c r="B1186" s="2" t="str">
        <f>TRIM(Table1[[#This Row],[Numer_PZ]])</f>
        <v>PZ/801184</v>
      </c>
      <c r="C1186" s="2" t="str">
        <f>TRIM(Table1[[#This Row],[Dostawca]])</f>
        <v>VitaDistrib</v>
      </c>
      <c r="D1186" s="3">
        <v>44993</v>
      </c>
      <c r="E1186" s="4" t="s">
        <v>3526</v>
      </c>
      <c r="F1186" s="2" t="str">
        <f>TRIM(Table1[[#This Row],[Status]])</f>
        <v>Zaakceptowana</v>
      </c>
      <c r="G1186" s="2" t="str">
        <f>TRIM(Table1[[#This Row],[Typ]])</f>
        <v>Faktura VAT</v>
      </c>
      <c r="H1186" s="2" t="str">
        <f>TRIM(Table1[[#This Row],[Magazyn]])</f>
        <v>Apteka Szpitalna</v>
      </c>
      <c r="I1186" s="2" t="str">
        <f>TRIM(Table1[[#This Row],[Umowa]])</f>
        <v>UM-VIT-01</v>
      </c>
      <c r="J1186" s="2" t="b">
        <f>ISTEXT(Table14[[#This Row],[Data_Wystawienia]])</f>
        <v>0</v>
      </c>
      <c r="K1186" s="2">
        <f>VALUE(SUBSTITUTE(Table14[[#This Row],[Wartość]],".",","))</f>
        <v>21511.82</v>
      </c>
      <c r="L11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6" s="2" t="str">
        <f>IF(Table14[[#This Row],[Umowa]]="","Poza umową","Z umowy")</f>
        <v>Z umowy</v>
      </c>
      <c r="N1186" s="2">
        <f>YEAR(Table14[[#This Row],[Data_Wystawienia]])</f>
        <v>2023</v>
      </c>
      <c r="O1186" s="2" t="str">
        <f>TEXT(Table14[[#This Row],[Data_Wystawienia]],"rrrr-mm")</f>
        <v>2023-03</v>
      </c>
      <c r="P1186" s="2">
        <v>1</v>
      </c>
    </row>
    <row r="1187" spans="1:16" x14ac:dyDescent="0.3">
      <c r="A1187" s="2" t="str">
        <f>TRIM(Table1[[#This Row],[Numer_FV]])</f>
        <v>FV/8130/NOVA/23</v>
      </c>
      <c r="B1187" s="2" t="str">
        <f>TRIM(Table1[[#This Row],[Numer_PZ]])</f>
        <v>PZ/801185</v>
      </c>
      <c r="C1187" s="2" t="str">
        <f>TRIM(Table1[[#This Row],[Dostawca]])</f>
        <v>NovaLek</v>
      </c>
      <c r="D1187" s="3">
        <v>44993</v>
      </c>
      <c r="E1187" s="4" t="s">
        <v>3529</v>
      </c>
      <c r="F1187" s="2" t="str">
        <f>TRIM(Table1[[#This Row],[Status]])</f>
        <v>Zaakceptowana</v>
      </c>
      <c r="G1187" s="2" t="str">
        <f>TRIM(Table1[[#This Row],[Typ]])</f>
        <v>Faktura VAT</v>
      </c>
      <c r="H1187" s="2" t="str">
        <f>TRIM(Table1[[#This Row],[Magazyn]])</f>
        <v>Apteka Szpitalna</v>
      </c>
      <c r="I1187" s="2" t="str">
        <f>TRIM(Table1[[#This Row],[Umowa]])</f>
        <v/>
      </c>
      <c r="J1187" s="2" t="b">
        <f>ISTEXT(Table14[[#This Row],[Data_Wystawienia]])</f>
        <v>0</v>
      </c>
      <c r="K1187" s="2">
        <f>VALUE(SUBSTITUTE(Table14[[#This Row],[Wartość]],".",","))</f>
        <v>12804.17</v>
      </c>
      <c r="L11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7" s="2" t="str">
        <f>IF(Table14[[#This Row],[Umowa]]="","Poza umową","Z umowy")</f>
        <v>Poza umową</v>
      </c>
      <c r="N1187" s="2">
        <f>YEAR(Table14[[#This Row],[Data_Wystawienia]])</f>
        <v>2023</v>
      </c>
      <c r="O1187" s="2" t="str">
        <f>TEXT(Table14[[#This Row],[Data_Wystawienia]],"rrrr-mm")</f>
        <v>2023-03</v>
      </c>
      <c r="P1187" s="2">
        <v>1</v>
      </c>
    </row>
    <row r="1188" spans="1:16" x14ac:dyDescent="0.3">
      <c r="A1188" s="2" t="str">
        <f>TRIM(Table1[[#This Row],[Numer_FV]])</f>
        <v>FV/14780/VDb/2023</v>
      </c>
      <c r="B1188" s="2" t="str">
        <f>TRIM(Table1[[#This Row],[Numer_PZ]])</f>
        <v>PZ/801186</v>
      </c>
      <c r="C1188" s="2" t="str">
        <f>TRIM(Table1[[#This Row],[Dostawca]])</f>
        <v>VitaDistrib</v>
      </c>
      <c r="D1188" s="3">
        <v>44993</v>
      </c>
      <c r="E1188" s="4" t="s">
        <v>3532</v>
      </c>
      <c r="F1188" s="2" t="str">
        <f>TRIM(Table1[[#This Row],[Status]])</f>
        <v>Zaakceptowana</v>
      </c>
      <c r="G1188" s="2" t="str">
        <f>TRIM(Table1[[#This Row],[Typ]])</f>
        <v>Faktura VAT</v>
      </c>
      <c r="H1188" s="2" t="str">
        <f>TRIM(Table1[[#This Row],[Magazyn]])</f>
        <v>Apteka Szpitalna</v>
      </c>
      <c r="I1188" s="2" t="str">
        <f>TRIM(Table1[[#This Row],[Umowa]])</f>
        <v>UM-VIT-01</v>
      </c>
      <c r="J1188" s="2" t="b">
        <f>ISTEXT(Table14[[#This Row],[Data_Wystawienia]])</f>
        <v>0</v>
      </c>
      <c r="K1188" s="2">
        <f>VALUE(SUBSTITUTE(Table14[[#This Row],[Wartość]],".",","))</f>
        <v>19702.5</v>
      </c>
      <c r="L11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8" s="2" t="str">
        <f>IF(Table14[[#This Row],[Umowa]]="","Poza umową","Z umowy")</f>
        <v>Z umowy</v>
      </c>
      <c r="N1188" s="2">
        <f>YEAR(Table14[[#This Row],[Data_Wystawienia]])</f>
        <v>2023</v>
      </c>
      <c r="O1188" s="2" t="str">
        <f>TEXT(Table14[[#This Row],[Data_Wystawienia]],"rrrr-mm")</f>
        <v>2023-03</v>
      </c>
      <c r="P1188" s="2">
        <v>1</v>
      </c>
    </row>
    <row r="1189" spans="1:16" x14ac:dyDescent="0.3">
      <c r="A1189" s="2" t="str">
        <f>TRIM(Table1[[#This Row],[Numer_FV]])</f>
        <v>FV/3318/NOVA/23</v>
      </c>
      <c r="B1189" s="2" t="str">
        <f>TRIM(Table1[[#This Row],[Numer_PZ]])</f>
        <v>PZ/801187</v>
      </c>
      <c r="C1189" s="2" t="str">
        <f>TRIM(Table1[[#This Row],[Dostawca]])</f>
        <v>NovaLek</v>
      </c>
      <c r="D1189" s="3">
        <v>44994</v>
      </c>
      <c r="E1189" s="4" t="s">
        <v>3535</v>
      </c>
      <c r="F1189" s="2" t="str">
        <f>TRIM(Table1[[#This Row],[Status]])</f>
        <v>Zaakceptowana</v>
      </c>
      <c r="G1189" s="2" t="str">
        <f>TRIM(Table1[[#This Row],[Typ]])</f>
        <v>Korekta FV</v>
      </c>
      <c r="H1189" s="2" t="str">
        <f>TRIM(Table1[[#This Row],[Magazyn]])</f>
        <v>Apteka Szpitalna</v>
      </c>
      <c r="I1189" s="2" t="str">
        <f>TRIM(Table1[[#This Row],[Umowa]])</f>
        <v/>
      </c>
      <c r="J1189" s="2" t="b">
        <f>ISTEXT(Table14[[#This Row],[Data_Wystawienia]])</f>
        <v>0</v>
      </c>
      <c r="K1189" s="2">
        <f>VALUE(SUBSTITUTE(Table14[[#This Row],[Wartość]],".",","))</f>
        <v>-2176.58</v>
      </c>
      <c r="L11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89" s="2" t="str">
        <f>IF(Table14[[#This Row],[Umowa]]="","Poza umową","Z umowy")</f>
        <v>Poza umową</v>
      </c>
      <c r="N1189" s="2">
        <f>YEAR(Table14[[#This Row],[Data_Wystawienia]])</f>
        <v>2023</v>
      </c>
      <c r="O1189" s="2" t="str">
        <f>TEXT(Table14[[#This Row],[Data_Wystawienia]],"rrrr-mm")</f>
        <v>2023-03</v>
      </c>
      <c r="P1189" s="2">
        <v>1</v>
      </c>
    </row>
    <row r="1190" spans="1:16" x14ac:dyDescent="0.3">
      <c r="A1190" s="2" t="str">
        <f>TRIM(Table1[[#This Row],[Numer_FV]])</f>
        <v>FV/25580/VDb/2023</v>
      </c>
      <c r="B1190" s="2" t="str">
        <f>TRIM(Table1[[#This Row],[Numer_PZ]])</f>
        <v>PZ/801188</v>
      </c>
      <c r="C1190" s="2" t="str">
        <f>TRIM(Table1[[#This Row],[Dostawca]])</f>
        <v>VitaDistrib</v>
      </c>
      <c r="D1190" s="3">
        <v>44994</v>
      </c>
      <c r="E1190" s="4" t="s">
        <v>3538</v>
      </c>
      <c r="F1190" s="2" t="str">
        <f>TRIM(Table1[[#This Row],[Status]])</f>
        <v>Zaakceptowana</v>
      </c>
      <c r="G1190" s="2" t="str">
        <f>TRIM(Table1[[#This Row],[Typ]])</f>
        <v>Faktura VAT</v>
      </c>
      <c r="H1190" s="2" t="str">
        <f>TRIM(Table1[[#This Row],[Magazyn]])</f>
        <v>Apteka Szpitalna</v>
      </c>
      <c r="I1190" s="2" t="str">
        <f>TRIM(Table1[[#This Row],[Umowa]])</f>
        <v>UM-VIT-01</v>
      </c>
      <c r="J1190" s="2" t="b">
        <f>ISTEXT(Table14[[#This Row],[Data_Wystawienia]])</f>
        <v>0</v>
      </c>
      <c r="K1190" s="2">
        <f>VALUE(SUBSTITUTE(Table14[[#This Row],[Wartość]],".",","))</f>
        <v>19155.79</v>
      </c>
      <c r="L11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0" s="2" t="str">
        <f>IF(Table14[[#This Row],[Umowa]]="","Poza umową","Z umowy")</f>
        <v>Z umowy</v>
      </c>
      <c r="N1190" s="2">
        <f>YEAR(Table14[[#This Row],[Data_Wystawienia]])</f>
        <v>2023</v>
      </c>
      <c r="O1190" s="2" t="str">
        <f>TEXT(Table14[[#This Row],[Data_Wystawienia]],"rrrr-mm")</f>
        <v>2023-03</v>
      </c>
      <c r="P1190" s="2">
        <v>1</v>
      </c>
    </row>
    <row r="1191" spans="1:16" x14ac:dyDescent="0.3">
      <c r="A1191" s="2" t="str">
        <f>TRIM(Table1[[#This Row],[Numer_FV]])</f>
        <v>FV/85/SAL/23</v>
      </c>
      <c r="B1191" s="2" t="str">
        <f>TRIM(Table1[[#This Row],[Numer_PZ]])</f>
        <v>PZ/801189</v>
      </c>
      <c r="C1191" s="2" t="str">
        <f>TRIM(Table1[[#This Row],[Dostawca]])</f>
        <v>SalusHurt</v>
      </c>
      <c r="D1191" s="3">
        <v>44994</v>
      </c>
      <c r="E1191" s="4" t="s">
        <v>3541</v>
      </c>
      <c r="F1191" s="2" t="str">
        <f>TRIM(Table1[[#This Row],[Status]])</f>
        <v>Zaakceptowana</v>
      </c>
      <c r="G1191" s="2" t="str">
        <f>TRIM(Table1[[#This Row],[Typ]])</f>
        <v>Faktura VAT</v>
      </c>
      <c r="H1191" s="2" t="str">
        <f>TRIM(Table1[[#This Row],[Magazyn]])</f>
        <v>Apteka Szpitalna</v>
      </c>
      <c r="I1191" s="2" t="str">
        <f>TRIM(Table1[[#This Row],[Umowa]])</f>
        <v>UM-SAL-01</v>
      </c>
      <c r="J1191" s="2" t="b">
        <f>ISTEXT(Table14[[#This Row],[Data_Wystawienia]])</f>
        <v>0</v>
      </c>
      <c r="K1191" s="2">
        <f>VALUE(SUBSTITUTE(Table14[[#This Row],[Wartość]],".",","))</f>
        <v>14436.42</v>
      </c>
      <c r="L11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1" s="2" t="str">
        <f>IF(Table14[[#This Row],[Umowa]]="","Poza umową","Z umowy")</f>
        <v>Z umowy</v>
      </c>
      <c r="N1191" s="2">
        <f>YEAR(Table14[[#This Row],[Data_Wystawienia]])</f>
        <v>2023</v>
      </c>
      <c r="O1191" s="2" t="str">
        <f>TEXT(Table14[[#This Row],[Data_Wystawienia]],"rrrr-mm")</f>
        <v>2023-03</v>
      </c>
      <c r="P1191" s="2">
        <v>1</v>
      </c>
    </row>
    <row r="1192" spans="1:16" x14ac:dyDescent="0.3">
      <c r="A1192" s="2" t="str">
        <f>TRIM(Table1[[#This Row],[Numer_FV]])</f>
        <v>FV/CENFA/797388/23</v>
      </c>
      <c r="B1192" s="2" t="str">
        <f>TRIM(Table1[[#This Row],[Numer_PZ]])</f>
        <v>PZ/801190</v>
      </c>
      <c r="C1192" s="2" t="str">
        <f>TRIM(Table1[[#This Row],[Dostawca]])</f>
        <v>CentrumFarm</v>
      </c>
      <c r="D1192" s="3">
        <v>44994</v>
      </c>
      <c r="E1192" s="4" t="s">
        <v>3544</v>
      </c>
      <c r="F1192" s="2" t="str">
        <f>TRIM(Table1[[#This Row],[Status]])</f>
        <v>Zaakceptowana</v>
      </c>
      <c r="G1192" s="2" t="str">
        <f>TRIM(Table1[[#This Row],[Typ]])</f>
        <v>Faktura VAT</v>
      </c>
      <c r="H1192" s="2" t="str">
        <f>TRIM(Table1[[#This Row],[Magazyn]])</f>
        <v>Apteka Szpitalna</v>
      </c>
      <c r="I1192" s="2" t="str">
        <f>TRIM(Table1[[#This Row],[Umowa]])</f>
        <v>UM-CEN-01</v>
      </c>
      <c r="J1192" s="2" t="b">
        <f>ISTEXT(Table14[[#This Row],[Data_Wystawienia]])</f>
        <v>0</v>
      </c>
      <c r="K1192" s="2">
        <f>VALUE(SUBSTITUTE(Table14[[#This Row],[Wartość]],".",","))</f>
        <v>18358.939999999999</v>
      </c>
      <c r="L11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2" s="2" t="str">
        <f>IF(Table14[[#This Row],[Umowa]]="","Poza umową","Z umowy")</f>
        <v>Z umowy</v>
      </c>
      <c r="N1192" s="2">
        <f>YEAR(Table14[[#This Row],[Data_Wystawienia]])</f>
        <v>2023</v>
      </c>
      <c r="O1192" s="2" t="str">
        <f>TEXT(Table14[[#This Row],[Data_Wystawienia]],"rrrr-mm")</f>
        <v>2023-03</v>
      </c>
      <c r="P1192" s="2">
        <v>1</v>
      </c>
    </row>
    <row r="1193" spans="1:16" x14ac:dyDescent="0.3">
      <c r="A1193" s="2" t="str">
        <f>TRIM(Table1[[#This Row],[Numer_FV]])</f>
        <v>FV/CENFA/677334/23</v>
      </c>
      <c r="B1193" s="2" t="str">
        <f>TRIM(Table1[[#This Row],[Numer_PZ]])</f>
        <v>PZ/801191</v>
      </c>
      <c r="C1193" s="2" t="str">
        <f>TRIM(Table1[[#This Row],[Dostawca]])</f>
        <v>CentrumFarm</v>
      </c>
      <c r="D1193" s="3">
        <v>44995</v>
      </c>
      <c r="E1193" s="4" t="s">
        <v>3547</v>
      </c>
      <c r="F1193" s="2" t="str">
        <f>TRIM(Table1[[#This Row],[Status]])</f>
        <v>Zaakceptowana</v>
      </c>
      <c r="G1193" s="2" t="str">
        <f>TRIM(Table1[[#This Row],[Typ]])</f>
        <v>Faktura VAT</v>
      </c>
      <c r="H1193" s="2" t="str">
        <f>TRIM(Table1[[#This Row],[Magazyn]])</f>
        <v>Apteka Szpitalna</v>
      </c>
      <c r="I1193" s="2" t="str">
        <f>TRIM(Table1[[#This Row],[Umowa]])</f>
        <v>UM-CEN-01</v>
      </c>
      <c r="J1193" s="2" t="b">
        <f>ISTEXT(Table14[[#This Row],[Data_Wystawienia]])</f>
        <v>0</v>
      </c>
      <c r="K1193" s="2">
        <f>VALUE(SUBSTITUTE(Table14[[#This Row],[Wartość]],".",","))</f>
        <v>11863.32</v>
      </c>
      <c r="L11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3" s="2" t="str">
        <f>IF(Table14[[#This Row],[Umowa]]="","Poza umową","Z umowy")</f>
        <v>Z umowy</v>
      </c>
      <c r="N1193" s="2">
        <f>YEAR(Table14[[#This Row],[Data_Wystawienia]])</f>
        <v>2023</v>
      </c>
      <c r="O1193" s="2" t="str">
        <f>TEXT(Table14[[#This Row],[Data_Wystawienia]],"rrrr-mm")</f>
        <v>2023-03</v>
      </c>
      <c r="P1193" s="2">
        <v>1</v>
      </c>
    </row>
    <row r="1194" spans="1:16" x14ac:dyDescent="0.3">
      <c r="A1194" s="2" t="str">
        <f>TRIM(Table1[[#This Row],[Numer_FV]])</f>
        <v>FV/5712/NOVA/23</v>
      </c>
      <c r="B1194" s="2" t="str">
        <f>TRIM(Table1[[#This Row],[Numer_PZ]])</f>
        <v>PZ/801192</v>
      </c>
      <c r="C1194" s="2" t="str">
        <f>TRIM(Table1[[#This Row],[Dostawca]])</f>
        <v>NovaLek</v>
      </c>
      <c r="D1194" s="3">
        <v>44995</v>
      </c>
      <c r="E1194" s="4" t="s">
        <v>3550</v>
      </c>
      <c r="F1194" s="2" t="str">
        <f>TRIM(Table1[[#This Row],[Status]])</f>
        <v>Zaakceptowana</v>
      </c>
      <c r="G1194" s="2" t="str">
        <f>TRIM(Table1[[#This Row],[Typ]])</f>
        <v>Korekta FV</v>
      </c>
      <c r="H1194" s="2" t="str">
        <f>TRIM(Table1[[#This Row],[Magazyn]])</f>
        <v>Apteka Szpitalna</v>
      </c>
      <c r="I1194" s="2" t="str">
        <f>TRIM(Table1[[#This Row],[Umowa]])</f>
        <v>UM-NOV-02</v>
      </c>
      <c r="J1194" s="2" t="b">
        <f>ISTEXT(Table14[[#This Row],[Data_Wystawienia]])</f>
        <v>0</v>
      </c>
      <c r="K1194" s="2">
        <f>VALUE(SUBSTITUTE(Table14[[#This Row],[Wartość]],".",","))</f>
        <v>-1173.99</v>
      </c>
      <c r="L11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4" s="2" t="str">
        <f>IF(Table14[[#This Row],[Umowa]]="","Poza umową","Z umowy")</f>
        <v>Z umowy</v>
      </c>
      <c r="N1194" s="2">
        <f>YEAR(Table14[[#This Row],[Data_Wystawienia]])</f>
        <v>2023</v>
      </c>
      <c r="O1194" s="2" t="str">
        <f>TEXT(Table14[[#This Row],[Data_Wystawienia]],"rrrr-mm")</f>
        <v>2023-03</v>
      </c>
      <c r="P1194" s="2">
        <v>1</v>
      </c>
    </row>
    <row r="1195" spans="1:16" x14ac:dyDescent="0.3">
      <c r="A1195" s="2" t="str">
        <f>TRIM(Table1[[#This Row],[Numer_FV]])</f>
        <v>FV/M/9920/P/23</v>
      </c>
      <c r="B1195" s="2" t="str">
        <f>TRIM(Table1[[#This Row],[Numer_PZ]])</f>
        <v>PZ/801193</v>
      </c>
      <c r="C1195" s="2" t="str">
        <f>TRIM(Table1[[#This Row],[Dostawca]])</f>
        <v>MedicaPharm</v>
      </c>
      <c r="D1195" s="3">
        <v>44996</v>
      </c>
      <c r="E1195" s="4" t="s">
        <v>3553</v>
      </c>
      <c r="F1195" s="2" t="str">
        <f>TRIM(Table1[[#This Row],[Status]])</f>
        <v>Zaakceptowana</v>
      </c>
      <c r="G1195" s="2" t="str">
        <f>TRIM(Table1[[#This Row],[Typ]])</f>
        <v>Faktura VAT</v>
      </c>
      <c r="H1195" s="2" t="str">
        <f>TRIM(Table1[[#This Row],[Magazyn]])</f>
        <v>Apteka Szpitalna</v>
      </c>
      <c r="I1195" s="2" t="str">
        <f>TRIM(Table1[[#This Row],[Umowa]])</f>
        <v>UM-MED-02</v>
      </c>
      <c r="J1195" s="2" t="b">
        <f>ISTEXT(Table14[[#This Row],[Data_Wystawienia]])</f>
        <v>0</v>
      </c>
      <c r="K1195" s="2">
        <f>VALUE(SUBSTITUTE(Table14[[#This Row],[Wartość]],".",","))</f>
        <v>4370.8500000000004</v>
      </c>
      <c r="L11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5" s="2" t="str">
        <f>IF(Table14[[#This Row],[Umowa]]="","Poza umową","Z umowy")</f>
        <v>Z umowy</v>
      </c>
      <c r="N1195" s="2">
        <f>YEAR(Table14[[#This Row],[Data_Wystawienia]])</f>
        <v>2023</v>
      </c>
      <c r="O1195" s="2" t="str">
        <f>TEXT(Table14[[#This Row],[Data_Wystawienia]],"rrrr-mm")</f>
        <v>2023-03</v>
      </c>
      <c r="P1195" s="2">
        <v>1</v>
      </c>
    </row>
    <row r="1196" spans="1:16" x14ac:dyDescent="0.3">
      <c r="A1196" s="2" t="str">
        <f>TRIM(Table1[[#This Row],[Numer_FV]])</f>
        <v>FV/85/SAL/23</v>
      </c>
      <c r="B1196" s="2" t="str">
        <f>TRIM(Table1[[#This Row],[Numer_PZ]])</f>
        <v>PZ/801194</v>
      </c>
      <c r="C1196" s="2" t="str">
        <f>TRIM(Table1[[#This Row],[Dostawca]])</f>
        <v>SalusHurt</v>
      </c>
      <c r="D1196" s="3">
        <v>44996</v>
      </c>
      <c r="E1196" s="4" t="s">
        <v>3555</v>
      </c>
      <c r="F1196" s="2" t="str">
        <f>TRIM(Table1[[#This Row],[Status]])</f>
        <v>Zaakceptowana</v>
      </c>
      <c r="G1196" s="2" t="str">
        <f>TRIM(Table1[[#This Row],[Typ]])</f>
        <v>Faktura VAT</v>
      </c>
      <c r="H1196" s="2" t="str">
        <f>TRIM(Table1[[#This Row],[Magazyn]])</f>
        <v>Apteka Szpitalna</v>
      </c>
      <c r="I1196" s="2" t="str">
        <f>TRIM(Table1[[#This Row],[Umowa]])</f>
        <v>UM-SAL-01</v>
      </c>
      <c r="J1196" s="2" t="b">
        <f>ISTEXT(Table14[[#This Row],[Data_Wystawienia]])</f>
        <v>0</v>
      </c>
      <c r="K1196" s="2">
        <f>VALUE(SUBSTITUTE(Table14[[#This Row],[Wartość]],".",","))</f>
        <v>11357.82</v>
      </c>
      <c r="L11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6" s="2" t="str">
        <f>IF(Table14[[#This Row],[Umowa]]="","Poza umową","Z umowy")</f>
        <v>Z umowy</v>
      </c>
      <c r="N1196" s="2">
        <f>YEAR(Table14[[#This Row],[Data_Wystawienia]])</f>
        <v>2023</v>
      </c>
      <c r="O1196" s="2" t="str">
        <f>TEXT(Table14[[#This Row],[Data_Wystawienia]],"rrrr-mm")</f>
        <v>2023-03</v>
      </c>
      <c r="P1196" s="2">
        <v>1</v>
      </c>
    </row>
    <row r="1197" spans="1:16" x14ac:dyDescent="0.3">
      <c r="A1197" s="2" t="str">
        <f>TRIM(Table1[[#This Row],[Numer_FV]])</f>
        <v>FV/96/SAL/23</v>
      </c>
      <c r="B1197" s="2" t="str">
        <f>TRIM(Table1[[#This Row],[Numer_PZ]])</f>
        <v>PZ/801195</v>
      </c>
      <c r="C1197" s="2" t="str">
        <f>TRIM(Table1[[#This Row],[Dostawca]])</f>
        <v>SalusHurt</v>
      </c>
      <c r="D1197" s="3">
        <v>44997</v>
      </c>
      <c r="E1197" s="4" t="s">
        <v>3558</v>
      </c>
      <c r="F1197" s="2" t="str">
        <f>TRIM(Table1[[#This Row],[Status]])</f>
        <v>Zaakceptowana</v>
      </c>
      <c r="G1197" s="2" t="str">
        <f>TRIM(Table1[[#This Row],[Typ]])</f>
        <v>Faktura VAT</v>
      </c>
      <c r="H1197" s="2" t="str">
        <f>TRIM(Table1[[#This Row],[Magazyn]])</f>
        <v>Apteka Szpitalna</v>
      </c>
      <c r="I1197" s="2" t="str">
        <f>TRIM(Table1[[#This Row],[Umowa]])</f>
        <v>UM-SAL-02</v>
      </c>
      <c r="J1197" s="2" t="b">
        <f>ISTEXT(Table14[[#This Row],[Data_Wystawienia]])</f>
        <v>0</v>
      </c>
      <c r="K1197" s="2">
        <f>VALUE(SUBSTITUTE(Table14[[#This Row],[Wartość]],".",","))</f>
        <v>18063.810000000001</v>
      </c>
      <c r="L11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7" s="2" t="str">
        <f>IF(Table14[[#This Row],[Umowa]]="","Poza umową","Z umowy")</f>
        <v>Z umowy</v>
      </c>
      <c r="N1197" s="2">
        <f>YEAR(Table14[[#This Row],[Data_Wystawienia]])</f>
        <v>2023</v>
      </c>
      <c r="O1197" s="2" t="str">
        <f>TEXT(Table14[[#This Row],[Data_Wystawienia]],"rrrr-mm")</f>
        <v>2023-03</v>
      </c>
      <c r="P1197" s="2">
        <v>1</v>
      </c>
    </row>
    <row r="1198" spans="1:16" x14ac:dyDescent="0.3">
      <c r="A1198" s="2" t="str">
        <f>TRIM(Table1[[#This Row],[Numer_FV]])</f>
        <v>FV/38/PP/1023/23</v>
      </c>
      <c r="B1198" s="2" t="str">
        <f>TRIM(Table1[[#This Row],[Numer_PZ]])</f>
        <v>PZ/801196</v>
      </c>
      <c r="C1198" s="2" t="str">
        <f>TRIM(Table1[[#This Row],[Dostawca]])</f>
        <v>PharmaPlus</v>
      </c>
      <c r="D1198" s="3">
        <v>44998</v>
      </c>
      <c r="E1198" s="4" t="s">
        <v>3561</v>
      </c>
      <c r="F1198" s="2" t="str">
        <f>TRIM(Table1[[#This Row],[Status]])</f>
        <v>Zaakceptowana</v>
      </c>
      <c r="G1198" s="2" t="str">
        <f>TRIM(Table1[[#This Row],[Typ]])</f>
        <v>Faktura VAT</v>
      </c>
      <c r="H1198" s="2" t="str">
        <f>TRIM(Table1[[#This Row],[Magazyn]])</f>
        <v>Apteka Szpitalna</v>
      </c>
      <c r="I1198" s="2" t="str">
        <f>TRIM(Table1[[#This Row],[Umowa]])</f>
        <v/>
      </c>
      <c r="J1198" s="2" t="b">
        <f>ISTEXT(Table14[[#This Row],[Data_Wystawienia]])</f>
        <v>0</v>
      </c>
      <c r="K1198" s="2">
        <f>VALUE(SUBSTITUTE(Table14[[#This Row],[Wartość]],".",","))</f>
        <v>18098.37</v>
      </c>
      <c r="L11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8" s="2" t="str">
        <f>IF(Table14[[#This Row],[Umowa]]="","Poza umową","Z umowy")</f>
        <v>Poza umową</v>
      </c>
      <c r="N1198" s="2">
        <f>YEAR(Table14[[#This Row],[Data_Wystawienia]])</f>
        <v>2023</v>
      </c>
      <c r="O1198" s="2" t="str">
        <f>TEXT(Table14[[#This Row],[Data_Wystawienia]],"rrrr-mm")</f>
        <v>2023-03</v>
      </c>
      <c r="P1198" s="2">
        <v>1</v>
      </c>
    </row>
    <row r="1199" spans="1:16" x14ac:dyDescent="0.3">
      <c r="A1199" s="2" t="str">
        <f>TRIM(Table1[[#This Row],[Numer_FV]])</f>
        <v>FV/7478/NOVA/23</v>
      </c>
      <c r="B1199" s="2" t="str">
        <f>TRIM(Table1[[#This Row],[Numer_PZ]])</f>
        <v>PZ/801197</v>
      </c>
      <c r="C1199" s="2" t="str">
        <f>TRIM(Table1[[#This Row],[Dostawca]])</f>
        <v>NovaLek</v>
      </c>
      <c r="D1199" s="3">
        <v>44998</v>
      </c>
      <c r="E1199" s="4" t="s">
        <v>3564</v>
      </c>
      <c r="F1199" s="2" t="str">
        <f>TRIM(Table1[[#This Row],[Status]])</f>
        <v>Zaakceptowana</v>
      </c>
      <c r="G1199" s="2" t="str">
        <f>TRIM(Table1[[#This Row],[Typ]])</f>
        <v>Faktura VAT</v>
      </c>
      <c r="H1199" s="2" t="str">
        <f>TRIM(Table1[[#This Row],[Magazyn]])</f>
        <v>Apteka Szpitalna</v>
      </c>
      <c r="I1199" s="2" t="str">
        <f>TRIM(Table1[[#This Row],[Umowa]])</f>
        <v>UM-NOV-02</v>
      </c>
      <c r="J1199" s="2" t="b">
        <f>ISTEXT(Table14[[#This Row],[Data_Wystawienia]])</f>
        <v>0</v>
      </c>
      <c r="K1199" s="2">
        <f>VALUE(SUBSTITUTE(Table14[[#This Row],[Wartość]],".",","))</f>
        <v>26613.200000000001</v>
      </c>
      <c r="L11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199" s="2" t="str">
        <f>IF(Table14[[#This Row],[Umowa]]="","Poza umową","Z umowy")</f>
        <v>Z umowy</v>
      </c>
      <c r="N1199" s="2">
        <f>YEAR(Table14[[#This Row],[Data_Wystawienia]])</f>
        <v>2023</v>
      </c>
      <c r="O1199" s="2" t="str">
        <f>TEXT(Table14[[#This Row],[Data_Wystawienia]],"rrrr-mm")</f>
        <v>2023-03</v>
      </c>
      <c r="P1199" s="2">
        <v>1</v>
      </c>
    </row>
    <row r="1200" spans="1:16" x14ac:dyDescent="0.3">
      <c r="A1200" s="2" t="str">
        <f>TRIM(Table1[[#This Row],[Numer_FV]])</f>
        <v>FV/CENFA/762556/23</v>
      </c>
      <c r="B1200" s="2" t="str">
        <f>TRIM(Table1[[#This Row],[Numer_PZ]])</f>
        <v>PZ/801198</v>
      </c>
      <c r="C1200" s="2" t="str">
        <f>TRIM(Table1[[#This Row],[Dostawca]])</f>
        <v>CentrumFarm</v>
      </c>
      <c r="D1200" s="3">
        <v>44999</v>
      </c>
      <c r="E1200" s="4" t="s">
        <v>3567</v>
      </c>
      <c r="F1200" s="2" t="str">
        <f>TRIM(Table1[[#This Row],[Status]])</f>
        <v>Zaakceptowana</v>
      </c>
      <c r="G1200" s="2" t="str">
        <f>TRIM(Table1[[#This Row],[Typ]])</f>
        <v>Faktura VAT</v>
      </c>
      <c r="H1200" s="2" t="str">
        <f>TRIM(Table1[[#This Row],[Magazyn]])</f>
        <v>Apteka Szpitalna</v>
      </c>
      <c r="I1200" s="2" t="str">
        <f>TRIM(Table1[[#This Row],[Umowa]])</f>
        <v>UM-CEN-02</v>
      </c>
      <c r="J1200" s="2" t="b">
        <f>ISTEXT(Table14[[#This Row],[Data_Wystawienia]])</f>
        <v>0</v>
      </c>
      <c r="K1200" s="2">
        <f>VALUE(SUBSTITUTE(Table14[[#This Row],[Wartość]],".",","))</f>
        <v>15663.22</v>
      </c>
      <c r="L12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0" s="2" t="str">
        <f>IF(Table14[[#This Row],[Umowa]]="","Poza umową","Z umowy")</f>
        <v>Z umowy</v>
      </c>
      <c r="N1200" s="2">
        <f>YEAR(Table14[[#This Row],[Data_Wystawienia]])</f>
        <v>2023</v>
      </c>
      <c r="O1200" s="2" t="str">
        <f>TEXT(Table14[[#This Row],[Data_Wystawienia]],"rrrr-mm")</f>
        <v>2023-03</v>
      </c>
      <c r="P1200" s="2">
        <v>1</v>
      </c>
    </row>
    <row r="1201" spans="1:16" x14ac:dyDescent="0.3">
      <c r="A1201" s="2" t="str">
        <f>TRIM(Table1[[#This Row],[Numer_FV]])</f>
        <v>FV/POL/51805/2023</v>
      </c>
      <c r="B1201" s="2" t="str">
        <f>TRIM(Table1[[#This Row],[Numer_PZ]])</f>
        <v>PZ/801199</v>
      </c>
      <c r="C1201" s="2" t="str">
        <f>TRIM(Table1[[#This Row],[Dostawca]])</f>
        <v>Polmedica</v>
      </c>
      <c r="D1201" s="3">
        <v>44999</v>
      </c>
      <c r="E1201" s="4" t="s">
        <v>3570</v>
      </c>
      <c r="F1201" s="2" t="str">
        <f>TRIM(Table1[[#This Row],[Status]])</f>
        <v>Zaakceptowana</v>
      </c>
      <c r="G1201" s="2" t="str">
        <f>TRIM(Table1[[#This Row],[Typ]])</f>
        <v>Faktura VAT</v>
      </c>
      <c r="H1201" s="2" t="str">
        <f>TRIM(Table1[[#This Row],[Magazyn]])</f>
        <v>Apteka Szpitalna</v>
      </c>
      <c r="I1201" s="2" t="str">
        <f>TRIM(Table1[[#This Row],[Umowa]])</f>
        <v>UM-POL-02</v>
      </c>
      <c r="J1201" s="2" t="b">
        <f>ISTEXT(Table14[[#This Row],[Data_Wystawienia]])</f>
        <v>0</v>
      </c>
      <c r="K1201" s="2">
        <f>VALUE(SUBSTITUTE(Table14[[#This Row],[Wartość]],".",","))</f>
        <v>18251.759999999998</v>
      </c>
      <c r="L12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1" s="2" t="str">
        <f>IF(Table14[[#This Row],[Umowa]]="","Poza umową","Z umowy")</f>
        <v>Z umowy</v>
      </c>
      <c r="N1201" s="2">
        <f>YEAR(Table14[[#This Row],[Data_Wystawienia]])</f>
        <v>2023</v>
      </c>
      <c r="O1201" s="2" t="str">
        <f>TEXT(Table14[[#This Row],[Data_Wystawienia]],"rrrr-mm")</f>
        <v>2023-03</v>
      </c>
      <c r="P1201" s="2">
        <v>1</v>
      </c>
    </row>
    <row r="1202" spans="1:16" x14ac:dyDescent="0.3">
      <c r="A1202" s="2" t="str">
        <f>TRIM(Table1[[#This Row],[Numer_FV]])</f>
        <v>FV/5922HM/23</v>
      </c>
      <c r="B1202" s="2" t="str">
        <f>TRIM(Table1[[#This Row],[Numer_PZ]])</f>
        <v>PZ/801200</v>
      </c>
      <c r="C1202" s="2" t="str">
        <f>TRIM(Table1[[#This Row],[Dostawca]])</f>
        <v>HurtMedix</v>
      </c>
      <c r="D1202" s="3">
        <v>45000</v>
      </c>
      <c r="E1202" s="4" t="s">
        <v>3573</v>
      </c>
      <c r="F1202" s="2" t="str">
        <f>TRIM(Table1[[#This Row],[Status]])</f>
        <v>Zaakceptowana</v>
      </c>
      <c r="G1202" s="2" t="str">
        <f>TRIM(Table1[[#This Row],[Typ]])</f>
        <v>Faktura VAT</v>
      </c>
      <c r="H1202" s="2" t="str">
        <f>TRIM(Table1[[#This Row],[Magazyn]])</f>
        <v>Apteka Szpitalna</v>
      </c>
      <c r="I1202" s="2" t="str">
        <f>TRIM(Table1[[#This Row],[Umowa]])</f>
        <v/>
      </c>
      <c r="J1202" s="2" t="b">
        <f>ISTEXT(Table14[[#This Row],[Data_Wystawienia]])</f>
        <v>0</v>
      </c>
      <c r="K1202" s="2">
        <f>VALUE(SUBSTITUTE(Table14[[#This Row],[Wartość]],".",","))</f>
        <v>24357.59</v>
      </c>
      <c r="L12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2" s="2" t="str">
        <f>IF(Table14[[#This Row],[Umowa]]="","Poza umową","Z umowy")</f>
        <v>Poza umową</v>
      </c>
      <c r="N1202" s="2">
        <f>YEAR(Table14[[#This Row],[Data_Wystawienia]])</f>
        <v>2023</v>
      </c>
      <c r="O1202" s="2" t="str">
        <f>TEXT(Table14[[#This Row],[Data_Wystawienia]],"rrrr-mm")</f>
        <v>2023-03</v>
      </c>
      <c r="P1202" s="2">
        <v>1</v>
      </c>
    </row>
    <row r="1203" spans="1:16" x14ac:dyDescent="0.3">
      <c r="A1203" s="2" t="str">
        <f>TRIM(Table1[[#This Row],[Numer_FV]])</f>
        <v>FV/CENFA/918708/23</v>
      </c>
      <c r="B1203" s="2" t="str">
        <f>TRIM(Table1[[#This Row],[Numer_PZ]])</f>
        <v>PZ/801201</v>
      </c>
      <c r="C1203" s="2" t="str">
        <f>TRIM(Table1[[#This Row],[Dostawca]])</f>
        <v>CentrumFarm</v>
      </c>
      <c r="D1203" s="3">
        <v>45000</v>
      </c>
      <c r="E1203" s="4" t="s">
        <v>3576</v>
      </c>
      <c r="F1203" s="2" t="str">
        <f>TRIM(Table1[[#This Row],[Status]])</f>
        <v>Zaakceptowana</v>
      </c>
      <c r="G1203" s="2" t="str">
        <f>TRIM(Table1[[#This Row],[Typ]])</f>
        <v>Faktura VAT</v>
      </c>
      <c r="H1203" s="2" t="str">
        <f>TRIM(Table1[[#This Row],[Magazyn]])</f>
        <v>Apteka Szpitalna</v>
      </c>
      <c r="I1203" s="2" t="str">
        <f>TRIM(Table1[[#This Row],[Umowa]])</f>
        <v/>
      </c>
      <c r="J1203" s="2" t="b">
        <f>ISTEXT(Table14[[#This Row],[Data_Wystawienia]])</f>
        <v>0</v>
      </c>
      <c r="K1203" s="2">
        <f>VALUE(SUBSTITUTE(Table14[[#This Row],[Wartość]],".",","))</f>
        <v>19878.07</v>
      </c>
      <c r="L12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3" s="2" t="str">
        <f>IF(Table14[[#This Row],[Umowa]]="","Poza umową","Z umowy")</f>
        <v>Poza umową</v>
      </c>
      <c r="N1203" s="2">
        <f>YEAR(Table14[[#This Row],[Data_Wystawienia]])</f>
        <v>2023</v>
      </c>
      <c r="O1203" s="2" t="str">
        <f>TEXT(Table14[[#This Row],[Data_Wystawienia]],"rrrr-mm")</f>
        <v>2023-03</v>
      </c>
      <c r="P1203" s="2">
        <v>1</v>
      </c>
    </row>
    <row r="1204" spans="1:16" x14ac:dyDescent="0.3">
      <c r="A1204" s="2" t="str">
        <f>TRIM(Table1[[#This Row],[Numer_FV]])</f>
        <v>FV/CENFA/615514/23</v>
      </c>
      <c r="B1204" s="2" t="str">
        <f>TRIM(Table1[[#This Row],[Numer_PZ]])</f>
        <v>PZ/801202</v>
      </c>
      <c r="C1204" s="2" t="str">
        <f>TRIM(Table1[[#This Row],[Dostawca]])</f>
        <v>CentrumFarm</v>
      </c>
      <c r="D1204" s="3">
        <v>45001</v>
      </c>
      <c r="E1204" s="4" t="s">
        <v>3579</v>
      </c>
      <c r="F1204" s="2" t="str">
        <f>TRIM(Table1[[#This Row],[Status]])</f>
        <v>Zaakceptowana</v>
      </c>
      <c r="G1204" s="2" t="str">
        <f>TRIM(Table1[[#This Row],[Typ]])</f>
        <v>Faktura VAT</v>
      </c>
      <c r="H1204" s="2" t="str">
        <f>TRIM(Table1[[#This Row],[Magazyn]])</f>
        <v>Apteka Szpitalna</v>
      </c>
      <c r="I1204" s="2" t="str">
        <f>TRIM(Table1[[#This Row],[Umowa]])</f>
        <v/>
      </c>
      <c r="J1204" s="2" t="b">
        <f>ISTEXT(Table14[[#This Row],[Data_Wystawienia]])</f>
        <v>0</v>
      </c>
      <c r="K1204" s="2">
        <f>VALUE(SUBSTITUTE(Table14[[#This Row],[Wartość]],".",","))</f>
        <v>12109.45</v>
      </c>
      <c r="L12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4" s="2" t="str">
        <f>IF(Table14[[#This Row],[Umowa]]="","Poza umową","Z umowy")</f>
        <v>Poza umową</v>
      </c>
      <c r="N1204" s="2">
        <f>YEAR(Table14[[#This Row],[Data_Wystawienia]])</f>
        <v>2023</v>
      </c>
      <c r="O1204" s="2" t="str">
        <f>TEXT(Table14[[#This Row],[Data_Wystawienia]],"rrrr-mm")</f>
        <v>2023-03</v>
      </c>
      <c r="P1204" s="2">
        <v>1</v>
      </c>
    </row>
    <row r="1205" spans="1:16" x14ac:dyDescent="0.3">
      <c r="A1205" s="2" t="str">
        <f>TRIM(Table1[[#This Row],[Numer_FV]])</f>
        <v>FV/75/SAL/23</v>
      </c>
      <c r="B1205" s="2" t="str">
        <f>TRIM(Table1[[#This Row],[Numer_PZ]])</f>
        <v>PZ/801203</v>
      </c>
      <c r="C1205" s="2" t="str">
        <f>TRIM(Table1[[#This Row],[Dostawca]])</f>
        <v>SalusHurt</v>
      </c>
      <c r="D1205" s="3">
        <v>45001</v>
      </c>
      <c r="E1205" s="4" t="s">
        <v>3582</v>
      </c>
      <c r="F1205" s="2" t="str">
        <f>TRIM(Table1[[#This Row],[Status]])</f>
        <v>Zaakceptowana</v>
      </c>
      <c r="G1205" s="2" t="str">
        <f>TRIM(Table1[[#This Row],[Typ]])</f>
        <v>Faktura VAT</v>
      </c>
      <c r="H1205" s="2" t="str">
        <f>TRIM(Table1[[#This Row],[Magazyn]])</f>
        <v>Apteka Szpitalna</v>
      </c>
      <c r="I1205" s="2" t="str">
        <f>TRIM(Table1[[#This Row],[Umowa]])</f>
        <v>UM-SAL-02</v>
      </c>
      <c r="J1205" s="2" t="b">
        <f>ISTEXT(Table14[[#This Row],[Data_Wystawienia]])</f>
        <v>0</v>
      </c>
      <c r="K1205" s="2">
        <f>VALUE(SUBSTITUTE(Table14[[#This Row],[Wartość]],".",","))</f>
        <v>24990.28</v>
      </c>
      <c r="L12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5" s="2" t="str">
        <f>IF(Table14[[#This Row],[Umowa]]="","Poza umową","Z umowy")</f>
        <v>Z umowy</v>
      </c>
      <c r="N1205" s="2">
        <f>YEAR(Table14[[#This Row],[Data_Wystawienia]])</f>
        <v>2023</v>
      </c>
      <c r="O1205" s="2" t="str">
        <f>TEXT(Table14[[#This Row],[Data_Wystawienia]],"rrrr-mm")</f>
        <v>2023-03</v>
      </c>
      <c r="P1205" s="2">
        <v>1</v>
      </c>
    </row>
    <row r="1206" spans="1:16" x14ac:dyDescent="0.3">
      <c r="A1206" s="2" t="str">
        <f>TRIM(Table1[[#This Row],[Numer_FV]])</f>
        <v>FV/95/PP/5800/23</v>
      </c>
      <c r="B1206" s="2" t="str">
        <f>TRIM(Table1[[#This Row],[Numer_PZ]])</f>
        <v>PZ/801204</v>
      </c>
      <c r="C1206" s="2" t="str">
        <f>TRIM(Table1[[#This Row],[Dostawca]])</f>
        <v>PharmaPlus</v>
      </c>
      <c r="D1206" s="3">
        <v>45001</v>
      </c>
      <c r="E1206" s="4" t="s">
        <v>3585</v>
      </c>
      <c r="F1206" s="2" t="str">
        <f>TRIM(Table1[[#This Row],[Status]])</f>
        <v>Zaakceptowana</v>
      </c>
      <c r="G1206" s="2" t="str">
        <f>TRIM(Table1[[#This Row],[Typ]])</f>
        <v>Faktura VAT</v>
      </c>
      <c r="H1206" s="2" t="str">
        <f>TRIM(Table1[[#This Row],[Magazyn]])</f>
        <v>Apteka Szpitalna</v>
      </c>
      <c r="I1206" s="2" t="str">
        <f>TRIM(Table1[[#This Row],[Umowa]])</f>
        <v>UM-PHA-02</v>
      </c>
      <c r="J1206" s="2" t="b">
        <f>ISTEXT(Table14[[#This Row],[Data_Wystawienia]])</f>
        <v>0</v>
      </c>
      <c r="K1206" s="2">
        <f>VALUE(SUBSTITUTE(Table14[[#This Row],[Wartość]],".",","))</f>
        <v>13646.45</v>
      </c>
      <c r="L12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6" s="2" t="str">
        <f>IF(Table14[[#This Row],[Umowa]]="","Poza umową","Z umowy")</f>
        <v>Z umowy</v>
      </c>
      <c r="N1206" s="2">
        <f>YEAR(Table14[[#This Row],[Data_Wystawienia]])</f>
        <v>2023</v>
      </c>
      <c r="O1206" s="2" t="str">
        <f>TEXT(Table14[[#This Row],[Data_Wystawienia]],"rrrr-mm")</f>
        <v>2023-03</v>
      </c>
      <c r="P1206" s="2">
        <v>1</v>
      </c>
    </row>
    <row r="1207" spans="1:16" x14ac:dyDescent="0.3">
      <c r="A1207" s="2" t="str">
        <f>TRIM(Table1[[#This Row],[Numer_FV]])</f>
        <v>FV/9888HM/23</v>
      </c>
      <c r="B1207" s="2" t="str">
        <f>TRIM(Table1[[#This Row],[Numer_PZ]])</f>
        <v>PZ/801205</v>
      </c>
      <c r="C1207" s="2" t="str">
        <f>TRIM(Table1[[#This Row],[Dostawca]])</f>
        <v>HurtMedix</v>
      </c>
      <c r="D1207" s="3">
        <v>45003</v>
      </c>
      <c r="E1207" s="4" t="s">
        <v>3588</v>
      </c>
      <c r="F1207" s="2" t="str">
        <f>TRIM(Table1[[#This Row],[Status]])</f>
        <v>Zaakceptowana</v>
      </c>
      <c r="G1207" s="2" t="str">
        <f>TRIM(Table1[[#This Row],[Typ]])</f>
        <v>Faktura VAT</v>
      </c>
      <c r="H1207" s="2" t="str">
        <f>TRIM(Table1[[#This Row],[Magazyn]])</f>
        <v>Apteka Szpitalna</v>
      </c>
      <c r="I1207" s="2" t="str">
        <f>TRIM(Table1[[#This Row],[Umowa]])</f>
        <v>UM-HUR-02</v>
      </c>
      <c r="J1207" s="2" t="b">
        <f>ISTEXT(Table14[[#This Row],[Data_Wystawienia]])</f>
        <v>0</v>
      </c>
      <c r="K1207" s="2">
        <f>VALUE(SUBSTITUTE(Table14[[#This Row],[Wartość]],".",","))</f>
        <v>13123.09</v>
      </c>
      <c r="L12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7" s="2" t="str">
        <f>IF(Table14[[#This Row],[Umowa]]="","Poza umową","Z umowy")</f>
        <v>Z umowy</v>
      </c>
      <c r="N1207" s="2">
        <f>YEAR(Table14[[#This Row],[Data_Wystawienia]])</f>
        <v>2023</v>
      </c>
      <c r="O1207" s="2" t="str">
        <f>TEXT(Table14[[#This Row],[Data_Wystawienia]],"rrrr-mm")</f>
        <v>2023-03</v>
      </c>
      <c r="P1207" s="2">
        <v>1</v>
      </c>
    </row>
    <row r="1208" spans="1:16" x14ac:dyDescent="0.3">
      <c r="A1208" s="2" t="str">
        <f>TRIM(Table1[[#This Row],[Numer_FV]])</f>
        <v>FV/5795HM/23</v>
      </c>
      <c r="B1208" s="2" t="str">
        <f>TRIM(Table1[[#This Row],[Numer_PZ]])</f>
        <v>PZ/801206</v>
      </c>
      <c r="C1208" s="2" t="str">
        <f>TRIM(Table1[[#This Row],[Dostawca]])</f>
        <v>HurtMedix</v>
      </c>
      <c r="D1208" s="3">
        <v>45003</v>
      </c>
      <c r="E1208" s="4" t="s">
        <v>3591</v>
      </c>
      <c r="F1208" s="2" t="str">
        <f>TRIM(Table1[[#This Row],[Status]])</f>
        <v>Zaakceptowana</v>
      </c>
      <c r="G1208" s="2" t="str">
        <f>TRIM(Table1[[#This Row],[Typ]])</f>
        <v>Korekta FV</v>
      </c>
      <c r="H1208" s="2" t="str">
        <f>TRIM(Table1[[#This Row],[Magazyn]])</f>
        <v>Apteka Szpitalna</v>
      </c>
      <c r="I1208" s="2" t="str">
        <f>TRIM(Table1[[#This Row],[Umowa]])</f>
        <v>UM-HUR-01</v>
      </c>
      <c r="J1208" s="2" t="b">
        <f>ISTEXT(Table14[[#This Row],[Data_Wystawienia]])</f>
        <v>0</v>
      </c>
      <c r="K1208" s="2">
        <f>VALUE(SUBSTITUTE(Table14[[#This Row],[Wartość]],".",","))</f>
        <v>-2017.37</v>
      </c>
      <c r="L12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8" s="2" t="str">
        <f>IF(Table14[[#This Row],[Umowa]]="","Poza umową","Z umowy")</f>
        <v>Z umowy</v>
      </c>
      <c r="N1208" s="2">
        <f>YEAR(Table14[[#This Row],[Data_Wystawienia]])</f>
        <v>2023</v>
      </c>
      <c r="O1208" s="2" t="str">
        <f>TEXT(Table14[[#This Row],[Data_Wystawienia]],"rrrr-mm")</f>
        <v>2023-03</v>
      </c>
      <c r="P1208" s="2">
        <v>1</v>
      </c>
    </row>
    <row r="1209" spans="1:16" x14ac:dyDescent="0.3">
      <c r="A1209" s="2" t="str">
        <f>TRIM(Table1[[#This Row],[Numer_FV]])</f>
        <v>FV/73/PP/4312/23</v>
      </c>
      <c r="B1209" s="2" t="str">
        <f>TRIM(Table1[[#This Row],[Numer_PZ]])</f>
        <v>PZ/801207</v>
      </c>
      <c r="C1209" s="2" t="str">
        <f>TRIM(Table1[[#This Row],[Dostawca]])</f>
        <v>PharmaPlus</v>
      </c>
      <c r="D1209" s="3">
        <v>45003</v>
      </c>
      <c r="E1209" s="4" t="s">
        <v>3594</v>
      </c>
      <c r="F1209" s="2" t="str">
        <f>TRIM(Table1[[#This Row],[Status]])</f>
        <v>Zaakceptowana</v>
      </c>
      <c r="G1209" s="2" t="str">
        <f>TRIM(Table1[[#This Row],[Typ]])</f>
        <v>Korekta FV</v>
      </c>
      <c r="H1209" s="2" t="str">
        <f>TRIM(Table1[[#This Row],[Magazyn]])</f>
        <v>Apteka Szpitalna</v>
      </c>
      <c r="I1209" s="2" t="str">
        <f>TRIM(Table1[[#This Row],[Umowa]])</f>
        <v/>
      </c>
      <c r="J1209" s="2" t="b">
        <f>ISTEXT(Table14[[#This Row],[Data_Wystawienia]])</f>
        <v>0</v>
      </c>
      <c r="K1209" s="2">
        <f>VALUE(SUBSTITUTE(Table14[[#This Row],[Wartość]],".",","))</f>
        <v>-889.55</v>
      </c>
      <c r="L12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09" s="2" t="str">
        <f>IF(Table14[[#This Row],[Umowa]]="","Poza umową","Z umowy")</f>
        <v>Poza umową</v>
      </c>
      <c r="N1209" s="2">
        <f>YEAR(Table14[[#This Row],[Data_Wystawienia]])</f>
        <v>2023</v>
      </c>
      <c r="O1209" s="2" t="str">
        <f>TEXT(Table14[[#This Row],[Data_Wystawienia]],"rrrr-mm")</f>
        <v>2023-03</v>
      </c>
      <c r="P1209" s="2">
        <v>1</v>
      </c>
    </row>
    <row r="1210" spans="1:16" x14ac:dyDescent="0.3">
      <c r="A1210" s="2" t="str">
        <f>TRIM(Table1[[#This Row],[Numer_FV]])</f>
        <v>FV/31741/VDb/2023</v>
      </c>
      <c r="B1210" s="2" t="str">
        <f>TRIM(Table1[[#This Row],[Numer_PZ]])</f>
        <v>PZ/801208</v>
      </c>
      <c r="C1210" s="2" t="str">
        <f>TRIM(Table1[[#This Row],[Dostawca]])</f>
        <v>VitaDistrib</v>
      </c>
      <c r="D1210" s="3">
        <v>45003</v>
      </c>
      <c r="E1210" s="4" t="s">
        <v>3597</v>
      </c>
      <c r="F1210" s="2" t="str">
        <f>TRIM(Table1[[#This Row],[Status]])</f>
        <v>Zaakceptowana</v>
      </c>
      <c r="G1210" s="2" t="str">
        <f>TRIM(Table1[[#This Row],[Typ]])</f>
        <v>Faktura VAT</v>
      </c>
      <c r="H1210" s="2" t="str">
        <f>TRIM(Table1[[#This Row],[Magazyn]])</f>
        <v>Apteka Szpitalna</v>
      </c>
      <c r="I1210" s="2" t="str">
        <f>TRIM(Table1[[#This Row],[Umowa]])</f>
        <v>UM-VIT-01</v>
      </c>
      <c r="J1210" s="2" t="b">
        <f>ISTEXT(Table14[[#This Row],[Data_Wystawienia]])</f>
        <v>0</v>
      </c>
      <c r="K1210" s="2">
        <f>VALUE(SUBSTITUTE(Table14[[#This Row],[Wartość]],".",","))</f>
        <v>19609.13</v>
      </c>
      <c r="L12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0" s="2" t="str">
        <f>IF(Table14[[#This Row],[Umowa]]="","Poza umową","Z umowy")</f>
        <v>Z umowy</v>
      </c>
      <c r="N1210" s="2">
        <f>YEAR(Table14[[#This Row],[Data_Wystawienia]])</f>
        <v>2023</v>
      </c>
      <c r="O1210" s="2" t="str">
        <f>TEXT(Table14[[#This Row],[Data_Wystawienia]],"rrrr-mm")</f>
        <v>2023-03</v>
      </c>
      <c r="P1210" s="2">
        <v>1</v>
      </c>
    </row>
    <row r="1211" spans="1:16" x14ac:dyDescent="0.3">
      <c r="A1211" s="2" t="str">
        <f>TRIM(Table1[[#This Row],[Numer_FV]])</f>
        <v>FV/4927HM/23</v>
      </c>
      <c r="B1211" s="2" t="str">
        <f>TRIM(Table1[[#This Row],[Numer_PZ]])</f>
        <v>PZ/801209</v>
      </c>
      <c r="C1211" s="2" t="str">
        <f>TRIM(Table1[[#This Row],[Dostawca]])</f>
        <v>HurtMedix</v>
      </c>
      <c r="D1211" s="3">
        <v>45003</v>
      </c>
      <c r="E1211" s="4" t="s">
        <v>3600</v>
      </c>
      <c r="F1211" s="2" t="str">
        <f>TRIM(Table1[[#This Row],[Status]])</f>
        <v>Zaakceptowana</v>
      </c>
      <c r="G1211" s="2" t="str">
        <f>TRIM(Table1[[#This Row],[Typ]])</f>
        <v>Faktura VAT</v>
      </c>
      <c r="H1211" s="2" t="str">
        <f>TRIM(Table1[[#This Row],[Magazyn]])</f>
        <v>Apteka Szpitalna</v>
      </c>
      <c r="I1211" s="2" t="str">
        <f>TRIM(Table1[[#This Row],[Umowa]])</f>
        <v/>
      </c>
      <c r="J1211" s="2" t="b">
        <f>ISTEXT(Table14[[#This Row],[Data_Wystawienia]])</f>
        <v>0</v>
      </c>
      <c r="K1211" s="2">
        <f>VALUE(SUBSTITUTE(Table14[[#This Row],[Wartość]],".",","))</f>
        <v>14169.61</v>
      </c>
      <c r="L12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1" s="2" t="str">
        <f>IF(Table14[[#This Row],[Umowa]]="","Poza umową","Z umowy")</f>
        <v>Poza umową</v>
      </c>
      <c r="N1211" s="2">
        <f>YEAR(Table14[[#This Row],[Data_Wystawienia]])</f>
        <v>2023</v>
      </c>
      <c r="O1211" s="2" t="str">
        <f>TEXT(Table14[[#This Row],[Data_Wystawienia]],"rrrr-mm")</f>
        <v>2023-03</v>
      </c>
      <c r="P1211" s="2">
        <v>1</v>
      </c>
    </row>
    <row r="1212" spans="1:16" x14ac:dyDescent="0.3">
      <c r="A1212" s="2" t="str">
        <f>TRIM(Table1[[#This Row],[Numer_FV]])</f>
        <v>FV/94283/VDb/2023</v>
      </c>
      <c r="B1212" s="2" t="str">
        <f>TRIM(Table1[[#This Row],[Numer_PZ]])</f>
        <v>PZ/801210</v>
      </c>
      <c r="C1212" s="2" t="str">
        <f>TRIM(Table1[[#This Row],[Dostawca]])</f>
        <v>VitaDistrib</v>
      </c>
      <c r="D1212" s="3">
        <v>45003</v>
      </c>
      <c r="E1212" s="4" t="s">
        <v>3603</v>
      </c>
      <c r="F1212" s="2" t="str">
        <f>TRIM(Table1[[#This Row],[Status]])</f>
        <v>Zaakceptowana</v>
      </c>
      <c r="G1212" s="2" t="str">
        <f>TRIM(Table1[[#This Row],[Typ]])</f>
        <v>Faktura VAT</v>
      </c>
      <c r="H1212" s="2" t="str">
        <f>TRIM(Table1[[#This Row],[Magazyn]])</f>
        <v>Apteka Szpitalna</v>
      </c>
      <c r="I1212" s="2" t="str">
        <f>TRIM(Table1[[#This Row],[Umowa]])</f>
        <v>UM-VIT-01</v>
      </c>
      <c r="J1212" s="2" t="b">
        <f>ISTEXT(Table14[[#This Row],[Data_Wystawienia]])</f>
        <v>0</v>
      </c>
      <c r="K1212" s="2">
        <f>VALUE(SUBSTITUTE(Table14[[#This Row],[Wartość]],".",","))</f>
        <v>16378.55</v>
      </c>
      <c r="L12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2" s="2" t="str">
        <f>IF(Table14[[#This Row],[Umowa]]="","Poza umową","Z umowy")</f>
        <v>Z umowy</v>
      </c>
      <c r="N1212" s="2">
        <f>YEAR(Table14[[#This Row],[Data_Wystawienia]])</f>
        <v>2023</v>
      </c>
      <c r="O1212" s="2" t="str">
        <f>TEXT(Table14[[#This Row],[Data_Wystawienia]],"rrrr-mm")</f>
        <v>2023-03</v>
      </c>
      <c r="P1212" s="2">
        <v>1</v>
      </c>
    </row>
    <row r="1213" spans="1:16" x14ac:dyDescent="0.3">
      <c r="A1213" s="2" t="str">
        <f>TRIM(Table1[[#This Row],[Numer_FV]])</f>
        <v>FV/44/SAL/23</v>
      </c>
      <c r="B1213" s="2" t="str">
        <f>TRIM(Table1[[#This Row],[Numer_PZ]])</f>
        <v>PZ/801211</v>
      </c>
      <c r="C1213" s="2" t="str">
        <f>TRIM(Table1[[#This Row],[Dostawca]])</f>
        <v>SalusHurt</v>
      </c>
      <c r="D1213" s="3">
        <v>45005</v>
      </c>
      <c r="E1213" s="4" t="s">
        <v>3606</v>
      </c>
      <c r="F1213" s="2" t="str">
        <f>TRIM(Table1[[#This Row],[Status]])</f>
        <v>Zaakceptowana</v>
      </c>
      <c r="G1213" s="2" t="str">
        <f>TRIM(Table1[[#This Row],[Typ]])</f>
        <v>Faktura VAT</v>
      </c>
      <c r="H1213" s="2" t="str">
        <f>TRIM(Table1[[#This Row],[Magazyn]])</f>
        <v>Apteka Szpitalna</v>
      </c>
      <c r="I1213" s="2" t="str">
        <f>TRIM(Table1[[#This Row],[Umowa]])</f>
        <v>UM-SAL-01</v>
      </c>
      <c r="J1213" s="2" t="b">
        <f>ISTEXT(Table14[[#This Row],[Data_Wystawienia]])</f>
        <v>0</v>
      </c>
      <c r="K1213" s="2">
        <f>VALUE(SUBSTITUTE(Table14[[#This Row],[Wartość]],".",","))</f>
        <v>12544.84</v>
      </c>
      <c r="L12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3" s="2" t="str">
        <f>IF(Table14[[#This Row],[Umowa]]="","Poza umową","Z umowy")</f>
        <v>Z umowy</v>
      </c>
      <c r="N1213" s="2">
        <f>YEAR(Table14[[#This Row],[Data_Wystawienia]])</f>
        <v>2023</v>
      </c>
      <c r="O1213" s="2" t="str">
        <f>TEXT(Table14[[#This Row],[Data_Wystawienia]],"rrrr-mm")</f>
        <v>2023-03</v>
      </c>
      <c r="P1213" s="2">
        <v>1</v>
      </c>
    </row>
    <row r="1214" spans="1:16" x14ac:dyDescent="0.3">
      <c r="A1214" s="2" t="str">
        <f>TRIM(Table1[[#This Row],[Numer_FV]])</f>
        <v>FV/POL/80397/2023</v>
      </c>
      <c r="B1214" s="2" t="str">
        <f>TRIM(Table1[[#This Row],[Numer_PZ]])</f>
        <v>PZ/801212</v>
      </c>
      <c r="C1214" s="2" t="str">
        <f>TRIM(Table1[[#This Row],[Dostawca]])</f>
        <v>Polmedica</v>
      </c>
      <c r="D1214" s="3">
        <v>45005</v>
      </c>
      <c r="E1214" s="4" t="s">
        <v>3609</v>
      </c>
      <c r="F1214" s="2" t="str">
        <f>TRIM(Table1[[#This Row],[Status]])</f>
        <v>Zaakceptowana</v>
      </c>
      <c r="G1214" s="2" t="str">
        <f>TRIM(Table1[[#This Row],[Typ]])</f>
        <v>Faktura VAT</v>
      </c>
      <c r="H1214" s="2" t="str">
        <f>TRIM(Table1[[#This Row],[Magazyn]])</f>
        <v>Apteka Szpitalna</v>
      </c>
      <c r="I1214" s="2" t="str">
        <f>TRIM(Table1[[#This Row],[Umowa]])</f>
        <v>UM-POL-02</v>
      </c>
      <c r="J1214" s="2" t="b">
        <f>ISTEXT(Table14[[#This Row],[Data_Wystawienia]])</f>
        <v>0</v>
      </c>
      <c r="K1214" s="2">
        <f>VALUE(SUBSTITUTE(Table14[[#This Row],[Wartość]],".",","))</f>
        <v>18806.55</v>
      </c>
      <c r="L12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4" s="2" t="str">
        <f>IF(Table14[[#This Row],[Umowa]]="","Poza umową","Z umowy")</f>
        <v>Z umowy</v>
      </c>
      <c r="N1214" s="2">
        <f>YEAR(Table14[[#This Row],[Data_Wystawienia]])</f>
        <v>2023</v>
      </c>
      <c r="O1214" s="2" t="str">
        <f>TEXT(Table14[[#This Row],[Data_Wystawienia]],"rrrr-mm")</f>
        <v>2023-03</v>
      </c>
      <c r="P1214" s="2">
        <v>1</v>
      </c>
    </row>
    <row r="1215" spans="1:16" x14ac:dyDescent="0.3">
      <c r="A1215" s="2" t="str">
        <f>TRIM(Table1[[#This Row],[Numer_FV]])</f>
        <v>FV/CENFA/350982/23</v>
      </c>
      <c r="B1215" s="2" t="str">
        <f>TRIM(Table1[[#This Row],[Numer_PZ]])</f>
        <v>PZ/801213</v>
      </c>
      <c r="C1215" s="2" t="str">
        <f>TRIM(Table1[[#This Row],[Dostawca]])</f>
        <v>CentrumFarm</v>
      </c>
      <c r="D1215" s="3">
        <v>45005</v>
      </c>
      <c r="E1215" s="4" t="s">
        <v>3612</v>
      </c>
      <c r="F1215" s="2" t="str">
        <f>TRIM(Table1[[#This Row],[Status]])</f>
        <v>Zaakceptowana</v>
      </c>
      <c r="G1215" s="2" t="str">
        <f>TRIM(Table1[[#This Row],[Typ]])</f>
        <v>Faktura VAT</v>
      </c>
      <c r="H1215" s="2" t="str">
        <f>TRIM(Table1[[#This Row],[Magazyn]])</f>
        <v>Apteka Szpitalna</v>
      </c>
      <c r="I1215" s="2" t="str">
        <f>TRIM(Table1[[#This Row],[Umowa]])</f>
        <v>UM-CEN-02</v>
      </c>
      <c r="J1215" s="2" t="b">
        <f>ISTEXT(Table14[[#This Row],[Data_Wystawienia]])</f>
        <v>0</v>
      </c>
      <c r="K1215" s="2">
        <f>VALUE(SUBSTITUTE(Table14[[#This Row],[Wartość]],".",","))</f>
        <v>8514.83</v>
      </c>
      <c r="L12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5" s="2" t="str">
        <f>IF(Table14[[#This Row],[Umowa]]="","Poza umową","Z umowy")</f>
        <v>Z umowy</v>
      </c>
      <c r="N1215" s="2">
        <f>YEAR(Table14[[#This Row],[Data_Wystawienia]])</f>
        <v>2023</v>
      </c>
      <c r="O1215" s="2" t="str">
        <f>TEXT(Table14[[#This Row],[Data_Wystawienia]],"rrrr-mm")</f>
        <v>2023-03</v>
      </c>
      <c r="P1215" s="2">
        <v>1</v>
      </c>
    </row>
    <row r="1216" spans="1:16" x14ac:dyDescent="0.3">
      <c r="A1216" s="2" t="str">
        <f>TRIM(Table1[[#This Row],[Numer_FV]])</f>
        <v>FV/6567HM/23</v>
      </c>
      <c r="B1216" s="2" t="str">
        <f>TRIM(Table1[[#This Row],[Numer_PZ]])</f>
        <v>PZ/801214</v>
      </c>
      <c r="C1216" s="2" t="str">
        <f>TRIM(Table1[[#This Row],[Dostawca]])</f>
        <v>HurtMedix</v>
      </c>
      <c r="D1216" s="3">
        <v>45005</v>
      </c>
      <c r="E1216" s="4" t="s">
        <v>3615</v>
      </c>
      <c r="F1216" s="2" t="str">
        <f>TRIM(Table1[[#This Row],[Status]])</f>
        <v>Zaakceptowana</v>
      </c>
      <c r="G1216" s="2" t="str">
        <f>TRIM(Table1[[#This Row],[Typ]])</f>
        <v>Faktura VAT</v>
      </c>
      <c r="H1216" s="2" t="str">
        <f>TRIM(Table1[[#This Row],[Magazyn]])</f>
        <v>Apteka Szpitalna</v>
      </c>
      <c r="I1216" s="2" t="str">
        <f>TRIM(Table1[[#This Row],[Umowa]])</f>
        <v>UM-HUR-01</v>
      </c>
      <c r="J1216" s="2" t="b">
        <f>ISTEXT(Table14[[#This Row],[Data_Wystawienia]])</f>
        <v>0</v>
      </c>
      <c r="K1216" s="2">
        <f>VALUE(SUBSTITUTE(Table14[[#This Row],[Wartość]],".",","))</f>
        <v>11315.71</v>
      </c>
      <c r="L12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6" s="2" t="str">
        <f>IF(Table14[[#This Row],[Umowa]]="","Poza umową","Z umowy")</f>
        <v>Z umowy</v>
      </c>
      <c r="N1216" s="2">
        <f>YEAR(Table14[[#This Row],[Data_Wystawienia]])</f>
        <v>2023</v>
      </c>
      <c r="O1216" s="2" t="str">
        <f>TEXT(Table14[[#This Row],[Data_Wystawienia]],"rrrr-mm")</f>
        <v>2023-03</v>
      </c>
      <c r="P1216" s="2">
        <v>1</v>
      </c>
    </row>
    <row r="1217" spans="1:16" x14ac:dyDescent="0.3">
      <c r="A1217" s="2" t="str">
        <f>TRIM(Table1[[#This Row],[Numer_FV]])</f>
        <v>FV/M/2639/P/23</v>
      </c>
      <c r="B1217" s="2" t="str">
        <f>TRIM(Table1[[#This Row],[Numer_PZ]])</f>
        <v>PZ/801215</v>
      </c>
      <c r="C1217" s="2" t="str">
        <f>TRIM(Table1[[#This Row],[Dostawca]])</f>
        <v>MedicaPharm</v>
      </c>
      <c r="D1217" s="3">
        <v>45005</v>
      </c>
      <c r="E1217" s="4" t="s">
        <v>3618</v>
      </c>
      <c r="F1217" s="2" t="str">
        <f>TRIM(Table1[[#This Row],[Status]])</f>
        <v>Zaakceptowana</v>
      </c>
      <c r="G1217" s="2" t="str">
        <f>TRIM(Table1[[#This Row],[Typ]])</f>
        <v>Faktura VAT</v>
      </c>
      <c r="H1217" s="2" t="str">
        <f>TRIM(Table1[[#This Row],[Magazyn]])</f>
        <v>Apteka Szpitalna</v>
      </c>
      <c r="I1217" s="2" t="str">
        <f>TRIM(Table1[[#This Row],[Umowa]])</f>
        <v/>
      </c>
      <c r="J1217" s="2" t="b">
        <f>ISTEXT(Table14[[#This Row],[Data_Wystawienia]])</f>
        <v>0</v>
      </c>
      <c r="K1217" s="2">
        <f>VALUE(SUBSTITUTE(Table14[[#This Row],[Wartość]],".",","))</f>
        <v>12713.03</v>
      </c>
      <c r="L12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7" s="2" t="str">
        <f>IF(Table14[[#This Row],[Umowa]]="","Poza umową","Z umowy")</f>
        <v>Poza umową</v>
      </c>
      <c r="N1217" s="2">
        <f>YEAR(Table14[[#This Row],[Data_Wystawienia]])</f>
        <v>2023</v>
      </c>
      <c r="O1217" s="2" t="str">
        <f>TEXT(Table14[[#This Row],[Data_Wystawienia]],"rrrr-mm")</f>
        <v>2023-03</v>
      </c>
      <c r="P1217" s="2">
        <v>1</v>
      </c>
    </row>
    <row r="1218" spans="1:16" x14ac:dyDescent="0.3">
      <c r="A1218" s="2" t="str">
        <f>TRIM(Table1[[#This Row],[Numer_FV]])</f>
        <v>FV/9170HM/23</v>
      </c>
      <c r="B1218" s="2" t="str">
        <f>TRIM(Table1[[#This Row],[Numer_PZ]])</f>
        <v>PZ/801216</v>
      </c>
      <c r="C1218" s="2" t="str">
        <f>TRIM(Table1[[#This Row],[Dostawca]])</f>
        <v>HurtMedix</v>
      </c>
      <c r="D1218" s="3">
        <v>45005</v>
      </c>
      <c r="E1218" s="4" t="s">
        <v>3621</v>
      </c>
      <c r="F1218" s="2" t="str">
        <f>TRIM(Table1[[#This Row],[Status]])</f>
        <v>Zaakceptowana</v>
      </c>
      <c r="G1218" s="2" t="str">
        <f>TRIM(Table1[[#This Row],[Typ]])</f>
        <v>Faktura VAT</v>
      </c>
      <c r="H1218" s="2" t="str">
        <f>TRIM(Table1[[#This Row],[Magazyn]])</f>
        <v>Apteka Szpitalna</v>
      </c>
      <c r="I1218" s="2" t="str">
        <f>TRIM(Table1[[#This Row],[Umowa]])</f>
        <v>UM-HUR-02</v>
      </c>
      <c r="J1218" s="2" t="b">
        <f>ISTEXT(Table14[[#This Row],[Data_Wystawienia]])</f>
        <v>0</v>
      </c>
      <c r="K1218" s="2">
        <f>VALUE(SUBSTITUTE(Table14[[#This Row],[Wartość]],".",","))</f>
        <v>19482.419999999998</v>
      </c>
      <c r="L12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8" s="2" t="str">
        <f>IF(Table14[[#This Row],[Umowa]]="","Poza umową","Z umowy")</f>
        <v>Z umowy</v>
      </c>
      <c r="N1218" s="2">
        <f>YEAR(Table14[[#This Row],[Data_Wystawienia]])</f>
        <v>2023</v>
      </c>
      <c r="O1218" s="2" t="str">
        <f>TEXT(Table14[[#This Row],[Data_Wystawienia]],"rrrr-mm")</f>
        <v>2023-03</v>
      </c>
      <c r="P1218" s="2">
        <v>1</v>
      </c>
    </row>
    <row r="1219" spans="1:16" x14ac:dyDescent="0.3">
      <c r="A1219" s="2" t="str">
        <f>TRIM(Table1[[#This Row],[Numer_FV]])</f>
        <v>FV/POL/21426/2023</v>
      </c>
      <c r="B1219" s="2" t="str">
        <f>TRIM(Table1[[#This Row],[Numer_PZ]])</f>
        <v>PZ/801217</v>
      </c>
      <c r="C1219" s="2" t="str">
        <f>TRIM(Table1[[#This Row],[Dostawca]])</f>
        <v>Polmedica</v>
      </c>
      <c r="D1219" s="3">
        <v>45006</v>
      </c>
      <c r="E1219" s="4" t="s">
        <v>3624</v>
      </c>
      <c r="F1219" s="2" t="str">
        <f>TRIM(Table1[[#This Row],[Status]])</f>
        <v>Zaakceptowana</v>
      </c>
      <c r="G1219" s="2" t="str">
        <f>TRIM(Table1[[#This Row],[Typ]])</f>
        <v>Faktura VAT</v>
      </c>
      <c r="H1219" s="2" t="str">
        <f>TRIM(Table1[[#This Row],[Magazyn]])</f>
        <v>Apteka Szpitalna</v>
      </c>
      <c r="I1219" s="2" t="str">
        <f>TRIM(Table1[[#This Row],[Umowa]])</f>
        <v>UM-POL-02</v>
      </c>
      <c r="J1219" s="2" t="b">
        <f>ISTEXT(Table14[[#This Row],[Data_Wystawienia]])</f>
        <v>0</v>
      </c>
      <c r="K1219" s="2">
        <f>VALUE(SUBSTITUTE(Table14[[#This Row],[Wartość]],".",","))</f>
        <v>19515.25</v>
      </c>
      <c r="L12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19" s="2" t="str">
        <f>IF(Table14[[#This Row],[Umowa]]="","Poza umową","Z umowy")</f>
        <v>Z umowy</v>
      </c>
      <c r="N1219" s="2">
        <f>YEAR(Table14[[#This Row],[Data_Wystawienia]])</f>
        <v>2023</v>
      </c>
      <c r="O1219" s="2" t="str">
        <f>TEXT(Table14[[#This Row],[Data_Wystawienia]],"rrrr-mm")</f>
        <v>2023-03</v>
      </c>
      <c r="P1219" s="2">
        <v>1</v>
      </c>
    </row>
    <row r="1220" spans="1:16" x14ac:dyDescent="0.3">
      <c r="A1220" s="2" t="str">
        <f>TRIM(Table1[[#This Row],[Numer_FV]])</f>
        <v>FV/CENFA/389340/23</v>
      </c>
      <c r="B1220" s="2" t="str">
        <f>TRIM(Table1[[#This Row],[Numer_PZ]])</f>
        <v>PZ/801218</v>
      </c>
      <c r="C1220" s="2" t="str">
        <f>TRIM(Table1[[#This Row],[Dostawca]])</f>
        <v>CentrumFarm</v>
      </c>
      <c r="D1220" s="3">
        <v>45006</v>
      </c>
      <c r="E1220" s="4" t="s">
        <v>3627</v>
      </c>
      <c r="F1220" s="2" t="str">
        <f>TRIM(Table1[[#This Row],[Status]])</f>
        <v>Zaakceptowana</v>
      </c>
      <c r="G1220" s="2" t="str">
        <f>TRIM(Table1[[#This Row],[Typ]])</f>
        <v>Faktura VAT</v>
      </c>
      <c r="H1220" s="2" t="str">
        <f>TRIM(Table1[[#This Row],[Magazyn]])</f>
        <v>Apteka Szpitalna</v>
      </c>
      <c r="I1220" s="2" t="str">
        <f>TRIM(Table1[[#This Row],[Umowa]])</f>
        <v>UM-CEN-01</v>
      </c>
      <c r="J1220" s="2" t="b">
        <f>ISTEXT(Table14[[#This Row],[Data_Wystawienia]])</f>
        <v>0</v>
      </c>
      <c r="K1220" s="2">
        <f>VALUE(SUBSTITUTE(Table14[[#This Row],[Wartość]],".",","))</f>
        <v>22387.23</v>
      </c>
      <c r="L12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0" s="2" t="str">
        <f>IF(Table14[[#This Row],[Umowa]]="","Poza umową","Z umowy")</f>
        <v>Z umowy</v>
      </c>
      <c r="N1220" s="2">
        <f>YEAR(Table14[[#This Row],[Data_Wystawienia]])</f>
        <v>2023</v>
      </c>
      <c r="O1220" s="2" t="str">
        <f>TEXT(Table14[[#This Row],[Data_Wystawienia]],"rrrr-mm")</f>
        <v>2023-03</v>
      </c>
      <c r="P1220" s="2">
        <v>1</v>
      </c>
    </row>
    <row r="1221" spans="1:16" x14ac:dyDescent="0.3">
      <c r="A1221" s="2" t="str">
        <f>TRIM(Table1[[#This Row],[Numer_FV]])</f>
        <v>FV/7884/NOVA/23</v>
      </c>
      <c r="B1221" s="2" t="str">
        <f>TRIM(Table1[[#This Row],[Numer_PZ]])</f>
        <v>PZ/801219</v>
      </c>
      <c r="C1221" s="2" t="str">
        <f>TRIM(Table1[[#This Row],[Dostawca]])</f>
        <v>NovaLek</v>
      </c>
      <c r="D1221" s="3">
        <v>45006</v>
      </c>
      <c r="E1221" s="4" t="s">
        <v>3630</v>
      </c>
      <c r="F1221" s="2" t="str">
        <f>TRIM(Table1[[#This Row],[Status]])</f>
        <v>Zaakceptowana</v>
      </c>
      <c r="G1221" s="2" t="str">
        <f>TRIM(Table1[[#This Row],[Typ]])</f>
        <v>Faktura VAT</v>
      </c>
      <c r="H1221" s="2" t="str">
        <f>TRIM(Table1[[#This Row],[Magazyn]])</f>
        <v>Apteka Szpitalna</v>
      </c>
      <c r="I1221" s="2" t="str">
        <f>TRIM(Table1[[#This Row],[Umowa]])</f>
        <v>UM-NOV-01</v>
      </c>
      <c r="J1221" s="2" t="b">
        <f>ISTEXT(Table14[[#This Row],[Data_Wystawienia]])</f>
        <v>0</v>
      </c>
      <c r="K1221" s="2">
        <f>VALUE(SUBSTITUTE(Table14[[#This Row],[Wartość]],".",","))</f>
        <v>11605.25</v>
      </c>
      <c r="L12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1" s="2" t="str">
        <f>IF(Table14[[#This Row],[Umowa]]="","Poza umową","Z umowy")</f>
        <v>Z umowy</v>
      </c>
      <c r="N1221" s="2">
        <f>YEAR(Table14[[#This Row],[Data_Wystawienia]])</f>
        <v>2023</v>
      </c>
      <c r="O1221" s="2" t="str">
        <f>TEXT(Table14[[#This Row],[Data_Wystawienia]],"rrrr-mm")</f>
        <v>2023-03</v>
      </c>
      <c r="P1221" s="2">
        <v>1</v>
      </c>
    </row>
    <row r="1222" spans="1:16" x14ac:dyDescent="0.3">
      <c r="A1222" s="2" t="str">
        <f>TRIM(Table1[[#This Row],[Numer_FV]])</f>
        <v>FV/4061HM/23</v>
      </c>
      <c r="B1222" s="2" t="str">
        <f>TRIM(Table1[[#This Row],[Numer_PZ]])</f>
        <v>PZ/801220</v>
      </c>
      <c r="C1222" s="2" t="str">
        <f>TRIM(Table1[[#This Row],[Dostawca]])</f>
        <v>HurtMedix</v>
      </c>
      <c r="D1222" s="3">
        <v>45007</v>
      </c>
      <c r="E1222" s="4" t="s">
        <v>3633</v>
      </c>
      <c r="F1222" s="2" t="str">
        <f>TRIM(Table1[[#This Row],[Status]])</f>
        <v>Zaakceptowana</v>
      </c>
      <c r="G1222" s="2" t="str">
        <f>TRIM(Table1[[#This Row],[Typ]])</f>
        <v>Faktura VAT</v>
      </c>
      <c r="H1222" s="2" t="str">
        <f>TRIM(Table1[[#This Row],[Magazyn]])</f>
        <v>Apteka Szpitalna</v>
      </c>
      <c r="I1222" s="2" t="str">
        <f>TRIM(Table1[[#This Row],[Umowa]])</f>
        <v>UM-HUR-03</v>
      </c>
      <c r="J1222" s="2" t="b">
        <f>ISTEXT(Table14[[#This Row],[Data_Wystawienia]])</f>
        <v>0</v>
      </c>
      <c r="K1222" s="2">
        <f>VALUE(SUBSTITUTE(Table14[[#This Row],[Wartość]],".",","))</f>
        <v>16408.68</v>
      </c>
      <c r="L12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2" s="2" t="str">
        <f>IF(Table14[[#This Row],[Umowa]]="","Poza umową","Z umowy")</f>
        <v>Z umowy</v>
      </c>
      <c r="N1222" s="2">
        <f>YEAR(Table14[[#This Row],[Data_Wystawienia]])</f>
        <v>2023</v>
      </c>
      <c r="O1222" s="2" t="str">
        <f>TEXT(Table14[[#This Row],[Data_Wystawienia]],"rrrr-mm")</f>
        <v>2023-03</v>
      </c>
      <c r="P1222" s="2">
        <v>1</v>
      </c>
    </row>
    <row r="1223" spans="1:16" x14ac:dyDescent="0.3">
      <c r="A1223" s="2" t="str">
        <f>TRIM(Table1[[#This Row],[Numer_FV]])</f>
        <v>FV/1266/NOVA/23</v>
      </c>
      <c r="B1223" s="2" t="str">
        <f>TRIM(Table1[[#This Row],[Numer_PZ]])</f>
        <v>PZ/801221</v>
      </c>
      <c r="C1223" s="2" t="str">
        <f>TRIM(Table1[[#This Row],[Dostawca]])</f>
        <v>NovaLek</v>
      </c>
      <c r="D1223" s="3">
        <v>45007</v>
      </c>
      <c r="E1223" s="4" t="s">
        <v>3636</v>
      </c>
      <c r="F1223" s="2" t="str">
        <f>TRIM(Table1[[#This Row],[Status]])</f>
        <v>Zaakceptowana</v>
      </c>
      <c r="G1223" s="2" t="str">
        <f>TRIM(Table1[[#This Row],[Typ]])</f>
        <v>Faktura VAT</v>
      </c>
      <c r="H1223" s="2" t="str">
        <f>TRIM(Table1[[#This Row],[Magazyn]])</f>
        <v>Apteka Szpitalna</v>
      </c>
      <c r="I1223" s="2" t="str">
        <f>TRIM(Table1[[#This Row],[Umowa]])</f>
        <v>UM-NOV-03</v>
      </c>
      <c r="J1223" s="2" t="b">
        <f>ISTEXT(Table14[[#This Row],[Data_Wystawienia]])</f>
        <v>0</v>
      </c>
      <c r="K1223" s="2">
        <f>VALUE(SUBSTITUTE(Table14[[#This Row],[Wartość]],".",","))</f>
        <v>20681.29</v>
      </c>
      <c r="L12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3" s="2" t="str">
        <f>IF(Table14[[#This Row],[Umowa]]="","Poza umową","Z umowy")</f>
        <v>Z umowy</v>
      </c>
      <c r="N1223" s="2">
        <f>YEAR(Table14[[#This Row],[Data_Wystawienia]])</f>
        <v>2023</v>
      </c>
      <c r="O1223" s="2" t="str">
        <f>TEXT(Table14[[#This Row],[Data_Wystawienia]],"rrrr-mm")</f>
        <v>2023-03</v>
      </c>
      <c r="P1223" s="2">
        <v>1</v>
      </c>
    </row>
    <row r="1224" spans="1:16" x14ac:dyDescent="0.3">
      <c r="A1224" s="2" t="str">
        <f>TRIM(Table1[[#This Row],[Numer_FV]])</f>
        <v>FV/29926/VDb/2023</v>
      </c>
      <c r="B1224" s="2" t="str">
        <f>TRIM(Table1[[#This Row],[Numer_PZ]])</f>
        <v>PZ/801222</v>
      </c>
      <c r="C1224" s="2" t="str">
        <f>TRIM(Table1[[#This Row],[Dostawca]])</f>
        <v>VitaDistrib</v>
      </c>
      <c r="D1224" s="3">
        <v>45007</v>
      </c>
      <c r="E1224" s="4" t="s">
        <v>3639</v>
      </c>
      <c r="F1224" s="2" t="str">
        <f>TRIM(Table1[[#This Row],[Status]])</f>
        <v>Zaakceptowana</v>
      </c>
      <c r="G1224" s="2" t="str">
        <f>TRIM(Table1[[#This Row],[Typ]])</f>
        <v>Faktura VAT</v>
      </c>
      <c r="H1224" s="2" t="str">
        <f>TRIM(Table1[[#This Row],[Magazyn]])</f>
        <v>Apteka Szpitalna</v>
      </c>
      <c r="I1224" s="2" t="str">
        <f>TRIM(Table1[[#This Row],[Umowa]])</f>
        <v>UM-VIT-01</v>
      </c>
      <c r="J1224" s="2" t="b">
        <f>ISTEXT(Table14[[#This Row],[Data_Wystawienia]])</f>
        <v>0</v>
      </c>
      <c r="K1224" s="2">
        <f>VALUE(SUBSTITUTE(Table14[[#This Row],[Wartość]],".",","))</f>
        <v>11942.03</v>
      </c>
      <c r="L12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4" s="2" t="str">
        <f>IF(Table14[[#This Row],[Umowa]]="","Poza umową","Z umowy")</f>
        <v>Z umowy</v>
      </c>
      <c r="N1224" s="2">
        <f>YEAR(Table14[[#This Row],[Data_Wystawienia]])</f>
        <v>2023</v>
      </c>
      <c r="O1224" s="2" t="str">
        <f>TEXT(Table14[[#This Row],[Data_Wystawienia]],"rrrr-mm")</f>
        <v>2023-03</v>
      </c>
      <c r="P1224" s="2">
        <v>1</v>
      </c>
    </row>
    <row r="1225" spans="1:16" x14ac:dyDescent="0.3">
      <c r="A1225" s="2" t="str">
        <f>TRIM(Table1[[#This Row],[Numer_FV]])</f>
        <v>FV/9771/NOVA/23</v>
      </c>
      <c r="B1225" s="2" t="str">
        <f>TRIM(Table1[[#This Row],[Numer_PZ]])</f>
        <v>PZ/801223</v>
      </c>
      <c r="C1225" s="2" t="str">
        <f>TRIM(Table1[[#This Row],[Dostawca]])</f>
        <v>NovaLek</v>
      </c>
      <c r="D1225" s="3">
        <v>45007</v>
      </c>
      <c r="E1225" s="4" t="s">
        <v>3642</v>
      </c>
      <c r="F1225" s="2" t="str">
        <f>TRIM(Table1[[#This Row],[Status]])</f>
        <v>Zaakceptowana</v>
      </c>
      <c r="G1225" s="2" t="str">
        <f>TRIM(Table1[[#This Row],[Typ]])</f>
        <v>Faktura VAT</v>
      </c>
      <c r="H1225" s="2" t="str">
        <f>TRIM(Table1[[#This Row],[Magazyn]])</f>
        <v>Apteka Szpitalna</v>
      </c>
      <c r="I1225" s="2" t="str">
        <f>TRIM(Table1[[#This Row],[Umowa]])</f>
        <v/>
      </c>
      <c r="J1225" s="2" t="b">
        <f>ISTEXT(Table14[[#This Row],[Data_Wystawienia]])</f>
        <v>0</v>
      </c>
      <c r="K1225" s="2">
        <f>VALUE(SUBSTITUTE(Table14[[#This Row],[Wartość]],".",","))</f>
        <v>15944.1</v>
      </c>
      <c r="L12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5" s="2" t="str">
        <f>IF(Table14[[#This Row],[Umowa]]="","Poza umową","Z umowy")</f>
        <v>Poza umową</v>
      </c>
      <c r="N1225" s="2">
        <f>YEAR(Table14[[#This Row],[Data_Wystawienia]])</f>
        <v>2023</v>
      </c>
      <c r="O1225" s="2" t="str">
        <f>TEXT(Table14[[#This Row],[Data_Wystawienia]],"rrrr-mm")</f>
        <v>2023-03</v>
      </c>
      <c r="P1225" s="2">
        <v>1</v>
      </c>
    </row>
    <row r="1226" spans="1:16" x14ac:dyDescent="0.3">
      <c r="A1226" s="2" t="str">
        <f>TRIM(Table1[[#This Row],[Numer_FV]])</f>
        <v>FV/3920/NOVA/23</v>
      </c>
      <c r="B1226" s="2" t="str">
        <f>TRIM(Table1[[#This Row],[Numer_PZ]])</f>
        <v>PZ/801224</v>
      </c>
      <c r="C1226" s="2" t="str">
        <f>TRIM(Table1[[#This Row],[Dostawca]])</f>
        <v>NovaLek</v>
      </c>
      <c r="D1226" s="3">
        <v>45008</v>
      </c>
      <c r="E1226" s="4" t="s">
        <v>3645</v>
      </c>
      <c r="F1226" s="2" t="str">
        <f>TRIM(Table1[[#This Row],[Status]])</f>
        <v>Zaakceptowana</v>
      </c>
      <c r="G1226" s="2" t="str">
        <f>TRIM(Table1[[#This Row],[Typ]])</f>
        <v>Faktura VAT</v>
      </c>
      <c r="H1226" s="2" t="str">
        <f>TRIM(Table1[[#This Row],[Magazyn]])</f>
        <v>Apteka Szpitalna</v>
      </c>
      <c r="I1226" s="2" t="str">
        <f>TRIM(Table1[[#This Row],[Umowa]])</f>
        <v>UM-NOV-02</v>
      </c>
      <c r="J1226" s="2" t="b">
        <f>ISTEXT(Table14[[#This Row],[Data_Wystawienia]])</f>
        <v>0</v>
      </c>
      <c r="K1226" s="2">
        <f>VALUE(SUBSTITUTE(Table14[[#This Row],[Wartość]],".",","))</f>
        <v>6167.49</v>
      </c>
      <c r="L12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6" s="2" t="str">
        <f>IF(Table14[[#This Row],[Umowa]]="","Poza umową","Z umowy")</f>
        <v>Z umowy</v>
      </c>
      <c r="N1226" s="2">
        <f>YEAR(Table14[[#This Row],[Data_Wystawienia]])</f>
        <v>2023</v>
      </c>
      <c r="O1226" s="2" t="str">
        <f>TEXT(Table14[[#This Row],[Data_Wystawienia]],"rrrr-mm")</f>
        <v>2023-03</v>
      </c>
      <c r="P1226" s="2">
        <v>1</v>
      </c>
    </row>
    <row r="1227" spans="1:16" x14ac:dyDescent="0.3">
      <c r="A1227" s="2" t="str">
        <f>TRIM(Table1[[#This Row],[Numer_FV]])</f>
        <v>FV/CENFA/317405/23</v>
      </c>
      <c r="B1227" s="2" t="str">
        <f>TRIM(Table1[[#This Row],[Numer_PZ]])</f>
        <v>PZ/801225</v>
      </c>
      <c r="C1227" s="2" t="str">
        <f>TRIM(Table1[[#This Row],[Dostawca]])</f>
        <v>CentrumFarm</v>
      </c>
      <c r="D1227" s="3">
        <v>45009</v>
      </c>
      <c r="E1227" s="4" t="s">
        <v>3648</v>
      </c>
      <c r="F1227" s="2" t="str">
        <f>TRIM(Table1[[#This Row],[Status]])</f>
        <v>Zaakceptowana</v>
      </c>
      <c r="G1227" s="2" t="str">
        <f>TRIM(Table1[[#This Row],[Typ]])</f>
        <v>Faktura VAT</v>
      </c>
      <c r="H1227" s="2" t="str">
        <f>TRIM(Table1[[#This Row],[Magazyn]])</f>
        <v>Apteka Szpitalna</v>
      </c>
      <c r="I1227" s="2" t="str">
        <f>TRIM(Table1[[#This Row],[Umowa]])</f>
        <v>UM-CEN-02</v>
      </c>
      <c r="J1227" s="2" t="b">
        <f>ISTEXT(Table14[[#This Row],[Data_Wystawienia]])</f>
        <v>0</v>
      </c>
      <c r="K1227" s="2">
        <f>VALUE(SUBSTITUTE(Table14[[#This Row],[Wartość]],".",","))</f>
        <v>10214.08</v>
      </c>
      <c r="L12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7" s="2" t="str">
        <f>IF(Table14[[#This Row],[Umowa]]="","Poza umową","Z umowy")</f>
        <v>Z umowy</v>
      </c>
      <c r="N1227" s="2">
        <f>YEAR(Table14[[#This Row],[Data_Wystawienia]])</f>
        <v>2023</v>
      </c>
      <c r="O1227" s="2" t="str">
        <f>TEXT(Table14[[#This Row],[Data_Wystawienia]],"rrrr-mm")</f>
        <v>2023-03</v>
      </c>
      <c r="P1227" s="2">
        <v>1</v>
      </c>
    </row>
    <row r="1228" spans="1:16" x14ac:dyDescent="0.3">
      <c r="A1228" s="2" t="str">
        <f>TRIM(Table1[[#This Row],[Numer_FV]])</f>
        <v>FV/54/SAL/23</v>
      </c>
      <c r="B1228" s="2" t="str">
        <f>TRIM(Table1[[#This Row],[Numer_PZ]])</f>
        <v>PZ/801226</v>
      </c>
      <c r="C1228" s="2" t="str">
        <f>TRIM(Table1[[#This Row],[Dostawca]])</f>
        <v>SalusHurt</v>
      </c>
      <c r="D1228" s="3">
        <v>45009</v>
      </c>
      <c r="E1228" s="4" t="s">
        <v>3650</v>
      </c>
      <c r="F1228" s="2" t="str">
        <f>TRIM(Table1[[#This Row],[Status]])</f>
        <v>Zaakceptowana</v>
      </c>
      <c r="G1228" s="2" t="str">
        <f>TRIM(Table1[[#This Row],[Typ]])</f>
        <v>Faktura VAT</v>
      </c>
      <c r="H1228" s="2" t="str">
        <f>TRIM(Table1[[#This Row],[Magazyn]])</f>
        <v>Apteka Szpitalna</v>
      </c>
      <c r="I1228" s="2" t="str">
        <f>TRIM(Table1[[#This Row],[Umowa]])</f>
        <v>UM-SAL-01</v>
      </c>
      <c r="J1228" s="2" t="b">
        <f>ISTEXT(Table14[[#This Row],[Data_Wystawienia]])</f>
        <v>0</v>
      </c>
      <c r="K1228" s="2">
        <f>VALUE(SUBSTITUTE(Table14[[#This Row],[Wartość]],".",","))</f>
        <v>15255.08</v>
      </c>
      <c r="L12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8" s="2" t="str">
        <f>IF(Table14[[#This Row],[Umowa]]="","Poza umową","Z umowy")</f>
        <v>Z umowy</v>
      </c>
      <c r="N1228" s="2">
        <f>YEAR(Table14[[#This Row],[Data_Wystawienia]])</f>
        <v>2023</v>
      </c>
      <c r="O1228" s="2" t="str">
        <f>TEXT(Table14[[#This Row],[Data_Wystawienia]],"rrrr-mm")</f>
        <v>2023-03</v>
      </c>
      <c r="P1228" s="2">
        <v>1</v>
      </c>
    </row>
    <row r="1229" spans="1:16" x14ac:dyDescent="0.3">
      <c r="A1229" s="2" t="str">
        <f>TRIM(Table1[[#This Row],[Numer_FV]])</f>
        <v>FV/1122HM/23</v>
      </c>
      <c r="B1229" s="2" t="str">
        <f>TRIM(Table1[[#This Row],[Numer_PZ]])</f>
        <v>PZ/801227</v>
      </c>
      <c r="C1229" s="2" t="str">
        <f>TRIM(Table1[[#This Row],[Dostawca]])</f>
        <v>HurtMedix</v>
      </c>
      <c r="D1229" s="3">
        <v>45009</v>
      </c>
      <c r="E1229" s="4" t="s">
        <v>3653</v>
      </c>
      <c r="F1229" s="2" t="str">
        <f>TRIM(Table1[[#This Row],[Status]])</f>
        <v>Zaakceptowana</v>
      </c>
      <c r="G1229" s="2" t="str">
        <f>TRIM(Table1[[#This Row],[Typ]])</f>
        <v>Faktura VAT</v>
      </c>
      <c r="H1229" s="2" t="str">
        <f>TRIM(Table1[[#This Row],[Magazyn]])</f>
        <v>Apteka Szpitalna</v>
      </c>
      <c r="I1229" s="2" t="str">
        <f>TRIM(Table1[[#This Row],[Umowa]])</f>
        <v>UM-HUR-03</v>
      </c>
      <c r="J1229" s="2" t="b">
        <f>ISTEXT(Table14[[#This Row],[Data_Wystawienia]])</f>
        <v>0</v>
      </c>
      <c r="K1229" s="2">
        <f>VALUE(SUBSTITUTE(Table14[[#This Row],[Wartość]],".",","))</f>
        <v>16852.88</v>
      </c>
      <c r="L12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29" s="2" t="str">
        <f>IF(Table14[[#This Row],[Umowa]]="","Poza umową","Z umowy")</f>
        <v>Z umowy</v>
      </c>
      <c r="N1229" s="2">
        <f>YEAR(Table14[[#This Row],[Data_Wystawienia]])</f>
        <v>2023</v>
      </c>
      <c r="O1229" s="2" t="str">
        <f>TEXT(Table14[[#This Row],[Data_Wystawienia]],"rrrr-mm")</f>
        <v>2023-03</v>
      </c>
      <c r="P1229" s="2">
        <v>1</v>
      </c>
    </row>
    <row r="1230" spans="1:16" x14ac:dyDescent="0.3">
      <c r="A1230" s="2" t="str">
        <f>TRIM(Table1[[#This Row],[Numer_FV]])</f>
        <v>FV/4025/NOVA/23</v>
      </c>
      <c r="B1230" s="2" t="str">
        <f>TRIM(Table1[[#This Row],[Numer_PZ]])</f>
        <v>PZ/801228</v>
      </c>
      <c r="C1230" s="2" t="str">
        <f>TRIM(Table1[[#This Row],[Dostawca]])</f>
        <v>NovaLek</v>
      </c>
      <c r="D1230" s="3">
        <v>45009</v>
      </c>
      <c r="E1230" s="4" t="s">
        <v>3656</v>
      </c>
      <c r="F1230" s="2" t="str">
        <f>TRIM(Table1[[#This Row],[Status]])</f>
        <v>Zaakceptowana</v>
      </c>
      <c r="G1230" s="2" t="str">
        <f>TRIM(Table1[[#This Row],[Typ]])</f>
        <v>Faktura VAT</v>
      </c>
      <c r="H1230" s="2" t="str">
        <f>TRIM(Table1[[#This Row],[Magazyn]])</f>
        <v>Apteka Szpitalna</v>
      </c>
      <c r="I1230" s="2" t="str">
        <f>TRIM(Table1[[#This Row],[Umowa]])</f>
        <v>UM-NOV-02</v>
      </c>
      <c r="J1230" s="2" t="b">
        <f>ISTEXT(Table14[[#This Row],[Data_Wystawienia]])</f>
        <v>0</v>
      </c>
      <c r="K1230" s="2">
        <f>VALUE(SUBSTITUTE(Table14[[#This Row],[Wartość]],".",","))</f>
        <v>1120.9000000000001</v>
      </c>
      <c r="L12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0" s="2" t="str">
        <f>IF(Table14[[#This Row],[Umowa]]="","Poza umową","Z umowy")</f>
        <v>Z umowy</v>
      </c>
      <c r="N1230" s="2">
        <f>YEAR(Table14[[#This Row],[Data_Wystawienia]])</f>
        <v>2023</v>
      </c>
      <c r="O1230" s="2" t="str">
        <f>TEXT(Table14[[#This Row],[Data_Wystawienia]],"rrrr-mm")</f>
        <v>2023-03</v>
      </c>
      <c r="P1230" s="2">
        <v>1</v>
      </c>
    </row>
    <row r="1231" spans="1:16" x14ac:dyDescent="0.3">
      <c r="A1231" s="2" t="str">
        <f>TRIM(Table1[[#This Row],[Numer_FV]])</f>
        <v>FV/CENFA/398081/23</v>
      </c>
      <c r="B1231" s="2" t="str">
        <f>TRIM(Table1[[#This Row],[Numer_PZ]])</f>
        <v>PZ/801229</v>
      </c>
      <c r="C1231" s="2" t="str">
        <f>TRIM(Table1[[#This Row],[Dostawca]])</f>
        <v>CentrumFarm</v>
      </c>
      <c r="D1231" s="3">
        <v>45009</v>
      </c>
      <c r="E1231" s="4" t="s">
        <v>3659</v>
      </c>
      <c r="F1231" s="2" t="str">
        <f>TRIM(Table1[[#This Row],[Status]])</f>
        <v>Zaakceptowana</v>
      </c>
      <c r="G1231" s="2" t="str">
        <f>TRIM(Table1[[#This Row],[Typ]])</f>
        <v>Faktura VAT</v>
      </c>
      <c r="H1231" s="2" t="str">
        <f>TRIM(Table1[[#This Row],[Magazyn]])</f>
        <v>Apteka Szpitalna</v>
      </c>
      <c r="I1231" s="2" t="str">
        <f>TRIM(Table1[[#This Row],[Umowa]])</f>
        <v>UM-CEN-01</v>
      </c>
      <c r="J1231" s="2" t="b">
        <f>ISTEXT(Table14[[#This Row],[Data_Wystawienia]])</f>
        <v>0</v>
      </c>
      <c r="K1231" s="2">
        <f>VALUE(SUBSTITUTE(Table14[[#This Row],[Wartość]],".",","))</f>
        <v>20707.88</v>
      </c>
      <c r="L12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1" s="2" t="str">
        <f>IF(Table14[[#This Row],[Umowa]]="","Poza umową","Z umowy")</f>
        <v>Z umowy</v>
      </c>
      <c r="N1231" s="2">
        <f>YEAR(Table14[[#This Row],[Data_Wystawienia]])</f>
        <v>2023</v>
      </c>
      <c r="O1231" s="2" t="str">
        <f>TEXT(Table14[[#This Row],[Data_Wystawienia]],"rrrr-mm")</f>
        <v>2023-03</v>
      </c>
      <c r="P1231" s="2">
        <v>1</v>
      </c>
    </row>
    <row r="1232" spans="1:16" x14ac:dyDescent="0.3">
      <c r="A1232" s="2" t="str">
        <f>TRIM(Table1[[#This Row],[Numer_FV]])</f>
        <v>FV/83/PP/2360/23</v>
      </c>
      <c r="B1232" s="2" t="str">
        <f>TRIM(Table1[[#This Row],[Numer_PZ]])</f>
        <v>PZ/801230</v>
      </c>
      <c r="C1232" s="2" t="str">
        <f>TRIM(Table1[[#This Row],[Dostawca]])</f>
        <v>PharmaPlus</v>
      </c>
      <c r="D1232" s="3">
        <v>45010</v>
      </c>
      <c r="E1232" s="4" t="s">
        <v>3662</v>
      </c>
      <c r="F1232" s="2" t="str">
        <f>TRIM(Table1[[#This Row],[Status]])</f>
        <v>Zaakceptowana</v>
      </c>
      <c r="G1232" s="2" t="str">
        <f>TRIM(Table1[[#This Row],[Typ]])</f>
        <v>Faktura VAT</v>
      </c>
      <c r="H1232" s="2" t="str">
        <f>TRIM(Table1[[#This Row],[Magazyn]])</f>
        <v>Apteka Szpitalna</v>
      </c>
      <c r="I1232" s="2" t="str">
        <f>TRIM(Table1[[#This Row],[Umowa]])</f>
        <v>UM-PHA-01</v>
      </c>
      <c r="J1232" s="2" t="b">
        <f>ISTEXT(Table14[[#This Row],[Data_Wystawienia]])</f>
        <v>0</v>
      </c>
      <c r="K1232" s="2">
        <f>VALUE(SUBSTITUTE(Table14[[#This Row],[Wartość]],".",","))</f>
        <v>13784.95</v>
      </c>
      <c r="L12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2" s="2" t="str">
        <f>IF(Table14[[#This Row],[Umowa]]="","Poza umową","Z umowy")</f>
        <v>Z umowy</v>
      </c>
      <c r="N1232" s="2">
        <f>YEAR(Table14[[#This Row],[Data_Wystawienia]])</f>
        <v>2023</v>
      </c>
      <c r="O1232" s="2" t="str">
        <f>TEXT(Table14[[#This Row],[Data_Wystawienia]],"rrrr-mm")</f>
        <v>2023-03</v>
      </c>
      <c r="P1232" s="2">
        <v>1</v>
      </c>
    </row>
    <row r="1233" spans="1:16" x14ac:dyDescent="0.3">
      <c r="A1233" s="2" t="str">
        <f>TRIM(Table1[[#This Row],[Numer_FV]])</f>
        <v>FV/50/SAL/23</v>
      </c>
      <c r="B1233" s="2" t="str">
        <f>TRIM(Table1[[#This Row],[Numer_PZ]])</f>
        <v>PZ/801231</v>
      </c>
      <c r="C1233" s="2" t="str">
        <f>TRIM(Table1[[#This Row],[Dostawca]])</f>
        <v>SalusHurt</v>
      </c>
      <c r="D1233" s="3">
        <v>45010</v>
      </c>
      <c r="E1233" s="4" t="s">
        <v>3665</v>
      </c>
      <c r="F1233" s="2" t="str">
        <f>TRIM(Table1[[#This Row],[Status]])</f>
        <v>Zaakceptowana</v>
      </c>
      <c r="G1233" s="2" t="str">
        <f>TRIM(Table1[[#This Row],[Typ]])</f>
        <v>Faktura VAT</v>
      </c>
      <c r="H1233" s="2" t="str">
        <f>TRIM(Table1[[#This Row],[Magazyn]])</f>
        <v>Apteka Szpitalna</v>
      </c>
      <c r="I1233" s="2" t="str">
        <f>TRIM(Table1[[#This Row],[Umowa]])</f>
        <v>UM-SAL-02</v>
      </c>
      <c r="J1233" s="2" t="b">
        <f>ISTEXT(Table14[[#This Row],[Data_Wystawienia]])</f>
        <v>0</v>
      </c>
      <c r="K1233" s="2">
        <f>VALUE(SUBSTITUTE(Table14[[#This Row],[Wartość]],".",","))</f>
        <v>13659.16</v>
      </c>
      <c r="L12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3" s="2" t="str">
        <f>IF(Table14[[#This Row],[Umowa]]="","Poza umową","Z umowy")</f>
        <v>Z umowy</v>
      </c>
      <c r="N1233" s="2">
        <f>YEAR(Table14[[#This Row],[Data_Wystawienia]])</f>
        <v>2023</v>
      </c>
      <c r="O1233" s="2" t="str">
        <f>TEXT(Table14[[#This Row],[Data_Wystawienia]],"rrrr-mm")</f>
        <v>2023-03</v>
      </c>
      <c r="P1233" s="2">
        <v>1</v>
      </c>
    </row>
    <row r="1234" spans="1:16" x14ac:dyDescent="0.3">
      <c r="A1234" s="2" t="str">
        <f>TRIM(Table1[[#This Row],[Numer_FV]])</f>
        <v>FV/5704HM/23</v>
      </c>
      <c r="B1234" s="2" t="str">
        <f>TRIM(Table1[[#This Row],[Numer_PZ]])</f>
        <v>PZ/801232</v>
      </c>
      <c r="C1234" s="2" t="str">
        <f>TRIM(Table1[[#This Row],[Dostawca]])</f>
        <v>HurtMedix</v>
      </c>
      <c r="D1234" s="3">
        <v>45011</v>
      </c>
      <c r="E1234" s="4" t="s">
        <v>3668</v>
      </c>
      <c r="F1234" s="2" t="str">
        <f>TRIM(Table1[[#This Row],[Status]])</f>
        <v>Zaakceptowana</v>
      </c>
      <c r="G1234" s="2" t="str">
        <f>TRIM(Table1[[#This Row],[Typ]])</f>
        <v>Faktura VAT</v>
      </c>
      <c r="H1234" s="2" t="str">
        <f>TRIM(Table1[[#This Row],[Magazyn]])</f>
        <v>Apteka Szpitalna</v>
      </c>
      <c r="I1234" s="2" t="str">
        <f>TRIM(Table1[[#This Row],[Umowa]])</f>
        <v>UM-HUR-01</v>
      </c>
      <c r="J1234" s="2" t="b">
        <f>ISTEXT(Table14[[#This Row],[Data_Wystawienia]])</f>
        <v>0</v>
      </c>
      <c r="K1234" s="2">
        <f>VALUE(SUBSTITUTE(Table14[[#This Row],[Wartość]],".",","))</f>
        <v>12893.71</v>
      </c>
      <c r="L12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4" s="2" t="str">
        <f>IF(Table14[[#This Row],[Umowa]]="","Poza umową","Z umowy")</f>
        <v>Z umowy</v>
      </c>
      <c r="N1234" s="2">
        <f>YEAR(Table14[[#This Row],[Data_Wystawienia]])</f>
        <v>2023</v>
      </c>
      <c r="O1234" s="2" t="str">
        <f>TEXT(Table14[[#This Row],[Data_Wystawienia]],"rrrr-mm")</f>
        <v>2023-03</v>
      </c>
      <c r="P1234" s="2">
        <v>1</v>
      </c>
    </row>
    <row r="1235" spans="1:16" x14ac:dyDescent="0.3">
      <c r="A1235" s="2" t="str">
        <f>TRIM(Table1[[#This Row],[Numer_FV]])</f>
        <v>FV/POL/58201/2023</v>
      </c>
      <c r="B1235" s="2" t="str">
        <f>TRIM(Table1[[#This Row],[Numer_PZ]])</f>
        <v>PZ/801233</v>
      </c>
      <c r="C1235" s="2" t="str">
        <f>TRIM(Table1[[#This Row],[Dostawca]])</f>
        <v>Polmedica</v>
      </c>
      <c r="D1235" s="3">
        <v>45011</v>
      </c>
      <c r="E1235" s="4" t="s">
        <v>3671</v>
      </c>
      <c r="F1235" s="2" t="str">
        <f>TRIM(Table1[[#This Row],[Status]])</f>
        <v>Zaakceptowana</v>
      </c>
      <c r="G1235" s="2" t="str">
        <f>TRIM(Table1[[#This Row],[Typ]])</f>
        <v>Faktura VAT</v>
      </c>
      <c r="H1235" s="2" t="str">
        <f>TRIM(Table1[[#This Row],[Magazyn]])</f>
        <v>Apteka Szpitalna</v>
      </c>
      <c r="I1235" s="2" t="str">
        <f>TRIM(Table1[[#This Row],[Umowa]])</f>
        <v>UM-POL-01</v>
      </c>
      <c r="J1235" s="2" t="b">
        <f>ISTEXT(Table14[[#This Row],[Data_Wystawienia]])</f>
        <v>0</v>
      </c>
      <c r="K1235" s="2">
        <f>VALUE(SUBSTITUTE(Table14[[#This Row],[Wartość]],".",","))</f>
        <v>15570.05</v>
      </c>
      <c r="L12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5" s="2" t="str">
        <f>IF(Table14[[#This Row],[Umowa]]="","Poza umową","Z umowy")</f>
        <v>Z umowy</v>
      </c>
      <c r="N1235" s="2">
        <f>YEAR(Table14[[#This Row],[Data_Wystawienia]])</f>
        <v>2023</v>
      </c>
      <c r="O1235" s="2" t="str">
        <f>TEXT(Table14[[#This Row],[Data_Wystawienia]],"rrrr-mm")</f>
        <v>2023-03</v>
      </c>
      <c r="P1235" s="2">
        <v>1</v>
      </c>
    </row>
    <row r="1236" spans="1:16" x14ac:dyDescent="0.3">
      <c r="A1236" s="2" t="str">
        <f>TRIM(Table1[[#This Row],[Numer_FV]])</f>
        <v>FV/M/5665/P/23</v>
      </c>
      <c r="B1236" s="2" t="str">
        <f>TRIM(Table1[[#This Row],[Numer_PZ]])</f>
        <v>PZ/801234</v>
      </c>
      <c r="C1236" s="2" t="str">
        <f>TRIM(Table1[[#This Row],[Dostawca]])</f>
        <v>MedicaPharm</v>
      </c>
      <c r="D1236" s="3">
        <v>45011</v>
      </c>
      <c r="E1236" s="4" t="s">
        <v>3674</v>
      </c>
      <c r="F1236" s="2" t="str">
        <f>TRIM(Table1[[#This Row],[Status]])</f>
        <v>Zaakceptowana</v>
      </c>
      <c r="G1236" s="2" t="str">
        <f>TRIM(Table1[[#This Row],[Typ]])</f>
        <v>Faktura VAT</v>
      </c>
      <c r="H1236" s="2" t="str">
        <f>TRIM(Table1[[#This Row],[Magazyn]])</f>
        <v>Apteka Szpitalna</v>
      </c>
      <c r="I1236" s="2" t="str">
        <f>TRIM(Table1[[#This Row],[Umowa]])</f>
        <v>UM-MED-01</v>
      </c>
      <c r="J1236" s="2" t="b">
        <f>ISTEXT(Table14[[#This Row],[Data_Wystawienia]])</f>
        <v>0</v>
      </c>
      <c r="K1236" s="2">
        <f>VALUE(SUBSTITUTE(Table14[[#This Row],[Wartość]],".",","))</f>
        <v>14601.36</v>
      </c>
      <c r="L12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6" s="2" t="str">
        <f>IF(Table14[[#This Row],[Umowa]]="","Poza umową","Z umowy")</f>
        <v>Z umowy</v>
      </c>
      <c r="N1236" s="2">
        <f>YEAR(Table14[[#This Row],[Data_Wystawienia]])</f>
        <v>2023</v>
      </c>
      <c r="O1236" s="2" t="str">
        <f>TEXT(Table14[[#This Row],[Data_Wystawienia]],"rrrr-mm")</f>
        <v>2023-03</v>
      </c>
      <c r="P1236" s="2">
        <v>1</v>
      </c>
    </row>
    <row r="1237" spans="1:16" x14ac:dyDescent="0.3">
      <c r="A1237" s="2" t="str">
        <f>TRIM(Table1[[#This Row],[Numer_FV]])</f>
        <v>FV/CENFA/597865/23</v>
      </c>
      <c r="B1237" s="2" t="str">
        <f>TRIM(Table1[[#This Row],[Numer_PZ]])</f>
        <v>PZ/801235</v>
      </c>
      <c r="C1237" s="2" t="str">
        <f>TRIM(Table1[[#This Row],[Dostawca]])</f>
        <v>CentrumFarm</v>
      </c>
      <c r="D1237" s="3">
        <v>45011</v>
      </c>
      <c r="E1237" s="4" t="s">
        <v>3677</v>
      </c>
      <c r="F1237" s="2" t="str">
        <f>TRIM(Table1[[#This Row],[Status]])</f>
        <v>Zaakceptowana</v>
      </c>
      <c r="G1237" s="2" t="str">
        <f>TRIM(Table1[[#This Row],[Typ]])</f>
        <v>Faktura VAT</v>
      </c>
      <c r="H1237" s="2" t="str">
        <f>TRIM(Table1[[#This Row],[Magazyn]])</f>
        <v>Apteka Szpitalna</v>
      </c>
      <c r="I1237" s="2" t="str">
        <f>TRIM(Table1[[#This Row],[Umowa]])</f>
        <v>UM-CEN-01</v>
      </c>
      <c r="J1237" s="2" t="b">
        <f>ISTEXT(Table14[[#This Row],[Data_Wystawienia]])</f>
        <v>0</v>
      </c>
      <c r="K1237" s="2">
        <f>VALUE(SUBSTITUTE(Table14[[#This Row],[Wartość]],".",","))</f>
        <v>9833.2099999999991</v>
      </c>
      <c r="L12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7" s="2" t="str">
        <f>IF(Table14[[#This Row],[Umowa]]="","Poza umową","Z umowy")</f>
        <v>Z umowy</v>
      </c>
      <c r="N1237" s="2">
        <f>YEAR(Table14[[#This Row],[Data_Wystawienia]])</f>
        <v>2023</v>
      </c>
      <c r="O1237" s="2" t="str">
        <f>TEXT(Table14[[#This Row],[Data_Wystawienia]],"rrrr-mm")</f>
        <v>2023-03</v>
      </c>
      <c r="P1237" s="2">
        <v>1</v>
      </c>
    </row>
    <row r="1238" spans="1:16" x14ac:dyDescent="0.3">
      <c r="A1238" s="2" t="str">
        <f>TRIM(Table1[[#This Row],[Numer_FV]])</f>
        <v>FV/7047/NOVA/23</v>
      </c>
      <c r="B1238" s="2" t="str">
        <f>TRIM(Table1[[#This Row],[Numer_PZ]])</f>
        <v>PZ/801236</v>
      </c>
      <c r="C1238" s="2" t="str">
        <f>TRIM(Table1[[#This Row],[Dostawca]])</f>
        <v>NovaLek</v>
      </c>
      <c r="D1238" s="3">
        <v>45012</v>
      </c>
      <c r="E1238" s="4" t="s">
        <v>3680</v>
      </c>
      <c r="F1238" s="2" t="str">
        <f>TRIM(Table1[[#This Row],[Status]])</f>
        <v>Zaakceptowana</v>
      </c>
      <c r="G1238" s="2" t="str">
        <f>TRIM(Table1[[#This Row],[Typ]])</f>
        <v>Korekta FV</v>
      </c>
      <c r="H1238" s="2" t="str">
        <f>TRIM(Table1[[#This Row],[Magazyn]])</f>
        <v>Apteka Szpitalna</v>
      </c>
      <c r="I1238" s="2" t="str">
        <f>TRIM(Table1[[#This Row],[Umowa]])</f>
        <v>UM-NOV-01</v>
      </c>
      <c r="J1238" s="2" t="b">
        <f>ISTEXT(Table14[[#This Row],[Data_Wystawienia]])</f>
        <v>0</v>
      </c>
      <c r="K1238" s="2">
        <f>VALUE(SUBSTITUTE(Table14[[#This Row],[Wartość]],".",","))</f>
        <v>-1849.34</v>
      </c>
      <c r="L12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8" s="2" t="str">
        <f>IF(Table14[[#This Row],[Umowa]]="","Poza umową","Z umowy")</f>
        <v>Z umowy</v>
      </c>
      <c r="N1238" s="2">
        <f>YEAR(Table14[[#This Row],[Data_Wystawienia]])</f>
        <v>2023</v>
      </c>
      <c r="O1238" s="2" t="str">
        <f>TEXT(Table14[[#This Row],[Data_Wystawienia]],"rrrr-mm")</f>
        <v>2023-03</v>
      </c>
      <c r="P1238" s="2">
        <v>1</v>
      </c>
    </row>
    <row r="1239" spans="1:16" x14ac:dyDescent="0.3">
      <c r="A1239" s="2" t="str">
        <f>TRIM(Table1[[#This Row],[Numer_FV]])</f>
        <v>FV/M/8470/P/23</v>
      </c>
      <c r="B1239" s="2" t="str">
        <f>TRIM(Table1[[#This Row],[Numer_PZ]])</f>
        <v>PZ/801237</v>
      </c>
      <c r="C1239" s="2" t="str">
        <f>TRIM(Table1[[#This Row],[Dostawca]])</f>
        <v>MedicaPharm</v>
      </c>
      <c r="D1239" s="3">
        <v>45012</v>
      </c>
      <c r="E1239" s="4" t="s">
        <v>3683</v>
      </c>
      <c r="F1239" s="2" t="str">
        <f>TRIM(Table1[[#This Row],[Status]])</f>
        <v>Zaakceptowana</v>
      </c>
      <c r="G1239" s="2" t="str">
        <f>TRIM(Table1[[#This Row],[Typ]])</f>
        <v>Faktura VAT</v>
      </c>
      <c r="H1239" s="2" t="str">
        <f>TRIM(Table1[[#This Row],[Magazyn]])</f>
        <v>Apteka Szpitalna</v>
      </c>
      <c r="I1239" s="2" t="str">
        <f>TRIM(Table1[[#This Row],[Umowa]])</f>
        <v/>
      </c>
      <c r="J1239" s="2" t="b">
        <f>ISTEXT(Table14[[#This Row],[Data_Wystawienia]])</f>
        <v>0</v>
      </c>
      <c r="K1239" s="2">
        <f>VALUE(SUBSTITUTE(Table14[[#This Row],[Wartość]],".",","))</f>
        <v>15884.2</v>
      </c>
      <c r="L12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39" s="2" t="str">
        <f>IF(Table14[[#This Row],[Umowa]]="","Poza umową","Z umowy")</f>
        <v>Poza umową</v>
      </c>
      <c r="N1239" s="2">
        <f>YEAR(Table14[[#This Row],[Data_Wystawienia]])</f>
        <v>2023</v>
      </c>
      <c r="O1239" s="2" t="str">
        <f>TEXT(Table14[[#This Row],[Data_Wystawienia]],"rrrr-mm")</f>
        <v>2023-03</v>
      </c>
      <c r="P1239" s="2">
        <v>1</v>
      </c>
    </row>
    <row r="1240" spans="1:16" x14ac:dyDescent="0.3">
      <c r="A1240" s="2" t="str">
        <f>TRIM(Table1[[#This Row],[Numer_FV]])</f>
        <v>FV/M/4810/P/23</v>
      </c>
      <c r="B1240" s="2" t="str">
        <f>TRIM(Table1[[#This Row],[Numer_PZ]])</f>
        <v>PZ/801238</v>
      </c>
      <c r="C1240" s="2" t="str">
        <f>TRIM(Table1[[#This Row],[Dostawca]])</f>
        <v>MedicaPharm</v>
      </c>
      <c r="D1240" s="3">
        <v>45013</v>
      </c>
      <c r="E1240" s="4" t="s">
        <v>3686</v>
      </c>
      <c r="F1240" s="2" t="str">
        <f>TRIM(Table1[[#This Row],[Status]])</f>
        <v>Zaakceptowana</v>
      </c>
      <c r="G1240" s="2" t="str">
        <f>TRIM(Table1[[#This Row],[Typ]])</f>
        <v>Faktura VAT</v>
      </c>
      <c r="H1240" s="2" t="str">
        <f>TRIM(Table1[[#This Row],[Magazyn]])</f>
        <v>Apteka Szpitalna</v>
      </c>
      <c r="I1240" s="2" t="str">
        <f>TRIM(Table1[[#This Row],[Umowa]])</f>
        <v>UM-MED-02</v>
      </c>
      <c r="J1240" s="2" t="b">
        <f>ISTEXT(Table14[[#This Row],[Data_Wystawienia]])</f>
        <v>0</v>
      </c>
      <c r="K1240" s="2">
        <f>VALUE(SUBSTITUTE(Table14[[#This Row],[Wartość]],".",","))</f>
        <v>12054.58</v>
      </c>
      <c r="L12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0" s="2" t="str">
        <f>IF(Table14[[#This Row],[Umowa]]="","Poza umową","Z umowy")</f>
        <v>Z umowy</v>
      </c>
      <c r="N1240" s="2">
        <f>YEAR(Table14[[#This Row],[Data_Wystawienia]])</f>
        <v>2023</v>
      </c>
      <c r="O1240" s="2" t="str">
        <f>TEXT(Table14[[#This Row],[Data_Wystawienia]],"rrrr-mm")</f>
        <v>2023-03</v>
      </c>
      <c r="P1240" s="2">
        <v>1</v>
      </c>
    </row>
    <row r="1241" spans="1:16" x14ac:dyDescent="0.3">
      <c r="A1241" s="2" t="str">
        <f>TRIM(Table1[[#This Row],[Numer_FV]])</f>
        <v>FV/M/1437/P/23</v>
      </c>
      <c r="B1241" s="2" t="str">
        <f>TRIM(Table1[[#This Row],[Numer_PZ]])</f>
        <v>PZ/801239</v>
      </c>
      <c r="C1241" s="2" t="str">
        <f>TRIM(Table1[[#This Row],[Dostawca]])</f>
        <v>MedicaPharm</v>
      </c>
      <c r="D1241" s="3">
        <v>45013</v>
      </c>
      <c r="E1241" s="4" t="s">
        <v>3689</v>
      </c>
      <c r="F1241" s="2" t="str">
        <f>TRIM(Table1[[#This Row],[Status]])</f>
        <v>Zaakceptowana</v>
      </c>
      <c r="G1241" s="2" t="str">
        <f>TRIM(Table1[[#This Row],[Typ]])</f>
        <v>Faktura VAT</v>
      </c>
      <c r="H1241" s="2" t="str">
        <f>TRIM(Table1[[#This Row],[Magazyn]])</f>
        <v>Apteka Szpitalna</v>
      </c>
      <c r="I1241" s="2" t="str">
        <f>TRIM(Table1[[#This Row],[Umowa]])</f>
        <v/>
      </c>
      <c r="J1241" s="2" t="b">
        <f>ISTEXT(Table14[[#This Row],[Data_Wystawienia]])</f>
        <v>0</v>
      </c>
      <c r="K1241" s="2">
        <f>VALUE(SUBSTITUTE(Table14[[#This Row],[Wartość]],".",","))</f>
        <v>10043.129999999999</v>
      </c>
      <c r="L12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1" s="2" t="str">
        <f>IF(Table14[[#This Row],[Umowa]]="","Poza umową","Z umowy")</f>
        <v>Poza umową</v>
      </c>
      <c r="N1241" s="2">
        <f>YEAR(Table14[[#This Row],[Data_Wystawienia]])</f>
        <v>2023</v>
      </c>
      <c r="O1241" s="2" t="str">
        <f>TEXT(Table14[[#This Row],[Data_Wystawienia]],"rrrr-mm")</f>
        <v>2023-03</v>
      </c>
      <c r="P1241" s="2">
        <v>1</v>
      </c>
    </row>
    <row r="1242" spans="1:16" x14ac:dyDescent="0.3">
      <c r="A1242" s="2" t="str">
        <f>TRIM(Table1[[#This Row],[Numer_FV]])</f>
        <v>FV/4608/NOVA/23</v>
      </c>
      <c r="B1242" s="2" t="str">
        <f>TRIM(Table1[[#This Row],[Numer_PZ]])</f>
        <v>PZ/801240</v>
      </c>
      <c r="C1242" s="2" t="str">
        <f>TRIM(Table1[[#This Row],[Dostawca]])</f>
        <v>NovaLek</v>
      </c>
      <c r="D1242" s="3">
        <v>45014</v>
      </c>
      <c r="E1242" s="4" t="s">
        <v>3692</v>
      </c>
      <c r="F1242" s="2" t="str">
        <f>TRIM(Table1[[#This Row],[Status]])</f>
        <v>Zaakceptowana</v>
      </c>
      <c r="G1242" s="2" t="str">
        <f>TRIM(Table1[[#This Row],[Typ]])</f>
        <v>Faktura VAT</v>
      </c>
      <c r="H1242" s="2" t="str">
        <f>TRIM(Table1[[#This Row],[Magazyn]])</f>
        <v>Apteka Szpitalna</v>
      </c>
      <c r="I1242" s="2" t="str">
        <f>TRIM(Table1[[#This Row],[Umowa]])</f>
        <v>UM-NOV-01</v>
      </c>
      <c r="J1242" s="2" t="b">
        <f>ISTEXT(Table14[[#This Row],[Data_Wystawienia]])</f>
        <v>0</v>
      </c>
      <c r="K1242" s="2">
        <f>VALUE(SUBSTITUTE(Table14[[#This Row],[Wartość]],".",","))</f>
        <v>23824.7</v>
      </c>
      <c r="L12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2" s="2" t="str">
        <f>IF(Table14[[#This Row],[Umowa]]="","Poza umową","Z umowy")</f>
        <v>Z umowy</v>
      </c>
      <c r="N1242" s="2">
        <f>YEAR(Table14[[#This Row],[Data_Wystawienia]])</f>
        <v>2023</v>
      </c>
      <c r="O1242" s="2" t="str">
        <f>TEXT(Table14[[#This Row],[Data_Wystawienia]],"rrrr-mm")</f>
        <v>2023-03</v>
      </c>
      <c r="P1242" s="2">
        <v>1</v>
      </c>
    </row>
    <row r="1243" spans="1:16" x14ac:dyDescent="0.3">
      <c r="A1243" s="2" t="str">
        <f>TRIM(Table1[[#This Row],[Numer_FV]])</f>
        <v>FV/M/7593/P/23</v>
      </c>
      <c r="B1243" s="2" t="str">
        <f>TRIM(Table1[[#This Row],[Numer_PZ]])</f>
        <v>PZ/801241</v>
      </c>
      <c r="C1243" s="2" t="str">
        <f>TRIM(Table1[[#This Row],[Dostawca]])</f>
        <v>MedicaPharm</v>
      </c>
      <c r="D1243" s="3">
        <v>45014</v>
      </c>
      <c r="E1243" s="4" t="s">
        <v>3695</v>
      </c>
      <c r="F1243" s="2" t="str">
        <f>TRIM(Table1[[#This Row],[Status]])</f>
        <v>Zaakceptowana</v>
      </c>
      <c r="G1243" s="2" t="str">
        <f>TRIM(Table1[[#This Row],[Typ]])</f>
        <v>Faktura VAT</v>
      </c>
      <c r="H1243" s="2" t="str">
        <f>TRIM(Table1[[#This Row],[Magazyn]])</f>
        <v>Apteka Szpitalna</v>
      </c>
      <c r="I1243" s="2" t="str">
        <f>TRIM(Table1[[#This Row],[Umowa]])</f>
        <v/>
      </c>
      <c r="J1243" s="2" t="b">
        <f>ISTEXT(Table14[[#This Row],[Data_Wystawienia]])</f>
        <v>0</v>
      </c>
      <c r="K1243" s="2">
        <f>VALUE(SUBSTITUTE(Table14[[#This Row],[Wartość]],".",","))</f>
        <v>19437.59</v>
      </c>
      <c r="L12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3" s="2" t="str">
        <f>IF(Table14[[#This Row],[Umowa]]="","Poza umową","Z umowy")</f>
        <v>Poza umową</v>
      </c>
      <c r="N1243" s="2">
        <f>YEAR(Table14[[#This Row],[Data_Wystawienia]])</f>
        <v>2023</v>
      </c>
      <c r="O1243" s="2" t="str">
        <f>TEXT(Table14[[#This Row],[Data_Wystawienia]],"rrrr-mm")</f>
        <v>2023-03</v>
      </c>
      <c r="P1243" s="2">
        <v>1</v>
      </c>
    </row>
    <row r="1244" spans="1:16" x14ac:dyDescent="0.3">
      <c r="A1244" s="2" t="str">
        <f>TRIM(Table1[[#This Row],[Numer_FV]])</f>
        <v>FV/29659/VDb/2023</v>
      </c>
      <c r="B1244" s="2" t="str">
        <f>TRIM(Table1[[#This Row],[Numer_PZ]])</f>
        <v>PZ/801242</v>
      </c>
      <c r="C1244" s="2" t="str">
        <f>TRIM(Table1[[#This Row],[Dostawca]])</f>
        <v>VitaDistrib</v>
      </c>
      <c r="D1244" s="3">
        <v>45014</v>
      </c>
      <c r="E1244" s="4" t="s">
        <v>3698</v>
      </c>
      <c r="F1244" s="2" t="str">
        <f>TRIM(Table1[[#This Row],[Status]])</f>
        <v>Zaakceptowana</v>
      </c>
      <c r="G1244" s="2" t="str">
        <f>TRIM(Table1[[#This Row],[Typ]])</f>
        <v>Faktura VAT</v>
      </c>
      <c r="H1244" s="2" t="str">
        <f>TRIM(Table1[[#This Row],[Magazyn]])</f>
        <v>Apteka Szpitalna</v>
      </c>
      <c r="I1244" s="2" t="str">
        <f>TRIM(Table1[[#This Row],[Umowa]])</f>
        <v>UM-VIT-01</v>
      </c>
      <c r="J1244" s="2" t="b">
        <f>ISTEXT(Table14[[#This Row],[Data_Wystawienia]])</f>
        <v>0</v>
      </c>
      <c r="K1244" s="2">
        <f>VALUE(SUBSTITUTE(Table14[[#This Row],[Wartość]],".",","))</f>
        <v>14790.83</v>
      </c>
      <c r="L12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4" s="2" t="str">
        <f>IF(Table14[[#This Row],[Umowa]]="","Poza umową","Z umowy")</f>
        <v>Z umowy</v>
      </c>
      <c r="N1244" s="2">
        <f>YEAR(Table14[[#This Row],[Data_Wystawienia]])</f>
        <v>2023</v>
      </c>
      <c r="O1244" s="2" t="str">
        <f>TEXT(Table14[[#This Row],[Data_Wystawienia]],"rrrr-mm")</f>
        <v>2023-03</v>
      </c>
      <c r="P1244" s="2">
        <v>1</v>
      </c>
    </row>
    <row r="1245" spans="1:16" x14ac:dyDescent="0.3">
      <c r="A1245" s="2" t="str">
        <f>TRIM(Table1[[#This Row],[Numer_FV]])</f>
        <v>FV/8991/NOVA/23</v>
      </c>
      <c r="B1245" s="2" t="str">
        <f>TRIM(Table1[[#This Row],[Numer_PZ]])</f>
        <v>PZ/801243</v>
      </c>
      <c r="C1245" s="2" t="str">
        <f>TRIM(Table1[[#This Row],[Dostawca]])</f>
        <v>NovaLek</v>
      </c>
      <c r="D1245" s="3">
        <v>45014</v>
      </c>
      <c r="E1245" s="4" t="s">
        <v>3701</v>
      </c>
      <c r="F1245" s="2" t="str">
        <f>TRIM(Table1[[#This Row],[Status]])</f>
        <v>Zaakceptowana</v>
      </c>
      <c r="G1245" s="2" t="str">
        <f>TRIM(Table1[[#This Row],[Typ]])</f>
        <v>Faktura VAT</v>
      </c>
      <c r="H1245" s="2" t="str">
        <f>TRIM(Table1[[#This Row],[Magazyn]])</f>
        <v>Apteka Szpitalna</v>
      </c>
      <c r="I1245" s="2" t="str">
        <f>TRIM(Table1[[#This Row],[Umowa]])</f>
        <v>UM-NOV-03</v>
      </c>
      <c r="J1245" s="2" t="b">
        <f>ISTEXT(Table14[[#This Row],[Data_Wystawienia]])</f>
        <v>0</v>
      </c>
      <c r="K1245" s="2">
        <f>VALUE(SUBSTITUTE(Table14[[#This Row],[Wartość]],".",","))</f>
        <v>12524.62</v>
      </c>
      <c r="L12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5" s="2" t="str">
        <f>IF(Table14[[#This Row],[Umowa]]="","Poza umową","Z umowy")</f>
        <v>Z umowy</v>
      </c>
      <c r="N1245" s="2">
        <f>YEAR(Table14[[#This Row],[Data_Wystawienia]])</f>
        <v>2023</v>
      </c>
      <c r="O1245" s="2" t="str">
        <f>TEXT(Table14[[#This Row],[Data_Wystawienia]],"rrrr-mm")</f>
        <v>2023-03</v>
      </c>
      <c r="P1245" s="2">
        <v>1</v>
      </c>
    </row>
    <row r="1246" spans="1:16" x14ac:dyDescent="0.3">
      <c r="A1246" s="2" t="str">
        <f>TRIM(Table1[[#This Row],[Numer_FV]])</f>
        <v>FV/42197/VDb/2023</v>
      </c>
      <c r="B1246" s="2" t="str">
        <f>TRIM(Table1[[#This Row],[Numer_PZ]])</f>
        <v>PZ/801244</v>
      </c>
      <c r="C1246" s="2" t="str">
        <f>TRIM(Table1[[#This Row],[Dostawca]])</f>
        <v>VitaDistrib</v>
      </c>
      <c r="D1246" s="3">
        <v>45015</v>
      </c>
      <c r="E1246" s="4" t="s">
        <v>3704</v>
      </c>
      <c r="F1246" s="2" t="str">
        <f>TRIM(Table1[[#This Row],[Status]])</f>
        <v>Zaakceptowana</v>
      </c>
      <c r="G1246" s="2" t="str">
        <f>TRIM(Table1[[#This Row],[Typ]])</f>
        <v>Faktura VAT</v>
      </c>
      <c r="H1246" s="2" t="str">
        <f>TRIM(Table1[[#This Row],[Magazyn]])</f>
        <v>Apteka Szpitalna</v>
      </c>
      <c r="I1246" s="2" t="str">
        <f>TRIM(Table1[[#This Row],[Umowa]])</f>
        <v>UM-VIT-01</v>
      </c>
      <c r="J1246" s="2" t="b">
        <f>ISTEXT(Table14[[#This Row],[Data_Wystawienia]])</f>
        <v>0</v>
      </c>
      <c r="K1246" s="2">
        <f>VALUE(SUBSTITUTE(Table14[[#This Row],[Wartość]],".",","))</f>
        <v>15777.36</v>
      </c>
      <c r="L12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6" s="2" t="str">
        <f>IF(Table14[[#This Row],[Umowa]]="","Poza umową","Z umowy")</f>
        <v>Z umowy</v>
      </c>
      <c r="N1246" s="2">
        <f>YEAR(Table14[[#This Row],[Data_Wystawienia]])</f>
        <v>2023</v>
      </c>
      <c r="O1246" s="2" t="str">
        <f>TEXT(Table14[[#This Row],[Data_Wystawienia]],"rrrr-mm")</f>
        <v>2023-03</v>
      </c>
      <c r="P1246" s="2">
        <v>1</v>
      </c>
    </row>
    <row r="1247" spans="1:16" x14ac:dyDescent="0.3">
      <c r="A1247" s="2" t="str">
        <f>TRIM(Table1[[#This Row],[Numer_FV]])</f>
        <v>FV/4805/NOVA/23</v>
      </c>
      <c r="B1247" s="2" t="str">
        <f>TRIM(Table1[[#This Row],[Numer_PZ]])</f>
        <v>PZ/801245</v>
      </c>
      <c r="C1247" s="2" t="str">
        <f>TRIM(Table1[[#This Row],[Dostawca]])</f>
        <v>NovaLek</v>
      </c>
      <c r="D1247" s="3">
        <v>45015</v>
      </c>
      <c r="E1247" s="4" t="s">
        <v>3707</v>
      </c>
      <c r="F1247" s="2" t="str">
        <f>TRIM(Table1[[#This Row],[Status]])</f>
        <v>Zaakceptowana</v>
      </c>
      <c r="G1247" s="2" t="str">
        <f>TRIM(Table1[[#This Row],[Typ]])</f>
        <v>Faktura VAT</v>
      </c>
      <c r="H1247" s="2" t="str">
        <f>TRIM(Table1[[#This Row],[Magazyn]])</f>
        <v>Apteka Szpitalna</v>
      </c>
      <c r="I1247" s="2" t="str">
        <f>TRIM(Table1[[#This Row],[Umowa]])</f>
        <v>UM-NOV-03</v>
      </c>
      <c r="J1247" s="2" t="b">
        <f>ISTEXT(Table14[[#This Row],[Data_Wystawienia]])</f>
        <v>0</v>
      </c>
      <c r="K1247" s="2">
        <f>VALUE(SUBSTITUTE(Table14[[#This Row],[Wartość]],".",","))</f>
        <v>3959.45</v>
      </c>
      <c r="L12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7" s="2" t="str">
        <f>IF(Table14[[#This Row],[Umowa]]="","Poza umową","Z umowy")</f>
        <v>Z umowy</v>
      </c>
      <c r="N1247" s="2">
        <f>YEAR(Table14[[#This Row],[Data_Wystawienia]])</f>
        <v>2023</v>
      </c>
      <c r="O1247" s="2" t="str">
        <f>TEXT(Table14[[#This Row],[Data_Wystawienia]],"rrrr-mm")</f>
        <v>2023-03</v>
      </c>
      <c r="P1247" s="2">
        <v>1</v>
      </c>
    </row>
    <row r="1248" spans="1:16" x14ac:dyDescent="0.3">
      <c r="A1248" s="2" t="str">
        <f>TRIM(Table1[[#This Row],[Numer_FV]])</f>
        <v>FV/41356/VDb/2023</v>
      </c>
      <c r="B1248" s="2" t="str">
        <f>TRIM(Table1[[#This Row],[Numer_PZ]])</f>
        <v>PZ/801246</v>
      </c>
      <c r="C1248" s="2" t="str">
        <f>TRIM(Table1[[#This Row],[Dostawca]])</f>
        <v>VitaDistrib</v>
      </c>
      <c r="D1248" s="3">
        <v>45015</v>
      </c>
      <c r="E1248" s="4" t="s">
        <v>3710</v>
      </c>
      <c r="F1248" s="2" t="str">
        <f>TRIM(Table1[[#This Row],[Status]])</f>
        <v>Zaakceptowana</v>
      </c>
      <c r="G1248" s="2" t="str">
        <f>TRIM(Table1[[#This Row],[Typ]])</f>
        <v>Faktura VAT</v>
      </c>
      <c r="H1248" s="2" t="str">
        <f>TRIM(Table1[[#This Row],[Magazyn]])</f>
        <v>Apteka Szpitalna</v>
      </c>
      <c r="I1248" s="2" t="str">
        <f>TRIM(Table1[[#This Row],[Umowa]])</f>
        <v>UM-VIT-01</v>
      </c>
      <c r="J1248" s="2" t="b">
        <f>ISTEXT(Table14[[#This Row],[Data_Wystawienia]])</f>
        <v>0</v>
      </c>
      <c r="K1248" s="2">
        <f>VALUE(SUBSTITUTE(Table14[[#This Row],[Wartość]],".",","))</f>
        <v>1366.7</v>
      </c>
      <c r="L12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8" s="2" t="str">
        <f>IF(Table14[[#This Row],[Umowa]]="","Poza umową","Z umowy")</f>
        <v>Z umowy</v>
      </c>
      <c r="N1248" s="2">
        <f>YEAR(Table14[[#This Row],[Data_Wystawienia]])</f>
        <v>2023</v>
      </c>
      <c r="O1248" s="2" t="str">
        <f>TEXT(Table14[[#This Row],[Data_Wystawienia]],"rrrr-mm")</f>
        <v>2023-03</v>
      </c>
      <c r="P1248" s="2">
        <v>1</v>
      </c>
    </row>
    <row r="1249" spans="1:16" x14ac:dyDescent="0.3">
      <c r="A1249" s="2" t="str">
        <f>TRIM(Table1[[#This Row],[Numer_FV]])</f>
        <v>FV/4259/NOVA/23</v>
      </c>
      <c r="B1249" s="2" t="str">
        <f>TRIM(Table1[[#This Row],[Numer_PZ]])</f>
        <v>PZ/801247</v>
      </c>
      <c r="C1249" s="2" t="str">
        <f>TRIM(Table1[[#This Row],[Dostawca]])</f>
        <v>NovaLek</v>
      </c>
      <c r="D1249" s="3">
        <v>45015</v>
      </c>
      <c r="E1249" s="4" t="s">
        <v>3713</v>
      </c>
      <c r="F1249" s="2" t="str">
        <f>TRIM(Table1[[#This Row],[Status]])</f>
        <v>Zaakceptowana</v>
      </c>
      <c r="G1249" s="2" t="str">
        <f>TRIM(Table1[[#This Row],[Typ]])</f>
        <v>Faktura VAT</v>
      </c>
      <c r="H1249" s="2" t="str">
        <f>TRIM(Table1[[#This Row],[Magazyn]])</f>
        <v>Apteka Szpitalna</v>
      </c>
      <c r="I1249" s="2" t="str">
        <f>TRIM(Table1[[#This Row],[Umowa]])</f>
        <v>UM-NOV-02</v>
      </c>
      <c r="J1249" s="2" t="b">
        <f>ISTEXT(Table14[[#This Row],[Data_Wystawienia]])</f>
        <v>0</v>
      </c>
      <c r="K1249" s="2">
        <f>VALUE(SUBSTITUTE(Table14[[#This Row],[Wartość]],".",","))</f>
        <v>23088.3</v>
      </c>
      <c r="L12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49" s="2" t="str">
        <f>IF(Table14[[#This Row],[Umowa]]="","Poza umową","Z umowy")</f>
        <v>Z umowy</v>
      </c>
      <c r="N1249" s="2">
        <f>YEAR(Table14[[#This Row],[Data_Wystawienia]])</f>
        <v>2023</v>
      </c>
      <c r="O1249" s="2" t="str">
        <f>TEXT(Table14[[#This Row],[Data_Wystawienia]],"rrrr-mm")</f>
        <v>2023-03</v>
      </c>
      <c r="P1249" s="2">
        <v>1</v>
      </c>
    </row>
    <row r="1250" spans="1:16" x14ac:dyDescent="0.3">
      <c r="A1250" s="2" t="str">
        <f>TRIM(Table1[[#This Row],[Numer_FV]])</f>
        <v>FV/4080HM/23</v>
      </c>
      <c r="B1250" s="2" t="str">
        <f>TRIM(Table1[[#This Row],[Numer_PZ]])</f>
        <v>PZ/801248</v>
      </c>
      <c r="C1250" s="2" t="str">
        <f>TRIM(Table1[[#This Row],[Dostawca]])</f>
        <v>HurtMedix</v>
      </c>
      <c r="D1250" s="3">
        <v>45016</v>
      </c>
      <c r="E1250" s="4" t="s">
        <v>3716</v>
      </c>
      <c r="F1250" s="2" t="str">
        <f>TRIM(Table1[[#This Row],[Status]])</f>
        <v>Zaakceptowana</v>
      </c>
      <c r="G1250" s="2" t="str">
        <f>TRIM(Table1[[#This Row],[Typ]])</f>
        <v>Faktura VAT</v>
      </c>
      <c r="H1250" s="2" t="str">
        <f>TRIM(Table1[[#This Row],[Magazyn]])</f>
        <v>Apteka Szpitalna</v>
      </c>
      <c r="I1250" s="2" t="str">
        <f>TRIM(Table1[[#This Row],[Umowa]])</f>
        <v>UM-HUR-01</v>
      </c>
      <c r="J1250" s="2" t="b">
        <f>ISTEXT(Table14[[#This Row],[Data_Wystawienia]])</f>
        <v>0</v>
      </c>
      <c r="K1250" s="2">
        <f>VALUE(SUBSTITUTE(Table14[[#This Row],[Wartość]],".",","))</f>
        <v>8013.69</v>
      </c>
      <c r="L12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0" s="2" t="str">
        <f>IF(Table14[[#This Row],[Umowa]]="","Poza umową","Z umowy")</f>
        <v>Z umowy</v>
      </c>
      <c r="N1250" s="2">
        <f>YEAR(Table14[[#This Row],[Data_Wystawienia]])</f>
        <v>2023</v>
      </c>
      <c r="O1250" s="2" t="str">
        <f>TEXT(Table14[[#This Row],[Data_Wystawienia]],"rrrr-mm")</f>
        <v>2023-03</v>
      </c>
      <c r="P1250" s="2">
        <v>1</v>
      </c>
    </row>
    <row r="1251" spans="1:16" x14ac:dyDescent="0.3">
      <c r="A1251" s="2" t="str">
        <f>TRIM(Table1[[#This Row],[Numer_FV]])</f>
        <v>FV/14/PP/7773/23</v>
      </c>
      <c r="B1251" s="2" t="str">
        <f>TRIM(Table1[[#This Row],[Numer_PZ]])</f>
        <v>PZ/801249</v>
      </c>
      <c r="C1251" s="2" t="str">
        <f>TRIM(Table1[[#This Row],[Dostawca]])</f>
        <v>PharmaPlus</v>
      </c>
      <c r="D1251" s="3">
        <v>45016</v>
      </c>
      <c r="E1251" s="4" t="s">
        <v>3719</v>
      </c>
      <c r="F1251" s="2" t="str">
        <f>TRIM(Table1[[#This Row],[Status]])</f>
        <v>Zaakceptowana</v>
      </c>
      <c r="G1251" s="2" t="str">
        <f>TRIM(Table1[[#This Row],[Typ]])</f>
        <v>Faktura VAT</v>
      </c>
      <c r="H1251" s="2" t="str">
        <f>TRIM(Table1[[#This Row],[Magazyn]])</f>
        <v>Apteka Szpitalna</v>
      </c>
      <c r="I1251" s="2" t="str">
        <f>TRIM(Table1[[#This Row],[Umowa]])</f>
        <v>UM-PHA-01</v>
      </c>
      <c r="J1251" s="2" t="b">
        <f>ISTEXT(Table14[[#This Row],[Data_Wystawienia]])</f>
        <v>0</v>
      </c>
      <c r="K1251" s="2">
        <f>VALUE(SUBSTITUTE(Table14[[#This Row],[Wartość]],".",","))</f>
        <v>16101.4</v>
      </c>
      <c r="L12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1" s="2" t="str">
        <f>IF(Table14[[#This Row],[Umowa]]="","Poza umową","Z umowy")</f>
        <v>Z umowy</v>
      </c>
      <c r="N1251" s="2">
        <f>YEAR(Table14[[#This Row],[Data_Wystawienia]])</f>
        <v>2023</v>
      </c>
      <c r="O1251" s="2" t="str">
        <f>TEXT(Table14[[#This Row],[Data_Wystawienia]],"rrrr-mm")</f>
        <v>2023-03</v>
      </c>
      <c r="P1251" s="2">
        <v>1</v>
      </c>
    </row>
    <row r="1252" spans="1:16" x14ac:dyDescent="0.3">
      <c r="A1252" s="2" t="str">
        <f>TRIM(Table1[[#This Row],[Numer_FV]])</f>
        <v>FV/7134HM/23</v>
      </c>
      <c r="B1252" s="2" t="str">
        <f>TRIM(Table1[[#This Row],[Numer_PZ]])</f>
        <v>PZ/801250</v>
      </c>
      <c r="C1252" s="2" t="str">
        <f>TRIM(Table1[[#This Row],[Dostawca]])</f>
        <v>HurtMedix</v>
      </c>
      <c r="D1252" s="3">
        <v>45017</v>
      </c>
      <c r="E1252" s="4" t="s">
        <v>3722</v>
      </c>
      <c r="F1252" s="2" t="str">
        <f>TRIM(Table1[[#This Row],[Status]])</f>
        <v>Zaakceptowana</v>
      </c>
      <c r="G1252" s="2" t="str">
        <f>TRIM(Table1[[#This Row],[Typ]])</f>
        <v>Faktura VAT</v>
      </c>
      <c r="H1252" s="2" t="str">
        <f>TRIM(Table1[[#This Row],[Magazyn]])</f>
        <v>Apteka Szpitalna</v>
      </c>
      <c r="I1252" s="2" t="str">
        <f>TRIM(Table1[[#This Row],[Umowa]])</f>
        <v>UM-HUR-02</v>
      </c>
      <c r="J1252" s="2" t="b">
        <f>ISTEXT(Table14[[#This Row],[Data_Wystawienia]])</f>
        <v>0</v>
      </c>
      <c r="K1252" s="2">
        <f>VALUE(SUBSTITUTE(Table14[[#This Row],[Wartość]],".",","))</f>
        <v>11196.95</v>
      </c>
      <c r="L12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2" s="2" t="str">
        <f>IF(Table14[[#This Row],[Umowa]]="","Poza umową","Z umowy")</f>
        <v>Z umowy</v>
      </c>
      <c r="N1252" s="2">
        <f>YEAR(Table14[[#This Row],[Data_Wystawienia]])</f>
        <v>2023</v>
      </c>
      <c r="O1252" s="2" t="str">
        <f>TEXT(Table14[[#This Row],[Data_Wystawienia]],"rrrr-mm")</f>
        <v>2023-04</v>
      </c>
      <c r="P1252" s="2">
        <v>1</v>
      </c>
    </row>
    <row r="1253" spans="1:16" x14ac:dyDescent="0.3">
      <c r="A1253" s="2" t="str">
        <f>TRIM(Table1[[#This Row],[Numer_FV]])</f>
        <v>FV/29/PP/3443/23</v>
      </c>
      <c r="B1253" s="2" t="str">
        <f>TRIM(Table1[[#This Row],[Numer_PZ]])</f>
        <v>PZ/801251</v>
      </c>
      <c r="C1253" s="2" t="str">
        <f>TRIM(Table1[[#This Row],[Dostawca]])</f>
        <v>PharmaPlus</v>
      </c>
      <c r="D1253" s="3">
        <v>45018</v>
      </c>
      <c r="E1253" s="4" t="s">
        <v>3725</v>
      </c>
      <c r="F1253" s="2" t="str">
        <f>TRIM(Table1[[#This Row],[Status]])</f>
        <v>Zaakceptowana</v>
      </c>
      <c r="G1253" s="2" t="str">
        <f>TRIM(Table1[[#This Row],[Typ]])</f>
        <v>Faktura VAT</v>
      </c>
      <c r="H1253" s="2" t="str">
        <f>TRIM(Table1[[#This Row],[Magazyn]])</f>
        <v>Apteka Szpitalna</v>
      </c>
      <c r="I1253" s="2" t="str">
        <f>TRIM(Table1[[#This Row],[Umowa]])</f>
        <v>UM-PHA-02</v>
      </c>
      <c r="J1253" s="2" t="b">
        <f>ISTEXT(Table14[[#This Row],[Data_Wystawienia]])</f>
        <v>0</v>
      </c>
      <c r="K1253" s="2">
        <f>VALUE(SUBSTITUTE(Table14[[#This Row],[Wartość]],".",","))</f>
        <v>22317.83</v>
      </c>
      <c r="L12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3" s="2" t="str">
        <f>IF(Table14[[#This Row],[Umowa]]="","Poza umową","Z umowy")</f>
        <v>Z umowy</v>
      </c>
      <c r="N1253" s="2">
        <f>YEAR(Table14[[#This Row],[Data_Wystawienia]])</f>
        <v>2023</v>
      </c>
      <c r="O1253" s="2" t="str">
        <f>TEXT(Table14[[#This Row],[Data_Wystawienia]],"rrrr-mm")</f>
        <v>2023-04</v>
      </c>
      <c r="P1253" s="2">
        <v>1</v>
      </c>
    </row>
    <row r="1254" spans="1:16" x14ac:dyDescent="0.3">
      <c r="A1254" s="2" t="str">
        <f>TRIM(Table1[[#This Row],[Numer_FV]])</f>
        <v>FV/CENFA/804917/23</v>
      </c>
      <c r="B1254" s="2" t="str">
        <f>TRIM(Table1[[#This Row],[Numer_PZ]])</f>
        <v>PZ/801252</v>
      </c>
      <c r="C1254" s="2" t="str">
        <f>TRIM(Table1[[#This Row],[Dostawca]])</f>
        <v>CentrumFarm</v>
      </c>
      <c r="D1254" s="3">
        <v>45018</v>
      </c>
      <c r="E1254" s="4" t="s">
        <v>3728</v>
      </c>
      <c r="F1254" s="2" t="str">
        <f>TRIM(Table1[[#This Row],[Status]])</f>
        <v>Zaakceptowana</v>
      </c>
      <c r="G1254" s="2" t="str">
        <f>TRIM(Table1[[#This Row],[Typ]])</f>
        <v>Faktura VAT</v>
      </c>
      <c r="H1254" s="2" t="str">
        <f>TRIM(Table1[[#This Row],[Magazyn]])</f>
        <v>Apteka Szpitalna</v>
      </c>
      <c r="I1254" s="2" t="str">
        <f>TRIM(Table1[[#This Row],[Umowa]])</f>
        <v>UM-CEN-02</v>
      </c>
      <c r="J1254" s="2" t="b">
        <f>ISTEXT(Table14[[#This Row],[Data_Wystawienia]])</f>
        <v>0</v>
      </c>
      <c r="K1254" s="2">
        <f>VALUE(SUBSTITUTE(Table14[[#This Row],[Wartość]],".",","))</f>
        <v>14304.39</v>
      </c>
      <c r="L12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4" s="2" t="str">
        <f>IF(Table14[[#This Row],[Umowa]]="","Poza umową","Z umowy")</f>
        <v>Z umowy</v>
      </c>
      <c r="N1254" s="2">
        <f>YEAR(Table14[[#This Row],[Data_Wystawienia]])</f>
        <v>2023</v>
      </c>
      <c r="O1254" s="2" t="str">
        <f>TEXT(Table14[[#This Row],[Data_Wystawienia]],"rrrr-mm")</f>
        <v>2023-04</v>
      </c>
      <c r="P1254" s="2">
        <v>1</v>
      </c>
    </row>
    <row r="1255" spans="1:16" x14ac:dyDescent="0.3">
      <c r="A1255" s="2" t="str">
        <f>TRIM(Table1[[#This Row],[Numer_FV]])</f>
        <v>FV/23339/VDb/2023</v>
      </c>
      <c r="B1255" s="2" t="str">
        <f>TRIM(Table1[[#This Row],[Numer_PZ]])</f>
        <v>PZ/801253</v>
      </c>
      <c r="C1255" s="2" t="str">
        <f>TRIM(Table1[[#This Row],[Dostawca]])</f>
        <v>VitaDistrib</v>
      </c>
      <c r="D1255" s="3">
        <v>45019</v>
      </c>
      <c r="E1255" s="4" t="s">
        <v>3731</v>
      </c>
      <c r="F1255" s="2" t="str">
        <f>TRIM(Table1[[#This Row],[Status]])</f>
        <v>Zaakceptowana</v>
      </c>
      <c r="G1255" s="2" t="str">
        <f>TRIM(Table1[[#This Row],[Typ]])</f>
        <v>Faktura VAT</v>
      </c>
      <c r="H1255" s="2" t="str">
        <f>TRIM(Table1[[#This Row],[Magazyn]])</f>
        <v>Apteka Szpitalna</v>
      </c>
      <c r="I1255" s="2" t="str">
        <f>TRIM(Table1[[#This Row],[Umowa]])</f>
        <v>UM-VIT-01</v>
      </c>
      <c r="J1255" s="2" t="b">
        <f>ISTEXT(Table14[[#This Row],[Data_Wystawienia]])</f>
        <v>0</v>
      </c>
      <c r="K1255" s="2">
        <f>VALUE(SUBSTITUTE(Table14[[#This Row],[Wartość]],".",","))</f>
        <v>18597.98</v>
      </c>
      <c r="L12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5" s="2" t="str">
        <f>IF(Table14[[#This Row],[Umowa]]="","Poza umową","Z umowy")</f>
        <v>Z umowy</v>
      </c>
      <c r="N1255" s="2">
        <f>YEAR(Table14[[#This Row],[Data_Wystawienia]])</f>
        <v>2023</v>
      </c>
      <c r="O1255" s="2" t="str">
        <f>TEXT(Table14[[#This Row],[Data_Wystawienia]],"rrrr-mm")</f>
        <v>2023-04</v>
      </c>
      <c r="P1255" s="2">
        <v>1</v>
      </c>
    </row>
    <row r="1256" spans="1:16" x14ac:dyDescent="0.3">
      <c r="A1256" s="2" t="str">
        <f>TRIM(Table1[[#This Row],[Numer_FV]])</f>
        <v>FV/M/1720/P/23</v>
      </c>
      <c r="B1256" s="2" t="str">
        <f>TRIM(Table1[[#This Row],[Numer_PZ]])</f>
        <v>PZ/801254</v>
      </c>
      <c r="C1256" s="2" t="str">
        <f>TRIM(Table1[[#This Row],[Dostawca]])</f>
        <v>MedicaPharm</v>
      </c>
      <c r="D1256" s="3">
        <v>45020</v>
      </c>
      <c r="E1256" s="4" t="s">
        <v>3734</v>
      </c>
      <c r="F1256" s="2" t="str">
        <f>TRIM(Table1[[#This Row],[Status]])</f>
        <v>Zaakceptowana</v>
      </c>
      <c r="G1256" s="2" t="str">
        <f>TRIM(Table1[[#This Row],[Typ]])</f>
        <v>Faktura VAT</v>
      </c>
      <c r="H1256" s="2" t="str">
        <f>TRIM(Table1[[#This Row],[Magazyn]])</f>
        <v>Apteka Szpitalna</v>
      </c>
      <c r="I1256" s="2" t="str">
        <f>TRIM(Table1[[#This Row],[Umowa]])</f>
        <v>UM-MED-02</v>
      </c>
      <c r="J1256" s="2" t="b">
        <f>ISTEXT(Table14[[#This Row],[Data_Wystawienia]])</f>
        <v>0</v>
      </c>
      <c r="K1256" s="2">
        <f>VALUE(SUBSTITUTE(Table14[[#This Row],[Wartość]],".",","))</f>
        <v>14441.68</v>
      </c>
      <c r="L12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6" s="2" t="str">
        <f>IF(Table14[[#This Row],[Umowa]]="","Poza umową","Z umowy")</f>
        <v>Z umowy</v>
      </c>
      <c r="N1256" s="2">
        <f>YEAR(Table14[[#This Row],[Data_Wystawienia]])</f>
        <v>2023</v>
      </c>
      <c r="O1256" s="2" t="str">
        <f>TEXT(Table14[[#This Row],[Data_Wystawienia]],"rrrr-mm")</f>
        <v>2023-04</v>
      </c>
      <c r="P1256" s="2">
        <v>1</v>
      </c>
    </row>
    <row r="1257" spans="1:16" x14ac:dyDescent="0.3">
      <c r="A1257" s="2" t="str">
        <f>TRIM(Table1[[#This Row],[Numer_FV]])</f>
        <v>FV/81/PP/7444/23</v>
      </c>
      <c r="B1257" s="2" t="str">
        <f>TRIM(Table1[[#This Row],[Numer_PZ]])</f>
        <v>PZ/801255</v>
      </c>
      <c r="C1257" s="2" t="str">
        <f>TRIM(Table1[[#This Row],[Dostawca]])</f>
        <v>PharmaPlus</v>
      </c>
      <c r="D1257" s="3">
        <v>45020</v>
      </c>
      <c r="E1257" s="4" t="s">
        <v>3737</v>
      </c>
      <c r="F1257" s="2" t="str">
        <f>TRIM(Table1[[#This Row],[Status]])</f>
        <v>Zaakceptowana</v>
      </c>
      <c r="G1257" s="2" t="str">
        <f>TRIM(Table1[[#This Row],[Typ]])</f>
        <v>Faktura VAT</v>
      </c>
      <c r="H1257" s="2" t="str">
        <f>TRIM(Table1[[#This Row],[Magazyn]])</f>
        <v>Apteka Szpitalna</v>
      </c>
      <c r="I1257" s="2" t="str">
        <f>TRIM(Table1[[#This Row],[Umowa]])</f>
        <v>UM-PHA-02</v>
      </c>
      <c r="J1257" s="2" t="b">
        <f>ISTEXT(Table14[[#This Row],[Data_Wystawienia]])</f>
        <v>0</v>
      </c>
      <c r="K1257" s="2">
        <f>VALUE(SUBSTITUTE(Table14[[#This Row],[Wartość]],".",","))</f>
        <v>19650.189999999999</v>
      </c>
      <c r="L12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7" s="2" t="str">
        <f>IF(Table14[[#This Row],[Umowa]]="","Poza umową","Z umowy")</f>
        <v>Z umowy</v>
      </c>
      <c r="N1257" s="2">
        <f>YEAR(Table14[[#This Row],[Data_Wystawienia]])</f>
        <v>2023</v>
      </c>
      <c r="O1257" s="2" t="str">
        <f>TEXT(Table14[[#This Row],[Data_Wystawienia]],"rrrr-mm")</f>
        <v>2023-04</v>
      </c>
      <c r="P1257" s="2">
        <v>1</v>
      </c>
    </row>
    <row r="1258" spans="1:16" x14ac:dyDescent="0.3">
      <c r="A1258" s="2" t="str">
        <f>TRIM(Table1[[#This Row],[Numer_FV]])</f>
        <v>FV/CENFA/384678/23</v>
      </c>
      <c r="B1258" s="2" t="str">
        <f>TRIM(Table1[[#This Row],[Numer_PZ]])</f>
        <v>PZ/801256</v>
      </c>
      <c r="C1258" s="2" t="str">
        <f>TRIM(Table1[[#This Row],[Dostawca]])</f>
        <v>CentrumFarm</v>
      </c>
      <c r="D1258" s="3">
        <v>45020</v>
      </c>
      <c r="E1258" s="4" t="s">
        <v>3740</v>
      </c>
      <c r="F1258" s="2" t="str">
        <f>TRIM(Table1[[#This Row],[Status]])</f>
        <v>Zaakceptowana</v>
      </c>
      <c r="G1258" s="2" t="str">
        <f>TRIM(Table1[[#This Row],[Typ]])</f>
        <v>Faktura VAT</v>
      </c>
      <c r="H1258" s="2" t="str">
        <f>TRIM(Table1[[#This Row],[Magazyn]])</f>
        <v>Apteka Szpitalna</v>
      </c>
      <c r="I1258" s="2" t="str">
        <f>TRIM(Table1[[#This Row],[Umowa]])</f>
        <v>UM-CEN-01</v>
      </c>
      <c r="J1258" s="2" t="b">
        <f>ISTEXT(Table14[[#This Row],[Data_Wystawienia]])</f>
        <v>0</v>
      </c>
      <c r="K1258" s="2">
        <f>VALUE(SUBSTITUTE(Table14[[#This Row],[Wartość]],".",","))</f>
        <v>9888.3799999999992</v>
      </c>
      <c r="L12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8" s="2" t="str">
        <f>IF(Table14[[#This Row],[Umowa]]="","Poza umową","Z umowy")</f>
        <v>Z umowy</v>
      </c>
      <c r="N1258" s="2">
        <f>YEAR(Table14[[#This Row],[Data_Wystawienia]])</f>
        <v>2023</v>
      </c>
      <c r="O1258" s="2" t="str">
        <f>TEXT(Table14[[#This Row],[Data_Wystawienia]],"rrrr-mm")</f>
        <v>2023-04</v>
      </c>
      <c r="P1258" s="2">
        <v>1</v>
      </c>
    </row>
    <row r="1259" spans="1:16" x14ac:dyDescent="0.3">
      <c r="A1259" s="2" t="str">
        <f>TRIM(Table1[[#This Row],[Numer_FV]])</f>
        <v>FV/CENFA/114831/23</v>
      </c>
      <c r="B1259" s="2" t="str">
        <f>TRIM(Table1[[#This Row],[Numer_PZ]])</f>
        <v>PZ/801257</v>
      </c>
      <c r="C1259" s="2" t="str">
        <f>TRIM(Table1[[#This Row],[Dostawca]])</f>
        <v>CentrumFarm</v>
      </c>
      <c r="D1259" s="3">
        <v>45020</v>
      </c>
      <c r="E1259" s="4" t="s">
        <v>3743</v>
      </c>
      <c r="F1259" s="2" t="str">
        <f>TRIM(Table1[[#This Row],[Status]])</f>
        <v>Zaakceptowana</v>
      </c>
      <c r="G1259" s="2" t="str">
        <f>TRIM(Table1[[#This Row],[Typ]])</f>
        <v>Faktura VAT</v>
      </c>
      <c r="H1259" s="2" t="str">
        <f>TRIM(Table1[[#This Row],[Magazyn]])</f>
        <v>Apteka Szpitalna</v>
      </c>
      <c r="I1259" s="2" t="str">
        <f>TRIM(Table1[[#This Row],[Umowa]])</f>
        <v/>
      </c>
      <c r="J1259" s="2" t="b">
        <f>ISTEXT(Table14[[#This Row],[Data_Wystawienia]])</f>
        <v>0</v>
      </c>
      <c r="K1259" s="2">
        <f>VALUE(SUBSTITUTE(Table14[[#This Row],[Wartość]],".",","))</f>
        <v>9633.4</v>
      </c>
      <c r="L12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59" s="2" t="str">
        <f>IF(Table14[[#This Row],[Umowa]]="","Poza umową","Z umowy")</f>
        <v>Poza umową</v>
      </c>
      <c r="N1259" s="2">
        <f>YEAR(Table14[[#This Row],[Data_Wystawienia]])</f>
        <v>2023</v>
      </c>
      <c r="O1259" s="2" t="str">
        <f>TEXT(Table14[[#This Row],[Data_Wystawienia]],"rrrr-mm")</f>
        <v>2023-04</v>
      </c>
      <c r="P1259" s="2">
        <v>1</v>
      </c>
    </row>
    <row r="1260" spans="1:16" x14ac:dyDescent="0.3">
      <c r="A1260" s="2" t="str">
        <f>TRIM(Table1[[#This Row],[Numer_FV]])</f>
        <v>FV/54271/VDb/2023</v>
      </c>
      <c r="B1260" s="2" t="str">
        <f>TRIM(Table1[[#This Row],[Numer_PZ]])</f>
        <v>PZ/801258</v>
      </c>
      <c r="C1260" s="2" t="str">
        <f>TRIM(Table1[[#This Row],[Dostawca]])</f>
        <v>VitaDistrib</v>
      </c>
      <c r="D1260" s="3">
        <v>45020</v>
      </c>
      <c r="E1260" s="4" t="s">
        <v>3746</v>
      </c>
      <c r="F1260" s="2" t="str">
        <f>TRIM(Table1[[#This Row],[Status]])</f>
        <v>Zaakceptowana</v>
      </c>
      <c r="G1260" s="2" t="str">
        <f>TRIM(Table1[[#This Row],[Typ]])</f>
        <v>Faktura VAT</v>
      </c>
      <c r="H1260" s="2" t="str">
        <f>TRIM(Table1[[#This Row],[Magazyn]])</f>
        <v>Apteka Szpitalna</v>
      </c>
      <c r="I1260" s="2" t="str">
        <f>TRIM(Table1[[#This Row],[Umowa]])</f>
        <v>UM-VIT-01</v>
      </c>
      <c r="J1260" s="2" t="b">
        <f>ISTEXT(Table14[[#This Row],[Data_Wystawienia]])</f>
        <v>0</v>
      </c>
      <c r="K1260" s="2">
        <f>VALUE(SUBSTITUTE(Table14[[#This Row],[Wartość]],".",","))</f>
        <v>15068.84</v>
      </c>
      <c r="L12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0" s="2" t="str">
        <f>IF(Table14[[#This Row],[Umowa]]="","Poza umową","Z umowy")</f>
        <v>Z umowy</v>
      </c>
      <c r="N1260" s="2">
        <f>YEAR(Table14[[#This Row],[Data_Wystawienia]])</f>
        <v>2023</v>
      </c>
      <c r="O1260" s="2" t="str">
        <f>TEXT(Table14[[#This Row],[Data_Wystawienia]],"rrrr-mm")</f>
        <v>2023-04</v>
      </c>
      <c r="P1260" s="2">
        <v>1</v>
      </c>
    </row>
    <row r="1261" spans="1:16" x14ac:dyDescent="0.3">
      <c r="A1261" s="2" t="str">
        <f>TRIM(Table1[[#This Row],[Numer_FV]])</f>
        <v>FV/11/PP/4944/23</v>
      </c>
      <c r="B1261" s="2" t="str">
        <f>TRIM(Table1[[#This Row],[Numer_PZ]])</f>
        <v>PZ/801259</v>
      </c>
      <c r="C1261" s="2" t="str">
        <f>TRIM(Table1[[#This Row],[Dostawca]])</f>
        <v>PharmaPlus</v>
      </c>
      <c r="D1261" s="3">
        <v>45020</v>
      </c>
      <c r="E1261" s="4" t="s">
        <v>3749</v>
      </c>
      <c r="F1261" s="2" t="str">
        <f>TRIM(Table1[[#This Row],[Status]])</f>
        <v>Zaakceptowana</v>
      </c>
      <c r="G1261" s="2" t="str">
        <f>TRIM(Table1[[#This Row],[Typ]])</f>
        <v>Faktura VAT</v>
      </c>
      <c r="H1261" s="2" t="str">
        <f>TRIM(Table1[[#This Row],[Magazyn]])</f>
        <v>Apteka Szpitalna</v>
      </c>
      <c r="I1261" s="2" t="str">
        <f>TRIM(Table1[[#This Row],[Umowa]])</f>
        <v>UM-PHA-02</v>
      </c>
      <c r="J1261" s="2" t="b">
        <f>ISTEXT(Table14[[#This Row],[Data_Wystawienia]])</f>
        <v>0</v>
      </c>
      <c r="K1261" s="2">
        <f>VALUE(SUBSTITUTE(Table14[[#This Row],[Wartość]],".",","))</f>
        <v>17278.28</v>
      </c>
      <c r="L12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1" s="2" t="str">
        <f>IF(Table14[[#This Row],[Umowa]]="","Poza umową","Z umowy")</f>
        <v>Z umowy</v>
      </c>
      <c r="N1261" s="2">
        <f>YEAR(Table14[[#This Row],[Data_Wystawienia]])</f>
        <v>2023</v>
      </c>
      <c r="O1261" s="2" t="str">
        <f>TEXT(Table14[[#This Row],[Data_Wystawienia]],"rrrr-mm")</f>
        <v>2023-04</v>
      </c>
      <c r="P1261" s="2">
        <v>1</v>
      </c>
    </row>
    <row r="1262" spans="1:16" x14ac:dyDescent="0.3">
      <c r="A1262" s="2" t="str">
        <f>TRIM(Table1[[#This Row],[Numer_FV]])</f>
        <v>FV/16/SAL/23</v>
      </c>
      <c r="B1262" s="2" t="str">
        <f>TRIM(Table1[[#This Row],[Numer_PZ]])</f>
        <v>PZ/801260</v>
      </c>
      <c r="C1262" s="2" t="str">
        <f>TRIM(Table1[[#This Row],[Dostawca]])</f>
        <v>SalusHurt</v>
      </c>
      <c r="D1262" s="3">
        <v>45021</v>
      </c>
      <c r="E1262" s="4" t="s">
        <v>3752</v>
      </c>
      <c r="F1262" s="2" t="str">
        <f>TRIM(Table1[[#This Row],[Status]])</f>
        <v>Zaakceptowana</v>
      </c>
      <c r="G1262" s="2" t="str">
        <f>TRIM(Table1[[#This Row],[Typ]])</f>
        <v>Faktura VAT</v>
      </c>
      <c r="H1262" s="2" t="str">
        <f>TRIM(Table1[[#This Row],[Magazyn]])</f>
        <v>Apteka Szpitalna</v>
      </c>
      <c r="I1262" s="2" t="str">
        <f>TRIM(Table1[[#This Row],[Umowa]])</f>
        <v>UM-SAL-02</v>
      </c>
      <c r="J1262" s="2" t="b">
        <f>ISTEXT(Table14[[#This Row],[Data_Wystawienia]])</f>
        <v>0</v>
      </c>
      <c r="K1262" s="2">
        <f>VALUE(SUBSTITUTE(Table14[[#This Row],[Wartość]],".",","))</f>
        <v>16231.59</v>
      </c>
      <c r="L12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2" s="2" t="str">
        <f>IF(Table14[[#This Row],[Umowa]]="","Poza umową","Z umowy")</f>
        <v>Z umowy</v>
      </c>
      <c r="N1262" s="2">
        <f>YEAR(Table14[[#This Row],[Data_Wystawienia]])</f>
        <v>2023</v>
      </c>
      <c r="O1262" s="2" t="str">
        <f>TEXT(Table14[[#This Row],[Data_Wystawienia]],"rrrr-mm")</f>
        <v>2023-04</v>
      </c>
      <c r="P1262" s="2">
        <v>1</v>
      </c>
    </row>
    <row r="1263" spans="1:16" x14ac:dyDescent="0.3">
      <c r="A1263" s="2" t="str">
        <f>TRIM(Table1[[#This Row],[Numer_FV]])</f>
        <v>FV/46/PP/1979/23</v>
      </c>
      <c r="B1263" s="2" t="str">
        <f>TRIM(Table1[[#This Row],[Numer_PZ]])</f>
        <v>PZ/801261</v>
      </c>
      <c r="C1263" s="2" t="str">
        <f>TRIM(Table1[[#This Row],[Dostawca]])</f>
        <v>PharmaPlus</v>
      </c>
      <c r="D1263" s="3">
        <v>45021</v>
      </c>
      <c r="E1263" s="4" t="s">
        <v>3755</v>
      </c>
      <c r="F1263" s="2" t="str">
        <f>TRIM(Table1[[#This Row],[Status]])</f>
        <v>Zaakceptowana</v>
      </c>
      <c r="G1263" s="2" t="str">
        <f>TRIM(Table1[[#This Row],[Typ]])</f>
        <v>Faktura VAT</v>
      </c>
      <c r="H1263" s="2" t="str">
        <f>TRIM(Table1[[#This Row],[Magazyn]])</f>
        <v>Apteka Szpitalna</v>
      </c>
      <c r="I1263" s="2" t="str">
        <f>TRIM(Table1[[#This Row],[Umowa]])</f>
        <v/>
      </c>
      <c r="J1263" s="2" t="b">
        <f>ISTEXT(Table14[[#This Row],[Data_Wystawienia]])</f>
        <v>0</v>
      </c>
      <c r="K1263" s="2">
        <f>VALUE(SUBSTITUTE(Table14[[#This Row],[Wartość]],".",","))</f>
        <v>11053.37</v>
      </c>
      <c r="L12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3" s="2" t="str">
        <f>IF(Table14[[#This Row],[Umowa]]="","Poza umową","Z umowy")</f>
        <v>Poza umową</v>
      </c>
      <c r="N1263" s="2">
        <f>YEAR(Table14[[#This Row],[Data_Wystawienia]])</f>
        <v>2023</v>
      </c>
      <c r="O1263" s="2" t="str">
        <f>TEXT(Table14[[#This Row],[Data_Wystawienia]],"rrrr-mm")</f>
        <v>2023-04</v>
      </c>
      <c r="P1263" s="2">
        <v>1</v>
      </c>
    </row>
    <row r="1264" spans="1:16" x14ac:dyDescent="0.3">
      <c r="A1264" s="2" t="str">
        <f>TRIM(Table1[[#This Row],[Numer_FV]])</f>
        <v>FV/90/PP/8040/23</v>
      </c>
      <c r="B1264" s="2" t="str">
        <f>TRIM(Table1[[#This Row],[Numer_PZ]])</f>
        <v>PZ/801262</v>
      </c>
      <c r="C1264" s="2" t="str">
        <f>TRIM(Table1[[#This Row],[Dostawca]])</f>
        <v>PharmaPlus</v>
      </c>
      <c r="D1264" s="3">
        <v>45022</v>
      </c>
      <c r="E1264" s="4" t="s">
        <v>3758</v>
      </c>
      <c r="F1264" s="2" t="str">
        <f>TRIM(Table1[[#This Row],[Status]])</f>
        <v>Zaakceptowana</v>
      </c>
      <c r="G1264" s="2" t="str">
        <f>TRIM(Table1[[#This Row],[Typ]])</f>
        <v>Faktura VAT</v>
      </c>
      <c r="H1264" s="2" t="str">
        <f>TRIM(Table1[[#This Row],[Magazyn]])</f>
        <v>Apteka Szpitalna</v>
      </c>
      <c r="I1264" s="2" t="str">
        <f>TRIM(Table1[[#This Row],[Umowa]])</f>
        <v/>
      </c>
      <c r="J1264" s="2" t="b">
        <f>ISTEXT(Table14[[#This Row],[Data_Wystawienia]])</f>
        <v>0</v>
      </c>
      <c r="K1264" s="2">
        <f>VALUE(SUBSTITUTE(Table14[[#This Row],[Wartość]],".",","))</f>
        <v>7141.96</v>
      </c>
      <c r="L12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4" s="2" t="str">
        <f>IF(Table14[[#This Row],[Umowa]]="","Poza umową","Z umowy")</f>
        <v>Poza umową</v>
      </c>
      <c r="N1264" s="2">
        <f>YEAR(Table14[[#This Row],[Data_Wystawienia]])</f>
        <v>2023</v>
      </c>
      <c r="O1264" s="2" t="str">
        <f>TEXT(Table14[[#This Row],[Data_Wystawienia]],"rrrr-mm")</f>
        <v>2023-04</v>
      </c>
      <c r="P1264" s="2">
        <v>1</v>
      </c>
    </row>
    <row r="1265" spans="1:16" x14ac:dyDescent="0.3">
      <c r="A1265" s="2" t="str">
        <f>TRIM(Table1[[#This Row],[Numer_FV]])</f>
        <v>FV/POL/63434/2023</v>
      </c>
      <c r="B1265" s="2" t="str">
        <f>TRIM(Table1[[#This Row],[Numer_PZ]])</f>
        <v>PZ/801263</v>
      </c>
      <c r="C1265" s="2" t="str">
        <f>TRIM(Table1[[#This Row],[Dostawca]])</f>
        <v>Polmedica</v>
      </c>
      <c r="D1265" s="3">
        <v>45023</v>
      </c>
      <c r="E1265" s="4" t="s">
        <v>3761</v>
      </c>
      <c r="F1265" s="2" t="str">
        <f>TRIM(Table1[[#This Row],[Status]])</f>
        <v>Zaakceptowana</v>
      </c>
      <c r="G1265" s="2" t="str">
        <f>TRIM(Table1[[#This Row],[Typ]])</f>
        <v>Faktura VAT</v>
      </c>
      <c r="H1265" s="2" t="str">
        <f>TRIM(Table1[[#This Row],[Magazyn]])</f>
        <v>Apteka Szpitalna</v>
      </c>
      <c r="I1265" s="2" t="str">
        <f>TRIM(Table1[[#This Row],[Umowa]])</f>
        <v>UM-POL-03</v>
      </c>
      <c r="J1265" s="2" t="b">
        <f>ISTEXT(Table14[[#This Row],[Data_Wystawienia]])</f>
        <v>0</v>
      </c>
      <c r="K1265" s="2">
        <f>VALUE(SUBSTITUTE(Table14[[#This Row],[Wartość]],".",","))</f>
        <v>21507.95</v>
      </c>
      <c r="L12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5" s="2" t="str">
        <f>IF(Table14[[#This Row],[Umowa]]="","Poza umową","Z umowy")</f>
        <v>Z umowy</v>
      </c>
      <c r="N1265" s="2">
        <f>YEAR(Table14[[#This Row],[Data_Wystawienia]])</f>
        <v>2023</v>
      </c>
      <c r="O1265" s="2" t="str">
        <f>TEXT(Table14[[#This Row],[Data_Wystawienia]],"rrrr-mm")</f>
        <v>2023-04</v>
      </c>
      <c r="P1265" s="2">
        <v>1</v>
      </c>
    </row>
    <row r="1266" spans="1:16" x14ac:dyDescent="0.3">
      <c r="A1266" s="2" t="str">
        <f>TRIM(Table1[[#This Row],[Numer_FV]])</f>
        <v>FV/3384/NOVA/23</v>
      </c>
      <c r="B1266" s="2" t="str">
        <f>TRIM(Table1[[#This Row],[Numer_PZ]])</f>
        <v>PZ/801264</v>
      </c>
      <c r="C1266" s="2" t="str">
        <f>TRIM(Table1[[#This Row],[Dostawca]])</f>
        <v>NovaLek</v>
      </c>
      <c r="D1266" s="3">
        <v>45023</v>
      </c>
      <c r="E1266" s="4" t="s">
        <v>3764</v>
      </c>
      <c r="F1266" s="2" t="str">
        <f>TRIM(Table1[[#This Row],[Status]])</f>
        <v>Zaakceptowana</v>
      </c>
      <c r="G1266" s="2" t="str">
        <f>TRIM(Table1[[#This Row],[Typ]])</f>
        <v>Faktura VAT</v>
      </c>
      <c r="H1266" s="2" t="str">
        <f>TRIM(Table1[[#This Row],[Magazyn]])</f>
        <v>Apteka Szpitalna</v>
      </c>
      <c r="I1266" s="2" t="str">
        <f>TRIM(Table1[[#This Row],[Umowa]])</f>
        <v/>
      </c>
      <c r="J1266" s="2" t="b">
        <f>ISTEXT(Table14[[#This Row],[Data_Wystawienia]])</f>
        <v>0</v>
      </c>
      <c r="K1266" s="2">
        <f>VALUE(SUBSTITUTE(Table14[[#This Row],[Wartość]],".",","))</f>
        <v>12663.29</v>
      </c>
      <c r="L12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6" s="2" t="str">
        <f>IF(Table14[[#This Row],[Umowa]]="","Poza umową","Z umowy")</f>
        <v>Poza umową</v>
      </c>
      <c r="N1266" s="2">
        <f>YEAR(Table14[[#This Row],[Data_Wystawienia]])</f>
        <v>2023</v>
      </c>
      <c r="O1266" s="2" t="str">
        <f>TEXT(Table14[[#This Row],[Data_Wystawienia]],"rrrr-mm")</f>
        <v>2023-04</v>
      </c>
      <c r="P1266" s="2">
        <v>1</v>
      </c>
    </row>
    <row r="1267" spans="1:16" x14ac:dyDescent="0.3">
      <c r="A1267" s="2" t="str">
        <f>TRIM(Table1[[#This Row],[Numer_FV]])</f>
        <v>FV/63498/VDb/2023</v>
      </c>
      <c r="B1267" s="2" t="str">
        <f>TRIM(Table1[[#This Row],[Numer_PZ]])</f>
        <v>PZ/801265</v>
      </c>
      <c r="C1267" s="2" t="str">
        <f>TRIM(Table1[[#This Row],[Dostawca]])</f>
        <v>VitaDistrib</v>
      </c>
      <c r="D1267" s="3">
        <v>45023</v>
      </c>
      <c r="E1267" s="4" t="s">
        <v>3767</v>
      </c>
      <c r="F1267" s="2" t="str">
        <f>TRIM(Table1[[#This Row],[Status]])</f>
        <v>Zaakceptowana</v>
      </c>
      <c r="G1267" s="2" t="str">
        <f>TRIM(Table1[[#This Row],[Typ]])</f>
        <v>Faktura VAT</v>
      </c>
      <c r="H1267" s="2" t="str">
        <f>TRIM(Table1[[#This Row],[Magazyn]])</f>
        <v>Apteka Szpitalna</v>
      </c>
      <c r="I1267" s="2" t="str">
        <f>TRIM(Table1[[#This Row],[Umowa]])</f>
        <v>UM-VIT-01</v>
      </c>
      <c r="J1267" s="2" t="b">
        <f>ISTEXT(Table14[[#This Row],[Data_Wystawienia]])</f>
        <v>0</v>
      </c>
      <c r="K1267" s="2">
        <f>VALUE(SUBSTITUTE(Table14[[#This Row],[Wartość]],".",","))</f>
        <v>10847.42</v>
      </c>
      <c r="L12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7" s="2" t="str">
        <f>IF(Table14[[#This Row],[Umowa]]="","Poza umową","Z umowy")</f>
        <v>Z umowy</v>
      </c>
      <c r="N1267" s="2">
        <f>YEAR(Table14[[#This Row],[Data_Wystawienia]])</f>
        <v>2023</v>
      </c>
      <c r="O1267" s="2" t="str">
        <f>TEXT(Table14[[#This Row],[Data_Wystawienia]],"rrrr-mm")</f>
        <v>2023-04</v>
      </c>
      <c r="P1267" s="2">
        <v>1</v>
      </c>
    </row>
    <row r="1268" spans="1:16" x14ac:dyDescent="0.3">
      <c r="A1268" s="2" t="str">
        <f>TRIM(Table1[[#This Row],[Numer_FV]])</f>
        <v>FV/62503/VDb/2023</v>
      </c>
      <c r="B1268" s="2" t="str">
        <f>TRIM(Table1[[#This Row],[Numer_PZ]])</f>
        <v>PZ/801266</v>
      </c>
      <c r="C1268" s="2" t="str">
        <f>TRIM(Table1[[#This Row],[Dostawca]])</f>
        <v>VitaDistrib</v>
      </c>
      <c r="D1268" s="3">
        <v>45023</v>
      </c>
      <c r="E1268" s="4" t="s">
        <v>3770</v>
      </c>
      <c r="F1268" s="2" t="str">
        <f>TRIM(Table1[[#This Row],[Status]])</f>
        <v>Zaakceptowana</v>
      </c>
      <c r="G1268" s="2" t="str">
        <f>TRIM(Table1[[#This Row],[Typ]])</f>
        <v>Faktura VAT</v>
      </c>
      <c r="H1268" s="2" t="str">
        <f>TRIM(Table1[[#This Row],[Magazyn]])</f>
        <v>Apteka Szpitalna</v>
      </c>
      <c r="I1268" s="2" t="str">
        <f>TRIM(Table1[[#This Row],[Umowa]])</f>
        <v>UM-VIT-01</v>
      </c>
      <c r="J1268" s="2" t="b">
        <f>ISTEXT(Table14[[#This Row],[Data_Wystawienia]])</f>
        <v>0</v>
      </c>
      <c r="K1268" s="2">
        <f>VALUE(SUBSTITUTE(Table14[[#This Row],[Wartość]],".",","))</f>
        <v>11354.43</v>
      </c>
      <c r="L12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8" s="2" t="str">
        <f>IF(Table14[[#This Row],[Umowa]]="","Poza umową","Z umowy")</f>
        <v>Z umowy</v>
      </c>
      <c r="N1268" s="2">
        <f>YEAR(Table14[[#This Row],[Data_Wystawienia]])</f>
        <v>2023</v>
      </c>
      <c r="O1268" s="2" t="str">
        <f>TEXT(Table14[[#This Row],[Data_Wystawienia]],"rrrr-mm")</f>
        <v>2023-04</v>
      </c>
      <c r="P1268" s="2">
        <v>1</v>
      </c>
    </row>
    <row r="1269" spans="1:16" x14ac:dyDescent="0.3">
      <c r="A1269" s="2" t="str">
        <f>TRIM(Table1[[#This Row],[Numer_FV]])</f>
        <v>FV/2193HM/23</v>
      </c>
      <c r="B1269" s="2" t="str">
        <f>TRIM(Table1[[#This Row],[Numer_PZ]])</f>
        <v>PZ/801267</v>
      </c>
      <c r="C1269" s="2" t="str">
        <f>TRIM(Table1[[#This Row],[Dostawca]])</f>
        <v>HurtMedix</v>
      </c>
      <c r="D1269" s="3">
        <v>45024</v>
      </c>
      <c r="E1269" s="4" t="s">
        <v>3773</v>
      </c>
      <c r="F1269" s="2" t="str">
        <f>TRIM(Table1[[#This Row],[Status]])</f>
        <v>Zaakceptowana</v>
      </c>
      <c r="G1269" s="2" t="str">
        <f>TRIM(Table1[[#This Row],[Typ]])</f>
        <v>Faktura VAT</v>
      </c>
      <c r="H1269" s="2" t="str">
        <f>TRIM(Table1[[#This Row],[Magazyn]])</f>
        <v>Apteka Szpitalna</v>
      </c>
      <c r="I1269" s="2" t="str">
        <f>TRIM(Table1[[#This Row],[Umowa]])</f>
        <v/>
      </c>
      <c r="J1269" s="2" t="b">
        <f>ISTEXT(Table14[[#This Row],[Data_Wystawienia]])</f>
        <v>0</v>
      </c>
      <c r="K1269" s="2">
        <f>VALUE(SUBSTITUTE(Table14[[#This Row],[Wartość]],".",","))</f>
        <v>18468.11</v>
      </c>
      <c r="L12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69" s="2" t="str">
        <f>IF(Table14[[#This Row],[Umowa]]="","Poza umową","Z umowy")</f>
        <v>Poza umową</v>
      </c>
      <c r="N1269" s="2">
        <f>YEAR(Table14[[#This Row],[Data_Wystawienia]])</f>
        <v>2023</v>
      </c>
      <c r="O1269" s="2" t="str">
        <f>TEXT(Table14[[#This Row],[Data_Wystawienia]],"rrrr-mm")</f>
        <v>2023-04</v>
      </c>
      <c r="P1269" s="2">
        <v>1</v>
      </c>
    </row>
    <row r="1270" spans="1:16" x14ac:dyDescent="0.3">
      <c r="A1270" s="2" t="str">
        <f>TRIM(Table1[[#This Row],[Numer_FV]])</f>
        <v>FV/31/PP/4071/23</v>
      </c>
      <c r="B1270" s="2" t="str">
        <f>TRIM(Table1[[#This Row],[Numer_PZ]])</f>
        <v>PZ/801268</v>
      </c>
      <c r="C1270" s="2" t="str">
        <f>TRIM(Table1[[#This Row],[Dostawca]])</f>
        <v>PharmaPlus</v>
      </c>
      <c r="D1270" s="3">
        <v>45024</v>
      </c>
      <c r="E1270" s="4" t="s">
        <v>3776</v>
      </c>
      <c r="F1270" s="2" t="str">
        <f>TRIM(Table1[[#This Row],[Status]])</f>
        <v>Zaakceptowana</v>
      </c>
      <c r="G1270" s="2" t="str">
        <f>TRIM(Table1[[#This Row],[Typ]])</f>
        <v>Faktura VAT</v>
      </c>
      <c r="H1270" s="2" t="str">
        <f>TRIM(Table1[[#This Row],[Magazyn]])</f>
        <v>Apteka Szpitalna</v>
      </c>
      <c r="I1270" s="2" t="str">
        <f>TRIM(Table1[[#This Row],[Umowa]])</f>
        <v>UM-PHA-02</v>
      </c>
      <c r="J1270" s="2" t="b">
        <f>ISTEXT(Table14[[#This Row],[Data_Wystawienia]])</f>
        <v>0</v>
      </c>
      <c r="K1270" s="2">
        <f>VALUE(SUBSTITUTE(Table14[[#This Row],[Wartość]],".",","))</f>
        <v>10776.95</v>
      </c>
      <c r="L12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0" s="2" t="str">
        <f>IF(Table14[[#This Row],[Umowa]]="","Poza umową","Z umowy")</f>
        <v>Z umowy</v>
      </c>
      <c r="N1270" s="2">
        <f>YEAR(Table14[[#This Row],[Data_Wystawienia]])</f>
        <v>2023</v>
      </c>
      <c r="O1270" s="2" t="str">
        <f>TEXT(Table14[[#This Row],[Data_Wystawienia]],"rrrr-mm")</f>
        <v>2023-04</v>
      </c>
      <c r="P1270" s="2">
        <v>1</v>
      </c>
    </row>
    <row r="1271" spans="1:16" x14ac:dyDescent="0.3">
      <c r="A1271" s="2" t="str">
        <f>TRIM(Table1[[#This Row],[Numer_FV]])</f>
        <v>FV/CENFA/214292/23</v>
      </c>
      <c r="B1271" s="2" t="str">
        <f>TRIM(Table1[[#This Row],[Numer_PZ]])</f>
        <v>PZ/801269</v>
      </c>
      <c r="C1271" s="2" t="str">
        <f>TRIM(Table1[[#This Row],[Dostawca]])</f>
        <v>CentrumFarm</v>
      </c>
      <c r="D1271" s="3">
        <v>45024</v>
      </c>
      <c r="E1271" s="4" t="s">
        <v>3779</v>
      </c>
      <c r="F1271" s="2" t="str">
        <f>TRIM(Table1[[#This Row],[Status]])</f>
        <v>Zaakceptowana</v>
      </c>
      <c r="G1271" s="2" t="str">
        <f>TRIM(Table1[[#This Row],[Typ]])</f>
        <v>Faktura VAT</v>
      </c>
      <c r="H1271" s="2" t="str">
        <f>TRIM(Table1[[#This Row],[Magazyn]])</f>
        <v>Apteka Szpitalna</v>
      </c>
      <c r="I1271" s="2" t="str">
        <f>TRIM(Table1[[#This Row],[Umowa]])</f>
        <v/>
      </c>
      <c r="J1271" s="2" t="b">
        <f>ISTEXT(Table14[[#This Row],[Data_Wystawienia]])</f>
        <v>0</v>
      </c>
      <c r="K1271" s="2">
        <f>VALUE(SUBSTITUTE(Table14[[#This Row],[Wartość]],".",","))</f>
        <v>11966.41</v>
      </c>
      <c r="L12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1" s="2" t="str">
        <f>IF(Table14[[#This Row],[Umowa]]="","Poza umową","Z umowy")</f>
        <v>Poza umową</v>
      </c>
      <c r="N1271" s="2">
        <f>YEAR(Table14[[#This Row],[Data_Wystawienia]])</f>
        <v>2023</v>
      </c>
      <c r="O1271" s="2" t="str">
        <f>TEXT(Table14[[#This Row],[Data_Wystawienia]],"rrrr-mm")</f>
        <v>2023-04</v>
      </c>
      <c r="P1271" s="2">
        <v>1</v>
      </c>
    </row>
    <row r="1272" spans="1:16" x14ac:dyDescent="0.3">
      <c r="A1272" s="2" t="str">
        <f>TRIM(Table1[[#This Row],[Numer_FV]])</f>
        <v>FV/M/4015/P/23</v>
      </c>
      <c r="B1272" s="2" t="str">
        <f>TRIM(Table1[[#This Row],[Numer_PZ]])</f>
        <v>PZ/801270</v>
      </c>
      <c r="C1272" s="2" t="str">
        <f>TRIM(Table1[[#This Row],[Dostawca]])</f>
        <v>MedicaPharm</v>
      </c>
      <c r="D1272" s="3">
        <v>45025</v>
      </c>
      <c r="E1272" s="4" t="s">
        <v>3782</v>
      </c>
      <c r="F1272" s="2" t="str">
        <f>TRIM(Table1[[#This Row],[Status]])</f>
        <v>Zaakceptowana</v>
      </c>
      <c r="G1272" s="2" t="str">
        <f>TRIM(Table1[[#This Row],[Typ]])</f>
        <v>Faktura VAT</v>
      </c>
      <c r="H1272" s="2" t="str">
        <f>TRIM(Table1[[#This Row],[Magazyn]])</f>
        <v>Apteka Szpitalna</v>
      </c>
      <c r="I1272" s="2" t="str">
        <f>TRIM(Table1[[#This Row],[Umowa]])</f>
        <v>UM-MED-01</v>
      </c>
      <c r="J1272" s="2" t="b">
        <f>ISTEXT(Table14[[#This Row],[Data_Wystawienia]])</f>
        <v>0</v>
      </c>
      <c r="K1272" s="2">
        <f>VALUE(SUBSTITUTE(Table14[[#This Row],[Wartość]],".",","))</f>
        <v>19899.2</v>
      </c>
      <c r="L12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2" s="2" t="str">
        <f>IF(Table14[[#This Row],[Umowa]]="","Poza umową","Z umowy")</f>
        <v>Z umowy</v>
      </c>
      <c r="N1272" s="2">
        <f>YEAR(Table14[[#This Row],[Data_Wystawienia]])</f>
        <v>2023</v>
      </c>
      <c r="O1272" s="2" t="str">
        <f>TEXT(Table14[[#This Row],[Data_Wystawienia]],"rrrr-mm")</f>
        <v>2023-04</v>
      </c>
      <c r="P1272" s="2">
        <v>1</v>
      </c>
    </row>
    <row r="1273" spans="1:16" x14ac:dyDescent="0.3">
      <c r="A1273" s="2" t="str">
        <f>TRIM(Table1[[#This Row],[Numer_FV]])</f>
        <v>FV/CENFA/362378/23</v>
      </c>
      <c r="B1273" s="2" t="str">
        <f>TRIM(Table1[[#This Row],[Numer_PZ]])</f>
        <v>PZ/801271</v>
      </c>
      <c r="C1273" s="2" t="str">
        <f>TRIM(Table1[[#This Row],[Dostawca]])</f>
        <v>CentrumFarm</v>
      </c>
      <c r="D1273" s="3">
        <v>45025</v>
      </c>
      <c r="E1273" s="4" t="s">
        <v>3785</v>
      </c>
      <c r="F1273" s="2" t="str">
        <f>TRIM(Table1[[#This Row],[Status]])</f>
        <v>Zaakceptowana</v>
      </c>
      <c r="G1273" s="2" t="str">
        <f>TRIM(Table1[[#This Row],[Typ]])</f>
        <v>Faktura VAT</v>
      </c>
      <c r="H1273" s="2" t="str">
        <f>TRIM(Table1[[#This Row],[Magazyn]])</f>
        <v>Apteka Szpitalna</v>
      </c>
      <c r="I1273" s="2" t="str">
        <f>TRIM(Table1[[#This Row],[Umowa]])</f>
        <v/>
      </c>
      <c r="J1273" s="2" t="b">
        <f>ISTEXT(Table14[[#This Row],[Data_Wystawienia]])</f>
        <v>0</v>
      </c>
      <c r="K1273" s="2">
        <f>VALUE(SUBSTITUTE(Table14[[#This Row],[Wartość]],".",","))</f>
        <v>21949.14</v>
      </c>
      <c r="L12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3" s="2" t="str">
        <f>IF(Table14[[#This Row],[Umowa]]="","Poza umową","Z umowy")</f>
        <v>Poza umową</v>
      </c>
      <c r="N1273" s="2">
        <f>YEAR(Table14[[#This Row],[Data_Wystawienia]])</f>
        <v>2023</v>
      </c>
      <c r="O1273" s="2" t="str">
        <f>TEXT(Table14[[#This Row],[Data_Wystawienia]],"rrrr-mm")</f>
        <v>2023-04</v>
      </c>
      <c r="P1273" s="2">
        <v>1</v>
      </c>
    </row>
    <row r="1274" spans="1:16" x14ac:dyDescent="0.3">
      <c r="A1274" s="2" t="str">
        <f>TRIM(Table1[[#This Row],[Numer_FV]])</f>
        <v>FV/29720/VDb/2023</v>
      </c>
      <c r="B1274" s="2" t="str">
        <f>TRIM(Table1[[#This Row],[Numer_PZ]])</f>
        <v>PZ/801272</v>
      </c>
      <c r="C1274" s="2" t="str">
        <f>TRIM(Table1[[#This Row],[Dostawca]])</f>
        <v>VitaDistrib</v>
      </c>
      <c r="D1274" s="3">
        <v>45025</v>
      </c>
      <c r="E1274" s="4" t="s">
        <v>3788</v>
      </c>
      <c r="F1274" s="2" t="str">
        <f>TRIM(Table1[[#This Row],[Status]])</f>
        <v>Zaakceptowana</v>
      </c>
      <c r="G1274" s="2" t="str">
        <f>TRIM(Table1[[#This Row],[Typ]])</f>
        <v>Korekta FV</v>
      </c>
      <c r="H1274" s="2" t="str">
        <f>TRIM(Table1[[#This Row],[Magazyn]])</f>
        <v>Apteka Szpitalna</v>
      </c>
      <c r="I1274" s="2" t="str">
        <f>TRIM(Table1[[#This Row],[Umowa]])</f>
        <v>UM-VIT-01</v>
      </c>
      <c r="J1274" s="2" t="b">
        <f>ISTEXT(Table14[[#This Row],[Data_Wystawienia]])</f>
        <v>0</v>
      </c>
      <c r="K1274" s="2">
        <f>VALUE(SUBSTITUTE(Table14[[#This Row],[Wartość]],".",","))</f>
        <v>-668.68</v>
      </c>
      <c r="L12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4" s="2" t="str">
        <f>IF(Table14[[#This Row],[Umowa]]="","Poza umową","Z umowy")</f>
        <v>Z umowy</v>
      </c>
      <c r="N1274" s="2">
        <f>YEAR(Table14[[#This Row],[Data_Wystawienia]])</f>
        <v>2023</v>
      </c>
      <c r="O1274" s="2" t="str">
        <f>TEXT(Table14[[#This Row],[Data_Wystawienia]],"rrrr-mm")</f>
        <v>2023-04</v>
      </c>
      <c r="P1274" s="2">
        <v>1</v>
      </c>
    </row>
    <row r="1275" spans="1:16" x14ac:dyDescent="0.3">
      <c r="A1275" s="2" t="str">
        <f>TRIM(Table1[[#This Row],[Numer_FV]])</f>
        <v>FV/POL/99180/2023</v>
      </c>
      <c r="B1275" s="2" t="str">
        <f>TRIM(Table1[[#This Row],[Numer_PZ]])</f>
        <v>PZ/801273</v>
      </c>
      <c r="C1275" s="2" t="str">
        <f>TRIM(Table1[[#This Row],[Dostawca]])</f>
        <v>Polmedica</v>
      </c>
      <c r="D1275" s="3">
        <v>45026</v>
      </c>
      <c r="E1275" s="4" t="s">
        <v>3791</v>
      </c>
      <c r="F1275" s="2" t="str">
        <f>TRIM(Table1[[#This Row],[Status]])</f>
        <v>Zaakceptowana</v>
      </c>
      <c r="G1275" s="2" t="str">
        <f>TRIM(Table1[[#This Row],[Typ]])</f>
        <v>Faktura VAT</v>
      </c>
      <c r="H1275" s="2" t="str">
        <f>TRIM(Table1[[#This Row],[Magazyn]])</f>
        <v>Apteka Szpitalna</v>
      </c>
      <c r="I1275" s="2" t="str">
        <f>TRIM(Table1[[#This Row],[Umowa]])</f>
        <v>UM-POL-02</v>
      </c>
      <c r="J1275" s="2" t="b">
        <f>ISTEXT(Table14[[#This Row],[Data_Wystawienia]])</f>
        <v>0</v>
      </c>
      <c r="K1275" s="2">
        <f>VALUE(SUBSTITUTE(Table14[[#This Row],[Wartość]],".",","))</f>
        <v>14667.24</v>
      </c>
      <c r="L12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5" s="2" t="str">
        <f>IF(Table14[[#This Row],[Umowa]]="","Poza umową","Z umowy")</f>
        <v>Z umowy</v>
      </c>
      <c r="N1275" s="2">
        <f>YEAR(Table14[[#This Row],[Data_Wystawienia]])</f>
        <v>2023</v>
      </c>
      <c r="O1275" s="2" t="str">
        <f>TEXT(Table14[[#This Row],[Data_Wystawienia]],"rrrr-mm")</f>
        <v>2023-04</v>
      </c>
      <c r="P1275" s="2">
        <v>1</v>
      </c>
    </row>
    <row r="1276" spans="1:16" x14ac:dyDescent="0.3">
      <c r="A1276" s="2" t="str">
        <f>TRIM(Table1[[#This Row],[Numer_FV]])</f>
        <v>FV/9456/NOVA/23</v>
      </c>
      <c r="B1276" s="2" t="str">
        <f>TRIM(Table1[[#This Row],[Numer_PZ]])</f>
        <v>PZ/801274</v>
      </c>
      <c r="C1276" s="2" t="str">
        <f>TRIM(Table1[[#This Row],[Dostawca]])</f>
        <v>NovaLek</v>
      </c>
      <c r="D1276" s="3">
        <v>45028</v>
      </c>
      <c r="E1276" s="4" t="s">
        <v>3794</v>
      </c>
      <c r="F1276" s="2" t="str">
        <f>TRIM(Table1[[#This Row],[Status]])</f>
        <v>Zaakceptowana</v>
      </c>
      <c r="G1276" s="2" t="str">
        <f>TRIM(Table1[[#This Row],[Typ]])</f>
        <v>Faktura VAT</v>
      </c>
      <c r="H1276" s="2" t="str">
        <f>TRIM(Table1[[#This Row],[Magazyn]])</f>
        <v>Apteka Szpitalna</v>
      </c>
      <c r="I1276" s="2" t="str">
        <f>TRIM(Table1[[#This Row],[Umowa]])</f>
        <v>UM-NOV-02</v>
      </c>
      <c r="J1276" s="2" t="b">
        <f>ISTEXT(Table14[[#This Row],[Data_Wystawienia]])</f>
        <v>0</v>
      </c>
      <c r="K1276" s="2">
        <f>VALUE(SUBSTITUTE(Table14[[#This Row],[Wartość]],".",","))</f>
        <v>22326.59</v>
      </c>
      <c r="L12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6" s="2" t="str">
        <f>IF(Table14[[#This Row],[Umowa]]="","Poza umową","Z umowy")</f>
        <v>Z umowy</v>
      </c>
      <c r="N1276" s="2">
        <f>YEAR(Table14[[#This Row],[Data_Wystawienia]])</f>
        <v>2023</v>
      </c>
      <c r="O1276" s="2" t="str">
        <f>TEXT(Table14[[#This Row],[Data_Wystawienia]],"rrrr-mm")</f>
        <v>2023-04</v>
      </c>
      <c r="P1276" s="2">
        <v>1</v>
      </c>
    </row>
    <row r="1277" spans="1:16" x14ac:dyDescent="0.3">
      <c r="A1277" s="2" t="str">
        <f>TRIM(Table1[[#This Row],[Numer_FV]])</f>
        <v>FV/13323/VDb/2023</v>
      </c>
      <c r="B1277" s="2" t="str">
        <f>TRIM(Table1[[#This Row],[Numer_PZ]])</f>
        <v>PZ/801275</v>
      </c>
      <c r="C1277" s="2" t="str">
        <f>TRIM(Table1[[#This Row],[Dostawca]])</f>
        <v>VitaDistrib</v>
      </c>
      <c r="D1277" s="3">
        <v>45029</v>
      </c>
      <c r="E1277" s="4" t="s">
        <v>3797</v>
      </c>
      <c r="F1277" s="2" t="str">
        <f>TRIM(Table1[[#This Row],[Status]])</f>
        <v>Zaakceptowana</v>
      </c>
      <c r="G1277" s="2" t="str">
        <f>TRIM(Table1[[#This Row],[Typ]])</f>
        <v>Faktura VAT</v>
      </c>
      <c r="H1277" s="2" t="str">
        <f>TRIM(Table1[[#This Row],[Magazyn]])</f>
        <v>Apteka Szpitalna</v>
      </c>
      <c r="I1277" s="2" t="str">
        <f>TRIM(Table1[[#This Row],[Umowa]])</f>
        <v>UM-VIT-01</v>
      </c>
      <c r="J1277" s="2" t="b">
        <f>ISTEXT(Table14[[#This Row],[Data_Wystawienia]])</f>
        <v>0</v>
      </c>
      <c r="K1277" s="2">
        <f>VALUE(SUBSTITUTE(Table14[[#This Row],[Wartość]],".",","))</f>
        <v>14572.82</v>
      </c>
      <c r="L12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7" s="2" t="str">
        <f>IF(Table14[[#This Row],[Umowa]]="","Poza umową","Z umowy")</f>
        <v>Z umowy</v>
      </c>
      <c r="N1277" s="2">
        <f>YEAR(Table14[[#This Row],[Data_Wystawienia]])</f>
        <v>2023</v>
      </c>
      <c r="O1277" s="2" t="str">
        <f>TEXT(Table14[[#This Row],[Data_Wystawienia]],"rrrr-mm")</f>
        <v>2023-04</v>
      </c>
      <c r="P1277" s="2">
        <v>1</v>
      </c>
    </row>
    <row r="1278" spans="1:16" x14ac:dyDescent="0.3">
      <c r="A1278" s="2" t="str">
        <f>TRIM(Table1[[#This Row],[Numer_FV]])</f>
        <v>FV/43/SAL/23</v>
      </c>
      <c r="B1278" s="2" t="str">
        <f>TRIM(Table1[[#This Row],[Numer_PZ]])</f>
        <v>PZ/801276</v>
      </c>
      <c r="C1278" s="2" t="str">
        <f>TRIM(Table1[[#This Row],[Dostawca]])</f>
        <v>SalusHurt</v>
      </c>
      <c r="D1278" s="3">
        <v>45029</v>
      </c>
      <c r="E1278" s="4" t="s">
        <v>3800</v>
      </c>
      <c r="F1278" s="2" t="str">
        <f>TRIM(Table1[[#This Row],[Status]])</f>
        <v>Zaakceptowana</v>
      </c>
      <c r="G1278" s="2" t="str">
        <f>TRIM(Table1[[#This Row],[Typ]])</f>
        <v>Faktura VAT</v>
      </c>
      <c r="H1278" s="2" t="str">
        <f>TRIM(Table1[[#This Row],[Magazyn]])</f>
        <v>Apteka Szpitalna</v>
      </c>
      <c r="I1278" s="2" t="str">
        <f>TRIM(Table1[[#This Row],[Umowa]])</f>
        <v>UM-SAL-01</v>
      </c>
      <c r="J1278" s="2" t="b">
        <f>ISTEXT(Table14[[#This Row],[Data_Wystawienia]])</f>
        <v>0</v>
      </c>
      <c r="K1278" s="2">
        <f>VALUE(SUBSTITUTE(Table14[[#This Row],[Wartość]],".",","))</f>
        <v>15354.91</v>
      </c>
      <c r="L12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8" s="2" t="str">
        <f>IF(Table14[[#This Row],[Umowa]]="","Poza umową","Z umowy")</f>
        <v>Z umowy</v>
      </c>
      <c r="N1278" s="2">
        <f>YEAR(Table14[[#This Row],[Data_Wystawienia]])</f>
        <v>2023</v>
      </c>
      <c r="O1278" s="2" t="str">
        <f>TEXT(Table14[[#This Row],[Data_Wystawienia]],"rrrr-mm")</f>
        <v>2023-04</v>
      </c>
      <c r="P1278" s="2">
        <v>1</v>
      </c>
    </row>
    <row r="1279" spans="1:16" x14ac:dyDescent="0.3">
      <c r="A1279" s="2" t="str">
        <f>TRIM(Table1[[#This Row],[Numer_FV]])</f>
        <v>FV/99017/VDb/2023</v>
      </c>
      <c r="B1279" s="2" t="str">
        <f>TRIM(Table1[[#This Row],[Numer_PZ]])</f>
        <v>PZ/801277</v>
      </c>
      <c r="C1279" s="2" t="str">
        <f>TRIM(Table1[[#This Row],[Dostawca]])</f>
        <v>VitaDistrib</v>
      </c>
      <c r="D1279" s="3">
        <v>45029</v>
      </c>
      <c r="E1279" s="4" t="s">
        <v>3803</v>
      </c>
      <c r="F1279" s="2" t="str">
        <f>TRIM(Table1[[#This Row],[Status]])</f>
        <v>Zaakceptowana</v>
      </c>
      <c r="G1279" s="2" t="str">
        <f>TRIM(Table1[[#This Row],[Typ]])</f>
        <v>Faktura VAT</v>
      </c>
      <c r="H1279" s="2" t="str">
        <f>TRIM(Table1[[#This Row],[Magazyn]])</f>
        <v>Apteka Szpitalna</v>
      </c>
      <c r="I1279" s="2" t="str">
        <f>TRIM(Table1[[#This Row],[Umowa]])</f>
        <v>UM-VIT-01</v>
      </c>
      <c r="J1279" s="2" t="b">
        <f>ISTEXT(Table14[[#This Row],[Data_Wystawienia]])</f>
        <v>0</v>
      </c>
      <c r="K1279" s="2">
        <f>VALUE(SUBSTITUTE(Table14[[#This Row],[Wartość]],".",","))</f>
        <v>24220.25</v>
      </c>
      <c r="L12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79" s="2" t="str">
        <f>IF(Table14[[#This Row],[Umowa]]="","Poza umową","Z umowy")</f>
        <v>Z umowy</v>
      </c>
      <c r="N1279" s="2">
        <f>YEAR(Table14[[#This Row],[Data_Wystawienia]])</f>
        <v>2023</v>
      </c>
      <c r="O1279" s="2" t="str">
        <f>TEXT(Table14[[#This Row],[Data_Wystawienia]],"rrrr-mm")</f>
        <v>2023-04</v>
      </c>
      <c r="P1279" s="2">
        <v>1</v>
      </c>
    </row>
    <row r="1280" spans="1:16" x14ac:dyDescent="0.3">
      <c r="A1280" s="2" t="str">
        <f>TRIM(Table1[[#This Row],[Numer_FV]])</f>
        <v>FV/7250HM/23</v>
      </c>
      <c r="B1280" s="2" t="str">
        <f>TRIM(Table1[[#This Row],[Numer_PZ]])</f>
        <v>PZ/801278</v>
      </c>
      <c r="C1280" s="2" t="str">
        <f>TRIM(Table1[[#This Row],[Dostawca]])</f>
        <v>HurtMedix</v>
      </c>
      <c r="D1280" s="3">
        <v>45029</v>
      </c>
      <c r="E1280" s="4" t="s">
        <v>3806</v>
      </c>
      <c r="F1280" s="2" t="str">
        <f>TRIM(Table1[[#This Row],[Status]])</f>
        <v>Zaakceptowana</v>
      </c>
      <c r="G1280" s="2" t="str">
        <f>TRIM(Table1[[#This Row],[Typ]])</f>
        <v>Faktura VAT</v>
      </c>
      <c r="H1280" s="2" t="str">
        <f>TRIM(Table1[[#This Row],[Magazyn]])</f>
        <v>Apteka Szpitalna</v>
      </c>
      <c r="I1280" s="2" t="str">
        <f>TRIM(Table1[[#This Row],[Umowa]])</f>
        <v>UM-HUR-03</v>
      </c>
      <c r="J1280" s="2" t="b">
        <f>ISTEXT(Table14[[#This Row],[Data_Wystawienia]])</f>
        <v>0</v>
      </c>
      <c r="K1280" s="2">
        <f>VALUE(SUBSTITUTE(Table14[[#This Row],[Wartość]],".",","))</f>
        <v>20699.36</v>
      </c>
      <c r="L12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0" s="2" t="str">
        <f>IF(Table14[[#This Row],[Umowa]]="","Poza umową","Z umowy")</f>
        <v>Z umowy</v>
      </c>
      <c r="N1280" s="2">
        <f>YEAR(Table14[[#This Row],[Data_Wystawienia]])</f>
        <v>2023</v>
      </c>
      <c r="O1280" s="2" t="str">
        <f>TEXT(Table14[[#This Row],[Data_Wystawienia]],"rrrr-mm")</f>
        <v>2023-04</v>
      </c>
      <c r="P1280" s="2">
        <v>1</v>
      </c>
    </row>
    <row r="1281" spans="1:16" x14ac:dyDescent="0.3">
      <c r="A1281" s="2" t="str">
        <f>TRIM(Table1[[#This Row],[Numer_FV]])</f>
        <v>FV/39/SAL/23</v>
      </c>
      <c r="B1281" s="2" t="str">
        <f>TRIM(Table1[[#This Row],[Numer_PZ]])</f>
        <v>PZ/801279</v>
      </c>
      <c r="C1281" s="2" t="str">
        <f>TRIM(Table1[[#This Row],[Dostawca]])</f>
        <v>SalusHurt</v>
      </c>
      <c r="D1281" s="3">
        <v>45030</v>
      </c>
      <c r="E1281" s="4" t="s">
        <v>3809</v>
      </c>
      <c r="F1281" s="2" t="str">
        <f>TRIM(Table1[[#This Row],[Status]])</f>
        <v>Zaakceptowana</v>
      </c>
      <c r="G1281" s="2" t="str">
        <f>TRIM(Table1[[#This Row],[Typ]])</f>
        <v>Korekta FV</v>
      </c>
      <c r="H1281" s="2" t="str">
        <f>TRIM(Table1[[#This Row],[Magazyn]])</f>
        <v>Apteka Szpitalna</v>
      </c>
      <c r="I1281" s="2" t="str">
        <f>TRIM(Table1[[#This Row],[Umowa]])</f>
        <v>UM-SAL-01</v>
      </c>
      <c r="J1281" s="2" t="b">
        <f>ISTEXT(Table14[[#This Row],[Data_Wystawienia]])</f>
        <v>0</v>
      </c>
      <c r="K1281" s="2">
        <f>VALUE(SUBSTITUTE(Table14[[#This Row],[Wartość]],".",","))</f>
        <v>-1622.51</v>
      </c>
      <c r="L12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1" s="2" t="str">
        <f>IF(Table14[[#This Row],[Umowa]]="","Poza umową","Z umowy")</f>
        <v>Z umowy</v>
      </c>
      <c r="N1281" s="2">
        <f>YEAR(Table14[[#This Row],[Data_Wystawienia]])</f>
        <v>2023</v>
      </c>
      <c r="O1281" s="2" t="str">
        <f>TEXT(Table14[[#This Row],[Data_Wystawienia]],"rrrr-mm")</f>
        <v>2023-04</v>
      </c>
      <c r="P1281" s="2">
        <v>1</v>
      </c>
    </row>
    <row r="1282" spans="1:16" x14ac:dyDescent="0.3">
      <c r="A1282" s="2" t="str">
        <f>TRIM(Table1[[#This Row],[Numer_FV]])</f>
        <v>FV/66/SAL/23</v>
      </c>
      <c r="B1282" s="2" t="str">
        <f>TRIM(Table1[[#This Row],[Numer_PZ]])</f>
        <v>PZ/801280</v>
      </c>
      <c r="C1282" s="2" t="str">
        <f>TRIM(Table1[[#This Row],[Dostawca]])</f>
        <v>SalusHurt</v>
      </c>
      <c r="D1282" s="3">
        <v>45030</v>
      </c>
      <c r="E1282" s="4" t="s">
        <v>3812</v>
      </c>
      <c r="F1282" s="2" t="str">
        <f>TRIM(Table1[[#This Row],[Status]])</f>
        <v>Zaakceptowana</v>
      </c>
      <c r="G1282" s="2" t="str">
        <f>TRIM(Table1[[#This Row],[Typ]])</f>
        <v>Faktura VAT</v>
      </c>
      <c r="H1282" s="2" t="str">
        <f>TRIM(Table1[[#This Row],[Magazyn]])</f>
        <v>Apteka Szpitalna</v>
      </c>
      <c r="I1282" s="2" t="str">
        <f>TRIM(Table1[[#This Row],[Umowa]])</f>
        <v>UM-SAL-02</v>
      </c>
      <c r="J1282" s="2" t="b">
        <f>ISTEXT(Table14[[#This Row],[Data_Wystawienia]])</f>
        <v>0</v>
      </c>
      <c r="K1282" s="2">
        <f>VALUE(SUBSTITUTE(Table14[[#This Row],[Wartość]],".",","))</f>
        <v>16298.06</v>
      </c>
      <c r="L12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2" s="2" t="str">
        <f>IF(Table14[[#This Row],[Umowa]]="","Poza umową","Z umowy")</f>
        <v>Z umowy</v>
      </c>
      <c r="N1282" s="2">
        <f>YEAR(Table14[[#This Row],[Data_Wystawienia]])</f>
        <v>2023</v>
      </c>
      <c r="O1282" s="2" t="str">
        <f>TEXT(Table14[[#This Row],[Data_Wystawienia]],"rrrr-mm")</f>
        <v>2023-04</v>
      </c>
      <c r="P1282" s="2">
        <v>1</v>
      </c>
    </row>
    <row r="1283" spans="1:16" x14ac:dyDescent="0.3">
      <c r="A1283" s="2" t="str">
        <f>TRIM(Table1[[#This Row],[Numer_FV]])</f>
        <v>FV/M/4831/P/23</v>
      </c>
      <c r="B1283" s="2" t="str">
        <f>TRIM(Table1[[#This Row],[Numer_PZ]])</f>
        <v>PZ/801281</v>
      </c>
      <c r="C1283" s="2" t="str">
        <f>TRIM(Table1[[#This Row],[Dostawca]])</f>
        <v>MedicaPharm</v>
      </c>
      <c r="D1283" s="3">
        <v>45030</v>
      </c>
      <c r="E1283" s="4" t="s">
        <v>3815</v>
      </c>
      <c r="F1283" s="2" t="str">
        <f>TRIM(Table1[[#This Row],[Status]])</f>
        <v>Zaakceptowana</v>
      </c>
      <c r="G1283" s="2" t="str">
        <f>TRIM(Table1[[#This Row],[Typ]])</f>
        <v>Faktura VAT</v>
      </c>
      <c r="H1283" s="2" t="str">
        <f>TRIM(Table1[[#This Row],[Magazyn]])</f>
        <v>Apteka Szpitalna</v>
      </c>
      <c r="I1283" s="2" t="str">
        <f>TRIM(Table1[[#This Row],[Umowa]])</f>
        <v>UM-MED-02</v>
      </c>
      <c r="J1283" s="2" t="b">
        <f>ISTEXT(Table14[[#This Row],[Data_Wystawienia]])</f>
        <v>0</v>
      </c>
      <c r="K1283" s="2">
        <f>VALUE(SUBSTITUTE(Table14[[#This Row],[Wartość]],".",","))</f>
        <v>19230.59</v>
      </c>
      <c r="L12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3" s="2" t="str">
        <f>IF(Table14[[#This Row],[Umowa]]="","Poza umową","Z umowy")</f>
        <v>Z umowy</v>
      </c>
      <c r="N1283" s="2">
        <f>YEAR(Table14[[#This Row],[Data_Wystawienia]])</f>
        <v>2023</v>
      </c>
      <c r="O1283" s="2" t="str">
        <f>TEXT(Table14[[#This Row],[Data_Wystawienia]],"rrrr-mm")</f>
        <v>2023-04</v>
      </c>
      <c r="P1283" s="2">
        <v>1</v>
      </c>
    </row>
    <row r="1284" spans="1:16" x14ac:dyDescent="0.3">
      <c r="A1284" s="2" t="str">
        <f>TRIM(Table1[[#This Row],[Numer_FV]])</f>
        <v>FV/98/PP/9607/23</v>
      </c>
      <c r="B1284" s="2" t="str">
        <f>TRIM(Table1[[#This Row],[Numer_PZ]])</f>
        <v>PZ/801282</v>
      </c>
      <c r="C1284" s="2" t="str">
        <f>TRIM(Table1[[#This Row],[Dostawca]])</f>
        <v>PharmaPlus</v>
      </c>
      <c r="D1284" s="3">
        <v>45031</v>
      </c>
      <c r="E1284" s="4" t="s">
        <v>3818</v>
      </c>
      <c r="F1284" s="2" t="str">
        <f>TRIM(Table1[[#This Row],[Status]])</f>
        <v>Zaakceptowana</v>
      </c>
      <c r="G1284" s="2" t="str">
        <f>TRIM(Table1[[#This Row],[Typ]])</f>
        <v>Faktura VAT</v>
      </c>
      <c r="H1284" s="2" t="str">
        <f>TRIM(Table1[[#This Row],[Magazyn]])</f>
        <v>Apteka Szpitalna</v>
      </c>
      <c r="I1284" s="2" t="str">
        <f>TRIM(Table1[[#This Row],[Umowa]])</f>
        <v>UM-PHA-01</v>
      </c>
      <c r="J1284" s="2" t="b">
        <f>ISTEXT(Table14[[#This Row],[Data_Wystawienia]])</f>
        <v>0</v>
      </c>
      <c r="K1284" s="2">
        <f>VALUE(SUBSTITUTE(Table14[[#This Row],[Wartość]],".",","))</f>
        <v>11570.68</v>
      </c>
      <c r="L12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4" s="2" t="str">
        <f>IF(Table14[[#This Row],[Umowa]]="","Poza umową","Z umowy")</f>
        <v>Z umowy</v>
      </c>
      <c r="N1284" s="2">
        <f>YEAR(Table14[[#This Row],[Data_Wystawienia]])</f>
        <v>2023</v>
      </c>
      <c r="O1284" s="2" t="str">
        <f>TEXT(Table14[[#This Row],[Data_Wystawienia]],"rrrr-mm")</f>
        <v>2023-04</v>
      </c>
      <c r="P1284" s="2">
        <v>1</v>
      </c>
    </row>
    <row r="1285" spans="1:16" x14ac:dyDescent="0.3">
      <c r="A1285" s="2" t="str">
        <f>TRIM(Table1[[#This Row],[Numer_FV]])</f>
        <v>FV/CENFA/638065/23</v>
      </c>
      <c r="B1285" s="2" t="str">
        <f>TRIM(Table1[[#This Row],[Numer_PZ]])</f>
        <v>PZ/801283</v>
      </c>
      <c r="C1285" s="2" t="str">
        <f>TRIM(Table1[[#This Row],[Dostawca]])</f>
        <v>CentrumFarm</v>
      </c>
      <c r="D1285" s="3">
        <v>45031</v>
      </c>
      <c r="E1285" s="4" t="s">
        <v>3821</v>
      </c>
      <c r="F1285" s="2" t="str">
        <f>TRIM(Table1[[#This Row],[Status]])</f>
        <v>Zaakceptowana</v>
      </c>
      <c r="G1285" s="2" t="str">
        <f>TRIM(Table1[[#This Row],[Typ]])</f>
        <v>Faktura VAT</v>
      </c>
      <c r="H1285" s="2" t="str">
        <f>TRIM(Table1[[#This Row],[Magazyn]])</f>
        <v>Apteka Szpitalna</v>
      </c>
      <c r="I1285" s="2" t="str">
        <f>TRIM(Table1[[#This Row],[Umowa]])</f>
        <v>UM-CEN-01</v>
      </c>
      <c r="J1285" s="2" t="b">
        <f>ISTEXT(Table14[[#This Row],[Data_Wystawienia]])</f>
        <v>0</v>
      </c>
      <c r="K1285" s="2">
        <f>VALUE(SUBSTITUTE(Table14[[#This Row],[Wartość]],".",","))</f>
        <v>17758.400000000001</v>
      </c>
      <c r="L12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5" s="2" t="str">
        <f>IF(Table14[[#This Row],[Umowa]]="","Poza umową","Z umowy")</f>
        <v>Z umowy</v>
      </c>
      <c r="N1285" s="2">
        <f>YEAR(Table14[[#This Row],[Data_Wystawienia]])</f>
        <v>2023</v>
      </c>
      <c r="O1285" s="2" t="str">
        <f>TEXT(Table14[[#This Row],[Data_Wystawienia]],"rrrr-mm")</f>
        <v>2023-04</v>
      </c>
      <c r="P1285" s="2">
        <v>1</v>
      </c>
    </row>
    <row r="1286" spans="1:16" x14ac:dyDescent="0.3">
      <c r="A1286" s="2" t="str">
        <f>TRIM(Table1[[#This Row],[Numer_FV]])</f>
        <v>FV/POL/38679/2023</v>
      </c>
      <c r="B1286" s="2" t="str">
        <f>TRIM(Table1[[#This Row],[Numer_PZ]])</f>
        <v>PZ/801284</v>
      </c>
      <c r="C1286" s="2" t="str">
        <f>TRIM(Table1[[#This Row],[Dostawca]])</f>
        <v>Polmedica</v>
      </c>
      <c r="D1286" s="3">
        <v>45032</v>
      </c>
      <c r="E1286" s="4" t="s">
        <v>3824</v>
      </c>
      <c r="F1286" s="2" t="str">
        <f>TRIM(Table1[[#This Row],[Status]])</f>
        <v>Zaakceptowana</v>
      </c>
      <c r="G1286" s="2" t="str">
        <f>TRIM(Table1[[#This Row],[Typ]])</f>
        <v>Faktura VAT</v>
      </c>
      <c r="H1286" s="2" t="str">
        <f>TRIM(Table1[[#This Row],[Magazyn]])</f>
        <v>Apteka Szpitalna</v>
      </c>
      <c r="I1286" s="2" t="str">
        <f>TRIM(Table1[[#This Row],[Umowa]])</f>
        <v>UM-POL-01</v>
      </c>
      <c r="J1286" s="2" t="b">
        <f>ISTEXT(Table14[[#This Row],[Data_Wystawienia]])</f>
        <v>0</v>
      </c>
      <c r="K1286" s="2">
        <f>VALUE(SUBSTITUTE(Table14[[#This Row],[Wartość]],".",","))</f>
        <v>20893.439999999999</v>
      </c>
      <c r="L12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6" s="2" t="str">
        <f>IF(Table14[[#This Row],[Umowa]]="","Poza umową","Z umowy")</f>
        <v>Z umowy</v>
      </c>
      <c r="N1286" s="2">
        <f>YEAR(Table14[[#This Row],[Data_Wystawienia]])</f>
        <v>2023</v>
      </c>
      <c r="O1286" s="2" t="str">
        <f>TEXT(Table14[[#This Row],[Data_Wystawienia]],"rrrr-mm")</f>
        <v>2023-04</v>
      </c>
      <c r="P1286" s="2">
        <v>1</v>
      </c>
    </row>
    <row r="1287" spans="1:16" x14ac:dyDescent="0.3">
      <c r="A1287" s="2" t="str">
        <f>TRIM(Table1[[#This Row],[Numer_FV]])</f>
        <v>FV/POL/27700/2023</v>
      </c>
      <c r="B1287" s="2" t="str">
        <f>TRIM(Table1[[#This Row],[Numer_PZ]])</f>
        <v>PZ/801285</v>
      </c>
      <c r="C1287" s="2" t="str">
        <f>TRIM(Table1[[#This Row],[Dostawca]])</f>
        <v>Polmedica</v>
      </c>
      <c r="D1287" s="3">
        <v>45032</v>
      </c>
      <c r="E1287" s="4" t="s">
        <v>3827</v>
      </c>
      <c r="F1287" s="2" t="str">
        <f>TRIM(Table1[[#This Row],[Status]])</f>
        <v>Zaakceptowana</v>
      </c>
      <c r="G1287" s="2" t="str">
        <f>TRIM(Table1[[#This Row],[Typ]])</f>
        <v>Faktura VAT</v>
      </c>
      <c r="H1287" s="2" t="str">
        <f>TRIM(Table1[[#This Row],[Magazyn]])</f>
        <v>Apteka Szpitalna</v>
      </c>
      <c r="I1287" s="2" t="str">
        <f>TRIM(Table1[[#This Row],[Umowa]])</f>
        <v>UM-POL-01</v>
      </c>
      <c r="J1287" s="2" t="b">
        <f>ISTEXT(Table14[[#This Row],[Data_Wystawienia]])</f>
        <v>0</v>
      </c>
      <c r="K1287" s="2">
        <f>VALUE(SUBSTITUTE(Table14[[#This Row],[Wartość]],".",","))</f>
        <v>21752.55</v>
      </c>
      <c r="L12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7" s="2" t="str">
        <f>IF(Table14[[#This Row],[Umowa]]="","Poza umową","Z umowy")</f>
        <v>Z umowy</v>
      </c>
      <c r="N1287" s="2">
        <f>YEAR(Table14[[#This Row],[Data_Wystawienia]])</f>
        <v>2023</v>
      </c>
      <c r="O1287" s="2" t="str">
        <f>TEXT(Table14[[#This Row],[Data_Wystawienia]],"rrrr-mm")</f>
        <v>2023-04</v>
      </c>
      <c r="P1287" s="2">
        <v>1</v>
      </c>
    </row>
    <row r="1288" spans="1:16" x14ac:dyDescent="0.3">
      <c r="A1288" s="2" t="str">
        <f>TRIM(Table1[[#This Row],[Numer_FV]])</f>
        <v>FV/2357/NOVA/23</v>
      </c>
      <c r="B1288" s="2" t="str">
        <f>TRIM(Table1[[#This Row],[Numer_PZ]])</f>
        <v>PZ/801286</v>
      </c>
      <c r="C1288" s="2" t="str">
        <f>TRIM(Table1[[#This Row],[Dostawca]])</f>
        <v>NovaLek</v>
      </c>
      <c r="D1288" s="3">
        <v>45032</v>
      </c>
      <c r="E1288" s="4" t="s">
        <v>3830</v>
      </c>
      <c r="F1288" s="2" t="str">
        <f>TRIM(Table1[[#This Row],[Status]])</f>
        <v>Zaakceptowana</v>
      </c>
      <c r="G1288" s="2" t="str">
        <f>TRIM(Table1[[#This Row],[Typ]])</f>
        <v>Faktura VAT</v>
      </c>
      <c r="H1288" s="2" t="str">
        <f>TRIM(Table1[[#This Row],[Magazyn]])</f>
        <v>Apteka Szpitalna</v>
      </c>
      <c r="I1288" s="2" t="str">
        <f>TRIM(Table1[[#This Row],[Umowa]])</f>
        <v>UM-NOV-01</v>
      </c>
      <c r="J1288" s="2" t="b">
        <f>ISTEXT(Table14[[#This Row],[Data_Wystawienia]])</f>
        <v>0</v>
      </c>
      <c r="K1288" s="2">
        <f>VALUE(SUBSTITUTE(Table14[[#This Row],[Wartość]],".",","))</f>
        <v>23697.39</v>
      </c>
      <c r="L12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8" s="2" t="str">
        <f>IF(Table14[[#This Row],[Umowa]]="","Poza umową","Z umowy")</f>
        <v>Z umowy</v>
      </c>
      <c r="N1288" s="2">
        <f>YEAR(Table14[[#This Row],[Data_Wystawienia]])</f>
        <v>2023</v>
      </c>
      <c r="O1288" s="2" t="str">
        <f>TEXT(Table14[[#This Row],[Data_Wystawienia]],"rrrr-mm")</f>
        <v>2023-04</v>
      </c>
      <c r="P1288" s="2">
        <v>1</v>
      </c>
    </row>
    <row r="1289" spans="1:16" x14ac:dyDescent="0.3">
      <c r="A1289" s="2" t="str">
        <f>TRIM(Table1[[#This Row],[Numer_FV]])</f>
        <v>FV/CENFA/373935/23</v>
      </c>
      <c r="B1289" s="2" t="str">
        <f>TRIM(Table1[[#This Row],[Numer_PZ]])</f>
        <v>PZ/801287</v>
      </c>
      <c r="C1289" s="2" t="str">
        <f>TRIM(Table1[[#This Row],[Dostawca]])</f>
        <v>CentrumFarm</v>
      </c>
      <c r="D1289" s="3">
        <v>45034</v>
      </c>
      <c r="E1289" s="4" t="s">
        <v>3833</v>
      </c>
      <c r="F1289" s="2" t="str">
        <f>TRIM(Table1[[#This Row],[Status]])</f>
        <v>Zaakceptowana</v>
      </c>
      <c r="G1289" s="2" t="str">
        <f>TRIM(Table1[[#This Row],[Typ]])</f>
        <v>Korekta FV</v>
      </c>
      <c r="H1289" s="2" t="str">
        <f>TRIM(Table1[[#This Row],[Magazyn]])</f>
        <v>Apteka Szpitalna</v>
      </c>
      <c r="I1289" s="2" t="str">
        <f>TRIM(Table1[[#This Row],[Umowa]])</f>
        <v>UM-CEN-01</v>
      </c>
      <c r="J1289" s="2" t="b">
        <f>ISTEXT(Table14[[#This Row],[Data_Wystawienia]])</f>
        <v>0</v>
      </c>
      <c r="K1289" s="2">
        <f>VALUE(SUBSTITUTE(Table14[[#This Row],[Wartość]],".",","))</f>
        <v>-1909.94</v>
      </c>
      <c r="L12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89" s="2" t="str">
        <f>IF(Table14[[#This Row],[Umowa]]="","Poza umową","Z umowy")</f>
        <v>Z umowy</v>
      </c>
      <c r="N1289" s="2">
        <f>YEAR(Table14[[#This Row],[Data_Wystawienia]])</f>
        <v>2023</v>
      </c>
      <c r="O1289" s="2" t="str">
        <f>TEXT(Table14[[#This Row],[Data_Wystawienia]],"rrrr-mm")</f>
        <v>2023-04</v>
      </c>
      <c r="P1289" s="2">
        <v>1</v>
      </c>
    </row>
    <row r="1290" spans="1:16" x14ac:dyDescent="0.3">
      <c r="A1290" s="2" t="str">
        <f>TRIM(Table1[[#This Row],[Numer_FV]])</f>
        <v>FV/POL/51509/2023</v>
      </c>
      <c r="B1290" s="2" t="str">
        <f>TRIM(Table1[[#This Row],[Numer_PZ]])</f>
        <v>PZ/801288</v>
      </c>
      <c r="C1290" s="2" t="str">
        <f>TRIM(Table1[[#This Row],[Dostawca]])</f>
        <v>Polmedica</v>
      </c>
      <c r="D1290" s="3">
        <v>45034</v>
      </c>
      <c r="E1290" s="4" t="s">
        <v>3836</v>
      </c>
      <c r="F1290" s="2" t="str">
        <f>TRIM(Table1[[#This Row],[Status]])</f>
        <v>Zaakceptowana</v>
      </c>
      <c r="G1290" s="2" t="str">
        <f>TRIM(Table1[[#This Row],[Typ]])</f>
        <v>Faktura VAT</v>
      </c>
      <c r="H1290" s="2" t="str">
        <f>TRIM(Table1[[#This Row],[Magazyn]])</f>
        <v>Apteka Szpitalna</v>
      </c>
      <c r="I1290" s="2" t="str">
        <f>TRIM(Table1[[#This Row],[Umowa]])</f>
        <v/>
      </c>
      <c r="J1290" s="2" t="b">
        <f>ISTEXT(Table14[[#This Row],[Data_Wystawienia]])</f>
        <v>0</v>
      </c>
      <c r="K1290" s="2">
        <f>VALUE(SUBSTITUTE(Table14[[#This Row],[Wartość]],".",","))</f>
        <v>15630.82</v>
      </c>
      <c r="L12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0" s="2" t="str">
        <f>IF(Table14[[#This Row],[Umowa]]="","Poza umową","Z umowy")</f>
        <v>Poza umową</v>
      </c>
      <c r="N1290" s="2">
        <f>YEAR(Table14[[#This Row],[Data_Wystawienia]])</f>
        <v>2023</v>
      </c>
      <c r="O1290" s="2" t="str">
        <f>TEXT(Table14[[#This Row],[Data_Wystawienia]],"rrrr-mm")</f>
        <v>2023-04</v>
      </c>
      <c r="P1290" s="2">
        <v>1</v>
      </c>
    </row>
    <row r="1291" spans="1:16" x14ac:dyDescent="0.3">
      <c r="A1291" s="2" t="str">
        <f>TRIM(Table1[[#This Row],[Numer_FV]])</f>
        <v>FV/94/PP/1076/23</v>
      </c>
      <c r="B1291" s="2" t="str">
        <f>TRIM(Table1[[#This Row],[Numer_PZ]])</f>
        <v>PZ/801289</v>
      </c>
      <c r="C1291" s="2" t="str">
        <f>TRIM(Table1[[#This Row],[Dostawca]])</f>
        <v>PharmaPlus</v>
      </c>
      <c r="D1291" s="3">
        <v>45035</v>
      </c>
      <c r="E1291" s="4" t="s">
        <v>3839</v>
      </c>
      <c r="F1291" s="2" t="str">
        <f>TRIM(Table1[[#This Row],[Status]])</f>
        <v>Zaakceptowana</v>
      </c>
      <c r="G1291" s="2" t="str">
        <f>TRIM(Table1[[#This Row],[Typ]])</f>
        <v>Faktura VAT</v>
      </c>
      <c r="H1291" s="2" t="str">
        <f>TRIM(Table1[[#This Row],[Magazyn]])</f>
        <v>Apteka Szpitalna</v>
      </c>
      <c r="I1291" s="2" t="str">
        <f>TRIM(Table1[[#This Row],[Umowa]])</f>
        <v>UM-PHA-02</v>
      </c>
      <c r="J1291" s="2" t="b">
        <f>ISTEXT(Table14[[#This Row],[Data_Wystawienia]])</f>
        <v>0</v>
      </c>
      <c r="K1291" s="2">
        <f>VALUE(SUBSTITUTE(Table14[[#This Row],[Wartość]],".",","))</f>
        <v>11149.49</v>
      </c>
      <c r="L12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1" s="2" t="str">
        <f>IF(Table14[[#This Row],[Umowa]]="","Poza umową","Z umowy")</f>
        <v>Z umowy</v>
      </c>
      <c r="N1291" s="2">
        <f>YEAR(Table14[[#This Row],[Data_Wystawienia]])</f>
        <v>2023</v>
      </c>
      <c r="O1291" s="2" t="str">
        <f>TEXT(Table14[[#This Row],[Data_Wystawienia]],"rrrr-mm")</f>
        <v>2023-04</v>
      </c>
      <c r="P1291" s="2">
        <v>1</v>
      </c>
    </row>
    <row r="1292" spans="1:16" x14ac:dyDescent="0.3">
      <c r="A1292" s="2" t="str">
        <f>TRIM(Table1[[#This Row],[Numer_FV]])</f>
        <v>FV/34/PP/3895/23</v>
      </c>
      <c r="B1292" s="2" t="str">
        <f>TRIM(Table1[[#This Row],[Numer_PZ]])</f>
        <v>PZ/801290</v>
      </c>
      <c r="C1292" s="2" t="str">
        <f>TRIM(Table1[[#This Row],[Dostawca]])</f>
        <v>PharmaPlus</v>
      </c>
      <c r="D1292" s="3">
        <v>45035</v>
      </c>
      <c r="E1292" s="4" t="s">
        <v>3842</v>
      </c>
      <c r="F1292" s="2" t="str">
        <f>TRIM(Table1[[#This Row],[Status]])</f>
        <v>Zaakceptowana</v>
      </c>
      <c r="G1292" s="2" t="str">
        <f>TRIM(Table1[[#This Row],[Typ]])</f>
        <v>Faktura VAT</v>
      </c>
      <c r="H1292" s="2" t="str">
        <f>TRIM(Table1[[#This Row],[Magazyn]])</f>
        <v>Apteka Szpitalna</v>
      </c>
      <c r="I1292" s="2" t="str">
        <f>TRIM(Table1[[#This Row],[Umowa]])</f>
        <v>UM-PHA-01</v>
      </c>
      <c r="J1292" s="2" t="b">
        <f>ISTEXT(Table14[[#This Row],[Data_Wystawienia]])</f>
        <v>0</v>
      </c>
      <c r="K1292" s="2">
        <f>VALUE(SUBSTITUTE(Table14[[#This Row],[Wartość]],".",","))</f>
        <v>24384.639999999999</v>
      </c>
      <c r="L12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2" s="2" t="str">
        <f>IF(Table14[[#This Row],[Umowa]]="","Poza umową","Z umowy")</f>
        <v>Z umowy</v>
      </c>
      <c r="N1292" s="2">
        <f>YEAR(Table14[[#This Row],[Data_Wystawienia]])</f>
        <v>2023</v>
      </c>
      <c r="O1292" s="2" t="str">
        <f>TEXT(Table14[[#This Row],[Data_Wystawienia]],"rrrr-mm")</f>
        <v>2023-04</v>
      </c>
      <c r="P1292" s="2">
        <v>1</v>
      </c>
    </row>
    <row r="1293" spans="1:16" x14ac:dyDescent="0.3">
      <c r="A1293" s="2" t="str">
        <f>TRIM(Table1[[#This Row],[Numer_FV]])</f>
        <v>FV/3101/NOVA/23</v>
      </c>
      <c r="B1293" s="2" t="str">
        <f>TRIM(Table1[[#This Row],[Numer_PZ]])</f>
        <v>PZ/801291</v>
      </c>
      <c r="C1293" s="2" t="str">
        <f>TRIM(Table1[[#This Row],[Dostawca]])</f>
        <v>NovaLek</v>
      </c>
      <c r="D1293" s="3">
        <v>45035</v>
      </c>
      <c r="E1293" s="4" t="s">
        <v>3845</v>
      </c>
      <c r="F1293" s="2" t="str">
        <f>TRIM(Table1[[#This Row],[Status]])</f>
        <v>Zaakceptowana</v>
      </c>
      <c r="G1293" s="2" t="str">
        <f>TRIM(Table1[[#This Row],[Typ]])</f>
        <v>Faktura VAT</v>
      </c>
      <c r="H1293" s="2" t="str">
        <f>TRIM(Table1[[#This Row],[Magazyn]])</f>
        <v>Apteka Szpitalna</v>
      </c>
      <c r="I1293" s="2" t="str">
        <f>TRIM(Table1[[#This Row],[Umowa]])</f>
        <v/>
      </c>
      <c r="J1293" s="2" t="b">
        <f>ISTEXT(Table14[[#This Row],[Data_Wystawienia]])</f>
        <v>0</v>
      </c>
      <c r="K1293" s="2">
        <f>VALUE(SUBSTITUTE(Table14[[#This Row],[Wartość]],".",","))</f>
        <v>14736.41</v>
      </c>
      <c r="L12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3" s="2" t="str">
        <f>IF(Table14[[#This Row],[Umowa]]="","Poza umową","Z umowy")</f>
        <v>Poza umową</v>
      </c>
      <c r="N1293" s="2">
        <f>YEAR(Table14[[#This Row],[Data_Wystawienia]])</f>
        <v>2023</v>
      </c>
      <c r="O1293" s="2" t="str">
        <f>TEXT(Table14[[#This Row],[Data_Wystawienia]],"rrrr-mm")</f>
        <v>2023-04</v>
      </c>
      <c r="P1293" s="2">
        <v>1</v>
      </c>
    </row>
    <row r="1294" spans="1:16" x14ac:dyDescent="0.3">
      <c r="A1294" s="2" t="str">
        <f>TRIM(Table1[[#This Row],[Numer_FV]])</f>
        <v>FV/53528/VDb/2023</v>
      </c>
      <c r="B1294" s="2" t="str">
        <f>TRIM(Table1[[#This Row],[Numer_PZ]])</f>
        <v>PZ/801292</v>
      </c>
      <c r="C1294" s="2" t="str">
        <f>TRIM(Table1[[#This Row],[Dostawca]])</f>
        <v>VitaDistrib</v>
      </c>
      <c r="D1294" s="3">
        <v>45035</v>
      </c>
      <c r="E1294" s="4" t="s">
        <v>3848</v>
      </c>
      <c r="F1294" s="2" t="str">
        <f>TRIM(Table1[[#This Row],[Status]])</f>
        <v>Zaakceptowana</v>
      </c>
      <c r="G1294" s="2" t="str">
        <f>TRIM(Table1[[#This Row],[Typ]])</f>
        <v>Faktura VAT</v>
      </c>
      <c r="H1294" s="2" t="str">
        <f>TRIM(Table1[[#This Row],[Magazyn]])</f>
        <v>Apteka Szpitalna</v>
      </c>
      <c r="I1294" s="2" t="str">
        <f>TRIM(Table1[[#This Row],[Umowa]])</f>
        <v/>
      </c>
      <c r="J1294" s="2" t="b">
        <f>ISTEXT(Table14[[#This Row],[Data_Wystawienia]])</f>
        <v>0</v>
      </c>
      <c r="K1294" s="2">
        <f>VALUE(SUBSTITUTE(Table14[[#This Row],[Wartość]],".",","))</f>
        <v>10254.59</v>
      </c>
      <c r="L12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4" s="2" t="str">
        <f>IF(Table14[[#This Row],[Umowa]]="","Poza umową","Z umowy")</f>
        <v>Poza umową</v>
      </c>
      <c r="N1294" s="2">
        <f>YEAR(Table14[[#This Row],[Data_Wystawienia]])</f>
        <v>2023</v>
      </c>
      <c r="O1294" s="2" t="str">
        <f>TEXT(Table14[[#This Row],[Data_Wystawienia]],"rrrr-mm")</f>
        <v>2023-04</v>
      </c>
      <c r="P1294" s="2">
        <v>1</v>
      </c>
    </row>
    <row r="1295" spans="1:16" x14ac:dyDescent="0.3">
      <c r="A1295" s="2" t="str">
        <f>TRIM(Table1[[#This Row],[Numer_FV]])</f>
        <v>FV/3501HM/23</v>
      </c>
      <c r="B1295" s="2" t="str">
        <f>TRIM(Table1[[#This Row],[Numer_PZ]])</f>
        <v>PZ/801293</v>
      </c>
      <c r="C1295" s="2" t="str">
        <f>TRIM(Table1[[#This Row],[Dostawca]])</f>
        <v>HurtMedix</v>
      </c>
      <c r="D1295" s="3">
        <v>45036</v>
      </c>
      <c r="E1295" s="4" t="s">
        <v>3851</v>
      </c>
      <c r="F1295" s="2" t="str">
        <f>TRIM(Table1[[#This Row],[Status]])</f>
        <v>Zaakceptowana</v>
      </c>
      <c r="G1295" s="2" t="str">
        <f>TRIM(Table1[[#This Row],[Typ]])</f>
        <v>Faktura VAT</v>
      </c>
      <c r="H1295" s="2" t="str">
        <f>TRIM(Table1[[#This Row],[Magazyn]])</f>
        <v>Apteka Szpitalna</v>
      </c>
      <c r="I1295" s="2" t="str">
        <f>TRIM(Table1[[#This Row],[Umowa]])</f>
        <v>UM-HUR-02</v>
      </c>
      <c r="J1295" s="2" t="b">
        <f>ISTEXT(Table14[[#This Row],[Data_Wystawienia]])</f>
        <v>0</v>
      </c>
      <c r="K1295" s="2">
        <f>VALUE(SUBSTITUTE(Table14[[#This Row],[Wartość]],".",","))</f>
        <v>10614.73</v>
      </c>
      <c r="L12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5" s="2" t="str">
        <f>IF(Table14[[#This Row],[Umowa]]="","Poza umową","Z umowy")</f>
        <v>Z umowy</v>
      </c>
      <c r="N1295" s="2">
        <f>YEAR(Table14[[#This Row],[Data_Wystawienia]])</f>
        <v>2023</v>
      </c>
      <c r="O1295" s="2" t="str">
        <f>TEXT(Table14[[#This Row],[Data_Wystawienia]],"rrrr-mm")</f>
        <v>2023-04</v>
      </c>
      <c r="P1295" s="2">
        <v>1</v>
      </c>
    </row>
    <row r="1296" spans="1:16" x14ac:dyDescent="0.3">
      <c r="A1296" s="2" t="str">
        <f>TRIM(Table1[[#This Row],[Numer_FV]])</f>
        <v>FV/7607HM/23</v>
      </c>
      <c r="B1296" s="2" t="str">
        <f>TRIM(Table1[[#This Row],[Numer_PZ]])</f>
        <v>PZ/801294</v>
      </c>
      <c r="C1296" s="2" t="str">
        <f>TRIM(Table1[[#This Row],[Dostawca]])</f>
        <v>HurtMedix</v>
      </c>
      <c r="D1296" s="3">
        <v>45036</v>
      </c>
      <c r="E1296" s="4" t="s">
        <v>3854</v>
      </c>
      <c r="F1296" s="2" t="str">
        <f>TRIM(Table1[[#This Row],[Status]])</f>
        <v>Zaakceptowana</v>
      </c>
      <c r="G1296" s="2" t="str">
        <f>TRIM(Table1[[#This Row],[Typ]])</f>
        <v>Faktura VAT</v>
      </c>
      <c r="H1296" s="2" t="str">
        <f>TRIM(Table1[[#This Row],[Magazyn]])</f>
        <v>Apteka Szpitalna</v>
      </c>
      <c r="I1296" s="2" t="str">
        <f>TRIM(Table1[[#This Row],[Umowa]])</f>
        <v>UM-HUR-03</v>
      </c>
      <c r="J1296" s="2" t="b">
        <f>ISTEXT(Table14[[#This Row],[Data_Wystawienia]])</f>
        <v>0</v>
      </c>
      <c r="K1296" s="2">
        <f>VALUE(SUBSTITUTE(Table14[[#This Row],[Wartość]],".",","))</f>
        <v>10718.84</v>
      </c>
      <c r="L12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6" s="2" t="str">
        <f>IF(Table14[[#This Row],[Umowa]]="","Poza umową","Z umowy")</f>
        <v>Z umowy</v>
      </c>
      <c r="N1296" s="2">
        <f>YEAR(Table14[[#This Row],[Data_Wystawienia]])</f>
        <v>2023</v>
      </c>
      <c r="O1296" s="2" t="str">
        <f>TEXT(Table14[[#This Row],[Data_Wystawienia]],"rrrr-mm")</f>
        <v>2023-04</v>
      </c>
      <c r="P1296" s="2">
        <v>1</v>
      </c>
    </row>
    <row r="1297" spans="1:16" x14ac:dyDescent="0.3">
      <c r="A1297" s="2" t="str">
        <f>TRIM(Table1[[#This Row],[Numer_FV]])</f>
        <v>FV/52349/VDb/2023</v>
      </c>
      <c r="B1297" s="2" t="str">
        <f>TRIM(Table1[[#This Row],[Numer_PZ]])</f>
        <v>PZ/801295</v>
      </c>
      <c r="C1297" s="2" t="str">
        <f>TRIM(Table1[[#This Row],[Dostawca]])</f>
        <v>VitaDistrib</v>
      </c>
      <c r="D1297" s="3">
        <v>45036</v>
      </c>
      <c r="E1297" s="4" t="s">
        <v>3857</v>
      </c>
      <c r="F1297" s="2" t="str">
        <f>TRIM(Table1[[#This Row],[Status]])</f>
        <v>Zaakceptowana</v>
      </c>
      <c r="G1297" s="2" t="str">
        <f>TRIM(Table1[[#This Row],[Typ]])</f>
        <v>Faktura VAT</v>
      </c>
      <c r="H1297" s="2" t="str">
        <f>TRIM(Table1[[#This Row],[Magazyn]])</f>
        <v>Apteka Szpitalna</v>
      </c>
      <c r="I1297" s="2" t="str">
        <f>TRIM(Table1[[#This Row],[Umowa]])</f>
        <v/>
      </c>
      <c r="J1297" s="2" t="b">
        <f>ISTEXT(Table14[[#This Row],[Data_Wystawienia]])</f>
        <v>0</v>
      </c>
      <c r="K1297" s="2">
        <f>VALUE(SUBSTITUTE(Table14[[#This Row],[Wartość]],".",","))</f>
        <v>15011.35</v>
      </c>
      <c r="L12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7" s="2" t="str">
        <f>IF(Table14[[#This Row],[Umowa]]="","Poza umową","Z umowy")</f>
        <v>Poza umową</v>
      </c>
      <c r="N1297" s="2">
        <f>YEAR(Table14[[#This Row],[Data_Wystawienia]])</f>
        <v>2023</v>
      </c>
      <c r="O1297" s="2" t="str">
        <f>TEXT(Table14[[#This Row],[Data_Wystawienia]],"rrrr-mm")</f>
        <v>2023-04</v>
      </c>
      <c r="P1297" s="2">
        <v>1</v>
      </c>
    </row>
    <row r="1298" spans="1:16" x14ac:dyDescent="0.3">
      <c r="A1298" s="2" t="str">
        <f>TRIM(Table1[[#This Row],[Numer_FV]])</f>
        <v>FV/CENFA/843816/23</v>
      </c>
      <c r="B1298" s="2" t="str">
        <f>TRIM(Table1[[#This Row],[Numer_PZ]])</f>
        <v>PZ/801296</v>
      </c>
      <c r="C1298" s="2" t="str">
        <f>TRIM(Table1[[#This Row],[Dostawca]])</f>
        <v>CentrumFarm</v>
      </c>
      <c r="D1298" s="3">
        <v>45037</v>
      </c>
      <c r="E1298" s="4" t="s">
        <v>3860</v>
      </c>
      <c r="F1298" s="2" t="str">
        <f>TRIM(Table1[[#This Row],[Status]])</f>
        <v>Zaakceptowana</v>
      </c>
      <c r="G1298" s="2" t="str">
        <f>TRIM(Table1[[#This Row],[Typ]])</f>
        <v>Faktura VAT</v>
      </c>
      <c r="H1298" s="2" t="str">
        <f>TRIM(Table1[[#This Row],[Magazyn]])</f>
        <v>Apteka Szpitalna</v>
      </c>
      <c r="I1298" s="2" t="str">
        <f>TRIM(Table1[[#This Row],[Umowa]])</f>
        <v/>
      </c>
      <c r="J1298" s="2" t="b">
        <f>ISTEXT(Table14[[#This Row],[Data_Wystawienia]])</f>
        <v>0</v>
      </c>
      <c r="K1298" s="2">
        <f>VALUE(SUBSTITUTE(Table14[[#This Row],[Wartość]],".",","))</f>
        <v>16131.09</v>
      </c>
      <c r="L12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8" s="2" t="str">
        <f>IF(Table14[[#This Row],[Umowa]]="","Poza umową","Z umowy")</f>
        <v>Poza umową</v>
      </c>
      <c r="N1298" s="2">
        <f>YEAR(Table14[[#This Row],[Data_Wystawienia]])</f>
        <v>2023</v>
      </c>
      <c r="O1298" s="2" t="str">
        <f>TEXT(Table14[[#This Row],[Data_Wystawienia]],"rrrr-mm")</f>
        <v>2023-04</v>
      </c>
      <c r="P1298" s="2">
        <v>1</v>
      </c>
    </row>
    <row r="1299" spans="1:16" x14ac:dyDescent="0.3">
      <c r="A1299" s="2" t="str">
        <f>TRIM(Table1[[#This Row],[Numer_FV]])</f>
        <v>FV/8816/NOVA/23</v>
      </c>
      <c r="B1299" s="2" t="str">
        <f>TRIM(Table1[[#This Row],[Numer_PZ]])</f>
        <v>PZ/801297</v>
      </c>
      <c r="C1299" s="2" t="str">
        <f>TRIM(Table1[[#This Row],[Dostawca]])</f>
        <v>NovaLek</v>
      </c>
      <c r="D1299" s="3">
        <v>45038</v>
      </c>
      <c r="E1299" s="4" t="s">
        <v>3863</v>
      </c>
      <c r="F1299" s="2" t="str">
        <f>TRIM(Table1[[#This Row],[Status]])</f>
        <v>Zaakceptowana</v>
      </c>
      <c r="G1299" s="2" t="str">
        <f>TRIM(Table1[[#This Row],[Typ]])</f>
        <v>Faktura VAT</v>
      </c>
      <c r="H1299" s="2" t="str">
        <f>TRIM(Table1[[#This Row],[Magazyn]])</f>
        <v>Apteka Szpitalna</v>
      </c>
      <c r="I1299" s="2" t="str">
        <f>TRIM(Table1[[#This Row],[Umowa]])</f>
        <v>UM-NOV-02</v>
      </c>
      <c r="J1299" s="2" t="b">
        <f>ISTEXT(Table14[[#This Row],[Data_Wystawienia]])</f>
        <v>0</v>
      </c>
      <c r="K1299" s="2">
        <f>VALUE(SUBSTITUTE(Table14[[#This Row],[Wartość]],".",","))</f>
        <v>13787.72</v>
      </c>
      <c r="L12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299" s="2" t="str">
        <f>IF(Table14[[#This Row],[Umowa]]="","Poza umową","Z umowy")</f>
        <v>Z umowy</v>
      </c>
      <c r="N1299" s="2">
        <f>YEAR(Table14[[#This Row],[Data_Wystawienia]])</f>
        <v>2023</v>
      </c>
      <c r="O1299" s="2" t="str">
        <f>TEXT(Table14[[#This Row],[Data_Wystawienia]],"rrrr-mm")</f>
        <v>2023-04</v>
      </c>
      <c r="P1299" s="2">
        <v>1</v>
      </c>
    </row>
    <row r="1300" spans="1:16" x14ac:dyDescent="0.3">
      <c r="A1300" s="2" t="str">
        <f>TRIM(Table1[[#This Row],[Numer_FV]])</f>
        <v>FV/3375/NOVA/23</v>
      </c>
      <c r="B1300" s="2" t="str">
        <f>TRIM(Table1[[#This Row],[Numer_PZ]])</f>
        <v>PZ/801298</v>
      </c>
      <c r="C1300" s="2" t="str">
        <f>TRIM(Table1[[#This Row],[Dostawca]])</f>
        <v>NovaLek</v>
      </c>
      <c r="D1300" s="3">
        <v>45038</v>
      </c>
      <c r="E1300" s="4" t="s">
        <v>3866</v>
      </c>
      <c r="F1300" s="2" t="str">
        <f>TRIM(Table1[[#This Row],[Status]])</f>
        <v>Zaakceptowana</v>
      </c>
      <c r="G1300" s="2" t="str">
        <f>TRIM(Table1[[#This Row],[Typ]])</f>
        <v>Faktura VAT</v>
      </c>
      <c r="H1300" s="2" t="str">
        <f>TRIM(Table1[[#This Row],[Magazyn]])</f>
        <v>Apteka Szpitalna</v>
      </c>
      <c r="I1300" s="2" t="str">
        <f>TRIM(Table1[[#This Row],[Umowa]])</f>
        <v/>
      </c>
      <c r="J1300" s="2" t="b">
        <f>ISTEXT(Table14[[#This Row],[Data_Wystawienia]])</f>
        <v>0</v>
      </c>
      <c r="K1300" s="2">
        <f>VALUE(SUBSTITUTE(Table14[[#This Row],[Wartość]],".",","))</f>
        <v>15359.85</v>
      </c>
      <c r="L13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0" s="2" t="str">
        <f>IF(Table14[[#This Row],[Umowa]]="","Poza umową","Z umowy")</f>
        <v>Poza umową</v>
      </c>
      <c r="N1300" s="2">
        <f>YEAR(Table14[[#This Row],[Data_Wystawienia]])</f>
        <v>2023</v>
      </c>
      <c r="O1300" s="2" t="str">
        <f>TEXT(Table14[[#This Row],[Data_Wystawienia]],"rrrr-mm")</f>
        <v>2023-04</v>
      </c>
      <c r="P1300" s="2">
        <v>1</v>
      </c>
    </row>
    <row r="1301" spans="1:16" x14ac:dyDescent="0.3">
      <c r="A1301" s="2" t="str">
        <f>TRIM(Table1[[#This Row],[Numer_FV]])</f>
        <v>FV/14/SAL/23</v>
      </c>
      <c r="B1301" s="2" t="str">
        <f>TRIM(Table1[[#This Row],[Numer_PZ]])</f>
        <v>PZ/801299</v>
      </c>
      <c r="C1301" s="2" t="str">
        <f>TRIM(Table1[[#This Row],[Dostawca]])</f>
        <v>SalusHurt</v>
      </c>
      <c r="D1301" s="3">
        <v>45038</v>
      </c>
      <c r="E1301" s="4" t="s">
        <v>3869</v>
      </c>
      <c r="F1301" s="2" t="str">
        <f>TRIM(Table1[[#This Row],[Status]])</f>
        <v>Zaakceptowana</v>
      </c>
      <c r="G1301" s="2" t="str">
        <f>TRIM(Table1[[#This Row],[Typ]])</f>
        <v>Faktura VAT</v>
      </c>
      <c r="H1301" s="2" t="str">
        <f>TRIM(Table1[[#This Row],[Magazyn]])</f>
        <v>Apteka Szpitalna</v>
      </c>
      <c r="I1301" s="2" t="str">
        <f>TRIM(Table1[[#This Row],[Umowa]])</f>
        <v>UM-SAL-01</v>
      </c>
      <c r="J1301" s="2" t="b">
        <f>ISTEXT(Table14[[#This Row],[Data_Wystawienia]])</f>
        <v>0</v>
      </c>
      <c r="K1301" s="2">
        <f>VALUE(SUBSTITUTE(Table14[[#This Row],[Wartość]],".",","))</f>
        <v>27631.02</v>
      </c>
      <c r="L13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1" s="2" t="str">
        <f>IF(Table14[[#This Row],[Umowa]]="","Poza umową","Z umowy")</f>
        <v>Z umowy</v>
      </c>
      <c r="N1301" s="2">
        <f>YEAR(Table14[[#This Row],[Data_Wystawienia]])</f>
        <v>2023</v>
      </c>
      <c r="O1301" s="2" t="str">
        <f>TEXT(Table14[[#This Row],[Data_Wystawienia]],"rrrr-mm")</f>
        <v>2023-04</v>
      </c>
      <c r="P1301" s="2">
        <v>1</v>
      </c>
    </row>
    <row r="1302" spans="1:16" x14ac:dyDescent="0.3">
      <c r="A1302" s="2" t="str">
        <f>TRIM(Table1[[#This Row],[Numer_FV]])</f>
        <v>FV/CENFA/259290/23</v>
      </c>
      <c r="B1302" s="2" t="str">
        <f>TRIM(Table1[[#This Row],[Numer_PZ]])</f>
        <v>PZ/801300</v>
      </c>
      <c r="C1302" s="2" t="str">
        <f>TRIM(Table1[[#This Row],[Dostawca]])</f>
        <v>CentrumFarm</v>
      </c>
      <c r="D1302" s="3">
        <v>45039</v>
      </c>
      <c r="E1302" s="4" t="s">
        <v>3872</v>
      </c>
      <c r="F1302" s="2" t="str">
        <f>TRIM(Table1[[#This Row],[Status]])</f>
        <v>Zaakceptowana</v>
      </c>
      <c r="G1302" s="2" t="str">
        <f>TRIM(Table1[[#This Row],[Typ]])</f>
        <v>Faktura VAT</v>
      </c>
      <c r="H1302" s="2" t="str">
        <f>TRIM(Table1[[#This Row],[Magazyn]])</f>
        <v>Apteka Szpitalna</v>
      </c>
      <c r="I1302" s="2" t="str">
        <f>TRIM(Table1[[#This Row],[Umowa]])</f>
        <v/>
      </c>
      <c r="J1302" s="2" t="b">
        <f>ISTEXT(Table14[[#This Row],[Data_Wystawienia]])</f>
        <v>0</v>
      </c>
      <c r="K1302" s="2">
        <f>VALUE(SUBSTITUTE(Table14[[#This Row],[Wartość]],".",","))</f>
        <v>11938.52</v>
      </c>
      <c r="L13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2" s="2" t="str">
        <f>IF(Table14[[#This Row],[Umowa]]="","Poza umową","Z umowy")</f>
        <v>Poza umową</v>
      </c>
      <c r="N1302" s="2">
        <f>YEAR(Table14[[#This Row],[Data_Wystawienia]])</f>
        <v>2023</v>
      </c>
      <c r="O1302" s="2" t="str">
        <f>TEXT(Table14[[#This Row],[Data_Wystawienia]],"rrrr-mm")</f>
        <v>2023-04</v>
      </c>
      <c r="P1302" s="2">
        <v>1</v>
      </c>
    </row>
    <row r="1303" spans="1:16" x14ac:dyDescent="0.3">
      <c r="A1303" s="2" t="str">
        <f>TRIM(Table1[[#This Row],[Numer_FV]])</f>
        <v>FV/43/PP/6667/23</v>
      </c>
      <c r="B1303" s="2" t="str">
        <f>TRIM(Table1[[#This Row],[Numer_PZ]])</f>
        <v>PZ/801301</v>
      </c>
      <c r="C1303" s="2" t="str">
        <f>TRIM(Table1[[#This Row],[Dostawca]])</f>
        <v>PharmaPlus</v>
      </c>
      <c r="D1303" s="3">
        <v>45039</v>
      </c>
      <c r="E1303" s="4" t="s">
        <v>3875</v>
      </c>
      <c r="F1303" s="2" t="str">
        <f>TRIM(Table1[[#This Row],[Status]])</f>
        <v>Zaakceptowana</v>
      </c>
      <c r="G1303" s="2" t="str">
        <f>TRIM(Table1[[#This Row],[Typ]])</f>
        <v>Faktura VAT</v>
      </c>
      <c r="H1303" s="2" t="str">
        <f>TRIM(Table1[[#This Row],[Magazyn]])</f>
        <v>Apteka Szpitalna</v>
      </c>
      <c r="I1303" s="2" t="str">
        <f>TRIM(Table1[[#This Row],[Umowa]])</f>
        <v/>
      </c>
      <c r="J1303" s="2" t="b">
        <f>ISTEXT(Table14[[#This Row],[Data_Wystawienia]])</f>
        <v>0</v>
      </c>
      <c r="K1303" s="2">
        <f>VALUE(SUBSTITUTE(Table14[[#This Row],[Wartość]],".",","))</f>
        <v>16665.189999999999</v>
      </c>
      <c r="L13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3" s="2" t="str">
        <f>IF(Table14[[#This Row],[Umowa]]="","Poza umową","Z umowy")</f>
        <v>Poza umową</v>
      </c>
      <c r="N1303" s="2">
        <f>YEAR(Table14[[#This Row],[Data_Wystawienia]])</f>
        <v>2023</v>
      </c>
      <c r="O1303" s="2" t="str">
        <f>TEXT(Table14[[#This Row],[Data_Wystawienia]],"rrrr-mm")</f>
        <v>2023-04</v>
      </c>
      <c r="P1303" s="2">
        <v>1</v>
      </c>
    </row>
    <row r="1304" spans="1:16" x14ac:dyDescent="0.3">
      <c r="A1304" s="2" t="str">
        <f>TRIM(Table1[[#This Row],[Numer_FV]])</f>
        <v>FV/POL/13468/2023</v>
      </c>
      <c r="B1304" s="2" t="str">
        <f>TRIM(Table1[[#This Row],[Numer_PZ]])</f>
        <v>PZ/801302</v>
      </c>
      <c r="C1304" s="2" t="str">
        <f>TRIM(Table1[[#This Row],[Dostawca]])</f>
        <v>Polmedica</v>
      </c>
      <c r="D1304" s="3">
        <v>45039</v>
      </c>
      <c r="E1304" s="4" t="s">
        <v>3878</v>
      </c>
      <c r="F1304" s="2" t="str">
        <f>TRIM(Table1[[#This Row],[Status]])</f>
        <v>Zaakceptowana</v>
      </c>
      <c r="G1304" s="2" t="str">
        <f>TRIM(Table1[[#This Row],[Typ]])</f>
        <v>Faktura VAT</v>
      </c>
      <c r="H1304" s="2" t="str">
        <f>TRIM(Table1[[#This Row],[Magazyn]])</f>
        <v>Apteka Szpitalna</v>
      </c>
      <c r="I1304" s="2" t="str">
        <f>TRIM(Table1[[#This Row],[Umowa]])</f>
        <v/>
      </c>
      <c r="J1304" s="2" t="b">
        <f>ISTEXT(Table14[[#This Row],[Data_Wystawienia]])</f>
        <v>0</v>
      </c>
      <c r="K1304" s="2">
        <f>VALUE(SUBSTITUTE(Table14[[#This Row],[Wartość]],".",","))</f>
        <v>19049.53</v>
      </c>
      <c r="L13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4" s="2" t="str">
        <f>IF(Table14[[#This Row],[Umowa]]="","Poza umową","Z umowy")</f>
        <v>Poza umową</v>
      </c>
      <c r="N1304" s="2">
        <f>YEAR(Table14[[#This Row],[Data_Wystawienia]])</f>
        <v>2023</v>
      </c>
      <c r="O1304" s="2" t="str">
        <f>TEXT(Table14[[#This Row],[Data_Wystawienia]],"rrrr-mm")</f>
        <v>2023-04</v>
      </c>
      <c r="P1304" s="2">
        <v>1</v>
      </c>
    </row>
    <row r="1305" spans="1:16" x14ac:dyDescent="0.3">
      <c r="A1305" s="2" t="str">
        <f>TRIM(Table1[[#This Row],[Numer_FV]])</f>
        <v>FV/6752/NOVA/23</v>
      </c>
      <c r="B1305" s="2" t="str">
        <f>TRIM(Table1[[#This Row],[Numer_PZ]])</f>
        <v>PZ/801303</v>
      </c>
      <c r="C1305" s="2" t="str">
        <f>TRIM(Table1[[#This Row],[Dostawca]])</f>
        <v>NovaLek</v>
      </c>
      <c r="D1305" s="3">
        <v>45040</v>
      </c>
      <c r="E1305" s="4" t="s">
        <v>3881</v>
      </c>
      <c r="F1305" s="2" t="str">
        <f>TRIM(Table1[[#This Row],[Status]])</f>
        <v>Zaakceptowana</v>
      </c>
      <c r="G1305" s="2" t="str">
        <f>TRIM(Table1[[#This Row],[Typ]])</f>
        <v>Faktura VAT</v>
      </c>
      <c r="H1305" s="2" t="str">
        <f>TRIM(Table1[[#This Row],[Magazyn]])</f>
        <v>Apteka Szpitalna</v>
      </c>
      <c r="I1305" s="2" t="str">
        <f>TRIM(Table1[[#This Row],[Umowa]])</f>
        <v>UM-NOV-02</v>
      </c>
      <c r="J1305" s="2" t="b">
        <f>ISTEXT(Table14[[#This Row],[Data_Wystawienia]])</f>
        <v>0</v>
      </c>
      <c r="K1305" s="2">
        <f>VALUE(SUBSTITUTE(Table14[[#This Row],[Wartość]],".",","))</f>
        <v>11988.24</v>
      </c>
      <c r="L13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5" s="2" t="str">
        <f>IF(Table14[[#This Row],[Umowa]]="","Poza umową","Z umowy")</f>
        <v>Z umowy</v>
      </c>
      <c r="N1305" s="2">
        <f>YEAR(Table14[[#This Row],[Data_Wystawienia]])</f>
        <v>2023</v>
      </c>
      <c r="O1305" s="2" t="str">
        <f>TEXT(Table14[[#This Row],[Data_Wystawienia]],"rrrr-mm")</f>
        <v>2023-04</v>
      </c>
      <c r="P1305" s="2">
        <v>1</v>
      </c>
    </row>
    <row r="1306" spans="1:16" x14ac:dyDescent="0.3">
      <c r="A1306" s="2" t="str">
        <f>TRIM(Table1[[#This Row],[Numer_FV]])</f>
        <v>FV/POL/23008/2023</v>
      </c>
      <c r="B1306" s="2" t="str">
        <f>TRIM(Table1[[#This Row],[Numer_PZ]])</f>
        <v>PZ/801304</v>
      </c>
      <c r="C1306" s="2" t="str">
        <f>TRIM(Table1[[#This Row],[Dostawca]])</f>
        <v>Polmedica</v>
      </c>
      <c r="D1306" s="3">
        <v>45041</v>
      </c>
      <c r="E1306" s="4" t="s">
        <v>3884</v>
      </c>
      <c r="F1306" s="2" t="str">
        <f>TRIM(Table1[[#This Row],[Status]])</f>
        <v>Zaakceptowana</v>
      </c>
      <c r="G1306" s="2" t="str">
        <f>TRIM(Table1[[#This Row],[Typ]])</f>
        <v>Faktura VAT</v>
      </c>
      <c r="H1306" s="2" t="str">
        <f>TRIM(Table1[[#This Row],[Magazyn]])</f>
        <v>Apteka Szpitalna</v>
      </c>
      <c r="I1306" s="2" t="str">
        <f>TRIM(Table1[[#This Row],[Umowa]])</f>
        <v/>
      </c>
      <c r="J1306" s="2" t="b">
        <f>ISTEXT(Table14[[#This Row],[Data_Wystawienia]])</f>
        <v>0</v>
      </c>
      <c r="K1306" s="2">
        <f>VALUE(SUBSTITUTE(Table14[[#This Row],[Wartość]],".",","))</f>
        <v>17206.48</v>
      </c>
      <c r="L13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6" s="2" t="str">
        <f>IF(Table14[[#This Row],[Umowa]]="","Poza umową","Z umowy")</f>
        <v>Poza umową</v>
      </c>
      <c r="N1306" s="2">
        <f>YEAR(Table14[[#This Row],[Data_Wystawienia]])</f>
        <v>2023</v>
      </c>
      <c r="O1306" s="2" t="str">
        <f>TEXT(Table14[[#This Row],[Data_Wystawienia]],"rrrr-mm")</f>
        <v>2023-04</v>
      </c>
      <c r="P1306" s="2">
        <v>1</v>
      </c>
    </row>
    <row r="1307" spans="1:16" x14ac:dyDescent="0.3">
      <c r="A1307" s="2" t="str">
        <f>TRIM(Table1[[#This Row],[Numer_FV]])</f>
        <v>FV/66/SAL/23</v>
      </c>
      <c r="B1307" s="2" t="str">
        <f>TRIM(Table1[[#This Row],[Numer_PZ]])</f>
        <v>PZ/801305</v>
      </c>
      <c r="C1307" s="2" t="str">
        <f>TRIM(Table1[[#This Row],[Dostawca]])</f>
        <v>SalusHurt</v>
      </c>
      <c r="D1307" s="3">
        <v>45041</v>
      </c>
      <c r="E1307" s="4" t="s">
        <v>3886</v>
      </c>
      <c r="F1307" s="2" t="str">
        <f>TRIM(Table1[[#This Row],[Status]])</f>
        <v>Zaakceptowana</v>
      </c>
      <c r="G1307" s="2" t="str">
        <f>TRIM(Table1[[#This Row],[Typ]])</f>
        <v>Faktura VAT</v>
      </c>
      <c r="H1307" s="2" t="str">
        <f>TRIM(Table1[[#This Row],[Magazyn]])</f>
        <v>Apteka Szpitalna</v>
      </c>
      <c r="I1307" s="2" t="str">
        <f>TRIM(Table1[[#This Row],[Umowa]])</f>
        <v>UM-SAL-02</v>
      </c>
      <c r="J1307" s="2" t="b">
        <f>ISTEXT(Table14[[#This Row],[Data_Wystawienia]])</f>
        <v>0</v>
      </c>
      <c r="K1307" s="2">
        <f>VALUE(SUBSTITUTE(Table14[[#This Row],[Wartość]],".",","))</f>
        <v>17559.349999999999</v>
      </c>
      <c r="L13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7" s="2" t="str">
        <f>IF(Table14[[#This Row],[Umowa]]="","Poza umową","Z umowy")</f>
        <v>Z umowy</v>
      </c>
      <c r="N1307" s="2">
        <f>YEAR(Table14[[#This Row],[Data_Wystawienia]])</f>
        <v>2023</v>
      </c>
      <c r="O1307" s="2" t="str">
        <f>TEXT(Table14[[#This Row],[Data_Wystawienia]],"rrrr-mm")</f>
        <v>2023-04</v>
      </c>
      <c r="P1307" s="2">
        <v>1</v>
      </c>
    </row>
    <row r="1308" spans="1:16" x14ac:dyDescent="0.3">
      <c r="A1308" s="2" t="str">
        <f>TRIM(Table1[[#This Row],[Numer_FV]])</f>
        <v>FV/53/SAL/23</v>
      </c>
      <c r="B1308" s="2" t="str">
        <f>TRIM(Table1[[#This Row],[Numer_PZ]])</f>
        <v>PZ/801306</v>
      </c>
      <c r="C1308" s="2" t="str">
        <f>TRIM(Table1[[#This Row],[Dostawca]])</f>
        <v>SalusHurt</v>
      </c>
      <c r="D1308" s="3">
        <v>45041</v>
      </c>
      <c r="E1308" s="4" t="s">
        <v>3889</v>
      </c>
      <c r="F1308" s="2" t="str">
        <f>TRIM(Table1[[#This Row],[Status]])</f>
        <v>Zaakceptowana</v>
      </c>
      <c r="G1308" s="2" t="str">
        <f>TRIM(Table1[[#This Row],[Typ]])</f>
        <v>Faktura VAT</v>
      </c>
      <c r="H1308" s="2" t="str">
        <f>TRIM(Table1[[#This Row],[Magazyn]])</f>
        <v>Apteka Szpitalna</v>
      </c>
      <c r="I1308" s="2" t="str">
        <f>TRIM(Table1[[#This Row],[Umowa]])</f>
        <v>UM-SAL-02</v>
      </c>
      <c r="J1308" s="2" t="b">
        <f>ISTEXT(Table14[[#This Row],[Data_Wystawienia]])</f>
        <v>0</v>
      </c>
      <c r="K1308" s="2">
        <f>VALUE(SUBSTITUTE(Table14[[#This Row],[Wartość]],".",","))</f>
        <v>10367.030000000001</v>
      </c>
      <c r="L13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8" s="2" t="str">
        <f>IF(Table14[[#This Row],[Umowa]]="","Poza umową","Z umowy")</f>
        <v>Z umowy</v>
      </c>
      <c r="N1308" s="2">
        <f>YEAR(Table14[[#This Row],[Data_Wystawienia]])</f>
        <v>2023</v>
      </c>
      <c r="O1308" s="2" t="str">
        <f>TEXT(Table14[[#This Row],[Data_Wystawienia]],"rrrr-mm")</f>
        <v>2023-04</v>
      </c>
      <c r="P1308" s="2">
        <v>1</v>
      </c>
    </row>
    <row r="1309" spans="1:16" x14ac:dyDescent="0.3">
      <c r="A1309" s="2" t="str">
        <f>TRIM(Table1[[#This Row],[Numer_FV]])</f>
        <v>FV/M/1088/P/23</v>
      </c>
      <c r="B1309" s="2" t="str">
        <f>TRIM(Table1[[#This Row],[Numer_PZ]])</f>
        <v>PZ/801307</v>
      </c>
      <c r="C1309" s="2" t="str">
        <f>TRIM(Table1[[#This Row],[Dostawca]])</f>
        <v>MedicaPharm</v>
      </c>
      <c r="D1309" s="3">
        <v>45042</v>
      </c>
      <c r="E1309" s="4" t="s">
        <v>3892</v>
      </c>
      <c r="F1309" s="2" t="str">
        <f>TRIM(Table1[[#This Row],[Status]])</f>
        <v>Zaakceptowana</v>
      </c>
      <c r="G1309" s="2" t="str">
        <f>TRIM(Table1[[#This Row],[Typ]])</f>
        <v>Faktura VAT</v>
      </c>
      <c r="H1309" s="2" t="str">
        <f>TRIM(Table1[[#This Row],[Magazyn]])</f>
        <v>Apteka Szpitalna</v>
      </c>
      <c r="I1309" s="2" t="str">
        <f>TRIM(Table1[[#This Row],[Umowa]])</f>
        <v>UM-MED-02</v>
      </c>
      <c r="J1309" s="2" t="b">
        <f>ISTEXT(Table14[[#This Row],[Data_Wystawienia]])</f>
        <v>0</v>
      </c>
      <c r="K1309" s="2">
        <f>VALUE(SUBSTITUTE(Table14[[#This Row],[Wartość]],".",","))</f>
        <v>23302.240000000002</v>
      </c>
      <c r="L13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09" s="2" t="str">
        <f>IF(Table14[[#This Row],[Umowa]]="","Poza umową","Z umowy")</f>
        <v>Z umowy</v>
      </c>
      <c r="N1309" s="2">
        <f>YEAR(Table14[[#This Row],[Data_Wystawienia]])</f>
        <v>2023</v>
      </c>
      <c r="O1309" s="2" t="str">
        <f>TEXT(Table14[[#This Row],[Data_Wystawienia]],"rrrr-mm")</f>
        <v>2023-04</v>
      </c>
      <c r="P1309" s="2">
        <v>1</v>
      </c>
    </row>
    <row r="1310" spans="1:16" x14ac:dyDescent="0.3">
      <c r="A1310" s="2" t="str">
        <f>TRIM(Table1[[#This Row],[Numer_FV]])</f>
        <v>FV/49165/VDb/2023</v>
      </c>
      <c r="B1310" s="2" t="str">
        <f>TRIM(Table1[[#This Row],[Numer_PZ]])</f>
        <v>PZ/801308</v>
      </c>
      <c r="C1310" s="2" t="str">
        <f>TRIM(Table1[[#This Row],[Dostawca]])</f>
        <v>VitaDistrib</v>
      </c>
      <c r="D1310" s="3">
        <v>45042</v>
      </c>
      <c r="E1310" s="4" t="s">
        <v>3895</v>
      </c>
      <c r="F1310" s="2" t="str">
        <f>TRIM(Table1[[#This Row],[Status]])</f>
        <v>Zaakceptowana</v>
      </c>
      <c r="G1310" s="2" t="str">
        <f>TRIM(Table1[[#This Row],[Typ]])</f>
        <v>Korekta FV</v>
      </c>
      <c r="H1310" s="2" t="str">
        <f>TRIM(Table1[[#This Row],[Magazyn]])</f>
        <v>Apteka Szpitalna</v>
      </c>
      <c r="I1310" s="2" t="str">
        <f>TRIM(Table1[[#This Row],[Umowa]])</f>
        <v>UM-VIT-01</v>
      </c>
      <c r="J1310" s="2" t="b">
        <f>ISTEXT(Table14[[#This Row],[Data_Wystawienia]])</f>
        <v>0</v>
      </c>
      <c r="K1310" s="2">
        <f>VALUE(SUBSTITUTE(Table14[[#This Row],[Wartość]],".",","))</f>
        <v>-2149.42</v>
      </c>
      <c r="L13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0" s="2" t="str">
        <f>IF(Table14[[#This Row],[Umowa]]="","Poza umową","Z umowy")</f>
        <v>Z umowy</v>
      </c>
      <c r="N1310" s="2">
        <f>YEAR(Table14[[#This Row],[Data_Wystawienia]])</f>
        <v>2023</v>
      </c>
      <c r="O1310" s="2" t="str">
        <f>TEXT(Table14[[#This Row],[Data_Wystawienia]],"rrrr-mm")</f>
        <v>2023-04</v>
      </c>
      <c r="P1310" s="2">
        <v>1</v>
      </c>
    </row>
    <row r="1311" spans="1:16" x14ac:dyDescent="0.3">
      <c r="A1311" s="2" t="str">
        <f>TRIM(Table1[[#This Row],[Numer_FV]])</f>
        <v>FV/CENFA/410751/23</v>
      </c>
      <c r="B1311" s="2" t="str">
        <f>TRIM(Table1[[#This Row],[Numer_PZ]])</f>
        <v>PZ/801309</v>
      </c>
      <c r="C1311" s="2" t="str">
        <f>TRIM(Table1[[#This Row],[Dostawca]])</f>
        <v>CentrumFarm</v>
      </c>
      <c r="D1311" s="3">
        <v>45042</v>
      </c>
      <c r="E1311" s="4" t="s">
        <v>3898</v>
      </c>
      <c r="F1311" s="2" t="str">
        <f>TRIM(Table1[[#This Row],[Status]])</f>
        <v>Zaakceptowana</v>
      </c>
      <c r="G1311" s="2" t="str">
        <f>TRIM(Table1[[#This Row],[Typ]])</f>
        <v>Faktura VAT</v>
      </c>
      <c r="H1311" s="2" t="str">
        <f>TRIM(Table1[[#This Row],[Magazyn]])</f>
        <v>Apteka Szpitalna</v>
      </c>
      <c r="I1311" s="2" t="str">
        <f>TRIM(Table1[[#This Row],[Umowa]])</f>
        <v>UM-CEN-02</v>
      </c>
      <c r="J1311" s="2" t="b">
        <f>ISTEXT(Table14[[#This Row],[Data_Wystawienia]])</f>
        <v>0</v>
      </c>
      <c r="K1311" s="2">
        <f>VALUE(SUBSTITUTE(Table14[[#This Row],[Wartość]],".",","))</f>
        <v>14834.29</v>
      </c>
      <c r="L13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1" s="2" t="str">
        <f>IF(Table14[[#This Row],[Umowa]]="","Poza umową","Z umowy")</f>
        <v>Z umowy</v>
      </c>
      <c r="N1311" s="2">
        <f>YEAR(Table14[[#This Row],[Data_Wystawienia]])</f>
        <v>2023</v>
      </c>
      <c r="O1311" s="2" t="str">
        <f>TEXT(Table14[[#This Row],[Data_Wystawienia]],"rrrr-mm")</f>
        <v>2023-04</v>
      </c>
      <c r="P1311" s="2">
        <v>1</v>
      </c>
    </row>
    <row r="1312" spans="1:16" x14ac:dyDescent="0.3">
      <c r="A1312" s="2" t="str">
        <f>TRIM(Table1[[#This Row],[Numer_FV]])</f>
        <v>FV/91/SAL/23</v>
      </c>
      <c r="B1312" s="2" t="str">
        <f>TRIM(Table1[[#This Row],[Numer_PZ]])</f>
        <v>PZ/801310</v>
      </c>
      <c r="C1312" s="2" t="str">
        <f>TRIM(Table1[[#This Row],[Dostawca]])</f>
        <v>SalusHurt</v>
      </c>
      <c r="D1312" s="3">
        <v>45042</v>
      </c>
      <c r="E1312" s="4" t="s">
        <v>3901</v>
      </c>
      <c r="F1312" s="2" t="str">
        <f>TRIM(Table1[[#This Row],[Status]])</f>
        <v>Zaakceptowana</v>
      </c>
      <c r="G1312" s="2" t="str">
        <f>TRIM(Table1[[#This Row],[Typ]])</f>
        <v>Faktura VAT</v>
      </c>
      <c r="H1312" s="2" t="str">
        <f>TRIM(Table1[[#This Row],[Magazyn]])</f>
        <v>Apteka Szpitalna</v>
      </c>
      <c r="I1312" s="2" t="str">
        <f>TRIM(Table1[[#This Row],[Umowa]])</f>
        <v/>
      </c>
      <c r="J1312" s="2" t="b">
        <f>ISTEXT(Table14[[#This Row],[Data_Wystawienia]])</f>
        <v>0</v>
      </c>
      <c r="K1312" s="2">
        <f>VALUE(SUBSTITUTE(Table14[[#This Row],[Wartość]],".",","))</f>
        <v>13218.76</v>
      </c>
      <c r="L13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2" s="2" t="str">
        <f>IF(Table14[[#This Row],[Umowa]]="","Poza umową","Z umowy")</f>
        <v>Poza umową</v>
      </c>
      <c r="N1312" s="2">
        <f>YEAR(Table14[[#This Row],[Data_Wystawienia]])</f>
        <v>2023</v>
      </c>
      <c r="O1312" s="2" t="str">
        <f>TEXT(Table14[[#This Row],[Data_Wystawienia]],"rrrr-mm")</f>
        <v>2023-04</v>
      </c>
      <c r="P1312" s="2">
        <v>1</v>
      </c>
    </row>
    <row r="1313" spans="1:16" x14ac:dyDescent="0.3">
      <c r="A1313" s="2" t="str">
        <f>TRIM(Table1[[#This Row],[Numer_FV]])</f>
        <v>FV/57/SAL/23</v>
      </c>
      <c r="B1313" s="2" t="str">
        <f>TRIM(Table1[[#This Row],[Numer_PZ]])</f>
        <v>PZ/801311</v>
      </c>
      <c r="C1313" s="2" t="str">
        <f>TRIM(Table1[[#This Row],[Dostawca]])</f>
        <v>SalusHurt</v>
      </c>
      <c r="D1313" s="3">
        <v>45043</v>
      </c>
      <c r="E1313" s="4" t="s">
        <v>3903</v>
      </c>
      <c r="F1313" s="2" t="str">
        <f>TRIM(Table1[[#This Row],[Status]])</f>
        <v>Zaakceptowana</v>
      </c>
      <c r="G1313" s="2" t="str">
        <f>TRIM(Table1[[#This Row],[Typ]])</f>
        <v>Faktura VAT</v>
      </c>
      <c r="H1313" s="2" t="str">
        <f>TRIM(Table1[[#This Row],[Magazyn]])</f>
        <v>Apteka Szpitalna</v>
      </c>
      <c r="I1313" s="2" t="str">
        <f>TRIM(Table1[[#This Row],[Umowa]])</f>
        <v/>
      </c>
      <c r="J1313" s="2" t="b">
        <f>ISTEXT(Table14[[#This Row],[Data_Wystawienia]])</f>
        <v>0</v>
      </c>
      <c r="K1313" s="2">
        <f>VALUE(SUBSTITUTE(Table14[[#This Row],[Wartość]],".",","))</f>
        <v>11869.64</v>
      </c>
      <c r="L13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3" s="2" t="str">
        <f>IF(Table14[[#This Row],[Umowa]]="","Poza umową","Z umowy")</f>
        <v>Poza umową</v>
      </c>
      <c r="N1313" s="2">
        <f>YEAR(Table14[[#This Row],[Data_Wystawienia]])</f>
        <v>2023</v>
      </c>
      <c r="O1313" s="2" t="str">
        <f>TEXT(Table14[[#This Row],[Data_Wystawienia]],"rrrr-mm")</f>
        <v>2023-04</v>
      </c>
      <c r="P1313" s="2">
        <v>1</v>
      </c>
    </row>
    <row r="1314" spans="1:16" x14ac:dyDescent="0.3">
      <c r="A1314" s="2" t="str">
        <f>TRIM(Table1[[#This Row],[Numer_FV]])</f>
        <v>FV/50/PP/7383/23</v>
      </c>
      <c r="B1314" s="2" t="str">
        <f>TRIM(Table1[[#This Row],[Numer_PZ]])</f>
        <v>PZ/801312</v>
      </c>
      <c r="C1314" s="2" t="str">
        <f>TRIM(Table1[[#This Row],[Dostawca]])</f>
        <v>PharmaPlus</v>
      </c>
      <c r="D1314" s="3">
        <v>45043</v>
      </c>
      <c r="E1314" s="4" t="s">
        <v>3906</v>
      </c>
      <c r="F1314" s="2" t="str">
        <f>TRIM(Table1[[#This Row],[Status]])</f>
        <v>Zaakceptowana</v>
      </c>
      <c r="G1314" s="2" t="str">
        <f>TRIM(Table1[[#This Row],[Typ]])</f>
        <v>Faktura VAT</v>
      </c>
      <c r="H1314" s="2" t="str">
        <f>TRIM(Table1[[#This Row],[Magazyn]])</f>
        <v>Apteka Szpitalna</v>
      </c>
      <c r="I1314" s="2" t="str">
        <f>TRIM(Table1[[#This Row],[Umowa]])</f>
        <v>UM-PHA-01</v>
      </c>
      <c r="J1314" s="2" t="b">
        <f>ISTEXT(Table14[[#This Row],[Data_Wystawienia]])</f>
        <v>0</v>
      </c>
      <c r="K1314" s="2">
        <f>VALUE(SUBSTITUTE(Table14[[#This Row],[Wartość]],".",","))</f>
        <v>22704.25</v>
      </c>
      <c r="L13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4" s="2" t="str">
        <f>IF(Table14[[#This Row],[Umowa]]="","Poza umową","Z umowy")</f>
        <v>Z umowy</v>
      </c>
      <c r="N1314" s="2">
        <f>YEAR(Table14[[#This Row],[Data_Wystawienia]])</f>
        <v>2023</v>
      </c>
      <c r="O1314" s="2" t="str">
        <f>TEXT(Table14[[#This Row],[Data_Wystawienia]],"rrrr-mm")</f>
        <v>2023-04</v>
      </c>
      <c r="P1314" s="2">
        <v>1</v>
      </c>
    </row>
    <row r="1315" spans="1:16" x14ac:dyDescent="0.3">
      <c r="A1315" s="2" t="str">
        <f>TRIM(Table1[[#This Row],[Numer_FV]])</f>
        <v>FV/8012/NOVA/23</v>
      </c>
      <c r="B1315" s="2" t="str">
        <f>TRIM(Table1[[#This Row],[Numer_PZ]])</f>
        <v>PZ/801313</v>
      </c>
      <c r="C1315" s="2" t="str">
        <f>TRIM(Table1[[#This Row],[Dostawca]])</f>
        <v>NovaLek</v>
      </c>
      <c r="D1315" s="3">
        <v>45043</v>
      </c>
      <c r="E1315" s="4" t="s">
        <v>3909</v>
      </c>
      <c r="F1315" s="2" t="str">
        <f>TRIM(Table1[[#This Row],[Status]])</f>
        <v>Zaakceptowana</v>
      </c>
      <c r="G1315" s="2" t="str">
        <f>TRIM(Table1[[#This Row],[Typ]])</f>
        <v>Faktura VAT</v>
      </c>
      <c r="H1315" s="2" t="str">
        <f>TRIM(Table1[[#This Row],[Magazyn]])</f>
        <v>Apteka Szpitalna</v>
      </c>
      <c r="I1315" s="2" t="str">
        <f>TRIM(Table1[[#This Row],[Umowa]])</f>
        <v/>
      </c>
      <c r="J1315" s="2" t="b">
        <f>ISTEXT(Table14[[#This Row],[Data_Wystawienia]])</f>
        <v>0</v>
      </c>
      <c r="K1315" s="2">
        <f>VALUE(SUBSTITUTE(Table14[[#This Row],[Wartość]],".",","))</f>
        <v>20527.39</v>
      </c>
      <c r="L13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5" s="2" t="str">
        <f>IF(Table14[[#This Row],[Umowa]]="","Poza umową","Z umowy")</f>
        <v>Poza umową</v>
      </c>
      <c r="N1315" s="2">
        <f>YEAR(Table14[[#This Row],[Data_Wystawienia]])</f>
        <v>2023</v>
      </c>
      <c r="O1315" s="2" t="str">
        <f>TEXT(Table14[[#This Row],[Data_Wystawienia]],"rrrr-mm")</f>
        <v>2023-04</v>
      </c>
      <c r="P1315" s="2">
        <v>1</v>
      </c>
    </row>
    <row r="1316" spans="1:16" x14ac:dyDescent="0.3">
      <c r="A1316" s="2" t="str">
        <f>TRIM(Table1[[#This Row],[Numer_FV]])</f>
        <v>FV/POL/90365/2023</v>
      </c>
      <c r="B1316" s="2" t="str">
        <f>TRIM(Table1[[#This Row],[Numer_PZ]])</f>
        <v>PZ/801314</v>
      </c>
      <c r="C1316" s="2" t="str">
        <f>TRIM(Table1[[#This Row],[Dostawca]])</f>
        <v>Polmedica</v>
      </c>
      <c r="D1316" s="3">
        <v>45044</v>
      </c>
      <c r="E1316" s="4" t="s">
        <v>3912</v>
      </c>
      <c r="F1316" s="2" t="str">
        <f>TRIM(Table1[[#This Row],[Status]])</f>
        <v>Zaakceptowana</v>
      </c>
      <c r="G1316" s="2" t="str">
        <f>TRIM(Table1[[#This Row],[Typ]])</f>
        <v>Faktura VAT</v>
      </c>
      <c r="H1316" s="2" t="str">
        <f>TRIM(Table1[[#This Row],[Magazyn]])</f>
        <v>Apteka Szpitalna</v>
      </c>
      <c r="I1316" s="2" t="str">
        <f>TRIM(Table1[[#This Row],[Umowa]])</f>
        <v>UM-POL-03</v>
      </c>
      <c r="J1316" s="2" t="b">
        <f>ISTEXT(Table14[[#This Row],[Data_Wystawienia]])</f>
        <v>0</v>
      </c>
      <c r="K1316" s="2">
        <f>VALUE(SUBSTITUTE(Table14[[#This Row],[Wartość]],".",","))</f>
        <v>10628.56</v>
      </c>
      <c r="L13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6" s="2" t="str">
        <f>IF(Table14[[#This Row],[Umowa]]="","Poza umową","Z umowy")</f>
        <v>Z umowy</v>
      </c>
      <c r="N1316" s="2">
        <f>YEAR(Table14[[#This Row],[Data_Wystawienia]])</f>
        <v>2023</v>
      </c>
      <c r="O1316" s="2" t="str">
        <f>TEXT(Table14[[#This Row],[Data_Wystawienia]],"rrrr-mm")</f>
        <v>2023-04</v>
      </c>
      <c r="P1316" s="2">
        <v>1</v>
      </c>
    </row>
    <row r="1317" spans="1:16" x14ac:dyDescent="0.3">
      <c r="A1317" s="2" t="str">
        <f>TRIM(Table1[[#This Row],[Numer_FV]])</f>
        <v>FV/8957HM/23</v>
      </c>
      <c r="B1317" s="2" t="str">
        <f>TRIM(Table1[[#This Row],[Numer_PZ]])</f>
        <v>PZ/801315</v>
      </c>
      <c r="C1317" s="2" t="str">
        <f>TRIM(Table1[[#This Row],[Dostawca]])</f>
        <v>HurtMedix</v>
      </c>
      <c r="D1317" s="3">
        <v>45044</v>
      </c>
      <c r="E1317" s="4" t="s">
        <v>3915</v>
      </c>
      <c r="F1317" s="2" t="str">
        <f>TRIM(Table1[[#This Row],[Status]])</f>
        <v>Zaakceptowana</v>
      </c>
      <c r="G1317" s="2" t="str">
        <f>TRIM(Table1[[#This Row],[Typ]])</f>
        <v>Faktura VAT</v>
      </c>
      <c r="H1317" s="2" t="str">
        <f>TRIM(Table1[[#This Row],[Magazyn]])</f>
        <v>Apteka Szpitalna</v>
      </c>
      <c r="I1317" s="2" t="str">
        <f>TRIM(Table1[[#This Row],[Umowa]])</f>
        <v>UM-HUR-01</v>
      </c>
      <c r="J1317" s="2" t="b">
        <f>ISTEXT(Table14[[#This Row],[Data_Wystawienia]])</f>
        <v>0</v>
      </c>
      <c r="K1317" s="2">
        <f>VALUE(SUBSTITUTE(Table14[[#This Row],[Wartość]],".",","))</f>
        <v>17863.23</v>
      </c>
      <c r="L13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7" s="2" t="str">
        <f>IF(Table14[[#This Row],[Umowa]]="","Poza umową","Z umowy")</f>
        <v>Z umowy</v>
      </c>
      <c r="N1317" s="2">
        <f>YEAR(Table14[[#This Row],[Data_Wystawienia]])</f>
        <v>2023</v>
      </c>
      <c r="O1317" s="2" t="str">
        <f>TEXT(Table14[[#This Row],[Data_Wystawienia]],"rrrr-mm")</f>
        <v>2023-04</v>
      </c>
      <c r="P1317" s="2">
        <v>1</v>
      </c>
    </row>
    <row r="1318" spans="1:16" x14ac:dyDescent="0.3">
      <c r="A1318" s="2" t="str">
        <f>TRIM(Table1[[#This Row],[Numer_FV]])</f>
        <v>FV/2085HM/23</v>
      </c>
      <c r="B1318" s="2" t="str">
        <f>TRIM(Table1[[#This Row],[Numer_PZ]])</f>
        <v>PZ/801316</v>
      </c>
      <c r="C1318" s="2" t="str">
        <f>TRIM(Table1[[#This Row],[Dostawca]])</f>
        <v>HurtMedix</v>
      </c>
      <c r="D1318" s="3">
        <v>45044</v>
      </c>
      <c r="E1318" s="4" t="s">
        <v>3918</v>
      </c>
      <c r="F1318" s="2" t="str">
        <f>TRIM(Table1[[#This Row],[Status]])</f>
        <v>Zaakceptowana</v>
      </c>
      <c r="G1318" s="2" t="str">
        <f>TRIM(Table1[[#This Row],[Typ]])</f>
        <v>Faktura VAT</v>
      </c>
      <c r="H1318" s="2" t="str">
        <f>TRIM(Table1[[#This Row],[Magazyn]])</f>
        <v>Apteka Szpitalna</v>
      </c>
      <c r="I1318" s="2" t="str">
        <f>TRIM(Table1[[#This Row],[Umowa]])</f>
        <v>UM-HUR-03</v>
      </c>
      <c r="J1318" s="2" t="b">
        <f>ISTEXT(Table14[[#This Row],[Data_Wystawienia]])</f>
        <v>0</v>
      </c>
      <c r="K1318" s="2">
        <f>VALUE(SUBSTITUTE(Table14[[#This Row],[Wartość]],".",","))</f>
        <v>9662.56</v>
      </c>
      <c r="L13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8" s="2" t="str">
        <f>IF(Table14[[#This Row],[Umowa]]="","Poza umową","Z umowy")</f>
        <v>Z umowy</v>
      </c>
      <c r="N1318" s="2">
        <f>YEAR(Table14[[#This Row],[Data_Wystawienia]])</f>
        <v>2023</v>
      </c>
      <c r="O1318" s="2" t="str">
        <f>TEXT(Table14[[#This Row],[Data_Wystawienia]],"rrrr-mm")</f>
        <v>2023-04</v>
      </c>
      <c r="P1318" s="2">
        <v>1</v>
      </c>
    </row>
    <row r="1319" spans="1:16" x14ac:dyDescent="0.3">
      <c r="A1319" s="2" t="str">
        <f>TRIM(Table1[[#This Row],[Numer_FV]])</f>
        <v>FV/POL/39177/2023</v>
      </c>
      <c r="B1319" s="2" t="str">
        <f>TRIM(Table1[[#This Row],[Numer_PZ]])</f>
        <v>PZ/801317</v>
      </c>
      <c r="C1319" s="2" t="str">
        <f>TRIM(Table1[[#This Row],[Dostawca]])</f>
        <v>Polmedica</v>
      </c>
      <c r="D1319" s="3">
        <v>45044</v>
      </c>
      <c r="E1319" s="4" t="s">
        <v>3921</v>
      </c>
      <c r="F1319" s="2" t="str">
        <f>TRIM(Table1[[#This Row],[Status]])</f>
        <v>Zaakceptowana</v>
      </c>
      <c r="G1319" s="2" t="str">
        <f>TRIM(Table1[[#This Row],[Typ]])</f>
        <v>Faktura VAT</v>
      </c>
      <c r="H1319" s="2" t="str">
        <f>TRIM(Table1[[#This Row],[Magazyn]])</f>
        <v>Apteka Szpitalna</v>
      </c>
      <c r="I1319" s="2" t="str">
        <f>TRIM(Table1[[#This Row],[Umowa]])</f>
        <v>UM-POL-03</v>
      </c>
      <c r="J1319" s="2" t="b">
        <f>ISTEXT(Table14[[#This Row],[Data_Wystawienia]])</f>
        <v>0</v>
      </c>
      <c r="K1319" s="2">
        <f>VALUE(SUBSTITUTE(Table14[[#This Row],[Wartość]],".",","))</f>
        <v>27266.54</v>
      </c>
      <c r="L13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19" s="2" t="str">
        <f>IF(Table14[[#This Row],[Umowa]]="","Poza umową","Z umowy")</f>
        <v>Z umowy</v>
      </c>
      <c r="N1319" s="2">
        <f>YEAR(Table14[[#This Row],[Data_Wystawienia]])</f>
        <v>2023</v>
      </c>
      <c r="O1319" s="2" t="str">
        <f>TEXT(Table14[[#This Row],[Data_Wystawienia]],"rrrr-mm")</f>
        <v>2023-04</v>
      </c>
      <c r="P1319" s="2">
        <v>1</v>
      </c>
    </row>
    <row r="1320" spans="1:16" x14ac:dyDescent="0.3">
      <c r="A1320" s="2" t="str">
        <f>TRIM(Table1[[#This Row],[Numer_FV]])</f>
        <v>FV/9549HM/23</v>
      </c>
      <c r="B1320" s="2" t="str">
        <f>TRIM(Table1[[#This Row],[Numer_PZ]])</f>
        <v>PZ/801318</v>
      </c>
      <c r="C1320" s="2" t="str">
        <f>TRIM(Table1[[#This Row],[Dostawca]])</f>
        <v>HurtMedix</v>
      </c>
      <c r="D1320" s="3">
        <v>45044</v>
      </c>
      <c r="E1320" s="4" t="s">
        <v>3924</v>
      </c>
      <c r="F1320" s="2" t="str">
        <f>TRIM(Table1[[#This Row],[Status]])</f>
        <v>Zaakceptowana</v>
      </c>
      <c r="G1320" s="2" t="str">
        <f>TRIM(Table1[[#This Row],[Typ]])</f>
        <v>Faktura VAT</v>
      </c>
      <c r="H1320" s="2" t="str">
        <f>TRIM(Table1[[#This Row],[Magazyn]])</f>
        <v>Apteka Szpitalna</v>
      </c>
      <c r="I1320" s="2" t="str">
        <f>TRIM(Table1[[#This Row],[Umowa]])</f>
        <v/>
      </c>
      <c r="J1320" s="2" t="b">
        <f>ISTEXT(Table14[[#This Row],[Data_Wystawienia]])</f>
        <v>0</v>
      </c>
      <c r="K1320" s="2">
        <f>VALUE(SUBSTITUTE(Table14[[#This Row],[Wartość]],".",","))</f>
        <v>11153.41</v>
      </c>
      <c r="L13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0" s="2" t="str">
        <f>IF(Table14[[#This Row],[Umowa]]="","Poza umową","Z umowy")</f>
        <v>Poza umową</v>
      </c>
      <c r="N1320" s="2">
        <f>YEAR(Table14[[#This Row],[Data_Wystawienia]])</f>
        <v>2023</v>
      </c>
      <c r="O1320" s="2" t="str">
        <f>TEXT(Table14[[#This Row],[Data_Wystawienia]],"rrrr-mm")</f>
        <v>2023-04</v>
      </c>
      <c r="P1320" s="2">
        <v>1</v>
      </c>
    </row>
    <row r="1321" spans="1:16" x14ac:dyDescent="0.3">
      <c r="A1321" s="2" t="str">
        <f>TRIM(Table1[[#This Row],[Numer_FV]])</f>
        <v>FV/38/PP/8509/23</v>
      </c>
      <c r="B1321" s="2" t="str">
        <f>TRIM(Table1[[#This Row],[Numer_PZ]])</f>
        <v>PZ/801319</v>
      </c>
      <c r="C1321" s="2" t="str">
        <f>TRIM(Table1[[#This Row],[Dostawca]])</f>
        <v>PharmaPlus</v>
      </c>
      <c r="D1321" s="3">
        <v>45045</v>
      </c>
      <c r="E1321" s="4" t="s">
        <v>3927</v>
      </c>
      <c r="F1321" s="2" t="str">
        <f>TRIM(Table1[[#This Row],[Status]])</f>
        <v>Zaakceptowana</v>
      </c>
      <c r="G1321" s="2" t="str">
        <f>TRIM(Table1[[#This Row],[Typ]])</f>
        <v>Faktura VAT</v>
      </c>
      <c r="H1321" s="2" t="str">
        <f>TRIM(Table1[[#This Row],[Magazyn]])</f>
        <v>Apteka Szpitalna</v>
      </c>
      <c r="I1321" s="2" t="str">
        <f>TRIM(Table1[[#This Row],[Umowa]])</f>
        <v/>
      </c>
      <c r="J1321" s="2" t="b">
        <f>ISTEXT(Table14[[#This Row],[Data_Wystawienia]])</f>
        <v>0</v>
      </c>
      <c r="K1321" s="2">
        <f>VALUE(SUBSTITUTE(Table14[[#This Row],[Wartość]],".",","))</f>
        <v>13420.19</v>
      </c>
      <c r="L13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1" s="2" t="str">
        <f>IF(Table14[[#This Row],[Umowa]]="","Poza umową","Z umowy")</f>
        <v>Poza umową</v>
      </c>
      <c r="N1321" s="2">
        <f>YEAR(Table14[[#This Row],[Data_Wystawienia]])</f>
        <v>2023</v>
      </c>
      <c r="O1321" s="2" t="str">
        <f>TEXT(Table14[[#This Row],[Data_Wystawienia]],"rrrr-mm")</f>
        <v>2023-04</v>
      </c>
      <c r="P1321" s="2">
        <v>1</v>
      </c>
    </row>
    <row r="1322" spans="1:16" x14ac:dyDescent="0.3">
      <c r="A1322" s="2" t="str">
        <f>TRIM(Table1[[#This Row],[Numer_FV]])</f>
        <v>FV/CENFA/588046/23</v>
      </c>
      <c r="B1322" s="2" t="str">
        <f>TRIM(Table1[[#This Row],[Numer_PZ]])</f>
        <v>PZ/801320</v>
      </c>
      <c r="C1322" s="2" t="str">
        <f>TRIM(Table1[[#This Row],[Dostawca]])</f>
        <v>CentrumFarm</v>
      </c>
      <c r="D1322" s="3">
        <v>45045</v>
      </c>
      <c r="E1322" s="4" t="s">
        <v>3930</v>
      </c>
      <c r="F1322" s="2" t="str">
        <f>TRIM(Table1[[#This Row],[Status]])</f>
        <v>Zaakceptowana</v>
      </c>
      <c r="G1322" s="2" t="str">
        <f>TRIM(Table1[[#This Row],[Typ]])</f>
        <v>Faktura VAT</v>
      </c>
      <c r="H1322" s="2" t="str">
        <f>TRIM(Table1[[#This Row],[Magazyn]])</f>
        <v>Apteka Szpitalna</v>
      </c>
      <c r="I1322" s="2" t="str">
        <f>TRIM(Table1[[#This Row],[Umowa]])</f>
        <v>UM-CEN-02</v>
      </c>
      <c r="J1322" s="2" t="b">
        <f>ISTEXT(Table14[[#This Row],[Data_Wystawienia]])</f>
        <v>0</v>
      </c>
      <c r="K1322" s="2">
        <f>VALUE(SUBSTITUTE(Table14[[#This Row],[Wartość]],".",","))</f>
        <v>19470.57</v>
      </c>
      <c r="L13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2" s="2" t="str">
        <f>IF(Table14[[#This Row],[Umowa]]="","Poza umową","Z umowy")</f>
        <v>Z umowy</v>
      </c>
      <c r="N1322" s="2">
        <f>YEAR(Table14[[#This Row],[Data_Wystawienia]])</f>
        <v>2023</v>
      </c>
      <c r="O1322" s="2" t="str">
        <f>TEXT(Table14[[#This Row],[Data_Wystawienia]],"rrrr-mm")</f>
        <v>2023-04</v>
      </c>
      <c r="P1322" s="2">
        <v>1</v>
      </c>
    </row>
    <row r="1323" spans="1:16" x14ac:dyDescent="0.3">
      <c r="A1323" s="2" t="str">
        <f>TRIM(Table1[[#This Row],[Numer_FV]])</f>
        <v>FV/CENFA/308609/23</v>
      </c>
      <c r="B1323" s="2" t="str">
        <f>TRIM(Table1[[#This Row],[Numer_PZ]])</f>
        <v>PZ/801321</v>
      </c>
      <c r="C1323" s="2" t="str">
        <f>TRIM(Table1[[#This Row],[Dostawca]])</f>
        <v>CentrumFarm</v>
      </c>
      <c r="D1323" s="3">
        <v>45045</v>
      </c>
      <c r="E1323" s="4" t="s">
        <v>3933</v>
      </c>
      <c r="F1323" s="2" t="str">
        <f>TRIM(Table1[[#This Row],[Status]])</f>
        <v>Zaakceptowana</v>
      </c>
      <c r="G1323" s="2" t="str">
        <f>TRIM(Table1[[#This Row],[Typ]])</f>
        <v>Faktura VAT</v>
      </c>
      <c r="H1323" s="2" t="str">
        <f>TRIM(Table1[[#This Row],[Magazyn]])</f>
        <v>Apteka Szpitalna</v>
      </c>
      <c r="I1323" s="2" t="str">
        <f>TRIM(Table1[[#This Row],[Umowa]])</f>
        <v>UM-CEN-01</v>
      </c>
      <c r="J1323" s="2" t="b">
        <f>ISTEXT(Table14[[#This Row],[Data_Wystawienia]])</f>
        <v>0</v>
      </c>
      <c r="K1323" s="2">
        <f>VALUE(SUBSTITUTE(Table14[[#This Row],[Wartość]],".",","))</f>
        <v>15601.75</v>
      </c>
      <c r="L13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3" s="2" t="str">
        <f>IF(Table14[[#This Row],[Umowa]]="","Poza umową","Z umowy")</f>
        <v>Z umowy</v>
      </c>
      <c r="N1323" s="2">
        <f>YEAR(Table14[[#This Row],[Data_Wystawienia]])</f>
        <v>2023</v>
      </c>
      <c r="O1323" s="2" t="str">
        <f>TEXT(Table14[[#This Row],[Data_Wystawienia]],"rrrr-mm")</f>
        <v>2023-04</v>
      </c>
      <c r="P1323" s="2">
        <v>1</v>
      </c>
    </row>
    <row r="1324" spans="1:16" x14ac:dyDescent="0.3">
      <c r="A1324" s="2" t="str">
        <f>TRIM(Table1[[#This Row],[Numer_FV]])</f>
        <v>FV/M/6946/P/23</v>
      </c>
      <c r="B1324" s="2" t="str">
        <f>TRIM(Table1[[#This Row],[Numer_PZ]])</f>
        <v>PZ/801322</v>
      </c>
      <c r="C1324" s="2" t="str">
        <f>TRIM(Table1[[#This Row],[Dostawca]])</f>
        <v>MedicaPharm</v>
      </c>
      <c r="D1324" s="3">
        <v>45046</v>
      </c>
      <c r="E1324" s="4" t="s">
        <v>3936</v>
      </c>
      <c r="F1324" s="2" t="str">
        <f>TRIM(Table1[[#This Row],[Status]])</f>
        <v>Zaakceptowana</v>
      </c>
      <c r="G1324" s="2" t="str">
        <f>TRIM(Table1[[#This Row],[Typ]])</f>
        <v>Faktura VAT</v>
      </c>
      <c r="H1324" s="2" t="str">
        <f>TRIM(Table1[[#This Row],[Magazyn]])</f>
        <v>Apteka Szpitalna</v>
      </c>
      <c r="I1324" s="2" t="str">
        <f>TRIM(Table1[[#This Row],[Umowa]])</f>
        <v>UM-MED-01</v>
      </c>
      <c r="J1324" s="2" t="b">
        <f>ISTEXT(Table14[[#This Row],[Data_Wystawienia]])</f>
        <v>0</v>
      </c>
      <c r="K1324" s="2">
        <f>VALUE(SUBSTITUTE(Table14[[#This Row],[Wartość]],".",","))</f>
        <v>17469.36</v>
      </c>
      <c r="L13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4" s="2" t="str">
        <f>IF(Table14[[#This Row],[Umowa]]="","Poza umową","Z umowy")</f>
        <v>Z umowy</v>
      </c>
      <c r="N1324" s="2">
        <f>YEAR(Table14[[#This Row],[Data_Wystawienia]])</f>
        <v>2023</v>
      </c>
      <c r="O1324" s="2" t="str">
        <f>TEXT(Table14[[#This Row],[Data_Wystawienia]],"rrrr-mm")</f>
        <v>2023-04</v>
      </c>
      <c r="P1324" s="2">
        <v>1</v>
      </c>
    </row>
    <row r="1325" spans="1:16" x14ac:dyDescent="0.3">
      <c r="A1325" s="2" t="str">
        <f>TRIM(Table1[[#This Row],[Numer_FV]])</f>
        <v>FV/POL/58558/2023</v>
      </c>
      <c r="B1325" s="2" t="str">
        <f>TRIM(Table1[[#This Row],[Numer_PZ]])</f>
        <v>PZ/801323</v>
      </c>
      <c r="C1325" s="2" t="str">
        <f>TRIM(Table1[[#This Row],[Dostawca]])</f>
        <v>Polmedica</v>
      </c>
      <c r="D1325" s="3">
        <v>45046</v>
      </c>
      <c r="E1325" s="4" t="s">
        <v>3939</v>
      </c>
      <c r="F1325" s="2" t="str">
        <f>TRIM(Table1[[#This Row],[Status]])</f>
        <v>Zaakceptowana</v>
      </c>
      <c r="G1325" s="2" t="str">
        <f>TRIM(Table1[[#This Row],[Typ]])</f>
        <v>Faktura VAT</v>
      </c>
      <c r="H1325" s="2" t="str">
        <f>TRIM(Table1[[#This Row],[Magazyn]])</f>
        <v>Apteka Szpitalna</v>
      </c>
      <c r="I1325" s="2" t="str">
        <f>TRIM(Table1[[#This Row],[Umowa]])</f>
        <v>UM-POL-01</v>
      </c>
      <c r="J1325" s="2" t="b">
        <f>ISTEXT(Table14[[#This Row],[Data_Wystawienia]])</f>
        <v>0</v>
      </c>
      <c r="K1325" s="2">
        <f>VALUE(SUBSTITUTE(Table14[[#This Row],[Wartość]],".",","))</f>
        <v>24510.240000000002</v>
      </c>
      <c r="L13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5" s="2" t="str">
        <f>IF(Table14[[#This Row],[Umowa]]="","Poza umową","Z umowy")</f>
        <v>Z umowy</v>
      </c>
      <c r="N1325" s="2">
        <f>YEAR(Table14[[#This Row],[Data_Wystawienia]])</f>
        <v>2023</v>
      </c>
      <c r="O1325" s="2" t="str">
        <f>TEXT(Table14[[#This Row],[Data_Wystawienia]],"rrrr-mm")</f>
        <v>2023-04</v>
      </c>
      <c r="P1325" s="2">
        <v>1</v>
      </c>
    </row>
    <row r="1326" spans="1:16" x14ac:dyDescent="0.3">
      <c r="A1326" s="2" t="str">
        <f>TRIM(Table1[[#This Row],[Numer_FV]])</f>
        <v>FV/1101HM/23</v>
      </c>
      <c r="B1326" s="2" t="str">
        <f>TRIM(Table1[[#This Row],[Numer_PZ]])</f>
        <v>PZ/801324</v>
      </c>
      <c r="C1326" s="2" t="str">
        <f>TRIM(Table1[[#This Row],[Dostawca]])</f>
        <v>HurtMedix</v>
      </c>
      <c r="D1326" s="3">
        <v>45047</v>
      </c>
      <c r="E1326" s="4" t="s">
        <v>3942</v>
      </c>
      <c r="F1326" s="2" t="str">
        <f>TRIM(Table1[[#This Row],[Status]])</f>
        <v>Zaakceptowana</v>
      </c>
      <c r="G1326" s="2" t="str">
        <f>TRIM(Table1[[#This Row],[Typ]])</f>
        <v>Faktura VAT</v>
      </c>
      <c r="H1326" s="2" t="str">
        <f>TRIM(Table1[[#This Row],[Magazyn]])</f>
        <v>Apteka Szpitalna</v>
      </c>
      <c r="I1326" s="2" t="str">
        <f>TRIM(Table1[[#This Row],[Umowa]])</f>
        <v>UM-HUR-02</v>
      </c>
      <c r="J1326" s="2" t="b">
        <f>ISTEXT(Table14[[#This Row],[Data_Wystawienia]])</f>
        <v>0</v>
      </c>
      <c r="K1326" s="2">
        <f>VALUE(SUBSTITUTE(Table14[[#This Row],[Wartość]],".",","))</f>
        <v>20209.55</v>
      </c>
      <c r="L13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6" s="2" t="str">
        <f>IF(Table14[[#This Row],[Umowa]]="","Poza umową","Z umowy")</f>
        <v>Z umowy</v>
      </c>
      <c r="N1326" s="2">
        <f>YEAR(Table14[[#This Row],[Data_Wystawienia]])</f>
        <v>2023</v>
      </c>
      <c r="O1326" s="2" t="str">
        <f>TEXT(Table14[[#This Row],[Data_Wystawienia]],"rrrr-mm")</f>
        <v>2023-05</v>
      </c>
      <c r="P1326" s="2">
        <v>1</v>
      </c>
    </row>
    <row r="1327" spans="1:16" x14ac:dyDescent="0.3">
      <c r="A1327" s="2" t="str">
        <f>TRIM(Table1[[#This Row],[Numer_FV]])</f>
        <v>FV/95/SAL/23</v>
      </c>
      <c r="B1327" s="2" t="str">
        <f>TRIM(Table1[[#This Row],[Numer_PZ]])</f>
        <v>PZ/801325</v>
      </c>
      <c r="C1327" s="2" t="str">
        <f>TRIM(Table1[[#This Row],[Dostawca]])</f>
        <v>SalusHurt</v>
      </c>
      <c r="D1327" s="3">
        <v>45048</v>
      </c>
      <c r="E1327" s="4" t="s">
        <v>3945</v>
      </c>
      <c r="F1327" s="2" t="str">
        <f>TRIM(Table1[[#This Row],[Status]])</f>
        <v>Zaakceptowana</v>
      </c>
      <c r="G1327" s="2" t="str">
        <f>TRIM(Table1[[#This Row],[Typ]])</f>
        <v>Faktura VAT</v>
      </c>
      <c r="H1327" s="2" t="str">
        <f>TRIM(Table1[[#This Row],[Magazyn]])</f>
        <v>Apteka Szpitalna</v>
      </c>
      <c r="I1327" s="2" t="str">
        <f>TRIM(Table1[[#This Row],[Umowa]])</f>
        <v>UM-SAL-01</v>
      </c>
      <c r="J1327" s="2" t="b">
        <f>ISTEXT(Table14[[#This Row],[Data_Wystawienia]])</f>
        <v>0</v>
      </c>
      <c r="K1327" s="2">
        <f>VALUE(SUBSTITUTE(Table14[[#This Row],[Wartość]],".",","))</f>
        <v>18531.16</v>
      </c>
      <c r="L13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7" s="2" t="str">
        <f>IF(Table14[[#This Row],[Umowa]]="","Poza umową","Z umowy")</f>
        <v>Z umowy</v>
      </c>
      <c r="N1327" s="2">
        <f>YEAR(Table14[[#This Row],[Data_Wystawienia]])</f>
        <v>2023</v>
      </c>
      <c r="O1327" s="2" t="str">
        <f>TEXT(Table14[[#This Row],[Data_Wystawienia]],"rrrr-mm")</f>
        <v>2023-05</v>
      </c>
      <c r="P1327" s="2">
        <v>1</v>
      </c>
    </row>
    <row r="1328" spans="1:16" x14ac:dyDescent="0.3">
      <c r="A1328" s="2" t="str">
        <f>TRIM(Table1[[#This Row],[Numer_FV]])</f>
        <v>FV/M/4738/P/23</v>
      </c>
      <c r="B1328" s="2" t="str">
        <f>TRIM(Table1[[#This Row],[Numer_PZ]])</f>
        <v>PZ/801326</v>
      </c>
      <c r="C1328" s="2" t="str">
        <f>TRIM(Table1[[#This Row],[Dostawca]])</f>
        <v>MedicaPharm</v>
      </c>
      <c r="D1328" s="3">
        <v>45048</v>
      </c>
      <c r="E1328" s="4" t="s">
        <v>3948</v>
      </c>
      <c r="F1328" s="2" t="str">
        <f>TRIM(Table1[[#This Row],[Status]])</f>
        <v>Zaakceptowana</v>
      </c>
      <c r="G1328" s="2" t="str">
        <f>TRIM(Table1[[#This Row],[Typ]])</f>
        <v>Faktura VAT</v>
      </c>
      <c r="H1328" s="2" t="str">
        <f>TRIM(Table1[[#This Row],[Magazyn]])</f>
        <v>Apteka Szpitalna</v>
      </c>
      <c r="I1328" s="2" t="str">
        <f>TRIM(Table1[[#This Row],[Umowa]])</f>
        <v>UM-MED-02</v>
      </c>
      <c r="J1328" s="2" t="b">
        <f>ISTEXT(Table14[[#This Row],[Data_Wystawienia]])</f>
        <v>0</v>
      </c>
      <c r="K1328" s="2">
        <f>VALUE(SUBSTITUTE(Table14[[#This Row],[Wartość]],".",","))</f>
        <v>16085.38</v>
      </c>
      <c r="L13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8" s="2" t="str">
        <f>IF(Table14[[#This Row],[Umowa]]="","Poza umową","Z umowy")</f>
        <v>Z umowy</v>
      </c>
      <c r="N1328" s="2">
        <f>YEAR(Table14[[#This Row],[Data_Wystawienia]])</f>
        <v>2023</v>
      </c>
      <c r="O1328" s="2" t="str">
        <f>TEXT(Table14[[#This Row],[Data_Wystawienia]],"rrrr-mm")</f>
        <v>2023-05</v>
      </c>
      <c r="P1328" s="2">
        <v>1</v>
      </c>
    </row>
    <row r="1329" spans="1:16" x14ac:dyDescent="0.3">
      <c r="A1329" s="2" t="str">
        <f>TRIM(Table1[[#This Row],[Numer_FV]])</f>
        <v>FV/CENFA/764915/23</v>
      </c>
      <c r="B1329" s="2" t="str">
        <f>TRIM(Table1[[#This Row],[Numer_PZ]])</f>
        <v>PZ/801327</v>
      </c>
      <c r="C1329" s="2" t="str">
        <f>TRIM(Table1[[#This Row],[Dostawca]])</f>
        <v>CentrumFarm</v>
      </c>
      <c r="D1329" s="3">
        <v>45048</v>
      </c>
      <c r="E1329" s="4" t="s">
        <v>3951</v>
      </c>
      <c r="F1329" s="2" t="str">
        <f>TRIM(Table1[[#This Row],[Status]])</f>
        <v>Zaakceptowana</v>
      </c>
      <c r="G1329" s="2" t="str">
        <f>TRIM(Table1[[#This Row],[Typ]])</f>
        <v>Faktura VAT</v>
      </c>
      <c r="H1329" s="2" t="str">
        <f>TRIM(Table1[[#This Row],[Magazyn]])</f>
        <v>Apteka Szpitalna</v>
      </c>
      <c r="I1329" s="2" t="str">
        <f>TRIM(Table1[[#This Row],[Umowa]])</f>
        <v/>
      </c>
      <c r="J1329" s="2" t="b">
        <f>ISTEXT(Table14[[#This Row],[Data_Wystawienia]])</f>
        <v>0</v>
      </c>
      <c r="K1329" s="2">
        <f>VALUE(SUBSTITUTE(Table14[[#This Row],[Wartość]],".",","))</f>
        <v>18529.919999999998</v>
      </c>
      <c r="L13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29" s="2" t="str">
        <f>IF(Table14[[#This Row],[Umowa]]="","Poza umową","Z umowy")</f>
        <v>Poza umową</v>
      </c>
      <c r="N1329" s="2">
        <f>YEAR(Table14[[#This Row],[Data_Wystawienia]])</f>
        <v>2023</v>
      </c>
      <c r="O1329" s="2" t="str">
        <f>TEXT(Table14[[#This Row],[Data_Wystawienia]],"rrrr-mm")</f>
        <v>2023-05</v>
      </c>
      <c r="P1329" s="2">
        <v>1</v>
      </c>
    </row>
    <row r="1330" spans="1:16" x14ac:dyDescent="0.3">
      <c r="A1330" s="2" t="str">
        <f>TRIM(Table1[[#This Row],[Numer_FV]])</f>
        <v>FV/M/7413/P/23</v>
      </c>
      <c r="B1330" s="2" t="str">
        <f>TRIM(Table1[[#This Row],[Numer_PZ]])</f>
        <v>PZ/801328</v>
      </c>
      <c r="C1330" s="2" t="str">
        <f>TRIM(Table1[[#This Row],[Dostawca]])</f>
        <v>MedicaPharm</v>
      </c>
      <c r="D1330" s="3">
        <v>45049</v>
      </c>
      <c r="E1330" s="4" t="s">
        <v>3954</v>
      </c>
      <c r="F1330" s="2" t="str">
        <f>TRIM(Table1[[#This Row],[Status]])</f>
        <v>Zaakceptowana</v>
      </c>
      <c r="G1330" s="2" t="str">
        <f>TRIM(Table1[[#This Row],[Typ]])</f>
        <v>Faktura VAT</v>
      </c>
      <c r="H1330" s="2" t="str">
        <f>TRIM(Table1[[#This Row],[Magazyn]])</f>
        <v>Apteka Szpitalna</v>
      </c>
      <c r="I1330" s="2" t="str">
        <f>TRIM(Table1[[#This Row],[Umowa]])</f>
        <v>UM-MED-02</v>
      </c>
      <c r="J1330" s="2" t="b">
        <f>ISTEXT(Table14[[#This Row],[Data_Wystawienia]])</f>
        <v>0</v>
      </c>
      <c r="K1330" s="2">
        <f>VALUE(SUBSTITUTE(Table14[[#This Row],[Wartość]],".",","))</f>
        <v>6296.06</v>
      </c>
      <c r="L13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0" s="2" t="str">
        <f>IF(Table14[[#This Row],[Umowa]]="","Poza umową","Z umowy")</f>
        <v>Z umowy</v>
      </c>
      <c r="N1330" s="2">
        <f>YEAR(Table14[[#This Row],[Data_Wystawienia]])</f>
        <v>2023</v>
      </c>
      <c r="O1330" s="2" t="str">
        <f>TEXT(Table14[[#This Row],[Data_Wystawienia]],"rrrr-mm")</f>
        <v>2023-05</v>
      </c>
      <c r="P1330" s="2">
        <v>1</v>
      </c>
    </row>
    <row r="1331" spans="1:16" x14ac:dyDescent="0.3">
      <c r="A1331" s="2" t="str">
        <f>TRIM(Table1[[#This Row],[Numer_FV]])</f>
        <v>FV/67/PP/7654/23</v>
      </c>
      <c r="B1331" s="2" t="str">
        <f>TRIM(Table1[[#This Row],[Numer_PZ]])</f>
        <v>PZ/801329</v>
      </c>
      <c r="C1331" s="2" t="str">
        <f>TRIM(Table1[[#This Row],[Dostawca]])</f>
        <v>PharmaPlus</v>
      </c>
      <c r="D1331" s="3">
        <v>45049</v>
      </c>
      <c r="E1331" s="4" t="s">
        <v>3957</v>
      </c>
      <c r="F1331" s="2" t="str">
        <f>TRIM(Table1[[#This Row],[Status]])</f>
        <v>Zaakceptowana</v>
      </c>
      <c r="G1331" s="2" t="str">
        <f>TRIM(Table1[[#This Row],[Typ]])</f>
        <v>Faktura VAT</v>
      </c>
      <c r="H1331" s="2" t="str">
        <f>TRIM(Table1[[#This Row],[Magazyn]])</f>
        <v>Apteka Szpitalna</v>
      </c>
      <c r="I1331" s="2" t="str">
        <f>TRIM(Table1[[#This Row],[Umowa]])</f>
        <v/>
      </c>
      <c r="J1331" s="2" t="b">
        <f>ISTEXT(Table14[[#This Row],[Data_Wystawienia]])</f>
        <v>0</v>
      </c>
      <c r="K1331" s="2">
        <f>VALUE(SUBSTITUTE(Table14[[#This Row],[Wartość]],".",","))</f>
        <v>23132.99</v>
      </c>
      <c r="L13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1" s="2" t="str">
        <f>IF(Table14[[#This Row],[Umowa]]="","Poza umową","Z umowy")</f>
        <v>Poza umową</v>
      </c>
      <c r="N1331" s="2">
        <f>YEAR(Table14[[#This Row],[Data_Wystawienia]])</f>
        <v>2023</v>
      </c>
      <c r="O1331" s="2" t="str">
        <f>TEXT(Table14[[#This Row],[Data_Wystawienia]],"rrrr-mm")</f>
        <v>2023-05</v>
      </c>
      <c r="P1331" s="2">
        <v>1</v>
      </c>
    </row>
    <row r="1332" spans="1:16" x14ac:dyDescent="0.3">
      <c r="A1332" s="2" t="str">
        <f>TRIM(Table1[[#This Row],[Numer_FV]])</f>
        <v>FV/5778/NOVA/23</v>
      </c>
      <c r="B1332" s="2" t="str">
        <f>TRIM(Table1[[#This Row],[Numer_PZ]])</f>
        <v>PZ/801330</v>
      </c>
      <c r="C1332" s="2" t="str">
        <f>TRIM(Table1[[#This Row],[Dostawca]])</f>
        <v>NovaLek</v>
      </c>
      <c r="D1332" s="3">
        <v>45051</v>
      </c>
      <c r="E1332" s="4" t="s">
        <v>3960</v>
      </c>
      <c r="F1332" s="2" t="str">
        <f>TRIM(Table1[[#This Row],[Status]])</f>
        <v>Zaakceptowana</v>
      </c>
      <c r="G1332" s="2" t="str">
        <f>TRIM(Table1[[#This Row],[Typ]])</f>
        <v>Faktura VAT</v>
      </c>
      <c r="H1332" s="2" t="str">
        <f>TRIM(Table1[[#This Row],[Magazyn]])</f>
        <v>Apteka Szpitalna</v>
      </c>
      <c r="I1332" s="2" t="str">
        <f>TRIM(Table1[[#This Row],[Umowa]])</f>
        <v>UM-NOV-03</v>
      </c>
      <c r="J1332" s="2" t="b">
        <f>ISTEXT(Table14[[#This Row],[Data_Wystawienia]])</f>
        <v>0</v>
      </c>
      <c r="K1332" s="2">
        <f>VALUE(SUBSTITUTE(Table14[[#This Row],[Wartość]],".",","))</f>
        <v>16993.41</v>
      </c>
      <c r="L13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2" s="2" t="str">
        <f>IF(Table14[[#This Row],[Umowa]]="","Poza umową","Z umowy")</f>
        <v>Z umowy</v>
      </c>
      <c r="N1332" s="2">
        <f>YEAR(Table14[[#This Row],[Data_Wystawienia]])</f>
        <v>2023</v>
      </c>
      <c r="O1332" s="2" t="str">
        <f>TEXT(Table14[[#This Row],[Data_Wystawienia]],"rrrr-mm")</f>
        <v>2023-05</v>
      </c>
      <c r="P1332" s="2">
        <v>1</v>
      </c>
    </row>
    <row r="1333" spans="1:16" x14ac:dyDescent="0.3">
      <c r="A1333" s="2" t="str">
        <f>TRIM(Table1[[#This Row],[Numer_FV]])</f>
        <v>FV/32616/VDb/2023</v>
      </c>
      <c r="B1333" s="2" t="str">
        <f>TRIM(Table1[[#This Row],[Numer_PZ]])</f>
        <v>PZ/801331</v>
      </c>
      <c r="C1333" s="2" t="str">
        <f>TRIM(Table1[[#This Row],[Dostawca]])</f>
        <v>VitaDistrib</v>
      </c>
      <c r="D1333" s="3">
        <v>45051</v>
      </c>
      <c r="E1333" s="4" t="s">
        <v>3963</v>
      </c>
      <c r="F1333" s="2" t="str">
        <f>TRIM(Table1[[#This Row],[Status]])</f>
        <v>Zaakceptowana</v>
      </c>
      <c r="G1333" s="2" t="str">
        <f>TRIM(Table1[[#This Row],[Typ]])</f>
        <v>Faktura VAT</v>
      </c>
      <c r="H1333" s="2" t="str">
        <f>TRIM(Table1[[#This Row],[Magazyn]])</f>
        <v>Apteka Szpitalna</v>
      </c>
      <c r="I1333" s="2" t="str">
        <f>TRIM(Table1[[#This Row],[Umowa]])</f>
        <v>UM-VIT-01</v>
      </c>
      <c r="J1333" s="2" t="b">
        <f>ISTEXT(Table14[[#This Row],[Data_Wystawienia]])</f>
        <v>0</v>
      </c>
      <c r="K1333" s="2">
        <f>VALUE(SUBSTITUTE(Table14[[#This Row],[Wartość]],".",","))</f>
        <v>23146.18</v>
      </c>
      <c r="L13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3" s="2" t="str">
        <f>IF(Table14[[#This Row],[Umowa]]="","Poza umową","Z umowy")</f>
        <v>Z umowy</v>
      </c>
      <c r="N1333" s="2">
        <f>YEAR(Table14[[#This Row],[Data_Wystawienia]])</f>
        <v>2023</v>
      </c>
      <c r="O1333" s="2" t="str">
        <f>TEXT(Table14[[#This Row],[Data_Wystawienia]],"rrrr-mm")</f>
        <v>2023-05</v>
      </c>
      <c r="P1333" s="2">
        <v>1</v>
      </c>
    </row>
    <row r="1334" spans="1:16" x14ac:dyDescent="0.3">
      <c r="A1334" s="2" t="str">
        <f>TRIM(Table1[[#This Row],[Numer_FV]])</f>
        <v>FV/M/1698/P/23</v>
      </c>
      <c r="B1334" s="2" t="str">
        <f>TRIM(Table1[[#This Row],[Numer_PZ]])</f>
        <v>PZ/801332</v>
      </c>
      <c r="C1334" s="2" t="str">
        <f>TRIM(Table1[[#This Row],[Dostawca]])</f>
        <v>MedicaPharm</v>
      </c>
      <c r="D1334" s="3">
        <v>45051</v>
      </c>
      <c r="E1334" s="4" t="s">
        <v>3966</v>
      </c>
      <c r="F1334" s="2" t="str">
        <f>TRIM(Table1[[#This Row],[Status]])</f>
        <v>Zaakceptowana</v>
      </c>
      <c r="G1334" s="2" t="str">
        <f>TRIM(Table1[[#This Row],[Typ]])</f>
        <v>Faktura VAT</v>
      </c>
      <c r="H1334" s="2" t="str">
        <f>TRIM(Table1[[#This Row],[Magazyn]])</f>
        <v>Apteka Szpitalna</v>
      </c>
      <c r="I1334" s="2" t="str">
        <f>TRIM(Table1[[#This Row],[Umowa]])</f>
        <v>UM-MED-01</v>
      </c>
      <c r="J1334" s="2" t="b">
        <f>ISTEXT(Table14[[#This Row],[Data_Wystawienia]])</f>
        <v>0</v>
      </c>
      <c r="K1334" s="2">
        <f>VALUE(SUBSTITUTE(Table14[[#This Row],[Wartość]],".",","))</f>
        <v>19903.61</v>
      </c>
      <c r="L13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4" s="2" t="str">
        <f>IF(Table14[[#This Row],[Umowa]]="","Poza umową","Z umowy")</f>
        <v>Z umowy</v>
      </c>
      <c r="N1334" s="2">
        <f>YEAR(Table14[[#This Row],[Data_Wystawienia]])</f>
        <v>2023</v>
      </c>
      <c r="O1334" s="2" t="str">
        <f>TEXT(Table14[[#This Row],[Data_Wystawienia]],"rrrr-mm")</f>
        <v>2023-05</v>
      </c>
      <c r="P1334" s="2">
        <v>1</v>
      </c>
    </row>
    <row r="1335" spans="1:16" x14ac:dyDescent="0.3">
      <c r="A1335" s="2" t="str">
        <f>TRIM(Table1[[#This Row],[Numer_FV]])</f>
        <v>FV/72/PP/3462/23</v>
      </c>
      <c r="B1335" s="2" t="str">
        <f>TRIM(Table1[[#This Row],[Numer_PZ]])</f>
        <v>PZ/801333</v>
      </c>
      <c r="C1335" s="2" t="str">
        <f>TRIM(Table1[[#This Row],[Dostawca]])</f>
        <v>PharmaPlus</v>
      </c>
      <c r="D1335" s="3">
        <v>45052</v>
      </c>
      <c r="E1335" s="4" t="s">
        <v>3969</v>
      </c>
      <c r="F1335" s="2" t="str">
        <f>TRIM(Table1[[#This Row],[Status]])</f>
        <v>Zaakceptowana</v>
      </c>
      <c r="G1335" s="2" t="str">
        <f>TRIM(Table1[[#This Row],[Typ]])</f>
        <v>Faktura VAT</v>
      </c>
      <c r="H1335" s="2" t="str">
        <f>TRIM(Table1[[#This Row],[Magazyn]])</f>
        <v>Apteka Szpitalna</v>
      </c>
      <c r="I1335" s="2" t="str">
        <f>TRIM(Table1[[#This Row],[Umowa]])</f>
        <v>UM-PHA-01</v>
      </c>
      <c r="J1335" s="2" t="b">
        <f>ISTEXT(Table14[[#This Row],[Data_Wystawienia]])</f>
        <v>0</v>
      </c>
      <c r="K1335" s="2">
        <f>VALUE(SUBSTITUTE(Table14[[#This Row],[Wartość]],".",","))</f>
        <v>17577.8</v>
      </c>
      <c r="L13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5" s="2" t="str">
        <f>IF(Table14[[#This Row],[Umowa]]="","Poza umową","Z umowy")</f>
        <v>Z umowy</v>
      </c>
      <c r="N1335" s="2">
        <f>YEAR(Table14[[#This Row],[Data_Wystawienia]])</f>
        <v>2023</v>
      </c>
      <c r="O1335" s="2" t="str">
        <f>TEXT(Table14[[#This Row],[Data_Wystawienia]],"rrrr-mm")</f>
        <v>2023-05</v>
      </c>
      <c r="P1335" s="2">
        <v>1</v>
      </c>
    </row>
    <row r="1336" spans="1:16" x14ac:dyDescent="0.3">
      <c r="A1336" s="2" t="str">
        <f>TRIM(Table1[[#This Row],[Numer_FV]])</f>
        <v>FV/34498/VDb/2023</v>
      </c>
      <c r="B1336" s="2" t="str">
        <f>TRIM(Table1[[#This Row],[Numer_PZ]])</f>
        <v>PZ/801334</v>
      </c>
      <c r="C1336" s="2" t="str">
        <f>TRIM(Table1[[#This Row],[Dostawca]])</f>
        <v>VitaDistrib</v>
      </c>
      <c r="D1336" s="3">
        <v>45052</v>
      </c>
      <c r="E1336" s="4" t="s">
        <v>3972</v>
      </c>
      <c r="F1336" s="2" t="str">
        <f>TRIM(Table1[[#This Row],[Status]])</f>
        <v>Zaakceptowana</v>
      </c>
      <c r="G1336" s="2" t="str">
        <f>TRIM(Table1[[#This Row],[Typ]])</f>
        <v>Faktura VAT</v>
      </c>
      <c r="H1336" s="2" t="str">
        <f>TRIM(Table1[[#This Row],[Magazyn]])</f>
        <v>Apteka Szpitalna</v>
      </c>
      <c r="I1336" s="2" t="str">
        <f>TRIM(Table1[[#This Row],[Umowa]])</f>
        <v>UM-VIT-01</v>
      </c>
      <c r="J1336" s="2" t="b">
        <f>ISTEXT(Table14[[#This Row],[Data_Wystawienia]])</f>
        <v>0</v>
      </c>
      <c r="K1336" s="2">
        <f>VALUE(SUBSTITUTE(Table14[[#This Row],[Wartość]],".",","))</f>
        <v>9391.01</v>
      </c>
      <c r="L13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6" s="2" t="str">
        <f>IF(Table14[[#This Row],[Umowa]]="","Poza umową","Z umowy")</f>
        <v>Z umowy</v>
      </c>
      <c r="N1336" s="2">
        <f>YEAR(Table14[[#This Row],[Data_Wystawienia]])</f>
        <v>2023</v>
      </c>
      <c r="O1336" s="2" t="str">
        <f>TEXT(Table14[[#This Row],[Data_Wystawienia]],"rrrr-mm")</f>
        <v>2023-05</v>
      </c>
      <c r="P1336" s="2">
        <v>1</v>
      </c>
    </row>
    <row r="1337" spans="1:16" x14ac:dyDescent="0.3">
      <c r="A1337" s="2" t="str">
        <f>TRIM(Table1[[#This Row],[Numer_FV]])</f>
        <v>FV/70/SAL/23</v>
      </c>
      <c r="B1337" s="2" t="str">
        <f>TRIM(Table1[[#This Row],[Numer_PZ]])</f>
        <v>PZ/801335</v>
      </c>
      <c r="C1337" s="2" t="str">
        <f>TRIM(Table1[[#This Row],[Dostawca]])</f>
        <v>SalusHurt</v>
      </c>
      <c r="D1337" s="3">
        <v>45052</v>
      </c>
      <c r="E1337" s="4" t="s">
        <v>3974</v>
      </c>
      <c r="F1337" s="2" t="str">
        <f>TRIM(Table1[[#This Row],[Status]])</f>
        <v>Zaakceptowana</v>
      </c>
      <c r="G1337" s="2" t="str">
        <f>TRIM(Table1[[#This Row],[Typ]])</f>
        <v>Faktura VAT</v>
      </c>
      <c r="H1337" s="2" t="str">
        <f>TRIM(Table1[[#This Row],[Magazyn]])</f>
        <v>Apteka Szpitalna</v>
      </c>
      <c r="I1337" s="2" t="str">
        <f>TRIM(Table1[[#This Row],[Umowa]])</f>
        <v>UM-SAL-01</v>
      </c>
      <c r="J1337" s="2" t="b">
        <f>ISTEXT(Table14[[#This Row],[Data_Wystawienia]])</f>
        <v>0</v>
      </c>
      <c r="K1337" s="2">
        <f>VALUE(SUBSTITUTE(Table14[[#This Row],[Wartość]],".",","))</f>
        <v>12216.45</v>
      </c>
      <c r="L13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7" s="2" t="str">
        <f>IF(Table14[[#This Row],[Umowa]]="","Poza umową","Z umowy")</f>
        <v>Z umowy</v>
      </c>
      <c r="N1337" s="2">
        <f>YEAR(Table14[[#This Row],[Data_Wystawienia]])</f>
        <v>2023</v>
      </c>
      <c r="O1337" s="2" t="str">
        <f>TEXT(Table14[[#This Row],[Data_Wystawienia]],"rrrr-mm")</f>
        <v>2023-05</v>
      </c>
      <c r="P1337" s="2">
        <v>1</v>
      </c>
    </row>
    <row r="1338" spans="1:16" x14ac:dyDescent="0.3">
      <c r="A1338" s="2" t="str">
        <f>TRIM(Table1[[#This Row],[Numer_FV]])</f>
        <v>FV/7162HM/23</v>
      </c>
      <c r="B1338" s="2" t="str">
        <f>TRIM(Table1[[#This Row],[Numer_PZ]])</f>
        <v>PZ/801336</v>
      </c>
      <c r="C1338" s="2" t="str">
        <f>TRIM(Table1[[#This Row],[Dostawca]])</f>
        <v>HurtMedix</v>
      </c>
      <c r="D1338" s="3">
        <v>45053</v>
      </c>
      <c r="E1338" s="4" t="s">
        <v>3977</v>
      </c>
      <c r="F1338" s="2" t="str">
        <f>TRIM(Table1[[#This Row],[Status]])</f>
        <v>Zaakceptowana</v>
      </c>
      <c r="G1338" s="2" t="str">
        <f>TRIM(Table1[[#This Row],[Typ]])</f>
        <v>Faktura VAT</v>
      </c>
      <c r="H1338" s="2" t="str">
        <f>TRIM(Table1[[#This Row],[Magazyn]])</f>
        <v>Apteka Szpitalna</v>
      </c>
      <c r="I1338" s="2" t="str">
        <f>TRIM(Table1[[#This Row],[Umowa]])</f>
        <v/>
      </c>
      <c r="J1338" s="2" t="b">
        <f>ISTEXT(Table14[[#This Row],[Data_Wystawienia]])</f>
        <v>0</v>
      </c>
      <c r="K1338" s="2">
        <f>VALUE(SUBSTITUTE(Table14[[#This Row],[Wartość]],".",","))</f>
        <v>11093.74</v>
      </c>
      <c r="L13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8" s="2" t="str">
        <f>IF(Table14[[#This Row],[Umowa]]="","Poza umową","Z umowy")</f>
        <v>Poza umową</v>
      </c>
      <c r="N1338" s="2">
        <f>YEAR(Table14[[#This Row],[Data_Wystawienia]])</f>
        <v>2023</v>
      </c>
      <c r="O1338" s="2" t="str">
        <f>TEXT(Table14[[#This Row],[Data_Wystawienia]],"rrrr-mm")</f>
        <v>2023-05</v>
      </c>
      <c r="P1338" s="2">
        <v>1</v>
      </c>
    </row>
    <row r="1339" spans="1:16" x14ac:dyDescent="0.3">
      <c r="A1339" s="2" t="str">
        <f>TRIM(Table1[[#This Row],[Numer_FV]])</f>
        <v>FV/CENFA/128952/23</v>
      </c>
      <c r="B1339" s="2" t="str">
        <f>TRIM(Table1[[#This Row],[Numer_PZ]])</f>
        <v>PZ/801337</v>
      </c>
      <c r="C1339" s="2" t="str">
        <f>TRIM(Table1[[#This Row],[Dostawca]])</f>
        <v>CentrumFarm</v>
      </c>
      <c r="D1339" s="3">
        <v>45053</v>
      </c>
      <c r="E1339" s="4" t="s">
        <v>3980</v>
      </c>
      <c r="F1339" s="2" t="str">
        <f>TRIM(Table1[[#This Row],[Status]])</f>
        <v>Zaakceptowana</v>
      </c>
      <c r="G1339" s="2" t="str">
        <f>TRIM(Table1[[#This Row],[Typ]])</f>
        <v>Faktura VAT</v>
      </c>
      <c r="H1339" s="2" t="str">
        <f>TRIM(Table1[[#This Row],[Magazyn]])</f>
        <v>Apteka Szpitalna</v>
      </c>
      <c r="I1339" s="2" t="str">
        <f>TRIM(Table1[[#This Row],[Umowa]])</f>
        <v>UM-CEN-02</v>
      </c>
      <c r="J1339" s="2" t="b">
        <f>ISTEXT(Table14[[#This Row],[Data_Wystawienia]])</f>
        <v>0</v>
      </c>
      <c r="K1339" s="2">
        <f>VALUE(SUBSTITUTE(Table14[[#This Row],[Wartość]],".",","))</f>
        <v>8093.68</v>
      </c>
      <c r="L13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39" s="2" t="str">
        <f>IF(Table14[[#This Row],[Umowa]]="","Poza umową","Z umowy")</f>
        <v>Z umowy</v>
      </c>
      <c r="N1339" s="2">
        <f>YEAR(Table14[[#This Row],[Data_Wystawienia]])</f>
        <v>2023</v>
      </c>
      <c r="O1339" s="2" t="str">
        <f>TEXT(Table14[[#This Row],[Data_Wystawienia]],"rrrr-mm")</f>
        <v>2023-05</v>
      </c>
      <c r="P1339" s="2">
        <v>1</v>
      </c>
    </row>
    <row r="1340" spans="1:16" x14ac:dyDescent="0.3">
      <c r="A1340" s="2" t="str">
        <f>TRIM(Table1[[#This Row],[Numer_FV]])</f>
        <v>FV/6057HM/23</v>
      </c>
      <c r="B1340" s="2" t="str">
        <f>TRIM(Table1[[#This Row],[Numer_PZ]])</f>
        <v>PZ/801338</v>
      </c>
      <c r="C1340" s="2" t="str">
        <f>TRIM(Table1[[#This Row],[Dostawca]])</f>
        <v>HurtMedix</v>
      </c>
      <c r="D1340" s="3">
        <v>45054</v>
      </c>
      <c r="E1340" s="4" t="s">
        <v>3983</v>
      </c>
      <c r="F1340" s="2" t="str">
        <f>TRIM(Table1[[#This Row],[Status]])</f>
        <v>Zaakceptowana</v>
      </c>
      <c r="G1340" s="2" t="str">
        <f>TRIM(Table1[[#This Row],[Typ]])</f>
        <v>Faktura VAT</v>
      </c>
      <c r="H1340" s="2" t="str">
        <f>TRIM(Table1[[#This Row],[Magazyn]])</f>
        <v>Apteka Szpitalna</v>
      </c>
      <c r="I1340" s="2" t="str">
        <f>TRIM(Table1[[#This Row],[Umowa]])</f>
        <v>UM-HUR-03</v>
      </c>
      <c r="J1340" s="2" t="b">
        <f>ISTEXT(Table14[[#This Row],[Data_Wystawienia]])</f>
        <v>0</v>
      </c>
      <c r="K1340" s="2">
        <f>VALUE(SUBSTITUTE(Table14[[#This Row],[Wartość]],".",","))</f>
        <v>18505.73</v>
      </c>
      <c r="L13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0" s="2" t="str">
        <f>IF(Table14[[#This Row],[Umowa]]="","Poza umową","Z umowy")</f>
        <v>Z umowy</v>
      </c>
      <c r="N1340" s="2">
        <f>YEAR(Table14[[#This Row],[Data_Wystawienia]])</f>
        <v>2023</v>
      </c>
      <c r="O1340" s="2" t="str">
        <f>TEXT(Table14[[#This Row],[Data_Wystawienia]],"rrrr-mm")</f>
        <v>2023-05</v>
      </c>
      <c r="P1340" s="2">
        <v>1</v>
      </c>
    </row>
    <row r="1341" spans="1:16" x14ac:dyDescent="0.3">
      <c r="A1341" s="2" t="str">
        <f>TRIM(Table1[[#This Row],[Numer_FV]])</f>
        <v>FV/61/SAL/23</v>
      </c>
      <c r="B1341" s="2" t="str">
        <f>TRIM(Table1[[#This Row],[Numer_PZ]])</f>
        <v>PZ/801339</v>
      </c>
      <c r="C1341" s="2" t="str">
        <f>TRIM(Table1[[#This Row],[Dostawca]])</f>
        <v>SalusHurt</v>
      </c>
      <c r="D1341" s="3">
        <v>45055</v>
      </c>
      <c r="E1341" s="4" t="s">
        <v>3986</v>
      </c>
      <c r="F1341" s="2" t="str">
        <f>TRIM(Table1[[#This Row],[Status]])</f>
        <v>Zaakceptowana</v>
      </c>
      <c r="G1341" s="2" t="str">
        <f>TRIM(Table1[[#This Row],[Typ]])</f>
        <v>Faktura VAT</v>
      </c>
      <c r="H1341" s="2" t="str">
        <f>TRIM(Table1[[#This Row],[Magazyn]])</f>
        <v>Apteka Szpitalna</v>
      </c>
      <c r="I1341" s="2" t="str">
        <f>TRIM(Table1[[#This Row],[Umowa]])</f>
        <v>UM-SAL-02</v>
      </c>
      <c r="J1341" s="2" t="b">
        <f>ISTEXT(Table14[[#This Row],[Data_Wystawienia]])</f>
        <v>0</v>
      </c>
      <c r="K1341" s="2">
        <f>VALUE(SUBSTITUTE(Table14[[#This Row],[Wartość]],".",","))</f>
        <v>14459.56</v>
      </c>
      <c r="L13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1" s="2" t="str">
        <f>IF(Table14[[#This Row],[Umowa]]="","Poza umową","Z umowy")</f>
        <v>Z umowy</v>
      </c>
      <c r="N1341" s="2">
        <f>YEAR(Table14[[#This Row],[Data_Wystawienia]])</f>
        <v>2023</v>
      </c>
      <c r="O1341" s="2" t="str">
        <f>TEXT(Table14[[#This Row],[Data_Wystawienia]],"rrrr-mm")</f>
        <v>2023-05</v>
      </c>
      <c r="P1341" s="2">
        <v>1</v>
      </c>
    </row>
    <row r="1342" spans="1:16" x14ac:dyDescent="0.3">
      <c r="A1342" s="2" t="str">
        <f>TRIM(Table1[[#This Row],[Numer_FV]])</f>
        <v>FV/POL/86843/2023</v>
      </c>
      <c r="B1342" s="2" t="str">
        <f>TRIM(Table1[[#This Row],[Numer_PZ]])</f>
        <v>PZ/801340</v>
      </c>
      <c r="C1342" s="2" t="str">
        <f>TRIM(Table1[[#This Row],[Dostawca]])</f>
        <v>Polmedica</v>
      </c>
      <c r="D1342" s="3">
        <v>45055</v>
      </c>
      <c r="E1342" s="4" t="s">
        <v>3989</v>
      </c>
      <c r="F1342" s="2" t="str">
        <f>TRIM(Table1[[#This Row],[Status]])</f>
        <v>Zaakceptowana</v>
      </c>
      <c r="G1342" s="2" t="str">
        <f>TRIM(Table1[[#This Row],[Typ]])</f>
        <v>Faktura VAT</v>
      </c>
      <c r="H1342" s="2" t="str">
        <f>TRIM(Table1[[#This Row],[Magazyn]])</f>
        <v>Apteka Szpitalna</v>
      </c>
      <c r="I1342" s="2" t="str">
        <f>TRIM(Table1[[#This Row],[Umowa]])</f>
        <v>UM-POL-01</v>
      </c>
      <c r="J1342" s="2" t="b">
        <f>ISTEXT(Table14[[#This Row],[Data_Wystawienia]])</f>
        <v>0</v>
      </c>
      <c r="K1342" s="2">
        <f>VALUE(SUBSTITUTE(Table14[[#This Row],[Wartość]],".",","))</f>
        <v>14440.72</v>
      </c>
      <c r="L13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2" s="2" t="str">
        <f>IF(Table14[[#This Row],[Umowa]]="","Poza umową","Z umowy")</f>
        <v>Z umowy</v>
      </c>
      <c r="N1342" s="2">
        <f>YEAR(Table14[[#This Row],[Data_Wystawienia]])</f>
        <v>2023</v>
      </c>
      <c r="O1342" s="2" t="str">
        <f>TEXT(Table14[[#This Row],[Data_Wystawienia]],"rrrr-mm")</f>
        <v>2023-05</v>
      </c>
      <c r="P1342" s="2">
        <v>1</v>
      </c>
    </row>
    <row r="1343" spans="1:16" x14ac:dyDescent="0.3">
      <c r="A1343" s="2" t="str">
        <f>TRIM(Table1[[#This Row],[Numer_FV]])</f>
        <v>FV/POL/37469/2023</v>
      </c>
      <c r="B1343" s="2" t="str">
        <f>TRIM(Table1[[#This Row],[Numer_PZ]])</f>
        <v>PZ/801341</v>
      </c>
      <c r="C1343" s="2" t="str">
        <f>TRIM(Table1[[#This Row],[Dostawca]])</f>
        <v>Polmedica</v>
      </c>
      <c r="D1343" s="3">
        <v>45055</v>
      </c>
      <c r="E1343" s="4" t="s">
        <v>3992</v>
      </c>
      <c r="F1343" s="2" t="str">
        <f>TRIM(Table1[[#This Row],[Status]])</f>
        <v>Zaakceptowana</v>
      </c>
      <c r="G1343" s="2" t="str">
        <f>TRIM(Table1[[#This Row],[Typ]])</f>
        <v>Faktura VAT</v>
      </c>
      <c r="H1343" s="2" t="str">
        <f>TRIM(Table1[[#This Row],[Magazyn]])</f>
        <v>Apteka Szpitalna</v>
      </c>
      <c r="I1343" s="2" t="str">
        <f>TRIM(Table1[[#This Row],[Umowa]])</f>
        <v>UM-POL-02</v>
      </c>
      <c r="J1343" s="2" t="b">
        <f>ISTEXT(Table14[[#This Row],[Data_Wystawienia]])</f>
        <v>0</v>
      </c>
      <c r="K1343" s="2">
        <f>VALUE(SUBSTITUTE(Table14[[#This Row],[Wartość]],".",","))</f>
        <v>5066.8500000000004</v>
      </c>
      <c r="L13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3" s="2" t="str">
        <f>IF(Table14[[#This Row],[Umowa]]="","Poza umową","Z umowy")</f>
        <v>Z umowy</v>
      </c>
      <c r="N1343" s="2">
        <f>YEAR(Table14[[#This Row],[Data_Wystawienia]])</f>
        <v>2023</v>
      </c>
      <c r="O1343" s="2" t="str">
        <f>TEXT(Table14[[#This Row],[Data_Wystawienia]],"rrrr-mm")</f>
        <v>2023-05</v>
      </c>
      <c r="P1343" s="2">
        <v>1</v>
      </c>
    </row>
    <row r="1344" spans="1:16" x14ac:dyDescent="0.3">
      <c r="A1344" s="2" t="str">
        <f>TRIM(Table1[[#This Row],[Numer_FV]])</f>
        <v>FV/90/PP/7468/23</v>
      </c>
      <c r="B1344" s="2" t="str">
        <f>TRIM(Table1[[#This Row],[Numer_PZ]])</f>
        <v>PZ/801342</v>
      </c>
      <c r="C1344" s="2" t="str">
        <f>TRIM(Table1[[#This Row],[Dostawca]])</f>
        <v>PharmaPlus</v>
      </c>
      <c r="D1344" s="3">
        <v>45056</v>
      </c>
      <c r="E1344" s="4" t="s">
        <v>3995</v>
      </c>
      <c r="F1344" s="2" t="str">
        <f>TRIM(Table1[[#This Row],[Status]])</f>
        <v>Zaakceptowana</v>
      </c>
      <c r="G1344" s="2" t="str">
        <f>TRIM(Table1[[#This Row],[Typ]])</f>
        <v>Faktura VAT</v>
      </c>
      <c r="H1344" s="2" t="str">
        <f>TRIM(Table1[[#This Row],[Magazyn]])</f>
        <v>Apteka Szpitalna</v>
      </c>
      <c r="I1344" s="2" t="str">
        <f>TRIM(Table1[[#This Row],[Umowa]])</f>
        <v>UM-PHA-02</v>
      </c>
      <c r="J1344" s="2" t="b">
        <f>ISTEXT(Table14[[#This Row],[Data_Wystawienia]])</f>
        <v>0</v>
      </c>
      <c r="K1344" s="2">
        <f>VALUE(SUBSTITUTE(Table14[[#This Row],[Wartość]],".",","))</f>
        <v>18916.84</v>
      </c>
      <c r="L13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4" s="2" t="str">
        <f>IF(Table14[[#This Row],[Umowa]]="","Poza umową","Z umowy")</f>
        <v>Z umowy</v>
      </c>
      <c r="N1344" s="2">
        <f>YEAR(Table14[[#This Row],[Data_Wystawienia]])</f>
        <v>2023</v>
      </c>
      <c r="O1344" s="2" t="str">
        <f>TEXT(Table14[[#This Row],[Data_Wystawienia]],"rrrr-mm")</f>
        <v>2023-05</v>
      </c>
      <c r="P1344" s="2">
        <v>1</v>
      </c>
    </row>
    <row r="1345" spans="1:16" x14ac:dyDescent="0.3">
      <c r="A1345" s="2" t="str">
        <f>TRIM(Table1[[#This Row],[Numer_FV]])</f>
        <v>FV/POL/74491/2023</v>
      </c>
      <c r="B1345" s="2" t="str">
        <f>TRIM(Table1[[#This Row],[Numer_PZ]])</f>
        <v>PZ/801343</v>
      </c>
      <c r="C1345" s="2" t="str">
        <f>TRIM(Table1[[#This Row],[Dostawca]])</f>
        <v>Polmedica</v>
      </c>
      <c r="D1345" s="3">
        <v>45056</v>
      </c>
      <c r="E1345" s="4" t="s">
        <v>3998</v>
      </c>
      <c r="F1345" s="2" t="str">
        <f>TRIM(Table1[[#This Row],[Status]])</f>
        <v>Zaakceptowana</v>
      </c>
      <c r="G1345" s="2" t="str">
        <f>TRIM(Table1[[#This Row],[Typ]])</f>
        <v>Faktura VAT</v>
      </c>
      <c r="H1345" s="2" t="str">
        <f>TRIM(Table1[[#This Row],[Magazyn]])</f>
        <v>Apteka Szpitalna</v>
      </c>
      <c r="I1345" s="2" t="str">
        <f>TRIM(Table1[[#This Row],[Umowa]])</f>
        <v>UM-POL-02</v>
      </c>
      <c r="J1345" s="2" t="b">
        <f>ISTEXT(Table14[[#This Row],[Data_Wystawienia]])</f>
        <v>0</v>
      </c>
      <c r="K1345" s="2">
        <f>VALUE(SUBSTITUTE(Table14[[#This Row],[Wartość]],".",","))</f>
        <v>14104.27</v>
      </c>
      <c r="L13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5" s="2" t="str">
        <f>IF(Table14[[#This Row],[Umowa]]="","Poza umową","Z umowy")</f>
        <v>Z umowy</v>
      </c>
      <c r="N1345" s="2">
        <f>YEAR(Table14[[#This Row],[Data_Wystawienia]])</f>
        <v>2023</v>
      </c>
      <c r="O1345" s="2" t="str">
        <f>TEXT(Table14[[#This Row],[Data_Wystawienia]],"rrrr-mm")</f>
        <v>2023-05</v>
      </c>
      <c r="P1345" s="2">
        <v>1</v>
      </c>
    </row>
    <row r="1346" spans="1:16" x14ac:dyDescent="0.3">
      <c r="A1346" s="2" t="str">
        <f>TRIM(Table1[[#This Row],[Numer_FV]])</f>
        <v>FV/73/PP/3986/23</v>
      </c>
      <c r="B1346" s="2" t="str">
        <f>TRIM(Table1[[#This Row],[Numer_PZ]])</f>
        <v>PZ/801344</v>
      </c>
      <c r="C1346" s="2" t="str">
        <f>TRIM(Table1[[#This Row],[Dostawca]])</f>
        <v>PharmaPlus</v>
      </c>
      <c r="D1346" s="3">
        <v>45057</v>
      </c>
      <c r="E1346" s="4" t="s">
        <v>4001</v>
      </c>
      <c r="F1346" s="2" t="str">
        <f>TRIM(Table1[[#This Row],[Status]])</f>
        <v>Zaakceptowana</v>
      </c>
      <c r="G1346" s="2" t="str">
        <f>TRIM(Table1[[#This Row],[Typ]])</f>
        <v>Faktura VAT</v>
      </c>
      <c r="H1346" s="2" t="str">
        <f>TRIM(Table1[[#This Row],[Magazyn]])</f>
        <v>Apteka Szpitalna</v>
      </c>
      <c r="I1346" s="2" t="str">
        <f>TRIM(Table1[[#This Row],[Umowa]])</f>
        <v/>
      </c>
      <c r="J1346" s="2" t="b">
        <f>ISTEXT(Table14[[#This Row],[Data_Wystawienia]])</f>
        <v>0</v>
      </c>
      <c r="K1346" s="2">
        <f>VALUE(SUBSTITUTE(Table14[[#This Row],[Wartość]],".",","))</f>
        <v>16522.16</v>
      </c>
      <c r="L13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6" s="2" t="str">
        <f>IF(Table14[[#This Row],[Umowa]]="","Poza umową","Z umowy")</f>
        <v>Poza umową</v>
      </c>
      <c r="N1346" s="2">
        <f>YEAR(Table14[[#This Row],[Data_Wystawienia]])</f>
        <v>2023</v>
      </c>
      <c r="O1346" s="2" t="str">
        <f>TEXT(Table14[[#This Row],[Data_Wystawienia]],"rrrr-mm")</f>
        <v>2023-05</v>
      </c>
      <c r="P1346" s="2">
        <v>1</v>
      </c>
    </row>
    <row r="1347" spans="1:16" x14ac:dyDescent="0.3">
      <c r="A1347" s="2" t="str">
        <f>TRIM(Table1[[#This Row],[Numer_FV]])</f>
        <v>FV/9163HM/23</v>
      </c>
      <c r="B1347" s="2" t="str">
        <f>TRIM(Table1[[#This Row],[Numer_PZ]])</f>
        <v>PZ/801345</v>
      </c>
      <c r="C1347" s="2" t="str">
        <f>TRIM(Table1[[#This Row],[Dostawca]])</f>
        <v>HurtMedix</v>
      </c>
      <c r="D1347" s="3">
        <v>45057</v>
      </c>
      <c r="E1347" s="4" t="s">
        <v>4004</v>
      </c>
      <c r="F1347" s="2" t="str">
        <f>TRIM(Table1[[#This Row],[Status]])</f>
        <v>Zaakceptowana</v>
      </c>
      <c r="G1347" s="2" t="str">
        <f>TRIM(Table1[[#This Row],[Typ]])</f>
        <v>Faktura VAT</v>
      </c>
      <c r="H1347" s="2" t="str">
        <f>TRIM(Table1[[#This Row],[Magazyn]])</f>
        <v>Apteka Szpitalna</v>
      </c>
      <c r="I1347" s="2" t="str">
        <f>TRIM(Table1[[#This Row],[Umowa]])</f>
        <v>UM-HUR-03</v>
      </c>
      <c r="J1347" s="2" t="b">
        <f>ISTEXT(Table14[[#This Row],[Data_Wystawienia]])</f>
        <v>0</v>
      </c>
      <c r="K1347" s="2">
        <f>VALUE(SUBSTITUTE(Table14[[#This Row],[Wartość]],".",","))</f>
        <v>17739.830000000002</v>
      </c>
      <c r="L13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7" s="2" t="str">
        <f>IF(Table14[[#This Row],[Umowa]]="","Poza umową","Z umowy")</f>
        <v>Z umowy</v>
      </c>
      <c r="N1347" s="2">
        <f>YEAR(Table14[[#This Row],[Data_Wystawienia]])</f>
        <v>2023</v>
      </c>
      <c r="O1347" s="2" t="str">
        <f>TEXT(Table14[[#This Row],[Data_Wystawienia]],"rrrr-mm")</f>
        <v>2023-05</v>
      </c>
      <c r="P1347" s="2">
        <v>1</v>
      </c>
    </row>
    <row r="1348" spans="1:16" x14ac:dyDescent="0.3">
      <c r="A1348" s="2" t="str">
        <f>TRIM(Table1[[#This Row],[Numer_FV]])</f>
        <v>FV/65304/VDb/2023</v>
      </c>
      <c r="B1348" s="2" t="str">
        <f>TRIM(Table1[[#This Row],[Numer_PZ]])</f>
        <v>PZ/801346</v>
      </c>
      <c r="C1348" s="2" t="str">
        <f>TRIM(Table1[[#This Row],[Dostawca]])</f>
        <v>VitaDistrib</v>
      </c>
      <c r="D1348" s="3">
        <v>45057</v>
      </c>
      <c r="E1348" s="4" t="s">
        <v>4007</v>
      </c>
      <c r="F1348" s="2" t="str">
        <f>TRIM(Table1[[#This Row],[Status]])</f>
        <v>Zaakceptowana</v>
      </c>
      <c r="G1348" s="2" t="str">
        <f>TRIM(Table1[[#This Row],[Typ]])</f>
        <v>Faktura VAT</v>
      </c>
      <c r="H1348" s="2" t="str">
        <f>TRIM(Table1[[#This Row],[Magazyn]])</f>
        <v>Apteka Szpitalna</v>
      </c>
      <c r="I1348" s="2" t="str">
        <f>TRIM(Table1[[#This Row],[Umowa]])</f>
        <v>UM-VIT-01</v>
      </c>
      <c r="J1348" s="2" t="b">
        <f>ISTEXT(Table14[[#This Row],[Data_Wystawienia]])</f>
        <v>0</v>
      </c>
      <c r="K1348" s="2">
        <f>VALUE(SUBSTITUTE(Table14[[#This Row],[Wartość]],".",","))</f>
        <v>14782.61</v>
      </c>
      <c r="L13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8" s="2" t="str">
        <f>IF(Table14[[#This Row],[Umowa]]="","Poza umową","Z umowy")</f>
        <v>Z umowy</v>
      </c>
      <c r="N1348" s="2">
        <f>YEAR(Table14[[#This Row],[Data_Wystawienia]])</f>
        <v>2023</v>
      </c>
      <c r="O1348" s="2" t="str">
        <f>TEXT(Table14[[#This Row],[Data_Wystawienia]],"rrrr-mm")</f>
        <v>2023-05</v>
      </c>
      <c r="P1348" s="2">
        <v>1</v>
      </c>
    </row>
    <row r="1349" spans="1:16" x14ac:dyDescent="0.3">
      <c r="A1349" s="2" t="str">
        <f>TRIM(Table1[[#This Row],[Numer_FV]])</f>
        <v>FV/79/SAL/23</v>
      </c>
      <c r="B1349" s="2" t="str">
        <f>TRIM(Table1[[#This Row],[Numer_PZ]])</f>
        <v>PZ/801347</v>
      </c>
      <c r="C1349" s="2" t="str">
        <f>TRIM(Table1[[#This Row],[Dostawca]])</f>
        <v>SalusHurt</v>
      </c>
      <c r="D1349" s="3">
        <v>45057</v>
      </c>
      <c r="E1349" s="4" t="s">
        <v>4010</v>
      </c>
      <c r="F1349" s="2" t="str">
        <f>TRIM(Table1[[#This Row],[Status]])</f>
        <v>Zaakceptowana</v>
      </c>
      <c r="G1349" s="2" t="str">
        <f>TRIM(Table1[[#This Row],[Typ]])</f>
        <v>Faktura VAT</v>
      </c>
      <c r="H1349" s="2" t="str">
        <f>TRIM(Table1[[#This Row],[Magazyn]])</f>
        <v>Apteka Szpitalna</v>
      </c>
      <c r="I1349" s="2" t="str">
        <f>TRIM(Table1[[#This Row],[Umowa]])</f>
        <v>UM-SAL-02</v>
      </c>
      <c r="J1349" s="2" t="b">
        <f>ISTEXT(Table14[[#This Row],[Data_Wystawienia]])</f>
        <v>0</v>
      </c>
      <c r="K1349" s="2">
        <f>VALUE(SUBSTITUTE(Table14[[#This Row],[Wartość]],".",","))</f>
        <v>13374.08</v>
      </c>
      <c r="L13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49" s="2" t="str">
        <f>IF(Table14[[#This Row],[Umowa]]="","Poza umową","Z umowy")</f>
        <v>Z umowy</v>
      </c>
      <c r="N1349" s="2">
        <f>YEAR(Table14[[#This Row],[Data_Wystawienia]])</f>
        <v>2023</v>
      </c>
      <c r="O1349" s="2" t="str">
        <f>TEXT(Table14[[#This Row],[Data_Wystawienia]],"rrrr-mm")</f>
        <v>2023-05</v>
      </c>
      <c r="P1349" s="2">
        <v>1</v>
      </c>
    </row>
    <row r="1350" spans="1:16" x14ac:dyDescent="0.3">
      <c r="A1350" s="2" t="str">
        <f>TRIM(Table1[[#This Row],[Numer_FV]])</f>
        <v>FV/CENFA/753142/23</v>
      </c>
      <c r="B1350" s="2" t="str">
        <f>TRIM(Table1[[#This Row],[Numer_PZ]])</f>
        <v>PZ/801348</v>
      </c>
      <c r="C1350" s="2" t="str">
        <f>TRIM(Table1[[#This Row],[Dostawca]])</f>
        <v>CentrumFarm</v>
      </c>
      <c r="D1350" s="3">
        <v>45057</v>
      </c>
      <c r="E1350" s="4" t="s">
        <v>4013</v>
      </c>
      <c r="F1350" s="2" t="str">
        <f>TRIM(Table1[[#This Row],[Status]])</f>
        <v>Zaakceptowana</v>
      </c>
      <c r="G1350" s="2" t="str">
        <f>TRIM(Table1[[#This Row],[Typ]])</f>
        <v>Faktura VAT</v>
      </c>
      <c r="H1350" s="2" t="str">
        <f>TRIM(Table1[[#This Row],[Magazyn]])</f>
        <v>Apteka Szpitalna</v>
      </c>
      <c r="I1350" s="2" t="str">
        <f>TRIM(Table1[[#This Row],[Umowa]])</f>
        <v>UM-CEN-02</v>
      </c>
      <c r="J1350" s="2" t="b">
        <f>ISTEXT(Table14[[#This Row],[Data_Wystawienia]])</f>
        <v>0</v>
      </c>
      <c r="K1350" s="2">
        <f>VALUE(SUBSTITUTE(Table14[[#This Row],[Wartość]],".",","))</f>
        <v>13356.37</v>
      </c>
      <c r="L13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0" s="2" t="str">
        <f>IF(Table14[[#This Row],[Umowa]]="","Poza umową","Z umowy")</f>
        <v>Z umowy</v>
      </c>
      <c r="N1350" s="2">
        <f>YEAR(Table14[[#This Row],[Data_Wystawienia]])</f>
        <v>2023</v>
      </c>
      <c r="O1350" s="2" t="str">
        <f>TEXT(Table14[[#This Row],[Data_Wystawienia]],"rrrr-mm")</f>
        <v>2023-05</v>
      </c>
      <c r="P1350" s="2">
        <v>1</v>
      </c>
    </row>
    <row r="1351" spans="1:16" x14ac:dyDescent="0.3">
      <c r="A1351" s="2" t="str">
        <f>TRIM(Table1[[#This Row],[Numer_FV]])</f>
        <v>FV/6685/NOVA/23</v>
      </c>
      <c r="B1351" s="2" t="str">
        <f>TRIM(Table1[[#This Row],[Numer_PZ]])</f>
        <v>PZ/801349</v>
      </c>
      <c r="C1351" s="2" t="str">
        <f>TRIM(Table1[[#This Row],[Dostawca]])</f>
        <v>NovaLek</v>
      </c>
      <c r="D1351" s="3">
        <v>45058</v>
      </c>
      <c r="E1351" s="4" t="s">
        <v>4016</v>
      </c>
      <c r="F1351" s="2" t="str">
        <f>TRIM(Table1[[#This Row],[Status]])</f>
        <v>Zaakceptowana</v>
      </c>
      <c r="G1351" s="2" t="str">
        <f>TRIM(Table1[[#This Row],[Typ]])</f>
        <v>Faktura VAT</v>
      </c>
      <c r="H1351" s="2" t="str">
        <f>TRIM(Table1[[#This Row],[Magazyn]])</f>
        <v>Apteka Szpitalna</v>
      </c>
      <c r="I1351" s="2" t="str">
        <f>TRIM(Table1[[#This Row],[Umowa]])</f>
        <v>UM-NOV-02</v>
      </c>
      <c r="J1351" s="2" t="b">
        <f>ISTEXT(Table14[[#This Row],[Data_Wystawienia]])</f>
        <v>0</v>
      </c>
      <c r="K1351" s="2">
        <f>VALUE(SUBSTITUTE(Table14[[#This Row],[Wartość]],".",","))</f>
        <v>9440.77</v>
      </c>
      <c r="L13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1" s="2" t="str">
        <f>IF(Table14[[#This Row],[Umowa]]="","Poza umową","Z umowy")</f>
        <v>Z umowy</v>
      </c>
      <c r="N1351" s="2">
        <f>YEAR(Table14[[#This Row],[Data_Wystawienia]])</f>
        <v>2023</v>
      </c>
      <c r="O1351" s="2" t="str">
        <f>TEXT(Table14[[#This Row],[Data_Wystawienia]],"rrrr-mm")</f>
        <v>2023-05</v>
      </c>
      <c r="P1351" s="2">
        <v>1</v>
      </c>
    </row>
    <row r="1352" spans="1:16" x14ac:dyDescent="0.3">
      <c r="A1352" s="2" t="str">
        <f>TRIM(Table1[[#This Row],[Numer_FV]])</f>
        <v>FV/5026HM/23</v>
      </c>
      <c r="B1352" s="2" t="str">
        <f>TRIM(Table1[[#This Row],[Numer_PZ]])</f>
        <v>PZ/801350</v>
      </c>
      <c r="C1352" s="2" t="str">
        <f>TRIM(Table1[[#This Row],[Dostawca]])</f>
        <v>HurtMedix</v>
      </c>
      <c r="D1352" s="3">
        <v>45058</v>
      </c>
      <c r="E1352" s="4" t="s">
        <v>4019</v>
      </c>
      <c r="F1352" s="2" t="str">
        <f>TRIM(Table1[[#This Row],[Status]])</f>
        <v>Zaakceptowana</v>
      </c>
      <c r="G1352" s="2" t="str">
        <f>TRIM(Table1[[#This Row],[Typ]])</f>
        <v>Faktura VAT</v>
      </c>
      <c r="H1352" s="2" t="str">
        <f>TRIM(Table1[[#This Row],[Magazyn]])</f>
        <v>Apteka Szpitalna</v>
      </c>
      <c r="I1352" s="2" t="str">
        <f>TRIM(Table1[[#This Row],[Umowa]])</f>
        <v>UM-HUR-02</v>
      </c>
      <c r="J1352" s="2" t="b">
        <f>ISTEXT(Table14[[#This Row],[Data_Wystawienia]])</f>
        <v>0</v>
      </c>
      <c r="K1352" s="2">
        <f>VALUE(SUBSTITUTE(Table14[[#This Row],[Wartość]],".",","))</f>
        <v>9616.08</v>
      </c>
      <c r="L13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2" s="2" t="str">
        <f>IF(Table14[[#This Row],[Umowa]]="","Poza umową","Z umowy")</f>
        <v>Z umowy</v>
      </c>
      <c r="N1352" s="2">
        <f>YEAR(Table14[[#This Row],[Data_Wystawienia]])</f>
        <v>2023</v>
      </c>
      <c r="O1352" s="2" t="str">
        <f>TEXT(Table14[[#This Row],[Data_Wystawienia]],"rrrr-mm")</f>
        <v>2023-05</v>
      </c>
      <c r="P1352" s="2">
        <v>1</v>
      </c>
    </row>
    <row r="1353" spans="1:16" x14ac:dyDescent="0.3">
      <c r="A1353" s="2" t="str">
        <f>TRIM(Table1[[#This Row],[Numer_FV]])</f>
        <v>FV/75/SAL/23</v>
      </c>
      <c r="B1353" s="2" t="str">
        <f>TRIM(Table1[[#This Row],[Numer_PZ]])</f>
        <v>PZ/801351</v>
      </c>
      <c r="C1353" s="2" t="str">
        <f>TRIM(Table1[[#This Row],[Dostawca]])</f>
        <v>SalusHurt</v>
      </c>
      <c r="D1353" s="3">
        <v>45059</v>
      </c>
      <c r="E1353" s="4" t="s">
        <v>4021</v>
      </c>
      <c r="F1353" s="2" t="str">
        <f>TRIM(Table1[[#This Row],[Status]])</f>
        <v>Zaakceptowana</v>
      </c>
      <c r="G1353" s="2" t="str">
        <f>TRIM(Table1[[#This Row],[Typ]])</f>
        <v>Faktura VAT</v>
      </c>
      <c r="H1353" s="2" t="str">
        <f>TRIM(Table1[[#This Row],[Magazyn]])</f>
        <v>Apteka Szpitalna</v>
      </c>
      <c r="I1353" s="2" t="str">
        <f>TRIM(Table1[[#This Row],[Umowa]])</f>
        <v>UM-SAL-02</v>
      </c>
      <c r="J1353" s="2" t="b">
        <f>ISTEXT(Table14[[#This Row],[Data_Wystawienia]])</f>
        <v>0</v>
      </c>
      <c r="K1353" s="2">
        <f>VALUE(SUBSTITUTE(Table14[[#This Row],[Wartość]],".",","))</f>
        <v>19224.95</v>
      </c>
      <c r="L13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3" s="2" t="str">
        <f>IF(Table14[[#This Row],[Umowa]]="","Poza umową","Z umowy")</f>
        <v>Z umowy</v>
      </c>
      <c r="N1353" s="2">
        <f>YEAR(Table14[[#This Row],[Data_Wystawienia]])</f>
        <v>2023</v>
      </c>
      <c r="O1353" s="2" t="str">
        <f>TEXT(Table14[[#This Row],[Data_Wystawienia]],"rrrr-mm")</f>
        <v>2023-05</v>
      </c>
      <c r="P1353" s="2">
        <v>1</v>
      </c>
    </row>
    <row r="1354" spans="1:16" x14ac:dyDescent="0.3">
      <c r="A1354" s="2" t="str">
        <f>TRIM(Table1[[#This Row],[Numer_FV]])</f>
        <v>FV/POL/84417/2023</v>
      </c>
      <c r="B1354" s="2" t="str">
        <f>TRIM(Table1[[#This Row],[Numer_PZ]])</f>
        <v>PZ/801352</v>
      </c>
      <c r="C1354" s="2" t="str">
        <f>TRIM(Table1[[#This Row],[Dostawca]])</f>
        <v>Polmedica</v>
      </c>
      <c r="D1354" s="3">
        <v>45059</v>
      </c>
      <c r="E1354" s="4" t="s">
        <v>4024</v>
      </c>
      <c r="F1354" s="2" t="str">
        <f>TRIM(Table1[[#This Row],[Status]])</f>
        <v>Zaakceptowana</v>
      </c>
      <c r="G1354" s="2" t="str">
        <f>TRIM(Table1[[#This Row],[Typ]])</f>
        <v>Faktura VAT</v>
      </c>
      <c r="H1354" s="2" t="str">
        <f>TRIM(Table1[[#This Row],[Magazyn]])</f>
        <v>Apteka Szpitalna</v>
      </c>
      <c r="I1354" s="2" t="str">
        <f>TRIM(Table1[[#This Row],[Umowa]])</f>
        <v>UM-POL-02</v>
      </c>
      <c r="J1354" s="2" t="b">
        <f>ISTEXT(Table14[[#This Row],[Data_Wystawienia]])</f>
        <v>0</v>
      </c>
      <c r="K1354" s="2">
        <f>VALUE(SUBSTITUTE(Table14[[#This Row],[Wartość]],".",","))</f>
        <v>16558.27</v>
      </c>
      <c r="L13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4" s="2" t="str">
        <f>IF(Table14[[#This Row],[Umowa]]="","Poza umową","Z umowy")</f>
        <v>Z umowy</v>
      </c>
      <c r="N1354" s="2">
        <f>YEAR(Table14[[#This Row],[Data_Wystawienia]])</f>
        <v>2023</v>
      </c>
      <c r="O1354" s="2" t="str">
        <f>TEXT(Table14[[#This Row],[Data_Wystawienia]],"rrrr-mm")</f>
        <v>2023-05</v>
      </c>
      <c r="P1354" s="2">
        <v>1</v>
      </c>
    </row>
    <row r="1355" spans="1:16" x14ac:dyDescent="0.3">
      <c r="A1355" s="2" t="str">
        <f>TRIM(Table1[[#This Row],[Numer_FV]])</f>
        <v>FV/CENFA/906368/23</v>
      </c>
      <c r="B1355" s="2" t="str">
        <f>TRIM(Table1[[#This Row],[Numer_PZ]])</f>
        <v>PZ/801353</v>
      </c>
      <c r="C1355" s="2" t="str">
        <f>TRIM(Table1[[#This Row],[Dostawca]])</f>
        <v>CentrumFarm</v>
      </c>
      <c r="D1355" s="3">
        <v>45059</v>
      </c>
      <c r="E1355" s="4" t="s">
        <v>4027</v>
      </c>
      <c r="F1355" s="2" t="str">
        <f>TRIM(Table1[[#This Row],[Status]])</f>
        <v>Zaakceptowana</v>
      </c>
      <c r="G1355" s="2" t="str">
        <f>TRIM(Table1[[#This Row],[Typ]])</f>
        <v>Faktura VAT</v>
      </c>
      <c r="H1355" s="2" t="str">
        <f>TRIM(Table1[[#This Row],[Magazyn]])</f>
        <v>Apteka Szpitalna</v>
      </c>
      <c r="I1355" s="2" t="str">
        <f>TRIM(Table1[[#This Row],[Umowa]])</f>
        <v>UM-CEN-01</v>
      </c>
      <c r="J1355" s="2" t="b">
        <f>ISTEXT(Table14[[#This Row],[Data_Wystawienia]])</f>
        <v>0</v>
      </c>
      <c r="K1355" s="2">
        <f>VALUE(SUBSTITUTE(Table14[[#This Row],[Wartość]],".",","))</f>
        <v>7859.17</v>
      </c>
      <c r="L13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5" s="2" t="str">
        <f>IF(Table14[[#This Row],[Umowa]]="","Poza umową","Z umowy")</f>
        <v>Z umowy</v>
      </c>
      <c r="N1355" s="2">
        <f>YEAR(Table14[[#This Row],[Data_Wystawienia]])</f>
        <v>2023</v>
      </c>
      <c r="O1355" s="2" t="str">
        <f>TEXT(Table14[[#This Row],[Data_Wystawienia]],"rrrr-mm")</f>
        <v>2023-05</v>
      </c>
      <c r="P1355" s="2">
        <v>1</v>
      </c>
    </row>
    <row r="1356" spans="1:16" x14ac:dyDescent="0.3">
      <c r="A1356" s="2" t="str">
        <f>TRIM(Table1[[#This Row],[Numer_FV]])</f>
        <v>FV/POL/23574/2023</v>
      </c>
      <c r="B1356" s="2" t="str">
        <f>TRIM(Table1[[#This Row],[Numer_PZ]])</f>
        <v>PZ/801354</v>
      </c>
      <c r="C1356" s="2" t="str">
        <f>TRIM(Table1[[#This Row],[Dostawca]])</f>
        <v>Polmedica</v>
      </c>
      <c r="D1356" s="3">
        <v>45059</v>
      </c>
      <c r="E1356" s="4" t="s">
        <v>4030</v>
      </c>
      <c r="F1356" s="2" t="str">
        <f>TRIM(Table1[[#This Row],[Status]])</f>
        <v>Zaakceptowana</v>
      </c>
      <c r="G1356" s="2" t="str">
        <f>TRIM(Table1[[#This Row],[Typ]])</f>
        <v>Faktura VAT</v>
      </c>
      <c r="H1356" s="2" t="str">
        <f>TRIM(Table1[[#This Row],[Magazyn]])</f>
        <v>Apteka Szpitalna</v>
      </c>
      <c r="I1356" s="2" t="str">
        <f>TRIM(Table1[[#This Row],[Umowa]])</f>
        <v>UM-POL-01</v>
      </c>
      <c r="J1356" s="2" t="b">
        <f>ISTEXT(Table14[[#This Row],[Data_Wystawienia]])</f>
        <v>0</v>
      </c>
      <c r="K1356" s="2">
        <f>VALUE(SUBSTITUTE(Table14[[#This Row],[Wartość]],".",","))</f>
        <v>12672.29</v>
      </c>
      <c r="L13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6" s="2" t="str">
        <f>IF(Table14[[#This Row],[Umowa]]="","Poza umową","Z umowy")</f>
        <v>Z umowy</v>
      </c>
      <c r="N1356" s="2">
        <f>YEAR(Table14[[#This Row],[Data_Wystawienia]])</f>
        <v>2023</v>
      </c>
      <c r="O1356" s="2" t="str">
        <f>TEXT(Table14[[#This Row],[Data_Wystawienia]],"rrrr-mm")</f>
        <v>2023-05</v>
      </c>
      <c r="P1356" s="2">
        <v>1</v>
      </c>
    </row>
    <row r="1357" spans="1:16" x14ac:dyDescent="0.3">
      <c r="A1357" s="2" t="str">
        <f>TRIM(Table1[[#This Row],[Numer_FV]])</f>
        <v>FV/CENFA/478667/23</v>
      </c>
      <c r="B1357" s="2" t="str">
        <f>TRIM(Table1[[#This Row],[Numer_PZ]])</f>
        <v>PZ/801355</v>
      </c>
      <c r="C1357" s="2" t="str">
        <f>TRIM(Table1[[#This Row],[Dostawca]])</f>
        <v>CentrumFarm</v>
      </c>
      <c r="D1357" s="3">
        <v>45059</v>
      </c>
      <c r="E1357" s="4" t="s">
        <v>4033</v>
      </c>
      <c r="F1357" s="2" t="str">
        <f>TRIM(Table1[[#This Row],[Status]])</f>
        <v>Zaakceptowana</v>
      </c>
      <c r="G1357" s="2" t="str">
        <f>TRIM(Table1[[#This Row],[Typ]])</f>
        <v>Faktura VAT</v>
      </c>
      <c r="H1357" s="2" t="str">
        <f>TRIM(Table1[[#This Row],[Magazyn]])</f>
        <v>Apteka Szpitalna</v>
      </c>
      <c r="I1357" s="2" t="str">
        <f>TRIM(Table1[[#This Row],[Umowa]])</f>
        <v>UM-CEN-02</v>
      </c>
      <c r="J1357" s="2" t="b">
        <f>ISTEXT(Table14[[#This Row],[Data_Wystawienia]])</f>
        <v>0</v>
      </c>
      <c r="K1357" s="2">
        <f>VALUE(SUBSTITUTE(Table14[[#This Row],[Wartość]],".",","))</f>
        <v>14532.07</v>
      </c>
      <c r="L13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7" s="2" t="str">
        <f>IF(Table14[[#This Row],[Umowa]]="","Poza umową","Z umowy")</f>
        <v>Z umowy</v>
      </c>
      <c r="N1357" s="2">
        <f>YEAR(Table14[[#This Row],[Data_Wystawienia]])</f>
        <v>2023</v>
      </c>
      <c r="O1357" s="2" t="str">
        <f>TEXT(Table14[[#This Row],[Data_Wystawienia]],"rrrr-mm")</f>
        <v>2023-05</v>
      </c>
      <c r="P1357" s="2">
        <v>1</v>
      </c>
    </row>
    <row r="1358" spans="1:16" x14ac:dyDescent="0.3">
      <c r="A1358" s="2" t="str">
        <f>TRIM(Table1[[#This Row],[Numer_FV]])</f>
        <v>FV/CENFA/938261/23</v>
      </c>
      <c r="B1358" s="2" t="str">
        <f>TRIM(Table1[[#This Row],[Numer_PZ]])</f>
        <v>PZ/801356</v>
      </c>
      <c r="C1358" s="2" t="str">
        <f>TRIM(Table1[[#This Row],[Dostawca]])</f>
        <v>CentrumFarm</v>
      </c>
      <c r="D1358" s="3">
        <v>45059</v>
      </c>
      <c r="E1358" s="4" t="s">
        <v>4036</v>
      </c>
      <c r="F1358" s="2" t="str">
        <f>TRIM(Table1[[#This Row],[Status]])</f>
        <v>Zaakceptowana</v>
      </c>
      <c r="G1358" s="2" t="str">
        <f>TRIM(Table1[[#This Row],[Typ]])</f>
        <v>Faktura VAT</v>
      </c>
      <c r="H1358" s="2" t="str">
        <f>TRIM(Table1[[#This Row],[Magazyn]])</f>
        <v>Apteka Szpitalna</v>
      </c>
      <c r="I1358" s="2" t="str">
        <f>TRIM(Table1[[#This Row],[Umowa]])</f>
        <v>UM-CEN-02</v>
      </c>
      <c r="J1358" s="2" t="b">
        <f>ISTEXT(Table14[[#This Row],[Data_Wystawienia]])</f>
        <v>0</v>
      </c>
      <c r="K1358" s="2">
        <f>VALUE(SUBSTITUTE(Table14[[#This Row],[Wartość]],".",","))</f>
        <v>22097.63</v>
      </c>
      <c r="L13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8" s="2" t="str">
        <f>IF(Table14[[#This Row],[Umowa]]="","Poza umową","Z umowy")</f>
        <v>Z umowy</v>
      </c>
      <c r="N1358" s="2">
        <f>YEAR(Table14[[#This Row],[Data_Wystawienia]])</f>
        <v>2023</v>
      </c>
      <c r="O1358" s="2" t="str">
        <f>TEXT(Table14[[#This Row],[Data_Wystawienia]],"rrrr-mm")</f>
        <v>2023-05</v>
      </c>
      <c r="P1358" s="2">
        <v>1</v>
      </c>
    </row>
    <row r="1359" spans="1:16" x14ac:dyDescent="0.3">
      <c r="A1359" s="2" t="str">
        <f>TRIM(Table1[[#This Row],[Numer_FV]])</f>
        <v>FV/M/7601/P/23</v>
      </c>
      <c r="B1359" s="2" t="str">
        <f>TRIM(Table1[[#This Row],[Numer_PZ]])</f>
        <v>PZ/801357</v>
      </c>
      <c r="C1359" s="2" t="str">
        <f>TRIM(Table1[[#This Row],[Dostawca]])</f>
        <v>MedicaPharm</v>
      </c>
      <c r="D1359" s="3">
        <v>45059</v>
      </c>
      <c r="E1359" s="4" t="s">
        <v>4039</v>
      </c>
      <c r="F1359" s="2" t="str">
        <f>TRIM(Table1[[#This Row],[Status]])</f>
        <v>Zaakceptowana</v>
      </c>
      <c r="G1359" s="2" t="str">
        <f>TRIM(Table1[[#This Row],[Typ]])</f>
        <v>Faktura VAT</v>
      </c>
      <c r="H1359" s="2" t="str">
        <f>TRIM(Table1[[#This Row],[Magazyn]])</f>
        <v>Apteka Szpitalna</v>
      </c>
      <c r="I1359" s="2" t="str">
        <f>TRIM(Table1[[#This Row],[Umowa]])</f>
        <v>UM-MED-01</v>
      </c>
      <c r="J1359" s="2" t="b">
        <f>ISTEXT(Table14[[#This Row],[Data_Wystawienia]])</f>
        <v>0</v>
      </c>
      <c r="K1359" s="2">
        <f>VALUE(SUBSTITUTE(Table14[[#This Row],[Wartość]],".",","))</f>
        <v>15770.37</v>
      </c>
      <c r="L13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59" s="2" t="str">
        <f>IF(Table14[[#This Row],[Umowa]]="","Poza umową","Z umowy")</f>
        <v>Z umowy</v>
      </c>
      <c r="N1359" s="2">
        <f>YEAR(Table14[[#This Row],[Data_Wystawienia]])</f>
        <v>2023</v>
      </c>
      <c r="O1359" s="2" t="str">
        <f>TEXT(Table14[[#This Row],[Data_Wystawienia]],"rrrr-mm")</f>
        <v>2023-05</v>
      </c>
      <c r="P1359" s="2">
        <v>1</v>
      </c>
    </row>
    <row r="1360" spans="1:16" x14ac:dyDescent="0.3">
      <c r="A1360" s="2" t="str">
        <f>TRIM(Table1[[#This Row],[Numer_FV]])</f>
        <v>FV/24157/VDb/2023</v>
      </c>
      <c r="B1360" s="2" t="str">
        <f>TRIM(Table1[[#This Row],[Numer_PZ]])</f>
        <v>PZ/801358</v>
      </c>
      <c r="C1360" s="2" t="str">
        <f>TRIM(Table1[[#This Row],[Dostawca]])</f>
        <v>VitaDistrib</v>
      </c>
      <c r="D1360" s="3">
        <v>45060</v>
      </c>
      <c r="E1360" s="4" t="s">
        <v>4042</v>
      </c>
      <c r="F1360" s="2" t="str">
        <f>TRIM(Table1[[#This Row],[Status]])</f>
        <v>Zaakceptowana</v>
      </c>
      <c r="G1360" s="2" t="str">
        <f>TRIM(Table1[[#This Row],[Typ]])</f>
        <v>Faktura VAT</v>
      </c>
      <c r="H1360" s="2" t="str">
        <f>TRIM(Table1[[#This Row],[Magazyn]])</f>
        <v>Apteka Szpitalna</v>
      </c>
      <c r="I1360" s="2" t="str">
        <f>TRIM(Table1[[#This Row],[Umowa]])</f>
        <v/>
      </c>
      <c r="J1360" s="2" t="b">
        <f>ISTEXT(Table14[[#This Row],[Data_Wystawienia]])</f>
        <v>0</v>
      </c>
      <c r="K1360" s="2">
        <f>VALUE(SUBSTITUTE(Table14[[#This Row],[Wartość]],".",","))</f>
        <v>21558.639999999999</v>
      </c>
      <c r="L13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0" s="2" t="str">
        <f>IF(Table14[[#This Row],[Umowa]]="","Poza umową","Z umowy")</f>
        <v>Poza umową</v>
      </c>
      <c r="N1360" s="2">
        <f>YEAR(Table14[[#This Row],[Data_Wystawienia]])</f>
        <v>2023</v>
      </c>
      <c r="O1360" s="2" t="str">
        <f>TEXT(Table14[[#This Row],[Data_Wystawienia]],"rrrr-mm")</f>
        <v>2023-05</v>
      </c>
      <c r="P1360" s="2">
        <v>1</v>
      </c>
    </row>
    <row r="1361" spans="1:16" x14ac:dyDescent="0.3">
      <c r="A1361" s="2" t="str">
        <f>TRIM(Table1[[#This Row],[Numer_FV]])</f>
        <v>FV/10713/VDb/2023</v>
      </c>
      <c r="B1361" s="2" t="str">
        <f>TRIM(Table1[[#This Row],[Numer_PZ]])</f>
        <v>PZ/801359</v>
      </c>
      <c r="C1361" s="2" t="str">
        <f>TRIM(Table1[[#This Row],[Dostawca]])</f>
        <v>VitaDistrib</v>
      </c>
      <c r="D1361" s="3">
        <v>45060</v>
      </c>
      <c r="E1361" s="4" t="s">
        <v>4045</v>
      </c>
      <c r="F1361" s="2" t="str">
        <f>TRIM(Table1[[#This Row],[Status]])</f>
        <v>Zaakceptowana</v>
      </c>
      <c r="G1361" s="2" t="str">
        <f>TRIM(Table1[[#This Row],[Typ]])</f>
        <v>Faktura VAT</v>
      </c>
      <c r="H1361" s="2" t="str">
        <f>TRIM(Table1[[#This Row],[Magazyn]])</f>
        <v>Apteka Szpitalna</v>
      </c>
      <c r="I1361" s="2" t="str">
        <f>TRIM(Table1[[#This Row],[Umowa]])</f>
        <v>UM-VIT-01</v>
      </c>
      <c r="J1361" s="2" t="b">
        <f>ISTEXT(Table14[[#This Row],[Data_Wystawienia]])</f>
        <v>0</v>
      </c>
      <c r="K1361" s="2">
        <f>VALUE(SUBSTITUTE(Table14[[#This Row],[Wartość]],".",","))</f>
        <v>11578.09</v>
      </c>
      <c r="L13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1" s="2" t="str">
        <f>IF(Table14[[#This Row],[Umowa]]="","Poza umową","Z umowy")</f>
        <v>Z umowy</v>
      </c>
      <c r="N1361" s="2">
        <f>YEAR(Table14[[#This Row],[Data_Wystawienia]])</f>
        <v>2023</v>
      </c>
      <c r="O1361" s="2" t="str">
        <f>TEXT(Table14[[#This Row],[Data_Wystawienia]],"rrrr-mm")</f>
        <v>2023-05</v>
      </c>
      <c r="P1361" s="2">
        <v>1</v>
      </c>
    </row>
    <row r="1362" spans="1:16" x14ac:dyDescent="0.3">
      <c r="A1362" s="2" t="str">
        <f>TRIM(Table1[[#This Row],[Numer_FV]])</f>
        <v>FV/25312/VDb/2023</v>
      </c>
      <c r="B1362" s="2" t="str">
        <f>TRIM(Table1[[#This Row],[Numer_PZ]])</f>
        <v>PZ/801360</v>
      </c>
      <c r="C1362" s="2" t="str">
        <f>TRIM(Table1[[#This Row],[Dostawca]])</f>
        <v>VitaDistrib</v>
      </c>
      <c r="D1362" s="3">
        <v>45061</v>
      </c>
      <c r="E1362" s="4" t="s">
        <v>4048</v>
      </c>
      <c r="F1362" s="2" t="str">
        <f>TRIM(Table1[[#This Row],[Status]])</f>
        <v>Zaakceptowana</v>
      </c>
      <c r="G1362" s="2" t="str">
        <f>TRIM(Table1[[#This Row],[Typ]])</f>
        <v>Faktura VAT</v>
      </c>
      <c r="H1362" s="2" t="str">
        <f>TRIM(Table1[[#This Row],[Magazyn]])</f>
        <v>Apteka Szpitalna</v>
      </c>
      <c r="I1362" s="2" t="str">
        <f>TRIM(Table1[[#This Row],[Umowa]])</f>
        <v>UM-VIT-01</v>
      </c>
      <c r="J1362" s="2" t="b">
        <f>ISTEXT(Table14[[#This Row],[Data_Wystawienia]])</f>
        <v>0</v>
      </c>
      <c r="K1362" s="2">
        <f>VALUE(SUBSTITUTE(Table14[[#This Row],[Wartość]],".",","))</f>
        <v>23848.45</v>
      </c>
      <c r="L13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2" s="2" t="str">
        <f>IF(Table14[[#This Row],[Umowa]]="","Poza umową","Z umowy")</f>
        <v>Z umowy</v>
      </c>
      <c r="N1362" s="2">
        <f>YEAR(Table14[[#This Row],[Data_Wystawienia]])</f>
        <v>2023</v>
      </c>
      <c r="O1362" s="2" t="str">
        <f>TEXT(Table14[[#This Row],[Data_Wystawienia]],"rrrr-mm")</f>
        <v>2023-05</v>
      </c>
      <c r="P1362" s="2">
        <v>1</v>
      </c>
    </row>
    <row r="1363" spans="1:16" x14ac:dyDescent="0.3">
      <c r="A1363" s="2" t="str">
        <f>TRIM(Table1[[#This Row],[Numer_FV]])</f>
        <v>FV/69127/VDb/2023</v>
      </c>
      <c r="B1363" s="2" t="str">
        <f>TRIM(Table1[[#This Row],[Numer_PZ]])</f>
        <v>PZ/801361</v>
      </c>
      <c r="C1363" s="2" t="str">
        <f>TRIM(Table1[[#This Row],[Dostawca]])</f>
        <v>VitaDistrib</v>
      </c>
      <c r="D1363" s="3">
        <v>45061</v>
      </c>
      <c r="E1363" s="4" t="s">
        <v>4051</v>
      </c>
      <c r="F1363" s="2" t="str">
        <f>TRIM(Table1[[#This Row],[Status]])</f>
        <v>Zaakceptowana</v>
      </c>
      <c r="G1363" s="2" t="str">
        <f>TRIM(Table1[[#This Row],[Typ]])</f>
        <v>Faktura VAT</v>
      </c>
      <c r="H1363" s="2" t="str">
        <f>TRIM(Table1[[#This Row],[Magazyn]])</f>
        <v>Apteka Szpitalna</v>
      </c>
      <c r="I1363" s="2" t="str">
        <f>TRIM(Table1[[#This Row],[Umowa]])</f>
        <v>UM-VIT-01</v>
      </c>
      <c r="J1363" s="2" t="b">
        <f>ISTEXT(Table14[[#This Row],[Data_Wystawienia]])</f>
        <v>0</v>
      </c>
      <c r="K1363" s="2">
        <f>VALUE(SUBSTITUTE(Table14[[#This Row],[Wartość]],".",","))</f>
        <v>21792.91</v>
      </c>
      <c r="L13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3" s="2" t="str">
        <f>IF(Table14[[#This Row],[Umowa]]="","Poza umową","Z umowy")</f>
        <v>Z umowy</v>
      </c>
      <c r="N1363" s="2">
        <f>YEAR(Table14[[#This Row],[Data_Wystawienia]])</f>
        <v>2023</v>
      </c>
      <c r="O1363" s="2" t="str">
        <f>TEXT(Table14[[#This Row],[Data_Wystawienia]],"rrrr-mm")</f>
        <v>2023-05</v>
      </c>
      <c r="P1363" s="2">
        <v>1</v>
      </c>
    </row>
    <row r="1364" spans="1:16" x14ac:dyDescent="0.3">
      <c r="A1364" s="2" t="str">
        <f>TRIM(Table1[[#This Row],[Numer_FV]])</f>
        <v>FV/8484HM/23</v>
      </c>
      <c r="B1364" s="2" t="str">
        <f>TRIM(Table1[[#This Row],[Numer_PZ]])</f>
        <v>PZ/801362</v>
      </c>
      <c r="C1364" s="2" t="str">
        <f>TRIM(Table1[[#This Row],[Dostawca]])</f>
        <v>HurtMedix</v>
      </c>
      <c r="D1364" s="3">
        <v>45061</v>
      </c>
      <c r="E1364" s="4" t="s">
        <v>4054</v>
      </c>
      <c r="F1364" s="2" t="str">
        <f>TRIM(Table1[[#This Row],[Status]])</f>
        <v>Zaakceptowana</v>
      </c>
      <c r="G1364" s="2" t="str">
        <f>TRIM(Table1[[#This Row],[Typ]])</f>
        <v>Faktura VAT</v>
      </c>
      <c r="H1364" s="2" t="str">
        <f>TRIM(Table1[[#This Row],[Magazyn]])</f>
        <v>Apteka Szpitalna</v>
      </c>
      <c r="I1364" s="2" t="str">
        <f>TRIM(Table1[[#This Row],[Umowa]])</f>
        <v/>
      </c>
      <c r="J1364" s="2" t="b">
        <f>ISTEXT(Table14[[#This Row],[Data_Wystawienia]])</f>
        <v>0</v>
      </c>
      <c r="K1364" s="2">
        <f>VALUE(SUBSTITUTE(Table14[[#This Row],[Wartość]],".",","))</f>
        <v>20583.55</v>
      </c>
      <c r="L13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4" s="2" t="str">
        <f>IF(Table14[[#This Row],[Umowa]]="","Poza umową","Z umowy")</f>
        <v>Poza umową</v>
      </c>
      <c r="N1364" s="2">
        <f>YEAR(Table14[[#This Row],[Data_Wystawienia]])</f>
        <v>2023</v>
      </c>
      <c r="O1364" s="2" t="str">
        <f>TEXT(Table14[[#This Row],[Data_Wystawienia]],"rrrr-mm")</f>
        <v>2023-05</v>
      </c>
      <c r="P1364" s="2">
        <v>1</v>
      </c>
    </row>
    <row r="1365" spans="1:16" x14ac:dyDescent="0.3">
      <c r="A1365" s="2" t="str">
        <f>TRIM(Table1[[#This Row],[Numer_FV]])</f>
        <v>FV/POL/56457/2023</v>
      </c>
      <c r="B1365" s="2" t="str">
        <f>TRIM(Table1[[#This Row],[Numer_PZ]])</f>
        <v>PZ/801363</v>
      </c>
      <c r="C1365" s="2" t="str">
        <f>TRIM(Table1[[#This Row],[Dostawca]])</f>
        <v>Polmedica</v>
      </c>
      <c r="D1365" s="3">
        <v>45061</v>
      </c>
      <c r="E1365" s="4" t="s">
        <v>4057</v>
      </c>
      <c r="F1365" s="2" t="str">
        <f>TRIM(Table1[[#This Row],[Status]])</f>
        <v>Zaakceptowana</v>
      </c>
      <c r="G1365" s="2" t="str">
        <f>TRIM(Table1[[#This Row],[Typ]])</f>
        <v>Faktura VAT</v>
      </c>
      <c r="H1365" s="2" t="str">
        <f>TRIM(Table1[[#This Row],[Magazyn]])</f>
        <v>Apteka Szpitalna</v>
      </c>
      <c r="I1365" s="2" t="str">
        <f>TRIM(Table1[[#This Row],[Umowa]])</f>
        <v/>
      </c>
      <c r="J1365" s="2" t="b">
        <f>ISTEXT(Table14[[#This Row],[Data_Wystawienia]])</f>
        <v>0</v>
      </c>
      <c r="K1365" s="2">
        <f>VALUE(SUBSTITUTE(Table14[[#This Row],[Wartość]],".",","))</f>
        <v>7429</v>
      </c>
      <c r="L13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5" s="2" t="str">
        <f>IF(Table14[[#This Row],[Umowa]]="","Poza umową","Z umowy")</f>
        <v>Poza umową</v>
      </c>
      <c r="N1365" s="2">
        <f>YEAR(Table14[[#This Row],[Data_Wystawienia]])</f>
        <v>2023</v>
      </c>
      <c r="O1365" s="2" t="str">
        <f>TEXT(Table14[[#This Row],[Data_Wystawienia]],"rrrr-mm")</f>
        <v>2023-05</v>
      </c>
      <c r="P1365" s="2">
        <v>1</v>
      </c>
    </row>
    <row r="1366" spans="1:16" x14ac:dyDescent="0.3">
      <c r="A1366" s="2" t="str">
        <f>TRIM(Table1[[#This Row],[Numer_FV]])</f>
        <v>FV/4235HM/23</v>
      </c>
      <c r="B1366" s="2" t="str">
        <f>TRIM(Table1[[#This Row],[Numer_PZ]])</f>
        <v>PZ/801364</v>
      </c>
      <c r="C1366" s="2" t="str">
        <f>TRIM(Table1[[#This Row],[Dostawca]])</f>
        <v>HurtMedix</v>
      </c>
      <c r="D1366" s="3">
        <v>45062</v>
      </c>
      <c r="E1366" s="4" t="s">
        <v>4060</v>
      </c>
      <c r="F1366" s="2" t="str">
        <f>TRIM(Table1[[#This Row],[Status]])</f>
        <v>Zaakceptowana</v>
      </c>
      <c r="G1366" s="2" t="str">
        <f>TRIM(Table1[[#This Row],[Typ]])</f>
        <v>Faktura VAT</v>
      </c>
      <c r="H1366" s="2" t="str">
        <f>TRIM(Table1[[#This Row],[Magazyn]])</f>
        <v>Apteka Szpitalna</v>
      </c>
      <c r="I1366" s="2" t="str">
        <f>TRIM(Table1[[#This Row],[Umowa]])</f>
        <v>UM-HUR-03</v>
      </c>
      <c r="J1366" s="2" t="b">
        <f>ISTEXT(Table14[[#This Row],[Data_Wystawienia]])</f>
        <v>0</v>
      </c>
      <c r="K1366" s="2">
        <f>VALUE(SUBSTITUTE(Table14[[#This Row],[Wartość]],".",","))</f>
        <v>15376.56</v>
      </c>
      <c r="L13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6" s="2" t="str">
        <f>IF(Table14[[#This Row],[Umowa]]="","Poza umową","Z umowy")</f>
        <v>Z umowy</v>
      </c>
      <c r="N1366" s="2">
        <f>YEAR(Table14[[#This Row],[Data_Wystawienia]])</f>
        <v>2023</v>
      </c>
      <c r="O1366" s="2" t="str">
        <f>TEXT(Table14[[#This Row],[Data_Wystawienia]],"rrrr-mm")</f>
        <v>2023-05</v>
      </c>
      <c r="P1366" s="2">
        <v>1</v>
      </c>
    </row>
    <row r="1367" spans="1:16" x14ac:dyDescent="0.3">
      <c r="A1367" s="2" t="str">
        <f>TRIM(Table1[[#This Row],[Numer_FV]])</f>
        <v>FV/9285/NOVA/23</v>
      </c>
      <c r="B1367" s="2" t="str">
        <f>TRIM(Table1[[#This Row],[Numer_PZ]])</f>
        <v>PZ/801365</v>
      </c>
      <c r="C1367" s="2" t="str">
        <f>TRIM(Table1[[#This Row],[Dostawca]])</f>
        <v>NovaLek</v>
      </c>
      <c r="D1367" s="3">
        <v>45062</v>
      </c>
      <c r="E1367" s="4" t="s">
        <v>4063</v>
      </c>
      <c r="F1367" s="2" t="str">
        <f>TRIM(Table1[[#This Row],[Status]])</f>
        <v>Zaakceptowana</v>
      </c>
      <c r="G1367" s="2" t="str">
        <f>TRIM(Table1[[#This Row],[Typ]])</f>
        <v>Faktura VAT</v>
      </c>
      <c r="H1367" s="2" t="str">
        <f>TRIM(Table1[[#This Row],[Magazyn]])</f>
        <v>Apteka Szpitalna</v>
      </c>
      <c r="I1367" s="2" t="str">
        <f>TRIM(Table1[[#This Row],[Umowa]])</f>
        <v>UM-NOV-03</v>
      </c>
      <c r="J1367" s="2" t="b">
        <f>ISTEXT(Table14[[#This Row],[Data_Wystawienia]])</f>
        <v>0</v>
      </c>
      <c r="K1367" s="2">
        <f>VALUE(SUBSTITUTE(Table14[[#This Row],[Wartość]],".",","))</f>
        <v>17394.89</v>
      </c>
      <c r="L13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7" s="2" t="str">
        <f>IF(Table14[[#This Row],[Umowa]]="","Poza umową","Z umowy")</f>
        <v>Z umowy</v>
      </c>
      <c r="N1367" s="2">
        <f>YEAR(Table14[[#This Row],[Data_Wystawienia]])</f>
        <v>2023</v>
      </c>
      <c r="O1367" s="2" t="str">
        <f>TEXT(Table14[[#This Row],[Data_Wystawienia]],"rrrr-mm")</f>
        <v>2023-05</v>
      </c>
      <c r="P1367" s="2">
        <v>1</v>
      </c>
    </row>
    <row r="1368" spans="1:16" x14ac:dyDescent="0.3">
      <c r="A1368" s="2" t="str">
        <f>TRIM(Table1[[#This Row],[Numer_FV]])</f>
        <v>FV/POL/37487/2023</v>
      </c>
      <c r="B1368" s="2" t="str">
        <f>TRIM(Table1[[#This Row],[Numer_PZ]])</f>
        <v>PZ/801366</v>
      </c>
      <c r="C1368" s="2" t="str">
        <f>TRIM(Table1[[#This Row],[Dostawca]])</f>
        <v>Polmedica</v>
      </c>
      <c r="D1368" s="3">
        <v>45062</v>
      </c>
      <c r="E1368" s="4" t="s">
        <v>4066</v>
      </c>
      <c r="F1368" s="2" t="str">
        <f>TRIM(Table1[[#This Row],[Status]])</f>
        <v>Zaakceptowana</v>
      </c>
      <c r="G1368" s="2" t="str">
        <f>TRIM(Table1[[#This Row],[Typ]])</f>
        <v>Faktura VAT</v>
      </c>
      <c r="H1368" s="2" t="str">
        <f>TRIM(Table1[[#This Row],[Magazyn]])</f>
        <v>Apteka Szpitalna</v>
      </c>
      <c r="I1368" s="2" t="str">
        <f>TRIM(Table1[[#This Row],[Umowa]])</f>
        <v>UM-POL-03</v>
      </c>
      <c r="J1368" s="2" t="b">
        <f>ISTEXT(Table14[[#This Row],[Data_Wystawienia]])</f>
        <v>0</v>
      </c>
      <c r="K1368" s="2">
        <f>VALUE(SUBSTITUTE(Table14[[#This Row],[Wartość]],".",","))</f>
        <v>11758.28</v>
      </c>
      <c r="L13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8" s="2" t="str">
        <f>IF(Table14[[#This Row],[Umowa]]="","Poza umową","Z umowy")</f>
        <v>Z umowy</v>
      </c>
      <c r="N1368" s="2">
        <f>YEAR(Table14[[#This Row],[Data_Wystawienia]])</f>
        <v>2023</v>
      </c>
      <c r="O1368" s="2" t="str">
        <f>TEXT(Table14[[#This Row],[Data_Wystawienia]],"rrrr-mm")</f>
        <v>2023-05</v>
      </c>
      <c r="P1368" s="2">
        <v>1</v>
      </c>
    </row>
    <row r="1369" spans="1:16" x14ac:dyDescent="0.3">
      <c r="A1369" s="2" t="str">
        <f>TRIM(Table1[[#This Row],[Numer_FV]])</f>
        <v>FV/35/PP/5456/23</v>
      </c>
      <c r="B1369" s="2" t="str">
        <f>TRIM(Table1[[#This Row],[Numer_PZ]])</f>
        <v>PZ/801367</v>
      </c>
      <c r="C1369" s="2" t="str">
        <f>TRIM(Table1[[#This Row],[Dostawca]])</f>
        <v>PharmaPlus</v>
      </c>
      <c r="D1369" s="3">
        <v>45062</v>
      </c>
      <c r="E1369" s="4" t="s">
        <v>4069</v>
      </c>
      <c r="F1369" s="2" t="str">
        <f>TRIM(Table1[[#This Row],[Status]])</f>
        <v>Zaakceptowana</v>
      </c>
      <c r="G1369" s="2" t="str">
        <f>TRIM(Table1[[#This Row],[Typ]])</f>
        <v>Faktura VAT</v>
      </c>
      <c r="H1369" s="2" t="str">
        <f>TRIM(Table1[[#This Row],[Magazyn]])</f>
        <v>Apteka Szpitalna</v>
      </c>
      <c r="I1369" s="2" t="str">
        <f>TRIM(Table1[[#This Row],[Umowa]])</f>
        <v>UM-PHA-01</v>
      </c>
      <c r="J1369" s="2" t="b">
        <f>ISTEXT(Table14[[#This Row],[Data_Wystawienia]])</f>
        <v>0</v>
      </c>
      <c r="K1369" s="2">
        <f>VALUE(SUBSTITUTE(Table14[[#This Row],[Wartość]],".",","))</f>
        <v>9241.9500000000007</v>
      </c>
      <c r="L13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69" s="2" t="str">
        <f>IF(Table14[[#This Row],[Umowa]]="","Poza umową","Z umowy")</f>
        <v>Z umowy</v>
      </c>
      <c r="N1369" s="2">
        <f>YEAR(Table14[[#This Row],[Data_Wystawienia]])</f>
        <v>2023</v>
      </c>
      <c r="O1369" s="2" t="str">
        <f>TEXT(Table14[[#This Row],[Data_Wystawienia]],"rrrr-mm")</f>
        <v>2023-05</v>
      </c>
      <c r="P1369" s="2">
        <v>1</v>
      </c>
    </row>
    <row r="1370" spans="1:16" x14ac:dyDescent="0.3">
      <c r="A1370" s="2" t="str">
        <f>TRIM(Table1[[#This Row],[Numer_FV]])</f>
        <v>FV/88/PP/5961/23</v>
      </c>
      <c r="B1370" s="2" t="str">
        <f>TRIM(Table1[[#This Row],[Numer_PZ]])</f>
        <v>PZ/801368</v>
      </c>
      <c r="C1370" s="2" t="str">
        <f>TRIM(Table1[[#This Row],[Dostawca]])</f>
        <v>PharmaPlus</v>
      </c>
      <c r="D1370" s="3">
        <v>45063</v>
      </c>
      <c r="E1370" s="4" t="s">
        <v>4072</v>
      </c>
      <c r="F1370" s="2" t="str">
        <f>TRIM(Table1[[#This Row],[Status]])</f>
        <v>Zaakceptowana</v>
      </c>
      <c r="G1370" s="2" t="str">
        <f>TRIM(Table1[[#This Row],[Typ]])</f>
        <v>Faktura VAT</v>
      </c>
      <c r="H1370" s="2" t="str">
        <f>TRIM(Table1[[#This Row],[Magazyn]])</f>
        <v>Apteka Szpitalna</v>
      </c>
      <c r="I1370" s="2" t="str">
        <f>TRIM(Table1[[#This Row],[Umowa]])</f>
        <v>UM-PHA-02</v>
      </c>
      <c r="J1370" s="2" t="b">
        <f>ISTEXT(Table14[[#This Row],[Data_Wystawienia]])</f>
        <v>0</v>
      </c>
      <c r="K1370" s="2">
        <f>VALUE(SUBSTITUTE(Table14[[#This Row],[Wartość]],".",","))</f>
        <v>20636.73</v>
      </c>
      <c r="L13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0" s="2" t="str">
        <f>IF(Table14[[#This Row],[Umowa]]="","Poza umową","Z umowy")</f>
        <v>Z umowy</v>
      </c>
      <c r="N1370" s="2">
        <f>YEAR(Table14[[#This Row],[Data_Wystawienia]])</f>
        <v>2023</v>
      </c>
      <c r="O1370" s="2" t="str">
        <f>TEXT(Table14[[#This Row],[Data_Wystawienia]],"rrrr-mm")</f>
        <v>2023-05</v>
      </c>
      <c r="P1370" s="2">
        <v>1</v>
      </c>
    </row>
    <row r="1371" spans="1:16" x14ac:dyDescent="0.3">
      <c r="A1371" s="2" t="str">
        <f>TRIM(Table1[[#This Row],[Numer_FV]])</f>
        <v>FV/POL/90416/2023</v>
      </c>
      <c r="B1371" s="2" t="str">
        <f>TRIM(Table1[[#This Row],[Numer_PZ]])</f>
        <v>PZ/801369</v>
      </c>
      <c r="C1371" s="2" t="str">
        <f>TRIM(Table1[[#This Row],[Dostawca]])</f>
        <v>Polmedica</v>
      </c>
      <c r="D1371" s="3">
        <v>45063</v>
      </c>
      <c r="E1371" s="4" t="s">
        <v>4075</v>
      </c>
      <c r="F1371" s="2" t="str">
        <f>TRIM(Table1[[#This Row],[Status]])</f>
        <v>Zaakceptowana</v>
      </c>
      <c r="G1371" s="2" t="str">
        <f>TRIM(Table1[[#This Row],[Typ]])</f>
        <v>Faktura VAT</v>
      </c>
      <c r="H1371" s="2" t="str">
        <f>TRIM(Table1[[#This Row],[Magazyn]])</f>
        <v>Apteka Szpitalna</v>
      </c>
      <c r="I1371" s="2" t="str">
        <f>TRIM(Table1[[#This Row],[Umowa]])</f>
        <v>UM-POL-02</v>
      </c>
      <c r="J1371" s="2" t="b">
        <f>ISTEXT(Table14[[#This Row],[Data_Wystawienia]])</f>
        <v>0</v>
      </c>
      <c r="K1371" s="2">
        <f>VALUE(SUBSTITUTE(Table14[[#This Row],[Wartość]],".",","))</f>
        <v>11307.44</v>
      </c>
      <c r="L13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1" s="2" t="str">
        <f>IF(Table14[[#This Row],[Umowa]]="","Poza umową","Z umowy")</f>
        <v>Z umowy</v>
      </c>
      <c r="N1371" s="2">
        <f>YEAR(Table14[[#This Row],[Data_Wystawienia]])</f>
        <v>2023</v>
      </c>
      <c r="O1371" s="2" t="str">
        <f>TEXT(Table14[[#This Row],[Data_Wystawienia]],"rrrr-mm")</f>
        <v>2023-05</v>
      </c>
      <c r="P1371" s="2">
        <v>1</v>
      </c>
    </row>
    <row r="1372" spans="1:16" x14ac:dyDescent="0.3">
      <c r="A1372" s="2" t="str">
        <f>TRIM(Table1[[#This Row],[Numer_FV]])</f>
        <v>FV/56/PP/9090/23</v>
      </c>
      <c r="B1372" s="2" t="str">
        <f>TRIM(Table1[[#This Row],[Numer_PZ]])</f>
        <v>PZ/801370</v>
      </c>
      <c r="C1372" s="2" t="str">
        <f>TRIM(Table1[[#This Row],[Dostawca]])</f>
        <v>PharmaPlus</v>
      </c>
      <c r="D1372" s="3">
        <v>45064</v>
      </c>
      <c r="E1372" s="4" t="s">
        <v>4078</v>
      </c>
      <c r="F1372" s="2" t="str">
        <f>TRIM(Table1[[#This Row],[Status]])</f>
        <v>Zaakceptowana</v>
      </c>
      <c r="G1372" s="2" t="str">
        <f>TRIM(Table1[[#This Row],[Typ]])</f>
        <v>Faktura VAT</v>
      </c>
      <c r="H1372" s="2" t="str">
        <f>TRIM(Table1[[#This Row],[Magazyn]])</f>
        <v>Apteka Szpitalna</v>
      </c>
      <c r="I1372" s="2" t="str">
        <f>TRIM(Table1[[#This Row],[Umowa]])</f>
        <v>UM-PHA-02</v>
      </c>
      <c r="J1372" s="2" t="b">
        <f>ISTEXT(Table14[[#This Row],[Data_Wystawienia]])</f>
        <v>0</v>
      </c>
      <c r="K1372" s="2">
        <f>VALUE(SUBSTITUTE(Table14[[#This Row],[Wartość]],".",","))</f>
        <v>14947.4</v>
      </c>
      <c r="L13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2" s="2" t="str">
        <f>IF(Table14[[#This Row],[Umowa]]="","Poza umową","Z umowy")</f>
        <v>Z umowy</v>
      </c>
      <c r="N1372" s="2">
        <f>YEAR(Table14[[#This Row],[Data_Wystawienia]])</f>
        <v>2023</v>
      </c>
      <c r="O1372" s="2" t="str">
        <f>TEXT(Table14[[#This Row],[Data_Wystawienia]],"rrrr-mm")</f>
        <v>2023-05</v>
      </c>
      <c r="P1372" s="2">
        <v>1</v>
      </c>
    </row>
    <row r="1373" spans="1:16" x14ac:dyDescent="0.3">
      <c r="A1373" s="2" t="str">
        <f>TRIM(Table1[[#This Row],[Numer_FV]])</f>
        <v>FV/26918/VDb/2023</v>
      </c>
      <c r="B1373" s="2" t="str">
        <f>TRIM(Table1[[#This Row],[Numer_PZ]])</f>
        <v>PZ/801371</v>
      </c>
      <c r="C1373" s="2" t="str">
        <f>TRIM(Table1[[#This Row],[Dostawca]])</f>
        <v>VitaDistrib</v>
      </c>
      <c r="D1373" s="3">
        <v>45064</v>
      </c>
      <c r="E1373" s="4" t="s">
        <v>4081</v>
      </c>
      <c r="F1373" s="2" t="str">
        <f>TRIM(Table1[[#This Row],[Status]])</f>
        <v>Zaakceptowana</v>
      </c>
      <c r="G1373" s="2" t="str">
        <f>TRIM(Table1[[#This Row],[Typ]])</f>
        <v>Faktura VAT</v>
      </c>
      <c r="H1373" s="2" t="str">
        <f>TRIM(Table1[[#This Row],[Magazyn]])</f>
        <v>Apteka Szpitalna</v>
      </c>
      <c r="I1373" s="2" t="str">
        <f>TRIM(Table1[[#This Row],[Umowa]])</f>
        <v/>
      </c>
      <c r="J1373" s="2" t="b">
        <f>ISTEXT(Table14[[#This Row],[Data_Wystawienia]])</f>
        <v>0</v>
      </c>
      <c r="K1373" s="2">
        <f>VALUE(SUBSTITUTE(Table14[[#This Row],[Wartość]],".",","))</f>
        <v>18935.38</v>
      </c>
      <c r="L13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3" s="2" t="str">
        <f>IF(Table14[[#This Row],[Umowa]]="","Poza umową","Z umowy")</f>
        <v>Poza umową</v>
      </c>
      <c r="N1373" s="2">
        <f>YEAR(Table14[[#This Row],[Data_Wystawienia]])</f>
        <v>2023</v>
      </c>
      <c r="O1373" s="2" t="str">
        <f>TEXT(Table14[[#This Row],[Data_Wystawienia]],"rrrr-mm")</f>
        <v>2023-05</v>
      </c>
      <c r="P1373" s="2">
        <v>1</v>
      </c>
    </row>
    <row r="1374" spans="1:16" x14ac:dyDescent="0.3">
      <c r="A1374" s="2" t="str">
        <f>TRIM(Table1[[#This Row],[Numer_FV]])</f>
        <v>FV/96/PP/7479/23</v>
      </c>
      <c r="B1374" s="2" t="str">
        <f>TRIM(Table1[[#This Row],[Numer_PZ]])</f>
        <v>PZ/801372</v>
      </c>
      <c r="C1374" s="2" t="str">
        <f>TRIM(Table1[[#This Row],[Dostawca]])</f>
        <v>PharmaPlus</v>
      </c>
      <c r="D1374" s="3">
        <v>45064</v>
      </c>
      <c r="E1374" s="4" t="s">
        <v>4084</v>
      </c>
      <c r="F1374" s="2" t="str">
        <f>TRIM(Table1[[#This Row],[Status]])</f>
        <v>Zaakceptowana</v>
      </c>
      <c r="G1374" s="2" t="str">
        <f>TRIM(Table1[[#This Row],[Typ]])</f>
        <v>Faktura VAT</v>
      </c>
      <c r="H1374" s="2" t="str">
        <f>TRIM(Table1[[#This Row],[Magazyn]])</f>
        <v>Apteka Szpitalna</v>
      </c>
      <c r="I1374" s="2" t="str">
        <f>TRIM(Table1[[#This Row],[Umowa]])</f>
        <v/>
      </c>
      <c r="J1374" s="2" t="b">
        <f>ISTEXT(Table14[[#This Row],[Data_Wystawienia]])</f>
        <v>0</v>
      </c>
      <c r="K1374" s="2">
        <f>VALUE(SUBSTITUTE(Table14[[#This Row],[Wartość]],".",","))</f>
        <v>11389.49</v>
      </c>
      <c r="L13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4" s="2" t="str">
        <f>IF(Table14[[#This Row],[Umowa]]="","Poza umową","Z umowy")</f>
        <v>Poza umową</v>
      </c>
      <c r="N1374" s="2">
        <f>YEAR(Table14[[#This Row],[Data_Wystawienia]])</f>
        <v>2023</v>
      </c>
      <c r="O1374" s="2" t="str">
        <f>TEXT(Table14[[#This Row],[Data_Wystawienia]],"rrrr-mm")</f>
        <v>2023-05</v>
      </c>
      <c r="P1374" s="2">
        <v>1</v>
      </c>
    </row>
    <row r="1375" spans="1:16" x14ac:dyDescent="0.3">
      <c r="A1375" s="2" t="str">
        <f>TRIM(Table1[[#This Row],[Numer_FV]])</f>
        <v>FV/2681HM/23</v>
      </c>
      <c r="B1375" s="2" t="str">
        <f>TRIM(Table1[[#This Row],[Numer_PZ]])</f>
        <v>PZ/801373</v>
      </c>
      <c r="C1375" s="2" t="str">
        <f>TRIM(Table1[[#This Row],[Dostawca]])</f>
        <v>HurtMedix</v>
      </c>
      <c r="D1375" s="3">
        <v>45064</v>
      </c>
      <c r="E1375" s="4" t="s">
        <v>4087</v>
      </c>
      <c r="F1375" s="2" t="str">
        <f>TRIM(Table1[[#This Row],[Status]])</f>
        <v>Zaakceptowana</v>
      </c>
      <c r="G1375" s="2" t="str">
        <f>TRIM(Table1[[#This Row],[Typ]])</f>
        <v>Faktura VAT</v>
      </c>
      <c r="H1375" s="2" t="str">
        <f>TRIM(Table1[[#This Row],[Magazyn]])</f>
        <v>Apteka Szpitalna</v>
      </c>
      <c r="I1375" s="2" t="str">
        <f>TRIM(Table1[[#This Row],[Umowa]])</f>
        <v>UM-HUR-01</v>
      </c>
      <c r="J1375" s="2" t="b">
        <f>ISTEXT(Table14[[#This Row],[Data_Wystawienia]])</f>
        <v>0</v>
      </c>
      <c r="K1375" s="2">
        <f>VALUE(SUBSTITUTE(Table14[[#This Row],[Wartość]],".",","))</f>
        <v>12471.31</v>
      </c>
      <c r="L13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5" s="2" t="str">
        <f>IF(Table14[[#This Row],[Umowa]]="","Poza umową","Z umowy")</f>
        <v>Z umowy</v>
      </c>
      <c r="N1375" s="2">
        <f>YEAR(Table14[[#This Row],[Data_Wystawienia]])</f>
        <v>2023</v>
      </c>
      <c r="O1375" s="2" t="str">
        <f>TEXT(Table14[[#This Row],[Data_Wystawienia]],"rrrr-mm")</f>
        <v>2023-05</v>
      </c>
      <c r="P1375" s="2">
        <v>1</v>
      </c>
    </row>
    <row r="1376" spans="1:16" x14ac:dyDescent="0.3">
      <c r="A1376" s="2" t="str">
        <f>TRIM(Table1[[#This Row],[Numer_FV]])</f>
        <v>FV/11/SAL/23</v>
      </c>
      <c r="B1376" s="2" t="str">
        <f>TRIM(Table1[[#This Row],[Numer_PZ]])</f>
        <v>PZ/801374</v>
      </c>
      <c r="C1376" s="2" t="str">
        <f>TRIM(Table1[[#This Row],[Dostawca]])</f>
        <v>SalusHurt</v>
      </c>
      <c r="D1376" s="3">
        <v>45064</v>
      </c>
      <c r="E1376" s="4" t="s">
        <v>4090</v>
      </c>
      <c r="F1376" s="2" t="str">
        <f>TRIM(Table1[[#This Row],[Status]])</f>
        <v>Zaakceptowana</v>
      </c>
      <c r="G1376" s="2" t="str">
        <f>TRIM(Table1[[#This Row],[Typ]])</f>
        <v>Faktura VAT</v>
      </c>
      <c r="H1376" s="2" t="str">
        <f>TRIM(Table1[[#This Row],[Magazyn]])</f>
        <v>Apteka Szpitalna</v>
      </c>
      <c r="I1376" s="2" t="str">
        <f>TRIM(Table1[[#This Row],[Umowa]])</f>
        <v>UM-SAL-01</v>
      </c>
      <c r="J1376" s="2" t="b">
        <f>ISTEXT(Table14[[#This Row],[Data_Wystawienia]])</f>
        <v>0</v>
      </c>
      <c r="K1376" s="2">
        <f>VALUE(SUBSTITUTE(Table14[[#This Row],[Wartość]],".",","))</f>
        <v>18140.37</v>
      </c>
      <c r="L13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6" s="2" t="str">
        <f>IF(Table14[[#This Row],[Umowa]]="","Poza umową","Z umowy")</f>
        <v>Z umowy</v>
      </c>
      <c r="N1376" s="2">
        <f>YEAR(Table14[[#This Row],[Data_Wystawienia]])</f>
        <v>2023</v>
      </c>
      <c r="O1376" s="2" t="str">
        <f>TEXT(Table14[[#This Row],[Data_Wystawienia]],"rrrr-mm")</f>
        <v>2023-05</v>
      </c>
      <c r="P1376" s="2">
        <v>1</v>
      </c>
    </row>
    <row r="1377" spans="1:16" x14ac:dyDescent="0.3">
      <c r="A1377" s="2" t="str">
        <f>TRIM(Table1[[#This Row],[Numer_FV]])</f>
        <v>FV/CENFA/430827/23</v>
      </c>
      <c r="B1377" s="2" t="str">
        <f>TRIM(Table1[[#This Row],[Numer_PZ]])</f>
        <v>PZ/801375</v>
      </c>
      <c r="C1377" s="2" t="str">
        <f>TRIM(Table1[[#This Row],[Dostawca]])</f>
        <v>CentrumFarm</v>
      </c>
      <c r="D1377" s="3">
        <v>45064</v>
      </c>
      <c r="E1377" s="4" t="s">
        <v>4093</v>
      </c>
      <c r="F1377" s="2" t="str">
        <f>TRIM(Table1[[#This Row],[Status]])</f>
        <v>Zaakceptowana</v>
      </c>
      <c r="G1377" s="2" t="str">
        <f>TRIM(Table1[[#This Row],[Typ]])</f>
        <v>Faktura VAT</v>
      </c>
      <c r="H1377" s="2" t="str">
        <f>TRIM(Table1[[#This Row],[Magazyn]])</f>
        <v>Apteka Szpitalna</v>
      </c>
      <c r="I1377" s="2" t="str">
        <f>TRIM(Table1[[#This Row],[Umowa]])</f>
        <v>UM-CEN-01</v>
      </c>
      <c r="J1377" s="2" t="b">
        <f>ISTEXT(Table14[[#This Row],[Data_Wystawienia]])</f>
        <v>0</v>
      </c>
      <c r="K1377" s="2">
        <f>VALUE(SUBSTITUTE(Table14[[#This Row],[Wartość]],".",","))</f>
        <v>22526.31</v>
      </c>
      <c r="L13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7" s="2" t="str">
        <f>IF(Table14[[#This Row],[Umowa]]="","Poza umową","Z umowy")</f>
        <v>Z umowy</v>
      </c>
      <c r="N1377" s="2">
        <f>YEAR(Table14[[#This Row],[Data_Wystawienia]])</f>
        <v>2023</v>
      </c>
      <c r="O1377" s="2" t="str">
        <f>TEXT(Table14[[#This Row],[Data_Wystawienia]],"rrrr-mm")</f>
        <v>2023-05</v>
      </c>
      <c r="P1377" s="2">
        <v>1</v>
      </c>
    </row>
    <row r="1378" spans="1:16" x14ac:dyDescent="0.3">
      <c r="A1378" s="2" t="str">
        <f>TRIM(Table1[[#This Row],[Numer_FV]])</f>
        <v>FV/M/7094/P/23</v>
      </c>
      <c r="B1378" s="2" t="str">
        <f>TRIM(Table1[[#This Row],[Numer_PZ]])</f>
        <v>PZ/801376</v>
      </c>
      <c r="C1378" s="2" t="str">
        <f>TRIM(Table1[[#This Row],[Dostawca]])</f>
        <v>MedicaPharm</v>
      </c>
      <c r="D1378" s="3">
        <v>45065</v>
      </c>
      <c r="E1378" s="4" t="s">
        <v>4096</v>
      </c>
      <c r="F1378" s="2" t="str">
        <f>TRIM(Table1[[#This Row],[Status]])</f>
        <v>Zaakceptowana</v>
      </c>
      <c r="G1378" s="2" t="str">
        <f>TRIM(Table1[[#This Row],[Typ]])</f>
        <v>Faktura VAT</v>
      </c>
      <c r="H1378" s="2" t="str">
        <f>TRIM(Table1[[#This Row],[Magazyn]])</f>
        <v>Apteka Szpitalna</v>
      </c>
      <c r="I1378" s="2" t="str">
        <f>TRIM(Table1[[#This Row],[Umowa]])</f>
        <v>UM-MED-02</v>
      </c>
      <c r="J1378" s="2" t="b">
        <f>ISTEXT(Table14[[#This Row],[Data_Wystawienia]])</f>
        <v>0</v>
      </c>
      <c r="K1378" s="2">
        <f>VALUE(SUBSTITUTE(Table14[[#This Row],[Wartość]],".",","))</f>
        <v>9409.14</v>
      </c>
      <c r="L13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8" s="2" t="str">
        <f>IF(Table14[[#This Row],[Umowa]]="","Poza umową","Z umowy")</f>
        <v>Z umowy</v>
      </c>
      <c r="N1378" s="2">
        <f>YEAR(Table14[[#This Row],[Data_Wystawienia]])</f>
        <v>2023</v>
      </c>
      <c r="O1378" s="2" t="str">
        <f>TEXT(Table14[[#This Row],[Data_Wystawienia]],"rrrr-mm")</f>
        <v>2023-05</v>
      </c>
      <c r="P1378" s="2">
        <v>1</v>
      </c>
    </row>
    <row r="1379" spans="1:16" x14ac:dyDescent="0.3">
      <c r="A1379" s="2" t="str">
        <f>TRIM(Table1[[#This Row],[Numer_FV]])</f>
        <v>FV/M/4123/P/23</v>
      </c>
      <c r="B1379" s="2" t="str">
        <f>TRIM(Table1[[#This Row],[Numer_PZ]])</f>
        <v>PZ/801377</v>
      </c>
      <c r="C1379" s="2" t="str">
        <f>TRIM(Table1[[#This Row],[Dostawca]])</f>
        <v>MedicaPharm</v>
      </c>
      <c r="D1379" s="3">
        <v>45065</v>
      </c>
      <c r="E1379" s="4" t="s">
        <v>4099</v>
      </c>
      <c r="F1379" s="2" t="str">
        <f>TRIM(Table1[[#This Row],[Status]])</f>
        <v>Zaakceptowana</v>
      </c>
      <c r="G1379" s="2" t="str">
        <f>TRIM(Table1[[#This Row],[Typ]])</f>
        <v>Faktura VAT</v>
      </c>
      <c r="H1379" s="2" t="str">
        <f>TRIM(Table1[[#This Row],[Magazyn]])</f>
        <v>Apteka Szpitalna</v>
      </c>
      <c r="I1379" s="2" t="str">
        <f>TRIM(Table1[[#This Row],[Umowa]])</f>
        <v>UM-MED-01</v>
      </c>
      <c r="J1379" s="2" t="b">
        <f>ISTEXT(Table14[[#This Row],[Data_Wystawienia]])</f>
        <v>0</v>
      </c>
      <c r="K1379" s="2">
        <f>VALUE(SUBSTITUTE(Table14[[#This Row],[Wartość]],".",","))</f>
        <v>15111.1</v>
      </c>
      <c r="L13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79" s="2" t="str">
        <f>IF(Table14[[#This Row],[Umowa]]="","Poza umową","Z umowy")</f>
        <v>Z umowy</v>
      </c>
      <c r="N1379" s="2">
        <f>YEAR(Table14[[#This Row],[Data_Wystawienia]])</f>
        <v>2023</v>
      </c>
      <c r="O1379" s="2" t="str">
        <f>TEXT(Table14[[#This Row],[Data_Wystawienia]],"rrrr-mm")</f>
        <v>2023-05</v>
      </c>
      <c r="P1379" s="2">
        <v>1</v>
      </c>
    </row>
    <row r="1380" spans="1:16" x14ac:dyDescent="0.3">
      <c r="A1380" s="2" t="str">
        <f>TRIM(Table1[[#This Row],[Numer_FV]])</f>
        <v>FV/CENFA/776466/23</v>
      </c>
      <c r="B1380" s="2" t="str">
        <f>TRIM(Table1[[#This Row],[Numer_PZ]])</f>
        <v>PZ/801378</v>
      </c>
      <c r="C1380" s="2" t="str">
        <f>TRIM(Table1[[#This Row],[Dostawca]])</f>
        <v>CentrumFarm</v>
      </c>
      <c r="D1380" s="3">
        <v>45065</v>
      </c>
      <c r="E1380" s="4" t="s">
        <v>4102</v>
      </c>
      <c r="F1380" s="2" t="str">
        <f>TRIM(Table1[[#This Row],[Status]])</f>
        <v>Zaakceptowana</v>
      </c>
      <c r="G1380" s="2" t="str">
        <f>TRIM(Table1[[#This Row],[Typ]])</f>
        <v>Faktura VAT</v>
      </c>
      <c r="H1380" s="2" t="str">
        <f>TRIM(Table1[[#This Row],[Magazyn]])</f>
        <v>Apteka Szpitalna</v>
      </c>
      <c r="I1380" s="2" t="str">
        <f>TRIM(Table1[[#This Row],[Umowa]])</f>
        <v/>
      </c>
      <c r="J1380" s="2" t="b">
        <f>ISTEXT(Table14[[#This Row],[Data_Wystawienia]])</f>
        <v>0</v>
      </c>
      <c r="K1380" s="2">
        <f>VALUE(SUBSTITUTE(Table14[[#This Row],[Wartość]],".",","))</f>
        <v>12771.01</v>
      </c>
      <c r="L13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0" s="2" t="str">
        <f>IF(Table14[[#This Row],[Umowa]]="","Poza umową","Z umowy")</f>
        <v>Poza umową</v>
      </c>
      <c r="N1380" s="2">
        <f>YEAR(Table14[[#This Row],[Data_Wystawienia]])</f>
        <v>2023</v>
      </c>
      <c r="O1380" s="2" t="str">
        <f>TEXT(Table14[[#This Row],[Data_Wystawienia]],"rrrr-mm")</f>
        <v>2023-05</v>
      </c>
      <c r="P1380" s="2">
        <v>1</v>
      </c>
    </row>
    <row r="1381" spans="1:16" x14ac:dyDescent="0.3">
      <c r="A1381" s="2" t="str">
        <f>TRIM(Table1[[#This Row],[Numer_FV]])</f>
        <v>FV/CENFA/671721/23</v>
      </c>
      <c r="B1381" s="2" t="str">
        <f>TRIM(Table1[[#This Row],[Numer_PZ]])</f>
        <v>PZ/801379</v>
      </c>
      <c r="C1381" s="2" t="str">
        <f>TRIM(Table1[[#This Row],[Dostawca]])</f>
        <v>CentrumFarm</v>
      </c>
      <c r="D1381" s="3">
        <v>45065</v>
      </c>
      <c r="E1381" s="4" t="s">
        <v>4105</v>
      </c>
      <c r="F1381" s="2" t="str">
        <f>TRIM(Table1[[#This Row],[Status]])</f>
        <v>Zaakceptowana</v>
      </c>
      <c r="G1381" s="2" t="str">
        <f>TRIM(Table1[[#This Row],[Typ]])</f>
        <v>Faktura VAT</v>
      </c>
      <c r="H1381" s="2" t="str">
        <f>TRIM(Table1[[#This Row],[Magazyn]])</f>
        <v>Apteka Szpitalna</v>
      </c>
      <c r="I1381" s="2" t="str">
        <f>TRIM(Table1[[#This Row],[Umowa]])</f>
        <v>UM-CEN-02</v>
      </c>
      <c r="J1381" s="2" t="b">
        <f>ISTEXT(Table14[[#This Row],[Data_Wystawienia]])</f>
        <v>0</v>
      </c>
      <c r="K1381" s="2">
        <f>VALUE(SUBSTITUTE(Table14[[#This Row],[Wartość]],".",","))</f>
        <v>19095.11</v>
      </c>
      <c r="L13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1" s="2" t="str">
        <f>IF(Table14[[#This Row],[Umowa]]="","Poza umową","Z umowy")</f>
        <v>Z umowy</v>
      </c>
      <c r="N1381" s="2">
        <f>YEAR(Table14[[#This Row],[Data_Wystawienia]])</f>
        <v>2023</v>
      </c>
      <c r="O1381" s="2" t="str">
        <f>TEXT(Table14[[#This Row],[Data_Wystawienia]],"rrrr-mm")</f>
        <v>2023-05</v>
      </c>
      <c r="P1381" s="2">
        <v>1</v>
      </c>
    </row>
    <row r="1382" spans="1:16" x14ac:dyDescent="0.3">
      <c r="A1382" s="2" t="str">
        <f>TRIM(Table1[[#This Row],[Numer_FV]])</f>
        <v>FV/12/PP/5698/23</v>
      </c>
      <c r="B1382" s="2" t="str">
        <f>TRIM(Table1[[#This Row],[Numer_PZ]])</f>
        <v>PZ/801380</v>
      </c>
      <c r="C1382" s="2" t="str">
        <f>TRIM(Table1[[#This Row],[Dostawca]])</f>
        <v>PharmaPlus</v>
      </c>
      <c r="D1382" s="3">
        <v>45065</v>
      </c>
      <c r="E1382" s="4" t="s">
        <v>4108</v>
      </c>
      <c r="F1382" s="2" t="str">
        <f>TRIM(Table1[[#This Row],[Status]])</f>
        <v>Zaakceptowana</v>
      </c>
      <c r="G1382" s="2" t="str">
        <f>TRIM(Table1[[#This Row],[Typ]])</f>
        <v>Faktura VAT</v>
      </c>
      <c r="H1382" s="2" t="str">
        <f>TRIM(Table1[[#This Row],[Magazyn]])</f>
        <v>Apteka Szpitalna</v>
      </c>
      <c r="I1382" s="2" t="str">
        <f>TRIM(Table1[[#This Row],[Umowa]])</f>
        <v>UM-PHA-02</v>
      </c>
      <c r="J1382" s="2" t="b">
        <f>ISTEXT(Table14[[#This Row],[Data_Wystawienia]])</f>
        <v>0</v>
      </c>
      <c r="K1382" s="2">
        <f>VALUE(SUBSTITUTE(Table14[[#This Row],[Wartość]],".",","))</f>
        <v>8037.41</v>
      </c>
      <c r="L13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2" s="2" t="str">
        <f>IF(Table14[[#This Row],[Umowa]]="","Poza umową","Z umowy")</f>
        <v>Z umowy</v>
      </c>
      <c r="N1382" s="2">
        <f>YEAR(Table14[[#This Row],[Data_Wystawienia]])</f>
        <v>2023</v>
      </c>
      <c r="O1382" s="2" t="str">
        <f>TEXT(Table14[[#This Row],[Data_Wystawienia]],"rrrr-mm")</f>
        <v>2023-05</v>
      </c>
      <c r="P1382" s="2">
        <v>1</v>
      </c>
    </row>
    <row r="1383" spans="1:16" x14ac:dyDescent="0.3">
      <c r="A1383" s="2" t="str">
        <f>TRIM(Table1[[#This Row],[Numer_FV]])</f>
        <v>FV/M/1959/P/23</v>
      </c>
      <c r="B1383" s="2" t="str">
        <f>TRIM(Table1[[#This Row],[Numer_PZ]])</f>
        <v>PZ/801381</v>
      </c>
      <c r="C1383" s="2" t="str">
        <f>TRIM(Table1[[#This Row],[Dostawca]])</f>
        <v>MedicaPharm</v>
      </c>
      <c r="D1383" s="3">
        <v>45066</v>
      </c>
      <c r="E1383" s="4" t="s">
        <v>4111</v>
      </c>
      <c r="F1383" s="2" t="str">
        <f>TRIM(Table1[[#This Row],[Status]])</f>
        <v>Zaakceptowana</v>
      </c>
      <c r="G1383" s="2" t="str">
        <f>TRIM(Table1[[#This Row],[Typ]])</f>
        <v>Faktura VAT</v>
      </c>
      <c r="H1383" s="2" t="str">
        <f>TRIM(Table1[[#This Row],[Magazyn]])</f>
        <v>Apteka Szpitalna</v>
      </c>
      <c r="I1383" s="2" t="str">
        <f>TRIM(Table1[[#This Row],[Umowa]])</f>
        <v>UM-MED-02</v>
      </c>
      <c r="J1383" s="2" t="b">
        <f>ISTEXT(Table14[[#This Row],[Data_Wystawienia]])</f>
        <v>0</v>
      </c>
      <c r="K1383" s="2">
        <f>VALUE(SUBSTITUTE(Table14[[#This Row],[Wartość]],".",","))</f>
        <v>17775.400000000001</v>
      </c>
      <c r="L13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3" s="2" t="str">
        <f>IF(Table14[[#This Row],[Umowa]]="","Poza umową","Z umowy")</f>
        <v>Z umowy</v>
      </c>
      <c r="N1383" s="2">
        <f>YEAR(Table14[[#This Row],[Data_Wystawienia]])</f>
        <v>2023</v>
      </c>
      <c r="O1383" s="2" t="str">
        <f>TEXT(Table14[[#This Row],[Data_Wystawienia]],"rrrr-mm")</f>
        <v>2023-05</v>
      </c>
      <c r="P1383" s="2">
        <v>1</v>
      </c>
    </row>
    <row r="1384" spans="1:16" x14ac:dyDescent="0.3">
      <c r="A1384" s="2" t="str">
        <f>TRIM(Table1[[#This Row],[Numer_FV]])</f>
        <v>FV/88/SAL/23</v>
      </c>
      <c r="B1384" s="2" t="str">
        <f>TRIM(Table1[[#This Row],[Numer_PZ]])</f>
        <v>PZ/801382</v>
      </c>
      <c r="C1384" s="2" t="str">
        <f>TRIM(Table1[[#This Row],[Dostawca]])</f>
        <v>SalusHurt</v>
      </c>
      <c r="D1384" s="3">
        <v>45066</v>
      </c>
      <c r="E1384" s="4" t="s">
        <v>4114</v>
      </c>
      <c r="F1384" s="2" t="str">
        <f>TRIM(Table1[[#This Row],[Status]])</f>
        <v>Zaakceptowana</v>
      </c>
      <c r="G1384" s="2" t="str">
        <f>TRIM(Table1[[#This Row],[Typ]])</f>
        <v>Faktura VAT</v>
      </c>
      <c r="H1384" s="2" t="str">
        <f>TRIM(Table1[[#This Row],[Magazyn]])</f>
        <v>Apteka Szpitalna</v>
      </c>
      <c r="I1384" s="2" t="str">
        <f>TRIM(Table1[[#This Row],[Umowa]])</f>
        <v>UM-SAL-01</v>
      </c>
      <c r="J1384" s="2" t="b">
        <f>ISTEXT(Table14[[#This Row],[Data_Wystawienia]])</f>
        <v>0</v>
      </c>
      <c r="K1384" s="2">
        <f>VALUE(SUBSTITUTE(Table14[[#This Row],[Wartość]],".",","))</f>
        <v>16537.2</v>
      </c>
      <c r="L13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4" s="2" t="str">
        <f>IF(Table14[[#This Row],[Umowa]]="","Poza umową","Z umowy")</f>
        <v>Z umowy</v>
      </c>
      <c r="N1384" s="2">
        <f>YEAR(Table14[[#This Row],[Data_Wystawienia]])</f>
        <v>2023</v>
      </c>
      <c r="O1384" s="2" t="str">
        <f>TEXT(Table14[[#This Row],[Data_Wystawienia]],"rrrr-mm")</f>
        <v>2023-05</v>
      </c>
      <c r="P1384" s="2">
        <v>1</v>
      </c>
    </row>
    <row r="1385" spans="1:16" x14ac:dyDescent="0.3">
      <c r="A1385" s="2" t="str">
        <f>TRIM(Table1[[#This Row],[Numer_FV]])</f>
        <v>FV/2819/NOVA/23</v>
      </c>
      <c r="B1385" s="2" t="str">
        <f>TRIM(Table1[[#This Row],[Numer_PZ]])</f>
        <v>PZ/801383</v>
      </c>
      <c r="C1385" s="2" t="str">
        <f>TRIM(Table1[[#This Row],[Dostawca]])</f>
        <v>NovaLek</v>
      </c>
      <c r="D1385" s="3">
        <v>45066</v>
      </c>
      <c r="E1385" s="4" t="s">
        <v>4117</v>
      </c>
      <c r="F1385" s="2" t="str">
        <f>TRIM(Table1[[#This Row],[Status]])</f>
        <v>Zaakceptowana</v>
      </c>
      <c r="G1385" s="2" t="str">
        <f>TRIM(Table1[[#This Row],[Typ]])</f>
        <v>Faktura VAT</v>
      </c>
      <c r="H1385" s="2" t="str">
        <f>TRIM(Table1[[#This Row],[Magazyn]])</f>
        <v>Apteka Szpitalna</v>
      </c>
      <c r="I1385" s="2" t="str">
        <f>TRIM(Table1[[#This Row],[Umowa]])</f>
        <v>UM-NOV-02</v>
      </c>
      <c r="J1385" s="2" t="b">
        <f>ISTEXT(Table14[[#This Row],[Data_Wystawienia]])</f>
        <v>0</v>
      </c>
      <c r="K1385" s="2">
        <f>VALUE(SUBSTITUTE(Table14[[#This Row],[Wartość]],".",","))</f>
        <v>8843.81</v>
      </c>
      <c r="L13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5" s="2" t="str">
        <f>IF(Table14[[#This Row],[Umowa]]="","Poza umową","Z umowy")</f>
        <v>Z umowy</v>
      </c>
      <c r="N1385" s="2">
        <f>YEAR(Table14[[#This Row],[Data_Wystawienia]])</f>
        <v>2023</v>
      </c>
      <c r="O1385" s="2" t="str">
        <f>TEXT(Table14[[#This Row],[Data_Wystawienia]],"rrrr-mm")</f>
        <v>2023-05</v>
      </c>
      <c r="P1385" s="2">
        <v>1</v>
      </c>
    </row>
    <row r="1386" spans="1:16" x14ac:dyDescent="0.3">
      <c r="A1386" s="2" t="str">
        <f>TRIM(Table1[[#This Row],[Numer_FV]])</f>
        <v>FV/CENFA/719162/23</v>
      </c>
      <c r="B1386" s="2" t="str">
        <f>TRIM(Table1[[#This Row],[Numer_PZ]])</f>
        <v>PZ/801384</v>
      </c>
      <c r="C1386" s="2" t="str">
        <f>TRIM(Table1[[#This Row],[Dostawca]])</f>
        <v>CentrumFarm</v>
      </c>
      <c r="D1386" s="3">
        <v>45066</v>
      </c>
      <c r="E1386" s="4" t="s">
        <v>4120</v>
      </c>
      <c r="F1386" s="2" t="str">
        <f>TRIM(Table1[[#This Row],[Status]])</f>
        <v>Zaakceptowana</v>
      </c>
      <c r="G1386" s="2" t="str">
        <f>TRIM(Table1[[#This Row],[Typ]])</f>
        <v>Faktura VAT</v>
      </c>
      <c r="H1386" s="2" t="str">
        <f>TRIM(Table1[[#This Row],[Magazyn]])</f>
        <v>Apteka Szpitalna</v>
      </c>
      <c r="I1386" s="2" t="str">
        <f>TRIM(Table1[[#This Row],[Umowa]])</f>
        <v>UM-CEN-02</v>
      </c>
      <c r="J1386" s="2" t="b">
        <f>ISTEXT(Table14[[#This Row],[Data_Wystawienia]])</f>
        <v>0</v>
      </c>
      <c r="K1386" s="2">
        <f>VALUE(SUBSTITUTE(Table14[[#This Row],[Wartość]],".",","))</f>
        <v>7437.05</v>
      </c>
      <c r="L13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6" s="2" t="str">
        <f>IF(Table14[[#This Row],[Umowa]]="","Poza umową","Z umowy")</f>
        <v>Z umowy</v>
      </c>
      <c r="N1386" s="2">
        <f>YEAR(Table14[[#This Row],[Data_Wystawienia]])</f>
        <v>2023</v>
      </c>
      <c r="O1386" s="2" t="str">
        <f>TEXT(Table14[[#This Row],[Data_Wystawienia]],"rrrr-mm")</f>
        <v>2023-05</v>
      </c>
      <c r="P1386" s="2">
        <v>1</v>
      </c>
    </row>
    <row r="1387" spans="1:16" x14ac:dyDescent="0.3">
      <c r="A1387" s="2" t="str">
        <f>TRIM(Table1[[#This Row],[Numer_FV]])</f>
        <v>FV/CENFA/743396/23</v>
      </c>
      <c r="B1387" s="2" t="str">
        <f>TRIM(Table1[[#This Row],[Numer_PZ]])</f>
        <v>PZ/801385</v>
      </c>
      <c r="C1387" s="2" t="str">
        <f>TRIM(Table1[[#This Row],[Dostawca]])</f>
        <v>CentrumFarm</v>
      </c>
      <c r="D1387" s="3">
        <v>45066</v>
      </c>
      <c r="E1387" s="4" t="s">
        <v>4123</v>
      </c>
      <c r="F1387" s="2" t="str">
        <f>TRIM(Table1[[#This Row],[Status]])</f>
        <v>Zaakceptowana</v>
      </c>
      <c r="G1387" s="2" t="str">
        <f>TRIM(Table1[[#This Row],[Typ]])</f>
        <v>Faktura VAT</v>
      </c>
      <c r="H1387" s="2" t="str">
        <f>TRIM(Table1[[#This Row],[Magazyn]])</f>
        <v>Apteka Szpitalna</v>
      </c>
      <c r="I1387" s="2" t="str">
        <f>TRIM(Table1[[#This Row],[Umowa]])</f>
        <v>UM-CEN-01</v>
      </c>
      <c r="J1387" s="2" t="b">
        <f>ISTEXT(Table14[[#This Row],[Data_Wystawienia]])</f>
        <v>0</v>
      </c>
      <c r="K1387" s="2">
        <f>VALUE(SUBSTITUTE(Table14[[#This Row],[Wartość]],".",","))</f>
        <v>18509.07</v>
      </c>
      <c r="L13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7" s="2" t="str">
        <f>IF(Table14[[#This Row],[Umowa]]="","Poza umową","Z umowy")</f>
        <v>Z umowy</v>
      </c>
      <c r="N1387" s="2">
        <f>YEAR(Table14[[#This Row],[Data_Wystawienia]])</f>
        <v>2023</v>
      </c>
      <c r="O1387" s="2" t="str">
        <f>TEXT(Table14[[#This Row],[Data_Wystawienia]],"rrrr-mm")</f>
        <v>2023-05</v>
      </c>
      <c r="P1387" s="2">
        <v>1</v>
      </c>
    </row>
    <row r="1388" spans="1:16" x14ac:dyDescent="0.3">
      <c r="A1388" s="2" t="str">
        <f>TRIM(Table1[[#This Row],[Numer_FV]])</f>
        <v>FV/86/PP/4436/23</v>
      </c>
      <c r="B1388" s="2" t="str">
        <f>TRIM(Table1[[#This Row],[Numer_PZ]])</f>
        <v>PZ/801386</v>
      </c>
      <c r="C1388" s="2" t="str">
        <f>TRIM(Table1[[#This Row],[Dostawca]])</f>
        <v>PharmaPlus</v>
      </c>
      <c r="D1388" s="3">
        <v>45067</v>
      </c>
      <c r="E1388" s="4" t="s">
        <v>4126</v>
      </c>
      <c r="F1388" s="2" t="str">
        <f>TRIM(Table1[[#This Row],[Status]])</f>
        <v>Zaakceptowana</v>
      </c>
      <c r="G1388" s="2" t="str">
        <f>TRIM(Table1[[#This Row],[Typ]])</f>
        <v>Faktura VAT</v>
      </c>
      <c r="H1388" s="2" t="str">
        <f>TRIM(Table1[[#This Row],[Magazyn]])</f>
        <v>Apteka Szpitalna</v>
      </c>
      <c r="I1388" s="2" t="str">
        <f>TRIM(Table1[[#This Row],[Umowa]])</f>
        <v>UM-PHA-01</v>
      </c>
      <c r="J1388" s="2" t="b">
        <f>ISTEXT(Table14[[#This Row],[Data_Wystawienia]])</f>
        <v>0</v>
      </c>
      <c r="K1388" s="2">
        <f>VALUE(SUBSTITUTE(Table14[[#This Row],[Wartość]],".",","))</f>
        <v>20125.650000000001</v>
      </c>
      <c r="L13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8" s="2" t="str">
        <f>IF(Table14[[#This Row],[Umowa]]="","Poza umową","Z umowy")</f>
        <v>Z umowy</v>
      </c>
      <c r="N1388" s="2">
        <f>YEAR(Table14[[#This Row],[Data_Wystawienia]])</f>
        <v>2023</v>
      </c>
      <c r="O1388" s="2" t="str">
        <f>TEXT(Table14[[#This Row],[Data_Wystawienia]],"rrrr-mm")</f>
        <v>2023-05</v>
      </c>
      <c r="P1388" s="2">
        <v>1</v>
      </c>
    </row>
    <row r="1389" spans="1:16" x14ac:dyDescent="0.3">
      <c r="A1389" s="2" t="str">
        <f>TRIM(Table1[[#This Row],[Numer_FV]])</f>
        <v>FV/1340HM/23</v>
      </c>
      <c r="B1389" s="2" t="str">
        <f>TRIM(Table1[[#This Row],[Numer_PZ]])</f>
        <v>PZ/801387</v>
      </c>
      <c r="C1389" s="2" t="str">
        <f>TRIM(Table1[[#This Row],[Dostawca]])</f>
        <v>HurtMedix</v>
      </c>
      <c r="D1389" s="3">
        <v>45067</v>
      </c>
      <c r="E1389" s="4" t="s">
        <v>4129</v>
      </c>
      <c r="F1389" s="2" t="str">
        <f>TRIM(Table1[[#This Row],[Status]])</f>
        <v>Zaakceptowana</v>
      </c>
      <c r="G1389" s="2" t="str">
        <f>TRIM(Table1[[#This Row],[Typ]])</f>
        <v>Faktura VAT</v>
      </c>
      <c r="H1389" s="2" t="str">
        <f>TRIM(Table1[[#This Row],[Magazyn]])</f>
        <v>Apteka Szpitalna</v>
      </c>
      <c r="I1389" s="2" t="str">
        <f>TRIM(Table1[[#This Row],[Umowa]])</f>
        <v>UM-HUR-01</v>
      </c>
      <c r="J1389" s="2" t="b">
        <f>ISTEXT(Table14[[#This Row],[Data_Wystawienia]])</f>
        <v>0</v>
      </c>
      <c r="K1389" s="2">
        <f>VALUE(SUBSTITUTE(Table14[[#This Row],[Wartość]],".",","))</f>
        <v>16702.96</v>
      </c>
      <c r="L13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89" s="2" t="str">
        <f>IF(Table14[[#This Row],[Umowa]]="","Poza umową","Z umowy")</f>
        <v>Z umowy</v>
      </c>
      <c r="N1389" s="2">
        <f>YEAR(Table14[[#This Row],[Data_Wystawienia]])</f>
        <v>2023</v>
      </c>
      <c r="O1389" s="2" t="str">
        <f>TEXT(Table14[[#This Row],[Data_Wystawienia]],"rrrr-mm")</f>
        <v>2023-05</v>
      </c>
      <c r="P1389" s="2">
        <v>1</v>
      </c>
    </row>
    <row r="1390" spans="1:16" x14ac:dyDescent="0.3">
      <c r="A1390" s="2" t="str">
        <f>TRIM(Table1[[#This Row],[Numer_FV]])</f>
        <v>FV/POL/33306/2023</v>
      </c>
      <c r="B1390" s="2" t="str">
        <f>TRIM(Table1[[#This Row],[Numer_PZ]])</f>
        <v>PZ/801388</v>
      </c>
      <c r="C1390" s="2" t="str">
        <f>TRIM(Table1[[#This Row],[Dostawca]])</f>
        <v>Polmedica</v>
      </c>
      <c r="D1390" s="3">
        <v>45067</v>
      </c>
      <c r="E1390" s="4" t="s">
        <v>4132</v>
      </c>
      <c r="F1390" s="2" t="str">
        <f>TRIM(Table1[[#This Row],[Status]])</f>
        <v>Zaakceptowana</v>
      </c>
      <c r="G1390" s="2" t="str">
        <f>TRIM(Table1[[#This Row],[Typ]])</f>
        <v>Faktura VAT</v>
      </c>
      <c r="H1390" s="2" t="str">
        <f>TRIM(Table1[[#This Row],[Magazyn]])</f>
        <v>Apteka Szpitalna</v>
      </c>
      <c r="I1390" s="2" t="str">
        <f>TRIM(Table1[[#This Row],[Umowa]])</f>
        <v>UM-POL-02</v>
      </c>
      <c r="J1390" s="2" t="b">
        <f>ISTEXT(Table14[[#This Row],[Data_Wystawienia]])</f>
        <v>0</v>
      </c>
      <c r="K1390" s="2">
        <f>VALUE(SUBSTITUTE(Table14[[#This Row],[Wartość]],".",","))</f>
        <v>11723.5</v>
      </c>
      <c r="L13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0" s="2" t="str">
        <f>IF(Table14[[#This Row],[Umowa]]="","Poza umową","Z umowy")</f>
        <v>Z umowy</v>
      </c>
      <c r="N1390" s="2">
        <f>YEAR(Table14[[#This Row],[Data_Wystawienia]])</f>
        <v>2023</v>
      </c>
      <c r="O1390" s="2" t="str">
        <f>TEXT(Table14[[#This Row],[Data_Wystawienia]],"rrrr-mm")</f>
        <v>2023-05</v>
      </c>
      <c r="P1390" s="2">
        <v>1</v>
      </c>
    </row>
    <row r="1391" spans="1:16" x14ac:dyDescent="0.3">
      <c r="A1391" s="2" t="str">
        <f>TRIM(Table1[[#This Row],[Numer_FV]])</f>
        <v>FV/55/SAL/23</v>
      </c>
      <c r="B1391" s="2" t="str">
        <f>TRIM(Table1[[#This Row],[Numer_PZ]])</f>
        <v>PZ/801389</v>
      </c>
      <c r="C1391" s="2" t="str">
        <f>TRIM(Table1[[#This Row],[Dostawca]])</f>
        <v>SalusHurt</v>
      </c>
      <c r="D1391" s="3">
        <v>45067</v>
      </c>
      <c r="E1391" s="4" t="s">
        <v>4135</v>
      </c>
      <c r="F1391" s="2" t="str">
        <f>TRIM(Table1[[#This Row],[Status]])</f>
        <v>Zaakceptowana</v>
      </c>
      <c r="G1391" s="2" t="str">
        <f>TRIM(Table1[[#This Row],[Typ]])</f>
        <v>Faktura VAT</v>
      </c>
      <c r="H1391" s="2" t="str">
        <f>TRIM(Table1[[#This Row],[Magazyn]])</f>
        <v>Apteka Szpitalna</v>
      </c>
      <c r="I1391" s="2" t="str">
        <f>TRIM(Table1[[#This Row],[Umowa]])</f>
        <v>UM-SAL-01</v>
      </c>
      <c r="J1391" s="2" t="b">
        <f>ISTEXT(Table14[[#This Row],[Data_Wystawienia]])</f>
        <v>0</v>
      </c>
      <c r="K1391" s="2">
        <f>VALUE(SUBSTITUTE(Table14[[#This Row],[Wartość]],".",","))</f>
        <v>5609.33</v>
      </c>
      <c r="L13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1" s="2" t="str">
        <f>IF(Table14[[#This Row],[Umowa]]="","Poza umową","Z umowy")</f>
        <v>Z umowy</v>
      </c>
      <c r="N1391" s="2">
        <f>YEAR(Table14[[#This Row],[Data_Wystawienia]])</f>
        <v>2023</v>
      </c>
      <c r="O1391" s="2" t="str">
        <f>TEXT(Table14[[#This Row],[Data_Wystawienia]],"rrrr-mm")</f>
        <v>2023-05</v>
      </c>
      <c r="P1391" s="2">
        <v>1</v>
      </c>
    </row>
    <row r="1392" spans="1:16" x14ac:dyDescent="0.3">
      <c r="A1392" s="2" t="str">
        <f>TRIM(Table1[[#This Row],[Numer_FV]])</f>
        <v>FV/M/9016/P/23</v>
      </c>
      <c r="B1392" s="2" t="str">
        <f>TRIM(Table1[[#This Row],[Numer_PZ]])</f>
        <v>PZ/801390</v>
      </c>
      <c r="C1392" s="2" t="str">
        <f>TRIM(Table1[[#This Row],[Dostawca]])</f>
        <v>MedicaPharm</v>
      </c>
      <c r="D1392" s="3">
        <v>45067</v>
      </c>
      <c r="E1392" s="4" t="s">
        <v>4138</v>
      </c>
      <c r="F1392" s="2" t="str">
        <f>TRIM(Table1[[#This Row],[Status]])</f>
        <v>Zaakceptowana</v>
      </c>
      <c r="G1392" s="2" t="str">
        <f>TRIM(Table1[[#This Row],[Typ]])</f>
        <v>Faktura VAT</v>
      </c>
      <c r="H1392" s="2" t="str">
        <f>TRIM(Table1[[#This Row],[Magazyn]])</f>
        <v>Apteka Szpitalna</v>
      </c>
      <c r="I1392" s="2" t="str">
        <f>TRIM(Table1[[#This Row],[Umowa]])</f>
        <v>UM-MED-02</v>
      </c>
      <c r="J1392" s="2" t="b">
        <f>ISTEXT(Table14[[#This Row],[Data_Wystawienia]])</f>
        <v>0</v>
      </c>
      <c r="K1392" s="2">
        <f>VALUE(SUBSTITUTE(Table14[[#This Row],[Wartość]],".",","))</f>
        <v>13539.88</v>
      </c>
      <c r="L13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2" s="2" t="str">
        <f>IF(Table14[[#This Row],[Umowa]]="","Poza umową","Z umowy")</f>
        <v>Z umowy</v>
      </c>
      <c r="N1392" s="2">
        <f>YEAR(Table14[[#This Row],[Data_Wystawienia]])</f>
        <v>2023</v>
      </c>
      <c r="O1392" s="2" t="str">
        <f>TEXT(Table14[[#This Row],[Data_Wystawienia]],"rrrr-mm")</f>
        <v>2023-05</v>
      </c>
      <c r="P1392" s="2">
        <v>1</v>
      </c>
    </row>
    <row r="1393" spans="1:16" x14ac:dyDescent="0.3">
      <c r="A1393" s="2" t="str">
        <f>TRIM(Table1[[#This Row],[Numer_FV]])</f>
        <v>FV/POL/51928/2023</v>
      </c>
      <c r="B1393" s="2" t="str">
        <f>TRIM(Table1[[#This Row],[Numer_PZ]])</f>
        <v>PZ/801391</v>
      </c>
      <c r="C1393" s="2" t="str">
        <f>TRIM(Table1[[#This Row],[Dostawca]])</f>
        <v>Polmedica</v>
      </c>
      <c r="D1393" s="3">
        <v>45067</v>
      </c>
      <c r="E1393" s="4" t="s">
        <v>4141</v>
      </c>
      <c r="F1393" s="2" t="str">
        <f>TRIM(Table1[[#This Row],[Status]])</f>
        <v>Zaakceptowana</v>
      </c>
      <c r="G1393" s="2" t="str">
        <f>TRIM(Table1[[#This Row],[Typ]])</f>
        <v>Faktura VAT</v>
      </c>
      <c r="H1393" s="2" t="str">
        <f>TRIM(Table1[[#This Row],[Magazyn]])</f>
        <v>Apteka Szpitalna</v>
      </c>
      <c r="I1393" s="2" t="str">
        <f>TRIM(Table1[[#This Row],[Umowa]])</f>
        <v/>
      </c>
      <c r="J1393" s="2" t="b">
        <f>ISTEXT(Table14[[#This Row],[Data_Wystawienia]])</f>
        <v>0</v>
      </c>
      <c r="K1393" s="2">
        <f>VALUE(SUBSTITUTE(Table14[[#This Row],[Wartość]],".",","))</f>
        <v>18161.95</v>
      </c>
      <c r="L13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3" s="2" t="str">
        <f>IF(Table14[[#This Row],[Umowa]]="","Poza umową","Z umowy")</f>
        <v>Poza umową</v>
      </c>
      <c r="N1393" s="2">
        <f>YEAR(Table14[[#This Row],[Data_Wystawienia]])</f>
        <v>2023</v>
      </c>
      <c r="O1393" s="2" t="str">
        <f>TEXT(Table14[[#This Row],[Data_Wystawienia]],"rrrr-mm")</f>
        <v>2023-05</v>
      </c>
      <c r="P1393" s="2">
        <v>1</v>
      </c>
    </row>
    <row r="1394" spans="1:16" x14ac:dyDescent="0.3">
      <c r="A1394" s="2" t="str">
        <f>TRIM(Table1[[#This Row],[Numer_FV]])</f>
        <v>FV/CENFA/659189/23</v>
      </c>
      <c r="B1394" s="2" t="str">
        <f>TRIM(Table1[[#This Row],[Numer_PZ]])</f>
        <v>PZ/801392</v>
      </c>
      <c r="C1394" s="2" t="str">
        <f>TRIM(Table1[[#This Row],[Dostawca]])</f>
        <v>CentrumFarm</v>
      </c>
      <c r="D1394" s="3">
        <v>45068</v>
      </c>
      <c r="E1394" s="4" t="s">
        <v>4144</v>
      </c>
      <c r="F1394" s="2" t="str">
        <f>TRIM(Table1[[#This Row],[Status]])</f>
        <v>Zaakceptowana</v>
      </c>
      <c r="G1394" s="2" t="str">
        <f>TRIM(Table1[[#This Row],[Typ]])</f>
        <v>Faktura VAT</v>
      </c>
      <c r="H1394" s="2" t="str">
        <f>TRIM(Table1[[#This Row],[Magazyn]])</f>
        <v>Apteka Szpitalna</v>
      </c>
      <c r="I1394" s="2" t="str">
        <f>TRIM(Table1[[#This Row],[Umowa]])</f>
        <v/>
      </c>
      <c r="J1394" s="2" t="b">
        <f>ISTEXT(Table14[[#This Row],[Data_Wystawienia]])</f>
        <v>0</v>
      </c>
      <c r="K1394" s="2">
        <f>VALUE(SUBSTITUTE(Table14[[#This Row],[Wartość]],".",","))</f>
        <v>15512.17</v>
      </c>
      <c r="L13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4" s="2" t="str">
        <f>IF(Table14[[#This Row],[Umowa]]="","Poza umową","Z umowy")</f>
        <v>Poza umową</v>
      </c>
      <c r="N1394" s="2">
        <f>YEAR(Table14[[#This Row],[Data_Wystawienia]])</f>
        <v>2023</v>
      </c>
      <c r="O1394" s="2" t="str">
        <f>TEXT(Table14[[#This Row],[Data_Wystawienia]],"rrrr-mm")</f>
        <v>2023-05</v>
      </c>
      <c r="P1394" s="2">
        <v>1</v>
      </c>
    </row>
    <row r="1395" spans="1:16" x14ac:dyDescent="0.3">
      <c r="A1395" s="2" t="str">
        <f>TRIM(Table1[[#This Row],[Numer_FV]])</f>
        <v>FV/60528/VDb/2023</v>
      </c>
      <c r="B1395" s="2" t="str">
        <f>TRIM(Table1[[#This Row],[Numer_PZ]])</f>
        <v>PZ/801393</v>
      </c>
      <c r="C1395" s="2" t="str">
        <f>TRIM(Table1[[#This Row],[Dostawca]])</f>
        <v>VitaDistrib</v>
      </c>
      <c r="D1395" s="3">
        <v>45068</v>
      </c>
      <c r="E1395" s="4" t="s">
        <v>4147</v>
      </c>
      <c r="F1395" s="2" t="str">
        <f>TRIM(Table1[[#This Row],[Status]])</f>
        <v>Zaakceptowana</v>
      </c>
      <c r="G1395" s="2" t="str">
        <f>TRIM(Table1[[#This Row],[Typ]])</f>
        <v>Faktura VAT</v>
      </c>
      <c r="H1395" s="2" t="str">
        <f>TRIM(Table1[[#This Row],[Magazyn]])</f>
        <v>Apteka Szpitalna</v>
      </c>
      <c r="I1395" s="2" t="str">
        <f>TRIM(Table1[[#This Row],[Umowa]])</f>
        <v/>
      </c>
      <c r="J1395" s="2" t="b">
        <f>ISTEXT(Table14[[#This Row],[Data_Wystawienia]])</f>
        <v>0</v>
      </c>
      <c r="K1395" s="2">
        <f>VALUE(SUBSTITUTE(Table14[[#This Row],[Wartość]],".",","))</f>
        <v>21741.41</v>
      </c>
      <c r="L13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5" s="2" t="str">
        <f>IF(Table14[[#This Row],[Umowa]]="","Poza umową","Z umowy")</f>
        <v>Poza umową</v>
      </c>
      <c r="N1395" s="2">
        <f>YEAR(Table14[[#This Row],[Data_Wystawienia]])</f>
        <v>2023</v>
      </c>
      <c r="O1395" s="2" t="str">
        <f>TEXT(Table14[[#This Row],[Data_Wystawienia]],"rrrr-mm")</f>
        <v>2023-05</v>
      </c>
      <c r="P1395" s="2">
        <v>1</v>
      </c>
    </row>
    <row r="1396" spans="1:16" x14ac:dyDescent="0.3">
      <c r="A1396" s="2" t="str">
        <f>TRIM(Table1[[#This Row],[Numer_FV]])</f>
        <v>FV/M/9930/P/23</v>
      </c>
      <c r="B1396" s="2" t="str">
        <f>TRIM(Table1[[#This Row],[Numer_PZ]])</f>
        <v>PZ/801394</v>
      </c>
      <c r="C1396" s="2" t="str">
        <f>TRIM(Table1[[#This Row],[Dostawca]])</f>
        <v>MedicaPharm</v>
      </c>
      <c r="D1396" s="3">
        <v>45068</v>
      </c>
      <c r="E1396" s="4" t="s">
        <v>4150</v>
      </c>
      <c r="F1396" s="2" t="str">
        <f>TRIM(Table1[[#This Row],[Status]])</f>
        <v>Zaakceptowana</v>
      </c>
      <c r="G1396" s="2" t="str">
        <f>TRIM(Table1[[#This Row],[Typ]])</f>
        <v>Faktura VAT</v>
      </c>
      <c r="H1396" s="2" t="str">
        <f>TRIM(Table1[[#This Row],[Magazyn]])</f>
        <v>Apteka Szpitalna</v>
      </c>
      <c r="I1396" s="2" t="str">
        <f>TRIM(Table1[[#This Row],[Umowa]])</f>
        <v>UM-MED-01</v>
      </c>
      <c r="J1396" s="2" t="b">
        <f>ISTEXT(Table14[[#This Row],[Data_Wystawienia]])</f>
        <v>0</v>
      </c>
      <c r="K1396" s="2">
        <f>VALUE(SUBSTITUTE(Table14[[#This Row],[Wartość]],".",","))</f>
        <v>15268.59</v>
      </c>
      <c r="L13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6" s="2" t="str">
        <f>IF(Table14[[#This Row],[Umowa]]="","Poza umową","Z umowy")</f>
        <v>Z umowy</v>
      </c>
      <c r="N1396" s="2">
        <f>YEAR(Table14[[#This Row],[Data_Wystawienia]])</f>
        <v>2023</v>
      </c>
      <c r="O1396" s="2" t="str">
        <f>TEXT(Table14[[#This Row],[Data_Wystawienia]],"rrrr-mm")</f>
        <v>2023-05</v>
      </c>
      <c r="P1396" s="2">
        <v>1</v>
      </c>
    </row>
    <row r="1397" spans="1:16" x14ac:dyDescent="0.3">
      <c r="A1397" s="2" t="str">
        <f>TRIM(Table1[[#This Row],[Numer_FV]])</f>
        <v>FV/4231/NOVA/23</v>
      </c>
      <c r="B1397" s="2" t="str">
        <f>TRIM(Table1[[#This Row],[Numer_PZ]])</f>
        <v>PZ/801395</v>
      </c>
      <c r="C1397" s="2" t="str">
        <f>TRIM(Table1[[#This Row],[Dostawca]])</f>
        <v>NovaLek</v>
      </c>
      <c r="D1397" s="3">
        <v>45068</v>
      </c>
      <c r="E1397" s="4" t="s">
        <v>4153</v>
      </c>
      <c r="F1397" s="2" t="str">
        <f>TRIM(Table1[[#This Row],[Status]])</f>
        <v>Zaakceptowana</v>
      </c>
      <c r="G1397" s="2" t="str">
        <f>TRIM(Table1[[#This Row],[Typ]])</f>
        <v>Faktura VAT</v>
      </c>
      <c r="H1397" s="2" t="str">
        <f>TRIM(Table1[[#This Row],[Magazyn]])</f>
        <v>Apteka Szpitalna</v>
      </c>
      <c r="I1397" s="2" t="str">
        <f>TRIM(Table1[[#This Row],[Umowa]])</f>
        <v>UM-NOV-02</v>
      </c>
      <c r="J1397" s="2" t="b">
        <f>ISTEXT(Table14[[#This Row],[Data_Wystawienia]])</f>
        <v>0</v>
      </c>
      <c r="K1397" s="2">
        <f>VALUE(SUBSTITUTE(Table14[[#This Row],[Wartość]],".",","))</f>
        <v>13816.24</v>
      </c>
      <c r="L13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7" s="2" t="str">
        <f>IF(Table14[[#This Row],[Umowa]]="","Poza umową","Z umowy")</f>
        <v>Z umowy</v>
      </c>
      <c r="N1397" s="2">
        <f>YEAR(Table14[[#This Row],[Data_Wystawienia]])</f>
        <v>2023</v>
      </c>
      <c r="O1397" s="2" t="str">
        <f>TEXT(Table14[[#This Row],[Data_Wystawienia]],"rrrr-mm")</f>
        <v>2023-05</v>
      </c>
      <c r="P1397" s="2">
        <v>1</v>
      </c>
    </row>
    <row r="1398" spans="1:16" x14ac:dyDescent="0.3">
      <c r="A1398" s="2" t="str">
        <f>TRIM(Table1[[#This Row],[Numer_FV]])</f>
        <v>FV/43/PP/6728/23</v>
      </c>
      <c r="B1398" s="2" t="str">
        <f>TRIM(Table1[[#This Row],[Numer_PZ]])</f>
        <v>PZ/801396</v>
      </c>
      <c r="C1398" s="2" t="str">
        <f>TRIM(Table1[[#This Row],[Dostawca]])</f>
        <v>PharmaPlus</v>
      </c>
      <c r="D1398" s="3">
        <v>45069</v>
      </c>
      <c r="E1398" s="4" t="s">
        <v>4156</v>
      </c>
      <c r="F1398" s="2" t="str">
        <f>TRIM(Table1[[#This Row],[Status]])</f>
        <v>Zaakceptowana</v>
      </c>
      <c r="G1398" s="2" t="str">
        <f>TRIM(Table1[[#This Row],[Typ]])</f>
        <v>Faktura VAT</v>
      </c>
      <c r="H1398" s="2" t="str">
        <f>TRIM(Table1[[#This Row],[Magazyn]])</f>
        <v>Apteka Szpitalna</v>
      </c>
      <c r="I1398" s="2" t="str">
        <f>TRIM(Table1[[#This Row],[Umowa]])</f>
        <v>UM-PHA-01</v>
      </c>
      <c r="J1398" s="2" t="b">
        <f>ISTEXT(Table14[[#This Row],[Data_Wystawienia]])</f>
        <v>0</v>
      </c>
      <c r="K1398" s="2">
        <f>VALUE(SUBSTITUTE(Table14[[#This Row],[Wartość]],".",","))</f>
        <v>19382.37</v>
      </c>
      <c r="L13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8" s="2" t="str">
        <f>IF(Table14[[#This Row],[Umowa]]="","Poza umową","Z umowy")</f>
        <v>Z umowy</v>
      </c>
      <c r="N1398" s="2">
        <f>YEAR(Table14[[#This Row],[Data_Wystawienia]])</f>
        <v>2023</v>
      </c>
      <c r="O1398" s="2" t="str">
        <f>TEXT(Table14[[#This Row],[Data_Wystawienia]],"rrrr-mm")</f>
        <v>2023-05</v>
      </c>
      <c r="P1398" s="2">
        <v>1</v>
      </c>
    </row>
    <row r="1399" spans="1:16" x14ac:dyDescent="0.3">
      <c r="A1399" s="2" t="str">
        <f>TRIM(Table1[[#This Row],[Numer_FV]])</f>
        <v>FV/M/8262/P/23</v>
      </c>
      <c r="B1399" s="2" t="str">
        <f>TRIM(Table1[[#This Row],[Numer_PZ]])</f>
        <v>PZ/801397</v>
      </c>
      <c r="C1399" s="2" t="str">
        <f>TRIM(Table1[[#This Row],[Dostawca]])</f>
        <v>MedicaPharm</v>
      </c>
      <c r="D1399" s="3">
        <v>45069</v>
      </c>
      <c r="E1399" s="4" t="s">
        <v>4159</v>
      </c>
      <c r="F1399" s="2" t="str">
        <f>TRIM(Table1[[#This Row],[Status]])</f>
        <v>Zaakceptowana</v>
      </c>
      <c r="G1399" s="2" t="str">
        <f>TRIM(Table1[[#This Row],[Typ]])</f>
        <v>Faktura VAT</v>
      </c>
      <c r="H1399" s="2" t="str">
        <f>TRIM(Table1[[#This Row],[Magazyn]])</f>
        <v>Apteka Szpitalna</v>
      </c>
      <c r="I1399" s="2" t="str">
        <f>TRIM(Table1[[#This Row],[Umowa]])</f>
        <v>UM-MED-01</v>
      </c>
      <c r="J1399" s="2" t="b">
        <f>ISTEXT(Table14[[#This Row],[Data_Wystawienia]])</f>
        <v>0</v>
      </c>
      <c r="K1399" s="2">
        <f>VALUE(SUBSTITUTE(Table14[[#This Row],[Wartość]],".",","))</f>
        <v>8038.69</v>
      </c>
      <c r="L13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399" s="2" t="str">
        <f>IF(Table14[[#This Row],[Umowa]]="","Poza umową","Z umowy")</f>
        <v>Z umowy</v>
      </c>
      <c r="N1399" s="2">
        <f>YEAR(Table14[[#This Row],[Data_Wystawienia]])</f>
        <v>2023</v>
      </c>
      <c r="O1399" s="2" t="str">
        <f>TEXT(Table14[[#This Row],[Data_Wystawienia]],"rrrr-mm")</f>
        <v>2023-05</v>
      </c>
      <c r="P1399" s="2">
        <v>1</v>
      </c>
    </row>
    <row r="1400" spans="1:16" x14ac:dyDescent="0.3">
      <c r="A1400" s="2" t="str">
        <f>TRIM(Table1[[#This Row],[Numer_FV]])</f>
        <v>FV/7380HM/23</v>
      </c>
      <c r="B1400" s="2" t="str">
        <f>TRIM(Table1[[#This Row],[Numer_PZ]])</f>
        <v>PZ/801398</v>
      </c>
      <c r="C1400" s="2" t="str">
        <f>TRIM(Table1[[#This Row],[Dostawca]])</f>
        <v>HurtMedix</v>
      </c>
      <c r="D1400" s="3">
        <v>45069</v>
      </c>
      <c r="E1400" s="4" t="s">
        <v>4162</v>
      </c>
      <c r="F1400" s="2" t="str">
        <f>TRIM(Table1[[#This Row],[Status]])</f>
        <v>Zaakceptowana</v>
      </c>
      <c r="G1400" s="2" t="str">
        <f>TRIM(Table1[[#This Row],[Typ]])</f>
        <v>Faktura VAT</v>
      </c>
      <c r="H1400" s="2" t="str">
        <f>TRIM(Table1[[#This Row],[Magazyn]])</f>
        <v>Apteka Szpitalna</v>
      </c>
      <c r="I1400" s="2" t="str">
        <f>TRIM(Table1[[#This Row],[Umowa]])</f>
        <v>UM-HUR-03</v>
      </c>
      <c r="J1400" s="2" t="b">
        <f>ISTEXT(Table14[[#This Row],[Data_Wystawienia]])</f>
        <v>0</v>
      </c>
      <c r="K1400" s="2">
        <f>VALUE(SUBSTITUTE(Table14[[#This Row],[Wartość]],".",","))</f>
        <v>10733.12</v>
      </c>
      <c r="L14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0" s="2" t="str">
        <f>IF(Table14[[#This Row],[Umowa]]="","Poza umową","Z umowy")</f>
        <v>Z umowy</v>
      </c>
      <c r="N1400" s="2">
        <f>YEAR(Table14[[#This Row],[Data_Wystawienia]])</f>
        <v>2023</v>
      </c>
      <c r="O1400" s="2" t="str">
        <f>TEXT(Table14[[#This Row],[Data_Wystawienia]],"rrrr-mm")</f>
        <v>2023-05</v>
      </c>
      <c r="P1400" s="2">
        <v>1</v>
      </c>
    </row>
    <row r="1401" spans="1:16" x14ac:dyDescent="0.3">
      <c r="A1401" s="2" t="str">
        <f>TRIM(Table1[[#This Row],[Numer_FV]])</f>
        <v>FV/CENFA/406931/23</v>
      </c>
      <c r="B1401" s="2" t="str">
        <f>TRIM(Table1[[#This Row],[Numer_PZ]])</f>
        <v>PZ/801399</v>
      </c>
      <c r="C1401" s="2" t="str">
        <f>TRIM(Table1[[#This Row],[Dostawca]])</f>
        <v>CentrumFarm</v>
      </c>
      <c r="D1401" s="3">
        <v>45069</v>
      </c>
      <c r="E1401" s="4" t="s">
        <v>4165</v>
      </c>
      <c r="F1401" s="2" t="str">
        <f>TRIM(Table1[[#This Row],[Status]])</f>
        <v>Zaakceptowana</v>
      </c>
      <c r="G1401" s="2" t="str">
        <f>TRIM(Table1[[#This Row],[Typ]])</f>
        <v>Faktura VAT</v>
      </c>
      <c r="H1401" s="2" t="str">
        <f>TRIM(Table1[[#This Row],[Magazyn]])</f>
        <v>Apteka Szpitalna</v>
      </c>
      <c r="I1401" s="2" t="str">
        <f>TRIM(Table1[[#This Row],[Umowa]])</f>
        <v>UM-CEN-01</v>
      </c>
      <c r="J1401" s="2" t="b">
        <f>ISTEXT(Table14[[#This Row],[Data_Wystawienia]])</f>
        <v>0</v>
      </c>
      <c r="K1401" s="2">
        <f>VALUE(SUBSTITUTE(Table14[[#This Row],[Wartość]],".",","))</f>
        <v>10709.46</v>
      </c>
      <c r="L14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1" s="2" t="str">
        <f>IF(Table14[[#This Row],[Umowa]]="","Poza umową","Z umowy")</f>
        <v>Z umowy</v>
      </c>
      <c r="N1401" s="2">
        <f>YEAR(Table14[[#This Row],[Data_Wystawienia]])</f>
        <v>2023</v>
      </c>
      <c r="O1401" s="2" t="str">
        <f>TEXT(Table14[[#This Row],[Data_Wystawienia]],"rrrr-mm")</f>
        <v>2023-05</v>
      </c>
      <c r="P1401" s="2">
        <v>1</v>
      </c>
    </row>
    <row r="1402" spans="1:16" x14ac:dyDescent="0.3">
      <c r="A1402" s="2" t="str">
        <f>TRIM(Table1[[#This Row],[Numer_FV]])</f>
        <v>FV/CENFA/446042/23</v>
      </c>
      <c r="B1402" s="2" t="str">
        <f>TRIM(Table1[[#This Row],[Numer_PZ]])</f>
        <v>PZ/801400</v>
      </c>
      <c r="C1402" s="2" t="str">
        <f>TRIM(Table1[[#This Row],[Dostawca]])</f>
        <v>CentrumFarm</v>
      </c>
      <c r="D1402" s="3">
        <v>45070</v>
      </c>
      <c r="E1402" s="4" t="s">
        <v>4168</v>
      </c>
      <c r="F1402" s="2" t="str">
        <f>TRIM(Table1[[#This Row],[Status]])</f>
        <v>Zaakceptowana</v>
      </c>
      <c r="G1402" s="2" t="str">
        <f>TRIM(Table1[[#This Row],[Typ]])</f>
        <v>Faktura VAT</v>
      </c>
      <c r="H1402" s="2" t="str">
        <f>TRIM(Table1[[#This Row],[Magazyn]])</f>
        <v>Apteka Szpitalna</v>
      </c>
      <c r="I1402" s="2" t="str">
        <f>TRIM(Table1[[#This Row],[Umowa]])</f>
        <v>UM-CEN-01</v>
      </c>
      <c r="J1402" s="2" t="b">
        <f>ISTEXT(Table14[[#This Row],[Data_Wystawienia]])</f>
        <v>0</v>
      </c>
      <c r="K1402" s="2">
        <f>VALUE(SUBSTITUTE(Table14[[#This Row],[Wartość]],".",","))</f>
        <v>16293.89</v>
      </c>
      <c r="L14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2" s="2" t="str">
        <f>IF(Table14[[#This Row],[Umowa]]="","Poza umową","Z umowy")</f>
        <v>Z umowy</v>
      </c>
      <c r="N1402" s="2">
        <f>YEAR(Table14[[#This Row],[Data_Wystawienia]])</f>
        <v>2023</v>
      </c>
      <c r="O1402" s="2" t="str">
        <f>TEXT(Table14[[#This Row],[Data_Wystawienia]],"rrrr-mm")</f>
        <v>2023-05</v>
      </c>
      <c r="P1402" s="2">
        <v>1</v>
      </c>
    </row>
    <row r="1403" spans="1:16" x14ac:dyDescent="0.3">
      <c r="A1403" s="2" t="str">
        <f>TRIM(Table1[[#This Row],[Numer_FV]])</f>
        <v>FV/POL/38250/2023</v>
      </c>
      <c r="B1403" s="2" t="str">
        <f>TRIM(Table1[[#This Row],[Numer_PZ]])</f>
        <v>PZ/801401</v>
      </c>
      <c r="C1403" s="2" t="str">
        <f>TRIM(Table1[[#This Row],[Dostawca]])</f>
        <v>Polmedica</v>
      </c>
      <c r="D1403" s="3">
        <v>45070</v>
      </c>
      <c r="E1403" s="4" t="s">
        <v>4171</v>
      </c>
      <c r="F1403" s="2" t="str">
        <f>TRIM(Table1[[#This Row],[Status]])</f>
        <v>Zaakceptowana</v>
      </c>
      <c r="G1403" s="2" t="str">
        <f>TRIM(Table1[[#This Row],[Typ]])</f>
        <v>Faktura VAT</v>
      </c>
      <c r="H1403" s="2" t="str">
        <f>TRIM(Table1[[#This Row],[Magazyn]])</f>
        <v>Apteka Szpitalna</v>
      </c>
      <c r="I1403" s="2" t="str">
        <f>TRIM(Table1[[#This Row],[Umowa]])</f>
        <v>UM-POL-03</v>
      </c>
      <c r="J1403" s="2" t="b">
        <f>ISTEXT(Table14[[#This Row],[Data_Wystawienia]])</f>
        <v>0</v>
      </c>
      <c r="K1403" s="2">
        <f>VALUE(SUBSTITUTE(Table14[[#This Row],[Wartość]],".",","))</f>
        <v>13270.94</v>
      </c>
      <c r="L14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3" s="2" t="str">
        <f>IF(Table14[[#This Row],[Umowa]]="","Poza umową","Z umowy")</f>
        <v>Z umowy</v>
      </c>
      <c r="N1403" s="2">
        <f>YEAR(Table14[[#This Row],[Data_Wystawienia]])</f>
        <v>2023</v>
      </c>
      <c r="O1403" s="2" t="str">
        <f>TEXT(Table14[[#This Row],[Data_Wystawienia]],"rrrr-mm")</f>
        <v>2023-05</v>
      </c>
      <c r="P1403" s="2">
        <v>1</v>
      </c>
    </row>
    <row r="1404" spans="1:16" x14ac:dyDescent="0.3">
      <c r="A1404" s="2" t="str">
        <f>TRIM(Table1[[#This Row],[Numer_FV]])</f>
        <v>FV/87/SAL/23</v>
      </c>
      <c r="B1404" s="2" t="str">
        <f>TRIM(Table1[[#This Row],[Numer_PZ]])</f>
        <v>PZ/801402</v>
      </c>
      <c r="C1404" s="2" t="str">
        <f>TRIM(Table1[[#This Row],[Dostawca]])</f>
        <v>SalusHurt</v>
      </c>
      <c r="D1404" s="3">
        <v>45070</v>
      </c>
      <c r="E1404" s="4" t="s">
        <v>4174</v>
      </c>
      <c r="F1404" s="2" t="str">
        <f>TRIM(Table1[[#This Row],[Status]])</f>
        <v>Zaakceptowana</v>
      </c>
      <c r="G1404" s="2" t="str">
        <f>TRIM(Table1[[#This Row],[Typ]])</f>
        <v>Faktura VAT</v>
      </c>
      <c r="H1404" s="2" t="str">
        <f>TRIM(Table1[[#This Row],[Magazyn]])</f>
        <v>Apteka Szpitalna</v>
      </c>
      <c r="I1404" s="2" t="str">
        <f>TRIM(Table1[[#This Row],[Umowa]])</f>
        <v>UM-SAL-01</v>
      </c>
      <c r="J1404" s="2" t="b">
        <f>ISTEXT(Table14[[#This Row],[Data_Wystawienia]])</f>
        <v>0</v>
      </c>
      <c r="K1404" s="2">
        <f>VALUE(SUBSTITUTE(Table14[[#This Row],[Wartość]],".",","))</f>
        <v>14800.72</v>
      </c>
      <c r="L14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4" s="2" t="str">
        <f>IF(Table14[[#This Row],[Umowa]]="","Poza umową","Z umowy")</f>
        <v>Z umowy</v>
      </c>
      <c r="N1404" s="2">
        <f>YEAR(Table14[[#This Row],[Data_Wystawienia]])</f>
        <v>2023</v>
      </c>
      <c r="O1404" s="2" t="str">
        <f>TEXT(Table14[[#This Row],[Data_Wystawienia]],"rrrr-mm")</f>
        <v>2023-05</v>
      </c>
      <c r="P1404" s="2">
        <v>1</v>
      </c>
    </row>
    <row r="1405" spans="1:16" x14ac:dyDescent="0.3">
      <c r="A1405" s="2" t="str">
        <f>TRIM(Table1[[#This Row],[Numer_FV]])</f>
        <v>FV/52418/VDb/2023</v>
      </c>
      <c r="B1405" s="2" t="str">
        <f>TRIM(Table1[[#This Row],[Numer_PZ]])</f>
        <v>PZ/801403</v>
      </c>
      <c r="C1405" s="2" t="str">
        <f>TRIM(Table1[[#This Row],[Dostawca]])</f>
        <v>VitaDistrib</v>
      </c>
      <c r="D1405" s="3">
        <v>45070</v>
      </c>
      <c r="E1405" s="4" t="s">
        <v>4177</v>
      </c>
      <c r="F1405" s="2" t="str">
        <f>TRIM(Table1[[#This Row],[Status]])</f>
        <v>Zaakceptowana</v>
      </c>
      <c r="G1405" s="2" t="str">
        <f>TRIM(Table1[[#This Row],[Typ]])</f>
        <v>Faktura VAT</v>
      </c>
      <c r="H1405" s="2" t="str">
        <f>TRIM(Table1[[#This Row],[Magazyn]])</f>
        <v>Apteka Szpitalna</v>
      </c>
      <c r="I1405" s="2" t="str">
        <f>TRIM(Table1[[#This Row],[Umowa]])</f>
        <v>UM-VIT-01</v>
      </c>
      <c r="J1405" s="2" t="b">
        <f>ISTEXT(Table14[[#This Row],[Data_Wystawienia]])</f>
        <v>0</v>
      </c>
      <c r="K1405" s="2">
        <f>VALUE(SUBSTITUTE(Table14[[#This Row],[Wartość]],".",","))</f>
        <v>15574.2</v>
      </c>
      <c r="L14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5" s="2" t="str">
        <f>IF(Table14[[#This Row],[Umowa]]="","Poza umową","Z umowy")</f>
        <v>Z umowy</v>
      </c>
      <c r="N1405" s="2">
        <f>YEAR(Table14[[#This Row],[Data_Wystawienia]])</f>
        <v>2023</v>
      </c>
      <c r="O1405" s="2" t="str">
        <f>TEXT(Table14[[#This Row],[Data_Wystawienia]],"rrrr-mm")</f>
        <v>2023-05</v>
      </c>
      <c r="P1405" s="2">
        <v>1</v>
      </c>
    </row>
    <row r="1406" spans="1:16" x14ac:dyDescent="0.3">
      <c r="A1406" s="2" t="str">
        <f>TRIM(Table1[[#This Row],[Numer_FV]])</f>
        <v>FV/96790/VDb/2023</v>
      </c>
      <c r="B1406" s="2" t="str">
        <f>TRIM(Table1[[#This Row],[Numer_PZ]])</f>
        <v>PZ/801404</v>
      </c>
      <c r="C1406" s="2" t="str">
        <f>TRIM(Table1[[#This Row],[Dostawca]])</f>
        <v>VitaDistrib</v>
      </c>
      <c r="D1406" s="3">
        <v>45070</v>
      </c>
      <c r="E1406" s="4" t="s">
        <v>4180</v>
      </c>
      <c r="F1406" s="2" t="str">
        <f>TRIM(Table1[[#This Row],[Status]])</f>
        <v>Zaakceptowana</v>
      </c>
      <c r="G1406" s="2" t="str">
        <f>TRIM(Table1[[#This Row],[Typ]])</f>
        <v>Faktura VAT</v>
      </c>
      <c r="H1406" s="2" t="str">
        <f>TRIM(Table1[[#This Row],[Magazyn]])</f>
        <v>Apteka Szpitalna</v>
      </c>
      <c r="I1406" s="2" t="str">
        <f>TRIM(Table1[[#This Row],[Umowa]])</f>
        <v>UM-VIT-01</v>
      </c>
      <c r="J1406" s="2" t="b">
        <f>ISTEXT(Table14[[#This Row],[Data_Wystawienia]])</f>
        <v>0</v>
      </c>
      <c r="K1406" s="2">
        <f>VALUE(SUBSTITUTE(Table14[[#This Row],[Wartość]],".",","))</f>
        <v>5816.41</v>
      </c>
      <c r="L14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6" s="2" t="str">
        <f>IF(Table14[[#This Row],[Umowa]]="","Poza umową","Z umowy")</f>
        <v>Z umowy</v>
      </c>
      <c r="N1406" s="2">
        <f>YEAR(Table14[[#This Row],[Data_Wystawienia]])</f>
        <v>2023</v>
      </c>
      <c r="O1406" s="2" t="str">
        <f>TEXT(Table14[[#This Row],[Data_Wystawienia]],"rrrr-mm")</f>
        <v>2023-05</v>
      </c>
      <c r="P1406" s="2">
        <v>1</v>
      </c>
    </row>
    <row r="1407" spans="1:16" x14ac:dyDescent="0.3">
      <c r="A1407" s="2" t="str">
        <f>TRIM(Table1[[#This Row],[Numer_FV]])</f>
        <v>FV/CENFA/563409/23</v>
      </c>
      <c r="B1407" s="2" t="str">
        <f>TRIM(Table1[[#This Row],[Numer_PZ]])</f>
        <v>PZ/801405</v>
      </c>
      <c r="C1407" s="2" t="str">
        <f>TRIM(Table1[[#This Row],[Dostawca]])</f>
        <v>CentrumFarm</v>
      </c>
      <c r="D1407" s="3">
        <v>45071</v>
      </c>
      <c r="E1407" s="4" t="s">
        <v>4183</v>
      </c>
      <c r="F1407" s="2" t="str">
        <f>TRIM(Table1[[#This Row],[Status]])</f>
        <v>Zaakceptowana</v>
      </c>
      <c r="G1407" s="2" t="str">
        <f>TRIM(Table1[[#This Row],[Typ]])</f>
        <v>Faktura VAT</v>
      </c>
      <c r="H1407" s="2" t="str">
        <f>TRIM(Table1[[#This Row],[Magazyn]])</f>
        <v>Apteka Szpitalna</v>
      </c>
      <c r="I1407" s="2" t="str">
        <f>TRIM(Table1[[#This Row],[Umowa]])</f>
        <v>UM-CEN-02</v>
      </c>
      <c r="J1407" s="2" t="b">
        <f>ISTEXT(Table14[[#This Row],[Data_Wystawienia]])</f>
        <v>0</v>
      </c>
      <c r="K1407" s="2">
        <f>VALUE(SUBSTITUTE(Table14[[#This Row],[Wartość]],".",","))</f>
        <v>10169.81</v>
      </c>
      <c r="L14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7" s="2" t="str">
        <f>IF(Table14[[#This Row],[Umowa]]="","Poza umową","Z umowy")</f>
        <v>Z umowy</v>
      </c>
      <c r="N1407" s="2">
        <f>YEAR(Table14[[#This Row],[Data_Wystawienia]])</f>
        <v>2023</v>
      </c>
      <c r="O1407" s="2" t="str">
        <f>TEXT(Table14[[#This Row],[Data_Wystawienia]],"rrrr-mm")</f>
        <v>2023-05</v>
      </c>
      <c r="P1407" s="2">
        <v>1</v>
      </c>
    </row>
    <row r="1408" spans="1:16" x14ac:dyDescent="0.3">
      <c r="A1408" s="2" t="str">
        <f>TRIM(Table1[[#This Row],[Numer_FV]])</f>
        <v>FV/54432/VDb/2023</v>
      </c>
      <c r="B1408" s="2" t="str">
        <f>TRIM(Table1[[#This Row],[Numer_PZ]])</f>
        <v>PZ/801406</v>
      </c>
      <c r="C1408" s="2" t="str">
        <f>TRIM(Table1[[#This Row],[Dostawca]])</f>
        <v>VitaDistrib</v>
      </c>
      <c r="D1408" s="3">
        <v>45071</v>
      </c>
      <c r="E1408" s="4" t="s">
        <v>4186</v>
      </c>
      <c r="F1408" s="2" t="str">
        <f>TRIM(Table1[[#This Row],[Status]])</f>
        <v>Zaakceptowana</v>
      </c>
      <c r="G1408" s="2" t="str">
        <f>TRIM(Table1[[#This Row],[Typ]])</f>
        <v>Faktura VAT</v>
      </c>
      <c r="H1408" s="2" t="str">
        <f>TRIM(Table1[[#This Row],[Magazyn]])</f>
        <v>Apteka Szpitalna</v>
      </c>
      <c r="I1408" s="2" t="str">
        <f>TRIM(Table1[[#This Row],[Umowa]])</f>
        <v/>
      </c>
      <c r="J1408" s="2" t="b">
        <f>ISTEXT(Table14[[#This Row],[Data_Wystawienia]])</f>
        <v>0</v>
      </c>
      <c r="K1408" s="2">
        <f>VALUE(SUBSTITUTE(Table14[[#This Row],[Wartość]],".",","))</f>
        <v>8076.03</v>
      </c>
      <c r="L14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8" s="2" t="str">
        <f>IF(Table14[[#This Row],[Umowa]]="","Poza umową","Z umowy")</f>
        <v>Poza umową</v>
      </c>
      <c r="N1408" s="2">
        <f>YEAR(Table14[[#This Row],[Data_Wystawienia]])</f>
        <v>2023</v>
      </c>
      <c r="O1408" s="2" t="str">
        <f>TEXT(Table14[[#This Row],[Data_Wystawienia]],"rrrr-mm")</f>
        <v>2023-05</v>
      </c>
      <c r="P1408" s="2">
        <v>1</v>
      </c>
    </row>
    <row r="1409" spans="1:16" x14ac:dyDescent="0.3">
      <c r="A1409" s="2" t="str">
        <f>TRIM(Table1[[#This Row],[Numer_FV]])</f>
        <v>FV/88/PP/4699/23</v>
      </c>
      <c r="B1409" s="2" t="str">
        <f>TRIM(Table1[[#This Row],[Numer_PZ]])</f>
        <v>PZ/801407</v>
      </c>
      <c r="C1409" s="2" t="str">
        <f>TRIM(Table1[[#This Row],[Dostawca]])</f>
        <v>PharmaPlus</v>
      </c>
      <c r="D1409" s="3">
        <v>45072</v>
      </c>
      <c r="E1409" s="4" t="s">
        <v>4189</v>
      </c>
      <c r="F1409" s="2" t="str">
        <f>TRIM(Table1[[#This Row],[Status]])</f>
        <v>Zaakceptowana</v>
      </c>
      <c r="G1409" s="2" t="str">
        <f>TRIM(Table1[[#This Row],[Typ]])</f>
        <v>Faktura VAT</v>
      </c>
      <c r="H1409" s="2" t="str">
        <f>TRIM(Table1[[#This Row],[Magazyn]])</f>
        <v>Apteka Szpitalna</v>
      </c>
      <c r="I1409" s="2" t="str">
        <f>TRIM(Table1[[#This Row],[Umowa]])</f>
        <v>UM-PHA-01</v>
      </c>
      <c r="J1409" s="2" t="b">
        <f>ISTEXT(Table14[[#This Row],[Data_Wystawienia]])</f>
        <v>0</v>
      </c>
      <c r="K1409" s="2">
        <f>VALUE(SUBSTITUTE(Table14[[#This Row],[Wartość]],".",","))</f>
        <v>15040.07</v>
      </c>
      <c r="L14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09" s="2" t="str">
        <f>IF(Table14[[#This Row],[Umowa]]="","Poza umową","Z umowy")</f>
        <v>Z umowy</v>
      </c>
      <c r="N1409" s="2">
        <f>YEAR(Table14[[#This Row],[Data_Wystawienia]])</f>
        <v>2023</v>
      </c>
      <c r="O1409" s="2" t="str">
        <f>TEXT(Table14[[#This Row],[Data_Wystawienia]],"rrrr-mm")</f>
        <v>2023-05</v>
      </c>
      <c r="P1409" s="2">
        <v>1</v>
      </c>
    </row>
    <row r="1410" spans="1:16" x14ac:dyDescent="0.3">
      <c r="A1410" s="2" t="str">
        <f>TRIM(Table1[[#This Row],[Numer_FV]])</f>
        <v>FV/84/SAL/23</v>
      </c>
      <c r="B1410" s="2" t="str">
        <f>TRIM(Table1[[#This Row],[Numer_PZ]])</f>
        <v>PZ/801408</v>
      </c>
      <c r="C1410" s="2" t="str">
        <f>TRIM(Table1[[#This Row],[Dostawca]])</f>
        <v>SalusHurt</v>
      </c>
      <c r="D1410" s="3">
        <v>45072</v>
      </c>
      <c r="E1410" s="4" t="s">
        <v>4192</v>
      </c>
      <c r="F1410" s="2" t="str">
        <f>TRIM(Table1[[#This Row],[Status]])</f>
        <v>Zaakceptowana</v>
      </c>
      <c r="G1410" s="2" t="str">
        <f>TRIM(Table1[[#This Row],[Typ]])</f>
        <v>Faktura VAT</v>
      </c>
      <c r="H1410" s="2" t="str">
        <f>TRIM(Table1[[#This Row],[Magazyn]])</f>
        <v>Apteka Szpitalna</v>
      </c>
      <c r="I1410" s="2" t="str">
        <f>TRIM(Table1[[#This Row],[Umowa]])</f>
        <v>UM-SAL-01</v>
      </c>
      <c r="J1410" s="2" t="b">
        <f>ISTEXT(Table14[[#This Row],[Data_Wystawienia]])</f>
        <v>0</v>
      </c>
      <c r="K1410" s="2">
        <f>VALUE(SUBSTITUTE(Table14[[#This Row],[Wartość]],".",","))</f>
        <v>8938.44</v>
      </c>
      <c r="L14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0" s="2" t="str">
        <f>IF(Table14[[#This Row],[Umowa]]="","Poza umową","Z umowy")</f>
        <v>Z umowy</v>
      </c>
      <c r="N1410" s="2">
        <f>YEAR(Table14[[#This Row],[Data_Wystawienia]])</f>
        <v>2023</v>
      </c>
      <c r="O1410" s="2" t="str">
        <f>TEXT(Table14[[#This Row],[Data_Wystawienia]],"rrrr-mm")</f>
        <v>2023-05</v>
      </c>
      <c r="P1410" s="2">
        <v>1</v>
      </c>
    </row>
    <row r="1411" spans="1:16" x14ac:dyDescent="0.3">
      <c r="A1411" s="2" t="str">
        <f>TRIM(Table1[[#This Row],[Numer_FV]])</f>
        <v>FV/CENFA/590320/23</v>
      </c>
      <c r="B1411" s="2" t="str">
        <f>TRIM(Table1[[#This Row],[Numer_PZ]])</f>
        <v>PZ/801409</v>
      </c>
      <c r="C1411" s="2" t="str">
        <f>TRIM(Table1[[#This Row],[Dostawca]])</f>
        <v>CentrumFarm</v>
      </c>
      <c r="D1411" s="3">
        <v>45073</v>
      </c>
      <c r="E1411" s="4" t="s">
        <v>4195</v>
      </c>
      <c r="F1411" s="2" t="str">
        <f>TRIM(Table1[[#This Row],[Status]])</f>
        <v>Zaakceptowana</v>
      </c>
      <c r="G1411" s="2" t="str">
        <f>TRIM(Table1[[#This Row],[Typ]])</f>
        <v>Faktura VAT</v>
      </c>
      <c r="H1411" s="2" t="str">
        <f>TRIM(Table1[[#This Row],[Magazyn]])</f>
        <v>Apteka Szpitalna</v>
      </c>
      <c r="I1411" s="2" t="str">
        <f>TRIM(Table1[[#This Row],[Umowa]])</f>
        <v>UM-CEN-01</v>
      </c>
      <c r="J1411" s="2" t="b">
        <f>ISTEXT(Table14[[#This Row],[Data_Wystawienia]])</f>
        <v>0</v>
      </c>
      <c r="K1411" s="2">
        <f>VALUE(SUBSTITUTE(Table14[[#This Row],[Wartość]],".",","))</f>
        <v>25419.79</v>
      </c>
      <c r="L14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1" s="2" t="str">
        <f>IF(Table14[[#This Row],[Umowa]]="","Poza umową","Z umowy")</f>
        <v>Z umowy</v>
      </c>
      <c r="N1411" s="2">
        <f>YEAR(Table14[[#This Row],[Data_Wystawienia]])</f>
        <v>2023</v>
      </c>
      <c r="O1411" s="2" t="str">
        <f>TEXT(Table14[[#This Row],[Data_Wystawienia]],"rrrr-mm")</f>
        <v>2023-05</v>
      </c>
      <c r="P1411" s="2">
        <v>1</v>
      </c>
    </row>
    <row r="1412" spans="1:16" x14ac:dyDescent="0.3">
      <c r="A1412" s="2" t="str">
        <f>TRIM(Table1[[#This Row],[Numer_FV]])</f>
        <v>FV/M/5181/P/23</v>
      </c>
      <c r="B1412" s="2" t="str">
        <f>TRIM(Table1[[#This Row],[Numer_PZ]])</f>
        <v>PZ/801410</v>
      </c>
      <c r="C1412" s="2" t="str">
        <f>TRIM(Table1[[#This Row],[Dostawca]])</f>
        <v>MedicaPharm</v>
      </c>
      <c r="D1412" s="3">
        <v>45073</v>
      </c>
      <c r="E1412" s="4" t="s">
        <v>4198</v>
      </c>
      <c r="F1412" s="2" t="str">
        <f>TRIM(Table1[[#This Row],[Status]])</f>
        <v>Zaakceptowana</v>
      </c>
      <c r="G1412" s="2" t="str">
        <f>TRIM(Table1[[#This Row],[Typ]])</f>
        <v>Faktura VAT</v>
      </c>
      <c r="H1412" s="2" t="str">
        <f>TRIM(Table1[[#This Row],[Magazyn]])</f>
        <v>Apteka Szpitalna</v>
      </c>
      <c r="I1412" s="2" t="str">
        <f>TRIM(Table1[[#This Row],[Umowa]])</f>
        <v>UM-MED-02</v>
      </c>
      <c r="J1412" s="2" t="b">
        <f>ISTEXT(Table14[[#This Row],[Data_Wystawienia]])</f>
        <v>0</v>
      </c>
      <c r="K1412" s="2">
        <f>VALUE(SUBSTITUTE(Table14[[#This Row],[Wartość]],".",","))</f>
        <v>14442.2</v>
      </c>
      <c r="L14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2" s="2" t="str">
        <f>IF(Table14[[#This Row],[Umowa]]="","Poza umową","Z umowy")</f>
        <v>Z umowy</v>
      </c>
      <c r="N1412" s="2">
        <f>YEAR(Table14[[#This Row],[Data_Wystawienia]])</f>
        <v>2023</v>
      </c>
      <c r="O1412" s="2" t="str">
        <f>TEXT(Table14[[#This Row],[Data_Wystawienia]],"rrrr-mm")</f>
        <v>2023-05</v>
      </c>
      <c r="P1412" s="2">
        <v>1</v>
      </c>
    </row>
    <row r="1413" spans="1:16" x14ac:dyDescent="0.3">
      <c r="A1413" s="2" t="str">
        <f>TRIM(Table1[[#This Row],[Numer_FV]])</f>
        <v>FV/2040HM/23</v>
      </c>
      <c r="B1413" s="2" t="str">
        <f>TRIM(Table1[[#This Row],[Numer_PZ]])</f>
        <v>PZ/801411</v>
      </c>
      <c r="C1413" s="2" t="str">
        <f>TRIM(Table1[[#This Row],[Dostawca]])</f>
        <v>HurtMedix</v>
      </c>
      <c r="D1413" s="3">
        <v>45073</v>
      </c>
      <c r="E1413" s="4" t="s">
        <v>4201</v>
      </c>
      <c r="F1413" s="2" t="str">
        <f>TRIM(Table1[[#This Row],[Status]])</f>
        <v>Zaakceptowana</v>
      </c>
      <c r="G1413" s="2" t="str">
        <f>TRIM(Table1[[#This Row],[Typ]])</f>
        <v>Faktura VAT</v>
      </c>
      <c r="H1413" s="2" t="str">
        <f>TRIM(Table1[[#This Row],[Magazyn]])</f>
        <v>Apteka Szpitalna</v>
      </c>
      <c r="I1413" s="2" t="str">
        <f>TRIM(Table1[[#This Row],[Umowa]])</f>
        <v>UM-HUR-02</v>
      </c>
      <c r="J1413" s="2" t="b">
        <f>ISTEXT(Table14[[#This Row],[Data_Wystawienia]])</f>
        <v>0</v>
      </c>
      <c r="K1413" s="2">
        <f>VALUE(SUBSTITUTE(Table14[[#This Row],[Wartość]],".",","))</f>
        <v>16417.13</v>
      </c>
      <c r="L14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3" s="2" t="str">
        <f>IF(Table14[[#This Row],[Umowa]]="","Poza umową","Z umowy")</f>
        <v>Z umowy</v>
      </c>
      <c r="N1413" s="2">
        <f>YEAR(Table14[[#This Row],[Data_Wystawienia]])</f>
        <v>2023</v>
      </c>
      <c r="O1413" s="2" t="str">
        <f>TEXT(Table14[[#This Row],[Data_Wystawienia]],"rrrr-mm")</f>
        <v>2023-05</v>
      </c>
      <c r="P1413" s="2">
        <v>1</v>
      </c>
    </row>
    <row r="1414" spans="1:16" x14ac:dyDescent="0.3">
      <c r="A1414" s="2" t="str">
        <f>TRIM(Table1[[#This Row],[Numer_FV]])</f>
        <v>FV/39582/VDb/2023</v>
      </c>
      <c r="B1414" s="2" t="str">
        <f>TRIM(Table1[[#This Row],[Numer_PZ]])</f>
        <v>PZ/801412</v>
      </c>
      <c r="C1414" s="2" t="str">
        <f>TRIM(Table1[[#This Row],[Dostawca]])</f>
        <v>VitaDistrib</v>
      </c>
      <c r="D1414" s="3">
        <v>45073</v>
      </c>
      <c r="E1414" s="4" t="s">
        <v>4204</v>
      </c>
      <c r="F1414" s="2" t="str">
        <f>TRIM(Table1[[#This Row],[Status]])</f>
        <v>Zaakceptowana</v>
      </c>
      <c r="G1414" s="2" t="str">
        <f>TRIM(Table1[[#This Row],[Typ]])</f>
        <v>Faktura VAT</v>
      </c>
      <c r="H1414" s="2" t="str">
        <f>TRIM(Table1[[#This Row],[Magazyn]])</f>
        <v>Apteka Szpitalna</v>
      </c>
      <c r="I1414" s="2" t="str">
        <f>TRIM(Table1[[#This Row],[Umowa]])</f>
        <v>UM-VIT-01</v>
      </c>
      <c r="J1414" s="2" t="b">
        <f>ISTEXT(Table14[[#This Row],[Data_Wystawienia]])</f>
        <v>0</v>
      </c>
      <c r="K1414" s="2">
        <f>VALUE(SUBSTITUTE(Table14[[#This Row],[Wartość]],".",","))</f>
        <v>13796.74</v>
      </c>
      <c r="L14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4" s="2" t="str">
        <f>IF(Table14[[#This Row],[Umowa]]="","Poza umową","Z umowy")</f>
        <v>Z umowy</v>
      </c>
      <c r="N1414" s="2">
        <f>YEAR(Table14[[#This Row],[Data_Wystawienia]])</f>
        <v>2023</v>
      </c>
      <c r="O1414" s="2" t="str">
        <f>TEXT(Table14[[#This Row],[Data_Wystawienia]],"rrrr-mm")</f>
        <v>2023-05</v>
      </c>
      <c r="P1414" s="2">
        <v>1</v>
      </c>
    </row>
    <row r="1415" spans="1:16" x14ac:dyDescent="0.3">
      <c r="A1415" s="2" t="str">
        <f>TRIM(Table1[[#This Row],[Numer_FV]])</f>
        <v>FV/4149HM/23</v>
      </c>
      <c r="B1415" s="2" t="str">
        <f>TRIM(Table1[[#This Row],[Numer_PZ]])</f>
        <v>PZ/801413</v>
      </c>
      <c r="C1415" s="2" t="str">
        <f>TRIM(Table1[[#This Row],[Dostawca]])</f>
        <v>HurtMedix</v>
      </c>
      <c r="D1415" s="3">
        <v>45073</v>
      </c>
      <c r="E1415" s="4" t="s">
        <v>4207</v>
      </c>
      <c r="F1415" s="2" t="str">
        <f>TRIM(Table1[[#This Row],[Status]])</f>
        <v>Zaakceptowana</v>
      </c>
      <c r="G1415" s="2" t="str">
        <f>TRIM(Table1[[#This Row],[Typ]])</f>
        <v>Faktura VAT</v>
      </c>
      <c r="H1415" s="2" t="str">
        <f>TRIM(Table1[[#This Row],[Magazyn]])</f>
        <v>Apteka Szpitalna</v>
      </c>
      <c r="I1415" s="2" t="str">
        <f>TRIM(Table1[[#This Row],[Umowa]])</f>
        <v>UM-HUR-02</v>
      </c>
      <c r="J1415" s="2" t="b">
        <f>ISTEXT(Table14[[#This Row],[Data_Wystawienia]])</f>
        <v>0</v>
      </c>
      <c r="K1415" s="2">
        <f>VALUE(SUBSTITUTE(Table14[[#This Row],[Wartość]],".",","))</f>
        <v>14198.3</v>
      </c>
      <c r="L14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5" s="2" t="str">
        <f>IF(Table14[[#This Row],[Umowa]]="","Poza umową","Z umowy")</f>
        <v>Z umowy</v>
      </c>
      <c r="N1415" s="2">
        <f>YEAR(Table14[[#This Row],[Data_Wystawienia]])</f>
        <v>2023</v>
      </c>
      <c r="O1415" s="2" t="str">
        <f>TEXT(Table14[[#This Row],[Data_Wystawienia]],"rrrr-mm")</f>
        <v>2023-05</v>
      </c>
      <c r="P1415" s="2">
        <v>1</v>
      </c>
    </row>
    <row r="1416" spans="1:16" x14ac:dyDescent="0.3">
      <c r="A1416" s="2" t="str">
        <f>TRIM(Table1[[#This Row],[Numer_FV]])</f>
        <v>FV/41/SAL/23</v>
      </c>
      <c r="B1416" s="2" t="str">
        <f>TRIM(Table1[[#This Row],[Numer_PZ]])</f>
        <v>PZ/801414</v>
      </c>
      <c r="C1416" s="2" t="str">
        <f>TRIM(Table1[[#This Row],[Dostawca]])</f>
        <v>SalusHurt</v>
      </c>
      <c r="D1416" s="3">
        <v>45073</v>
      </c>
      <c r="E1416" s="4" t="s">
        <v>4210</v>
      </c>
      <c r="F1416" s="2" t="str">
        <f>TRIM(Table1[[#This Row],[Status]])</f>
        <v>Zaakceptowana</v>
      </c>
      <c r="G1416" s="2" t="str">
        <f>TRIM(Table1[[#This Row],[Typ]])</f>
        <v>Faktura VAT</v>
      </c>
      <c r="H1416" s="2" t="str">
        <f>TRIM(Table1[[#This Row],[Magazyn]])</f>
        <v>Apteka Szpitalna</v>
      </c>
      <c r="I1416" s="2" t="str">
        <f>TRIM(Table1[[#This Row],[Umowa]])</f>
        <v/>
      </c>
      <c r="J1416" s="2" t="b">
        <f>ISTEXT(Table14[[#This Row],[Data_Wystawienia]])</f>
        <v>0</v>
      </c>
      <c r="K1416" s="2">
        <f>VALUE(SUBSTITUTE(Table14[[#This Row],[Wartość]],".",","))</f>
        <v>14936.07</v>
      </c>
      <c r="L14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6" s="2" t="str">
        <f>IF(Table14[[#This Row],[Umowa]]="","Poza umową","Z umowy")</f>
        <v>Poza umową</v>
      </c>
      <c r="N1416" s="2">
        <f>YEAR(Table14[[#This Row],[Data_Wystawienia]])</f>
        <v>2023</v>
      </c>
      <c r="O1416" s="2" t="str">
        <f>TEXT(Table14[[#This Row],[Data_Wystawienia]],"rrrr-mm")</f>
        <v>2023-05</v>
      </c>
      <c r="P1416" s="2">
        <v>1</v>
      </c>
    </row>
    <row r="1417" spans="1:16" x14ac:dyDescent="0.3">
      <c r="A1417" s="2" t="str">
        <f>TRIM(Table1[[#This Row],[Numer_FV]])</f>
        <v>FV/M/9501/P/23</v>
      </c>
      <c r="B1417" s="2" t="str">
        <f>TRIM(Table1[[#This Row],[Numer_PZ]])</f>
        <v>PZ/801415</v>
      </c>
      <c r="C1417" s="2" t="str">
        <f>TRIM(Table1[[#This Row],[Dostawca]])</f>
        <v>MedicaPharm</v>
      </c>
      <c r="D1417" s="3">
        <v>45073</v>
      </c>
      <c r="E1417" s="4" t="s">
        <v>4213</v>
      </c>
      <c r="F1417" s="2" t="str">
        <f>TRIM(Table1[[#This Row],[Status]])</f>
        <v>Zaakceptowana</v>
      </c>
      <c r="G1417" s="2" t="str">
        <f>TRIM(Table1[[#This Row],[Typ]])</f>
        <v>Faktura VAT</v>
      </c>
      <c r="H1417" s="2" t="str">
        <f>TRIM(Table1[[#This Row],[Magazyn]])</f>
        <v>Apteka Szpitalna</v>
      </c>
      <c r="I1417" s="2" t="str">
        <f>TRIM(Table1[[#This Row],[Umowa]])</f>
        <v/>
      </c>
      <c r="J1417" s="2" t="b">
        <f>ISTEXT(Table14[[#This Row],[Data_Wystawienia]])</f>
        <v>0</v>
      </c>
      <c r="K1417" s="2">
        <f>VALUE(SUBSTITUTE(Table14[[#This Row],[Wartość]],".",","))</f>
        <v>14349.33</v>
      </c>
      <c r="L14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7" s="2" t="str">
        <f>IF(Table14[[#This Row],[Umowa]]="","Poza umową","Z umowy")</f>
        <v>Poza umową</v>
      </c>
      <c r="N1417" s="2">
        <f>YEAR(Table14[[#This Row],[Data_Wystawienia]])</f>
        <v>2023</v>
      </c>
      <c r="O1417" s="2" t="str">
        <f>TEXT(Table14[[#This Row],[Data_Wystawienia]],"rrrr-mm")</f>
        <v>2023-05</v>
      </c>
      <c r="P1417" s="2">
        <v>1</v>
      </c>
    </row>
    <row r="1418" spans="1:16" x14ac:dyDescent="0.3">
      <c r="A1418" s="2" t="str">
        <f>TRIM(Table1[[#This Row],[Numer_FV]])</f>
        <v>FV/POL/49266/2023</v>
      </c>
      <c r="B1418" s="2" t="str">
        <f>TRIM(Table1[[#This Row],[Numer_PZ]])</f>
        <v>PZ/801416</v>
      </c>
      <c r="C1418" s="2" t="str">
        <f>TRIM(Table1[[#This Row],[Dostawca]])</f>
        <v>Polmedica</v>
      </c>
      <c r="D1418" s="3">
        <v>45074</v>
      </c>
      <c r="E1418" s="4" t="s">
        <v>4216</v>
      </c>
      <c r="F1418" s="2" t="str">
        <f>TRIM(Table1[[#This Row],[Status]])</f>
        <v>Zaakceptowana</v>
      </c>
      <c r="G1418" s="2" t="str">
        <f>TRIM(Table1[[#This Row],[Typ]])</f>
        <v>Faktura VAT</v>
      </c>
      <c r="H1418" s="2" t="str">
        <f>TRIM(Table1[[#This Row],[Magazyn]])</f>
        <v>Apteka Szpitalna</v>
      </c>
      <c r="I1418" s="2" t="str">
        <f>TRIM(Table1[[#This Row],[Umowa]])</f>
        <v/>
      </c>
      <c r="J1418" s="2" t="b">
        <f>ISTEXT(Table14[[#This Row],[Data_Wystawienia]])</f>
        <v>0</v>
      </c>
      <c r="K1418" s="2">
        <f>VALUE(SUBSTITUTE(Table14[[#This Row],[Wartość]],".",","))</f>
        <v>23357.66</v>
      </c>
      <c r="L14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8" s="2" t="str">
        <f>IF(Table14[[#This Row],[Umowa]]="","Poza umową","Z umowy")</f>
        <v>Poza umową</v>
      </c>
      <c r="N1418" s="2">
        <f>YEAR(Table14[[#This Row],[Data_Wystawienia]])</f>
        <v>2023</v>
      </c>
      <c r="O1418" s="2" t="str">
        <f>TEXT(Table14[[#This Row],[Data_Wystawienia]],"rrrr-mm")</f>
        <v>2023-05</v>
      </c>
      <c r="P1418" s="2">
        <v>1</v>
      </c>
    </row>
    <row r="1419" spans="1:16" x14ac:dyDescent="0.3">
      <c r="A1419" s="2" t="str">
        <f>TRIM(Table1[[#This Row],[Numer_FV]])</f>
        <v>FV/7130/NOVA/23</v>
      </c>
      <c r="B1419" s="2" t="str">
        <f>TRIM(Table1[[#This Row],[Numer_PZ]])</f>
        <v>PZ/801417</v>
      </c>
      <c r="C1419" s="2" t="str">
        <f>TRIM(Table1[[#This Row],[Dostawca]])</f>
        <v>NovaLek</v>
      </c>
      <c r="D1419" s="3">
        <v>45074</v>
      </c>
      <c r="E1419" s="4" t="s">
        <v>4219</v>
      </c>
      <c r="F1419" s="2" t="str">
        <f>TRIM(Table1[[#This Row],[Status]])</f>
        <v>Zaakceptowana</v>
      </c>
      <c r="G1419" s="2" t="str">
        <f>TRIM(Table1[[#This Row],[Typ]])</f>
        <v>Faktura VAT</v>
      </c>
      <c r="H1419" s="2" t="str">
        <f>TRIM(Table1[[#This Row],[Magazyn]])</f>
        <v>Apteka Szpitalna</v>
      </c>
      <c r="I1419" s="2" t="str">
        <f>TRIM(Table1[[#This Row],[Umowa]])</f>
        <v/>
      </c>
      <c r="J1419" s="2" t="b">
        <f>ISTEXT(Table14[[#This Row],[Data_Wystawienia]])</f>
        <v>0</v>
      </c>
      <c r="K1419" s="2">
        <f>VALUE(SUBSTITUTE(Table14[[#This Row],[Wartość]],".",","))</f>
        <v>7826.9</v>
      </c>
      <c r="L14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19" s="2" t="str">
        <f>IF(Table14[[#This Row],[Umowa]]="","Poza umową","Z umowy")</f>
        <v>Poza umową</v>
      </c>
      <c r="N1419" s="2">
        <f>YEAR(Table14[[#This Row],[Data_Wystawienia]])</f>
        <v>2023</v>
      </c>
      <c r="O1419" s="2" t="str">
        <f>TEXT(Table14[[#This Row],[Data_Wystawienia]],"rrrr-mm")</f>
        <v>2023-05</v>
      </c>
      <c r="P1419" s="2">
        <v>1</v>
      </c>
    </row>
    <row r="1420" spans="1:16" x14ac:dyDescent="0.3">
      <c r="A1420" s="2" t="str">
        <f>TRIM(Table1[[#This Row],[Numer_FV]])</f>
        <v>FV/CENFA/869480/23</v>
      </c>
      <c r="B1420" s="2" t="str">
        <f>TRIM(Table1[[#This Row],[Numer_PZ]])</f>
        <v>PZ/801418</v>
      </c>
      <c r="C1420" s="2" t="str">
        <f>TRIM(Table1[[#This Row],[Dostawca]])</f>
        <v>CentrumFarm</v>
      </c>
      <c r="D1420" s="3">
        <v>45075</v>
      </c>
      <c r="E1420" s="4" t="s">
        <v>4222</v>
      </c>
      <c r="F1420" s="2" t="str">
        <f>TRIM(Table1[[#This Row],[Status]])</f>
        <v>Zaakceptowana</v>
      </c>
      <c r="G1420" s="2" t="str">
        <f>TRIM(Table1[[#This Row],[Typ]])</f>
        <v>Faktura VAT</v>
      </c>
      <c r="H1420" s="2" t="str">
        <f>TRIM(Table1[[#This Row],[Magazyn]])</f>
        <v>Apteka Szpitalna</v>
      </c>
      <c r="I1420" s="2" t="str">
        <f>TRIM(Table1[[#This Row],[Umowa]])</f>
        <v>UM-CEN-02</v>
      </c>
      <c r="J1420" s="2" t="b">
        <f>ISTEXT(Table14[[#This Row],[Data_Wystawienia]])</f>
        <v>0</v>
      </c>
      <c r="K1420" s="2">
        <f>VALUE(SUBSTITUTE(Table14[[#This Row],[Wartość]],".",","))</f>
        <v>13637.39</v>
      </c>
      <c r="L14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0" s="2" t="str">
        <f>IF(Table14[[#This Row],[Umowa]]="","Poza umową","Z umowy")</f>
        <v>Z umowy</v>
      </c>
      <c r="N1420" s="2">
        <f>YEAR(Table14[[#This Row],[Data_Wystawienia]])</f>
        <v>2023</v>
      </c>
      <c r="O1420" s="2" t="str">
        <f>TEXT(Table14[[#This Row],[Data_Wystawienia]],"rrrr-mm")</f>
        <v>2023-05</v>
      </c>
      <c r="P1420" s="2">
        <v>1</v>
      </c>
    </row>
    <row r="1421" spans="1:16" x14ac:dyDescent="0.3">
      <c r="A1421" s="2" t="str">
        <f>TRIM(Table1[[#This Row],[Numer_FV]])</f>
        <v>FV/32/SAL/23</v>
      </c>
      <c r="B1421" s="2" t="str">
        <f>TRIM(Table1[[#This Row],[Numer_PZ]])</f>
        <v>PZ/801419</v>
      </c>
      <c r="C1421" s="2" t="str">
        <f>TRIM(Table1[[#This Row],[Dostawca]])</f>
        <v>SalusHurt</v>
      </c>
      <c r="D1421" s="3">
        <v>45075</v>
      </c>
      <c r="E1421" s="4" t="s">
        <v>4225</v>
      </c>
      <c r="F1421" s="2" t="str">
        <f>TRIM(Table1[[#This Row],[Status]])</f>
        <v>Zaakceptowana</v>
      </c>
      <c r="G1421" s="2" t="str">
        <f>TRIM(Table1[[#This Row],[Typ]])</f>
        <v>Faktura VAT</v>
      </c>
      <c r="H1421" s="2" t="str">
        <f>TRIM(Table1[[#This Row],[Magazyn]])</f>
        <v>Apteka Szpitalna</v>
      </c>
      <c r="I1421" s="2" t="str">
        <f>TRIM(Table1[[#This Row],[Umowa]])</f>
        <v/>
      </c>
      <c r="J1421" s="2" t="b">
        <f>ISTEXT(Table14[[#This Row],[Data_Wystawienia]])</f>
        <v>0</v>
      </c>
      <c r="K1421" s="2">
        <f>VALUE(SUBSTITUTE(Table14[[#This Row],[Wartość]],".",","))</f>
        <v>11641.47</v>
      </c>
      <c r="L14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1" s="2" t="str">
        <f>IF(Table14[[#This Row],[Umowa]]="","Poza umową","Z umowy")</f>
        <v>Poza umową</v>
      </c>
      <c r="N1421" s="2">
        <f>YEAR(Table14[[#This Row],[Data_Wystawienia]])</f>
        <v>2023</v>
      </c>
      <c r="O1421" s="2" t="str">
        <f>TEXT(Table14[[#This Row],[Data_Wystawienia]],"rrrr-mm")</f>
        <v>2023-05</v>
      </c>
      <c r="P1421" s="2">
        <v>1</v>
      </c>
    </row>
    <row r="1422" spans="1:16" x14ac:dyDescent="0.3">
      <c r="A1422" s="2" t="str">
        <f>TRIM(Table1[[#This Row],[Numer_FV]])</f>
        <v>FV/40/PP/9830/23</v>
      </c>
      <c r="B1422" s="2" t="str">
        <f>TRIM(Table1[[#This Row],[Numer_PZ]])</f>
        <v>PZ/801420</v>
      </c>
      <c r="C1422" s="2" t="str">
        <f>TRIM(Table1[[#This Row],[Dostawca]])</f>
        <v>PharmaPlus</v>
      </c>
      <c r="D1422" s="3">
        <v>45076</v>
      </c>
      <c r="E1422" s="4" t="s">
        <v>4228</v>
      </c>
      <c r="F1422" s="2" t="str">
        <f>TRIM(Table1[[#This Row],[Status]])</f>
        <v>Zaakceptowana</v>
      </c>
      <c r="G1422" s="2" t="str">
        <f>TRIM(Table1[[#This Row],[Typ]])</f>
        <v>Faktura VAT</v>
      </c>
      <c r="H1422" s="2" t="str">
        <f>TRIM(Table1[[#This Row],[Magazyn]])</f>
        <v>Apteka Szpitalna</v>
      </c>
      <c r="I1422" s="2" t="str">
        <f>TRIM(Table1[[#This Row],[Umowa]])</f>
        <v>UM-PHA-02</v>
      </c>
      <c r="J1422" s="2" t="b">
        <f>ISTEXT(Table14[[#This Row],[Data_Wystawienia]])</f>
        <v>0</v>
      </c>
      <c r="K1422" s="2">
        <f>VALUE(SUBSTITUTE(Table14[[#This Row],[Wartość]],".",","))</f>
        <v>18208.3</v>
      </c>
      <c r="L14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2" s="2" t="str">
        <f>IF(Table14[[#This Row],[Umowa]]="","Poza umową","Z umowy")</f>
        <v>Z umowy</v>
      </c>
      <c r="N1422" s="2">
        <f>YEAR(Table14[[#This Row],[Data_Wystawienia]])</f>
        <v>2023</v>
      </c>
      <c r="O1422" s="2" t="str">
        <f>TEXT(Table14[[#This Row],[Data_Wystawienia]],"rrrr-mm")</f>
        <v>2023-05</v>
      </c>
      <c r="P1422" s="2">
        <v>1</v>
      </c>
    </row>
    <row r="1423" spans="1:16" x14ac:dyDescent="0.3">
      <c r="A1423" s="2" t="str">
        <f>TRIM(Table1[[#This Row],[Numer_FV]])</f>
        <v>FV/98261/VDb/2023</v>
      </c>
      <c r="B1423" s="2" t="str">
        <f>TRIM(Table1[[#This Row],[Numer_PZ]])</f>
        <v>PZ/801421</v>
      </c>
      <c r="C1423" s="2" t="str">
        <f>TRIM(Table1[[#This Row],[Dostawca]])</f>
        <v>VitaDistrib</v>
      </c>
      <c r="D1423" s="3">
        <v>45076</v>
      </c>
      <c r="E1423" s="4" t="s">
        <v>4231</v>
      </c>
      <c r="F1423" s="2" t="str">
        <f>TRIM(Table1[[#This Row],[Status]])</f>
        <v>Zaakceptowana</v>
      </c>
      <c r="G1423" s="2" t="str">
        <f>TRIM(Table1[[#This Row],[Typ]])</f>
        <v>Faktura VAT</v>
      </c>
      <c r="H1423" s="2" t="str">
        <f>TRIM(Table1[[#This Row],[Magazyn]])</f>
        <v>Apteka Szpitalna</v>
      </c>
      <c r="I1423" s="2" t="str">
        <f>TRIM(Table1[[#This Row],[Umowa]])</f>
        <v>UM-VIT-01</v>
      </c>
      <c r="J1423" s="2" t="b">
        <f>ISTEXT(Table14[[#This Row],[Data_Wystawienia]])</f>
        <v>0</v>
      </c>
      <c r="K1423" s="2">
        <f>VALUE(SUBSTITUTE(Table14[[#This Row],[Wartość]],".",","))</f>
        <v>19924.36</v>
      </c>
      <c r="L14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3" s="2" t="str">
        <f>IF(Table14[[#This Row],[Umowa]]="","Poza umową","Z umowy")</f>
        <v>Z umowy</v>
      </c>
      <c r="N1423" s="2">
        <f>YEAR(Table14[[#This Row],[Data_Wystawienia]])</f>
        <v>2023</v>
      </c>
      <c r="O1423" s="2" t="str">
        <f>TEXT(Table14[[#This Row],[Data_Wystawienia]],"rrrr-mm")</f>
        <v>2023-05</v>
      </c>
      <c r="P1423" s="2">
        <v>1</v>
      </c>
    </row>
    <row r="1424" spans="1:16" x14ac:dyDescent="0.3">
      <c r="A1424" s="2" t="str">
        <f>TRIM(Table1[[#This Row],[Numer_FV]])</f>
        <v>FV/POL/66254/2023</v>
      </c>
      <c r="B1424" s="2" t="str">
        <f>TRIM(Table1[[#This Row],[Numer_PZ]])</f>
        <v>PZ/801422</v>
      </c>
      <c r="C1424" s="2" t="str">
        <f>TRIM(Table1[[#This Row],[Dostawca]])</f>
        <v>Polmedica</v>
      </c>
      <c r="D1424" s="3">
        <v>45076</v>
      </c>
      <c r="E1424" s="4" t="s">
        <v>4234</v>
      </c>
      <c r="F1424" s="2" t="str">
        <f>TRIM(Table1[[#This Row],[Status]])</f>
        <v>Zaakceptowana</v>
      </c>
      <c r="G1424" s="2" t="str">
        <f>TRIM(Table1[[#This Row],[Typ]])</f>
        <v>Faktura VAT</v>
      </c>
      <c r="H1424" s="2" t="str">
        <f>TRIM(Table1[[#This Row],[Magazyn]])</f>
        <v>Apteka Szpitalna</v>
      </c>
      <c r="I1424" s="2" t="str">
        <f>TRIM(Table1[[#This Row],[Umowa]])</f>
        <v>UM-POL-03</v>
      </c>
      <c r="J1424" s="2" t="b">
        <f>ISTEXT(Table14[[#This Row],[Data_Wystawienia]])</f>
        <v>0</v>
      </c>
      <c r="K1424" s="2">
        <f>VALUE(SUBSTITUTE(Table14[[#This Row],[Wartość]],".",","))</f>
        <v>13618.12</v>
      </c>
      <c r="L14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4" s="2" t="str">
        <f>IF(Table14[[#This Row],[Umowa]]="","Poza umową","Z umowy")</f>
        <v>Z umowy</v>
      </c>
      <c r="N1424" s="2">
        <f>YEAR(Table14[[#This Row],[Data_Wystawienia]])</f>
        <v>2023</v>
      </c>
      <c r="O1424" s="2" t="str">
        <f>TEXT(Table14[[#This Row],[Data_Wystawienia]],"rrrr-mm")</f>
        <v>2023-05</v>
      </c>
      <c r="P1424" s="2">
        <v>1</v>
      </c>
    </row>
    <row r="1425" spans="1:16" x14ac:dyDescent="0.3">
      <c r="A1425" s="2" t="str">
        <f>TRIM(Table1[[#This Row],[Numer_FV]])</f>
        <v>FV/75/SAL/23</v>
      </c>
      <c r="B1425" s="2" t="str">
        <f>TRIM(Table1[[#This Row],[Numer_PZ]])</f>
        <v>PZ/801423</v>
      </c>
      <c r="C1425" s="2" t="str">
        <f>TRIM(Table1[[#This Row],[Dostawca]])</f>
        <v>SalusHurt</v>
      </c>
      <c r="D1425" s="3">
        <v>45076</v>
      </c>
      <c r="E1425" s="4" t="s">
        <v>4236</v>
      </c>
      <c r="F1425" s="2" t="str">
        <f>TRIM(Table1[[#This Row],[Status]])</f>
        <v>Zaakceptowana</v>
      </c>
      <c r="G1425" s="2" t="str">
        <f>TRIM(Table1[[#This Row],[Typ]])</f>
        <v>Faktura VAT</v>
      </c>
      <c r="H1425" s="2" t="str">
        <f>TRIM(Table1[[#This Row],[Magazyn]])</f>
        <v>Apteka Szpitalna</v>
      </c>
      <c r="I1425" s="2" t="str">
        <f>TRIM(Table1[[#This Row],[Umowa]])</f>
        <v>UM-SAL-01</v>
      </c>
      <c r="J1425" s="2" t="b">
        <f>ISTEXT(Table14[[#This Row],[Data_Wystawienia]])</f>
        <v>0</v>
      </c>
      <c r="K1425" s="2">
        <f>VALUE(SUBSTITUTE(Table14[[#This Row],[Wartość]],".",","))</f>
        <v>17195.63</v>
      </c>
      <c r="L14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5" s="2" t="str">
        <f>IF(Table14[[#This Row],[Umowa]]="","Poza umową","Z umowy")</f>
        <v>Z umowy</v>
      </c>
      <c r="N1425" s="2">
        <f>YEAR(Table14[[#This Row],[Data_Wystawienia]])</f>
        <v>2023</v>
      </c>
      <c r="O1425" s="2" t="str">
        <f>TEXT(Table14[[#This Row],[Data_Wystawienia]],"rrrr-mm")</f>
        <v>2023-05</v>
      </c>
      <c r="P1425" s="2">
        <v>1</v>
      </c>
    </row>
    <row r="1426" spans="1:16" x14ac:dyDescent="0.3">
      <c r="A1426" s="2" t="str">
        <f>TRIM(Table1[[#This Row],[Numer_FV]])</f>
        <v>FV/CENFA/713175/23</v>
      </c>
      <c r="B1426" s="2" t="str">
        <f>TRIM(Table1[[#This Row],[Numer_PZ]])</f>
        <v>PZ/801424</v>
      </c>
      <c r="C1426" s="2" t="str">
        <f>TRIM(Table1[[#This Row],[Dostawca]])</f>
        <v>CentrumFarm</v>
      </c>
      <c r="D1426" s="3">
        <v>45076</v>
      </c>
      <c r="E1426" s="4" t="s">
        <v>4239</v>
      </c>
      <c r="F1426" s="2" t="str">
        <f>TRIM(Table1[[#This Row],[Status]])</f>
        <v>Zaakceptowana</v>
      </c>
      <c r="G1426" s="2" t="str">
        <f>TRIM(Table1[[#This Row],[Typ]])</f>
        <v>Faktura VAT</v>
      </c>
      <c r="H1426" s="2" t="str">
        <f>TRIM(Table1[[#This Row],[Magazyn]])</f>
        <v>Apteka Szpitalna</v>
      </c>
      <c r="I1426" s="2" t="str">
        <f>TRIM(Table1[[#This Row],[Umowa]])</f>
        <v>UM-CEN-02</v>
      </c>
      <c r="J1426" s="2" t="b">
        <f>ISTEXT(Table14[[#This Row],[Data_Wystawienia]])</f>
        <v>0</v>
      </c>
      <c r="K1426" s="2">
        <f>VALUE(SUBSTITUTE(Table14[[#This Row],[Wartość]],".",","))</f>
        <v>14486.73</v>
      </c>
      <c r="L14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6" s="2" t="str">
        <f>IF(Table14[[#This Row],[Umowa]]="","Poza umową","Z umowy")</f>
        <v>Z umowy</v>
      </c>
      <c r="N1426" s="2">
        <f>YEAR(Table14[[#This Row],[Data_Wystawienia]])</f>
        <v>2023</v>
      </c>
      <c r="O1426" s="2" t="str">
        <f>TEXT(Table14[[#This Row],[Data_Wystawienia]],"rrrr-mm")</f>
        <v>2023-05</v>
      </c>
      <c r="P1426" s="2">
        <v>1</v>
      </c>
    </row>
    <row r="1427" spans="1:16" x14ac:dyDescent="0.3">
      <c r="A1427" s="2" t="str">
        <f>TRIM(Table1[[#This Row],[Numer_FV]])</f>
        <v>FV/2634/NOVA/23</v>
      </c>
      <c r="B1427" s="2" t="str">
        <f>TRIM(Table1[[#This Row],[Numer_PZ]])</f>
        <v>PZ/801425</v>
      </c>
      <c r="C1427" s="2" t="str">
        <f>TRIM(Table1[[#This Row],[Dostawca]])</f>
        <v>NovaLek</v>
      </c>
      <c r="D1427" s="3">
        <v>45077</v>
      </c>
      <c r="E1427" s="4" t="s">
        <v>4242</v>
      </c>
      <c r="F1427" s="2" t="str">
        <f>TRIM(Table1[[#This Row],[Status]])</f>
        <v>Zaakceptowana</v>
      </c>
      <c r="G1427" s="2" t="str">
        <f>TRIM(Table1[[#This Row],[Typ]])</f>
        <v>Faktura VAT</v>
      </c>
      <c r="H1427" s="2" t="str">
        <f>TRIM(Table1[[#This Row],[Magazyn]])</f>
        <v>Apteka Szpitalna</v>
      </c>
      <c r="I1427" s="2" t="str">
        <f>TRIM(Table1[[#This Row],[Umowa]])</f>
        <v>UM-NOV-01</v>
      </c>
      <c r="J1427" s="2" t="b">
        <f>ISTEXT(Table14[[#This Row],[Data_Wystawienia]])</f>
        <v>0</v>
      </c>
      <c r="K1427" s="2">
        <f>VALUE(SUBSTITUTE(Table14[[#This Row],[Wartość]],".",","))</f>
        <v>21762.51</v>
      </c>
      <c r="L14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7" s="2" t="str">
        <f>IF(Table14[[#This Row],[Umowa]]="","Poza umową","Z umowy")</f>
        <v>Z umowy</v>
      </c>
      <c r="N1427" s="2">
        <f>YEAR(Table14[[#This Row],[Data_Wystawienia]])</f>
        <v>2023</v>
      </c>
      <c r="O1427" s="2" t="str">
        <f>TEXT(Table14[[#This Row],[Data_Wystawienia]],"rrrr-mm")</f>
        <v>2023-05</v>
      </c>
      <c r="P1427" s="2">
        <v>1</v>
      </c>
    </row>
    <row r="1428" spans="1:16" x14ac:dyDescent="0.3">
      <c r="A1428" s="2" t="str">
        <f>TRIM(Table1[[#This Row],[Numer_FV]])</f>
        <v>FV/73/PP/2892/23</v>
      </c>
      <c r="B1428" s="2" t="str">
        <f>TRIM(Table1[[#This Row],[Numer_PZ]])</f>
        <v>PZ/801426</v>
      </c>
      <c r="C1428" s="2" t="str">
        <f>TRIM(Table1[[#This Row],[Dostawca]])</f>
        <v>PharmaPlus</v>
      </c>
      <c r="D1428" s="3">
        <v>45078</v>
      </c>
      <c r="E1428" s="4" t="s">
        <v>4245</v>
      </c>
      <c r="F1428" s="2" t="str">
        <f>TRIM(Table1[[#This Row],[Status]])</f>
        <v>Zaakceptowana</v>
      </c>
      <c r="G1428" s="2" t="str">
        <f>TRIM(Table1[[#This Row],[Typ]])</f>
        <v>Faktura VAT</v>
      </c>
      <c r="H1428" s="2" t="str">
        <f>TRIM(Table1[[#This Row],[Magazyn]])</f>
        <v>Apteka Szpitalna</v>
      </c>
      <c r="I1428" s="2" t="str">
        <f>TRIM(Table1[[#This Row],[Umowa]])</f>
        <v>UM-PHA-02</v>
      </c>
      <c r="J1428" s="2" t="b">
        <f>ISTEXT(Table14[[#This Row],[Data_Wystawienia]])</f>
        <v>0</v>
      </c>
      <c r="K1428" s="2">
        <f>VALUE(SUBSTITUTE(Table14[[#This Row],[Wartość]],".",","))</f>
        <v>19605.64</v>
      </c>
      <c r="L14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8" s="2" t="str">
        <f>IF(Table14[[#This Row],[Umowa]]="","Poza umową","Z umowy")</f>
        <v>Z umowy</v>
      </c>
      <c r="N1428" s="2">
        <f>YEAR(Table14[[#This Row],[Data_Wystawienia]])</f>
        <v>2023</v>
      </c>
      <c r="O1428" s="2" t="str">
        <f>TEXT(Table14[[#This Row],[Data_Wystawienia]],"rrrr-mm")</f>
        <v>2023-06</v>
      </c>
      <c r="P1428" s="2">
        <v>1</v>
      </c>
    </row>
    <row r="1429" spans="1:16" x14ac:dyDescent="0.3">
      <c r="A1429" s="2" t="str">
        <f>TRIM(Table1[[#This Row],[Numer_FV]])</f>
        <v>FV/4161HM/23</v>
      </c>
      <c r="B1429" s="2" t="str">
        <f>TRIM(Table1[[#This Row],[Numer_PZ]])</f>
        <v>PZ/801427</v>
      </c>
      <c r="C1429" s="2" t="str">
        <f>TRIM(Table1[[#This Row],[Dostawca]])</f>
        <v>HurtMedix</v>
      </c>
      <c r="D1429" s="3">
        <v>45079</v>
      </c>
      <c r="E1429" s="4" t="s">
        <v>4248</v>
      </c>
      <c r="F1429" s="2" t="str">
        <f>TRIM(Table1[[#This Row],[Status]])</f>
        <v>Zaakceptowana</v>
      </c>
      <c r="G1429" s="2" t="str">
        <f>TRIM(Table1[[#This Row],[Typ]])</f>
        <v>Faktura VAT</v>
      </c>
      <c r="H1429" s="2" t="str">
        <f>TRIM(Table1[[#This Row],[Magazyn]])</f>
        <v>Apteka Szpitalna</v>
      </c>
      <c r="I1429" s="2" t="str">
        <f>TRIM(Table1[[#This Row],[Umowa]])</f>
        <v>UM-HUR-03</v>
      </c>
      <c r="J1429" s="2" t="b">
        <f>ISTEXT(Table14[[#This Row],[Data_Wystawienia]])</f>
        <v>0</v>
      </c>
      <c r="K1429" s="2">
        <f>VALUE(SUBSTITUTE(Table14[[#This Row],[Wartość]],".",","))</f>
        <v>9820.93</v>
      </c>
      <c r="L14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29" s="2" t="str">
        <f>IF(Table14[[#This Row],[Umowa]]="","Poza umową","Z umowy")</f>
        <v>Z umowy</v>
      </c>
      <c r="N1429" s="2">
        <f>YEAR(Table14[[#This Row],[Data_Wystawienia]])</f>
        <v>2023</v>
      </c>
      <c r="O1429" s="2" t="str">
        <f>TEXT(Table14[[#This Row],[Data_Wystawienia]],"rrrr-mm")</f>
        <v>2023-06</v>
      </c>
      <c r="P1429" s="2">
        <v>1</v>
      </c>
    </row>
    <row r="1430" spans="1:16" x14ac:dyDescent="0.3">
      <c r="A1430" s="2" t="str">
        <f>TRIM(Table1[[#This Row],[Numer_FV]])</f>
        <v>FV/POL/51565/2023</v>
      </c>
      <c r="B1430" s="2" t="str">
        <f>TRIM(Table1[[#This Row],[Numer_PZ]])</f>
        <v>PZ/801428</v>
      </c>
      <c r="C1430" s="2" t="str">
        <f>TRIM(Table1[[#This Row],[Dostawca]])</f>
        <v>Polmedica</v>
      </c>
      <c r="D1430" s="3">
        <v>45079</v>
      </c>
      <c r="E1430" s="4" t="s">
        <v>4251</v>
      </c>
      <c r="F1430" s="2" t="str">
        <f>TRIM(Table1[[#This Row],[Status]])</f>
        <v>Zaakceptowana</v>
      </c>
      <c r="G1430" s="2" t="str">
        <f>TRIM(Table1[[#This Row],[Typ]])</f>
        <v>Faktura VAT</v>
      </c>
      <c r="H1430" s="2" t="str">
        <f>TRIM(Table1[[#This Row],[Magazyn]])</f>
        <v>Apteka Szpitalna</v>
      </c>
      <c r="I1430" s="2" t="str">
        <f>TRIM(Table1[[#This Row],[Umowa]])</f>
        <v>UM-POL-01</v>
      </c>
      <c r="J1430" s="2" t="b">
        <f>ISTEXT(Table14[[#This Row],[Data_Wystawienia]])</f>
        <v>0</v>
      </c>
      <c r="K1430" s="2">
        <f>VALUE(SUBSTITUTE(Table14[[#This Row],[Wartość]],".",","))</f>
        <v>11357.52</v>
      </c>
      <c r="L14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0" s="2" t="str">
        <f>IF(Table14[[#This Row],[Umowa]]="","Poza umową","Z umowy")</f>
        <v>Z umowy</v>
      </c>
      <c r="N1430" s="2">
        <f>YEAR(Table14[[#This Row],[Data_Wystawienia]])</f>
        <v>2023</v>
      </c>
      <c r="O1430" s="2" t="str">
        <f>TEXT(Table14[[#This Row],[Data_Wystawienia]],"rrrr-mm")</f>
        <v>2023-06</v>
      </c>
      <c r="P1430" s="2">
        <v>1</v>
      </c>
    </row>
    <row r="1431" spans="1:16" x14ac:dyDescent="0.3">
      <c r="A1431" s="2" t="str">
        <f>TRIM(Table1[[#This Row],[Numer_FV]])</f>
        <v>FV/7333HM/23</v>
      </c>
      <c r="B1431" s="2" t="str">
        <f>TRIM(Table1[[#This Row],[Numer_PZ]])</f>
        <v>PZ/801429</v>
      </c>
      <c r="C1431" s="2" t="str">
        <f>TRIM(Table1[[#This Row],[Dostawca]])</f>
        <v>HurtMedix</v>
      </c>
      <c r="D1431" s="3">
        <v>45079</v>
      </c>
      <c r="E1431" s="4" t="s">
        <v>4254</v>
      </c>
      <c r="F1431" s="2" t="str">
        <f>TRIM(Table1[[#This Row],[Status]])</f>
        <v>Zaakceptowana</v>
      </c>
      <c r="G1431" s="2" t="str">
        <f>TRIM(Table1[[#This Row],[Typ]])</f>
        <v>Faktura VAT</v>
      </c>
      <c r="H1431" s="2" t="str">
        <f>TRIM(Table1[[#This Row],[Magazyn]])</f>
        <v>Apteka Szpitalna</v>
      </c>
      <c r="I1431" s="2" t="str">
        <f>TRIM(Table1[[#This Row],[Umowa]])</f>
        <v>UM-HUR-03</v>
      </c>
      <c r="J1431" s="2" t="b">
        <f>ISTEXT(Table14[[#This Row],[Data_Wystawienia]])</f>
        <v>0</v>
      </c>
      <c r="K1431" s="2">
        <f>VALUE(SUBSTITUTE(Table14[[#This Row],[Wartość]],".",","))</f>
        <v>10919.88</v>
      </c>
      <c r="L14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1" s="2" t="str">
        <f>IF(Table14[[#This Row],[Umowa]]="","Poza umową","Z umowy")</f>
        <v>Z umowy</v>
      </c>
      <c r="N1431" s="2">
        <f>YEAR(Table14[[#This Row],[Data_Wystawienia]])</f>
        <v>2023</v>
      </c>
      <c r="O1431" s="2" t="str">
        <f>TEXT(Table14[[#This Row],[Data_Wystawienia]],"rrrr-mm")</f>
        <v>2023-06</v>
      </c>
      <c r="P1431" s="2">
        <v>1</v>
      </c>
    </row>
    <row r="1432" spans="1:16" x14ac:dyDescent="0.3">
      <c r="A1432" s="2" t="str">
        <f>TRIM(Table1[[#This Row],[Numer_FV]])</f>
        <v>FV/63/SAL/23</v>
      </c>
      <c r="B1432" s="2" t="str">
        <f>TRIM(Table1[[#This Row],[Numer_PZ]])</f>
        <v>PZ/801430</v>
      </c>
      <c r="C1432" s="2" t="str">
        <f>TRIM(Table1[[#This Row],[Dostawca]])</f>
        <v>SalusHurt</v>
      </c>
      <c r="D1432" s="3">
        <v>45080</v>
      </c>
      <c r="E1432" s="4" t="s">
        <v>4257</v>
      </c>
      <c r="F1432" s="2" t="str">
        <f>TRIM(Table1[[#This Row],[Status]])</f>
        <v>Zaakceptowana</v>
      </c>
      <c r="G1432" s="2" t="str">
        <f>TRIM(Table1[[#This Row],[Typ]])</f>
        <v>Faktura VAT</v>
      </c>
      <c r="H1432" s="2" t="str">
        <f>TRIM(Table1[[#This Row],[Magazyn]])</f>
        <v>Apteka Szpitalna</v>
      </c>
      <c r="I1432" s="2" t="str">
        <f>TRIM(Table1[[#This Row],[Umowa]])</f>
        <v>UM-SAL-01</v>
      </c>
      <c r="J1432" s="2" t="b">
        <f>ISTEXT(Table14[[#This Row],[Data_Wystawienia]])</f>
        <v>0</v>
      </c>
      <c r="K1432" s="2">
        <f>VALUE(SUBSTITUTE(Table14[[#This Row],[Wartość]],".",","))</f>
        <v>13348.65</v>
      </c>
      <c r="L14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2" s="2" t="str">
        <f>IF(Table14[[#This Row],[Umowa]]="","Poza umową","Z umowy")</f>
        <v>Z umowy</v>
      </c>
      <c r="N1432" s="2">
        <f>YEAR(Table14[[#This Row],[Data_Wystawienia]])</f>
        <v>2023</v>
      </c>
      <c r="O1432" s="2" t="str">
        <f>TEXT(Table14[[#This Row],[Data_Wystawienia]],"rrrr-mm")</f>
        <v>2023-06</v>
      </c>
      <c r="P1432" s="2">
        <v>1</v>
      </c>
    </row>
    <row r="1433" spans="1:16" x14ac:dyDescent="0.3">
      <c r="A1433" s="2" t="str">
        <f>TRIM(Table1[[#This Row],[Numer_FV]])</f>
        <v>FV/CENFA/223575/23</v>
      </c>
      <c r="B1433" s="2" t="str">
        <f>TRIM(Table1[[#This Row],[Numer_PZ]])</f>
        <v>PZ/801431</v>
      </c>
      <c r="C1433" s="2" t="str">
        <f>TRIM(Table1[[#This Row],[Dostawca]])</f>
        <v>CentrumFarm</v>
      </c>
      <c r="D1433" s="3">
        <v>45080</v>
      </c>
      <c r="E1433" s="4" t="s">
        <v>4260</v>
      </c>
      <c r="F1433" s="2" t="str">
        <f>TRIM(Table1[[#This Row],[Status]])</f>
        <v>Zaakceptowana</v>
      </c>
      <c r="G1433" s="2" t="str">
        <f>TRIM(Table1[[#This Row],[Typ]])</f>
        <v>Faktura VAT</v>
      </c>
      <c r="H1433" s="2" t="str">
        <f>TRIM(Table1[[#This Row],[Magazyn]])</f>
        <v>Apteka Szpitalna</v>
      </c>
      <c r="I1433" s="2" t="str">
        <f>TRIM(Table1[[#This Row],[Umowa]])</f>
        <v>UM-CEN-02</v>
      </c>
      <c r="J1433" s="2" t="b">
        <f>ISTEXT(Table14[[#This Row],[Data_Wystawienia]])</f>
        <v>0</v>
      </c>
      <c r="K1433" s="2">
        <f>VALUE(SUBSTITUTE(Table14[[#This Row],[Wartość]],".",","))</f>
        <v>15294.36</v>
      </c>
      <c r="L14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3" s="2" t="str">
        <f>IF(Table14[[#This Row],[Umowa]]="","Poza umową","Z umowy")</f>
        <v>Z umowy</v>
      </c>
      <c r="N1433" s="2">
        <f>YEAR(Table14[[#This Row],[Data_Wystawienia]])</f>
        <v>2023</v>
      </c>
      <c r="O1433" s="2" t="str">
        <f>TEXT(Table14[[#This Row],[Data_Wystawienia]],"rrrr-mm")</f>
        <v>2023-06</v>
      </c>
      <c r="P1433" s="2">
        <v>1</v>
      </c>
    </row>
    <row r="1434" spans="1:16" x14ac:dyDescent="0.3">
      <c r="A1434" s="2" t="str">
        <f>TRIM(Table1[[#This Row],[Numer_FV]])</f>
        <v>FV/M/2844/P/23</v>
      </c>
      <c r="B1434" s="2" t="str">
        <f>TRIM(Table1[[#This Row],[Numer_PZ]])</f>
        <v>PZ/801432</v>
      </c>
      <c r="C1434" s="2" t="str">
        <f>TRIM(Table1[[#This Row],[Dostawca]])</f>
        <v>MedicaPharm</v>
      </c>
      <c r="D1434" s="3">
        <v>45082</v>
      </c>
      <c r="E1434" s="4" t="s">
        <v>4263</v>
      </c>
      <c r="F1434" s="2" t="str">
        <f>TRIM(Table1[[#This Row],[Status]])</f>
        <v>Zaakceptowana</v>
      </c>
      <c r="G1434" s="2" t="str">
        <f>TRIM(Table1[[#This Row],[Typ]])</f>
        <v>Faktura VAT</v>
      </c>
      <c r="H1434" s="2" t="str">
        <f>TRIM(Table1[[#This Row],[Magazyn]])</f>
        <v>Apteka Szpitalna</v>
      </c>
      <c r="I1434" s="2" t="str">
        <f>TRIM(Table1[[#This Row],[Umowa]])</f>
        <v/>
      </c>
      <c r="J1434" s="2" t="b">
        <f>ISTEXT(Table14[[#This Row],[Data_Wystawienia]])</f>
        <v>0</v>
      </c>
      <c r="K1434" s="2">
        <f>VALUE(SUBSTITUTE(Table14[[#This Row],[Wartość]],".",","))</f>
        <v>11386.27</v>
      </c>
      <c r="L14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4" s="2" t="str">
        <f>IF(Table14[[#This Row],[Umowa]]="","Poza umową","Z umowy")</f>
        <v>Poza umową</v>
      </c>
      <c r="N1434" s="2">
        <f>YEAR(Table14[[#This Row],[Data_Wystawienia]])</f>
        <v>2023</v>
      </c>
      <c r="O1434" s="2" t="str">
        <f>TEXT(Table14[[#This Row],[Data_Wystawienia]],"rrrr-mm")</f>
        <v>2023-06</v>
      </c>
      <c r="P1434" s="2">
        <v>1</v>
      </c>
    </row>
    <row r="1435" spans="1:16" x14ac:dyDescent="0.3">
      <c r="A1435" s="2" t="str">
        <f>TRIM(Table1[[#This Row],[Numer_FV]])</f>
        <v>FV/POL/59647/2023</v>
      </c>
      <c r="B1435" s="2" t="str">
        <f>TRIM(Table1[[#This Row],[Numer_PZ]])</f>
        <v>PZ/801433</v>
      </c>
      <c r="C1435" s="2" t="str">
        <f>TRIM(Table1[[#This Row],[Dostawca]])</f>
        <v>Polmedica</v>
      </c>
      <c r="D1435" s="3">
        <v>45082</v>
      </c>
      <c r="E1435" s="4" t="s">
        <v>4266</v>
      </c>
      <c r="F1435" s="2" t="str">
        <f>TRIM(Table1[[#This Row],[Status]])</f>
        <v>Zaakceptowana</v>
      </c>
      <c r="G1435" s="2" t="str">
        <f>TRIM(Table1[[#This Row],[Typ]])</f>
        <v>Korekta FV</v>
      </c>
      <c r="H1435" s="2" t="str">
        <f>TRIM(Table1[[#This Row],[Magazyn]])</f>
        <v>Apteka Szpitalna</v>
      </c>
      <c r="I1435" s="2" t="str">
        <f>TRIM(Table1[[#This Row],[Umowa]])</f>
        <v>UM-POL-02</v>
      </c>
      <c r="J1435" s="2" t="b">
        <f>ISTEXT(Table14[[#This Row],[Data_Wystawienia]])</f>
        <v>0</v>
      </c>
      <c r="K1435" s="2">
        <f>VALUE(SUBSTITUTE(Table14[[#This Row],[Wartość]],".",","))</f>
        <v>-2146.7600000000002</v>
      </c>
      <c r="L14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5" s="2" t="str">
        <f>IF(Table14[[#This Row],[Umowa]]="","Poza umową","Z umowy")</f>
        <v>Z umowy</v>
      </c>
      <c r="N1435" s="2">
        <f>YEAR(Table14[[#This Row],[Data_Wystawienia]])</f>
        <v>2023</v>
      </c>
      <c r="O1435" s="2" t="str">
        <f>TEXT(Table14[[#This Row],[Data_Wystawienia]],"rrrr-mm")</f>
        <v>2023-06</v>
      </c>
      <c r="P1435" s="2">
        <v>1</v>
      </c>
    </row>
    <row r="1436" spans="1:16" x14ac:dyDescent="0.3">
      <c r="A1436" s="2" t="str">
        <f>TRIM(Table1[[#This Row],[Numer_FV]])</f>
        <v>FV/POL/71168/2023</v>
      </c>
      <c r="B1436" s="2" t="str">
        <f>TRIM(Table1[[#This Row],[Numer_PZ]])</f>
        <v>PZ/801434</v>
      </c>
      <c r="C1436" s="2" t="str">
        <f>TRIM(Table1[[#This Row],[Dostawca]])</f>
        <v>Polmedica</v>
      </c>
      <c r="D1436" s="3">
        <v>45082</v>
      </c>
      <c r="E1436" s="4" t="s">
        <v>4269</v>
      </c>
      <c r="F1436" s="2" t="str">
        <f>TRIM(Table1[[#This Row],[Status]])</f>
        <v>Zaakceptowana</v>
      </c>
      <c r="G1436" s="2" t="str">
        <f>TRIM(Table1[[#This Row],[Typ]])</f>
        <v>Faktura VAT</v>
      </c>
      <c r="H1436" s="2" t="str">
        <f>TRIM(Table1[[#This Row],[Magazyn]])</f>
        <v>Apteka Szpitalna</v>
      </c>
      <c r="I1436" s="2" t="str">
        <f>TRIM(Table1[[#This Row],[Umowa]])</f>
        <v/>
      </c>
      <c r="J1436" s="2" t="b">
        <f>ISTEXT(Table14[[#This Row],[Data_Wystawienia]])</f>
        <v>0</v>
      </c>
      <c r="K1436" s="2">
        <f>VALUE(SUBSTITUTE(Table14[[#This Row],[Wartość]],".",","))</f>
        <v>14683.73</v>
      </c>
      <c r="L14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6" s="2" t="str">
        <f>IF(Table14[[#This Row],[Umowa]]="","Poza umową","Z umowy")</f>
        <v>Poza umową</v>
      </c>
      <c r="N1436" s="2">
        <f>YEAR(Table14[[#This Row],[Data_Wystawienia]])</f>
        <v>2023</v>
      </c>
      <c r="O1436" s="2" t="str">
        <f>TEXT(Table14[[#This Row],[Data_Wystawienia]],"rrrr-mm")</f>
        <v>2023-06</v>
      </c>
      <c r="P1436" s="2">
        <v>1</v>
      </c>
    </row>
    <row r="1437" spans="1:16" x14ac:dyDescent="0.3">
      <c r="A1437" s="2" t="str">
        <f>TRIM(Table1[[#This Row],[Numer_FV]])</f>
        <v>FV/27/SAL/23</v>
      </c>
      <c r="B1437" s="2" t="str">
        <f>TRIM(Table1[[#This Row],[Numer_PZ]])</f>
        <v>PZ/801435</v>
      </c>
      <c r="C1437" s="2" t="str">
        <f>TRIM(Table1[[#This Row],[Dostawca]])</f>
        <v>SalusHurt</v>
      </c>
      <c r="D1437" s="3">
        <v>45083</v>
      </c>
      <c r="E1437" s="4" t="s">
        <v>4272</v>
      </c>
      <c r="F1437" s="2" t="str">
        <f>TRIM(Table1[[#This Row],[Status]])</f>
        <v>Zaakceptowana</v>
      </c>
      <c r="G1437" s="2" t="str">
        <f>TRIM(Table1[[#This Row],[Typ]])</f>
        <v>Faktura VAT</v>
      </c>
      <c r="H1437" s="2" t="str">
        <f>TRIM(Table1[[#This Row],[Magazyn]])</f>
        <v>Apteka Szpitalna</v>
      </c>
      <c r="I1437" s="2" t="str">
        <f>TRIM(Table1[[#This Row],[Umowa]])</f>
        <v>UM-SAL-01</v>
      </c>
      <c r="J1437" s="2" t="b">
        <f>ISTEXT(Table14[[#This Row],[Data_Wystawienia]])</f>
        <v>0</v>
      </c>
      <c r="K1437" s="2">
        <f>VALUE(SUBSTITUTE(Table14[[#This Row],[Wartość]],".",","))</f>
        <v>11370.34</v>
      </c>
      <c r="L14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7" s="2" t="str">
        <f>IF(Table14[[#This Row],[Umowa]]="","Poza umową","Z umowy")</f>
        <v>Z umowy</v>
      </c>
      <c r="N1437" s="2">
        <f>YEAR(Table14[[#This Row],[Data_Wystawienia]])</f>
        <v>2023</v>
      </c>
      <c r="O1437" s="2" t="str">
        <f>TEXT(Table14[[#This Row],[Data_Wystawienia]],"rrrr-mm")</f>
        <v>2023-06</v>
      </c>
      <c r="P1437" s="2">
        <v>1</v>
      </c>
    </row>
    <row r="1438" spans="1:16" x14ac:dyDescent="0.3">
      <c r="A1438" s="2" t="str">
        <f>TRIM(Table1[[#This Row],[Numer_FV]])</f>
        <v>FV/CENFA/226139/23</v>
      </c>
      <c r="B1438" s="2" t="str">
        <f>TRIM(Table1[[#This Row],[Numer_PZ]])</f>
        <v>PZ/801436</v>
      </c>
      <c r="C1438" s="2" t="str">
        <f>TRIM(Table1[[#This Row],[Dostawca]])</f>
        <v>CentrumFarm</v>
      </c>
      <c r="D1438" s="3">
        <v>45083</v>
      </c>
      <c r="E1438" s="4" t="s">
        <v>4275</v>
      </c>
      <c r="F1438" s="2" t="str">
        <f>TRIM(Table1[[#This Row],[Status]])</f>
        <v>Zaakceptowana</v>
      </c>
      <c r="G1438" s="2" t="str">
        <f>TRIM(Table1[[#This Row],[Typ]])</f>
        <v>Faktura VAT</v>
      </c>
      <c r="H1438" s="2" t="str">
        <f>TRIM(Table1[[#This Row],[Magazyn]])</f>
        <v>Apteka Szpitalna</v>
      </c>
      <c r="I1438" s="2" t="str">
        <f>TRIM(Table1[[#This Row],[Umowa]])</f>
        <v>UM-CEN-02</v>
      </c>
      <c r="J1438" s="2" t="b">
        <f>ISTEXT(Table14[[#This Row],[Data_Wystawienia]])</f>
        <v>0</v>
      </c>
      <c r="K1438" s="2">
        <f>VALUE(SUBSTITUTE(Table14[[#This Row],[Wartość]],".",","))</f>
        <v>7820.13</v>
      </c>
      <c r="L14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8" s="2" t="str">
        <f>IF(Table14[[#This Row],[Umowa]]="","Poza umową","Z umowy")</f>
        <v>Z umowy</v>
      </c>
      <c r="N1438" s="2">
        <f>YEAR(Table14[[#This Row],[Data_Wystawienia]])</f>
        <v>2023</v>
      </c>
      <c r="O1438" s="2" t="str">
        <f>TEXT(Table14[[#This Row],[Data_Wystawienia]],"rrrr-mm")</f>
        <v>2023-06</v>
      </c>
      <c r="P1438" s="2">
        <v>1</v>
      </c>
    </row>
    <row r="1439" spans="1:16" x14ac:dyDescent="0.3">
      <c r="A1439" s="2" t="str">
        <f>TRIM(Table1[[#This Row],[Numer_FV]])</f>
        <v>FV/POL/85220/2023</v>
      </c>
      <c r="B1439" s="2" t="str">
        <f>TRIM(Table1[[#This Row],[Numer_PZ]])</f>
        <v>PZ/801437</v>
      </c>
      <c r="C1439" s="2" t="str">
        <f>TRIM(Table1[[#This Row],[Dostawca]])</f>
        <v>Polmedica</v>
      </c>
      <c r="D1439" s="3">
        <v>45083</v>
      </c>
      <c r="E1439" s="4" t="s">
        <v>4278</v>
      </c>
      <c r="F1439" s="2" t="str">
        <f>TRIM(Table1[[#This Row],[Status]])</f>
        <v>Zaakceptowana</v>
      </c>
      <c r="G1439" s="2" t="str">
        <f>TRIM(Table1[[#This Row],[Typ]])</f>
        <v>Faktura VAT</v>
      </c>
      <c r="H1439" s="2" t="str">
        <f>TRIM(Table1[[#This Row],[Magazyn]])</f>
        <v>Apteka Szpitalna</v>
      </c>
      <c r="I1439" s="2" t="str">
        <f>TRIM(Table1[[#This Row],[Umowa]])</f>
        <v>UM-POL-03</v>
      </c>
      <c r="J1439" s="2" t="b">
        <f>ISTEXT(Table14[[#This Row],[Data_Wystawienia]])</f>
        <v>0</v>
      </c>
      <c r="K1439" s="2">
        <f>VALUE(SUBSTITUTE(Table14[[#This Row],[Wartość]],".",","))</f>
        <v>16728.490000000002</v>
      </c>
      <c r="L14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39" s="2" t="str">
        <f>IF(Table14[[#This Row],[Umowa]]="","Poza umową","Z umowy")</f>
        <v>Z umowy</v>
      </c>
      <c r="N1439" s="2">
        <f>YEAR(Table14[[#This Row],[Data_Wystawienia]])</f>
        <v>2023</v>
      </c>
      <c r="O1439" s="2" t="str">
        <f>TEXT(Table14[[#This Row],[Data_Wystawienia]],"rrrr-mm")</f>
        <v>2023-06</v>
      </c>
      <c r="P1439" s="2">
        <v>1</v>
      </c>
    </row>
    <row r="1440" spans="1:16" x14ac:dyDescent="0.3">
      <c r="A1440" s="2" t="str">
        <f>TRIM(Table1[[#This Row],[Numer_FV]])</f>
        <v>FV/POL/54576/2023</v>
      </c>
      <c r="B1440" s="2" t="str">
        <f>TRIM(Table1[[#This Row],[Numer_PZ]])</f>
        <v>PZ/801438</v>
      </c>
      <c r="C1440" s="2" t="str">
        <f>TRIM(Table1[[#This Row],[Dostawca]])</f>
        <v>Polmedica</v>
      </c>
      <c r="D1440" s="3">
        <v>45083</v>
      </c>
      <c r="E1440" s="4" t="s">
        <v>4281</v>
      </c>
      <c r="F1440" s="2" t="str">
        <f>TRIM(Table1[[#This Row],[Status]])</f>
        <v>Zaakceptowana</v>
      </c>
      <c r="G1440" s="2" t="str">
        <f>TRIM(Table1[[#This Row],[Typ]])</f>
        <v>Faktura VAT</v>
      </c>
      <c r="H1440" s="2" t="str">
        <f>TRIM(Table1[[#This Row],[Magazyn]])</f>
        <v>Apteka Szpitalna</v>
      </c>
      <c r="I1440" s="2" t="str">
        <f>TRIM(Table1[[#This Row],[Umowa]])</f>
        <v>UM-POL-03</v>
      </c>
      <c r="J1440" s="2" t="b">
        <f>ISTEXT(Table14[[#This Row],[Data_Wystawienia]])</f>
        <v>0</v>
      </c>
      <c r="K1440" s="2">
        <f>VALUE(SUBSTITUTE(Table14[[#This Row],[Wartość]],".",","))</f>
        <v>21927.03</v>
      </c>
      <c r="L14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0" s="2" t="str">
        <f>IF(Table14[[#This Row],[Umowa]]="","Poza umową","Z umowy")</f>
        <v>Z umowy</v>
      </c>
      <c r="N1440" s="2">
        <f>YEAR(Table14[[#This Row],[Data_Wystawienia]])</f>
        <v>2023</v>
      </c>
      <c r="O1440" s="2" t="str">
        <f>TEXT(Table14[[#This Row],[Data_Wystawienia]],"rrrr-mm")</f>
        <v>2023-06</v>
      </c>
      <c r="P1440" s="2">
        <v>1</v>
      </c>
    </row>
    <row r="1441" spans="1:16" x14ac:dyDescent="0.3">
      <c r="A1441" s="2" t="str">
        <f>TRIM(Table1[[#This Row],[Numer_FV]])</f>
        <v>FV/M/2002/P/23</v>
      </c>
      <c r="B1441" s="2" t="str">
        <f>TRIM(Table1[[#This Row],[Numer_PZ]])</f>
        <v>PZ/801439</v>
      </c>
      <c r="C1441" s="2" t="str">
        <f>TRIM(Table1[[#This Row],[Dostawca]])</f>
        <v>MedicaPharm</v>
      </c>
      <c r="D1441" s="3">
        <v>45083</v>
      </c>
      <c r="E1441" s="4" t="s">
        <v>4284</v>
      </c>
      <c r="F1441" s="2" t="str">
        <f>TRIM(Table1[[#This Row],[Status]])</f>
        <v>Zaakceptowana</v>
      </c>
      <c r="G1441" s="2" t="str">
        <f>TRIM(Table1[[#This Row],[Typ]])</f>
        <v>Faktura VAT</v>
      </c>
      <c r="H1441" s="2" t="str">
        <f>TRIM(Table1[[#This Row],[Magazyn]])</f>
        <v>Apteka Szpitalna</v>
      </c>
      <c r="I1441" s="2" t="str">
        <f>TRIM(Table1[[#This Row],[Umowa]])</f>
        <v>UM-MED-02</v>
      </c>
      <c r="J1441" s="2" t="b">
        <f>ISTEXT(Table14[[#This Row],[Data_Wystawienia]])</f>
        <v>0</v>
      </c>
      <c r="K1441" s="2">
        <f>VALUE(SUBSTITUTE(Table14[[#This Row],[Wartość]],".",","))</f>
        <v>17788.88</v>
      </c>
      <c r="L14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1" s="2" t="str">
        <f>IF(Table14[[#This Row],[Umowa]]="","Poza umową","Z umowy")</f>
        <v>Z umowy</v>
      </c>
      <c r="N1441" s="2">
        <f>YEAR(Table14[[#This Row],[Data_Wystawienia]])</f>
        <v>2023</v>
      </c>
      <c r="O1441" s="2" t="str">
        <f>TEXT(Table14[[#This Row],[Data_Wystawienia]],"rrrr-mm")</f>
        <v>2023-06</v>
      </c>
      <c r="P1441" s="2">
        <v>1</v>
      </c>
    </row>
    <row r="1442" spans="1:16" x14ac:dyDescent="0.3">
      <c r="A1442" s="2" t="str">
        <f>TRIM(Table1[[#This Row],[Numer_FV]])</f>
        <v>FV/53/SAL/23</v>
      </c>
      <c r="B1442" s="2" t="str">
        <f>TRIM(Table1[[#This Row],[Numer_PZ]])</f>
        <v>PZ/801440</v>
      </c>
      <c r="C1442" s="2" t="str">
        <f>TRIM(Table1[[#This Row],[Dostawca]])</f>
        <v>SalusHurt</v>
      </c>
      <c r="D1442" s="3">
        <v>45084</v>
      </c>
      <c r="E1442" s="4" t="s">
        <v>4286</v>
      </c>
      <c r="F1442" s="2" t="str">
        <f>TRIM(Table1[[#This Row],[Status]])</f>
        <v>Zaakceptowana</v>
      </c>
      <c r="G1442" s="2" t="str">
        <f>TRIM(Table1[[#This Row],[Typ]])</f>
        <v>Faktura VAT</v>
      </c>
      <c r="H1442" s="2" t="str">
        <f>TRIM(Table1[[#This Row],[Magazyn]])</f>
        <v>Apteka Szpitalna</v>
      </c>
      <c r="I1442" s="2" t="str">
        <f>TRIM(Table1[[#This Row],[Umowa]])</f>
        <v>UM-SAL-02</v>
      </c>
      <c r="J1442" s="2" t="b">
        <f>ISTEXT(Table14[[#This Row],[Data_Wystawienia]])</f>
        <v>0</v>
      </c>
      <c r="K1442" s="2">
        <f>VALUE(SUBSTITUTE(Table14[[#This Row],[Wartość]],".",","))</f>
        <v>15360.77</v>
      </c>
      <c r="L14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2" s="2" t="str">
        <f>IF(Table14[[#This Row],[Umowa]]="","Poza umową","Z umowy")</f>
        <v>Z umowy</v>
      </c>
      <c r="N1442" s="2">
        <f>YEAR(Table14[[#This Row],[Data_Wystawienia]])</f>
        <v>2023</v>
      </c>
      <c r="O1442" s="2" t="str">
        <f>TEXT(Table14[[#This Row],[Data_Wystawienia]],"rrrr-mm")</f>
        <v>2023-06</v>
      </c>
      <c r="P1442" s="2">
        <v>1</v>
      </c>
    </row>
    <row r="1443" spans="1:16" x14ac:dyDescent="0.3">
      <c r="A1443" s="2" t="str">
        <f>TRIM(Table1[[#This Row],[Numer_FV]])</f>
        <v>FV/POL/91948/2023</v>
      </c>
      <c r="B1443" s="2" t="str">
        <f>TRIM(Table1[[#This Row],[Numer_PZ]])</f>
        <v>PZ/801441</v>
      </c>
      <c r="C1443" s="2" t="str">
        <f>TRIM(Table1[[#This Row],[Dostawca]])</f>
        <v>Polmedica</v>
      </c>
      <c r="D1443" s="3">
        <v>45084</v>
      </c>
      <c r="E1443" s="4" t="s">
        <v>4289</v>
      </c>
      <c r="F1443" s="2" t="str">
        <f>TRIM(Table1[[#This Row],[Status]])</f>
        <v>Zaakceptowana</v>
      </c>
      <c r="G1443" s="2" t="str">
        <f>TRIM(Table1[[#This Row],[Typ]])</f>
        <v>Faktura VAT</v>
      </c>
      <c r="H1443" s="2" t="str">
        <f>TRIM(Table1[[#This Row],[Magazyn]])</f>
        <v>Apteka Szpitalna</v>
      </c>
      <c r="I1443" s="2" t="str">
        <f>TRIM(Table1[[#This Row],[Umowa]])</f>
        <v/>
      </c>
      <c r="J1443" s="2" t="b">
        <f>ISTEXT(Table14[[#This Row],[Data_Wystawienia]])</f>
        <v>0</v>
      </c>
      <c r="K1443" s="2">
        <f>VALUE(SUBSTITUTE(Table14[[#This Row],[Wartość]],".",","))</f>
        <v>20080.25</v>
      </c>
      <c r="L14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3" s="2" t="str">
        <f>IF(Table14[[#This Row],[Umowa]]="","Poza umową","Z umowy")</f>
        <v>Poza umową</v>
      </c>
      <c r="N1443" s="2">
        <f>YEAR(Table14[[#This Row],[Data_Wystawienia]])</f>
        <v>2023</v>
      </c>
      <c r="O1443" s="2" t="str">
        <f>TEXT(Table14[[#This Row],[Data_Wystawienia]],"rrrr-mm")</f>
        <v>2023-06</v>
      </c>
      <c r="P1443" s="2">
        <v>1</v>
      </c>
    </row>
    <row r="1444" spans="1:16" x14ac:dyDescent="0.3">
      <c r="A1444" s="2" t="str">
        <f>TRIM(Table1[[#This Row],[Numer_FV]])</f>
        <v>FV/3877HM/23</v>
      </c>
      <c r="B1444" s="2" t="str">
        <f>TRIM(Table1[[#This Row],[Numer_PZ]])</f>
        <v>PZ/801442</v>
      </c>
      <c r="C1444" s="2" t="str">
        <f>TRIM(Table1[[#This Row],[Dostawca]])</f>
        <v>HurtMedix</v>
      </c>
      <c r="D1444" s="3">
        <v>45084</v>
      </c>
      <c r="E1444" s="4" t="s">
        <v>4292</v>
      </c>
      <c r="F1444" s="2" t="str">
        <f>TRIM(Table1[[#This Row],[Status]])</f>
        <v>Zaakceptowana</v>
      </c>
      <c r="G1444" s="2" t="str">
        <f>TRIM(Table1[[#This Row],[Typ]])</f>
        <v>Faktura VAT</v>
      </c>
      <c r="H1444" s="2" t="str">
        <f>TRIM(Table1[[#This Row],[Magazyn]])</f>
        <v>Apteka Szpitalna</v>
      </c>
      <c r="I1444" s="2" t="str">
        <f>TRIM(Table1[[#This Row],[Umowa]])</f>
        <v>UM-HUR-02</v>
      </c>
      <c r="J1444" s="2" t="b">
        <f>ISTEXT(Table14[[#This Row],[Data_Wystawienia]])</f>
        <v>0</v>
      </c>
      <c r="K1444" s="2">
        <f>VALUE(SUBSTITUTE(Table14[[#This Row],[Wartość]],".",","))</f>
        <v>18140.47</v>
      </c>
      <c r="L14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4" s="2" t="str">
        <f>IF(Table14[[#This Row],[Umowa]]="","Poza umową","Z umowy")</f>
        <v>Z umowy</v>
      </c>
      <c r="N1444" s="2">
        <f>YEAR(Table14[[#This Row],[Data_Wystawienia]])</f>
        <v>2023</v>
      </c>
      <c r="O1444" s="2" t="str">
        <f>TEXT(Table14[[#This Row],[Data_Wystawienia]],"rrrr-mm")</f>
        <v>2023-06</v>
      </c>
      <c r="P1444" s="2">
        <v>1</v>
      </c>
    </row>
    <row r="1445" spans="1:16" x14ac:dyDescent="0.3">
      <c r="A1445" s="2" t="str">
        <f>TRIM(Table1[[#This Row],[Numer_FV]])</f>
        <v>FV/CENFA/292841/23</v>
      </c>
      <c r="B1445" s="2" t="str">
        <f>TRIM(Table1[[#This Row],[Numer_PZ]])</f>
        <v>PZ/801443</v>
      </c>
      <c r="C1445" s="2" t="str">
        <f>TRIM(Table1[[#This Row],[Dostawca]])</f>
        <v>CentrumFarm</v>
      </c>
      <c r="D1445" s="3">
        <v>45084</v>
      </c>
      <c r="E1445" s="4" t="s">
        <v>4295</v>
      </c>
      <c r="F1445" s="2" t="str">
        <f>TRIM(Table1[[#This Row],[Status]])</f>
        <v>Zaakceptowana</v>
      </c>
      <c r="G1445" s="2" t="str">
        <f>TRIM(Table1[[#This Row],[Typ]])</f>
        <v>Faktura VAT</v>
      </c>
      <c r="H1445" s="2" t="str">
        <f>TRIM(Table1[[#This Row],[Magazyn]])</f>
        <v>Apteka Szpitalna</v>
      </c>
      <c r="I1445" s="2" t="str">
        <f>TRIM(Table1[[#This Row],[Umowa]])</f>
        <v>UM-CEN-01</v>
      </c>
      <c r="J1445" s="2" t="b">
        <f>ISTEXT(Table14[[#This Row],[Data_Wystawienia]])</f>
        <v>0</v>
      </c>
      <c r="K1445" s="2">
        <f>VALUE(SUBSTITUTE(Table14[[#This Row],[Wartość]],".",","))</f>
        <v>12163.44</v>
      </c>
      <c r="L14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5" s="2" t="str">
        <f>IF(Table14[[#This Row],[Umowa]]="","Poza umową","Z umowy")</f>
        <v>Z umowy</v>
      </c>
      <c r="N1445" s="2">
        <f>YEAR(Table14[[#This Row],[Data_Wystawienia]])</f>
        <v>2023</v>
      </c>
      <c r="O1445" s="2" t="str">
        <f>TEXT(Table14[[#This Row],[Data_Wystawienia]],"rrrr-mm")</f>
        <v>2023-06</v>
      </c>
      <c r="P1445" s="2">
        <v>1</v>
      </c>
    </row>
    <row r="1446" spans="1:16" x14ac:dyDescent="0.3">
      <c r="A1446" s="2" t="str">
        <f>TRIM(Table1[[#This Row],[Numer_FV]])</f>
        <v>FV/5541HM/23</v>
      </c>
      <c r="B1446" s="2" t="str">
        <f>TRIM(Table1[[#This Row],[Numer_PZ]])</f>
        <v>PZ/801444</v>
      </c>
      <c r="C1446" s="2" t="str">
        <f>TRIM(Table1[[#This Row],[Dostawca]])</f>
        <v>HurtMedix</v>
      </c>
      <c r="D1446" s="3">
        <v>45085</v>
      </c>
      <c r="E1446" s="4" t="s">
        <v>4298</v>
      </c>
      <c r="F1446" s="2" t="str">
        <f>TRIM(Table1[[#This Row],[Status]])</f>
        <v>Zaakceptowana</v>
      </c>
      <c r="G1446" s="2" t="str">
        <f>TRIM(Table1[[#This Row],[Typ]])</f>
        <v>Faktura VAT</v>
      </c>
      <c r="H1446" s="2" t="str">
        <f>TRIM(Table1[[#This Row],[Magazyn]])</f>
        <v>Apteka Szpitalna</v>
      </c>
      <c r="I1446" s="2" t="str">
        <f>TRIM(Table1[[#This Row],[Umowa]])</f>
        <v>UM-HUR-01</v>
      </c>
      <c r="J1446" s="2" t="b">
        <f>ISTEXT(Table14[[#This Row],[Data_Wystawienia]])</f>
        <v>0</v>
      </c>
      <c r="K1446" s="2">
        <f>VALUE(SUBSTITUTE(Table14[[#This Row],[Wartość]],".",","))</f>
        <v>10700.75</v>
      </c>
      <c r="L14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6" s="2" t="str">
        <f>IF(Table14[[#This Row],[Umowa]]="","Poza umową","Z umowy")</f>
        <v>Z umowy</v>
      </c>
      <c r="N1446" s="2">
        <f>YEAR(Table14[[#This Row],[Data_Wystawienia]])</f>
        <v>2023</v>
      </c>
      <c r="O1446" s="2" t="str">
        <f>TEXT(Table14[[#This Row],[Data_Wystawienia]],"rrrr-mm")</f>
        <v>2023-06</v>
      </c>
      <c r="P1446" s="2">
        <v>1</v>
      </c>
    </row>
    <row r="1447" spans="1:16" x14ac:dyDescent="0.3">
      <c r="A1447" s="2" t="str">
        <f>TRIM(Table1[[#This Row],[Numer_FV]])</f>
        <v>FV/72/SAL/23</v>
      </c>
      <c r="B1447" s="2" t="str">
        <f>TRIM(Table1[[#This Row],[Numer_PZ]])</f>
        <v>PZ/801445</v>
      </c>
      <c r="C1447" s="2" t="str">
        <f>TRIM(Table1[[#This Row],[Dostawca]])</f>
        <v>SalusHurt</v>
      </c>
      <c r="D1447" s="3">
        <v>45085</v>
      </c>
      <c r="E1447" s="4" t="s">
        <v>4301</v>
      </c>
      <c r="F1447" s="2" t="str">
        <f>TRIM(Table1[[#This Row],[Status]])</f>
        <v>Zaakceptowana</v>
      </c>
      <c r="G1447" s="2" t="str">
        <f>TRIM(Table1[[#This Row],[Typ]])</f>
        <v>Faktura VAT</v>
      </c>
      <c r="H1447" s="2" t="str">
        <f>TRIM(Table1[[#This Row],[Magazyn]])</f>
        <v>Apteka Szpitalna</v>
      </c>
      <c r="I1447" s="2" t="str">
        <f>TRIM(Table1[[#This Row],[Umowa]])</f>
        <v>UM-SAL-02</v>
      </c>
      <c r="J1447" s="2" t="b">
        <f>ISTEXT(Table14[[#This Row],[Data_Wystawienia]])</f>
        <v>0</v>
      </c>
      <c r="K1447" s="2">
        <f>VALUE(SUBSTITUTE(Table14[[#This Row],[Wartość]],".",","))</f>
        <v>14808.56</v>
      </c>
      <c r="L14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7" s="2" t="str">
        <f>IF(Table14[[#This Row],[Umowa]]="","Poza umową","Z umowy")</f>
        <v>Z umowy</v>
      </c>
      <c r="N1447" s="2">
        <f>YEAR(Table14[[#This Row],[Data_Wystawienia]])</f>
        <v>2023</v>
      </c>
      <c r="O1447" s="2" t="str">
        <f>TEXT(Table14[[#This Row],[Data_Wystawienia]],"rrrr-mm")</f>
        <v>2023-06</v>
      </c>
      <c r="P1447" s="2">
        <v>1</v>
      </c>
    </row>
    <row r="1448" spans="1:16" x14ac:dyDescent="0.3">
      <c r="A1448" s="2" t="str">
        <f>TRIM(Table1[[#This Row],[Numer_FV]])</f>
        <v>FV/CENFA/703859/23</v>
      </c>
      <c r="B1448" s="2" t="str">
        <f>TRIM(Table1[[#This Row],[Numer_PZ]])</f>
        <v>PZ/801446</v>
      </c>
      <c r="C1448" s="2" t="str">
        <f>TRIM(Table1[[#This Row],[Dostawca]])</f>
        <v>CentrumFarm</v>
      </c>
      <c r="D1448" s="3">
        <v>45085</v>
      </c>
      <c r="E1448" s="4" t="s">
        <v>4304</v>
      </c>
      <c r="F1448" s="2" t="str">
        <f>TRIM(Table1[[#This Row],[Status]])</f>
        <v>Zaakceptowana</v>
      </c>
      <c r="G1448" s="2" t="str">
        <f>TRIM(Table1[[#This Row],[Typ]])</f>
        <v>Faktura VAT</v>
      </c>
      <c r="H1448" s="2" t="str">
        <f>TRIM(Table1[[#This Row],[Magazyn]])</f>
        <v>Apteka Szpitalna</v>
      </c>
      <c r="I1448" s="2" t="str">
        <f>TRIM(Table1[[#This Row],[Umowa]])</f>
        <v/>
      </c>
      <c r="J1448" s="2" t="b">
        <f>ISTEXT(Table14[[#This Row],[Data_Wystawienia]])</f>
        <v>0</v>
      </c>
      <c r="K1448" s="2">
        <f>VALUE(SUBSTITUTE(Table14[[#This Row],[Wartość]],".",","))</f>
        <v>16889.240000000002</v>
      </c>
      <c r="L14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8" s="2" t="str">
        <f>IF(Table14[[#This Row],[Umowa]]="","Poza umową","Z umowy")</f>
        <v>Poza umową</v>
      </c>
      <c r="N1448" s="2">
        <f>YEAR(Table14[[#This Row],[Data_Wystawienia]])</f>
        <v>2023</v>
      </c>
      <c r="O1448" s="2" t="str">
        <f>TEXT(Table14[[#This Row],[Data_Wystawienia]],"rrrr-mm")</f>
        <v>2023-06</v>
      </c>
      <c r="P1448" s="2">
        <v>1</v>
      </c>
    </row>
    <row r="1449" spans="1:16" x14ac:dyDescent="0.3">
      <c r="A1449" s="2" t="str">
        <f>TRIM(Table1[[#This Row],[Numer_FV]])</f>
        <v>FV/16/SAL/23</v>
      </c>
      <c r="B1449" s="2" t="str">
        <f>TRIM(Table1[[#This Row],[Numer_PZ]])</f>
        <v>PZ/801447</v>
      </c>
      <c r="C1449" s="2" t="str">
        <f>TRIM(Table1[[#This Row],[Dostawca]])</f>
        <v>SalusHurt</v>
      </c>
      <c r="D1449" s="3">
        <v>45086</v>
      </c>
      <c r="E1449" s="4" t="s">
        <v>4306</v>
      </c>
      <c r="F1449" s="2" t="str">
        <f>TRIM(Table1[[#This Row],[Status]])</f>
        <v>Zaakceptowana</v>
      </c>
      <c r="G1449" s="2" t="str">
        <f>TRIM(Table1[[#This Row],[Typ]])</f>
        <v>Faktura VAT</v>
      </c>
      <c r="H1449" s="2" t="str">
        <f>TRIM(Table1[[#This Row],[Magazyn]])</f>
        <v>Apteka Szpitalna</v>
      </c>
      <c r="I1449" s="2" t="str">
        <f>TRIM(Table1[[#This Row],[Umowa]])</f>
        <v>UM-SAL-01</v>
      </c>
      <c r="J1449" s="2" t="b">
        <f>ISTEXT(Table14[[#This Row],[Data_Wystawienia]])</f>
        <v>0</v>
      </c>
      <c r="K1449" s="2">
        <f>VALUE(SUBSTITUTE(Table14[[#This Row],[Wartość]],".",","))</f>
        <v>16081.84</v>
      </c>
      <c r="L14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49" s="2" t="str">
        <f>IF(Table14[[#This Row],[Umowa]]="","Poza umową","Z umowy")</f>
        <v>Z umowy</v>
      </c>
      <c r="N1449" s="2">
        <f>YEAR(Table14[[#This Row],[Data_Wystawienia]])</f>
        <v>2023</v>
      </c>
      <c r="O1449" s="2" t="str">
        <f>TEXT(Table14[[#This Row],[Data_Wystawienia]],"rrrr-mm")</f>
        <v>2023-06</v>
      </c>
      <c r="P1449" s="2">
        <v>1</v>
      </c>
    </row>
    <row r="1450" spans="1:16" x14ac:dyDescent="0.3">
      <c r="A1450" s="2" t="str">
        <f>TRIM(Table1[[#This Row],[Numer_FV]])</f>
        <v>FV/POL/39206/2023</v>
      </c>
      <c r="B1450" s="2" t="str">
        <f>TRIM(Table1[[#This Row],[Numer_PZ]])</f>
        <v>PZ/801448</v>
      </c>
      <c r="C1450" s="2" t="str">
        <f>TRIM(Table1[[#This Row],[Dostawca]])</f>
        <v>Polmedica</v>
      </c>
      <c r="D1450" s="3">
        <v>45086</v>
      </c>
      <c r="E1450" s="4" t="s">
        <v>4309</v>
      </c>
      <c r="F1450" s="2" t="str">
        <f>TRIM(Table1[[#This Row],[Status]])</f>
        <v>Zaakceptowana</v>
      </c>
      <c r="G1450" s="2" t="str">
        <f>TRIM(Table1[[#This Row],[Typ]])</f>
        <v>Faktura VAT</v>
      </c>
      <c r="H1450" s="2" t="str">
        <f>TRIM(Table1[[#This Row],[Magazyn]])</f>
        <v>Apteka Szpitalna</v>
      </c>
      <c r="I1450" s="2" t="str">
        <f>TRIM(Table1[[#This Row],[Umowa]])</f>
        <v>UM-POL-01</v>
      </c>
      <c r="J1450" s="2" t="b">
        <f>ISTEXT(Table14[[#This Row],[Data_Wystawienia]])</f>
        <v>0</v>
      </c>
      <c r="K1450" s="2">
        <f>VALUE(SUBSTITUTE(Table14[[#This Row],[Wartość]],".",","))</f>
        <v>9348.7000000000007</v>
      </c>
      <c r="L14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0" s="2" t="str">
        <f>IF(Table14[[#This Row],[Umowa]]="","Poza umową","Z umowy")</f>
        <v>Z umowy</v>
      </c>
      <c r="N1450" s="2">
        <f>YEAR(Table14[[#This Row],[Data_Wystawienia]])</f>
        <v>2023</v>
      </c>
      <c r="O1450" s="2" t="str">
        <f>TEXT(Table14[[#This Row],[Data_Wystawienia]],"rrrr-mm")</f>
        <v>2023-06</v>
      </c>
      <c r="P1450" s="2">
        <v>1</v>
      </c>
    </row>
    <row r="1451" spans="1:16" x14ac:dyDescent="0.3">
      <c r="A1451" s="2" t="str">
        <f>TRIM(Table1[[#This Row],[Numer_FV]])</f>
        <v>FV/9693/NOVA/23</v>
      </c>
      <c r="B1451" s="2" t="str">
        <f>TRIM(Table1[[#This Row],[Numer_PZ]])</f>
        <v>PZ/801449</v>
      </c>
      <c r="C1451" s="2" t="str">
        <f>TRIM(Table1[[#This Row],[Dostawca]])</f>
        <v>NovaLek</v>
      </c>
      <c r="D1451" s="3">
        <v>45086</v>
      </c>
      <c r="E1451" s="4" t="s">
        <v>4312</v>
      </c>
      <c r="F1451" s="2" t="str">
        <f>TRIM(Table1[[#This Row],[Status]])</f>
        <v>Zaakceptowana</v>
      </c>
      <c r="G1451" s="2" t="str">
        <f>TRIM(Table1[[#This Row],[Typ]])</f>
        <v>Faktura VAT</v>
      </c>
      <c r="H1451" s="2" t="str">
        <f>TRIM(Table1[[#This Row],[Magazyn]])</f>
        <v>Apteka Szpitalna</v>
      </c>
      <c r="I1451" s="2" t="str">
        <f>TRIM(Table1[[#This Row],[Umowa]])</f>
        <v>UM-NOV-03</v>
      </c>
      <c r="J1451" s="2" t="b">
        <f>ISTEXT(Table14[[#This Row],[Data_Wystawienia]])</f>
        <v>0</v>
      </c>
      <c r="K1451" s="2">
        <f>VALUE(SUBSTITUTE(Table14[[#This Row],[Wartość]],".",","))</f>
        <v>14799.34</v>
      </c>
      <c r="L14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1" s="2" t="str">
        <f>IF(Table14[[#This Row],[Umowa]]="","Poza umową","Z umowy")</f>
        <v>Z umowy</v>
      </c>
      <c r="N1451" s="2">
        <f>YEAR(Table14[[#This Row],[Data_Wystawienia]])</f>
        <v>2023</v>
      </c>
      <c r="O1451" s="2" t="str">
        <f>TEXT(Table14[[#This Row],[Data_Wystawienia]],"rrrr-mm")</f>
        <v>2023-06</v>
      </c>
      <c r="P1451" s="2">
        <v>1</v>
      </c>
    </row>
    <row r="1452" spans="1:16" x14ac:dyDescent="0.3">
      <c r="A1452" s="2" t="str">
        <f>TRIM(Table1[[#This Row],[Numer_FV]])</f>
        <v>FV/CENFA/635475/23</v>
      </c>
      <c r="B1452" s="2" t="str">
        <f>TRIM(Table1[[#This Row],[Numer_PZ]])</f>
        <v>PZ/801450</v>
      </c>
      <c r="C1452" s="2" t="str">
        <f>TRIM(Table1[[#This Row],[Dostawca]])</f>
        <v>CentrumFarm</v>
      </c>
      <c r="D1452" s="3">
        <v>45086</v>
      </c>
      <c r="E1452" s="4" t="s">
        <v>4315</v>
      </c>
      <c r="F1452" s="2" t="str">
        <f>TRIM(Table1[[#This Row],[Status]])</f>
        <v>Zaakceptowana</v>
      </c>
      <c r="G1452" s="2" t="str">
        <f>TRIM(Table1[[#This Row],[Typ]])</f>
        <v>Faktura VAT</v>
      </c>
      <c r="H1452" s="2" t="str">
        <f>TRIM(Table1[[#This Row],[Magazyn]])</f>
        <v>Apteka Szpitalna</v>
      </c>
      <c r="I1452" s="2" t="str">
        <f>TRIM(Table1[[#This Row],[Umowa]])</f>
        <v>UM-CEN-02</v>
      </c>
      <c r="J1452" s="2" t="b">
        <f>ISTEXT(Table14[[#This Row],[Data_Wystawienia]])</f>
        <v>0</v>
      </c>
      <c r="K1452" s="2">
        <f>VALUE(SUBSTITUTE(Table14[[#This Row],[Wartość]],".",","))</f>
        <v>15573.17</v>
      </c>
      <c r="L14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2" s="2" t="str">
        <f>IF(Table14[[#This Row],[Umowa]]="","Poza umową","Z umowy")</f>
        <v>Z umowy</v>
      </c>
      <c r="N1452" s="2">
        <f>YEAR(Table14[[#This Row],[Data_Wystawienia]])</f>
        <v>2023</v>
      </c>
      <c r="O1452" s="2" t="str">
        <f>TEXT(Table14[[#This Row],[Data_Wystawienia]],"rrrr-mm")</f>
        <v>2023-06</v>
      </c>
      <c r="P1452" s="2">
        <v>1</v>
      </c>
    </row>
    <row r="1453" spans="1:16" x14ac:dyDescent="0.3">
      <c r="A1453" s="2" t="str">
        <f>TRIM(Table1[[#This Row],[Numer_FV]])</f>
        <v>FV/17/SAL/23</v>
      </c>
      <c r="B1453" s="2" t="str">
        <f>TRIM(Table1[[#This Row],[Numer_PZ]])</f>
        <v>PZ/801451</v>
      </c>
      <c r="C1453" s="2" t="str">
        <f>TRIM(Table1[[#This Row],[Dostawca]])</f>
        <v>SalusHurt</v>
      </c>
      <c r="D1453" s="3">
        <v>45088</v>
      </c>
      <c r="E1453" s="4" t="s">
        <v>4317</v>
      </c>
      <c r="F1453" s="2" t="str">
        <f>TRIM(Table1[[#This Row],[Status]])</f>
        <v>Zaakceptowana</v>
      </c>
      <c r="G1453" s="2" t="str">
        <f>TRIM(Table1[[#This Row],[Typ]])</f>
        <v>Faktura VAT</v>
      </c>
      <c r="H1453" s="2" t="str">
        <f>TRIM(Table1[[#This Row],[Magazyn]])</f>
        <v>Apteka Szpitalna</v>
      </c>
      <c r="I1453" s="2" t="str">
        <f>TRIM(Table1[[#This Row],[Umowa]])</f>
        <v/>
      </c>
      <c r="J1453" s="2" t="b">
        <f>ISTEXT(Table14[[#This Row],[Data_Wystawienia]])</f>
        <v>0</v>
      </c>
      <c r="K1453" s="2">
        <f>VALUE(SUBSTITUTE(Table14[[#This Row],[Wartość]],".",","))</f>
        <v>22495.45</v>
      </c>
      <c r="L14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3" s="2" t="str">
        <f>IF(Table14[[#This Row],[Umowa]]="","Poza umową","Z umowy")</f>
        <v>Poza umową</v>
      </c>
      <c r="N1453" s="2">
        <f>YEAR(Table14[[#This Row],[Data_Wystawienia]])</f>
        <v>2023</v>
      </c>
      <c r="O1453" s="2" t="str">
        <f>TEXT(Table14[[#This Row],[Data_Wystawienia]],"rrrr-mm")</f>
        <v>2023-06</v>
      </c>
      <c r="P1453" s="2">
        <v>1</v>
      </c>
    </row>
    <row r="1454" spans="1:16" x14ac:dyDescent="0.3">
      <c r="A1454" s="2" t="str">
        <f>TRIM(Table1[[#This Row],[Numer_FV]])</f>
        <v>FV/84/PP/6376/23</v>
      </c>
      <c r="B1454" s="2" t="str">
        <f>TRIM(Table1[[#This Row],[Numer_PZ]])</f>
        <v>PZ/801452</v>
      </c>
      <c r="C1454" s="2" t="str">
        <f>TRIM(Table1[[#This Row],[Dostawca]])</f>
        <v>PharmaPlus</v>
      </c>
      <c r="D1454" s="3">
        <v>45088</v>
      </c>
      <c r="E1454" s="4" t="s">
        <v>4320</v>
      </c>
      <c r="F1454" s="2" t="str">
        <f>TRIM(Table1[[#This Row],[Status]])</f>
        <v>Zaakceptowana</v>
      </c>
      <c r="G1454" s="2" t="str">
        <f>TRIM(Table1[[#This Row],[Typ]])</f>
        <v>Faktura VAT</v>
      </c>
      <c r="H1454" s="2" t="str">
        <f>TRIM(Table1[[#This Row],[Magazyn]])</f>
        <v>Apteka Szpitalna</v>
      </c>
      <c r="I1454" s="2" t="str">
        <f>TRIM(Table1[[#This Row],[Umowa]])</f>
        <v/>
      </c>
      <c r="J1454" s="2" t="b">
        <f>ISTEXT(Table14[[#This Row],[Data_Wystawienia]])</f>
        <v>0</v>
      </c>
      <c r="K1454" s="2">
        <f>VALUE(SUBSTITUTE(Table14[[#This Row],[Wartość]],".",","))</f>
        <v>19337</v>
      </c>
      <c r="L14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4" s="2" t="str">
        <f>IF(Table14[[#This Row],[Umowa]]="","Poza umową","Z umowy")</f>
        <v>Poza umową</v>
      </c>
      <c r="N1454" s="2">
        <f>YEAR(Table14[[#This Row],[Data_Wystawienia]])</f>
        <v>2023</v>
      </c>
      <c r="O1454" s="2" t="str">
        <f>TEXT(Table14[[#This Row],[Data_Wystawienia]],"rrrr-mm")</f>
        <v>2023-06</v>
      </c>
      <c r="P1454" s="2">
        <v>1</v>
      </c>
    </row>
    <row r="1455" spans="1:16" x14ac:dyDescent="0.3">
      <c r="A1455" s="2" t="str">
        <f>TRIM(Table1[[#This Row],[Numer_FV]])</f>
        <v>FV/15191/VDb/2023</v>
      </c>
      <c r="B1455" s="2" t="str">
        <f>TRIM(Table1[[#This Row],[Numer_PZ]])</f>
        <v>PZ/801453</v>
      </c>
      <c r="C1455" s="2" t="str">
        <f>TRIM(Table1[[#This Row],[Dostawca]])</f>
        <v>VitaDistrib</v>
      </c>
      <c r="D1455" s="3">
        <v>45088</v>
      </c>
      <c r="E1455" s="4" t="s">
        <v>4323</v>
      </c>
      <c r="F1455" s="2" t="str">
        <f>TRIM(Table1[[#This Row],[Status]])</f>
        <v>Zaakceptowana</v>
      </c>
      <c r="G1455" s="2" t="str">
        <f>TRIM(Table1[[#This Row],[Typ]])</f>
        <v>Faktura VAT</v>
      </c>
      <c r="H1455" s="2" t="str">
        <f>TRIM(Table1[[#This Row],[Magazyn]])</f>
        <v>Apteka Szpitalna</v>
      </c>
      <c r="I1455" s="2" t="str">
        <f>TRIM(Table1[[#This Row],[Umowa]])</f>
        <v>UM-VIT-01</v>
      </c>
      <c r="J1455" s="2" t="b">
        <f>ISTEXT(Table14[[#This Row],[Data_Wystawienia]])</f>
        <v>0</v>
      </c>
      <c r="K1455" s="2">
        <f>VALUE(SUBSTITUTE(Table14[[#This Row],[Wartość]],".",","))</f>
        <v>18056.48</v>
      </c>
      <c r="L14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5" s="2" t="str">
        <f>IF(Table14[[#This Row],[Umowa]]="","Poza umową","Z umowy")</f>
        <v>Z umowy</v>
      </c>
      <c r="N1455" s="2">
        <f>YEAR(Table14[[#This Row],[Data_Wystawienia]])</f>
        <v>2023</v>
      </c>
      <c r="O1455" s="2" t="str">
        <f>TEXT(Table14[[#This Row],[Data_Wystawienia]],"rrrr-mm")</f>
        <v>2023-06</v>
      </c>
      <c r="P1455" s="2">
        <v>1</v>
      </c>
    </row>
    <row r="1456" spans="1:16" x14ac:dyDescent="0.3">
      <c r="A1456" s="2" t="str">
        <f>TRIM(Table1[[#This Row],[Numer_FV]])</f>
        <v>FV/CENFA/494604/23</v>
      </c>
      <c r="B1456" s="2" t="str">
        <f>TRIM(Table1[[#This Row],[Numer_PZ]])</f>
        <v>PZ/801454</v>
      </c>
      <c r="C1456" s="2" t="str">
        <f>TRIM(Table1[[#This Row],[Dostawca]])</f>
        <v>CentrumFarm</v>
      </c>
      <c r="D1456" s="3">
        <v>45088</v>
      </c>
      <c r="E1456" s="4" t="s">
        <v>4326</v>
      </c>
      <c r="F1456" s="2" t="str">
        <f>TRIM(Table1[[#This Row],[Status]])</f>
        <v>Zaakceptowana</v>
      </c>
      <c r="G1456" s="2" t="str">
        <f>TRIM(Table1[[#This Row],[Typ]])</f>
        <v>Faktura VAT</v>
      </c>
      <c r="H1456" s="2" t="str">
        <f>TRIM(Table1[[#This Row],[Magazyn]])</f>
        <v>Apteka Szpitalna</v>
      </c>
      <c r="I1456" s="2" t="str">
        <f>TRIM(Table1[[#This Row],[Umowa]])</f>
        <v>UM-CEN-02</v>
      </c>
      <c r="J1456" s="2" t="b">
        <f>ISTEXT(Table14[[#This Row],[Data_Wystawienia]])</f>
        <v>0</v>
      </c>
      <c r="K1456" s="2">
        <f>VALUE(SUBSTITUTE(Table14[[#This Row],[Wartość]],".",","))</f>
        <v>12183.44</v>
      </c>
      <c r="L14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6" s="2" t="str">
        <f>IF(Table14[[#This Row],[Umowa]]="","Poza umową","Z umowy")</f>
        <v>Z umowy</v>
      </c>
      <c r="N1456" s="2">
        <f>YEAR(Table14[[#This Row],[Data_Wystawienia]])</f>
        <v>2023</v>
      </c>
      <c r="O1456" s="2" t="str">
        <f>TEXT(Table14[[#This Row],[Data_Wystawienia]],"rrrr-mm")</f>
        <v>2023-06</v>
      </c>
      <c r="P1456" s="2">
        <v>1</v>
      </c>
    </row>
    <row r="1457" spans="1:16" x14ac:dyDescent="0.3">
      <c r="A1457" s="2" t="str">
        <f>TRIM(Table1[[#This Row],[Numer_FV]])</f>
        <v>FV/4153/NOVA/23</v>
      </c>
      <c r="B1457" s="2" t="str">
        <f>TRIM(Table1[[#This Row],[Numer_PZ]])</f>
        <v>PZ/801455</v>
      </c>
      <c r="C1457" s="2" t="str">
        <f>TRIM(Table1[[#This Row],[Dostawca]])</f>
        <v>NovaLek</v>
      </c>
      <c r="D1457" s="3">
        <v>45088</v>
      </c>
      <c r="E1457" s="4" t="s">
        <v>4329</v>
      </c>
      <c r="F1457" s="2" t="str">
        <f>TRIM(Table1[[#This Row],[Status]])</f>
        <v>Zaakceptowana</v>
      </c>
      <c r="G1457" s="2" t="str">
        <f>TRIM(Table1[[#This Row],[Typ]])</f>
        <v>Faktura VAT</v>
      </c>
      <c r="H1457" s="2" t="str">
        <f>TRIM(Table1[[#This Row],[Magazyn]])</f>
        <v>Apteka Szpitalna</v>
      </c>
      <c r="I1457" s="2" t="str">
        <f>TRIM(Table1[[#This Row],[Umowa]])</f>
        <v/>
      </c>
      <c r="J1457" s="2" t="b">
        <f>ISTEXT(Table14[[#This Row],[Data_Wystawienia]])</f>
        <v>0</v>
      </c>
      <c r="K1457" s="2">
        <f>VALUE(SUBSTITUTE(Table14[[#This Row],[Wartość]],".",","))</f>
        <v>11604.11</v>
      </c>
      <c r="L14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7" s="2" t="str">
        <f>IF(Table14[[#This Row],[Umowa]]="","Poza umową","Z umowy")</f>
        <v>Poza umową</v>
      </c>
      <c r="N1457" s="2">
        <f>YEAR(Table14[[#This Row],[Data_Wystawienia]])</f>
        <v>2023</v>
      </c>
      <c r="O1457" s="2" t="str">
        <f>TEXT(Table14[[#This Row],[Data_Wystawienia]],"rrrr-mm")</f>
        <v>2023-06</v>
      </c>
      <c r="P1457" s="2">
        <v>1</v>
      </c>
    </row>
    <row r="1458" spans="1:16" x14ac:dyDescent="0.3">
      <c r="A1458" s="2" t="str">
        <f>TRIM(Table1[[#This Row],[Numer_FV]])</f>
        <v>FV/14/PP/9153/23</v>
      </c>
      <c r="B1458" s="2" t="str">
        <f>TRIM(Table1[[#This Row],[Numer_PZ]])</f>
        <v>PZ/801456</v>
      </c>
      <c r="C1458" s="2" t="str">
        <f>TRIM(Table1[[#This Row],[Dostawca]])</f>
        <v>PharmaPlus</v>
      </c>
      <c r="D1458" s="3">
        <v>45089</v>
      </c>
      <c r="E1458" s="4" t="s">
        <v>4332</v>
      </c>
      <c r="F1458" s="2" t="str">
        <f>TRIM(Table1[[#This Row],[Status]])</f>
        <v>Zaakceptowana</v>
      </c>
      <c r="G1458" s="2" t="str">
        <f>TRIM(Table1[[#This Row],[Typ]])</f>
        <v>Faktura VAT</v>
      </c>
      <c r="H1458" s="2" t="str">
        <f>TRIM(Table1[[#This Row],[Magazyn]])</f>
        <v>Apteka Szpitalna</v>
      </c>
      <c r="I1458" s="2" t="str">
        <f>TRIM(Table1[[#This Row],[Umowa]])</f>
        <v>UM-PHA-02</v>
      </c>
      <c r="J1458" s="2" t="b">
        <f>ISTEXT(Table14[[#This Row],[Data_Wystawienia]])</f>
        <v>0</v>
      </c>
      <c r="K1458" s="2">
        <f>VALUE(SUBSTITUTE(Table14[[#This Row],[Wartość]],".",","))</f>
        <v>16773.38</v>
      </c>
      <c r="L14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8" s="2" t="str">
        <f>IF(Table14[[#This Row],[Umowa]]="","Poza umową","Z umowy")</f>
        <v>Z umowy</v>
      </c>
      <c r="N1458" s="2">
        <f>YEAR(Table14[[#This Row],[Data_Wystawienia]])</f>
        <v>2023</v>
      </c>
      <c r="O1458" s="2" t="str">
        <f>TEXT(Table14[[#This Row],[Data_Wystawienia]],"rrrr-mm")</f>
        <v>2023-06</v>
      </c>
      <c r="P1458" s="2">
        <v>1</v>
      </c>
    </row>
    <row r="1459" spans="1:16" x14ac:dyDescent="0.3">
      <c r="A1459" s="2" t="str">
        <f>TRIM(Table1[[#This Row],[Numer_FV]])</f>
        <v>FV/28075/VDb/2023</v>
      </c>
      <c r="B1459" s="2" t="str">
        <f>TRIM(Table1[[#This Row],[Numer_PZ]])</f>
        <v>PZ/801457</v>
      </c>
      <c r="C1459" s="2" t="str">
        <f>TRIM(Table1[[#This Row],[Dostawca]])</f>
        <v>VitaDistrib</v>
      </c>
      <c r="D1459" s="3">
        <v>45090</v>
      </c>
      <c r="E1459" s="4" t="s">
        <v>4335</v>
      </c>
      <c r="F1459" s="2" t="str">
        <f>TRIM(Table1[[#This Row],[Status]])</f>
        <v>Zaakceptowana</v>
      </c>
      <c r="G1459" s="2" t="str">
        <f>TRIM(Table1[[#This Row],[Typ]])</f>
        <v>Faktura VAT</v>
      </c>
      <c r="H1459" s="2" t="str">
        <f>TRIM(Table1[[#This Row],[Magazyn]])</f>
        <v>Apteka Szpitalna</v>
      </c>
      <c r="I1459" s="2" t="str">
        <f>TRIM(Table1[[#This Row],[Umowa]])</f>
        <v>UM-VIT-01</v>
      </c>
      <c r="J1459" s="2" t="b">
        <f>ISTEXT(Table14[[#This Row],[Data_Wystawienia]])</f>
        <v>0</v>
      </c>
      <c r="K1459" s="2">
        <f>VALUE(SUBSTITUTE(Table14[[#This Row],[Wartość]],".",","))</f>
        <v>7090.82</v>
      </c>
      <c r="L14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59" s="2" t="str">
        <f>IF(Table14[[#This Row],[Umowa]]="","Poza umową","Z umowy")</f>
        <v>Z umowy</v>
      </c>
      <c r="N1459" s="2">
        <f>YEAR(Table14[[#This Row],[Data_Wystawienia]])</f>
        <v>2023</v>
      </c>
      <c r="O1459" s="2" t="str">
        <f>TEXT(Table14[[#This Row],[Data_Wystawienia]],"rrrr-mm")</f>
        <v>2023-06</v>
      </c>
      <c r="P1459" s="2">
        <v>1</v>
      </c>
    </row>
    <row r="1460" spans="1:16" x14ac:dyDescent="0.3">
      <c r="A1460" s="2" t="str">
        <f>TRIM(Table1[[#This Row],[Numer_FV]])</f>
        <v>FV/14/PP/2613/23</v>
      </c>
      <c r="B1460" s="2" t="str">
        <f>TRIM(Table1[[#This Row],[Numer_PZ]])</f>
        <v>PZ/801458</v>
      </c>
      <c r="C1460" s="2" t="str">
        <f>TRIM(Table1[[#This Row],[Dostawca]])</f>
        <v>PharmaPlus</v>
      </c>
      <c r="D1460" s="3">
        <v>45090</v>
      </c>
      <c r="E1460" s="4" t="s">
        <v>4338</v>
      </c>
      <c r="F1460" s="2" t="str">
        <f>TRIM(Table1[[#This Row],[Status]])</f>
        <v>Zaakceptowana</v>
      </c>
      <c r="G1460" s="2" t="str">
        <f>TRIM(Table1[[#This Row],[Typ]])</f>
        <v>Faktura VAT</v>
      </c>
      <c r="H1460" s="2" t="str">
        <f>TRIM(Table1[[#This Row],[Magazyn]])</f>
        <v>Apteka Szpitalna</v>
      </c>
      <c r="I1460" s="2" t="str">
        <f>TRIM(Table1[[#This Row],[Umowa]])</f>
        <v>UM-PHA-02</v>
      </c>
      <c r="J1460" s="2" t="b">
        <f>ISTEXT(Table14[[#This Row],[Data_Wystawienia]])</f>
        <v>0</v>
      </c>
      <c r="K1460" s="2">
        <f>VALUE(SUBSTITUTE(Table14[[#This Row],[Wartość]],".",","))</f>
        <v>14461.7</v>
      </c>
      <c r="L14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0" s="2" t="str">
        <f>IF(Table14[[#This Row],[Umowa]]="","Poza umową","Z umowy")</f>
        <v>Z umowy</v>
      </c>
      <c r="N1460" s="2">
        <f>YEAR(Table14[[#This Row],[Data_Wystawienia]])</f>
        <v>2023</v>
      </c>
      <c r="O1460" s="2" t="str">
        <f>TEXT(Table14[[#This Row],[Data_Wystawienia]],"rrrr-mm")</f>
        <v>2023-06</v>
      </c>
      <c r="P1460" s="2">
        <v>1</v>
      </c>
    </row>
    <row r="1461" spans="1:16" x14ac:dyDescent="0.3">
      <c r="A1461" s="2" t="str">
        <f>TRIM(Table1[[#This Row],[Numer_FV]])</f>
        <v>FV/8825HM/23</v>
      </c>
      <c r="B1461" s="2" t="str">
        <f>TRIM(Table1[[#This Row],[Numer_PZ]])</f>
        <v>PZ/801459</v>
      </c>
      <c r="C1461" s="2" t="str">
        <f>TRIM(Table1[[#This Row],[Dostawca]])</f>
        <v>HurtMedix</v>
      </c>
      <c r="D1461" s="3">
        <v>45090</v>
      </c>
      <c r="E1461" s="4" t="s">
        <v>4341</v>
      </c>
      <c r="F1461" s="2" t="str">
        <f>TRIM(Table1[[#This Row],[Status]])</f>
        <v>Zaakceptowana</v>
      </c>
      <c r="G1461" s="2" t="str">
        <f>TRIM(Table1[[#This Row],[Typ]])</f>
        <v>Faktura VAT</v>
      </c>
      <c r="H1461" s="2" t="str">
        <f>TRIM(Table1[[#This Row],[Magazyn]])</f>
        <v>Apteka Szpitalna</v>
      </c>
      <c r="I1461" s="2" t="str">
        <f>TRIM(Table1[[#This Row],[Umowa]])</f>
        <v>UM-HUR-03</v>
      </c>
      <c r="J1461" s="2" t="b">
        <f>ISTEXT(Table14[[#This Row],[Data_Wystawienia]])</f>
        <v>0</v>
      </c>
      <c r="K1461" s="2">
        <f>VALUE(SUBSTITUTE(Table14[[#This Row],[Wartość]],".",","))</f>
        <v>9276.92</v>
      </c>
      <c r="L14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1" s="2" t="str">
        <f>IF(Table14[[#This Row],[Umowa]]="","Poza umową","Z umowy")</f>
        <v>Z umowy</v>
      </c>
      <c r="N1461" s="2">
        <f>YEAR(Table14[[#This Row],[Data_Wystawienia]])</f>
        <v>2023</v>
      </c>
      <c r="O1461" s="2" t="str">
        <f>TEXT(Table14[[#This Row],[Data_Wystawienia]],"rrrr-mm")</f>
        <v>2023-06</v>
      </c>
      <c r="P1461" s="2">
        <v>1</v>
      </c>
    </row>
    <row r="1462" spans="1:16" x14ac:dyDescent="0.3">
      <c r="A1462" s="2" t="str">
        <f>TRIM(Table1[[#This Row],[Numer_FV]])</f>
        <v>FV/77/PP/9746/23</v>
      </c>
      <c r="B1462" s="2" t="str">
        <f>TRIM(Table1[[#This Row],[Numer_PZ]])</f>
        <v>PZ/801460</v>
      </c>
      <c r="C1462" s="2" t="str">
        <f>TRIM(Table1[[#This Row],[Dostawca]])</f>
        <v>PharmaPlus</v>
      </c>
      <c r="D1462" s="3">
        <v>45090</v>
      </c>
      <c r="E1462" s="4" t="s">
        <v>4344</v>
      </c>
      <c r="F1462" s="2" t="str">
        <f>TRIM(Table1[[#This Row],[Status]])</f>
        <v>Zaakceptowana</v>
      </c>
      <c r="G1462" s="2" t="str">
        <f>TRIM(Table1[[#This Row],[Typ]])</f>
        <v>Faktura VAT</v>
      </c>
      <c r="H1462" s="2" t="str">
        <f>TRIM(Table1[[#This Row],[Magazyn]])</f>
        <v>Apteka Szpitalna</v>
      </c>
      <c r="I1462" s="2" t="str">
        <f>TRIM(Table1[[#This Row],[Umowa]])</f>
        <v>UM-PHA-02</v>
      </c>
      <c r="J1462" s="2" t="b">
        <f>ISTEXT(Table14[[#This Row],[Data_Wystawienia]])</f>
        <v>0</v>
      </c>
      <c r="K1462" s="2">
        <f>VALUE(SUBSTITUTE(Table14[[#This Row],[Wartość]],".",","))</f>
        <v>7694.11</v>
      </c>
      <c r="L14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2" s="2" t="str">
        <f>IF(Table14[[#This Row],[Umowa]]="","Poza umową","Z umowy")</f>
        <v>Z umowy</v>
      </c>
      <c r="N1462" s="2">
        <f>YEAR(Table14[[#This Row],[Data_Wystawienia]])</f>
        <v>2023</v>
      </c>
      <c r="O1462" s="2" t="str">
        <f>TEXT(Table14[[#This Row],[Data_Wystawienia]],"rrrr-mm")</f>
        <v>2023-06</v>
      </c>
      <c r="P1462" s="2">
        <v>1</v>
      </c>
    </row>
    <row r="1463" spans="1:16" x14ac:dyDescent="0.3">
      <c r="A1463" s="2" t="str">
        <f>TRIM(Table1[[#This Row],[Numer_FV]])</f>
        <v>FV/27/SAL/23</v>
      </c>
      <c r="B1463" s="2" t="str">
        <f>TRIM(Table1[[#This Row],[Numer_PZ]])</f>
        <v>PZ/801461</v>
      </c>
      <c r="C1463" s="2" t="str">
        <f>TRIM(Table1[[#This Row],[Dostawca]])</f>
        <v>SalusHurt</v>
      </c>
      <c r="D1463" s="3">
        <v>45090</v>
      </c>
      <c r="E1463" s="4" t="s">
        <v>4346</v>
      </c>
      <c r="F1463" s="2" t="str">
        <f>TRIM(Table1[[#This Row],[Status]])</f>
        <v>Zaakceptowana</v>
      </c>
      <c r="G1463" s="2" t="str">
        <f>TRIM(Table1[[#This Row],[Typ]])</f>
        <v>Faktura VAT</v>
      </c>
      <c r="H1463" s="2" t="str">
        <f>TRIM(Table1[[#This Row],[Magazyn]])</f>
        <v>Apteka Szpitalna</v>
      </c>
      <c r="I1463" s="2" t="str">
        <f>TRIM(Table1[[#This Row],[Umowa]])</f>
        <v>UM-SAL-02</v>
      </c>
      <c r="J1463" s="2" t="b">
        <f>ISTEXT(Table14[[#This Row],[Data_Wystawienia]])</f>
        <v>0</v>
      </c>
      <c r="K1463" s="2">
        <f>VALUE(SUBSTITUTE(Table14[[#This Row],[Wartość]],".",","))</f>
        <v>17096.45</v>
      </c>
      <c r="L14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3" s="2" t="str">
        <f>IF(Table14[[#This Row],[Umowa]]="","Poza umową","Z umowy")</f>
        <v>Z umowy</v>
      </c>
      <c r="N1463" s="2">
        <f>YEAR(Table14[[#This Row],[Data_Wystawienia]])</f>
        <v>2023</v>
      </c>
      <c r="O1463" s="2" t="str">
        <f>TEXT(Table14[[#This Row],[Data_Wystawienia]],"rrrr-mm")</f>
        <v>2023-06</v>
      </c>
      <c r="P1463" s="2">
        <v>1</v>
      </c>
    </row>
    <row r="1464" spans="1:16" x14ac:dyDescent="0.3">
      <c r="A1464" s="2" t="str">
        <f>TRIM(Table1[[#This Row],[Numer_FV]])</f>
        <v>FV/POL/33274/2023</v>
      </c>
      <c r="B1464" s="2" t="str">
        <f>TRIM(Table1[[#This Row],[Numer_PZ]])</f>
        <v>PZ/801462</v>
      </c>
      <c r="C1464" s="2" t="str">
        <f>TRIM(Table1[[#This Row],[Dostawca]])</f>
        <v>Polmedica</v>
      </c>
      <c r="D1464" s="3">
        <v>45090</v>
      </c>
      <c r="E1464" s="4" t="s">
        <v>4349</v>
      </c>
      <c r="F1464" s="2" t="str">
        <f>TRIM(Table1[[#This Row],[Status]])</f>
        <v>Zaakceptowana</v>
      </c>
      <c r="G1464" s="2" t="str">
        <f>TRIM(Table1[[#This Row],[Typ]])</f>
        <v>Faktura VAT</v>
      </c>
      <c r="H1464" s="2" t="str">
        <f>TRIM(Table1[[#This Row],[Magazyn]])</f>
        <v>Apteka Szpitalna</v>
      </c>
      <c r="I1464" s="2" t="str">
        <f>TRIM(Table1[[#This Row],[Umowa]])</f>
        <v>UM-POL-01</v>
      </c>
      <c r="J1464" s="2" t="b">
        <f>ISTEXT(Table14[[#This Row],[Data_Wystawienia]])</f>
        <v>0</v>
      </c>
      <c r="K1464" s="2">
        <f>VALUE(SUBSTITUTE(Table14[[#This Row],[Wartość]],".",","))</f>
        <v>14690.58</v>
      </c>
      <c r="L14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4" s="2" t="str">
        <f>IF(Table14[[#This Row],[Umowa]]="","Poza umową","Z umowy")</f>
        <v>Z umowy</v>
      </c>
      <c r="N1464" s="2">
        <f>YEAR(Table14[[#This Row],[Data_Wystawienia]])</f>
        <v>2023</v>
      </c>
      <c r="O1464" s="2" t="str">
        <f>TEXT(Table14[[#This Row],[Data_Wystawienia]],"rrrr-mm")</f>
        <v>2023-06</v>
      </c>
      <c r="P1464" s="2">
        <v>1</v>
      </c>
    </row>
    <row r="1465" spans="1:16" x14ac:dyDescent="0.3">
      <c r="A1465" s="2" t="str">
        <f>TRIM(Table1[[#This Row],[Numer_FV]])</f>
        <v>FV/47/SAL/23</v>
      </c>
      <c r="B1465" s="2" t="str">
        <f>TRIM(Table1[[#This Row],[Numer_PZ]])</f>
        <v>PZ/801463</v>
      </c>
      <c r="C1465" s="2" t="str">
        <f>TRIM(Table1[[#This Row],[Dostawca]])</f>
        <v>SalusHurt</v>
      </c>
      <c r="D1465" s="3">
        <v>45091</v>
      </c>
      <c r="E1465" s="4" t="s">
        <v>4352</v>
      </c>
      <c r="F1465" s="2" t="str">
        <f>TRIM(Table1[[#This Row],[Status]])</f>
        <v>Zaakceptowana</v>
      </c>
      <c r="G1465" s="2" t="str">
        <f>TRIM(Table1[[#This Row],[Typ]])</f>
        <v>Faktura VAT</v>
      </c>
      <c r="H1465" s="2" t="str">
        <f>TRIM(Table1[[#This Row],[Magazyn]])</f>
        <v>Apteka Szpitalna</v>
      </c>
      <c r="I1465" s="2" t="str">
        <f>TRIM(Table1[[#This Row],[Umowa]])</f>
        <v>UM-SAL-01</v>
      </c>
      <c r="J1465" s="2" t="b">
        <f>ISTEXT(Table14[[#This Row],[Data_Wystawienia]])</f>
        <v>0</v>
      </c>
      <c r="K1465" s="2">
        <f>VALUE(SUBSTITUTE(Table14[[#This Row],[Wartość]],".",","))</f>
        <v>7617.43</v>
      </c>
      <c r="L14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5" s="2" t="str">
        <f>IF(Table14[[#This Row],[Umowa]]="","Poza umową","Z umowy")</f>
        <v>Z umowy</v>
      </c>
      <c r="N1465" s="2">
        <f>YEAR(Table14[[#This Row],[Data_Wystawienia]])</f>
        <v>2023</v>
      </c>
      <c r="O1465" s="2" t="str">
        <f>TEXT(Table14[[#This Row],[Data_Wystawienia]],"rrrr-mm")</f>
        <v>2023-06</v>
      </c>
      <c r="P1465" s="2">
        <v>1</v>
      </c>
    </row>
    <row r="1466" spans="1:16" x14ac:dyDescent="0.3">
      <c r="A1466" s="2" t="str">
        <f>TRIM(Table1[[#This Row],[Numer_FV]])</f>
        <v>FV/78/SAL/23</v>
      </c>
      <c r="B1466" s="2" t="str">
        <f>TRIM(Table1[[#This Row],[Numer_PZ]])</f>
        <v>PZ/801464</v>
      </c>
      <c r="C1466" s="2" t="str">
        <f>TRIM(Table1[[#This Row],[Dostawca]])</f>
        <v>SalusHurt</v>
      </c>
      <c r="D1466" s="3">
        <v>45091</v>
      </c>
      <c r="E1466" s="4" t="s">
        <v>4355</v>
      </c>
      <c r="F1466" s="2" t="str">
        <f>TRIM(Table1[[#This Row],[Status]])</f>
        <v>Zaakceptowana</v>
      </c>
      <c r="G1466" s="2" t="str">
        <f>TRIM(Table1[[#This Row],[Typ]])</f>
        <v>Faktura VAT</v>
      </c>
      <c r="H1466" s="2" t="str">
        <f>TRIM(Table1[[#This Row],[Magazyn]])</f>
        <v>Apteka Szpitalna</v>
      </c>
      <c r="I1466" s="2" t="str">
        <f>TRIM(Table1[[#This Row],[Umowa]])</f>
        <v>UM-SAL-01</v>
      </c>
      <c r="J1466" s="2" t="b">
        <f>ISTEXT(Table14[[#This Row],[Data_Wystawienia]])</f>
        <v>0</v>
      </c>
      <c r="K1466" s="2">
        <f>VALUE(SUBSTITUTE(Table14[[#This Row],[Wartość]],".",","))</f>
        <v>7698.08</v>
      </c>
      <c r="L14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6" s="2" t="str">
        <f>IF(Table14[[#This Row],[Umowa]]="","Poza umową","Z umowy")</f>
        <v>Z umowy</v>
      </c>
      <c r="N1466" s="2">
        <f>YEAR(Table14[[#This Row],[Data_Wystawienia]])</f>
        <v>2023</v>
      </c>
      <c r="O1466" s="2" t="str">
        <f>TEXT(Table14[[#This Row],[Data_Wystawienia]],"rrrr-mm")</f>
        <v>2023-06</v>
      </c>
      <c r="P1466" s="2">
        <v>1</v>
      </c>
    </row>
    <row r="1467" spans="1:16" x14ac:dyDescent="0.3">
      <c r="A1467" s="2" t="str">
        <f>TRIM(Table1[[#This Row],[Numer_FV]])</f>
        <v>FV/POL/99005/2023</v>
      </c>
      <c r="B1467" s="2" t="str">
        <f>TRIM(Table1[[#This Row],[Numer_PZ]])</f>
        <v>PZ/801465</v>
      </c>
      <c r="C1467" s="2" t="str">
        <f>TRIM(Table1[[#This Row],[Dostawca]])</f>
        <v>Polmedica</v>
      </c>
      <c r="D1467" s="3">
        <v>45092</v>
      </c>
      <c r="E1467" s="4" t="s">
        <v>4358</v>
      </c>
      <c r="F1467" s="2" t="str">
        <f>TRIM(Table1[[#This Row],[Status]])</f>
        <v>Zaakceptowana</v>
      </c>
      <c r="G1467" s="2" t="str">
        <f>TRIM(Table1[[#This Row],[Typ]])</f>
        <v>Faktura VAT</v>
      </c>
      <c r="H1467" s="2" t="str">
        <f>TRIM(Table1[[#This Row],[Magazyn]])</f>
        <v>Apteka Szpitalna</v>
      </c>
      <c r="I1467" s="2" t="str">
        <f>TRIM(Table1[[#This Row],[Umowa]])</f>
        <v/>
      </c>
      <c r="J1467" s="2" t="b">
        <f>ISTEXT(Table14[[#This Row],[Data_Wystawienia]])</f>
        <v>0</v>
      </c>
      <c r="K1467" s="2">
        <f>VALUE(SUBSTITUTE(Table14[[#This Row],[Wartość]],".",","))</f>
        <v>15484.69</v>
      </c>
      <c r="L14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7" s="2" t="str">
        <f>IF(Table14[[#This Row],[Umowa]]="","Poza umową","Z umowy")</f>
        <v>Poza umową</v>
      </c>
      <c r="N1467" s="2">
        <f>YEAR(Table14[[#This Row],[Data_Wystawienia]])</f>
        <v>2023</v>
      </c>
      <c r="O1467" s="2" t="str">
        <f>TEXT(Table14[[#This Row],[Data_Wystawienia]],"rrrr-mm")</f>
        <v>2023-06</v>
      </c>
      <c r="P1467" s="2">
        <v>1</v>
      </c>
    </row>
    <row r="1468" spans="1:16" x14ac:dyDescent="0.3">
      <c r="A1468" s="2" t="str">
        <f>TRIM(Table1[[#This Row],[Numer_FV]])</f>
        <v>FV/5193HM/23</v>
      </c>
      <c r="B1468" s="2" t="str">
        <f>TRIM(Table1[[#This Row],[Numer_PZ]])</f>
        <v>PZ/801466</v>
      </c>
      <c r="C1468" s="2" t="str">
        <f>TRIM(Table1[[#This Row],[Dostawca]])</f>
        <v>HurtMedix</v>
      </c>
      <c r="D1468" s="3">
        <v>45092</v>
      </c>
      <c r="E1468" s="4" t="s">
        <v>4361</v>
      </c>
      <c r="F1468" s="2" t="str">
        <f>TRIM(Table1[[#This Row],[Status]])</f>
        <v>Zaakceptowana</v>
      </c>
      <c r="G1468" s="2" t="str">
        <f>TRIM(Table1[[#This Row],[Typ]])</f>
        <v>Faktura VAT</v>
      </c>
      <c r="H1468" s="2" t="str">
        <f>TRIM(Table1[[#This Row],[Magazyn]])</f>
        <v>Apteka Szpitalna</v>
      </c>
      <c r="I1468" s="2" t="str">
        <f>TRIM(Table1[[#This Row],[Umowa]])</f>
        <v>UM-HUR-03</v>
      </c>
      <c r="J1468" s="2" t="b">
        <f>ISTEXT(Table14[[#This Row],[Data_Wystawienia]])</f>
        <v>0</v>
      </c>
      <c r="K1468" s="2">
        <f>VALUE(SUBSTITUTE(Table14[[#This Row],[Wartość]],".",","))</f>
        <v>9170.33</v>
      </c>
      <c r="L14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8" s="2" t="str">
        <f>IF(Table14[[#This Row],[Umowa]]="","Poza umową","Z umowy")</f>
        <v>Z umowy</v>
      </c>
      <c r="N1468" s="2">
        <f>YEAR(Table14[[#This Row],[Data_Wystawienia]])</f>
        <v>2023</v>
      </c>
      <c r="O1468" s="2" t="str">
        <f>TEXT(Table14[[#This Row],[Data_Wystawienia]],"rrrr-mm")</f>
        <v>2023-06</v>
      </c>
      <c r="P1468" s="2">
        <v>1</v>
      </c>
    </row>
    <row r="1469" spans="1:16" x14ac:dyDescent="0.3">
      <c r="A1469" s="2" t="str">
        <f>TRIM(Table1[[#This Row],[Numer_FV]])</f>
        <v>FV/CENFA/248352/23</v>
      </c>
      <c r="B1469" s="2" t="str">
        <f>TRIM(Table1[[#This Row],[Numer_PZ]])</f>
        <v>PZ/801467</v>
      </c>
      <c r="C1469" s="2" t="str">
        <f>TRIM(Table1[[#This Row],[Dostawca]])</f>
        <v>CentrumFarm</v>
      </c>
      <c r="D1469" s="3">
        <v>45093</v>
      </c>
      <c r="E1469" s="4" t="s">
        <v>4364</v>
      </c>
      <c r="F1469" s="2" t="str">
        <f>TRIM(Table1[[#This Row],[Status]])</f>
        <v>Zaakceptowana</v>
      </c>
      <c r="G1469" s="2" t="str">
        <f>TRIM(Table1[[#This Row],[Typ]])</f>
        <v>Faktura VAT</v>
      </c>
      <c r="H1469" s="2" t="str">
        <f>TRIM(Table1[[#This Row],[Magazyn]])</f>
        <v>Apteka Szpitalna</v>
      </c>
      <c r="I1469" s="2" t="str">
        <f>TRIM(Table1[[#This Row],[Umowa]])</f>
        <v/>
      </c>
      <c r="J1469" s="2" t="b">
        <f>ISTEXT(Table14[[#This Row],[Data_Wystawienia]])</f>
        <v>0</v>
      </c>
      <c r="K1469" s="2">
        <f>VALUE(SUBSTITUTE(Table14[[#This Row],[Wartość]],".",","))</f>
        <v>9115.08</v>
      </c>
      <c r="L14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69" s="2" t="str">
        <f>IF(Table14[[#This Row],[Umowa]]="","Poza umową","Z umowy")</f>
        <v>Poza umową</v>
      </c>
      <c r="N1469" s="2">
        <f>YEAR(Table14[[#This Row],[Data_Wystawienia]])</f>
        <v>2023</v>
      </c>
      <c r="O1469" s="2" t="str">
        <f>TEXT(Table14[[#This Row],[Data_Wystawienia]],"rrrr-mm")</f>
        <v>2023-06</v>
      </c>
      <c r="P1469" s="2">
        <v>1</v>
      </c>
    </row>
    <row r="1470" spans="1:16" x14ac:dyDescent="0.3">
      <c r="A1470" s="2" t="str">
        <f>TRIM(Table1[[#This Row],[Numer_FV]])</f>
        <v>FV/11/PP/4451/23</v>
      </c>
      <c r="B1470" s="2" t="str">
        <f>TRIM(Table1[[#This Row],[Numer_PZ]])</f>
        <v>PZ/801468</v>
      </c>
      <c r="C1470" s="2" t="str">
        <f>TRIM(Table1[[#This Row],[Dostawca]])</f>
        <v>PharmaPlus</v>
      </c>
      <c r="D1470" s="3">
        <v>45093</v>
      </c>
      <c r="E1470" s="4" t="s">
        <v>4367</v>
      </c>
      <c r="F1470" s="2" t="str">
        <f>TRIM(Table1[[#This Row],[Status]])</f>
        <v>Zaakceptowana</v>
      </c>
      <c r="G1470" s="2" t="str">
        <f>TRIM(Table1[[#This Row],[Typ]])</f>
        <v>Faktura VAT</v>
      </c>
      <c r="H1470" s="2" t="str">
        <f>TRIM(Table1[[#This Row],[Magazyn]])</f>
        <v>Apteka Szpitalna</v>
      </c>
      <c r="I1470" s="2" t="str">
        <f>TRIM(Table1[[#This Row],[Umowa]])</f>
        <v>UM-PHA-01</v>
      </c>
      <c r="J1470" s="2" t="b">
        <f>ISTEXT(Table14[[#This Row],[Data_Wystawienia]])</f>
        <v>0</v>
      </c>
      <c r="K1470" s="2">
        <f>VALUE(SUBSTITUTE(Table14[[#This Row],[Wartość]],".",","))</f>
        <v>11692.84</v>
      </c>
      <c r="L14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0" s="2" t="str">
        <f>IF(Table14[[#This Row],[Umowa]]="","Poza umową","Z umowy")</f>
        <v>Z umowy</v>
      </c>
      <c r="N1470" s="2">
        <f>YEAR(Table14[[#This Row],[Data_Wystawienia]])</f>
        <v>2023</v>
      </c>
      <c r="O1470" s="2" t="str">
        <f>TEXT(Table14[[#This Row],[Data_Wystawienia]],"rrrr-mm")</f>
        <v>2023-06</v>
      </c>
      <c r="P1470" s="2">
        <v>1</v>
      </c>
    </row>
    <row r="1471" spans="1:16" x14ac:dyDescent="0.3">
      <c r="A1471" s="2" t="str">
        <f>TRIM(Table1[[#This Row],[Numer_FV]])</f>
        <v>FV/29/SAL/23</v>
      </c>
      <c r="B1471" s="2" t="str">
        <f>TRIM(Table1[[#This Row],[Numer_PZ]])</f>
        <v>PZ/801469</v>
      </c>
      <c r="C1471" s="2" t="str">
        <f>TRIM(Table1[[#This Row],[Dostawca]])</f>
        <v>SalusHurt</v>
      </c>
      <c r="D1471" s="3">
        <v>45093</v>
      </c>
      <c r="E1471" s="4" t="s">
        <v>4370</v>
      </c>
      <c r="F1471" s="2" t="str">
        <f>TRIM(Table1[[#This Row],[Status]])</f>
        <v>Zaakceptowana</v>
      </c>
      <c r="G1471" s="2" t="str">
        <f>TRIM(Table1[[#This Row],[Typ]])</f>
        <v>Faktura VAT</v>
      </c>
      <c r="H1471" s="2" t="str">
        <f>TRIM(Table1[[#This Row],[Magazyn]])</f>
        <v>Apteka Szpitalna</v>
      </c>
      <c r="I1471" s="2" t="str">
        <f>TRIM(Table1[[#This Row],[Umowa]])</f>
        <v>UM-SAL-01</v>
      </c>
      <c r="J1471" s="2" t="b">
        <f>ISTEXT(Table14[[#This Row],[Data_Wystawienia]])</f>
        <v>0</v>
      </c>
      <c r="K1471" s="2">
        <f>VALUE(SUBSTITUTE(Table14[[#This Row],[Wartość]],".",","))</f>
        <v>3556.88</v>
      </c>
      <c r="L14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1" s="2" t="str">
        <f>IF(Table14[[#This Row],[Umowa]]="","Poza umową","Z umowy")</f>
        <v>Z umowy</v>
      </c>
      <c r="N1471" s="2">
        <f>YEAR(Table14[[#This Row],[Data_Wystawienia]])</f>
        <v>2023</v>
      </c>
      <c r="O1471" s="2" t="str">
        <f>TEXT(Table14[[#This Row],[Data_Wystawienia]],"rrrr-mm")</f>
        <v>2023-06</v>
      </c>
      <c r="P1471" s="2">
        <v>1</v>
      </c>
    </row>
    <row r="1472" spans="1:16" x14ac:dyDescent="0.3">
      <c r="A1472" s="2" t="str">
        <f>TRIM(Table1[[#This Row],[Numer_FV]])</f>
        <v>FV/70/SAL/23</v>
      </c>
      <c r="B1472" s="2" t="str">
        <f>TRIM(Table1[[#This Row],[Numer_PZ]])</f>
        <v>PZ/801470</v>
      </c>
      <c r="C1472" s="2" t="str">
        <f>TRIM(Table1[[#This Row],[Dostawca]])</f>
        <v>SalusHurt</v>
      </c>
      <c r="D1472" s="3">
        <v>45094</v>
      </c>
      <c r="E1472" s="4" t="s">
        <v>4372</v>
      </c>
      <c r="F1472" s="2" t="str">
        <f>TRIM(Table1[[#This Row],[Status]])</f>
        <v>Zaakceptowana</v>
      </c>
      <c r="G1472" s="2" t="str">
        <f>TRIM(Table1[[#This Row],[Typ]])</f>
        <v>Faktura VAT</v>
      </c>
      <c r="H1472" s="2" t="str">
        <f>TRIM(Table1[[#This Row],[Magazyn]])</f>
        <v>Apteka Szpitalna</v>
      </c>
      <c r="I1472" s="2" t="str">
        <f>TRIM(Table1[[#This Row],[Umowa]])</f>
        <v>UM-SAL-02</v>
      </c>
      <c r="J1472" s="2" t="b">
        <f>ISTEXT(Table14[[#This Row],[Data_Wystawienia]])</f>
        <v>0</v>
      </c>
      <c r="K1472" s="2">
        <f>VALUE(SUBSTITUTE(Table14[[#This Row],[Wartość]],".",","))</f>
        <v>21912.16</v>
      </c>
      <c r="L14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2" s="2" t="str">
        <f>IF(Table14[[#This Row],[Umowa]]="","Poza umową","Z umowy")</f>
        <v>Z umowy</v>
      </c>
      <c r="N1472" s="2">
        <f>YEAR(Table14[[#This Row],[Data_Wystawienia]])</f>
        <v>2023</v>
      </c>
      <c r="O1472" s="2" t="str">
        <f>TEXT(Table14[[#This Row],[Data_Wystawienia]],"rrrr-mm")</f>
        <v>2023-06</v>
      </c>
      <c r="P1472" s="2">
        <v>1</v>
      </c>
    </row>
    <row r="1473" spans="1:16" x14ac:dyDescent="0.3">
      <c r="A1473" s="2" t="str">
        <f>TRIM(Table1[[#This Row],[Numer_FV]])</f>
        <v>FV/5659/NOVA/23</v>
      </c>
      <c r="B1473" s="2" t="str">
        <f>TRIM(Table1[[#This Row],[Numer_PZ]])</f>
        <v>PZ/801471</v>
      </c>
      <c r="C1473" s="2" t="str">
        <f>TRIM(Table1[[#This Row],[Dostawca]])</f>
        <v>NovaLek</v>
      </c>
      <c r="D1473" s="3">
        <v>45094</v>
      </c>
      <c r="E1473" s="4" t="s">
        <v>4375</v>
      </c>
      <c r="F1473" s="2" t="str">
        <f>TRIM(Table1[[#This Row],[Status]])</f>
        <v>Zaakceptowana</v>
      </c>
      <c r="G1473" s="2" t="str">
        <f>TRIM(Table1[[#This Row],[Typ]])</f>
        <v>Faktura VAT</v>
      </c>
      <c r="H1473" s="2" t="str">
        <f>TRIM(Table1[[#This Row],[Magazyn]])</f>
        <v>Apteka Szpitalna</v>
      </c>
      <c r="I1473" s="2" t="str">
        <f>TRIM(Table1[[#This Row],[Umowa]])</f>
        <v>UM-NOV-02</v>
      </c>
      <c r="J1473" s="2" t="b">
        <f>ISTEXT(Table14[[#This Row],[Data_Wystawienia]])</f>
        <v>0</v>
      </c>
      <c r="K1473" s="2">
        <f>VALUE(SUBSTITUTE(Table14[[#This Row],[Wartość]],".",","))</f>
        <v>19491</v>
      </c>
      <c r="L14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3" s="2" t="str">
        <f>IF(Table14[[#This Row],[Umowa]]="","Poza umową","Z umowy")</f>
        <v>Z umowy</v>
      </c>
      <c r="N1473" s="2">
        <f>YEAR(Table14[[#This Row],[Data_Wystawienia]])</f>
        <v>2023</v>
      </c>
      <c r="O1473" s="2" t="str">
        <f>TEXT(Table14[[#This Row],[Data_Wystawienia]],"rrrr-mm")</f>
        <v>2023-06</v>
      </c>
      <c r="P1473" s="2">
        <v>1</v>
      </c>
    </row>
    <row r="1474" spans="1:16" x14ac:dyDescent="0.3">
      <c r="A1474" s="2" t="str">
        <f>TRIM(Table1[[#This Row],[Numer_FV]])</f>
        <v>FV/7279HM/23</v>
      </c>
      <c r="B1474" s="2" t="str">
        <f>TRIM(Table1[[#This Row],[Numer_PZ]])</f>
        <v>PZ/801472</v>
      </c>
      <c r="C1474" s="2" t="str">
        <f>TRIM(Table1[[#This Row],[Dostawca]])</f>
        <v>HurtMedix</v>
      </c>
      <c r="D1474" s="3">
        <v>45094</v>
      </c>
      <c r="E1474" s="4" t="s">
        <v>4378</v>
      </c>
      <c r="F1474" s="2" t="str">
        <f>TRIM(Table1[[#This Row],[Status]])</f>
        <v>Zaakceptowana</v>
      </c>
      <c r="G1474" s="2" t="str">
        <f>TRIM(Table1[[#This Row],[Typ]])</f>
        <v>Faktura VAT</v>
      </c>
      <c r="H1474" s="2" t="str">
        <f>TRIM(Table1[[#This Row],[Magazyn]])</f>
        <v>Apteka Szpitalna</v>
      </c>
      <c r="I1474" s="2" t="str">
        <f>TRIM(Table1[[#This Row],[Umowa]])</f>
        <v>UM-HUR-01</v>
      </c>
      <c r="J1474" s="2" t="b">
        <f>ISTEXT(Table14[[#This Row],[Data_Wystawienia]])</f>
        <v>0</v>
      </c>
      <c r="K1474" s="2">
        <f>VALUE(SUBSTITUTE(Table14[[#This Row],[Wartość]],".",","))</f>
        <v>2775.14</v>
      </c>
      <c r="L14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4" s="2" t="str">
        <f>IF(Table14[[#This Row],[Umowa]]="","Poza umową","Z umowy")</f>
        <v>Z umowy</v>
      </c>
      <c r="N1474" s="2">
        <f>YEAR(Table14[[#This Row],[Data_Wystawienia]])</f>
        <v>2023</v>
      </c>
      <c r="O1474" s="2" t="str">
        <f>TEXT(Table14[[#This Row],[Data_Wystawienia]],"rrrr-mm")</f>
        <v>2023-06</v>
      </c>
      <c r="P1474" s="2">
        <v>1</v>
      </c>
    </row>
    <row r="1475" spans="1:16" x14ac:dyDescent="0.3">
      <c r="A1475" s="2" t="str">
        <f>TRIM(Table1[[#This Row],[Numer_FV]])</f>
        <v>FV/4449/NOVA/23</v>
      </c>
      <c r="B1475" s="2" t="str">
        <f>TRIM(Table1[[#This Row],[Numer_PZ]])</f>
        <v>PZ/801473</v>
      </c>
      <c r="C1475" s="2" t="str">
        <f>TRIM(Table1[[#This Row],[Dostawca]])</f>
        <v>NovaLek</v>
      </c>
      <c r="D1475" s="3">
        <v>45096</v>
      </c>
      <c r="E1475" s="4" t="s">
        <v>4381</v>
      </c>
      <c r="F1475" s="2" t="str">
        <f>TRIM(Table1[[#This Row],[Status]])</f>
        <v>Zaakceptowana</v>
      </c>
      <c r="G1475" s="2" t="str">
        <f>TRIM(Table1[[#This Row],[Typ]])</f>
        <v>Faktura VAT</v>
      </c>
      <c r="H1475" s="2" t="str">
        <f>TRIM(Table1[[#This Row],[Magazyn]])</f>
        <v>Apteka Szpitalna</v>
      </c>
      <c r="I1475" s="2" t="str">
        <f>TRIM(Table1[[#This Row],[Umowa]])</f>
        <v>UM-NOV-02</v>
      </c>
      <c r="J1475" s="2" t="b">
        <f>ISTEXT(Table14[[#This Row],[Data_Wystawienia]])</f>
        <v>0</v>
      </c>
      <c r="K1475" s="2">
        <f>VALUE(SUBSTITUTE(Table14[[#This Row],[Wartość]],".",","))</f>
        <v>17720.27</v>
      </c>
      <c r="L14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5" s="2" t="str">
        <f>IF(Table14[[#This Row],[Umowa]]="","Poza umową","Z umowy")</f>
        <v>Z umowy</v>
      </c>
      <c r="N1475" s="2">
        <f>YEAR(Table14[[#This Row],[Data_Wystawienia]])</f>
        <v>2023</v>
      </c>
      <c r="O1475" s="2" t="str">
        <f>TEXT(Table14[[#This Row],[Data_Wystawienia]],"rrrr-mm")</f>
        <v>2023-06</v>
      </c>
      <c r="P1475" s="2">
        <v>1</v>
      </c>
    </row>
    <row r="1476" spans="1:16" x14ac:dyDescent="0.3">
      <c r="A1476" s="2" t="str">
        <f>TRIM(Table1[[#This Row],[Numer_FV]])</f>
        <v>FV/POL/15366/2023</v>
      </c>
      <c r="B1476" s="2" t="str">
        <f>TRIM(Table1[[#This Row],[Numer_PZ]])</f>
        <v>PZ/801474</v>
      </c>
      <c r="C1476" s="2" t="str">
        <f>TRIM(Table1[[#This Row],[Dostawca]])</f>
        <v>Polmedica</v>
      </c>
      <c r="D1476" s="3">
        <v>45096</v>
      </c>
      <c r="E1476" s="4" t="s">
        <v>4384</v>
      </c>
      <c r="F1476" s="2" t="str">
        <f>TRIM(Table1[[#This Row],[Status]])</f>
        <v>Zaakceptowana</v>
      </c>
      <c r="G1476" s="2" t="str">
        <f>TRIM(Table1[[#This Row],[Typ]])</f>
        <v>Faktura VAT</v>
      </c>
      <c r="H1476" s="2" t="str">
        <f>TRIM(Table1[[#This Row],[Magazyn]])</f>
        <v>Apteka Szpitalna</v>
      </c>
      <c r="I1476" s="2" t="str">
        <f>TRIM(Table1[[#This Row],[Umowa]])</f>
        <v>UM-POL-01</v>
      </c>
      <c r="J1476" s="2" t="b">
        <f>ISTEXT(Table14[[#This Row],[Data_Wystawienia]])</f>
        <v>0</v>
      </c>
      <c r="K1476" s="2">
        <f>VALUE(SUBSTITUTE(Table14[[#This Row],[Wartość]],".",","))</f>
        <v>16909.810000000001</v>
      </c>
      <c r="L14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6" s="2" t="str">
        <f>IF(Table14[[#This Row],[Umowa]]="","Poza umową","Z umowy")</f>
        <v>Z umowy</v>
      </c>
      <c r="N1476" s="2">
        <f>YEAR(Table14[[#This Row],[Data_Wystawienia]])</f>
        <v>2023</v>
      </c>
      <c r="O1476" s="2" t="str">
        <f>TEXT(Table14[[#This Row],[Data_Wystawienia]],"rrrr-mm")</f>
        <v>2023-06</v>
      </c>
      <c r="P1476" s="2">
        <v>1</v>
      </c>
    </row>
    <row r="1477" spans="1:16" x14ac:dyDescent="0.3">
      <c r="A1477" s="2" t="str">
        <f>TRIM(Table1[[#This Row],[Numer_FV]])</f>
        <v>FV/8400/NOVA/23</v>
      </c>
      <c r="B1477" s="2" t="str">
        <f>TRIM(Table1[[#This Row],[Numer_PZ]])</f>
        <v>PZ/801475</v>
      </c>
      <c r="C1477" s="2" t="str">
        <f>TRIM(Table1[[#This Row],[Dostawca]])</f>
        <v>NovaLek</v>
      </c>
      <c r="D1477" s="3">
        <v>45097</v>
      </c>
      <c r="E1477" s="4" t="s">
        <v>4387</v>
      </c>
      <c r="F1477" s="2" t="str">
        <f>TRIM(Table1[[#This Row],[Status]])</f>
        <v>Zaakceptowana</v>
      </c>
      <c r="G1477" s="2" t="str">
        <f>TRIM(Table1[[#This Row],[Typ]])</f>
        <v>Faktura VAT</v>
      </c>
      <c r="H1477" s="2" t="str">
        <f>TRIM(Table1[[#This Row],[Magazyn]])</f>
        <v>Apteka Szpitalna</v>
      </c>
      <c r="I1477" s="2" t="str">
        <f>TRIM(Table1[[#This Row],[Umowa]])</f>
        <v>UM-NOV-03</v>
      </c>
      <c r="J1477" s="2" t="b">
        <f>ISTEXT(Table14[[#This Row],[Data_Wystawienia]])</f>
        <v>0</v>
      </c>
      <c r="K1477" s="2">
        <f>VALUE(SUBSTITUTE(Table14[[#This Row],[Wartość]],".",","))</f>
        <v>17428.86</v>
      </c>
      <c r="L14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7" s="2" t="str">
        <f>IF(Table14[[#This Row],[Umowa]]="","Poza umową","Z umowy")</f>
        <v>Z umowy</v>
      </c>
      <c r="N1477" s="2">
        <f>YEAR(Table14[[#This Row],[Data_Wystawienia]])</f>
        <v>2023</v>
      </c>
      <c r="O1477" s="2" t="str">
        <f>TEXT(Table14[[#This Row],[Data_Wystawienia]],"rrrr-mm")</f>
        <v>2023-06</v>
      </c>
      <c r="P1477" s="2">
        <v>1</v>
      </c>
    </row>
    <row r="1478" spans="1:16" x14ac:dyDescent="0.3">
      <c r="A1478" s="2" t="str">
        <f>TRIM(Table1[[#This Row],[Numer_FV]])</f>
        <v>FV/CENFA/468331/23</v>
      </c>
      <c r="B1478" s="2" t="str">
        <f>TRIM(Table1[[#This Row],[Numer_PZ]])</f>
        <v>PZ/801476</v>
      </c>
      <c r="C1478" s="2" t="str">
        <f>TRIM(Table1[[#This Row],[Dostawca]])</f>
        <v>CentrumFarm</v>
      </c>
      <c r="D1478" s="3">
        <v>45097</v>
      </c>
      <c r="E1478" s="4" t="s">
        <v>4390</v>
      </c>
      <c r="F1478" s="2" t="str">
        <f>TRIM(Table1[[#This Row],[Status]])</f>
        <v>Zaakceptowana</v>
      </c>
      <c r="G1478" s="2" t="str">
        <f>TRIM(Table1[[#This Row],[Typ]])</f>
        <v>Faktura VAT</v>
      </c>
      <c r="H1478" s="2" t="str">
        <f>TRIM(Table1[[#This Row],[Magazyn]])</f>
        <v>Apteka Szpitalna</v>
      </c>
      <c r="I1478" s="2" t="str">
        <f>TRIM(Table1[[#This Row],[Umowa]])</f>
        <v>UM-CEN-02</v>
      </c>
      <c r="J1478" s="2" t="b">
        <f>ISTEXT(Table14[[#This Row],[Data_Wystawienia]])</f>
        <v>0</v>
      </c>
      <c r="K1478" s="2">
        <f>VALUE(SUBSTITUTE(Table14[[#This Row],[Wartość]],".",","))</f>
        <v>6658.77</v>
      </c>
      <c r="L14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8" s="2" t="str">
        <f>IF(Table14[[#This Row],[Umowa]]="","Poza umową","Z umowy")</f>
        <v>Z umowy</v>
      </c>
      <c r="N1478" s="2">
        <f>YEAR(Table14[[#This Row],[Data_Wystawienia]])</f>
        <v>2023</v>
      </c>
      <c r="O1478" s="2" t="str">
        <f>TEXT(Table14[[#This Row],[Data_Wystawienia]],"rrrr-mm")</f>
        <v>2023-06</v>
      </c>
      <c r="P1478" s="2">
        <v>1</v>
      </c>
    </row>
    <row r="1479" spans="1:16" x14ac:dyDescent="0.3">
      <c r="A1479" s="2" t="str">
        <f>TRIM(Table1[[#This Row],[Numer_FV]])</f>
        <v>FV/18/PP/6385/23</v>
      </c>
      <c r="B1479" s="2" t="str">
        <f>TRIM(Table1[[#This Row],[Numer_PZ]])</f>
        <v>PZ/801477</v>
      </c>
      <c r="C1479" s="2" t="str">
        <f>TRIM(Table1[[#This Row],[Dostawca]])</f>
        <v>PharmaPlus</v>
      </c>
      <c r="D1479" s="3">
        <v>45097</v>
      </c>
      <c r="E1479" s="4" t="s">
        <v>4393</v>
      </c>
      <c r="F1479" s="2" t="str">
        <f>TRIM(Table1[[#This Row],[Status]])</f>
        <v>Zaakceptowana</v>
      </c>
      <c r="G1479" s="2" t="str">
        <f>TRIM(Table1[[#This Row],[Typ]])</f>
        <v>Faktura VAT</v>
      </c>
      <c r="H1479" s="2" t="str">
        <f>TRIM(Table1[[#This Row],[Magazyn]])</f>
        <v>Apteka Szpitalna</v>
      </c>
      <c r="I1479" s="2" t="str">
        <f>TRIM(Table1[[#This Row],[Umowa]])</f>
        <v/>
      </c>
      <c r="J1479" s="2" t="b">
        <f>ISTEXT(Table14[[#This Row],[Data_Wystawienia]])</f>
        <v>0</v>
      </c>
      <c r="K1479" s="2">
        <f>VALUE(SUBSTITUTE(Table14[[#This Row],[Wartość]],".",","))</f>
        <v>14236.06</v>
      </c>
      <c r="L14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79" s="2" t="str">
        <f>IF(Table14[[#This Row],[Umowa]]="","Poza umową","Z umowy")</f>
        <v>Poza umową</v>
      </c>
      <c r="N1479" s="2">
        <f>YEAR(Table14[[#This Row],[Data_Wystawienia]])</f>
        <v>2023</v>
      </c>
      <c r="O1479" s="2" t="str">
        <f>TEXT(Table14[[#This Row],[Data_Wystawienia]],"rrrr-mm")</f>
        <v>2023-06</v>
      </c>
      <c r="P1479" s="2">
        <v>1</v>
      </c>
    </row>
    <row r="1480" spans="1:16" x14ac:dyDescent="0.3">
      <c r="A1480" s="2" t="str">
        <f>TRIM(Table1[[#This Row],[Numer_FV]])</f>
        <v>FV/46/SAL/23</v>
      </c>
      <c r="B1480" s="2" t="str">
        <f>TRIM(Table1[[#This Row],[Numer_PZ]])</f>
        <v>PZ/801478</v>
      </c>
      <c r="C1480" s="2" t="str">
        <f>TRIM(Table1[[#This Row],[Dostawca]])</f>
        <v>SalusHurt</v>
      </c>
      <c r="D1480" s="3">
        <v>45097</v>
      </c>
      <c r="E1480" s="4" t="s">
        <v>4395</v>
      </c>
      <c r="F1480" s="2" t="str">
        <f>TRIM(Table1[[#This Row],[Status]])</f>
        <v>Zaakceptowana</v>
      </c>
      <c r="G1480" s="2" t="str">
        <f>TRIM(Table1[[#This Row],[Typ]])</f>
        <v>Faktura VAT</v>
      </c>
      <c r="H1480" s="2" t="str">
        <f>TRIM(Table1[[#This Row],[Magazyn]])</f>
        <v>Apteka Szpitalna</v>
      </c>
      <c r="I1480" s="2" t="str">
        <f>TRIM(Table1[[#This Row],[Umowa]])</f>
        <v/>
      </c>
      <c r="J1480" s="2" t="b">
        <f>ISTEXT(Table14[[#This Row],[Data_Wystawienia]])</f>
        <v>0</v>
      </c>
      <c r="K1480" s="2">
        <f>VALUE(SUBSTITUTE(Table14[[#This Row],[Wartość]],".",","))</f>
        <v>13746.15</v>
      </c>
      <c r="L14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0" s="2" t="str">
        <f>IF(Table14[[#This Row],[Umowa]]="","Poza umową","Z umowy")</f>
        <v>Poza umową</v>
      </c>
      <c r="N1480" s="2">
        <f>YEAR(Table14[[#This Row],[Data_Wystawienia]])</f>
        <v>2023</v>
      </c>
      <c r="O1480" s="2" t="str">
        <f>TEXT(Table14[[#This Row],[Data_Wystawienia]],"rrrr-mm")</f>
        <v>2023-06</v>
      </c>
      <c r="P1480" s="2">
        <v>1</v>
      </c>
    </row>
    <row r="1481" spans="1:16" x14ac:dyDescent="0.3">
      <c r="A1481" s="2" t="str">
        <f>TRIM(Table1[[#This Row],[Numer_FV]])</f>
        <v>FV/82/SAL/23</v>
      </c>
      <c r="B1481" s="2" t="str">
        <f>TRIM(Table1[[#This Row],[Numer_PZ]])</f>
        <v>PZ/801479</v>
      </c>
      <c r="C1481" s="2" t="str">
        <f>TRIM(Table1[[#This Row],[Dostawca]])</f>
        <v>SalusHurt</v>
      </c>
      <c r="D1481" s="3">
        <v>45097</v>
      </c>
      <c r="E1481" s="4" t="s">
        <v>4398</v>
      </c>
      <c r="F1481" s="2" t="str">
        <f>TRIM(Table1[[#This Row],[Status]])</f>
        <v>Zaakceptowana</v>
      </c>
      <c r="G1481" s="2" t="str">
        <f>TRIM(Table1[[#This Row],[Typ]])</f>
        <v>Faktura VAT</v>
      </c>
      <c r="H1481" s="2" t="str">
        <f>TRIM(Table1[[#This Row],[Magazyn]])</f>
        <v>Apteka Szpitalna</v>
      </c>
      <c r="I1481" s="2" t="str">
        <f>TRIM(Table1[[#This Row],[Umowa]])</f>
        <v>UM-SAL-02</v>
      </c>
      <c r="J1481" s="2" t="b">
        <f>ISTEXT(Table14[[#This Row],[Data_Wystawienia]])</f>
        <v>0</v>
      </c>
      <c r="K1481" s="2">
        <f>VALUE(SUBSTITUTE(Table14[[#This Row],[Wartość]],".",","))</f>
        <v>24768.68</v>
      </c>
      <c r="L14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1" s="2" t="str">
        <f>IF(Table14[[#This Row],[Umowa]]="","Poza umową","Z umowy")</f>
        <v>Z umowy</v>
      </c>
      <c r="N1481" s="2">
        <f>YEAR(Table14[[#This Row],[Data_Wystawienia]])</f>
        <v>2023</v>
      </c>
      <c r="O1481" s="2" t="str">
        <f>TEXT(Table14[[#This Row],[Data_Wystawienia]],"rrrr-mm")</f>
        <v>2023-06</v>
      </c>
      <c r="P1481" s="2">
        <v>1</v>
      </c>
    </row>
    <row r="1482" spans="1:16" x14ac:dyDescent="0.3">
      <c r="A1482" s="2" t="str">
        <f>TRIM(Table1[[#This Row],[Numer_FV]])</f>
        <v>FV/7652/NOVA/23</v>
      </c>
      <c r="B1482" s="2" t="str">
        <f>TRIM(Table1[[#This Row],[Numer_PZ]])</f>
        <v>PZ/801480</v>
      </c>
      <c r="C1482" s="2" t="str">
        <f>TRIM(Table1[[#This Row],[Dostawca]])</f>
        <v>NovaLek</v>
      </c>
      <c r="D1482" s="3">
        <v>45098</v>
      </c>
      <c r="E1482" s="4" t="s">
        <v>4401</v>
      </c>
      <c r="F1482" s="2" t="str">
        <f>TRIM(Table1[[#This Row],[Status]])</f>
        <v>Zaakceptowana</v>
      </c>
      <c r="G1482" s="2" t="str">
        <f>TRIM(Table1[[#This Row],[Typ]])</f>
        <v>Faktura VAT</v>
      </c>
      <c r="H1482" s="2" t="str">
        <f>TRIM(Table1[[#This Row],[Magazyn]])</f>
        <v>Apteka Szpitalna</v>
      </c>
      <c r="I1482" s="2" t="str">
        <f>TRIM(Table1[[#This Row],[Umowa]])</f>
        <v/>
      </c>
      <c r="J1482" s="2" t="b">
        <f>ISTEXT(Table14[[#This Row],[Data_Wystawienia]])</f>
        <v>0</v>
      </c>
      <c r="K1482" s="2">
        <f>VALUE(SUBSTITUTE(Table14[[#This Row],[Wartość]],".",","))</f>
        <v>17366.28</v>
      </c>
      <c r="L14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2" s="2" t="str">
        <f>IF(Table14[[#This Row],[Umowa]]="","Poza umową","Z umowy")</f>
        <v>Poza umową</v>
      </c>
      <c r="N1482" s="2">
        <f>YEAR(Table14[[#This Row],[Data_Wystawienia]])</f>
        <v>2023</v>
      </c>
      <c r="O1482" s="2" t="str">
        <f>TEXT(Table14[[#This Row],[Data_Wystawienia]],"rrrr-mm")</f>
        <v>2023-06</v>
      </c>
      <c r="P1482" s="2">
        <v>1</v>
      </c>
    </row>
    <row r="1483" spans="1:16" x14ac:dyDescent="0.3">
      <c r="A1483" s="2" t="str">
        <f>TRIM(Table1[[#This Row],[Numer_FV]])</f>
        <v>FV/32/SAL/23</v>
      </c>
      <c r="B1483" s="2" t="str">
        <f>TRIM(Table1[[#This Row],[Numer_PZ]])</f>
        <v>PZ/801481</v>
      </c>
      <c r="C1483" s="2" t="str">
        <f>TRIM(Table1[[#This Row],[Dostawca]])</f>
        <v>SalusHurt</v>
      </c>
      <c r="D1483" s="3">
        <v>45098</v>
      </c>
      <c r="E1483" s="4" t="s">
        <v>4403</v>
      </c>
      <c r="F1483" s="2" t="str">
        <f>TRIM(Table1[[#This Row],[Status]])</f>
        <v>Zaakceptowana</v>
      </c>
      <c r="G1483" s="2" t="str">
        <f>TRIM(Table1[[#This Row],[Typ]])</f>
        <v>Faktura VAT</v>
      </c>
      <c r="H1483" s="2" t="str">
        <f>TRIM(Table1[[#This Row],[Magazyn]])</f>
        <v>Apteka Szpitalna</v>
      </c>
      <c r="I1483" s="2" t="str">
        <f>TRIM(Table1[[#This Row],[Umowa]])</f>
        <v/>
      </c>
      <c r="J1483" s="2" t="b">
        <f>ISTEXT(Table14[[#This Row],[Data_Wystawienia]])</f>
        <v>0</v>
      </c>
      <c r="K1483" s="2">
        <f>VALUE(SUBSTITUTE(Table14[[#This Row],[Wartość]],".",","))</f>
        <v>15261.63</v>
      </c>
      <c r="L14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3" s="2" t="str">
        <f>IF(Table14[[#This Row],[Umowa]]="","Poza umową","Z umowy")</f>
        <v>Poza umową</v>
      </c>
      <c r="N1483" s="2">
        <f>YEAR(Table14[[#This Row],[Data_Wystawienia]])</f>
        <v>2023</v>
      </c>
      <c r="O1483" s="2" t="str">
        <f>TEXT(Table14[[#This Row],[Data_Wystawienia]],"rrrr-mm")</f>
        <v>2023-06</v>
      </c>
      <c r="P1483" s="2">
        <v>1</v>
      </c>
    </row>
    <row r="1484" spans="1:16" x14ac:dyDescent="0.3">
      <c r="A1484" s="2" t="str">
        <f>TRIM(Table1[[#This Row],[Numer_FV]])</f>
        <v>FV/POL/21853/2023</v>
      </c>
      <c r="B1484" s="2" t="str">
        <f>TRIM(Table1[[#This Row],[Numer_PZ]])</f>
        <v>PZ/801482</v>
      </c>
      <c r="C1484" s="2" t="str">
        <f>TRIM(Table1[[#This Row],[Dostawca]])</f>
        <v>Polmedica</v>
      </c>
      <c r="D1484" s="3">
        <v>45098</v>
      </c>
      <c r="E1484" s="4" t="s">
        <v>4406</v>
      </c>
      <c r="F1484" s="2" t="str">
        <f>TRIM(Table1[[#This Row],[Status]])</f>
        <v>Zaakceptowana</v>
      </c>
      <c r="G1484" s="2" t="str">
        <f>TRIM(Table1[[#This Row],[Typ]])</f>
        <v>Faktura VAT</v>
      </c>
      <c r="H1484" s="2" t="str">
        <f>TRIM(Table1[[#This Row],[Magazyn]])</f>
        <v>Apteka Szpitalna</v>
      </c>
      <c r="I1484" s="2" t="str">
        <f>TRIM(Table1[[#This Row],[Umowa]])</f>
        <v>UM-POL-01</v>
      </c>
      <c r="J1484" s="2" t="b">
        <f>ISTEXT(Table14[[#This Row],[Data_Wystawienia]])</f>
        <v>0</v>
      </c>
      <c r="K1484" s="2">
        <f>VALUE(SUBSTITUTE(Table14[[#This Row],[Wartość]],".",","))</f>
        <v>23221.68</v>
      </c>
      <c r="L14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4" s="2" t="str">
        <f>IF(Table14[[#This Row],[Umowa]]="","Poza umową","Z umowy")</f>
        <v>Z umowy</v>
      </c>
      <c r="N1484" s="2">
        <f>YEAR(Table14[[#This Row],[Data_Wystawienia]])</f>
        <v>2023</v>
      </c>
      <c r="O1484" s="2" t="str">
        <f>TEXT(Table14[[#This Row],[Data_Wystawienia]],"rrrr-mm")</f>
        <v>2023-06</v>
      </c>
      <c r="P1484" s="2">
        <v>1</v>
      </c>
    </row>
    <row r="1485" spans="1:16" x14ac:dyDescent="0.3">
      <c r="A1485" s="2" t="str">
        <f>TRIM(Table1[[#This Row],[Numer_FV]])</f>
        <v>FV/92/SAL/23</v>
      </c>
      <c r="B1485" s="2" t="str">
        <f>TRIM(Table1[[#This Row],[Numer_PZ]])</f>
        <v>PZ/801483</v>
      </c>
      <c r="C1485" s="2" t="str">
        <f>TRIM(Table1[[#This Row],[Dostawca]])</f>
        <v>SalusHurt</v>
      </c>
      <c r="D1485" s="3">
        <v>45098</v>
      </c>
      <c r="E1485" s="4" t="s">
        <v>4409</v>
      </c>
      <c r="F1485" s="2" t="str">
        <f>TRIM(Table1[[#This Row],[Status]])</f>
        <v>Zaakceptowana</v>
      </c>
      <c r="G1485" s="2" t="str">
        <f>TRIM(Table1[[#This Row],[Typ]])</f>
        <v>Korekta FV</v>
      </c>
      <c r="H1485" s="2" t="str">
        <f>TRIM(Table1[[#This Row],[Magazyn]])</f>
        <v>Apteka Szpitalna</v>
      </c>
      <c r="I1485" s="2" t="str">
        <f>TRIM(Table1[[#This Row],[Umowa]])</f>
        <v>UM-SAL-01</v>
      </c>
      <c r="J1485" s="2" t="b">
        <f>ISTEXT(Table14[[#This Row],[Data_Wystawienia]])</f>
        <v>0</v>
      </c>
      <c r="K1485" s="2">
        <f>VALUE(SUBSTITUTE(Table14[[#This Row],[Wartość]],".",","))</f>
        <v>-1212.4000000000001</v>
      </c>
      <c r="L14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5" s="2" t="str">
        <f>IF(Table14[[#This Row],[Umowa]]="","Poza umową","Z umowy")</f>
        <v>Z umowy</v>
      </c>
      <c r="N1485" s="2">
        <f>YEAR(Table14[[#This Row],[Data_Wystawienia]])</f>
        <v>2023</v>
      </c>
      <c r="O1485" s="2" t="str">
        <f>TEXT(Table14[[#This Row],[Data_Wystawienia]],"rrrr-mm")</f>
        <v>2023-06</v>
      </c>
      <c r="P1485" s="2">
        <v>1</v>
      </c>
    </row>
    <row r="1486" spans="1:16" x14ac:dyDescent="0.3">
      <c r="A1486" s="2" t="str">
        <f>TRIM(Table1[[#This Row],[Numer_FV]])</f>
        <v>FV/41/PP/7492/23</v>
      </c>
      <c r="B1486" s="2" t="str">
        <f>TRIM(Table1[[#This Row],[Numer_PZ]])</f>
        <v>PZ/801484</v>
      </c>
      <c r="C1486" s="2" t="str">
        <f>TRIM(Table1[[#This Row],[Dostawca]])</f>
        <v>PharmaPlus</v>
      </c>
      <c r="D1486" s="3">
        <v>45098</v>
      </c>
      <c r="E1486" s="4" t="s">
        <v>4412</v>
      </c>
      <c r="F1486" s="2" t="str">
        <f>TRIM(Table1[[#This Row],[Status]])</f>
        <v>Zaakceptowana</v>
      </c>
      <c r="G1486" s="2" t="str">
        <f>TRIM(Table1[[#This Row],[Typ]])</f>
        <v>Faktura VAT</v>
      </c>
      <c r="H1486" s="2" t="str">
        <f>TRIM(Table1[[#This Row],[Magazyn]])</f>
        <v>Apteka Szpitalna</v>
      </c>
      <c r="I1486" s="2" t="str">
        <f>TRIM(Table1[[#This Row],[Umowa]])</f>
        <v>UM-PHA-01</v>
      </c>
      <c r="J1486" s="2" t="b">
        <f>ISTEXT(Table14[[#This Row],[Data_Wystawienia]])</f>
        <v>0</v>
      </c>
      <c r="K1486" s="2">
        <f>VALUE(SUBSTITUTE(Table14[[#This Row],[Wartość]],".",","))</f>
        <v>8673.6</v>
      </c>
      <c r="L14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6" s="2" t="str">
        <f>IF(Table14[[#This Row],[Umowa]]="","Poza umową","Z umowy")</f>
        <v>Z umowy</v>
      </c>
      <c r="N1486" s="2">
        <f>YEAR(Table14[[#This Row],[Data_Wystawienia]])</f>
        <v>2023</v>
      </c>
      <c r="O1486" s="2" t="str">
        <f>TEXT(Table14[[#This Row],[Data_Wystawienia]],"rrrr-mm")</f>
        <v>2023-06</v>
      </c>
      <c r="P1486" s="2">
        <v>1</v>
      </c>
    </row>
    <row r="1487" spans="1:16" x14ac:dyDescent="0.3">
      <c r="A1487" s="2" t="str">
        <f>TRIM(Table1[[#This Row],[Numer_FV]])</f>
        <v>FV/CENFA/968928/23</v>
      </c>
      <c r="B1487" s="2" t="str">
        <f>TRIM(Table1[[#This Row],[Numer_PZ]])</f>
        <v>PZ/801485</v>
      </c>
      <c r="C1487" s="2" t="str">
        <f>TRIM(Table1[[#This Row],[Dostawca]])</f>
        <v>CentrumFarm</v>
      </c>
      <c r="D1487" s="3">
        <v>45099</v>
      </c>
      <c r="E1487" s="4" t="s">
        <v>4415</v>
      </c>
      <c r="F1487" s="2" t="str">
        <f>TRIM(Table1[[#This Row],[Status]])</f>
        <v>Zaakceptowana</v>
      </c>
      <c r="G1487" s="2" t="str">
        <f>TRIM(Table1[[#This Row],[Typ]])</f>
        <v>Faktura VAT</v>
      </c>
      <c r="H1487" s="2" t="str">
        <f>TRIM(Table1[[#This Row],[Magazyn]])</f>
        <v>Apteka Szpitalna</v>
      </c>
      <c r="I1487" s="2" t="str">
        <f>TRIM(Table1[[#This Row],[Umowa]])</f>
        <v/>
      </c>
      <c r="J1487" s="2" t="b">
        <f>ISTEXT(Table14[[#This Row],[Data_Wystawienia]])</f>
        <v>0</v>
      </c>
      <c r="K1487" s="2">
        <f>VALUE(SUBSTITUTE(Table14[[#This Row],[Wartość]],".",","))</f>
        <v>17684.39</v>
      </c>
      <c r="L14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7" s="2" t="str">
        <f>IF(Table14[[#This Row],[Umowa]]="","Poza umową","Z umowy")</f>
        <v>Poza umową</v>
      </c>
      <c r="N1487" s="2">
        <f>YEAR(Table14[[#This Row],[Data_Wystawienia]])</f>
        <v>2023</v>
      </c>
      <c r="O1487" s="2" t="str">
        <f>TEXT(Table14[[#This Row],[Data_Wystawienia]],"rrrr-mm")</f>
        <v>2023-06</v>
      </c>
      <c r="P1487" s="2">
        <v>1</v>
      </c>
    </row>
    <row r="1488" spans="1:16" x14ac:dyDescent="0.3">
      <c r="A1488" s="2" t="str">
        <f>TRIM(Table1[[#This Row],[Numer_FV]])</f>
        <v>FV/74/SAL/23</v>
      </c>
      <c r="B1488" s="2" t="str">
        <f>TRIM(Table1[[#This Row],[Numer_PZ]])</f>
        <v>PZ/801486</v>
      </c>
      <c r="C1488" s="2" t="str">
        <f>TRIM(Table1[[#This Row],[Dostawca]])</f>
        <v>SalusHurt</v>
      </c>
      <c r="D1488" s="3">
        <v>45099</v>
      </c>
      <c r="E1488" s="4" t="s">
        <v>4418</v>
      </c>
      <c r="F1488" s="2" t="str">
        <f>TRIM(Table1[[#This Row],[Status]])</f>
        <v>Zaakceptowana</v>
      </c>
      <c r="G1488" s="2" t="str">
        <f>TRIM(Table1[[#This Row],[Typ]])</f>
        <v>Faktura VAT</v>
      </c>
      <c r="H1488" s="2" t="str">
        <f>TRIM(Table1[[#This Row],[Magazyn]])</f>
        <v>Apteka Szpitalna</v>
      </c>
      <c r="I1488" s="2" t="str">
        <f>TRIM(Table1[[#This Row],[Umowa]])</f>
        <v/>
      </c>
      <c r="J1488" s="2" t="b">
        <f>ISTEXT(Table14[[#This Row],[Data_Wystawienia]])</f>
        <v>0</v>
      </c>
      <c r="K1488" s="2">
        <f>VALUE(SUBSTITUTE(Table14[[#This Row],[Wartość]],".",","))</f>
        <v>10484.76</v>
      </c>
      <c r="L14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8" s="2" t="str">
        <f>IF(Table14[[#This Row],[Umowa]]="","Poza umową","Z umowy")</f>
        <v>Poza umową</v>
      </c>
      <c r="N1488" s="2">
        <f>YEAR(Table14[[#This Row],[Data_Wystawienia]])</f>
        <v>2023</v>
      </c>
      <c r="O1488" s="2" t="str">
        <f>TEXT(Table14[[#This Row],[Data_Wystawienia]],"rrrr-mm")</f>
        <v>2023-06</v>
      </c>
      <c r="P1488" s="2">
        <v>1</v>
      </c>
    </row>
    <row r="1489" spans="1:16" x14ac:dyDescent="0.3">
      <c r="A1489" s="2" t="str">
        <f>TRIM(Table1[[#This Row],[Numer_FV]])</f>
        <v>FV/3478/NOVA/23</v>
      </c>
      <c r="B1489" s="2" t="str">
        <f>TRIM(Table1[[#This Row],[Numer_PZ]])</f>
        <v>PZ/801487</v>
      </c>
      <c r="C1489" s="2" t="str">
        <f>TRIM(Table1[[#This Row],[Dostawca]])</f>
        <v>NovaLek</v>
      </c>
      <c r="D1489" s="3">
        <v>45099</v>
      </c>
      <c r="E1489" s="4" t="s">
        <v>4421</v>
      </c>
      <c r="F1489" s="2" t="str">
        <f>TRIM(Table1[[#This Row],[Status]])</f>
        <v>Zaakceptowana</v>
      </c>
      <c r="G1489" s="2" t="str">
        <f>TRIM(Table1[[#This Row],[Typ]])</f>
        <v>Faktura VAT</v>
      </c>
      <c r="H1489" s="2" t="str">
        <f>TRIM(Table1[[#This Row],[Magazyn]])</f>
        <v>Apteka Szpitalna</v>
      </c>
      <c r="I1489" s="2" t="str">
        <f>TRIM(Table1[[#This Row],[Umowa]])</f>
        <v>UM-NOV-02</v>
      </c>
      <c r="J1489" s="2" t="b">
        <f>ISTEXT(Table14[[#This Row],[Data_Wystawienia]])</f>
        <v>0</v>
      </c>
      <c r="K1489" s="2">
        <f>VALUE(SUBSTITUTE(Table14[[#This Row],[Wartość]],".",","))</f>
        <v>16189.14</v>
      </c>
      <c r="L14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89" s="2" t="str">
        <f>IF(Table14[[#This Row],[Umowa]]="","Poza umową","Z umowy")</f>
        <v>Z umowy</v>
      </c>
      <c r="N1489" s="2">
        <f>YEAR(Table14[[#This Row],[Data_Wystawienia]])</f>
        <v>2023</v>
      </c>
      <c r="O1489" s="2" t="str">
        <f>TEXT(Table14[[#This Row],[Data_Wystawienia]],"rrrr-mm")</f>
        <v>2023-06</v>
      </c>
      <c r="P1489" s="2">
        <v>1</v>
      </c>
    </row>
    <row r="1490" spans="1:16" x14ac:dyDescent="0.3">
      <c r="A1490" s="2" t="str">
        <f>TRIM(Table1[[#This Row],[Numer_FV]])</f>
        <v>FV/72/SAL/23</v>
      </c>
      <c r="B1490" s="2" t="str">
        <f>TRIM(Table1[[#This Row],[Numer_PZ]])</f>
        <v>PZ/801488</v>
      </c>
      <c r="C1490" s="2" t="str">
        <f>TRIM(Table1[[#This Row],[Dostawca]])</f>
        <v>SalusHurt</v>
      </c>
      <c r="D1490" s="3">
        <v>45099</v>
      </c>
      <c r="E1490" s="4" t="s">
        <v>4423</v>
      </c>
      <c r="F1490" s="2" t="str">
        <f>TRIM(Table1[[#This Row],[Status]])</f>
        <v>Zaakceptowana</v>
      </c>
      <c r="G1490" s="2" t="str">
        <f>TRIM(Table1[[#This Row],[Typ]])</f>
        <v>Faktura VAT</v>
      </c>
      <c r="H1490" s="2" t="str">
        <f>TRIM(Table1[[#This Row],[Magazyn]])</f>
        <v>Apteka Szpitalna</v>
      </c>
      <c r="I1490" s="2" t="str">
        <f>TRIM(Table1[[#This Row],[Umowa]])</f>
        <v>UM-SAL-01</v>
      </c>
      <c r="J1490" s="2" t="b">
        <f>ISTEXT(Table14[[#This Row],[Data_Wystawienia]])</f>
        <v>0</v>
      </c>
      <c r="K1490" s="2">
        <f>VALUE(SUBSTITUTE(Table14[[#This Row],[Wartość]],".",","))</f>
        <v>24802.61</v>
      </c>
      <c r="L14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0" s="2" t="str">
        <f>IF(Table14[[#This Row],[Umowa]]="","Poza umową","Z umowy")</f>
        <v>Z umowy</v>
      </c>
      <c r="N1490" s="2">
        <f>YEAR(Table14[[#This Row],[Data_Wystawienia]])</f>
        <v>2023</v>
      </c>
      <c r="O1490" s="2" t="str">
        <f>TEXT(Table14[[#This Row],[Data_Wystawienia]],"rrrr-mm")</f>
        <v>2023-06</v>
      </c>
      <c r="P1490" s="2">
        <v>1</v>
      </c>
    </row>
    <row r="1491" spans="1:16" x14ac:dyDescent="0.3">
      <c r="A1491" s="2" t="str">
        <f>TRIM(Table1[[#This Row],[Numer_FV]])</f>
        <v>FV/49/SAL/23</v>
      </c>
      <c r="B1491" s="2" t="str">
        <f>TRIM(Table1[[#This Row],[Numer_PZ]])</f>
        <v>PZ/801489</v>
      </c>
      <c r="C1491" s="2" t="str">
        <f>TRIM(Table1[[#This Row],[Dostawca]])</f>
        <v>SalusHurt</v>
      </c>
      <c r="D1491" s="3">
        <v>45100</v>
      </c>
      <c r="E1491" s="4" t="s">
        <v>4426</v>
      </c>
      <c r="F1491" s="2" t="str">
        <f>TRIM(Table1[[#This Row],[Status]])</f>
        <v>Zaakceptowana</v>
      </c>
      <c r="G1491" s="2" t="str">
        <f>TRIM(Table1[[#This Row],[Typ]])</f>
        <v>Faktura VAT</v>
      </c>
      <c r="H1491" s="2" t="str">
        <f>TRIM(Table1[[#This Row],[Magazyn]])</f>
        <v>Apteka Szpitalna</v>
      </c>
      <c r="I1491" s="2" t="str">
        <f>TRIM(Table1[[#This Row],[Umowa]])</f>
        <v/>
      </c>
      <c r="J1491" s="2" t="b">
        <f>ISTEXT(Table14[[#This Row],[Data_Wystawienia]])</f>
        <v>0</v>
      </c>
      <c r="K1491" s="2">
        <f>VALUE(SUBSTITUTE(Table14[[#This Row],[Wartość]],".",","))</f>
        <v>16910.47</v>
      </c>
      <c r="L14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1" s="2" t="str">
        <f>IF(Table14[[#This Row],[Umowa]]="","Poza umową","Z umowy")</f>
        <v>Poza umową</v>
      </c>
      <c r="N1491" s="2">
        <f>YEAR(Table14[[#This Row],[Data_Wystawienia]])</f>
        <v>2023</v>
      </c>
      <c r="O1491" s="2" t="str">
        <f>TEXT(Table14[[#This Row],[Data_Wystawienia]],"rrrr-mm")</f>
        <v>2023-06</v>
      </c>
      <c r="P1491" s="2">
        <v>1</v>
      </c>
    </row>
    <row r="1492" spans="1:16" x14ac:dyDescent="0.3">
      <c r="A1492" s="2" t="str">
        <f>TRIM(Table1[[#This Row],[Numer_FV]])</f>
        <v>FV/2572/NOVA/23</v>
      </c>
      <c r="B1492" s="2" t="str">
        <f>TRIM(Table1[[#This Row],[Numer_PZ]])</f>
        <v>PZ/801490</v>
      </c>
      <c r="C1492" s="2" t="str">
        <f>TRIM(Table1[[#This Row],[Dostawca]])</f>
        <v>NovaLek</v>
      </c>
      <c r="D1492" s="3">
        <v>45100</v>
      </c>
      <c r="E1492" s="4" t="s">
        <v>4429</v>
      </c>
      <c r="F1492" s="2" t="str">
        <f>TRIM(Table1[[#This Row],[Status]])</f>
        <v>Zaakceptowana</v>
      </c>
      <c r="G1492" s="2" t="str">
        <f>TRIM(Table1[[#This Row],[Typ]])</f>
        <v>Faktura VAT</v>
      </c>
      <c r="H1492" s="2" t="str">
        <f>TRIM(Table1[[#This Row],[Magazyn]])</f>
        <v>Apteka Szpitalna</v>
      </c>
      <c r="I1492" s="2" t="str">
        <f>TRIM(Table1[[#This Row],[Umowa]])</f>
        <v>UM-NOV-03</v>
      </c>
      <c r="J1492" s="2" t="b">
        <f>ISTEXT(Table14[[#This Row],[Data_Wystawienia]])</f>
        <v>0</v>
      </c>
      <c r="K1492" s="2">
        <f>VALUE(SUBSTITUTE(Table14[[#This Row],[Wartość]],".",","))</f>
        <v>13996.73</v>
      </c>
      <c r="L14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2" s="2" t="str">
        <f>IF(Table14[[#This Row],[Umowa]]="","Poza umową","Z umowy")</f>
        <v>Z umowy</v>
      </c>
      <c r="N1492" s="2">
        <f>YEAR(Table14[[#This Row],[Data_Wystawienia]])</f>
        <v>2023</v>
      </c>
      <c r="O1492" s="2" t="str">
        <f>TEXT(Table14[[#This Row],[Data_Wystawienia]],"rrrr-mm")</f>
        <v>2023-06</v>
      </c>
      <c r="P1492" s="2">
        <v>1</v>
      </c>
    </row>
    <row r="1493" spans="1:16" x14ac:dyDescent="0.3">
      <c r="A1493" s="2" t="str">
        <f>TRIM(Table1[[#This Row],[Numer_FV]])</f>
        <v>FV/CENFA/706497/23</v>
      </c>
      <c r="B1493" s="2" t="str">
        <f>TRIM(Table1[[#This Row],[Numer_PZ]])</f>
        <v>PZ/801491</v>
      </c>
      <c r="C1493" s="2" t="str">
        <f>TRIM(Table1[[#This Row],[Dostawca]])</f>
        <v>CentrumFarm</v>
      </c>
      <c r="D1493" s="3">
        <v>45100</v>
      </c>
      <c r="E1493" s="4" t="s">
        <v>4432</v>
      </c>
      <c r="F1493" s="2" t="str">
        <f>TRIM(Table1[[#This Row],[Status]])</f>
        <v>Zaakceptowana</v>
      </c>
      <c r="G1493" s="2" t="str">
        <f>TRIM(Table1[[#This Row],[Typ]])</f>
        <v>Korekta FV</v>
      </c>
      <c r="H1493" s="2" t="str">
        <f>TRIM(Table1[[#This Row],[Magazyn]])</f>
        <v>Apteka Szpitalna</v>
      </c>
      <c r="I1493" s="2" t="str">
        <f>TRIM(Table1[[#This Row],[Umowa]])</f>
        <v/>
      </c>
      <c r="J1493" s="2" t="b">
        <f>ISTEXT(Table14[[#This Row],[Data_Wystawienia]])</f>
        <v>0</v>
      </c>
      <c r="K1493" s="2">
        <f>VALUE(SUBSTITUTE(Table14[[#This Row],[Wartość]],".",","))</f>
        <v>-1424.91</v>
      </c>
      <c r="L14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3" s="2" t="str">
        <f>IF(Table14[[#This Row],[Umowa]]="","Poza umową","Z umowy")</f>
        <v>Poza umową</v>
      </c>
      <c r="N1493" s="2">
        <f>YEAR(Table14[[#This Row],[Data_Wystawienia]])</f>
        <v>2023</v>
      </c>
      <c r="O1493" s="2" t="str">
        <f>TEXT(Table14[[#This Row],[Data_Wystawienia]],"rrrr-mm")</f>
        <v>2023-06</v>
      </c>
      <c r="P1493" s="2">
        <v>1</v>
      </c>
    </row>
    <row r="1494" spans="1:16" x14ac:dyDescent="0.3">
      <c r="A1494" s="2" t="str">
        <f>TRIM(Table1[[#This Row],[Numer_FV]])</f>
        <v>FV/POL/28970/2023</v>
      </c>
      <c r="B1494" s="2" t="str">
        <f>TRIM(Table1[[#This Row],[Numer_PZ]])</f>
        <v>PZ/801492</v>
      </c>
      <c r="C1494" s="2" t="str">
        <f>TRIM(Table1[[#This Row],[Dostawca]])</f>
        <v>Polmedica</v>
      </c>
      <c r="D1494" s="3">
        <v>45100</v>
      </c>
      <c r="E1494" s="4" t="s">
        <v>4435</v>
      </c>
      <c r="F1494" s="2" t="str">
        <f>TRIM(Table1[[#This Row],[Status]])</f>
        <v>Zaakceptowana</v>
      </c>
      <c r="G1494" s="2" t="str">
        <f>TRIM(Table1[[#This Row],[Typ]])</f>
        <v>Faktura VAT</v>
      </c>
      <c r="H1494" s="2" t="str">
        <f>TRIM(Table1[[#This Row],[Magazyn]])</f>
        <v>Apteka Szpitalna</v>
      </c>
      <c r="I1494" s="2" t="str">
        <f>TRIM(Table1[[#This Row],[Umowa]])</f>
        <v>UM-POL-01</v>
      </c>
      <c r="J1494" s="2" t="b">
        <f>ISTEXT(Table14[[#This Row],[Data_Wystawienia]])</f>
        <v>0</v>
      </c>
      <c r="K1494" s="2">
        <f>VALUE(SUBSTITUTE(Table14[[#This Row],[Wartość]],".",","))</f>
        <v>15388.39</v>
      </c>
      <c r="L14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4" s="2" t="str">
        <f>IF(Table14[[#This Row],[Umowa]]="","Poza umową","Z umowy")</f>
        <v>Z umowy</v>
      </c>
      <c r="N1494" s="2">
        <f>YEAR(Table14[[#This Row],[Data_Wystawienia]])</f>
        <v>2023</v>
      </c>
      <c r="O1494" s="2" t="str">
        <f>TEXT(Table14[[#This Row],[Data_Wystawienia]],"rrrr-mm")</f>
        <v>2023-06</v>
      </c>
      <c r="P1494" s="2">
        <v>1</v>
      </c>
    </row>
    <row r="1495" spans="1:16" x14ac:dyDescent="0.3">
      <c r="A1495" s="2" t="str">
        <f>TRIM(Table1[[#This Row],[Numer_FV]])</f>
        <v>FV/CENFA/288465/23</v>
      </c>
      <c r="B1495" s="2" t="str">
        <f>TRIM(Table1[[#This Row],[Numer_PZ]])</f>
        <v>PZ/801493</v>
      </c>
      <c r="C1495" s="2" t="str">
        <f>TRIM(Table1[[#This Row],[Dostawca]])</f>
        <v>CentrumFarm</v>
      </c>
      <c r="D1495" s="3">
        <v>45101</v>
      </c>
      <c r="E1495" s="4" t="s">
        <v>4438</v>
      </c>
      <c r="F1495" s="2" t="str">
        <f>TRIM(Table1[[#This Row],[Status]])</f>
        <v>Zaakceptowana</v>
      </c>
      <c r="G1495" s="2" t="str">
        <f>TRIM(Table1[[#This Row],[Typ]])</f>
        <v>Faktura VAT</v>
      </c>
      <c r="H1495" s="2" t="str">
        <f>TRIM(Table1[[#This Row],[Magazyn]])</f>
        <v>Apteka Szpitalna</v>
      </c>
      <c r="I1495" s="2" t="str">
        <f>TRIM(Table1[[#This Row],[Umowa]])</f>
        <v>UM-CEN-01</v>
      </c>
      <c r="J1495" s="2" t="b">
        <f>ISTEXT(Table14[[#This Row],[Data_Wystawienia]])</f>
        <v>0</v>
      </c>
      <c r="K1495" s="2">
        <f>VALUE(SUBSTITUTE(Table14[[#This Row],[Wartość]],".",","))</f>
        <v>25245.279999999999</v>
      </c>
      <c r="L14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5" s="2" t="str">
        <f>IF(Table14[[#This Row],[Umowa]]="","Poza umową","Z umowy")</f>
        <v>Z umowy</v>
      </c>
      <c r="N1495" s="2">
        <f>YEAR(Table14[[#This Row],[Data_Wystawienia]])</f>
        <v>2023</v>
      </c>
      <c r="O1495" s="2" t="str">
        <f>TEXT(Table14[[#This Row],[Data_Wystawienia]],"rrrr-mm")</f>
        <v>2023-06</v>
      </c>
      <c r="P1495" s="2">
        <v>1</v>
      </c>
    </row>
    <row r="1496" spans="1:16" x14ac:dyDescent="0.3">
      <c r="A1496" s="2" t="str">
        <f>TRIM(Table1[[#This Row],[Numer_FV]])</f>
        <v>FV/52/SAL/23</v>
      </c>
      <c r="B1496" s="2" t="str">
        <f>TRIM(Table1[[#This Row],[Numer_PZ]])</f>
        <v>PZ/801494</v>
      </c>
      <c r="C1496" s="2" t="str">
        <f>TRIM(Table1[[#This Row],[Dostawca]])</f>
        <v>SalusHurt</v>
      </c>
      <c r="D1496" s="3">
        <v>45101</v>
      </c>
      <c r="E1496" s="4" t="s">
        <v>4441</v>
      </c>
      <c r="F1496" s="2" t="str">
        <f>TRIM(Table1[[#This Row],[Status]])</f>
        <v>Zaakceptowana</v>
      </c>
      <c r="G1496" s="2" t="str">
        <f>TRIM(Table1[[#This Row],[Typ]])</f>
        <v>Faktura VAT</v>
      </c>
      <c r="H1496" s="2" t="str">
        <f>TRIM(Table1[[#This Row],[Magazyn]])</f>
        <v>Apteka Szpitalna</v>
      </c>
      <c r="I1496" s="2" t="str">
        <f>TRIM(Table1[[#This Row],[Umowa]])</f>
        <v/>
      </c>
      <c r="J1496" s="2" t="b">
        <f>ISTEXT(Table14[[#This Row],[Data_Wystawienia]])</f>
        <v>0</v>
      </c>
      <c r="K1496" s="2">
        <f>VALUE(SUBSTITUTE(Table14[[#This Row],[Wartość]],".",","))</f>
        <v>11651.36</v>
      </c>
      <c r="L14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6" s="2" t="str">
        <f>IF(Table14[[#This Row],[Umowa]]="","Poza umową","Z umowy")</f>
        <v>Poza umową</v>
      </c>
      <c r="N1496" s="2">
        <f>YEAR(Table14[[#This Row],[Data_Wystawienia]])</f>
        <v>2023</v>
      </c>
      <c r="O1496" s="2" t="str">
        <f>TEXT(Table14[[#This Row],[Data_Wystawienia]],"rrrr-mm")</f>
        <v>2023-06</v>
      </c>
      <c r="P1496" s="2">
        <v>1</v>
      </c>
    </row>
    <row r="1497" spans="1:16" x14ac:dyDescent="0.3">
      <c r="A1497" s="2" t="str">
        <f>TRIM(Table1[[#This Row],[Numer_FV]])</f>
        <v>FV/52/SAL/23</v>
      </c>
      <c r="B1497" s="2" t="str">
        <f>TRIM(Table1[[#This Row],[Numer_PZ]])</f>
        <v>PZ/801495</v>
      </c>
      <c r="C1497" s="2" t="str">
        <f>TRIM(Table1[[#This Row],[Dostawca]])</f>
        <v>SalusHurt</v>
      </c>
      <c r="D1497" s="3">
        <v>45101</v>
      </c>
      <c r="E1497" s="4" t="s">
        <v>4443</v>
      </c>
      <c r="F1497" s="2" t="str">
        <f>TRIM(Table1[[#This Row],[Status]])</f>
        <v>Zaakceptowana</v>
      </c>
      <c r="G1497" s="2" t="str">
        <f>TRIM(Table1[[#This Row],[Typ]])</f>
        <v>Faktura VAT</v>
      </c>
      <c r="H1497" s="2" t="str">
        <f>TRIM(Table1[[#This Row],[Magazyn]])</f>
        <v>Apteka Szpitalna</v>
      </c>
      <c r="I1497" s="2" t="str">
        <f>TRIM(Table1[[#This Row],[Umowa]])</f>
        <v/>
      </c>
      <c r="J1497" s="2" t="b">
        <f>ISTEXT(Table14[[#This Row],[Data_Wystawienia]])</f>
        <v>0</v>
      </c>
      <c r="K1497" s="2">
        <f>VALUE(SUBSTITUTE(Table14[[#This Row],[Wartość]],".",","))</f>
        <v>18937.07</v>
      </c>
      <c r="L14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7" s="2" t="str">
        <f>IF(Table14[[#This Row],[Umowa]]="","Poza umową","Z umowy")</f>
        <v>Poza umową</v>
      </c>
      <c r="N1497" s="2">
        <f>YEAR(Table14[[#This Row],[Data_Wystawienia]])</f>
        <v>2023</v>
      </c>
      <c r="O1497" s="2" t="str">
        <f>TEXT(Table14[[#This Row],[Data_Wystawienia]],"rrrr-mm")</f>
        <v>2023-06</v>
      </c>
      <c r="P1497" s="2">
        <v>1</v>
      </c>
    </row>
    <row r="1498" spans="1:16" x14ac:dyDescent="0.3">
      <c r="A1498" s="2" t="str">
        <f>TRIM(Table1[[#This Row],[Numer_FV]])</f>
        <v>FV/CENFA/150179/23</v>
      </c>
      <c r="B1498" s="2" t="str">
        <f>TRIM(Table1[[#This Row],[Numer_PZ]])</f>
        <v>PZ/801496</v>
      </c>
      <c r="C1498" s="2" t="str">
        <f>TRIM(Table1[[#This Row],[Dostawca]])</f>
        <v>CentrumFarm</v>
      </c>
      <c r="D1498" s="3">
        <v>45101</v>
      </c>
      <c r="E1498" s="4" t="s">
        <v>4446</v>
      </c>
      <c r="F1498" s="2" t="str">
        <f>TRIM(Table1[[#This Row],[Status]])</f>
        <v>Zaakceptowana</v>
      </c>
      <c r="G1498" s="2" t="str">
        <f>TRIM(Table1[[#This Row],[Typ]])</f>
        <v>Faktura VAT</v>
      </c>
      <c r="H1498" s="2" t="str">
        <f>TRIM(Table1[[#This Row],[Magazyn]])</f>
        <v>Apteka Szpitalna</v>
      </c>
      <c r="I1498" s="2" t="str">
        <f>TRIM(Table1[[#This Row],[Umowa]])</f>
        <v>UM-CEN-01</v>
      </c>
      <c r="J1498" s="2" t="b">
        <f>ISTEXT(Table14[[#This Row],[Data_Wystawienia]])</f>
        <v>0</v>
      </c>
      <c r="K1498" s="2">
        <f>VALUE(SUBSTITUTE(Table14[[#This Row],[Wartość]],".",","))</f>
        <v>10414.36</v>
      </c>
      <c r="L14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8" s="2" t="str">
        <f>IF(Table14[[#This Row],[Umowa]]="","Poza umową","Z umowy")</f>
        <v>Z umowy</v>
      </c>
      <c r="N1498" s="2">
        <f>YEAR(Table14[[#This Row],[Data_Wystawienia]])</f>
        <v>2023</v>
      </c>
      <c r="O1498" s="2" t="str">
        <f>TEXT(Table14[[#This Row],[Data_Wystawienia]],"rrrr-mm")</f>
        <v>2023-06</v>
      </c>
      <c r="P1498" s="2">
        <v>1</v>
      </c>
    </row>
    <row r="1499" spans="1:16" x14ac:dyDescent="0.3">
      <c r="A1499" s="2" t="str">
        <f>TRIM(Table1[[#This Row],[Numer_FV]])</f>
        <v>FV/66/SAL/23</v>
      </c>
      <c r="B1499" s="2" t="str">
        <f>TRIM(Table1[[#This Row],[Numer_PZ]])</f>
        <v>PZ/801497</v>
      </c>
      <c r="C1499" s="2" t="str">
        <f>TRIM(Table1[[#This Row],[Dostawca]])</f>
        <v>SalusHurt</v>
      </c>
      <c r="D1499" s="3">
        <v>45102</v>
      </c>
      <c r="E1499" s="4" t="s">
        <v>4448</v>
      </c>
      <c r="F1499" s="2" t="str">
        <f>TRIM(Table1[[#This Row],[Status]])</f>
        <v>Zaakceptowana</v>
      </c>
      <c r="G1499" s="2" t="str">
        <f>TRIM(Table1[[#This Row],[Typ]])</f>
        <v>Faktura VAT</v>
      </c>
      <c r="H1499" s="2" t="str">
        <f>TRIM(Table1[[#This Row],[Magazyn]])</f>
        <v>Apteka Szpitalna</v>
      </c>
      <c r="I1499" s="2" t="str">
        <f>TRIM(Table1[[#This Row],[Umowa]])</f>
        <v>UM-SAL-02</v>
      </c>
      <c r="J1499" s="2" t="b">
        <f>ISTEXT(Table14[[#This Row],[Data_Wystawienia]])</f>
        <v>0</v>
      </c>
      <c r="K1499" s="2">
        <f>VALUE(SUBSTITUTE(Table14[[#This Row],[Wartość]],".",","))</f>
        <v>13329.38</v>
      </c>
      <c r="L14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499" s="2" t="str">
        <f>IF(Table14[[#This Row],[Umowa]]="","Poza umową","Z umowy")</f>
        <v>Z umowy</v>
      </c>
      <c r="N1499" s="2">
        <f>YEAR(Table14[[#This Row],[Data_Wystawienia]])</f>
        <v>2023</v>
      </c>
      <c r="O1499" s="2" t="str">
        <f>TEXT(Table14[[#This Row],[Data_Wystawienia]],"rrrr-mm")</f>
        <v>2023-06</v>
      </c>
      <c r="P1499" s="2">
        <v>1</v>
      </c>
    </row>
    <row r="1500" spans="1:16" x14ac:dyDescent="0.3">
      <c r="A1500" s="2" t="str">
        <f>TRIM(Table1[[#This Row],[Numer_FV]])</f>
        <v>FV/84/SAL/23</v>
      </c>
      <c r="B1500" s="2" t="str">
        <f>TRIM(Table1[[#This Row],[Numer_PZ]])</f>
        <v>PZ/801498</v>
      </c>
      <c r="C1500" s="2" t="str">
        <f>TRIM(Table1[[#This Row],[Dostawca]])</f>
        <v>SalusHurt</v>
      </c>
      <c r="D1500" s="3">
        <v>45102</v>
      </c>
      <c r="E1500" s="4" t="s">
        <v>4450</v>
      </c>
      <c r="F1500" s="2" t="str">
        <f>TRIM(Table1[[#This Row],[Status]])</f>
        <v>Zaakceptowana</v>
      </c>
      <c r="G1500" s="2" t="str">
        <f>TRIM(Table1[[#This Row],[Typ]])</f>
        <v>Faktura VAT</v>
      </c>
      <c r="H1500" s="2" t="str">
        <f>TRIM(Table1[[#This Row],[Magazyn]])</f>
        <v>Apteka Szpitalna</v>
      </c>
      <c r="I1500" s="2" t="str">
        <f>TRIM(Table1[[#This Row],[Umowa]])</f>
        <v>UM-SAL-01</v>
      </c>
      <c r="J1500" s="2" t="b">
        <f>ISTEXT(Table14[[#This Row],[Data_Wystawienia]])</f>
        <v>0</v>
      </c>
      <c r="K1500" s="2">
        <f>VALUE(SUBSTITUTE(Table14[[#This Row],[Wartość]],".",","))</f>
        <v>19320.3</v>
      </c>
      <c r="L15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0" s="2" t="str">
        <f>IF(Table14[[#This Row],[Umowa]]="","Poza umową","Z umowy")</f>
        <v>Z umowy</v>
      </c>
      <c r="N1500" s="2">
        <f>YEAR(Table14[[#This Row],[Data_Wystawienia]])</f>
        <v>2023</v>
      </c>
      <c r="O1500" s="2" t="str">
        <f>TEXT(Table14[[#This Row],[Data_Wystawienia]],"rrrr-mm")</f>
        <v>2023-06</v>
      </c>
      <c r="P1500" s="2">
        <v>1</v>
      </c>
    </row>
    <row r="1501" spans="1:16" x14ac:dyDescent="0.3">
      <c r="A1501" s="2" t="str">
        <f>TRIM(Table1[[#This Row],[Numer_FV]])</f>
        <v>FV/4549/NOVA/23</v>
      </c>
      <c r="B1501" s="2" t="str">
        <f>TRIM(Table1[[#This Row],[Numer_PZ]])</f>
        <v>PZ/801499</v>
      </c>
      <c r="C1501" s="2" t="str">
        <f>TRIM(Table1[[#This Row],[Dostawca]])</f>
        <v>NovaLek</v>
      </c>
      <c r="D1501" s="3">
        <v>45103</v>
      </c>
      <c r="E1501" s="4" t="s">
        <v>4453</v>
      </c>
      <c r="F1501" s="2" t="str">
        <f>TRIM(Table1[[#This Row],[Status]])</f>
        <v>Zaakceptowana</v>
      </c>
      <c r="G1501" s="2" t="str">
        <f>TRIM(Table1[[#This Row],[Typ]])</f>
        <v>Faktura VAT</v>
      </c>
      <c r="H1501" s="2" t="str">
        <f>TRIM(Table1[[#This Row],[Magazyn]])</f>
        <v>Apteka Szpitalna</v>
      </c>
      <c r="I1501" s="2" t="str">
        <f>TRIM(Table1[[#This Row],[Umowa]])</f>
        <v>UM-NOV-03</v>
      </c>
      <c r="J1501" s="2" t="b">
        <f>ISTEXT(Table14[[#This Row],[Data_Wystawienia]])</f>
        <v>0</v>
      </c>
      <c r="K1501" s="2">
        <f>VALUE(SUBSTITUTE(Table14[[#This Row],[Wartość]],".",","))</f>
        <v>13628.91</v>
      </c>
      <c r="L15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1" s="2" t="str">
        <f>IF(Table14[[#This Row],[Umowa]]="","Poza umową","Z umowy")</f>
        <v>Z umowy</v>
      </c>
      <c r="N1501" s="2">
        <f>YEAR(Table14[[#This Row],[Data_Wystawienia]])</f>
        <v>2023</v>
      </c>
      <c r="O1501" s="2" t="str">
        <f>TEXT(Table14[[#This Row],[Data_Wystawienia]],"rrrr-mm")</f>
        <v>2023-06</v>
      </c>
      <c r="P1501" s="2">
        <v>1</v>
      </c>
    </row>
    <row r="1502" spans="1:16" x14ac:dyDescent="0.3">
      <c r="A1502" s="2" t="str">
        <f>TRIM(Table1[[#This Row],[Numer_FV]])</f>
        <v>FV/95/PP/4790/23</v>
      </c>
      <c r="B1502" s="2" t="str">
        <f>TRIM(Table1[[#This Row],[Numer_PZ]])</f>
        <v>PZ/801500</v>
      </c>
      <c r="C1502" s="2" t="str">
        <f>TRIM(Table1[[#This Row],[Dostawca]])</f>
        <v>PharmaPlus</v>
      </c>
      <c r="D1502" s="3">
        <v>45104</v>
      </c>
      <c r="E1502" s="4" t="s">
        <v>4456</v>
      </c>
      <c r="F1502" s="2" t="str">
        <f>TRIM(Table1[[#This Row],[Status]])</f>
        <v>Zaakceptowana</v>
      </c>
      <c r="G1502" s="2" t="str">
        <f>TRIM(Table1[[#This Row],[Typ]])</f>
        <v>Faktura VAT</v>
      </c>
      <c r="H1502" s="2" t="str">
        <f>TRIM(Table1[[#This Row],[Magazyn]])</f>
        <v>Apteka Szpitalna</v>
      </c>
      <c r="I1502" s="2" t="str">
        <f>TRIM(Table1[[#This Row],[Umowa]])</f>
        <v>UM-PHA-02</v>
      </c>
      <c r="J1502" s="2" t="b">
        <f>ISTEXT(Table14[[#This Row],[Data_Wystawienia]])</f>
        <v>0</v>
      </c>
      <c r="K1502" s="2">
        <f>VALUE(SUBSTITUTE(Table14[[#This Row],[Wartość]],".",","))</f>
        <v>16737.32</v>
      </c>
      <c r="L15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2" s="2" t="str">
        <f>IF(Table14[[#This Row],[Umowa]]="","Poza umową","Z umowy")</f>
        <v>Z umowy</v>
      </c>
      <c r="N1502" s="2">
        <f>YEAR(Table14[[#This Row],[Data_Wystawienia]])</f>
        <v>2023</v>
      </c>
      <c r="O1502" s="2" t="str">
        <f>TEXT(Table14[[#This Row],[Data_Wystawienia]],"rrrr-mm")</f>
        <v>2023-06</v>
      </c>
      <c r="P1502" s="2">
        <v>1</v>
      </c>
    </row>
    <row r="1503" spans="1:16" x14ac:dyDescent="0.3">
      <c r="A1503" s="2" t="str">
        <f>TRIM(Table1[[#This Row],[Numer_FV]])</f>
        <v>FV/43/PP/8594/23</v>
      </c>
      <c r="B1503" s="2" t="str">
        <f>TRIM(Table1[[#This Row],[Numer_PZ]])</f>
        <v>PZ/801501</v>
      </c>
      <c r="C1503" s="2" t="str">
        <f>TRIM(Table1[[#This Row],[Dostawca]])</f>
        <v>PharmaPlus</v>
      </c>
      <c r="D1503" s="3">
        <v>45105</v>
      </c>
      <c r="E1503" s="4" t="s">
        <v>4459</v>
      </c>
      <c r="F1503" s="2" t="str">
        <f>TRIM(Table1[[#This Row],[Status]])</f>
        <v>Zaakceptowana</v>
      </c>
      <c r="G1503" s="2" t="str">
        <f>TRIM(Table1[[#This Row],[Typ]])</f>
        <v>Faktura VAT</v>
      </c>
      <c r="H1503" s="2" t="str">
        <f>TRIM(Table1[[#This Row],[Magazyn]])</f>
        <v>Apteka Szpitalna</v>
      </c>
      <c r="I1503" s="2" t="str">
        <f>TRIM(Table1[[#This Row],[Umowa]])</f>
        <v/>
      </c>
      <c r="J1503" s="2" t="b">
        <f>ISTEXT(Table14[[#This Row],[Data_Wystawienia]])</f>
        <v>0</v>
      </c>
      <c r="K1503" s="2">
        <f>VALUE(SUBSTITUTE(Table14[[#This Row],[Wartość]],".",","))</f>
        <v>15538.94</v>
      </c>
      <c r="L15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3" s="2" t="str">
        <f>IF(Table14[[#This Row],[Umowa]]="","Poza umową","Z umowy")</f>
        <v>Poza umową</v>
      </c>
      <c r="N1503" s="2">
        <f>YEAR(Table14[[#This Row],[Data_Wystawienia]])</f>
        <v>2023</v>
      </c>
      <c r="O1503" s="2" t="str">
        <f>TEXT(Table14[[#This Row],[Data_Wystawienia]],"rrrr-mm")</f>
        <v>2023-06</v>
      </c>
      <c r="P1503" s="2">
        <v>1</v>
      </c>
    </row>
    <row r="1504" spans="1:16" x14ac:dyDescent="0.3">
      <c r="A1504" s="2" t="str">
        <f>TRIM(Table1[[#This Row],[Numer_FV]])</f>
        <v>FV/M/3789/P/23</v>
      </c>
      <c r="B1504" s="2" t="str">
        <f>TRIM(Table1[[#This Row],[Numer_PZ]])</f>
        <v>PZ/801502</v>
      </c>
      <c r="C1504" s="2" t="str">
        <f>TRIM(Table1[[#This Row],[Dostawca]])</f>
        <v>MedicaPharm</v>
      </c>
      <c r="D1504" s="3">
        <v>45105</v>
      </c>
      <c r="E1504" s="4" t="s">
        <v>4462</v>
      </c>
      <c r="F1504" s="2" t="str">
        <f>TRIM(Table1[[#This Row],[Status]])</f>
        <v>Zaakceptowana</v>
      </c>
      <c r="G1504" s="2" t="str">
        <f>TRIM(Table1[[#This Row],[Typ]])</f>
        <v>Faktura VAT</v>
      </c>
      <c r="H1504" s="2" t="str">
        <f>TRIM(Table1[[#This Row],[Magazyn]])</f>
        <v>Apteka Szpitalna</v>
      </c>
      <c r="I1504" s="2" t="str">
        <f>TRIM(Table1[[#This Row],[Umowa]])</f>
        <v>UM-MED-01</v>
      </c>
      <c r="J1504" s="2" t="b">
        <f>ISTEXT(Table14[[#This Row],[Data_Wystawienia]])</f>
        <v>0</v>
      </c>
      <c r="K1504" s="2">
        <f>VALUE(SUBSTITUTE(Table14[[#This Row],[Wartość]],".",","))</f>
        <v>20071.79</v>
      </c>
      <c r="L15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4" s="2" t="str">
        <f>IF(Table14[[#This Row],[Umowa]]="","Poza umową","Z umowy")</f>
        <v>Z umowy</v>
      </c>
      <c r="N1504" s="2">
        <f>YEAR(Table14[[#This Row],[Data_Wystawienia]])</f>
        <v>2023</v>
      </c>
      <c r="O1504" s="2" t="str">
        <f>TEXT(Table14[[#This Row],[Data_Wystawienia]],"rrrr-mm")</f>
        <v>2023-06</v>
      </c>
      <c r="P1504" s="2">
        <v>1</v>
      </c>
    </row>
    <row r="1505" spans="1:16" x14ac:dyDescent="0.3">
      <c r="A1505" s="2" t="str">
        <f>TRIM(Table1[[#This Row],[Numer_FV]])</f>
        <v>FV/6354/NOVA/23</v>
      </c>
      <c r="B1505" s="2" t="str">
        <f>TRIM(Table1[[#This Row],[Numer_PZ]])</f>
        <v>PZ/801503</v>
      </c>
      <c r="C1505" s="2" t="str">
        <f>TRIM(Table1[[#This Row],[Dostawca]])</f>
        <v>NovaLek</v>
      </c>
      <c r="D1505" s="3">
        <v>45105</v>
      </c>
      <c r="E1505" s="4" t="s">
        <v>4465</v>
      </c>
      <c r="F1505" s="2" t="str">
        <f>TRIM(Table1[[#This Row],[Status]])</f>
        <v>Zaakceptowana</v>
      </c>
      <c r="G1505" s="2" t="str">
        <f>TRIM(Table1[[#This Row],[Typ]])</f>
        <v>Faktura VAT</v>
      </c>
      <c r="H1505" s="2" t="str">
        <f>TRIM(Table1[[#This Row],[Magazyn]])</f>
        <v>Apteka Szpitalna</v>
      </c>
      <c r="I1505" s="2" t="str">
        <f>TRIM(Table1[[#This Row],[Umowa]])</f>
        <v>UM-NOV-03</v>
      </c>
      <c r="J1505" s="2" t="b">
        <f>ISTEXT(Table14[[#This Row],[Data_Wystawienia]])</f>
        <v>0</v>
      </c>
      <c r="K1505" s="2">
        <f>VALUE(SUBSTITUTE(Table14[[#This Row],[Wartość]],".",","))</f>
        <v>11387.59</v>
      </c>
      <c r="L15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5" s="2" t="str">
        <f>IF(Table14[[#This Row],[Umowa]]="","Poza umową","Z umowy")</f>
        <v>Z umowy</v>
      </c>
      <c r="N1505" s="2">
        <f>YEAR(Table14[[#This Row],[Data_Wystawienia]])</f>
        <v>2023</v>
      </c>
      <c r="O1505" s="2" t="str">
        <f>TEXT(Table14[[#This Row],[Data_Wystawienia]],"rrrr-mm")</f>
        <v>2023-06</v>
      </c>
      <c r="P1505" s="2">
        <v>1</v>
      </c>
    </row>
    <row r="1506" spans="1:16" x14ac:dyDescent="0.3">
      <c r="A1506" s="2" t="str">
        <f>TRIM(Table1[[#This Row],[Numer_FV]])</f>
        <v>FV/POL/36510/2023</v>
      </c>
      <c r="B1506" s="2" t="str">
        <f>TRIM(Table1[[#This Row],[Numer_PZ]])</f>
        <v>PZ/801504</v>
      </c>
      <c r="C1506" s="2" t="str">
        <f>TRIM(Table1[[#This Row],[Dostawca]])</f>
        <v>Polmedica</v>
      </c>
      <c r="D1506" s="3">
        <v>45106</v>
      </c>
      <c r="E1506" s="4" t="s">
        <v>4468</v>
      </c>
      <c r="F1506" s="2" t="str">
        <f>TRIM(Table1[[#This Row],[Status]])</f>
        <v>Zaakceptowana</v>
      </c>
      <c r="G1506" s="2" t="str">
        <f>TRIM(Table1[[#This Row],[Typ]])</f>
        <v>Faktura VAT</v>
      </c>
      <c r="H1506" s="2" t="str">
        <f>TRIM(Table1[[#This Row],[Magazyn]])</f>
        <v>Apteka Szpitalna</v>
      </c>
      <c r="I1506" s="2" t="str">
        <f>TRIM(Table1[[#This Row],[Umowa]])</f>
        <v>UM-POL-01</v>
      </c>
      <c r="J1506" s="2" t="b">
        <f>ISTEXT(Table14[[#This Row],[Data_Wystawienia]])</f>
        <v>0</v>
      </c>
      <c r="K1506" s="2">
        <f>VALUE(SUBSTITUTE(Table14[[#This Row],[Wartość]],".",","))</f>
        <v>15338</v>
      </c>
      <c r="L15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6" s="2" t="str">
        <f>IF(Table14[[#This Row],[Umowa]]="","Poza umową","Z umowy")</f>
        <v>Z umowy</v>
      </c>
      <c r="N1506" s="2">
        <f>YEAR(Table14[[#This Row],[Data_Wystawienia]])</f>
        <v>2023</v>
      </c>
      <c r="O1506" s="2" t="str">
        <f>TEXT(Table14[[#This Row],[Data_Wystawienia]],"rrrr-mm")</f>
        <v>2023-06</v>
      </c>
      <c r="P1506" s="2">
        <v>1</v>
      </c>
    </row>
    <row r="1507" spans="1:16" x14ac:dyDescent="0.3">
      <c r="A1507" s="2" t="str">
        <f>TRIM(Table1[[#This Row],[Numer_FV]])</f>
        <v>FV/6012/NOVA/23</v>
      </c>
      <c r="B1507" s="2" t="str">
        <f>TRIM(Table1[[#This Row],[Numer_PZ]])</f>
        <v>PZ/801505</v>
      </c>
      <c r="C1507" s="2" t="str">
        <f>TRIM(Table1[[#This Row],[Dostawca]])</f>
        <v>NovaLek</v>
      </c>
      <c r="D1507" s="3">
        <v>45106</v>
      </c>
      <c r="E1507" s="4" t="s">
        <v>4471</v>
      </c>
      <c r="F1507" s="2" t="str">
        <f>TRIM(Table1[[#This Row],[Status]])</f>
        <v>Zaakceptowana</v>
      </c>
      <c r="G1507" s="2" t="str">
        <f>TRIM(Table1[[#This Row],[Typ]])</f>
        <v>Faktura VAT</v>
      </c>
      <c r="H1507" s="2" t="str">
        <f>TRIM(Table1[[#This Row],[Magazyn]])</f>
        <v>Apteka Szpitalna</v>
      </c>
      <c r="I1507" s="2" t="str">
        <f>TRIM(Table1[[#This Row],[Umowa]])</f>
        <v/>
      </c>
      <c r="J1507" s="2" t="b">
        <f>ISTEXT(Table14[[#This Row],[Data_Wystawienia]])</f>
        <v>0</v>
      </c>
      <c r="K1507" s="2">
        <f>VALUE(SUBSTITUTE(Table14[[#This Row],[Wartość]],".",","))</f>
        <v>14533.36</v>
      </c>
      <c r="L15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7" s="2" t="str">
        <f>IF(Table14[[#This Row],[Umowa]]="","Poza umową","Z umowy")</f>
        <v>Poza umową</v>
      </c>
      <c r="N1507" s="2">
        <f>YEAR(Table14[[#This Row],[Data_Wystawienia]])</f>
        <v>2023</v>
      </c>
      <c r="O1507" s="2" t="str">
        <f>TEXT(Table14[[#This Row],[Data_Wystawienia]],"rrrr-mm")</f>
        <v>2023-06</v>
      </c>
      <c r="P1507" s="2">
        <v>1</v>
      </c>
    </row>
    <row r="1508" spans="1:16" x14ac:dyDescent="0.3">
      <c r="A1508" s="2" t="str">
        <f>TRIM(Table1[[#This Row],[Numer_FV]])</f>
        <v>FV/44/SAL/23</v>
      </c>
      <c r="B1508" s="2" t="str">
        <f>TRIM(Table1[[#This Row],[Numer_PZ]])</f>
        <v>PZ/801506</v>
      </c>
      <c r="C1508" s="2" t="str">
        <f>TRIM(Table1[[#This Row],[Dostawca]])</f>
        <v>SalusHurt</v>
      </c>
      <c r="D1508" s="3">
        <v>45107</v>
      </c>
      <c r="E1508" s="4" t="s">
        <v>4473</v>
      </c>
      <c r="F1508" s="2" t="str">
        <f>TRIM(Table1[[#This Row],[Status]])</f>
        <v>Zaakceptowana</v>
      </c>
      <c r="G1508" s="2" t="str">
        <f>TRIM(Table1[[#This Row],[Typ]])</f>
        <v>Faktura VAT</v>
      </c>
      <c r="H1508" s="2" t="str">
        <f>TRIM(Table1[[#This Row],[Magazyn]])</f>
        <v>Apteka Szpitalna</v>
      </c>
      <c r="I1508" s="2" t="str">
        <f>TRIM(Table1[[#This Row],[Umowa]])</f>
        <v>UM-SAL-02</v>
      </c>
      <c r="J1508" s="2" t="b">
        <f>ISTEXT(Table14[[#This Row],[Data_Wystawienia]])</f>
        <v>0</v>
      </c>
      <c r="K1508" s="2">
        <f>VALUE(SUBSTITUTE(Table14[[#This Row],[Wartość]],".",","))</f>
        <v>11176.24</v>
      </c>
      <c r="L15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8" s="2" t="str">
        <f>IF(Table14[[#This Row],[Umowa]]="","Poza umową","Z umowy")</f>
        <v>Z umowy</v>
      </c>
      <c r="N1508" s="2">
        <f>YEAR(Table14[[#This Row],[Data_Wystawienia]])</f>
        <v>2023</v>
      </c>
      <c r="O1508" s="2" t="str">
        <f>TEXT(Table14[[#This Row],[Data_Wystawienia]],"rrrr-mm")</f>
        <v>2023-06</v>
      </c>
      <c r="P1508" s="2">
        <v>1</v>
      </c>
    </row>
    <row r="1509" spans="1:16" x14ac:dyDescent="0.3">
      <c r="A1509" s="2" t="str">
        <f>TRIM(Table1[[#This Row],[Numer_FV]])</f>
        <v>FV/3651/NOVA/23</v>
      </c>
      <c r="B1509" s="2" t="str">
        <f>TRIM(Table1[[#This Row],[Numer_PZ]])</f>
        <v>PZ/801507</v>
      </c>
      <c r="C1509" s="2" t="str">
        <f>TRIM(Table1[[#This Row],[Dostawca]])</f>
        <v>NovaLek</v>
      </c>
      <c r="D1509" s="3">
        <v>45107</v>
      </c>
      <c r="E1509" s="4" t="s">
        <v>4476</v>
      </c>
      <c r="F1509" s="2" t="str">
        <f>TRIM(Table1[[#This Row],[Status]])</f>
        <v>Zaakceptowana</v>
      </c>
      <c r="G1509" s="2" t="str">
        <f>TRIM(Table1[[#This Row],[Typ]])</f>
        <v>Faktura VAT</v>
      </c>
      <c r="H1509" s="2" t="str">
        <f>TRIM(Table1[[#This Row],[Magazyn]])</f>
        <v>Apteka Szpitalna</v>
      </c>
      <c r="I1509" s="2" t="str">
        <f>TRIM(Table1[[#This Row],[Umowa]])</f>
        <v>UM-NOV-02</v>
      </c>
      <c r="J1509" s="2" t="b">
        <f>ISTEXT(Table14[[#This Row],[Data_Wystawienia]])</f>
        <v>0</v>
      </c>
      <c r="K1509" s="2">
        <f>VALUE(SUBSTITUTE(Table14[[#This Row],[Wartość]],".",","))</f>
        <v>18492.509999999998</v>
      </c>
      <c r="L15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09" s="2" t="str">
        <f>IF(Table14[[#This Row],[Umowa]]="","Poza umową","Z umowy")</f>
        <v>Z umowy</v>
      </c>
      <c r="N1509" s="2">
        <f>YEAR(Table14[[#This Row],[Data_Wystawienia]])</f>
        <v>2023</v>
      </c>
      <c r="O1509" s="2" t="str">
        <f>TEXT(Table14[[#This Row],[Data_Wystawienia]],"rrrr-mm")</f>
        <v>2023-06</v>
      </c>
      <c r="P1509" s="2">
        <v>1</v>
      </c>
    </row>
    <row r="1510" spans="1:16" x14ac:dyDescent="0.3">
      <c r="A1510" s="2" t="str">
        <f>TRIM(Table1[[#This Row],[Numer_FV]])</f>
        <v>FV/M/1111/P/23</v>
      </c>
      <c r="B1510" s="2" t="str">
        <f>TRIM(Table1[[#This Row],[Numer_PZ]])</f>
        <v>PZ/801508</v>
      </c>
      <c r="C1510" s="2" t="str">
        <f>TRIM(Table1[[#This Row],[Dostawca]])</f>
        <v>MedicaPharm</v>
      </c>
      <c r="D1510" s="3">
        <v>45107</v>
      </c>
      <c r="E1510" s="4" t="s">
        <v>4479</v>
      </c>
      <c r="F1510" s="2" t="str">
        <f>TRIM(Table1[[#This Row],[Status]])</f>
        <v>Zaakceptowana</v>
      </c>
      <c r="G1510" s="2" t="str">
        <f>TRIM(Table1[[#This Row],[Typ]])</f>
        <v>Faktura VAT</v>
      </c>
      <c r="H1510" s="2" t="str">
        <f>TRIM(Table1[[#This Row],[Magazyn]])</f>
        <v>Apteka Szpitalna</v>
      </c>
      <c r="I1510" s="2" t="str">
        <f>TRIM(Table1[[#This Row],[Umowa]])</f>
        <v/>
      </c>
      <c r="J1510" s="2" t="b">
        <f>ISTEXT(Table14[[#This Row],[Data_Wystawienia]])</f>
        <v>0</v>
      </c>
      <c r="K1510" s="2">
        <f>VALUE(SUBSTITUTE(Table14[[#This Row],[Wartość]],".",","))</f>
        <v>152</v>
      </c>
      <c r="L15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0" s="2" t="str">
        <f>IF(Table14[[#This Row],[Umowa]]="","Poza umową","Z umowy")</f>
        <v>Poza umową</v>
      </c>
      <c r="N1510" s="2">
        <f>YEAR(Table14[[#This Row],[Data_Wystawienia]])</f>
        <v>2023</v>
      </c>
      <c r="O1510" s="2" t="str">
        <f>TEXT(Table14[[#This Row],[Data_Wystawienia]],"rrrr-mm")</f>
        <v>2023-06</v>
      </c>
      <c r="P1510" s="2">
        <v>1</v>
      </c>
    </row>
    <row r="1511" spans="1:16" x14ac:dyDescent="0.3">
      <c r="A1511" s="2" t="str">
        <f>TRIM(Table1[[#This Row],[Numer_FV]])</f>
        <v>FV/90/SAL/23</v>
      </c>
      <c r="B1511" s="2" t="str">
        <f>TRIM(Table1[[#This Row],[Numer_PZ]])</f>
        <v>PZ/801509</v>
      </c>
      <c r="C1511" s="2" t="str">
        <f>TRIM(Table1[[#This Row],[Dostawca]])</f>
        <v>SalusHurt</v>
      </c>
      <c r="D1511" s="3">
        <v>45107</v>
      </c>
      <c r="E1511" s="4" t="s">
        <v>4482</v>
      </c>
      <c r="F1511" s="2" t="str">
        <f>TRIM(Table1[[#This Row],[Status]])</f>
        <v>Zaakceptowana</v>
      </c>
      <c r="G1511" s="2" t="str">
        <f>TRIM(Table1[[#This Row],[Typ]])</f>
        <v>Faktura VAT</v>
      </c>
      <c r="H1511" s="2" t="str">
        <f>TRIM(Table1[[#This Row],[Magazyn]])</f>
        <v>Apteka Szpitalna</v>
      </c>
      <c r="I1511" s="2" t="str">
        <f>TRIM(Table1[[#This Row],[Umowa]])</f>
        <v>UM-SAL-01</v>
      </c>
      <c r="J1511" s="2" t="b">
        <f>ISTEXT(Table14[[#This Row],[Data_Wystawienia]])</f>
        <v>0</v>
      </c>
      <c r="K1511" s="2">
        <f>VALUE(SUBSTITUTE(Table14[[#This Row],[Wartość]],".",","))</f>
        <v>9664.91</v>
      </c>
      <c r="L15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1" s="2" t="str">
        <f>IF(Table14[[#This Row],[Umowa]]="","Poza umową","Z umowy")</f>
        <v>Z umowy</v>
      </c>
      <c r="N1511" s="2">
        <f>YEAR(Table14[[#This Row],[Data_Wystawienia]])</f>
        <v>2023</v>
      </c>
      <c r="O1511" s="2" t="str">
        <f>TEXT(Table14[[#This Row],[Data_Wystawienia]],"rrrr-mm")</f>
        <v>2023-06</v>
      </c>
      <c r="P1511" s="2">
        <v>1</v>
      </c>
    </row>
    <row r="1512" spans="1:16" x14ac:dyDescent="0.3">
      <c r="A1512" s="2" t="str">
        <f>TRIM(Table1[[#This Row],[Numer_FV]])</f>
        <v>FV/CENFA/293528/23</v>
      </c>
      <c r="B1512" s="2" t="str">
        <f>TRIM(Table1[[#This Row],[Numer_PZ]])</f>
        <v>PZ/801510</v>
      </c>
      <c r="C1512" s="2" t="str">
        <f>TRIM(Table1[[#This Row],[Dostawca]])</f>
        <v>CentrumFarm</v>
      </c>
      <c r="D1512" s="3">
        <v>45107</v>
      </c>
      <c r="E1512" s="4" t="s">
        <v>4485</v>
      </c>
      <c r="F1512" s="2" t="str">
        <f>TRIM(Table1[[#This Row],[Status]])</f>
        <v>Zaakceptowana</v>
      </c>
      <c r="G1512" s="2" t="str">
        <f>TRIM(Table1[[#This Row],[Typ]])</f>
        <v>Faktura VAT</v>
      </c>
      <c r="H1512" s="2" t="str">
        <f>TRIM(Table1[[#This Row],[Magazyn]])</f>
        <v>Apteka Szpitalna</v>
      </c>
      <c r="I1512" s="2" t="str">
        <f>TRIM(Table1[[#This Row],[Umowa]])</f>
        <v>UM-CEN-01</v>
      </c>
      <c r="J1512" s="2" t="b">
        <f>ISTEXT(Table14[[#This Row],[Data_Wystawienia]])</f>
        <v>0</v>
      </c>
      <c r="K1512" s="2">
        <f>VALUE(SUBSTITUTE(Table14[[#This Row],[Wartość]],".",","))</f>
        <v>15748.8</v>
      </c>
      <c r="L15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2" s="2" t="str">
        <f>IF(Table14[[#This Row],[Umowa]]="","Poza umową","Z umowy")</f>
        <v>Z umowy</v>
      </c>
      <c r="N1512" s="2">
        <f>YEAR(Table14[[#This Row],[Data_Wystawienia]])</f>
        <v>2023</v>
      </c>
      <c r="O1512" s="2" t="str">
        <f>TEXT(Table14[[#This Row],[Data_Wystawienia]],"rrrr-mm")</f>
        <v>2023-06</v>
      </c>
      <c r="P1512" s="2">
        <v>1</v>
      </c>
    </row>
    <row r="1513" spans="1:16" x14ac:dyDescent="0.3">
      <c r="A1513" s="2" t="str">
        <f>TRIM(Table1[[#This Row],[Numer_FV]])</f>
        <v>FV/99153/VDb/2023</v>
      </c>
      <c r="B1513" s="2" t="str">
        <f>TRIM(Table1[[#This Row],[Numer_PZ]])</f>
        <v>PZ/801511</v>
      </c>
      <c r="C1513" s="2" t="str">
        <f>TRIM(Table1[[#This Row],[Dostawca]])</f>
        <v>VitaDistrib</v>
      </c>
      <c r="D1513" s="3">
        <v>45108</v>
      </c>
      <c r="E1513" s="4" t="s">
        <v>4488</v>
      </c>
      <c r="F1513" s="2" t="str">
        <f>TRIM(Table1[[#This Row],[Status]])</f>
        <v>Zaakceptowana</v>
      </c>
      <c r="G1513" s="2" t="str">
        <f>TRIM(Table1[[#This Row],[Typ]])</f>
        <v>Faktura VAT</v>
      </c>
      <c r="H1513" s="2" t="str">
        <f>TRIM(Table1[[#This Row],[Magazyn]])</f>
        <v>Apteka Szpitalna</v>
      </c>
      <c r="I1513" s="2" t="str">
        <f>TRIM(Table1[[#This Row],[Umowa]])</f>
        <v>UM-VIT-01</v>
      </c>
      <c r="J1513" s="2" t="b">
        <f>ISTEXT(Table14[[#This Row],[Data_Wystawienia]])</f>
        <v>0</v>
      </c>
      <c r="K1513" s="2">
        <f>VALUE(SUBSTITUTE(Table14[[#This Row],[Wartość]],".",","))</f>
        <v>10039.98</v>
      </c>
      <c r="L15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3" s="2" t="str">
        <f>IF(Table14[[#This Row],[Umowa]]="","Poza umową","Z umowy")</f>
        <v>Z umowy</v>
      </c>
      <c r="N1513" s="2">
        <f>YEAR(Table14[[#This Row],[Data_Wystawienia]])</f>
        <v>2023</v>
      </c>
      <c r="O1513" s="2" t="str">
        <f>TEXT(Table14[[#This Row],[Data_Wystawienia]],"rrrr-mm")</f>
        <v>2023-07</v>
      </c>
      <c r="P1513" s="2">
        <v>1</v>
      </c>
    </row>
    <row r="1514" spans="1:16" x14ac:dyDescent="0.3">
      <c r="A1514" s="2" t="str">
        <f>TRIM(Table1[[#This Row],[Numer_FV]])</f>
        <v>FV/46/PP/7054/23</v>
      </c>
      <c r="B1514" s="2" t="str">
        <f>TRIM(Table1[[#This Row],[Numer_PZ]])</f>
        <v>PZ/801512</v>
      </c>
      <c r="C1514" s="2" t="str">
        <f>TRIM(Table1[[#This Row],[Dostawca]])</f>
        <v>PharmaPlus</v>
      </c>
      <c r="D1514" s="3">
        <v>45109</v>
      </c>
      <c r="E1514" s="4" t="s">
        <v>4491</v>
      </c>
      <c r="F1514" s="2" t="str">
        <f>TRIM(Table1[[#This Row],[Status]])</f>
        <v>Zaakceptowana</v>
      </c>
      <c r="G1514" s="2" t="str">
        <f>TRIM(Table1[[#This Row],[Typ]])</f>
        <v>Faktura VAT</v>
      </c>
      <c r="H1514" s="2" t="str">
        <f>TRIM(Table1[[#This Row],[Magazyn]])</f>
        <v>Apteka Szpitalna</v>
      </c>
      <c r="I1514" s="2" t="str">
        <f>TRIM(Table1[[#This Row],[Umowa]])</f>
        <v>UM-PHA-02</v>
      </c>
      <c r="J1514" s="2" t="b">
        <f>ISTEXT(Table14[[#This Row],[Data_Wystawienia]])</f>
        <v>0</v>
      </c>
      <c r="K1514" s="2">
        <f>VALUE(SUBSTITUTE(Table14[[#This Row],[Wartość]],".",","))</f>
        <v>13875.51</v>
      </c>
      <c r="L15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4" s="2" t="str">
        <f>IF(Table14[[#This Row],[Umowa]]="","Poza umową","Z umowy")</f>
        <v>Z umowy</v>
      </c>
      <c r="N1514" s="2">
        <f>YEAR(Table14[[#This Row],[Data_Wystawienia]])</f>
        <v>2023</v>
      </c>
      <c r="O1514" s="2" t="str">
        <f>TEXT(Table14[[#This Row],[Data_Wystawienia]],"rrrr-mm")</f>
        <v>2023-07</v>
      </c>
      <c r="P1514" s="2">
        <v>1</v>
      </c>
    </row>
    <row r="1515" spans="1:16" x14ac:dyDescent="0.3">
      <c r="A1515" s="2" t="str">
        <f>TRIM(Table1[[#This Row],[Numer_FV]])</f>
        <v>FV/13110/VDb/2023</v>
      </c>
      <c r="B1515" s="2" t="str">
        <f>TRIM(Table1[[#This Row],[Numer_PZ]])</f>
        <v>PZ/801513</v>
      </c>
      <c r="C1515" s="2" t="str">
        <f>TRIM(Table1[[#This Row],[Dostawca]])</f>
        <v>VitaDistrib</v>
      </c>
      <c r="D1515" s="3">
        <v>45109</v>
      </c>
      <c r="E1515" s="4" t="s">
        <v>4494</v>
      </c>
      <c r="F1515" s="2" t="str">
        <f>TRIM(Table1[[#This Row],[Status]])</f>
        <v>Zaakceptowana</v>
      </c>
      <c r="G1515" s="2" t="str">
        <f>TRIM(Table1[[#This Row],[Typ]])</f>
        <v>Faktura VAT</v>
      </c>
      <c r="H1515" s="2" t="str">
        <f>TRIM(Table1[[#This Row],[Magazyn]])</f>
        <v>Apteka Szpitalna</v>
      </c>
      <c r="I1515" s="2" t="str">
        <f>TRIM(Table1[[#This Row],[Umowa]])</f>
        <v/>
      </c>
      <c r="J1515" s="2" t="b">
        <f>ISTEXT(Table14[[#This Row],[Data_Wystawienia]])</f>
        <v>0</v>
      </c>
      <c r="K1515" s="2">
        <f>VALUE(SUBSTITUTE(Table14[[#This Row],[Wartość]],".",","))</f>
        <v>9451.1299999999992</v>
      </c>
      <c r="L15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5" s="2" t="str">
        <f>IF(Table14[[#This Row],[Umowa]]="","Poza umową","Z umowy")</f>
        <v>Poza umową</v>
      </c>
      <c r="N1515" s="2">
        <f>YEAR(Table14[[#This Row],[Data_Wystawienia]])</f>
        <v>2023</v>
      </c>
      <c r="O1515" s="2" t="str">
        <f>TEXT(Table14[[#This Row],[Data_Wystawienia]],"rrrr-mm")</f>
        <v>2023-07</v>
      </c>
      <c r="P1515" s="2">
        <v>1</v>
      </c>
    </row>
    <row r="1516" spans="1:16" x14ac:dyDescent="0.3">
      <c r="A1516" s="2" t="str">
        <f>TRIM(Table1[[#This Row],[Numer_FV]])</f>
        <v>FV/1262/NOVA/23</v>
      </c>
      <c r="B1516" s="2" t="str">
        <f>TRIM(Table1[[#This Row],[Numer_PZ]])</f>
        <v>PZ/801514</v>
      </c>
      <c r="C1516" s="2" t="str">
        <f>TRIM(Table1[[#This Row],[Dostawca]])</f>
        <v>NovaLek</v>
      </c>
      <c r="D1516" s="3">
        <v>45109</v>
      </c>
      <c r="E1516" s="4" t="s">
        <v>4497</v>
      </c>
      <c r="F1516" s="2" t="str">
        <f>TRIM(Table1[[#This Row],[Status]])</f>
        <v>Zaakceptowana</v>
      </c>
      <c r="G1516" s="2" t="str">
        <f>TRIM(Table1[[#This Row],[Typ]])</f>
        <v>Faktura VAT</v>
      </c>
      <c r="H1516" s="2" t="str">
        <f>TRIM(Table1[[#This Row],[Magazyn]])</f>
        <v>Apteka Szpitalna</v>
      </c>
      <c r="I1516" s="2" t="str">
        <f>TRIM(Table1[[#This Row],[Umowa]])</f>
        <v/>
      </c>
      <c r="J1516" s="2" t="b">
        <f>ISTEXT(Table14[[#This Row],[Data_Wystawienia]])</f>
        <v>0</v>
      </c>
      <c r="K1516" s="2">
        <f>VALUE(SUBSTITUTE(Table14[[#This Row],[Wartość]],".",","))</f>
        <v>18882.18</v>
      </c>
      <c r="L15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6" s="2" t="str">
        <f>IF(Table14[[#This Row],[Umowa]]="","Poza umową","Z umowy")</f>
        <v>Poza umową</v>
      </c>
      <c r="N1516" s="2">
        <f>YEAR(Table14[[#This Row],[Data_Wystawienia]])</f>
        <v>2023</v>
      </c>
      <c r="O1516" s="2" t="str">
        <f>TEXT(Table14[[#This Row],[Data_Wystawienia]],"rrrr-mm")</f>
        <v>2023-07</v>
      </c>
      <c r="P1516" s="2">
        <v>1</v>
      </c>
    </row>
    <row r="1517" spans="1:16" x14ac:dyDescent="0.3">
      <c r="A1517" s="2" t="str">
        <f>TRIM(Table1[[#This Row],[Numer_FV]])</f>
        <v>FV/81675/VDb/2023</v>
      </c>
      <c r="B1517" s="2" t="str">
        <f>TRIM(Table1[[#This Row],[Numer_PZ]])</f>
        <v>PZ/801515</v>
      </c>
      <c r="C1517" s="2" t="str">
        <f>TRIM(Table1[[#This Row],[Dostawca]])</f>
        <v>VitaDistrib</v>
      </c>
      <c r="D1517" s="3">
        <v>45109</v>
      </c>
      <c r="E1517" s="4" t="s">
        <v>4500</v>
      </c>
      <c r="F1517" s="2" t="str">
        <f>TRIM(Table1[[#This Row],[Status]])</f>
        <v>Zaakceptowana</v>
      </c>
      <c r="G1517" s="2" t="str">
        <f>TRIM(Table1[[#This Row],[Typ]])</f>
        <v>Faktura VAT</v>
      </c>
      <c r="H1517" s="2" t="str">
        <f>TRIM(Table1[[#This Row],[Magazyn]])</f>
        <v>Apteka Szpitalna</v>
      </c>
      <c r="I1517" s="2" t="str">
        <f>TRIM(Table1[[#This Row],[Umowa]])</f>
        <v/>
      </c>
      <c r="J1517" s="2" t="b">
        <f>ISTEXT(Table14[[#This Row],[Data_Wystawienia]])</f>
        <v>0</v>
      </c>
      <c r="K1517" s="2">
        <f>VALUE(SUBSTITUTE(Table14[[#This Row],[Wartość]],".",","))</f>
        <v>6306.71</v>
      </c>
      <c r="L15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7" s="2" t="str">
        <f>IF(Table14[[#This Row],[Umowa]]="","Poza umową","Z umowy")</f>
        <v>Poza umową</v>
      </c>
      <c r="N1517" s="2">
        <f>YEAR(Table14[[#This Row],[Data_Wystawienia]])</f>
        <v>2023</v>
      </c>
      <c r="O1517" s="2" t="str">
        <f>TEXT(Table14[[#This Row],[Data_Wystawienia]],"rrrr-mm")</f>
        <v>2023-07</v>
      </c>
      <c r="P1517" s="2">
        <v>1</v>
      </c>
    </row>
    <row r="1518" spans="1:16" x14ac:dyDescent="0.3">
      <c r="A1518" s="2" t="str">
        <f>TRIM(Table1[[#This Row],[Numer_FV]])</f>
        <v>FV/20136/VDb/2023</v>
      </c>
      <c r="B1518" s="2" t="str">
        <f>TRIM(Table1[[#This Row],[Numer_PZ]])</f>
        <v>PZ/801516</v>
      </c>
      <c r="C1518" s="2" t="str">
        <f>TRIM(Table1[[#This Row],[Dostawca]])</f>
        <v>VitaDistrib</v>
      </c>
      <c r="D1518" s="3">
        <v>45110</v>
      </c>
      <c r="E1518" s="4" t="s">
        <v>4503</v>
      </c>
      <c r="F1518" s="2" t="str">
        <f>TRIM(Table1[[#This Row],[Status]])</f>
        <v>Zaakceptowana</v>
      </c>
      <c r="G1518" s="2" t="str">
        <f>TRIM(Table1[[#This Row],[Typ]])</f>
        <v>Faktura VAT</v>
      </c>
      <c r="H1518" s="2" t="str">
        <f>TRIM(Table1[[#This Row],[Magazyn]])</f>
        <v>Apteka Szpitalna</v>
      </c>
      <c r="I1518" s="2" t="str">
        <f>TRIM(Table1[[#This Row],[Umowa]])</f>
        <v>UM-VIT-01</v>
      </c>
      <c r="J1518" s="2" t="b">
        <f>ISTEXT(Table14[[#This Row],[Data_Wystawienia]])</f>
        <v>0</v>
      </c>
      <c r="K1518" s="2">
        <f>VALUE(SUBSTITUTE(Table14[[#This Row],[Wartość]],".",","))</f>
        <v>17060.7</v>
      </c>
      <c r="L15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8" s="2" t="str">
        <f>IF(Table14[[#This Row],[Umowa]]="","Poza umową","Z umowy")</f>
        <v>Z umowy</v>
      </c>
      <c r="N1518" s="2">
        <f>YEAR(Table14[[#This Row],[Data_Wystawienia]])</f>
        <v>2023</v>
      </c>
      <c r="O1518" s="2" t="str">
        <f>TEXT(Table14[[#This Row],[Data_Wystawienia]],"rrrr-mm")</f>
        <v>2023-07</v>
      </c>
      <c r="P1518" s="2">
        <v>1</v>
      </c>
    </row>
    <row r="1519" spans="1:16" x14ac:dyDescent="0.3">
      <c r="A1519" s="2" t="str">
        <f>TRIM(Table1[[#This Row],[Numer_FV]])</f>
        <v>FV/CENFA/675196/23</v>
      </c>
      <c r="B1519" s="2" t="str">
        <f>TRIM(Table1[[#This Row],[Numer_PZ]])</f>
        <v>PZ/801517</v>
      </c>
      <c r="C1519" s="2" t="str">
        <f>TRIM(Table1[[#This Row],[Dostawca]])</f>
        <v>CentrumFarm</v>
      </c>
      <c r="D1519" s="3">
        <v>45110</v>
      </c>
      <c r="E1519" s="4" t="s">
        <v>4506</v>
      </c>
      <c r="F1519" s="2" t="str">
        <f>TRIM(Table1[[#This Row],[Status]])</f>
        <v>Zaakceptowana</v>
      </c>
      <c r="G1519" s="2" t="str">
        <f>TRIM(Table1[[#This Row],[Typ]])</f>
        <v>Faktura VAT</v>
      </c>
      <c r="H1519" s="2" t="str">
        <f>TRIM(Table1[[#This Row],[Magazyn]])</f>
        <v>Apteka Szpitalna</v>
      </c>
      <c r="I1519" s="2" t="str">
        <f>TRIM(Table1[[#This Row],[Umowa]])</f>
        <v>UM-CEN-02</v>
      </c>
      <c r="J1519" s="2" t="b">
        <f>ISTEXT(Table14[[#This Row],[Data_Wystawienia]])</f>
        <v>0</v>
      </c>
      <c r="K1519" s="2">
        <f>VALUE(SUBSTITUTE(Table14[[#This Row],[Wartość]],".",","))</f>
        <v>14105.72</v>
      </c>
      <c r="L15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19" s="2" t="str">
        <f>IF(Table14[[#This Row],[Umowa]]="","Poza umową","Z umowy")</f>
        <v>Z umowy</v>
      </c>
      <c r="N1519" s="2">
        <f>YEAR(Table14[[#This Row],[Data_Wystawienia]])</f>
        <v>2023</v>
      </c>
      <c r="O1519" s="2" t="str">
        <f>TEXT(Table14[[#This Row],[Data_Wystawienia]],"rrrr-mm")</f>
        <v>2023-07</v>
      </c>
      <c r="P1519" s="2">
        <v>1</v>
      </c>
    </row>
    <row r="1520" spans="1:16" x14ac:dyDescent="0.3">
      <c r="A1520" s="2" t="str">
        <f>TRIM(Table1[[#This Row],[Numer_FV]])</f>
        <v>FV/CENFA/625904/23</v>
      </c>
      <c r="B1520" s="2" t="str">
        <f>TRIM(Table1[[#This Row],[Numer_PZ]])</f>
        <v>PZ/801518</v>
      </c>
      <c r="C1520" s="2" t="str">
        <f>TRIM(Table1[[#This Row],[Dostawca]])</f>
        <v>CentrumFarm</v>
      </c>
      <c r="D1520" s="3">
        <v>45110</v>
      </c>
      <c r="E1520" s="4" t="s">
        <v>4509</v>
      </c>
      <c r="F1520" s="2" t="str">
        <f>TRIM(Table1[[#This Row],[Status]])</f>
        <v>Zaakceptowana</v>
      </c>
      <c r="G1520" s="2" t="str">
        <f>TRIM(Table1[[#This Row],[Typ]])</f>
        <v>Faktura VAT</v>
      </c>
      <c r="H1520" s="2" t="str">
        <f>TRIM(Table1[[#This Row],[Magazyn]])</f>
        <v>Apteka Szpitalna</v>
      </c>
      <c r="I1520" s="2" t="str">
        <f>TRIM(Table1[[#This Row],[Umowa]])</f>
        <v>UM-CEN-02</v>
      </c>
      <c r="J1520" s="2" t="b">
        <f>ISTEXT(Table14[[#This Row],[Data_Wystawienia]])</f>
        <v>0</v>
      </c>
      <c r="K1520" s="2">
        <f>VALUE(SUBSTITUTE(Table14[[#This Row],[Wartość]],".",","))</f>
        <v>8192.7099999999991</v>
      </c>
      <c r="L15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0" s="2" t="str">
        <f>IF(Table14[[#This Row],[Umowa]]="","Poza umową","Z umowy")</f>
        <v>Z umowy</v>
      </c>
      <c r="N1520" s="2">
        <f>YEAR(Table14[[#This Row],[Data_Wystawienia]])</f>
        <v>2023</v>
      </c>
      <c r="O1520" s="2" t="str">
        <f>TEXT(Table14[[#This Row],[Data_Wystawienia]],"rrrr-mm")</f>
        <v>2023-07</v>
      </c>
      <c r="P1520" s="2">
        <v>1</v>
      </c>
    </row>
    <row r="1521" spans="1:16" x14ac:dyDescent="0.3">
      <c r="A1521" s="2" t="str">
        <f>TRIM(Table1[[#This Row],[Numer_FV]])</f>
        <v>FV/CENFA/634610/23</v>
      </c>
      <c r="B1521" s="2" t="str">
        <f>TRIM(Table1[[#This Row],[Numer_PZ]])</f>
        <v>PZ/801519</v>
      </c>
      <c r="C1521" s="2" t="str">
        <f>TRIM(Table1[[#This Row],[Dostawca]])</f>
        <v>CentrumFarm</v>
      </c>
      <c r="D1521" s="3">
        <v>45111</v>
      </c>
      <c r="E1521" s="4" t="s">
        <v>4512</v>
      </c>
      <c r="F1521" s="2" t="str">
        <f>TRIM(Table1[[#This Row],[Status]])</f>
        <v>Zaakceptowana</v>
      </c>
      <c r="G1521" s="2" t="str">
        <f>TRIM(Table1[[#This Row],[Typ]])</f>
        <v>Faktura VAT</v>
      </c>
      <c r="H1521" s="2" t="str">
        <f>TRIM(Table1[[#This Row],[Magazyn]])</f>
        <v>Apteka Szpitalna</v>
      </c>
      <c r="I1521" s="2" t="str">
        <f>TRIM(Table1[[#This Row],[Umowa]])</f>
        <v/>
      </c>
      <c r="J1521" s="2" t="b">
        <f>ISTEXT(Table14[[#This Row],[Data_Wystawienia]])</f>
        <v>0</v>
      </c>
      <c r="K1521" s="2">
        <f>VALUE(SUBSTITUTE(Table14[[#This Row],[Wartość]],".",","))</f>
        <v>15334.87</v>
      </c>
      <c r="L15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1" s="2" t="str">
        <f>IF(Table14[[#This Row],[Umowa]]="","Poza umową","Z umowy")</f>
        <v>Poza umową</v>
      </c>
      <c r="N1521" s="2">
        <f>YEAR(Table14[[#This Row],[Data_Wystawienia]])</f>
        <v>2023</v>
      </c>
      <c r="O1521" s="2" t="str">
        <f>TEXT(Table14[[#This Row],[Data_Wystawienia]],"rrrr-mm")</f>
        <v>2023-07</v>
      </c>
      <c r="P1521" s="2">
        <v>1</v>
      </c>
    </row>
    <row r="1522" spans="1:16" x14ac:dyDescent="0.3">
      <c r="A1522" s="2" t="str">
        <f>TRIM(Table1[[#This Row],[Numer_FV]])</f>
        <v>FV/CENFA/229966/23</v>
      </c>
      <c r="B1522" s="2" t="str">
        <f>TRIM(Table1[[#This Row],[Numer_PZ]])</f>
        <v>PZ/801520</v>
      </c>
      <c r="C1522" s="2" t="str">
        <f>TRIM(Table1[[#This Row],[Dostawca]])</f>
        <v>CentrumFarm</v>
      </c>
      <c r="D1522" s="3">
        <v>45111</v>
      </c>
      <c r="E1522" s="4" t="s">
        <v>4515</v>
      </c>
      <c r="F1522" s="2" t="str">
        <f>TRIM(Table1[[#This Row],[Status]])</f>
        <v>Zaakceptowana</v>
      </c>
      <c r="G1522" s="2" t="str">
        <f>TRIM(Table1[[#This Row],[Typ]])</f>
        <v>Faktura VAT</v>
      </c>
      <c r="H1522" s="2" t="str">
        <f>TRIM(Table1[[#This Row],[Magazyn]])</f>
        <v>Apteka Szpitalna</v>
      </c>
      <c r="I1522" s="2" t="str">
        <f>TRIM(Table1[[#This Row],[Umowa]])</f>
        <v>UM-CEN-01</v>
      </c>
      <c r="J1522" s="2" t="b">
        <f>ISTEXT(Table14[[#This Row],[Data_Wystawienia]])</f>
        <v>0</v>
      </c>
      <c r="K1522" s="2">
        <f>VALUE(SUBSTITUTE(Table14[[#This Row],[Wartość]],".",","))</f>
        <v>9280.16</v>
      </c>
      <c r="L15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2" s="2" t="str">
        <f>IF(Table14[[#This Row],[Umowa]]="","Poza umową","Z umowy")</f>
        <v>Z umowy</v>
      </c>
      <c r="N1522" s="2">
        <f>YEAR(Table14[[#This Row],[Data_Wystawienia]])</f>
        <v>2023</v>
      </c>
      <c r="O1522" s="2" t="str">
        <f>TEXT(Table14[[#This Row],[Data_Wystawienia]],"rrrr-mm")</f>
        <v>2023-07</v>
      </c>
      <c r="P1522" s="2">
        <v>1</v>
      </c>
    </row>
    <row r="1523" spans="1:16" x14ac:dyDescent="0.3">
      <c r="A1523" s="2" t="str">
        <f>TRIM(Table1[[#This Row],[Numer_FV]])</f>
        <v>FV/85/SAL/23</v>
      </c>
      <c r="B1523" s="2" t="str">
        <f>TRIM(Table1[[#This Row],[Numer_PZ]])</f>
        <v>PZ/801521</v>
      </c>
      <c r="C1523" s="2" t="str">
        <f>TRIM(Table1[[#This Row],[Dostawca]])</f>
        <v>SalusHurt</v>
      </c>
      <c r="D1523" s="3">
        <v>45111</v>
      </c>
      <c r="E1523" s="4" t="s">
        <v>4517</v>
      </c>
      <c r="F1523" s="2" t="str">
        <f>TRIM(Table1[[#This Row],[Status]])</f>
        <v>Zaakceptowana</v>
      </c>
      <c r="G1523" s="2" t="str">
        <f>TRIM(Table1[[#This Row],[Typ]])</f>
        <v>Faktura VAT</v>
      </c>
      <c r="H1523" s="2" t="str">
        <f>TRIM(Table1[[#This Row],[Magazyn]])</f>
        <v>Apteka Szpitalna</v>
      </c>
      <c r="I1523" s="2" t="str">
        <f>TRIM(Table1[[#This Row],[Umowa]])</f>
        <v>UM-SAL-01</v>
      </c>
      <c r="J1523" s="2" t="b">
        <f>ISTEXT(Table14[[#This Row],[Data_Wystawienia]])</f>
        <v>0</v>
      </c>
      <c r="K1523" s="2">
        <f>VALUE(SUBSTITUTE(Table14[[#This Row],[Wartość]],".",","))</f>
        <v>22703.53</v>
      </c>
      <c r="L15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3" s="2" t="str">
        <f>IF(Table14[[#This Row],[Umowa]]="","Poza umową","Z umowy")</f>
        <v>Z umowy</v>
      </c>
      <c r="N1523" s="2">
        <f>YEAR(Table14[[#This Row],[Data_Wystawienia]])</f>
        <v>2023</v>
      </c>
      <c r="O1523" s="2" t="str">
        <f>TEXT(Table14[[#This Row],[Data_Wystawienia]],"rrrr-mm")</f>
        <v>2023-07</v>
      </c>
      <c r="P1523" s="2">
        <v>1</v>
      </c>
    </row>
    <row r="1524" spans="1:16" x14ac:dyDescent="0.3">
      <c r="A1524" s="2" t="str">
        <f>TRIM(Table1[[#This Row],[Numer_FV]])</f>
        <v>FV/M/3165/P/23</v>
      </c>
      <c r="B1524" s="2" t="str">
        <f>TRIM(Table1[[#This Row],[Numer_PZ]])</f>
        <v>PZ/801522</v>
      </c>
      <c r="C1524" s="2" t="str">
        <f>TRIM(Table1[[#This Row],[Dostawca]])</f>
        <v>MedicaPharm</v>
      </c>
      <c r="D1524" s="3">
        <v>45111</v>
      </c>
      <c r="E1524" s="4" t="s">
        <v>4520</v>
      </c>
      <c r="F1524" s="2" t="str">
        <f>TRIM(Table1[[#This Row],[Status]])</f>
        <v>Zaakceptowana</v>
      </c>
      <c r="G1524" s="2" t="str">
        <f>TRIM(Table1[[#This Row],[Typ]])</f>
        <v>Faktura VAT</v>
      </c>
      <c r="H1524" s="2" t="str">
        <f>TRIM(Table1[[#This Row],[Magazyn]])</f>
        <v>Apteka Szpitalna</v>
      </c>
      <c r="I1524" s="2" t="str">
        <f>TRIM(Table1[[#This Row],[Umowa]])</f>
        <v>UM-MED-02</v>
      </c>
      <c r="J1524" s="2" t="b">
        <f>ISTEXT(Table14[[#This Row],[Data_Wystawienia]])</f>
        <v>0</v>
      </c>
      <c r="K1524" s="2">
        <f>VALUE(SUBSTITUTE(Table14[[#This Row],[Wartość]],".",","))</f>
        <v>20986.080000000002</v>
      </c>
      <c r="L15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4" s="2" t="str">
        <f>IF(Table14[[#This Row],[Umowa]]="","Poza umową","Z umowy")</f>
        <v>Z umowy</v>
      </c>
      <c r="N1524" s="2">
        <f>YEAR(Table14[[#This Row],[Data_Wystawienia]])</f>
        <v>2023</v>
      </c>
      <c r="O1524" s="2" t="str">
        <f>TEXT(Table14[[#This Row],[Data_Wystawienia]],"rrrr-mm")</f>
        <v>2023-07</v>
      </c>
      <c r="P1524" s="2">
        <v>1</v>
      </c>
    </row>
    <row r="1525" spans="1:16" x14ac:dyDescent="0.3">
      <c r="A1525" s="2" t="str">
        <f>TRIM(Table1[[#This Row],[Numer_FV]])</f>
        <v>FV/8876HM/23</v>
      </c>
      <c r="B1525" s="2" t="str">
        <f>TRIM(Table1[[#This Row],[Numer_PZ]])</f>
        <v>PZ/801523</v>
      </c>
      <c r="C1525" s="2" t="str">
        <f>TRIM(Table1[[#This Row],[Dostawca]])</f>
        <v>HurtMedix</v>
      </c>
      <c r="D1525" s="3">
        <v>45113</v>
      </c>
      <c r="E1525" s="4" t="s">
        <v>4523</v>
      </c>
      <c r="F1525" s="2" t="str">
        <f>TRIM(Table1[[#This Row],[Status]])</f>
        <v>Zaakceptowana</v>
      </c>
      <c r="G1525" s="2" t="str">
        <f>TRIM(Table1[[#This Row],[Typ]])</f>
        <v>Faktura VAT</v>
      </c>
      <c r="H1525" s="2" t="str">
        <f>TRIM(Table1[[#This Row],[Magazyn]])</f>
        <v>Apteka Szpitalna</v>
      </c>
      <c r="I1525" s="2" t="str">
        <f>TRIM(Table1[[#This Row],[Umowa]])</f>
        <v>UM-HUR-03</v>
      </c>
      <c r="J1525" s="2" t="b">
        <f>ISTEXT(Table14[[#This Row],[Data_Wystawienia]])</f>
        <v>0</v>
      </c>
      <c r="K1525" s="2">
        <f>VALUE(SUBSTITUTE(Table14[[#This Row],[Wartość]],".",","))</f>
        <v>15145.9</v>
      </c>
      <c r="L15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5" s="2" t="str">
        <f>IF(Table14[[#This Row],[Umowa]]="","Poza umową","Z umowy")</f>
        <v>Z umowy</v>
      </c>
      <c r="N1525" s="2">
        <f>YEAR(Table14[[#This Row],[Data_Wystawienia]])</f>
        <v>2023</v>
      </c>
      <c r="O1525" s="2" t="str">
        <f>TEXT(Table14[[#This Row],[Data_Wystawienia]],"rrrr-mm")</f>
        <v>2023-07</v>
      </c>
      <c r="P1525" s="2">
        <v>1</v>
      </c>
    </row>
    <row r="1526" spans="1:16" x14ac:dyDescent="0.3">
      <c r="A1526" s="2" t="str">
        <f>TRIM(Table1[[#This Row],[Numer_FV]])</f>
        <v>FV/M/3025/P/23</v>
      </c>
      <c r="B1526" s="2" t="str">
        <f>TRIM(Table1[[#This Row],[Numer_PZ]])</f>
        <v>PZ/801524</v>
      </c>
      <c r="C1526" s="2" t="str">
        <f>TRIM(Table1[[#This Row],[Dostawca]])</f>
        <v>MedicaPharm</v>
      </c>
      <c r="D1526" s="3">
        <v>45113</v>
      </c>
      <c r="E1526" s="4" t="s">
        <v>4526</v>
      </c>
      <c r="F1526" s="2" t="str">
        <f>TRIM(Table1[[#This Row],[Status]])</f>
        <v>Zaakceptowana</v>
      </c>
      <c r="G1526" s="2" t="str">
        <f>TRIM(Table1[[#This Row],[Typ]])</f>
        <v>Faktura VAT</v>
      </c>
      <c r="H1526" s="2" t="str">
        <f>TRIM(Table1[[#This Row],[Magazyn]])</f>
        <v>Apteka Szpitalna</v>
      </c>
      <c r="I1526" s="2" t="str">
        <f>TRIM(Table1[[#This Row],[Umowa]])</f>
        <v>UM-MED-01</v>
      </c>
      <c r="J1526" s="2" t="b">
        <f>ISTEXT(Table14[[#This Row],[Data_Wystawienia]])</f>
        <v>0</v>
      </c>
      <c r="K1526" s="2">
        <f>VALUE(SUBSTITUTE(Table14[[#This Row],[Wartość]],".",","))</f>
        <v>16525.96</v>
      </c>
      <c r="L15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6" s="2" t="str">
        <f>IF(Table14[[#This Row],[Umowa]]="","Poza umową","Z umowy")</f>
        <v>Z umowy</v>
      </c>
      <c r="N1526" s="2">
        <f>YEAR(Table14[[#This Row],[Data_Wystawienia]])</f>
        <v>2023</v>
      </c>
      <c r="O1526" s="2" t="str">
        <f>TEXT(Table14[[#This Row],[Data_Wystawienia]],"rrrr-mm")</f>
        <v>2023-07</v>
      </c>
      <c r="P1526" s="2">
        <v>1</v>
      </c>
    </row>
    <row r="1527" spans="1:16" x14ac:dyDescent="0.3">
      <c r="A1527" s="2" t="str">
        <f>TRIM(Table1[[#This Row],[Numer_FV]])</f>
        <v>FV/CENFA/167592/23</v>
      </c>
      <c r="B1527" s="2" t="str">
        <f>TRIM(Table1[[#This Row],[Numer_PZ]])</f>
        <v>PZ/801525</v>
      </c>
      <c r="C1527" s="2" t="str">
        <f>TRIM(Table1[[#This Row],[Dostawca]])</f>
        <v>CentrumFarm</v>
      </c>
      <c r="D1527" s="3">
        <v>45113</v>
      </c>
      <c r="E1527" s="4" t="s">
        <v>4529</v>
      </c>
      <c r="F1527" s="2" t="str">
        <f>TRIM(Table1[[#This Row],[Status]])</f>
        <v>Zaakceptowana</v>
      </c>
      <c r="G1527" s="2" t="str">
        <f>TRIM(Table1[[#This Row],[Typ]])</f>
        <v>Faktura VAT</v>
      </c>
      <c r="H1527" s="2" t="str">
        <f>TRIM(Table1[[#This Row],[Magazyn]])</f>
        <v>Apteka Szpitalna</v>
      </c>
      <c r="I1527" s="2" t="str">
        <f>TRIM(Table1[[#This Row],[Umowa]])</f>
        <v>UM-CEN-02</v>
      </c>
      <c r="J1527" s="2" t="b">
        <f>ISTEXT(Table14[[#This Row],[Data_Wystawienia]])</f>
        <v>0</v>
      </c>
      <c r="K1527" s="2">
        <f>VALUE(SUBSTITUTE(Table14[[#This Row],[Wartość]],".",","))</f>
        <v>18351.47</v>
      </c>
      <c r="L15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7" s="2" t="str">
        <f>IF(Table14[[#This Row],[Umowa]]="","Poza umową","Z umowy")</f>
        <v>Z umowy</v>
      </c>
      <c r="N1527" s="2">
        <f>YEAR(Table14[[#This Row],[Data_Wystawienia]])</f>
        <v>2023</v>
      </c>
      <c r="O1527" s="2" t="str">
        <f>TEXT(Table14[[#This Row],[Data_Wystawienia]],"rrrr-mm")</f>
        <v>2023-07</v>
      </c>
      <c r="P1527" s="2">
        <v>1</v>
      </c>
    </row>
    <row r="1528" spans="1:16" x14ac:dyDescent="0.3">
      <c r="A1528" s="2" t="str">
        <f>TRIM(Table1[[#This Row],[Numer_FV]])</f>
        <v>FV/6031HM/23</v>
      </c>
      <c r="B1528" s="2" t="str">
        <f>TRIM(Table1[[#This Row],[Numer_PZ]])</f>
        <v>PZ/801526</v>
      </c>
      <c r="C1528" s="2" t="str">
        <f>TRIM(Table1[[#This Row],[Dostawca]])</f>
        <v>HurtMedix</v>
      </c>
      <c r="D1528" s="3">
        <v>45113</v>
      </c>
      <c r="E1528" s="4" t="s">
        <v>4532</v>
      </c>
      <c r="F1528" s="2" t="str">
        <f>TRIM(Table1[[#This Row],[Status]])</f>
        <v>Zaakceptowana</v>
      </c>
      <c r="G1528" s="2" t="str">
        <f>TRIM(Table1[[#This Row],[Typ]])</f>
        <v>Faktura VAT</v>
      </c>
      <c r="H1528" s="2" t="str">
        <f>TRIM(Table1[[#This Row],[Magazyn]])</f>
        <v>Apteka Szpitalna</v>
      </c>
      <c r="I1528" s="2" t="str">
        <f>TRIM(Table1[[#This Row],[Umowa]])</f>
        <v/>
      </c>
      <c r="J1528" s="2" t="b">
        <f>ISTEXT(Table14[[#This Row],[Data_Wystawienia]])</f>
        <v>0</v>
      </c>
      <c r="K1528" s="2">
        <f>VALUE(SUBSTITUTE(Table14[[#This Row],[Wartość]],".",","))</f>
        <v>17415.310000000001</v>
      </c>
      <c r="L15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8" s="2" t="str">
        <f>IF(Table14[[#This Row],[Umowa]]="","Poza umową","Z umowy")</f>
        <v>Poza umową</v>
      </c>
      <c r="N1528" s="2">
        <f>YEAR(Table14[[#This Row],[Data_Wystawienia]])</f>
        <v>2023</v>
      </c>
      <c r="O1528" s="2" t="str">
        <f>TEXT(Table14[[#This Row],[Data_Wystawienia]],"rrrr-mm")</f>
        <v>2023-07</v>
      </c>
      <c r="P1528" s="2">
        <v>1</v>
      </c>
    </row>
    <row r="1529" spans="1:16" x14ac:dyDescent="0.3">
      <c r="A1529" s="2" t="str">
        <f>TRIM(Table1[[#This Row],[Numer_FV]])</f>
        <v>FV/85/SAL/23</v>
      </c>
      <c r="B1529" s="2" t="str">
        <f>TRIM(Table1[[#This Row],[Numer_PZ]])</f>
        <v>PZ/801527</v>
      </c>
      <c r="C1529" s="2" t="str">
        <f>TRIM(Table1[[#This Row],[Dostawca]])</f>
        <v>SalusHurt</v>
      </c>
      <c r="D1529" s="3">
        <v>45114</v>
      </c>
      <c r="E1529" s="4" t="s">
        <v>4534</v>
      </c>
      <c r="F1529" s="2" t="str">
        <f>TRIM(Table1[[#This Row],[Status]])</f>
        <v>Zaakceptowana</v>
      </c>
      <c r="G1529" s="2" t="str">
        <f>TRIM(Table1[[#This Row],[Typ]])</f>
        <v>Faktura VAT</v>
      </c>
      <c r="H1529" s="2" t="str">
        <f>TRIM(Table1[[#This Row],[Magazyn]])</f>
        <v>Apteka Szpitalna</v>
      </c>
      <c r="I1529" s="2" t="str">
        <f>TRIM(Table1[[#This Row],[Umowa]])</f>
        <v>UM-SAL-01</v>
      </c>
      <c r="J1529" s="2" t="b">
        <f>ISTEXT(Table14[[#This Row],[Data_Wystawienia]])</f>
        <v>0</v>
      </c>
      <c r="K1529" s="2">
        <f>VALUE(SUBSTITUTE(Table14[[#This Row],[Wartość]],".",","))</f>
        <v>17556.34</v>
      </c>
      <c r="L15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29" s="2" t="str">
        <f>IF(Table14[[#This Row],[Umowa]]="","Poza umową","Z umowy")</f>
        <v>Z umowy</v>
      </c>
      <c r="N1529" s="2">
        <f>YEAR(Table14[[#This Row],[Data_Wystawienia]])</f>
        <v>2023</v>
      </c>
      <c r="O1529" s="2" t="str">
        <f>TEXT(Table14[[#This Row],[Data_Wystawienia]],"rrrr-mm")</f>
        <v>2023-07</v>
      </c>
      <c r="P1529" s="2">
        <v>1</v>
      </c>
    </row>
    <row r="1530" spans="1:16" x14ac:dyDescent="0.3">
      <c r="A1530" s="2" t="str">
        <f>TRIM(Table1[[#This Row],[Numer_FV]])</f>
        <v>FV/75/SAL/23</v>
      </c>
      <c r="B1530" s="2" t="str">
        <f>TRIM(Table1[[#This Row],[Numer_PZ]])</f>
        <v>PZ/801528</v>
      </c>
      <c r="C1530" s="2" t="str">
        <f>TRIM(Table1[[#This Row],[Dostawca]])</f>
        <v>SalusHurt</v>
      </c>
      <c r="D1530" s="3">
        <v>45114</v>
      </c>
      <c r="E1530" s="4" t="s">
        <v>4536</v>
      </c>
      <c r="F1530" s="2" t="str">
        <f>TRIM(Table1[[#This Row],[Status]])</f>
        <v>Zaakceptowana</v>
      </c>
      <c r="G1530" s="2" t="str">
        <f>TRIM(Table1[[#This Row],[Typ]])</f>
        <v>Faktura VAT</v>
      </c>
      <c r="H1530" s="2" t="str">
        <f>TRIM(Table1[[#This Row],[Magazyn]])</f>
        <v>Apteka Szpitalna</v>
      </c>
      <c r="I1530" s="2" t="str">
        <f>TRIM(Table1[[#This Row],[Umowa]])</f>
        <v>UM-SAL-01</v>
      </c>
      <c r="J1530" s="2" t="b">
        <f>ISTEXT(Table14[[#This Row],[Data_Wystawienia]])</f>
        <v>0</v>
      </c>
      <c r="K1530" s="2">
        <f>VALUE(SUBSTITUTE(Table14[[#This Row],[Wartość]],".",","))</f>
        <v>8736.89</v>
      </c>
      <c r="L15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0" s="2" t="str">
        <f>IF(Table14[[#This Row],[Umowa]]="","Poza umową","Z umowy")</f>
        <v>Z umowy</v>
      </c>
      <c r="N1530" s="2">
        <f>YEAR(Table14[[#This Row],[Data_Wystawienia]])</f>
        <v>2023</v>
      </c>
      <c r="O1530" s="2" t="str">
        <f>TEXT(Table14[[#This Row],[Data_Wystawienia]],"rrrr-mm")</f>
        <v>2023-07</v>
      </c>
      <c r="P1530" s="2">
        <v>1</v>
      </c>
    </row>
    <row r="1531" spans="1:16" x14ac:dyDescent="0.3">
      <c r="A1531" s="2" t="str">
        <f>TRIM(Table1[[#This Row],[Numer_FV]])</f>
        <v>FV/CENFA/411100/23</v>
      </c>
      <c r="B1531" s="2" t="str">
        <f>TRIM(Table1[[#This Row],[Numer_PZ]])</f>
        <v>PZ/801529</v>
      </c>
      <c r="C1531" s="2" t="str">
        <f>TRIM(Table1[[#This Row],[Dostawca]])</f>
        <v>CentrumFarm</v>
      </c>
      <c r="D1531" s="3">
        <v>45114</v>
      </c>
      <c r="E1531" s="4" t="s">
        <v>4539</v>
      </c>
      <c r="F1531" s="2" t="str">
        <f>TRIM(Table1[[#This Row],[Status]])</f>
        <v>Zaakceptowana</v>
      </c>
      <c r="G1531" s="2" t="str">
        <f>TRIM(Table1[[#This Row],[Typ]])</f>
        <v>Faktura VAT</v>
      </c>
      <c r="H1531" s="2" t="str">
        <f>TRIM(Table1[[#This Row],[Magazyn]])</f>
        <v>Apteka Szpitalna</v>
      </c>
      <c r="I1531" s="2" t="str">
        <f>TRIM(Table1[[#This Row],[Umowa]])</f>
        <v/>
      </c>
      <c r="J1531" s="2" t="b">
        <f>ISTEXT(Table14[[#This Row],[Data_Wystawienia]])</f>
        <v>0</v>
      </c>
      <c r="K1531" s="2">
        <f>VALUE(SUBSTITUTE(Table14[[#This Row],[Wartość]],".",","))</f>
        <v>26704.77</v>
      </c>
      <c r="L15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1" s="2" t="str">
        <f>IF(Table14[[#This Row],[Umowa]]="","Poza umową","Z umowy")</f>
        <v>Poza umową</v>
      </c>
      <c r="N1531" s="2">
        <f>YEAR(Table14[[#This Row],[Data_Wystawienia]])</f>
        <v>2023</v>
      </c>
      <c r="O1531" s="2" t="str">
        <f>TEXT(Table14[[#This Row],[Data_Wystawienia]],"rrrr-mm")</f>
        <v>2023-07</v>
      </c>
      <c r="P1531" s="2">
        <v>1</v>
      </c>
    </row>
    <row r="1532" spans="1:16" x14ac:dyDescent="0.3">
      <c r="A1532" s="2" t="str">
        <f>TRIM(Table1[[#This Row],[Numer_FV]])</f>
        <v>FV/69/SAL/23</v>
      </c>
      <c r="B1532" s="2" t="str">
        <f>TRIM(Table1[[#This Row],[Numer_PZ]])</f>
        <v>PZ/801530</v>
      </c>
      <c r="C1532" s="2" t="str">
        <f>TRIM(Table1[[#This Row],[Dostawca]])</f>
        <v>SalusHurt</v>
      </c>
      <c r="D1532" s="3">
        <v>45115</v>
      </c>
      <c r="E1532" s="4" t="s">
        <v>4541</v>
      </c>
      <c r="F1532" s="2" t="str">
        <f>TRIM(Table1[[#This Row],[Status]])</f>
        <v>Zaakceptowana</v>
      </c>
      <c r="G1532" s="2" t="str">
        <f>TRIM(Table1[[#This Row],[Typ]])</f>
        <v>Faktura VAT</v>
      </c>
      <c r="H1532" s="2" t="str">
        <f>TRIM(Table1[[#This Row],[Magazyn]])</f>
        <v>Apteka Szpitalna</v>
      </c>
      <c r="I1532" s="2" t="str">
        <f>TRIM(Table1[[#This Row],[Umowa]])</f>
        <v/>
      </c>
      <c r="J1532" s="2" t="b">
        <f>ISTEXT(Table14[[#This Row],[Data_Wystawienia]])</f>
        <v>0</v>
      </c>
      <c r="K1532" s="2">
        <f>VALUE(SUBSTITUTE(Table14[[#This Row],[Wartość]],".",","))</f>
        <v>4920.1400000000003</v>
      </c>
      <c r="L15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2" s="2" t="str">
        <f>IF(Table14[[#This Row],[Umowa]]="","Poza umową","Z umowy")</f>
        <v>Poza umową</v>
      </c>
      <c r="N1532" s="2">
        <f>YEAR(Table14[[#This Row],[Data_Wystawienia]])</f>
        <v>2023</v>
      </c>
      <c r="O1532" s="2" t="str">
        <f>TEXT(Table14[[#This Row],[Data_Wystawienia]],"rrrr-mm")</f>
        <v>2023-07</v>
      </c>
      <c r="P1532" s="2">
        <v>1</v>
      </c>
    </row>
    <row r="1533" spans="1:16" x14ac:dyDescent="0.3">
      <c r="A1533" s="2" t="str">
        <f>TRIM(Table1[[#This Row],[Numer_FV]])</f>
        <v>FV/POL/89420/2023</v>
      </c>
      <c r="B1533" s="2" t="str">
        <f>TRIM(Table1[[#This Row],[Numer_PZ]])</f>
        <v>PZ/801531</v>
      </c>
      <c r="C1533" s="2" t="str">
        <f>TRIM(Table1[[#This Row],[Dostawca]])</f>
        <v>Polmedica</v>
      </c>
      <c r="D1533" s="3">
        <v>45115</v>
      </c>
      <c r="E1533" s="4" t="s">
        <v>4544</v>
      </c>
      <c r="F1533" s="2" t="str">
        <f>TRIM(Table1[[#This Row],[Status]])</f>
        <v>Zaakceptowana</v>
      </c>
      <c r="G1533" s="2" t="str">
        <f>TRIM(Table1[[#This Row],[Typ]])</f>
        <v>Faktura VAT</v>
      </c>
      <c r="H1533" s="2" t="str">
        <f>TRIM(Table1[[#This Row],[Magazyn]])</f>
        <v>Apteka Szpitalna</v>
      </c>
      <c r="I1533" s="2" t="str">
        <f>TRIM(Table1[[#This Row],[Umowa]])</f>
        <v/>
      </c>
      <c r="J1533" s="2" t="b">
        <f>ISTEXT(Table14[[#This Row],[Data_Wystawienia]])</f>
        <v>0</v>
      </c>
      <c r="K1533" s="2">
        <f>VALUE(SUBSTITUTE(Table14[[#This Row],[Wartość]],".",","))</f>
        <v>12548.2</v>
      </c>
      <c r="L15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3" s="2" t="str">
        <f>IF(Table14[[#This Row],[Umowa]]="","Poza umową","Z umowy")</f>
        <v>Poza umową</v>
      </c>
      <c r="N1533" s="2">
        <f>YEAR(Table14[[#This Row],[Data_Wystawienia]])</f>
        <v>2023</v>
      </c>
      <c r="O1533" s="2" t="str">
        <f>TEXT(Table14[[#This Row],[Data_Wystawienia]],"rrrr-mm")</f>
        <v>2023-07</v>
      </c>
      <c r="P1533" s="2">
        <v>1</v>
      </c>
    </row>
    <row r="1534" spans="1:16" x14ac:dyDescent="0.3">
      <c r="A1534" s="2" t="str">
        <f>TRIM(Table1[[#This Row],[Numer_FV]])</f>
        <v>FV/M/8925/P/23</v>
      </c>
      <c r="B1534" s="2" t="str">
        <f>TRIM(Table1[[#This Row],[Numer_PZ]])</f>
        <v>PZ/801532</v>
      </c>
      <c r="C1534" s="2" t="str">
        <f>TRIM(Table1[[#This Row],[Dostawca]])</f>
        <v>MedicaPharm</v>
      </c>
      <c r="D1534" s="3">
        <v>45115</v>
      </c>
      <c r="E1534" s="4" t="s">
        <v>4547</v>
      </c>
      <c r="F1534" s="2" t="str">
        <f>TRIM(Table1[[#This Row],[Status]])</f>
        <v>Zaakceptowana</v>
      </c>
      <c r="G1534" s="2" t="str">
        <f>TRIM(Table1[[#This Row],[Typ]])</f>
        <v>Faktura VAT</v>
      </c>
      <c r="H1534" s="2" t="str">
        <f>TRIM(Table1[[#This Row],[Magazyn]])</f>
        <v>Apteka Szpitalna</v>
      </c>
      <c r="I1534" s="2" t="str">
        <f>TRIM(Table1[[#This Row],[Umowa]])</f>
        <v>UM-MED-02</v>
      </c>
      <c r="J1534" s="2" t="b">
        <f>ISTEXT(Table14[[#This Row],[Data_Wystawienia]])</f>
        <v>0</v>
      </c>
      <c r="K1534" s="2">
        <f>VALUE(SUBSTITUTE(Table14[[#This Row],[Wartość]],".",","))</f>
        <v>16293.11</v>
      </c>
      <c r="L15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4" s="2" t="str">
        <f>IF(Table14[[#This Row],[Umowa]]="","Poza umową","Z umowy")</f>
        <v>Z umowy</v>
      </c>
      <c r="N1534" s="2">
        <f>YEAR(Table14[[#This Row],[Data_Wystawienia]])</f>
        <v>2023</v>
      </c>
      <c r="O1534" s="2" t="str">
        <f>TEXT(Table14[[#This Row],[Data_Wystawienia]],"rrrr-mm")</f>
        <v>2023-07</v>
      </c>
      <c r="P1534" s="2">
        <v>1</v>
      </c>
    </row>
    <row r="1535" spans="1:16" x14ac:dyDescent="0.3">
      <c r="A1535" s="2" t="str">
        <f>TRIM(Table1[[#This Row],[Numer_FV]])</f>
        <v>FV/46/SAL/23</v>
      </c>
      <c r="B1535" s="2" t="str">
        <f>TRIM(Table1[[#This Row],[Numer_PZ]])</f>
        <v>PZ/801533</v>
      </c>
      <c r="C1535" s="2" t="str">
        <f>TRIM(Table1[[#This Row],[Dostawca]])</f>
        <v>SalusHurt</v>
      </c>
      <c r="D1535" s="3">
        <v>45116</v>
      </c>
      <c r="E1535" s="4" t="s">
        <v>4549</v>
      </c>
      <c r="F1535" s="2" t="str">
        <f>TRIM(Table1[[#This Row],[Status]])</f>
        <v>Zaakceptowana</v>
      </c>
      <c r="G1535" s="2" t="str">
        <f>TRIM(Table1[[#This Row],[Typ]])</f>
        <v>Korekta FV</v>
      </c>
      <c r="H1535" s="2" t="str">
        <f>TRIM(Table1[[#This Row],[Magazyn]])</f>
        <v>Apteka Szpitalna</v>
      </c>
      <c r="I1535" s="2" t="str">
        <f>TRIM(Table1[[#This Row],[Umowa]])</f>
        <v/>
      </c>
      <c r="J1535" s="2" t="b">
        <f>ISTEXT(Table14[[#This Row],[Data_Wystawienia]])</f>
        <v>0</v>
      </c>
      <c r="K1535" s="2">
        <f>VALUE(SUBSTITUTE(Table14[[#This Row],[Wartość]],".",","))</f>
        <v>-1336.24</v>
      </c>
      <c r="L15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5" s="2" t="str">
        <f>IF(Table14[[#This Row],[Umowa]]="","Poza umową","Z umowy")</f>
        <v>Poza umową</v>
      </c>
      <c r="N1535" s="2">
        <f>YEAR(Table14[[#This Row],[Data_Wystawienia]])</f>
        <v>2023</v>
      </c>
      <c r="O1535" s="2" t="str">
        <f>TEXT(Table14[[#This Row],[Data_Wystawienia]],"rrrr-mm")</f>
        <v>2023-07</v>
      </c>
      <c r="P1535" s="2">
        <v>1</v>
      </c>
    </row>
    <row r="1536" spans="1:16" x14ac:dyDescent="0.3">
      <c r="A1536" s="2" t="str">
        <f>TRIM(Table1[[#This Row],[Numer_FV]])</f>
        <v>FV/74851/VDb/2023</v>
      </c>
      <c r="B1536" s="2" t="str">
        <f>TRIM(Table1[[#This Row],[Numer_PZ]])</f>
        <v>PZ/801534</v>
      </c>
      <c r="C1536" s="2" t="str">
        <f>TRIM(Table1[[#This Row],[Dostawca]])</f>
        <v>VitaDistrib</v>
      </c>
      <c r="D1536" s="3">
        <v>45116</v>
      </c>
      <c r="E1536" s="4" t="s">
        <v>4552</v>
      </c>
      <c r="F1536" s="2" t="str">
        <f>TRIM(Table1[[#This Row],[Status]])</f>
        <v>Zaakceptowana</v>
      </c>
      <c r="G1536" s="2" t="str">
        <f>TRIM(Table1[[#This Row],[Typ]])</f>
        <v>Faktura VAT</v>
      </c>
      <c r="H1536" s="2" t="str">
        <f>TRIM(Table1[[#This Row],[Magazyn]])</f>
        <v>Apteka Szpitalna</v>
      </c>
      <c r="I1536" s="2" t="str">
        <f>TRIM(Table1[[#This Row],[Umowa]])</f>
        <v>UM-VIT-01</v>
      </c>
      <c r="J1536" s="2" t="b">
        <f>ISTEXT(Table14[[#This Row],[Data_Wystawienia]])</f>
        <v>0</v>
      </c>
      <c r="K1536" s="2">
        <f>VALUE(SUBSTITUTE(Table14[[#This Row],[Wartość]],".",","))</f>
        <v>22632.74</v>
      </c>
      <c r="L15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6" s="2" t="str">
        <f>IF(Table14[[#This Row],[Umowa]]="","Poza umową","Z umowy")</f>
        <v>Z umowy</v>
      </c>
      <c r="N1536" s="2">
        <f>YEAR(Table14[[#This Row],[Data_Wystawienia]])</f>
        <v>2023</v>
      </c>
      <c r="O1536" s="2" t="str">
        <f>TEXT(Table14[[#This Row],[Data_Wystawienia]],"rrrr-mm")</f>
        <v>2023-07</v>
      </c>
      <c r="P1536" s="2">
        <v>1</v>
      </c>
    </row>
    <row r="1537" spans="1:16" x14ac:dyDescent="0.3">
      <c r="A1537" s="2" t="str">
        <f>TRIM(Table1[[#This Row],[Numer_FV]])</f>
        <v>FV/CENFA/799780/23</v>
      </c>
      <c r="B1537" s="2" t="str">
        <f>TRIM(Table1[[#This Row],[Numer_PZ]])</f>
        <v>PZ/801535</v>
      </c>
      <c r="C1537" s="2" t="str">
        <f>TRIM(Table1[[#This Row],[Dostawca]])</f>
        <v>CentrumFarm</v>
      </c>
      <c r="D1537" s="3">
        <v>45117</v>
      </c>
      <c r="E1537" s="4" t="s">
        <v>4555</v>
      </c>
      <c r="F1537" s="2" t="str">
        <f>TRIM(Table1[[#This Row],[Status]])</f>
        <v>Zaakceptowana</v>
      </c>
      <c r="G1537" s="2" t="str">
        <f>TRIM(Table1[[#This Row],[Typ]])</f>
        <v>Faktura VAT</v>
      </c>
      <c r="H1537" s="2" t="str">
        <f>TRIM(Table1[[#This Row],[Magazyn]])</f>
        <v>Apteka Szpitalna</v>
      </c>
      <c r="I1537" s="2" t="str">
        <f>TRIM(Table1[[#This Row],[Umowa]])</f>
        <v>UM-CEN-02</v>
      </c>
      <c r="J1537" s="2" t="b">
        <f>ISTEXT(Table14[[#This Row],[Data_Wystawienia]])</f>
        <v>0</v>
      </c>
      <c r="K1537" s="2">
        <f>VALUE(SUBSTITUTE(Table14[[#This Row],[Wartość]],".",","))</f>
        <v>12419.35</v>
      </c>
      <c r="L15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7" s="2" t="str">
        <f>IF(Table14[[#This Row],[Umowa]]="","Poza umową","Z umowy")</f>
        <v>Z umowy</v>
      </c>
      <c r="N1537" s="2">
        <f>YEAR(Table14[[#This Row],[Data_Wystawienia]])</f>
        <v>2023</v>
      </c>
      <c r="O1537" s="2" t="str">
        <f>TEXT(Table14[[#This Row],[Data_Wystawienia]],"rrrr-mm")</f>
        <v>2023-07</v>
      </c>
      <c r="P1537" s="2">
        <v>1</v>
      </c>
    </row>
    <row r="1538" spans="1:16" x14ac:dyDescent="0.3">
      <c r="A1538" s="2" t="str">
        <f>TRIM(Table1[[#This Row],[Numer_FV]])</f>
        <v>FV/5935HM/23</v>
      </c>
      <c r="B1538" s="2" t="str">
        <f>TRIM(Table1[[#This Row],[Numer_PZ]])</f>
        <v>PZ/801536</v>
      </c>
      <c r="C1538" s="2" t="str">
        <f>TRIM(Table1[[#This Row],[Dostawca]])</f>
        <v>HurtMedix</v>
      </c>
      <c r="D1538" s="3">
        <v>45117</v>
      </c>
      <c r="E1538" s="4" t="s">
        <v>4558</v>
      </c>
      <c r="F1538" s="2" t="str">
        <f>TRIM(Table1[[#This Row],[Status]])</f>
        <v>Zaakceptowana</v>
      </c>
      <c r="G1538" s="2" t="str">
        <f>TRIM(Table1[[#This Row],[Typ]])</f>
        <v>Faktura VAT</v>
      </c>
      <c r="H1538" s="2" t="str">
        <f>TRIM(Table1[[#This Row],[Magazyn]])</f>
        <v>Apteka Szpitalna</v>
      </c>
      <c r="I1538" s="2" t="str">
        <f>TRIM(Table1[[#This Row],[Umowa]])</f>
        <v/>
      </c>
      <c r="J1538" s="2" t="b">
        <f>ISTEXT(Table14[[#This Row],[Data_Wystawienia]])</f>
        <v>0</v>
      </c>
      <c r="K1538" s="2">
        <f>VALUE(SUBSTITUTE(Table14[[#This Row],[Wartość]],".",","))</f>
        <v>27566.13</v>
      </c>
      <c r="L15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8" s="2" t="str">
        <f>IF(Table14[[#This Row],[Umowa]]="","Poza umową","Z umowy")</f>
        <v>Poza umową</v>
      </c>
      <c r="N1538" s="2">
        <f>YEAR(Table14[[#This Row],[Data_Wystawienia]])</f>
        <v>2023</v>
      </c>
      <c r="O1538" s="2" t="str">
        <f>TEXT(Table14[[#This Row],[Data_Wystawienia]],"rrrr-mm")</f>
        <v>2023-07</v>
      </c>
      <c r="P1538" s="2">
        <v>1</v>
      </c>
    </row>
    <row r="1539" spans="1:16" x14ac:dyDescent="0.3">
      <c r="A1539" s="2" t="str">
        <f>TRIM(Table1[[#This Row],[Numer_FV]])</f>
        <v>FV/CENFA/924445/23</v>
      </c>
      <c r="B1539" s="2" t="str">
        <f>TRIM(Table1[[#This Row],[Numer_PZ]])</f>
        <v>PZ/801537</v>
      </c>
      <c r="C1539" s="2" t="str">
        <f>TRIM(Table1[[#This Row],[Dostawca]])</f>
        <v>CentrumFarm</v>
      </c>
      <c r="D1539" s="3">
        <v>45118</v>
      </c>
      <c r="E1539" s="4" t="s">
        <v>4561</v>
      </c>
      <c r="F1539" s="2" t="str">
        <f>TRIM(Table1[[#This Row],[Status]])</f>
        <v>Zaakceptowana</v>
      </c>
      <c r="G1539" s="2" t="str">
        <f>TRIM(Table1[[#This Row],[Typ]])</f>
        <v>Faktura VAT</v>
      </c>
      <c r="H1539" s="2" t="str">
        <f>TRIM(Table1[[#This Row],[Magazyn]])</f>
        <v>Apteka Szpitalna</v>
      </c>
      <c r="I1539" s="2" t="str">
        <f>TRIM(Table1[[#This Row],[Umowa]])</f>
        <v/>
      </c>
      <c r="J1539" s="2" t="b">
        <f>ISTEXT(Table14[[#This Row],[Data_Wystawienia]])</f>
        <v>0</v>
      </c>
      <c r="K1539" s="2">
        <f>VALUE(SUBSTITUTE(Table14[[#This Row],[Wartość]],".",","))</f>
        <v>10145.43</v>
      </c>
      <c r="L15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39" s="2" t="str">
        <f>IF(Table14[[#This Row],[Umowa]]="","Poza umową","Z umowy")</f>
        <v>Poza umową</v>
      </c>
      <c r="N1539" s="2">
        <f>YEAR(Table14[[#This Row],[Data_Wystawienia]])</f>
        <v>2023</v>
      </c>
      <c r="O1539" s="2" t="str">
        <f>TEXT(Table14[[#This Row],[Data_Wystawienia]],"rrrr-mm")</f>
        <v>2023-07</v>
      </c>
      <c r="P1539" s="2">
        <v>1</v>
      </c>
    </row>
    <row r="1540" spans="1:16" x14ac:dyDescent="0.3">
      <c r="A1540" s="2" t="str">
        <f>TRIM(Table1[[#This Row],[Numer_FV]])</f>
        <v>FV/88047/VDb/2023</v>
      </c>
      <c r="B1540" s="2" t="str">
        <f>TRIM(Table1[[#This Row],[Numer_PZ]])</f>
        <v>PZ/801538</v>
      </c>
      <c r="C1540" s="2" t="str">
        <f>TRIM(Table1[[#This Row],[Dostawca]])</f>
        <v>VitaDistrib</v>
      </c>
      <c r="D1540" s="3">
        <v>45118</v>
      </c>
      <c r="E1540" s="4" t="s">
        <v>4564</v>
      </c>
      <c r="F1540" s="2" t="str">
        <f>TRIM(Table1[[#This Row],[Status]])</f>
        <v>Zaakceptowana</v>
      </c>
      <c r="G1540" s="2" t="str">
        <f>TRIM(Table1[[#This Row],[Typ]])</f>
        <v>Faktura VAT</v>
      </c>
      <c r="H1540" s="2" t="str">
        <f>TRIM(Table1[[#This Row],[Magazyn]])</f>
        <v>Apteka Szpitalna</v>
      </c>
      <c r="I1540" s="2" t="str">
        <f>TRIM(Table1[[#This Row],[Umowa]])</f>
        <v>UM-VIT-01</v>
      </c>
      <c r="J1540" s="2" t="b">
        <f>ISTEXT(Table14[[#This Row],[Data_Wystawienia]])</f>
        <v>0</v>
      </c>
      <c r="K1540" s="2">
        <f>VALUE(SUBSTITUTE(Table14[[#This Row],[Wartość]],".",","))</f>
        <v>22359.84</v>
      </c>
      <c r="L15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0" s="2" t="str">
        <f>IF(Table14[[#This Row],[Umowa]]="","Poza umową","Z umowy")</f>
        <v>Z umowy</v>
      </c>
      <c r="N1540" s="2">
        <f>YEAR(Table14[[#This Row],[Data_Wystawienia]])</f>
        <v>2023</v>
      </c>
      <c r="O1540" s="2" t="str">
        <f>TEXT(Table14[[#This Row],[Data_Wystawienia]],"rrrr-mm")</f>
        <v>2023-07</v>
      </c>
      <c r="P1540" s="2">
        <v>1</v>
      </c>
    </row>
    <row r="1541" spans="1:16" x14ac:dyDescent="0.3">
      <c r="A1541" s="2" t="str">
        <f>TRIM(Table1[[#This Row],[Numer_FV]])</f>
        <v>FV/POL/40612/2023</v>
      </c>
      <c r="B1541" s="2" t="str">
        <f>TRIM(Table1[[#This Row],[Numer_PZ]])</f>
        <v>PZ/801539</v>
      </c>
      <c r="C1541" s="2" t="str">
        <f>TRIM(Table1[[#This Row],[Dostawca]])</f>
        <v>Polmedica</v>
      </c>
      <c r="D1541" s="3">
        <v>45119</v>
      </c>
      <c r="E1541" s="4" t="s">
        <v>4567</v>
      </c>
      <c r="F1541" s="2" t="str">
        <f>TRIM(Table1[[#This Row],[Status]])</f>
        <v>Zaakceptowana</v>
      </c>
      <c r="G1541" s="2" t="str">
        <f>TRIM(Table1[[#This Row],[Typ]])</f>
        <v>Faktura VAT</v>
      </c>
      <c r="H1541" s="2" t="str">
        <f>TRIM(Table1[[#This Row],[Magazyn]])</f>
        <v>Apteka Szpitalna</v>
      </c>
      <c r="I1541" s="2" t="str">
        <f>TRIM(Table1[[#This Row],[Umowa]])</f>
        <v>UM-POL-02</v>
      </c>
      <c r="J1541" s="2" t="b">
        <f>ISTEXT(Table14[[#This Row],[Data_Wystawienia]])</f>
        <v>0</v>
      </c>
      <c r="K1541" s="2">
        <f>VALUE(SUBSTITUTE(Table14[[#This Row],[Wartość]],".",","))</f>
        <v>15958.16</v>
      </c>
      <c r="L15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1" s="2" t="str">
        <f>IF(Table14[[#This Row],[Umowa]]="","Poza umową","Z umowy")</f>
        <v>Z umowy</v>
      </c>
      <c r="N1541" s="2">
        <f>YEAR(Table14[[#This Row],[Data_Wystawienia]])</f>
        <v>2023</v>
      </c>
      <c r="O1541" s="2" t="str">
        <f>TEXT(Table14[[#This Row],[Data_Wystawienia]],"rrrr-mm")</f>
        <v>2023-07</v>
      </c>
      <c r="P1541" s="2">
        <v>1</v>
      </c>
    </row>
    <row r="1542" spans="1:16" x14ac:dyDescent="0.3">
      <c r="A1542" s="2" t="str">
        <f>TRIM(Table1[[#This Row],[Numer_FV]])</f>
        <v>FV/1587HM/23</v>
      </c>
      <c r="B1542" s="2" t="str">
        <f>TRIM(Table1[[#This Row],[Numer_PZ]])</f>
        <v>PZ/801540</v>
      </c>
      <c r="C1542" s="2" t="str">
        <f>TRIM(Table1[[#This Row],[Dostawca]])</f>
        <v>HurtMedix</v>
      </c>
      <c r="D1542" s="3">
        <v>45119</v>
      </c>
      <c r="E1542" s="4" t="s">
        <v>4570</v>
      </c>
      <c r="F1542" s="2" t="str">
        <f>TRIM(Table1[[#This Row],[Status]])</f>
        <v>Zaakceptowana</v>
      </c>
      <c r="G1542" s="2" t="str">
        <f>TRIM(Table1[[#This Row],[Typ]])</f>
        <v>Faktura VAT</v>
      </c>
      <c r="H1542" s="2" t="str">
        <f>TRIM(Table1[[#This Row],[Magazyn]])</f>
        <v>Apteka Szpitalna</v>
      </c>
      <c r="I1542" s="2" t="str">
        <f>TRIM(Table1[[#This Row],[Umowa]])</f>
        <v>UM-HUR-01</v>
      </c>
      <c r="J1542" s="2" t="b">
        <f>ISTEXT(Table14[[#This Row],[Data_Wystawienia]])</f>
        <v>0</v>
      </c>
      <c r="K1542" s="2">
        <f>VALUE(SUBSTITUTE(Table14[[#This Row],[Wartość]],".",","))</f>
        <v>4802.3900000000003</v>
      </c>
      <c r="L15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2" s="2" t="str">
        <f>IF(Table14[[#This Row],[Umowa]]="","Poza umową","Z umowy")</f>
        <v>Z umowy</v>
      </c>
      <c r="N1542" s="2">
        <f>YEAR(Table14[[#This Row],[Data_Wystawienia]])</f>
        <v>2023</v>
      </c>
      <c r="O1542" s="2" t="str">
        <f>TEXT(Table14[[#This Row],[Data_Wystawienia]],"rrrr-mm")</f>
        <v>2023-07</v>
      </c>
      <c r="P1542" s="2">
        <v>1</v>
      </c>
    </row>
    <row r="1543" spans="1:16" x14ac:dyDescent="0.3">
      <c r="A1543" s="2" t="str">
        <f>TRIM(Table1[[#This Row],[Numer_FV]])</f>
        <v>FV/M/1402/P/23</v>
      </c>
      <c r="B1543" s="2" t="str">
        <f>TRIM(Table1[[#This Row],[Numer_PZ]])</f>
        <v>PZ/801541</v>
      </c>
      <c r="C1543" s="2" t="str">
        <f>TRIM(Table1[[#This Row],[Dostawca]])</f>
        <v>MedicaPharm</v>
      </c>
      <c r="D1543" s="3">
        <v>45120</v>
      </c>
      <c r="E1543" s="4" t="s">
        <v>4573</v>
      </c>
      <c r="F1543" s="2" t="str">
        <f>TRIM(Table1[[#This Row],[Status]])</f>
        <v>Zaakceptowana</v>
      </c>
      <c r="G1543" s="2" t="str">
        <f>TRIM(Table1[[#This Row],[Typ]])</f>
        <v>Faktura VAT</v>
      </c>
      <c r="H1543" s="2" t="str">
        <f>TRIM(Table1[[#This Row],[Magazyn]])</f>
        <v>Apteka Szpitalna</v>
      </c>
      <c r="I1543" s="2" t="str">
        <f>TRIM(Table1[[#This Row],[Umowa]])</f>
        <v/>
      </c>
      <c r="J1543" s="2" t="b">
        <f>ISTEXT(Table14[[#This Row],[Data_Wystawienia]])</f>
        <v>0</v>
      </c>
      <c r="K1543" s="2">
        <f>VALUE(SUBSTITUTE(Table14[[#This Row],[Wartość]],".",","))</f>
        <v>9003.1</v>
      </c>
      <c r="L15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3" s="2" t="str">
        <f>IF(Table14[[#This Row],[Umowa]]="","Poza umową","Z umowy")</f>
        <v>Poza umową</v>
      </c>
      <c r="N1543" s="2">
        <f>YEAR(Table14[[#This Row],[Data_Wystawienia]])</f>
        <v>2023</v>
      </c>
      <c r="O1543" s="2" t="str">
        <f>TEXT(Table14[[#This Row],[Data_Wystawienia]],"rrrr-mm")</f>
        <v>2023-07</v>
      </c>
      <c r="P1543" s="2">
        <v>1</v>
      </c>
    </row>
    <row r="1544" spans="1:16" x14ac:dyDescent="0.3">
      <c r="A1544" s="2" t="str">
        <f>TRIM(Table1[[#This Row],[Numer_FV]])</f>
        <v>FV/36680/VDb/2023</v>
      </c>
      <c r="B1544" s="2" t="str">
        <f>TRIM(Table1[[#This Row],[Numer_PZ]])</f>
        <v>PZ/801542</v>
      </c>
      <c r="C1544" s="2" t="str">
        <f>TRIM(Table1[[#This Row],[Dostawca]])</f>
        <v>VitaDistrib</v>
      </c>
      <c r="D1544" s="3">
        <v>45120</v>
      </c>
      <c r="E1544" s="4" t="s">
        <v>4576</v>
      </c>
      <c r="F1544" s="2" t="str">
        <f>TRIM(Table1[[#This Row],[Status]])</f>
        <v>Zaakceptowana</v>
      </c>
      <c r="G1544" s="2" t="str">
        <f>TRIM(Table1[[#This Row],[Typ]])</f>
        <v>Faktura VAT</v>
      </c>
      <c r="H1544" s="2" t="str">
        <f>TRIM(Table1[[#This Row],[Magazyn]])</f>
        <v>Apteka Szpitalna</v>
      </c>
      <c r="I1544" s="2" t="str">
        <f>TRIM(Table1[[#This Row],[Umowa]])</f>
        <v>UM-VIT-01</v>
      </c>
      <c r="J1544" s="2" t="b">
        <f>ISTEXT(Table14[[#This Row],[Data_Wystawienia]])</f>
        <v>0</v>
      </c>
      <c r="K1544" s="2">
        <f>VALUE(SUBSTITUTE(Table14[[#This Row],[Wartość]],".",","))</f>
        <v>14828.35</v>
      </c>
      <c r="L15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4" s="2" t="str">
        <f>IF(Table14[[#This Row],[Umowa]]="","Poza umową","Z umowy")</f>
        <v>Z umowy</v>
      </c>
      <c r="N1544" s="2">
        <f>YEAR(Table14[[#This Row],[Data_Wystawienia]])</f>
        <v>2023</v>
      </c>
      <c r="O1544" s="2" t="str">
        <f>TEXT(Table14[[#This Row],[Data_Wystawienia]],"rrrr-mm")</f>
        <v>2023-07</v>
      </c>
      <c r="P1544" s="2">
        <v>1</v>
      </c>
    </row>
    <row r="1545" spans="1:16" x14ac:dyDescent="0.3">
      <c r="A1545" s="2" t="str">
        <f>TRIM(Table1[[#This Row],[Numer_FV]])</f>
        <v>FV/37/SAL/23</v>
      </c>
      <c r="B1545" s="2" t="str">
        <f>TRIM(Table1[[#This Row],[Numer_PZ]])</f>
        <v>PZ/801543</v>
      </c>
      <c r="C1545" s="2" t="str">
        <f>TRIM(Table1[[#This Row],[Dostawca]])</f>
        <v>SalusHurt</v>
      </c>
      <c r="D1545" s="3">
        <v>45120</v>
      </c>
      <c r="E1545" s="4" t="s">
        <v>4578</v>
      </c>
      <c r="F1545" s="2" t="str">
        <f>TRIM(Table1[[#This Row],[Status]])</f>
        <v>Zaakceptowana</v>
      </c>
      <c r="G1545" s="2" t="str">
        <f>TRIM(Table1[[#This Row],[Typ]])</f>
        <v>Faktura VAT</v>
      </c>
      <c r="H1545" s="2" t="str">
        <f>TRIM(Table1[[#This Row],[Magazyn]])</f>
        <v>Apteka Szpitalna</v>
      </c>
      <c r="I1545" s="2" t="str">
        <f>TRIM(Table1[[#This Row],[Umowa]])</f>
        <v>UM-SAL-01</v>
      </c>
      <c r="J1545" s="2" t="b">
        <f>ISTEXT(Table14[[#This Row],[Data_Wystawienia]])</f>
        <v>0</v>
      </c>
      <c r="K1545" s="2">
        <f>VALUE(SUBSTITUTE(Table14[[#This Row],[Wartość]],".",","))</f>
        <v>20093.73</v>
      </c>
      <c r="L15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5" s="2" t="str">
        <f>IF(Table14[[#This Row],[Umowa]]="","Poza umową","Z umowy")</f>
        <v>Z umowy</v>
      </c>
      <c r="N1545" s="2">
        <f>YEAR(Table14[[#This Row],[Data_Wystawienia]])</f>
        <v>2023</v>
      </c>
      <c r="O1545" s="2" t="str">
        <f>TEXT(Table14[[#This Row],[Data_Wystawienia]],"rrrr-mm")</f>
        <v>2023-07</v>
      </c>
      <c r="P1545" s="2">
        <v>1</v>
      </c>
    </row>
    <row r="1546" spans="1:16" x14ac:dyDescent="0.3">
      <c r="A1546" s="2" t="str">
        <f>TRIM(Table1[[#This Row],[Numer_FV]])</f>
        <v>FV/CENFA/680290/23</v>
      </c>
      <c r="B1546" s="2" t="str">
        <f>TRIM(Table1[[#This Row],[Numer_PZ]])</f>
        <v>PZ/801544</v>
      </c>
      <c r="C1546" s="2" t="str">
        <f>TRIM(Table1[[#This Row],[Dostawca]])</f>
        <v>CentrumFarm</v>
      </c>
      <c r="D1546" s="3">
        <v>45120</v>
      </c>
      <c r="E1546" s="4" t="s">
        <v>4581</v>
      </c>
      <c r="F1546" s="2" t="str">
        <f>TRIM(Table1[[#This Row],[Status]])</f>
        <v>Zaakceptowana</v>
      </c>
      <c r="G1546" s="2" t="str">
        <f>TRIM(Table1[[#This Row],[Typ]])</f>
        <v>Faktura VAT</v>
      </c>
      <c r="H1546" s="2" t="str">
        <f>TRIM(Table1[[#This Row],[Magazyn]])</f>
        <v>Apteka Szpitalna</v>
      </c>
      <c r="I1546" s="2" t="str">
        <f>TRIM(Table1[[#This Row],[Umowa]])</f>
        <v/>
      </c>
      <c r="J1546" s="2" t="b">
        <f>ISTEXT(Table14[[#This Row],[Data_Wystawienia]])</f>
        <v>0</v>
      </c>
      <c r="K1546" s="2">
        <f>VALUE(SUBSTITUTE(Table14[[#This Row],[Wartość]],".",","))</f>
        <v>10478.129999999999</v>
      </c>
      <c r="L15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6" s="2" t="str">
        <f>IF(Table14[[#This Row],[Umowa]]="","Poza umową","Z umowy")</f>
        <v>Poza umową</v>
      </c>
      <c r="N1546" s="2">
        <f>YEAR(Table14[[#This Row],[Data_Wystawienia]])</f>
        <v>2023</v>
      </c>
      <c r="O1546" s="2" t="str">
        <f>TEXT(Table14[[#This Row],[Data_Wystawienia]],"rrrr-mm")</f>
        <v>2023-07</v>
      </c>
      <c r="P1546" s="2">
        <v>1</v>
      </c>
    </row>
    <row r="1547" spans="1:16" x14ac:dyDescent="0.3">
      <c r="A1547" s="2" t="str">
        <f>TRIM(Table1[[#This Row],[Numer_FV]])</f>
        <v>FV/95734/VDb/2023</v>
      </c>
      <c r="B1547" s="2" t="str">
        <f>TRIM(Table1[[#This Row],[Numer_PZ]])</f>
        <v>PZ/801545</v>
      </c>
      <c r="C1547" s="2" t="str">
        <f>TRIM(Table1[[#This Row],[Dostawca]])</f>
        <v>VitaDistrib</v>
      </c>
      <c r="D1547" s="3">
        <v>45121</v>
      </c>
      <c r="E1547" s="4" t="s">
        <v>4584</v>
      </c>
      <c r="F1547" s="2" t="str">
        <f>TRIM(Table1[[#This Row],[Status]])</f>
        <v>Zaakceptowana</v>
      </c>
      <c r="G1547" s="2" t="str">
        <f>TRIM(Table1[[#This Row],[Typ]])</f>
        <v>Faktura VAT</v>
      </c>
      <c r="H1547" s="2" t="str">
        <f>TRIM(Table1[[#This Row],[Magazyn]])</f>
        <v>Apteka Szpitalna</v>
      </c>
      <c r="I1547" s="2" t="str">
        <f>TRIM(Table1[[#This Row],[Umowa]])</f>
        <v>UM-VIT-01</v>
      </c>
      <c r="J1547" s="2" t="b">
        <f>ISTEXT(Table14[[#This Row],[Data_Wystawienia]])</f>
        <v>0</v>
      </c>
      <c r="K1547" s="2">
        <f>VALUE(SUBSTITUTE(Table14[[#This Row],[Wartość]],".",","))</f>
        <v>16345.52</v>
      </c>
      <c r="L15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7" s="2" t="str">
        <f>IF(Table14[[#This Row],[Umowa]]="","Poza umową","Z umowy")</f>
        <v>Z umowy</v>
      </c>
      <c r="N1547" s="2">
        <f>YEAR(Table14[[#This Row],[Data_Wystawienia]])</f>
        <v>2023</v>
      </c>
      <c r="O1547" s="2" t="str">
        <f>TEXT(Table14[[#This Row],[Data_Wystawienia]],"rrrr-mm")</f>
        <v>2023-07</v>
      </c>
      <c r="P1547" s="2">
        <v>1</v>
      </c>
    </row>
    <row r="1548" spans="1:16" x14ac:dyDescent="0.3">
      <c r="A1548" s="2" t="str">
        <f>TRIM(Table1[[#This Row],[Numer_FV]])</f>
        <v>FV/POL/20352/2023</v>
      </c>
      <c r="B1548" s="2" t="str">
        <f>TRIM(Table1[[#This Row],[Numer_PZ]])</f>
        <v>PZ/801546</v>
      </c>
      <c r="C1548" s="2" t="str">
        <f>TRIM(Table1[[#This Row],[Dostawca]])</f>
        <v>Polmedica</v>
      </c>
      <c r="D1548" s="3">
        <v>45122</v>
      </c>
      <c r="E1548" s="4" t="s">
        <v>4587</v>
      </c>
      <c r="F1548" s="2" t="str">
        <f>TRIM(Table1[[#This Row],[Status]])</f>
        <v>Zaakceptowana</v>
      </c>
      <c r="G1548" s="2" t="str">
        <f>TRIM(Table1[[#This Row],[Typ]])</f>
        <v>Faktura VAT</v>
      </c>
      <c r="H1548" s="2" t="str">
        <f>TRIM(Table1[[#This Row],[Magazyn]])</f>
        <v>Apteka Szpitalna</v>
      </c>
      <c r="I1548" s="2" t="str">
        <f>TRIM(Table1[[#This Row],[Umowa]])</f>
        <v>UM-POL-03</v>
      </c>
      <c r="J1548" s="2" t="b">
        <f>ISTEXT(Table14[[#This Row],[Data_Wystawienia]])</f>
        <v>0</v>
      </c>
      <c r="K1548" s="2">
        <f>VALUE(SUBSTITUTE(Table14[[#This Row],[Wartość]],".",","))</f>
        <v>12987.6</v>
      </c>
      <c r="L15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8" s="2" t="str">
        <f>IF(Table14[[#This Row],[Umowa]]="","Poza umową","Z umowy")</f>
        <v>Z umowy</v>
      </c>
      <c r="N1548" s="2">
        <f>YEAR(Table14[[#This Row],[Data_Wystawienia]])</f>
        <v>2023</v>
      </c>
      <c r="O1548" s="2" t="str">
        <f>TEXT(Table14[[#This Row],[Data_Wystawienia]],"rrrr-mm")</f>
        <v>2023-07</v>
      </c>
      <c r="P1548" s="2">
        <v>1</v>
      </c>
    </row>
    <row r="1549" spans="1:16" x14ac:dyDescent="0.3">
      <c r="A1549" s="2" t="str">
        <f>TRIM(Table1[[#This Row],[Numer_FV]])</f>
        <v>FV/5860/NOVA/23</v>
      </c>
      <c r="B1549" s="2" t="str">
        <f>TRIM(Table1[[#This Row],[Numer_PZ]])</f>
        <v>PZ/801547</v>
      </c>
      <c r="C1549" s="2" t="str">
        <f>TRIM(Table1[[#This Row],[Dostawca]])</f>
        <v>NovaLek</v>
      </c>
      <c r="D1549" s="3">
        <v>45122</v>
      </c>
      <c r="E1549" s="4" t="s">
        <v>4590</v>
      </c>
      <c r="F1549" s="2" t="str">
        <f>TRIM(Table1[[#This Row],[Status]])</f>
        <v>Zaakceptowana</v>
      </c>
      <c r="G1549" s="2" t="str">
        <f>TRIM(Table1[[#This Row],[Typ]])</f>
        <v>Faktura VAT</v>
      </c>
      <c r="H1549" s="2" t="str">
        <f>TRIM(Table1[[#This Row],[Magazyn]])</f>
        <v>Apteka Szpitalna</v>
      </c>
      <c r="I1549" s="2" t="str">
        <f>TRIM(Table1[[#This Row],[Umowa]])</f>
        <v>UM-NOV-03</v>
      </c>
      <c r="J1549" s="2" t="b">
        <f>ISTEXT(Table14[[#This Row],[Data_Wystawienia]])</f>
        <v>0</v>
      </c>
      <c r="K1549" s="2">
        <f>VALUE(SUBSTITUTE(Table14[[#This Row],[Wartość]],".",","))</f>
        <v>11230.53</v>
      </c>
      <c r="L15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49" s="2" t="str">
        <f>IF(Table14[[#This Row],[Umowa]]="","Poza umową","Z umowy")</f>
        <v>Z umowy</v>
      </c>
      <c r="N1549" s="2">
        <f>YEAR(Table14[[#This Row],[Data_Wystawienia]])</f>
        <v>2023</v>
      </c>
      <c r="O1549" s="2" t="str">
        <f>TEXT(Table14[[#This Row],[Data_Wystawienia]],"rrrr-mm")</f>
        <v>2023-07</v>
      </c>
      <c r="P1549" s="2">
        <v>1</v>
      </c>
    </row>
    <row r="1550" spans="1:16" x14ac:dyDescent="0.3">
      <c r="A1550" s="2" t="str">
        <f>TRIM(Table1[[#This Row],[Numer_FV]])</f>
        <v>FV/CENFA/984189/23</v>
      </c>
      <c r="B1550" s="2" t="str">
        <f>TRIM(Table1[[#This Row],[Numer_PZ]])</f>
        <v>PZ/801548</v>
      </c>
      <c r="C1550" s="2" t="str">
        <f>TRIM(Table1[[#This Row],[Dostawca]])</f>
        <v>CentrumFarm</v>
      </c>
      <c r="D1550" s="3">
        <v>45123</v>
      </c>
      <c r="E1550" s="4" t="s">
        <v>4593</v>
      </c>
      <c r="F1550" s="2" t="str">
        <f>TRIM(Table1[[#This Row],[Status]])</f>
        <v>Zaakceptowana</v>
      </c>
      <c r="G1550" s="2" t="str">
        <f>TRIM(Table1[[#This Row],[Typ]])</f>
        <v>Faktura VAT</v>
      </c>
      <c r="H1550" s="2" t="str">
        <f>TRIM(Table1[[#This Row],[Magazyn]])</f>
        <v>Apteka Szpitalna</v>
      </c>
      <c r="I1550" s="2" t="str">
        <f>TRIM(Table1[[#This Row],[Umowa]])</f>
        <v/>
      </c>
      <c r="J1550" s="2" t="b">
        <f>ISTEXT(Table14[[#This Row],[Data_Wystawienia]])</f>
        <v>0</v>
      </c>
      <c r="K1550" s="2">
        <f>VALUE(SUBSTITUTE(Table14[[#This Row],[Wartość]],".",","))</f>
        <v>13079.7</v>
      </c>
      <c r="L15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0" s="2" t="str">
        <f>IF(Table14[[#This Row],[Umowa]]="","Poza umową","Z umowy")</f>
        <v>Poza umową</v>
      </c>
      <c r="N1550" s="2">
        <f>YEAR(Table14[[#This Row],[Data_Wystawienia]])</f>
        <v>2023</v>
      </c>
      <c r="O1550" s="2" t="str">
        <f>TEXT(Table14[[#This Row],[Data_Wystawienia]],"rrrr-mm")</f>
        <v>2023-07</v>
      </c>
      <c r="P1550" s="2">
        <v>1</v>
      </c>
    </row>
    <row r="1551" spans="1:16" x14ac:dyDescent="0.3">
      <c r="A1551" s="2" t="str">
        <f>TRIM(Table1[[#This Row],[Numer_FV]])</f>
        <v>FV/50/SAL/23</v>
      </c>
      <c r="B1551" s="2" t="str">
        <f>TRIM(Table1[[#This Row],[Numer_PZ]])</f>
        <v>PZ/801549</v>
      </c>
      <c r="C1551" s="2" t="str">
        <f>TRIM(Table1[[#This Row],[Dostawca]])</f>
        <v>SalusHurt</v>
      </c>
      <c r="D1551" s="3">
        <v>45123</v>
      </c>
      <c r="E1551" s="4" t="s">
        <v>4595</v>
      </c>
      <c r="F1551" s="2" t="str">
        <f>TRIM(Table1[[#This Row],[Status]])</f>
        <v>Zaakceptowana</v>
      </c>
      <c r="G1551" s="2" t="str">
        <f>TRIM(Table1[[#This Row],[Typ]])</f>
        <v>Faktura VAT</v>
      </c>
      <c r="H1551" s="2" t="str">
        <f>TRIM(Table1[[#This Row],[Magazyn]])</f>
        <v>Apteka Szpitalna</v>
      </c>
      <c r="I1551" s="2" t="str">
        <f>TRIM(Table1[[#This Row],[Umowa]])</f>
        <v>UM-SAL-01</v>
      </c>
      <c r="J1551" s="2" t="b">
        <f>ISTEXT(Table14[[#This Row],[Data_Wystawienia]])</f>
        <v>0</v>
      </c>
      <c r="K1551" s="2">
        <f>VALUE(SUBSTITUTE(Table14[[#This Row],[Wartość]],".",","))</f>
        <v>15113.43</v>
      </c>
      <c r="L15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1" s="2" t="str">
        <f>IF(Table14[[#This Row],[Umowa]]="","Poza umową","Z umowy")</f>
        <v>Z umowy</v>
      </c>
      <c r="N1551" s="2">
        <f>YEAR(Table14[[#This Row],[Data_Wystawienia]])</f>
        <v>2023</v>
      </c>
      <c r="O1551" s="2" t="str">
        <f>TEXT(Table14[[#This Row],[Data_Wystawienia]],"rrrr-mm")</f>
        <v>2023-07</v>
      </c>
      <c r="P1551" s="2">
        <v>1</v>
      </c>
    </row>
    <row r="1552" spans="1:16" x14ac:dyDescent="0.3">
      <c r="A1552" s="2" t="str">
        <f>TRIM(Table1[[#This Row],[Numer_FV]])</f>
        <v>FV/POL/50783/2023</v>
      </c>
      <c r="B1552" s="2" t="str">
        <f>TRIM(Table1[[#This Row],[Numer_PZ]])</f>
        <v>PZ/801550</v>
      </c>
      <c r="C1552" s="2" t="str">
        <f>TRIM(Table1[[#This Row],[Dostawca]])</f>
        <v>Polmedica</v>
      </c>
      <c r="D1552" s="3">
        <v>45123</v>
      </c>
      <c r="E1552" s="4" t="s">
        <v>4598</v>
      </c>
      <c r="F1552" s="2" t="str">
        <f>TRIM(Table1[[#This Row],[Status]])</f>
        <v>Zaakceptowana</v>
      </c>
      <c r="G1552" s="2" t="str">
        <f>TRIM(Table1[[#This Row],[Typ]])</f>
        <v>Faktura VAT</v>
      </c>
      <c r="H1552" s="2" t="str">
        <f>TRIM(Table1[[#This Row],[Magazyn]])</f>
        <v>Apteka Szpitalna</v>
      </c>
      <c r="I1552" s="2" t="str">
        <f>TRIM(Table1[[#This Row],[Umowa]])</f>
        <v>UM-POL-03</v>
      </c>
      <c r="J1552" s="2" t="b">
        <f>ISTEXT(Table14[[#This Row],[Data_Wystawienia]])</f>
        <v>0</v>
      </c>
      <c r="K1552" s="2">
        <f>VALUE(SUBSTITUTE(Table14[[#This Row],[Wartość]],".",","))</f>
        <v>17496.2</v>
      </c>
      <c r="L15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2" s="2" t="str">
        <f>IF(Table14[[#This Row],[Umowa]]="","Poza umową","Z umowy")</f>
        <v>Z umowy</v>
      </c>
      <c r="N1552" s="2">
        <f>YEAR(Table14[[#This Row],[Data_Wystawienia]])</f>
        <v>2023</v>
      </c>
      <c r="O1552" s="2" t="str">
        <f>TEXT(Table14[[#This Row],[Data_Wystawienia]],"rrrr-mm")</f>
        <v>2023-07</v>
      </c>
      <c r="P1552" s="2">
        <v>1</v>
      </c>
    </row>
    <row r="1553" spans="1:16" x14ac:dyDescent="0.3">
      <c r="A1553" s="2" t="str">
        <f>TRIM(Table1[[#This Row],[Numer_FV]])</f>
        <v>FV/8718/NOVA/23</v>
      </c>
      <c r="B1553" s="2" t="str">
        <f>TRIM(Table1[[#This Row],[Numer_PZ]])</f>
        <v>PZ/801551</v>
      </c>
      <c r="C1553" s="2" t="str">
        <f>TRIM(Table1[[#This Row],[Dostawca]])</f>
        <v>NovaLek</v>
      </c>
      <c r="D1553" s="3">
        <v>45124</v>
      </c>
      <c r="E1553" s="4" t="s">
        <v>4601</v>
      </c>
      <c r="F1553" s="2" t="str">
        <f>TRIM(Table1[[#This Row],[Status]])</f>
        <v>Zaakceptowana</v>
      </c>
      <c r="G1553" s="2" t="str">
        <f>TRIM(Table1[[#This Row],[Typ]])</f>
        <v>Faktura VAT</v>
      </c>
      <c r="H1553" s="2" t="str">
        <f>TRIM(Table1[[#This Row],[Magazyn]])</f>
        <v>Apteka Szpitalna</v>
      </c>
      <c r="I1553" s="2" t="str">
        <f>TRIM(Table1[[#This Row],[Umowa]])</f>
        <v>UM-NOV-02</v>
      </c>
      <c r="J1553" s="2" t="b">
        <f>ISTEXT(Table14[[#This Row],[Data_Wystawienia]])</f>
        <v>0</v>
      </c>
      <c r="K1553" s="2">
        <f>VALUE(SUBSTITUTE(Table14[[#This Row],[Wartość]],".",","))</f>
        <v>13762.05</v>
      </c>
      <c r="L15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3" s="2" t="str">
        <f>IF(Table14[[#This Row],[Umowa]]="","Poza umową","Z umowy")</f>
        <v>Z umowy</v>
      </c>
      <c r="N1553" s="2">
        <f>YEAR(Table14[[#This Row],[Data_Wystawienia]])</f>
        <v>2023</v>
      </c>
      <c r="O1553" s="2" t="str">
        <f>TEXT(Table14[[#This Row],[Data_Wystawienia]],"rrrr-mm")</f>
        <v>2023-07</v>
      </c>
      <c r="P1553" s="2">
        <v>1</v>
      </c>
    </row>
    <row r="1554" spans="1:16" x14ac:dyDescent="0.3">
      <c r="A1554" s="2" t="str">
        <f>TRIM(Table1[[#This Row],[Numer_FV]])</f>
        <v>FV/61/PP/6286/23</v>
      </c>
      <c r="B1554" s="2" t="str">
        <f>TRIM(Table1[[#This Row],[Numer_PZ]])</f>
        <v>PZ/801552</v>
      </c>
      <c r="C1554" s="2" t="str">
        <f>TRIM(Table1[[#This Row],[Dostawca]])</f>
        <v>PharmaPlus</v>
      </c>
      <c r="D1554" s="3">
        <v>45124</v>
      </c>
      <c r="E1554" s="4" t="s">
        <v>4604</v>
      </c>
      <c r="F1554" s="2" t="str">
        <f>TRIM(Table1[[#This Row],[Status]])</f>
        <v>Zaakceptowana</v>
      </c>
      <c r="G1554" s="2" t="str">
        <f>TRIM(Table1[[#This Row],[Typ]])</f>
        <v>Faktura VAT</v>
      </c>
      <c r="H1554" s="2" t="str">
        <f>TRIM(Table1[[#This Row],[Magazyn]])</f>
        <v>Apteka Szpitalna</v>
      </c>
      <c r="I1554" s="2" t="str">
        <f>TRIM(Table1[[#This Row],[Umowa]])</f>
        <v>UM-PHA-01</v>
      </c>
      <c r="J1554" s="2" t="b">
        <f>ISTEXT(Table14[[#This Row],[Data_Wystawienia]])</f>
        <v>0</v>
      </c>
      <c r="K1554" s="2">
        <f>VALUE(SUBSTITUTE(Table14[[#This Row],[Wartość]],".",","))</f>
        <v>21687.18</v>
      </c>
      <c r="L15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4" s="2" t="str">
        <f>IF(Table14[[#This Row],[Umowa]]="","Poza umową","Z umowy")</f>
        <v>Z umowy</v>
      </c>
      <c r="N1554" s="2">
        <f>YEAR(Table14[[#This Row],[Data_Wystawienia]])</f>
        <v>2023</v>
      </c>
      <c r="O1554" s="2" t="str">
        <f>TEXT(Table14[[#This Row],[Data_Wystawienia]],"rrrr-mm")</f>
        <v>2023-07</v>
      </c>
      <c r="P1554" s="2">
        <v>1</v>
      </c>
    </row>
    <row r="1555" spans="1:16" x14ac:dyDescent="0.3">
      <c r="A1555" s="2" t="str">
        <f>TRIM(Table1[[#This Row],[Numer_FV]])</f>
        <v>FV/1145/NOVA/23</v>
      </c>
      <c r="B1555" s="2" t="str">
        <f>TRIM(Table1[[#This Row],[Numer_PZ]])</f>
        <v>PZ/801553</v>
      </c>
      <c r="C1555" s="2" t="str">
        <f>TRIM(Table1[[#This Row],[Dostawca]])</f>
        <v>NovaLek</v>
      </c>
      <c r="D1555" s="3">
        <v>45125</v>
      </c>
      <c r="E1555" s="4" t="s">
        <v>4607</v>
      </c>
      <c r="F1555" s="2" t="str">
        <f>TRIM(Table1[[#This Row],[Status]])</f>
        <v>Zaakceptowana</v>
      </c>
      <c r="G1555" s="2" t="str">
        <f>TRIM(Table1[[#This Row],[Typ]])</f>
        <v>Faktura VAT</v>
      </c>
      <c r="H1555" s="2" t="str">
        <f>TRIM(Table1[[#This Row],[Magazyn]])</f>
        <v>Apteka Szpitalna</v>
      </c>
      <c r="I1555" s="2" t="str">
        <f>TRIM(Table1[[#This Row],[Umowa]])</f>
        <v>UM-NOV-02</v>
      </c>
      <c r="J1555" s="2" t="b">
        <f>ISTEXT(Table14[[#This Row],[Data_Wystawienia]])</f>
        <v>0</v>
      </c>
      <c r="K1555" s="2">
        <f>VALUE(SUBSTITUTE(Table14[[#This Row],[Wartość]],".",","))</f>
        <v>16215.6</v>
      </c>
      <c r="L15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5" s="2" t="str">
        <f>IF(Table14[[#This Row],[Umowa]]="","Poza umową","Z umowy")</f>
        <v>Z umowy</v>
      </c>
      <c r="N1555" s="2">
        <f>YEAR(Table14[[#This Row],[Data_Wystawienia]])</f>
        <v>2023</v>
      </c>
      <c r="O1555" s="2" t="str">
        <f>TEXT(Table14[[#This Row],[Data_Wystawienia]],"rrrr-mm")</f>
        <v>2023-07</v>
      </c>
      <c r="P1555" s="2">
        <v>1</v>
      </c>
    </row>
    <row r="1556" spans="1:16" x14ac:dyDescent="0.3">
      <c r="A1556" s="2" t="str">
        <f>TRIM(Table1[[#This Row],[Numer_FV]])</f>
        <v>FV/7921/NOVA/23</v>
      </c>
      <c r="B1556" s="2" t="str">
        <f>TRIM(Table1[[#This Row],[Numer_PZ]])</f>
        <v>PZ/801554</v>
      </c>
      <c r="C1556" s="2" t="str">
        <f>TRIM(Table1[[#This Row],[Dostawca]])</f>
        <v>NovaLek</v>
      </c>
      <c r="D1556" s="3">
        <v>45125</v>
      </c>
      <c r="E1556" s="4" t="s">
        <v>4610</v>
      </c>
      <c r="F1556" s="2" t="str">
        <f>TRIM(Table1[[#This Row],[Status]])</f>
        <v>Zaakceptowana</v>
      </c>
      <c r="G1556" s="2" t="str">
        <f>TRIM(Table1[[#This Row],[Typ]])</f>
        <v>Faktura VAT</v>
      </c>
      <c r="H1556" s="2" t="str">
        <f>TRIM(Table1[[#This Row],[Magazyn]])</f>
        <v>Apteka Szpitalna</v>
      </c>
      <c r="I1556" s="2" t="str">
        <f>TRIM(Table1[[#This Row],[Umowa]])</f>
        <v>UM-NOV-02</v>
      </c>
      <c r="J1556" s="2" t="b">
        <f>ISTEXT(Table14[[#This Row],[Data_Wystawienia]])</f>
        <v>0</v>
      </c>
      <c r="K1556" s="2">
        <f>VALUE(SUBSTITUTE(Table14[[#This Row],[Wartość]],".",","))</f>
        <v>13102.82</v>
      </c>
      <c r="L15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6" s="2" t="str">
        <f>IF(Table14[[#This Row],[Umowa]]="","Poza umową","Z umowy")</f>
        <v>Z umowy</v>
      </c>
      <c r="N1556" s="2">
        <f>YEAR(Table14[[#This Row],[Data_Wystawienia]])</f>
        <v>2023</v>
      </c>
      <c r="O1556" s="2" t="str">
        <f>TEXT(Table14[[#This Row],[Data_Wystawienia]],"rrrr-mm")</f>
        <v>2023-07</v>
      </c>
      <c r="P1556" s="2">
        <v>1</v>
      </c>
    </row>
    <row r="1557" spans="1:16" x14ac:dyDescent="0.3">
      <c r="A1557" s="2" t="str">
        <f>TRIM(Table1[[#This Row],[Numer_FV]])</f>
        <v>FV/POL/13373/2023</v>
      </c>
      <c r="B1557" s="2" t="str">
        <f>TRIM(Table1[[#This Row],[Numer_PZ]])</f>
        <v>PZ/801555</v>
      </c>
      <c r="C1557" s="2" t="str">
        <f>TRIM(Table1[[#This Row],[Dostawca]])</f>
        <v>Polmedica</v>
      </c>
      <c r="D1557" s="3">
        <v>45126</v>
      </c>
      <c r="E1557" s="4" t="s">
        <v>4613</v>
      </c>
      <c r="F1557" s="2" t="str">
        <f>TRIM(Table1[[#This Row],[Status]])</f>
        <v>Zaakceptowana</v>
      </c>
      <c r="G1557" s="2" t="str">
        <f>TRIM(Table1[[#This Row],[Typ]])</f>
        <v>Faktura VAT</v>
      </c>
      <c r="H1557" s="2" t="str">
        <f>TRIM(Table1[[#This Row],[Magazyn]])</f>
        <v>Apteka Szpitalna</v>
      </c>
      <c r="I1557" s="2" t="str">
        <f>TRIM(Table1[[#This Row],[Umowa]])</f>
        <v>UM-POL-02</v>
      </c>
      <c r="J1557" s="2" t="b">
        <f>ISTEXT(Table14[[#This Row],[Data_Wystawienia]])</f>
        <v>0</v>
      </c>
      <c r="K1557" s="2">
        <f>VALUE(SUBSTITUTE(Table14[[#This Row],[Wartość]],".",","))</f>
        <v>16941.330000000002</v>
      </c>
      <c r="L15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7" s="2" t="str">
        <f>IF(Table14[[#This Row],[Umowa]]="","Poza umową","Z umowy")</f>
        <v>Z umowy</v>
      </c>
      <c r="N1557" s="2">
        <f>YEAR(Table14[[#This Row],[Data_Wystawienia]])</f>
        <v>2023</v>
      </c>
      <c r="O1557" s="2" t="str">
        <f>TEXT(Table14[[#This Row],[Data_Wystawienia]],"rrrr-mm")</f>
        <v>2023-07</v>
      </c>
      <c r="P1557" s="2">
        <v>1</v>
      </c>
    </row>
    <row r="1558" spans="1:16" x14ac:dyDescent="0.3">
      <c r="A1558" s="2" t="str">
        <f>TRIM(Table1[[#This Row],[Numer_FV]])</f>
        <v>FV/29/SAL/23</v>
      </c>
      <c r="B1558" s="2" t="str">
        <f>TRIM(Table1[[#This Row],[Numer_PZ]])</f>
        <v>PZ/801556</v>
      </c>
      <c r="C1558" s="2" t="str">
        <f>TRIM(Table1[[#This Row],[Dostawca]])</f>
        <v>SalusHurt</v>
      </c>
      <c r="D1558" s="3">
        <v>45126</v>
      </c>
      <c r="E1558" s="4" t="s">
        <v>4615</v>
      </c>
      <c r="F1558" s="2" t="str">
        <f>TRIM(Table1[[#This Row],[Status]])</f>
        <v>Zaakceptowana</v>
      </c>
      <c r="G1558" s="2" t="str">
        <f>TRIM(Table1[[#This Row],[Typ]])</f>
        <v>Faktura VAT</v>
      </c>
      <c r="H1558" s="2" t="str">
        <f>TRIM(Table1[[#This Row],[Magazyn]])</f>
        <v>Apteka Szpitalna</v>
      </c>
      <c r="I1558" s="2" t="str">
        <f>TRIM(Table1[[#This Row],[Umowa]])</f>
        <v>UM-SAL-02</v>
      </c>
      <c r="J1558" s="2" t="b">
        <f>ISTEXT(Table14[[#This Row],[Data_Wystawienia]])</f>
        <v>0</v>
      </c>
      <c r="K1558" s="2">
        <f>VALUE(SUBSTITUTE(Table14[[#This Row],[Wartość]],".",","))</f>
        <v>22745.54</v>
      </c>
      <c r="L15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8" s="2" t="str">
        <f>IF(Table14[[#This Row],[Umowa]]="","Poza umową","Z umowy")</f>
        <v>Z umowy</v>
      </c>
      <c r="N1558" s="2">
        <f>YEAR(Table14[[#This Row],[Data_Wystawienia]])</f>
        <v>2023</v>
      </c>
      <c r="O1558" s="2" t="str">
        <f>TEXT(Table14[[#This Row],[Data_Wystawienia]],"rrrr-mm")</f>
        <v>2023-07</v>
      </c>
      <c r="P1558" s="2">
        <v>1</v>
      </c>
    </row>
    <row r="1559" spans="1:16" x14ac:dyDescent="0.3">
      <c r="A1559" s="2" t="str">
        <f>TRIM(Table1[[#This Row],[Numer_FV]])</f>
        <v>FV/85/SAL/23</v>
      </c>
      <c r="B1559" s="2" t="str">
        <f>TRIM(Table1[[#This Row],[Numer_PZ]])</f>
        <v>PZ/801557</v>
      </c>
      <c r="C1559" s="2" t="str">
        <f>TRIM(Table1[[#This Row],[Dostawca]])</f>
        <v>SalusHurt</v>
      </c>
      <c r="D1559" s="3">
        <v>45126</v>
      </c>
      <c r="E1559" s="4" t="s">
        <v>4617</v>
      </c>
      <c r="F1559" s="2" t="str">
        <f>TRIM(Table1[[#This Row],[Status]])</f>
        <v>Zaakceptowana</v>
      </c>
      <c r="G1559" s="2" t="str">
        <f>TRIM(Table1[[#This Row],[Typ]])</f>
        <v>Faktura VAT</v>
      </c>
      <c r="H1559" s="2" t="str">
        <f>TRIM(Table1[[#This Row],[Magazyn]])</f>
        <v>Apteka Szpitalna</v>
      </c>
      <c r="I1559" s="2" t="str">
        <f>TRIM(Table1[[#This Row],[Umowa]])</f>
        <v>UM-SAL-01</v>
      </c>
      <c r="J1559" s="2" t="b">
        <f>ISTEXT(Table14[[#This Row],[Data_Wystawienia]])</f>
        <v>0</v>
      </c>
      <c r="K1559" s="2">
        <f>VALUE(SUBSTITUTE(Table14[[#This Row],[Wartość]],".",","))</f>
        <v>12800.94</v>
      </c>
      <c r="L15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59" s="2" t="str">
        <f>IF(Table14[[#This Row],[Umowa]]="","Poza umową","Z umowy")</f>
        <v>Z umowy</v>
      </c>
      <c r="N1559" s="2">
        <f>YEAR(Table14[[#This Row],[Data_Wystawienia]])</f>
        <v>2023</v>
      </c>
      <c r="O1559" s="2" t="str">
        <f>TEXT(Table14[[#This Row],[Data_Wystawienia]],"rrrr-mm")</f>
        <v>2023-07</v>
      </c>
      <c r="P1559" s="2">
        <v>1</v>
      </c>
    </row>
    <row r="1560" spans="1:16" x14ac:dyDescent="0.3">
      <c r="A1560" s="2" t="str">
        <f>TRIM(Table1[[#This Row],[Numer_FV]])</f>
        <v>FV/POL/13219/2023</v>
      </c>
      <c r="B1560" s="2" t="str">
        <f>TRIM(Table1[[#This Row],[Numer_PZ]])</f>
        <v>PZ/801558</v>
      </c>
      <c r="C1560" s="2" t="str">
        <f>TRIM(Table1[[#This Row],[Dostawca]])</f>
        <v>Polmedica</v>
      </c>
      <c r="D1560" s="3">
        <v>45127</v>
      </c>
      <c r="E1560" s="4" t="s">
        <v>4620</v>
      </c>
      <c r="F1560" s="2" t="str">
        <f>TRIM(Table1[[#This Row],[Status]])</f>
        <v>Zaakceptowana</v>
      </c>
      <c r="G1560" s="2" t="str">
        <f>TRIM(Table1[[#This Row],[Typ]])</f>
        <v>Faktura VAT</v>
      </c>
      <c r="H1560" s="2" t="str">
        <f>TRIM(Table1[[#This Row],[Magazyn]])</f>
        <v>Apteka Szpitalna</v>
      </c>
      <c r="I1560" s="2" t="str">
        <f>TRIM(Table1[[#This Row],[Umowa]])</f>
        <v>UM-POL-03</v>
      </c>
      <c r="J1560" s="2" t="b">
        <f>ISTEXT(Table14[[#This Row],[Data_Wystawienia]])</f>
        <v>0</v>
      </c>
      <c r="K1560" s="2">
        <f>VALUE(SUBSTITUTE(Table14[[#This Row],[Wartość]],".",","))</f>
        <v>8160.1</v>
      </c>
      <c r="L15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0" s="2" t="str">
        <f>IF(Table14[[#This Row],[Umowa]]="","Poza umową","Z umowy")</f>
        <v>Z umowy</v>
      </c>
      <c r="N1560" s="2">
        <f>YEAR(Table14[[#This Row],[Data_Wystawienia]])</f>
        <v>2023</v>
      </c>
      <c r="O1560" s="2" t="str">
        <f>TEXT(Table14[[#This Row],[Data_Wystawienia]],"rrrr-mm")</f>
        <v>2023-07</v>
      </c>
      <c r="P1560" s="2">
        <v>1</v>
      </c>
    </row>
    <row r="1561" spans="1:16" x14ac:dyDescent="0.3">
      <c r="A1561" s="2" t="str">
        <f>TRIM(Table1[[#This Row],[Numer_FV]])</f>
        <v>FV/M/4104/P/23</v>
      </c>
      <c r="B1561" s="2" t="str">
        <f>TRIM(Table1[[#This Row],[Numer_PZ]])</f>
        <v>PZ/801559</v>
      </c>
      <c r="C1561" s="2" t="str">
        <f>TRIM(Table1[[#This Row],[Dostawca]])</f>
        <v>MedicaPharm</v>
      </c>
      <c r="D1561" s="3">
        <v>45127</v>
      </c>
      <c r="E1561" s="4" t="s">
        <v>4623</v>
      </c>
      <c r="F1561" s="2" t="str">
        <f>TRIM(Table1[[#This Row],[Status]])</f>
        <v>Zaakceptowana</v>
      </c>
      <c r="G1561" s="2" t="str">
        <f>TRIM(Table1[[#This Row],[Typ]])</f>
        <v>Faktura VAT</v>
      </c>
      <c r="H1561" s="2" t="str">
        <f>TRIM(Table1[[#This Row],[Magazyn]])</f>
        <v>Apteka Szpitalna</v>
      </c>
      <c r="I1561" s="2" t="str">
        <f>TRIM(Table1[[#This Row],[Umowa]])</f>
        <v>UM-MED-02</v>
      </c>
      <c r="J1561" s="2" t="b">
        <f>ISTEXT(Table14[[#This Row],[Data_Wystawienia]])</f>
        <v>0</v>
      </c>
      <c r="K1561" s="2">
        <f>VALUE(SUBSTITUTE(Table14[[#This Row],[Wartość]],".",","))</f>
        <v>17745.21</v>
      </c>
      <c r="L15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1" s="2" t="str">
        <f>IF(Table14[[#This Row],[Umowa]]="","Poza umową","Z umowy")</f>
        <v>Z umowy</v>
      </c>
      <c r="N1561" s="2">
        <f>YEAR(Table14[[#This Row],[Data_Wystawienia]])</f>
        <v>2023</v>
      </c>
      <c r="O1561" s="2" t="str">
        <f>TEXT(Table14[[#This Row],[Data_Wystawienia]],"rrrr-mm")</f>
        <v>2023-07</v>
      </c>
      <c r="P1561" s="2">
        <v>1</v>
      </c>
    </row>
    <row r="1562" spans="1:16" x14ac:dyDescent="0.3">
      <c r="A1562" s="2" t="str">
        <f>TRIM(Table1[[#This Row],[Numer_FV]])</f>
        <v>FV/POL/89169/2023</v>
      </c>
      <c r="B1562" s="2" t="str">
        <f>TRIM(Table1[[#This Row],[Numer_PZ]])</f>
        <v>PZ/801560</v>
      </c>
      <c r="C1562" s="2" t="str">
        <f>TRIM(Table1[[#This Row],[Dostawca]])</f>
        <v>Polmedica</v>
      </c>
      <c r="D1562" s="3">
        <v>45127</v>
      </c>
      <c r="E1562" s="4" t="s">
        <v>4626</v>
      </c>
      <c r="F1562" s="2" t="str">
        <f>TRIM(Table1[[#This Row],[Status]])</f>
        <v>Zaakceptowana</v>
      </c>
      <c r="G1562" s="2" t="str">
        <f>TRIM(Table1[[#This Row],[Typ]])</f>
        <v>Faktura VAT</v>
      </c>
      <c r="H1562" s="2" t="str">
        <f>TRIM(Table1[[#This Row],[Magazyn]])</f>
        <v>Apteka Szpitalna</v>
      </c>
      <c r="I1562" s="2" t="str">
        <f>TRIM(Table1[[#This Row],[Umowa]])</f>
        <v/>
      </c>
      <c r="J1562" s="2" t="b">
        <f>ISTEXT(Table14[[#This Row],[Data_Wystawienia]])</f>
        <v>0</v>
      </c>
      <c r="K1562" s="2">
        <f>VALUE(SUBSTITUTE(Table14[[#This Row],[Wartość]],".",","))</f>
        <v>26948.26</v>
      </c>
      <c r="L15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2" s="2" t="str">
        <f>IF(Table14[[#This Row],[Umowa]]="","Poza umową","Z umowy")</f>
        <v>Poza umową</v>
      </c>
      <c r="N1562" s="2">
        <f>YEAR(Table14[[#This Row],[Data_Wystawienia]])</f>
        <v>2023</v>
      </c>
      <c r="O1562" s="2" t="str">
        <f>TEXT(Table14[[#This Row],[Data_Wystawienia]],"rrrr-mm")</f>
        <v>2023-07</v>
      </c>
      <c r="P1562" s="2">
        <v>1</v>
      </c>
    </row>
    <row r="1563" spans="1:16" x14ac:dyDescent="0.3">
      <c r="A1563" s="2" t="str">
        <f>TRIM(Table1[[#This Row],[Numer_FV]])</f>
        <v>FV/2739HM/23</v>
      </c>
      <c r="B1563" s="2" t="str">
        <f>TRIM(Table1[[#This Row],[Numer_PZ]])</f>
        <v>PZ/801561</v>
      </c>
      <c r="C1563" s="2" t="str">
        <f>TRIM(Table1[[#This Row],[Dostawca]])</f>
        <v>HurtMedix</v>
      </c>
      <c r="D1563" s="3">
        <v>45128</v>
      </c>
      <c r="E1563" s="4" t="s">
        <v>4629</v>
      </c>
      <c r="F1563" s="2" t="str">
        <f>TRIM(Table1[[#This Row],[Status]])</f>
        <v>Zaakceptowana</v>
      </c>
      <c r="G1563" s="2" t="str">
        <f>TRIM(Table1[[#This Row],[Typ]])</f>
        <v>Faktura VAT</v>
      </c>
      <c r="H1563" s="2" t="str">
        <f>TRIM(Table1[[#This Row],[Magazyn]])</f>
        <v>Apteka Szpitalna</v>
      </c>
      <c r="I1563" s="2" t="str">
        <f>TRIM(Table1[[#This Row],[Umowa]])</f>
        <v>UM-HUR-01</v>
      </c>
      <c r="J1563" s="2" t="b">
        <f>ISTEXT(Table14[[#This Row],[Data_Wystawienia]])</f>
        <v>0</v>
      </c>
      <c r="K1563" s="2">
        <f>VALUE(SUBSTITUTE(Table14[[#This Row],[Wartość]],".",","))</f>
        <v>19033.240000000002</v>
      </c>
      <c r="L15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3" s="2" t="str">
        <f>IF(Table14[[#This Row],[Umowa]]="","Poza umową","Z umowy")</f>
        <v>Z umowy</v>
      </c>
      <c r="N1563" s="2">
        <f>YEAR(Table14[[#This Row],[Data_Wystawienia]])</f>
        <v>2023</v>
      </c>
      <c r="O1563" s="2" t="str">
        <f>TEXT(Table14[[#This Row],[Data_Wystawienia]],"rrrr-mm")</f>
        <v>2023-07</v>
      </c>
      <c r="P1563" s="2">
        <v>1</v>
      </c>
    </row>
    <row r="1564" spans="1:16" x14ac:dyDescent="0.3">
      <c r="A1564" s="2" t="str">
        <f>TRIM(Table1[[#This Row],[Numer_FV]])</f>
        <v>FV/POL/29743/2023</v>
      </c>
      <c r="B1564" s="2" t="str">
        <f>TRIM(Table1[[#This Row],[Numer_PZ]])</f>
        <v>PZ/801562</v>
      </c>
      <c r="C1564" s="2" t="str">
        <f>TRIM(Table1[[#This Row],[Dostawca]])</f>
        <v>Polmedica</v>
      </c>
      <c r="D1564" s="3">
        <v>45129</v>
      </c>
      <c r="E1564" s="4" t="s">
        <v>4632</v>
      </c>
      <c r="F1564" s="2" t="str">
        <f>TRIM(Table1[[#This Row],[Status]])</f>
        <v>Zaakceptowana</v>
      </c>
      <c r="G1564" s="2" t="str">
        <f>TRIM(Table1[[#This Row],[Typ]])</f>
        <v>Faktura VAT</v>
      </c>
      <c r="H1564" s="2" t="str">
        <f>TRIM(Table1[[#This Row],[Magazyn]])</f>
        <v>Apteka Szpitalna</v>
      </c>
      <c r="I1564" s="2" t="str">
        <f>TRIM(Table1[[#This Row],[Umowa]])</f>
        <v>UM-POL-02</v>
      </c>
      <c r="J1564" s="2" t="b">
        <f>ISTEXT(Table14[[#This Row],[Data_Wystawienia]])</f>
        <v>0</v>
      </c>
      <c r="K1564" s="2">
        <f>VALUE(SUBSTITUTE(Table14[[#This Row],[Wartość]],".",","))</f>
        <v>15337.51</v>
      </c>
      <c r="L15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4" s="2" t="str">
        <f>IF(Table14[[#This Row],[Umowa]]="","Poza umową","Z umowy")</f>
        <v>Z umowy</v>
      </c>
      <c r="N1564" s="2">
        <f>YEAR(Table14[[#This Row],[Data_Wystawienia]])</f>
        <v>2023</v>
      </c>
      <c r="O1564" s="2" t="str">
        <f>TEXT(Table14[[#This Row],[Data_Wystawienia]],"rrrr-mm")</f>
        <v>2023-07</v>
      </c>
      <c r="P1564" s="2">
        <v>1</v>
      </c>
    </row>
    <row r="1565" spans="1:16" x14ac:dyDescent="0.3">
      <c r="A1565" s="2" t="str">
        <f>TRIM(Table1[[#This Row],[Numer_FV]])</f>
        <v>FV/46/PP/8507/23</v>
      </c>
      <c r="B1565" s="2" t="str">
        <f>TRIM(Table1[[#This Row],[Numer_PZ]])</f>
        <v>PZ/801563</v>
      </c>
      <c r="C1565" s="2" t="str">
        <f>TRIM(Table1[[#This Row],[Dostawca]])</f>
        <v>PharmaPlus</v>
      </c>
      <c r="D1565" s="3">
        <v>45129</v>
      </c>
      <c r="E1565" s="4" t="s">
        <v>4635</v>
      </c>
      <c r="F1565" s="2" t="str">
        <f>TRIM(Table1[[#This Row],[Status]])</f>
        <v>Zaakceptowana</v>
      </c>
      <c r="G1565" s="2" t="str">
        <f>TRIM(Table1[[#This Row],[Typ]])</f>
        <v>Faktura VAT</v>
      </c>
      <c r="H1565" s="2" t="str">
        <f>TRIM(Table1[[#This Row],[Magazyn]])</f>
        <v>Apteka Szpitalna</v>
      </c>
      <c r="I1565" s="2" t="str">
        <f>TRIM(Table1[[#This Row],[Umowa]])</f>
        <v>UM-PHA-01</v>
      </c>
      <c r="J1565" s="2" t="b">
        <f>ISTEXT(Table14[[#This Row],[Data_Wystawienia]])</f>
        <v>0</v>
      </c>
      <c r="K1565" s="2">
        <f>VALUE(SUBSTITUTE(Table14[[#This Row],[Wartość]],".",","))</f>
        <v>7785.9</v>
      </c>
      <c r="L15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5" s="2" t="str">
        <f>IF(Table14[[#This Row],[Umowa]]="","Poza umową","Z umowy")</f>
        <v>Z umowy</v>
      </c>
      <c r="N1565" s="2">
        <f>YEAR(Table14[[#This Row],[Data_Wystawienia]])</f>
        <v>2023</v>
      </c>
      <c r="O1565" s="2" t="str">
        <f>TEXT(Table14[[#This Row],[Data_Wystawienia]],"rrrr-mm")</f>
        <v>2023-07</v>
      </c>
      <c r="P1565" s="2">
        <v>1</v>
      </c>
    </row>
    <row r="1566" spans="1:16" x14ac:dyDescent="0.3">
      <c r="A1566" s="2" t="str">
        <f>TRIM(Table1[[#This Row],[Numer_FV]])</f>
        <v>FV/POL/79369/2023</v>
      </c>
      <c r="B1566" s="2" t="str">
        <f>TRIM(Table1[[#This Row],[Numer_PZ]])</f>
        <v>PZ/801564</v>
      </c>
      <c r="C1566" s="2" t="str">
        <f>TRIM(Table1[[#This Row],[Dostawca]])</f>
        <v>Polmedica</v>
      </c>
      <c r="D1566" s="3">
        <v>45129</v>
      </c>
      <c r="E1566" s="4" t="s">
        <v>4638</v>
      </c>
      <c r="F1566" s="2" t="str">
        <f>TRIM(Table1[[#This Row],[Status]])</f>
        <v>Zaakceptowana</v>
      </c>
      <c r="G1566" s="2" t="str">
        <f>TRIM(Table1[[#This Row],[Typ]])</f>
        <v>Faktura VAT</v>
      </c>
      <c r="H1566" s="2" t="str">
        <f>TRIM(Table1[[#This Row],[Magazyn]])</f>
        <v>Apteka Szpitalna</v>
      </c>
      <c r="I1566" s="2" t="str">
        <f>TRIM(Table1[[#This Row],[Umowa]])</f>
        <v>UM-POL-01</v>
      </c>
      <c r="J1566" s="2" t="b">
        <f>ISTEXT(Table14[[#This Row],[Data_Wystawienia]])</f>
        <v>0</v>
      </c>
      <c r="K1566" s="2">
        <f>VALUE(SUBSTITUTE(Table14[[#This Row],[Wartość]],".",","))</f>
        <v>20001.79</v>
      </c>
      <c r="L15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6" s="2" t="str">
        <f>IF(Table14[[#This Row],[Umowa]]="","Poza umową","Z umowy")</f>
        <v>Z umowy</v>
      </c>
      <c r="N1566" s="2">
        <f>YEAR(Table14[[#This Row],[Data_Wystawienia]])</f>
        <v>2023</v>
      </c>
      <c r="O1566" s="2" t="str">
        <f>TEXT(Table14[[#This Row],[Data_Wystawienia]],"rrrr-mm")</f>
        <v>2023-07</v>
      </c>
      <c r="P1566" s="2">
        <v>1</v>
      </c>
    </row>
    <row r="1567" spans="1:16" x14ac:dyDescent="0.3">
      <c r="A1567" s="2" t="str">
        <f>TRIM(Table1[[#This Row],[Numer_FV]])</f>
        <v>FV/6779/NOVA/23</v>
      </c>
      <c r="B1567" s="2" t="str">
        <f>TRIM(Table1[[#This Row],[Numer_PZ]])</f>
        <v>PZ/801565</v>
      </c>
      <c r="C1567" s="2" t="str">
        <f>TRIM(Table1[[#This Row],[Dostawca]])</f>
        <v>NovaLek</v>
      </c>
      <c r="D1567" s="3">
        <v>45129</v>
      </c>
      <c r="E1567" s="4" t="s">
        <v>4641</v>
      </c>
      <c r="F1567" s="2" t="str">
        <f>TRIM(Table1[[#This Row],[Status]])</f>
        <v>Zaakceptowana</v>
      </c>
      <c r="G1567" s="2" t="str">
        <f>TRIM(Table1[[#This Row],[Typ]])</f>
        <v>Faktura VAT</v>
      </c>
      <c r="H1567" s="2" t="str">
        <f>TRIM(Table1[[#This Row],[Magazyn]])</f>
        <v>Apteka Szpitalna</v>
      </c>
      <c r="I1567" s="2" t="str">
        <f>TRIM(Table1[[#This Row],[Umowa]])</f>
        <v>UM-NOV-01</v>
      </c>
      <c r="J1567" s="2" t="b">
        <f>ISTEXT(Table14[[#This Row],[Data_Wystawienia]])</f>
        <v>0</v>
      </c>
      <c r="K1567" s="2">
        <f>VALUE(SUBSTITUTE(Table14[[#This Row],[Wartość]],".",","))</f>
        <v>9040.1</v>
      </c>
      <c r="L15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7" s="2" t="str">
        <f>IF(Table14[[#This Row],[Umowa]]="","Poza umową","Z umowy")</f>
        <v>Z umowy</v>
      </c>
      <c r="N1567" s="2">
        <f>YEAR(Table14[[#This Row],[Data_Wystawienia]])</f>
        <v>2023</v>
      </c>
      <c r="O1567" s="2" t="str">
        <f>TEXT(Table14[[#This Row],[Data_Wystawienia]],"rrrr-mm")</f>
        <v>2023-07</v>
      </c>
      <c r="P1567" s="2">
        <v>1</v>
      </c>
    </row>
    <row r="1568" spans="1:16" x14ac:dyDescent="0.3">
      <c r="A1568" s="2" t="str">
        <f>TRIM(Table1[[#This Row],[Numer_FV]])</f>
        <v>FV/39/SAL/23</v>
      </c>
      <c r="B1568" s="2" t="str">
        <f>TRIM(Table1[[#This Row],[Numer_PZ]])</f>
        <v>PZ/801566</v>
      </c>
      <c r="C1568" s="2" t="str">
        <f>TRIM(Table1[[#This Row],[Dostawca]])</f>
        <v>SalusHurt</v>
      </c>
      <c r="D1568" s="3">
        <v>45130</v>
      </c>
      <c r="E1568" s="4" t="s">
        <v>4643</v>
      </c>
      <c r="F1568" s="2" t="str">
        <f>TRIM(Table1[[#This Row],[Status]])</f>
        <v>Zaakceptowana</v>
      </c>
      <c r="G1568" s="2" t="str">
        <f>TRIM(Table1[[#This Row],[Typ]])</f>
        <v>Faktura VAT</v>
      </c>
      <c r="H1568" s="2" t="str">
        <f>TRIM(Table1[[#This Row],[Magazyn]])</f>
        <v>Apteka Szpitalna</v>
      </c>
      <c r="I1568" s="2" t="str">
        <f>TRIM(Table1[[#This Row],[Umowa]])</f>
        <v>UM-SAL-01</v>
      </c>
      <c r="J1568" s="2" t="b">
        <f>ISTEXT(Table14[[#This Row],[Data_Wystawienia]])</f>
        <v>0</v>
      </c>
      <c r="K1568" s="2">
        <f>VALUE(SUBSTITUTE(Table14[[#This Row],[Wartość]],".",","))</f>
        <v>21476.49</v>
      </c>
      <c r="L15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8" s="2" t="str">
        <f>IF(Table14[[#This Row],[Umowa]]="","Poza umową","Z umowy")</f>
        <v>Z umowy</v>
      </c>
      <c r="N1568" s="2">
        <f>YEAR(Table14[[#This Row],[Data_Wystawienia]])</f>
        <v>2023</v>
      </c>
      <c r="O1568" s="2" t="str">
        <f>TEXT(Table14[[#This Row],[Data_Wystawienia]],"rrrr-mm")</f>
        <v>2023-07</v>
      </c>
      <c r="P1568" s="2">
        <v>1</v>
      </c>
    </row>
    <row r="1569" spans="1:16" x14ac:dyDescent="0.3">
      <c r="A1569" s="2" t="str">
        <f>TRIM(Table1[[#This Row],[Numer_FV]])</f>
        <v>FV/POL/89186/2023</v>
      </c>
      <c r="B1569" s="2" t="str">
        <f>TRIM(Table1[[#This Row],[Numer_PZ]])</f>
        <v>PZ/801567</v>
      </c>
      <c r="C1569" s="2" t="str">
        <f>TRIM(Table1[[#This Row],[Dostawca]])</f>
        <v>Polmedica</v>
      </c>
      <c r="D1569" s="3">
        <v>45131</v>
      </c>
      <c r="E1569" s="4" t="s">
        <v>4646</v>
      </c>
      <c r="F1569" s="2" t="str">
        <f>TRIM(Table1[[#This Row],[Status]])</f>
        <v>Zaakceptowana</v>
      </c>
      <c r="G1569" s="2" t="str">
        <f>TRIM(Table1[[#This Row],[Typ]])</f>
        <v>Faktura VAT</v>
      </c>
      <c r="H1569" s="2" t="str">
        <f>TRIM(Table1[[#This Row],[Magazyn]])</f>
        <v>Apteka Szpitalna</v>
      </c>
      <c r="I1569" s="2" t="str">
        <f>TRIM(Table1[[#This Row],[Umowa]])</f>
        <v>UM-POL-03</v>
      </c>
      <c r="J1569" s="2" t="b">
        <f>ISTEXT(Table14[[#This Row],[Data_Wystawienia]])</f>
        <v>0</v>
      </c>
      <c r="K1569" s="2">
        <f>VALUE(SUBSTITUTE(Table14[[#This Row],[Wartość]],".",","))</f>
        <v>9898.65</v>
      </c>
      <c r="L15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69" s="2" t="str">
        <f>IF(Table14[[#This Row],[Umowa]]="","Poza umową","Z umowy")</f>
        <v>Z umowy</v>
      </c>
      <c r="N1569" s="2">
        <f>YEAR(Table14[[#This Row],[Data_Wystawienia]])</f>
        <v>2023</v>
      </c>
      <c r="O1569" s="2" t="str">
        <f>TEXT(Table14[[#This Row],[Data_Wystawienia]],"rrrr-mm")</f>
        <v>2023-07</v>
      </c>
      <c r="P1569" s="2">
        <v>1</v>
      </c>
    </row>
    <row r="1570" spans="1:16" x14ac:dyDescent="0.3">
      <c r="A1570" s="2" t="str">
        <f>TRIM(Table1[[#This Row],[Numer_FV]])</f>
        <v>FV/3036/NOVA/23</v>
      </c>
      <c r="B1570" s="2" t="str">
        <f>TRIM(Table1[[#This Row],[Numer_PZ]])</f>
        <v>PZ/801568</v>
      </c>
      <c r="C1570" s="2" t="str">
        <f>TRIM(Table1[[#This Row],[Dostawca]])</f>
        <v>NovaLek</v>
      </c>
      <c r="D1570" s="3">
        <v>45131</v>
      </c>
      <c r="E1570" s="4" t="s">
        <v>4649</v>
      </c>
      <c r="F1570" s="2" t="str">
        <f>TRIM(Table1[[#This Row],[Status]])</f>
        <v>Zaakceptowana</v>
      </c>
      <c r="G1570" s="2" t="str">
        <f>TRIM(Table1[[#This Row],[Typ]])</f>
        <v>Faktura VAT</v>
      </c>
      <c r="H1570" s="2" t="str">
        <f>TRIM(Table1[[#This Row],[Magazyn]])</f>
        <v>Apteka Szpitalna</v>
      </c>
      <c r="I1570" s="2" t="str">
        <f>TRIM(Table1[[#This Row],[Umowa]])</f>
        <v>UM-NOV-01</v>
      </c>
      <c r="J1570" s="2" t="b">
        <f>ISTEXT(Table14[[#This Row],[Data_Wystawienia]])</f>
        <v>0</v>
      </c>
      <c r="K1570" s="2">
        <f>VALUE(SUBSTITUTE(Table14[[#This Row],[Wartość]],".",","))</f>
        <v>6354.05</v>
      </c>
      <c r="L15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0" s="2" t="str">
        <f>IF(Table14[[#This Row],[Umowa]]="","Poza umową","Z umowy")</f>
        <v>Z umowy</v>
      </c>
      <c r="N1570" s="2">
        <f>YEAR(Table14[[#This Row],[Data_Wystawienia]])</f>
        <v>2023</v>
      </c>
      <c r="O1570" s="2" t="str">
        <f>TEXT(Table14[[#This Row],[Data_Wystawienia]],"rrrr-mm")</f>
        <v>2023-07</v>
      </c>
      <c r="P1570" s="2">
        <v>1</v>
      </c>
    </row>
    <row r="1571" spans="1:16" x14ac:dyDescent="0.3">
      <c r="A1571" s="2" t="str">
        <f>TRIM(Table1[[#This Row],[Numer_FV]])</f>
        <v>FV/2596HM/23</v>
      </c>
      <c r="B1571" s="2" t="str">
        <f>TRIM(Table1[[#This Row],[Numer_PZ]])</f>
        <v>PZ/801569</v>
      </c>
      <c r="C1571" s="2" t="str">
        <f>TRIM(Table1[[#This Row],[Dostawca]])</f>
        <v>HurtMedix</v>
      </c>
      <c r="D1571" s="3">
        <v>45131</v>
      </c>
      <c r="E1571" s="4" t="s">
        <v>4652</v>
      </c>
      <c r="F1571" s="2" t="str">
        <f>TRIM(Table1[[#This Row],[Status]])</f>
        <v>Zaakceptowana</v>
      </c>
      <c r="G1571" s="2" t="str">
        <f>TRIM(Table1[[#This Row],[Typ]])</f>
        <v>Faktura VAT</v>
      </c>
      <c r="H1571" s="2" t="str">
        <f>TRIM(Table1[[#This Row],[Magazyn]])</f>
        <v>Apteka Szpitalna</v>
      </c>
      <c r="I1571" s="2" t="str">
        <f>TRIM(Table1[[#This Row],[Umowa]])</f>
        <v/>
      </c>
      <c r="J1571" s="2" t="b">
        <f>ISTEXT(Table14[[#This Row],[Data_Wystawienia]])</f>
        <v>0</v>
      </c>
      <c r="K1571" s="2">
        <f>VALUE(SUBSTITUTE(Table14[[#This Row],[Wartość]],".",","))</f>
        <v>15179.65</v>
      </c>
      <c r="L15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1" s="2" t="str">
        <f>IF(Table14[[#This Row],[Umowa]]="","Poza umową","Z umowy")</f>
        <v>Poza umową</v>
      </c>
      <c r="N1571" s="2">
        <f>YEAR(Table14[[#This Row],[Data_Wystawienia]])</f>
        <v>2023</v>
      </c>
      <c r="O1571" s="2" t="str">
        <f>TEXT(Table14[[#This Row],[Data_Wystawienia]],"rrrr-mm")</f>
        <v>2023-07</v>
      </c>
      <c r="P1571" s="2">
        <v>1</v>
      </c>
    </row>
    <row r="1572" spans="1:16" x14ac:dyDescent="0.3">
      <c r="A1572" s="2" t="str">
        <f>TRIM(Table1[[#This Row],[Numer_FV]])</f>
        <v>FV/7324/NOVA/23</v>
      </c>
      <c r="B1572" s="2" t="str">
        <f>TRIM(Table1[[#This Row],[Numer_PZ]])</f>
        <v>PZ/801570</v>
      </c>
      <c r="C1572" s="2" t="str">
        <f>TRIM(Table1[[#This Row],[Dostawca]])</f>
        <v>NovaLek</v>
      </c>
      <c r="D1572" s="3">
        <v>45132</v>
      </c>
      <c r="E1572" s="4" t="s">
        <v>4655</v>
      </c>
      <c r="F1572" s="2" t="str">
        <f>TRIM(Table1[[#This Row],[Status]])</f>
        <v>Zaakceptowana</v>
      </c>
      <c r="G1572" s="2" t="str">
        <f>TRIM(Table1[[#This Row],[Typ]])</f>
        <v>Faktura VAT</v>
      </c>
      <c r="H1572" s="2" t="str">
        <f>TRIM(Table1[[#This Row],[Magazyn]])</f>
        <v>Apteka Szpitalna</v>
      </c>
      <c r="I1572" s="2" t="str">
        <f>TRIM(Table1[[#This Row],[Umowa]])</f>
        <v>UM-NOV-03</v>
      </c>
      <c r="J1572" s="2" t="b">
        <f>ISTEXT(Table14[[#This Row],[Data_Wystawienia]])</f>
        <v>0</v>
      </c>
      <c r="K1572" s="2">
        <f>VALUE(SUBSTITUTE(Table14[[#This Row],[Wartość]],".",","))</f>
        <v>7013.52</v>
      </c>
      <c r="L15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2" s="2" t="str">
        <f>IF(Table14[[#This Row],[Umowa]]="","Poza umową","Z umowy")</f>
        <v>Z umowy</v>
      </c>
      <c r="N1572" s="2">
        <f>YEAR(Table14[[#This Row],[Data_Wystawienia]])</f>
        <v>2023</v>
      </c>
      <c r="O1572" s="2" t="str">
        <f>TEXT(Table14[[#This Row],[Data_Wystawienia]],"rrrr-mm")</f>
        <v>2023-07</v>
      </c>
      <c r="P1572" s="2">
        <v>1</v>
      </c>
    </row>
    <row r="1573" spans="1:16" x14ac:dyDescent="0.3">
      <c r="A1573" s="2" t="str">
        <f>TRIM(Table1[[#This Row],[Numer_FV]])</f>
        <v>FV/17/PP/4474/23</v>
      </c>
      <c r="B1573" s="2" t="str">
        <f>TRIM(Table1[[#This Row],[Numer_PZ]])</f>
        <v>PZ/801571</v>
      </c>
      <c r="C1573" s="2" t="str">
        <f>TRIM(Table1[[#This Row],[Dostawca]])</f>
        <v>PharmaPlus</v>
      </c>
      <c r="D1573" s="3">
        <v>45132</v>
      </c>
      <c r="E1573" s="4" t="s">
        <v>4658</v>
      </c>
      <c r="F1573" s="2" t="str">
        <f>TRIM(Table1[[#This Row],[Status]])</f>
        <v>Zaakceptowana</v>
      </c>
      <c r="G1573" s="2" t="str">
        <f>TRIM(Table1[[#This Row],[Typ]])</f>
        <v>Faktura VAT</v>
      </c>
      <c r="H1573" s="2" t="str">
        <f>TRIM(Table1[[#This Row],[Magazyn]])</f>
        <v>Apteka Szpitalna</v>
      </c>
      <c r="I1573" s="2" t="str">
        <f>TRIM(Table1[[#This Row],[Umowa]])</f>
        <v/>
      </c>
      <c r="J1573" s="2" t="b">
        <f>ISTEXT(Table14[[#This Row],[Data_Wystawienia]])</f>
        <v>0</v>
      </c>
      <c r="K1573" s="2">
        <f>VALUE(SUBSTITUTE(Table14[[#This Row],[Wartość]],".",","))</f>
        <v>11991.83</v>
      </c>
      <c r="L15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3" s="2" t="str">
        <f>IF(Table14[[#This Row],[Umowa]]="","Poza umową","Z umowy")</f>
        <v>Poza umową</v>
      </c>
      <c r="N1573" s="2">
        <f>YEAR(Table14[[#This Row],[Data_Wystawienia]])</f>
        <v>2023</v>
      </c>
      <c r="O1573" s="2" t="str">
        <f>TEXT(Table14[[#This Row],[Data_Wystawienia]],"rrrr-mm")</f>
        <v>2023-07</v>
      </c>
      <c r="P1573" s="2">
        <v>1</v>
      </c>
    </row>
    <row r="1574" spans="1:16" x14ac:dyDescent="0.3">
      <c r="A1574" s="2" t="str">
        <f>TRIM(Table1[[#This Row],[Numer_FV]])</f>
        <v>FV/POL/80710/2023</v>
      </c>
      <c r="B1574" s="2" t="str">
        <f>TRIM(Table1[[#This Row],[Numer_PZ]])</f>
        <v>PZ/801572</v>
      </c>
      <c r="C1574" s="2" t="str">
        <f>TRIM(Table1[[#This Row],[Dostawca]])</f>
        <v>Polmedica</v>
      </c>
      <c r="D1574" s="3">
        <v>45132</v>
      </c>
      <c r="E1574" s="4" t="s">
        <v>4661</v>
      </c>
      <c r="F1574" s="2" t="str">
        <f>TRIM(Table1[[#This Row],[Status]])</f>
        <v>Zaakceptowana</v>
      </c>
      <c r="G1574" s="2" t="str">
        <f>TRIM(Table1[[#This Row],[Typ]])</f>
        <v>Faktura VAT</v>
      </c>
      <c r="H1574" s="2" t="str">
        <f>TRIM(Table1[[#This Row],[Magazyn]])</f>
        <v>Apteka Szpitalna</v>
      </c>
      <c r="I1574" s="2" t="str">
        <f>TRIM(Table1[[#This Row],[Umowa]])</f>
        <v>UM-POL-01</v>
      </c>
      <c r="J1574" s="2" t="b">
        <f>ISTEXT(Table14[[#This Row],[Data_Wystawienia]])</f>
        <v>0</v>
      </c>
      <c r="K1574" s="2">
        <f>VALUE(SUBSTITUTE(Table14[[#This Row],[Wartość]],".",","))</f>
        <v>22071.79</v>
      </c>
      <c r="L15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4" s="2" t="str">
        <f>IF(Table14[[#This Row],[Umowa]]="","Poza umową","Z umowy")</f>
        <v>Z umowy</v>
      </c>
      <c r="N1574" s="2">
        <f>YEAR(Table14[[#This Row],[Data_Wystawienia]])</f>
        <v>2023</v>
      </c>
      <c r="O1574" s="2" t="str">
        <f>TEXT(Table14[[#This Row],[Data_Wystawienia]],"rrrr-mm")</f>
        <v>2023-07</v>
      </c>
      <c r="P1574" s="2">
        <v>1</v>
      </c>
    </row>
    <row r="1575" spans="1:16" x14ac:dyDescent="0.3">
      <c r="A1575" s="2" t="str">
        <f>TRIM(Table1[[#This Row],[Numer_FV]])</f>
        <v>FV/3794HM/23</v>
      </c>
      <c r="B1575" s="2" t="str">
        <f>TRIM(Table1[[#This Row],[Numer_PZ]])</f>
        <v>PZ/801573</v>
      </c>
      <c r="C1575" s="2" t="str">
        <f>TRIM(Table1[[#This Row],[Dostawca]])</f>
        <v>HurtMedix</v>
      </c>
      <c r="D1575" s="3">
        <v>45132</v>
      </c>
      <c r="E1575" s="4" t="s">
        <v>4664</v>
      </c>
      <c r="F1575" s="2" t="str">
        <f>TRIM(Table1[[#This Row],[Status]])</f>
        <v>Zaakceptowana</v>
      </c>
      <c r="G1575" s="2" t="str">
        <f>TRIM(Table1[[#This Row],[Typ]])</f>
        <v>Faktura VAT</v>
      </c>
      <c r="H1575" s="2" t="str">
        <f>TRIM(Table1[[#This Row],[Magazyn]])</f>
        <v>Apteka Szpitalna</v>
      </c>
      <c r="I1575" s="2" t="str">
        <f>TRIM(Table1[[#This Row],[Umowa]])</f>
        <v>UM-HUR-02</v>
      </c>
      <c r="J1575" s="2" t="b">
        <f>ISTEXT(Table14[[#This Row],[Data_Wystawienia]])</f>
        <v>0</v>
      </c>
      <c r="K1575" s="2">
        <f>VALUE(SUBSTITUTE(Table14[[#This Row],[Wartość]],".",","))</f>
        <v>17001.939999999999</v>
      </c>
      <c r="L15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5" s="2" t="str">
        <f>IF(Table14[[#This Row],[Umowa]]="","Poza umową","Z umowy")</f>
        <v>Z umowy</v>
      </c>
      <c r="N1575" s="2">
        <f>YEAR(Table14[[#This Row],[Data_Wystawienia]])</f>
        <v>2023</v>
      </c>
      <c r="O1575" s="2" t="str">
        <f>TEXT(Table14[[#This Row],[Data_Wystawienia]],"rrrr-mm")</f>
        <v>2023-07</v>
      </c>
      <c r="P1575" s="2">
        <v>1</v>
      </c>
    </row>
    <row r="1576" spans="1:16" x14ac:dyDescent="0.3">
      <c r="A1576" s="2" t="str">
        <f>TRIM(Table1[[#This Row],[Numer_FV]])</f>
        <v>FV/72509/VDb/2023</v>
      </c>
      <c r="B1576" s="2" t="str">
        <f>TRIM(Table1[[#This Row],[Numer_PZ]])</f>
        <v>PZ/801574</v>
      </c>
      <c r="C1576" s="2" t="str">
        <f>TRIM(Table1[[#This Row],[Dostawca]])</f>
        <v>VitaDistrib</v>
      </c>
      <c r="D1576" s="3">
        <v>45133</v>
      </c>
      <c r="E1576" s="4" t="s">
        <v>4667</v>
      </c>
      <c r="F1576" s="2" t="str">
        <f>TRIM(Table1[[#This Row],[Status]])</f>
        <v>Zaakceptowana</v>
      </c>
      <c r="G1576" s="2" t="str">
        <f>TRIM(Table1[[#This Row],[Typ]])</f>
        <v>Faktura VAT</v>
      </c>
      <c r="H1576" s="2" t="str">
        <f>TRIM(Table1[[#This Row],[Magazyn]])</f>
        <v>Apteka Szpitalna</v>
      </c>
      <c r="I1576" s="2" t="str">
        <f>TRIM(Table1[[#This Row],[Umowa]])</f>
        <v>UM-VIT-01</v>
      </c>
      <c r="J1576" s="2" t="b">
        <f>ISTEXT(Table14[[#This Row],[Data_Wystawienia]])</f>
        <v>0</v>
      </c>
      <c r="K1576" s="2">
        <f>VALUE(SUBSTITUTE(Table14[[#This Row],[Wartość]],".",","))</f>
        <v>15307.45</v>
      </c>
      <c r="L15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6" s="2" t="str">
        <f>IF(Table14[[#This Row],[Umowa]]="","Poza umową","Z umowy")</f>
        <v>Z umowy</v>
      </c>
      <c r="N1576" s="2">
        <f>YEAR(Table14[[#This Row],[Data_Wystawienia]])</f>
        <v>2023</v>
      </c>
      <c r="O1576" s="2" t="str">
        <f>TEXT(Table14[[#This Row],[Data_Wystawienia]],"rrrr-mm")</f>
        <v>2023-07</v>
      </c>
      <c r="P1576" s="2">
        <v>1</v>
      </c>
    </row>
    <row r="1577" spans="1:16" x14ac:dyDescent="0.3">
      <c r="A1577" s="2" t="str">
        <f>TRIM(Table1[[#This Row],[Numer_FV]])</f>
        <v>FV/69/PP/7746/23</v>
      </c>
      <c r="B1577" s="2" t="str">
        <f>TRIM(Table1[[#This Row],[Numer_PZ]])</f>
        <v>PZ/801575</v>
      </c>
      <c r="C1577" s="2" t="str">
        <f>TRIM(Table1[[#This Row],[Dostawca]])</f>
        <v>PharmaPlus</v>
      </c>
      <c r="D1577" s="3">
        <v>45133</v>
      </c>
      <c r="E1577" s="4" t="s">
        <v>4670</v>
      </c>
      <c r="F1577" s="2" t="str">
        <f>TRIM(Table1[[#This Row],[Status]])</f>
        <v>Zaakceptowana</v>
      </c>
      <c r="G1577" s="2" t="str">
        <f>TRIM(Table1[[#This Row],[Typ]])</f>
        <v>Faktura VAT</v>
      </c>
      <c r="H1577" s="2" t="str">
        <f>TRIM(Table1[[#This Row],[Magazyn]])</f>
        <v>Apteka Szpitalna</v>
      </c>
      <c r="I1577" s="2" t="str">
        <f>TRIM(Table1[[#This Row],[Umowa]])</f>
        <v>UM-PHA-02</v>
      </c>
      <c r="J1577" s="2" t="b">
        <f>ISTEXT(Table14[[#This Row],[Data_Wystawienia]])</f>
        <v>0</v>
      </c>
      <c r="K1577" s="2">
        <f>VALUE(SUBSTITUTE(Table14[[#This Row],[Wartość]],".",","))</f>
        <v>14565.76</v>
      </c>
      <c r="L15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7" s="2" t="str">
        <f>IF(Table14[[#This Row],[Umowa]]="","Poza umową","Z umowy")</f>
        <v>Z umowy</v>
      </c>
      <c r="N1577" s="2">
        <f>YEAR(Table14[[#This Row],[Data_Wystawienia]])</f>
        <v>2023</v>
      </c>
      <c r="O1577" s="2" t="str">
        <f>TEXT(Table14[[#This Row],[Data_Wystawienia]],"rrrr-mm")</f>
        <v>2023-07</v>
      </c>
      <c r="P1577" s="2">
        <v>1</v>
      </c>
    </row>
    <row r="1578" spans="1:16" x14ac:dyDescent="0.3">
      <c r="A1578" s="2" t="str">
        <f>TRIM(Table1[[#This Row],[Numer_FV]])</f>
        <v>FV/14/SAL/23</v>
      </c>
      <c r="B1578" s="2" t="str">
        <f>TRIM(Table1[[#This Row],[Numer_PZ]])</f>
        <v>PZ/801576</v>
      </c>
      <c r="C1578" s="2" t="str">
        <f>TRIM(Table1[[#This Row],[Dostawca]])</f>
        <v>SalusHurt</v>
      </c>
      <c r="D1578" s="3">
        <v>45133</v>
      </c>
      <c r="E1578" s="4" t="s">
        <v>4672</v>
      </c>
      <c r="F1578" s="2" t="str">
        <f>TRIM(Table1[[#This Row],[Status]])</f>
        <v>Zaakceptowana</v>
      </c>
      <c r="G1578" s="2" t="str">
        <f>TRIM(Table1[[#This Row],[Typ]])</f>
        <v>Faktura VAT</v>
      </c>
      <c r="H1578" s="2" t="str">
        <f>TRIM(Table1[[#This Row],[Magazyn]])</f>
        <v>Apteka Szpitalna</v>
      </c>
      <c r="I1578" s="2" t="str">
        <f>TRIM(Table1[[#This Row],[Umowa]])</f>
        <v>UM-SAL-01</v>
      </c>
      <c r="J1578" s="2" t="b">
        <f>ISTEXT(Table14[[#This Row],[Data_Wystawienia]])</f>
        <v>0</v>
      </c>
      <c r="K1578" s="2">
        <f>VALUE(SUBSTITUTE(Table14[[#This Row],[Wartość]],".",","))</f>
        <v>18625.13</v>
      </c>
      <c r="L15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8" s="2" t="str">
        <f>IF(Table14[[#This Row],[Umowa]]="","Poza umową","Z umowy")</f>
        <v>Z umowy</v>
      </c>
      <c r="N1578" s="2">
        <f>YEAR(Table14[[#This Row],[Data_Wystawienia]])</f>
        <v>2023</v>
      </c>
      <c r="O1578" s="2" t="str">
        <f>TEXT(Table14[[#This Row],[Data_Wystawienia]],"rrrr-mm")</f>
        <v>2023-07</v>
      </c>
      <c r="P1578" s="2">
        <v>1</v>
      </c>
    </row>
    <row r="1579" spans="1:16" x14ac:dyDescent="0.3">
      <c r="A1579" s="2" t="str">
        <f>TRIM(Table1[[#This Row],[Numer_FV]])</f>
        <v>FV/CENFA/162205/23</v>
      </c>
      <c r="B1579" s="2" t="str">
        <f>TRIM(Table1[[#This Row],[Numer_PZ]])</f>
        <v>PZ/801577</v>
      </c>
      <c r="C1579" s="2" t="str">
        <f>TRIM(Table1[[#This Row],[Dostawca]])</f>
        <v>CentrumFarm</v>
      </c>
      <c r="D1579" s="3">
        <v>45133</v>
      </c>
      <c r="E1579" s="4" t="s">
        <v>4675</v>
      </c>
      <c r="F1579" s="2" t="str">
        <f>TRIM(Table1[[#This Row],[Status]])</f>
        <v>Zaakceptowana</v>
      </c>
      <c r="G1579" s="2" t="str">
        <f>TRIM(Table1[[#This Row],[Typ]])</f>
        <v>Faktura VAT</v>
      </c>
      <c r="H1579" s="2" t="str">
        <f>TRIM(Table1[[#This Row],[Magazyn]])</f>
        <v>Apteka Szpitalna</v>
      </c>
      <c r="I1579" s="2" t="str">
        <f>TRIM(Table1[[#This Row],[Umowa]])</f>
        <v>UM-CEN-01</v>
      </c>
      <c r="J1579" s="2" t="b">
        <f>ISTEXT(Table14[[#This Row],[Data_Wystawienia]])</f>
        <v>0</v>
      </c>
      <c r="K1579" s="2">
        <f>VALUE(SUBSTITUTE(Table14[[#This Row],[Wartość]],".",","))</f>
        <v>26800.36</v>
      </c>
      <c r="L15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79" s="2" t="str">
        <f>IF(Table14[[#This Row],[Umowa]]="","Poza umową","Z umowy")</f>
        <v>Z umowy</v>
      </c>
      <c r="N1579" s="2">
        <f>YEAR(Table14[[#This Row],[Data_Wystawienia]])</f>
        <v>2023</v>
      </c>
      <c r="O1579" s="2" t="str">
        <f>TEXT(Table14[[#This Row],[Data_Wystawienia]],"rrrr-mm")</f>
        <v>2023-07</v>
      </c>
      <c r="P1579" s="2">
        <v>1</v>
      </c>
    </row>
    <row r="1580" spans="1:16" x14ac:dyDescent="0.3">
      <c r="A1580" s="2" t="str">
        <f>TRIM(Table1[[#This Row],[Numer_FV]])</f>
        <v>FV/M/1378/P/23</v>
      </c>
      <c r="B1580" s="2" t="str">
        <f>TRIM(Table1[[#This Row],[Numer_PZ]])</f>
        <v>PZ/801578</v>
      </c>
      <c r="C1580" s="2" t="str">
        <f>TRIM(Table1[[#This Row],[Dostawca]])</f>
        <v>MedicaPharm</v>
      </c>
      <c r="D1580" s="3">
        <v>45134</v>
      </c>
      <c r="E1580" s="4" t="s">
        <v>4678</v>
      </c>
      <c r="F1580" s="2" t="str">
        <f>TRIM(Table1[[#This Row],[Status]])</f>
        <v>Zaakceptowana</v>
      </c>
      <c r="G1580" s="2" t="str">
        <f>TRIM(Table1[[#This Row],[Typ]])</f>
        <v>Faktura VAT</v>
      </c>
      <c r="H1580" s="2" t="str">
        <f>TRIM(Table1[[#This Row],[Magazyn]])</f>
        <v>Apteka Szpitalna</v>
      </c>
      <c r="I1580" s="2" t="str">
        <f>TRIM(Table1[[#This Row],[Umowa]])</f>
        <v>UM-MED-01</v>
      </c>
      <c r="J1580" s="2" t="b">
        <f>ISTEXT(Table14[[#This Row],[Data_Wystawienia]])</f>
        <v>0</v>
      </c>
      <c r="K1580" s="2">
        <f>VALUE(SUBSTITUTE(Table14[[#This Row],[Wartość]],".",","))</f>
        <v>18480.21</v>
      </c>
      <c r="L15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0" s="2" t="str">
        <f>IF(Table14[[#This Row],[Umowa]]="","Poza umową","Z umowy")</f>
        <v>Z umowy</v>
      </c>
      <c r="N1580" s="2">
        <f>YEAR(Table14[[#This Row],[Data_Wystawienia]])</f>
        <v>2023</v>
      </c>
      <c r="O1580" s="2" t="str">
        <f>TEXT(Table14[[#This Row],[Data_Wystawienia]],"rrrr-mm")</f>
        <v>2023-07</v>
      </c>
      <c r="P1580" s="2">
        <v>1</v>
      </c>
    </row>
    <row r="1581" spans="1:16" x14ac:dyDescent="0.3">
      <c r="A1581" s="2" t="str">
        <f>TRIM(Table1[[#This Row],[Numer_FV]])</f>
        <v>FV/4937HM/23</v>
      </c>
      <c r="B1581" s="2" t="str">
        <f>TRIM(Table1[[#This Row],[Numer_PZ]])</f>
        <v>PZ/801579</v>
      </c>
      <c r="C1581" s="2" t="str">
        <f>TRIM(Table1[[#This Row],[Dostawca]])</f>
        <v>HurtMedix</v>
      </c>
      <c r="D1581" s="3">
        <v>45134</v>
      </c>
      <c r="E1581" s="4" t="s">
        <v>4681</v>
      </c>
      <c r="F1581" s="2" t="str">
        <f>TRIM(Table1[[#This Row],[Status]])</f>
        <v>Zaakceptowana</v>
      </c>
      <c r="G1581" s="2" t="str">
        <f>TRIM(Table1[[#This Row],[Typ]])</f>
        <v>Faktura VAT</v>
      </c>
      <c r="H1581" s="2" t="str">
        <f>TRIM(Table1[[#This Row],[Magazyn]])</f>
        <v>Apteka Szpitalna</v>
      </c>
      <c r="I1581" s="2" t="str">
        <f>TRIM(Table1[[#This Row],[Umowa]])</f>
        <v>UM-HUR-03</v>
      </c>
      <c r="J1581" s="2" t="b">
        <f>ISTEXT(Table14[[#This Row],[Data_Wystawienia]])</f>
        <v>0</v>
      </c>
      <c r="K1581" s="2">
        <f>VALUE(SUBSTITUTE(Table14[[#This Row],[Wartość]],".",","))</f>
        <v>25120.05</v>
      </c>
      <c r="L15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1" s="2" t="str">
        <f>IF(Table14[[#This Row],[Umowa]]="","Poza umową","Z umowy")</f>
        <v>Z umowy</v>
      </c>
      <c r="N1581" s="2">
        <f>YEAR(Table14[[#This Row],[Data_Wystawienia]])</f>
        <v>2023</v>
      </c>
      <c r="O1581" s="2" t="str">
        <f>TEXT(Table14[[#This Row],[Data_Wystawienia]],"rrrr-mm")</f>
        <v>2023-07</v>
      </c>
      <c r="P1581" s="2">
        <v>1</v>
      </c>
    </row>
    <row r="1582" spans="1:16" x14ac:dyDescent="0.3">
      <c r="A1582" s="2" t="str">
        <f>TRIM(Table1[[#This Row],[Numer_FV]])</f>
        <v>FV/9103/NOVA/23</v>
      </c>
      <c r="B1582" s="2" t="str">
        <f>TRIM(Table1[[#This Row],[Numer_PZ]])</f>
        <v>PZ/801580</v>
      </c>
      <c r="C1582" s="2" t="str">
        <f>TRIM(Table1[[#This Row],[Dostawca]])</f>
        <v>NovaLek</v>
      </c>
      <c r="D1582" s="3">
        <v>45134</v>
      </c>
      <c r="E1582" s="4" t="s">
        <v>4684</v>
      </c>
      <c r="F1582" s="2" t="str">
        <f>TRIM(Table1[[#This Row],[Status]])</f>
        <v>Zaakceptowana</v>
      </c>
      <c r="G1582" s="2" t="str">
        <f>TRIM(Table1[[#This Row],[Typ]])</f>
        <v>Faktura VAT</v>
      </c>
      <c r="H1582" s="2" t="str">
        <f>TRIM(Table1[[#This Row],[Magazyn]])</f>
        <v>Apteka Szpitalna</v>
      </c>
      <c r="I1582" s="2" t="str">
        <f>TRIM(Table1[[#This Row],[Umowa]])</f>
        <v>UM-NOV-03</v>
      </c>
      <c r="J1582" s="2" t="b">
        <f>ISTEXT(Table14[[#This Row],[Data_Wystawienia]])</f>
        <v>0</v>
      </c>
      <c r="K1582" s="2">
        <f>VALUE(SUBSTITUTE(Table14[[#This Row],[Wartość]],".",","))</f>
        <v>11736.94</v>
      </c>
      <c r="L15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2" s="2" t="str">
        <f>IF(Table14[[#This Row],[Umowa]]="","Poza umową","Z umowy")</f>
        <v>Z umowy</v>
      </c>
      <c r="N1582" s="2">
        <f>YEAR(Table14[[#This Row],[Data_Wystawienia]])</f>
        <v>2023</v>
      </c>
      <c r="O1582" s="2" t="str">
        <f>TEXT(Table14[[#This Row],[Data_Wystawienia]],"rrrr-mm")</f>
        <v>2023-07</v>
      </c>
      <c r="P1582" s="2">
        <v>1</v>
      </c>
    </row>
    <row r="1583" spans="1:16" x14ac:dyDescent="0.3">
      <c r="A1583" s="2" t="str">
        <f>TRIM(Table1[[#This Row],[Numer_FV]])</f>
        <v>FV/M/7711/P/23</v>
      </c>
      <c r="B1583" s="2" t="str">
        <f>TRIM(Table1[[#This Row],[Numer_PZ]])</f>
        <v>PZ/801581</v>
      </c>
      <c r="C1583" s="2" t="str">
        <f>TRIM(Table1[[#This Row],[Dostawca]])</f>
        <v>MedicaPharm</v>
      </c>
      <c r="D1583" s="3">
        <v>45135</v>
      </c>
      <c r="E1583" s="4" t="s">
        <v>4687</v>
      </c>
      <c r="F1583" s="2" t="str">
        <f>TRIM(Table1[[#This Row],[Status]])</f>
        <v>Zaakceptowana</v>
      </c>
      <c r="G1583" s="2" t="str">
        <f>TRIM(Table1[[#This Row],[Typ]])</f>
        <v>Faktura VAT</v>
      </c>
      <c r="H1583" s="2" t="str">
        <f>TRIM(Table1[[#This Row],[Magazyn]])</f>
        <v>Apteka Szpitalna</v>
      </c>
      <c r="I1583" s="2" t="str">
        <f>TRIM(Table1[[#This Row],[Umowa]])</f>
        <v>UM-MED-01</v>
      </c>
      <c r="J1583" s="2" t="b">
        <f>ISTEXT(Table14[[#This Row],[Data_Wystawienia]])</f>
        <v>0</v>
      </c>
      <c r="K1583" s="2">
        <f>VALUE(SUBSTITUTE(Table14[[#This Row],[Wartość]],".",","))</f>
        <v>21229.4</v>
      </c>
      <c r="L15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3" s="2" t="str">
        <f>IF(Table14[[#This Row],[Umowa]]="","Poza umową","Z umowy")</f>
        <v>Z umowy</v>
      </c>
      <c r="N1583" s="2">
        <f>YEAR(Table14[[#This Row],[Data_Wystawienia]])</f>
        <v>2023</v>
      </c>
      <c r="O1583" s="2" t="str">
        <f>TEXT(Table14[[#This Row],[Data_Wystawienia]],"rrrr-mm")</f>
        <v>2023-07</v>
      </c>
      <c r="P1583" s="2">
        <v>1</v>
      </c>
    </row>
    <row r="1584" spans="1:16" x14ac:dyDescent="0.3">
      <c r="A1584" s="2" t="str">
        <f>TRIM(Table1[[#This Row],[Numer_FV]])</f>
        <v>FV/3510/NOVA/23</v>
      </c>
      <c r="B1584" s="2" t="str">
        <f>TRIM(Table1[[#This Row],[Numer_PZ]])</f>
        <v>PZ/801582</v>
      </c>
      <c r="C1584" s="2" t="str">
        <f>TRIM(Table1[[#This Row],[Dostawca]])</f>
        <v>NovaLek</v>
      </c>
      <c r="D1584" s="3">
        <v>45136</v>
      </c>
      <c r="E1584" s="4" t="s">
        <v>4690</v>
      </c>
      <c r="F1584" s="2" t="str">
        <f>TRIM(Table1[[#This Row],[Status]])</f>
        <v>Zaakceptowana</v>
      </c>
      <c r="G1584" s="2" t="str">
        <f>TRIM(Table1[[#This Row],[Typ]])</f>
        <v>Faktura VAT</v>
      </c>
      <c r="H1584" s="2" t="str">
        <f>TRIM(Table1[[#This Row],[Magazyn]])</f>
        <v>Apteka Szpitalna</v>
      </c>
      <c r="I1584" s="2" t="str">
        <f>TRIM(Table1[[#This Row],[Umowa]])</f>
        <v>UM-NOV-01</v>
      </c>
      <c r="J1584" s="2" t="b">
        <f>ISTEXT(Table14[[#This Row],[Data_Wystawienia]])</f>
        <v>0</v>
      </c>
      <c r="K1584" s="2">
        <f>VALUE(SUBSTITUTE(Table14[[#This Row],[Wartość]],".",","))</f>
        <v>16554.89</v>
      </c>
      <c r="L15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4" s="2" t="str">
        <f>IF(Table14[[#This Row],[Umowa]]="","Poza umową","Z umowy")</f>
        <v>Z umowy</v>
      </c>
      <c r="N1584" s="2">
        <f>YEAR(Table14[[#This Row],[Data_Wystawienia]])</f>
        <v>2023</v>
      </c>
      <c r="O1584" s="2" t="str">
        <f>TEXT(Table14[[#This Row],[Data_Wystawienia]],"rrrr-mm")</f>
        <v>2023-07</v>
      </c>
      <c r="P1584" s="2">
        <v>1</v>
      </c>
    </row>
    <row r="1585" spans="1:16" x14ac:dyDescent="0.3">
      <c r="A1585" s="2" t="str">
        <f>TRIM(Table1[[#This Row],[Numer_FV]])</f>
        <v>FV/55/SAL/23</v>
      </c>
      <c r="B1585" s="2" t="str">
        <f>TRIM(Table1[[#This Row],[Numer_PZ]])</f>
        <v>PZ/801583</v>
      </c>
      <c r="C1585" s="2" t="str">
        <f>TRIM(Table1[[#This Row],[Dostawca]])</f>
        <v>SalusHurt</v>
      </c>
      <c r="D1585" s="3">
        <v>45136</v>
      </c>
      <c r="E1585" s="4" t="s">
        <v>4692</v>
      </c>
      <c r="F1585" s="2" t="str">
        <f>TRIM(Table1[[#This Row],[Status]])</f>
        <v>Zaakceptowana</v>
      </c>
      <c r="G1585" s="2" t="str">
        <f>TRIM(Table1[[#This Row],[Typ]])</f>
        <v>Faktura VAT</v>
      </c>
      <c r="H1585" s="2" t="str">
        <f>TRIM(Table1[[#This Row],[Magazyn]])</f>
        <v>Apteka Szpitalna</v>
      </c>
      <c r="I1585" s="2" t="str">
        <f>TRIM(Table1[[#This Row],[Umowa]])</f>
        <v>UM-SAL-01</v>
      </c>
      <c r="J1585" s="2" t="b">
        <f>ISTEXT(Table14[[#This Row],[Data_Wystawienia]])</f>
        <v>0</v>
      </c>
      <c r="K1585" s="2">
        <f>VALUE(SUBSTITUTE(Table14[[#This Row],[Wartość]],".",","))</f>
        <v>15382.54</v>
      </c>
      <c r="L15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5" s="2" t="str">
        <f>IF(Table14[[#This Row],[Umowa]]="","Poza umową","Z umowy")</f>
        <v>Z umowy</v>
      </c>
      <c r="N1585" s="2">
        <f>YEAR(Table14[[#This Row],[Data_Wystawienia]])</f>
        <v>2023</v>
      </c>
      <c r="O1585" s="2" t="str">
        <f>TEXT(Table14[[#This Row],[Data_Wystawienia]],"rrrr-mm")</f>
        <v>2023-07</v>
      </c>
      <c r="P1585" s="2">
        <v>1</v>
      </c>
    </row>
    <row r="1586" spans="1:16" x14ac:dyDescent="0.3">
      <c r="A1586" s="2" t="str">
        <f>TRIM(Table1[[#This Row],[Numer_FV]])</f>
        <v>FV/97/PP/1156/23</v>
      </c>
      <c r="B1586" s="2" t="str">
        <f>TRIM(Table1[[#This Row],[Numer_PZ]])</f>
        <v>PZ/801584</v>
      </c>
      <c r="C1586" s="2" t="str">
        <f>TRIM(Table1[[#This Row],[Dostawca]])</f>
        <v>PharmaPlus</v>
      </c>
      <c r="D1586" s="3">
        <v>45136</v>
      </c>
      <c r="E1586" s="4" t="s">
        <v>4695</v>
      </c>
      <c r="F1586" s="2" t="str">
        <f>TRIM(Table1[[#This Row],[Status]])</f>
        <v>Zaakceptowana</v>
      </c>
      <c r="G1586" s="2" t="str">
        <f>TRIM(Table1[[#This Row],[Typ]])</f>
        <v>Faktura VAT</v>
      </c>
      <c r="H1586" s="2" t="str">
        <f>TRIM(Table1[[#This Row],[Magazyn]])</f>
        <v>Apteka Szpitalna</v>
      </c>
      <c r="I1586" s="2" t="str">
        <f>TRIM(Table1[[#This Row],[Umowa]])</f>
        <v/>
      </c>
      <c r="J1586" s="2" t="b">
        <f>ISTEXT(Table14[[#This Row],[Data_Wystawienia]])</f>
        <v>0</v>
      </c>
      <c r="K1586" s="2">
        <f>VALUE(SUBSTITUTE(Table14[[#This Row],[Wartość]],".",","))</f>
        <v>16458.41</v>
      </c>
      <c r="L15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6" s="2" t="str">
        <f>IF(Table14[[#This Row],[Umowa]]="","Poza umową","Z umowy")</f>
        <v>Poza umową</v>
      </c>
      <c r="N1586" s="2">
        <f>YEAR(Table14[[#This Row],[Data_Wystawienia]])</f>
        <v>2023</v>
      </c>
      <c r="O1586" s="2" t="str">
        <f>TEXT(Table14[[#This Row],[Data_Wystawienia]],"rrrr-mm")</f>
        <v>2023-07</v>
      </c>
      <c r="P1586" s="2">
        <v>1</v>
      </c>
    </row>
    <row r="1587" spans="1:16" x14ac:dyDescent="0.3">
      <c r="A1587" s="2" t="str">
        <f>TRIM(Table1[[#This Row],[Numer_FV]])</f>
        <v>FV/14062/VDb/2023</v>
      </c>
      <c r="B1587" s="2" t="str">
        <f>TRIM(Table1[[#This Row],[Numer_PZ]])</f>
        <v>PZ/801585</v>
      </c>
      <c r="C1587" s="2" t="str">
        <f>TRIM(Table1[[#This Row],[Dostawca]])</f>
        <v>VitaDistrib</v>
      </c>
      <c r="D1587" s="3">
        <v>45136</v>
      </c>
      <c r="E1587" s="4" t="s">
        <v>4698</v>
      </c>
      <c r="F1587" s="2" t="str">
        <f>TRIM(Table1[[#This Row],[Status]])</f>
        <v>Zaakceptowana</v>
      </c>
      <c r="G1587" s="2" t="str">
        <f>TRIM(Table1[[#This Row],[Typ]])</f>
        <v>Faktura VAT</v>
      </c>
      <c r="H1587" s="2" t="str">
        <f>TRIM(Table1[[#This Row],[Magazyn]])</f>
        <v>Apteka Szpitalna</v>
      </c>
      <c r="I1587" s="2" t="str">
        <f>TRIM(Table1[[#This Row],[Umowa]])</f>
        <v>UM-VIT-01</v>
      </c>
      <c r="J1587" s="2" t="b">
        <f>ISTEXT(Table14[[#This Row],[Data_Wystawienia]])</f>
        <v>0</v>
      </c>
      <c r="K1587" s="2">
        <f>VALUE(SUBSTITUTE(Table14[[#This Row],[Wartość]],".",","))</f>
        <v>9797.33</v>
      </c>
      <c r="L15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7" s="2" t="str">
        <f>IF(Table14[[#This Row],[Umowa]]="","Poza umową","Z umowy")</f>
        <v>Z umowy</v>
      </c>
      <c r="N1587" s="2">
        <f>YEAR(Table14[[#This Row],[Data_Wystawienia]])</f>
        <v>2023</v>
      </c>
      <c r="O1587" s="2" t="str">
        <f>TEXT(Table14[[#This Row],[Data_Wystawienia]],"rrrr-mm")</f>
        <v>2023-07</v>
      </c>
      <c r="P1587" s="2">
        <v>1</v>
      </c>
    </row>
    <row r="1588" spans="1:16" x14ac:dyDescent="0.3">
      <c r="A1588" s="2" t="str">
        <f>TRIM(Table1[[#This Row],[Numer_FV]])</f>
        <v>FV/3883HM/23</v>
      </c>
      <c r="B1588" s="2" t="str">
        <f>TRIM(Table1[[#This Row],[Numer_PZ]])</f>
        <v>PZ/801586</v>
      </c>
      <c r="C1588" s="2" t="str">
        <f>TRIM(Table1[[#This Row],[Dostawca]])</f>
        <v>HurtMedix</v>
      </c>
      <c r="D1588" s="3">
        <v>45137</v>
      </c>
      <c r="E1588" s="4" t="s">
        <v>4701</v>
      </c>
      <c r="F1588" s="2" t="str">
        <f>TRIM(Table1[[#This Row],[Status]])</f>
        <v>Zaakceptowana</v>
      </c>
      <c r="G1588" s="2" t="str">
        <f>TRIM(Table1[[#This Row],[Typ]])</f>
        <v>Faktura VAT</v>
      </c>
      <c r="H1588" s="2" t="str">
        <f>TRIM(Table1[[#This Row],[Magazyn]])</f>
        <v>Apteka Szpitalna</v>
      </c>
      <c r="I1588" s="2" t="str">
        <f>TRIM(Table1[[#This Row],[Umowa]])</f>
        <v>UM-HUR-03</v>
      </c>
      <c r="J1588" s="2" t="b">
        <f>ISTEXT(Table14[[#This Row],[Data_Wystawienia]])</f>
        <v>0</v>
      </c>
      <c r="K1588" s="2">
        <f>VALUE(SUBSTITUTE(Table14[[#This Row],[Wartość]],".",","))</f>
        <v>13472.63</v>
      </c>
      <c r="L15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8" s="2" t="str">
        <f>IF(Table14[[#This Row],[Umowa]]="","Poza umową","Z umowy")</f>
        <v>Z umowy</v>
      </c>
      <c r="N1588" s="2">
        <f>YEAR(Table14[[#This Row],[Data_Wystawienia]])</f>
        <v>2023</v>
      </c>
      <c r="O1588" s="2" t="str">
        <f>TEXT(Table14[[#This Row],[Data_Wystawienia]],"rrrr-mm")</f>
        <v>2023-07</v>
      </c>
      <c r="P1588" s="2">
        <v>1</v>
      </c>
    </row>
    <row r="1589" spans="1:16" x14ac:dyDescent="0.3">
      <c r="A1589" s="2" t="str">
        <f>TRIM(Table1[[#This Row],[Numer_FV]])</f>
        <v>FV/M/4711/P/23</v>
      </c>
      <c r="B1589" s="2" t="str">
        <f>TRIM(Table1[[#This Row],[Numer_PZ]])</f>
        <v>PZ/801587</v>
      </c>
      <c r="C1589" s="2" t="str">
        <f>TRIM(Table1[[#This Row],[Dostawca]])</f>
        <v>MedicaPharm</v>
      </c>
      <c r="D1589" s="3">
        <v>45137</v>
      </c>
      <c r="E1589" s="4" t="s">
        <v>4704</v>
      </c>
      <c r="F1589" s="2" t="str">
        <f>TRIM(Table1[[#This Row],[Status]])</f>
        <v>Zaakceptowana</v>
      </c>
      <c r="G1589" s="2" t="str">
        <f>TRIM(Table1[[#This Row],[Typ]])</f>
        <v>Faktura VAT</v>
      </c>
      <c r="H1589" s="2" t="str">
        <f>TRIM(Table1[[#This Row],[Magazyn]])</f>
        <v>Apteka Szpitalna</v>
      </c>
      <c r="I1589" s="2" t="str">
        <f>TRIM(Table1[[#This Row],[Umowa]])</f>
        <v>UM-MED-02</v>
      </c>
      <c r="J1589" s="2" t="b">
        <f>ISTEXT(Table14[[#This Row],[Data_Wystawienia]])</f>
        <v>0</v>
      </c>
      <c r="K1589" s="2">
        <f>VALUE(SUBSTITUTE(Table14[[#This Row],[Wartość]],".",","))</f>
        <v>10345.94</v>
      </c>
      <c r="L15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89" s="2" t="str">
        <f>IF(Table14[[#This Row],[Umowa]]="","Poza umową","Z umowy")</f>
        <v>Z umowy</v>
      </c>
      <c r="N1589" s="2">
        <f>YEAR(Table14[[#This Row],[Data_Wystawienia]])</f>
        <v>2023</v>
      </c>
      <c r="O1589" s="2" t="str">
        <f>TEXT(Table14[[#This Row],[Data_Wystawienia]],"rrrr-mm")</f>
        <v>2023-07</v>
      </c>
      <c r="P1589" s="2">
        <v>1</v>
      </c>
    </row>
    <row r="1590" spans="1:16" x14ac:dyDescent="0.3">
      <c r="A1590" s="2" t="str">
        <f>TRIM(Table1[[#This Row],[Numer_FV]])</f>
        <v>FV/15735/VDb/2023</v>
      </c>
      <c r="B1590" s="2" t="str">
        <f>TRIM(Table1[[#This Row],[Numer_PZ]])</f>
        <v>PZ/801588</v>
      </c>
      <c r="C1590" s="2" t="str">
        <f>TRIM(Table1[[#This Row],[Dostawca]])</f>
        <v>VitaDistrib</v>
      </c>
      <c r="D1590" s="3">
        <v>45138</v>
      </c>
      <c r="E1590" s="4" t="s">
        <v>4707</v>
      </c>
      <c r="F1590" s="2" t="str">
        <f>TRIM(Table1[[#This Row],[Status]])</f>
        <v>Zaakceptowana</v>
      </c>
      <c r="G1590" s="2" t="str">
        <f>TRIM(Table1[[#This Row],[Typ]])</f>
        <v>Faktura VAT</v>
      </c>
      <c r="H1590" s="2" t="str">
        <f>TRIM(Table1[[#This Row],[Magazyn]])</f>
        <v>Apteka Szpitalna</v>
      </c>
      <c r="I1590" s="2" t="str">
        <f>TRIM(Table1[[#This Row],[Umowa]])</f>
        <v/>
      </c>
      <c r="J1590" s="2" t="b">
        <f>ISTEXT(Table14[[#This Row],[Data_Wystawienia]])</f>
        <v>0</v>
      </c>
      <c r="K1590" s="2">
        <f>VALUE(SUBSTITUTE(Table14[[#This Row],[Wartość]],".",","))</f>
        <v>13485.6</v>
      </c>
      <c r="L15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0" s="2" t="str">
        <f>IF(Table14[[#This Row],[Umowa]]="","Poza umową","Z umowy")</f>
        <v>Poza umową</v>
      </c>
      <c r="N1590" s="2">
        <f>YEAR(Table14[[#This Row],[Data_Wystawienia]])</f>
        <v>2023</v>
      </c>
      <c r="O1590" s="2" t="str">
        <f>TEXT(Table14[[#This Row],[Data_Wystawienia]],"rrrr-mm")</f>
        <v>2023-07</v>
      </c>
      <c r="P1590" s="2">
        <v>1</v>
      </c>
    </row>
    <row r="1591" spans="1:16" x14ac:dyDescent="0.3">
      <c r="A1591" s="2" t="str">
        <f>TRIM(Table1[[#This Row],[Numer_FV]])</f>
        <v>FV/81/PP/6866/23</v>
      </c>
      <c r="B1591" s="2" t="str">
        <f>TRIM(Table1[[#This Row],[Numer_PZ]])</f>
        <v>PZ/801589</v>
      </c>
      <c r="C1591" s="2" t="str">
        <f>TRIM(Table1[[#This Row],[Dostawca]])</f>
        <v>PharmaPlus</v>
      </c>
      <c r="D1591" s="3">
        <v>45138</v>
      </c>
      <c r="E1591" s="4" t="s">
        <v>4710</v>
      </c>
      <c r="F1591" s="2" t="str">
        <f>TRIM(Table1[[#This Row],[Status]])</f>
        <v>Zaakceptowana</v>
      </c>
      <c r="G1591" s="2" t="str">
        <f>TRIM(Table1[[#This Row],[Typ]])</f>
        <v>Faktura VAT</v>
      </c>
      <c r="H1591" s="2" t="str">
        <f>TRIM(Table1[[#This Row],[Magazyn]])</f>
        <v>Apteka Szpitalna</v>
      </c>
      <c r="I1591" s="2" t="str">
        <f>TRIM(Table1[[#This Row],[Umowa]])</f>
        <v>UM-PHA-02</v>
      </c>
      <c r="J1591" s="2" t="b">
        <f>ISTEXT(Table14[[#This Row],[Data_Wystawienia]])</f>
        <v>0</v>
      </c>
      <c r="K1591" s="2">
        <f>VALUE(SUBSTITUTE(Table14[[#This Row],[Wartość]],".",","))</f>
        <v>24829.79</v>
      </c>
      <c r="L15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1" s="2" t="str">
        <f>IF(Table14[[#This Row],[Umowa]]="","Poza umową","Z umowy")</f>
        <v>Z umowy</v>
      </c>
      <c r="N1591" s="2">
        <f>YEAR(Table14[[#This Row],[Data_Wystawienia]])</f>
        <v>2023</v>
      </c>
      <c r="O1591" s="2" t="str">
        <f>TEXT(Table14[[#This Row],[Data_Wystawienia]],"rrrr-mm")</f>
        <v>2023-07</v>
      </c>
      <c r="P1591" s="2">
        <v>1</v>
      </c>
    </row>
    <row r="1592" spans="1:16" x14ac:dyDescent="0.3">
      <c r="A1592" s="2" t="str">
        <f>TRIM(Table1[[#This Row],[Numer_FV]])</f>
        <v>FV/5812/NOVA/23</v>
      </c>
      <c r="B1592" s="2" t="str">
        <f>TRIM(Table1[[#This Row],[Numer_PZ]])</f>
        <v>PZ/801590</v>
      </c>
      <c r="C1592" s="2" t="str">
        <f>TRIM(Table1[[#This Row],[Dostawca]])</f>
        <v>NovaLek</v>
      </c>
      <c r="D1592" s="3">
        <v>45140</v>
      </c>
      <c r="E1592" s="4" t="s">
        <v>4713</v>
      </c>
      <c r="F1592" s="2" t="str">
        <f>TRIM(Table1[[#This Row],[Status]])</f>
        <v>Zaakceptowana</v>
      </c>
      <c r="G1592" s="2" t="str">
        <f>TRIM(Table1[[#This Row],[Typ]])</f>
        <v>Faktura VAT</v>
      </c>
      <c r="H1592" s="2" t="str">
        <f>TRIM(Table1[[#This Row],[Magazyn]])</f>
        <v>Apteka Szpitalna</v>
      </c>
      <c r="I1592" s="2" t="str">
        <f>TRIM(Table1[[#This Row],[Umowa]])</f>
        <v>UM-NOV-03</v>
      </c>
      <c r="J1592" s="2" t="b">
        <f>ISTEXT(Table14[[#This Row],[Data_Wystawienia]])</f>
        <v>0</v>
      </c>
      <c r="K1592" s="2">
        <f>VALUE(SUBSTITUTE(Table14[[#This Row],[Wartość]],".",","))</f>
        <v>13772.85</v>
      </c>
      <c r="L15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2" s="2" t="str">
        <f>IF(Table14[[#This Row],[Umowa]]="","Poza umową","Z umowy")</f>
        <v>Z umowy</v>
      </c>
      <c r="N1592" s="2">
        <f>YEAR(Table14[[#This Row],[Data_Wystawienia]])</f>
        <v>2023</v>
      </c>
      <c r="O1592" s="2" t="str">
        <f>TEXT(Table14[[#This Row],[Data_Wystawienia]],"rrrr-mm")</f>
        <v>2023-08</v>
      </c>
      <c r="P1592" s="2">
        <v>1</v>
      </c>
    </row>
    <row r="1593" spans="1:16" x14ac:dyDescent="0.3">
      <c r="A1593" s="2" t="str">
        <f>TRIM(Table1[[#This Row],[Numer_FV]])</f>
        <v>FV/37893/VDb/2023</v>
      </c>
      <c r="B1593" s="2" t="str">
        <f>TRIM(Table1[[#This Row],[Numer_PZ]])</f>
        <v>PZ/801591</v>
      </c>
      <c r="C1593" s="2" t="str">
        <f>TRIM(Table1[[#This Row],[Dostawca]])</f>
        <v>VitaDistrib</v>
      </c>
      <c r="D1593" s="3">
        <v>45140</v>
      </c>
      <c r="E1593" s="4" t="s">
        <v>4716</v>
      </c>
      <c r="F1593" s="2" t="str">
        <f>TRIM(Table1[[#This Row],[Status]])</f>
        <v>Zaakceptowana</v>
      </c>
      <c r="G1593" s="2" t="str">
        <f>TRIM(Table1[[#This Row],[Typ]])</f>
        <v>Faktura VAT</v>
      </c>
      <c r="H1593" s="2" t="str">
        <f>TRIM(Table1[[#This Row],[Magazyn]])</f>
        <v>Apteka Szpitalna</v>
      </c>
      <c r="I1593" s="2" t="str">
        <f>TRIM(Table1[[#This Row],[Umowa]])</f>
        <v>UM-VIT-01</v>
      </c>
      <c r="J1593" s="2" t="b">
        <f>ISTEXT(Table14[[#This Row],[Data_Wystawienia]])</f>
        <v>0</v>
      </c>
      <c r="K1593" s="2">
        <f>VALUE(SUBSTITUTE(Table14[[#This Row],[Wartość]],".",","))</f>
        <v>13343.99</v>
      </c>
      <c r="L15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3" s="2" t="str">
        <f>IF(Table14[[#This Row],[Umowa]]="","Poza umową","Z umowy")</f>
        <v>Z umowy</v>
      </c>
      <c r="N1593" s="2">
        <f>YEAR(Table14[[#This Row],[Data_Wystawienia]])</f>
        <v>2023</v>
      </c>
      <c r="O1593" s="2" t="str">
        <f>TEXT(Table14[[#This Row],[Data_Wystawienia]],"rrrr-mm")</f>
        <v>2023-08</v>
      </c>
      <c r="P1593" s="2">
        <v>1</v>
      </c>
    </row>
    <row r="1594" spans="1:16" x14ac:dyDescent="0.3">
      <c r="A1594" s="2" t="str">
        <f>TRIM(Table1[[#This Row],[Numer_FV]])</f>
        <v>FV/3319/NOVA/23</v>
      </c>
      <c r="B1594" s="2" t="str">
        <f>TRIM(Table1[[#This Row],[Numer_PZ]])</f>
        <v>PZ/801592</v>
      </c>
      <c r="C1594" s="2" t="str">
        <f>TRIM(Table1[[#This Row],[Dostawca]])</f>
        <v>NovaLek</v>
      </c>
      <c r="D1594" s="3">
        <v>45140</v>
      </c>
      <c r="E1594" s="4" t="s">
        <v>4719</v>
      </c>
      <c r="F1594" s="2" t="str">
        <f>TRIM(Table1[[#This Row],[Status]])</f>
        <v>Zaakceptowana</v>
      </c>
      <c r="G1594" s="2" t="str">
        <f>TRIM(Table1[[#This Row],[Typ]])</f>
        <v>Faktura VAT</v>
      </c>
      <c r="H1594" s="2" t="str">
        <f>TRIM(Table1[[#This Row],[Magazyn]])</f>
        <v>Apteka Szpitalna</v>
      </c>
      <c r="I1594" s="2" t="str">
        <f>TRIM(Table1[[#This Row],[Umowa]])</f>
        <v>UM-NOV-02</v>
      </c>
      <c r="J1594" s="2" t="b">
        <f>ISTEXT(Table14[[#This Row],[Data_Wystawienia]])</f>
        <v>0</v>
      </c>
      <c r="K1594" s="2">
        <f>VALUE(SUBSTITUTE(Table14[[#This Row],[Wartość]],".",","))</f>
        <v>11936.62</v>
      </c>
      <c r="L15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4" s="2" t="str">
        <f>IF(Table14[[#This Row],[Umowa]]="","Poza umową","Z umowy")</f>
        <v>Z umowy</v>
      </c>
      <c r="N1594" s="2">
        <f>YEAR(Table14[[#This Row],[Data_Wystawienia]])</f>
        <v>2023</v>
      </c>
      <c r="O1594" s="2" t="str">
        <f>TEXT(Table14[[#This Row],[Data_Wystawienia]],"rrrr-mm")</f>
        <v>2023-08</v>
      </c>
      <c r="P1594" s="2">
        <v>1</v>
      </c>
    </row>
    <row r="1595" spans="1:16" x14ac:dyDescent="0.3">
      <c r="A1595" s="2" t="str">
        <f>TRIM(Table1[[#This Row],[Numer_FV]])</f>
        <v>FV/M/2144/P/23</v>
      </c>
      <c r="B1595" s="2" t="str">
        <f>TRIM(Table1[[#This Row],[Numer_PZ]])</f>
        <v>PZ/801593</v>
      </c>
      <c r="C1595" s="2" t="str">
        <f>TRIM(Table1[[#This Row],[Dostawca]])</f>
        <v>MedicaPharm</v>
      </c>
      <c r="D1595" s="3">
        <v>45140</v>
      </c>
      <c r="E1595" s="4" t="s">
        <v>4722</v>
      </c>
      <c r="F1595" s="2" t="str">
        <f>TRIM(Table1[[#This Row],[Status]])</f>
        <v>Zaakceptowana</v>
      </c>
      <c r="G1595" s="2" t="str">
        <f>TRIM(Table1[[#This Row],[Typ]])</f>
        <v>Faktura VAT</v>
      </c>
      <c r="H1595" s="2" t="str">
        <f>TRIM(Table1[[#This Row],[Magazyn]])</f>
        <v>Apteka Szpitalna</v>
      </c>
      <c r="I1595" s="2" t="str">
        <f>TRIM(Table1[[#This Row],[Umowa]])</f>
        <v>UM-MED-02</v>
      </c>
      <c r="J1595" s="2" t="b">
        <f>ISTEXT(Table14[[#This Row],[Data_Wystawienia]])</f>
        <v>0</v>
      </c>
      <c r="K1595" s="2">
        <f>VALUE(SUBSTITUTE(Table14[[#This Row],[Wartość]],".",","))</f>
        <v>15339.18</v>
      </c>
      <c r="L15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5" s="2" t="str">
        <f>IF(Table14[[#This Row],[Umowa]]="","Poza umową","Z umowy")</f>
        <v>Z umowy</v>
      </c>
      <c r="N1595" s="2">
        <f>YEAR(Table14[[#This Row],[Data_Wystawienia]])</f>
        <v>2023</v>
      </c>
      <c r="O1595" s="2" t="str">
        <f>TEXT(Table14[[#This Row],[Data_Wystawienia]],"rrrr-mm")</f>
        <v>2023-08</v>
      </c>
      <c r="P1595" s="2">
        <v>1</v>
      </c>
    </row>
    <row r="1596" spans="1:16" x14ac:dyDescent="0.3">
      <c r="A1596" s="2" t="str">
        <f>TRIM(Table1[[#This Row],[Numer_FV]])</f>
        <v>FV/M/9842/P/23</v>
      </c>
      <c r="B1596" s="2" t="str">
        <f>TRIM(Table1[[#This Row],[Numer_PZ]])</f>
        <v>PZ/801594</v>
      </c>
      <c r="C1596" s="2" t="str">
        <f>TRIM(Table1[[#This Row],[Dostawca]])</f>
        <v>MedicaPharm</v>
      </c>
      <c r="D1596" s="3">
        <v>45141</v>
      </c>
      <c r="E1596" s="4" t="s">
        <v>4725</v>
      </c>
      <c r="F1596" s="2" t="str">
        <f>TRIM(Table1[[#This Row],[Status]])</f>
        <v>Zaakceptowana</v>
      </c>
      <c r="G1596" s="2" t="str">
        <f>TRIM(Table1[[#This Row],[Typ]])</f>
        <v>Faktura VAT</v>
      </c>
      <c r="H1596" s="2" t="str">
        <f>TRIM(Table1[[#This Row],[Magazyn]])</f>
        <v>Apteka Szpitalna</v>
      </c>
      <c r="I1596" s="2" t="str">
        <f>TRIM(Table1[[#This Row],[Umowa]])</f>
        <v/>
      </c>
      <c r="J1596" s="2" t="b">
        <f>ISTEXT(Table14[[#This Row],[Data_Wystawienia]])</f>
        <v>0</v>
      </c>
      <c r="K1596" s="2">
        <f>VALUE(SUBSTITUTE(Table14[[#This Row],[Wartość]],".",","))</f>
        <v>20452.62</v>
      </c>
      <c r="L15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6" s="2" t="str">
        <f>IF(Table14[[#This Row],[Umowa]]="","Poza umową","Z umowy")</f>
        <v>Poza umową</v>
      </c>
      <c r="N1596" s="2">
        <f>YEAR(Table14[[#This Row],[Data_Wystawienia]])</f>
        <v>2023</v>
      </c>
      <c r="O1596" s="2" t="str">
        <f>TEXT(Table14[[#This Row],[Data_Wystawienia]],"rrrr-mm")</f>
        <v>2023-08</v>
      </c>
      <c r="P1596" s="2">
        <v>1</v>
      </c>
    </row>
    <row r="1597" spans="1:16" x14ac:dyDescent="0.3">
      <c r="A1597" s="2" t="str">
        <f>TRIM(Table1[[#This Row],[Numer_FV]])</f>
        <v>FV/3831/NOVA/23</v>
      </c>
      <c r="B1597" s="2" t="str">
        <f>TRIM(Table1[[#This Row],[Numer_PZ]])</f>
        <v>PZ/801595</v>
      </c>
      <c r="C1597" s="2" t="str">
        <f>TRIM(Table1[[#This Row],[Dostawca]])</f>
        <v>NovaLek</v>
      </c>
      <c r="D1597" s="3">
        <v>45141</v>
      </c>
      <c r="E1597" s="4" t="s">
        <v>4728</v>
      </c>
      <c r="F1597" s="2" t="str">
        <f>TRIM(Table1[[#This Row],[Status]])</f>
        <v>Zaakceptowana</v>
      </c>
      <c r="G1597" s="2" t="str">
        <f>TRIM(Table1[[#This Row],[Typ]])</f>
        <v>Faktura VAT</v>
      </c>
      <c r="H1597" s="2" t="str">
        <f>TRIM(Table1[[#This Row],[Magazyn]])</f>
        <v>Apteka Szpitalna</v>
      </c>
      <c r="I1597" s="2" t="str">
        <f>TRIM(Table1[[#This Row],[Umowa]])</f>
        <v>UM-NOV-03</v>
      </c>
      <c r="J1597" s="2" t="b">
        <f>ISTEXT(Table14[[#This Row],[Data_Wystawienia]])</f>
        <v>0</v>
      </c>
      <c r="K1597" s="2">
        <f>VALUE(SUBSTITUTE(Table14[[#This Row],[Wartość]],".",","))</f>
        <v>17308.32</v>
      </c>
      <c r="L15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7" s="2" t="str">
        <f>IF(Table14[[#This Row],[Umowa]]="","Poza umową","Z umowy")</f>
        <v>Z umowy</v>
      </c>
      <c r="N1597" s="2">
        <f>YEAR(Table14[[#This Row],[Data_Wystawienia]])</f>
        <v>2023</v>
      </c>
      <c r="O1597" s="2" t="str">
        <f>TEXT(Table14[[#This Row],[Data_Wystawienia]],"rrrr-mm")</f>
        <v>2023-08</v>
      </c>
      <c r="P1597" s="2">
        <v>1</v>
      </c>
    </row>
    <row r="1598" spans="1:16" x14ac:dyDescent="0.3">
      <c r="A1598" s="2" t="str">
        <f>TRIM(Table1[[#This Row],[Numer_FV]])</f>
        <v>FV/19979/VDb/2023</v>
      </c>
      <c r="B1598" s="2" t="str">
        <f>TRIM(Table1[[#This Row],[Numer_PZ]])</f>
        <v>PZ/801596</v>
      </c>
      <c r="C1598" s="2" t="str">
        <f>TRIM(Table1[[#This Row],[Dostawca]])</f>
        <v>VitaDistrib</v>
      </c>
      <c r="D1598" s="3">
        <v>45141</v>
      </c>
      <c r="E1598" s="4" t="s">
        <v>4731</v>
      </c>
      <c r="F1598" s="2" t="str">
        <f>TRIM(Table1[[#This Row],[Status]])</f>
        <v>Zaakceptowana</v>
      </c>
      <c r="G1598" s="2" t="str">
        <f>TRIM(Table1[[#This Row],[Typ]])</f>
        <v>Faktura VAT</v>
      </c>
      <c r="H1598" s="2" t="str">
        <f>TRIM(Table1[[#This Row],[Magazyn]])</f>
        <v>Apteka Szpitalna</v>
      </c>
      <c r="I1598" s="2" t="str">
        <f>TRIM(Table1[[#This Row],[Umowa]])</f>
        <v>UM-VIT-01</v>
      </c>
      <c r="J1598" s="2" t="b">
        <f>ISTEXT(Table14[[#This Row],[Data_Wystawienia]])</f>
        <v>0</v>
      </c>
      <c r="K1598" s="2">
        <f>VALUE(SUBSTITUTE(Table14[[#This Row],[Wartość]],".",","))</f>
        <v>10171.629999999999</v>
      </c>
      <c r="L15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8" s="2" t="str">
        <f>IF(Table14[[#This Row],[Umowa]]="","Poza umową","Z umowy")</f>
        <v>Z umowy</v>
      </c>
      <c r="N1598" s="2">
        <f>YEAR(Table14[[#This Row],[Data_Wystawienia]])</f>
        <v>2023</v>
      </c>
      <c r="O1598" s="2" t="str">
        <f>TEXT(Table14[[#This Row],[Data_Wystawienia]],"rrrr-mm")</f>
        <v>2023-08</v>
      </c>
      <c r="P1598" s="2">
        <v>1</v>
      </c>
    </row>
    <row r="1599" spans="1:16" x14ac:dyDescent="0.3">
      <c r="A1599" s="2" t="str">
        <f>TRIM(Table1[[#This Row],[Numer_FV]])</f>
        <v>FV/20/PP/8359/23</v>
      </c>
      <c r="B1599" s="2" t="str">
        <f>TRIM(Table1[[#This Row],[Numer_PZ]])</f>
        <v>PZ/801597</v>
      </c>
      <c r="C1599" s="2" t="str">
        <f>TRIM(Table1[[#This Row],[Dostawca]])</f>
        <v>PharmaPlus</v>
      </c>
      <c r="D1599" s="3">
        <v>45142</v>
      </c>
      <c r="E1599" s="4" t="s">
        <v>4734</v>
      </c>
      <c r="F1599" s="2" t="str">
        <f>TRIM(Table1[[#This Row],[Status]])</f>
        <v>Zaakceptowana</v>
      </c>
      <c r="G1599" s="2" t="str">
        <f>TRIM(Table1[[#This Row],[Typ]])</f>
        <v>Faktura VAT</v>
      </c>
      <c r="H1599" s="2" t="str">
        <f>TRIM(Table1[[#This Row],[Magazyn]])</f>
        <v>Apteka Szpitalna</v>
      </c>
      <c r="I1599" s="2" t="str">
        <f>TRIM(Table1[[#This Row],[Umowa]])</f>
        <v>UM-PHA-01</v>
      </c>
      <c r="J1599" s="2" t="b">
        <f>ISTEXT(Table14[[#This Row],[Data_Wystawienia]])</f>
        <v>0</v>
      </c>
      <c r="K1599" s="2">
        <f>VALUE(SUBSTITUTE(Table14[[#This Row],[Wartość]],".",","))</f>
        <v>14095.43</v>
      </c>
      <c r="L15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599" s="2" t="str">
        <f>IF(Table14[[#This Row],[Umowa]]="","Poza umową","Z umowy")</f>
        <v>Z umowy</v>
      </c>
      <c r="N1599" s="2">
        <f>YEAR(Table14[[#This Row],[Data_Wystawienia]])</f>
        <v>2023</v>
      </c>
      <c r="O1599" s="2" t="str">
        <f>TEXT(Table14[[#This Row],[Data_Wystawienia]],"rrrr-mm")</f>
        <v>2023-08</v>
      </c>
      <c r="P1599" s="2">
        <v>1</v>
      </c>
    </row>
    <row r="1600" spans="1:16" x14ac:dyDescent="0.3">
      <c r="A1600" s="2" t="str">
        <f>TRIM(Table1[[#This Row],[Numer_FV]])</f>
        <v>FV/CENFA/346587/23</v>
      </c>
      <c r="B1600" s="2" t="str">
        <f>TRIM(Table1[[#This Row],[Numer_PZ]])</f>
        <v>PZ/801598</v>
      </c>
      <c r="C1600" s="2" t="str">
        <f>TRIM(Table1[[#This Row],[Dostawca]])</f>
        <v>CentrumFarm</v>
      </c>
      <c r="D1600" s="3">
        <v>45142</v>
      </c>
      <c r="E1600" s="4" t="s">
        <v>4737</v>
      </c>
      <c r="F1600" s="2" t="str">
        <f>TRIM(Table1[[#This Row],[Status]])</f>
        <v>Zaakceptowana</v>
      </c>
      <c r="G1600" s="2" t="str">
        <f>TRIM(Table1[[#This Row],[Typ]])</f>
        <v>Faktura VAT</v>
      </c>
      <c r="H1600" s="2" t="str">
        <f>TRIM(Table1[[#This Row],[Magazyn]])</f>
        <v>Apteka Szpitalna</v>
      </c>
      <c r="I1600" s="2" t="str">
        <f>TRIM(Table1[[#This Row],[Umowa]])</f>
        <v/>
      </c>
      <c r="J1600" s="2" t="b">
        <f>ISTEXT(Table14[[#This Row],[Data_Wystawienia]])</f>
        <v>0</v>
      </c>
      <c r="K1600" s="2">
        <f>VALUE(SUBSTITUTE(Table14[[#This Row],[Wartość]],".",","))</f>
        <v>24261.24</v>
      </c>
      <c r="L16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0" s="2" t="str">
        <f>IF(Table14[[#This Row],[Umowa]]="","Poza umową","Z umowy")</f>
        <v>Poza umową</v>
      </c>
      <c r="N1600" s="2">
        <f>YEAR(Table14[[#This Row],[Data_Wystawienia]])</f>
        <v>2023</v>
      </c>
      <c r="O1600" s="2" t="str">
        <f>TEXT(Table14[[#This Row],[Data_Wystawienia]],"rrrr-mm")</f>
        <v>2023-08</v>
      </c>
      <c r="P1600" s="2">
        <v>1</v>
      </c>
    </row>
    <row r="1601" spans="1:16" x14ac:dyDescent="0.3">
      <c r="A1601" s="2" t="str">
        <f>TRIM(Table1[[#This Row],[Numer_FV]])</f>
        <v>FV/POL/66360/2023</v>
      </c>
      <c r="B1601" s="2" t="str">
        <f>TRIM(Table1[[#This Row],[Numer_PZ]])</f>
        <v>PZ/801599</v>
      </c>
      <c r="C1601" s="2" t="str">
        <f>TRIM(Table1[[#This Row],[Dostawca]])</f>
        <v>Polmedica</v>
      </c>
      <c r="D1601" s="3">
        <v>45143</v>
      </c>
      <c r="E1601" s="4" t="s">
        <v>4740</v>
      </c>
      <c r="F1601" s="2" t="str">
        <f>TRIM(Table1[[#This Row],[Status]])</f>
        <v>Zaakceptowana</v>
      </c>
      <c r="G1601" s="2" t="str">
        <f>TRIM(Table1[[#This Row],[Typ]])</f>
        <v>Faktura VAT</v>
      </c>
      <c r="H1601" s="2" t="str">
        <f>TRIM(Table1[[#This Row],[Magazyn]])</f>
        <v>Apteka Szpitalna</v>
      </c>
      <c r="I1601" s="2" t="str">
        <f>TRIM(Table1[[#This Row],[Umowa]])</f>
        <v>UM-POL-02</v>
      </c>
      <c r="J1601" s="2" t="b">
        <f>ISTEXT(Table14[[#This Row],[Data_Wystawienia]])</f>
        <v>0</v>
      </c>
      <c r="K1601" s="2">
        <f>VALUE(SUBSTITUTE(Table14[[#This Row],[Wartość]],".",","))</f>
        <v>9882.6299999999992</v>
      </c>
      <c r="L16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1" s="2" t="str">
        <f>IF(Table14[[#This Row],[Umowa]]="","Poza umową","Z umowy")</f>
        <v>Z umowy</v>
      </c>
      <c r="N1601" s="2">
        <f>YEAR(Table14[[#This Row],[Data_Wystawienia]])</f>
        <v>2023</v>
      </c>
      <c r="O1601" s="2" t="str">
        <f>TEXT(Table14[[#This Row],[Data_Wystawienia]],"rrrr-mm")</f>
        <v>2023-08</v>
      </c>
      <c r="P1601" s="2">
        <v>1</v>
      </c>
    </row>
    <row r="1602" spans="1:16" x14ac:dyDescent="0.3">
      <c r="A1602" s="2" t="str">
        <f>TRIM(Table1[[#This Row],[Numer_FV]])</f>
        <v>FV/19639/VDb/2023</v>
      </c>
      <c r="B1602" s="2" t="str">
        <f>TRIM(Table1[[#This Row],[Numer_PZ]])</f>
        <v>PZ/801600</v>
      </c>
      <c r="C1602" s="2" t="str">
        <f>TRIM(Table1[[#This Row],[Dostawca]])</f>
        <v>VitaDistrib</v>
      </c>
      <c r="D1602" s="3">
        <v>45144</v>
      </c>
      <c r="E1602" s="4" t="s">
        <v>4743</v>
      </c>
      <c r="F1602" s="2" t="str">
        <f>TRIM(Table1[[#This Row],[Status]])</f>
        <v>Zaakceptowana</v>
      </c>
      <c r="G1602" s="2" t="str">
        <f>TRIM(Table1[[#This Row],[Typ]])</f>
        <v>Faktura VAT</v>
      </c>
      <c r="H1602" s="2" t="str">
        <f>TRIM(Table1[[#This Row],[Magazyn]])</f>
        <v>Apteka Szpitalna</v>
      </c>
      <c r="I1602" s="2" t="str">
        <f>TRIM(Table1[[#This Row],[Umowa]])</f>
        <v>UM-VIT-01</v>
      </c>
      <c r="J1602" s="2" t="b">
        <f>ISTEXT(Table14[[#This Row],[Data_Wystawienia]])</f>
        <v>0</v>
      </c>
      <c r="K1602" s="2">
        <f>VALUE(SUBSTITUTE(Table14[[#This Row],[Wartość]],".",","))</f>
        <v>21152.07</v>
      </c>
      <c r="L16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2" s="2" t="str">
        <f>IF(Table14[[#This Row],[Umowa]]="","Poza umową","Z umowy")</f>
        <v>Z umowy</v>
      </c>
      <c r="N1602" s="2">
        <f>YEAR(Table14[[#This Row],[Data_Wystawienia]])</f>
        <v>2023</v>
      </c>
      <c r="O1602" s="2" t="str">
        <f>TEXT(Table14[[#This Row],[Data_Wystawienia]],"rrrr-mm")</f>
        <v>2023-08</v>
      </c>
      <c r="P1602" s="2">
        <v>1</v>
      </c>
    </row>
    <row r="1603" spans="1:16" x14ac:dyDescent="0.3">
      <c r="A1603" s="2" t="str">
        <f>TRIM(Table1[[#This Row],[Numer_FV]])</f>
        <v>FV/6145/NOVA/23</v>
      </c>
      <c r="B1603" s="2" t="str">
        <f>TRIM(Table1[[#This Row],[Numer_PZ]])</f>
        <v>PZ/801601</v>
      </c>
      <c r="C1603" s="2" t="str">
        <f>TRIM(Table1[[#This Row],[Dostawca]])</f>
        <v>NovaLek</v>
      </c>
      <c r="D1603" s="3">
        <v>45144</v>
      </c>
      <c r="E1603" s="4" t="s">
        <v>4746</v>
      </c>
      <c r="F1603" s="2" t="str">
        <f>TRIM(Table1[[#This Row],[Status]])</f>
        <v>Zaakceptowana</v>
      </c>
      <c r="G1603" s="2" t="str">
        <f>TRIM(Table1[[#This Row],[Typ]])</f>
        <v>Faktura VAT</v>
      </c>
      <c r="H1603" s="2" t="str">
        <f>TRIM(Table1[[#This Row],[Magazyn]])</f>
        <v>Apteka Szpitalna</v>
      </c>
      <c r="I1603" s="2" t="str">
        <f>TRIM(Table1[[#This Row],[Umowa]])</f>
        <v>UM-NOV-02</v>
      </c>
      <c r="J1603" s="2" t="b">
        <f>ISTEXT(Table14[[#This Row],[Data_Wystawienia]])</f>
        <v>0</v>
      </c>
      <c r="K1603" s="2">
        <f>VALUE(SUBSTITUTE(Table14[[#This Row],[Wartość]],".",","))</f>
        <v>11904.27</v>
      </c>
      <c r="L16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3" s="2" t="str">
        <f>IF(Table14[[#This Row],[Umowa]]="","Poza umową","Z umowy")</f>
        <v>Z umowy</v>
      </c>
      <c r="N1603" s="2">
        <f>YEAR(Table14[[#This Row],[Data_Wystawienia]])</f>
        <v>2023</v>
      </c>
      <c r="O1603" s="2" t="str">
        <f>TEXT(Table14[[#This Row],[Data_Wystawienia]],"rrrr-mm")</f>
        <v>2023-08</v>
      </c>
      <c r="P1603" s="2">
        <v>1</v>
      </c>
    </row>
    <row r="1604" spans="1:16" x14ac:dyDescent="0.3">
      <c r="A1604" s="2" t="str">
        <f>TRIM(Table1[[#This Row],[Numer_FV]])</f>
        <v>FV/CENFA/884024/23</v>
      </c>
      <c r="B1604" s="2" t="str">
        <f>TRIM(Table1[[#This Row],[Numer_PZ]])</f>
        <v>PZ/801602</v>
      </c>
      <c r="C1604" s="2" t="str">
        <f>TRIM(Table1[[#This Row],[Dostawca]])</f>
        <v>CentrumFarm</v>
      </c>
      <c r="D1604" s="3">
        <v>45144</v>
      </c>
      <c r="E1604" s="4" t="s">
        <v>4749</v>
      </c>
      <c r="F1604" s="2" t="str">
        <f>TRIM(Table1[[#This Row],[Status]])</f>
        <v>Zaakceptowana</v>
      </c>
      <c r="G1604" s="2" t="str">
        <f>TRIM(Table1[[#This Row],[Typ]])</f>
        <v>Faktura VAT</v>
      </c>
      <c r="H1604" s="2" t="str">
        <f>TRIM(Table1[[#This Row],[Magazyn]])</f>
        <v>Apteka Szpitalna</v>
      </c>
      <c r="I1604" s="2" t="str">
        <f>TRIM(Table1[[#This Row],[Umowa]])</f>
        <v>UM-CEN-02</v>
      </c>
      <c r="J1604" s="2" t="b">
        <f>ISTEXT(Table14[[#This Row],[Data_Wystawienia]])</f>
        <v>0</v>
      </c>
      <c r="K1604" s="2">
        <f>VALUE(SUBSTITUTE(Table14[[#This Row],[Wartość]],".",","))</f>
        <v>19087.05</v>
      </c>
      <c r="L16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4" s="2" t="str">
        <f>IF(Table14[[#This Row],[Umowa]]="","Poza umową","Z umowy")</f>
        <v>Z umowy</v>
      </c>
      <c r="N1604" s="2">
        <f>YEAR(Table14[[#This Row],[Data_Wystawienia]])</f>
        <v>2023</v>
      </c>
      <c r="O1604" s="2" t="str">
        <f>TEXT(Table14[[#This Row],[Data_Wystawienia]],"rrrr-mm")</f>
        <v>2023-08</v>
      </c>
      <c r="P1604" s="2">
        <v>1</v>
      </c>
    </row>
    <row r="1605" spans="1:16" x14ac:dyDescent="0.3">
      <c r="A1605" s="2" t="str">
        <f>TRIM(Table1[[#This Row],[Numer_FV]])</f>
        <v>FV/83/PP/2655/23</v>
      </c>
      <c r="B1605" s="2" t="str">
        <f>TRIM(Table1[[#This Row],[Numer_PZ]])</f>
        <v>PZ/801603</v>
      </c>
      <c r="C1605" s="2" t="str">
        <f>TRIM(Table1[[#This Row],[Dostawca]])</f>
        <v>PharmaPlus</v>
      </c>
      <c r="D1605" s="3">
        <v>45145</v>
      </c>
      <c r="E1605" s="4" t="s">
        <v>4752</v>
      </c>
      <c r="F1605" s="2" t="str">
        <f>TRIM(Table1[[#This Row],[Status]])</f>
        <v>Zaakceptowana</v>
      </c>
      <c r="G1605" s="2" t="str">
        <f>TRIM(Table1[[#This Row],[Typ]])</f>
        <v>Faktura VAT</v>
      </c>
      <c r="H1605" s="2" t="str">
        <f>TRIM(Table1[[#This Row],[Magazyn]])</f>
        <v>Apteka Szpitalna</v>
      </c>
      <c r="I1605" s="2" t="str">
        <f>TRIM(Table1[[#This Row],[Umowa]])</f>
        <v>UM-PHA-02</v>
      </c>
      <c r="J1605" s="2" t="b">
        <f>ISTEXT(Table14[[#This Row],[Data_Wystawienia]])</f>
        <v>0</v>
      </c>
      <c r="K1605" s="2">
        <f>VALUE(SUBSTITUTE(Table14[[#This Row],[Wartość]],".",","))</f>
        <v>19491.22</v>
      </c>
      <c r="L16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5" s="2" t="str">
        <f>IF(Table14[[#This Row],[Umowa]]="","Poza umową","Z umowy")</f>
        <v>Z umowy</v>
      </c>
      <c r="N1605" s="2">
        <f>YEAR(Table14[[#This Row],[Data_Wystawienia]])</f>
        <v>2023</v>
      </c>
      <c r="O1605" s="2" t="str">
        <f>TEXT(Table14[[#This Row],[Data_Wystawienia]],"rrrr-mm")</f>
        <v>2023-08</v>
      </c>
      <c r="P1605" s="2">
        <v>1</v>
      </c>
    </row>
    <row r="1606" spans="1:16" x14ac:dyDescent="0.3">
      <c r="A1606" s="2" t="str">
        <f>TRIM(Table1[[#This Row],[Numer_FV]])</f>
        <v>FV/10/PP/8943/23</v>
      </c>
      <c r="B1606" s="2" t="str">
        <f>TRIM(Table1[[#This Row],[Numer_PZ]])</f>
        <v>PZ/801604</v>
      </c>
      <c r="C1606" s="2" t="str">
        <f>TRIM(Table1[[#This Row],[Dostawca]])</f>
        <v>PharmaPlus</v>
      </c>
      <c r="D1606" s="3">
        <v>45145</v>
      </c>
      <c r="E1606" s="4" t="s">
        <v>4755</v>
      </c>
      <c r="F1606" s="2" t="str">
        <f>TRIM(Table1[[#This Row],[Status]])</f>
        <v>Zaakceptowana</v>
      </c>
      <c r="G1606" s="2" t="str">
        <f>TRIM(Table1[[#This Row],[Typ]])</f>
        <v>Faktura VAT</v>
      </c>
      <c r="H1606" s="2" t="str">
        <f>TRIM(Table1[[#This Row],[Magazyn]])</f>
        <v>Apteka Szpitalna</v>
      </c>
      <c r="I1606" s="2" t="str">
        <f>TRIM(Table1[[#This Row],[Umowa]])</f>
        <v>UM-PHA-01</v>
      </c>
      <c r="J1606" s="2" t="b">
        <f>ISTEXT(Table14[[#This Row],[Data_Wystawienia]])</f>
        <v>0</v>
      </c>
      <c r="K1606" s="2">
        <f>VALUE(SUBSTITUTE(Table14[[#This Row],[Wartość]],".",","))</f>
        <v>23674.62</v>
      </c>
      <c r="L16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6" s="2" t="str">
        <f>IF(Table14[[#This Row],[Umowa]]="","Poza umową","Z umowy")</f>
        <v>Z umowy</v>
      </c>
      <c r="N1606" s="2">
        <f>YEAR(Table14[[#This Row],[Data_Wystawienia]])</f>
        <v>2023</v>
      </c>
      <c r="O1606" s="2" t="str">
        <f>TEXT(Table14[[#This Row],[Data_Wystawienia]],"rrrr-mm")</f>
        <v>2023-08</v>
      </c>
      <c r="P1606" s="2">
        <v>1</v>
      </c>
    </row>
    <row r="1607" spans="1:16" x14ac:dyDescent="0.3">
      <c r="A1607" s="2" t="str">
        <f>TRIM(Table1[[#This Row],[Numer_FV]])</f>
        <v>FV/M/6932/P/23</v>
      </c>
      <c r="B1607" s="2" t="str">
        <f>TRIM(Table1[[#This Row],[Numer_PZ]])</f>
        <v>PZ/801605</v>
      </c>
      <c r="C1607" s="2" t="str">
        <f>TRIM(Table1[[#This Row],[Dostawca]])</f>
        <v>MedicaPharm</v>
      </c>
      <c r="D1607" s="3">
        <v>45145</v>
      </c>
      <c r="E1607" s="4" t="s">
        <v>4758</v>
      </c>
      <c r="F1607" s="2" t="str">
        <f>TRIM(Table1[[#This Row],[Status]])</f>
        <v>Zaakceptowana</v>
      </c>
      <c r="G1607" s="2" t="str">
        <f>TRIM(Table1[[#This Row],[Typ]])</f>
        <v>Faktura VAT</v>
      </c>
      <c r="H1607" s="2" t="str">
        <f>TRIM(Table1[[#This Row],[Magazyn]])</f>
        <v>Apteka Szpitalna</v>
      </c>
      <c r="I1607" s="2" t="str">
        <f>TRIM(Table1[[#This Row],[Umowa]])</f>
        <v>UM-MED-01</v>
      </c>
      <c r="J1607" s="2" t="b">
        <f>ISTEXT(Table14[[#This Row],[Data_Wystawienia]])</f>
        <v>0</v>
      </c>
      <c r="K1607" s="2">
        <f>VALUE(SUBSTITUTE(Table14[[#This Row],[Wartość]],".",","))</f>
        <v>11259.24</v>
      </c>
      <c r="L16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7" s="2" t="str">
        <f>IF(Table14[[#This Row],[Umowa]]="","Poza umową","Z umowy")</f>
        <v>Z umowy</v>
      </c>
      <c r="N1607" s="2">
        <f>YEAR(Table14[[#This Row],[Data_Wystawienia]])</f>
        <v>2023</v>
      </c>
      <c r="O1607" s="2" t="str">
        <f>TEXT(Table14[[#This Row],[Data_Wystawienia]],"rrrr-mm")</f>
        <v>2023-08</v>
      </c>
      <c r="P1607" s="2">
        <v>1</v>
      </c>
    </row>
    <row r="1608" spans="1:16" x14ac:dyDescent="0.3">
      <c r="A1608" s="2" t="str">
        <f>TRIM(Table1[[#This Row],[Numer_FV]])</f>
        <v>FV/CENFA/317518/23</v>
      </c>
      <c r="B1608" s="2" t="str">
        <f>TRIM(Table1[[#This Row],[Numer_PZ]])</f>
        <v>PZ/801606</v>
      </c>
      <c r="C1608" s="2" t="str">
        <f>TRIM(Table1[[#This Row],[Dostawca]])</f>
        <v>CentrumFarm</v>
      </c>
      <c r="D1608" s="3">
        <v>45145</v>
      </c>
      <c r="E1608" s="4" t="s">
        <v>4761</v>
      </c>
      <c r="F1608" s="2" t="str">
        <f>TRIM(Table1[[#This Row],[Status]])</f>
        <v>Zaakceptowana</v>
      </c>
      <c r="G1608" s="2" t="str">
        <f>TRIM(Table1[[#This Row],[Typ]])</f>
        <v>Faktura VAT</v>
      </c>
      <c r="H1608" s="2" t="str">
        <f>TRIM(Table1[[#This Row],[Magazyn]])</f>
        <v>Apteka Szpitalna</v>
      </c>
      <c r="I1608" s="2" t="str">
        <f>TRIM(Table1[[#This Row],[Umowa]])</f>
        <v/>
      </c>
      <c r="J1608" s="2" t="b">
        <f>ISTEXT(Table14[[#This Row],[Data_Wystawienia]])</f>
        <v>0</v>
      </c>
      <c r="K1608" s="2">
        <f>VALUE(SUBSTITUTE(Table14[[#This Row],[Wartość]],".",","))</f>
        <v>17231.27</v>
      </c>
      <c r="L16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8" s="2" t="str">
        <f>IF(Table14[[#This Row],[Umowa]]="","Poza umową","Z umowy")</f>
        <v>Poza umową</v>
      </c>
      <c r="N1608" s="2">
        <f>YEAR(Table14[[#This Row],[Data_Wystawienia]])</f>
        <v>2023</v>
      </c>
      <c r="O1608" s="2" t="str">
        <f>TEXT(Table14[[#This Row],[Data_Wystawienia]],"rrrr-mm")</f>
        <v>2023-08</v>
      </c>
      <c r="P1608" s="2">
        <v>1</v>
      </c>
    </row>
    <row r="1609" spans="1:16" x14ac:dyDescent="0.3">
      <c r="A1609" s="2" t="str">
        <f>TRIM(Table1[[#This Row],[Numer_FV]])</f>
        <v>FV/9947HM/23</v>
      </c>
      <c r="B1609" s="2" t="str">
        <f>TRIM(Table1[[#This Row],[Numer_PZ]])</f>
        <v>PZ/801607</v>
      </c>
      <c r="C1609" s="2" t="str">
        <f>TRIM(Table1[[#This Row],[Dostawca]])</f>
        <v>HurtMedix</v>
      </c>
      <c r="D1609" s="3">
        <v>45146</v>
      </c>
      <c r="E1609" s="4" t="s">
        <v>4764</v>
      </c>
      <c r="F1609" s="2" t="str">
        <f>TRIM(Table1[[#This Row],[Status]])</f>
        <v>Zaakceptowana</v>
      </c>
      <c r="G1609" s="2" t="str">
        <f>TRIM(Table1[[#This Row],[Typ]])</f>
        <v>Faktura VAT</v>
      </c>
      <c r="H1609" s="2" t="str">
        <f>TRIM(Table1[[#This Row],[Magazyn]])</f>
        <v>Apteka Szpitalna</v>
      </c>
      <c r="I1609" s="2" t="str">
        <f>TRIM(Table1[[#This Row],[Umowa]])</f>
        <v>UM-HUR-01</v>
      </c>
      <c r="J1609" s="2" t="b">
        <f>ISTEXT(Table14[[#This Row],[Data_Wystawienia]])</f>
        <v>0</v>
      </c>
      <c r="K1609" s="2">
        <f>VALUE(SUBSTITUTE(Table14[[#This Row],[Wartość]],".",","))</f>
        <v>19223.560000000001</v>
      </c>
      <c r="L16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09" s="2" t="str">
        <f>IF(Table14[[#This Row],[Umowa]]="","Poza umową","Z umowy")</f>
        <v>Z umowy</v>
      </c>
      <c r="N1609" s="2">
        <f>YEAR(Table14[[#This Row],[Data_Wystawienia]])</f>
        <v>2023</v>
      </c>
      <c r="O1609" s="2" t="str">
        <f>TEXT(Table14[[#This Row],[Data_Wystawienia]],"rrrr-mm")</f>
        <v>2023-08</v>
      </c>
      <c r="P1609" s="2">
        <v>1</v>
      </c>
    </row>
    <row r="1610" spans="1:16" x14ac:dyDescent="0.3">
      <c r="A1610" s="2" t="str">
        <f>TRIM(Table1[[#This Row],[Numer_FV]])</f>
        <v>FV/CENFA/156333/23</v>
      </c>
      <c r="B1610" s="2" t="str">
        <f>TRIM(Table1[[#This Row],[Numer_PZ]])</f>
        <v>PZ/801608</v>
      </c>
      <c r="C1610" s="2" t="str">
        <f>TRIM(Table1[[#This Row],[Dostawca]])</f>
        <v>CentrumFarm</v>
      </c>
      <c r="D1610" s="3">
        <v>45146</v>
      </c>
      <c r="E1610" s="4" t="s">
        <v>4767</v>
      </c>
      <c r="F1610" s="2" t="str">
        <f>TRIM(Table1[[#This Row],[Status]])</f>
        <v>Zaakceptowana</v>
      </c>
      <c r="G1610" s="2" t="str">
        <f>TRIM(Table1[[#This Row],[Typ]])</f>
        <v>Faktura VAT</v>
      </c>
      <c r="H1610" s="2" t="str">
        <f>TRIM(Table1[[#This Row],[Magazyn]])</f>
        <v>Apteka Szpitalna</v>
      </c>
      <c r="I1610" s="2" t="str">
        <f>TRIM(Table1[[#This Row],[Umowa]])</f>
        <v/>
      </c>
      <c r="J1610" s="2" t="b">
        <f>ISTEXT(Table14[[#This Row],[Data_Wystawienia]])</f>
        <v>0</v>
      </c>
      <c r="K1610" s="2">
        <f>VALUE(SUBSTITUTE(Table14[[#This Row],[Wartość]],".",","))</f>
        <v>20452.66</v>
      </c>
      <c r="L16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0" s="2" t="str">
        <f>IF(Table14[[#This Row],[Umowa]]="","Poza umową","Z umowy")</f>
        <v>Poza umową</v>
      </c>
      <c r="N1610" s="2">
        <f>YEAR(Table14[[#This Row],[Data_Wystawienia]])</f>
        <v>2023</v>
      </c>
      <c r="O1610" s="2" t="str">
        <f>TEXT(Table14[[#This Row],[Data_Wystawienia]],"rrrr-mm")</f>
        <v>2023-08</v>
      </c>
      <c r="P1610" s="2">
        <v>1</v>
      </c>
    </row>
    <row r="1611" spans="1:16" x14ac:dyDescent="0.3">
      <c r="A1611" s="2" t="str">
        <f>TRIM(Table1[[#This Row],[Numer_FV]])</f>
        <v>FV/2227HM/23</v>
      </c>
      <c r="B1611" s="2" t="str">
        <f>TRIM(Table1[[#This Row],[Numer_PZ]])</f>
        <v>PZ/801609</v>
      </c>
      <c r="C1611" s="2" t="str">
        <f>TRIM(Table1[[#This Row],[Dostawca]])</f>
        <v>HurtMedix</v>
      </c>
      <c r="D1611" s="3">
        <v>45146</v>
      </c>
      <c r="E1611" s="4" t="s">
        <v>4770</v>
      </c>
      <c r="F1611" s="2" t="str">
        <f>TRIM(Table1[[#This Row],[Status]])</f>
        <v>Zaakceptowana</v>
      </c>
      <c r="G1611" s="2" t="str">
        <f>TRIM(Table1[[#This Row],[Typ]])</f>
        <v>Faktura VAT</v>
      </c>
      <c r="H1611" s="2" t="str">
        <f>TRIM(Table1[[#This Row],[Magazyn]])</f>
        <v>Apteka Szpitalna</v>
      </c>
      <c r="I1611" s="2" t="str">
        <f>TRIM(Table1[[#This Row],[Umowa]])</f>
        <v/>
      </c>
      <c r="J1611" s="2" t="b">
        <f>ISTEXT(Table14[[#This Row],[Data_Wystawienia]])</f>
        <v>0</v>
      </c>
      <c r="K1611" s="2">
        <f>VALUE(SUBSTITUTE(Table14[[#This Row],[Wartość]],".",","))</f>
        <v>15631.11</v>
      </c>
      <c r="L16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1" s="2" t="str">
        <f>IF(Table14[[#This Row],[Umowa]]="","Poza umową","Z umowy")</f>
        <v>Poza umową</v>
      </c>
      <c r="N1611" s="2">
        <f>YEAR(Table14[[#This Row],[Data_Wystawienia]])</f>
        <v>2023</v>
      </c>
      <c r="O1611" s="2" t="str">
        <f>TEXT(Table14[[#This Row],[Data_Wystawienia]],"rrrr-mm")</f>
        <v>2023-08</v>
      </c>
      <c r="P1611" s="2">
        <v>1</v>
      </c>
    </row>
    <row r="1612" spans="1:16" x14ac:dyDescent="0.3">
      <c r="A1612" s="2" t="str">
        <f>TRIM(Table1[[#This Row],[Numer_FV]])</f>
        <v>FV/7037/NOVA/23</v>
      </c>
      <c r="B1612" s="2" t="str">
        <f>TRIM(Table1[[#This Row],[Numer_PZ]])</f>
        <v>PZ/801610</v>
      </c>
      <c r="C1612" s="2" t="str">
        <f>TRIM(Table1[[#This Row],[Dostawca]])</f>
        <v>NovaLek</v>
      </c>
      <c r="D1612" s="3">
        <v>45147</v>
      </c>
      <c r="E1612" s="4" t="s">
        <v>4773</v>
      </c>
      <c r="F1612" s="2" t="str">
        <f>TRIM(Table1[[#This Row],[Status]])</f>
        <v>Zaakceptowana</v>
      </c>
      <c r="G1612" s="2" t="str">
        <f>TRIM(Table1[[#This Row],[Typ]])</f>
        <v>Faktura VAT</v>
      </c>
      <c r="H1612" s="2" t="str">
        <f>TRIM(Table1[[#This Row],[Magazyn]])</f>
        <v>Apteka Szpitalna</v>
      </c>
      <c r="I1612" s="2" t="str">
        <f>TRIM(Table1[[#This Row],[Umowa]])</f>
        <v>UM-NOV-01</v>
      </c>
      <c r="J1612" s="2" t="b">
        <f>ISTEXT(Table14[[#This Row],[Data_Wystawienia]])</f>
        <v>0</v>
      </c>
      <c r="K1612" s="2">
        <f>VALUE(SUBSTITUTE(Table14[[#This Row],[Wartość]],".",","))</f>
        <v>3510.11</v>
      </c>
      <c r="L16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2" s="2" t="str">
        <f>IF(Table14[[#This Row],[Umowa]]="","Poza umową","Z umowy")</f>
        <v>Z umowy</v>
      </c>
      <c r="N1612" s="2">
        <f>YEAR(Table14[[#This Row],[Data_Wystawienia]])</f>
        <v>2023</v>
      </c>
      <c r="O1612" s="2" t="str">
        <f>TEXT(Table14[[#This Row],[Data_Wystawienia]],"rrrr-mm")</f>
        <v>2023-08</v>
      </c>
      <c r="P1612" s="2">
        <v>1</v>
      </c>
    </row>
    <row r="1613" spans="1:16" x14ac:dyDescent="0.3">
      <c r="A1613" s="2" t="str">
        <f>TRIM(Table1[[#This Row],[Numer_FV]])</f>
        <v>FV/98/SAL/23</v>
      </c>
      <c r="B1613" s="2" t="str">
        <f>TRIM(Table1[[#This Row],[Numer_PZ]])</f>
        <v>PZ/801611</v>
      </c>
      <c r="C1613" s="2" t="str">
        <f>TRIM(Table1[[#This Row],[Dostawca]])</f>
        <v>SalusHurt</v>
      </c>
      <c r="D1613" s="3">
        <v>45147</v>
      </c>
      <c r="E1613" s="4" t="s">
        <v>4776</v>
      </c>
      <c r="F1613" s="2" t="str">
        <f>TRIM(Table1[[#This Row],[Status]])</f>
        <v>Zaakceptowana</v>
      </c>
      <c r="G1613" s="2" t="str">
        <f>TRIM(Table1[[#This Row],[Typ]])</f>
        <v>Faktura VAT</v>
      </c>
      <c r="H1613" s="2" t="str">
        <f>TRIM(Table1[[#This Row],[Magazyn]])</f>
        <v>Apteka Szpitalna</v>
      </c>
      <c r="I1613" s="2" t="str">
        <f>TRIM(Table1[[#This Row],[Umowa]])</f>
        <v>UM-SAL-02</v>
      </c>
      <c r="J1613" s="2" t="b">
        <f>ISTEXT(Table14[[#This Row],[Data_Wystawienia]])</f>
        <v>0</v>
      </c>
      <c r="K1613" s="2">
        <f>VALUE(SUBSTITUTE(Table14[[#This Row],[Wartość]],".",","))</f>
        <v>21929.49</v>
      </c>
      <c r="L16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3" s="2" t="str">
        <f>IF(Table14[[#This Row],[Umowa]]="","Poza umową","Z umowy")</f>
        <v>Z umowy</v>
      </c>
      <c r="N1613" s="2">
        <f>YEAR(Table14[[#This Row],[Data_Wystawienia]])</f>
        <v>2023</v>
      </c>
      <c r="O1613" s="2" t="str">
        <f>TEXT(Table14[[#This Row],[Data_Wystawienia]],"rrrr-mm")</f>
        <v>2023-08</v>
      </c>
      <c r="P1613" s="2">
        <v>1</v>
      </c>
    </row>
    <row r="1614" spans="1:16" x14ac:dyDescent="0.3">
      <c r="A1614" s="2" t="str">
        <f>TRIM(Table1[[#This Row],[Numer_FV]])</f>
        <v>FV/48966/VDb/2023</v>
      </c>
      <c r="B1614" s="2" t="str">
        <f>TRIM(Table1[[#This Row],[Numer_PZ]])</f>
        <v>PZ/801612</v>
      </c>
      <c r="C1614" s="2" t="str">
        <f>TRIM(Table1[[#This Row],[Dostawca]])</f>
        <v>VitaDistrib</v>
      </c>
      <c r="D1614" s="3">
        <v>45147</v>
      </c>
      <c r="E1614" s="4" t="s">
        <v>4779</v>
      </c>
      <c r="F1614" s="2" t="str">
        <f>TRIM(Table1[[#This Row],[Status]])</f>
        <v>Zaakceptowana</v>
      </c>
      <c r="G1614" s="2" t="str">
        <f>TRIM(Table1[[#This Row],[Typ]])</f>
        <v>Faktura VAT</v>
      </c>
      <c r="H1614" s="2" t="str">
        <f>TRIM(Table1[[#This Row],[Magazyn]])</f>
        <v>Apteka Szpitalna</v>
      </c>
      <c r="I1614" s="2" t="str">
        <f>TRIM(Table1[[#This Row],[Umowa]])</f>
        <v>UM-VIT-01</v>
      </c>
      <c r="J1614" s="2" t="b">
        <f>ISTEXT(Table14[[#This Row],[Data_Wystawienia]])</f>
        <v>0</v>
      </c>
      <c r="K1614" s="2">
        <f>VALUE(SUBSTITUTE(Table14[[#This Row],[Wartość]],".",","))</f>
        <v>16097.84</v>
      </c>
      <c r="L16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4" s="2" t="str">
        <f>IF(Table14[[#This Row],[Umowa]]="","Poza umową","Z umowy")</f>
        <v>Z umowy</v>
      </c>
      <c r="N1614" s="2">
        <f>YEAR(Table14[[#This Row],[Data_Wystawienia]])</f>
        <v>2023</v>
      </c>
      <c r="O1614" s="2" t="str">
        <f>TEXT(Table14[[#This Row],[Data_Wystawienia]],"rrrr-mm")</f>
        <v>2023-08</v>
      </c>
      <c r="P1614" s="2">
        <v>1</v>
      </c>
    </row>
    <row r="1615" spans="1:16" x14ac:dyDescent="0.3">
      <c r="A1615" s="2" t="str">
        <f>TRIM(Table1[[#This Row],[Numer_FV]])</f>
        <v>FV/83/SAL/23</v>
      </c>
      <c r="B1615" s="2" t="str">
        <f>TRIM(Table1[[#This Row],[Numer_PZ]])</f>
        <v>PZ/801613</v>
      </c>
      <c r="C1615" s="2" t="str">
        <f>TRIM(Table1[[#This Row],[Dostawca]])</f>
        <v>SalusHurt</v>
      </c>
      <c r="D1615" s="3">
        <v>45147</v>
      </c>
      <c r="E1615" s="4" t="s">
        <v>4782</v>
      </c>
      <c r="F1615" s="2" t="str">
        <f>TRIM(Table1[[#This Row],[Status]])</f>
        <v>Zaakceptowana</v>
      </c>
      <c r="G1615" s="2" t="str">
        <f>TRIM(Table1[[#This Row],[Typ]])</f>
        <v>Faktura VAT</v>
      </c>
      <c r="H1615" s="2" t="str">
        <f>TRIM(Table1[[#This Row],[Magazyn]])</f>
        <v>Apteka Szpitalna</v>
      </c>
      <c r="I1615" s="2" t="str">
        <f>TRIM(Table1[[#This Row],[Umowa]])</f>
        <v>UM-SAL-01</v>
      </c>
      <c r="J1615" s="2" t="b">
        <f>ISTEXT(Table14[[#This Row],[Data_Wystawienia]])</f>
        <v>0</v>
      </c>
      <c r="K1615" s="2">
        <f>VALUE(SUBSTITUTE(Table14[[#This Row],[Wartość]],".",","))</f>
        <v>11050.39</v>
      </c>
      <c r="L16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5" s="2" t="str">
        <f>IF(Table14[[#This Row],[Umowa]]="","Poza umową","Z umowy")</f>
        <v>Z umowy</v>
      </c>
      <c r="N1615" s="2">
        <f>YEAR(Table14[[#This Row],[Data_Wystawienia]])</f>
        <v>2023</v>
      </c>
      <c r="O1615" s="2" t="str">
        <f>TEXT(Table14[[#This Row],[Data_Wystawienia]],"rrrr-mm")</f>
        <v>2023-08</v>
      </c>
      <c r="P1615" s="2">
        <v>1</v>
      </c>
    </row>
    <row r="1616" spans="1:16" x14ac:dyDescent="0.3">
      <c r="A1616" s="2" t="str">
        <f>TRIM(Table1[[#This Row],[Numer_FV]])</f>
        <v>FV/59/PP/7378/23</v>
      </c>
      <c r="B1616" s="2" t="str">
        <f>TRIM(Table1[[#This Row],[Numer_PZ]])</f>
        <v>PZ/801614</v>
      </c>
      <c r="C1616" s="2" t="str">
        <f>TRIM(Table1[[#This Row],[Dostawca]])</f>
        <v>PharmaPlus</v>
      </c>
      <c r="D1616" s="3">
        <v>45148</v>
      </c>
      <c r="E1616" s="4" t="s">
        <v>4785</v>
      </c>
      <c r="F1616" s="2" t="str">
        <f>TRIM(Table1[[#This Row],[Status]])</f>
        <v>Zaakceptowana</v>
      </c>
      <c r="G1616" s="2" t="str">
        <f>TRIM(Table1[[#This Row],[Typ]])</f>
        <v>Faktura VAT</v>
      </c>
      <c r="H1616" s="2" t="str">
        <f>TRIM(Table1[[#This Row],[Magazyn]])</f>
        <v>Apteka Szpitalna</v>
      </c>
      <c r="I1616" s="2" t="str">
        <f>TRIM(Table1[[#This Row],[Umowa]])</f>
        <v>UM-PHA-02</v>
      </c>
      <c r="J1616" s="2" t="b">
        <f>ISTEXT(Table14[[#This Row],[Data_Wystawienia]])</f>
        <v>0</v>
      </c>
      <c r="K1616" s="2">
        <f>VALUE(SUBSTITUTE(Table14[[#This Row],[Wartość]],".",","))</f>
        <v>4007.3</v>
      </c>
      <c r="L16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6" s="2" t="str">
        <f>IF(Table14[[#This Row],[Umowa]]="","Poza umową","Z umowy")</f>
        <v>Z umowy</v>
      </c>
      <c r="N1616" s="2">
        <f>YEAR(Table14[[#This Row],[Data_Wystawienia]])</f>
        <v>2023</v>
      </c>
      <c r="O1616" s="2" t="str">
        <f>TEXT(Table14[[#This Row],[Data_Wystawienia]],"rrrr-mm")</f>
        <v>2023-08</v>
      </c>
      <c r="P1616" s="2">
        <v>1</v>
      </c>
    </row>
    <row r="1617" spans="1:16" x14ac:dyDescent="0.3">
      <c r="A1617" s="2" t="str">
        <f>TRIM(Table1[[#This Row],[Numer_FV]])</f>
        <v>FV/POL/80276/2023</v>
      </c>
      <c r="B1617" s="2" t="str">
        <f>TRIM(Table1[[#This Row],[Numer_PZ]])</f>
        <v>PZ/801615</v>
      </c>
      <c r="C1617" s="2" t="str">
        <f>TRIM(Table1[[#This Row],[Dostawca]])</f>
        <v>Polmedica</v>
      </c>
      <c r="D1617" s="3">
        <v>45148</v>
      </c>
      <c r="E1617" s="4" t="s">
        <v>4788</v>
      </c>
      <c r="F1617" s="2" t="str">
        <f>TRIM(Table1[[#This Row],[Status]])</f>
        <v>Zaakceptowana</v>
      </c>
      <c r="G1617" s="2" t="str">
        <f>TRIM(Table1[[#This Row],[Typ]])</f>
        <v>Faktura VAT</v>
      </c>
      <c r="H1617" s="2" t="str">
        <f>TRIM(Table1[[#This Row],[Magazyn]])</f>
        <v>Apteka Szpitalna</v>
      </c>
      <c r="I1617" s="2" t="str">
        <f>TRIM(Table1[[#This Row],[Umowa]])</f>
        <v>UM-POL-03</v>
      </c>
      <c r="J1617" s="2" t="b">
        <f>ISTEXT(Table14[[#This Row],[Data_Wystawienia]])</f>
        <v>0</v>
      </c>
      <c r="K1617" s="2">
        <f>VALUE(SUBSTITUTE(Table14[[#This Row],[Wartość]],".",","))</f>
        <v>17845.03</v>
      </c>
      <c r="L16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7" s="2" t="str">
        <f>IF(Table14[[#This Row],[Umowa]]="","Poza umową","Z umowy")</f>
        <v>Z umowy</v>
      </c>
      <c r="N1617" s="2">
        <f>YEAR(Table14[[#This Row],[Data_Wystawienia]])</f>
        <v>2023</v>
      </c>
      <c r="O1617" s="2" t="str">
        <f>TEXT(Table14[[#This Row],[Data_Wystawienia]],"rrrr-mm")</f>
        <v>2023-08</v>
      </c>
      <c r="P1617" s="2">
        <v>1</v>
      </c>
    </row>
    <row r="1618" spans="1:16" x14ac:dyDescent="0.3">
      <c r="A1618" s="2" t="str">
        <f>TRIM(Table1[[#This Row],[Numer_FV]])</f>
        <v>FV/1556/NOVA/23</v>
      </c>
      <c r="B1618" s="2" t="str">
        <f>TRIM(Table1[[#This Row],[Numer_PZ]])</f>
        <v>PZ/801616</v>
      </c>
      <c r="C1618" s="2" t="str">
        <f>TRIM(Table1[[#This Row],[Dostawca]])</f>
        <v>NovaLek</v>
      </c>
      <c r="D1618" s="3">
        <v>45149</v>
      </c>
      <c r="E1618" s="4" t="s">
        <v>4791</v>
      </c>
      <c r="F1618" s="2" t="str">
        <f>TRIM(Table1[[#This Row],[Status]])</f>
        <v>Zaakceptowana</v>
      </c>
      <c r="G1618" s="2" t="str">
        <f>TRIM(Table1[[#This Row],[Typ]])</f>
        <v>Faktura VAT</v>
      </c>
      <c r="H1618" s="2" t="str">
        <f>TRIM(Table1[[#This Row],[Magazyn]])</f>
        <v>Apteka Szpitalna</v>
      </c>
      <c r="I1618" s="2" t="str">
        <f>TRIM(Table1[[#This Row],[Umowa]])</f>
        <v>UM-NOV-03</v>
      </c>
      <c r="J1618" s="2" t="b">
        <f>ISTEXT(Table14[[#This Row],[Data_Wystawienia]])</f>
        <v>0</v>
      </c>
      <c r="K1618" s="2">
        <f>VALUE(SUBSTITUTE(Table14[[#This Row],[Wartość]],".",","))</f>
        <v>17460.43</v>
      </c>
      <c r="L16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8" s="2" t="str">
        <f>IF(Table14[[#This Row],[Umowa]]="","Poza umową","Z umowy")</f>
        <v>Z umowy</v>
      </c>
      <c r="N1618" s="2">
        <f>YEAR(Table14[[#This Row],[Data_Wystawienia]])</f>
        <v>2023</v>
      </c>
      <c r="O1618" s="2" t="str">
        <f>TEXT(Table14[[#This Row],[Data_Wystawienia]],"rrrr-mm")</f>
        <v>2023-08</v>
      </c>
      <c r="P1618" s="2">
        <v>1</v>
      </c>
    </row>
    <row r="1619" spans="1:16" x14ac:dyDescent="0.3">
      <c r="A1619" s="2" t="str">
        <f>TRIM(Table1[[#This Row],[Numer_FV]])</f>
        <v>FV/2131HM/23</v>
      </c>
      <c r="B1619" s="2" t="str">
        <f>TRIM(Table1[[#This Row],[Numer_PZ]])</f>
        <v>PZ/801617</v>
      </c>
      <c r="C1619" s="2" t="str">
        <f>TRIM(Table1[[#This Row],[Dostawca]])</f>
        <v>HurtMedix</v>
      </c>
      <c r="D1619" s="3">
        <v>45149</v>
      </c>
      <c r="E1619" s="4" t="s">
        <v>4794</v>
      </c>
      <c r="F1619" s="2" t="str">
        <f>TRIM(Table1[[#This Row],[Status]])</f>
        <v>Zaakceptowana</v>
      </c>
      <c r="G1619" s="2" t="str">
        <f>TRIM(Table1[[#This Row],[Typ]])</f>
        <v>Faktura VAT</v>
      </c>
      <c r="H1619" s="2" t="str">
        <f>TRIM(Table1[[#This Row],[Magazyn]])</f>
        <v>Apteka Szpitalna</v>
      </c>
      <c r="I1619" s="2" t="str">
        <f>TRIM(Table1[[#This Row],[Umowa]])</f>
        <v/>
      </c>
      <c r="J1619" s="2" t="b">
        <f>ISTEXT(Table14[[#This Row],[Data_Wystawienia]])</f>
        <v>0</v>
      </c>
      <c r="K1619" s="2">
        <f>VALUE(SUBSTITUTE(Table14[[#This Row],[Wartość]],".",","))</f>
        <v>20781.169999999998</v>
      </c>
      <c r="L16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19" s="2" t="str">
        <f>IF(Table14[[#This Row],[Umowa]]="","Poza umową","Z umowy")</f>
        <v>Poza umową</v>
      </c>
      <c r="N1619" s="2">
        <f>YEAR(Table14[[#This Row],[Data_Wystawienia]])</f>
        <v>2023</v>
      </c>
      <c r="O1619" s="2" t="str">
        <f>TEXT(Table14[[#This Row],[Data_Wystawienia]],"rrrr-mm")</f>
        <v>2023-08</v>
      </c>
      <c r="P1619" s="2">
        <v>1</v>
      </c>
    </row>
    <row r="1620" spans="1:16" x14ac:dyDescent="0.3">
      <c r="A1620" s="2" t="str">
        <f>TRIM(Table1[[#This Row],[Numer_FV]])</f>
        <v>FV/CENFA/910384/23</v>
      </c>
      <c r="B1620" s="2" t="str">
        <f>TRIM(Table1[[#This Row],[Numer_PZ]])</f>
        <v>PZ/801618</v>
      </c>
      <c r="C1620" s="2" t="str">
        <f>TRIM(Table1[[#This Row],[Dostawca]])</f>
        <v>CentrumFarm</v>
      </c>
      <c r="D1620" s="3">
        <v>45151</v>
      </c>
      <c r="E1620" s="4" t="s">
        <v>4797</v>
      </c>
      <c r="F1620" s="2" t="str">
        <f>TRIM(Table1[[#This Row],[Status]])</f>
        <v>Zaakceptowana</v>
      </c>
      <c r="G1620" s="2" t="str">
        <f>TRIM(Table1[[#This Row],[Typ]])</f>
        <v>Faktura VAT</v>
      </c>
      <c r="H1620" s="2" t="str">
        <f>TRIM(Table1[[#This Row],[Magazyn]])</f>
        <v>Apteka Szpitalna</v>
      </c>
      <c r="I1620" s="2" t="str">
        <f>TRIM(Table1[[#This Row],[Umowa]])</f>
        <v/>
      </c>
      <c r="J1620" s="2" t="b">
        <f>ISTEXT(Table14[[#This Row],[Data_Wystawienia]])</f>
        <v>0</v>
      </c>
      <c r="K1620" s="2">
        <f>VALUE(SUBSTITUTE(Table14[[#This Row],[Wartość]],".",","))</f>
        <v>19543.7</v>
      </c>
      <c r="L16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0" s="2" t="str">
        <f>IF(Table14[[#This Row],[Umowa]]="","Poza umową","Z umowy")</f>
        <v>Poza umową</v>
      </c>
      <c r="N1620" s="2">
        <f>YEAR(Table14[[#This Row],[Data_Wystawienia]])</f>
        <v>2023</v>
      </c>
      <c r="O1620" s="2" t="str">
        <f>TEXT(Table14[[#This Row],[Data_Wystawienia]],"rrrr-mm")</f>
        <v>2023-08</v>
      </c>
      <c r="P1620" s="2">
        <v>1</v>
      </c>
    </row>
    <row r="1621" spans="1:16" x14ac:dyDescent="0.3">
      <c r="A1621" s="2" t="str">
        <f>TRIM(Table1[[#This Row],[Numer_FV]])</f>
        <v>FV/CENFA/506994/23</v>
      </c>
      <c r="B1621" s="2" t="str">
        <f>TRIM(Table1[[#This Row],[Numer_PZ]])</f>
        <v>PZ/801619</v>
      </c>
      <c r="C1621" s="2" t="str">
        <f>TRIM(Table1[[#This Row],[Dostawca]])</f>
        <v>CentrumFarm</v>
      </c>
      <c r="D1621" s="3">
        <v>45151</v>
      </c>
      <c r="E1621" s="4" t="s">
        <v>4800</v>
      </c>
      <c r="F1621" s="2" t="str">
        <f>TRIM(Table1[[#This Row],[Status]])</f>
        <v>Zaakceptowana</v>
      </c>
      <c r="G1621" s="2" t="str">
        <f>TRIM(Table1[[#This Row],[Typ]])</f>
        <v>Faktura VAT</v>
      </c>
      <c r="H1621" s="2" t="str">
        <f>TRIM(Table1[[#This Row],[Magazyn]])</f>
        <v>Apteka Szpitalna</v>
      </c>
      <c r="I1621" s="2" t="str">
        <f>TRIM(Table1[[#This Row],[Umowa]])</f>
        <v/>
      </c>
      <c r="J1621" s="2" t="b">
        <f>ISTEXT(Table14[[#This Row],[Data_Wystawienia]])</f>
        <v>0</v>
      </c>
      <c r="K1621" s="2">
        <f>VALUE(SUBSTITUTE(Table14[[#This Row],[Wartość]],".",","))</f>
        <v>15244.67</v>
      </c>
      <c r="L16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1" s="2" t="str">
        <f>IF(Table14[[#This Row],[Umowa]]="","Poza umową","Z umowy")</f>
        <v>Poza umową</v>
      </c>
      <c r="N1621" s="2">
        <f>YEAR(Table14[[#This Row],[Data_Wystawienia]])</f>
        <v>2023</v>
      </c>
      <c r="O1621" s="2" t="str">
        <f>TEXT(Table14[[#This Row],[Data_Wystawienia]],"rrrr-mm")</f>
        <v>2023-08</v>
      </c>
      <c r="P1621" s="2">
        <v>1</v>
      </c>
    </row>
    <row r="1622" spans="1:16" x14ac:dyDescent="0.3">
      <c r="A1622" s="2" t="str">
        <f>TRIM(Table1[[#This Row],[Numer_FV]])</f>
        <v>FV/CENFA/524783/23</v>
      </c>
      <c r="B1622" s="2" t="str">
        <f>TRIM(Table1[[#This Row],[Numer_PZ]])</f>
        <v>PZ/801620</v>
      </c>
      <c r="C1622" s="2" t="str">
        <f>TRIM(Table1[[#This Row],[Dostawca]])</f>
        <v>CentrumFarm</v>
      </c>
      <c r="D1622" s="3">
        <v>45151</v>
      </c>
      <c r="E1622" s="4" t="s">
        <v>4803</v>
      </c>
      <c r="F1622" s="2" t="str">
        <f>TRIM(Table1[[#This Row],[Status]])</f>
        <v>Zaakceptowana</v>
      </c>
      <c r="G1622" s="2" t="str">
        <f>TRIM(Table1[[#This Row],[Typ]])</f>
        <v>Faktura VAT</v>
      </c>
      <c r="H1622" s="2" t="str">
        <f>TRIM(Table1[[#This Row],[Magazyn]])</f>
        <v>Apteka Szpitalna</v>
      </c>
      <c r="I1622" s="2" t="str">
        <f>TRIM(Table1[[#This Row],[Umowa]])</f>
        <v>UM-CEN-01</v>
      </c>
      <c r="J1622" s="2" t="b">
        <f>ISTEXT(Table14[[#This Row],[Data_Wystawienia]])</f>
        <v>0</v>
      </c>
      <c r="K1622" s="2">
        <f>VALUE(SUBSTITUTE(Table14[[#This Row],[Wartość]],".",","))</f>
        <v>12365.47</v>
      </c>
      <c r="L16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2" s="2" t="str">
        <f>IF(Table14[[#This Row],[Umowa]]="","Poza umową","Z umowy")</f>
        <v>Z umowy</v>
      </c>
      <c r="N1622" s="2">
        <f>YEAR(Table14[[#This Row],[Data_Wystawienia]])</f>
        <v>2023</v>
      </c>
      <c r="O1622" s="2" t="str">
        <f>TEXT(Table14[[#This Row],[Data_Wystawienia]],"rrrr-mm")</f>
        <v>2023-08</v>
      </c>
      <c r="P1622" s="2">
        <v>1</v>
      </c>
    </row>
    <row r="1623" spans="1:16" x14ac:dyDescent="0.3">
      <c r="A1623" s="2" t="str">
        <f>TRIM(Table1[[#This Row],[Numer_FV]])</f>
        <v>FV/75/SAL/23</v>
      </c>
      <c r="B1623" s="2" t="str">
        <f>TRIM(Table1[[#This Row],[Numer_PZ]])</f>
        <v>PZ/801621</v>
      </c>
      <c r="C1623" s="2" t="str">
        <f>TRIM(Table1[[#This Row],[Dostawca]])</f>
        <v>SalusHurt</v>
      </c>
      <c r="D1623" s="3">
        <v>45152</v>
      </c>
      <c r="E1623" s="4" t="s">
        <v>4805</v>
      </c>
      <c r="F1623" s="2" t="str">
        <f>TRIM(Table1[[#This Row],[Status]])</f>
        <v>Zaakceptowana</v>
      </c>
      <c r="G1623" s="2" t="str">
        <f>TRIM(Table1[[#This Row],[Typ]])</f>
        <v>Faktura VAT</v>
      </c>
      <c r="H1623" s="2" t="str">
        <f>TRIM(Table1[[#This Row],[Magazyn]])</f>
        <v>Apteka Szpitalna</v>
      </c>
      <c r="I1623" s="2" t="str">
        <f>TRIM(Table1[[#This Row],[Umowa]])</f>
        <v>UM-SAL-01</v>
      </c>
      <c r="J1623" s="2" t="b">
        <f>ISTEXT(Table14[[#This Row],[Data_Wystawienia]])</f>
        <v>0</v>
      </c>
      <c r="K1623" s="2">
        <f>VALUE(SUBSTITUTE(Table14[[#This Row],[Wartość]],".",","))</f>
        <v>21849.19</v>
      </c>
      <c r="L16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3" s="2" t="str">
        <f>IF(Table14[[#This Row],[Umowa]]="","Poza umową","Z umowy")</f>
        <v>Z umowy</v>
      </c>
      <c r="N1623" s="2">
        <f>YEAR(Table14[[#This Row],[Data_Wystawienia]])</f>
        <v>2023</v>
      </c>
      <c r="O1623" s="2" t="str">
        <f>TEXT(Table14[[#This Row],[Data_Wystawienia]],"rrrr-mm")</f>
        <v>2023-08</v>
      </c>
      <c r="P1623" s="2">
        <v>1</v>
      </c>
    </row>
    <row r="1624" spans="1:16" x14ac:dyDescent="0.3">
      <c r="A1624" s="2" t="str">
        <f>TRIM(Table1[[#This Row],[Numer_FV]])</f>
        <v>FV/CENFA/295371/23</v>
      </c>
      <c r="B1624" s="2" t="str">
        <f>TRIM(Table1[[#This Row],[Numer_PZ]])</f>
        <v>PZ/801622</v>
      </c>
      <c r="C1624" s="2" t="str">
        <f>TRIM(Table1[[#This Row],[Dostawca]])</f>
        <v>CentrumFarm</v>
      </c>
      <c r="D1624" s="3">
        <v>45152</v>
      </c>
      <c r="E1624" s="4" t="s">
        <v>4808</v>
      </c>
      <c r="F1624" s="2" t="str">
        <f>TRIM(Table1[[#This Row],[Status]])</f>
        <v>Zaakceptowana</v>
      </c>
      <c r="G1624" s="2" t="str">
        <f>TRIM(Table1[[#This Row],[Typ]])</f>
        <v>Faktura VAT</v>
      </c>
      <c r="H1624" s="2" t="str">
        <f>TRIM(Table1[[#This Row],[Magazyn]])</f>
        <v>Apteka Szpitalna</v>
      </c>
      <c r="I1624" s="2" t="str">
        <f>TRIM(Table1[[#This Row],[Umowa]])</f>
        <v>UM-CEN-01</v>
      </c>
      <c r="J1624" s="2" t="b">
        <f>ISTEXT(Table14[[#This Row],[Data_Wystawienia]])</f>
        <v>0</v>
      </c>
      <c r="K1624" s="2">
        <f>VALUE(SUBSTITUTE(Table14[[#This Row],[Wartość]],".",","))</f>
        <v>11093.84</v>
      </c>
      <c r="L16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4" s="2" t="str">
        <f>IF(Table14[[#This Row],[Umowa]]="","Poza umową","Z umowy")</f>
        <v>Z umowy</v>
      </c>
      <c r="N1624" s="2">
        <f>YEAR(Table14[[#This Row],[Data_Wystawienia]])</f>
        <v>2023</v>
      </c>
      <c r="O1624" s="2" t="str">
        <f>TEXT(Table14[[#This Row],[Data_Wystawienia]],"rrrr-mm")</f>
        <v>2023-08</v>
      </c>
      <c r="P1624" s="2">
        <v>1</v>
      </c>
    </row>
    <row r="1625" spans="1:16" x14ac:dyDescent="0.3">
      <c r="A1625" s="2" t="str">
        <f>TRIM(Table1[[#This Row],[Numer_FV]])</f>
        <v>FV/71526/VDb/2023</v>
      </c>
      <c r="B1625" s="2" t="str">
        <f>TRIM(Table1[[#This Row],[Numer_PZ]])</f>
        <v>PZ/801623</v>
      </c>
      <c r="C1625" s="2" t="str">
        <f>TRIM(Table1[[#This Row],[Dostawca]])</f>
        <v>VitaDistrib</v>
      </c>
      <c r="D1625" s="3">
        <v>45152</v>
      </c>
      <c r="E1625" s="4" t="s">
        <v>4811</v>
      </c>
      <c r="F1625" s="2" t="str">
        <f>TRIM(Table1[[#This Row],[Status]])</f>
        <v>Zaakceptowana</v>
      </c>
      <c r="G1625" s="2" t="str">
        <f>TRIM(Table1[[#This Row],[Typ]])</f>
        <v>Faktura VAT</v>
      </c>
      <c r="H1625" s="2" t="str">
        <f>TRIM(Table1[[#This Row],[Magazyn]])</f>
        <v>Apteka Szpitalna</v>
      </c>
      <c r="I1625" s="2" t="str">
        <f>TRIM(Table1[[#This Row],[Umowa]])</f>
        <v>UM-VIT-01</v>
      </c>
      <c r="J1625" s="2" t="b">
        <f>ISTEXT(Table14[[#This Row],[Data_Wystawienia]])</f>
        <v>0</v>
      </c>
      <c r="K1625" s="2">
        <f>VALUE(SUBSTITUTE(Table14[[#This Row],[Wartość]],".",","))</f>
        <v>20240.32</v>
      </c>
      <c r="L16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5" s="2" t="str">
        <f>IF(Table14[[#This Row],[Umowa]]="","Poza umową","Z umowy")</f>
        <v>Z umowy</v>
      </c>
      <c r="N1625" s="2">
        <f>YEAR(Table14[[#This Row],[Data_Wystawienia]])</f>
        <v>2023</v>
      </c>
      <c r="O1625" s="2" t="str">
        <f>TEXT(Table14[[#This Row],[Data_Wystawienia]],"rrrr-mm")</f>
        <v>2023-08</v>
      </c>
      <c r="P1625" s="2">
        <v>1</v>
      </c>
    </row>
    <row r="1626" spans="1:16" x14ac:dyDescent="0.3">
      <c r="A1626" s="2" t="str">
        <f>TRIM(Table1[[#This Row],[Numer_FV]])</f>
        <v>FV/POL/88739/2023</v>
      </c>
      <c r="B1626" s="2" t="str">
        <f>TRIM(Table1[[#This Row],[Numer_PZ]])</f>
        <v>PZ/801624</v>
      </c>
      <c r="C1626" s="2" t="str">
        <f>TRIM(Table1[[#This Row],[Dostawca]])</f>
        <v>Polmedica</v>
      </c>
      <c r="D1626" s="3">
        <v>45153</v>
      </c>
      <c r="E1626" s="4" t="s">
        <v>4814</v>
      </c>
      <c r="F1626" s="2" t="str">
        <f>TRIM(Table1[[#This Row],[Status]])</f>
        <v>Zaakceptowana</v>
      </c>
      <c r="G1626" s="2" t="str">
        <f>TRIM(Table1[[#This Row],[Typ]])</f>
        <v>Faktura VAT</v>
      </c>
      <c r="H1626" s="2" t="str">
        <f>TRIM(Table1[[#This Row],[Magazyn]])</f>
        <v>Apteka Szpitalna</v>
      </c>
      <c r="I1626" s="2" t="str">
        <f>TRIM(Table1[[#This Row],[Umowa]])</f>
        <v>UM-POL-02</v>
      </c>
      <c r="J1626" s="2" t="b">
        <f>ISTEXT(Table14[[#This Row],[Data_Wystawienia]])</f>
        <v>0</v>
      </c>
      <c r="K1626" s="2">
        <f>VALUE(SUBSTITUTE(Table14[[#This Row],[Wartość]],".",","))</f>
        <v>10839.57</v>
      </c>
      <c r="L16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6" s="2" t="str">
        <f>IF(Table14[[#This Row],[Umowa]]="","Poza umową","Z umowy")</f>
        <v>Z umowy</v>
      </c>
      <c r="N1626" s="2">
        <f>YEAR(Table14[[#This Row],[Data_Wystawienia]])</f>
        <v>2023</v>
      </c>
      <c r="O1626" s="2" t="str">
        <f>TEXT(Table14[[#This Row],[Data_Wystawienia]],"rrrr-mm")</f>
        <v>2023-08</v>
      </c>
      <c r="P1626" s="2">
        <v>1</v>
      </c>
    </row>
    <row r="1627" spans="1:16" x14ac:dyDescent="0.3">
      <c r="A1627" s="2" t="str">
        <f>TRIM(Table1[[#This Row],[Numer_FV]])</f>
        <v>FV/6863HM/23</v>
      </c>
      <c r="B1627" s="2" t="str">
        <f>TRIM(Table1[[#This Row],[Numer_PZ]])</f>
        <v>PZ/801625</v>
      </c>
      <c r="C1627" s="2" t="str">
        <f>TRIM(Table1[[#This Row],[Dostawca]])</f>
        <v>HurtMedix</v>
      </c>
      <c r="D1627" s="3">
        <v>45153</v>
      </c>
      <c r="E1627" s="4" t="s">
        <v>4817</v>
      </c>
      <c r="F1627" s="2" t="str">
        <f>TRIM(Table1[[#This Row],[Status]])</f>
        <v>Zaakceptowana</v>
      </c>
      <c r="G1627" s="2" t="str">
        <f>TRIM(Table1[[#This Row],[Typ]])</f>
        <v>Faktura VAT</v>
      </c>
      <c r="H1627" s="2" t="str">
        <f>TRIM(Table1[[#This Row],[Magazyn]])</f>
        <v>Apteka Szpitalna</v>
      </c>
      <c r="I1627" s="2" t="str">
        <f>TRIM(Table1[[#This Row],[Umowa]])</f>
        <v>UM-HUR-02</v>
      </c>
      <c r="J1627" s="2" t="b">
        <f>ISTEXT(Table14[[#This Row],[Data_Wystawienia]])</f>
        <v>0</v>
      </c>
      <c r="K1627" s="2">
        <f>VALUE(SUBSTITUTE(Table14[[#This Row],[Wartość]],".",","))</f>
        <v>7090.72</v>
      </c>
      <c r="L16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7" s="2" t="str">
        <f>IF(Table14[[#This Row],[Umowa]]="","Poza umową","Z umowy")</f>
        <v>Z umowy</v>
      </c>
      <c r="N1627" s="2">
        <f>YEAR(Table14[[#This Row],[Data_Wystawienia]])</f>
        <v>2023</v>
      </c>
      <c r="O1627" s="2" t="str">
        <f>TEXT(Table14[[#This Row],[Data_Wystawienia]],"rrrr-mm")</f>
        <v>2023-08</v>
      </c>
      <c r="P1627" s="2">
        <v>1</v>
      </c>
    </row>
    <row r="1628" spans="1:16" x14ac:dyDescent="0.3">
      <c r="A1628" s="2" t="str">
        <f>TRIM(Table1[[#This Row],[Numer_FV]])</f>
        <v>FV/8468HM/23</v>
      </c>
      <c r="B1628" s="2" t="str">
        <f>TRIM(Table1[[#This Row],[Numer_PZ]])</f>
        <v>PZ/801626</v>
      </c>
      <c r="C1628" s="2" t="str">
        <f>TRIM(Table1[[#This Row],[Dostawca]])</f>
        <v>HurtMedix</v>
      </c>
      <c r="D1628" s="3">
        <v>45153</v>
      </c>
      <c r="E1628" s="4" t="s">
        <v>4820</v>
      </c>
      <c r="F1628" s="2" t="str">
        <f>TRIM(Table1[[#This Row],[Status]])</f>
        <v>Zaakceptowana</v>
      </c>
      <c r="G1628" s="2" t="str">
        <f>TRIM(Table1[[#This Row],[Typ]])</f>
        <v>Faktura VAT</v>
      </c>
      <c r="H1628" s="2" t="str">
        <f>TRIM(Table1[[#This Row],[Magazyn]])</f>
        <v>Apteka Szpitalna</v>
      </c>
      <c r="I1628" s="2" t="str">
        <f>TRIM(Table1[[#This Row],[Umowa]])</f>
        <v>UM-HUR-01</v>
      </c>
      <c r="J1628" s="2" t="b">
        <f>ISTEXT(Table14[[#This Row],[Data_Wystawienia]])</f>
        <v>0</v>
      </c>
      <c r="K1628" s="2">
        <f>VALUE(SUBSTITUTE(Table14[[#This Row],[Wartość]],".",","))</f>
        <v>25269.9</v>
      </c>
      <c r="L16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8" s="2" t="str">
        <f>IF(Table14[[#This Row],[Umowa]]="","Poza umową","Z umowy")</f>
        <v>Z umowy</v>
      </c>
      <c r="N1628" s="2">
        <f>YEAR(Table14[[#This Row],[Data_Wystawienia]])</f>
        <v>2023</v>
      </c>
      <c r="O1628" s="2" t="str">
        <f>TEXT(Table14[[#This Row],[Data_Wystawienia]],"rrrr-mm")</f>
        <v>2023-08</v>
      </c>
      <c r="P1628" s="2">
        <v>1</v>
      </c>
    </row>
    <row r="1629" spans="1:16" x14ac:dyDescent="0.3">
      <c r="A1629" s="2" t="str">
        <f>TRIM(Table1[[#This Row],[Numer_FV]])</f>
        <v>FV/3919/NOVA/23</v>
      </c>
      <c r="B1629" s="2" t="str">
        <f>TRIM(Table1[[#This Row],[Numer_PZ]])</f>
        <v>PZ/801627</v>
      </c>
      <c r="C1629" s="2" t="str">
        <f>TRIM(Table1[[#This Row],[Dostawca]])</f>
        <v>NovaLek</v>
      </c>
      <c r="D1629" s="3">
        <v>45153</v>
      </c>
      <c r="E1629" s="4" t="s">
        <v>4823</v>
      </c>
      <c r="F1629" s="2" t="str">
        <f>TRIM(Table1[[#This Row],[Status]])</f>
        <v>Zaakceptowana</v>
      </c>
      <c r="G1629" s="2" t="str">
        <f>TRIM(Table1[[#This Row],[Typ]])</f>
        <v>Faktura VAT</v>
      </c>
      <c r="H1629" s="2" t="str">
        <f>TRIM(Table1[[#This Row],[Magazyn]])</f>
        <v>Apteka Szpitalna</v>
      </c>
      <c r="I1629" s="2" t="str">
        <f>TRIM(Table1[[#This Row],[Umowa]])</f>
        <v>UM-NOV-02</v>
      </c>
      <c r="J1629" s="2" t="b">
        <f>ISTEXT(Table14[[#This Row],[Data_Wystawienia]])</f>
        <v>0</v>
      </c>
      <c r="K1629" s="2">
        <f>VALUE(SUBSTITUTE(Table14[[#This Row],[Wartość]],".",","))</f>
        <v>18363.330000000002</v>
      </c>
      <c r="L16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29" s="2" t="str">
        <f>IF(Table14[[#This Row],[Umowa]]="","Poza umową","Z umowy")</f>
        <v>Z umowy</v>
      </c>
      <c r="N1629" s="2">
        <f>YEAR(Table14[[#This Row],[Data_Wystawienia]])</f>
        <v>2023</v>
      </c>
      <c r="O1629" s="2" t="str">
        <f>TEXT(Table14[[#This Row],[Data_Wystawienia]],"rrrr-mm")</f>
        <v>2023-08</v>
      </c>
      <c r="P1629" s="2">
        <v>1</v>
      </c>
    </row>
    <row r="1630" spans="1:16" x14ac:dyDescent="0.3">
      <c r="A1630" s="2" t="str">
        <f>TRIM(Table1[[#This Row],[Numer_FV]])</f>
        <v>FV/M/6780/P/23</v>
      </c>
      <c r="B1630" s="2" t="str">
        <f>TRIM(Table1[[#This Row],[Numer_PZ]])</f>
        <v>PZ/801628</v>
      </c>
      <c r="C1630" s="2" t="str">
        <f>TRIM(Table1[[#This Row],[Dostawca]])</f>
        <v>MedicaPharm</v>
      </c>
      <c r="D1630" s="3">
        <v>45153</v>
      </c>
      <c r="E1630" s="4" t="s">
        <v>4826</v>
      </c>
      <c r="F1630" s="2" t="str">
        <f>TRIM(Table1[[#This Row],[Status]])</f>
        <v>Zaakceptowana</v>
      </c>
      <c r="G1630" s="2" t="str">
        <f>TRIM(Table1[[#This Row],[Typ]])</f>
        <v>Faktura VAT</v>
      </c>
      <c r="H1630" s="2" t="str">
        <f>TRIM(Table1[[#This Row],[Magazyn]])</f>
        <v>Apteka Szpitalna</v>
      </c>
      <c r="I1630" s="2" t="str">
        <f>TRIM(Table1[[#This Row],[Umowa]])</f>
        <v>UM-MED-02</v>
      </c>
      <c r="J1630" s="2" t="b">
        <f>ISTEXT(Table14[[#This Row],[Data_Wystawienia]])</f>
        <v>0</v>
      </c>
      <c r="K1630" s="2">
        <f>VALUE(SUBSTITUTE(Table14[[#This Row],[Wartość]],".",","))</f>
        <v>2213.77</v>
      </c>
      <c r="L16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0" s="2" t="str">
        <f>IF(Table14[[#This Row],[Umowa]]="","Poza umową","Z umowy")</f>
        <v>Z umowy</v>
      </c>
      <c r="N1630" s="2">
        <f>YEAR(Table14[[#This Row],[Data_Wystawienia]])</f>
        <v>2023</v>
      </c>
      <c r="O1630" s="2" t="str">
        <f>TEXT(Table14[[#This Row],[Data_Wystawienia]],"rrrr-mm")</f>
        <v>2023-08</v>
      </c>
      <c r="P1630" s="2">
        <v>1</v>
      </c>
    </row>
    <row r="1631" spans="1:16" x14ac:dyDescent="0.3">
      <c r="A1631" s="2" t="str">
        <f>TRIM(Table1[[#This Row],[Numer_FV]])</f>
        <v>FV/86/SAL/23</v>
      </c>
      <c r="B1631" s="2" t="str">
        <f>TRIM(Table1[[#This Row],[Numer_PZ]])</f>
        <v>PZ/801629</v>
      </c>
      <c r="C1631" s="2" t="str">
        <f>TRIM(Table1[[#This Row],[Dostawca]])</f>
        <v>SalusHurt</v>
      </c>
      <c r="D1631" s="3">
        <v>45154</v>
      </c>
      <c r="E1631" s="4" t="s">
        <v>4829</v>
      </c>
      <c r="F1631" s="2" t="str">
        <f>TRIM(Table1[[#This Row],[Status]])</f>
        <v>Zaakceptowana</v>
      </c>
      <c r="G1631" s="2" t="str">
        <f>TRIM(Table1[[#This Row],[Typ]])</f>
        <v>Faktura VAT</v>
      </c>
      <c r="H1631" s="2" t="str">
        <f>TRIM(Table1[[#This Row],[Magazyn]])</f>
        <v>Apteka Szpitalna</v>
      </c>
      <c r="I1631" s="2" t="str">
        <f>TRIM(Table1[[#This Row],[Umowa]])</f>
        <v>UM-SAL-01</v>
      </c>
      <c r="J1631" s="2" t="b">
        <f>ISTEXT(Table14[[#This Row],[Data_Wystawienia]])</f>
        <v>0</v>
      </c>
      <c r="K1631" s="2">
        <f>VALUE(SUBSTITUTE(Table14[[#This Row],[Wartość]],".",","))</f>
        <v>19258.27</v>
      </c>
      <c r="L16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1" s="2" t="str">
        <f>IF(Table14[[#This Row],[Umowa]]="","Poza umową","Z umowy")</f>
        <v>Z umowy</v>
      </c>
      <c r="N1631" s="2">
        <f>YEAR(Table14[[#This Row],[Data_Wystawienia]])</f>
        <v>2023</v>
      </c>
      <c r="O1631" s="2" t="str">
        <f>TEXT(Table14[[#This Row],[Data_Wystawienia]],"rrrr-mm")</f>
        <v>2023-08</v>
      </c>
      <c r="P1631" s="2">
        <v>1</v>
      </c>
    </row>
    <row r="1632" spans="1:16" x14ac:dyDescent="0.3">
      <c r="A1632" s="2" t="str">
        <f>TRIM(Table1[[#This Row],[Numer_FV]])</f>
        <v>FV/8242/NOVA/23</v>
      </c>
      <c r="B1632" s="2" t="str">
        <f>TRIM(Table1[[#This Row],[Numer_PZ]])</f>
        <v>PZ/801630</v>
      </c>
      <c r="C1632" s="2" t="str">
        <f>TRIM(Table1[[#This Row],[Dostawca]])</f>
        <v>NovaLek</v>
      </c>
      <c r="D1632" s="3">
        <v>45154</v>
      </c>
      <c r="E1632" s="4" t="s">
        <v>4832</v>
      </c>
      <c r="F1632" s="2" t="str">
        <f>TRIM(Table1[[#This Row],[Status]])</f>
        <v>Zaakceptowana</v>
      </c>
      <c r="G1632" s="2" t="str">
        <f>TRIM(Table1[[#This Row],[Typ]])</f>
        <v>Faktura VAT</v>
      </c>
      <c r="H1632" s="2" t="str">
        <f>TRIM(Table1[[#This Row],[Magazyn]])</f>
        <v>Apteka Szpitalna</v>
      </c>
      <c r="I1632" s="2" t="str">
        <f>TRIM(Table1[[#This Row],[Umowa]])</f>
        <v>UM-NOV-01</v>
      </c>
      <c r="J1632" s="2" t="b">
        <f>ISTEXT(Table14[[#This Row],[Data_Wystawienia]])</f>
        <v>0</v>
      </c>
      <c r="K1632" s="2">
        <f>VALUE(SUBSTITUTE(Table14[[#This Row],[Wartość]],".",","))</f>
        <v>12582.21</v>
      </c>
      <c r="L16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2" s="2" t="str">
        <f>IF(Table14[[#This Row],[Umowa]]="","Poza umową","Z umowy")</f>
        <v>Z umowy</v>
      </c>
      <c r="N1632" s="2">
        <f>YEAR(Table14[[#This Row],[Data_Wystawienia]])</f>
        <v>2023</v>
      </c>
      <c r="O1632" s="2" t="str">
        <f>TEXT(Table14[[#This Row],[Data_Wystawienia]],"rrrr-mm")</f>
        <v>2023-08</v>
      </c>
      <c r="P1632" s="2">
        <v>1</v>
      </c>
    </row>
    <row r="1633" spans="1:16" x14ac:dyDescent="0.3">
      <c r="A1633" s="2" t="str">
        <f>TRIM(Table1[[#This Row],[Numer_FV]])</f>
        <v>FV/CENFA/911638/23</v>
      </c>
      <c r="B1633" s="2" t="str">
        <f>TRIM(Table1[[#This Row],[Numer_PZ]])</f>
        <v>PZ/801631</v>
      </c>
      <c r="C1633" s="2" t="str">
        <f>TRIM(Table1[[#This Row],[Dostawca]])</f>
        <v>CentrumFarm</v>
      </c>
      <c r="D1633" s="3">
        <v>45154</v>
      </c>
      <c r="E1633" s="4" t="s">
        <v>4835</v>
      </c>
      <c r="F1633" s="2" t="str">
        <f>TRIM(Table1[[#This Row],[Status]])</f>
        <v>Zaakceptowana</v>
      </c>
      <c r="G1633" s="2" t="str">
        <f>TRIM(Table1[[#This Row],[Typ]])</f>
        <v>Faktura VAT</v>
      </c>
      <c r="H1633" s="2" t="str">
        <f>TRIM(Table1[[#This Row],[Magazyn]])</f>
        <v>Apteka Szpitalna</v>
      </c>
      <c r="I1633" s="2" t="str">
        <f>TRIM(Table1[[#This Row],[Umowa]])</f>
        <v/>
      </c>
      <c r="J1633" s="2" t="b">
        <f>ISTEXT(Table14[[#This Row],[Data_Wystawienia]])</f>
        <v>0</v>
      </c>
      <c r="K1633" s="2">
        <f>VALUE(SUBSTITUTE(Table14[[#This Row],[Wartość]],".",","))</f>
        <v>9334.75</v>
      </c>
      <c r="L16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3" s="2" t="str">
        <f>IF(Table14[[#This Row],[Umowa]]="","Poza umową","Z umowy")</f>
        <v>Poza umową</v>
      </c>
      <c r="N1633" s="2">
        <f>YEAR(Table14[[#This Row],[Data_Wystawienia]])</f>
        <v>2023</v>
      </c>
      <c r="O1633" s="2" t="str">
        <f>TEXT(Table14[[#This Row],[Data_Wystawienia]],"rrrr-mm")</f>
        <v>2023-08</v>
      </c>
      <c r="P1633" s="2">
        <v>1</v>
      </c>
    </row>
    <row r="1634" spans="1:16" x14ac:dyDescent="0.3">
      <c r="A1634" s="2" t="str">
        <f>TRIM(Table1[[#This Row],[Numer_FV]])</f>
        <v>FV/POL/55215/2023</v>
      </c>
      <c r="B1634" s="2" t="str">
        <f>TRIM(Table1[[#This Row],[Numer_PZ]])</f>
        <v>PZ/801632</v>
      </c>
      <c r="C1634" s="2" t="str">
        <f>TRIM(Table1[[#This Row],[Dostawca]])</f>
        <v>Polmedica</v>
      </c>
      <c r="D1634" s="3">
        <v>45155</v>
      </c>
      <c r="E1634" s="4" t="s">
        <v>4838</v>
      </c>
      <c r="F1634" s="2" t="str">
        <f>TRIM(Table1[[#This Row],[Status]])</f>
        <v>Zaakceptowana</v>
      </c>
      <c r="G1634" s="2" t="str">
        <f>TRIM(Table1[[#This Row],[Typ]])</f>
        <v>Korekta FV</v>
      </c>
      <c r="H1634" s="2" t="str">
        <f>TRIM(Table1[[#This Row],[Magazyn]])</f>
        <v>Apteka Szpitalna</v>
      </c>
      <c r="I1634" s="2" t="str">
        <f>TRIM(Table1[[#This Row],[Umowa]])</f>
        <v>UM-POL-03</v>
      </c>
      <c r="J1634" s="2" t="b">
        <f>ISTEXT(Table14[[#This Row],[Data_Wystawienia]])</f>
        <v>0</v>
      </c>
      <c r="K1634" s="2">
        <f>VALUE(SUBSTITUTE(Table14[[#This Row],[Wartość]],".",","))</f>
        <v>-2844.78</v>
      </c>
      <c r="L16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4" s="2" t="str">
        <f>IF(Table14[[#This Row],[Umowa]]="","Poza umową","Z umowy")</f>
        <v>Z umowy</v>
      </c>
      <c r="N1634" s="2">
        <f>YEAR(Table14[[#This Row],[Data_Wystawienia]])</f>
        <v>2023</v>
      </c>
      <c r="O1634" s="2" t="str">
        <f>TEXT(Table14[[#This Row],[Data_Wystawienia]],"rrrr-mm")</f>
        <v>2023-08</v>
      </c>
      <c r="P1634" s="2">
        <v>1</v>
      </c>
    </row>
    <row r="1635" spans="1:16" x14ac:dyDescent="0.3">
      <c r="A1635" s="2" t="str">
        <f>TRIM(Table1[[#This Row],[Numer_FV]])</f>
        <v>FV/5435/NOVA/23</v>
      </c>
      <c r="B1635" s="2" t="str">
        <f>TRIM(Table1[[#This Row],[Numer_PZ]])</f>
        <v>PZ/801633</v>
      </c>
      <c r="C1635" s="2" t="str">
        <f>TRIM(Table1[[#This Row],[Dostawca]])</f>
        <v>NovaLek</v>
      </c>
      <c r="D1635" s="3">
        <v>45155</v>
      </c>
      <c r="E1635" s="4" t="s">
        <v>4841</v>
      </c>
      <c r="F1635" s="2" t="str">
        <f>TRIM(Table1[[#This Row],[Status]])</f>
        <v>Zaakceptowana</v>
      </c>
      <c r="G1635" s="2" t="str">
        <f>TRIM(Table1[[#This Row],[Typ]])</f>
        <v>Faktura VAT</v>
      </c>
      <c r="H1635" s="2" t="str">
        <f>TRIM(Table1[[#This Row],[Magazyn]])</f>
        <v>Apteka Szpitalna</v>
      </c>
      <c r="I1635" s="2" t="str">
        <f>TRIM(Table1[[#This Row],[Umowa]])</f>
        <v/>
      </c>
      <c r="J1635" s="2" t="b">
        <f>ISTEXT(Table14[[#This Row],[Data_Wystawienia]])</f>
        <v>0</v>
      </c>
      <c r="K1635" s="2">
        <f>VALUE(SUBSTITUTE(Table14[[#This Row],[Wartość]],".",","))</f>
        <v>14092.18</v>
      </c>
      <c r="L16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5" s="2" t="str">
        <f>IF(Table14[[#This Row],[Umowa]]="","Poza umową","Z umowy")</f>
        <v>Poza umową</v>
      </c>
      <c r="N1635" s="2">
        <f>YEAR(Table14[[#This Row],[Data_Wystawienia]])</f>
        <v>2023</v>
      </c>
      <c r="O1635" s="2" t="str">
        <f>TEXT(Table14[[#This Row],[Data_Wystawienia]],"rrrr-mm")</f>
        <v>2023-08</v>
      </c>
      <c r="P1635" s="2">
        <v>1</v>
      </c>
    </row>
    <row r="1636" spans="1:16" x14ac:dyDescent="0.3">
      <c r="A1636" s="2" t="str">
        <f>TRIM(Table1[[#This Row],[Numer_FV]])</f>
        <v>FV/M/4240/P/23</v>
      </c>
      <c r="B1636" s="2" t="str">
        <f>TRIM(Table1[[#This Row],[Numer_PZ]])</f>
        <v>PZ/801634</v>
      </c>
      <c r="C1636" s="2" t="str">
        <f>TRIM(Table1[[#This Row],[Dostawca]])</f>
        <v>MedicaPharm</v>
      </c>
      <c r="D1636" s="3">
        <v>45156</v>
      </c>
      <c r="E1636" s="4" t="s">
        <v>4844</v>
      </c>
      <c r="F1636" s="2" t="str">
        <f>TRIM(Table1[[#This Row],[Status]])</f>
        <v>Zaakceptowana</v>
      </c>
      <c r="G1636" s="2" t="str">
        <f>TRIM(Table1[[#This Row],[Typ]])</f>
        <v>Faktura VAT</v>
      </c>
      <c r="H1636" s="2" t="str">
        <f>TRIM(Table1[[#This Row],[Magazyn]])</f>
        <v>Apteka Szpitalna</v>
      </c>
      <c r="I1636" s="2" t="str">
        <f>TRIM(Table1[[#This Row],[Umowa]])</f>
        <v/>
      </c>
      <c r="J1636" s="2" t="b">
        <f>ISTEXT(Table14[[#This Row],[Data_Wystawienia]])</f>
        <v>0</v>
      </c>
      <c r="K1636" s="2">
        <f>VALUE(SUBSTITUTE(Table14[[#This Row],[Wartość]],".",","))</f>
        <v>18224.11</v>
      </c>
      <c r="L16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6" s="2" t="str">
        <f>IF(Table14[[#This Row],[Umowa]]="","Poza umową","Z umowy")</f>
        <v>Poza umową</v>
      </c>
      <c r="N1636" s="2">
        <f>YEAR(Table14[[#This Row],[Data_Wystawienia]])</f>
        <v>2023</v>
      </c>
      <c r="O1636" s="2" t="str">
        <f>TEXT(Table14[[#This Row],[Data_Wystawienia]],"rrrr-mm")</f>
        <v>2023-08</v>
      </c>
      <c r="P1636" s="2">
        <v>1</v>
      </c>
    </row>
    <row r="1637" spans="1:16" x14ac:dyDescent="0.3">
      <c r="A1637" s="2" t="str">
        <f>TRIM(Table1[[#This Row],[Numer_FV]])</f>
        <v>FV/34/SAL/23</v>
      </c>
      <c r="B1637" s="2" t="str">
        <f>TRIM(Table1[[#This Row],[Numer_PZ]])</f>
        <v>PZ/801635</v>
      </c>
      <c r="C1637" s="2" t="str">
        <f>TRIM(Table1[[#This Row],[Dostawca]])</f>
        <v>SalusHurt</v>
      </c>
      <c r="D1637" s="3">
        <v>45156</v>
      </c>
      <c r="E1637" s="4" t="s">
        <v>4847</v>
      </c>
      <c r="F1637" s="2" t="str">
        <f>TRIM(Table1[[#This Row],[Status]])</f>
        <v>Zaakceptowana</v>
      </c>
      <c r="G1637" s="2" t="str">
        <f>TRIM(Table1[[#This Row],[Typ]])</f>
        <v>Faktura VAT</v>
      </c>
      <c r="H1637" s="2" t="str">
        <f>TRIM(Table1[[#This Row],[Magazyn]])</f>
        <v>Apteka Szpitalna</v>
      </c>
      <c r="I1637" s="2" t="str">
        <f>TRIM(Table1[[#This Row],[Umowa]])</f>
        <v/>
      </c>
      <c r="J1637" s="2" t="b">
        <f>ISTEXT(Table14[[#This Row],[Data_Wystawienia]])</f>
        <v>0</v>
      </c>
      <c r="K1637" s="2">
        <f>VALUE(SUBSTITUTE(Table14[[#This Row],[Wartość]],".",","))</f>
        <v>9662.68</v>
      </c>
      <c r="L16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7" s="2" t="str">
        <f>IF(Table14[[#This Row],[Umowa]]="","Poza umową","Z umowy")</f>
        <v>Poza umową</v>
      </c>
      <c r="N1637" s="2">
        <f>YEAR(Table14[[#This Row],[Data_Wystawienia]])</f>
        <v>2023</v>
      </c>
      <c r="O1637" s="2" t="str">
        <f>TEXT(Table14[[#This Row],[Data_Wystawienia]],"rrrr-mm")</f>
        <v>2023-08</v>
      </c>
      <c r="P1637" s="2">
        <v>1</v>
      </c>
    </row>
    <row r="1638" spans="1:16" x14ac:dyDescent="0.3">
      <c r="A1638" s="2" t="str">
        <f>TRIM(Table1[[#This Row],[Numer_FV]])</f>
        <v>FV/41855/VDb/2023</v>
      </c>
      <c r="B1638" s="2" t="str">
        <f>TRIM(Table1[[#This Row],[Numer_PZ]])</f>
        <v>PZ/801636</v>
      </c>
      <c r="C1638" s="2" t="str">
        <f>TRIM(Table1[[#This Row],[Dostawca]])</f>
        <v>VitaDistrib</v>
      </c>
      <c r="D1638" s="3">
        <v>45158</v>
      </c>
      <c r="E1638" s="4" t="s">
        <v>4850</v>
      </c>
      <c r="F1638" s="2" t="str">
        <f>TRIM(Table1[[#This Row],[Status]])</f>
        <v>Zaakceptowana</v>
      </c>
      <c r="G1638" s="2" t="str">
        <f>TRIM(Table1[[#This Row],[Typ]])</f>
        <v>Faktura VAT</v>
      </c>
      <c r="H1638" s="2" t="str">
        <f>TRIM(Table1[[#This Row],[Magazyn]])</f>
        <v>Apteka Szpitalna</v>
      </c>
      <c r="I1638" s="2" t="str">
        <f>TRIM(Table1[[#This Row],[Umowa]])</f>
        <v>UM-VIT-01</v>
      </c>
      <c r="J1638" s="2" t="b">
        <f>ISTEXT(Table14[[#This Row],[Data_Wystawienia]])</f>
        <v>0</v>
      </c>
      <c r="K1638" s="2">
        <f>VALUE(SUBSTITUTE(Table14[[#This Row],[Wartość]],".",","))</f>
        <v>15540.29</v>
      </c>
      <c r="L16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8" s="2" t="str">
        <f>IF(Table14[[#This Row],[Umowa]]="","Poza umową","Z umowy")</f>
        <v>Z umowy</v>
      </c>
      <c r="N1638" s="2">
        <f>YEAR(Table14[[#This Row],[Data_Wystawienia]])</f>
        <v>2023</v>
      </c>
      <c r="O1638" s="2" t="str">
        <f>TEXT(Table14[[#This Row],[Data_Wystawienia]],"rrrr-mm")</f>
        <v>2023-08</v>
      </c>
      <c r="P1638" s="2">
        <v>1</v>
      </c>
    </row>
    <row r="1639" spans="1:16" x14ac:dyDescent="0.3">
      <c r="A1639" s="2" t="str">
        <f>TRIM(Table1[[#This Row],[Numer_FV]])</f>
        <v>FV/4299/NOVA/23</v>
      </c>
      <c r="B1639" s="2" t="str">
        <f>TRIM(Table1[[#This Row],[Numer_PZ]])</f>
        <v>PZ/801637</v>
      </c>
      <c r="C1639" s="2" t="str">
        <f>TRIM(Table1[[#This Row],[Dostawca]])</f>
        <v>NovaLek</v>
      </c>
      <c r="D1639" s="3">
        <v>45158</v>
      </c>
      <c r="E1639" s="4" t="s">
        <v>4853</v>
      </c>
      <c r="F1639" s="2" t="str">
        <f>TRIM(Table1[[#This Row],[Status]])</f>
        <v>Zaakceptowana</v>
      </c>
      <c r="G1639" s="2" t="str">
        <f>TRIM(Table1[[#This Row],[Typ]])</f>
        <v>Faktura VAT</v>
      </c>
      <c r="H1639" s="2" t="str">
        <f>TRIM(Table1[[#This Row],[Magazyn]])</f>
        <v>Apteka Szpitalna</v>
      </c>
      <c r="I1639" s="2" t="str">
        <f>TRIM(Table1[[#This Row],[Umowa]])</f>
        <v>UM-NOV-01</v>
      </c>
      <c r="J1639" s="2" t="b">
        <f>ISTEXT(Table14[[#This Row],[Data_Wystawienia]])</f>
        <v>0</v>
      </c>
      <c r="K1639" s="2">
        <f>VALUE(SUBSTITUTE(Table14[[#This Row],[Wartość]],".",","))</f>
        <v>11664.93</v>
      </c>
      <c r="L16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39" s="2" t="str">
        <f>IF(Table14[[#This Row],[Umowa]]="","Poza umową","Z umowy")</f>
        <v>Z umowy</v>
      </c>
      <c r="N1639" s="2">
        <f>YEAR(Table14[[#This Row],[Data_Wystawienia]])</f>
        <v>2023</v>
      </c>
      <c r="O1639" s="2" t="str">
        <f>TEXT(Table14[[#This Row],[Data_Wystawienia]],"rrrr-mm")</f>
        <v>2023-08</v>
      </c>
      <c r="P1639" s="2">
        <v>1</v>
      </c>
    </row>
    <row r="1640" spans="1:16" x14ac:dyDescent="0.3">
      <c r="A1640" s="2" t="str">
        <f>TRIM(Table1[[#This Row],[Numer_FV]])</f>
        <v>FV/M/4247/P/23</v>
      </c>
      <c r="B1640" s="2" t="str">
        <f>TRIM(Table1[[#This Row],[Numer_PZ]])</f>
        <v>PZ/801638</v>
      </c>
      <c r="C1640" s="2" t="str">
        <f>TRIM(Table1[[#This Row],[Dostawca]])</f>
        <v>MedicaPharm</v>
      </c>
      <c r="D1640" s="3">
        <v>45158</v>
      </c>
      <c r="E1640" s="4" t="s">
        <v>4856</v>
      </c>
      <c r="F1640" s="2" t="str">
        <f>TRIM(Table1[[#This Row],[Status]])</f>
        <v>Zaakceptowana</v>
      </c>
      <c r="G1640" s="2" t="str">
        <f>TRIM(Table1[[#This Row],[Typ]])</f>
        <v>Faktura VAT</v>
      </c>
      <c r="H1640" s="2" t="str">
        <f>TRIM(Table1[[#This Row],[Magazyn]])</f>
        <v>Apteka Szpitalna</v>
      </c>
      <c r="I1640" s="2" t="str">
        <f>TRIM(Table1[[#This Row],[Umowa]])</f>
        <v>UM-MED-02</v>
      </c>
      <c r="J1640" s="2" t="b">
        <f>ISTEXT(Table14[[#This Row],[Data_Wystawienia]])</f>
        <v>0</v>
      </c>
      <c r="K1640" s="2">
        <f>VALUE(SUBSTITUTE(Table14[[#This Row],[Wartość]],".",","))</f>
        <v>20051.87</v>
      </c>
      <c r="L16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0" s="2" t="str">
        <f>IF(Table14[[#This Row],[Umowa]]="","Poza umową","Z umowy")</f>
        <v>Z umowy</v>
      </c>
      <c r="N1640" s="2">
        <f>YEAR(Table14[[#This Row],[Data_Wystawienia]])</f>
        <v>2023</v>
      </c>
      <c r="O1640" s="2" t="str">
        <f>TEXT(Table14[[#This Row],[Data_Wystawienia]],"rrrr-mm")</f>
        <v>2023-08</v>
      </c>
      <c r="P1640" s="2">
        <v>1</v>
      </c>
    </row>
    <row r="1641" spans="1:16" x14ac:dyDescent="0.3">
      <c r="A1641" s="2" t="str">
        <f>TRIM(Table1[[#This Row],[Numer_FV]])</f>
        <v>FV/POL/93093/2023</v>
      </c>
      <c r="B1641" s="2" t="str">
        <f>TRIM(Table1[[#This Row],[Numer_PZ]])</f>
        <v>PZ/801639</v>
      </c>
      <c r="C1641" s="2" t="str">
        <f>TRIM(Table1[[#This Row],[Dostawca]])</f>
        <v>Polmedica</v>
      </c>
      <c r="D1641" s="3">
        <v>45159</v>
      </c>
      <c r="E1641" s="4" t="s">
        <v>4859</v>
      </c>
      <c r="F1641" s="2" t="str">
        <f>TRIM(Table1[[#This Row],[Status]])</f>
        <v>Zaakceptowana</v>
      </c>
      <c r="G1641" s="2" t="str">
        <f>TRIM(Table1[[#This Row],[Typ]])</f>
        <v>Faktura VAT</v>
      </c>
      <c r="H1641" s="2" t="str">
        <f>TRIM(Table1[[#This Row],[Magazyn]])</f>
        <v>Apteka Szpitalna</v>
      </c>
      <c r="I1641" s="2" t="str">
        <f>TRIM(Table1[[#This Row],[Umowa]])</f>
        <v>UM-POL-02</v>
      </c>
      <c r="J1641" s="2" t="b">
        <f>ISTEXT(Table14[[#This Row],[Data_Wystawienia]])</f>
        <v>0</v>
      </c>
      <c r="K1641" s="2">
        <f>VALUE(SUBSTITUTE(Table14[[#This Row],[Wartość]],".",","))</f>
        <v>13488.38</v>
      </c>
      <c r="L16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1" s="2" t="str">
        <f>IF(Table14[[#This Row],[Umowa]]="","Poza umową","Z umowy")</f>
        <v>Z umowy</v>
      </c>
      <c r="N1641" s="2">
        <f>YEAR(Table14[[#This Row],[Data_Wystawienia]])</f>
        <v>2023</v>
      </c>
      <c r="O1641" s="2" t="str">
        <f>TEXT(Table14[[#This Row],[Data_Wystawienia]],"rrrr-mm")</f>
        <v>2023-08</v>
      </c>
      <c r="P1641" s="2">
        <v>1</v>
      </c>
    </row>
    <row r="1642" spans="1:16" x14ac:dyDescent="0.3">
      <c r="A1642" s="2" t="str">
        <f>TRIM(Table1[[#This Row],[Numer_FV]])</f>
        <v>FV/52/SAL/23</v>
      </c>
      <c r="B1642" s="2" t="str">
        <f>TRIM(Table1[[#This Row],[Numer_PZ]])</f>
        <v>PZ/801640</v>
      </c>
      <c r="C1642" s="2" t="str">
        <f>TRIM(Table1[[#This Row],[Dostawca]])</f>
        <v>SalusHurt</v>
      </c>
      <c r="D1642" s="3">
        <v>45159</v>
      </c>
      <c r="E1642" s="4" t="s">
        <v>4861</v>
      </c>
      <c r="F1642" s="2" t="str">
        <f>TRIM(Table1[[#This Row],[Status]])</f>
        <v>Zaakceptowana</v>
      </c>
      <c r="G1642" s="2" t="str">
        <f>TRIM(Table1[[#This Row],[Typ]])</f>
        <v>Faktura VAT</v>
      </c>
      <c r="H1642" s="2" t="str">
        <f>TRIM(Table1[[#This Row],[Magazyn]])</f>
        <v>Apteka Szpitalna</v>
      </c>
      <c r="I1642" s="2" t="str">
        <f>TRIM(Table1[[#This Row],[Umowa]])</f>
        <v>UM-SAL-02</v>
      </c>
      <c r="J1642" s="2" t="b">
        <f>ISTEXT(Table14[[#This Row],[Data_Wystawienia]])</f>
        <v>0</v>
      </c>
      <c r="K1642" s="2">
        <f>VALUE(SUBSTITUTE(Table14[[#This Row],[Wartość]],".",","))</f>
        <v>20387.86</v>
      </c>
      <c r="L16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2" s="2" t="str">
        <f>IF(Table14[[#This Row],[Umowa]]="","Poza umową","Z umowy")</f>
        <v>Z umowy</v>
      </c>
      <c r="N1642" s="2">
        <f>YEAR(Table14[[#This Row],[Data_Wystawienia]])</f>
        <v>2023</v>
      </c>
      <c r="O1642" s="2" t="str">
        <f>TEXT(Table14[[#This Row],[Data_Wystawienia]],"rrrr-mm")</f>
        <v>2023-08</v>
      </c>
      <c r="P1642" s="2">
        <v>1</v>
      </c>
    </row>
    <row r="1643" spans="1:16" x14ac:dyDescent="0.3">
      <c r="A1643" s="2" t="str">
        <f>TRIM(Table1[[#This Row],[Numer_FV]])</f>
        <v>FV/POL/65429/2023</v>
      </c>
      <c r="B1643" s="2" t="str">
        <f>TRIM(Table1[[#This Row],[Numer_PZ]])</f>
        <v>PZ/801641</v>
      </c>
      <c r="C1643" s="2" t="str">
        <f>TRIM(Table1[[#This Row],[Dostawca]])</f>
        <v>Polmedica</v>
      </c>
      <c r="D1643" s="3">
        <v>45160</v>
      </c>
      <c r="E1643" s="4" t="s">
        <v>4864</v>
      </c>
      <c r="F1643" s="2" t="str">
        <f>TRIM(Table1[[#This Row],[Status]])</f>
        <v>Zaakceptowana</v>
      </c>
      <c r="G1643" s="2" t="str">
        <f>TRIM(Table1[[#This Row],[Typ]])</f>
        <v>Faktura VAT</v>
      </c>
      <c r="H1643" s="2" t="str">
        <f>TRIM(Table1[[#This Row],[Magazyn]])</f>
        <v>Apteka Szpitalna</v>
      </c>
      <c r="I1643" s="2" t="str">
        <f>TRIM(Table1[[#This Row],[Umowa]])</f>
        <v>UM-POL-01</v>
      </c>
      <c r="J1643" s="2" t="b">
        <f>ISTEXT(Table14[[#This Row],[Data_Wystawienia]])</f>
        <v>0</v>
      </c>
      <c r="K1643" s="2">
        <f>VALUE(SUBSTITUTE(Table14[[#This Row],[Wartość]],".",","))</f>
        <v>18794.91</v>
      </c>
      <c r="L16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3" s="2" t="str">
        <f>IF(Table14[[#This Row],[Umowa]]="","Poza umową","Z umowy")</f>
        <v>Z umowy</v>
      </c>
      <c r="N1643" s="2">
        <f>YEAR(Table14[[#This Row],[Data_Wystawienia]])</f>
        <v>2023</v>
      </c>
      <c r="O1643" s="2" t="str">
        <f>TEXT(Table14[[#This Row],[Data_Wystawienia]],"rrrr-mm")</f>
        <v>2023-08</v>
      </c>
      <c r="P1643" s="2">
        <v>1</v>
      </c>
    </row>
    <row r="1644" spans="1:16" x14ac:dyDescent="0.3">
      <c r="A1644" s="2" t="str">
        <f>TRIM(Table1[[#This Row],[Numer_FV]])</f>
        <v>FV/1169/NOVA/23</v>
      </c>
      <c r="B1644" s="2" t="str">
        <f>TRIM(Table1[[#This Row],[Numer_PZ]])</f>
        <v>PZ/801642</v>
      </c>
      <c r="C1644" s="2" t="str">
        <f>TRIM(Table1[[#This Row],[Dostawca]])</f>
        <v>NovaLek</v>
      </c>
      <c r="D1644" s="3">
        <v>45160</v>
      </c>
      <c r="E1644" s="4" t="s">
        <v>4867</v>
      </c>
      <c r="F1644" s="2" t="str">
        <f>TRIM(Table1[[#This Row],[Status]])</f>
        <v>Zaakceptowana</v>
      </c>
      <c r="G1644" s="2" t="str">
        <f>TRIM(Table1[[#This Row],[Typ]])</f>
        <v>Faktura VAT</v>
      </c>
      <c r="H1644" s="2" t="str">
        <f>TRIM(Table1[[#This Row],[Magazyn]])</f>
        <v>Apteka Szpitalna</v>
      </c>
      <c r="I1644" s="2" t="str">
        <f>TRIM(Table1[[#This Row],[Umowa]])</f>
        <v>UM-NOV-01</v>
      </c>
      <c r="J1644" s="2" t="b">
        <f>ISTEXT(Table14[[#This Row],[Data_Wystawienia]])</f>
        <v>0</v>
      </c>
      <c r="K1644" s="2">
        <f>VALUE(SUBSTITUTE(Table14[[#This Row],[Wartość]],".",","))</f>
        <v>13125.39</v>
      </c>
      <c r="L16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4" s="2" t="str">
        <f>IF(Table14[[#This Row],[Umowa]]="","Poza umową","Z umowy")</f>
        <v>Z umowy</v>
      </c>
      <c r="N1644" s="2">
        <f>YEAR(Table14[[#This Row],[Data_Wystawienia]])</f>
        <v>2023</v>
      </c>
      <c r="O1644" s="2" t="str">
        <f>TEXT(Table14[[#This Row],[Data_Wystawienia]],"rrrr-mm")</f>
        <v>2023-08</v>
      </c>
      <c r="P1644" s="2">
        <v>1</v>
      </c>
    </row>
    <row r="1645" spans="1:16" x14ac:dyDescent="0.3">
      <c r="A1645" s="2" t="str">
        <f>TRIM(Table1[[#This Row],[Numer_FV]])</f>
        <v>FV/POL/22061/2023</v>
      </c>
      <c r="B1645" s="2" t="str">
        <f>TRIM(Table1[[#This Row],[Numer_PZ]])</f>
        <v>PZ/801643</v>
      </c>
      <c r="C1645" s="2" t="str">
        <f>TRIM(Table1[[#This Row],[Dostawca]])</f>
        <v>Polmedica</v>
      </c>
      <c r="D1645" s="3">
        <v>45160</v>
      </c>
      <c r="E1645" s="4" t="s">
        <v>4870</v>
      </c>
      <c r="F1645" s="2" t="str">
        <f>TRIM(Table1[[#This Row],[Status]])</f>
        <v>Zaakceptowana</v>
      </c>
      <c r="G1645" s="2" t="str">
        <f>TRIM(Table1[[#This Row],[Typ]])</f>
        <v>Faktura VAT</v>
      </c>
      <c r="H1645" s="2" t="str">
        <f>TRIM(Table1[[#This Row],[Magazyn]])</f>
        <v>Apteka Szpitalna</v>
      </c>
      <c r="I1645" s="2" t="str">
        <f>TRIM(Table1[[#This Row],[Umowa]])</f>
        <v>UM-POL-02</v>
      </c>
      <c r="J1645" s="2" t="b">
        <f>ISTEXT(Table14[[#This Row],[Data_Wystawienia]])</f>
        <v>0</v>
      </c>
      <c r="K1645" s="2">
        <f>VALUE(SUBSTITUTE(Table14[[#This Row],[Wartość]],".",","))</f>
        <v>22989.47</v>
      </c>
      <c r="L16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5" s="2" t="str">
        <f>IF(Table14[[#This Row],[Umowa]]="","Poza umową","Z umowy")</f>
        <v>Z umowy</v>
      </c>
      <c r="N1645" s="2">
        <f>YEAR(Table14[[#This Row],[Data_Wystawienia]])</f>
        <v>2023</v>
      </c>
      <c r="O1645" s="2" t="str">
        <f>TEXT(Table14[[#This Row],[Data_Wystawienia]],"rrrr-mm")</f>
        <v>2023-08</v>
      </c>
      <c r="P1645" s="2">
        <v>1</v>
      </c>
    </row>
    <row r="1646" spans="1:16" x14ac:dyDescent="0.3">
      <c r="A1646" s="2" t="str">
        <f>TRIM(Table1[[#This Row],[Numer_FV]])</f>
        <v>FV/3856HM/23</v>
      </c>
      <c r="B1646" s="2" t="str">
        <f>TRIM(Table1[[#This Row],[Numer_PZ]])</f>
        <v>PZ/801644</v>
      </c>
      <c r="C1646" s="2" t="str">
        <f>TRIM(Table1[[#This Row],[Dostawca]])</f>
        <v>HurtMedix</v>
      </c>
      <c r="D1646" s="3">
        <v>45160</v>
      </c>
      <c r="E1646" s="4" t="s">
        <v>4873</v>
      </c>
      <c r="F1646" s="2" t="str">
        <f>TRIM(Table1[[#This Row],[Status]])</f>
        <v>Zaakceptowana</v>
      </c>
      <c r="G1646" s="2" t="str">
        <f>TRIM(Table1[[#This Row],[Typ]])</f>
        <v>Faktura VAT</v>
      </c>
      <c r="H1646" s="2" t="str">
        <f>TRIM(Table1[[#This Row],[Magazyn]])</f>
        <v>Apteka Szpitalna</v>
      </c>
      <c r="I1646" s="2" t="str">
        <f>TRIM(Table1[[#This Row],[Umowa]])</f>
        <v/>
      </c>
      <c r="J1646" s="2" t="b">
        <f>ISTEXT(Table14[[#This Row],[Data_Wystawienia]])</f>
        <v>0</v>
      </c>
      <c r="K1646" s="2">
        <f>VALUE(SUBSTITUTE(Table14[[#This Row],[Wartość]],".",","))</f>
        <v>14251.07</v>
      </c>
      <c r="L16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6" s="2" t="str">
        <f>IF(Table14[[#This Row],[Umowa]]="","Poza umową","Z umowy")</f>
        <v>Poza umową</v>
      </c>
      <c r="N1646" s="2">
        <f>YEAR(Table14[[#This Row],[Data_Wystawienia]])</f>
        <v>2023</v>
      </c>
      <c r="O1646" s="2" t="str">
        <f>TEXT(Table14[[#This Row],[Data_Wystawienia]],"rrrr-mm")</f>
        <v>2023-08</v>
      </c>
      <c r="P1646" s="2">
        <v>1</v>
      </c>
    </row>
    <row r="1647" spans="1:16" x14ac:dyDescent="0.3">
      <c r="A1647" s="2" t="str">
        <f>TRIM(Table1[[#This Row],[Numer_FV]])</f>
        <v>FV/8515HM/23</v>
      </c>
      <c r="B1647" s="2" t="str">
        <f>TRIM(Table1[[#This Row],[Numer_PZ]])</f>
        <v>PZ/801645</v>
      </c>
      <c r="C1647" s="2" t="str">
        <f>TRIM(Table1[[#This Row],[Dostawca]])</f>
        <v>HurtMedix</v>
      </c>
      <c r="D1647" s="3">
        <v>45160</v>
      </c>
      <c r="E1647" s="4" t="s">
        <v>4876</v>
      </c>
      <c r="F1647" s="2" t="str">
        <f>TRIM(Table1[[#This Row],[Status]])</f>
        <v>Zaakceptowana</v>
      </c>
      <c r="G1647" s="2" t="str">
        <f>TRIM(Table1[[#This Row],[Typ]])</f>
        <v>Faktura VAT</v>
      </c>
      <c r="H1647" s="2" t="str">
        <f>TRIM(Table1[[#This Row],[Magazyn]])</f>
        <v>Apteka Szpitalna</v>
      </c>
      <c r="I1647" s="2" t="str">
        <f>TRIM(Table1[[#This Row],[Umowa]])</f>
        <v>UM-HUR-02</v>
      </c>
      <c r="J1647" s="2" t="b">
        <f>ISTEXT(Table14[[#This Row],[Data_Wystawienia]])</f>
        <v>0</v>
      </c>
      <c r="K1647" s="2">
        <f>VALUE(SUBSTITUTE(Table14[[#This Row],[Wartość]],".",","))</f>
        <v>10014.99</v>
      </c>
      <c r="L16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7" s="2" t="str">
        <f>IF(Table14[[#This Row],[Umowa]]="","Poza umową","Z umowy")</f>
        <v>Z umowy</v>
      </c>
      <c r="N1647" s="2">
        <f>YEAR(Table14[[#This Row],[Data_Wystawienia]])</f>
        <v>2023</v>
      </c>
      <c r="O1647" s="2" t="str">
        <f>TEXT(Table14[[#This Row],[Data_Wystawienia]],"rrrr-mm")</f>
        <v>2023-08</v>
      </c>
      <c r="P1647" s="2">
        <v>1</v>
      </c>
    </row>
    <row r="1648" spans="1:16" x14ac:dyDescent="0.3">
      <c r="A1648" s="2" t="str">
        <f>TRIM(Table1[[#This Row],[Numer_FV]])</f>
        <v>FV/CENFA/307784/23</v>
      </c>
      <c r="B1648" s="2" t="str">
        <f>TRIM(Table1[[#This Row],[Numer_PZ]])</f>
        <v>PZ/801646</v>
      </c>
      <c r="C1648" s="2" t="str">
        <f>TRIM(Table1[[#This Row],[Dostawca]])</f>
        <v>CentrumFarm</v>
      </c>
      <c r="D1648" s="3">
        <v>45161</v>
      </c>
      <c r="E1648" s="4" t="s">
        <v>4879</v>
      </c>
      <c r="F1648" s="2" t="str">
        <f>TRIM(Table1[[#This Row],[Status]])</f>
        <v>Zaakceptowana</v>
      </c>
      <c r="G1648" s="2" t="str">
        <f>TRIM(Table1[[#This Row],[Typ]])</f>
        <v>Faktura VAT</v>
      </c>
      <c r="H1648" s="2" t="str">
        <f>TRIM(Table1[[#This Row],[Magazyn]])</f>
        <v>Apteka Szpitalna</v>
      </c>
      <c r="I1648" s="2" t="str">
        <f>TRIM(Table1[[#This Row],[Umowa]])</f>
        <v/>
      </c>
      <c r="J1648" s="2" t="b">
        <f>ISTEXT(Table14[[#This Row],[Data_Wystawienia]])</f>
        <v>0</v>
      </c>
      <c r="K1648" s="2">
        <f>VALUE(SUBSTITUTE(Table14[[#This Row],[Wartość]],".",","))</f>
        <v>21567.38</v>
      </c>
      <c r="L16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8" s="2" t="str">
        <f>IF(Table14[[#This Row],[Umowa]]="","Poza umową","Z umowy")</f>
        <v>Poza umową</v>
      </c>
      <c r="N1648" s="2">
        <f>YEAR(Table14[[#This Row],[Data_Wystawienia]])</f>
        <v>2023</v>
      </c>
      <c r="O1648" s="2" t="str">
        <f>TEXT(Table14[[#This Row],[Data_Wystawienia]],"rrrr-mm")</f>
        <v>2023-08</v>
      </c>
      <c r="P1648" s="2">
        <v>1</v>
      </c>
    </row>
    <row r="1649" spans="1:16" x14ac:dyDescent="0.3">
      <c r="A1649" s="2" t="str">
        <f>TRIM(Table1[[#This Row],[Numer_FV]])</f>
        <v>FV/48003/VDb/2023</v>
      </c>
      <c r="B1649" s="2" t="str">
        <f>TRIM(Table1[[#This Row],[Numer_PZ]])</f>
        <v>PZ/801647</v>
      </c>
      <c r="C1649" s="2" t="str">
        <f>TRIM(Table1[[#This Row],[Dostawca]])</f>
        <v>VitaDistrib</v>
      </c>
      <c r="D1649" s="3">
        <v>45162</v>
      </c>
      <c r="E1649" s="4" t="s">
        <v>4882</v>
      </c>
      <c r="F1649" s="2" t="str">
        <f>TRIM(Table1[[#This Row],[Status]])</f>
        <v>Zaakceptowana</v>
      </c>
      <c r="G1649" s="2" t="str">
        <f>TRIM(Table1[[#This Row],[Typ]])</f>
        <v>Faktura VAT</v>
      </c>
      <c r="H1649" s="2" t="str">
        <f>TRIM(Table1[[#This Row],[Magazyn]])</f>
        <v>Apteka Szpitalna</v>
      </c>
      <c r="I1649" s="2" t="str">
        <f>TRIM(Table1[[#This Row],[Umowa]])</f>
        <v>UM-VIT-01</v>
      </c>
      <c r="J1649" s="2" t="b">
        <f>ISTEXT(Table14[[#This Row],[Data_Wystawienia]])</f>
        <v>0</v>
      </c>
      <c r="K1649" s="2">
        <f>VALUE(SUBSTITUTE(Table14[[#This Row],[Wartość]],".",","))</f>
        <v>7638.45</v>
      </c>
      <c r="L16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49" s="2" t="str">
        <f>IF(Table14[[#This Row],[Umowa]]="","Poza umową","Z umowy")</f>
        <v>Z umowy</v>
      </c>
      <c r="N1649" s="2">
        <f>YEAR(Table14[[#This Row],[Data_Wystawienia]])</f>
        <v>2023</v>
      </c>
      <c r="O1649" s="2" t="str">
        <f>TEXT(Table14[[#This Row],[Data_Wystawienia]],"rrrr-mm")</f>
        <v>2023-08</v>
      </c>
      <c r="P1649" s="2">
        <v>1</v>
      </c>
    </row>
    <row r="1650" spans="1:16" x14ac:dyDescent="0.3">
      <c r="A1650" s="2" t="str">
        <f>TRIM(Table1[[#This Row],[Numer_FV]])</f>
        <v>FV/POL/82955/2023</v>
      </c>
      <c r="B1650" s="2" t="str">
        <f>TRIM(Table1[[#This Row],[Numer_PZ]])</f>
        <v>PZ/801648</v>
      </c>
      <c r="C1650" s="2" t="str">
        <f>TRIM(Table1[[#This Row],[Dostawca]])</f>
        <v>Polmedica</v>
      </c>
      <c r="D1650" s="3">
        <v>45162</v>
      </c>
      <c r="E1650" s="4" t="s">
        <v>4885</v>
      </c>
      <c r="F1650" s="2" t="str">
        <f>TRIM(Table1[[#This Row],[Status]])</f>
        <v>Zaakceptowana</v>
      </c>
      <c r="G1650" s="2" t="str">
        <f>TRIM(Table1[[#This Row],[Typ]])</f>
        <v>Faktura VAT</v>
      </c>
      <c r="H1650" s="2" t="str">
        <f>TRIM(Table1[[#This Row],[Magazyn]])</f>
        <v>Apteka Szpitalna</v>
      </c>
      <c r="I1650" s="2" t="str">
        <f>TRIM(Table1[[#This Row],[Umowa]])</f>
        <v>UM-POL-03</v>
      </c>
      <c r="J1650" s="2" t="b">
        <f>ISTEXT(Table14[[#This Row],[Data_Wystawienia]])</f>
        <v>0</v>
      </c>
      <c r="K1650" s="2">
        <f>VALUE(SUBSTITUTE(Table14[[#This Row],[Wartość]],".",","))</f>
        <v>15652.27</v>
      </c>
      <c r="L16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0" s="2" t="str">
        <f>IF(Table14[[#This Row],[Umowa]]="","Poza umową","Z umowy")</f>
        <v>Z umowy</v>
      </c>
      <c r="N1650" s="2">
        <f>YEAR(Table14[[#This Row],[Data_Wystawienia]])</f>
        <v>2023</v>
      </c>
      <c r="O1650" s="2" t="str">
        <f>TEXT(Table14[[#This Row],[Data_Wystawienia]],"rrrr-mm")</f>
        <v>2023-08</v>
      </c>
      <c r="P1650" s="2">
        <v>1</v>
      </c>
    </row>
    <row r="1651" spans="1:16" x14ac:dyDescent="0.3">
      <c r="A1651" s="2" t="str">
        <f>TRIM(Table1[[#This Row],[Numer_FV]])</f>
        <v>FV/99/SAL/23</v>
      </c>
      <c r="B1651" s="2" t="str">
        <f>TRIM(Table1[[#This Row],[Numer_PZ]])</f>
        <v>PZ/801649</v>
      </c>
      <c r="C1651" s="2" t="str">
        <f>TRIM(Table1[[#This Row],[Dostawca]])</f>
        <v>SalusHurt</v>
      </c>
      <c r="D1651" s="3">
        <v>45164</v>
      </c>
      <c r="E1651" s="4" t="s">
        <v>4888</v>
      </c>
      <c r="F1651" s="2" t="str">
        <f>TRIM(Table1[[#This Row],[Status]])</f>
        <v>Zaakceptowana</v>
      </c>
      <c r="G1651" s="2" t="str">
        <f>TRIM(Table1[[#This Row],[Typ]])</f>
        <v>Faktura VAT</v>
      </c>
      <c r="H1651" s="2" t="str">
        <f>TRIM(Table1[[#This Row],[Magazyn]])</f>
        <v>Apteka Szpitalna</v>
      </c>
      <c r="I1651" s="2" t="str">
        <f>TRIM(Table1[[#This Row],[Umowa]])</f>
        <v/>
      </c>
      <c r="J1651" s="2" t="b">
        <f>ISTEXT(Table14[[#This Row],[Data_Wystawienia]])</f>
        <v>0</v>
      </c>
      <c r="K1651" s="2">
        <f>VALUE(SUBSTITUTE(Table14[[#This Row],[Wartość]],".",","))</f>
        <v>7004.43</v>
      </c>
      <c r="L16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1" s="2" t="str">
        <f>IF(Table14[[#This Row],[Umowa]]="","Poza umową","Z umowy")</f>
        <v>Poza umową</v>
      </c>
      <c r="N1651" s="2">
        <f>YEAR(Table14[[#This Row],[Data_Wystawienia]])</f>
        <v>2023</v>
      </c>
      <c r="O1651" s="2" t="str">
        <f>TEXT(Table14[[#This Row],[Data_Wystawienia]],"rrrr-mm")</f>
        <v>2023-08</v>
      </c>
      <c r="P1651" s="2">
        <v>1</v>
      </c>
    </row>
    <row r="1652" spans="1:16" x14ac:dyDescent="0.3">
      <c r="A1652" s="2" t="str">
        <f>TRIM(Table1[[#This Row],[Numer_FV]])</f>
        <v>FV/2543/NOVA/23</v>
      </c>
      <c r="B1652" s="2" t="str">
        <f>TRIM(Table1[[#This Row],[Numer_PZ]])</f>
        <v>PZ/801650</v>
      </c>
      <c r="C1652" s="2" t="str">
        <f>TRIM(Table1[[#This Row],[Dostawca]])</f>
        <v>NovaLek</v>
      </c>
      <c r="D1652" s="3">
        <v>45164</v>
      </c>
      <c r="E1652" s="4" t="s">
        <v>4891</v>
      </c>
      <c r="F1652" s="2" t="str">
        <f>TRIM(Table1[[#This Row],[Status]])</f>
        <v>Zaakceptowana</v>
      </c>
      <c r="G1652" s="2" t="str">
        <f>TRIM(Table1[[#This Row],[Typ]])</f>
        <v>Faktura VAT</v>
      </c>
      <c r="H1652" s="2" t="str">
        <f>TRIM(Table1[[#This Row],[Magazyn]])</f>
        <v>Apteka Szpitalna</v>
      </c>
      <c r="I1652" s="2" t="str">
        <f>TRIM(Table1[[#This Row],[Umowa]])</f>
        <v/>
      </c>
      <c r="J1652" s="2" t="b">
        <f>ISTEXT(Table14[[#This Row],[Data_Wystawienia]])</f>
        <v>0</v>
      </c>
      <c r="K1652" s="2">
        <f>VALUE(SUBSTITUTE(Table14[[#This Row],[Wartość]],".",","))</f>
        <v>9938.49</v>
      </c>
      <c r="L16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2" s="2" t="str">
        <f>IF(Table14[[#This Row],[Umowa]]="","Poza umową","Z umowy")</f>
        <v>Poza umową</v>
      </c>
      <c r="N1652" s="2">
        <f>YEAR(Table14[[#This Row],[Data_Wystawienia]])</f>
        <v>2023</v>
      </c>
      <c r="O1652" s="2" t="str">
        <f>TEXT(Table14[[#This Row],[Data_Wystawienia]],"rrrr-mm")</f>
        <v>2023-08</v>
      </c>
      <c r="P1652" s="2">
        <v>1</v>
      </c>
    </row>
    <row r="1653" spans="1:16" x14ac:dyDescent="0.3">
      <c r="A1653" s="2" t="str">
        <f>TRIM(Table1[[#This Row],[Numer_FV]])</f>
        <v>FV/9707/NOVA/23</v>
      </c>
      <c r="B1653" s="2" t="str">
        <f>TRIM(Table1[[#This Row],[Numer_PZ]])</f>
        <v>PZ/801651</v>
      </c>
      <c r="C1653" s="2" t="str">
        <f>TRIM(Table1[[#This Row],[Dostawca]])</f>
        <v>NovaLek</v>
      </c>
      <c r="D1653" s="3">
        <v>45164</v>
      </c>
      <c r="E1653" s="4" t="s">
        <v>4894</v>
      </c>
      <c r="F1653" s="2" t="str">
        <f>TRIM(Table1[[#This Row],[Status]])</f>
        <v>Zaakceptowana</v>
      </c>
      <c r="G1653" s="2" t="str">
        <f>TRIM(Table1[[#This Row],[Typ]])</f>
        <v>Faktura VAT</v>
      </c>
      <c r="H1653" s="2" t="str">
        <f>TRIM(Table1[[#This Row],[Magazyn]])</f>
        <v>Apteka Szpitalna</v>
      </c>
      <c r="I1653" s="2" t="str">
        <f>TRIM(Table1[[#This Row],[Umowa]])</f>
        <v>UM-NOV-03</v>
      </c>
      <c r="J1653" s="2" t="b">
        <f>ISTEXT(Table14[[#This Row],[Data_Wystawienia]])</f>
        <v>0</v>
      </c>
      <c r="K1653" s="2">
        <f>VALUE(SUBSTITUTE(Table14[[#This Row],[Wartość]],".",","))</f>
        <v>16002.3</v>
      </c>
      <c r="L16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3" s="2" t="str">
        <f>IF(Table14[[#This Row],[Umowa]]="","Poza umową","Z umowy")</f>
        <v>Z umowy</v>
      </c>
      <c r="N1653" s="2">
        <f>YEAR(Table14[[#This Row],[Data_Wystawienia]])</f>
        <v>2023</v>
      </c>
      <c r="O1653" s="2" t="str">
        <f>TEXT(Table14[[#This Row],[Data_Wystawienia]],"rrrr-mm")</f>
        <v>2023-08</v>
      </c>
      <c r="P1653" s="2">
        <v>1</v>
      </c>
    </row>
    <row r="1654" spans="1:16" x14ac:dyDescent="0.3">
      <c r="A1654" s="2" t="str">
        <f>TRIM(Table1[[#This Row],[Numer_FV]])</f>
        <v>FV/M/5509/P/23</v>
      </c>
      <c r="B1654" s="2" t="str">
        <f>TRIM(Table1[[#This Row],[Numer_PZ]])</f>
        <v>PZ/801652</v>
      </c>
      <c r="C1654" s="2" t="str">
        <f>TRIM(Table1[[#This Row],[Dostawca]])</f>
        <v>MedicaPharm</v>
      </c>
      <c r="D1654" s="3">
        <v>45164</v>
      </c>
      <c r="E1654" s="4" t="s">
        <v>4897</v>
      </c>
      <c r="F1654" s="2" t="str">
        <f>TRIM(Table1[[#This Row],[Status]])</f>
        <v>Zaakceptowana</v>
      </c>
      <c r="G1654" s="2" t="str">
        <f>TRIM(Table1[[#This Row],[Typ]])</f>
        <v>Faktura VAT</v>
      </c>
      <c r="H1654" s="2" t="str">
        <f>TRIM(Table1[[#This Row],[Magazyn]])</f>
        <v>Apteka Szpitalna</v>
      </c>
      <c r="I1654" s="2" t="str">
        <f>TRIM(Table1[[#This Row],[Umowa]])</f>
        <v>UM-MED-02</v>
      </c>
      <c r="J1654" s="2" t="b">
        <f>ISTEXT(Table14[[#This Row],[Data_Wystawienia]])</f>
        <v>0</v>
      </c>
      <c r="K1654" s="2">
        <f>VALUE(SUBSTITUTE(Table14[[#This Row],[Wartość]],".",","))</f>
        <v>10730.39</v>
      </c>
      <c r="L16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4" s="2" t="str">
        <f>IF(Table14[[#This Row],[Umowa]]="","Poza umową","Z umowy")</f>
        <v>Z umowy</v>
      </c>
      <c r="N1654" s="2">
        <f>YEAR(Table14[[#This Row],[Data_Wystawienia]])</f>
        <v>2023</v>
      </c>
      <c r="O1654" s="2" t="str">
        <f>TEXT(Table14[[#This Row],[Data_Wystawienia]],"rrrr-mm")</f>
        <v>2023-08</v>
      </c>
      <c r="P1654" s="2">
        <v>1</v>
      </c>
    </row>
    <row r="1655" spans="1:16" x14ac:dyDescent="0.3">
      <c r="A1655" s="2" t="str">
        <f>TRIM(Table1[[#This Row],[Numer_FV]])</f>
        <v>FV/16/PP/9761/23</v>
      </c>
      <c r="B1655" s="2" t="str">
        <f>TRIM(Table1[[#This Row],[Numer_PZ]])</f>
        <v>PZ/801653</v>
      </c>
      <c r="C1655" s="2" t="str">
        <f>TRIM(Table1[[#This Row],[Dostawca]])</f>
        <v>PharmaPlus</v>
      </c>
      <c r="D1655" s="3">
        <v>45164</v>
      </c>
      <c r="E1655" s="4" t="s">
        <v>4900</v>
      </c>
      <c r="F1655" s="2" t="str">
        <f>TRIM(Table1[[#This Row],[Status]])</f>
        <v>Zaakceptowana</v>
      </c>
      <c r="G1655" s="2" t="str">
        <f>TRIM(Table1[[#This Row],[Typ]])</f>
        <v>Faktura VAT</v>
      </c>
      <c r="H1655" s="2" t="str">
        <f>TRIM(Table1[[#This Row],[Magazyn]])</f>
        <v>Apteka Szpitalna</v>
      </c>
      <c r="I1655" s="2" t="str">
        <f>TRIM(Table1[[#This Row],[Umowa]])</f>
        <v/>
      </c>
      <c r="J1655" s="2" t="b">
        <f>ISTEXT(Table14[[#This Row],[Data_Wystawienia]])</f>
        <v>0</v>
      </c>
      <c r="K1655" s="2">
        <f>VALUE(SUBSTITUTE(Table14[[#This Row],[Wartość]],".",","))</f>
        <v>12600.49</v>
      </c>
      <c r="L16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5" s="2" t="str">
        <f>IF(Table14[[#This Row],[Umowa]]="","Poza umową","Z umowy")</f>
        <v>Poza umową</v>
      </c>
      <c r="N1655" s="2">
        <f>YEAR(Table14[[#This Row],[Data_Wystawienia]])</f>
        <v>2023</v>
      </c>
      <c r="O1655" s="2" t="str">
        <f>TEXT(Table14[[#This Row],[Data_Wystawienia]],"rrrr-mm")</f>
        <v>2023-08</v>
      </c>
      <c r="P1655" s="2">
        <v>1</v>
      </c>
    </row>
    <row r="1656" spans="1:16" x14ac:dyDescent="0.3">
      <c r="A1656" s="2" t="str">
        <f>TRIM(Table1[[#This Row],[Numer_FV]])</f>
        <v>FV/POL/18494/2023</v>
      </c>
      <c r="B1656" s="2" t="str">
        <f>TRIM(Table1[[#This Row],[Numer_PZ]])</f>
        <v>PZ/801654</v>
      </c>
      <c r="C1656" s="2" t="str">
        <f>TRIM(Table1[[#This Row],[Dostawca]])</f>
        <v>Polmedica</v>
      </c>
      <c r="D1656" s="3">
        <v>45165</v>
      </c>
      <c r="E1656" s="4" t="s">
        <v>4903</v>
      </c>
      <c r="F1656" s="2" t="str">
        <f>TRIM(Table1[[#This Row],[Status]])</f>
        <v>Zaakceptowana</v>
      </c>
      <c r="G1656" s="2" t="str">
        <f>TRIM(Table1[[#This Row],[Typ]])</f>
        <v>Faktura VAT</v>
      </c>
      <c r="H1656" s="2" t="str">
        <f>TRIM(Table1[[#This Row],[Magazyn]])</f>
        <v>Apteka Szpitalna</v>
      </c>
      <c r="I1656" s="2" t="str">
        <f>TRIM(Table1[[#This Row],[Umowa]])</f>
        <v/>
      </c>
      <c r="J1656" s="2" t="b">
        <f>ISTEXT(Table14[[#This Row],[Data_Wystawienia]])</f>
        <v>0</v>
      </c>
      <c r="K1656" s="2">
        <f>VALUE(SUBSTITUTE(Table14[[#This Row],[Wartość]],".",","))</f>
        <v>12175.82</v>
      </c>
      <c r="L16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6" s="2" t="str">
        <f>IF(Table14[[#This Row],[Umowa]]="","Poza umową","Z umowy")</f>
        <v>Poza umową</v>
      </c>
      <c r="N1656" s="2">
        <f>YEAR(Table14[[#This Row],[Data_Wystawienia]])</f>
        <v>2023</v>
      </c>
      <c r="O1656" s="2" t="str">
        <f>TEXT(Table14[[#This Row],[Data_Wystawienia]],"rrrr-mm")</f>
        <v>2023-08</v>
      </c>
      <c r="P1656" s="2">
        <v>1</v>
      </c>
    </row>
    <row r="1657" spans="1:16" x14ac:dyDescent="0.3">
      <c r="A1657" s="2" t="str">
        <f>TRIM(Table1[[#This Row],[Numer_FV]])</f>
        <v>FV/73/SAL/23</v>
      </c>
      <c r="B1657" s="2" t="str">
        <f>TRIM(Table1[[#This Row],[Numer_PZ]])</f>
        <v>PZ/801655</v>
      </c>
      <c r="C1657" s="2" t="str">
        <f>TRIM(Table1[[#This Row],[Dostawca]])</f>
        <v>SalusHurt</v>
      </c>
      <c r="D1657" s="3">
        <v>45166</v>
      </c>
      <c r="E1657" s="4" t="s">
        <v>4906</v>
      </c>
      <c r="F1657" s="2" t="str">
        <f>TRIM(Table1[[#This Row],[Status]])</f>
        <v>Zaakceptowana</v>
      </c>
      <c r="G1657" s="2" t="str">
        <f>TRIM(Table1[[#This Row],[Typ]])</f>
        <v>Faktura VAT</v>
      </c>
      <c r="H1657" s="2" t="str">
        <f>TRIM(Table1[[#This Row],[Magazyn]])</f>
        <v>Apteka Szpitalna</v>
      </c>
      <c r="I1657" s="2" t="str">
        <f>TRIM(Table1[[#This Row],[Umowa]])</f>
        <v/>
      </c>
      <c r="J1657" s="2" t="b">
        <f>ISTEXT(Table14[[#This Row],[Data_Wystawienia]])</f>
        <v>0</v>
      </c>
      <c r="K1657" s="2">
        <f>VALUE(SUBSTITUTE(Table14[[#This Row],[Wartość]],".",","))</f>
        <v>14169.26</v>
      </c>
      <c r="L16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7" s="2" t="str">
        <f>IF(Table14[[#This Row],[Umowa]]="","Poza umową","Z umowy")</f>
        <v>Poza umową</v>
      </c>
      <c r="N1657" s="2">
        <f>YEAR(Table14[[#This Row],[Data_Wystawienia]])</f>
        <v>2023</v>
      </c>
      <c r="O1657" s="2" t="str">
        <f>TEXT(Table14[[#This Row],[Data_Wystawienia]],"rrrr-mm")</f>
        <v>2023-08</v>
      </c>
      <c r="P1657" s="2">
        <v>1</v>
      </c>
    </row>
    <row r="1658" spans="1:16" x14ac:dyDescent="0.3">
      <c r="A1658" s="2" t="str">
        <f>TRIM(Table1[[#This Row],[Numer_FV]])</f>
        <v>FV/26/PP/7708/23</v>
      </c>
      <c r="B1658" s="2" t="str">
        <f>TRIM(Table1[[#This Row],[Numer_PZ]])</f>
        <v>PZ/801656</v>
      </c>
      <c r="C1658" s="2" t="str">
        <f>TRIM(Table1[[#This Row],[Dostawca]])</f>
        <v>PharmaPlus</v>
      </c>
      <c r="D1658" s="3">
        <v>45166</v>
      </c>
      <c r="E1658" s="4" t="s">
        <v>4909</v>
      </c>
      <c r="F1658" s="2" t="str">
        <f>TRIM(Table1[[#This Row],[Status]])</f>
        <v>Zaakceptowana</v>
      </c>
      <c r="G1658" s="2" t="str">
        <f>TRIM(Table1[[#This Row],[Typ]])</f>
        <v>Faktura VAT</v>
      </c>
      <c r="H1658" s="2" t="str">
        <f>TRIM(Table1[[#This Row],[Magazyn]])</f>
        <v>Apteka Szpitalna</v>
      </c>
      <c r="I1658" s="2" t="str">
        <f>TRIM(Table1[[#This Row],[Umowa]])</f>
        <v>UM-PHA-01</v>
      </c>
      <c r="J1658" s="2" t="b">
        <f>ISTEXT(Table14[[#This Row],[Data_Wystawienia]])</f>
        <v>0</v>
      </c>
      <c r="K1658" s="2">
        <f>VALUE(SUBSTITUTE(Table14[[#This Row],[Wartość]],".",","))</f>
        <v>21687.27</v>
      </c>
      <c r="L16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8" s="2" t="str">
        <f>IF(Table14[[#This Row],[Umowa]]="","Poza umową","Z umowy")</f>
        <v>Z umowy</v>
      </c>
      <c r="N1658" s="2">
        <f>YEAR(Table14[[#This Row],[Data_Wystawienia]])</f>
        <v>2023</v>
      </c>
      <c r="O1658" s="2" t="str">
        <f>TEXT(Table14[[#This Row],[Data_Wystawienia]],"rrrr-mm")</f>
        <v>2023-08</v>
      </c>
      <c r="P1658" s="2">
        <v>1</v>
      </c>
    </row>
    <row r="1659" spans="1:16" x14ac:dyDescent="0.3">
      <c r="A1659" s="2" t="str">
        <f>TRIM(Table1[[#This Row],[Numer_FV]])</f>
        <v>FV/74/PP/3967/23</v>
      </c>
      <c r="B1659" s="2" t="str">
        <f>TRIM(Table1[[#This Row],[Numer_PZ]])</f>
        <v>PZ/801657</v>
      </c>
      <c r="C1659" s="2" t="str">
        <f>TRIM(Table1[[#This Row],[Dostawca]])</f>
        <v>PharmaPlus</v>
      </c>
      <c r="D1659" s="3">
        <v>45166</v>
      </c>
      <c r="E1659" s="4" t="s">
        <v>4912</v>
      </c>
      <c r="F1659" s="2" t="str">
        <f>TRIM(Table1[[#This Row],[Status]])</f>
        <v>Zaakceptowana</v>
      </c>
      <c r="G1659" s="2" t="str">
        <f>TRIM(Table1[[#This Row],[Typ]])</f>
        <v>Faktura VAT</v>
      </c>
      <c r="H1659" s="2" t="str">
        <f>TRIM(Table1[[#This Row],[Magazyn]])</f>
        <v>Apteka Szpitalna</v>
      </c>
      <c r="I1659" s="2" t="str">
        <f>TRIM(Table1[[#This Row],[Umowa]])</f>
        <v>UM-PHA-02</v>
      </c>
      <c r="J1659" s="2" t="b">
        <f>ISTEXT(Table14[[#This Row],[Data_Wystawienia]])</f>
        <v>0</v>
      </c>
      <c r="K1659" s="2">
        <f>VALUE(SUBSTITUTE(Table14[[#This Row],[Wartość]],".",","))</f>
        <v>14989.83</v>
      </c>
      <c r="L16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59" s="2" t="str">
        <f>IF(Table14[[#This Row],[Umowa]]="","Poza umową","Z umowy")</f>
        <v>Z umowy</v>
      </c>
      <c r="N1659" s="2">
        <f>YEAR(Table14[[#This Row],[Data_Wystawienia]])</f>
        <v>2023</v>
      </c>
      <c r="O1659" s="2" t="str">
        <f>TEXT(Table14[[#This Row],[Data_Wystawienia]],"rrrr-mm")</f>
        <v>2023-08</v>
      </c>
      <c r="P1659" s="2">
        <v>1</v>
      </c>
    </row>
    <row r="1660" spans="1:16" x14ac:dyDescent="0.3">
      <c r="A1660" s="2" t="str">
        <f>TRIM(Table1[[#This Row],[Numer_FV]])</f>
        <v>FV/CENFA/196173/23</v>
      </c>
      <c r="B1660" s="2" t="str">
        <f>TRIM(Table1[[#This Row],[Numer_PZ]])</f>
        <v>PZ/801658</v>
      </c>
      <c r="C1660" s="2" t="str">
        <f>TRIM(Table1[[#This Row],[Dostawca]])</f>
        <v>CentrumFarm</v>
      </c>
      <c r="D1660" s="3">
        <v>45168</v>
      </c>
      <c r="E1660" s="4" t="s">
        <v>4915</v>
      </c>
      <c r="F1660" s="2" t="str">
        <f>TRIM(Table1[[#This Row],[Status]])</f>
        <v>Zaakceptowana</v>
      </c>
      <c r="G1660" s="2" t="str">
        <f>TRIM(Table1[[#This Row],[Typ]])</f>
        <v>Faktura VAT</v>
      </c>
      <c r="H1660" s="2" t="str">
        <f>TRIM(Table1[[#This Row],[Magazyn]])</f>
        <v>Apteka Szpitalna</v>
      </c>
      <c r="I1660" s="2" t="str">
        <f>TRIM(Table1[[#This Row],[Umowa]])</f>
        <v>UM-CEN-02</v>
      </c>
      <c r="J1660" s="2" t="b">
        <f>ISTEXT(Table14[[#This Row],[Data_Wystawienia]])</f>
        <v>0</v>
      </c>
      <c r="K1660" s="2">
        <f>VALUE(SUBSTITUTE(Table14[[#This Row],[Wartość]],".",","))</f>
        <v>15319.06</v>
      </c>
      <c r="L16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0" s="2" t="str">
        <f>IF(Table14[[#This Row],[Umowa]]="","Poza umową","Z umowy")</f>
        <v>Z umowy</v>
      </c>
      <c r="N1660" s="2">
        <f>YEAR(Table14[[#This Row],[Data_Wystawienia]])</f>
        <v>2023</v>
      </c>
      <c r="O1660" s="2" t="str">
        <f>TEXT(Table14[[#This Row],[Data_Wystawienia]],"rrrr-mm")</f>
        <v>2023-08</v>
      </c>
      <c r="P1660" s="2">
        <v>1</v>
      </c>
    </row>
    <row r="1661" spans="1:16" x14ac:dyDescent="0.3">
      <c r="A1661" s="2" t="str">
        <f>TRIM(Table1[[#This Row],[Numer_FV]])</f>
        <v>FV/POL/56255/2023</v>
      </c>
      <c r="B1661" s="2" t="str">
        <f>TRIM(Table1[[#This Row],[Numer_PZ]])</f>
        <v>PZ/801659</v>
      </c>
      <c r="C1661" s="2" t="str">
        <f>TRIM(Table1[[#This Row],[Dostawca]])</f>
        <v>Polmedica</v>
      </c>
      <c r="D1661" s="3">
        <v>45168</v>
      </c>
      <c r="E1661" s="4" t="s">
        <v>4918</v>
      </c>
      <c r="F1661" s="2" t="str">
        <f>TRIM(Table1[[#This Row],[Status]])</f>
        <v>Zaakceptowana</v>
      </c>
      <c r="G1661" s="2" t="str">
        <f>TRIM(Table1[[#This Row],[Typ]])</f>
        <v>Faktura VAT</v>
      </c>
      <c r="H1661" s="2" t="str">
        <f>TRIM(Table1[[#This Row],[Magazyn]])</f>
        <v>Apteka Szpitalna</v>
      </c>
      <c r="I1661" s="2" t="str">
        <f>TRIM(Table1[[#This Row],[Umowa]])</f>
        <v>UM-POL-02</v>
      </c>
      <c r="J1661" s="2" t="b">
        <f>ISTEXT(Table14[[#This Row],[Data_Wystawienia]])</f>
        <v>0</v>
      </c>
      <c r="K1661" s="2">
        <f>VALUE(SUBSTITUTE(Table14[[#This Row],[Wartość]],".",","))</f>
        <v>17125.11</v>
      </c>
      <c r="L16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1" s="2" t="str">
        <f>IF(Table14[[#This Row],[Umowa]]="","Poza umową","Z umowy")</f>
        <v>Z umowy</v>
      </c>
      <c r="N1661" s="2">
        <f>YEAR(Table14[[#This Row],[Data_Wystawienia]])</f>
        <v>2023</v>
      </c>
      <c r="O1661" s="2" t="str">
        <f>TEXT(Table14[[#This Row],[Data_Wystawienia]],"rrrr-mm")</f>
        <v>2023-08</v>
      </c>
      <c r="P1661" s="2">
        <v>1</v>
      </c>
    </row>
    <row r="1662" spans="1:16" x14ac:dyDescent="0.3">
      <c r="A1662" s="2" t="str">
        <f>TRIM(Table1[[#This Row],[Numer_FV]])</f>
        <v>FV/91/PP/7727/23</v>
      </c>
      <c r="B1662" s="2" t="str">
        <f>TRIM(Table1[[#This Row],[Numer_PZ]])</f>
        <v>PZ/801660</v>
      </c>
      <c r="C1662" s="2" t="str">
        <f>TRIM(Table1[[#This Row],[Dostawca]])</f>
        <v>PharmaPlus</v>
      </c>
      <c r="D1662" s="3">
        <v>45169</v>
      </c>
      <c r="E1662" s="4" t="s">
        <v>4921</v>
      </c>
      <c r="F1662" s="2" t="str">
        <f>TRIM(Table1[[#This Row],[Status]])</f>
        <v>Zaakceptowana</v>
      </c>
      <c r="G1662" s="2" t="str">
        <f>TRIM(Table1[[#This Row],[Typ]])</f>
        <v>Faktura VAT</v>
      </c>
      <c r="H1662" s="2" t="str">
        <f>TRIM(Table1[[#This Row],[Magazyn]])</f>
        <v>Apteka Szpitalna</v>
      </c>
      <c r="I1662" s="2" t="str">
        <f>TRIM(Table1[[#This Row],[Umowa]])</f>
        <v>UM-PHA-01</v>
      </c>
      <c r="J1662" s="2" t="b">
        <f>ISTEXT(Table14[[#This Row],[Data_Wystawienia]])</f>
        <v>0</v>
      </c>
      <c r="K1662" s="2">
        <f>VALUE(SUBSTITUTE(Table14[[#This Row],[Wartość]],".",","))</f>
        <v>11569.05</v>
      </c>
      <c r="L16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2" s="2" t="str">
        <f>IF(Table14[[#This Row],[Umowa]]="","Poza umową","Z umowy")</f>
        <v>Z umowy</v>
      </c>
      <c r="N1662" s="2">
        <f>YEAR(Table14[[#This Row],[Data_Wystawienia]])</f>
        <v>2023</v>
      </c>
      <c r="O1662" s="2" t="str">
        <f>TEXT(Table14[[#This Row],[Data_Wystawienia]],"rrrr-mm")</f>
        <v>2023-08</v>
      </c>
      <c r="P1662" s="2">
        <v>1</v>
      </c>
    </row>
    <row r="1663" spans="1:16" x14ac:dyDescent="0.3">
      <c r="A1663" s="2" t="str">
        <f>TRIM(Table1[[#This Row],[Numer_FV]])</f>
        <v>FV/1214/NOVA/23</v>
      </c>
      <c r="B1663" s="2" t="str">
        <f>TRIM(Table1[[#This Row],[Numer_PZ]])</f>
        <v>PZ/801661</v>
      </c>
      <c r="C1663" s="2" t="str">
        <f>TRIM(Table1[[#This Row],[Dostawca]])</f>
        <v>NovaLek</v>
      </c>
      <c r="D1663" s="3">
        <v>45170</v>
      </c>
      <c r="E1663" s="4" t="s">
        <v>4924</v>
      </c>
      <c r="F1663" s="2" t="str">
        <f>TRIM(Table1[[#This Row],[Status]])</f>
        <v>Zaakceptowana</v>
      </c>
      <c r="G1663" s="2" t="str">
        <f>TRIM(Table1[[#This Row],[Typ]])</f>
        <v>Faktura VAT</v>
      </c>
      <c r="H1663" s="2" t="str">
        <f>TRIM(Table1[[#This Row],[Magazyn]])</f>
        <v>Apteka Szpitalna</v>
      </c>
      <c r="I1663" s="2" t="str">
        <f>TRIM(Table1[[#This Row],[Umowa]])</f>
        <v>UM-NOV-02</v>
      </c>
      <c r="J1663" s="2" t="b">
        <f>ISTEXT(Table14[[#This Row],[Data_Wystawienia]])</f>
        <v>0</v>
      </c>
      <c r="K1663" s="2">
        <f>VALUE(SUBSTITUTE(Table14[[#This Row],[Wartość]],".",","))</f>
        <v>9083.42</v>
      </c>
      <c r="L16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3" s="2" t="str">
        <f>IF(Table14[[#This Row],[Umowa]]="","Poza umową","Z umowy")</f>
        <v>Z umowy</v>
      </c>
      <c r="N1663" s="2">
        <f>YEAR(Table14[[#This Row],[Data_Wystawienia]])</f>
        <v>2023</v>
      </c>
      <c r="O1663" s="2" t="str">
        <f>TEXT(Table14[[#This Row],[Data_Wystawienia]],"rrrr-mm")</f>
        <v>2023-09</v>
      </c>
      <c r="P1663" s="2">
        <v>1</v>
      </c>
    </row>
    <row r="1664" spans="1:16" x14ac:dyDescent="0.3">
      <c r="A1664" s="2" t="str">
        <f>TRIM(Table1[[#This Row],[Numer_FV]])</f>
        <v>FV/CENFA/857841/23</v>
      </c>
      <c r="B1664" s="2" t="str">
        <f>TRIM(Table1[[#This Row],[Numer_PZ]])</f>
        <v>PZ/801662</v>
      </c>
      <c r="C1664" s="2" t="str">
        <f>TRIM(Table1[[#This Row],[Dostawca]])</f>
        <v>CentrumFarm</v>
      </c>
      <c r="D1664" s="3">
        <v>45170</v>
      </c>
      <c r="E1664" s="4" t="s">
        <v>4927</v>
      </c>
      <c r="F1664" s="2" t="str">
        <f>TRIM(Table1[[#This Row],[Status]])</f>
        <v>Zaakceptowana</v>
      </c>
      <c r="G1664" s="2" t="str">
        <f>TRIM(Table1[[#This Row],[Typ]])</f>
        <v>Faktura VAT</v>
      </c>
      <c r="H1664" s="2" t="str">
        <f>TRIM(Table1[[#This Row],[Magazyn]])</f>
        <v>Apteka Szpitalna</v>
      </c>
      <c r="I1664" s="2" t="str">
        <f>TRIM(Table1[[#This Row],[Umowa]])</f>
        <v>UM-CEN-02</v>
      </c>
      <c r="J1664" s="2" t="b">
        <f>ISTEXT(Table14[[#This Row],[Data_Wystawienia]])</f>
        <v>0</v>
      </c>
      <c r="K1664" s="2">
        <f>VALUE(SUBSTITUTE(Table14[[#This Row],[Wartość]],".",","))</f>
        <v>16339.85</v>
      </c>
      <c r="L16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4" s="2" t="str">
        <f>IF(Table14[[#This Row],[Umowa]]="","Poza umową","Z umowy")</f>
        <v>Z umowy</v>
      </c>
      <c r="N1664" s="2">
        <f>YEAR(Table14[[#This Row],[Data_Wystawienia]])</f>
        <v>2023</v>
      </c>
      <c r="O1664" s="2" t="str">
        <f>TEXT(Table14[[#This Row],[Data_Wystawienia]],"rrrr-mm")</f>
        <v>2023-09</v>
      </c>
      <c r="P1664" s="2">
        <v>1</v>
      </c>
    </row>
    <row r="1665" spans="1:16" x14ac:dyDescent="0.3">
      <c r="A1665" s="2" t="str">
        <f>TRIM(Table1[[#This Row],[Numer_FV]])</f>
        <v>FV/90/SAL/23</v>
      </c>
      <c r="B1665" s="2" t="str">
        <f>TRIM(Table1[[#This Row],[Numer_PZ]])</f>
        <v>PZ/801663</v>
      </c>
      <c r="C1665" s="2" t="str">
        <f>TRIM(Table1[[#This Row],[Dostawca]])</f>
        <v>SalusHurt</v>
      </c>
      <c r="D1665" s="3">
        <v>45171</v>
      </c>
      <c r="E1665" s="4" t="s">
        <v>4929</v>
      </c>
      <c r="F1665" s="2" t="str">
        <f>TRIM(Table1[[#This Row],[Status]])</f>
        <v>Zaakceptowana</v>
      </c>
      <c r="G1665" s="2" t="str">
        <f>TRIM(Table1[[#This Row],[Typ]])</f>
        <v>Faktura VAT</v>
      </c>
      <c r="H1665" s="2" t="str">
        <f>TRIM(Table1[[#This Row],[Magazyn]])</f>
        <v>Apteka Szpitalna</v>
      </c>
      <c r="I1665" s="2" t="str">
        <f>TRIM(Table1[[#This Row],[Umowa]])</f>
        <v/>
      </c>
      <c r="J1665" s="2" t="b">
        <f>ISTEXT(Table14[[#This Row],[Data_Wystawienia]])</f>
        <v>0</v>
      </c>
      <c r="K1665" s="2">
        <f>VALUE(SUBSTITUTE(Table14[[#This Row],[Wartość]],".",","))</f>
        <v>10374.33</v>
      </c>
      <c r="L16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5" s="2" t="str">
        <f>IF(Table14[[#This Row],[Umowa]]="","Poza umową","Z umowy")</f>
        <v>Poza umową</v>
      </c>
      <c r="N1665" s="2">
        <f>YEAR(Table14[[#This Row],[Data_Wystawienia]])</f>
        <v>2023</v>
      </c>
      <c r="O1665" s="2" t="str">
        <f>TEXT(Table14[[#This Row],[Data_Wystawienia]],"rrrr-mm")</f>
        <v>2023-09</v>
      </c>
      <c r="P1665" s="2">
        <v>1</v>
      </c>
    </row>
    <row r="1666" spans="1:16" x14ac:dyDescent="0.3">
      <c r="A1666" s="2" t="str">
        <f>TRIM(Table1[[#This Row],[Numer_FV]])</f>
        <v>FV/1023/NOVA/23</v>
      </c>
      <c r="B1666" s="2" t="str">
        <f>TRIM(Table1[[#This Row],[Numer_PZ]])</f>
        <v>PZ/801664</v>
      </c>
      <c r="C1666" s="2" t="str">
        <f>TRIM(Table1[[#This Row],[Dostawca]])</f>
        <v>NovaLek</v>
      </c>
      <c r="D1666" s="3">
        <v>45171</v>
      </c>
      <c r="E1666" s="4" t="s">
        <v>4932</v>
      </c>
      <c r="F1666" s="2" t="str">
        <f>TRIM(Table1[[#This Row],[Status]])</f>
        <v>Zaakceptowana</v>
      </c>
      <c r="G1666" s="2" t="str">
        <f>TRIM(Table1[[#This Row],[Typ]])</f>
        <v>Faktura VAT</v>
      </c>
      <c r="H1666" s="2" t="str">
        <f>TRIM(Table1[[#This Row],[Magazyn]])</f>
        <v>Apteka Szpitalna</v>
      </c>
      <c r="I1666" s="2" t="str">
        <f>TRIM(Table1[[#This Row],[Umowa]])</f>
        <v>UM-NOV-02</v>
      </c>
      <c r="J1666" s="2" t="b">
        <f>ISTEXT(Table14[[#This Row],[Data_Wystawienia]])</f>
        <v>0</v>
      </c>
      <c r="K1666" s="2">
        <f>VALUE(SUBSTITUTE(Table14[[#This Row],[Wartość]],".",","))</f>
        <v>9235.4500000000007</v>
      </c>
      <c r="L16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6" s="2" t="str">
        <f>IF(Table14[[#This Row],[Umowa]]="","Poza umową","Z umowy")</f>
        <v>Z umowy</v>
      </c>
      <c r="N1666" s="2">
        <f>YEAR(Table14[[#This Row],[Data_Wystawienia]])</f>
        <v>2023</v>
      </c>
      <c r="O1666" s="2" t="str">
        <f>TEXT(Table14[[#This Row],[Data_Wystawienia]],"rrrr-mm")</f>
        <v>2023-09</v>
      </c>
      <c r="P1666" s="2">
        <v>1</v>
      </c>
    </row>
    <row r="1667" spans="1:16" x14ac:dyDescent="0.3">
      <c r="A1667" s="2" t="str">
        <f>TRIM(Table1[[#This Row],[Numer_FV]])</f>
        <v>FV/77/PP/7966/23</v>
      </c>
      <c r="B1667" s="2" t="str">
        <f>TRIM(Table1[[#This Row],[Numer_PZ]])</f>
        <v>PZ/801665</v>
      </c>
      <c r="C1667" s="2" t="str">
        <f>TRIM(Table1[[#This Row],[Dostawca]])</f>
        <v>PharmaPlus</v>
      </c>
      <c r="D1667" s="3">
        <v>45171</v>
      </c>
      <c r="E1667" s="4" t="s">
        <v>4935</v>
      </c>
      <c r="F1667" s="2" t="str">
        <f>TRIM(Table1[[#This Row],[Status]])</f>
        <v>Zaakceptowana</v>
      </c>
      <c r="G1667" s="2" t="str">
        <f>TRIM(Table1[[#This Row],[Typ]])</f>
        <v>Korekta FV</v>
      </c>
      <c r="H1667" s="2" t="str">
        <f>TRIM(Table1[[#This Row],[Magazyn]])</f>
        <v>Apteka Szpitalna</v>
      </c>
      <c r="I1667" s="2" t="str">
        <f>TRIM(Table1[[#This Row],[Umowa]])</f>
        <v/>
      </c>
      <c r="J1667" s="2" t="b">
        <f>ISTEXT(Table14[[#This Row],[Data_Wystawienia]])</f>
        <v>0</v>
      </c>
      <c r="K1667" s="2">
        <f>VALUE(SUBSTITUTE(Table14[[#This Row],[Wartość]],".",","))</f>
        <v>-1345.36</v>
      </c>
      <c r="L16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7" s="2" t="str">
        <f>IF(Table14[[#This Row],[Umowa]]="","Poza umową","Z umowy")</f>
        <v>Poza umową</v>
      </c>
      <c r="N1667" s="2">
        <f>YEAR(Table14[[#This Row],[Data_Wystawienia]])</f>
        <v>2023</v>
      </c>
      <c r="O1667" s="2" t="str">
        <f>TEXT(Table14[[#This Row],[Data_Wystawienia]],"rrrr-mm")</f>
        <v>2023-09</v>
      </c>
      <c r="P1667" s="2">
        <v>1</v>
      </c>
    </row>
    <row r="1668" spans="1:16" x14ac:dyDescent="0.3">
      <c r="A1668" s="2" t="str">
        <f>TRIM(Table1[[#This Row],[Numer_FV]])</f>
        <v>FV/POL/94041/2023</v>
      </c>
      <c r="B1668" s="2" t="str">
        <f>TRIM(Table1[[#This Row],[Numer_PZ]])</f>
        <v>PZ/801666</v>
      </c>
      <c r="C1668" s="2" t="str">
        <f>TRIM(Table1[[#This Row],[Dostawca]])</f>
        <v>Polmedica</v>
      </c>
      <c r="D1668" s="3">
        <v>45171</v>
      </c>
      <c r="E1668" s="4" t="s">
        <v>4938</v>
      </c>
      <c r="F1668" s="2" t="str">
        <f>TRIM(Table1[[#This Row],[Status]])</f>
        <v>Zaakceptowana</v>
      </c>
      <c r="G1668" s="2" t="str">
        <f>TRIM(Table1[[#This Row],[Typ]])</f>
        <v>Faktura VAT</v>
      </c>
      <c r="H1668" s="2" t="str">
        <f>TRIM(Table1[[#This Row],[Magazyn]])</f>
        <v>Apteka Szpitalna</v>
      </c>
      <c r="I1668" s="2" t="str">
        <f>TRIM(Table1[[#This Row],[Umowa]])</f>
        <v>UM-POL-02</v>
      </c>
      <c r="J1668" s="2" t="b">
        <f>ISTEXT(Table14[[#This Row],[Data_Wystawienia]])</f>
        <v>0</v>
      </c>
      <c r="K1668" s="2">
        <f>VALUE(SUBSTITUTE(Table14[[#This Row],[Wartość]],".",","))</f>
        <v>21043.88</v>
      </c>
      <c r="L16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8" s="2" t="str">
        <f>IF(Table14[[#This Row],[Umowa]]="","Poza umową","Z umowy")</f>
        <v>Z umowy</v>
      </c>
      <c r="N1668" s="2">
        <f>YEAR(Table14[[#This Row],[Data_Wystawienia]])</f>
        <v>2023</v>
      </c>
      <c r="O1668" s="2" t="str">
        <f>TEXT(Table14[[#This Row],[Data_Wystawienia]],"rrrr-mm")</f>
        <v>2023-09</v>
      </c>
      <c r="P1668" s="2">
        <v>1</v>
      </c>
    </row>
    <row r="1669" spans="1:16" x14ac:dyDescent="0.3">
      <c r="A1669" s="2" t="str">
        <f>TRIM(Table1[[#This Row],[Numer_FV]])</f>
        <v>FV/M/1461/P/23</v>
      </c>
      <c r="B1669" s="2" t="str">
        <f>TRIM(Table1[[#This Row],[Numer_PZ]])</f>
        <v>PZ/801667</v>
      </c>
      <c r="C1669" s="2" t="str">
        <f>TRIM(Table1[[#This Row],[Dostawca]])</f>
        <v>MedicaPharm</v>
      </c>
      <c r="D1669" s="3">
        <v>45172</v>
      </c>
      <c r="E1669" s="4" t="s">
        <v>4941</v>
      </c>
      <c r="F1669" s="2" t="str">
        <f>TRIM(Table1[[#This Row],[Status]])</f>
        <v>Zaakceptowana</v>
      </c>
      <c r="G1669" s="2" t="str">
        <f>TRIM(Table1[[#This Row],[Typ]])</f>
        <v>Faktura VAT</v>
      </c>
      <c r="H1669" s="2" t="str">
        <f>TRIM(Table1[[#This Row],[Magazyn]])</f>
        <v>Apteka Szpitalna</v>
      </c>
      <c r="I1669" s="2" t="str">
        <f>TRIM(Table1[[#This Row],[Umowa]])</f>
        <v>UM-MED-01</v>
      </c>
      <c r="J1669" s="2" t="b">
        <f>ISTEXT(Table14[[#This Row],[Data_Wystawienia]])</f>
        <v>0</v>
      </c>
      <c r="K1669" s="2">
        <f>VALUE(SUBSTITUTE(Table14[[#This Row],[Wartość]],".",","))</f>
        <v>17483.88</v>
      </c>
      <c r="L16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69" s="2" t="str">
        <f>IF(Table14[[#This Row],[Umowa]]="","Poza umową","Z umowy")</f>
        <v>Z umowy</v>
      </c>
      <c r="N1669" s="2">
        <f>YEAR(Table14[[#This Row],[Data_Wystawienia]])</f>
        <v>2023</v>
      </c>
      <c r="O1669" s="2" t="str">
        <f>TEXT(Table14[[#This Row],[Data_Wystawienia]],"rrrr-mm")</f>
        <v>2023-09</v>
      </c>
      <c r="P1669" s="2">
        <v>1</v>
      </c>
    </row>
    <row r="1670" spans="1:16" x14ac:dyDescent="0.3">
      <c r="A1670" s="2" t="str">
        <f>TRIM(Table1[[#This Row],[Numer_FV]])</f>
        <v>FV/CENFA/799744/23</v>
      </c>
      <c r="B1670" s="2" t="str">
        <f>TRIM(Table1[[#This Row],[Numer_PZ]])</f>
        <v>PZ/801668</v>
      </c>
      <c r="C1670" s="2" t="str">
        <f>TRIM(Table1[[#This Row],[Dostawca]])</f>
        <v>CentrumFarm</v>
      </c>
      <c r="D1670" s="3">
        <v>45172</v>
      </c>
      <c r="E1670" s="4" t="s">
        <v>4944</v>
      </c>
      <c r="F1670" s="2" t="str">
        <f>TRIM(Table1[[#This Row],[Status]])</f>
        <v>Zaakceptowana</v>
      </c>
      <c r="G1670" s="2" t="str">
        <f>TRIM(Table1[[#This Row],[Typ]])</f>
        <v>Faktura VAT</v>
      </c>
      <c r="H1670" s="2" t="str">
        <f>TRIM(Table1[[#This Row],[Magazyn]])</f>
        <v>Apteka Szpitalna</v>
      </c>
      <c r="I1670" s="2" t="str">
        <f>TRIM(Table1[[#This Row],[Umowa]])</f>
        <v>UM-CEN-02</v>
      </c>
      <c r="J1670" s="2" t="b">
        <f>ISTEXT(Table14[[#This Row],[Data_Wystawienia]])</f>
        <v>0</v>
      </c>
      <c r="K1670" s="2">
        <f>VALUE(SUBSTITUTE(Table14[[#This Row],[Wartość]],".",","))</f>
        <v>7596.57</v>
      </c>
      <c r="L16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0" s="2" t="str">
        <f>IF(Table14[[#This Row],[Umowa]]="","Poza umową","Z umowy")</f>
        <v>Z umowy</v>
      </c>
      <c r="N1670" s="2">
        <f>YEAR(Table14[[#This Row],[Data_Wystawienia]])</f>
        <v>2023</v>
      </c>
      <c r="O1670" s="2" t="str">
        <f>TEXT(Table14[[#This Row],[Data_Wystawienia]],"rrrr-mm")</f>
        <v>2023-09</v>
      </c>
      <c r="P1670" s="2">
        <v>1</v>
      </c>
    </row>
    <row r="1671" spans="1:16" x14ac:dyDescent="0.3">
      <c r="A1671" s="2" t="str">
        <f>TRIM(Table1[[#This Row],[Numer_FV]])</f>
        <v>FV/95120/VDb/2023</v>
      </c>
      <c r="B1671" s="2" t="str">
        <f>TRIM(Table1[[#This Row],[Numer_PZ]])</f>
        <v>PZ/801669</v>
      </c>
      <c r="C1671" s="2" t="str">
        <f>TRIM(Table1[[#This Row],[Dostawca]])</f>
        <v>VitaDistrib</v>
      </c>
      <c r="D1671" s="3">
        <v>45173</v>
      </c>
      <c r="E1671" s="4" t="s">
        <v>4947</v>
      </c>
      <c r="F1671" s="2" t="str">
        <f>TRIM(Table1[[#This Row],[Status]])</f>
        <v>Zaakceptowana</v>
      </c>
      <c r="G1671" s="2" t="str">
        <f>TRIM(Table1[[#This Row],[Typ]])</f>
        <v>Faktura VAT</v>
      </c>
      <c r="H1671" s="2" t="str">
        <f>TRIM(Table1[[#This Row],[Magazyn]])</f>
        <v>Apteka Szpitalna</v>
      </c>
      <c r="I1671" s="2" t="str">
        <f>TRIM(Table1[[#This Row],[Umowa]])</f>
        <v>UM-VIT-01</v>
      </c>
      <c r="J1671" s="2" t="b">
        <f>ISTEXT(Table14[[#This Row],[Data_Wystawienia]])</f>
        <v>0</v>
      </c>
      <c r="K1671" s="2">
        <f>VALUE(SUBSTITUTE(Table14[[#This Row],[Wartość]],".",","))</f>
        <v>15495.31</v>
      </c>
      <c r="L16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1" s="2" t="str">
        <f>IF(Table14[[#This Row],[Umowa]]="","Poza umową","Z umowy")</f>
        <v>Z umowy</v>
      </c>
      <c r="N1671" s="2">
        <f>YEAR(Table14[[#This Row],[Data_Wystawienia]])</f>
        <v>2023</v>
      </c>
      <c r="O1671" s="2" t="str">
        <f>TEXT(Table14[[#This Row],[Data_Wystawienia]],"rrrr-mm")</f>
        <v>2023-09</v>
      </c>
      <c r="P1671" s="2">
        <v>1</v>
      </c>
    </row>
    <row r="1672" spans="1:16" x14ac:dyDescent="0.3">
      <c r="A1672" s="2" t="str">
        <f>TRIM(Table1[[#This Row],[Numer_FV]])</f>
        <v>FV/84/PP/1931/23</v>
      </c>
      <c r="B1672" s="2" t="str">
        <f>TRIM(Table1[[#This Row],[Numer_PZ]])</f>
        <v>PZ/801670</v>
      </c>
      <c r="C1672" s="2" t="str">
        <f>TRIM(Table1[[#This Row],[Dostawca]])</f>
        <v>PharmaPlus</v>
      </c>
      <c r="D1672" s="3">
        <v>45173</v>
      </c>
      <c r="E1672" s="4" t="s">
        <v>4950</v>
      </c>
      <c r="F1672" s="2" t="str">
        <f>TRIM(Table1[[#This Row],[Status]])</f>
        <v>Zaakceptowana</v>
      </c>
      <c r="G1672" s="2" t="str">
        <f>TRIM(Table1[[#This Row],[Typ]])</f>
        <v>Faktura VAT</v>
      </c>
      <c r="H1672" s="2" t="str">
        <f>TRIM(Table1[[#This Row],[Magazyn]])</f>
        <v>Apteka Szpitalna</v>
      </c>
      <c r="I1672" s="2" t="str">
        <f>TRIM(Table1[[#This Row],[Umowa]])</f>
        <v>UM-PHA-02</v>
      </c>
      <c r="J1672" s="2" t="b">
        <f>ISTEXT(Table14[[#This Row],[Data_Wystawienia]])</f>
        <v>0</v>
      </c>
      <c r="K1672" s="2">
        <f>VALUE(SUBSTITUTE(Table14[[#This Row],[Wartość]],".",","))</f>
        <v>18412.73</v>
      </c>
      <c r="L16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2" s="2" t="str">
        <f>IF(Table14[[#This Row],[Umowa]]="","Poza umową","Z umowy")</f>
        <v>Z umowy</v>
      </c>
      <c r="N1672" s="2">
        <f>YEAR(Table14[[#This Row],[Data_Wystawienia]])</f>
        <v>2023</v>
      </c>
      <c r="O1672" s="2" t="str">
        <f>TEXT(Table14[[#This Row],[Data_Wystawienia]],"rrrr-mm")</f>
        <v>2023-09</v>
      </c>
      <c r="P1672" s="2">
        <v>1</v>
      </c>
    </row>
    <row r="1673" spans="1:16" x14ac:dyDescent="0.3">
      <c r="A1673" s="2" t="str">
        <f>TRIM(Table1[[#This Row],[Numer_FV]])</f>
        <v>FV/5108/NOVA/23</v>
      </c>
      <c r="B1673" s="2" t="str">
        <f>TRIM(Table1[[#This Row],[Numer_PZ]])</f>
        <v>PZ/801671</v>
      </c>
      <c r="C1673" s="2" t="str">
        <f>TRIM(Table1[[#This Row],[Dostawca]])</f>
        <v>NovaLek</v>
      </c>
      <c r="D1673" s="3">
        <v>45173</v>
      </c>
      <c r="E1673" s="4" t="s">
        <v>4953</v>
      </c>
      <c r="F1673" s="2" t="str">
        <f>TRIM(Table1[[#This Row],[Status]])</f>
        <v>Zaakceptowana</v>
      </c>
      <c r="G1673" s="2" t="str">
        <f>TRIM(Table1[[#This Row],[Typ]])</f>
        <v>Faktura VAT</v>
      </c>
      <c r="H1673" s="2" t="str">
        <f>TRIM(Table1[[#This Row],[Magazyn]])</f>
        <v>Apteka Szpitalna</v>
      </c>
      <c r="I1673" s="2" t="str">
        <f>TRIM(Table1[[#This Row],[Umowa]])</f>
        <v/>
      </c>
      <c r="J1673" s="2" t="b">
        <f>ISTEXT(Table14[[#This Row],[Data_Wystawienia]])</f>
        <v>0</v>
      </c>
      <c r="K1673" s="2">
        <f>VALUE(SUBSTITUTE(Table14[[#This Row],[Wartość]],".",","))</f>
        <v>20546.5</v>
      </c>
      <c r="L16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3" s="2" t="str">
        <f>IF(Table14[[#This Row],[Umowa]]="","Poza umową","Z umowy")</f>
        <v>Poza umową</v>
      </c>
      <c r="N1673" s="2">
        <f>YEAR(Table14[[#This Row],[Data_Wystawienia]])</f>
        <v>2023</v>
      </c>
      <c r="O1673" s="2" t="str">
        <f>TEXT(Table14[[#This Row],[Data_Wystawienia]],"rrrr-mm")</f>
        <v>2023-09</v>
      </c>
      <c r="P1673" s="2">
        <v>1</v>
      </c>
    </row>
    <row r="1674" spans="1:16" x14ac:dyDescent="0.3">
      <c r="A1674" s="2" t="str">
        <f>TRIM(Table1[[#This Row],[Numer_FV]])</f>
        <v>FV/4928HM/23</v>
      </c>
      <c r="B1674" s="2" t="str">
        <f>TRIM(Table1[[#This Row],[Numer_PZ]])</f>
        <v>PZ/801672</v>
      </c>
      <c r="C1674" s="2" t="str">
        <f>TRIM(Table1[[#This Row],[Dostawca]])</f>
        <v>HurtMedix</v>
      </c>
      <c r="D1674" s="3">
        <v>45174</v>
      </c>
      <c r="E1674" s="4" t="s">
        <v>4956</v>
      </c>
      <c r="F1674" s="2" t="str">
        <f>TRIM(Table1[[#This Row],[Status]])</f>
        <v>Zaakceptowana</v>
      </c>
      <c r="G1674" s="2" t="str">
        <f>TRIM(Table1[[#This Row],[Typ]])</f>
        <v>Faktura VAT</v>
      </c>
      <c r="H1674" s="2" t="str">
        <f>TRIM(Table1[[#This Row],[Magazyn]])</f>
        <v>Apteka Szpitalna</v>
      </c>
      <c r="I1674" s="2" t="str">
        <f>TRIM(Table1[[#This Row],[Umowa]])</f>
        <v>UM-HUR-01</v>
      </c>
      <c r="J1674" s="2" t="b">
        <f>ISTEXT(Table14[[#This Row],[Data_Wystawienia]])</f>
        <v>0</v>
      </c>
      <c r="K1674" s="2">
        <f>VALUE(SUBSTITUTE(Table14[[#This Row],[Wartość]],".",","))</f>
        <v>14447.2</v>
      </c>
      <c r="L16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4" s="2" t="str">
        <f>IF(Table14[[#This Row],[Umowa]]="","Poza umową","Z umowy")</f>
        <v>Z umowy</v>
      </c>
      <c r="N1674" s="2">
        <f>YEAR(Table14[[#This Row],[Data_Wystawienia]])</f>
        <v>2023</v>
      </c>
      <c r="O1674" s="2" t="str">
        <f>TEXT(Table14[[#This Row],[Data_Wystawienia]],"rrrr-mm")</f>
        <v>2023-09</v>
      </c>
      <c r="P1674" s="2">
        <v>1</v>
      </c>
    </row>
    <row r="1675" spans="1:16" x14ac:dyDescent="0.3">
      <c r="A1675" s="2" t="str">
        <f>TRIM(Table1[[#This Row],[Numer_FV]])</f>
        <v>FV/9070HM/23</v>
      </c>
      <c r="B1675" s="2" t="str">
        <f>TRIM(Table1[[#This Row],[Numer_PZ]])</f>
        <v>PZ/801673</v>
      </c>
      <c r="C1675" s="2" t="str">
        <f>TRIM(Table1[[#This Row],[Dostawca]])</f>
        <v>HurtMedix</v>
      </c>
      <c r="D1675" s="3">
        <v>45174</v>
      </c>
      <c r="E1675" s="4" t="s">
        <v>4959</v>
      </c>
      <c r="F1675" s="2" t="str">
        <f>TRIM(Table1[[#This Row],[Status]])</f>
        <v>Zaakceptowana</v>
      </c>
      <c r="G1675" s="2" t="str">
        <f>TRIM(Table1[[#This Row],[Typ]])</f>
        <v>Faktura VAT</v>
      </c>
      <c r="H1675" s="2" t="str">
        <f>TRIM(Table1[[#This Row],[Magazyn]])</f>
        <v>Apteka Szpitalna</v>
      </c>
      <c r="I1675" s="2" t="str">
        <f>TRIM(Table1[[#This Row],[Umowa]])</f>
        <v>UM-HUR-01</v>
      </c>
      <c r="J1675" s="2" t="b">
        <f>ISTEXT(Table14[[#This Row],[Data_Wystawienia]])</f>
        <v>0</v>
      </c>
      <c r="K1675" s="2">
        <f>VALUE(SUBSTITUTE(Table14[[#This Row],[Wartość]],".",","))</f>
        <v>8400.76</v>
      </c>
      <c r="L16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5" s="2" t="str">
        <f>IF(Table14[[#This Row],[Umowa]]="","Poza umową","Z umowy")</f>
        <v>Z umowy</v>
      </c>
      <c r="N1675" s="2">
        <f>YEAR(Table14[[#This Row],[Data_Wystawienia]])</f>
        <v>2023</v>
      </c>
      <c r="O1675" s="2" t="str">
        <f>TEXT(Table14[[#This Row],[Data_Wystawienia]],"rrrr-mm")</f>
        <v>2023-09</v>
      </c>
      <c r="P1675" s="2">
        <v>1</v>
      </c>
    </row>
    <row r="1676" spans="1:16" x14ac:dyDescent="0.3">
      <c r="A1676" s="2" t="str">
        <f>TRIM(Table1[[#This Row],[Numer_FV]])</f>
        <v>FV/55/PP/8653/23</v>
      </c>
      <c r="B1676" s="2" t="str">
        <f>TRIM(Table1[[#This Row],[Numer_PZ]])</f>
        <v>PZ/801674</v>
      </c>
      <c r="C1676" s="2" t="str">
        <f>TRIM(Table1[[#This Row],[Dostawca]])</f>
        <v>PharmaPlus</v>
      </c>
      <c r="D1676" s="3">
        <v>45174</v>
      </c>
      <c r="E1676" s="4" t="s">
        <v>4962</v>
      </c>
      <c r="F1676" s="2" t="str">
        <f>TRIM(Table1[[#This Row],[Status]])</f>
        <v>Zaakceptowana</v>
      </c>
      <c r="G1676" s="2" t="str">
        <f>TRIM(Table1[[#This Row],[Typ]])</f>
        <v>Faktura VAT</v>
      </c>
      <c r="H1676" s="2" t="str">
        <f>TRIM(Table1[[#This Row],[Magazyn]])</f>
        <v>Apteka Szpitalna</v>
      </c>
      <c r="I1676" s="2" t="str">
        <f>TRIM(Table1[[#This Row],[Umowa]])</f>
        <v/>
      </c>
      <c r="J1676" s="2" t="b">
        <f>ISTEXT(Table14[[#This Row],[Data_Wystawienia]])</f>
        <v>0</v>
      </c>
      <c r="K1676" s="2">
        <f>VALUE(SUBSTITUTE(Table14[[#This Row],[Wartość]],".",","))</f>
        <v>17811</v>
      </c>
      <c r="L16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6" s="2" t="str">
        <f>IF(Table14[[#This Row],[Umowa]]="","Poza umową","Z umowy")</f>
        <v>Poza umową</v>
      </c>
      <c r="N1676" s="2">
        <f>YEAR(Table14[[#This Row],[Data_Wystawienia]])</f>
        <v>2023</v>
      </c>
      <c r="O1676" s="2" t="str">
        <f>TEXT(Table14[[#This Row],[Data_Wystawienia]],"rrrr-mm")</f>
        <v>2023-09</v>
      </c>
      <c r="P1676" s="2">
        <v>1</v>
      </c>
    </row>
    <row r="1677" spans="1:16" x14ac:dyDescent="0.3">
      <c r="A1677" s="2" t="str">
        <f>TRIM(Table1[[#This Row],[Numer_FV]])</f>
        <v>FV/17336/VDb/2023</v>
      </c>
      <c r="B1677" s="2" t="str">
        <f>TRIM(Table1[[#This Row],[Numer_PZ]])</f>
        <v>PZ/801675</v>
      </c>
      <c r="C1677" s="2" t="str">
        <f>TRIM(Table1[[#This Row],[Dostawca]])</f>
        <v>VitaDistrib</v>
      </c>
      <c r="D1677" s="3">
        <v>45174</v>
      </c>
      <c r="E1677" s="4" t="s">
        <v>4965</v>
      </c>
      <c r="F1677" s="2" t="str">
        <f>TRIM(Table1[[#This Row],[Status]])</f>
        <v>Zaakceptowana</v>
      </c>
      <c r="G1677" s="2" t="str">
        <f>TRIM(Table1[[#This Row],[Typ]])</f>
        <v>Faktura VAT</v>
      </c>
      <c r="H1677" s="2" t="str">
        <f>TRIM(Table1[[#This Row],[Magazyn]])</f>
        <v>Apteka Szpitalna</v>
      </c>
      <c r="I1677" s="2" t="str">
        <f>TRIM(Table1[[#This Row],[Umowa]])</f>
        <v>UM-VIT-01</v>
      </c>
      <c r="J1677" s="2" t="b">
        <f>ISTEXT(Table14[[#This Row],[Data_Wystawienia]])</f>
        <v>0</v>
      </c>
      <c r="K1677" s="2">
        <f>VALUE(SUBSTITUTE(Table14[[#This Row],[Wartość]],".",","))</f>
        <v>20029.330000000002</v>
      </c>
      <c r="L16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7" s="2" t="str">
        <f>IF(Table14[[#This Row],[Umowa]]="","Poza umową","Z umowy")</f>
        <v>Z umowy</v>
      </c>
      <c r="N1677" s="2">
        <f>YEAR(Table14[[#This Row],[Data_Wystawienia]])</f>
        <v>2023</v>
      </c>
      <c r="O1677" s="2" t="str">
        <f>TEXT(Table14[[#This Row],[Data_Wystawienia]],"rrrr-mm")</f>
        <v>2023-09</v>
      </c>
      <c r="P1677" s="2">
        <v>1</v>
      </c>
    </row>
    <row r="1678" spans="1:16" x14ac:dyDescent="0.3">
      <c r="A1678" s="2" t="str">
        <f>TRIM(Table1[[#This Row],[Numer_FV]])</f>
        <v>FV/6490HM/23</v>
      </c>
      <c r="B1678" s="2" t="str">
        <f>TRIM(Table1[[#This Row],[Numer_PZ]])</f>
        <v>PZ/801676</v>
      </c>
      <c r="C1678" s="2" t="str">
        <f>TRIM(Table1[[#This Row],[Dostawca]])</f>
        <v>HurtMedix</v>
      </c>
      <c r="D1678" s="3">
        <v>45174</v>
      </c>
      <c r="E1678" s="4" t="s">
        <v>4968</v>
      </c>
      <c r="F1678" s="2" t="str">
        <f>TRIM(Table1[[#This Row],[Status]])</f>
        <v>Zaakceptowana</v>
      </c>
      <c r="G1678" s="2" t="str">
        <f>TRIM(Table1[[#This Row],[Typ]])</f>
        <v>Faktura VAT</v>
      </c>
      <c r="H1678" s="2" t="str">
        <f>TRIM(Table1[[#This Row],[Magazyn]])</f>
        <v>Apteka Szpitalna</v>
      </c>
      <c r="I1678" s="2" t="str">
        <f>TRIM(Table1[[#This Row],[Umowa]])</f>
        <v>UM-HUR-03</v>
      </c>
      <c r="J1678" s="2" t="b">
        <f>ISTEXT(Table14[[#This Row],[Data_Wystawienia]])</f>
        <v>0</v>
      </c>
      <c r="K1678" s="2">
        <f>VALUE(SUBSTITUTE(Table14[[#This Row],[Wartość]],".",","))</f>
        <v>10889.14</v>
      </c>
      <c r="L16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8" s="2" t="str">
        <f>IF(Table14[[#This Row],[Umowa]]="","Poza umową","Z umowy")</f>
        <v>Z umowy</v>
      </c>
      <c r="N1678" s="2">
        <f>YEAR(Table14[[#This Row],[Data_Wystawienia]])</f>
        <v>2023</v>
      </c>
      <c r="O1678" s="2" t="str">
        <f>TEXT(Table14[[#This Row],[Data_Wystawienia]],"rrrr-mm")</f>
        <v>2023-09</v>
      </c>
      <c r="P1678" s="2">
        <v>1</v>
      </c>
    </row>
    <row r="1679" spans="1:16" x14ac:dyDescent="0.3">
      <c r="A1679" s="2" t="str">
        <f>TRIM(Table1[[#This Row],[Numer_FV]])</f>
        <v>FV/CENFA/174856/23</v>
      </c>
      <c r="B1679" s="2" t="str">
        <f>TRIM(Table1[[#This Row],[Numer_PZ]])</f>
        <v>PZ/801677</v>
      </c>
      <c r="C1679" s="2" t="str">
        <f>TRIM(Table1[[#This Row],[Dostawca]])</f>
        <v>CentrumFarm</v>
      </c>
      <c r="D1679" s="3">
        <v>45176</v>
      </c>
      <c r="E1679" s="4" t="s">
        <v>4971</v>
      </c>
      <c r="F1679" s="2" t="str">
        <f>TRIM(Table1[[#This Row],[Status]])</f>
        <v>Zaakceptowana</v>
      </c>
      <c r="G1679" s="2" t="str">
        <f>TRIM(Table1[[#This Row],[Typ]])</f>
        <v>Faktura VAT</v>
      </c>
      <c r="H1679" s="2" t="str">
        <f>TRIM(Table1[[#This Row],[Magazyn]])</f>
        <v>Apteka Szpitalna</v>
      </c>
      <c r="I1679" s="2" t="str">
        <f>TRIM(Table1[[#This Row],[Umowa]])</f>
        <v>UM-CEN-01</v>
      </c>
      <c r="J1679" s="2" t="b">
        <f>ISTEXT(Table14[[#This Row],[Data_Wystawienia]])</f>
        <v>0</v>
      </c>
      <c r="K1679" s="2">
        <f>VALUE(SUBSTITUTE(Table14[[#This Row],[Wartość]],".",","))</f>
        <v>17491.27</v>
      </c>
      <c r="L16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79" s="2" t="str">
        <f>IF(Table14[[#This Row],[Umowa]]="","Poza umową","Z umowy")</f>
        <v>Z umowy</v>
      </c>
      <c r="N1679" s="2">
        <f>YEAR(Table14[[#This Row],[Data_Wystawienia]])</f>
        <v>2023</v>
      </c>
      <c r="O1679" s="2" t="str">
        <f>TEXT(Table14[[#This Row],[Data_Wystawienia]],"rrrr-mm")</f>
        <v>2023-09</v>
      </c>
      <c r="P1679" s="2">
        <v>1</v>
      </c>
    </row>
    <row r="1680" spans="1:16" x14ac:dyDescent="0.3">
      <c r="A1680" s="2" t="str">
        <f>TRIM(Table1[[#This Row],[Numer_FV]])</f>
        <v>FV/M/3210/P/23</v>
      </c>
      <c r="B1680" s="2" t="str">
        <f>TRIM(Table1[[#This Row],[Numer_PZ]])</f>
        <v>PZ/801678</v>
      </c>
      <c r="C1680" s="2" t="str">
        <f>TRIM(Table1[[#This Row],[Dostawca]])</f>
        <v>MedicaPharm</v>
      </c>
      <c r="D1680" s="3">
        <v>45176</v>
      </c>
      <c r="E1680" s="4" t="s">
        <v>4974</v>
      </c>
      <c r="F1680" s="2" t="str">
        <f>TRIM(Table1[[#This Row],[Status]])</f>
        <v>Zaakceptowana</v>
      </c>
      <c r="G1680" s="2" t="str">
        <f>TRIM(Table1[[#This Row],[Typ]])</f>
        <v>Faktura VAT</v>
      </c>
      <c r="H1680" s="2" t="str">
        <f>TRIM(Table1[[#This Row],[Magazyn]])</f>
        <v>Apteka Szpitalna</v>
      </c>
      <c r="I1680" s="2" t="str">
        <f>TRIM(Table1[[#This Row],[Umowa]])</f>
        <v/>
      </c>
      <c r="J1680" s="2" t="b">
        <f>ISTEXT(Table14[[#This Row],[Data_Wystawienia]])</f>
        <v>0</v>
      </c>
      <c r="K1680" s="2">
        <f>VALUE(SUBSTITUTE(Table14[[#This Row],[Wartość]],".",","))</f>
        <v>17338.419999999998</v>
      </c>
      <c r="L16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0" s="2" t="str">
        <f>IF(Table14[[#This Row],[Umowa]]="","Poza umową","Z umowy")</f>
        <v>Poza umową</v>
      </c>
      <c r="N1680" s="2">
        <f>YEAR(Table14[[#This Row],[Data_Wystawienia]])</f>
        <v>2023</v>
      </c>
      <c r="O1680" s="2" t="str">
        <f>TEXT(Table14[[#This Row],[Data_Wystawienia]],"rrrr-mm")</f>
        <v>2023-09</v>
      </c>
      <c r="P1680" s="2">
        <v>1</v>
      </c>
    </row>
    <row r="1681" spans="1:16" x14ac:dyDescent="0.3">
      <c r="A1681" s="2" t="str">
        <f>TRIM(Table1[[#This Row],[Numer_FV]])</f>
        <v>FV/M/5139/P/23</v>
      </c>
      <c r="B1681" s="2" t="str">
        <f>TRIM(Table1[[#This Row],[Numer_PZ]])</f>
        <v>PZ/801679</v>
      </c>
      <c r="C1681" s="2" t="str">
        <f>TRIM(Table1[[#This Row],[Dostawca]])</f>
        <v>MedicaPharm</v>
      </c>
      <c r="D1681" s="3">
        <v>45176</v>
      </c>
      <c r="E1681" s="4" t="s">
        <v>4977</v>
      </c>
      <c r="F1681" s="2" t="str">
        <f>TRIM(Table1[[#This Row],[Status]])</f>
        <v>Zaakceptowana</v>
      </c>
      <c r="G1681" s="2" t="str">
        <f>TRIM(Table1[[#This Row],[Typ]])</f>
        <v>Faktura VAT</v>
      </c>
      <c r="H1681" s="2" t="str">
        <f>TRIM(Table1[[#This Row],[Magazyn]])</f>
        <v>Apteka Szpitalna</v>
      </c>
      <c r="I1681" s="2" t="str">
        <f>TRIM(Table1[[#This Row],[Umowa]])</f>
        <v>UM-MED-01</v>
      </c>
      <c r="J1681" s="2" t="b">
        <f>ISTEXT(Table14[[#This Row],[Data_Wystawienia]])</f>
        <v>0</v>
      </c>
      <c r="K1681" s="2">
        <f>VALUE(SUBSTITUTE(Table14[[#This Row],[Wartość]],".",","))</f>
        <v>16884.48</v>
      </c>
      <c r="L16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1" s="2" t="str">
        <f>IF(Table14[[#This Row],[Umowa]]="","Poza umową","Z umowy")</f>
        <v>Z umowy</v>
      </c>
      <c r="N1681" s="2">
        <f>YEAR(Table14[[#This Row],[Data_Wystawienia]])</f>
        <v>2023</v>
      </c>
      <c r="O1681" s="2" t="str">
        <f>TEXT(Table14[[#This Row],[Data_Wystawienia]],"rrrr-mm")</f>
        <v>2023-09</v>
      </c>
      <c r="P1681" s="2">
        <v>1</v>
      </c>
    </row>
    <row r="1682" spans="1:16" x14ac:dyDescent="0.3">
      <c r="A1682" s="2" t="str">
        <f>TRIM(Table1[[#This Row],[Numer_FV]])</f>
        <v>FV/2489HM/23</v>
      </c>
      <c r="B1682" s="2" t="str">
        <f>TRIM(Table1[[#This Row],[Numer_PZ]])</f>
        <v>PZ/801680</v>
      </c>
      <c r="C1682" s="2" t="str">
        <f>TRIM(Table1[[#This Row],[Dostawca]])</f>
        <v>HurtMedix</v>
      </c>
      <c r="D1682" s="3">
        <v>45177</v>
      </c>
      <c r="E1682" s="4" t="s">
        <v>4980</v>
      </c>
      <c r="F1682" s="2" t="str">
        <f>TRIM(Table1[[#This Row],[Status]])</f>
        <v>Zaakceptowana</v>
      </c>
      <c r="G1682" s="2" t="str">
        <f>TRIM(Table1[[#This Row],[Typ]])</f>
        <v>Faktura VAT</v>
      </c>
      <c r="H1682" s="2" t="str">
        <f>TRIM(Table1[[#This Row],[Magazyn]])</f>
        <v>Apteka Szpitalna</v>
      </c>
      <c r="I1682" s="2" t="str">
        <f>TRIM(Table1[[#This Row],[Umowa]])</f>
        <v>UM-HUR-02</v>
      </c>
      <c r="J1682" s="2" t="b">
        <f>ISTEXT(Table14[[#This Row],[Data_Wystawienia]])</f>
        <v>0</v>
      </c>
      <c r="K1682" s="2">
        <f>VALUE(SUBSTITUTE(Table14[[#This Row],[Wartość]],".",","))</f>
        <v>9486.26</v>
      </c>
      <c r="L16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2" s="2" t="str">
        <f>IF(Table14[[#This Row],[Umowa]]="","Poza umową","Z umowy")</f>
        <v>Z umowy</v>
      </c>
      <c r="N1682" s="2">
        <f>YEAR(Table14[[#This Row],[Data_Wystawienia]])</f>
        <v>2023</v>
      </c>
      <c r="O1682" s="2" t="str">
        <f>TEXT(Table14[[#This Row],[Data_Wystawienia]],"rrrr-mm")</f>
        <v>2023-09</v>
      </c>
      <c r="P1682" s="2">
        <v>1</v>
      </c>
    </row>
    <row r="1683" spans="1:16" x14ac:dyDescent="0.3">
      <c r="A1683" s="2" t="str">
        <f>TRIM(Table1[[#This Row],[Numer_FV]])</f>
        <v>FV/7208HM/23</v>
      </c>
      <c r="B1683" s="2" t="str">
        <f>TRIM(Table1[[#This Row],[Numer_PZ]])</f>
        <v>PZ/801681</v>
      </c>
      <c r="C1683" s="2" t="str">
        <f>TRIM(Table1[[#This Row],[Dostawca]])</f>
        <v>HurtMedix</v>
      </c>
      <c r="D1683" s="3">
        <v>45177</v>
      </c>
      <c r="E1683" s="4" t="s">
        <v>4983</v>
      </c>
      <c r="F1683" s="2" t="str">
        <f>TRIM(Table1[[#This Row],[Status]])</f>
        <v>Zaakceptowana</v>
      </c>
      <c r="G1683" s="2" t="str">
        <f>TRIM(Table1[[#This Row],[Typ]])</f>
        <v>Faktura VAT</v>
      </c>
      <c r="H1683" s="2" t="str">
        <f>TRIM(Table1[[#This Row],[Magazyn]])</f>
        <v>Apteka Szpitalna</v>
      </c>
      <c r="I1683" s="2" t="str">
        <f>TRIM(Table1[[#This Row],[Umowa]])</f>
        <v>UM-HUR-03</v>
      </c>
      <c r="J1683" s="2" t="b">
        <f>ISTEXT(Table14[[#This Row],[Data_Wystawienia]])</f>
        <v>0</v>
      </c>
      <c r="K1683" s="2">
        <f>VALUE(SUBSTITUTE(Table14[[#This Row],[Wartość]],".",","))</f>
        <v>8051.24</v>
      </c>
      <c r="L16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3" s="2" t="str">
        <f>IF(Table14[[#This Row],[Umowa]]="","Poza umową","Z umowy")</f>
        <v>Z umowy</v>
      </c>
      <c r="N1683" s="2">
        <f>YEAR(Table14[[#This Row],[Data_Wystawienia]])</f>
        <v>2023</v>
      </c>
      <c r="O1683" s="2" t="str">
        <f>TEXT(Table14[[#This Row],[Data_Wystawienia]],"rrrr-mm")</f>
        <v>2023-09</v>
      </c>
      <c r="P1683" s="2">
        <v>1</v>
      </c>
    </row>
    <row r="1684" spans="1:16" x14ac:dyDescent="0.3">
      <c r="A1684" s="2" t="str">
        <f>TRIM(Table1[[#This Row],[Numer_FV]])</f>
        <v>FV/14/PP/7368/23</v>
      </c>
      <c r="B1684" s="2" t="str">
        <f>TRIM(Table1[[#This Row],[Numer_PZ]])</f>
        <v>PZ/801682</v>
      </c>
      <c r="C1684" s="2" t="str">
        <f>TRIM(Table1[[#This Row],[Dostawca]])</f>
        <v>PharmaPlus</v>
      </c>
      <c r="D1684" s="3">
        <v>45177</v>
      </c>
      <c r="E1684" s="4" t="s">
        <v>4986</v>
      </c>
      <c r="F1684" s="2" t="str">
        <f>TRIM(Table1[[#This Row],[Status]])</f>
        <v>Zaakceptowana</v>
      </c>
      <c r="G1684" s="2" t="str">
        <f>TRIM(Table1[[#This Row],[Typ]])</f>
        <v>Faktura VAT</v>
      </c>
      <c r="H1684" s="2" t="str">
        <f>TRIM(Table1[[#This Row],[Magazyn]])</f>
        <v>Apteka Szpitalna</v>
      </c>
      <c r="I1684" s="2" t="str">
        <f>TRIM(Table1[[#This Row],[Umowa]])</f>
        <v>UM-PHA-02</v>
      </c>
      <c r="J1684" s="2" t="b">
        <f>ISTEXT(Table14[[#This Row],[Data_Wystawienia]])</f>
        <v>0</v>
      </c>
      <c r="K1684" s="2">
        <f>VALUE(SUBSTITUTE(Table14[[#This Row],[Wartość]],".",","))</f>
        <v>17057.91</v>
      </c>
      <c r="L16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4" s="2" t="str">
        <f>IF(Table14[[#This Row],[Umowa]]="","Poza umową","Z umowy")</f>
        <v>Z umowy</v>
      </c>
      <c r="N1684" s="2">
        <f>YEAR(Table14[[#This Row],[Data_Wystawienia]])</f>
        <v>2023</v>
      </c>
      <c r="O1684" s="2" t="str">
        <f>TEXT(Table14[[#This Row],[Data_Wystawienia]],"rrrr-mm")</f>
        <v>2023-09</v>
      </c>
      <c r="P1684" s="2">
        <v>1</v>
      </c>
    </row>
    <row r="1685" spans="1:16" x14ac:dyDescent="0.3">
      <c r="A1685" s="2" t="str">
        <f>TRIM(Table1[[#This Row],[Numer_FV]])</f>
        <v>FV/5759/NOVA/23</v>
      </c>
      <c r="B1685" s="2" t="str">
        <f>TRIM(Table1[[#This Row],[Numer_PZ]])</f>
        <v>PZ/801683</v>
      </c>
      <c r="C1685" s="2" t="str">
        <f>TRIM(Table1[[#This Row],[Dostawca]])</f>
        <v>NovaLek</v>
      </c>
      <c r="D1685" s="3">
        <v>45178</v>
      </c>
      <c r="E1685" s="4" t="s">
        <v>4989</v>
      </c>
      <c r="F1685" s="2" t="str">
        <f>TRIM(Table1[[#This Row],[Status]])</f>
        <v>Zaakceptowana</v>
      </c>
      <c r="G1685" s="2" t="str">
        <f>TRIM(Table1[[#This Row],[Typ]])</f>
        <v>Faktura VAT</v>
      </c>
      <c r="H1685" s="2" t="str">
        <f>TRIM(Table1[[#This Row],[Magazyn]])</f>
        <v>Apteka Szpitalna</v>
      </c>
      <c r="I1685" s="2" t="str">
        <f>TRIM(Table1[[#This Row],[Umowa]])</f>
        <v>UM-NOV-01</v>
      </c>
      <c r="J1685" s="2" t="b">
        <f>ISTEXT(Table14[[#This Row],[Data_Wystawienia]])</f>
        <v>0</v>
      </c>
      <c r="K1685" s="2">
        <f>VALUE(SUBSTITUTE(Table14[[#This Row],[Wartość]],".",","))</f>
        <v>15555.17</v>
      </c>
      <c r="L16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5" s="2" t="str">
        <f>IF(Table14[[#This Row],[Umowa]]="","Poza umową","Z umowy")</f>
        <v>Z umowy</v>
      </c>
      <c r="N1685" s="2">
        <f>YEAR(Table14[[#This Row],[Data_Wystawienia]])</f>
        <v>2023</v>
      </c>
      <c r="O1685" s="2" t="str">
        <f>TEXT(Table14[[#This Row],[Data_Wystawienia]],"rrrr-mm")</f>
        <v>2023-09</v>
      </c>
      <c r="P1685" s="2">
        <v>1</v>
      </c>
    </row>
    <row r="1686" spans="1:16" x14ac:dyDescent="0.3">
      <c r="A1686" s="2" t="str">
        <f>TRIM(Table1[[#This Row],[Numer_FV]])</f>
        <v>FV/POL/51983/2023</v>
      </c>
      <c r="B1686" s="2" t="str">
        <f>TRIM(Table1[[#This Row],[Numer_PZ]])</f>
        <v>PZ/801684</v>
      </c>
      <c r="C1686" s="2" t="str">
        <f>TRIM(Table1[[#This Row],[Dostawca]])</f>
        <v>Polmedica</v>
      </c>
      <c r="D1686" s="3">
        <v>45178</v>
      </c>
      <c r="E1686" s="4" t="s">
        <v>4992</v>
      </c>
      <c r="F1686" s="2" t="str">
        <f>TRIM(Table1[[#This Row],[Status]])</f>
        <v>Zaakceptowana</v>
      </c>
      <c r="G1686" s="2" t="str">
        <f>TRIM(Table1[[#This Row],[Typ]])</f>
        <v>Faktura VAT</v>
      </c>
      <c r="H1686" s="2" t="str">
        <f>TRIM(Table1[[#This Row],[Magazyn]])</f>
        <v>Apteka Szpitalna</v>
      </c>
      <c r="I1686" s="2" t="str">
        <f>TRIM(Table1[[#This Row],[Umowa]])</f>
        <v>UM-POL-01</v>
      </c>
      <c r="J1686" s="2" t="b">
        <f>ISTEXT(Table14[[#This Row],[Data_Wystawienia]])</f>
        <v>0</v>
      </c>
      <c r="K1686" s="2">
        <f>VALUE(SUBSTITUTE(Table14[[#This Row],[Wartość]],".",","))</f>
        <v>10876.47</v>
      </c>
      <c r="L16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6" s="2" t="str">
        <f>IF(Table14[[#This Row],[Umowa]]="","Poza umową","Z umowy")</f>
        <v>Z umowy</v>
      </c>
      <c r="N1686" s="2">
        <f>YEAR(Table14[[#This Row],[Data_Wystawienia]])</f>
        <v>2023</v>
      </c>
      <c r="O1686" s="2" t="str">
        <f>TEXT(Table14[[#This Row],[Data_Wystawienia]],"rrrr-mm")</f>
        <v>2023-09</v>
      </c>
      <c r="P1686" s="2">
        <v>1</v>
      </c>
    </row>
    <row r="1687" spans="1:16" x14ac:dyDescent="0.3">
      <c r="A1687" s="2" t="str">
        <f>TRIM(Table1[[#This Row],[Numer_FV]])</f>
        <v>FV/46063/VDb/2023</v>
      </c>
      <c r="B1687" s="2" t="str">
        <f>TRIM(Table1[[#This Row],[Numer_PZ]])</f>
        <v>PZ/801685</v>
      </c>
      <c r="C1687" s="2" t="str">
        <f>TRIM(Table1[[#This Row],[Dostawca]])</f>
        <v>VitaDistrib</v>
      </c>
      <c r="D1687" s="3">
        <v>45179</v>
      </c>
      <c r="E1687" s="4" t="s">
        <v>4995</v>
      </c>
      <c r="F1687" s="2" t="str">
        <f>TRIM(Table1[[#This Row],[Status]])</f>
        <v>Zaakceptowana</v>
      </c>
      <c r="G1687" s="2" t="str">
        <f>TRIM(Table1[[#This Row],[Typ]])</f>
        <v>Faktura VAT</v>
      </c>
      <c r="H1687" s="2" t="str">
        <f>TRIM(Table1[[#This Row],[Magazyn]])</f>
        <v>Apteka Szpitalna</v>
      </c>
      <c r="I1687" s="2" t="str">
        <f>TRIM(Table1[[#This Row],[Umowa]])</f>
        <v/>
      </c>
      <c r="J1687" s="2" t="b">
        <f>ISTEXT(Table14[[#This Row],[Data_Wystawienia]])</f>
        <v>0</v>
      </c>
      <c r="K1687" s="2">
        <f>VALUE(SUBSTITUTE(Table14[[#This Row],[Wartość]],".",","))</f>
        <v>14040.7</v>
      </c>
      <c r="L16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7" s="2" t="str">
        <f>IF(Table14[[#This Row],[Umowa]]="","Poza umową","Z umowy")</f>
        <v>Poza umową</v>
      </c>
      <c r="N1687" s="2">
        <f>YEAR(Table14[[#This Row],[Data_Wystawienia]])</f>
        <v>2023</v>
      </c>
      <c r="O1687" s="2" t="str">
        <f>TEXT(Table14[[#This Row],[Data_Wystawienia]],"rrrr-mm")</f>
        <v>2023-09</v>
      </c>
      <c r="P1687" s="2">
        <v>1</v>
      </c>
    </row>
    <row r="1688" spans="1:16" x14ac:dyDescent="0.3">
      <c r="A1688" s="2" t="str">
        <f>TRIM(Table1[[#This Row],[Numer_FV]])</f>
        <v>FV/4431HM/23</v>
      </c>
      <c r="B1688" s="2" t="str">
        <f>TRIM(Table1[[#This Row],[Numer_PZ]])</f>
        <v>PZ/801686</v>
      </c>
      <c r="C1688" s="2" t="str">
        <f>TRIM(Table1[[#This Row],[Dostawca]])</f>
        <v>HurtMedix</v>
      </c>
      <c r="D1688" s="3">
        <v>45179</v>
      </c>
      <c r="E1688" s="4" t="s">
        <v>4998</v>
      </c>
      <c r="F1688" s="2" t="str">
        <f>TRIM(Table1[[#This Row],[Status]])</f>
        <v>Zaakceptowana</v>
      </c>
      <c r="G1688" s="2" t="str">
        <f>TRIM(Table1[[#This Row],[Typ]])</f>
        <v>Faktura VAT</v>
      </c>
      <c r="H1688" s="2" t="str">
        <f>TRIM(Table1[[#This Row],[Magazyn]])</f>
        <v>Apteka Szpitalna</v>
      </c>
      <c r="I1688" s="2" t="str">
        <f>TRIM(Table1[[#This Row],[Umowa]])</f>
        <v>UM-HUR-01</v>
      </c>
      <c r="J1688" s="2" t="b">
        <f>ISTEXT(Table14[[#This Row],[Data_Wystawienia]])</f>
        <v>0</v>
      </c>
      <c r="K1688" s="2">
        <f>VALUE(SUBSTITUTE(Table14[[#This Row],[Wartość]],".",","))</f>
        <v>15959.86</v>
      </c>
      <c r="L16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8" s="2" t="str">
        <f>IF(Table14[[#This Row],[Umowa]]="","Poza umową","Z umowy")</f>
        <v>Z umowy</v>
      </c>
      <c r="N1688" s="2">
        <f>YEAR(Table14[[#This Row],[Data_Wystawienia]])</f>
        <v>2023</v>
      </c>
      <c r="O1688" s="2" t="str">
        <f>TEXT(Table14[[#This Row],[Data_Wystawienia]],"rrrr-mm")</f>
        <v>2023-09</v>
      </c>
      <c r="P1688" s="2">
        <v>1</v>
      </c>
    </row>
    <row r="1689" spans="1:16" x14ac:dyDescent="0.3">
      <c r="A1689" s="2" t="str">
        <f>TRIM(Table1[[#This Row],[Numer_FV]])</f>
        <v>FV/79/PP/6838/23</v>
      </c>
      <c r="B1689" s="2" t="str">
        <f>TRIM(Table1[[#This Row],[Numer_PZ]])</f>
        <v>PZ/801687</v>
      </c>
      <c r="C1689" s="2" t="str">
        <f>TRIM(Table1[[#This Row],[Dostawca]])</f>
        <v>PharmaPlus</v>
      </c>
      <c r="D1689" s="3">
        <v>45179</v>
      </c>
      <c r="E1689" s="4" t="s">
        <v>5001</v>
      </c>
      <c r="F1689" s="2" t="str">
        <f>TRIM(Table1[[#This Row],[Status]])</f>
        <v>Zaakceptowana</v>
      </c>
      <c r="G1689" s="2" t="str">
        <f>TRIM(Table1[[#This Row],[Typ]])</f>
        <v>Faktura VAT</v>
      </c>
      <c r="H1689" s="2" t="str">
        <f>TRIM(Table1[[#This Row],[Magazyn]])</f>
        <v>Apteka Szpitalna</v>
      </c>
      <c r="I1689" s="2" t="str">
        <f>TRIM(Table1[[#This Row],[Umowa]])</f>
        <v>UM-PHA-02</v>
      </c>
      <c r="J1689" s="2" t="b">
        <f>ISTEXT(Table14[[#This Row],[Data_Wystawienia]])</f>
        <v>0</v>
      </c>
      <c r="K1689" s="2">
        <f>VALUE(SUBSTITUTE(Table14[[#This Row],[Wartość]],".",","))</f>
        <v>8512.69</v>
      </c>
      <c r="L16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89" s="2" t="str">
        <f>IF(Table14[[#This Row],[Umowa]]="","Poza umową","Z umowy")</f>
        <v>Z umowy</v>
      </c>
      <c r="N1689" s="2">
        <f>YEAR(Table14[[#This Row],[Data_Wystawienia]])</f>
        <v>2023</v>
      </c>
      <c r="O1689" s="2" t="str">
        <f>TEXT(Table14[[#This Row],[Data_Wystawienia]],"rrrr-mm")</f>
        <v>2023-09</v>
      </c>
      <c r="P1689" s="2">
        <v>1</v>
      </c>
    </row>
    <row r="1690" spans="1:16" x14ac:dyDescent="0.3">
      <c r="A1690" s="2" t="str">
        <f>TRIM(Table1[[#This Row],[Numer_FV]])</f>
        <v>FV/40/PP/6918/23</v>
      </c>
      <c r="B1690" s="2" t="str">
        <f>TRIM(Table1[[#This Row],[Numer_PZ]])</f>
        <v>PZ/801688</v>
      </c>
      <c r="C1690" s="2" t="str">
        <f>TRIM(Table1[[#This Row],[Dostawca]])</f>
        <v>PharmaPlus</v>
      </c>
      <c r="D1690" s="3">
        <v>45179</v>
      </c>
      <c r="E1690" s="4" t="s">
        <v>5004</v>
      </c>
      <c r="F1690" s="2" t="str">
        <f>TRIM(Table1[[#This Row],[Status]])</f>
        <v>Zaakceptowana</v>
      </c>
      <c r="G1690" s="2" t="str">
        <f>TRIM(Table1[[#This Row],[Typ]])</f>
        <v>Faktura VAT</v>
      </c>
      <c r="H1690" s="2" t="str">
        <f>TRIM(Table1[[#This Row],[Magazyn]])</f>
        <v>Apteka Szpitalna</v>
      </c>
      <c r="I1690" s="2" t="str">
        <f>TRIM(Table1[[#This Row],[Umowa]])</f>
        <v>UM-PHA-02</v>
      </c>
      <c r="J1690" s="2" t="b">
        <f>ISTEXT(Table14[[#This Row],[Data_Wystawienia]])</f>
        <v>0</v>
      </c>
      <c r="K1690" s="2">
        <f>VALUE(SUBSTITUTE(Table14[[#This Row],[Wartość]],".",","))</f>
        <v>7899.76</v>
      </c>
      <c r="L16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0" s="2" t="str">
        <f>IF(Table14[[#This Row],[Umowa]]="","Poza umową","Z umowy")</f>
        <v>Z umowy</v>
      </c>
      <c r="N1690" s="2">
        <f>YEAR(Table14[[#This Row],[Data_Wystawienia]])</f>
        <v>2023</v>
      </c>
      <c r="O1690" s="2" t="str">
        <f>TEXT(Table14[[#This Row],[Data_Wystawienia]],"rrrr-mm")</f>
        <v>2023-09</v>
      </c>
      <c r="P1690" s="2">
        <v>1</v>
      </c>
    </row>
    <row r="1691" spans="1:16" x14ac:dyDescent="0.3">
      <c r="A1691" s="2" t="str">
        <f>TRIM(Table1[[#This Row],[Numer_FV]])</f>
        <v>FV/CENFA/487740/23</v>
      </c>
      <c r="B1691" s="2" t="str">
        <f>TRIM(Table1[[#This Row],[Numer_PZ]])</f>
        <v>PZ/801689</v>
      </c>
      <c r="C1691" s="2" t="str">
        <f>TRIM(Table1[[#This Row],[Dostawca]])</f>
        <v>CentrumFarm</v>
      </c>
      <c r="D1691" s="3">
        <v>45181</v>
      </c>
      <c r="E1691" s="4" t="s">
        <v>5007</v>
      </c>
      <c r="F1691" s="2" t="str">
        <f>TRIM(Table1[[#This Row],[Status]])</f>
        <v>Zaakceptowana</v>
      </c>
      <c r="G1691" s="2" t="str">
        <f>TRIM(Table1[[#This Row],[Typ]])</f>
        <v>Faktura VAT</v>
      </c>
      <c r="H1691" s="2" t="str">
        <f>TRIM(Table1[[#This Row],[Magazyn]])</f>
        <v>Apteka Szpitalna</v>
      </c>
      <c r="I1691" s="2" t="str">
        <f>TRIM(Table1[[#This Row],[Umowa]])</f>
        <v>UM-CEN-02</v>
      </c>
      <c r="J1691" s="2" t="b">
        <f>ISTEXT(Table14[[#This Row],[Data_Wystawienia]])</f>
        <v>0</v>
      </c>
      <c r="K1691" s="2">
        <f>VALUE(SUBSTITUTE(Table14[[#This Row],[Wartość]],".",","))</f>
        <v>13917.86</v>
      </c>
      <c r="L16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1" s="2" t="str">
        <f>IF(Table14[[#This Row],[Umowa]]="","Poza umową","Z umowy")</f>
        <v>Z umowy</v>
      </c>
      <c r="N1691" s="2">
        <f>YEAR(Table14[[#This Row],[Data_Wystawienia]])</f>
        <v>2023</v>
      </c>
      <c r="O1691" s="2" t="str">
        <f>TEXT(Table14[[#This Row],[Data_Wystawienia]],"rrrr-mm")</f>
        <v>2023-09</v>
      </c>
      <c r="P1691" s="2">
        <v>1</v>
      </c>
    </row>
    <row r="1692" spans="1:16" x14ac:dyDescent="0.3">
      <c r="A1692" s="2" t="str">
        <f>TRIM(Table1[[#This Row],[Numer_FV]])</f>
        <v>FV/83/SAL/23</v>
      </c>
      <c r="B1692" s="2" t="str">
        <f>TRIM(Table1[[#This Row],[Numer_PZ]])</f>
        <v>PZ/801690</v>
      </c>
      <c r="C1692" s="2" t="str">
        <f>TRIM(Table1[[#This Row],[Dostawca]])</f>
        <v>SalusHurt</v>
      </c>
      <c r="D1692" s="3">
        <v>45181</v>
      </c>
      <c r="E1692" s="4" t="s">
        <v>5009</v>
      </c>
      <c r="F1692" s="2" t="str">
        <f>TRIM(Table1[[#This Row],[Status]])</f>
        <v>Zaakceptowana</v>
      </c>
      <c r="G1692" s="2" t="str">
        <f>TRIM(Table1[[#This Row],[Typ]])</f>
        <v>Faktura VAT</v>
      </c>
      <c r="H1692" s="2" t="str">
        <f>TRIM(Table1[[#This Row],[Magazyn]])</f>
        <v>Apteka Szpitalna</v>
      </c>
      <c r="I1692" s="2" t="str">
        <f>TRIM(Table1[[#This Row],[Umowa]])</f>
        <v>UM-SAL-01</v>
      </c>
      <c r="J1692" s="2" t="b">
        <f>ISTEXT(Table14[[#This Row],[Data_Wystawienia]])</f>
        <v>0</v>
      </c>
      <c r="K1692" s="2">
        <f>VALUE(SUBSTITUTE(Table14[[#This Row],[Wartość]],".",","))</f>
        <v>14465.06</v>
      </c>
      <c r="L16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2" s="2" t="str">
        <f>IF(Table14[[#This Row],[Umowa]]="","Poza umową","Z umowy")</f>
        <v>Z umowy</v>
      </c>
      <c r="N1692" s="2">
        <f>YEAR(Table14[[#This Row],[Data_Wystawienia]])</f>
        <v>2023</v>
      </c>
      <c r="O1692" s="2" t="str">
        <f>TEXT(Table14[[#This Row],[Data_Wystawienia]],"rrrr-mm")</f>
        <v>2023-09</v>
      </c>
      <c r="P1692" s="2">
        <v>1</v>
      </c>
    </row>
    <row r="1693" spans="1:16" x14ac:dyDescent="0.3">
      <c r="A1693" s="2" t="str">
        <f>TRIM(Table1[[#This Row],[Numer_FV]])</f>
        <v>FV/69/PP/1745/23</v>
      </c>
      <c r="B1693" s="2" t="str">
        <f>TRIM(Table1[[#This Row],[Numer_PZ]])</f>
        <v>PZ/801691</v>
      </c>
      <c r="C1693" s="2" t="str">
        <f>TRIM(Table1[[#This Row],[Dostawca]])</f>
        <v>PharmaPlus</v>
      </c>
      <c r="D1693" s="3">
        <v>45182</v>
      </c>
      <c r="E1693" s="4" t="s">
        <v>5012</v>
      </c>
      <c r="F1693" s="2" t="str">
        <f>TRIM(Table1[[#This Row],[Status]])</f>
        <v>Zaakceptowana</v>
      </c>
      <c r="G1693" s="2" t="str">
        <f>TRIM(Table1[[#This Row],[Typ]])</f>
        <v>Faktura VAT</v>
      </c>
      <c r="H1693" s="2" t="str">
        <f>TRIM(Table1[[#This Row],[Magazyn]])</f>
        <v>Apteka Szpitalna</v>
      </c>
      <c r="I1693" s="2" t="str">
        <f>TRIM(Table1[[#This Row],[Umowa]])</f>
        <v>UM-PHA-01</v>
      </c>
      <c r="J1693" s="2" t="b">
        <f>ISTEXT(Table14[[#This Row],[Data_Wystawienia]])</f>
        <v>0</v>
      </c>
      <c r="K1693" s="2">
        <f>VALUE(SUBSTITUTE(Table14[[#This Row],[Wartość]],".",","))</f>
        <v>10942.38</v>
      </c>
      <c r="L16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3" s="2" t="str">
        <f>IF(Table14[[#This Row],[Umowa]]="","Poza umową","Z umowy")</f>
        <v>Z umowy</v>
      </c>
      <c r="N1693" s="2">
        <f>YEAR(Table14[[#This Row],[Data_Wystawienia]])</f>
        <v>2023</v>
      </c>
      <c r="O1693" s="2" t="str">
        <f>TEXT(Table14[[#This Row],[Data_Wystawienia]],"rrrr-mm")</f>
        <v>2023-09</v>
      </c>
      <c r="P1693" s="2">
        <v>1</v>
      </c>
    </row>
    <row r="1694" spans="1:16" x14ac:dyDescent="0.3">
      <c r="A1694" s="2" t="str">
        <f>TRIM(Table1[[#This Row],[Numer_FV]])</f>
        <v>FV/M/3844/P/23</v>
      </c>
      <c r="B1694" s="2" t="str">
        <f>TRIM(Table1[[#This Row],[Numer_PZ]])</f>
        <v>PZ/801692</v>
      </c>
      <c r="C1694" s="2" t="str">
        <f>TRIM(Table1[[#This Row],[Dostawca]])</f>
        <v>MedicaPharm</v>
      </c>
      <c r="D1694" s="3">
        <v>45182</v>
      </c>
      <c r="E1694" s="4" t="s">
        <v>5015</v>
      </c>
      <c r="F1694" s="2" t="str">
        <f>TRIM(Table1[[#This Row],[Status]])</f>
        <v>Zaakceptowana</v>
      </c>
      <c r="G1694" s="2" t="str">
        <f>TRIM(Table1[[#This Row],[Typ]])</f>
        <v>Faktura VAT</v>
      </c>
      <c r="H1694" s="2" t="str">
        <f>TRIM(Table1[[#This Row],[Magazyn]])</f>
        <v>Apteka Szpitalna</v>
      </c>
      <c r="I1694" s="2" t="str">
        <f>TRIM(Table1[[#This Row],[Umowa]])</f>
        <v>UM-MED-01</v>
      </c>
      <c r="J1694" s="2" t="b">
        <f>ISTEXT(Table14[[#This Row],[Data_Wystawienia]])</f>
        <v>0</v>
      </c>
      <c r="K1694" s="2">
        <f>VALUE(SUBSTITUTE(Table14[[#This Row],[Wartość]],".",","))</f>
        <v>13146.82</v>
      </c>
      <c r="L16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4" s="2" t="str">
        <f>IF(Table14[[#This Row],[Umowa]]="","Poza umową","Z umowy")</f>
        <v>Z umowy</v>
      </c>
      <c r="N1694" s="2">
        <f>YEAR(Table14[[#This Row],[Data_Wystawienia]])</f>
        <v>2023</v>
      </c>
      <c r="O1694" s="2" t="str">
        <f>TEXT(Table14[[#This Row],[Data_Wystawienia]],"rrrr-mm")</f>
        <v>2023-09</v>
      </c>
      <c r="P1694" s="2">
        <v>1</v>
      </c>
    </row>
    <row r="1695" spans="1:16" x14ac:dyDescent="0.3">
      <c r="A1695" s="2" t="str">
        <f>TRIM(Table1[[#This Row],[Numer_FV]])</f>
        <v>FV/2002/NOVA/23</v>
      </c>
      <c r="B1695" s="2" t="str">
        <f>TRIM(Table1[[#This Row],[Numer_PZ]])</f>
        <v>PZ/801693</v>
      </c>
      <c r="C1695" s="2" t="str">
        <f>TRIM(Table1[[#This Row],[Dostawca]])</f>
        <v>NovaLek</v>
      </c>
      <c r="D1695" s="3">
        <v>45182</v>
      </c>
      <c r="E1695" s="4" t="s">
        <v>5018</v>
      </c>
      <c r="F1695" s="2" t="str">
        <f>TRIM(Table1[[#This Row],[Status]])</f>
        <v>Zaakceptowana</v>
      </c>
      <c r="G1695" s="2" t="str">
        <f>TRIM(Table1[[#This Row],[Typ]])</f>
        <v>Faktura VAT</v>
      </c>
      <c r="H1695" s="2" t="str">
        <f>TRIM(Table1[[#This Row],[Magazyn]])</f>
        <v>Apteka Szpitalna</v>
      </c>
      <c r="I1695" s="2" t="str">
        <f>TRIM(Table1[[#This Row],[Umowa]])</f>
        <v/>
      </c>
      <c r="J1695" s="2" t="b">
        <f>ISTEXT(Table14[[#This Row],[Data_Wystawienia]])</f>
        <v>0</v>
      </c>
      <c r="K1695" s="2">
        <f>VALUE(SUBSTITUTE(Table14[[#This Row],[Wartość]],".",","))</f>
        <v>17608.759999999998</v>
      </c>
      <c r="L16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5" s="2" t="str">
        <f>IF(Table14[[#This Row],[Umowa]]="","Poza umową","Z umowy")</f>
        <v>Poza umową</v>
      </c>
      <c r="N1695" s="2">
        <f>YEAR(Table14[[#This Row],[Data_Wystawienia]])</f>
        <v>2023</v>
      </c>
      <c r="O1695" s="2" t="str">
        <f>TEXT(Table14[[#This Row],[Data_Wystawienia]],"rrrr-mm")</f>
        <v>2023-09</v>
      </c>
      <c r="P1695" s="2">
        <v>1</v>
      </c>
    </row>
    <row r="1696" spans="1:16" x14ac:dyDescent="0.3">
      <c r="A1696" s="2" t="str">
        <f>TRIM(Table1[[#This Row],[Numer_FV]])</f>
        <v>FV/54306/VDb/2023</v>
      </c>
      <c r="B1696" s="2" t="str">
        <f>TRIM(Table1[[#This Row],[Numer_PZ]])</f>
        <v>PZ/801694</v>
      </c>
      <c r="C1696" s="2" t="str">
        <f>TRIM(Table1[[#This Row],[Dostawca]])</f>
        <v>VitaDistrib</v>
      </c>
      <c r="D1696" s="3">
        <v>45182</v>
      </c>
      <c r="E1696" s="4" t="s">
        <v>5021</v>
      </c>
      <c r="F1696" s="2" t="str">
        <f>TRIM(Table1[[#This Row],[Status]])</f>
        <v>Zaakceptowana</v>
      </c>
      <c r="G1696" s="2" t="str">
        <f>TRIM(Table1[[#This Row],[Typ]])</f>
        <v>Faktura VAT</v>
      </c>
      <c r="H1696" s="2" t="str">
        <f>TRIM(Table1[[#This Row],[Magazyn]])</f>
        <v>Apteka Szpitalna</v>
      </c>
      <c r="I1696" s="2" t="str">
        <f>TRIM(Table1[[#This Row],[Umowa]])</f>
        <v/>
      </c>
      <c r="J1696" s="2" t="b">
        <f>ISTEXT(Table14[[#This Row],[Data_Wystawienia]])</f>
        <v>0</v>
      </c>
      <c r="K1696" s="2">
        <f>VALUE(SUBSTITUTE(Table14[[#This Row],[Wartość]],".",","))</f>
        <v>17962.490000000002</v>
      </c>
      <c r="L16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6" s="2" t="str">
        <f>IF(Table14[[#This Row],[Umowa]]="","Poza umową","Z umowy")</f>
        <v>Poza umową</v>
      </c>
      <c r="N1696" s="2">
        <f>YEAR(Table14[[#This Row],[Data_Wystawienia]])</f>
        <v>2023</v>
      </c>
      <c r="O1696" s="2" t="str">
        <f>TEXT(Table14[[#This Row],[Data_Wystawienia]],"rrrr-mm")</f>
        <v>2023-09</v>
      </c>
      <c r="P1696" s="2">
        <v>1</v>
      </c>
    </row>
    <row r="1697" spans="1:16" x14ac:dyDescent="0.3">
      <c r="A1697" s="2" t="str">
        <f>TRIM(Table1[[#This Row],[Numer_FV]])</f>
        <v>FV/CENFA/543142/23</v>
      </c>
      <c r="B1697" s="2" t="str">
        <f>TRIM(Table1[[#This Row],[Numer_PZ]])</f>
        <v>PZ/801695</v>
      </c>
      <c r="C1697" s="2" t="str">
        <f>TRIM(Table1[[#This Row],[Dostawca]])</f>
        <v>CentrumFarm</v>
      </c>
      <c r="D1697" s="3">
        <v>45182</v>
      </c>
      <c r="E1697" s="4" t="s">
        <v>5024</v>
      </c>
      <c r="F1697" s="2" t="str">
        <f>TRIM(Table1[[#This Row],[Status]])</f>
        <v>Zaakceptowana</v>
      </c>
      <c r="G1697" s="2" t="str">
        <f>TRIM(Table1[[#This Row],[Typ]])</f>
        <v>Faktura VAT</v>
      </c>
      <c r="H1697" s="2" t="str">
        <f>TRIM(Table1[[#This Row],[Magazyn]])</f>
        <v>Apteka Szpitalna</v>
      </c>
      <c r="I1697" s="2" t="str">
        <f>TRIM(Table1[[#This Row],[Umowa]])</f>
        <v/>
      </c>
      <c r="J1697" s="2" t="b">
        <f>ISTEXT(Table14[[#This Row],[Data_Wystawienia]])</f>
        <v>0</v>
      </c>
      <c r="K1697" s="2">
        <f>VALUE(SUBSTITUTE(Table14[[#This Row],[Wartość]],".",","))</f>
        <v>17118.78</v>
      </c>
      <c r="L16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7" s="2" t="str">
        <f>IF(Table14[[#This Row],[Umowa]]="","Poza umową","Z umowy")</f>
        <v>Poza umową</v>
      </c>
      <c r="N1697" s="2">
        <f>YEAR(Table14[[#This Row],[Data_Wystawienia]])</f>
        <v>2023</v>
      </c>
      <c r="O1697" s="2" t="str">
        <f>TEXT(Table14[[#This Row],[Data_Wystawienia]],"rrrr-mm")</f>
        <v>2023-09</v>
      </c>
      <c r="P1697" s="2">
        <v>1</v>
      </c>
    </row>
    <row r="1698" spans="1:16" x14ac:dyDescent="0.3">
      <c r="A1698" s="2" t="str">
        <f>TRIM(Table1[[#This Row],[Numer_FV]])</f>
        <v>FV/45872/VDb/2023</v>
      </c>
      <c r="B1698" s="2" t="str">
        <f>TRIM(Table1[[#This Row],[Numer_PZ]])</f>
        <v>PZ/801696</v>
      </c>
      <c r="C1698" s="2" t="str">
        <f>TRIM(Table1[[#This Row],[Dostawca]])</f>
        <v>VitaDistrib</v>
      </c>
      <c r="D1698" s="3">
        <v>45183</v>
      </c>
      <c r="E1698" s="4" t="s">
        <v>5027</v>
      </c>
      <c r="F1698" s="2" t="str">
        <f>TRIM(Table1[[#This Row],[Status]])</f>
        <v>Zaakceptowana</v>
      </c>
      <c r="G1698" s="2" t="str">
        <f>TRIM(Table1[[#This Row],[Typ]])</f>
        <v>Faktura VAT</v>
      </c>
      <c r="H1698" s="2" t="str">
        <f>TRIM(Table1[[#This Row],[Magazyn]])</f>
        <v>Apteka Szpitalna</v>
      </c>
      <c r="I1698" s="2" t="str">
        <f>TRIM(Table1[[#This Row],[Umowa]])</f>
        <v>UM-VIT-01</v>
      </c>
      <c r="J1698" s="2" t="b">
        <f>ISTEXT(Table14[[#This Row],[Data_Wystawienia]])</f>
        <v>0</v>
      </c>
      <c r="K1698" s="2">
        <f>VALUE(SUBSTITUTE(Table14[[#This Row],[Wartość]],".",","))</f>
        <v>14680.82</v>
      </c>
      <c r="L16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8" s="2" t="str">
        <f>IF(Table14[[#This Row],[Umowa]]="","Poza umową","Z umowy")</f>
        <v>Z umowy</v>
      </c>
      <c r="N1698" s="2">
        <f>YEAR(Table14[[#This Row],[Data_Wystawienia]])</f>
        <v>2023</v>
      </c>
      <c r="O1698" s="2" t="str">
        <f>TEXT(Table14[[#This Row],[Data_Wystawienia]],"rrrr-mm")</f>
        <v>2023-09</v>
      </c>
      <c r="P1698" s="2">
        <v>1</v>
      </c>
    </row>
    <row r="1699" spans="1:16" x14ac:dyDescent="0.3">
      <c r="A1699" s="2" t="str">
        <f>TRIM(Table1[[#This Row],[Numer_FV]])</f>
        <v>FV/21/SAL/23</v>
      </c>
      <c r="B1699" s="2" t="str">
        <f>TRIM(Table1[[#This Row],[Numer_PZ]])</f>
        <v>PZ/801697</v>
      </c>
      <c r="C1699" s="2" t="str">
        <f>TRIM(Table1[[#This Row],[Dostawca]])</f>
        <v>SalusHurt</v>
      </c>
      <c r="D1699" s="3">
        <v>45183</v>
      </c>
      <c r="E1699" s="4" t="s">
        <v>5029</v>
      </c>
      <c r="F1699" s="2" t="str">
        <f>TRIM(Table1[[#This Row],[Status]])</f>
        <v>Zaakceptowana</v>
      </c>
      <c r="G1699" s="2" t="str">
        <f>TRIM(Table1[[#This Row],[Typ]])</f>
        <v>Faktura VAT</v>
      </c>
      <c r="H1699" s="2" t="str">
        <f>TRIM(Table1[[#This Row],[Magazyn]])</f>
        <v>Apteka Szpitalna</v>
      </c>
      <c r="I1699" s="2" t="str">
        <f>TRIM(Table1[[#This Row],[Umowa]])</f>
        <v>UM-SAL-02</v>
      </c>
      <c r="J1699" s="2" t="b">
        <f>ISTEXT(Table14[[#This Row],[Data_Wystawienia]])</f>
        <v>0</v>
      </c>
      <c r="K1699" s="2">
        <f>VALUE(SUBSTITUTE(Table14[[#This Row],[Wartość]],".",","))</f>
        <v>19033.28</v>
      </c>
      <c r="L16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699" s="2" t="str">
        <f>IF(Table14[[#This Row],[Umowa]]="","Poza umową","Z umowy")</f>
        <v>Z umowy</v>
      </c>
      <c r="N1699" s="2">
        <f>YEAR(Table14[[#This Row],[Data_Wystawienia]])</f>
        <v>2023</v>
      </c>
      <c r="O1699" s="2" t="str">
        <f>TEXT(Table14[[#This Row],[Data_Wystawienia]],"rrrr-mm")</f>
        <v>2023-09</v>
      </c>
      <c r="P1699" s="2">
        <v>1</v>
      </c>
    </row>
    <row r="1700" spans="1:16" x14ac:dyDescent="0.3">
      <c r="A1700" s="2" t="str">
        <f>TRIM(Table1[[#This Row],[Numer_FV]])</f>
        <v>FV/86/PP/8663/23</v>
      </c>
      <c r="B1700" s="2" t="str">
        <f>TRIM(Table1[[#This Row],[Numer_PZ]])</f>
        <v>PZ/801698</v>
      </c>
      <c r="C1700" s="2" t="str">
        <f>TRIM(Table1[[#This Row],[Dostawca]])</f>
        <v>PharmaPlus</v>
      </c>
      <c r="D1700" s="3">
        <v>45183</v>
      </c>
      <c r="E1700" s="4" t="s">
        <v>5032</v>
      </c>
      <c r="F1700" s="2" t="str">
        <f>TRIM(Table1[[#This Row],[Status]])</f>
        <v>Zaakceptowana</v>
      </c>
      <c r="G1700" s="2" t="str">
        <f>TRIM(Table1[[#This Row],[Typ]])</f>
        <v>Faktura VAT</v>
      </c>
      <c r="H1700" s="2" t="str">
        <f>TRIM(Table1[[#This Row],[Magazyn]])</f>
        <v>Apteka Szpitalna</v>
      </c>
      <c r="I1700" s="2" t="str">
        <f>TRIM(Table1[[#This Row],[Umowa]])</f>
        <v/>
      </c>
      <c r="J1700" s="2" t="b">
        <f>ISTEXT(Table14[[#This Row],[Data_Wystawienia]])</f>
        <v>0</v>
      </c>
      <c r="K1700" s="2">
        <f>VALUE(SUBSTITUTE(Table14[[#This Row],[Wartość]],".",","))</f>
        <v>19404.41</v>
      </c>
      <c r="L17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0" s="2" t="str">
        <f>IF(Table14[[#This Row],[Umowa]]="","Poza umową","Z umowy")</f>
        <v>Poza umową</v>
      </c>
      <c r="N1700" s="2">
        <f>YEAR(Table14[[#This Row],[Data_Wystawienia]])</f>
        <v>2023</v>
      </c>
      <c r="O1700" s="2" t="str">
        <f>TEXT(Table14[[#This Row],[Data_Wystawienia]],"rrrr-mm")</f>
        <v>2023-09</v>
      </c>
      <c r="P1700" s="2">
        <v>1</v>
      </c>
    </row>
    <row r="1701" spans="1:16" x14ac:dyDescent="0.3">
      <c r="A1701" s="2" t="str">
        <f>TRIM(Table1[[#This Row],[Numer_FV]])</f>
        <v>FV/5107/NOVA/23</v>
      </c>
      <c r="B1701" s="2" t="str">
        <f>TRIM(Table1[[#This Row],[Numer_PZ]])</f>
        <v>PZ/801699</v>
      </c>
      <c r="C1701" s="2" t="str">
        <f>TRIM(Table1[[#This Row],[Dostawca]])</f>
        <v>NovaLek</v>
      </c>
      <c r="D1701" s="3">
        <v>45183</v>
      </c>
      <c r="E1701" s="4" t="s">
        <v>5035</v>
      </c>
      <c r="F1701" s="2" t="str">
        <f>TRIM(Table1[[#This Row],[Status]])</f>
        <v>Zaakceptowana</v>
      </c>
      <c r="G1701" s="2" t="str">
        <f>TRIM(Table1[[#This Row],[Typ]])</f>
        <v>Faktura VAT</v>
      </c>
      <c r="H1701" s="2" t="str">
        <f>TRIM(Table1[[#This Row],[Magazyn]])</f>
        <v>Apteka Szpitalna</v>
      </c>
      <c r="I1701" s="2" t="str">
        <f>TRIM(Table1[[#This Row],[Umowa]])</f>
        <v>UM-NOV-01</v>
      </c>
      <c r="J1701" s="2" t="b">
        <f>ISTEXT(Table14[[#This Row],[Data_Wystawienia]])</f>
        <v>0</v>
      </c>
      <c r="K1701" s="2">
        <f>VALUE(SUBSTITUTE(Table14[[#This Row],[Wartość]],".",","))</f>
        <v>13065.2</v>
      </c>
      <c r="L17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1" s="2" t="str">
        <f>IF(Table14[[#This Row],[Umowa]]="","Poza umową","Z umowy")</f>
        <v>Z umowy</v>
      </c>
      <c r="N1701" s="2">
        <f>YEAR(Table14[[#This Row],[Data_Wystawienia]])</f>
        <v>2023</v>
      </c>
      <c r="O1701" s="2" t="str">
        <f>TEXT(Table14[[#This Row],[Data_Wystawienia]],"rrrr-mm")</f>
        <v>2023-09</v>
      </c>
      <c r="P1701" s="2">
        <v>1</v>
      </c>
    </row>
    <row r="1702" spans="1:16" x14ac:dyDescent="0.3">
      <c r="A1702" s="2" t="str">
        <f>TRIM(Table1[[#This Row],[Numer_FV]])</f>
        <v>FV/M/6974/P/23</v>
      </c>
      <c r="B1702" s="2" t="str">
        <f>TRIM(Table1[[#This Row],[Numer_PZ]])</f>
        <v>PZ/801700</v>
      </c>
      <c r="C1702" s="2" t="str">
        <f>TRIM(Table1[[#This Row],[Dostawca]])</f>
        <v>MedicaPharm</v>
      </c>
      <c r="D1702" s="3">
        <v>45184</v>
      </c>
      <c r="E1702" s="4" t="s">
        <v>5038</v>
      </c>
      <c r="F1702" s="2" t="str">
        <f>TRIM(Table1[[#This Row],[Status]])</f>
        <v>Zaakceptowana</v>
      </c>
      <c r="G1702" s="2" t="str">
        <f>TRIM(Table1[[#This Row],[Typ]])</f>
        <v>Faktura VAT</v>
      </c>
      <c r="H1702" s="2" t="str">
        <f>TRIM(Table1[[#This Row],[Magazyn]])</f>
        <v>Apteka Szpitalna</v>
      </c>
      <c r="I1702" s="2" t="str">
        <f>TRIM(Table1[[#This Row],[Umowa]])</f>
        <v>UM-MED-01</v>
      </c>
      <c r="J1702" s="2" t="b">
        <f>ISTEXT(Table14[[#This Row],[Data_Wystawienia]])</f>
        <v>0</v>
      </c>
      <c r="K1702" s="2">
        <f>VALUE(SUBSTITUTE(Table14[[#This Row],[Wartość]],".",","))</f>
        <v>17142.96</v>
      </c>
      <c r="L17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2" s="2" t="str">
        <f>IF(Table14[[#This Row],[Umowa]]="","Poza umową","Z umowy")</f>
        <v>Z umowy</v>
      </c>
      <c r="N1702" s="2">
        <f>YEAR(Table14[[#This Row],[Data_Wystawienia]])</f>
        <v>2023</v>
      </c>
      <c r="O1702" s="2" t="str">
        <f>TEXT(Table14[[#This Row],[Data_Wystawienia]],"rrrr-mm")</f>
        <v>2023-09</v>
      </c>
      <c r="P1702" s="2">
        <v>1</v>
      </c>
    </row>
    <row r="1703" spans="1:16" x14ac:dyDescent="0.3">
      <c r="A1703" s="2" t="str">
        <f>TRIM(Table1[[#This Row],[Numer_FV]])</f>
        <v>FV/5441HM/23</v>
      </c>
      <c r="B1703" s="2" t="str">
        <f>TRIM(Table1[[#This Row],[Numer_PZ]])</f>
        <v>PZ/801701</v>
      </c>
      <c r="C1703" s="2" t="str">
        <f>TRIM(Table1[[#This Row],[Dostawca]])</f>
        <v>HurtMedix</v>
      </c>
      <c r="D1703" s="3">
        <v>45184</v>
      </c>
      <c r="E1703" s="4" t="s">
        <v>5041</v>
      </c>
      <c r="F1703" s="2" t="str">
        <f>TRIM(Table1[[#This Row],[Status]])</f>
        <v>Zaakceptowana</v>
      </c>
      <c r="G1703" s="2" t="str">
        <f>TRIM(Table1[[#This Row],[Typ]])</f>
        <v>Faktura VAT</v>
      </c>
      <c r="H1703" s="2" t="str">
        <f>TRIM(Table1[[#This Row],[Magazyn]])</f>
        <v>Apteka Szpitalna</v>
      </c>
      <c r="I1703" s="2" t="str">
        <f>TRIM(Table1[[#This Row],[Umowa]])</f>
        <v>UM-HUR-01</v>
      </c>
      <c r="J1703" s="2" t="b">
        <f>ISTEXT(Table14[[#This Row],[Data_Wystawienia]])</f>
        <v>0</v>
      </c>
      <c r="K1703" s="2">
        <f>VALUE(SUBSTITUTE(Table14[[#This Row],[Wartość]],".",","))</f>
        <v>19135.080000000002</v>
      </c>
      <c r="L17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3" s="2" t="str">
        <f>IF(Table14[[#This Row],[Umowa]]="","Poza umową","Z umowy")</f>
        <v>Z umowy</v>
      </c>
      <c r="N1703" s="2">
        <f>YEAR(Table14[[#This Row],[Data_Wystawienia]])</f>
        <v>2023</v>
      </c>
      <c r="O1703" s="2" t="str">
        <f>TEXT(Table14[[#This Row],[Data_Wystawienia]],"rrrr-mm")</f>
        <v>2023-09</v>
      </c>
      <c r="P1703" s="2">
        <v>1</v>
      </c>
    </row>
    <row r="1704" spans="1:16" x14ac:dyDescent="0.3">
      <c r="A1704" s="2" t="str">
        <f>TRIM(Table1[[#This Row],[Numer_FV]])</f>
        <v>FV/9608/NOVA/23</v>
      </c>
      <c r="B1704" s="2" t="str">
        <f>TRIM(Table1[[#This Row],[Numer_PZ]])</f>
        <v>PZ/801702</v>
      </c>
      <c r="C1704" s="2" t="str">
        <f>TRIM(Table1[[#This Row],[Dostawca]])</f>
        <v>NovaLek</v>
      </c>
      <c r="D1704" s="3">
        <v>45184</v>
      </c>
      <c r="E1704" s="4" t="s">
        <v>5044</v>
      </c>
      <c r="F1704" s="2" t="str">
        <f>TRIM(Table1[[#This Row],[Status]])</f>
        <v>Zaakceptowana</v>
      </c>
      <c r="G1704" s="2" t="str">
        <f>TRIM(Table1[[#This Row],[Typ]])</f>
        <v>Faktura VAT</v>
      </c>
      <c r="H1704" s="2" t="str">
        <f>TRIM(Table1[[#This Row],[Magazyn]])</f>
        <v>Apteka Szpitalna</v>
      </c>
      <c r="I1704" s="2" t="str">
        <f>TRIM(Table1[[#This Row],[Umowa]])</f>
        <v>UM-NOV-02</v>
      </c>
      <c r="J1704" s="2" t="b">
        <f>ISTEXT(Table14[[#This Row],[Data_Wystawienia]])</f>
        <v>0</v>
      </c>
      <c r="K1704" s="2">
        <f>VALUE(SUBSTITUTE(Table14[[#This Row],[Wartość]],".",","))</f>
        <v>14660.42</v>
      </c>
      <c r="L17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4" s="2" t="str">
        <f>IF(Table14[[#This Row],[Umowa]]="","Poza umową","Z umowy")</f>
        <v>Z umowy</v>
      </c>
      <c r="N1704" s="2">
        <f>YEAR(Table14[[#This Row],[Data_Wystawienia]])</f>
        <v>2023</v>
      </c>
      <c r="O1704" s="2" t="str">
        <f>TEXT(Table14[[#This Row],[Data_Wystawienia]],"rrrr-mm")</f>
        <v>2023-09</v>
      </c>
      <c r="P1704" s="2">
        <v>1</v>
      </c>
    </row>
    <row r="1705" spans="1:16" x14ac:dyDescent="0.3">
      <c r="A1705" s="2" t="str">
        <f>TRIM(Table1[[#This Row],[Numer_FV]])</f>
        <v>FV/59/SAL/23</v>
      </c>
      <c r="B1705" s="2" t="str">
        <f>TRIM(Table1[[#This Row],[Numer_PZ]])</f>
        <v>PZ/801703</v>
      </c>
      <c r="C1705" s="2" t="str">
        <f>TRIM(Table1[[#This Row],[Dostawca]])</f>
        <v>SalusHurt</v>
      </c>
      <c r="D1705" s="3">
        <v>45185</v>
      </c>
      <c r="E1705" s="4" t="s">
        <v>5046</v>
      </c>
      <c r="F1705" s="2" t="str">
        <f>TRIM(Table1[[#This Row],[Status]])</f>
        <v>Zaakceptowana</v>
      </c>
      <c r="G1705" s="2" t="str">
        <f>TRIM(Table1[[#This Row],[Typ]])</f>
        <v>Faktura VAT</v>
      </c>
      <c r="H1705" s="2" t="str">
        <f>TRIM(Table1[[#This Row],[Magazyn]])</f>
        <v>Apteka Szpitalna</v>
      </c>
      <c r="I1705" s="2" t="str">
        <f>TRIM(Table1[[#This Row],[Umowa]])</f>
        <v>UM-SAL-02</v>
      </c>
      <c r="J1705" s="2" t="b">
        <f>ISTEXT(Table14[[#This Row],[Data_Wystawienia]])</f>
        <v>0</v>
      </c>
      <c r="K1705" s="2">
        <f>VALUE(SUBSTITUTE(Table14[[#This Row],[Wartość]],".",","))</f>
        <v>13780.98</v>
      </c>
      <c r="L17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5" s="2" t="str">
        <f>IF(Table14[[#This Row],[Umowa]]="","Poza umową","Z umowy")</f>
        <v>Z umowy</v>
      </c>
      <c r="N1705" s="2">
        <f>YEAR(Table14[[#This Row],[Data_Wystawienia]])</f>
        <v>2023</v>
      </c>
      <c r="O1705" s="2" t="str">
        <f>TEXT(Table14[[#This Row],[Data_Wystawienia]],"rrrr-mm")</f>
        <v>2023-09</v>
      </c>
      <c r="P1705" s="2">
        <v>1</v>
      </c>
    </row>
    <row r="1706" spans="1:16" x14ac:dyDescent="0.3">
      <c r="A1706" s="2" t="str">
        <f>TRIM(Table1[[#This Row],[Numer_FV]])</f>
        <v>FV/52771/VDb/2023</v>
      </c>
      <c r="B1706" s="2" t="str">
        <f>TRIM(Table1[[#This Row],[Numer_PZ]])</f>
        <v>PZ/801704</v>
      </c>
      <c r="C1706" s="2" t="str">
        <f>TRIM(Table1[[#This Row],[Dostawca]])</f>
        <v>VitaDistrib</v>
      </c>
      <c r="D1706" s="3">
        <v>45185</v>
      </c>
      <c r="E1706" s="4" t="s">
        <v>5049</v>
      </c>
      <c r="F1706" s="2" t="str">
        <f>TRIM(Table1[[#This Row],[Status]])</f>
        <v>Zaakceptowana</v>
      </c>
      <c r="G1706" s="2" t="str">
        <f>TRIM(Table1[[#This Row],[Typ]])</f>
        <v>Faktura VAT</v>
      </c>
      <c r="H1706" s="2" t="str">
        <f>TRIM(Table1[[#This Row],[Magazyn]])</f>
        <v>Apteka Szpitalna</v>
      </c>
      <c r="I1706" s="2" t="str">
        <f>TRIM(Table1[[#This Row],[Umowa]])</f>
        <v/>
      </c>
      <c r="J1706" s="2" t="b">
        <f>ISTEXT(Table14[[#This Row],[Data_Wystawienia]])</f>
        <v>0</v>
      </c>
      <c r="K1706" s="2">
        <f>VALUE(SUBSTITUTE(Table14[[#This Row],[Wartość]],".",","))</f>
        <v>10142.57</v>
      </c>
      <c r="L17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6" s="2" t="str">
        <f>IF(Table14[[#This Row],[Umowa]]="","Poza umową","Z umowy")</f>
        <v>Poza umową</v>
      </c>
      <c r="N1706" s="2">
        <f>YEAR(Table14[[#This Row],[Data_Wystawienia]])</f>
        <v>2023</v>
      </c>
      <c r="O1706" s="2" t="str">
        <f>TEXT(Table14[[#This Row],[Data_Wystawienia]],"rrrr-mm")</f>
        <v>2023-09</v>
      </c>
      <c r="P1706" s="2">
        <v>1</v>
      </c>
    </row>
    <row r="1707" spans="1:16" x14ac:dyDescent="0.3">
      <c r="A1707" s="2" t="str">
        <f>TRIM(Table1[[#This Row],[Numer_FV]])</f>
        <v>FV/4379HM/23</v>
      </c>
      <c r="B1707" s="2" t="str">
        <f>TRIM(Table1[[#This Row],[Numer_PZ]])</f>
        <v>PZ/801705</v>
      </c>
      <c r="C1707" s="2" t="str">
        <f>TRIM(Table1[[#This Row],[Dostawca]])</f>
        <v>HurtMedix</v>
      </c>
      <c r="D1707" s="3">
        <v>45185</v>
      </c>
      <c r="E1707" s="4" t="s">
        <v>5052</v>
      </c>
      <c r="F1707" s="2" t="str">
        <f>TRIM(Table1[[#This Row],[Status]])</f>
        <v>Zaakceptowana</v>
      </c>
      <c r="G1707" s="2" t="str">
        <f>TRIM(Table1[[#This Row],[Typ]])</f>
        <v>Faktura VAT</v>
      </c>
      <c r="H1707" s="2" t="str">
        <f>TRIM(Table1[[#This Row],[Magazyn]])</f>
        <v>Apteka Szpitalna</v>
      </c>
      <c r="I1707" s="2" t="str">
        <f>TRIM(Table1[[#This Row],[Umowa]])</f>
        <v>UM-HUR-01</v>
      </c>
      <c r="J1707" s="2" t="b">
        <f>ISTEXT(Table14[[#This Row],[Data_Wystawienia]])</f>
        <v>0</v>
      </c>
      <c r="K1707" s="2">
        <f>VALUE(SUBSTITUTE(Table14[[#This Row],[Wartość]],".",","))</f>
        <v>13543.68</v>
      </c>
      <c r="L17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7" s="2" t="str">
        <f>IF(Table14[[#This Row],[Umowa]]="","Poza umową","Z umowy")</f>
        <v>Z umowy</v>
      </c>
      <c r="N1707" s="2">
        <f>YEAR(Table14[[#This Row],[Data_Wystawienia]])</f>
        <v>2023</v>
      </c>
      <c r="O1707" s="2" t="str">
        <f>TEXT(Table14[[#This Row],[Data_Wystawienia]],"rrrr-mm")</f>
        <v>2023-09</v>
      </c>
      <c r="P1707" s="2">
        <v>1</v>
      </c>
    </row>
    <row r="1708" spans="1:16" x14ac:dyDescent="0.3">
      <c r="A1708" s="2" t="str">
        <f>TRIM(Table1[[#This Row],[Numer_FV]])</f>
        <v>FV/7040HM/23</v>
      </c>
      <c r="B1708" s="2" t="str">
        <f>TRIM(Table1[[#This Row],[Numer_PZ]])</f>
        <v>PZ/801706</v>
      </c>
      <c r="C1708" s="2" t="str">
        <f>TRIM(Table1[[#This Row],[Dostawca]])</f>
        <v>HurtMedix</v>
      </c>
      <c r="D1708" s="3">
        <v>45186</v>
      </c>
      <c r="E1708" s="4" t="s">
        <v>5055</v>
      </c>
      <c r="F1708" s="2" t="str">
        <f>TRIM(Table1[[#This Row],[Status]])</f>
        <v>Zaakceptowana</v>
      </c>
      <c r="G1708" s="2" t="str">
        <f>TRIM(Table1[[#This Row],[Typ]])</f>
        <v>Faktura VAT</v>
      </c>
      <c r="H1708" s="2" t="str">
        <f>TRIM(Table1[[#This Row],[Magazyn]])</f>
        <v>Apteka Szpitalna</v>
      </c>
      <c r="I1708" s="2" t="str">
        <f>TRIM(Table1[[#This Row],[Umowa]])</f>
        <v>UM-HUR-01</v>
      </c>
      <c r="J1708" s="2" t="b">
        <f>ISTEXT(Table14[[#This Row],[Data_Wystawienia]])</f>
        <v>0</v>
      </c>
      <c r="K1708" s="2">
        <f>VALUE(SUBSTITUTE(Table14[[#This Row],[Wartość]],".",","))</f>
        <v>18571.490000000002</v>
      </c>
      <c r="L17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8" s="2" t="str">
        <f>IF(Table14[[#This Row],[Umowa]]="","Poza umową","Z umowy")</f>
        <v>Z umowy</v>
      </c>
      <c r="N1708" s="2">
        <f>YEAR(Table14[[#This Row],[Data_Wystawienia]])</f>
        <v>2023</v>
      </c>
      <c r="O1708" s="2" t="str">
        <f>TEXT(Table14[[#This Row],[Data_Wystawienia]],"rrrr-mm")</f>
        <v>2023-09</v>
      </c>
      <c r="P1708" s="2">
        <v>1</v>
      </c>
    </row>
    <row r="1709" spans="1:16" x14ac:dyDescent="0.3">
      <c r="A1709" s="2" t="str">
        <f>TRIM(Table1[[#This Row],[Numer_FV]])</f>
        <v>FV/8260HM/23</v>
      </c>
      <c r="B1709" s="2" t="str">
        <f>TRIM(Table1[[#This Row],[Numer_PZ]])</f>
        <v>PZ/801707</v>
      </c>
      <c r="C1709" s="2" t="str">
        <f>TRIM(Table1[[#This Row],[Dostawca]])</f>
        <v>HurtMedix</v>
      </c>
      <c r="D1709" s="3">
        <v>45187</v>
      </c>
      <c r="E1709" s="4" t="s">
        <v>5058</v>
      </c>
      <c r="F1709" s="2" t="str">
        <f>TRIM(Table1[[#This Row],[Status]])</f>
        <v>Zaakceptowana</v>
      </c>
      <c r="G1709" s="2" t="str">
        <f>TRIM(Table1[[#This Row],[Typ]])</f>
        <v>Faktura VAT</v>
      </c>
      <c r="H1709" s="2" t="str">
        <f>TRIM(Table1[[#This Row],[Magazyn]])</f>
        <v>Apteka Szpitalna</v>
      </c>
      <c r="I1709" s="2" t="str">
        <f>TRIM(Table1[[#This Row],[Umowa]])</f>
        <v/>
      </c>
      <c r="J1709" s="2" t="b">
        <f>ISTEXT(Table14[[#This Row],[Data_Wystawienia]])</f>
        <v>0</v>
      </c>
      <c r="K1709" s="2">
        <f>VALUE(SUBSTITUTE(Table14[[#This Row],[Wartość]],".",","))</f>
        <v>12277.25</v>
      </c>
      <c r="L17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09" s="2" t="str">
        <f>IF(Table14[[#This Row],[Umowa]]="","Poza umową","Z umowy")</f>
        <v>Poza umową</v>
      </c>
      <c r="N1709" s="2">
        <f>YEAR(Table14[[#This Row],[Data_Wystawienia]])</f>
        <v>2023</v>
      </c>
      <c r="O1709" s="2" t="str">
        <f>TEXT(Table14[[#This Row],[Data_Wystawienia]],"rrrr-mm")</f>
        <v>2023-09</v>
      </c>
      <c r="P1709" s="2">
        <v>1</v>
      </c>
    </row>
    <row r="1710" spans="1:16" x14ac:dyDescent="0.3">
      <c r="A1710" s="2" t="str">
        <f>TRIM(Table1[[#This Row],[Numer_FV]])</f>
        <v>FV/8433/NOVA/23</v>
      </c>
      <c r="B1710" s="2" t="str">
        <f>TRIM(Table1[[#This Row],[Numer_PZ]])</f>
        <v>PZ/801708</v>
      </c>
      <c r="C1710" s="2" t="str">
        <f>TRIM(Table1[[#This Row],[Dostawca]])</f>
        <v>NovaLek</v>
      </c>
      <c r="D1710" s="3">
        <v>45187</v>
      </c>
      <c r="E1710" s="4" t="s">
        <v>5061</v>
      </c>
      <c r="F1710" s="2" t="str">
        <f>TRIM(Table1[[#This Row],[Status]])</f>
        <v>Zaakceptowana</v>
      </c>
      <c r="G1710" s="2" t="str">
        <f>TRIM(Table1[[#This Row],[Typ]])</f>
        <v>Faktura VAT</v>
      </c>
      <c r="H1710" s="2" t="str">
        <f>TRIM(Table1[[#This Row],[Magazyn]])</f>
        <v>Apteka Szpitalna</v>
      </c>
      <c r="I1710" s="2" t="str">
        <f>TRIM(Table1[[#This Row],[Umowa]])</f>
        <v/>
      </c>
      <c r="J1710" s="2" t="b">
        <f>ISTEXT(Table14[[#This Row],[Data_Wystawienia]])</f>
        <v>0</v>
      </c>
      <c r="K1710" s="2">
        <f>VALUE(SUBSTITUTE(Table14[[#This Row],[Wartość]],".",","))</f>
        <v>11217.87</v>
      </c>
      <c r="L17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0" s="2" t="str">
        <f>IF(Table14[[#This Row],[Umowa]]="","Poza umową","Z umowy")</f>
        <v>Poza umową</v>
      </c>
      <c r="N1710" s="2">
        <f>YEAR(Table14[[#This Row],[Data_Wystawienia]])</f>
        <v>2023</v>
      </c>
      <c r="O1710" s="2" t="str">
        <f>TEXT(Table14[[#This Row],[Data_Wystawienia]],"rrrr-mm")</f>
        <v>2023-09</v>
      </c>
      <c r="P1710" s="2">
        <v>1</v>
      </c>
    </row>
    <row r="1711" spans="1:16" x14ac:dyDescent="0.3">
      <c r="A1711" s="2" t="str">
        <f>TRIM(Table1[[#This Row],[Numer_FV]])</f>
        <v>FV/CENFA/809848/23</v>
      </c>
      <c r="B1711" s="2" t="str">
        <f>TRIM(Table1[[#This Row],[Numer_PZ]])</f>
        <v>PZ/801709</v>
      </c>
      <c r="C1711" s="2" t="str">
        <f>TRIM(Table1[[#This Row],[Dostawca]])</f>
        <v>CentrumFarm</v>
      </c>
      <c r="D1711" s="3">
        <v>45189</v>
      </c>
      <c r="E1711" s="4" t="s">
        <v>5064</v>
      </c>
      <c r="F1711" s="2" t="str">
        <f>TRIM(Table1[[#This Row],[Status]])</f>
        <v>Zaakceptowana</v>
      </c>
      <c r="G1711" s="2" t="str">
        <f>TRIM(Table1[[#This Row],[Typ]])</f>
        <v>Korekta FV</v>
      </c>
      <c r="H1711" s="2" t="str">
        <f>TRIM(Table1[[#This Row],[Magazyn]])</f>
        <v>Apteka Szpitalna</v>
      </c>
      <c r="I1711" s="2" t="str">
        <f>TRIM(Table1[[#This Row],[Umowa]])</f>
        <v>UM-CEN-02</v>
      </c>
      <c r="J1711" s="2" t="b">
        <f>ISTEXT(Table14[[#This Row],[Data_Wystawienia]])</f>
        <v>0</v>
      </c>
      <c r="K1711" s="2">
        <f>VALUE(SUBSTITUTE(Table14[[#This Row],[Wartość]],".",","))</f>
        <v>-1778.75</v>
      </c>
      <c r="L17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1" s="2" t="str">
        <f>IF(Table14[[#This Row],[Umowa]]="","Poza umową","Z umowy")</f>
        <v>Z umowy</v>
      </c>
      <c r="N1711" s="2">
        <f>YEAR(Table14[[#This Row],[Data_Wystawienia]])</f>
        <v>2023</v>
      </c>
      <c r="O1711" s="2" t="str">
        <f>TEXT(Table14[[#This Row],[Data_Wystawienia]],"rrrr-mm")</f>
        <v>2023-09</v>
      </c>
      <c r="P1711" s="2">
        <v>1</v>
      </c>
    </row>
    <row r="1712" spans="1:16" x14ac:dyDescent="0.3">
      <c r="A1712" s="2" t="str">
        <f>TRIM(Table1[[#This Row],[Numer_FV]])</f>
        <v>FV/CENFA/460037/23</v>
      </c>
      <c r="B1712" s="2" t="str">
        <f>TRIM(Table1[[#This Row],[Numer_PZ]])</f>
        <v>PZ/801710</v>
      </c>
      <c r="C1712" s="2" t="str">
        <f>TRIM(Table1[[#This Row],[Dostawca]])</f>
        <v>CentrumFarm</v>
      </c>
      <c r="D1712" s="3">
        <v>45189</v>
      </c>
      <c r="E1712" s="4" t="s">
        <v>5067</v>
      </c>
      <c r="F1712" s="2" t="str">
        <f>TRIM(Table1[[#This Row],[Status]])</f>
        <v>Zaakceptowana</v>
      </c>
      <c r="G1712" s="2" t="str">
        <f>TRIM(Table1[[#This Row],[Typ]])</f>
        <v>Faktura VAT</v>
      </c>
      <c r="H1712" s="2" t="str">
        <f>TRIM(Table1[[#This Row],[Magazyn]])</f>
        <v>Apteka Szpitalna</v>
      </c>
      <c r="I1712" s="2" t="str">
        <f>TRIM(Table1[[#This Row],[Umowa]])</f>
        <v>UM-CEN-02</v>
      </c>
      <c r="J1712" s="2" t="b">
        <f>ISTEXT(Table14[[#This Row],[Data_Wystawienia]])</f>
        <v>0</v>
      </c>
      <c r="K1712" s="2">
        <f>VALUE(SUBSTITUTE(Table14[[#This Row],[Wartość]],".",","))</f>
        <v>8568.6200000000008</v>
      </c>
      <c r="L17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2" s="2" t="str">
        <f>IF(Table14[[#This Row],[Umowa]]="","Poza umową","Z umowy")</f>
        <v>Z umowy</v>
      </c>
      <c r="N1712" s="2">
        <f>YEAR(Table14[[#This Row],[Data_Wystawienia]])</f>
        <v>2023</v>
      </c>
      <c r="O1712" s="2" t="str">
        <f>TEXT(Table14[[#This Row],[Data_Wystawienia]],"rrrr-mm")</f>
        <v>2023-09</v>
      </c>
      <c r="P1712" s="2">
        <v>1</v>
      </c>
    </row>
    <row r="1713" spans="1:16" x14ac:dyDescent="0.3">
      <c r="A1713" s="2" t="str">
        <f>TRIM(Table1[[#This Row],[Numer_FV]])</f>
        <v>FV/POL/48472/2023</v>
      </c>
      <c r="B1713" s="2" t="str">
        <f>TRIM(Table1[[#This Row],[Numer_PZ]])</f>
        <v>PZ/801711</v>
      </c>
      <c r="C1713" s="2" t="str">
        <f>TRIM(Table1[[#This Row],[Dostawca]])</f>
        <v>Polmedica</v>
      </c>
      <c r="D1713" s="3">
        <v>45190</v>
      </c>
      <c r="E1713" s="4" t="s">
        <v>5070</v>
      </c>
      <c r="F1713" s="2" t="str">
        <f>TRIM(Table1[[#This Row],[Status]])</f>
        <v>Zaakceptowana</v>
      </c>
      <c r="G1713" s="2" t="str">
        <f>TRIM(Table1[[#This Row],[Typ]])</f>
        <v>Faktura VAT</v>
      </c>
      <c r="H1713" s="2" t="str">
        <f>TRIM(Table1[[#This Row],[Magazyn]])</f>
        <v>Apteka Szpitalna</v>
      </c>
      <c r="I1713" s="2" t="str">
        <f>TRIM(Table1[[#This Row],[Umowa]])</f>
        <v>UM-POL-01</v>
      </c>
      <c r="J1713" s="2" t="b">
        <f>ISTEXT(Table14[[#This Row],[Data_Wystawienia]])</f>
        <v>0</v>
      </c>
      <c r="K1713" s="2">
        <f>VALUE(SUBSTITUTE(Table14[[#This Row],[Wartość]],".",","))</f>
        <v>1401.96</v>
      </c>
      <c r="L17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3" s="2" t="str">
        <f>IF(Table14[[#This Row],[Umowa]]="","Poza umową","Z umowy")</f>
        <v>Z umowy</v>
      </c>
      <c r="N1713" s="2">
        <f>YEAR(Table14[[#This Row],[Data_Wystawienia]])</f>
        <v>2023</v>
      </c>
      <c r="O1713" s="2" t="str">
        <f>TEXT(Table14[[#This Row],[Data_Wystawienia]],"rrrr-mm")</f>
        <v>2023-09</v>
      </c>
      <c r="P1713" s="2">
        <v>1</v>
      </c>
    </row>
    <row r="1714" spans="1:16" x14ac:dyDescent="0.3">
      <c r="A1714" s="2" t="str">
        <f>TRIM(Table1[[#This Row],[Numer_FV]])</f>
        <v>FV/51/PP/5328/23</v>
      </c>
      <c r="B1714" s="2" t="str">
        <f>TRIM(Table1[[#This Row],[Numer_PZ]])</f>
        <v>PZ/801712</v>
      </c>
      <c r="C1714" s="2" t="str">
        <f>TRIM(Table1[[#This Row],[Dostawca]])</f>
        <v>PharmaPlus</v>
      </c>
      <c r="D1714" s="3">
        <v>45190</v>
      </c>
      <c r="E1714" s="4" t="s">
        <v>5073</v>
      </c>
      <c r="F1714" s="2" t="str">
        <f>TRIM(Table1[[#This Row],[Status]])</f>
        <v>Zaakceptowana</v>
      </c>
      <c r="G1714" s="2" t="str">
        <f>TRIM(Table1[[#This Row],[Typ]])</f>
        <v>Faktura VAT</v>
      </c>
      <c r="H1714" s="2" t="str">
        <f>TRIM(Table1[[#This Row],[Magazyn]])</f>
        <v>Apteka Szpitalna</v>
      </c>
      <c r="I1714" s="2" t="str">
        <f>TRIM(Table1[[#This Row],[Umowa]])</f>
        <v>UM-PHA-01</v>
      </c>
      <c r="J1714" s="2" t="b">
        <f>ISTEXT(Table14[[#This Row],[Data_Wystawienia]])</f>
        <v>0</v>
      </c>
      <c r="K1714" s="2">
        <f>VALUE(SUBSTITUTE(Table14[[#This Row],[Wartość]],".",","))</f>
        <v>8010.36</v>
      </c>
      <c r="L17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4" s="2" t="str">
        <f>IF(Table14[[#This Row],[Umowa]]="","Poza umową","Z umowy")</f>
        <v>Z umowy</v>
      </c>
      <c r="N1714" s="2">
        <f>YEAR(Table14[[#This Row],[Data_Wystawienia]])</f>
        <v>2023</v>
      </c>
      <c r="O1714" s="2" t="str">
        <f>TEXT(Table14[[#This Row],[Data_Wystawienia]],"rrrr-mm")</f>
        <v>2023-09</v>
      </c>
      <c r="P1714" s="2">
        <v>1</v>
      </c>
    </row>
    <row r="1715" spans="1:16" x14ac:dyDescent="0.3">
      <c r="A1715" s="2" t="str">
        <f>TRIM(Table1[[#This Row],[Numer_FV]])</f>
        <v>FV/M/7172/P/23</v>
      </c>
      <c r="B1715" s="2" t="str">
        <f>TRIM(Table1[[#This Row],[Numer_PZ]])</f>
        <v>PZ/801713</v>
      </c>
      <c r="C1715" s="2" t="str">
        <f>TRIM(Table1[[#This Row],[Dostawca]])</f>
        <v>MedicaPharm</v>
      </c>
      <c r="D1715" s="3">
        <v>45190</v>
      </c>
      <c r="E1715" s="4" t="s">
        <v>5076</v>
      </c>
      <c r="F1715" s="2" t="str">
        <f>TRIM(Table1[[#This Row],[Status]])</f>
        <v>Zaakceptowana</v>
      </c>
      <c r="G1715" s="2" t="str">
        <f>TRIM(Table1[[#This Row],[Typ]])</f>
        <v>Faktura VAT</v>
      </c>
      <c r="H1715" s="2" t="str">
        <f>TRIM(Table1[[#This Row],[Magazyn]])</f>
        <v>Apteka Szpitalna</v>
      </c>
      <c r="I1715" s="2" t="str">
        <f>TRIM(Table1[[#This Row],[Umowa]])</f>
        <v/>
      </c>
      <c r="J1715" s="2" t="b">
        <f>ISTEXT(Table14[[#This Row],[Data_Wystawienia]])</f>
        <v>0</v>
      </c>
      <c r="K1715" s="2">
        <f>VALUE(SUBSTITUTE(Table14[[#This Row],[Wartość]],".",","))</f>
        <v>11726.73</v>
      </c>
      <c r="L17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5" s="2" t="str">
        <f>IF(Table14[[#This Row],[Umowa]]="","Poza umową","Z umowy")</f>
        <v>Poza umową</v>
      </c>
      <c r="N1715" s="2">
        <f>YEAR(Table14[[#This Row],[Data_Wystawienia]])</f>
        <v>2023</v>
      </c>
      <c r="O1715" s="2" t="str">
        <f>TEXT(Table14[[#This Row],[Data_Wystawienia]],"rrrr-mm")</f>
        <v>2023-09</v>
      </c>
      <c r="P1715" s="2">
        <v>1</v>
      </c>
    </row>
    <row r="1716" spans="1:16" x14ac:dyDescent="0.3">
      <c r="A1716" s="2" t="str">
        <f>TRIM(Table1[[#This Row],[Numer_FV]])</f>
        <v>FV/17/SAL/23</v>
      </c>
      <c r="B1716" s="2" t="str">
        <f>TRIM(Table1[[#This Row],[Numer_PZ]])</f>
        <v>PZ/801714</v>
      </c>
      <c r="C1716" s="2" t="str">
        <f>TRIM(Table1[[#This Row],[Dostawca]])</f>
        <v>SalusHurt</v>
      </c>
      <c r="D1716" s="3">
        <v>45191</v>
      </c>
      <c r="E1716" s="4" t="s">
        <v>5078</v>
      </c>
      <c r="F1716" s="2" t="str">
        <f>TRIM(Table1[[#This Row],[Status]])</f>
        <v>Zaakceptowana</v>
      </c>
      <c r="G1716" s="2" t="str">
        <f>TRIM(Table1[[#This Row],[Typ]])</f>
        <v>Faktura VAT</v>
      </c>
      <c r="H1716" s="2" t="str">
        <f>TRIM(Table1[[#This Row],[Magazyn]])</f>
        <v>Apteka Szpitalna</v>
      </c>
      <c r="I1716" s="2" t="str">
        <f>TRIM(Table1[[#This Row],[Umowa]])</f>
        <v>UM-SAL-02</v>
      </c>
      <c r="J1716" s="2" t="b">
        <f>ISTEXT(Table14[[#This Row],[Data_Wystawienia]])</f>
        <v>0</v>
      </c>
      <c r="K1716" s="2">
        <f>VALUE(SUBSTITUTE(Table14[[#This Row],[Wartość]],".",","))</f>
        <v>18461.93</v>
      </c>
      <c r="L17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6" s="2" t="str">
        <f>IF(Table14[[#This Row],[Umowa]]="","Poza umową","Z umowy")</f>
        <v>Z umowy</v>
      </c>
      <c r="N1716" s="2">
        <f>YEAR(Table14[[#This Row],[Data_Wystawienia]])</f>
        <v>2023</v>
      </c>
      <c r="O1716" s="2" t="str">
        <f>TEXT(Table14[[#This Row],[Data_Wystawienia]],"rrrr-mm")</f>
        <v>2023-09</v>
      </c>
      <c r="P1716" s="2">
        <v>1</v>
      </c>
    </row>
    <row r="1717" spans="1:16" x14ac:dyDescent="0.3">
      <c r="A1717" s="2" t="str">
        <f>TRIM(Table1[[#This Row],[Numer_FV]])</f>
        <v>FV/M/4579/P/23</v>
      </c>
      <c r="B1717" s="2" t="str">
        <f>TRIM(Table1[[#This Row],[Numer_PZ]])</f>
        <v>PZ/801715</v>
      </c>
      <c r="C1717" s="2" t="str">
        <f>TRIM(Table1[[#This Row],[Dostawca]])</f>
        <v>MedicaPharm</v>
      </c>
      <c r="D1717" s="3">
        <v>45192</v>
      </c>
      <c r="E1717" s="4" t="s">
        <v>5081</v>
      </c>
      <c r="F1717" s="2" t="str">
        <f>TRIM(Table1[[#This Row],[Status]])</f>
        <v>Zaakceptowana</v>
      </c>
      <c r="G1717" s="2" t="str">
        <f>TRIM(Table1[[#This Row],[Typ]])</f>
        <v>Korekta FV</v>
      </c>
      <c r="H1717" s="2" t="str">
        <f>TRIM(Table1[[#This Row],[Magazyn]])</f>
        <v>Apteka Szpitalna</v>
      </c>
      <c r="I1717" s="2" t="str">
        <f>TRIM(Table1[[#This Row],[Umowa]])</f>
        <v>UM-MED-01</v>
      </c>
      <c r="J1717" s="2" t="b">
        <f>ISTEXT(Table14[[#This Row],[Data_Wystawienia]])</f>
        <v>0</v>
      </c>
      <c r="K1717" s="2">
        <f>VALUE(SUBSTITUTE(Table14[[#This Row],[Wartość]],".",","))</f>
        <v>-605.19000000000005</v>
      </c>
      <c r="L17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7" s="2" t="str">
        <f>IF(Table14[[#This Row],[Umowa]]="","Poza umową","Z umowy")</f>
        <v>Z umowy</v>
      </c>
      <c r="N1717" s="2">
        <f>YEAR(Table14[[#This Row],[Data_Wystawienia]])</f>
        <v>2023</v>
      </c>
      <c r="O1717" s="2" t="str">
        <f>TEXT(Table14[[#This Row],[Data_Wystawienia]],"rrrr-mm")</f>
        <v>2023-09</v>
      </c>
      <c r="P1717" s="2">
        <v>1</v>
      </c>
    </row>
    <row r="1718" spans="1:16" x14ac:dyDescent="0.3">
      <c r="A1718" s="2" t="str">
        <f>TRIM(Table1[[#This Row],[Numer_FV]])</f>
        <v>FV/81/SAL/23</v>
      </c>
      <c r="B1718" s="2" t="str">
        <f>TRIM(Table1[[#This Row],[Numer_PZ]])</f>
        <v>PZ/801716</v>
      </c>
      <c r="C1718" s="2" t="str">
        <f>TRIM(Table1[[#This Row],[Dostawca]])</f>
        <v>SalusHurt</v>
      </c>
      <c r="D1718" s="3">
        <v>45192</v>
      </c>
      <c r="E1718" s="4" t="s">
        <v>5084</v>
      </c>
      <c r="F1718" s="2" t="str">
        <f>TRIM(Table1[[#This Row],[Status]])</f>
        <v>Zaakceptowana</v>
      </c>
      <c r="G1718" s="2" t="str">
        <f>TRIM(Table1[[#This Row],[Typ]])</f>
        <v>Faktura VAT</v>
      </c>
      <c r="H1718" s="2" t="str">
        <f>TRIM(Table1[[#This Row],[Magazyn]])</f>
        <v>Apteka Szpitalna</v>
      </c>
      <c r="I1718" s="2" t="str">
        <f>TRIM(Table1[[#This Row],[Umowa]])</f>
        <v>UM-SAL-02</v>
      </c>
      <c r="J1718" s="2" t="b">
        <f>ISTEXT(Table14[[#This Row],[Data_Wystawienia]])</f>
        <v>0</v>
      </c>
      <c r="K1718" s="2">
        <f>VALUE(SUBSTITUTE(Table14[[#This Row],[Wartość]],".",","))</f>
        <v>15084.79</v>
      </c>
      <c r="L17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8" s="2" t="str">
        <f>IF(Table14[[#This Row],[Umowa]]="","Poza umową","Z umowy")</f>
        <v>Z umowy</v>
      </c>
      <c r="N1718" s="2">
        <f>YEAR(Table14[[#This Row],[Data_Wystawienia]])</f>
        <v>2023</v>
      </c>
      <c r="O1718" s="2" t="str">
        <f>TEXT(Table14[[#This Row],[Data_Wystawienia]],"rrrr-mm")</f>
        <v>2023-09</v>
      </c>
      <c r="P1718" s="2">
        <v>1</v>
      </c>
    </row>
    <row r="1719" spans="1:16" x14ac:dyDescent="0.3">
      <c r="A1719" s="2" t="str">
        <f>TRIM(Table1[[#This Row],[Numer_FV]])</f>
        <v>FV/18/PP/6785/23</v>
      </c>
      <c r="B1719" s="2" t="str">
        <f>TRIM(Table1[[#This Row],[Numer_PZ]])</f>
        <v>PZ/801717</v>
      </c>
      <c r="C1719" s="2" t="str">
        <f>TRIM(Table1[[#This Row],[Dostawca]])</f>
        <v>PharmaPlus</v>
      </c>
      <c r="D1719" s="3">
        <v>45192</v>
      </c>
      <c r="E1719" s="4" t="s">
        <v>5087</v>
      </c>
      <c r="F1719" s="2" t="str">
        <f>TRIM(Table1[[#This Row],[Status]])</f>
        <v>Zaakceptowana</v>
      </c>
      <c r="G1719" s="2" t="str">
        <f>TRIM(Table1[[#This Row],[Typ]])</f>
        <v>Faktura VAT</v>
      </c>
      <c r="H1719" s="2" t="str">
        <f>TRIM(Table1[[#This Row],[Magazyn]])</f>
        <v>Apteka Szpitalna</v>
      </c>
      <c r="I1719" s="2" t="str">
        <f>TRIM(Table1[[#This Row],[Umowa]])</f>
        <v>UM-PHA-01</v>
      </c>
      <c r="J1719" s="2" t="b">
        <f>ISTEXT(Table14[[#This Row],[Data_Wystawienia]])</f>
        <v>0</v>
      </c>
      <c r="K1719" s="2">
        <f>VALUE(SUBSTITUTE(Table14[[#This Row],[Wartość]],".",","))</f>
        <v>8759.86</v>
      </c>
      <c r="L17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19" s="2" t="str">
        <f>IF(Table14[[#This Row],[Umowa]]="","Poza umową","Z umowy")</f>
        <v>Z umowy</v>
      </c>
      <c r="N1719" s="2">
        <f>YEAR(Table14[[#This Row],[Data_Wystawienia]])</f>
        <v>2023</v>
      </c>
      <c r="O1719" s="2" t="str">
        <f>TEXT(Table14[[#This Row],[Data_Wystawienia]],"rrrr-mm")</f>
        <v>2023-09</v>
      </c>
      <c r="P1719" s="2">
        <v>1</v>
      </c>
    </row>
    <row r="1720" spans="1:16" x14ac:dyDescent="0.3">
      <c r="A1720" s="2" t="str">
        <f>TRIM(Table1[[#This Row],[Numer_FV]])</f>
        <v>FV/4627/NOVA/23</v>
      </c>
      <c r="B1720" s="2" t="str">
        <f>TRIM(Table1[[#This Row],[Numer_PZ]])</f>
        <v>PZ/801718</v>
      </c>
      <c r="C1720" s="2" t="str">
        <f>TRIM(Table1[[#This Row],[Dostawca]])</f>
        <v>NovaLek</v>
      </c>
      <c r="D1720" s="3">
        <v>45193</v>
      </c>
      <c r="E1720" s="4" t="s">
        <v>5090</v>
      </c>
      <c r="F1720" s="2" t="str">
        <f>TRIM(Table1[[#This Row],[Status]])</f>
        <v>Zaakceptowana</v>
      </c>
      <c r="G1720" s="2" t="str">
        <f>TRIM(Table1[[#This Row],[Typ]])</f>
        <v>Faktura VAT</v>
      </c>
      <c r="H1720" s="2" t="str">
        <f>TRIM(Table1[[#This Row],[Magazyn]])</f>
        <v>Apteka Szpitalna</v>
      </c>
      <c r="I1720" s="2" t="str">
        <f>TRIM(Table1[[#This Row],[Umowa]])</f>
        <v>UM-NOV-03</v>
      </c>
      <c r="J1720" s="2" t="b">
        <f>ISTEXT(Table14[[#This Row],[Data_Wystawienia]])</f>
        <v>0</v>
      </c>
      <c r="K1720" s="2">
        <f>VALUE(SUBSTITUTE(Table14[[#This Row],[Wartość]],".",","))</f>
        <v>23514.3</v>
      </c>
      <c r="L17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0" s="2" t="str">
        <f>IF(Table14[[#This Row],[Umowa]]="","Poza umową","Z umowy")</f>
        <v>Z umowy</v>
      </c>
      <c r="N1720" s="2">
        <f>YEAR(Table14[[#This Row],[Data_Wystawienia]])</f>
        <v>2023</v>
      </c>
      <c r="O1720" s="2" t="str">
        <f>TEXT(Table14[[#This Row],[Data_Wystawienia]],"rrrr-mm")</f>
        <v>2023-09</v>
      </c>
      <c r="P1720" s="2">
        <v>1</v>
      </c>
    </row>
    <row r="1721" spans="1:16" x14ac:dyDescent="0.3">
      <c r="A1721" s="2" t="str">
        <f>TRIM(Table1[[#This Row],[Numer_FV]])</f>
        <v>FV/POL/42245/2023</v>
      </c>
      <c r="B1721" s="2" t="str">
        <f>TRIM(Table1[[#This Row],[Numer_PZ]])</f>
        <v>PZ/801719</v>
      </c>
      <c r="C1721" s="2" t="str">
        <f>TRIM(Table1[[#This Row],[Dostawca]])</f>
        <v>Polmedica</v>
      </c>
      <c r="D1721" s="3">
        <v>45193</v>
      </c>
      <c r="E1721" s="4" t="s">
        <v>5093</v>
      </c>
      <c r="F1721" s="2" t="str">
        <f>TRIM(Table1[[#This Row],[Status]])</f>
        <v>Zaakceptowana</v>
      </c>
      <c r="G1721" s="2" t="str">
        <f>TRIM(Table1[[#This Row],[Typ]])</f>
        <v>Korekta FV</v>
      </c>
      <c r="H1721" s="2" t="str">
        <f>TRIM(Table1[[#This Row],[Magazyn]])</f>
        <v>Apteka Szpitalna</v>
      </c>
      <c r="I1721" s="2" t="str">
        <f>TRIM(Table1[[#This Row],[Umowa]])</f>
        <v>UM-POL-01</v>
      </c>
      <c r="J1721" s="2" t="b">
        <f>ISTEXT(Table14[[#This Row],[Data_Wystawienia]])</f>
        <v>0</v>
      </c>
      <c r="K1721" s="2">
        <f>VALUE(SUBSTITUTE(Table14[[#This Row],[Wartość]],".",","))</f>
        <v>-2015.59</v>
      </c>
      <c r="L17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1" s="2" t="str">
        <f>IF(Table14[[#This Row],[Umowa]]="","Poza umową","Z umowy")</f>
        <v>Z umowy</v>
      </c>
      <c r="N1721" s="2">
        <f>YEAR(Table14[[#This Row],[Data_Wystawienia]])</f>
        <v>2023</v>
      </c>
      <c r="O1721" s="2" t="str">
        <f>TEXT(Table14[[#This Row],[Data_Wystawienia]],"rrrr-mm")</f>
        <v>2023-09</v>
      </c>
      <c r="P1721" s="2">
        <v>1</v>
      </c>
    </row>
    <row r="1722" spans="1:16" x14ac:dyDescent="0.3">
      <c r="A1722" s="2" t="str">
        <f>TRIM(Table1[[#This Row],[Numer_FV]])</f>
        <v>FV/POL/57195/2023</v>
      </c>
      <c r="B1722" s="2" t="str">
        <f>TRIM(Table1[[#This Row],[Numer_PZ]])</f>
        <v>PZ/801720</v>
      </c>
      <c r="C1722" s="2" t="str">
        <f>TRIM(Table1[[#This Row],[Dostawca]])</f>
        <v>Polmedica</v>
      </c>
      <c r="D1722" s="3">
        <v>45193</v>
      </c>
      <c r="E1722" s="4" t="s">
        <v>5096</v>
      </c>
      <c r="F1722" s="2" t="str">
        <f>TRIM(Table1[[#This Row],[Status]])</f>
        <v>Zaakceptowana</v>
      </c>
      <c r="G1722" s="2" t="str">
        <f>TRIM(Table1[[#This Row],[Typ]])</f>
        <v>Faktura VAT</v>
      </c>
      <c r="H1722" s="2" t="str">
        <f>TRIM(Table1[[#This Row],[Magazyn]])</f>
        <v>Apteka Szpitalna</v>
      </c>
      <c r="I1722" s="2" t="str">
        <f>TRIM(Table1[[#This Row],[Umowa]])</f>
        <v>UM-POL-03</v>
      </c>
      <c r="J1722" s="2" t="b">
        <f>ISTEXT(Table14[[#This Row],[Data_Wystawienia]])</f>
        <v>0</v>
      </c>
      <c r="K1722" s="2">
        <f>VALUE(SUBSTITUTE(Table14[[#This Row],[Wartość]],".",","))</f>
        <v>19743.25</v>
      </c>
      <c r="L17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2" s="2" t="str">
        <f>IF(Table14[[#This Row],[Umowa]]="","Poza umową","Z umowy")</f>
        <v>Z umowy</v>
      </c>
      <c r="N1722" s="2">
        <f>YEAR(Table14[[#This Row],[Data_Wystawienia]])</f>
        <v>2023</v>
      </c>
      <c r="O1722" s="2" t="str">
        <f>TEXT(Table14[[#This Row],[Data_Wystawienia]],"rrrr-mm")</f>
        <v>2023-09</v>
      </c>
      <c r="P1722" s="2">
        <v>1</v>
      </c>
    </row>
    <row r="1723" spans="1:16" x14ac:dyDescent="0.3">
      <c r="A1723" s="2" t="str">
        <f>TRIM(Table1[[#This Row],[Numer_FV]])</f>
        <v>FV/47/SAL/23</v>
      </c>
      <c r="B1723" s="2" t="str">
        <f>TRIM(Table1[[#This Row],[Numer_PZ]])</f>
        <v>PZ/801721</v>
      </c>
      <c r="C1723" s="2" t="str">
        <f>TRIM(Table1[[#This Row],[Dostawca]])</f>
        <v>SalusHurt</v>
      </c>
      <c r="D1723" s="3">
        <v>45194</v>
      </c>
      <c r="E1723" s="4" t="s">
        <v>5098</v>
      </c>
      <c r="F1723" s="2" t="str">
        <f>TRIM(Table1[[#This Row],[Status]])</f>
        <v>Zaakceptowana</v>
      </c>
      <c r="G1723" s="2" t="str">
        <f>TRIM(Table1[[#This Row],[Typ]])</f>
        <v>Faktura VAT</v>
      </c>
      <c r="H1723" s="2" t="str">
        <f>TRIM(Table1[[#This Row],[Magazyn]])</f>
        <v>Apteka Szpitalna</v>
      </c>
      <c r="I1723" s="2" t="str">
        <f>TRIM(Table1[[#This Row],[Umowa]])</f>
        <v>UM-SAL-01</v>
      </c>
      <c r="J1723" s="2" t="b">
        <f>ISTEXT(Table14[[#This Row],[Data_Wystawienia]])</f>
        <v>0</v>
      </c>
      <c r="K1723" s="2">
        <f>VALUE(SUBSTITUTE(Table14[[#This Row],[Wartość]],".",","))</f>
        <v>24766.62</v>
      </c>
      <c r="L17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3" s="2" t="str">
        <f>IF(Table14[[#This Row],[Umowa]]="","Poza umową","Z umowy")</f>
        <v>Z umowy</v>
      </c>
      <c r="N1723" s="2">
        <f>YEAR(Table14[[#This Row],[Data_Wystawienia]])</f>
        <v>2023</v>
      </c>
      <c r="O1723" s="2" t="str">
        <f>TEXT(Table14[[#This Row],[Data_Wystawienia]],"rrrr-mm")</f>
        <v>2023-09</v>
      </c>
      <c r="P1723" s="2">
        <v>1</v>
      </c>
    </row>
    <row r="1724" spans="1:16" x14ac:dyDescent="0.3">
      <c r="A1724" s="2" t="str">
        <f>TRIM(Table1[[#This Row],[Numer_FV]])</f>
        <v>FV/39990/VDb/2023</v>
      </c>
      <c r="B1724" s="2" t="str">
        <f>TRIM(Table1[[#This Row],[Numer_PZ]])</f>
        <v>PZ/801722</v>
      </c>
      <c r="C1724" s="2" t="str">
        <f>TRIM(Table1[[#This Row],[Dostawca]])</f>
        <v>VitaDistrib</v>
      </c>
      <c r="D1724" s="3">
        <v>45194</v>
      </c>
      <c r="E1724" s="4" t="s">
        <v>5101</v>
      </c>
      <c r="F1724" s="2" t="str">
        <f>TRIM(Table1[[#This Row],[Status]])</f>
        <v>Zaakceptowana</v>
      </c>
      <c r="G1724" s="2" t="str">
        <f>TRIM(Table1[[#This Row],[Typ]])</f>
        <v>Faktura VAT</v>
      </c>
      <c r="H1724" s="2" t="str">
        <f>TRIM(Table1[[#This Row],[Magazyn]])</f>
        <v>Apteka Szpitalna</v>
      </c>
      <c r="I1724" s="2" t="str">
        <f>TRIM(Table1[[#This Row],[Umowa]])</f>
        <v>UM-VIT-01</v>
      </c>
      <c r="J1724" s="2" t="b">
        <f>ISTEXT(Table14[[#This Row],[Data_Wystawienia]])</f>
        <v>0</v>
      </c>
      <c r="K1724" s="2">
        <f>VALUE(SUBSTITUTE(Table14[[#This Row],[Wartość]],".",","))</f>
        <v>25024.14</v>
      </c>
      <c r="L17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4" s="2" t="str">
        <f>IF(Table14[[#This Row],[Umowa]]="","Poza umową","Z umowy")</f>
        <v>Z umowy</v>
      </c>
      <c r="N1724" s="2">
        <f>YEAR(Table14[[#This Row],[Data_Wystawienia]])</f>
        <v>2023</v>
      </c>
      <c r="O1724" s="2" t="str">
        <f>TEXT(Table14[[#This Row],[Data_Wystawienia]],"rrrr-mm")</f>
        <v>2023-09</v>
      </c>
      <c r="P1724" s="2">
        <v>1</v>
      </c>
    </row>
    <row r="1725" spans="1:16" x14ac:dyDescent="0.3">
      <c r="A1725" s="2" t="str">
        <f>TRIM(Table1[[#This Row],[Numer_FV]])</f>
        <v>FV/94/SAL/23</v>
      </c>
      <c r="B1725" s="2" t="str">
        <f>TRIM(Table1[[#This Row],[Numer_PZ]])</f>
        <v>PZ/801723</v>
      </c>
      <c r="C1725" s="2" t="str">
        <f>TRIM(Table1[[#This Row],[Dostawca]])</f>
        <v>SalusHurt</v>
      </c>
      <c r="D1725" s="3">
        <v>45195</v>
      </c>
      <c r="E1725" s="4" t="s">
        <v>5103</v>
      </c>
      <c r="F1725" s="2" t="str">
        <f>TRIM(Table1[[#This Row],[Status]])</f>
        <v>Zaakceptowana</v>
      </c>
      <c r="G1725" s="2" t="str">
        <f>TRIM(Table1[[#This Row],[Typ]])</f>
        <v>Faktura VAT</v>
      </c>
      <c r="H1725" s="2" t="str">
        <f>TRIM(Table1[[#This Row],[Magazyn]])</f>
        <v>Apteka Szpitalna</v>
      </c>
      <c r="I1725" s="2" t="str">
        <f>TRIM(Table1[[#This Row],[Umowa]])</f>
        <v>UM-SAL-02</v>
      </c>
      <c r="J1725" s="2" t="b">
        <f>ISTEXT(Table14[[#This Row],[Data_Wystawienia]])</f>
        <v>0</v>
      </c>
      <c r="K1725" s="2">
        <f>VALUE(SUBSTITUTE(Table14[[#This Row],[Wartość]],".",","))</f>
        <v>17452.7</v>
      </c>
      <c r="L17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5" s="2" t="str">
        <f>IF(Table14[[#This Row],[Umowa]]="","Poza umową","Z umowy")</f>
        <v>Z umowy</v>
      </c>
      <c r="N1725" s="2">
        <f>YEAR(Table14[[#This Row],[Data_Wystawienia]])</f>
        <v>2023</v>
      </c>
      <c r="O1725" s="2" t="str">
        <f>TEXT(Table14[[#This Row],[Data_Wystawienia]],"rrrr-mm")</f>
        <v>2023-09</v>
      </c>
      <c r="P1725" s="2">
        <v>1</v>
      </c>
    </row>
    <row r="1726" spans="1:16" x14ac:dyDescent="0.3">
      <c r="A1726" s="2" t="str">
        <f>TRIM(Table1[[#This Row],[Numer_FV]])</f>
        <v>FV/93777/VDb/2023</v>
      </c>
      <c r="B1726" s="2" t="str">
        <f>TRIM(Table1[[#This Row],[Numer_PZ]])</f>
        <v>PZ/801724</v>
      </c>
      <c r="C1726" s="2" t="str">
        <f>TRIM(Table1[[#This Row],[Dostawca]])</f>
        <v>VitaDistrib</v>
      </c>
      <c r="D1726" s="3">
        <v>45195</v>
      </c>
      <c r="E1726" s="4" t="s">
        <v>5106</v>
      </c>
      <c r="F1726" s="2" t="str">
        <f>TRIM(Table1[[#This Row],[Status]])</f>
        <v>Zaakceptowana</v>
      </c>
      <c r="G1726" s="2" t="str">
        <f>TRIM(Table1[[#This Row],[Typ]])</f>
        <v>Faktura VAT</v>
      </c>
      <c r="H1726" s="2" t="str">
        <f>TRIM(Table1[[#This Row],[Magazyn]])</f>
        <v>Apteka Szpitalna</v>
      </c>
      <c r="I1726" s="2" t="str">
        <f>TRIM(Table1[[#This Row],[Umowa]])</f>
        <v/>
      </c>
      <c r="J1726" s="2" t="b">
        <f>ISTEXT(Table14[[#This Row],[Data_Wystawienia]])</f>
        <v>0</v>
      </c>
      <c r="K1726" s="2">
        <f>VALUE(SUBSTITUTE(Table14[[#This Row],[Wartość]],".",","))</f>
        <v>13404.68</v>
      </c>
      <c r="L17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6" s="2" t="str">
        <f>IF(Table14[[#This Row],[Umowa]]="","Poza umową","Z umowy")</f>
        <v>Poza umową</v>
      </c>
      <c r="N1726" s="2">
        <f>YEAR(Table14[[#This Row],[Data_Wystawienia]])</f>
        <v>2023</v>
      </c>
      <c r="O1726" s="2" t="str">
        <f>TEXT(Table14[[#This Row],[Data_Wystawienia]],"rrrr-mm")</f>
        <v>2023-09</v>
      </c>
      <c r="P1726" s="2">
        <v>1</v>
      </c>
    </row>
    <row r="1727" spans="1:16" x14ac:dyDescent="0.3">
      <c r="A1727" s="2" t="str">
        <f>TRIM(Table1[[#This Row],[Numer_FV]])</f>
        <v>FV/60/PP/3825/23</v>
      </c>
      <c r="B1727" s="2" t="str">
        <f>TRIM(Table1[[#This Row],[Numer_PZ]])</f>
        <v>PZ/801725</v>
      </c>
      <c r="C1727" s="2" t="str">
        <f>TRIM(Table1[[#This Row],[Dostawca]])</f>
        <v>PharmaPlus</v>
      </c>
      <c r="D1727" s="3">
        <v>45196</v>
      </c>
      <c r="E1727" s="4" t="s">
        <v>5109</v>
      </c>
      <c r="F1727" s="2" t="str">
        <f>TRIM(Table1[[#This Row],[Status]])</f>
        <v>Zaakceptowana</v>
      </c>
      <c r="G1727" s="2" t="str">
        <f>TRIM(Table1[[#This Row],[Typ]])</f>
        <v>Faktura VAT</v>
      </c>
      <c r="H1727" s="2" t="str">
        <f>TRIM(Table1[[#This Row],[Magazyn]])</f>
        <v>Apteka Szpitalna</v>
      </c>
      <c r="I1727" s="2" t="str">
        <f>TRIM(Table1[[#This Row],[Umowa]])</f>
        <v>UM-PHA-01</v>
      </c>
      <c r="J1727" s="2" t="b">
        <f>ISTEXT(Table14[[#This Row],[Data_Wystawienia]])</f>
        <v>0</v>
      </c>
      <c r="K1727" s="2">
        <f>VALUE(SUBSTITUTE(Table14[[#This Row],[Wartość]],".",","))</f>
        <v>11041.15</v>
      </c>
      <c r="L17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7" s="2" t="str">
        <f>IF(Table14[[#This Row],[Umowa]]="","Poza umową","Z umowy")</f>
        <v>Z umowy</v>
      </c>
      <c r="N1727" s="2">
        <f>YEAR(Table14[[#This Row],[Data_Wystawienia]])</f>
        <v>2023</v>
      </c>
      <c r="O1727" s="2" t="str">
        <f>TEXT(Table14[[#This Row],[Data_Wystawienia]],"rrrr-mm")</f>
        <v>2023-09</v>
      </c>
      <c r="P1727" s="2">
        <v>1</v>
      </c>
    </row>
    <row r="1728" spans="1:16" x14ac:dyDescent="0.3">
      <c r="A1728" s="2" t="str">
        <f>TRIM(Table1[[#This Row],[Numer_FV]])</f>
        <v>FV/48/SAL/23</v>
      </c>
      <c r="B1728" s="2" t="str">
        <f>TRIM(Table1[[#This Row],[Numer_PZ]])</f>
        <v>PZ/801726</v>
      </c>
      <c r="C1728" s="2" t="str">
        <f>TRIM(Table1[[#This Row],[Dostawca]])</f>
        <v>SalusHurt</v>
      </c>
      <c r="D1728" s="3">
        <v>45196</v>
      </c>
      <c r="E1728" s="4" t="s">
        <v>5112</v>
      </c>
      <c r="F1728" s="2" t="str">
        <f>TRIM(Table1[[#This Row],[Status]])</f>
        <v>Zaakceptowana</v>
      </c>
      <c r="G1728" s="2" t="str">
        <f>TRIM(Table1[[#This Row],[Typ]])</f>
        <v>Faktura VAT</v>
      </c>
      <c r="H1728" s="2" t="str">
        <f>TRIM(Table1[[#This Row],[Magazyn]])</f>
        <v>Apteka Szpitalna</v>
      </c>
      <c r="I1728" s="2" t="str">
        <f>TRIM(Table1[[#This Row],[Umowa]])</f>
        <v>UM-SAL-01</v>
      </c>
      <c r="J1728" s="2" t="b">
        <f>ISTEXT(Table14[[#This Row],[Data_Wystawienia]])</f>
        <v>0</v>
      </c>
      <c r="K1728" s="2">
        <f>VALUE(SUBSTITUTE(Table14[[#This Row],[Wartość]],".",","))</f>
        <v>10050.25</v>
      </c>
      <c r="L17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8" s="2" t="str">
        <f>IF(Table14[[#This Row],[Umowa]]="","Poza umową","Z umowy")</f>
        <v>Z umowy</v>
      </c>
      <c r="N1728" s="2">
        <f>YEAR(Table14[[#This Row],[Data_Wystawienia]])</f>
        <v>2023</v>
      </c>
      <c r="O1728" s="2" t="str">
        <f>TEXT(Table14[[#This Row],[Data_Wystawienia]],"rrrr-mm")</f>
        <v>2023-09</v>
      </c>
      <c r="P1728" s="2">
        <v>1</v>
      </c>
    </row>
    <row r="1729" spans="1:16" x14ac:dyDescent="0.3">
      <c r="A1729" s="2" t="str">
        <f>TRIM(Table1[[#This Row],[Numer_FV]])</f>
        <v>FV/CENFA/303937/23</v>
      </c>
      <c r="B1729" s="2" t="str">
        <f>TRIM(Table1[[#This Row],[Numer_PZ]])</f>
        <v>PZ/801727</v>
      </c>
      <c r="C1729" s="2" t="str">
        <f>TRIM(Table1[[#This Row],[Dostawca]])</f>
        <v>CentrumFarm</v>
      </c>
      <c r="D1729" s="3">
        <v>45197</v>
      </c>
      <c r="E1729" s="4" t="s">
        <v>5115</v>
      </c>
      <c r="F1729" s="2" t="str">
        <f>TRIM(Table1[[#This Row],[Status]])</f>
        <v>Zaakceptowana</v>
      </c>
      <c r="G1729" s="2" t="str">
        <f>TRIM(Table1[[#This Row],[Typ]])</f>
        <v>Faktura VAT</v>
      </c>
      <c r="H1729" s="2" t="str">
        <f>TRIM(Table1[[#This Row],[Magazyn]])</f>
        <v>Apteka Szpitalna</v>
      </c>
      <c r="I1729" s="2" t="str">
        <f>TRIM(Table1[[#This Row],[Umowa]])</f>
        <v>UM-CEN-01</v>
      </c>
      <c r="J1729" s="2" t="b">
        <f>ISTEXT(Table14[[#This Row],[Data_Wystawienia]])</f>
        <v>0</v>
      </c>
      <c r="K1729" s="2">
        <f>VALUE(SUBSTITUTE(Table14[[#This Row],[Wartość]],".",","))</f>
        <v>14824.25</v>
      </c>
      <c r="L17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29" s="2" t="str">
        <f>IF(Table14[[#This Row],[Umowa]]="","Poza umową","Z umowy")</f>
        <v>Z umowy</v>
      </c>
      <c r="N1729" s="2">
        <f>YEAR(Table14[[#This Row],[Data_Wystawienia]])</f>
        <v>2023</v>
      </c>
      <c r="O1729" s="2" t="str">
        <f>TEXT(Table14[[#This Row],[Data_Wystawienia]],"rrrr-mm")</f>
        <v>2023-09</v>
      </c>
      <c r="P1729" s="2">
        <v>1</v>
      </c>
    </row>
    <row r="1730" spans="1:16" x14ac:dyDescent="0.3">
      <c r="A1730" s="2" t="str">
        <f>TRIM(Table1[[#This Row],[Numer_FV]])</f>
        <v>FV/36276/VDb/2023</v>
      </c>
      <c r="B1730" s="2" t="str">
        <f>TRIM(Table1[[#This Row],[Numer_PZ]])</f>
        <v>PZ/801728</v>
      </c>
      <c r="C1730" s="2" t="str">
        <f>TRIM(Table1[[#This Row],[Dostawca]])</f>
        <v>VitaDistrib</v>
      </c>
      <c r="D1730" s="3">
        <v>45198</v>
      </c>
      <c r="E1730" s="4" t="s">
        <v>5118</v>
      </c>
      <c r="F1730" s="2" t="str">
        <f>TRIM(Table1[[#This Row],[Status]])</f>
        <v>Zaakceptowana</v>
      </c>
      <c r="G1730" s="2" t="str">
        <f>TRIM(Table1[[#This Row],[Typ]])</f>
        <v>Faktura VAT</v>
      </c>
      <c r="H1730" s="2" t="str">
        <f>TRIM(Table1[[#This Row],[Magazyn]])</f>
        <v>Apteka Szpitalna</v>
      </c>
      <c r="I1730" s="2" t="str">
        <f>TRIM(Table1[[#This Row],[Umowa]])</f>
        <v/>
      </c>
      <c r="J1730" s="2" t="b">
        <f>ISTEXT(Table14[[#This Row],[Data_Wystawienia]])</f>
        <v>0</v>
      </c>
      <c r="K1730" s="2">
        <f>VALUE(SUBSTITUTE(Table14[[#This Row],[Wartość]],".",","))</f>
        <v>17843.46</v>
      </c>
      <c r="L17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0" s="2" t="str">
        <f>IF(Table14[[#This Row],[Umowa]]="","Poza umową","Z umowy")</f>
        <v>Poza umową</v>
      </c>
      <c r="N1730" s="2">
        <f>YEAR(Table14[[#This Row],[Data_Wystawienia]])</f>
        <v>2023</v>
      </c>
      <c r="O1730" s="2" t="str">
        <f>TEXT(Table14[[#This Row],[Data_Wystawienia]],"rrrr-mm")</f>
        <v>2023-09</v>
      </c>
      <c r="P1730" s="2">
        <v>1</v>
      </c>
    </row>
    <row r="1731" spans="1:16" x14ac:dyDescent="0.3">
      <c r="A1731" s="2" t="str">
        <f>TRIM(Table1[[#This Row],[Numer_FV]])</f>
        <v>FV/M/3685/P/23</v>
      </c>
      <c r="B1731" s="2" t="str">
        <f>TRIM(Table1[[#This Row],[Numer_PZ]])</f>
        <v>PZ/801729</v>
      </c>
      <c r="C1731" s="2" t="str">
        <f>TRIM(Table1[[#This Row],[Dostawca]])</f>
        <v>MedicaPharm</v>
      </c>
      <c r="D1731" s="3">
        <v>45198</v>
      </c>
      <c r="E1731" s="4" t="s">
        <v>5121</v>
      </c>
      <c r="F1731" s="2" t="str">
        <f>TRIM(Table1[[#This Row],[Status]])</f>
        <v>Zaakceptowana</v>
      </c>
      <c r="G1731" s="2" t="str">
        <f>TRIM(Table1[[#This Row],[Typ]])</f>
        <v>Faktura VAT</v>
      </c>
      <c r="H1731" s="2" t="str">
        <f>TRIM(Table1[[#This Row],[Magazyn]])</f>
        <v>Apteka Szpitalna</v>
      </c>
      <c r="I1731" s="2" t="str">
        <f>TRIM(Table1[[#This Row],[Umowa]])</f>
        <v>UM-MED-01</v>
      </c>
      <c r="J1731" s="2" t="b">
        <f>ISTEXT(Table14[[#This Row],[Data_Wystawienia]])</f>
        <v>0</v>
      </c>
      <c r="K1731" s="2">
        <f>VALUE(SUBSTITUTE(Table14[[#This Row],[Wartość]],".",","))</f>
        <v>20159.330000000002</v>
      </c>
      <c r="L17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1" s="2" t="str">
        <f>IF(Table14[[#This Row],[Umowa]]="","Poza umową","Z umowy")</f>
        <v>Z umowy</v>
      </c>
      <c r="N1731" s="2">
        <f>YEAR(Table14[[#This Row],[Data_Wystawienia]])</f>
        <v>2023</v>
      </c>
      <c r="O1731" s="2" t="str">
        <f>TEXT(Table14[[#This Row],[Data_Wystawienia]],"rrrr-mm")</f>
        <v>2023-09</v>
      </c>
      <c r="P1731" s="2">
        <v>1</v>
      </c>
    </row>
    <row r="1732" spans="1:16" x14ac:dyDescent="0.3">
      <c r="A1732" s="2" t="str">
        <f>TRIM(Table1[[#This Row],[Numer_FV]])</f>
        <v>FV/53/SAL/23</v>
      </c>
      <c r="B1732" s="2" t="str">
        <f>TRIM(Table1[[#This Row],[Numer_PZ]])</f>
        <v>PZ/801730</v>
      </c>
      <c r="C1732" s="2" t="str">
        <f>TRIM(Table1[[#This Row],[Dostawca]])</f>
        <v>SalusHurt</v>
      </c>
      <c r="D1732" s="3">
        <v>45200</v>
      </c>
      <c r="E1732" s="4" t="s">
        <v>5123</v>
      </c>
      <c r="F1732" s="2" t="str">
        <f>TRIM(Table1[[#This Row],[Status]])</f>
        <v>Zaakceptowana</v>
      </c>
      <c r="G1732" s="2" t="str">
        <f>TRIM(Table1[[#This Row],[Typ]])</f>
        <v>Faktura VAT</v>
      </c>
      <c r="H1732" s="2" t="str">
        <f>TRIM(Table1[[#This Row],[Magazyn]])</f>
        <v>Apteka Szpitalna</v>
      </c>
      <c r="I1732" s="2" t="str">
        <f>TRIM(Table1[[#This Row],[Umowa]])</f>
        <v>UM-SAL-02</v>
      </c>
      <c r="J1732" s="2" t="b">
        <f>ISTEXT(Table14[[#This Row],[Data_Wystawienia]])</f>
        <v>0</v>
      </c>
      <c r="K1732" s="2">
        <f>VALUE(SUBSTITUTE(Table14[[#This Row],[Wartość]],".",","))</f>
        <v>14493.07</v>
      </c>
      <c r="L17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2" s="2" t="str">
        <f>IF(Table14[[#This Row],[Umowa]]="","Poza umową","Z umowy")</f>
        <v>Z umowy</v>
      </c>
      <c r="N1732" s="2">
        <f>YEAR(Table14[[#This Row],[Data_Wystawienia]])</f>
        <v>2023</v>
      </c>
      <c r="O1732" s="2" t="str">
        <f>TEXT(Table14[[#This Row],[Data_Wystawienia]],"rrrr-mm")</f>
        <v>2023-10</v>
      </c>
      <c r="P1732" s="2">
        <v>1</v>
      </c>
    </row>
    <row r="1733" spans="1:16" x14ac:dyDescent="0.3">
      <c r="A1733" s="2" t="str">
        <f>TRIM(Table1[[#This Row],[Numer_FV]])</f>
        <v>FV/12/PP/1436/23</v>
      </c>
      <c r="B1733" s="2" t="str">
        <f>TRIM(Table1[[#This Row],[Numer_PZ]])</f>
        <v>PZ/801731</v>
      </c>
      <c r="C1733" s="2" t="str">
        <f>TRIM(Table1[[#This Row],[Dostawca]])</f>
        <v>PharmaPlus</v>
      </c>
      <c r="D1733" s="3">
        <v>45200</v>
      </c>
      <c r="E1733" s="4" t="s">
        <v>5126</v>
      </c>
      <c r="F1733" s="2" t="str">
        <f>TRIM(Table1[[#This Row],[Status]])</f>
        <v>Zaakceptowana</v>
      </c>
      <c r="G1733" s="2" t="str">
        <f>TRIM(Table1[[#This Row],[Typ]])</f>
        <v>Faktura VAT</v>
      </c>
      <c r="H1733" s="2" t="str">
        <f>TRIM(Table1[[#This Row],[Magazyn]])</f>
        <v>Apteka Szpitalna</v>
      </c>
      <c r="I1733" s="2" t="str">
        <f>TRIM(Table1[[#This Row],[Umowa]])</f>
        <v>UM-PHA-01</v>
      </c>
      <c r="J1733" s="2" t="b">
        <f>ISTEXT(Table14[[#This Row],[Data_Wystawienia]])</f>
        <v>0</v>
      </c>
      <c r="K1733" s="2">
        <f>VALUE(SUBSTITUTE(Table14[[#This Row],[Wartość]],".",","))</f>
        <v>12623.43</v>
      </c>
      <c r="L17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3" s="2" t="str">
        <f>IF(Table14[[#This Row],[Umowa]]="","Poza umową","Z umowy")</f>
        <v>Z umowy</v>
      </c>
      <c r="N1733" s="2">
        <f>YEAR(Table14[[#This Row],[Data_Wystawienia]])</f>
        <v>2023</v>
      </c>
      <c r="O1733" s="2" t="str">
        <f>TEXT(Table14[[#This Row],[Data_Wystawienia]],"rrrr-mm")</f>
        <v>2023-10</v>
      </c>
      <c r="P1733" s="2">
        <v>1</v>
      </c>
    </row>
    <row r="1734" spans="1:16" x14ac:dyDescent="0.3">
      <c r="A1734" s="2" t="str">
        <f>TRIM(Table1[[#This Row],[Numer_FV]])</f>
        <v>FV/61/SAL/23</v>
      </c>
      <c r="B1734" s="2" t="str">
        <f>TRIM(Table1[[#This Row],[Numer_PZ]])</f>
        <v>PZ/801732</v>
      </c>
      <c r="C1734" s="2" t="str">
        <f>TRIM(Table1[[#This Row],[Dostawca]])</f>
        <v>SalusHurt</v>
      </c>
      <c r="D1734" s="3">
        <v>45201</v>
      </c>
      <c r="E1734" s="4" t="s">
        <v>5128</v>
      </c>
      <c r="F1734" s="2" t="str">
        <f>TRIM(Table1[[#This Row],[Status]])</f>
        <v>Zaakceptowana</v>
      </c>
      <c r="G1734" s="2" t="str">
        <f>TRIM(Table1[[#This Row],[Typ]])</f>
        <v>Faktura VAT</v>
      </c>
      <c r="H1734" s="2" t="str">
        <f>TRIM(Table1[[#This Row],[Magazyn]])</f>
        <v>Apteka Szpitalna</v>
      </c>
      <c r="I1734" s="2" t="str">
        <f>TRIM(Table1[[#This Row],[Umowa]])</f>
        <v>UM-SAL-02</v>
      </c>
      <c r="J1734" s="2" t="b">
        <f>ISTEXT(Table14[[#This Row],[Data_Wystawienia]])</f>
        <v>0</v>
      </c>
      <c r="K1734" s="2">
        <f>VALUE(SUBSTITUTE(Table14[[#This Row],[Wartość]],".",","))</f>
        <v>15976.81</v>
      </c>
      <c r="L17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4" s="2" t="str">
        <f>IF(Table14[[#This Row],[Umowa]]="","Poza umową","Z umowy")</f>
        <v>Z umowy</v>
      </c>
      <c r="N1734" s="2">
        <f>YEAR(Table14[[#This Row],[Data_Wystawienia]])</f>
        <v>2023</v>
      </c>
      <c r="O1734" s="2" t="str">
        <f>TEXT(Table14[[#This Row],[Data_Wystawienia]],"rrrr-mm")</f>
        <v>2023-10</v>
      </c>
      <c r="P1734" s="2">
        <v>1</v>
      </c>
    </row>
    <row r="1735" spans="1:16" x14ac:dyDescent="0.3">
      <c r="A1735" s="2" t="str">
        <f>TRIM(Table1[[#This Row],[Numer_FV]])</f>
        <v>FV/6338/NOVA/23</v>
      </c>
      <c r="B1735" s="2" t="str">
        <f>TRIM(Table1[[#This Row],[Numer_PZ]])</f>
        <v>PZ/801733</v>
      </c>
      <c r="C1735" s="2" t="str">
        <f>TRIM(Table1[[#This Row],[Dostawca]])</f>
        <v>NovaLek</v>
      </c>
      <c r="D1735" s="3">
        <v>45201</v>
      </c>
      <c r="E1735" s="4" t="s">
        <v>5131</v>
      </c>
      <c r="F1735" s="2" t="str">
        <f>TRIM(Table1[[#This Row],[Status]])</f>
        <v>Zaakceptowana</v>
      </c>
      <c r="G1735" s="2" t="str">
        <f>TRIM(Table1[[#This Row],[Typ]])</f>
        <v>Faktura VAT</v>
      </c>
      <c r="H1735" s="2" t="str">
        <f>TRIM(Table1[[#This Row],[Magazyn]])</f>
        <v>Apteka Szpitalna</v>
      </c>
      <c r="I1735" s="2" t="str">
        <f>TRIM(Table1[[#This Row],[Umowa]])</f>
        <v/>
      </c>
      <c r="J1735" s="2" t="b">
        <f>ISTEXT(Table14[[#This Row],[Data_Wystawienia]])</f>
        <v>0</v>
      </c>
      <c r="K1735" s="2">
        <f>VALUE(SUBSTITUTE(Table14[[#This Row],[Wartość]],".",","))</f>
        <v>21614.81</v>
      </c>
      <c r="L17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5" s="2" t="str">
        <f>IF(Table14[[#This Row],[Umowa]]="","Poza umową","Z umowy")</f>
        <v>Poza umową</v>
      </c>
      <c r="N1735" s="2">
        <f>YEAR(Table14[[#This Row],[Data_Wystawienia]])</f>
        <v>2023</v>
      </c>
      <c r="O1735" s="2" t="str">
        <f>TEXT(Table14[[#This Row],[Data_Wystawienia]],"rrrr-mm")</f>
        <v>2023-10</v>
      </c>
      <c r="P1735" s="2">
        <v>1</v>
      </c>
    </row>
    <row r="1736" spans="1:16" x14ac:dyDescent="0.3">
      <c r="A1736" s="2" t="str">
        <f>TRIM(Table1[[#This Row],[Numer_FV]])</f>
        <v>FV/49/PP/7426/23</v>
      </c>
      <c r="B1736" s="2" t="str">
        <f>TRIM(Table1[[#This Row],[Numer_PZ]])</f>
        <v>PZ/801734</v>
      </c>
      <c r="C1736" s="2" t="str">
        <f>TRIM(Table1[[#This Row],[Dostawca]])</f>
        <v>PharmaPlus</v>
      </c>
      <c r="D1736" s="3">
        <v>45202</v>
      </c>
      <c r="E1736" s="4" t="s">
        <v>5134</v>
      </c>
      <c r="F1736" s="2" t="str">
        <f>TRIM(Table1[[#This Row],[Status]])</f>
        <v>Zaakceptowana</v>
      </c>
      <c r="G1736" s="2" t="str">
        <f>TRIM(Table1[[#This Row],[Typ]])</f>
        <v>Faktura VAT</v>
      </c>
      <c r="H1736" s="2" t="str">
        <f>TRIM(Table1[[#This Row],[Magazyn]])</f>
        <v>Apteka Szpitalna</v>
      </c>
      <c r="I1736" s="2" t="str">
        <f>TRIM(Table1[[#This Row],[Umowa]])</f>
        <v>UM-PHA-02</v>
      </c>
      <c r="J1736" s="2" t="b">
        <f>ISTEXT(Table14[[#This Row],[Data_Wystawienia]])</f>
        <v>0</v>
      </c>
      <c r="K1736" s="2">
        <f>VALUE(SUBSTITUTE(Table14[[#This Row],[Wartość]],".",","))</f>
        <v>727.17</v>
      </c>
      <c r="L17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6" s="2" t="str">
        <f>IF(Table14[[#This Row],[Umowa]]="","Poza umową","Z umowy")</f>
        <v>Z umowy</v>
      </c>
      <c r="N1736" s="2">
        <f>YEAR(Table14[[#This Row],[Data_Wystawienia]])</f>
        <v>2023</v>
      </c>
      <c r="O1736" s="2" t="str">
        <f>TEXT(Table14[[#This Row],[Data_Wystawienia]],"rrrr-mm")</f>
        <v>2023-10</v>
      </c>
      <c r="P1736" s="2">
        <v>1</v>
      </c>
    </row>
    <row r="1737" spans="1:16" x14ac:dyDescent="0.3">
      <c r="A1737" s="2" t="str">
        <f>TRIM(Table1[[#This Row],[Numer_FV]])</f>
        <v>FV/CENFA/380806/23</v>
      </c>
      <c r="B1737" s="2" t="str">
        <f>TRIM(Table1[[#This Row],[Numer_PZ]])</f>
        <v>PZ/801735</v>
      </c>
      <c r="C1737" s="2" t="str">
        <f>TRIM(Table1[[#This Row],[Dostawca]])</f>
        <v>CentrumFarm</v>
      </c>
      <c r="D1737" s="3">
        <v>45202</v>
      </c>
      <c r="E1737" s="4" t="s">
        <v>5137</v>
      </c>
      <c r="F1737" s="2" t="str">
        <f>TRIM(Table1[[#This Row],[Status]])</f>
        <v>Zaakceptowana</v>
      </c>
      <c r="G1737" s="2" t="str">
        <f>TRIM(Table1[[#This Row],[Typ]])</f>
        <v>Faktura VAT</v>
      </c>
      <c r="H1737" s="2" t="str">
        <f>TRIM(Table1[[#This Row],[Magazyn]])</f>
        <v>Apteka Szpitalna</v>
      </c>
      <c r="I1737" s="2" t="str">
        <f>TRIM(Table1[[#This Row],[Umowa]])</f>
        <v/>
      </c>
      <c r="J1737" s="2" t="b">
        <f>ISTEXT(Table14[[#This Row],[Data_Wystawienia]])</f>
        <v>0</v>
      </c>
      <c r="K1737" s="2">
        <f>VALUE(SUBSTITUTE(Table14[[#This Row],[Wartość]],".",","))</f>
        <v>15344.77</v>
      </c>
      <c r="L17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7" s="2" t="str">
        <f>IF(Table14[[#This Row],[Umowa]]="","Poza umową","Z umowy")</f>
        <v>Poza umową</v>
      </c>
      <c r="N1737" s="2">
        <f>YEAR(Table14[[#This Row],[Data_Wystawienia]])</f>
        <v>2023</v>
      </c>
      <c r="O1737" s="2" t="str">
        <f>TEXT(Table14[[#This Row],[Data_Wystawienia]],"rrrr-mm")</f>
        <v>2023-10</v>
      </c>
      <c r="P1737" s="2">
        <v>1</v>
      </c>
    </row>
    <row r="1738" spans="1:16" x14ac:dyDescent="0.3">
      <c r="A1738" s="2" t="str">
        <f>TRIM(Table1[[#This Row],[Numer_FV]])</f>
        <v>FV/92/SAL/23</v>
      </c>
      <c r="B1738" s="2" t="str">
        <f>TRIM(Table1[[#This Row],[Numer_PZ]])</f>
        <v>PZ/801736</v>
      </c>
      <c r="C1738" s="2" t="str">
        <f>TRIM(Table1[[#This Row],[Dostawca]])</f>
        <v>SalusHurt</v>
      </c>
      <c r="D1738" s="3">
        <v>45202</v>
      </c>
      <c r="E1738" s="4" t="s">
        <v>5139</v>
      </c>
      <c r="F1738" s="2" t="str">
        <f>TRIM(Table1[[#This Row],[Status]])</f>
        <v>Zaakceptowana</v>
      </c>
      <c r="G1738" s="2" t="str">
        <f>TRIM(Table1[[#This Row],[Typ]])</f>
        <v>Faktura VAT</v>
      </c>
      <c r="H1738" s="2" t="str">
        <f>TRIM(Table1[[#This Row],[Magazyn]])</f>
        <v>Apteka Szpitalna</v>
      </c>
      <c r="I1738" s="2" t="str">
        <f>TRIM(Table1[[#This Row],[Umowa]])</f>
        <v>UM-SAL-01</v>
      </c>
      <c r="J1738" s="2" t="b">
        <f>ISTEXT(Table14[[#This Row],[Data_Wystawienia]])</f>
        <v>0</v>
      </c>
      <c r="K1738" s="2">
        <f>VALUE(SUBSTITUTE(Table14[[#This Row],[Wartość]],".",","))</f>
        <v>19860.21</v>
      </c>
      <c r="L17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8" s="2" t="str">
        <f>IF(Table14[[#This Row],[Umowa]]="","Poza umową","Z umowy")</f>
        <v>Z umowy</v>
      </c>
      <c r="N1738" s="2">
        <f>YEAR(Table14[[#This Row],[Data_Wystawienia]])</f>
        <v>2023</v>
      </c>
      <c r="O1738" s="2" t="str">
        <f>TEXT(Table14[[#This Row],[Data_Wystawienia]],"rrrr-mm")</f>
        <v>2023-10</v>
      </c>
      <c r="P1738" s="2">
        <v>1</v>
      </c>
    </row>
    <row r="1739" spans="1:16" x14ac:dyDescent="0.3">
      <c r="A1739" s="2" t="str">
        <f>TRIM(Table1[[#This Row],[Numer_FV]])</f>
        <v>FV/4838HM/23</v>
      </c>
      <c r="B1739" s="2" t="str">
        <f>TRIM(Table1[[#This Row],[Numer_PZ]])</f>
        <v>PZ/801737</v>
      </c>
      <c r="C1739" s="2" t="str">
        <f>TRIM(Table1[[#This Row],[Dostawca]])</f>
        <v>HurtMedix</v>
      </c>
      <c r="D1739" s="3">
        <v>45203</v>
      </c>
      <c r="E1739" s="4" t="s">
        <v>5142</v>
      </c>
      <c r="F1739" s="2" t="str">
        <f>TRIM(Table1[[#This Row],[Status]])</f>
        <v>Zaakceptowana</v>
      </c>
      <c r="G1739" s="2" t="str">
        <f>TRIM(Table1[[#This Row],[Typ]])</f>
        <v>Korekta FV</v>
      </c>
      <c r="H1739" s="2" t="str">
        <f>TRIM(Table1[[#This Row],[Magazyn]])</f>
        <v>Apteka Szpitalna</v>
      </c>
      <c r="I1739" s="2" t="str">
        <f>TRIM(Table1[[#This Row],[Umowa]])</f>
        <v>UM-HUR-01</v>
      </c>
      <c r="J1739" s="2" t="b">
        <f>ISTEXT(Table14[[#This Row],[Data_Wystawienia]])</f>
        <v>0</v>
      </c>
      <c r="K1739" s="2">
        <f>VALUE(SUBSTITUTE(Table14[[#This Row],[Wartość]],".",","))</f>
        <v>-2010.27</v>
      </c>
      <c r="L17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39" s="2" t="str">
        <f>IF(Table14[[#This Row],[Umowa]]="","Poza umową","Z umowy")</f>
        <v>Z umowy</v>
      </c>
      <c r="N1739" s="2">
        <f>YEAR(Table14[[#This Row],[Data_Wystawienia]])</f>
        <v>2023</v>
      </c>
      <c r="O1739" s="2" t="str">
        <f>TEXT(Table14[[#This Row],[Data_Wystawienia]],"rrrr-mm")</f>
        <v>2023-10</v>
      </c>
      <c r="P1739" s="2">
        <v>1</v>
      </c>
    </row>
    <row r="1740" spans="1:16" x14ac:dyDescent="0.3">
      <c r="A1740" s="2" t="str">
        <f>TRIM(Table1[[#This Row],[Numer_FV]])</f>
        <v>FV/87/SAL/23</v>
      </c>
      <c r="B1740" s="2" t="str">
        <f>TRIM(Table1[[#This Row],[Numer_PZ]])</f>
        <v>PZ/801738</v>
      </c>
      <c r="C1740" s="2" t="str">
        <f>TRIM(Table1[[#This Row],[Dostawca]])</f>
        <v>SalusHurt</v>
      </c>
      <c r="D1740" s="3">
        <v>45203</v>
      </c>
      <c r="E1740" s="4" t="s">
        <v>5144</v>
      </c>
      <c r="F1740" s="2" t="str">
        <f>TRIM(Table1[[#This Row],[Status]])</f>
        <v>Zaakceptowana</v>
      </c>
      <c r="G1740" s="2" t="str">
        <f>TRIM(Table1[[#This Row],[Typ]])</f>
        <v>Faktura VAT</v>
      </c>
      <c r="H1740" s="2" t="str">
        <f>TRIM(Table1[[#This Row],[Magazyn]])</f>
        <v>Apteka Szpitalna</v>
      </c>
      <c r="I1740" s="2" t="str">
        <f>TRIM(Table1[[#This Row],[Umowa]])</f>
        <v>UM-SAL-01</v>
      </c>
      <c r="J1740" s="2" t="b">
        <f>ISTEXT(Table14[[#This Row],[Data_Wystawienia]])</f>
        <v>0</v>
      </c>
      <c r="K1740" s="2">
        <f>VALUE(SUBSTITUTE(Table14[[#This Row],[Wartość]],".",","))</f>
        <v>12278</v>
      </c>
      <c r="L17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0" s="2" t="str">
        <f>IF(Table14[[#This Row],[Umowa]]="","Poza umową","Z umowy")</f>
        <v>Z umowy</v>
      </c>
      <c r="N1740" s="2">
        <f>YEAR(Table14[[#This Row],[Data_Wystawienia]])</f>
        <v>2023</v>
      </c>
      <c r="O1740" s="2" t="str">
        <f>TEXT(Table14[[#This Row],[Data_Wystawienia]],"rrrr-mm")</f>
        <v>2023-10</v>
      </c>
      <c r="P1740" s="2">
        <v>1</v>
      </c>
    </row>
    <row r="1741" spans="1:16" x14ac:dyDescent="0.3">
      <c r="A1741" s="2" t="str">
        <f>TRIM(Table1[[#This Row],[Numer_FV]])</f>
        <v>FV/65836/VDb/2023</v>
      </c>
      <c r="B1741" s="2" t="str">
        <f>TRIM(Table1[[#This Row],[Numer_PZ]])</f>
        <v>PZ/801739</v>
      </c>
      <c r="C1741" s="2" t="str">
        <f>TRIM(Table1[[#This Row],[Dostawca]])</f>
        <v>VitaDistrib</v>
      </c>
      <c r="D1741" s="3">
        <v>45203</v>
      </c>
      <c r="E1741" s="4" t="s">
        <v>5147</v>
      </c>
      <c r="F1741" s="2" t="str">
        <f>TRIM(Table1[[#This Row],[Status]])</f>
        <v>Zaakceptowana</v>
      </c>
      <c r="G1741" s="2" t="str">
        <f>TRIM(Table1[[#This Row],[Typ]])</f>
        <v>Faktura VAT</v>
      </c>
      <c r="H1741" s="2" t="str">
        <f>TRIM(Table1[[#This Row],[Magazyn]])</f>
        <v>Apteka Szpitalna</v>
      </c>
      <c r="I1741" s="2" t="str">
        <f>TRIM(Table1[[#This Row],[Umowa]])</f>
        <v>UM-VIT-01</v>
      </c>
      <c r="J1741" s="2" t="b">
        <f>ISTEXT(Table14[[#This Row],[Data_Wystawienia]])</f>
        <v>0</v>
      </c>
      <c r="K1741" s="2">
        <f>VALUE(SUBSTITUTE(Table14[[#This Row],[Wartość]],".",","))</f>
        <v>16818.560000000001</v>
      </c>
      <c r="L17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1" s="2" t="str">
        <f>IF(Table14[[#This Row],[Umowa]]="","Poza umową","Z umowy")</f>
        <v>Z umowy</v>
      </c>
      <c r="N1741" s="2">
        <f>YEAR(Table14[[#This Row],[Data_Wystawienia]])</f>
        <v>2023</v>
      </c>
      <c r="O1741" s="2" t="str">
        <f>TEXT(Table14[[#This Row],[Data_Wystawienia]],"rrrr-mm")</f>
        <v>2023-10</v>
      </c>
      <c r="P1741" s="2">
        <v>1</v>
      </c>
    </row>
    <row r="1742" spans="1:16" x14ac:dyDescent="0.3">
      <c r="A1742" s="2" t="str">
        <f>TRIM(Table1[[#This Row],[Numer_FV]])</f>
        <v>FV/6354HM/23</v>
      </c>
      <c r="B1742" s="2" t="str">
        <f>TRIM(Table1[[#This Row],[Numer_PZ]])</f>
        <v>PZ/801740</v>
      </c>
      <c r="C1742" s="2" t="str">
        <f>TRIM(Table1[[#This Row],[Dostawca]])</f>
        <v>HurtMedix</v>
      </c>
      <c r="D1742" s="3">
        <v>45204</v>
      </c>
      <c r="E1742" s="4" t="s">
        <v>5150</v>
      </c>
      <c r="F1742" s="2" t="str">
        <f>TRIM(Table1[[#This Row],[Status]])</f>
        <v>Zaakceptowana</v>
      </c>
      <c r="G1742" s="2" t="str">
        <f>TRIM(Table1[[#This Row],[Typ]])</f>
        <v>Faktura VAT</v>
      </c>
      <c r="H1742" s="2" t="str">
        <f>TRIM(Table1[[#This Row],[Magazyn]])</f>
        <v>Apteka Szpitalna</v>
      </c>
      <c r="I1742" s="2" t="str">
        <f>TRIM(Table1[[#This Row],[Umowa]])</f>
        <v/>
      </c>
      <c r="J1742" s="2" t="b">
        <f>ISTEXT(Table14[[#This Row],[Data_Wystawienia]])</f>
        <v>0</v>
      </c>
      <c r="K1742" s="2">
        <f>VALUE(SUBSTITUTE(Table14[[#This Row],[Wartość]],".",","))</f>
        <v>10221.48</v>
      </c>
      <c r="L17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2" s="2" t="str">
        <f>IF(Table14[[#This Row],[Umowa]]="","Poza umową","Z umowy")</f>
        <v>Poza umową</v>
      </c>
      <c r="N1742" s="2">
        <f>YEAR(Table14[[#This Row],[Data_Wystawienia]])</f>
        <v>2023</v>
      </c>
      <c r="O1742" s="2" t="str">
        <f>TEXT(Table14[[#This Row],[Data_Wystawienia]],"rrrr-mm")</f>
        <v>2023-10</v>
      </c>
      <c r="P1742" s="2">
        <v>1</v>
      </c>
    </row>
    <row r="1743" spans="1:16" x14ac:dyDescent="0.3">
      <c r="A1743" s="2" t="str">
        <f>TRIM(Table1[[#This Row],[Numer_FV]])</f>
        <v>FV/CENFA/650196/23</v>
      </c>
      <c r="B1743" s="2" t="str">
        <f>TRIM(Table1[[#This Row],[Numer_PZ]])</f>
        <v>PZ/801741</v>
      </c>
      <c r="C1743" s="2" t="str">
        <f>TRIM(Table1[[#This Row],[Dostawca]])</f>
        <v>CentrumFarm</v>
      </c>
      <c r="D1743" s="3">
        <v>45204</v>
      </c>
      <c r="E1743" s="4" t="s">
        <v>5153</v>
      </c>
      <c r="F1743" s="2" t="str">
        <f>TRIM(Table1[[#This Row],[Status]])</f>
        <v>Zaakceptowana</v>
      </c>
      <c r="G1743" s="2" t="str">
        <f>TRIM(Table1[[#This Row],[Typ]])</f>
        <v>Faktura VAT</v>
      </c>
      <c r="H1743" s="2" t="str">
        <f>TRIM(Table1[[#This Row],[Magazyn]])</f>
        <v>Apteka Szpitalna</v>
      </c>
      <c r="I1743" s="2" t="str">
        <f>TRIM(Table1[[#This Row],[Umowa]])</f>
        <v/>
      </c>
      <c r="J1743" s="2" t="b">
        <f>ISTEXT(Table14[[#This Row],[Data_Wystawienia]])</f>
        <v>0</v>
      </c>
      <c r="K1743" s="2">
        <f>VALUE(SUBSTITUTE(Table14[[#This Row],[Wartość]],".",","))</f>
        <v>13952.35</v>
      </c>
      <c r="L17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3" s="2" t="str">
        <f>IF(Table14[[#This Row],[Umowa]]="","Poza umową","Z umowy")</f>
        <v>Poza umową</v>
      </c>
      <c r="N1743" s="2">
        <f>YEAR(Table14[[#This Row],[Data_Wystawienia]])</f>
        <v>2023</v>
      </c>
      <c r="O1743" s="2" t="str">
        <f>TEXT(Table14[[#This Row],[Data_Wystawienia]],"rrrr-mm")</f>
        <v>2023-10</v>
      </c>
      <c r="P1743" s="2">
        <v>1</v>
      </c>
    </row>
    <row r="1744" spans="1:16" x14ac:dyDescent="0.3">
      <c r="A1744" s="2" t="str">
        <f>TRIM(Table1[[#This Row],[Numer_FV]])</f>
        <v>FV/4336/NOVA/23</v>
      </c>
      <c r="B1744" s="2" t="str">
        <f>TRIM(Table1[[#This Row],[Numer_PZ]])</f>
        <v>PZ/801742</v>
      </c>
      <c r="C1744" s="2" t="str">
        <f>TRIM(Table1[[#This Row],[Dostawca]])</f>
        <v>NovaLek</v>
      </c>
      <c r="D1744" s="3">
        <v>45204</v>
      </c>
      <c r="E1744" s="4" t="s">
        <v>5156</v>
      </c>
      <c r="F1744" s="2" t="str">
        <f>TRIM(Table1[[#This Row],[Status]])</f>
        <v>Zaakceptowana</v>
      </c>
      <c r="G1744" s="2" t="str">
        <f>TRIM(Table1[[#This Row],[Typ]])</f>
        <v>Faktura VAT</v>
      </c>
      <c r="H1744" s="2" t="str">
        <f>TRIM(Table1[[#This Row],[Magazyn]])</f>
        <v>Apteka Szpitalna</v>
      </c>
      <c r="I1744" s="2" t="str">
        <f>TRIM(Table1[[#This Row],[Umowa]])</f>
        <v>UM-NOV-01</v>
      </c>
      <c r="J1744" s="2" t="b">
        <f>ISTEXT(Table14[[#This Row],[Data_Wystawienia]])</f>
        <v>0</v>
      </c>
      <c r="K1744" s="2">
        <f>VALUE(SUBSTITUTE(Table14[[#This Row],[Wartość]],".",","))</f>
        <v>11343.93</v>
      </c>
      <c r="L17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4" s="2" t="str">
        <f>IF(Table14[[#This Row],[Umowa]]="","Poza umową","Z umowy")</f>
        <v>Z umowy</v>
      </c>
      <c r="N1744" s="2">
        <f>YEAR(Table14[[#This Row],[Data_Wystawienia]])</f>
        <v>2023</v>
      </c>
      <c r="O1744" s="2" t="str">
        <f>TEXT(Table14[[#This Row],[Data_Wystawienia]],"rrrr-mm")</f>
        <v>2023-10</v>
      </c>
      <c r="P1744" s="2">
        <v>1</v>
      </c>
    </row>
    <row r="1745" spans="1:16" x14ac:dyDescent="0.3">
      <c r="A1745" s="2" t="str">
        <f>TRIM(Table1[[#This Row],[Numer_FV]])</f>
        <v>FV/38/PP/4912/23</v>
      </c>
      <c r="B1745" s="2" t="str">
        <f>TRIM(Table1[[#This Row],[Numer_PZ]])</f>
        <v>PZ/801743</v>
      </c>
      <c r="C1745" s="2" t="str">
        <f>TRIM(Table1[[#This Row],[Dostawca]])</f>
        <v>PharmaPlus</v>
      </c>
      <c r="D1745" s="3">
        <v>45204</v>
      </c>
      <c r="E1745" s="4" t="s">
        <v>5159</v>
      </c>
      <c r="F1745" s="2" t="str">
        <f>TRIM(Table1[[#This Row],[Status]])</f>
        <v>Zaakceptowana</v>
      </c>
      <c r="G1745" s="2" t="str">
        <f>TRIM(Table1[[#This Row],[Typ]])</f>
        <v>Faktura VAT</v>
      </c>
      <c r="H1745" s="2" t="str">
        <f>TRIM(Table1[[#This Row],[Magazyn]])</f>
        <v>Apteka Szpitalna</v>
      </c>
      <c r="I1745" s="2" t="str">
        <f>TRIM(Table1[[#This Row],[Umowa]])</f>
        <v>UM-PHA-02</v>
      </c>
      <c r="J1745" s="2" t="b">
        <f>ISTEXT(Table14[[#This Row],[Data_Wystawienia]])</f>
        <v>0</v>
      </c>
      <c r="K1745" s="2">
        <f>VALUE(SUBSTITUTE(Table14[[#This Row],[Wartość]],".",","))</f>
        <v>19350.77</v>
      </c>
      <c r="L17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5" s="2" t="str">
        <f>IF(Table14[[#This Row],[Umowa]]="","Poza umową","Z umowy")</f>
        <v>Z umowy</v>
      </c>
      <c r="N1745" s="2">
        <f>YEAR(Table14[[#This Row],[Data_Wystawienia]])</f>
        <v>2023</v>
      </c>
      <c r="O1745" s="2" t="str">
        <f>TEXT(Table14[[#This Row],[Data_Wystawienia]],"rrrr-mm")</f>
        <v>2023-10</v>
      </c>
      <c r="P1745" s="2">
        <v>1</v>
      </c>
    </row>
    <row r="1746" spans="1:16" x14ac:dyDescent="0.3">
      <c r="A1746" s="2" t="str">
        <f>TRIM(Table1[[#This Row],[Numer_FV]])</f>
        <v>FV/POL/31433/2023</v>
      </c>
      <c r="B1746" s="2" t="str">
        <f>TRIM(Table1[[#This Row],[Numer_PZ]])</f>
        <v>PZ/801744</v>
      </c>
      <c r="C1746" s="2" t="str">
        <f>TRIM(Table1[[#This Row],[Dostawca]])</f>
        <v>Polmedica</v>
      </c>
      <c r="D1746" s="3">
        <v>45204</v>
      </c>
      <c r="E1746" s="4" t="s">
        <v>5162</v>
      </c>
      <c r="F1746" s="2" t="str">
        <f>TRIM(Table1[[#This Row],[Status]])</f>
        <v>Zaakceptowana</v>
      </c>
      <c r="G1746" s="2" t="str">
        <f>TRIM(Table1[[#This Row],[Typ]])</f>
        <v>Faktura VAT</v>
      </c>
      <c r="H1746" s="2" t="str">
        <f>TRIM(Table1[[#This Row],[Magazyn]])</f>
        <v>Apteka Szpitalna</v>
      </c>
      <c r="I1746" s="2" t="str">
        <f>TRIM(Table1[[#This Row],[Umowa]])</f>
        <v>UM-POL-02</v>
      </c>
      <c r="J1746" s="2" t="b">
        <f>ISTEXT(Table14[[#This Row],[Data_Wystawienia]])</f>
        <v>0</v>
      </c>
      <c r="K1746" s="2">
        <f>VALUE(SUBSTITUTE(Table14[[#This Row],[Wartość]],".",","))</f>
        <v>12824.08</v>
      </c>
      <c r="L17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6" s="2" t="str">
        <f>IF(Table14[[#This Row],[Umowa]]="","Poza umową","Z umowy")</f>
        <v>Z umowy</v>
      </c>
      <c r="N1746" s="2">
        <f>YEAR(Table14[[#This Row],[Data_Wystawienia]])</f>
        <v>2023</v>
      </c>
      <c r="O1746" s="2" t="str">
        <f>TEXT(Table14[[#This Row],[Data_Wystawienia]],"rrrr-mm")</f>
        <v>2023-10</v>
      </c>
      <c r="P1746" s="2">
        <v>1</v>
      </c>
    </row>
    <row r="1747" spans="1:16" x14ac:dyDescent="0.3">
      <c r="A1747" s="2" t="str">
        <f>TRIM(Table1[[#This Row],[Numer_FV]])</f>
        <v>FV/CENFA/831880/23</v>
      </c>
      <c r="B1747" s="2" t="str">
        <f>TRIM(Table1[[#This Row],[Numer_PZ]])</f>
        <v>PZ/801745</v>
      </c>
      <c r="C1747" s="2" t="str">
        <f>TRIM(Table1[[#This Row],[Dostawca]])</f>
        <v>CentrumFarm</v>
      </c>
      <c r="D1747" s="3">
        <v>45204</v>
      </c>
      <c r="E1747" s="4" t="s">
        <v>5165</v>
      </c>
      <c r="F1747" s="2" t="str">
        <f>TRIM(Table1[[#This Row],[Status]])</f>
        <v>Zaakceptowana</v>
      </c>
      <c r="G1747" s="2" t="str">
        <f>TRIM(Table1[[#This Row],[Typ]])</f>
        <v>Faktura VAT</v>
      </c>
      <c r="H1747" s="2" t="str">
        <f>TRIM(Table1[[#This Row],[Magazyn]])</f>
        <v>Apteka Szpitalna</v>
      </c>
      <c r="I1747" s="2" t="str">
        <f>TRIM(Table1[[#This Row],[Umowa]])</f>
        <v>UM-CEN-01</v>
      </c>
      <c r="J1747" s="2" t="b">
        <f>ISTEXT(Table14[[#This Row],[Data_Wystawienia]])</f>
        <v>0</v>
      </c>
      <c r="K1747" s="2">
        <f>VALUE(SUBSTITUTE(Table14[[#This Row],[Wartość]],".",","))</f>
        <v>10691.77</v>
      </c>
      <c r="L17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7" s="2" t="str">
        <f>IF(Table14[[#This Row],[Umowa]]="","Poza umową","Z umowy")</f>
        <v>Z umowy</v>
      </c>
      <c r="N1747" s="2">
        <f>YEAR(Table14[[#This Row],[Data_Wystawienia]])</f>
        <v>2023</v>
      </c>
      <c r="O1747" s="2" t="str">
        <f>TEXT(Table14[[#This Row],[Data_Wystawienia]],"rrrr-mm")</f>
        <v>2023-10</v>
      </c>
      <c r="P1747" s="2">
        <v>1</v>
      </c>
    </row>
    <row r="1748" spans="1:16" x14ac:dyDescent="0.3">
      <c r="A1748" s="2" t="str">
        <f>TRIM(Table1[[#This Row],[Numer_FV]])</f>
        <v>FV/31/SAL/23</v>
      </c>
      <c r="B1748" s="2" t="str">
        <f>TRIM(Table1[[#This Row],[Numer_PZ]])</f>
        <v>PZ/801746</v>
      </c>
      <c r="C1748" s="2" t="str">
        <f>TRIM(Table1[[#This Row],[Dostawca]])</f>
        <v>SalusHurt</v>
      </c>
      <c r="D1748" s="3">
        <v>45204</v>
      </c>
      <c r="E1748" s="4" t="s">
        <v>5168</v>
      </c>
      <c r="F1748" s="2" t="str">
        <f>TRIM(Table1[[#This Row],[Status]])</f>
        <v>Zaakceptowana</v>
      </c>
      <c r="G1748" s="2" t="str">
        <f>TRIM(Table1[[#This Row],[Typ]])</f>
        <v>Faktura VAT</v>
      </c>
      <c r="H1748" s="2" t="str">
        <f>TRIM(Table1[[#This Row],[Magazyn]])</f>
        <v>Apteka Szpitalna</v>
      </c>
      <c r="I1748" s="2" t="str">
        <f>TRIM(Table1[[#This Row],[Umowa]])</f>
        <v>UM-SAL-01</v>
      </c>
      <c r="J1748" s="2" t="b">
        <f>ISTEXT(Table14[[#This Row],[Data_Wystawienia]])</f>
        <v>0</v>
      </c>
      <c r="K1748" s="2">
        <f>VALUE(SUBSTITUTE(Table14[[#This Row],[Wartość]],".",","))</f>
        <v>23147.94</v>
      </c>
      <c r="L17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8" s="2" t="str">
        <f>IF(Table14[[#This Row],[Umowa]]="","Poza umową","Z umowy")</f>
        <v>Z umowy</v>
      </c>
      <c r="N1748" s="2">
        <f>YEAR(Table14[[#This Row],[Data_Wystawienia]])</f>
        <v>2023</v>
      </c>
      <c r="O1748" s="2" t="str">
        <f>TEXT(Table14[[#This Row],[Data_Wystawienia]],"rrrr-mm")</f>
        <v>2023-10</v>
      </c>
      <c r="P1748" s="2">
        <v>1</v>
      </c>
    </row>
    <row r="1749" spans="1:16" x14ac:dyDescent="0.3">
      <c r="A1749" s="2" t="str">
        <f>TRIM(Table1[[#This Row],[Numer_FV]])</f>
        <v>FV/72/PP/1610/23</v>
      </c>
      <c r="B1749" s="2" t="str">
        <f>TRIM(Table1[[#This Row],[Numer_PZ]])</f>
        <v>PZ/801747</v>
      </c>
      <c r="C1749" s="2" t="str">
        <f>TRIM(Table1[[#This Row],[Dostawca]])</f>
        <v>PharmaPlus</v>
      </c>
      <c r="D1749" s="3">
        <v>45205</v>
      </c>
      <c r="E1749" s="4" t="s">
        <v>5171</v>
      </c>
      <c r="F1749" s="2" t="str">
        <f>TRIM(Table1[[#This Row],[Status]])</f>
        <v>Zaakceptowana</v>
      </c>
      <c r="G1749" s="2" t="str">
        <f>TRIM(Table1[[#This Row],[Typ]])</f>
        <v>Faktura VAT</v>
      </c>
      <c r="H1749" s="2" t="str">
        <f>TRIM(Table1[[#This Row],[Magazyn]])</f>
        <v>Apteka Szpitalna</v>
      </c>
      <c r="I1749" s="2" t="str">
        <f>TRIM(Table1[[#This Row],[Umowa]])</f>
        <v>UM-PHA-02</v>
      </c>
      <c r="J1749" s="2" t="b">
        <f>ISTEXT(Table14[[#This Row],[Data_Wystawienia]])</f>
        <v>0</v>
      </c>
      <c r="K1749" s="2">
        <f>VALUE(SUBSTITUTE(Table14[[#This Row],[Wartość]],".",","))</f>
        <v>15052.08</v>
      </c>
      <c r="L17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49" s="2" t="str">
        <f>IF(Table14[[#This Row],[Umowa]]="","Poza umową","Z umowy")</f>
        <v>Z umowy</v>
      </c>
      <c r="N1749" s="2">
        <f>YEAR(Table14[[#This Row],[Data_Wystawienia]])</f>
        <v>2023</v>
      </c>
      <c r="O1749" s="2" t="str">
        <f>TEXT(Table14[[#This Row],[Data_Wystawienia]],"rrrr-mm")</f>
        <v>2023-10</v>
      </c>
      <c r="P1749" s="2">
        <v>1</v>
      </c>
    </row>
    <row r="1750" spans="1:16" x14ac:dyDescent="0.3">
      <c r="A1750" s="2" t="str">
        <f>TRIM(Table1[[#This Row],[Numer_FV]])</f>
        <v>FV/M/4901/P/23</v>
      </c>
      <c r="B1750" s="2" t="str">
        <f>TRIM(Table1[[#This Row],[Numer_PZ]])</f>
        <v>PZ/801748</v>
      </c>
      <c r="C1750" s="2" t="str">
        <f>TRIM(Table1[[#This Row],[Dostawca]])</f>
        <v>MedicaPharm</v>
      </c>
      <c r="D1750" s="3">
        <v>45205</v>
      </c>
      <c r="E1750" s="4" t="s">
        <v>5174</v>
      </c>
      <c r="F1750" s="2" t="str">
        <f>TRIM(Table1[[#This Row],[Status]])</f>
        <v>Zaakceptowana</v>
      </c>
      <c r="G1750" s="2" t="str">
        <f>TRIM(Table1[[#This Row],[Typ]])</f>
        <v>Korekta FV</v>
      </c>
      <c r="H1750" s="2" t="str">
        <f>TRIM(Table1[[#This Row],[Magazyn]])</f>
        <v>Apteka Szpitalna</v>
      </c>
      <c r="I1750" s="2" t="str">
        <f>TRIM(Table1[[#This Row],[Umowa]])</f>
        <v>UM-MED-01</v>
      </c>
      <c r="J1750" s="2" t="b">
        <f>ISTEXT(Table14[[#This Row],[Data_Wystawienia]])</f>
        <v>0</v>
      </c>
      <c r="K1750" s="2">
        <f>VALUE(SUBSTITUTE(Table14[[#This Row],[Wartość]],".",","))</f>
        <v>-2031.12</v>
      </c>
      <c r="L17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0" s="2" t="str">
        <f>IF(Table14[[#This Row],[Umowa]]="","Poza umową","Z umowy")</f>
        <v>Z umowy</v>
      </c>
      <c r="N1750" s="2">
        <f>YEAR(Table14[[#This Row],[Data_Wystawienia]])</f>
        <v>2023</v>
      </c>
      <c r="O1750" s="2" t="str">
        <f>TEXT(Table14[[#This Row],[Data_Wystawienia]],"rrrr-mm")</f>
        <v>2023-10</v>
      </c>
      <c r="P1750" s="2">
        <v>1</v>
      </c>
    </row>
    <row r="1751" spans="1:16" x14ac:dyDescent="0.3">
      <c r="A1751" s="2" t="str">
        <f>TRIM(Table1[[#This Row],[Numer_FV]])</f>
        <v>FV/POL/94232/2023</v>
      </c>
      <c r="B1751" s="2" t="str">
        <f>TRIM(Table1[[#This Row],[Numer_PZ]])</f>
        <v>PZ/801749</v>
      </c>
      <c r="C1751" s="2" t="str">
        <f>TRIM(Table1[[#This Row],[Dostawca]])</f>
        <v>Polmedica</v>
      </c>
      <c r="D1751" s="3">
        <v>45205</v>
      </c>
      <c r="E1751" s="4" t="s">
        <v>5177</v>
      </c>
      <c r="F1751" s="2" t="str">
        <f>TRIM(Table1[[#This Row],[Status]])</f>
        <v>Zaakceptowana</v>
      </c>
      <c r="G1751" s="2" t="str">
        <f>TRIM(Table1[[#This Row],[Typ]])</f>
        <v>Faktura VAT</v>
      </c>
      <c r="H1751" s="2" t="str">
        <f>TRIM(Table1[[#This Row],[Magazyn]])</f>
        <v>Apteka Szpitalna</v>
      </c>
      <c r="I1751" s="2" t="str">
        <f>TRIM(Table1[[#This Row],[Umowa]])</f>
        <v>UM-POL-02</v>
      </c>
      <c r="J1751" s="2" t="b">
        <f>ISTEXT(Table14[[#This Row],[Data_Wystawienia]])</f>
        <v>0</v>
      </c>
      <c r="K1751" s="2">
        <f>VALUE(SUBSTITUTE(Table14[[#This Row],[Wartość]],".",","))</f>
        <v>15535.41</v>
      </c>
      <c r="L17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1" s="2" t="str">
        <f>IF(Table14[[#This Row],[Umowa]]="","Poza umową","Z umowy")</f>
        <v>Z umowy</v>
      </c>
      <c r="N1751" s="2">
        <f>YEAR(Table14[[#This Row],[Data_Wystawienia]])</f>
        <v>2023</v>
      </c>
      <c r="O1751" s="2" t="str">
        <f>TEXT(Table14[[#This Row],[Data_Wystawienia]],"rrrr-mm")</f>
        <v>2023-10</v>
      </c>
      <c r="P1751" s="2">
        <v>1</v>
      </c>
    </row>
    <row r="1752" spans="1:16" x14ac:dyDescent="0.3">
      <c r="A1752" s="2" t="str">
        <f>TRIM(Table1[[#This Row],[Numer_FV]])</f>
        <v>FV/8000/NOVA/23</v>
      </c>
      <c r="B1752" s="2" t="str">
        <f>TRIM(Table1[[#This Row],[Numer_PZ]])</f>
        <v>PZ/801750</v>
      </c>
      <c r="C1752" s="2" t="str">
        <f>TRIM(Table1[[#This Row],[Dostawca]])</f>
        <v>NovaLek</v>
      </c>
      <c r="D1752" s="3">
        <v>45207</v>
      </c>
      <c r="E1752" s="4" t="s">
        <v>5180</v>
      </c>
      <c r="F1752" s="2" t="str">
        <f>TRIM(Table1[[#This Row],[Status]])</f>
        <v>Zaakceptowana</v>
      </c>
      <c r="G1752" s="2" t="str">
        <f>TRIM(Table1[[#This Row],[Typ]])</f>
        <v>Faktura VAT</v>
      </c>
      <c r="H1752" s="2" t="str">
        <f>TRIM(Table1[[#This Row],[Magazyn]])</f>
        <v>Apteka Szpitalna</v>
      </c>
      <c r="I1752" s="2" t="str">
        <f>TRIM(Table1[[#This Row],[Umowa]])</f>
        <v>UM-NOV-02</v>
      </c>
      <c r="J1752" s="2" t="b">
        <f>ISTEXT(Table14[[#This Row],[Data_Wystawienia]])</f>
        <v>0</v>
      </c>
      <c r="K1752" s="2">
        <f>VALUE(SUBSTITUTE(Table14[[#This Row],[Wartość]],".",","))</f>
        <v>15800.18</v>
      </c>
      <c r="L17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2" s="2" t="str">
        <f>IF(Table14[[#This Row],[Umowa]]="","Poza umową","Z umowy")</f>
        <v>Z umowy</v>
      </c>
      <c r="N1752" s="2">
        <f>YEAR(Table14[[#This Row],[Data_Wystawienia]])</f>
        <v>2023</v>
      </c>
      <c r="O1752" s="2" t="str">
        <f>TEXT(Table14[[#This Row],[Data_Wystawienia]],"rrrr-mm")</f>
        <v>2023-10</v>
      </c>
      <c r="P1752" s="2">
        <v>1</v>
      </c>
    </row>
    <row r="1753" spans="1:16" x14ac:dyDescent="0.3">
      <c r="A1753" s="2" t="str">
        <f>TRIM(Table1[[#This Row],[Numer_FV]])</f>
        <v>FV/20/PP/2455/23</v>
      </c>
      <c r="B1753" s="2" t="str">
        <f>TRIM(Table1[[#This Row],[Numer_PZ]])</f>
        <v>PZ/801751</v>
      </c>
      <c r="C1753" s="2" t="str">
        <f>TRIM(Table1[[#This Row],[Dostawca]])</f>
        <v>PharmaPlus</v>
      </c>
      <c r="D1753" s="3">
        <v>45207</v>
      </c>
      <c r="E1753" s="4" t="s">
        <v>5183</v>
      </c>
      <c r="F1753" s="2" t="str">
        <f>TRIM(Table1[[#This Row],[Status]])</f>
        <v>Zaakceptowana</v>
      </c>
      <c r="G1753" s="2" t="str">
        <f>TRIM(Table1[[#This Row],[Typ]])</f>
        <v>Faktura VAT</v>
      </c>
      <c r="H1753" s="2" t="str">
        <f>TRIM(Table1[[#This Row],[Magazyn]])</f>
        <v>Apteka Szpitalna</v>
      </c>
      <c r="I1753" s="2" t="str">
        <f>TRIM(Table1[[#This Row],[Umowa]])</f>
        <v/>
      </c>
      <c r="J1753" s="2" t="b">
        <f>ISTEXT(Table14[[#This Row],[Data_Wystawienia]])</f>
        <v>0</v>
      </c>
      <c r="K1753" s="2">
        <f>VALUE(SUBSTITUTE(Table14[[#This Row],[Wartość]],".",","))</f>
        <v>21518.21</v>
      </c>
      <c r="L17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3" s="2" t="str">
        <f>IF(Table14[[#This Row],[Umowa]]="","Poza umową","Z umowy")</f>
        <v>Poza umową</v>
      </c>
      <c r="N1753" s="2">
        <f>YEAR(Table14[[#This Row],[Data_Wystawienia]])</f>
        <v>2023</v>
      </c>
      <c r="O1753" s="2" t="str">
        <f>TEXT(Table14[[#This Row],[Data_Wystawienia]],"rrrr-mm")</f>
        <v>2023-10</v>
      </c>
      <c r="P1753" s="2">
        <v>1</v>
      </c>
    </row>
    <row r="1754" spans="1:16" x14ac:dyDescent="0.3">
      <c r="A1754" s="2" t="str">
        <f>TRIM(Table1[[#This Row],[Numer_FV]])</f>
        <v>FV/7816/NOVA/23</v>
      </c>
      <c r="B1754" s="2" t="str">
        <f>TRIM(Table1[[#This Row],[Numer_PZ]])</f>
        <v>PZ/801752</v>
      </c>
      <c r="C1754" s="2" t="str">
        <f>TRIM(Table1[[#This Row],[Dostawca]])</f>
        <v>NovaLek</v>
      </c>
      <c r="D1754" s="3">
        <v>45208</v>
      </c>
      <c r="E1754" s="4" t="s">
        <v>5186</v>
      </c>
      <c r="F1754" s="2" t="str">
        <f>TRIM(Table1[[#This Row],[Status]])</f>
        <v>Zaakceptowana</v>
      </c>
      <c r="G1754" s="2" t="str">
        <f>TRIM(Table1[[#This Row],[Typ]])</f>
        <v>Faktura VAT</v>
      </c>
      <c r="H1754" s="2" t="str">
        <f>TRIM(Table1[[#This Row],[Magazyn]])</f>
        <v>Apteka Szpitalna</v>
      </c>
      <c r="I1754" s="2" t="str">
        <f>TRIM(Table1[[#This Row],[Umowa]])</f>
        <v>UM-NOV-03</v>
      </c>
      <c r="J1754" s="2" t="b">
        <f>ISTEXT(Table14[[#This Row],[Data_Wystawienia]])</f>
        <v>0</v>
      </c>
      <c r="K1754" s="2">
        <f>VALUE(SUBSTITUTE(Table14[[#This Row],[Wartość]],".",","))</f>
        <v>13462.91</v>
      </c>
      <c r="L17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4" s="2" t="str">
        <f>IF(Table14[[#This Row],[Umowa]]="","Poza umową","Z umowy")</f>
        <v>Z umowy</v>
      </c>
      <c r="N1754" s="2">
        <f>YEAR(Table14[[#This Row],[Data_Wystawienia]])</f>
        <v>2023</v>
      </c>
      <c r="O1754" s="2" t="str">
        <f>TEXT(Table14[[#This Row],[Data_Wystawienia]],"rrrr-mm")</f>
        <v>2023-10</v>
      </c>
      <c r="P1754" s="2">
        <v>1</v>
      </c>
    </row>
    <row r="1755" spans="1:16" x14ac:dyDescent="0.3">
      <c r="A1755" s="2" t="str">
        <f>TRIM(Table1[[#This Row],[Numer_FV]])</f>
        <v>FV/M/6686/P/23</v>
      </c>
      <c r="B1755" s="2" t="str">
        <f>TRIM(Table1[[#This Row],[Numer_PZ]])</f>
        <v>PZ/801753</v>
      </c>
      <c r="C1755" s="2" t="str">
        <f>TRIM(Table1[[#This Row],[Dostawca]])</f>
        <v>MedicaPharm</v>
      </c>
      <c r="D1755" s="3">
        <v>45208</v>
      </c>
      <c r="E1755" s="4" t="s">
        <v>5189</v>
      </c>
      <c r="F1755" s="2" t="str">
        <f>TRIM(Table1[[#This Row],[Status]])</f>
        <v>Zaakceptowana</v>
      </c>
      <c r="G1755" s="2" t="str">
        <f>TRIM(Table1[[#This Row],[Typ]])</f>
        <v>Faktura VAT</v>
      </c>
      <c r="H1755" s="2" t="str">
        <f>TRIM(Table1[[#This Row],[Magazyn]])</f>
        <v>Apteka Szpitalna</v>
      </c>
      <c r="I1755" s="2" t="str">
        <f>TRIM(Table1[[#This Row],[Umowa]])</f>
        <v>UM-MED-01</v>
      </c>
      <c r="J1755" s="2" t="b">
        <f>ISTEXT(Table14[[#This Row],[Data_Wystawienia]])</f>
        <v>0</v>
      </c>
      <c r="K1755" s="2">
        <f>VALUE(SUBSTITUTE(Table14[[#This Row],[Wartość]],".",","))</f>
        <v>18180.189999999999</v>
      </c>
      <c r="L17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5" s="2" t="str">
        <f>IF(Table14[[#This Row],[Umowa]]="","Poza umową","Z umowy")</f>
        <v>Z umowy</v>
      </c>
      <c r="N1755" s="2">
        <f>YEAR(Table14[[#This Row],[Data_Wystawienia]])</f>
        <v>2023</v>
      </c>
      <c r="O1755" s="2" t="str">
        <f>TEXT(Table14[[#This Row],[Data_Wystawienia]],"rrrr-mm")</f>
        <v>2023-10</v>
      </c>
      <c r="P1755" s="2">
        <v>1</v>
      </c>
    </row>
    <row r="1756" spans="1:16" x14ac:dyDescent="0.3">
      <c r="A1756" s="2" t="str">
        <f>TRIM(Table1[[#This Row],[Numer_FV]])</f>
        <v>FV/7273HM/23</v>
      </c>
      <c r="B1756" s="2" t="str">
        <f>TRIM(Table1[[#This Row],[Numer_PZ]])</f>
        <v>PZ/801754</v>
      </c>
      <c r="C1756" s="2" t="str">
        <f>TRIM(Table1[[#This Row],[Dostawca]])</f>
        <v>HurtMedix</v>
      </c>
      <c r="D1756" s="3">
        <v>45208</v>
      </c>
      <c r="E1756" s="4" t="s">
        <v>5192</v>
      </c>
      <c r="F1756" s="2" t="str">
        <f>TRIM(Table1[[#This Row],[Status]])</f>
        <v>Zaakceptowana</v>
      </c>
      <c r="G1756" s="2" t="str">
        <f>TRIM(Table1[[#This Row],[Typ]])</f>
        <v>Faktura VAT</v>
      </c>
      <c r="H1756" s="2" t="str">
        <f>TRIM(Table1[[#This Row],[Magazyn]])</f>
        <v>Apteka Szpitalna</v>
      </c>
      <c r="I1756" s="2" t="str">
        <f>TRIM(Table1[[#This Row],[Umowa]])</f>
        <v>UM-HUR-02</v>
      </c>
      <c r="J1756" s="2" t="b">
        <f>ISTEXT(Table14[[#This Row],[Data_Wystawienia]])</f>
        <v>0</v>
      </c>
      <c r="K1756" s="2">
        <f>VALUE(SUBSTITUTE(Table14[[#This Row],[Wartość]],".",","))</f>
        <v>11393.89</v>
      </c>
      <c r="L17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6" s="2" t="str">
        <f>IF(Table14[[#This Row],[Umowa]]="","Poza umową","Z umowy")</f>
        <v>Z umowy</v>
      </c>
      <c r="N1756" s="2">
        <f>YEAR(Table14[[#This Row],[Data_Wystawienia]])</f>
        <v>2023</v>
      </c>
      <c r="O1756" s="2" t="str">
        <f>TEXT(Table14[[#This Row],[Data_Wystawienia]],"rrrr-mm")</f>
        <v>2023-10</v>
      </c>
      <c r="P1756" s="2">
        <v>1</v>
      </c>
    </row>
    <row r="1757" spans="1:16" x14ac:dyDescent="0.3">
      <c r="A1757" s="2" t="str">
        <f>TRIM(Table1[[#This Row],[Numer_FV]])</f>
        <v>FV/CENFA/263421/23</v>
      </c>
      <c r="B1757" s="2" t="str">
        <f>TRIM(Table1[[#This Row],[Numer_PZ]])</f>
        <v>PZ/801755</v>
      </c>
      <c r="C1757" s="2" t="str">
        <f>TRIM(Table1[[#This Row],[Dostawca]])</f>
        <v>CentrumFarm</v>
      </c>
      <c r="D1757" s="3">
        <v>45209</v>
      </c>
      <c r="E1757" s="4" t="s">
        <v>5195</v>
      </c>
      <c r="F1757" s="2" t="str">
        <f>TRIM(Table1[[#This Row],[Status]])</f>
        <v>Zaakceptowana</v>
      </c>
      <c r="G1757" s="2" t="str">
        <f>TRIM(Table1[[#This Row],[Typ]])</f>
        <v>Faktura VAT</v>
      </c>
      <c r="H1757" s="2" t="str">
        <f>TRIM(Table1[[#This Row],[Magazyn]])</f>
        <v>Apteka Szpitalna</v>
      </c>
      <c r="I1757" s="2" t="str">
        <f>TRIM(Table1[[#This Row],[Umowa]])</f>
        <v>UM-CEN-01</v>
      </c>
      <c r="J1757" s="2" t="b">
        <f>ISTEXT(Table14[[#This Row],[Data_Wystawienia]])</f>
        <v>0</v>
      </c>
      <c r="K1757" s="2">
        <f>VALUE(SUBSTITUTE(Table14[[#This Row],[Wartość]],".",","))</f>
        <v>12678.97</v>
      </c>
      <c r="L17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7" s="2" t="str">
        <f>IF(Table14[[#This Row],[Umowa]]="","Poza umową","Z umowy")</f>
        <v>Z umowy</v>
      </c>
      <c r="N1757" s="2">
        <f>YEAR(Table14[[#This Row],[Data_Wystawienia]])</f>
        <v>2023</v>
      </c>
      <c r="O1757" s="2" t="str">
        <f>TEXT(Table14[[#This Row],[Data_Wystawienia]],"rrrr-mm")</f>
        <v>2023-10</v>
      </c>
      <c r="P1757" s="2">
        <v>1</v>
      </c>
    </row>
    <row r="1758" spans="1:16" x14ac:dyDescent="0.3">
      <c r="A1758" s="2" t="str">
        <f>TRIM(Table1[[#This Row],[Numer_FV]])</f>
        <v>FV/4048HM/23</v>
      </c>
      <c r="B1758" s="2" t="str">
        <f>TRIM(Table1[[#This Row],[Numer_PZ]])</f>
        <v>PZ/801756</v>
      </c>
      <c r="C1758" s="2" t="str">
        <f>TRIM(Table1[[#This Row],[Dostawca]])</f>
        <v>HurtMedix</v>
      </c>
      <c r="D1758" s="3">
        <v>45209</v>
      </c>
      <c r="E1758" s="4" t="s">
        <v>5198</v>
      </c>
      <c r="F1758" s="2" t="str">
        <f>TRIM(Table1[[#This Row],[Status]])</f>
        <v>Zaakceptowana</v>
      </c>
      <c r="G1758" s="2" t="str">
        <f>TRIM(Table1[[#This Row],[Typ]])</f>
        <v>Faktura VAT</v>
      </c>
      <c r="H1758" s="2" t="str">
        <f>TRIM(Table1[[#This Row],[Magazyn]])</f>
        <v>Apteka Szpitalna</v>
      </c>
      <c r="I1758" s="2" t="str">
        <f>TRIM(Table1[[#This Row],[Umowa]])</f>
        <v>UM-HUR-02</v>
      </c>
      <c r="J1758" s="2" t="b">
        <f>ISTEXT(Table14[[#This Row],[Data_Wystawienia]])</f>
        <v>0</v>
      </c>
      <c r="K1758" s="2">
        <f>VALUE(SUBSTITUTE(Table14[[#This Row],[Wartość]],".",","))</f>
        <v>20570.419999999998</v>
      </c>
      <c r="L17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8" s="2" t="str">
        <f>IF(Table14[[#This Row],[Umowa]]="","Poza umową","Z umowy")</f>
        <v>Z umowy</v>
      </c>
      <c r="N1758" s="2">
        <f>YEAR(Table14[[#This Row],[Data_Wystawienia]])</f>
        <v>2023</v>
      </c>
      <c r="O1758" s="2" t="str">
        <f>TEXT(Table14[[#This Row],[Data_Wystawienia]],"rrrr-mm")</f>
        <v>2023-10</v>
      </c>
      <c r="P1758" s="2">
        <v>1</v>
      </c>
    </row>
    <row r="1759" spans="1:16" x14ac:dyDescent="0.3">
      <c r="A1759" s="2" t="str">
        <f>TRIM(Table1[[#This Row],[Numer_FV]])</f>
        <v>FV/CENFA/239961/23</v>
      </c>
      <c r="B1759" s="2" t="str">
        <f>TRIM(Table1[[#This Row],[Numer_PZ]])</f>
        <v>PZ/801757</v>
      </c>
      <c r="C1759" s="2" t="str">
        <f>TRIM(Table1[[#This Row],[Dostawca]])</f>
        <v>CentrumFarm</v>
      </c>
      <c r="D1759" s="3">
        <v>45209</v>
      </c>
      <c r="E1759" s="4" t="s">
        <v>5201</v>
      </c>
      <c r="F1759" s="2" t="str">
        <f>TRIM(Table1[[#This Row],[Status]])</f>
        <v>Zaakceptowana</v>
      </c>
      <c r="G1759" s="2" t="str">
        <f>TRIM(Table1[[#This Row],[Typ]])</f>
        <v>Faktura VAT</v>
      </c>
      <c r="H1759" s="2" t="str">
        <f>TRIM(Table1[[#This Row],[Magazyn]])</f>
        <v>Apteka Szpitalna</v>
      </c>
      <c r="I1759" s="2" t="str">
        <f>TRIM(Table1[[#This Row],[Umowa]])</f>
        <v>UM-CEN-02</v>
      </c>
      <c r="J1759" s="2" t="b">
        <f>ISTEXT(Table14[[#This Row],[Data_Wystawienia]])</f>
        <v>0</v>
      </c>
      <c r="K1759" s="2">
        <f>VALUE(SUBSTITUTE(Table14[[#This Row],[Wartość]],".",","))</f>
        <v>16887.52</v>
      </c>
      <c r="L17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59" s="2" t="str">
        <f>IF(Table14[[#This Row],[Umowa]]="","Poza umową","Z umowy")</f>
        <v>Z umowy</v>
      </c>
      <c r="N1759" s="2">
        <f>YEAR(Table14[[#This Row],[Data_Wystawienia]])</f>
        <v>2023</v>
      </c>
      <c r="O1759" s="2" t="str">
        <f>TEXT(Table14[[#This Row],[Data_Wystawienia]],"rrrr-mm")</f>
        <v>2023-10</v>
      </c>
      <c r="P1759" s="2">
        <v>1</v>
      </c>
    </row>
    <row r="1760" spans="1:16" x14ac:dyDescent="0.3">
      <c r="A1760" s="2" t="str">
        <f>TRIM(Table1[[#This Row],[Numer_FV]])</f>
        <v>FV/75/SAL/23</v>
      </c>
      <c r="B1760" s="2" t="str">
        <f>TRIM(Table1[[#This Row],[Numer_PZ]])</f>
        <v>PZ/801758</v>
      </c>
      <c r="C1760" s="2" t="str">
        <f>TRIM(Table1[[#This Row],[Dostawca]])</f>
        <v>SalusHurt</v>
      </c>
      <c r="D1760" s="3">
        <v>45210</v>
      </c>
      <c r="E1760" s="4" t="s">
        <v>5203</v>
      </c>
      <c r="F1760" s="2" t="str">
        <f>TRIM(Table1[[#This Row],[Status]])</f>
        <v>Zaakceptowana</v>
      </c>
      <c r="G1760" s="2" t="str">
        <f>TRIM(Table1[[#This Row],[Typ]])</f>
        <v>Faktura VAT</v>
      </c>
      <c r="H1760" s="2" t="str">
        <f>TRIM(Table1[[#This Row],[Magazyn]])</f>
        <v>Apteka Szpitalna</v>
      </c>
      <c r="I1760" s="2" t="str">
        <f>TRIM(Table1[[#This Row],[Umowa]])</f>
        <v>UM-SAL-02</v>
      </c>
      <c r="J1760" s="2" t="b">
        <f>ISTEXT(Table14[[#This Row],[Data_Wystawienia]])</f>
        <v>0</v>
      </c>
      <c r="K1760" s="2">
        <f>VALUE(SUBSTITUTE(Table14[[#This Row],[Wartość]],".",","))</f>
        <v>17514.2</v>
      </c>
      <c r="L17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0" s="2" t="str">
        <f>IF(Table14[[#This Row],[Umowa]]="","Poza umową","Z umowy")</f>
        <v>Z umowy</v>
      </c>
      <c r="N1760" s="2">
        <f>YEAR(Table14[[#This Row],[Data_Wystawienia]])</f>
        <v>2023</v>
      </c>
      <c r="O1760" s="2" t="str">
        <f>TEXT(Table14[[#This Row],[Data_Wystawienia]],"rrrr-mm")</f>
        <v>2023-10</v>
      </c>
      <c r="P1760" s="2">
        <v>1</v>
      </c>
    </row>
    <row r="1761" spans="1:16" x14ac:dyDescent="0.3">
      <c r="A1761" s="2" t="str">
        <f>TRIM(Table1[[#This Row],[Numer_FV]])</f>
        <v>FV/71837/VDb/2023</v>
      </c>
      <c r="B1761" s="2" t="str">
        <f>TRIM(Table1[[#This Row],[Numer_PZ]])</f>
        <v>PZ/801759</v>
      </c>
      <c r="C1761" s="2" t="str">
        <f>TRIM(Table1[[#This Row],[Dostawca]])</f>
        <v>VitaDistrib</v>
      </c>
      <c r="D1761" s="3">
        <v>45210</v>
      </c>
      <c r="E1761" s="4" t="s">
        <v>5206</v>
      </c>
      <c r="F1761" s="2" t="str">
        <f>TRIM(Table1[[#This Row],[Status]])</f>
        <v>Zaakceptowana</v>
      </c>
      <c r="G1761" s="2" t="str">
        <f>TRIM(Table1[[#This Row],[Typ]])</f>
        <v>Faktura VAT</v>
      </c>
      <c r="H1761" s="2" t="str">
        <f>TRIM(Table1[[#This Row],[Magazyn]])</f>
        <v>Apteka Szpitalna</v>
      </c>
      <c r="I1761" s="2" t="str">
        <f>TRIM(Table1[[#This Row],[Umowa]])</f>
        <v>UM-VIT-01</v>
      </c>
      <c r="J1761" s="2" t="b">
        <f>ISTEXT(Table14[[#This Row],[Data_Wystawienia]])</f>
        <v>0</v>
      </c>
      <c r="K1761" s="2">
        <f>VALUE(SUBSTITUTE(Table14[[#This Row],[Wartość]],".",","))</f>
        <v>8522.57</v>
      </c>
      <c r="L17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1" s="2" t="str">
        <f>IF(Table14[[#This Row],[Umowa]]="","Poza umową","Z umowy")</f>
        <v>Z umowy</v>
      </c>
      <c r="N1761" s="2">
        <f>YEAR(Table14[[#This Row],[Data_Wystawienia]])</f>
        <v>2023</v>
      </c>
      <c r="O1761" s="2" t="str">
        <f>TEXT(Table14[[#This Row],[Data_Wystawienia]],"rrrr-mm")</f>
        <v>2023-10</v>
      </c>
      <c r="P1761" s="2">
        <v>1</v>
      </c>
    </row>
    <row r="1762" spans="1:16" x14ac:dyDescent="0.3">
      <c r="A1762" s="2" t="str">
        <f>TRIM(Table1[[#This Row],[Numer_FV]])</f>
        <v>FV/CENFA/569376/23</v>
      </c>
      <c r="B1762" s="2" t="str">
        <f>TRIM(Table1[[#This Row],[Numer_PZ]])</f>
        <v>PZ/801760</v>
      </c>
      <c r="C1762" s="2" t="str">
        <f>TRIM(Table1[[#This Row],[Dostawca]])</f>
        <v>CentrumFarm</v>
      </c>
      <c r="D1762" s="3">
        <v>45210</v>
      </c>
      <c r="E1762" s="4" t="s">
        <v>5209</v>
      </c>
      <c r="F1762" s="2" t="str">
        <f>TRIM(Table1[[#This Row],[Status]])</f>
        <v>Zaakceptowana</v>
      </c>
      <c r="G1762" s="2" t="str">
        <f>TRIM(Table1[[#This Row],[Typ]])</f>
        <v>Faktura VAT</v>
      </c>
      <c r="H1762" s="2" t="str">
        <f>TRIM(Table1[[#This Row],[Magazyn]])</f>
        <v>Apteka Szpitalna</v>
      </c>
      <c r="I1762" s="2" t="str">
        <f>TRIM(Table1[[#This Row],[Umowa]])</f>
        <v>UM-CEN-02</v>
      </c>
      <c r="J1762" s="2" t="b">
        <f>ISTEXT(Table14[[#This Row],[Data_Wystawienia]])</f>
        <v>0</v>
      </c>
      <c r="K1762" s="2">
        <f>VALUE(SUBSTITUTE(Table14[[#This Row],[Wartość]],".",","))</f>
        <v>15167.49</v>
      </c>
      <c r="L17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2" s="2" t="str">
        <f>IF(Table14[[#This Row],[Umowa]]="","Poza umową","Z umowy")</f>
        <v>Z umowy</v>
      </c>
      <c r="N1762" s="2">
        <f>YEAR(Table14[[#This Row],[Data_Wystawienia]])</f>
        <v>2023</v>
      </c>
      <c r="O1762" s="2" t="str">
        <f>TEXT(Table14[[#This Row],[Data_Wystawienia]],"rrrr-mm")</f>
        <v>2023-10</v>
      </c>
      <c r="P1762" s="2">
        <v>1</v>
      </c>
    </row>
    <row r="1763" spans="1:16" x14ac:dyDescent="0.3">
      <c r="A1763" s="2" t="str">
        <f>TRIM(Table1[[#This Row],[Numer_FV]])</f>
        <v>FV/53/SAL/23</v>
      </c>
      <c r="B1763" s="2" t="str">
        <f>TRIM(Table1[[#This Row],[Numer_PZ]])</f>
        <v>PZ/801761</v>
      </c>
      <c r="C1763" s="2" t="str">
        <f>TRIM(Table1[[#This Row],[Dostawca]])</f>
        <v>SalusHurt</v>
      </c>
      <c r="D1763" s="3">
        <v>45210</v>
      </c>
      <c r="E1763" s="4" t="s">
        <v>5211</v>
      </c>
      <c r="F1763" s="2" t="str">
        <f>TRIM(Table1[[#This Row],[Status]])</f>
        <v>Zaakceptowana</v>
      </c>
      <c r="G1763" s="2" t="str">
        <f>TRIM(Table1[[#This Row],[Typ]])</f>
        <v>Faktura VAT</v>
      </c>
      <c r="H1763" s="2" t="str">
        <f>TRIM(Table1[[#This Row],[Magazyn]])</f>
        <v>Apteka Szpitalna</v>
      </c>
      <c r="I1763" s="2" t="str">
        <f>TRIM(Table1[[#This Row],[Umowa]])</f>
        <v>UM-SAL-01</v>
      </c>
      <c r="J1763" s="2" t="b">
        <f>ISTEXT(Table14[[#This Row],[Data_Wystawienia]])</f>
        <v>0</v>
      </c>
      <c r="K1763" s="2">
        <f>VALUE(SUBSTITUTE(Table14[[#This Row],[Wartość]],".",","))</f>
        <v>15675.1</v>
      </c>
      <c r="L17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3" s="2" t="str">
        <f>IF(Table14[[#This Row],[Umowa]]="","Poza umową","Z umowy")</f>
        <v>Z umowy</v>
      </c>
      <c r="N1763" s="2">
        <f>YEAR(Table14[[#This Row],[Data_Wystawienia]])</f>
        <v>2023</v>
      </c>
      <c r="O1763" s="2" t="str">
        <f>TEXT(Table14[[#This Row],[Data_Wystawienia]],"rrrr-mm")</f>
        <v>2023-10</v>
      </c>
      <c r="P1763" s="2">
        <v>1</v>
      </c>
    </row>
    <row r="1764" spans="1:16" x14ac:dyDescent="0.3">
      <c r="A1764" s="2" t="str">
        <f>TRIM(Table1[[#This Row],[Numer_FV]])</f>
        <v>FV/39/PP/6986/23</v>
      </c>
      <c r="B1764" s="2" t="str">
        <f>TRIM(Table1[[#This Row],[Numer_PZ]])</f>
        <v>PZ/801762</v>
      </c>
      <c r="C1764" s="2" t="str">
        <f>TRIM(Table1[[#This Row],[Dostawca]])</f>
        <v>PharmaPlus</v>
      </c>
      <c r="D1764" s="3">
        <v>45212</v>
      </c>
      <c r="E1764" s="4" t="s">
        <v>5214</v>
      </c>
      <c r="F1764" s="2" t="str">
        <f>TRIM(Table1[[#This Row],[Status]])</f>
        <v>Zaakceptowana</v>
      </c>
      <c r="G1764" s="2" t="str">
        <f>TRIM(Table1[[#This Row],[Typ]])</f>
        <v>Faktura VAT</v>
      </c>
      <c r="H1764" s="2" t="str">
        <f>TRIM(Table1[[#This Row],[Magazyn]])</f>
        <v>Apteka Szpitalna</v>
      </c>
      <c r="I1764" s="2" t="str">
        <f>TRIM(Table1[[#This Row],[Umowa]])</f>
        <v>UM-PHA-01</v>
      </c>
      <c r="J1764" s="2" t="b">
        <f>ISTEXT(Table14[[#This Row],[Data_Wystawienia]])</f>
        <v>0</v>
      </c>
      <c r="K1764" s="2">
        <f>VALUE(SUBSTITUTE(Table14[[#This Row],[Wartość]],".",","))</f>
        <v>17892.62</v>
      </c>
      <c r="L17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4" s="2" t="str">
        <f>IF(Table14[[#This Row],[Umowa]]="","Poza umową","Z umowy")</f>
        <v>Z umowy</v>
      </c>
      <c r="N1764" s="2">
        <f>YEAR(Table14[[#This Row],[Data_Wystawienia]])</f>
        <v>2023</v>
      </c>
      <c r="O1764" s="2" t="str">
        <f>TEXT(Table14[[#This Row],[Data_Wystawienia]],"rrrr-mm")</f>
        <v>2023-10</v>
      </c>
      <c r="P1764" s="2">
        <v>1</v>
      </c>
    </row>
    <row r="1765" spans="1:16" x14ac:dyDescent="0.3">
      <c r="A1765" s="2" t="str">
        <f>TRIM(Table1[[#This Row],[Numer_FV]])</f>
        <v>FV/42/SAL/23</v>
      </c>
      <c r="B1765" s="2" t="str">
        <f>TRIM(Table1[[#This Row],[Numer_PZ]])</f>
        <v>PZ/801763</v>
      </c>
      <c r="C1765" s="2" t="str">
        <f>TRIM(Table1[[#This Row],[Dostawca]])</f>
        <v>SalusHurt</v>
      </c>
      <c r="D1765" s="3">
        <v>45212</v>
      </c>
      <c r="E1765" s="4" t="s">
        <v>5217</v>
      </c>
      <c r="F1765" s="2" t="str">
        <f>TRIM(Table1[[#This Row],[Status]])</f>
        <v>Zaakceptowana</v>
      </c>
      <c r="G1765" s="2" t="str">
        <f>TRIM(Table1[[#This Row],[Typ]])</f>
        <v>Faktura VAT</v>
      </c>
      <c r="H1765" s="2" t="str">
        <f>TRIM(Table1[[#This Row],[Magazyn]])</f>
        <v>Apteka Szpitalna</v>
      </c>
      <c r="I1765" s="2" t="str">
        <f>TRIM(Table1[[#This Row],[Umowa]])</f>
        <v>UM-SAL-02</v>
      </c>
      <c r="J1765" s="2" t="b">
        <f>ISTEXT(Table14[[#This Row],[Data_Wystawienia]])</f>
        <v>0</v>
      </c>
      <c r="K1765" s="2">
        <f>VALUE(SUBSTITUTE(Table14[[#This Row],[Wartość]],".",","))</f>
        <v>19240.599999999999</v>
      </c>
      <c r="L17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5" s="2" t="str">
        <f>IF(Table14[[#This Row],[Umowa]]="","Poza umową","Z umowy")</f>
        <v>Z umowy</v>
      </c>
      <c r="N1765" s="2">
        <f>YEAR(Table14[[#This Row],[Data_Wystawienia]])</f>
        <v>2023</v>
      </c>
      <c r="O1765" s="2" t="str">
        <f>TEXT(Table14[[#This Row],[Data_Wystawienia]],"rrrr-mm")</f>
        <v>2023-10</v>
      </c>
      <c r="P1765" s="2">
        <v>1</v>
      </c>
    </row>
    <row r="1766" spans="1:16" x14ac:dyDescent="0.3">
      <c r="A1766" s="2" t="str">
        <f>TRIM(Table1[[#This Row],[Numer_FV]])</f>
        <v>FV/12/PP/5760/23</v>
      </c>
      <c r="B1766" s="2" t="str">
        <f>TRIM(Table1[[#This Row],[Numer_PZ]])</f>
        <v>PZ/801764</v>
      </c>
      <c r="C1766" s="2" t="str">
        <f>TRIM(Table1[[#This Row],[Dostawca]])</f>
        <v>PharmaPlus</v>
      </c>
      <c r="D1766" s="3">
        <v>45212</v>
      </c>
      <c r="E1766" s="4" t="s">
        <v>5220</v>
      </c>
      <c r="F1766" s="2" t="str">
        <f>TRIM(Table1[[#This Row],[Status]])</f>
        <v>Zaakceptowana</v>
      </c>
      <c r="G1766" s="2" t="str">
        <f>TRIM(Table1[[#This Row],[Typ]])</f>
        <v>Faktura VAT</v>
      </c>
      <c r="H1766" s="2" t="str">
        <f>TRIM(Table1[[#This Row],[Magazyn]])</f>
        <v>Apteka Szpitalna</v>
      </c>
      <c r="I1766" s="2" t="str">
        <f>TRIM(Table1[[#This Row],[Umowa]])</f>
        <v/>
      </c>
      <c r="J1766" s="2" t="b">
        <f>ISTEXT(Table14[[#This Row],[Data_Wystawienia]])</f>
        <v>0</v>
      </c>
      <c r="K1766" s="2">
        <f>VALUE(SUBSTITUTE(Table14[[#This Row],[Wartość]],".",","))</f>
        <v>8950.23</v>
      </c>
      <c r="L17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6" s="2" t="str">
        <f>IF(Table14[[#This Row],[Umowa]]="","Poza umową","Z umowy")</f>
        <v>Poza umową</v>
      </c>
      <c r="N1766" s="2">
        <f>YEAR(Table14[[#This Row],[Data_Wystawienia]])</f>
        <v>2023</v>
      </c>
      <c r="O1766" s="2" t="str">
        <f>TEXT(Table14[[#This Row],[Data_Wystawienia]],"rrrr-mm")</f>
        <v>2023-10</v>
      </c>
      <c r="P1766" s="2">
        <v>1</v>
      </c>
    </row>
    <row r="1767" spans="1:16" x14ac:dyDescent="0.3">
      <c r="A1767" s="2" t="str">
        <f>TRIM(Table1[[#This Row],[Numer_FV]])</f>
        <v>FV/19/PP/2772/23</v>
      </c>
      <c r="B1767" s="2" t="str">
        <f>TRIM(Table1[[#This Row],[Numer_PZ]])</f>
        <v>PZ/801765</v>
      </c>
      <c r="C1767" s="2" t="str">
        <f>TRIM(Table1[[#This Row],[Dostawca]])</f>
        <v>PharmaPlus</v>
      </c>
      <c r="D1767" s="3">
        <v>45212</v>
      </c>
      <c r="E1767" s="4" t="s">
        <v>5223</v>
      </c>
      <c r="F1767" s="2" t="str">
        <f>TRIM(Table1[[#This Row],[Status]])</f>
        <v>Zaakceptowana</v>
      </c>
      <c r="G1767" s="2" t="str">
        <f>TRIM(Table1[[#This Row],[Typ]])</f>
        <v>Faktura VAT</v>
      </c>
      <c r="H1767" s="2" t="str">
        <f>TRIM(Table1[[#This Row],[Magazyn]])</f>
        <v>Apteka Szpitalna</v>
      </c>
      <c r="I1767" s="2" t="str">
        <f>TRIM(Table1[[#This Row],[Umowa]])</f>
        <v>UM-PHA-02</v>
      </c>
      <c r="J1767" s="2" t="b">
        <f>ISTEXT(Table14[[#This Row],[Data_Wystawienia]])</f>
        <v>0</v>
      </c>
      <c r="K1767" s="2">
        <f>VALUE(SUBSTITUTE(Table14[[#This Row],[Wartość]],".",","))</f>
        <v>2570.89</v>
      </c>
      <c r="L17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7" s="2" t="str">
        <f>IF(Table14[[#This Row],[Umowa]]="","Poza umową","Z umowy")</f>
        <v>Z umowy</v>
      </c>
      <c r="N1767" s="2">
        <f>YEAR(Table14[[#This Row],[Data_Wystawienia]])</f>
        <v>2023</v>
      </c>
      <c r="O1767" s="2" t="str">
        <f>TEXT(Table14[[#This Row],[Data_Wystawienia]],"rrrr-mm")</f>
        <v>2023-10</v>
      </c>
      <c r="P1767" s="2">
        <v>1</v>
      </c>
    </row>
    <row r="1768" spans="1:16" x14ac:dyDescent="0.3">
      <c r="A1768" s="2" t="str">
        <f>TRIM(Table1[[#This Row],[Numer_FV]])</f>
        <v>FV/6094/NOVA/23</v>
      </c>
      <c r="B1768" s="2" t="str">
        <f>TRIM(Table1[[#This Row],[Numer_PZ]])</f>
        <v>PZ/801766</v>
      </c>
      <c r="C1768" s="2" t="str">
        <f>TRIM(Table1[[#This Row],[Dostawca]])</f>
        <v>NovaLek</v>
      </c>
      <c r="D1768" s="3">
        <v>45213</v>
      </c>
      <c r="E1768" s="4" t="s">
        <v>5226</v>
      </c>
      <c r="F1768" s="2" t="str">
        <f>TRIM(Table1[[#This Row],[Status]])</f>
        <v>Zaakceptowana</v>
      </c>
      <c r="G1768" s="2" t="str">
        <f>TRIM(Table1[[#This Row],[Typ]])</f>
        <v>Faktura VAT</v>
      </c>
      <c r="H1768" s="2" t="str">
        <f>TRIM(Table1[[#This Row],[Magazyn]])</f>
        <v>Apteka Szpitalna</v>
      </c>
      <c r="I1768" s="2" t="str">
        <f>TRIM(Table1[[#This Row],[Umowa]])</f>
        <v>UM-NOV-01</v>
      </c>
      <c r="J1768" s="2" t="b">
        <f>ISTEXT(Table14[[#This Row],[Data_Wystawienia]])</f>
        <v>0</v>
      </c>
      <c r="K1768" s="2">
        <f>VALUE(SUBSTITUTE(Table14[[#This Row],[Wartość]],".",","))</f>
        <v>22249.67</v>
      </c>
      <c r="L17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8" s="2" t="str">
        <f>IF(Table14[[#This Row],[Umowa]]="","Poza umową","Z umowy")</f>
        <v>Z umowy</v>
      </c>
      <c r="N1768" s="2">
        <f>YEAR(Table14[[#This Row],[Data_Wystawienia]])</f>
        <v>2023</v>
      </c>
      <c r="O1768" s="2" t="str">
        <f>TEXT(Table14[[#This Row],[Data_Wystawienia]],"rrrr-mm")</f>
        <v>2023-10</v>
      </c>
      <c r="P1768" s="2">
        <v>1</v>
      </c>
    </row>
    <row r="1769" spans="1:16" x14ac:dyDescent="0.3">
      <c r="A1769" s="2" t="str">
        <f>TRIM(Table1[[#This Row],[Numer_FV]])</f>
        <v>FV/9422/NOVA/23</v>
      </c>
      <c r="B1769" s="2" t="str">
        <f>TRIM(Table1[[#This Row],[Numer_PZ]])</f>
        <v>PZ/801767</v>
      </c>
      <c r="C1769" s="2" t="str">
        <f>TRIM(Table1[[#This Row],[Dostawca]])</f>
        <v>NovaLek</v>
      </c>
      <c r="D1769" s="3">
        <v>45213</v>
      </c>
      <c r="E1769" s="4" t="s">
        <v>5229</v>
      </c>
      <c r="F1769" s="2" t="str">
        <f>TRIM(Table1[[#This Row],[Status]])</f>
        <v>Zaakceptowana</v>
      </c>
      <c r="G1769" s="2" t="str">
        <f>TRIM(Table1[[#This Row],[Typ]])</f>
        <v>Faktura VAT</v>
      </c>
      <c r="H1769" s="2" t="str">
        <f>TRIM(Table1[[#This Row],[Magazyn]])</f>
        <v>Apteka Szpitalna</v>
      </c>
      <c r="I1769" s="2" t="str">
        <f>TRIM(Table1[[#This Row],[Umowa]])</f>
        <v>UM-NOV-01</v>
      </c>
      <c r="J1769" s="2" t="b">
        <f>ISTEXT(Table14[[#This Row],[Data_Wystawienia]])</f>
        <v>0</v>
      </c>
      <c r="K1769" s="2">
        <f>VALUE(SUBSTITUTE(Table14[[#This Row],[Wartość]],".",","))</f>
        <v>12228.32</v>
      </c>
      <c r="L17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69" s="2" t="str">
        <f>IF(Table14[[#This Row],[Umowa]]="","Poza umową","Z umowy")</f>
        <v>Z umowy</v>
      </c>
      <c r="N1769" s="2">
        <f>YEAR(Table14[[#This Row],[Data_Wystawienia]])</f>
        <v>2023</v>
      </c>
      <c r="O1769" s="2" t="str">
        <f>TEXT(Table14[[#This Row],[Data_Wystawienia]],"rrrr-mm")</f>
        <v>2023-10</v>
      </c>
      <c r="P1769" s="2">
        <v>1</v>
      </c>
    </row>
    <row r="1770" spans="1:16" x14ac:dyDescent="0.3">
      <c r="A1770" s="2" t="str">
        <f>TRIM(Table1[[#This Row],[Numer_FV]])</f>
        <v>FV/96357/VDb/2023</v>
      </c>
      <c r="B1770" s="2" t="str">
        <f>TRIM(Table1[[#This Row],[Numer_PZ]])</f>
        <v>PZ/801768</v>
      </c>
      <c r="C1770" s="2" t="str">
        <f>TRIM(Table1[[#This Row],[Dostawca]])</f>
        <v>VitaDistrib</v>
      </c>
      <c r="D1770" s="3">
        <v>45213</v>
      </c>
      <c r="E1770" s="4" t="s">
        <v>5232</v>
      </c>
      <c r="F1770" s="2" t="str">
        <f>TRIM(Table1[[#This Row],[Status]])</f>
        <v>Zaakceptowana</v>
      </c>
      <c r="G1770" s="2" t="str">
        <f>TRIM(Table1[[#This Row],[Typ]])</f>
        <v>Faktura VAT</v>
      </c>
      <c r="H1770" s="2" t="str">
        <f>TRIM(Table1[[#This Row],[Magazyn]])</f>
        <v>Apteka Szpitalna</v>
      </c>
      <c r="I1770" s="2" t="str">
        <f>TRIM(Table1[[#This Row],[Umowa]])</f>
        <v>UM-VIT-01</v>
      </c>
      <c r="J1770" s="2" t="b">
        <f>ISTEXT(Table14[[#This Row],[Data_Wystawienia]])</f>
        <v>0</v>
      </c>
      <c r="K1770" s="2">
        <f>VALUE(SUBSTITUTE(Table14[[#This Row],[Wartość]],".",","))</f>
        <v>14647.12</v>
      </c>
      <c r="L17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0" s="2" t="str">
        <f>IF(Table14[[#This Row],[Umowa]]="","Poza umową","Z umowy")</f>
        <v>Z umowy</v>
      </c>
      <c r="N1770" s="2">
        <f>YEAR(Table14[[#This Row],[Data_Wystawienia]])</f>
        <v>2023</v>
      </c>
      <c r="O1770" s="2" t="str">
        <f>TEXT(Table14[[#This Row],[Data_Wystawienia]],"rrrr-mm")</f>
        <v>2023-10</v>
      </c>
      <c r="P1770" s="2">
        <v>1</v>
      </c>
    </row>
    <row r="1771" spans="1:16" x14ac:dyDescent="0.3">
      <c r="A1771" s="2" t="str">
        <f>TRIM(Table1[[#This Row],[Numer_FV]])</f>
        <v>FV/CENFA/264223/23</v>
      </c>
      <c r="B1771" s="2" t="str">
        <f>TRIM(Table1[[#This Row],[Numer_PZ]])</f>
        <v>PZ/801769</v>
      </c>
      <c r="C1771" s="2" t="str">
        <f>TRIM(Table1[[#This Row],[Dostawca]])</f>
        <v>CentrumFarm</v>
      </c>
      <c r="D1771" s="3">
        <v>45213</v>
      </c>
      <c r="E1771" s="4" t="s">
        <v>5235</v>
      </c>
      <c r="F1771" s="2" t="str">
        <f>TRIM(Table1[[#This Row],[Status]])</f>
        <v>Zaakceptowana</v>
      </c>
      <c r="G1771" s="2" t="str">
        <f>TRIM(Table1[[#This Row],[Typ]])</f>
        <v>Faktura VAT</v>
      </c>
      <c r="H1771" s="2" t="str">
        <f>TRIM(Table1[[#This Row],[Magazyn]])</f>
        <v>Apteka Szpitalna</v>
      </c>
      <c r="I1771" s="2" t="str">
        <f>TRIM(Table1[[#This Row],[Umowa]])</f>
        <v>UM-CEN-02</v>
      </c>
      <c r="J1771" s="2" t="b">
        <f>ISTEXT(Table14[[#This Row],[Data_Wystawienia]])</f>
        <v>0</v>
      </c>
      <c r="K1771" s="2">
        <f>VALUE(SUBSTITUTE(Table14[[#This Row],[Wartość]],".",","))</f>
        <v>20755.39</v>
      </c>
      <c r="L17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1" s="2" t="str">
        <f>IF(Table14[[#This Row],[Umowa]]="","Poza umową","Z umowy")</f>
        <v>Z umowy</v>
      </c>
      <c r="N1771" s="2">
        <f>YEAR(Table14[[#This Row],[Data_Wystawienia]])</f>
        <v>2023</v>
      </c>
      <c r="O1771" s="2" t="str">
        <f>TEXT(Table14[[#This Row],[Data_Wystawienia]],"rrrr-mm")</f>
        <v>2023-10</v>
      </c>
      <c r="P1771" s="2">
        <v>1</v>
      </c>
    </row>
    <row r="1772" spans="1:16" x14ac:dyDescent="0.3">
      <c r="A1772" s="2" t="str">
        <f>TRIM(Table1[[#This Row],[Numer_FV]])</f>
        <v>FV/60/PP/7981/23</v>
      </c>
      <c r="B1772" s="2" t="str">
        <f>TRIM(Table1[[#This Row],[Numer_PZ]])</f>
        <v>PZ/801770</v>
      </c>
      <c r="C1772" s="2" t="str">
        <f>TRIM(Table1[[#This Row],[Dostawca]])</f>
        <v>PharmaPlus</v>
      </c>
      <c r="D1772" s="3">
        <v>45213</v>
      </c>
      <c r="E1772" s="4" t="s">
        <v>5238</v>
      </c>
      <c r="F1772" s="2" t="str">
        <f>TRIM(Table1[[#This Row],[Status]])</f>
        <v>Zaakceptowana</v>
      </c>
      <c r="G1772" s="2" t="str">
        <f>TRIM(Table1[[#This Row],[Typ]])</f>
        <v>Faktura VAT</v>
      </c>
      <c r="H1772" s="2" t="str">
        <f>TRIM(Table1[[#This Row],[Magazyn]])</f>
        <v>Apteka Szpitalna</v>
      </c>
      <c r="I1772" s="2" t="str">
        <f>TRIM(Table1[[#This Row],[Umowa]])</f>
        <v>UM-PHA-02</v>
      </c>
      <c r="J1772" s="2" t="b">
        <f>ISTEXT(Table14[[#This Row],[Data_Wystawienia]])</f>
        <v>0</v>
      </c>
      <c r="K1772" s="2">
        <f>VALUE(SUBSTITUTE(Table14[[#This Row],[Wartość]],".",","))</f>
        <v>18552.560000000001</v>
      </c>
      <c r="L17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2" s="2" t="str">
        <f>IF(Table14[[#This Row],[Umowa]]="","Poza umową","Z umowy")</f>
        <v>Z umowy</v>
      </c>
      <c r="N1772" s="2">
        <f>YEAR(Table14[[#This Row],[Data_Wystawienia]])</f>
        <v>2023</v>
      </c>
      <c r="O1772" s="2" t="str">
        <f>TEXT(Table14[[#This Row],[Data_Wystawienia]],"rrrr-mm")</f>
        <v>2023-10</v>
      </c>
      <c r="P1772" s="2">
        <v>1</v>
      </c>
    </row>
    <row r="1773" spans="1:16" x14ac:dyDescent="0.3">
      <c r="A1773" s="2" t="str">
        <f>TRIM(Table1[[#This Row],[Numer_FV]])</f>
        <v>FV/M/1812/P/23</v>
      </c>
      <c r="B1773" s="2" t="str">
        <f>TRIM(Table1[[#This Row],[Numer_PZ]])</f>
        <v>PZ/801771</v>
      </c>
      <c r="C1773" s="2" t="str">
        <f>TRIM(Table1[[#This Row],[Dostawca]])</f>
        <v>MedicaPharm</v>
      </c>
      <c r="D1773" s="3">
        <v>45214</v>
      </c>
      <c r="E1773" s="4" t="s">
        <v>5241</v>
      </c>
      <c r="F1773" s="2" t="str">
        <f>TRIM(Table1[[#This Row],[Status]])</f>
        <v>Zaakceptowana</v>
      </c>
      <c r="G1773" s="2" t="str">
        <f>TRIM(Table1[[#This Row],[Typ]])</f>
        <v>Faktura VAT</v>
      </c>
      <c r="H1773" s="2" t="str">
        <f>TRIM(Table1[[#This Row],[Magazyn]])</f>
        <v>Apteka Szpitalna</v>
      </c>
      <c r="I1773" s="2" t="str">
        <f>TRIM(Table1[[#This Row],[Umowa]])</f>
        <v>UM-MED-02</v>
      </c>
      <c r="J1773" s="2" t="b">
        <f>ISTEXT(Table14[[#This Row],[Data_Wystawienia]])</f>
        <v>0</v>
      </c>
      <c r="K1773" s="2">
        <f>VALUE(SUBSTITUTE(Table14[[#This Row],[Wartość]],".",","))</f>
        <v>9342.91</v>
      </c>
      <c r="L17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3" s="2" t="str">
        <f>IF(Table14[[#This Row],[Umowa]]="","Poza umową","Z umowy")</f>
        <v>Z umowy</v>
      </c>
      <c r="N1773" s="2">
        <f>YEAR(Table14[[#This Row],[Data_Wystawienia]])</f>
        <v>2023</v>
      </c>
      <c r="O1773" s="2" t="str">
        <f>TEXT(Table14[[#This Row],[Data_Wystawienia]],"rrrr-mm")</f>
        <v>2023-10</v>
      </c>
      <c r="P1773" s="2">
        <v>1</v>
      </c>
    </row>
    <row r="1774" spans="1:16" x14ac:dyDescent="0.3">
      <c r="A1774" s="2" t="str">
        <f>TRIM(Table1[[#This Row],[Numer_FV]])</f>
        <v>FV/7832/NOVA/23</v>
      </c>
      <c r="B1774" s="2" t="str">
        <f>TRIM(Table1[[#This Row],[Numer_PZ]])</f>
        <v>PZ/801772</v>
      </c>
      <c r="C1774" s="2" t="str">
        <f>TRIM(Table1[[#This Row],[Dostawca]])</f>
        <v>NovaLek</v>
      </c>
      <c r="D1774" s="3">
        <v>45214</v>
      </c>
      <c r="E1774" s="4" t="s">
        <v>5244</v>
      </c>
      <c r="F1774" s="2" t="str">
        <f>TRIM(Table1[[#This Row],[Status]])</f>
        <v>Zaakceptowana</v>
      </c>
      <c r="G1774" s="2" t="str">
        <f>TRIM(Table1[[#This Row],[Typ]])</f>
        <v>Faktura VAT</v>
      </c>
      <c r="H1774" s="2" t="str">
        <f>TRIM(Table1[[#This Row],[Magazyn]])</f>
        <v>Apteka Szpitalna</v>
      </c>
      <c r="I1774" s="2" t="str">
        <f>TRIM(Table1[[#This Row],[Umowa]])</f>
        <v>UM-NOV-02</v>
      </c>
      <c r="J1774" s="2" t="b">
        <f>ISTEXT(Table14[[#This Row],[Data_Wystawienia]])</f>
        <v>0</v>
      </c>
      <c r="K1774" s="2">
        <f>VALUE(SUBSTITUTE(Table14[[#This Row],[Wartość]],".",","))</f>
        <v>24722.59</v>
      </c>
      <c r="L17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4" s="2" t="str">
        <f>IF(Table14[[#This Row],[Umowa]]="","Poza umową","Z umowy")</f>
        <v>Z umowy</v>
      </c>
      <c r="N1774" s="2">
        <f>YEAR(Table14[[#This Row],[Data_Wystawienia]])</f>
        <v>2023</v>
      </c>
      <c r="O1774" s="2" t="str">
        <f>TEXT(Table14[[#This Row],[Data_Wystawienia]],"rrrr-mm")</f>
        <v>2023-10</v>
      </c>
      <c r="P1774" s="2">
        <v>1</v>
      </c>
    </row>
    <row r="1775" spans="1:16" x14ac:dyDescent="0.3">
      <c r="A1775" s="2" t="str">
        <f>TRIM(Table1[[#This Row],[Numer_FV]])</f>
        <v>FV/5811/NOVA/23</v>
      </c>
      <c r="B1775" s="2" t="str">
        <f>TRIM(Table1[[#This Row],[Numer_PZ]])</f>
        <v>PZ/801773</v>
      </c>
      <c r="C1775" s="2" t="str">
        <f>TRIM(Table1[[#This Row],[Dostawca]])</f>
        <v>NovaLek</v>
      </c>
      <c r="D1775" s="3">
        <v>45215</v>
      </c>
      <c r="E1775" s="4" t="s">
        <v>5247</v>
      </c>
      <c r="F1775" s="2" t="str">
        <f>TRIM(Table1[[#This Row],[Status]])</f>
        <v>Zaakceptowana</v>
      </c>
      <c r="G1775" s="2" t="str">
        <f>TRIM(Table1[[#This Row],[Typ]])</f>
        <v>Faktura VAT</v>
      </c>
      <c r="H1775" s="2" t="str">
        <f>TRIM(Table1[[#This Row],[Magazyn]])</f>
        <v>Apteka Szpitalna</v>
      </c>
      <c r="I1775" s="2" t="str">
        <f>TRIM(Table1[[#This Row],[Umowa]])</f>
        <v>UM-NOV-01</v>
      </c>
      <c r="J1775" s="2" t="b">
        <f>ISTEXT(Table14[[#This Row],[Data_Wystawienia]])</f>
        <v>0</v>
      </c>
      <c r="K1775" s="2">
        <f>VALUE(SUBSTITUTE(Table14[[#This Row],[Wartość]],".",","))</f>
        <v>16094.13</v>
      </c>
      <c r="L17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5" s="2" t="str">
        <f>IF(Table14[[#This Row],[Umowa]]="","Poza umową","Z umowy")</f>
        <v>Z umowy</v>
      </c>
      <c r="N1775" s="2">
        <f>YEAR(Table14[[#This Row],[Data_Wystawienia]])</f>
        <v>2023</v>
      </c>
      <c r="O1775" s="2" t="str">
        <f>TEXT(Table14[[#This Row],[Data_Wystawienia]],"rrrr-mm")</f>
        <v>2023-10</v>
      </c>
      <c r="P1775" s="2">
        <v>1</v>
      </c>
    </row>
    <row r="1776" spans="1:16" x14ac:dyDescent="0.3">
      <c r="A1776" s="2" t="str">
        <f>TRIM(Table1[[#This Row],[Numer_FV]])</f>
        <v>FV/13648/VDb/2023</v>
      </c>
      <c r="B1776" s="2" t="str">
        <f>TRIM(Table1[[#This Row],[Numer_PZ]])</f>
        <v>PZ/801774</v>
      </c>
      <c r="C1776" s="2" t="str">
        <f>TRIM(Table1[[#This Row],[Dostawca]])</f>
        <v>VitaDistrib</v>
      </c>
      <c r="D1776" s="3">
        <v>45215</v>
      </c>
      <c r="E1776" s="4" t="s">
        <v>5250</v>
      </c>
      <c r="F1776" s="2" t="str">
        <f>TRIM(Table1[[#This Row],[Status]])</f>
        <v>Zaakceptowana</v>
      </c>
      <c r="G1776" s="2" t="str">
        <f>TRIM(Table1[[#This Row],[Typ]])</f>
        <v>Faktura VAT</v>
      </c>
      <c r="H1776" s="2" t="str">
        <f>TRIM(Table1[[#This Row],[Magazyn]])</f>
        <v>Apteka Szpitalna</v>
      </c>
      <c r="I1776" s="2" t="str">
        <f>TRIM(Table1[[#This Row],[Umowa]])</f>
        <v>UM-VIT-01</v>
      </c>
      <c r="J1776" s="2" t="b">
        <f>ISTEXT(Table14[[#This Row],[Data_Wystawienia]])</f>
        <v>0</v>
      </c>
      <c r="K1776" s="2">
        <f>VALUE(SUBSTITUTE(Table14[[#This Row],[Wartość]],".",","))</f>
        <v>21227.91</v>
      </c>
      <c r="L17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6" s="2" t="str">
        <f>IF(Table14[[#This Row],[Umowa]]="","Poza umową","Z umowy")</f>
        <v>Z umowy</v>
      </c>
      <c r="N1776" s="2">
        <f>YEAR(Table14[[#This Row],[Data_Wystawienia]])</f>
        <v>2023</v>
      </c>
      <c r="O1776" s="2" t="str">
        <f>TEXT(Table14[[#This Row],[Data_Wystawienia]],"rrrr-mm")</f>
        <v>2023-10</v>
      </c>
      <c r="P1776" s="2">
        <v>1</v>
      </c>
    </row>
    <row r="1777" spans="1:16" x14ac:dyDescent="0.3">
      <c r="A1777" s="2" t="str">
        <f>TRIM(Table1[[#This Row],[Numer_FV]])</f>
        <v>FV/M/7523/P/23</v>
      </c>
      <c r="B1777" s="2" t="str">
        <f>TRIM(Table1[[#This Row],[Numer_PZ]])</f>
        <v>PZ/801775</v>
      </c>
      <c r="C1777" s="2" t="str">
        <f>TRIM(Table1[[#This Row],[Dostawca]])</f>
        <v>MedicaPharm</v>
      </c>
      <c r="D1777" s="3">
        <v>45215</v>
      </c>
      <c r="E1777" s="4" t="s">
        <v>5253</v>
      </c>
      <c r="F1777" s="2" t="str">
        <f>TRIM(Table1[[#This Row],[Status]])</f>
        <v>Zaakceptowana</v>
      </c>
      <c r="G1777" s="2" t="str">
        <f>TRIM(Table1[[#This Row],[Typ]])</f>
        <v>Faktura VAT</v>
      </c>
      <c r="H1777" s="2" t="str">
        <f>TRIM(Table1[[#This Row],[Magazyn]])</f>
        <v>Apteka Szpitalna</v>
      </c>
      <c r="I1777" s="2" t="str">
        <f>TRIM(Table1[[#This Row],[Umowa]])</f>
        <v>UM-MED-01</v>
      </c>
      <c r="J1777" s="2" t="b">
        <f>ISTEXT(Table14[[#This Row],[Data_Wystawienia]])</f>
        <v>0</v>
      </c>
      <c r="K1777" s="2">
        <f>VALUE(SUBSTITUTE(Table14[[#This Row],[Wartość]],".",","))</f>
        <v>13923.34</v>
      </c>
      <c r="L17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7" s="2" t="str">
        <f>IF(Table14[[#This Row],[Umowa]]="","Poza umową","Z umowy")</f>
        <v>Z umowy</v>
      </c>
      <c r="N1777" s="2">
        <f>YEAR(Table14[[#This Row],[Data_Wystawienia]])</f>
        <v>2023</v>
      </c>
      <c r="O1777" s="2" t="str">
        <f>TEXT(Table14[[#This Row],[Data_Wystawienia]],"rrrr-mm")</f>
        <v>2023-10</v>
      </c>
      <c r="P1777" s="2">
        <v>1</v>
      </c>
    </row>
    <row r="1778" spans="1:16" x14ac:dyDescent="0.3">
      <c r="A1778" s="2" t="str">
        <f>TRIM(Table1[[#This Row],[Numer_FV]])</f>
        <v>FV/53535/VDb/2023</v>
      </c>
      <c r="B1778" s="2" t="str">
        <f>TRIM(Table1[[#This Row],[Numer_PZ]])</f>
        <v>PZ/801776</v>
      </c>
      <c r="C1778" s="2" t="str">
        <f>TRIM(Table1[[#This Row],[Dostawca]])</f>
        <v>VitaDistrib</v>
      </c>
      <c r="D1778" s="3">
        <v>45216</v>
      </c>
      <c r="E1778" s="4" t="s">
        <v>5256</v>
      </c>
      <c r="F1778" s="2" t="str">
        <f>TRIM(Table1[[#This Row],[Status]])</f>
        <v>Zaakceptowana</v>
      </c>
      <c r="G1778" s="2" t="str">
        <f>TRIM(Table1[[#This Row],[Typ]])</f>
        <v>Faktura VAT</v>
      </c>
      <c r="H1778" s="2" t="str">
        <f>TRIM(Table1[[#This Row],[Magazyn]])</f>
        <v>Apteka Szpitalna</v>
      </c>
      <c r="I1778" s="2" t="str">
        <f>TRIM(Table1[[#This Row],[Umowa]])</f>
        <v>UM-VIT-01</v>
      </c>
      <c r="J1778" s="2" t="b">
        <f>ISTEXT(Table14[[#This Row],[Data_Wystawienia]])</f>
        <v>0</v>
      </c>
      <c r="K1778" s="2">
        <f>VALUE(SUBSTITUTE(Table14[[#This Row],[Wartość]],".",","))</f>
        <v>13949.92</v>
      </c>
      <c r="L17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8" s="2" t="str">
        <f>IF(Table14[[#This Row],[Umowa]]="","Poza umową","Z umowy")</f>
        <v>Z umowy</v>
      </c>
      <c r="N1778" s="2">
        <f>YEAR(Table14[[#This Row],[Data_Wystawienia]])</f>
        <v>2023</v>
      </c>
      <c r="O1778" s="2" t="str">
        <f>TEXT(Table14[[#This Row],[Data_Wystawienia]],"rrrr-mm")</f>
        <v>2023-10</v>
      </c>
      <c r="P1778" s="2">
        <v>1</v>
      </c>
    </row>
    <row r="1779" spans="1:16" x14ac:dyDescent="0.3">
      <c r="A1779" s="2" t="str">
        <f>TRIM(Table1[[#This Row],[Numer_FV]])</f>
        <v>FV/54/PP/7494/23</v>
      </c>
      <c r="B1779" s="2" t="str">
        <f>TRIM(Table1[[#This Row],[Numer_PZ]])</f>
        <v>PZ/801777</v>
      </c>
      <c r="C1779" s="2" t="str">
        <f>TRIM(Table1[[#This Row],[Dostawca]])</f>
        <v>PharmaPlus</v>
      </c>
      <c r="D1779" s="3">
        <v>45216</v>
      </c>
      <c r="E1779" s="4" t="s">
        <v>5259</v>
      </c>
      <c r="F1779" s="2" t="str">
        <f>TRIM(Table1[[#This Row],[Status]])</f>
        <v>Zaakceptowana</v>
      </c>
      <c r="G1779" s="2" t="str">
        <f>TRIM(Table1[[#This Row],[Typ]])</f>
        <v>Faktura VAT</v>
      </c>
      <c r="H1779" s="2" t="str">
        <f>TRIM(Table1[[#This Row],[Magazyn]])</f>
        <v>Apteka Szpitalna</v>
      </c>
      <c r="I1779" s="2" t="str">
        <f>TRIM(Table1[[#This Row],[Umowa]])</f>
        <v>UM-PHA-01</v>
      </c>
      <c r="J1779" s="2" t="b">
        <f>ISTEXT(Table14[[#This Row],[Data_Wystawienia]])</f>
        <v>0</v>
      </c>
      <c r="K1779" s="2">
        <f>VALUE(SUBSTITUTE(Table14[[#This Row],[Wartość]],".",","))</f>
        <v>11105.63</v>
      </c>
      <c r="L17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79" s="2" t="str">
        <f>IF(Table14[[#This Row],[Umowa]]="","Poza umową","Z umowy")</f>
        <v>Z umowy</v>
      </c>
      <c r="N1779" s="2">
        <f>YEAR(Table14[[#This Row],[Data_Wystawienia]])</f>
        <v>2023</v>
      </c>
      <c r="O1779" s="2" t="str">
        <f>TEXT(Table14[[#This Row],[Data_Wystawienia]],"rrrr-mm")</f>
        <v>2023-10</v>
      </c>
      <c r="P1779" s="2">
        <v>1</v>
      </c>
    </row>
    <row r="1780" spans="1:16" x14ac:dyDescent="0.3">
      <c r="A1780" s="2" t="str">
        <f>TRIM(Table1[[#This Row],[Numer_FV]])</f>
        <v>FV/CENFA/259436/23</v>
      </c>
      <c r="B1780" s="2" t="str">
        <f>TRIM(Table1[[#This Row],[Numer_PZ]])</f>
        <v>PZ/801778</v>
      </c>
      <c r="C1780" s="2" t="str">
        <f>TRIM(Table1[[#This Row],[Dostawca]])</f>
        <v>CentrumFarm</v>
      </c>
      <c r="D1780" s="3">
        <v>45217</v>
      </c>
      <c r="E1780" s="4" t="s">
        <v>5262</v>
      </c>
      <c r="F1780" s="2" t="str">
        <f>TRIM(Table1[[#This Row],[Status]])</f>
        <v>Zaakceptowana</v>
      </c>
      <c r="G1780" s="2" t="str">
        <f>TRIM(Table1[[#This Row],[Typ]])</f>
        <v>Faktura VAT</v>
      </c>
      <c r="H1780" s="2" t="str">
        <f>TRIM(Table1[[#This Row],[Magazyn]])</f>
        <v>Apteka Szpitalna</v>
      </c>
      <c r="I1780" s="2" t="str">
        <f>TRIM(Table1[[#This Row],[Umowa]])</f>
        <v>UM-CEN-01</v>
      </c>
      <c r="J1780" s="2" t="b">
        <f>ISTEXT(Table14[[#This Row],[Data_Wystawienia]])</f>
        <v>0</v>
      </c>
      <c r="K1780" s="2">
        <f>VALUE(SUBSTITUTE(Table14[[#This Row],[Wartość]],".",","))</f>
        <v>17030.150000000001</v>
      </c>
      <c r="L17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0" s="2" t="str">
        <f>IF(Table14[[#This Row],[Umowa]]="","Poza umową","Z umowy")</f>
        <v>Z umowy</v>
      </c>
      <c r="N1780" s="2">
        <f>YEAR(Table14[[#This Row],[Data_Wystawienia]])</f>
        <v>2023</v>
      </c>
      <c r="O1780" s="2" t="str">
        <f>TEXT(Table14[[#This Row],[Data_Wystawienia]],"rrrr-mm")</f>
        <v>2023-10</v>
      </c>
      <c r="P1780" s="2">
        <v>1</v>
      </c>
    </row>
    <row r="1781" spans="1:16" x14ac:dyDescent="0.3">
      <c r="A1781" s="2" t="str">
        <f>TRIM(Table1[[#This Row],[Numer_FV]])</f>
        <v>FV/POL/40060/2023</v>
      </c>
      <c r="B1781" s="2" t="str">
        <f>TRIM(Table1[[#This Row],[Numer_PZ]])</f>
        <v>PZ/801779</v>
      </c>
      <c r="C1781" s="2" t="str">
        <f>TRIM(Table1[[#This Row],[Dostawca]])</f>
        <v>Polmedica</v>
      </c>
      <c r="D1781" s="3">
        <v>45217</v>
      </c>
      <c r="E1781" s="4" t="s">
        <v>5265</v>
      </c>
      <c r="F1781" s="2" t="str">
        <f>TRIM(Table1[[#This Row],[Status]])</f>
        <v>Zaakceptowana</v>
      </c>
      <c r="G1781" s="2" t="str">
        <f>TRIM(Table1[[#This Row],[Typ]])</f>
        <v>Faktura VAT</v>
      </c>
      <c r="H1781" s="2" t="str">
        <f>TRIM(Table1[[#This Row],[Magazyn]])</f>
        <v>Apteka Szpitalna</v>
      </c>
      <c r="I1781" s="2" t="str">
        <f>TRIM(Table1[[#This Row],[Umowa]])</f>
        <v/>
      </c>
      <c r="J1781" s="2" t="b">
        <f>ISTEXT(Table14[[#This Row],[Data_Wystawienia]])</f>
        <v>0</v>
      </c>
      <c r="K1781" s="2">
        <f>VALUE(SUBSTITUTE(Table14[[#This Row],[Wartość]],".",","))</f>
        <v>8932.1200000000008</v>
      </c>
      <c r="L17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1" s="2" t="str">
        <f>IF(Table14[[#This Row],[Umowa]]="","Poza umową","Z umowy")</f>
        <v>Poza umową</v>
      </c>
      <c r="N1781" s="2">
        <f>YEAR(Table14[[#This Row],[Data_Wystawienia]])</f>
        <v>2023</v>
      </c>
      <c r="O1781" s="2" t="str">
        <f>TEXT(Table14[[#This Row],[Data_Wystawienia]],"rrrr-mm")</f>
        <v>2023-10</v>
      </c>
      <c r="P1781" s="2">
        <v>1</v>
      </c>
    </row>
    <row r="1782" spans="1:16" x14ac:dyDescent="0.3">
      <c r="A1782" s="2" t="str">
        <f>TRIM(Table1[[#This Row],[Numer_FV]])</f>
        <v>FV/CENFA/772559/23</v>
      </c>
      <c r="B1782" s="2" t="str">
        <f>TRIM(Table1[[#This Row],[Numer_PZ]])</f>
        <v>PZ/801780</v>
      </c>
      <c r="C1782" s="2" t="str">
        <f>TRIM(Table1[[#This Row],[Dostawca]])</f>
        <v>CentrumFarm</v>
      </c>
      <c r="D1782" s="3">
        <v>45219</v>
      </c>
      <c r="E1782" s="4" t="s">
        <v>5268</v>
      </c>
      <c r="F1782" s="2" t="str">
        <f>TRIM(Table1[[#This Row],[Status]])</f>
        <v>Zaakceptowana</v>
      </c>
      <c r="G1782" s="2" t="str">
        <f>TRIM(Table1[[#This Row],[Typ]])</f>
        <v>Faktura VAT</v>
      </c>
      <c r="H1782" s="2" t="str">
        <f>TRIM(Table1[[#This Row],[Magazyn]])</f>
        <v>Apteka Szpitalna</v>
      </c>
      <c r="I1782" s="2" t="str">
        <f>TRIM(Table1[[#This Row],[Umowa]])</f>
        <v>UM-CEN-02</v>
      </c>
      <c r="J1782" s="2" t="b">
        <f>ISTEXT(Table14[[#This Row],[Data_Wystawienia]])</f>
        <v>0</v>
      </c>
      <c r="K1782" s="2">
        <f>VALUE(SUBSTITUTE(Table14[[#This Row],[Wartość]],".",","))</f>
        <v>17468.650000000001</v>
      </c>
      <c r="L17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2" s="2" t="str">
        <f>IF(Table14[[#This Row],[Umowa]]="","Poza umową","Z umowy")</f>
        <v>Z umowy</v>
      </c>
      <c r="N1782" s="2">
        <f>YEAR(Table14[[#This Row],[Data_Wystawienia]])</f>
        <v>2023</v>
      </c>
      <c r="O1782" s="2" t="str">
        <f>TEXT(Table14[[#This Row],[Data_Wystawienia]],"rrrr-mm")</f>
        <v>2023-10</v>
      </c>
      <c r="P1782" s="2">
        <v>1</v>
      </c>
    </row>
    <row r="1783" spans="1:16" x14ac:dyDescent="0.3">
      <c r="A1783" s="2" t="str">
        <f>TRIM(Table1[[#This Row],[Numer_FV]])</f>
        <v>FV/5794HM/23</v>
      </c>
      <c r="B1783" s="2" t="str">
        <f>TRIM(Table1[[#This Row],[Numer_PZ]])</f>
        <v>PZ/801781</v>
      </c>
      <c r="C1783" s="2" t="str">
        <f>TRIM(Table1[[#This Row],[Dostawca]])</f>
        <v>HurtMedix</v>
      </c>
      <c r="D1783" s="3">
        <v>45219</v>
      </c>
      <c r="E1783" s="4" t="s">
        <v>5271</v>
      </c>
      <c r="F1783" s="2" t="str">
        <f>TRIM(Table1[[#This Row],[Status]])</f>
        <v>Zaakceptowana</v>
      </c>
      <c r="G1783" s="2" t="str">
        <f>TRIM(Table1[[#This Row],[Typ]])</f>
        <v>Faktura VAT</v>
      </c>
      <c r="H1783" s="2" t="str">
        <f>TRIM(Table1[[#This Row],[Magazyn]])</f>
        <v>Apteka Szpitalna</v>
      </c>
      <c r="I1783" s="2" t="str">
        <f>TRIM(Table1[[#This Row],[Umowa]])</f>
        <v>UM-HUR-01</v>
      </c>
      <c r="J1783" s="2" t="b">
        <f>ISTEXT(Table14[[#This Row],[Data_Wystawienia]])</f>
        <v>0</v>
      </c>
      <c r="K1783" s="2">
        <f>VALUE(SUBSTITUTE(Table14[[#This Row],[Wartość]],".",","))</f>
        <v>11426.04</v>
      </c>
      <c r="L17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3" s="2" t="str">
        <f>IF(Table14[[#This Row],[Umowa]]="","Poza umową","Z umowy")</f>
        <v>Z umowy</v>
      </c>
      <c r="N1783" s="2">
        <f>YEAR(Table14[[#This Row],[Data_Wystawienia]])</f>
        <v>2023</v>
      </c>
      <c r="O1783" s="2" t="str">
        <f>TEXT(Table14[[#This Row],[Data_Wystawienia]],"rrrr-mm")</f>
        <v>2023-10</v>
      </c>
      <c r="P1783" s="2">
        <v>1</v>
      </c>
    </row>
    <row r="1784" spans="1:16" x14ac:dyDescent="0.3">
      <c r="A1784" s="2" t="str">
        <f>TRIM(Table1[[#This Row],[Numer_FV]])</f>
        <v>FV/8893HM/23</v>
      </c>
      <c r="B1784" s="2" t="str">
        <f>TRIM(Table1[[#This Row],[Numer_PZ]])</f>
        <v>PZ/801782</v>
      </c>
      <c r="C1784" s="2" t="str">
        <f>TRIM(Table1[[#This Row],[Dostawca]])</f>
        <v>HurtMedix</v>
      </c>
      <c r="D1784" s="3">
        <v>45219</v>
      </c>
      <c r="E1784" s="4" t="s">
        <v>5274</v>
      </c>
      <c r="F1784" s="2" t="str">
        <f>TRIM(Table1[[#This Row],[Status]])</f>
        <v>Zaakceptowana</v>
      </c>
      <c r="G1784" s="2" t="str">
        <f>TRIM(Table1[[#This Row],[Typ]])</f>
        <v>Faktura VAT</v>
      </c>
      <c r="H1784" s="2" t="str">
        <f>TRIM(Table1[[#This Row],[Magazyn]])</f>
        <v>Apteka Szpitalna</v>
      </c>
      <c r="I1784" s="2" t="str">
        <f>TRIM(Table1[[#This Row],[Umowa]])</f>
        <v>UM-HUR-01</v>
      </c>
      <c r="J1784" s="2" t="b">
        <f>ISTEXT(Table14[[#This Row],[Data_Wystawienia]])</f>
        <v>0</v>
      </c>
      <c r="K1784" s="2">
        <f>VALUE(SUBSTITUTE(Table14[[#This Row],[Wartość]],".",","))</f>
        <v>16560.48</v>
      </c>
      <c r="L17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4" s="2" t="str">
        <f>IF(Table14[[#This Row],[Umowa]]="","Poza umową","Z umowy")</f>
        <v>Z umowy</v>
      </c>
      <c r="N1784" s="2">
        <f>YEAR(Table14[[#This Row],[Data_Wystawienia]])</f>
        <v>2023</v>
      </c>
      <c r="O1784" s="2" t="str">
        <f>TEXT(Table14[[#This Row],[Data_Wystawienia]],"rrrr-mm")</f>
        <v>2023-10</v>
      </c>
      <c r="P1784" s="2">
        <v>1</v>
      </c>
    </row>
    <row r="1785" spans="1:16" x14ac:dyDescent="0.3">
      <c r="A1785" s="2" t="str">
        <f>TRIM(Table1[[#This Row],[Numer_FV]])</f>
        <v>FV/POL/75839/2023</v>
      </c>
      <c r="B1785" s="2" t="str">
        <f>TRIM(Table1[[#This Row],[Numer_PZ]])</f>
        <v>PZ/801783</v>
      </c>
      <c r="C1785" s="2" t="str">
        <f>TRIM(Table1[[#This Row],[Dostawca]])</f>
        <v>Polmedica</v>
      </c>
      <c r="D1785" s="3">
        <v>45219</v>
      </c>
      <c r="E1785" s="4" t="s">
        <v>5277</v>
      </c>
      <c r="F1785" s="2" t="str">
        <f>TRIM(Table1[[#This Row],[Status]])</f>
        <v>Zaakceptowana</v>
      </c>
      <c r="G1785" s="2" t="str">
        <f>TRIM(Table1[[#This Row],[Typ]])</f>
        <v>Faktura VAT</v>
      </c>
      <c r="H1785" s="2" t="str">
        <f>TRIM(Table1[[#This Row],[Magazyn]])</f>
        <v>Apteka Szpitalna</v>
      </c>
      <c r="I1785" s="2" t="str">
        <f>TRIM(Table1[[#This Row],[Umowa]])</f>
        <v>UM-POL-01</v>
      </c>
      <c r="J1785" s="2" t="b">
        <f>ISTEXT(Table14[[#This Row],[Data_Wystawienia]])</f>
        <v>0</v>
      </c>
      <c r="K1785" s="2">
        <f>VALUE(SUBSTITUTE(Table14[[#This Row],[Wartość]],".",","))</f>
        <v>7604.29</v>
      </c>
      <c r="L17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5" s="2" t="str">
        <f>IF(Table14[[#This Row],[Umowa]]="","Poza umową","Z umowy")</f>
        <v>Z umowy</v>
      </c>
      <c r="N1785" s="2">
        <f>YEAR(Table14[[#This Row],[Data_Wystawienia]])</f>
        <v>2023</v>
      </c>
      <c r="O1785" s="2" t="str">
        <f>TEXT(Table14[[#This Row],[Data_Wystawienia]],"rrrr-mm")</f>
        <v>2023-10</v>
      </c>
      <c r="P1785" s="2">
        <v>1</v>
      </c>
    </row>
    <row r="1786" spans="1:16" x14ac:dyDescent="0.3">
      <c r="A1786" s="2" t="str">
        <f>TRIM(Table1[[#This Row],[Numer_FV]])</f>
        <v>FV/33/SAL/23</v>
      </c>
      <c r="B1786" s="2" t="str">
        <f>TRIM(Table1[[#This Row],[Numer_PZ]])</f>
        <v>PZ/801784</v>
      </c>
      <c r="C1786" s="2" t="str">
        <f>TRIM(Table1[[#This Row],[Dostawca]])</f>
        <v>SalusHurt</v>
      </c>
      <c r="D1786" s="3">
        <v>45219</v>
      </c>
      <c r="E1786" s="4" t="s">
        <v>5279</v>
      </c>
      <c r="F1786" s="2" t="str">
        <f>TRIM(Table1[[#This Row],[Status]])</f>
        <v>Zaakceptowana</v>
      </c>
      <c r="G1786" s="2" t="str">
        <f>TRIM(Table1[[#This Row],[Typ]])</f>
        <v>Faktura VAT</v>
      </c>
      <c r="H1786" s="2" t="str">
        <f>TRIM(Table1[[#This Row],[Magazyn]])</f>
        <v>Apteka Szpitalna</v>
      </c>
      <c r="I1786" s="2" t="str">
        <f>TRIM(Table1[[#This Row],[Umowa]])</f>
        <v>UM-SAL-01</v>
      </c>
      <c r="J1786" s="2" t="b">
        <f>ISTEXT(Table14[[#This Row],[Data_Wystawienia]])</f>
        <v>0</v>
      </c>
      <c r="K1786" s="2">
        <f>VALUE(SUBSTITUTE(Table14[[#This Row],[Wartość]],".",","))</f>
        <v>9824.98</v>
      </c>
      <c r="L17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6" s="2" t="str">
        <f>IF(Table14[[#This Row],[Umowa]]="","Poza umową","Z umowy")</f>
        <v>Z umowy</v>
      </c>
      <c r="N1786" s="2">
        <f>YEAR(Table14[[#This Row],[Data_Wystawienia]])</f>
        <v>2023</v>
      </c>
      <c r="O1786" s="2" t="str">
        <f>TEXT(Table14[[#This Row],[Data_Wystawienia]],"rrrr-mm")</f>
        <v>2023-10</v>
      </c>
      <c r="P1786" s="2">
        <v>1</v>
      </c>
    </row>
    <row r="1787" spans="1:16" x14ac:dyDescent="0.3">
      <c r="A1787" s="2" t="str">
        <f>TRIM(Table1[[#This Row],[Numer_FV]])</f>
        <v>FV/M/8054/P/23</v>
      </c>
      <c r="B1787" s="2" t="str">
        <f>TRIM(Table1[[#This Row],[Numer_PZ]])</f>
        <v>PZ/801785</v>
      </c>
      <c r="C1787" s="2" t="str">
        <f>TRIM(Table1[[#This Row],[Dostawca]])</f>
        <v>MedicaPharm</v>
      </c>
      <c r="D1787" s="3">
        <v>45219</v>
      </c>
      <c r="E1787" s="4" t="s">
        <v>5282</v>
      </c>
      <c r="F1787" s="2" t="str">
        <f>TRIM(Table1[[#This Row],[Status]])</f>
        <v>Zaakceptowana</v>
      </c>
      <c r="G1787" s="2" t="str">
        <f>TRIM(Table1[[#This Row],[Typ]])</f>
        <v>Faktura VAT</v>
      </c>
      <c r="H1787" s="2" t="str">
        <f>TRIM(Table1[[#This Row],[Magazyn]])</f>
        <v>Apteka Szpitalna</v>
      </c>
      <c r="I1787" s="2" t="str">
        <f>TRIM(Table1[[#This Row],[Umowa]])</f>
        <v>UM-MED-01</v>
      </c>
      <c r="J1787" s="2" t="b">
        <f>ISTEXT(Table14[[#This Row],[Data_Wystawienia]])</f>
        <v>0</v>
      </c>
      <c r="K1787" s="2">
        <f>VALUE(SUBSTITUTE(Table14[[#This Row],[Wartość]],".",","))</f>
        <v>9474.4500000000007</v>
      </c>
      <c r="L17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7" s="2" t="str">
        <f>IF(Table14[[#This Row],[Umowa]]="","Poza umową","Z umowy")</f>
        <v>Z umowy</v>
      </c>
      <c r="N1787" s="2">
        <f>YEAR(Table14[[#This Row],[Data_Wystawienia]])</f>
        <v>2023</v>
      </c>
      <c r="O1787" s="2" t="str">
        <f>TEXT(Table14[[#This Row],[Data_Wystawienia]],"rrrr-mm")</f>
        <v>2023-10</v>
      </c>
      <c r="P1787" s="2">
        <v>1</v>
      </c>
    </row>
    <row r="1788" spans="1:16" x14ac:dyDescent="0.3">
      <c r="A1788" s="2" t="str">
        <f>TRIM(Table1[[#This Row],[Numer_FV]])</f>
        <v>FV/59/SAL/23</v>
      </c>
      <c r="B1788" s="2" t="str">
        <f>TRIM(Table1[[#This Row],[Numer_PZ]])</f>
        <v>PZ/801786</v>
      </c>
      <c r="C1788" s="2" t="str">
        <f>TRIM(Table1[[#This Row],[Dostawca]])</f>
        <v>SalusHurt</v>
      </c>
      <c r="D1788" s="3">
        <v>45220</v>
      </c>
      <c r="E1788" s="4" t="s">
        <v>5284</v>
      </c>
      <c r="F1788" s="2" t="str">
        <f>TRIM(Table1[[#This Row],[Status]])</f>
        <v>Zaakceptowana</v>
      </c>
      <c r="G1788" s="2" t="str">
        <f>TRIM(Table1[[#This Row],[Typ]])</f>
        <v>Faktura VAT</v>
      </c>
      <c r="H1788" s="2" t="str">
        <f>TRIM(Table1[[#This Row],[Magazyn]])</f>
        <v>Apteka Szpitalna</v>
      </c>
      <c r="I1788" s="2" t="str">
        <f>TRIM(Table1[[#This Row],[Umowa]])</f>
        <v>UM-SAL-01</v>
      </c>
      <c r="J1788" s="2" t="b">
        <f>ISTEXT(Table14[[#This Row],[Data_Wystawienia]])</f>
        <v>0</v>
      </c>
      <c r="K1788" s="2">
        <f>VALUE(SUBSTITUTE(Table14[[#This Row],[Wartość]],".",","))</f>
        <v>12276.15</v>
      </c>
      <c r="L17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8" s="2" t="str">
        <f>IF(Table14[[#This Row],[Umowa]]="","Poza umową","Z umowy")</f>
        <v>Z umowy</v>
      </c>
      <c r="N1788" s="2">
        <f>YEAR(Table14[[#This Row],[Data_Wystawienia]])</f>
        <v>2023</v>
      </c>
      <c r="O1788" s="2" t="str">
        <f>TEXT(Table14[[#This Row],[Data_Wystawienia]],"rrrr-mm")</f>
        <v>2023-10</v>
      </c>
      <c r="P1788" s="2">
        <v>1</v>
      </c>
    </row>
    <row r="1789" spans="1:16" x14ac:dyDescent="0.3">
      <c r="A1789" s="2" t="str">
        <f>TRIM(Table1[[#This Row],[Numer_FV]])</f>
        <v>FV/50/SAL/23</v>
      </c>
      <c r="B1789" s="2" t="str">
        <f>TRIM(Table1[[#This Row],[Numer_PZ]])</f>
        <v>PZ/801787</v>
      </c>
      <c r="C1789" s="2" t="str">
        <f>TRIM(Table1[[#This Row],[Dostawca]])</f>
        <v>SalusHurt</v>
      </c>
      <c r="D1789" s="3">
        <v>45221</v>
      </c>
      <c r="E1789" s="4" t="s">
        <v>5286</v>
      </c>
      <c r="F1789" s="2" t="str">
        <f>TRIM(Table1[[#This Row],[Status]])</f>
        <v>Zaakceptowana</v>
      </c>
      <c r="G1789" s="2" t="str">
        <f>TRIM(Table1[[#This Row],[Typ]])</f>
        <v>Faktura VAT</v>
      </c>
      <c r="H1789" s="2" t="str">
        <f>TRIM(Table1[[#This Row],[Magazyn]])</f>
        <v>Apteka Szpitalna</v>
      </c>
      <c r="I1789" s="2" t="str">
        <f>TRIM(Table1[[#This Row],[Umowa]])</f>
        <v/>
      </c>
      <c r="J1789" s="2" t="b">
        <f>ISTEXT(Table14[[#This Row],[Data_Wystawienia]])</f>
        <v>0</v>
      </c>
      <c r="K1789" s="2">
        <f>VALUE(SUBSTITUTE(Table14[[#This Row],[Wartość]],".",","))</f>
        <v>17748.650000000001</v>
      </c>
      <c r="L17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89" s="2" t="str">
        <f>IF(Table14[[#This Row],[Umowa]]="","Poza umową","Z umowy")</f>
        <v>Poza umową</v>
      </c>
      <c r="N1789" s="2">
        <f>YEAR(Table14[[#This Row],[Data_Wystawienia]])</f>
        <v>2023</v>
      </c>
      <c r="O1789" s="2" t="str">
        <f>TEXT(Table14[[#This Row],[Data_Wystawienia]],"rrrr-mm")</f>
        <v>2023-10</v>
      </c>
      <c r="P1789" s="2">
        <v>1</v>
      </c>
    </row>
    <row r="1790" spans="1:16" x14ac:dyDescent="0.3">
      <c r="A1790" s="2" t="str">
        <f>TRIM(Table1[[#This Row],[Numer_FV]])</f>
        <v>FV/M/2472/P/23</v>
      </c>
      <c r="B1790" s="2" t="str">
        <f>TRIM(Table1[[#This Row],[Numer_PZ]])</f>
        <v>PZ/801788</v>
      </c>
      <c r="C1790" s="2" t="str">
        <f>TRIM(Table1[[#This Row],[Dostawca]])</f>
        <v>MedicaPharm</v>
      </c>
      <c r="D1790" s="3">
        <v>45221</v>
      </c>
      <c r="E1790" s="4" t="s">
        <v>5289</v>
      </c>
      <c r="F1790" s="2" t="str">
        <f>TRIM(Table1[[#This Row],[Status]])</f>
        <v>Zaakceptowana</v>
      </c>
      <c r="G1790" s="2" t="str">
        <f>TRIM(Table1[[#This Row],[Typ]])</f>
        <v>Faktura VAT</v>
      </c>
      <c r="H1790" s="2" t="str">
        <f>TRIM(Table1[[#This Row],[Magazyn]])</f>
        <v>Apteka Szpitalna</v>
      </c>
      <c r="I1790" s="2" t="str">
        <f>TRIM(Table1[[#This Row],[Umowa]])</f>
        <v>UM-MED-02</v>
      </c>
      <c r="J1790" s="2" t="b">
        <f>ISTEXT(Table14[[#This Row],[Data_Wystawienia]])</f>
        <v>0</v>
      </c>
      <c r="K1790" s="2">
        <f>VALUE(SUBSTITUTE(Table14[[#This Row],[Wartość]],".",","))</f>
        <v>6027.84</v>
      </c>
      <c r="L17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0" s="2" t="str">
        <f>IF(Table14[[#This Row],[Umowa]]="","Poza umową","Z umowy")</f>
        <v>Z umowy</v>
      </c>
      <c r="N1790" s="2">
        <f>YEAR(Table14[[#This Row],[Data_Wystawienia]])</f>
        <v>2023</v>
      </c>
      <c r="O1790" s="2" t="str">
        <f>TEXT(Table14[[#This Row],[Data_Wystawienia]],"rrrr-mm")</f>
        <v>2023-10</v>
      </c>
      <c r="P1790" s="2">
        <v>1</v>
      </c>
    </row>
    <row r="1791" spans="1:16" x14ac:dyDescent="0.3">
      <c r="A1791" s="2" t="str">
        <f>TRIM(Table1[[#This Row],[Numer_FV]])</f>
        <v>FV/M/4896/P/23</v>
      </c>
      <c r="B1791" s="2" t="str">
        <f>TRIM(Table1[[#This Row],[Numer_PZ]])</f>
        <v>PZ/801789</v>
      </c>
      <c r="C1791" s="2" t="str">
        <f>TRIM(Table1[[#This Row],[Dostawca]])</f>
        <v>MedicaPharm</v>
      </c>
      <c r="D1791" s="3">
        <v>45221</v>
      </c>
      <c r="E1791" s="4" t="s">
        <v>5292</v>
      </c>
      <c r="F1791" s="2" t="str">
        <f>TRIM(Table1[[#This Row],[Status]])</f>
        <v>Zaakceptowana</v>
      </c>
      <c r="G1791" s="2" t="str">
        <f>TRIM(Table1[[#This Row],[Typ]])</f>
        <v>Faktura VAT</v>
      </c>
      <c r="H1791" s="2" t="str">
        <f>TRIM(Table1[[#This Row],[Magazyn]])</f>
        <v>Apteka Szpitalna</v>
      </c>
      <c r="I1791" s="2" t="str">
        <f>TRIM(Table1[[#This Row],[Umowa]])</f>
        <v/>
      </c>
      <c r="J1791" s="2" t="b">
        <f>ISTEXT(Table14[[#This Row],[Data_Wystawienia]])</f>
        <v>0</v>
      </c>
      <c r="K1791" s="2">
        <f>VALUE(SUBSTITUTE(Table14[[#This Row],[Wartość]],".",","))</f>
        <v>8938.33</v>
      </c>
      <c r="L17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1" s="2" t="str">
        <f>IF(Table14[[#This Row],[Umowa]]="","Poza umową","Z umowy")</f>
        <v>Poza umową</v>
      </c>
      <c r="N1791" s="2">
        <f>YEAR(Table14[[#This Row],[Data_Wystawienia]])</f>
        <v>2023</v>
      </c>
      <c r="O1791" s="2" t="str">
        <f>TEXT(Table14[[#This Row],[Data_Wystawienia]],"rrrr-mm")</f>
        <v>2023-10</v>
      </c>
      <c r="P1791" s="2">
        <v>1</v>
      </c>
    </row>
    <row r="1792" spans="1:16" x14ac:dyDescent="0.3">
      <c r="A1792" s="2" t="str">
        <f>TRIM(Table1[[#This Row],[Numer_FV]])</f>
        <v>FV/93/PP/7493/23</v>
      </c>
      <c r="B1792" s="2" t="str">
        <f>TRIM(Table1[[#This Row],[Numer_PZ]])</f>
        <v>PZ/801790</v>
      </c>
      <c r="C1792" s="2" t="str">
        <f>TRIM(Table1[[#This Row],[Dostawca]])</f>
        <v>PharmaPlus</v>
      </c>
      <c r="D1792" s="3">
        <v>45221</v>
      </c>
      <c r="E1792" s="4" t="s">
        <v>5295</v>
      </c>
      <c r="F1792" s="2" t="str">
        <f>TRIM(Table1[[#This Row],[Status]])</f>
        <v>Zaakceptowana</v>
      </c>
      <c r="G1792" s="2" t="str">
        <f>TRIM(Table1[[#This Row],[Typ]])</f>
        <v>Faktura VAT</v>
      </c>
      <c r="H1792" s="2" t="str">
        <f>TRIM(Table1[[#This Row],[Magazyn]])</f>
        <v>Apteka Szpitalna</v>
      </c>
      <c r="I1792" s="2" t="str">
        <f>TRIM(Table1[[#This Row],[Umowa]])</f>
        <v>UM-PHA-01</v>
      </c>
      <c r="J1792" s="2" t="b">
        <f>ISTEXT(Table14[[#This Row],[Data_Wystawienia]])</f>
        <v>0</v>
      </c>
      <c r="K1792" s="2">
        <f>VALUE(SUBSTITUTE(Table14[[#This Row],[Wartość]],".",","))</f>
        <v>3742.55</v>
      </c>
      <c r="L17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2" s="2" t="str">
        <f>IF(Table14[[#This Row],[Umowa]]="","Poza umową","Z umowy")</f>
        <v>Z umowy</v>
      </c>
      <c r="N1792" s="2">
        <f>YEAR(Table14[[#This Row],[Data_Wystawienia]])</f>
        <v>2023</v>
      </c>
      <c r="O1792" s="2" t="str">
        <f>TEXT(Table14[[#This Row],[Data_Wystawienia]],"rrrr-mm")</f>
        <v>2023-10</v>
      </c>
      <c r="P1792" s="2">
        <v>1</v>
      </c>
    </row>
    <row r="1793" spans="1:16" x14ac:dyDescent="0.3">
      <c r="A1793" s="2" t="str">
        <f>TRIM(Table1[[#This Row],[Numer_FV]])</f>
        <v>FV/CENFA/531973/23</v>
      </c>
      <c r="B1793" s="2" t="str">
        <f>TRIM(Table1[[#This Row],[Numer_PZ]])</f>
        <v>PZ/801791</v>
      </c>
      <c r="C1793" s="2" t="str">
        <f>TRIM(Table1[[#This Row],[Dostawca]])</f>
        <v>CentrumFarm</v>
      </c>
      <c r="D1793" s="3">
        <v>45221</v>
      </c>
      <c r="E1793" s="4" t="s">
        <v>5298</v>
      </c>
      <c r="F1793" s="2" t="str">
        <f>TRIM(Table1[[#This Row],[Status]])</f>
        <v>Zaakceptowana</v>
      </c>
      <c r="G1793" s="2" t="str">
        <f>TRIM(Table1[[#This Row],[Typ]])</f>
        <v>Faktura VAT</v>
      </c>
      <c r="H1793" s="2" t="str">
        <f>TRIM(Table1[[#This Row],[Magazyn]])</f>
        <v>Apteka Szpitalna</v>
      </c>
      <c r="I1793" s="2" t="str">
        <f>TRIM(Table1[[#This Row],[Umowa]])</f>
        <v>UM-CEN-01</v>
      </c>
      <c r="J1793" s="2" t="b">
        <f>ISTEXT(Table14[[#This Row],[Data_Wystawienia]])</f>
        <v>0</v>
      </c>
      <c r="K1793" s="2">
        <f>VALUE(SUBSTITUTE(Table14[[#This Row],[Wartość]],".",","))</f>
        <v>13668.53</v>
      </c>
      <c r="L17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3" s="2" t="str">
        <f>IF(Table14[[#This Row],[Umowa]]="","Poza umową","Z umowy")</f>
        <v>Z umowy</v>
      </c>
      <c r="N1793" s="2">
        <f>YEAR(Table14[[#This Row],[Data_Wystawienia]])</f>
        <v>2023</v>
      </c>
      <c r="O1793" s="2" t="str">
        <f>TEXT(Table14[[#This Row],[Data_Wystawienia]],"rrrr-mm")</f>
        <v>2023-10</v>
      </c>
      <c r="P1793" s="2">
        <v>1</v>
      </c>
    </row>
    <row r="1794" spans="1:16" x14ac:dyDescent="0.3">
      <c r="A1794" s="2" t="str">
        <f>TRIM(Table1[[#This Row],[Numer_FV]])</f>
        <v>FV/CENFA/707924/23</v>
      </c>
      <c r="B1794" s="2" t="str">
        <f>TRIM(Table1[[#This Row],[Numer_PZ]])</f>
        <v>PZ/801792</v>
      </c>
      <c r="C1794" s="2" t="str">
        <f>TRIM(Table1[[#This Row],[Dostawca]])</f>
        <v>CentrumFarm</v>
      </c>
      <c r="D1794" s="3">
        <v>45222</v>
      </c>
      <c r="E1794" s="4" t="s">
        <v>5301</v>
      </c>
      <c r="F1794" s="2" t="str">
        <f>TRIM(Table1[[#This Row],[Status]])</f>
        <v>Zaakceptowana</v>
      </c>
      <c r="G1794" s="2" t="str">
        <f>TRIM(Table1[[#This Row],[Typ]])</f>
        <v>Faktura VAT</v>
      </c>
      <c r="H1794" s="2" t="str">
        <f>TRIM(Table1[[#This Row],[Magazyn]])</f>
        <v>Apteka Szpitalna</v>
      </c>
      <c r="I1794" s="2" t="str">
        <f>TRIM(Table1[[#This Row],[Umowa]])</f>
        <v>UM-CEN-02</v>
      </c>
      <c r="J1794" s="2" t="b">
        <f>ISTEXT(Table14[[#This Row],[Data_Wystawienia]])</f>
        <v>0</v>
      </c>
      <c r="K1794" s="2">
        <f>VALUE(SUBSTITUTE(Table14[[#This Row],[Wartość]],".",","))</f>
        <v>17937.37</v>
      </c>
      <c r="L17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4" s="2" t="str">
        <f>IF(Table14[[#This Row],[Umowa]]="","Poza umową","Z umowy")</f>
        <v>Z umowy</v>
      </c>
      <c r="N1794" s="2">
        <f>YEAR(Table14[[#This Row],[Data_Wystawienia]])</f>
        <v>2023</v>
      </c>
      <c r="O1794" s="2" t="str">
        <f>TEXT(Table14[[#This Row],[Data_Wystawienia]],"rrrr-mm")</f>
        <v>2023-10</v>
      </c>
      <c r="P1794" s="2">
        <v>1</v>
      </c>
    </row>
    <row r="1795" spans="1:16" x14ac:dyDescent="0.3">
      <c r="A1795" s="2" t="str">
        <f>TRIM(Table1[[#This Row],[Numer_FV]])</f>
        <v>FV/91/SAL/23</v>
      </c>
      <c r="B1795" s="2" t="str">
        <f>TRIM(Table1[[#This Row],[Numer_PZ]])</f>
        <v>PZ/801793</v>
      </c>
      <c r="C1795" s="2" t="str">
        <f>TRIM(Table1[[#This Row],[Dostawca]])</f>
        <v>SalusHurt</v>
      </c>
      <c r="D1795" s="3">
        <v>45222</v>
      </c>
      <c r="E1795" s="4" t="s">
        <v>5303</v>
      </c>
      <c r="F1795" s="2" t="str">
        <f>TRIM(Table1[[#This Row],[Status]])</f>
        <v>Zaakceptowana</v>
      </c>
      <c r="G1795" s="2" t="str">
        <f>TRIM(Table1[[#This Row],[Typ]])</f>
        <v>Faktura VAT</v>
      </c>
      <c r="H1795" s="2" t="str">
        <f>TRIM(Table1[[#This Row],[Magazyn]])</f>
        <v>Apteka Szpitalna</v>
      </c>
      <c r="I1795" s="2" t="str">
        <f>TRIM(Table1[[#This Row],[Umowa]])</f>
        <v>UM-SAL-01</v>
      </c>
      <c r="J1795" s="2" t="b">
        <f>ISTEXT(Table14[[#This Row],[Data_Wystawienia]])</f>
        <v>0</v>
      </c>
      <c r="K1795" s="2">
        <f>VALUE(SUBSTITUTE(Table14[[#This Row],[Wartość]],".",","))</f>
        <v>15779.59</v>
      </c>
      <c r="L17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5" s="2" t="str">
        <f>IF(Table14[[#This Row],[Umowa]]="","Poza umową","Z umowy")</f>
        <v>Z umowy</v>
      </c>
      <c r="N1795" s="2">
        <f>YEAR(Table14[[#This Row],[Data_Wystawienia]])</f>
        <v>2023</v>
      </c>
      <c r="O1795" s="2" t="str">
        <f>TEXT(Table14[[#This Row],[Data_Wystawienia]],"rrrr-mm")</f>
        <v>2023-10</v>
      </c>
      <c r="P1795" s="2">
        <v>1</v>
      </c>
    </row>
    <row r="1796" spans="1:16" x14ac:dyDescent="0.3">
      <c r="A1796" s="2" t="str">
        <f>TRIM(Table1[[#This Row],[Numer_FV]])</f>
        <v>FV/58/PP/7331/23</v>
      </c>
      <c r="B1796" s="2" t="str">
        <f>TRIM(Table1[[#This Row],[Numer_PZ]])</f>
        <v>PZ/801794</v>
      </c>
      <c r="C1796" s="2" t="str">
        <f>TRIM(Table1[[#This Row],[Dostawca]])</f>
        <v>PharmaPlus</v>
      </c>
      <c r="D1796" s="3">
        <v>45222</v>
      </c>
      <c r="E1796" s="4" t="s">
        <v>5306</v>
      </c>
      <c r="F1796" s="2" t="str">
        <f>TRIM(Table1[[#This Row],[Status]])</f>
        <v>Zaakceptowana</v>
      </c>
      <c r="G1796" s="2" t="str">
        <f>TRIM(Table1[[#This Row],[Typ]])</f>
        <v>Faktura VAT</v>
      </c>
      <c r="H1796" s="2" t="str">
        <f>TRIM(Table1[[#This Row],[Magazyn]])</f>
        <v>Apteka Szpitalna</v>
      </c>
      <c r="I1796" s="2" t="str">
        <f>TRIM(Table1[[#This Row],[Umowa]])</f>
        <v/>
      </c>
      <c r="J1796" s="2" t="b">
        <f>ISTEXT(Table14[[#This Row],[Data_Wystawienia]])</f>
        <v>0</v>
      </c>
      <c r="K1796" s="2">
        <f>VALUE(SUBSTITUTE(Table14[[#This Row],[Wartość]],".",","))</f>
        <v>18683.57</v>
      </c>
      <c r="L17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6" s="2" t="str">
        <f>IF(Table14[[#This Row],[Umowa]]="","Poza umową","Z umowy")</f>
        <v>Poza umową</v>
      </c>
      <c r="N1796" s="2">
        <f>YEAR(Table14[[#This Row],[Data_Wystawienia]])</f>
        <v>2023</v>
      </c>
      <c r="O1796" s="2" t="str">
        <f>TEXT(Table14[[#This Row],[Data_Wystawienia]],"rrrr-mm")</f>
        <v>2023-10</v>
      </c>
      <c r="P1796" s="2">
        <v>1</v>
      </c>
    </row>
    <row r="1797" spans="1:16" x14ac:dyDescent="0.3">
      <c r="A1797" s="2" t="str">
        <f>TRIM(Table1[[#This Row],[Numer_FV]])</f>
        <v>FV/6350/NOVA/23</v>
      </c>
      <c r="B1797" s="2" t="str">
        <f>TRIM(Table1[[#This Row],[Numer_PZ]])</f>
        <v>PZ/801795</v>
      </c>
      <c r="C1797" s="2" t="str">
        <f>TRIM(Table1[[#This Row],[Dostawca]])</f>
        <v>NovaLek</v>
      </c>
      <c r="D1797" s="3">
        <v>45223</v>
      </c>
      <c r="E1797" s="4" t="s">
        <v>5309</v>
      </c>
      <c r="F1797" s="2" t="str">
        <f>TRIM(Table1[[#This Row],[Status]])</f>
        <v>Zaakceptowana</v>
      </c>
      <c r="G1797" s="2" t="str">
        <f>TRIM(Table1[[#This Row],[Typ]])</f>
        <v>Faktura VAT</v>
      </c>
      <c r="H1797" s="2" t="str">
        <f>TRIM(Table1[[#This Row],[Magazyn]])</f>
        <v>Apteka Szpitalna</v>
      </c>
      <c r="I1797" s="2" t="str">
        <f>TRIM(Table1[[#This Row],[Umowa]])</f>
        <v>UM-NOV-02</v>
      </c>
      <c r="J1797" s="2" t="b">
        <f>ISTEXT(Table14[[#This Row],[Data_Wystawienia]])</f>
        <v>0</v>
      </c>
      <c r="K1797" s="2">
        <f>VALUE(SUBSTITUTE(Table14[[#This Row],[Wartość]],".",","))</f>
        <v>12297.26</v>
      </c>
      <c r="L17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7" s="2" t="str">
        <f>IF(Table14[[#This Row],[Umowa]]="","Poza umową","Z umowy")</f>
        <v>Z umowy</v>
      </c>
      <c r="N1797" s="2">
        <f>YEAR(Table14[[#This Row],[Data_Wystawienia]])</f>
        <v>2023</v>
      </c>
      <c r="O1797" s="2" t="str">
        <f>TEXT(Table14[[#This Row],[Data_Wystawienia]],"rrrr-mm")</f>
        <v>2023-10</v>
      </c>
      <c r="P1797" s="2">
        <v>1</v>
      </c>
    </row>
    <row r="1798" spans="1:16" x14ac:dyDescent="0.3">
      <c r="A1798" s="2" t="str">
        <f>TRIM(Table1[[#This Row],[Numer_FV]])</f>
        <v>FV/CENFA/668876/23</v>
      </c>
      <c r="B1798" s="2" t="str">
        <f>TRIM(Table1[[#This Row],[Numer_PZ]])</f>
        <v>PZ/801796</v>
      </c>
      <c r="C1798" s="2" t="str">
        <f>TRIM(Table1[[#This Row],[Dostawca]])</f>
        <v>CentrumFarm</v>
      </c>
      <c r="D1798" s="3">
        <v>45223</v>
      </c>
      <c r="E1798" s="4" t="s">
        <v>5312</v>
      </c>
      <c r="F1798" s="2" t="str">
        <f>TRIM(Table1[[#This Row],[Status]])</f>
        <v>Zaakceptowana</v>
      </c>
      <c r="G1798" s="2" t="str">
        <f>TRIM(Table1[[#This Row],[Typ]])</f>
        <v>Faktura VAT</v>
      </c>
      <c r="H1798" s="2" t="str">
        <f>TRIM(Table1[[#This Row],[Magazyn]])</f>
        <v>Apteka Szpitalna</v>
      </c>
      <c r="I1798" s="2" t="str">
        <f>TRIM(Table1[[#This Row],[Umowa]])</f>
        <v>UM-CEN-01</v>
      </c>
      <c r="J1798" s="2" t="b">
        <f>ISTEXT(Table14[[#This Row],[Data_Wystawienia]])</f>
        <v>0</v>
      </c>
      <c r="K1798" s="2">
        <f>VALUE(SUBSTITUTE(Table14[[#This Row],[Wartość]],".",","))</f>
        <v>5975.87</v>
      </c>
      <c r="L17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8" s="2" t="str">
        <f>IF(Table14[[#This Row],[Umowa]]="","Poza umową","Z umowy")</f>
        <v>Z umowy</v>
      </c>
      <c r="N1798" s="2">
        <f>YEAR(Table14[[#This Row],[Data_Wystawienia]])</f>
        <v>2023</v>
      </c>
      <c r="O1798" s="2" t="str">
        <f>TEXT(Table14[[#This Row],[Data_Wystawienia]],"rrrr-mm")</f>
        <v>2023-10</v>
      </c>
      <c r="P1798" s="2">
        <v>1</v>
      </c>
    </row>
    <row r="1799" spans="1:16" x14ac:dyDescent="0.3">
      <c r="A1799" s="2" t="str">
        <f>TRIM(Table1[[#This Row],[Numer_FV]])</f>
        <v>FV/61/PP/6329/23</v>
      </c>
      <c r="B1799" s="2" t="str">
        <f>TRIM(Table1[[#This Row],[Numer_PZ]])</f>
        <v>PZ/801797</v>
      </c>
      <c r="C1799" s="2" t="str">
        <f>TRIM(Table1[[#This Row],[Dostawca]])</f>
        <v>PharmaPlus</v>
      </c>
      <c r="D1799" s="3">
        <v>45224</v>
      </c>
      <c r="E1799" s="4" t="s">
        <v>5315</v>
      </c>
      <c r="F1799" s="2" t="str">
        <f>TRIM(Table1[[#This Row],[Status]])</f>
        <v>Zaakceptowana</v>
      </c>
      <c r="G1799" s="2" t="str">
        <f>TRIM(Table1[[#This Row],[Typ]])</f>
        <v>Faktura VAT</v>
      </c>
      <c r="H1799" s="2" t="str">
        <f>TRIM(Table1[[#This Row],[Magazyn]])</f>
        <v>Apteka Szpitalna</v>
      </c>
      <c r="I1799" s="2" t="str">
        <f>TRIM(Table1[[#This Row],[Umowa]])</f>
        <v/>
      </c>
      <c r="J1799" s="2" t="b">
        <f>ISTEXT(Table14[[#This Row],[Data_Wystawienia]])</f>
        <v>0</v>
      </c>
      <c r="K1799" s="2">
        <f>VALUE(SUBSTITUTE(Table14[[#This Row],[Wartość]],".",","))</f>
        <v>8437.92</v>
      </c>
      <c r="L17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799" s="2" t="str">
        <f>IF(Table14[[#This Row],[Umowa]]="","Poza umową","Z umowy")</f>
        <v>Poza umową</v>
      </c>
      <c r="N1799" s="2">
        <f>YEAR(Table14[[#This Row],[Data_Wystawienia]])</f>
        <v>2023</v>
      </c>
      <c r="O1799" s="2" t="str">
        <f>TEXT(Table14[[#This Row],[Data_Wystawienia]],"rrrr-mm")</f>
        <v>2023-10</v>
      </c>
      <c r="P1799" s="2">
        <v>1</v>
      </c>
    </row>
    <row r="1800" spans="1:16" x14ac:dyDescent="0.3">
      <c r="A1800" s="2" t="str">
        <f>TRIM(Table1[[#This Row],[Numer_FV]])</f>
        <v>FV/2854/NOVA/23</v>
      </c>
      <c r="B1800" s="2" t="str">
        <f>TRIM(Table1[[#This Row],[Numer_PZ]])</f>
        <v>PZ/801798</v>
      </c>
      <c r="C1800" s="2" t="str">
        <f>TRIM(Table1[[#This Row],[Dostawca]])</f>
        <v>NovaLek</v>
      </c>
      <c r="D1800" s="3">
        <v>45224</v>
      </c>
      <c r="E1800" s="4" t="s">
        <v>5318</v>
      </c>
      <c r="F1800" s="2" t="str">
        <f>TRIM(Table1[[#This Row],[Status]])</f>
        <v>Zaakceptowana</v>
      </c>
      <c r="G1800" s="2" t="str">
        <f>TRIM(Table1[[#This Row],[Typ]])</f>
        <v>Faktura VAT</v>
      </c>
      <c r="H1800" s="2" t="str">
        <f>TRIM(Table1[[#This Row],[Magazyn]])</f>
        <v>Apteka Szpitalna</v>
      </c>
      <c r="I1800" s="2" t="str">
        <f>TRIM(Table1[[#This Row],[Umowa]])</f>
        <v>UM-NOV-03</v>
      </c>
      <c r="J1800" s="2" t="b">
        <f>ISTEXT(Table14[[#This Row],[Data_Wystawienia]])</f>
        <v>0</v>
      </c>
      <c r="K1800" s="2">
        <f>VALUE(SUBSTITUTE(Table14[[#This Row],[Wartość]],".",","))</f>
        <v>23882.42</v>
      </c>
      <c r="L18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0" s="2" t="str">
        <f>IF(Table14[[#This Row],[Umowa]]="","Poza umową","Z umowy")</f>
        <v>Z umowy</v>
      </c>
      <c r="N1800" s="2">
        <f>YEAR(Table14[[#This Row],[Data_Wystawienia]])</f>
        <v>2023</v>
      </c>
      <c r="O1800" s="2" t="str">
        <f>TEXT(Table14[[#This Row],[Data_Wystawienia]],"rrrr-mm")</f>
        <v>2023-10</v>
      </c>
      <c r="P1800" s="2">
        <v>1</v>
      </c>
    </row>
    <row r="1801" spans="1:16" x14ac:dyDescent="0.3">
      <c r="A1801" s="2" t="str">
        <f>TRIM(Table1[[#This Row],[Numer_FV]])</f>
        <v>FV/POL/45855/2023</v>
      </c>
      <c r="B1801" s="2" t="str">
        <f>TRIM(Table1[[#This Row],[Numer_PZ]])</f>
        <v>PZ/801799</v>
      </c>
      <c r="C1801" s="2" t="str">
        <f>TRIM(Table1[[#This Row],[Dostawca]])</f>
        <v>Polmedica</v>
      </c>
      <c r="D1801" s="3">
        <v>45224</v>
      </c>
      <c r="E1801" s="4" t="s">
        <v>5321</v>
      </c>
      <c r="F1801" s="2" t="str">
        <f>TRIM(Table1[[#This Row],[Status]])</f>
        <v>Zaakceptowana</v>
      </c>
      <c r="G1801" s="2" t="str">
        <f>TRIM(Table1[[#This Row],[Typ]])</f>
        <v>Faktura VAT</v>
      </c>
      <c r="H1801" s="2" t="str">
        <f>TRIM(Table1[[#This Row],[Magazyn]])</f>
        <v>Apteka Szpitalna</v>
      </c>
      <c r="I1801" s="2" t="str">
        <f>TRIM(Table1[[#This Row],[Umowa]])</f>
        <v>UM-POL-02</v>
      </c>
      <c r="J1801" s="2" t="b">
        <f>ISTEXT(Table14[[#This Row],[Data_Wystawienia]])</f>
        <v>0</v>
      </c>
      <c r="K1801" s="2">
        <f>VALUE(SUBSTITUTE(Table14[[#This Row],[Wartość]],".",","))</f>
        <v>14585.1</v>
      </c>
      <c r="L18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1" s="2" t="str">
        <f>IF(Table14[[#This Row],[Umowa]]="","Poza umową","Z umowy")</f>
        <v>Z umowy</v>
      </c>
      <c r="N1801" s="2">
        <f>YEAR(Table14[[#This Row],[Data_Wystawienia]])</f>
        <v>2023</v>
      </c>
      <c r="O1801" s="2" t="str">
        <f>TEXT(Table14[[#This Row],[Data_Wystawienia]],"rrrr-mm")</f>
        <v>2023-10</v>
      </c>
      <c r="P1801" s="2">
        <v>1</v>
      </c>
    </row>
    <row r="1802" spans="1:16" x14ac:dyDescent="0.3">
      <c r="A1802" s="2" t="str">
        <f>TRIM(Table1[[#This Row],[Numer_FV]])</f>
        <v>FV/M/2106/P/23</v>
      </c>
      <c r="B1802" s="2" t="str">
        <f>TRIM(Table1[[#This Row],[Numer_PZ]])</f>
        <v>PZ/801800</v>
      </c>
      <c r="C1802" s="2" t="str">
        <f>TRIM(Table1[[#This Row],[Dostawca]])</f>
        <v>MedicaPharm</v>
      </c>
      <c r="D1802" s="3">
        <v>45224</v>
      </c>
      <c r="E1802" s="4" t="s">
        <v>5324</v>
      </c>
      <c r="F1802" s="2" t="str">
        <f>TRIM(Table1[[#This Row],[Status]])</f>
        <v>Zaakceptowana</v>
      </c>
      <c r="G1802" s="2" t="str">
        <f>TRIM(Table1[[#This Row],[Typ]])</f>
        <v>Faktura VAT</v>
      </c>
      <c r="H1802" s="2" t="str">
        <f>TRIM(Table1[[#This Row],[Magazyn]])</f>
        <v>Apteka Szpitalna</v>
      </c>
      <c r="I1802" s="2" t="str">
        <f>TRIM(Table1[[#This Row],[Umowa]])</f>
        <v>UM-MED-01</v>
      </c>
      <c r="J1802" s="2" t="b">
        <f>ISTEXT(Table14[[#This Row],[Data_Wystawienia]])</f>
        <v>0</v>
      </c>
      <c r="K1802" s="2">
        <f>VALUE(SUBSTITUTE(Table14[[#This Row],[Wartość]],".",","))</f>
        <v>21865</v>
      </c>
      <c r="L18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2" s="2" t="str">
        <f>IF(Table14[[#This Row],[Umowa]]="","Poza umową","Z umowy")</f>
        <v>Z umowy</v>
      </c>
      <c r="N1802" s="2">
        <f>YEAR(Table14[[#This Row],[Data_Wystawienia]])</f>
        <v>2023</v>
      </c>
      <c r="O1802" s="2" t="str">
        <f>TEXT(Table14[[#This Row],[Data_Wystawienia]],"rrrr-mm")</f>
        <v>2023-10</v>
      </c>
      <c r="P1802" s="2">
        <v>1</v>
      </c>
    </row>
    <row r="1803" spans="1:16" x14ac:dyDescent="0.3">
      <c r="A1803" s="2" t="str">
        <f>TRIM(Table1[[#This Row],[Numer_FV]])</f>
        <v>FV/59141/VDb/2023</v>
      </c>
      <c r="B1803" s="2" t="str">
        <f>TRIM(Table1[[#This Row],[Numer_PZ]])</f>
        <v>PZ/801801</v>
      </c>
      <c r="C1803" s="2" t="str">
        <f>TRIM(Table1[[#This Row],[Dostawca]])</f>
        <v>VitaDistrib</v>
      </c>
      <c r="D1803" s="3">
        <v>45225</v>
      </c>
      <c r="E1803" s="4" t="s">
        <v>5327</v>
      </c>
      <c r="F1803" s="2" t="str">
        <f>TRIM(Table1[[#This Row],[Status]])</f>
        <v>Zaakceptowana</v>
      </c>
      <c r="G1803" s="2" t="str">
        <f>TRIM(Table1[[#This Row],[Typ]])</f>
        <v>Faktura VAT</v>
      </c>
      <c r="H1803" s="2" t="str">
        <f>TRIM(Table1[[#This Row],[Magazyn]])</f>
        <v>Apteka Szpitalna</v>
      </c>
      <c r="I1803" s="2" t="str">
        <f>TRIM(Table1[[#This Row],[Umowa]])</f>
        <v>UM-VIT-01</v>
      </c>
      <c r="J1803" s="2" t="b">
        <f>ISTEXT(Table14[[#This Row],[Data_Wystawienia]])</f>
        <v>0</v>
      </c>
      <c r="K1803" s="2">
        <f>VALUE(SUBSTITUTE(Table14[[#This Row],[Wartość]],".",","))</f>
        <v>19307.61</v>
      </c>
      <c r="L18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3" s="2" t="str">
        <f>IF(Table14[[#This Row],[Umowa]]="","Poza umową","Z umowy")</f>
        <v>Z umowy</v>
      </c>
      <c r="N1803" s="2">
        <f>YEAR(Table14[[#This Row],[Data_Wystawienia]])</f>
        <v>2023</v>
      </c>
      <c r="O1803" s="2" t="str">
        <f>TEXT(Table14[[#This Row],[Data_Wystawienia]],"rrrr-mm")</f>
        <v>2023-10</v>
      </c>
      <c r="P1803" s="2">
        <v>1</v>
      </c>
    </row>
    <row r="1804" spans="1:16" x14ac:dyDescent="0.3">
      <c r="A1804" s="2" t="str">
        <f>TRIM(Table1[[#This Row],[Numer_FV]])</f>
        <v>FV/2764/NOVA/23</v>
      </c>
      <c r="B1804" s="2" t="str">
        <f>TRIM(Table1[[#This Row],[Numer_PZ]])</f>
        <v>PZ/801802</v>
      </c>
      <c r="C1804" s="2" t="str">
        <f>TRIM(Table1[[#This Row],[Dostawca]])</f>
        <v>NovaLek</v>
      </c>
      <c r="D1804" s="3">
        <v>45225</v>
      </c>
      <c r="E1804" s="4" t="s">
        <v>5330</v>
      </c>
      <c r="F1804" s="2" t="str">
        <f>TRIM(Table1[[#This Row],[Status]])</f>
        <v>Zaakceptowana</v>
      </c>
      <c r="G1804" s="2" t="str">
        <f>TRIM(Table1[[#This Row],[Typ]])</f>
        <v>Faktura VAT</v>
      </c>
      <c r="H1804" s="2" t="str">
        <f>TRIM(Table1[[#This Row],[Magazyn]])</f>
        <v>Apteka Szpitalna</v>
      </c>
      <c r="I1804" s="2" t="str">
        <f>TRIM(Table1[[#This Row],[Umowa]])</f>
        <v>UM-NOV-01</v>
      </c>
      <c r="J1804" s="2" t="b">
        <f>ISTEXT(Table14[[#This Row],[Data_Wystawienia]])</f>
        <v>0</v>
      </c>
      <c r="K1804" s="2">
        <f>VALUE(SUBSTITUTE(Table14[[#This Row],[Wartość]],".",","))</f>
        <v>6209.6</v>
      </c>
      <c r="L18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4" s="2" t="str">
        <f>IF(Table14[[#This Row],[Umowa]]="","Poza umową","Z umowy")</f>
        <v>Z umowy</v>
      </c>
      <c r="N1804" s="2">
        <f>YEAR(Table14[[#This Row],[Data_Wystawienia]])</f>
        <v>2023</v>
      </c>
      <c r="O1804" s="2" t="str">
        <f>TEXT(Table14[[#This Row],[Data_Wystawienia]],"rrrr-mm")</f>
        <v>2023-10</v>
      </c>
      <c r="P1804" s="2">
        <v>1</v>
      </c>
    </row>
    <row r="1805" spans="1:16" x14ac:dyDescent="0.3">
      <c r="A1805" s="2" t="str">
        <f>TRIM(Table1[[#This Row],[Numer_FV]])</f>
        <v>FV/M/6084/P/23</v>
      </c>
      <c r="B1805" s="2" t="str">
        <f>TRIM(Table1[[#This Row],[Numer_PZ]])</f>
        <v>PZ/801803</v>
      </c>
      <c r="C1805" s="2" t="str">
        <f>TRIM(Table1[[#This Row],[Dostawca]])</f>
        <v>MedicaPharm</v>
      </c>
      <c r="D1805" s="3">
        <v>45226</v>
      </c>
      <c r="E1805" s="4" t="s">
        <v>5333</v>
      </c>
      <c r="F1805" s="2" t="str">
        <f>TRIM(Table1[[#This Row],[Status]])</f>
        <v>Zaakceptowana</v>
      </c>
      <c r="G1805" s="2" t="str">
        <f>TRIM(Table1[[#This Row],[Typ]])</f>
        <v>Faktura VAT</v>
      </c>
      <c r="H1805" s="2" t="str">
        <f>TRIM(Table1[[#This Row],[Magazyn]])</f>
        <v>Apteka Szpitalna</v>
      </c>
      <c r="I1805" s="2" t="str">
        <f>TRIM(Table1[[#This Row],[Umowa]])</f>
        <v/>
      </c>
      <c r="J1805" s="2" t="b">
        <f>ISTEXT(Table14[[#This Row],[Data_Wystawienia]])</f>
        <v>0</v>
      </c>
      <c r="K1805" s="2">
        <f>VALUE(SUBSTITUTE(Table14[[#This Row],[Wartość]],".",","))</f>
        <v>27686.639999999999</v>
      </c>
      <c r="L18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5" s="2" t="str">
        <f>IF(Table14[[#This Row],[Umowa]]="","Poza umową","Z umowy")</f>
        <v>Poza umową</v>
      </c>
      <c r="N1805" s="2">
        <f>YEAR(Table14[[#This Row],[Data_Wystawienia]])</f>
        <v>2023</v>
      </c>
      <c r="O1805" s="2" t="str">
        <f>TEXT(Table14[[#This Row],[Data_Wystawienia]],"rrrr-mm")</f>
        <v>2023-10</v>
      </c>
      <c r="P1805" s="2">
        <v>1</v>
      </c>
    </row>
    <row r="1806" spans="1:16" x14ac:dyDescent="0.3">
      <c r="A1806" s="2" t="str">
        <f>TRIM(Table1[[#This Row],[Numer_FV]])</f>
        <v>FV/69/PP/4371/23</v>
      </c>
      <c r="B1806" s="2" t="str">
        <f>TRIM(Table1[[#This Row],[Numer_PZ]])</f>
        <v>PZ/801804</v>
      </c>
      <c r="C1806" s="2" t="str">
        <f>TRIM(Table1[[#This Row],[Dostawca]])</f>
        <v>PharmaPlus</v>
      </c>
      <c r="D1806" s="3">
        <v>45226</v>
      </c>
      <c r="E1806" s="4" t="s">
        <v>5336</v>
      </c>
      <c r="F1806" s="2" t="str">
        <f>TRIM(Table1[[#This Row],[Status]])</f>
        <v>Zaakceptowana</v>
      </c>
      <c r="G1806" s="2" t="str">
        <f>TRIM(Table1[[#This Row],[Typ]])</f>
        <v>Faktura VAT</v>
      </c>
      <c r="H1806" s="2" t="str">
        <f>TRIM(Table1[[#This Row],[Magazyn]])</f>
        <v>Apteka Szpitalna</v>
      </c>
      <c r="I1806" s="2" t="str">
        <f>TRIM(Table1[[#This Row],[Umowa]])</f>
        <v>UM-PHA-02</v>
      </c>
      <c r="J1806" s="2" t="b">
        <f>ISTEXT(Table14[[#This Row],[Data_Wystawienia]])</f>
        <v>0</v>
      </c>
      <c r="K1806" s="2">
        <f>VALUE(SUBSTITUTE(Table14[[#This Row],[Wartość]],".",","))</f>
        <v>13132.13</v>
      </c>
      <c r="L18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6" s="2" t="str">
        <f>IF(Table14[[#This Row],[Umowa]]="","Poza umową","Z umowy")</f>
        <v>Z umowy</v>
      </c>
      <c r="N1806" s="2">
        <f>YEAR(Table14[[#This Row],[Data_Wystawienia]])</f>
        <v>2023</v>
      </c>
      <c r="O1806" s="2" t="str">
        <f>TEXT(Table14[[#This Row],[Data_Wystawienia]],"rrrr-mm")</f>
        <v>2023-10</v>
      </c>
      <c r="P1806" s="2">
        <v>1</v>
      </c>
    </row>
    <row r="1807" spans="1:16" x14ac:dyDescent="0.3">
      <c r="A1807" s="2" t="str">
        <f>TRIM(Table1[[#This Row],[Numer_FV]])</f>
        <v>FV/66/SAL/23</v>
      </c>
      <c r="B1807" s="2" t="str">
        <f>TRIM(Table1[[#This Row],[Numer_PZ]])</f>
        <v>PZ/801805</v>
      </c>
      <c r="C1807" s="2" t="str">
        <f>TRIM(Table1[[#This Row],[Dostawca]])</f>
        <v>SalusHurt</v>
      </c>
      <c r="D1807" s="3">
        <v>45227</v>
      </c>
      <c r="E1807" s="4" t="s">
        <v>5338</v>
      </c>
      <c r="F1807" s="2" t="str">
        <f>TRIM(Table1[[#This Row],[Status]])</f>
        <v>Zaakceptowana</v>
      </c>
      <c r="G1807" s="2" t="str">
        <f>TRIM(Table1[[#This Row],[Typ]])</f>
        <v>Faktura VAT</v>
      </c>
      <c r="H1807" s="2" t="str">
        <f>TRIM(Table1[[#This Row],[Magazyn]])</f>
        <v>Apteka Szpitalna</v>
      </c>
      <c r="I1807" s="2" t="str">
        <f>TRIM(Table1[[#This Row],[Umowa]])</f>
        <v>UM-SAL-02</v>
      </c>
      <c r="J1807" s="2" t="b">
        <f>ISTEXT(Table14[[#This Row],[Data_Wystawienia]])</f>
        <v>0</v>
      </c>
      <c r="K1807" s="2">
        <f>VALUE(SUBSTITUTE(Table14[[#This Row],[Wartość]],".",","))</f>
        <v>10332.299999999999</v>
      </c>
      <c r="L18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7" s="2" t="str">
        <f>IF(Table14[[#This Row],[Umowa]]="","Poza umową","Z umowy")</f>
        <v>Z umowy</v>
      </c>
      <c r="N1807" s="2">
        <f>YEAR(Table14[[#This Row],[Data_Wystawienia]])</f>
        <v>2023</v>
      </c>
      <c r="O1807" s="2" t="str">
        <f>TEXT(Table14[[#This Row],[Data_Wystawienia]],"rrrr-mm")</f>
        <v>2023-10</v>
      </c>
      <c r="P1807" s="2">
        <v>1</v>
      </c>
    </row>
    <row r="1808" spans="1:16" x14ac:dyDescent="0.3">
      <c r="A1808" s="2" t="str">
        <f>TRIM(Table1[[#This Row],[Numer_FV]])</f>
        <v>FV/CENFA/448678/23</v>
      </c>
      <c r="B1808" s="2" t="str">
        <f>TRIM(Table1[[#This Row],[Numer_PZ]])</f>
        <v>PZ/801806</v>
      </c>
      <c r="C1808" s="2" t="str">
        <f>TRIM(Table1[[#This Row],[Dostawca]])</f>
        <v>CentrumFarm</v>
      </c>
      <c r="D1808" s="3">
        <v>45227</v>
      </c>
      <c r="E1808" s="4" t="s">
        <v>5341</v>
      </c>
      <c r="F1808" s="2" t="str">
        <f>TRIM(Table1[[#This Row],[Status]])</f>
        <v>Zaakceptowana</v>
      </c>
      <c r="G1808" s="2" t="str">
        <f>TRIM(Table1[[#This Row],[Typ]])</f>
        <v>Faktura VAT</v>
      </c>
      <c r="H1808" s="2" t="str">
        <f>TRIM(Table1[[#This Row],[Magazyn]])</f>
        <v>Apteka Szpitalna</v>
      </c>
      <c r="I1808" s="2" t="str">
        <f>TRIM(Table1[[#This Row],[Umowa]])</f>
        <v/>
      </c>
      <c r="J1808" s="2" t="b">
        <f>ISTEXT(Table14[[#This Row],[Data_Wystawienia]])</f>
        <v>0</v>
      </c>
      <c r="K1808" s="2">
        <f>VALUE(SUBSTITUTE(Table14[[#This Row],[Wartość]],".",","))</f>
        <v>11815.52</v>
      </c>
      <c r="L18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8" s="2" t="str">
        <f>IF(Table14[[#This Row],[Umowa]]="","Poza umową","Z umowy")</f>
        <v>Poza umową</v>
      </c>
      <c r="N1808" s="2">
        <f>YEAR(Table14[[#This Row],[Data_Wystawienia]])</f>
        <v>2023</v>
      </c>
      <c r="O1808" s="2" t="str">
        <f>TEXT(Table14[[#This Row],[Data_Wystawienia]],"rrrr-mm")</f>
        <v>2023-10</v>
      </c>
      <c r="P1808" s="2">
        <v>1</v>
      </c>
    </row>
    <row r="1809" spans="1:16" x14ac:dyDescent="0.3">
      <c r="A1809" s="2" t="str">
        <f>TRIM(Table1[[#This Row],[Numer_FV]])</f>
        <v>FV/55/SAL/23</v>
      </c>
      <c r="B1809" s="2" t="str">
        <f>TRIM(Table1[[#This Row],[Numer_PZ]])</f>
        <v>PZ/801807</v>
      </c>
      <c r="C1809" s="2" t="str">
        <f>TRIM(Table1[[#This Row],[Dostawca]])</f>
        <v>SalusHurt</v>
      </c>
      <c r="D1809" s="3">
        <v>45228</v>
      </c>
      <c r="E1809" s="4" t="s">
        <v>5343</v>
      </c>
      <c r="F1809" s="2" t="str">
        <f>TRIM(Table1[[#This Row],[Status]])</f>
        <v>Zaakceptowana</v>
      </c>
      <c r="G1809" s="2" t="str">
        <f>TRIM(Table1[[#This Row],[Typ]])</f>
        <v>Korekta FV</v>
      </c>
      <c r="H1809" s="2" t="str">
        <f>TRIM(Table1[[#This Row],[Magazyn]])</f>
        <v>Apteka Szpitalna</v>
      </c>
      <c r="I1809" s="2" t="str">
        <f>TRIM(Table1[[#This Row],[Umowa]])</f>
        <v>UM-SAL-02</v>
      </c>
      <c r="J1809" s="2" t="b">
        <f>ISTEXT(Table14[[#This Row],[Data_Wystawienia]])</f>
        <v>0</v>
      </c>
      <c r="K1809" s="2">
        <f>VALUE(SUBSTITUTE(Table14[[#This Row],[Wartość]],".",","))</f>
        <v>-2659.08</v>
      </c>
      <c r="L18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09" s="2" t="str">
        <f>IF(Table14[[#This Row],[Umowa]]="","Poza umową","Z umowy")</f>
        <v>Z umowy</v>
      </c>
      <c r="N1809" s="2">
        <f>YEAR(Table14[[#This Row],[Data_Wystawienia]])</f>
        <v>2023</v>
      </c>
      <c r="O1809" s="2" t="str">
        <f>TEXT(Table14[[#This Row],[Data_Wystawienia]],"rrrr-mm")</f>
        <v>2023-10</v>
      </c>
      <c r="P1809" s="2">
        <v>1</v>
      </c>
    </row>
    <row r="1810" spans="1:16" x14ac:dyDescent="0.3">
      <c r="A1810" s="2" t="str">
        <f>TRIM(Table1[[#This Row],[Numer_FV]])</f>
        <v>FV/POL/67886/2023</v>
      </c>
      <c r="B1810" s="2" t="str">
        <f>TRIM(Table1[[#This Row],[Numer_PZ]])</f>
        <v>PZ/801808</v>
      </c>
      <c r="C1810" s="2" t="str">
        <f>TRIM(Table1[[#This Row],[Dostawca]])</f>
        <v>Polmedica</v>
      </c>
      <c r="D1810" s="3">
        <v>45228</v>
      </c>
      <c r="E1810" s="4" t="s">
        <v>5346</v>
      </c>
      <c r="F1810" s="2" t="str">
        <f>TRIM(Table1[[#This Row],[Status]])</f>
        <v>Zaakceptowana</v>
      </c>
      <c r="G1810" s="2" t="str">
        <f>TRIM(Table1[[#This Row],[Typ]])</f>
        <v>Faktura VAT</v>
      </c>
      <c r="H1810" s="2" t="str">
        <f>TRIM(Table1[[#This Row],[Magazyn]])</f>
        <v>Apteka Szpitalna</v>
      </c>
      <c r="I1810" s="2" t="str">
        <f>TRIM(Table1[[#This Row],[Umowa]])</f>
        <v>UM-POL-02</v>
      </c>
      <c r="J1810" s="2" t="b">
        <f>ISTEXT(Table14[[#This Row],[Data_Wystawienia]])</f>
        <v>0</v>
      </c>
      <c r="K1810" s="2">
        <f>VALUE(SUBSTITUTE(Table14[[#This Row],[Wartość]],".",","))</f>
        <v>7926</v>
      </c>
      <c r="L18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0" s="2" t="str">
        <f>IF(Table14[[#This Row],[Umowa]]="","Poza umową","Z umowy")</f>
        <v>Z umowy</v>
      </c>
      <c r="N1810" s="2">
        <f>YEAR(Table14[[#This Row],[Data_Wystawienia]])</f>
        <v>2023</v>
      </c>
      <c r="O1810" s="2" t="str">
        <f>TEXT(Table14[[#This Row],[Data_Wystawienia]],"rrrr-mm")</f>
        <v>2023-10</v>
      </c>
      <c r="P1810" s="2">
        <v>1</v>
      </c>
    </row>
    <row r="1811" spans="1:16" x14ac:dyDescent="0.3">
      <c r="A1811" s="2" t="str">
        <f>TRIM(Table1[[#This Row],[Numer_FV]])</f>
        <v>FV/37/PP/7956/23</v>
      </c>
      <c r="B1811" s="2" t="str">
        <f>TRIM(Table1[[#This Row],[Numer_PZ]])</f>
        <v>PZ/801809</v>
      </c>
      <c r="C1811" s="2" t="str">
        <f>TRIM(Table1[[#This Row],[Dostawca]])</f>
        <v>PharmaPlus</v>
      </c>
      <c r="D1811" s="3">
        <v>45228</v>
      </c>
      <c r="E1811" s="4" t="s">
        <v>5349</v>
      </c>
      <c r="F1811" s="2" t="str">
        <f>TRIM(Table1[[#This Row],[Status]])</f>
        <v>Zaakceptowana</v>
      </c>
      <c r="G1811" s="2" t="str">
        <f>TRIM(Table1[[#This Row],[Typ]])</f>
        <v>Faktura VAT</v>
      </c>
      <c r="H1811" s="2" t="str">
        <f>TRIM(Table1[[#This Row],[Magazyn]])</f>
        <v>Apteka Szpitalna</v>
      </c>
      <c r="I1811" s="2" t="str">
        <f>TRIM(Table1[[#This Row],[Umowa]])</f>
        <v>UM-PHA-01</v>
      </c>
      <c r="J1811" s="2" t="b">
        <f>ISTEXT(Table14[[#This Row],[Data_Wystawienia]])</f>
        <v>0</v>
      </c>
      <c r="K1811" s="2">
        <f>VALUE(SUBSTITUTE(Table14[[#This Row],[Wartość]],".",","))</f>
        <v>18255.98</v>
      </c>
      <c r="L18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1" s="2" t="str">
        <f>IF(Table14[[#This Row],[Umowa]]="","Poza umową","Z umowy")</f>
        <v>Z umowy</v>
      </c>
      <c r="N1811" s="2">
        <f>YEAR(Table14[[#This Row],[Data_Wystawienia]])</f>
        <v>2023</v>
      </c>
      <c r="O1811" s="2" t="str">
        <f>TEXT(Table14[[#This Row],[Data_Wystawienia]],"rrrr-mm")</f>
        <v>2023-10</v>
      </c>
      <c r="P1811" s="2">
        <v>1</v>
      </c>
    </row>
    <row r="1812" spans="1:16" x14ac:dyDescent="0.3">
      <c r="A1812" s="2" t="str">
        <f>TRIM(Table1[[#This Row],[Numer_FV]])</f>
        <v>FV/M/6429/P/23</v>
      </c>
      <c r="B1812" s="2" t="str">
        <f>TRIM(Table1[[#This Row],[Numer_PZ]])</f>
        <v>PZ/801810</v>
      </c>
      <c r="C1812" s="2" t="str">
        <f>TRIM(Table1[[#This Row],[Dostawca]])</f>
        <v>MedicaPharm</v>
      </c>
      <c r="D1812" s="3">
        <v>45228</v>
      </c>
      <c r="E1812" s="4" t="s">
        <v>5352</v>
      </c>
      <c r="F1812" s="2" t="str">
        <f>TRIM(Table1[[#This Row],[Status]])</f>
        <v>Zaakceptowana</v>
      </c>
      <c r="G1812" s="2" t="str">
        <f>TRIM(Table1[[#This Row],[Typ]])</f>
        <v>Faktura VAT</v>
      </c>
      <c r="H1812" s="2" t="str">
        <f>TRIM(Table1[[#This Row],[Magazyn]])</f>
        <v>Apteka Szpitalna</v>
      </c>
      <c r="I1812" s="2" t="str">
        <f>TRIM(Table1[[#This Row],[Umowa]])</f>
        <v>UM-MED-01</v>
      </c>
      <c r="J1812" s="2" t="b">
        <f>ISTEXT(Table14[[#This Row],[Data_Wystawienia]])</f>
        <v>0</v>
      </c>
      <c r="K1812" s="2">
        <f>VALUE(SUBSTITUTE(Table14[[#This Row],[Wartość]],".",","))</f>
        <v>18769.84</v>
      </c>
      <c r="L18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2" s="2" t="str">
        <f>IF(Table14[[#This Row],[Umowa]]="","Poza umową","Z umowy")</f>
        <v>Z umowy</v>
      </c>
      <c r="N1812" s="2">
        <f>YEAR(Table14[[#This Row],[Data_Wystawienia]])</f>
        <v>2023</v>
      </c>
      <c r="O1812" s="2" t="str">
        <f>TEXT(Table14[[#This Row],[Data_Wystawienia]],"rrrr-mm")</f>
        <v>2023-10</v>
      </c>
      <c r="P1812" s="2">
        <v>1</v>
      </c>
    </row>
    <row r="1813" spans="1:16" x14ac:dyDescent="0.3">
      <c r="A1813" s="2" t="str">
        <f>TRIM(Table1[[#This Row],[Numer_FV]])</f>
        <v>FV/92/SAL/23</v>
      </c>
      <c r="B1813" s="2" t="str">
        <f>TRIM(Table1[[#This Row],[Numer_PZ]])</f>
        <v>PZ/801811</v>
      </c>
      <c r="C1813" s="2" t="str">
        <f>TRIM(Table1[[#This Row],[Dostawca]])</f>
        <v>SalusHurt</v>
      </c>
      <c r="D1813" s="3">
        <v>45228</v>
      </c>
      <c r="E1813" s="4" t="s">
        <v>5354</v>
      </c>
      <c r="F1813" s="2" t="str">
        <f>TRIM(Table1[[#This Row],[Status]])</f>
        <v>Zaakceptowana</v>
      </c>
      <c r="G1813" s="2" t="str">
        <f>TRIM(Table1[[#This Row],[Typ]])</f>
        <v>Faktura VAT</v>
      </c>
      <c r="H1813" s="2" t="str">
        <f>TRIM(Table1[[#This Row],[Magazyn]])</f>
        <v>Apteka Szpitalna</v>
      </c>
      <c r="I1813" s="2" t="str">
        <f>TRIM(Table1[[#This Row],[Umowa]])</f>
        <v>UM-SAL-02</v>
      </c>
      <c r="J1813" s="2" t="b">
        <f>ISTEXT(Table14[[#This Row],[Data_Wystawienia]])</f>
        <v>0</v>
      </c>
      <c r="K1813" s="2">
        <f>VALUE(SUBSTITUTE(Table14[[#This Row],[Wartość]],".",","))</f>
        <v>11060.25</v>
      </c>
      <c r="L18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3" s="2" t="str">
        <f>IF(Table14[[#This Row],[Umowa]]="","Poza umową","Z umowy")</f>
        <v>Z umowy</v>
      </c>
      <c r="N1813" s="2">
        <f>YEAR(Table14[[#This Row],[Data_Wystawienia]])</f>
        <v>2023</v>
      </c>
      <c r="O1813" s="2" t="str">
        <f>TEXT(Table14[[#This Row],[Data_Wystawienia]],"rrrr-mm")</f>
        <v>2023-10</v>
      </c>
      <c r="P1813" s="2">
        <v>1</v>
      </c>
    </row>
    <row r="1814" spans="1:16" x14ac:dyDescent="0.3">
      <c r="A1814" s="2" t="str">
        <f>TRIM(Table1[[#This Row],[Numer_FV]])</f>
        <v>FV/CENFA/531769/23</v>
      </c>
      <c r="B1814" s="2" t="str">
        <f>TRIM(Table1[[#This Row],[Numer_PZ]])</f>
        <v>PZ/801812</v>
      </c>
      <c r="C1814" s="2" t="str">
        <f>TRIM(Table1[[#This Row],[Dostawca]])</f>
        <v>CentrumFarm</v>
      </c>
      <c r="D1814" s="3">
        <v>45231</v>
      </c>
      <c r="E1814" s="4" t="s">
        <v>5357</v>
      </c>
      <c r="F1814" s="2" t="str">
        <f>TRIM(Table1[[#This Row],[Status]])</f>
        <v>Zaakceptowana</v>
      </c>
      <c r="G1814" s="2" t="str">
        <f>TRIM(Table1[[#This Row],[Typ]])</f>
        <v>Faktura VAT</v>
      </c>
      <c r="H1814" s="2" t="str">
        <f>TRIM(Table1[[#This Row],[Magazyn]])</f>
        <v>Apteka Szpitalna</v>
      </c>
      <c r="I1814" s="2" t="str">
        <f>TRIM(Table1[[#This Row],[Umowa]])</f>
        <v>UM-CEN-01</v>
      </c>
      <c r="J1814" s="2" t="b">
        <f>ISTEXT(Table14[[#This Row],[Data_Wystawienia]])</f>
        <v>0</v>
      </c>
      <c r="K1814" s="2">
        <f>VALUE(SUBSTITUTE(Table14[[#This Row],[Wartość]],".",","))</f>
        <v>17571.64</v>
      </c>
      <c r="L18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4" s="2" t="str">
        <f>IF(Table14[[#This Row],[Umowa]]="","Poza umową","Z umowy")</f>
        <v>Z umowy</v>
      </c>
      <c r="N1814" s="2">
        <f>YEAR(Table14[[#This Row],[Data_Wystawienia]])</f>
        <v>2023</v>
      </c>
      <c r="O1814" s="2" t="str">
        <f>TEXT(Table14[[#This Row],[Data_Wystawienia]],"rrrr-mm")</f>
        <v>2023-11</v>
      </c>
      <c r="P1814" s="2">
        <v>1</v>
      </c>
    </row>
    <row r="1815" spans="1:16" x14ac:dyDescent="0.3">
      <c r="A1815" s="2" t="str">
        <f>TRIM(Table1[[#This Row],[Numer_FV]])</f>
        <v>FV/76/SAL/23</v>
      </c>
      <c r="B1815" s="2" t="str">
        <f>TRIM(Table1[[#This Row],[Numer_PZ]])</f>
        <v>PZ/801813</v>
      </c>
      <c r="C1815" s="2" t="str">
        <f>TRIM(Table1[[#This Row],[Dostawca]])</f>
        <v>SalusHurt</v>
      </c>
      <c r="D1815" s="3">
        <v>45231</v>
      </c>
      <c r="E1815" s="4" t="s">
        <v>5360</v>
      </c>
      <c r="F1815" s="2" t="str">
        <f>TRIM(Table1[[#This Row],[Status]])</f>
        <v>Zaakceptowana</v>
      </c>
      <c r="G1815" s="2" t="str">
        <f>TRIM(Table1[[#This Row],[Typ]])</f>
        <v>Faktura VAT</v>
      </c>
      <c r="H1815" s="2" t="str">
        <f>TRIM(Table1[[#This Row],[Magazyn]])</f>
        <v>Apteka Szpitalna</v>
      </c>
      <c r="I1815" s="2" t="str">
        <f>TRIM(Table1[[#This Row],[Umowa]])</f>
        <v/>
      </c>
      <c r="J1815" s="2" t="b">
        <f>ISTEXT(Table14[[#This Row],[Data_Wystawienia]])</f>
        <v>0</v>
      </c>
      <c r="K1815" s="2">
        <f>VALUE(SUBSTITUTE(Table14[[#This Row],[Wartość]],".",","))</f>
        <v>20871.48</v>
      </c>
      <c r="L18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5" s="2" t="str">
        <f>IF(Table14[[#This Row],[Umowa]]="","Poza umową","Z umowy")</f>
        <v>Poza umową</v>
      </c>
      <c r="N1815" s="2">
        <f>YEAR(Table14[[#This Row],[Data_Wystawienia]])</f>
        <v>2023</v>
      </c>
      <c r="O1815" s="2" t="str">
        <f>TEXT(Table14[[#This Row],[Data_Wystawienia]],"rrrr-mm")</f>
        <v>2023-11</v>
      </c>
      <c r="P1815" s="2">
        <v>1</v>
      </c>
    </row>
    <row r="1816" spans="1:16" x14ac:dyDescent="0.3">
      <c r="A1816" s="2" t="str">
        <f>TRIM(Table1[[#This Row],[Numer_FV]])</f>
        <v>FV/77924/VDb/2023</v>
      </c>
      <c r="B1816" s="2" t="str">
        <f>TRIM(Table1[[#This Row],[Numer_PZ]])</f>
        <v>PZ/801814</v>
      </c>
      <c r="C1816" s="2" t="str">
        <f>TRIM(Table1[[#This Row],[Dostawca]])</f>
        <v>VitaDistrib</v>
      </c>
      <c r="D1816" s="3">
        <v>45232</v>
      </c>
      <c r="E1816" s="4" t="s">
        <v>5363</v>
      </c>
      <c r="F1816" s="2" t="str">
        <f>TRIM(Table1[[#This Row],[Status]])</f>
        <v>Zaakceptowana</v>
      </c>
      <c r="G1816" s="2" t="str">
        <f>TRIM(Table1[[#This Row],[Typ]])</f>
        <v>Faktura VAT</v>
      </c>
      <c r="H1816" s="2" t="str">
        <f>TRIM(Table1[[#This Row],[Magazyn]])</f>
        <v>Apteka Szpitalna</v>
      </c>
      <c r="I1816" s="2" t="str">
        <f>TRIM(Table1[[#This Row],[Umowa]])</f>
        <v/>
      </c>
      <c r="J1816" s="2" t="b">
        <f>ISTEXT(Table14[[#This Row],[Data_Wystawienia]])</f>
        <v>0</v>
      </c>
      <c r="K1816" s="2">
        <f>VALUE(SUBSTITUTE(Table14[[#This Row],[Wartość]],".",","))</f>
        <v>21085.99</v>
      </c>
      <c r="L18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6" s="2" t="str">
        <f>IF(Table14[[#This Row],[Umowa]]="","Poza umową","Z umowy")</f>
        <v>Poza umową</v>
      </c>
      <c r="N1816" s="2">
        <f>YEAR(Table14[[#This Row],[Data_Wystawienia]])</f>
        <v>2023</v>
      </c>
      <c r="O1816" s="2" t="str">
        <f>TEXT(Table14[[#This Row],[Data_Wystawienia]],"rrrr-mm")</f>
        <v>2023-11</v>
      </c>
      <c r="P1816" s="2">
        <v>1</v>
      </c>
    </row>
    <row r="1817" spans="1:16" x14ac:dyDescent="0.3">
      <c r="A1817" s="2" t="str">
        <f>TRIM(Table1[[#This Row],[Numer_FV]])</f>
        <v>FV/22817/VDb/2023</v>
      </c>
      <c r="B1817" s="2" t="str">
        <f>TRIM(Table1[[#This Row],[Numer_PZ]])</f>
        <v>PZ/801815</v>
      </c>
      <c r="C1817" s="2" t="str">
        <f>TRIM(Table1[[#This Row],[Dostawca]])</f>
        <v>VitaDistrib</v>
      </c>
      <c r="D1817" s="3">
        <v>45232</v>
      </c>
      <c r="E1817" s="4" t="s">
        <v>5366</v>
      </c>
      <c r="F1817" s="2" t="str">
        <f>TRIM(Table1[[#This Row],[Status]])</f>
        <v>Zaakceptowana</v>
      </c>
      <c r="G1817" s="2" t="str">
        <f>TRIM(Table1[[#This Row],[Typ]])</f>
        <v>Faktura VAT</v>
      </c>
      <c r="H1817" s="2" t="str">
        <f>TRIM(Table1[[#This Row],[Magazyn]])</f>
        <v>Apteka Szpitalna</v>
      </c>
      <c r="I1817" s="2" t="str">
        <f>TRIM(Table1[[#This Row],[Umowa]])</f>
        <v>UM-VIT-01</v>
      </c>
      <c r="J1817" s="2" t="b">
        <f>ISTEXT(Table14[[#This Row],[Data_Wystawienia]])</f>
        <v>0</v>
      </c>
      <c r="K1817" s="2">
        <f>VALUE(SUBSTITUTE(Table14[[#This Row],[Wartość]],".",","))</f>
        <v>14646.2</v>
      </c>
      <c r="L18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7" s="2" t="str">
        <f>IF(Table14[[#This Row],[Umowa]]="","Poza umową","Z umowy")</f>
        <v>Z umowy</v>
      </c>
      <c r="N1817" s="2">
        <f>YEAR(Table14[[#This Row],[Data_Wystawienia]])</f>
        <v>2023</v>
      </c>
      <c r="O1817" s="2" t="str">
        <f>TEXT(Table14[[#This Row],[Data_Wystawienia]],"rrrr-mm")</f>
        <v>2023-11</v>
      </c>
      <c r="P1817" s="2">
        <v>1</v>
      </c>
    </row>
    <row r="1818" spans="1:16" x14ac:dyDescent="0.3">
      <c r="A1818" s="2" t="str">
        <f>TRIM(Table1[[#This Row],[Numer_FV]])</f>
        <v>FV/39/SAL/23</v>
      </c>
      <c r="B1818" s="2" t="str">
        <f>TRIM(Table1[[#This Row],[Numer_PZ]])</f>
        <v>PZ/801816</v>
      </c>
      <c r="C1818" s="2" t="str">
        <f>TRIM(Table1[[#This Row],[Dostawca]])</f>
        <v>SalusHurt</v>
      </c>
      <c r="D1818" s="3">
        <v>45232</v>
      </c>
      <c r="E1818" s="4" t="s">
        <v>5368</v>
      </c>
      <c r="F1818" s="2" t="str">
        <f>TRIM(Table1[[#This Row],[Status]])</f>
        <v>Zaakceptowana</v>
      </c>
      <c r="G1818" s="2" t="str">
        <f>TRIM(Table1[[#This Row],[Typ]])</f>
        <v>Faktura VAT</v>
      </c>
      <c r="H1818" s="2" t="str">
        <f>TRIM(Table1[[#This Row],[Magazyn]])</f>
        <v>Apteka Szpitalna</v>
      </c>
      <c r="I1818" s="2" t="str">
        <f>TRIM(Table1[[#This Row],[Umowa]])</f>
        <v/>
      </c>
      <c r="J1818" s="2" t="b">
        <f>ISTEXT(Table14[[#This Row],[Data_Wystawienia]])</f>
        <v>0</v>
      </c>
      <c r="K1818" s="2">
        <f>VALUE(SUBSTITUTE(Table14[[#This Row],[Wartość]],".",","))</f>
        <v>16724.47</v>
      </c>
      <c r="L18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8" s="2" t="str">
        <f>IF(Table14[[#This Row],[Umowa]]="","Poza umową","Z umowy")</f>
        <v>Poza umową</v>
      </c>
      <c r="N1818" s="2">
        <f>YEAR(Table14[[#This Row],[Data_Wystawienia]])</f>
        <v>2023</v>
      </c>
      <c r="O1818" s="2" t="str">
        <f>TEXT(Table14[[#This Row],[Data_Wystawienia]],"rrrr-mm")</f>
        <v>2023-11</v>
      </c>
      <c r="P1818" s="2">
        <v>1</v>
      </c>
    </row>
    <row r="1819" spans="1:16" x14ac:dyDescent="0.3">
      <c r="A1819" s="2" t="str">
        <f>TRIM(Table1[[#This Row],[Numer_FV]])</f>
        <v>FV/2631HM/23</v>
      </c>
      <c r="B1819" s="2" t="str">
        <f>TRIM(Table1[[#This Row],[Numer_PZ]])</f>
        <v>PZ/801817</v>
      </c>
      <c r="C1819" s="2" t="str">
        <f>TRIM(Table1[[#This Row],[Dostawca]])</f>
        <v>HurtMedix</v>
      </c>
      <c r="D1819" s="3">
        <v>45233</v>
      </c>
      <c r="E1819" s="4" t="s">
        <v>5371</v>
      </c>
      <c r="F1819" s="2" t="str">
        <f>TRIM(Table1[[#This Row],[Status]])</f>
        <v>Zaakceptowana</v>
      </c>
      <c r="G1819" s="2" t="str">
        <f>TRIM(Table1[[#This Row],[Typ]])</f>
        <v>Faktura VAT</v>
      </c>
      <c r="H1819" s="2" t="str">
        <f>TRIM(Table1[[#This Row],[Magazyn]])</f>
        <v>Apteka Szpitalna</v>
      </c>
      <c r="I1819" s="2" t="str">
        <f>TRIM(Table1[[#This Row],[Umowa]])</f>
        <v/>
      </c>
      <c r="J1819" s="2" t="b">
        <f>ISTEXT(Table14[[#This Row],[Data_Wystawienia]])</f>
        <v>0</v>
      </c>
      <c r="K1819" s="2">
        <f>VALUE(SUBSTITUTE(Table14[[#This Row],[Wartość]],".",","))</f>
        <v>7806.49</v>
      </c>
      <c r="L18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19" s="2" t="str">
        <f>IF(Table14[[#This Row],[Umowa]]="","Poza umową","Z umowy")</f>
        <v>Poza umową</v>
      </c>
      <c r="N1819" s="2">
        <f>YEAR(Table14[[#This Row],[Data_Wystawienia]])</f>
        <v>2023</v>
      </c>
      <c r="O1819" s="2" t="str">
        <f>TEXT(Table14[[#This Row],[Data_Wystawienia]],"rrrr-mm")</f>
        <v>2023-11</v>
      </c>
      <c r="P1819" s="2">
        <v>1</v>
      </c>
    </row>
    <row r="1820" spans="1:16" x14ac:dyDescent="0.3">
      <c r="A1820" s="2" t="str">
        <f>TRIM(Table1[[#This Row],[Numer_FV]])</f>
        <v>FV/93/SAL/23</v>
      </c>
      <c r="B1820" s="2" t="str">
        <f>TRIM(Table1[[#This Row],[Numer_PZ]])</f>
        <v>PZ/801818</v>
      </c>
      <c r="C1820" s="2" t="str">
        <f>TRIM(Table1[[#This Row],[Dostawca]])</f>
        <v>SalusHurt</v>
      </c>
      <c r="D1820" s="3">
        <v>45233</v>
      </c>
      <c r="E1820" s="4" t="s">
        <v>5374</v>
      </c>
      <c r="F1820" s="2" t="str">
        <f>TRIM(Table1[[#This Row],[Status]])</f>
        <v>Zaakceptowana</v>
      </c>
      <c r="G1820" s="2" t="str">
        <f>TRIM(Table1[[#This Row],[Typ]])</f>
        <v>Faktura VAT</v>
      </c>
      <c r="H1820" s="2" t="str">
        <f>TRIM(Table1[[#This Row],[Magazyn]])</f>
        <v>Apteka Szpitalna</v>
      </c>
      <c r="I1820" s="2" t="str">
        <f>TRIM(Table1[[#This Row],[Umowa]])</f>
        <v>UM-SAL-01</v>
      </c>
      <c r="J1820" s="2" t="b">
        <f>ISTEXT(Table14[[#This Row],[Data_Wystawienia]])</f>
        <v>0</v>
      </c>
      <c r="K1820" s="2">
        <f>VALUE(SUBSTITUTE(Table14[[#This Row],[Wartość]],".",","))</f>
        <v>20741.23</v>
      </c>
      <c r="L18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0" s="2" t="str">
        <f>IF(Table14[[#This Row],[Umowa]]="","Poza umową","Z umowy")</f>
        <v>Z umowy</v>
      </c>
      <c r="N1820" s="2">
        <f>YEAR(Table14[[#This Row],[Data_Wystawienia]])</f>
        <v>2023</v>
      </c>
      <c r="O1820" s="2" t="str">
        <f>TEXT(Table14[[#This Row],[Data_Wystawienia]],"rrrr-mm")</f>
        <v>2023-11</v>
      </c>
      <c r="P1820" s="2">
        <v>1</v>
      </c>
    </row>
    <row r="1821" spans="1:16" x14ac:dyDescent="0.3">
      <c r="A1821" s="2" t="str">
        <f>TRIM(Table1[[#This Row],[Numer_FV]])</f>
        <v>FV/8598/NOVA/23</v>
      </c>
      <c r="B1821" s="2" t="str">
        <f>TRIM(Table1[[#This Row],[Numer_PZ]])</f>
        <v>PZ/801819</v>
      </c>
      <c r="C1821" s="2" t="str">
        <f>TRIM(Table1[[#This Row],[Dostawca]])</f>
        <v>NovaLek</v>
      </c>
      <c r="D1821" s="3">
        <v>45233</v>
      </c>
      <c r="E1821" s="4" t="s">
        <v>5377</v>
      </c>
      <c r="F1821" s="2" t="str">
        <f>TRIM(Table1[[#This Row],[Status]])</f>
        <v>Zaakceptowana</v>
      </c>
      <c r="G1821" s="2" t="str">
        <f>TRIM(Table1[[#This Row],[Typ]])</f>
        <v>Faktura VAT</v>
      </c>
      <c r="H1821" s="2" t="str">
        <f>TRIM(Table1[[#This Row],[Magazyn]])</f>
        <v>Apteka Szpitalna</v>
      </c>
      <c r="I1821" s="2" t="str">
        <f>TRIM(Table1[[#This Row],[Umowa]])</f>
        <v>UM-NOV-03</v>
      </c>
      <c r="J1821" s="2" t="b">
        <f>ISTEXT(Table14[[#This Row],[Data_Wystawienia]])</f>
        <v>0</v>
      </c>
      <c r="K1821" s="2">
        <f>VALUE(SUBSTITUTE(Table14[[#This Row],[Wartość]],".",","))</f>
        <v>14476.87</v>
      </c>
      <c r="L18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1" s="2" t="str">
        <f>IF(Table14[[#This Row],[Umowa]]="","Poza umową","Z umowy")</f>
        <v>Z umowy</v>
      </c>
      <c r="N1821" s="2">
        <f>YEAR(Table14[[#This Row],[Data_Wystawienia]])</f>
        <v>2023</v>
      </c>
      <c r="O1821" s="2" t="str">
        <f>TEXT(Table14[[#This Row],[Data_Wystawienia]],"rrrr-mm")</f>
        <v>2023-11</v>
      </c>
      <c r="P1821" s="2">
        <v>1</v>
      </c>
    </row>
    <row r="1822" spans="1:16" x14ac:dyDescent="0.3">
      <c r="A1822" s="2" t="str">
        <f>TRIM(Table1[[#This Row],[Numer_FV]])</f>
        <v>FV/M/7622/P/23</v>
      </c>
      <c r="B1822" s="2" t="str">
        <f>TRIM(Table1[[#This Row],[Numer_PZ]])</f>
        <v>PZ/801820</v>
      </c>
      <c r="C1822" s="2" t="str">
        <f>TRIM(Table1[[#This Row],[Dostawca]])</f>
        <v>MedicaPharm</v>
      </c>
      <c r="D1822" s="3">
        <v>45234</v>
      </c>
      <c r="E1822" s="4" t="s">
        <v>5380</v>
      </c>
      <c r="F1822" s="2" t="str">
        <f>TRIM(Table1[[#This Row],[Status]])</f>
        <v>Zaakceptowana</v>
      </c>
      <c r="G1822" s="2" t="str">
        <f>TRIM(Table1[[#This Row],[Typ]])</f>
        <v>Faktura VAT</v>
      </c>
      <c r="H1822" s="2" t="str">
        <f>TRIM(Table1[[#This Row],[Magazyn]])</f>
        <v>Apteka Szpitalna</v>
      </c>
      <c r="I1822" s="2" t="str">
        <f>TRIM(Table1[[#This Row],[Umowa]])</f>
        <v>UM-MED-01</v>
      </c>
      <c r="J1822" s="2" t="b">
        <f>ISTEXT(Table14[[#This Row],[Data_Wystawienia]])</f>
        <v>0</v>
      </c>
      <c r="K1822" s="2">
        <f>VALUE(SUBSTITUTE(Table14[[#This Row],[Wartość]],".",","))</f>
        <v>12587.5</v>
      </c>
      <c r="L18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2" s="2" t="str">
        <f>IF(Table14[[#This Row],[Umowa]]="","Poza umową","Z umowy")</f>
        <v>Z umowy</v>
      </c>
      <c r="N1822" s="2">
        <f>YEAR(Table14[[#This Row],[Data_Wystawienia]])</f>
        <v>2023</v>
      </c>
      <c r="O1822" s="2" t="str">
        <f>TEXT(Table14[[#This Row],[Data_Wystawienia]],"rrrr-mm")</f>
        <v>2023-11</v>
      </c>
      <c r="P1822" s="2">
        <v>1</v>
      </c>
    </row>
    <row r="1823" spans="1:16" x14ac:dyDescent="0.3">
      <c r="A1823" s="2" t="str">
        <f>TRIM(Table1[[#This Row],[Numer_FV]])</f>
        <v>FV/M/7040/P/23</v>
      </c>
      <c r="B1823" s="2" t="str">
        <f>TRIM(Table1[[#This Row],[Numer_PZ]])</f>
        <v>PZ/801821</v>
      </c>
      <c r="C1823" s="2" t="str">
        <f>TRIM(Table1[[#This Row],[Dostawca]])</f>
        <v>MedicaPharm</v>
      </c>
      <c r="D1823" s="3">
        <v>45234</v>
      </c>
      <c r="E1823" s="4" t="s">
        <v>5383</v>
      </c>
      <c r="F1823" s="2" t="str">
        <f>TRIM(Table1[[#This Row],[Status]])</f>
        <v>Zaakceptowana</v>
      </c>
      <c r="G1823" s="2" t="str">
        <f>TRIM(Table1[[#This Row],[Typ]])</f>
        <v>Faktura VAT</v>
      </c>
      <c r="H1823" s="2" t="str">
        <f>TRIM(Table1[[#This Row],[Magazyn]])</f>
        <v>Apteka Szpitalna</v>
      </c>
      <c r="I1823" s="2" t="str">
        <f>TRIM(Table1[[#This Row],[Umowa]])</f>
        <v>UM-MED-01</v>
      </c>
      <c r="J1823" s="2" t="b">
        <f>ISTEXT(Table14[[#This Row],[Data_Wystawienia]])</f>
        <v>0</v>
      </c>
      <c r="K1823" s="2">
        <f>VALUE(SUBSTITUTE(Table14[[#This Row],[Wartość]],".",","))</f>
        <v>17738.009999999998</v>
      </c>
      <c r="L18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3" s="2" t="str">
        <f>IF(Table14[[#This Row],[Umowa]]="","Poza umową","Z umowy")</f>
        <v>Z umowy</v>
      </c>
      <c r="N1823" s="2">
        <f>YEAR(Table14[[#This Row],[Data_Wystawienia]])</f>
        <v>2023</v>
      </c>
      <c r="O1823" s="2" t="str">
        <f>TEXT(Table14[[#This Row],[Data_Wystawienia]],"rrrr-mm")</f>
        <v>2023-11</v>
      </c>
      <c r="P1823" s="2">
        <v>1</v>
      </c>
    </row>
    <row r="1824" spans="1:16" x14ac:dyDescent="0.3">
      <c r="A1824" s="2" t="str">
        <f>TRIM(Table1[[#This Row],[Numer_FV]])</f>
        <v>FV/8386HM/23</v>
      </c>
      <c r="B1824" s="2" t="str">
        <f>TRIM(Table1[[#This Row],[Numer_PZ]])</f>
        <v>PZ/801822</v>
      </c>
      <c r="C1824" s="2" t="str">
        <f>TRIM(Table1[[#This Row],[Dostawca]])</f>
        <v>HurtMedix</v>
      </c>
      <c r="D1824" s="3">
        <v>45234</v>
      </c>
      <c r="E1824" s="4" t="s">
        <v>5386</v>
      </c>
      <c r="F1824" s="2" t="str">
        <f>TRIM(Table1[[#This Row],[Status]])</f>
        <v>Zaakceptowana</v>
      </c>
      <c r="G1824" s="2" t="str">
        <f>TRIM(Table1[[#This Row],[Typ]])</f>
        <v>Faktura VAT</v>
      </c>
      <c r="H1824" s="2" t="str">
        <f>TRIM(Table1[[#This Row],[Magazyn]])</f>
        <v>Apteka Szpitalna</v>
      </c>
      <c r="I1824" s="2" t="str">
        <f>TRIM(Table1[[#This Row],[Umowa]])</f>
        <v>UM-HUR-03</v>
      </c>
      <c r="J1824" s="2" t="b">
        <f>ISTEXT(Table14[[#This Row],[Data_Wystawienia]])</f>
        <v>0</v>
      </c>
      <c r="K1824" s="2">
        <f>VALUE(SUBSTITUTE(Table14[[#This Row],[Wartość]],".",","))</f>
        <v>18613.849999999999</v>
      </c>
      <c r="L18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4" s="2" t="str">
        <f>IF(Table14[[#This Row],[Umowa]]="","Poza umową","Z umowy")</f>
        <v>Z umowy</v>
      </c>
      <c r="N1824" s="2">
        <f>YEAR(Table14[[#This Row],[Data_Wystawienia]])</f>
        <v>2023</v>
      </c>
      <c r="O1824" s="2" t="str">
        <f>TEXT(Table14[[#This Row],[Data_Wystawienia]],"rrrr-mm")</f>
        <v>2023-11</v>
      </c>
      <c r="P1824" s="2">
        <v>1</v>
      </c>
    </row>
    <row r="1825" spans="1:16" x14ac:dyDescent="0.3">
      <c r="A1825" s="2" t="str">
        <f>TRIM(Table1[[#This Row],[Numer_FV]])</f>
        <v>FV/41/SAL/23</v>
      </c>
      <c r="B1825" s="2" t="str">
        <f>TRIM(Table1[[#This Row],[Numer_PZ]])</f>
        <v>PZ/801823</v>
      </c>
      <c r="C1825" s="2" t="str">
        <f>TRIM(Table1[[#This Row],[Dostawca]])</f>
        <v>SalusHurt</v>
      </c>
      <c r="D1825" s="3">
        <v>45235</v>
      </c>
      <c r="E1825" s="4" t="s">
        <v>5388</v>
      </c>
      <c r="F1825" s="2" t="str">
        <f>TRIM(Table1[[#This Row],[Status]])</f>
        <v>Zaakceptowana</v>
      </c>
      <c r="G1825" s="2" t="str">
        <f>TRIM(Table1[[#This Row],[Typ]])</f>
        <v>Faktura VAT</v>
      </c>
      <c r="H1825" s="2" t="str">
        <f>TRIM(Table1[[#This Row],[Magazyn]])</f>
        <v>Apteka Szpitalna</v>
      </c>
      <c r="I1825" s="2" t="str">
        <f>TRIM(Table1[[#This Row],[Umowa]])</f>
        <v>UM-SAL-02</v>
      </c>
      <c r="J1825" s="2" t="b">
        <f>ISTEXT(Table14[[#This Row],[Data_Wystawienia]])</f>
        <v>0</v>
      </c>
      <c r="K1825" s="2">
        <f>VALUE(SUBSTITUTE(Table14[[#This Row],[Wartość]],".",","))</f>
        <v>20631.740000000002</v>
      </c>
      <c r="L18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5" s="2" t="str">
        <f>IF(Table14[[#This Row],[Umowa]]="","Poza umową","Z umowy")</f>
        <v>Z umowy</v>
      </c>
      <c r="N1825" s="2">
        <f>YEAR(Table14[[#This Row],[Data_Wystawienia]])</f>
        <v>2023</v>
      </c>
      <c r="O1825" s="2" t="str">
        <f>TEXT(Table14[[#This Row],[Data_Wystawienia]],"rrrr-mm")</f>
        <v>2023-11</v>
      </c>
      <c r="P1825" s="2">
        <v>1</v>
      </c>
    </row>
    <row r="1826" spans="1:16" x14ac:dyDescent="0.3">
      <c r="A1826" s="2" t="str">
        <f>TRIM(Table1[[#This Row],[Numer_FV]])</f>
        <v>FV/9396/NOVA/23</v>
      </c>
      <c r="B1826" s="2" t="str">
        <f>TRIM(Table1[[#This Row],[Numer_PZ]])</f>
        <v>PZ/801824</v>
      </c>
      <c r="C1826" s="2" t="str">
        <f>TRIM(Table1[[#This Row],[Dostawca]])</f>
        <v>NovaLek</v>
      </c>
      <c r="D1826" s="3">
        <v>45236</v>
      </c>
      <c r="E1826" s="4" t="s">
        <v>5391</v>
      </c>
      <c r="F1826" s="2" t="str">
        <f>TRIM(Table1[[#This Row],[Status]])</f>
        <v>Zaakceptowana</v>
      </c>
      <c r="G1826" s="2" t="str">
        <f>TRIM(Table1[[#This Row],[Typ]])</f>
        <v>Faktura VAT</v>
      </c>
      <c r="H1826" s="2" t="str">
        <f>TRIM(Table1[[#This Row],[Magazyn]])</f>
        <v>Apteka Szpitalna</v>
      </c>
      <c r="I1826" s="2" t="str">
        <f>TRIM(Table1[[#This Row],[Umowa]])</f>
        <v>UM-NOV-01</v>
      </c>
      <c r="J1826" s="2" t="b">
        <f>ISTEXT(Table14[[#This Row],[Data_Wystawienia]])</f>
        <v>0</v>
      </c>
      <c r="K1826" s="2">
        <f>VALUE(SUBSTITUTE(Table14[[#This Row],[Wartość]],".",","))</f>
        <v>20037.330000000002</v>
      </c>
      <c r="L18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6" s="2" t="str">
        <f>IF(Table14[[#This Row],[Umowa]]="","Poza umową","Z umowy")</f>
        <v>Z umowy</v>
      </c>
      <c r="N1826" s="2">
        <f>YEAR(Table14[[#This Row],[Data_Wystawienia]])</f>
        <v>2023</v>
      </c>
      <c r="O1826" s="2" t="str">
        <f>TEXT(Table14[[#This Row],[Data_Wystawienia]],"rrrr-mm")</f>
        <v>2023-11</v>
      </c>
      <c r="P1826" s="2">
        <v>1</v>
      </c>
    </row>
    <row r="1827" spans="1:16" x14ac:dyDescent="0.3">
      <c r="A1827" s="2" t="str">
        <f>TRIM(Table1[[#This Row],[Numer_FV]])</f>
        <v>FV/POL/30313/2023</v>
      </c>
      <c r="B1827" s="2" t="str">
        <f>TRIM(Table1[[#This Row],[Numer_PZ]])</f>
        <v>PZ/801825</v>
      </c>
      <c r="C1827" s="2" t="str">
        <f>TRIM(Table1[[#This Row],[Dostawca]])</f>
        <v>Polmedica</v>
      </c>
      <c r="D1827" s="3">
        <v>45237</v>
      </c>
      <c r="E1827" s="4" t="s">
        <v>5394</v>
      </c>
      <c r="F1827" s="2" t="str">
        <f>TRIM(Table1[[#This Row],[Status]])</f>
        <v>Zaakceptowana</v>
      </c>
      <c r="G1827" s="2" t="str">
        <f>TRIM(Table1[[#This Row],[Typ]])</f>
        <v>Faktura VAT</v>
      </c>
      <c r="H1827" s="2" t="str">
        <f>TRIM(Table1[[#This Row],[Magazyn]])</f>
        <v>Apteka Szpitalna</v>
      </c>
      <c r="I1827" s="2" t="str">
        <f>TRIM(Table1[[#This Row],[Umowa]])</f>
        <v>UM-POL-01</v>
      </c>
      <c r="J1827" s="2" t="b">
        <f>ISTEXT(Table14[[#This Row],[Data_Wystawienia]])</f>
        <v>0</v>
      </c>
      <c r="K1827" s="2">
        <f>VALUE(SUBSTITUTE(Table14[[#This Row],[Wartość]],".",","))</f>
        <v>16287.11</v>
      </c>
      <c r="L18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7" s="2" t="str">
        <f>IF(Table14[[#This Row],[Umowa]]="","Poza umową","Z umowy")</f>
        <v>Z umowy</v>
      </c>
      <c r="N1827" s="2">
        <f>YEAR(Table14[[#This Row],[Data_Wystawienia]])</f>
        <v>2023</v>
      </c>
      <c r="O1827" s="2" t="str">
        <f>TEXT(Table14[[#This Row],[Data_Wystawienia]],"rrrr-mm")</f>
        <v>2023-11</v>
      </c>
      <c r="P1827" s="2">
        <v>1</v>
      </c>
    </row>
    <row r="1828" spans="1:16" x14ac:dyDescent="0.3">
      <c r="A1828" s="2" t="str">
        <f>TRIM(Table1[[#This Row],[Numer_FV]])</f>
        <v>FV/M/3963/P/23</v>
      </c>
      <c r="B1828" s="2" t="str">
        <f>TRIM(Table1[[#This Row],[Numer_PZ]])</f>
        <v>PZ/801826</v>
      </c>
      <c r="C1828" s="2" t="str">
        <f>TRIM(Table1[[#This Row],[Dostawca]])</f>
        <v>MedicaPharm</v>
      </c>
      <c r="D1828" s="3">
        <v>45237</v>
      </c>
      <c r="E1828" s="4" t="s">
        <v>5397</v>
      </c>
      <c r="F1828" s="2" t="str">
        <f>TRIM(Table1[[#This Row],[Status]])</f>
        <v>Zaakceptowana</v>
      </c>
      <c r="G1828" s="2" t="str">
        <f>TRIM(Table1[[#This Row],[Typ]])</f>
        <v>Faktura VAT</v>
      </c>
      <c r="H1828" s="2" t="str">
        <f>TRIM(Table1[[#This Row],[Magazyn]])</f>
        <v>Apteka Szpitalna</v>
      </c>
      <c r="I1828" s="2" t="str">
        <f>TRIM(Table1[[#This Row],[Umowa]])</f>
        <v>UM-MED-01</v>
      </c>
      <c r="J1828" s="2" t="b">
        <f>ISTEXT(Table14[[#This Row],[Data_Wystawienia]])</f>
        <v>0</v>
      </c>
      <c r="K1828" s="2">
        <f>VALUE(SUBSTITUTE(Table14[[#This Row],[Wartość]],".",","))</f>
        <v>21794.01</v>
      </c>
      <c r="L18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8" s="2" t="str">
        <f>IF(Table14[[#This Row],[Umowa]]="","Poza umową","Z umowy")</f>
        <v>Z umowy</v>
      </c>
      <c r="N1828" s="2">
        <f>YEAR(Table14[[#This Row],[Data_Wystawienia]])</f>
        <v>2023</v>
      </c>
      <c r="O1828" s="2" t="str">
        <f>TEXT(Table14[[#This Row],[Data_Wystawienia]],"rrrr-mm")</f>
        <v>2023-11</v>
      </c>
      <c r="P1828" s="2">
        <v>1</v>
      </c>
    </row>
    <row r="1829" spans="1:16" x14ac:dyDescent="0.3">
      <c r="A1829" s="2" t="str">
        <f>TRIM(Table1[[#This Row],[Numer_FV]])</f>
        <v>FV/CENFA/751008/23</v>
      </c>
      <c r="B1829" s="2" t="str">
        <f>TRIM(Table1[[#This Row],[Numer_PZ]])</f>
        <v>PZ/801827</v>
      </c>
      <c r="C1829" s="2" t="str">
        <f>TRIM(Table1[[#This Row],[Dostawca]])</f>
        <v>CentrumFarm</v>
      </c>
      <c r="D1829" s="3">
        <v>45237</v>
      </c>
      <c r="E1829" s="4" t="s">
        <v>5400</v>
      </c>
      <c r="F1829" s="2" t="str">
        <f>TRIM(Table1[[#This Row],[Status]])</f>
        <v>Zaakceptowana</v>
      </c>
      <c r="G1829" s="2" t="str">
        <f>TRIM(Table1[[#This Row],[Typ]])</f>
        <v>Faktura VAT</v>
      </c>
      <c r="H1829" s="2" t="str">
        <f>TRIM(Table1[[#This Row],[Magazyn]])</f>
        <v>Apteka Szpitalna</v>
      </c>
      <c r="I1829" s="2" t="str">
        <f>TRIM(Table1[[#This Row],[Umowa]])</f>
        <v>UM-CEN-02</v>
      </c>
      <c r="J1829" s="2" t="b">
        <f>ISTEXT(Table14[[#This Row],[Data_Wystawienia]])</f>
        <v>0</v>
      </c>
      <c r="K1829" s="2">
        <f>VALUE(SUBSTITUTE(Table14[[#This Row],[Wartość]],".",","))</f>
        <v>6672.61</v>
      </c>
      <c r="L18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29" s="2" t="str">
        <f>IF(Table14[[#This Row],[Umowa]]="","Poza umową","Z umowy")</f>
        <v>Z umowy</v>
      </c>
      <c r="N1829" s="2">
        <f>YEAR(Table14[[#This Row],[Data_Wystawienia]])</f>
        <v>2023</v>
      </c>
      <c r="O1829" s="2" t="str">
        <f>TEXT(Table14[[#This Row],[Data_Wystawienia]],"rrrr-mm")</f>
        <v>2023-11</v>
      </c>
      <c r="P1829" s="2">
        <v>1</v>
      </c>
    </row>
    <row r="1830" spans="1:16" x14ac:dyDescent="0.3">
      <c r="A1830" s="2" t="str">
        <f>TRIM(Table1[[#This Row],[Numer_FV]])</f>
        <v>FV/1437HM/23</v>
      </c>
      <c r="B1830" s="2" t="str">
        <f>TRIM(Table1[[#This Row],[Numer_PZ]])</f>
        <v>PZ/801828</v>
      </c>
      <c r="C1830" s="2" t="str">
        <f>TRIM(Table1[[#This Row],[Dostawca]])</f>
        <v>HurtMedix</v>
      </c>
      <c r="D1830" s="3">
        <v>45237</v>
      </c>
      <c r="E1830" s="4" t="s">
        <v>5403</v>
      </c>
      <c r="F1830" s="2" t="str">
        <f>TRIM(Table1[[#This Row],[Status]])</f>
        <v>Zaakceptowana</v>
      </c>
      <c r="G1830" s="2" t="str">
        <f>TRIM(Table1[[#This Row],[Typ]])</f>
        <v>Faktura VAT</v>
      </c>
      <c r="H1830" s="2" t="str">
        <f>TRIM(Table1[[#This Row],[Magazyn]])</f>
        <v>Apteka Szpitalna</v>
      </c>
      <c r="I1830" s="2" t="str">
        <f>TRIM(Table1[[#This Row],[Umowa]])</f>
        <v>UM-HUR-01</v>
      </c>
      <c r="J1830" s="2" t="b">
        <f>ISTEXT(Table14[[#This Row],[Data_Wystawienia]])</f>
        <v>0</v>
      </c>
      <c r="K1830" s="2">
        <f>VALUE(SUBSTITUTE(Table14[[#This Row],[Wartość]],".",","))</f>
        <v>7218.34</v>
      </c>
      <c r="L18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0" s="2" t="str">
        <f>IF(Table14[[#This Row],[Umowa]]="","Poza umową","Z umowy")</f>
        <v>Z umowy</v>
      </c>
      <c r="N1830" s="2">
        <f>YEAR(Table14[[#This Row],[Data_Wystawienia]])</f>
        <v>2023</v>
      </c>
      <c r="O1830" s="2" t="str">
        <f>TEXT(Table14[[#This Row],[Data_Wystawienia]],"rrrr-mm")</f>
        <v>2023-11</v>
      </c>
      <c r="P1830" s="2">
        <v>1</v>
      </c>
    </row>
    <row r="1831" spans="1:16" x14ac:dyDescent="0.3">
      <c r="A1831" s="2" t="str">
        <f>TRIM(Table1[[#This Row],[Numer_FV]])</f>
        <v>FV/CENFA/869850/23</v>
      </c>
      <c r="B1831" s="2" t="str">
        <f>TRIM(Table1[[#This Row],[Numer_PZ]])</f>
        <v>PZ/801829</v>
      </c>
      <c r="C1831" s="2" t="str">
        <f>TRIM(Table1[[#This Row],[Dostawca]])</f>
        <v>CentrumFarm</v>
      </c>
      <c r="D1831" s="3">
        <v>45238</v>
      </c>
      <c r="E1831" s="4" t="s">
        <v>5406</v>
      </c>
      <c r="F1831" s="2" t="str">
        <f>TRIM(Table1[[#This Row],[Status]])</f>
        <v>Zaakceptowana</v>
      </c>
      <c r="G1831" s="2" t="str">
        <f>TRIM(Table1[[#This Row],[Typ]])</f>
        <v>Faktura VAT</v>
      </c>
      <c r="H1831" s="2" t="str">
        <f>TRIM(Table1[[#This Row],[Magazyn]])</f>
        <v>Apteka Szpitalna</v>
      </c>
      <c r="I1831" s="2" t="str">
        <f>TRIM(Table1[[#This Row],[Umowa]])</f>
        <v>UM-CEN-01</v>
      </c>
      <c r="J1831" s="2" t="b">
        <f>ISTEXT(Table14[[#This Row],[Data_Wystawienia]])</f>
        <v>0</v>
      </c>
      <c r="K1831" s="2">
        <f>VALUE(SUBSTITUTE(Table14[[#This Row],[Wartość]],".",","))</f>
        <v>6374.71</v>
      </c>
      <c r="L18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1" s="2" t="str">
        <f>IF(Table14[[#This Row],[Umowa]]="","Poza umową","Z umowy")</f>
        <v>Z umowy</v>
      </c>
      <c r="N1831" s="2">
        <f>YEAR(Table14[[#This Row],[Data_Wystawienia]])</f>
        <v>2023</v>
      </c>
      <c r="O1831" s="2" t="str">
        <f>TEXT(Table14[[#This Row],[Data_Wystawienia]],"rrrr-mm")</f>
        <v>2023-11</v>
      </c>
      <c r="P1831" s="2">
        <v>1</v>
      </c>
    </row>
    <row r="1832" spans="1:16" x14ac:dyDescent="0.3">
      <c r="A1832" s="2" t="str">
        <f>TRIM(Table1[[#This Row],[Numer_FV]])</f>
        <v>FV/81/SAL/23</v>
      </c>
      <c r="B1832" s="2" t="str">
        <f>TRIM(Table1[[#This Row],[Numer_PZ]])</f>
        <v>PZ/801830</v>
      </c>
      <c r="C1832" s="2" t="str">
        <f>TRIM(Table1[[#This Row],[Dostawca]])</f>
        <v>SalusHurt</v>
      </c>
      <c r="D1832" s="3">
        <v>45238</v>
      </c>
      <c r="E1832" s="4" t="s">
        <v>5408</v>
      </c>
      <c r="F1832" s="2" t="str">
        <f>TRIM(Table1[[#This Row],[Status]])</f>
        <v>Zaakceptowana</v>
      </c>
      <c r="G1832" s="2" t="str">
        <f>TRIM(Table1[[#This Row],[Typ]])</f>
        <v>Faktura VAT</v>
      </c>
      <c r="H1832" s="2" t="str">
        <f>TRIM(Table1[[#This Row],[Magazyn]])</f>
        <v>Apteka Szpitalna</v>
      </c>
      <c r="I1832" s="2" t="str">
        <f>TRIM(Table1[[#This Row],[Umowa]])</f>
        <v>UM-SAL-02</v>
      </c>
      <c r="J1832" s="2" t="b">
        <f>ISTEXT(Table14[[#This Row],[Data_Wystawienia]])</f>
        <v>0</v>
      </c>
      <c r="K1832" s="2">
        <f>VALUE(SUBSTITUTE(Table14[[#This Row],[Wartość]],".",","))</f>
        <v>9293.02</v>
      </c>
      <c r="L18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2" s="2" t="str">
        <f>IF(Table14[[#This Row],[Umowa]]="","Poza umową","Z umowy")</f>
        <v>Z umowy</v>
      </c>
      <c r="N1832" s="2">
        <f>YEAR(Table14[[#This Row],[Data_Wystawienia]])</f>
        <v>2023</v>
      </c>
      <c r="O1832" s="2" t="str">
        <f>TEXT(Table14[[#This Row],[Data_Wystawienia]],"rrrr-mm")</f>
        <v>2023-11</v>
      </c>
      <c r="P1832" s="2">
        <v>1</v>
      </c>
    </row>
    <row r="1833" spans="1:16" x14ac:dyDescent="0.3">
      <c r="A1833" s="2" t="str">
        <f>TRIM(Table1[[#This Row],[Numer_FV]])</f>
        <v>FV/M/5193/P/23</v>
      </c>
      <c r="B1833" s="2" t="str">
        <f>TRIM(Table1[[#This Row],[Numer_PZ]])</f>
        <v>PZ/801831</v>
      </c>
      <c r="C1833" s="2" t="str">
        <f>TRIM(Table1[[#This Row],[Dostawca]])</f>
        <v>MedicaPharm</v>
      </c>
      <c r="D1833" s="3">
        <v>45239</v>
      </c>
      <c r="E1833" s="4" t="s">
        <v>5411</v>
      </c>
      <c r="F1833" s="2" t="str">
        <f>TRIM(Table1[[#This Row],[Status]])</f>
        <v>Zaakceptowana</v>
      </c>
      <c r="G1833" s="2" t="str">
        <f>TRIM(Table1[[#This Row],[Typ]])</f>
        <v>Faktura VAT</v>
      </c>
      <c r="H1833" s="2" t="str">
        <f>TRIM(Table1[[#This Row],[Magazyn]])</f>
        <v>Apteka Szpitalna</v>
      </c>
      <c r="I1833" s="2" t="str">
        <f>TRIM(Table1[[#This Row],[Umowa]])</f>
        <v>UM-MED-01</v>
      </c>
      <c r="J1833" s="2" t="b">
        <f>ISTEXT(Table14[[#This Row],[Data_Wystawienia]])</f>
        <v>0</v>
      </c>
      <c r="K1833" s="2">
        <f>VALUE(SUBSTITUTE(Table14[[#This Row],[Wartość]],".",","))</f>
        <v>14609.96</v>
      </c>
      <c r="L18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3" s="2" t="str">
        <f>IF(Table14[[#This Row],[Umowa]]="","Poza umową","Z umowy")</f>
        <v>Z umowy</v>
      </c>
      <c r="N1833" s="2">
        <f>YEAR(Table14[[#This Row],[Data_Wystawienia]])</f>
        <v>2023</v>
      </c>
      <c r="O1833" s="2" t="str">
        <f>TEXT(Table14[[#This Row],[Data_Wystawienia]],"rrrr-mm")</f>
        <v>2023-11</v>
      </c>
      <c r="P1833" s="2">
        <v>1</v>
      </c>
    </row>
    <row r="1834" spans="1:16" x14ac:dyDescent="0.3">
      <c r="A1834" s="2" t="str">
        <f>TRIM(Table1[[#This Row],[Numer_FV]])</f>
        <v>FV/4545/NOVA/23</v>
      </c>
      <c r="B1834" s="2" t="str">
        <f>TRIM(Table1[[#This Row],[Numer_PZ]])</f>
        <v>PZ/801832</v>
      </c>
      <c r="C1834" s="2" t="str">
        <f>TRIM(Table1[[#This Row],[Dostawca]])</f>
        <v>NovaLek</v>
      </c>
      <c r="D1834" s="3">
        <v>45239</v>
      </c>
      <c r="E1834" s="4" t="s">
        <v>5414</v>
      </c>
      <c r="F1834" s="2" t="str">
        <f>TRIM(Table1[[#This Row],[Status]])</f>
        <v>Zaakceptowana</v>
      </c>
      <c r="G1834" s="2" t="str">
        <f>TRIM(Table1[[#This Row],[Typ]])</f>
        <v>Faktura VAT</v>
      </c>
      <c r="H1834" s="2" t="str">
        <f>TRIM(Table1[[#This Row],[Magazyn]])</f>
        <v>Apteka Szpitalna</v>
      </c>
      <c r="I1834" s="2" t="str">
        <f>TRIM(Table1[[#This Row],[Umowa]])</f>
        <v>UM-NOV-03</v>
      </c>
      <c r="J1834" s="2" t="b">
        <f>ISTEXT(Table14[[#This Row],[Data_Wystawienia]])</f>
        <v>0</v>
      </c>
      <c r="K1834" s="2">
        <f>VALUE(SUBSTITUTE(Table14[[#This Row],[Wartość]],".",","))</f>
        <v>17432.48</v>
      </c>
      <c r="L18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4" s="2" t="str">
        <f>IF(Table14[[#This Row],[Umowa]]="","Poza umową","Z umowy")</f>
        <v>Z umowy</v>
      </c>
      <c r="N1834" s="2">
        <f>YEAR(Table14[[#This Row],[Data_Wystawienia]])</f>
        <v>2023</v>
      </c>
      <c r="O1834" s="2" t="str">
        <f>TEXT(Table14[[#This Row],[Data_Wystawienia]],"rrrr-mm")</f>
        <v>2023-11</v>
      </c>
      <c r="P1834" s="2">
        <v>1</v>
      </c>
    </row>
    <row r="1835" spans="1:16" x14ac:dyDescent="0.3">
      <c r="A1835" s="2" t="str">
        <f>TRIM(Table1[[#This Row],[Numer_FV]])</f>
        <v>FV/M/8713/P/23</v>
      </c>
      <c r="B1835" s="2" t="str">
        <f>TRIM(Table1[[#This Row],[Numer_PZ]])</f>
        <v>PZ/801833</v>
      </c>
      <c r="C1835" s="2" t="str">
        <f>TRIM(Table1[[#This Row],[Dostawca]])</f>
        <v>MedicaPharm</v>
      </c>
      <c r="D1835" s="3">
        <v>45240</v>
      </c>
      <c r="E1835" s="4" t="s">
        <v>5417</v>
      </c>
      <c r="F1835" s="2" t="str">
        <f>TRIM(Table1[[#This Row],[Status]])</f>
        <v>Zaakceptowana</v>
      </c>
      <c r="G1835" s="2" t="str">
        <f>TRIM(Table1[[#This Row],[Typ]])</f>
        <v>Faktura VAT</v>
      </c>
      <c r="H1835" s="2" t="str">
        <f>TRIM(Table1[[#This Row],[Magazyn]])</f>
        <v>Apteka Szpitalna</v>
      </c>
      <c r="I1835" s="2" t="str">
        <f>TRIM(Table1[[#This Row],[Umowa]])</f>
        <v>UM-MED-02</v>
      </c>
      <c r="J1835" s="2" t="b">
        <f>ISTEXT(Table14[[#This Row],[Data_Wystawienia]])</f>
        <v>0</v>
      </c>
      <c r="K1835" s="2">
        <f>VALUE(SUBSTITUTE(Table14[[#This Row],[Wartość]],".",","))</f>
        <v>7044.08</v>
      </c>
      <c r="L18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5" s="2" t="str">
        <f>IF(Table14[[#This Row],[Umowa]]="","Poza umową","Z umowy")</f>
        <v>Z umowy</v>
      </c>
      <c r="N1835" s="2">
        <f>YEAR(Table14[[#This Row],[Data_Wystawienia]])</f>
        <v>2023</v>
      </c>
      <c r="O1835" s="2" t="str">
        <f>TEXT(Table14[[#This Row],[Data_Wystawienia]],"rrrr-mm")</f>
        <v>2023-11</v>
      </c>
      <c r="P1835" s="2">
        <v>1</v>
      </c>
    </row>
    <row r="1836" spans="1:16" x14ac:dyDescent="0.3">
      <c r="A1836" s="2" t="str">
        <f>TRIM(Table1[[#This Row],[Numer_FV]])</f>
        <v>FV/48/SAL/23</v>
      </c>
      <c r="B1836" s="2" t="str">
        <f>TRIM(Table1[[#This Row],[Numer_PZ]])</f>
        <v>PZ/801834</v>
      </c>
      <c r="C1836" s="2" t="str">
        <f>TRIM(Table1[[#This Row],[Dostawca]])</f>
        <v>SalusHurt</v>
      </c>
      <c r="D1836" s="3">
        <v>45240</v>
      </c>
      <c r="E1836" s="4" t="s">
        <v>5419</v>
      </c>
      <c r="F1836" s="2" t="str">
        <f>TRIM(Table1[[#This Row],[Status]])</f>
        <v>Zaakceptowana</v>
      </c>
      <c r="G1836" s="2" t="str">
        <f>TRIM(Table1[[#This Row],[Typ]])</f>
        <v>Faktura VAT</v>
      </c>
      <c r="H1836" s="2" t="str">
        <f>TRIM(Table1[[#This Row],[Magazyn]])</f>
        <v>Apteka Szpitalna</v>
      </c>
      <c r="I1836" s="2" t="str">
        <f>TRIM(Table1[[#This Row],[Umowa]])</f>
        <v>UM-SAL-02</v>
      </c>
      <c r="J1836" s="2" t="b">
        <f>ISTEXT(Table14[[#This Row],[Data_Wystawienia]])</f>
        <v>0</v>
      </c>
      <c r="K1836" s="2">
        <f>VALUE(SUBSTITUTE(Table14[[#This Row],[Wartość]],".",","))</f>
        <v>16656.330000000002</v>
      </c>
      <c r="L18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6" s="2" t="str">
        <f>IF(Table14[[#This Row],[Umowa]]="","Poza umową","Z umowy")</f>
        <v>Z umowy</v>
      </c>
      <c r="N1836" s="2">
        <f>YEAR(Table14[[#This Row],[Data_Wystawienia]])</f>
        <v>2023</v>
      </c>
      <c r="O1836" s="2" t="str">
        <f>TEXT(Table14[[#This Row],[Data_Wystawienia]],"rrrr-mm")</f>
        <v>2023-11</v>
      </c>
      <c r="P1836" s="2">
        <v>1</v>
      </c>
    </row>
    <row r="1837" spans="1:16" x14ac:dyDescent="0.3">
      <c r="A1837" s="2" t="str">
        <f>TRIM(Table1[[#This Row],[Numer_FV]])</f>
        <v>FV/M/2494/P/23</v>
      </c>
      <c r="B1837" s="2" t="str">
        <f>TRIM(Table1[[#This Row],[Numer_PZ]])</f>
        <v>PZ/801835</v>
      </c>
      <c r="C1837" s="2" t="str">
        <f>TRIM(Table1[[#This Row],[Dostawca]])</f>
        <v>MedicaPharm</v>
      </c>
      <c r="D1837" s="3">
        <v>45240</v>
      </c>
      <c r="E1837" s="4" t="s">
        <v>5422</v>
      </c>
      <c r="F1837" s="2" t="str">
        <f>TRIM(Table1[[#This Row],[Status]])</f>
        <v>Zaakceptowana</v>
      </c>
      <c r="G1837" s="2" t="str">
        <f>TRIM(Table1[[#This Row],[Typ]])</f>
        <v>Faktura VAT</v>
      </c>
      <c r="H1837" s="2" t="str">
        <f>TRIM(Table1[[#This Row],[Magazyn]])</f>
        <v>Apteka Szpitalna</v>
      </c>
      <c r="I1837" s="2" t="str">
        <f>TRIM(Table1[[#This Row],[Umowa]])</f>
        <v>UM-MED-01</v>
      </c>
      <c r="J1837" s="2" t="b">
        <f>ISTEXT(Table14[[#This Row],[Data_Wystawienia]])</f>
        <v>0</v>
      </c>
      <c r="K1837" s="2">
        <f>VALUE(SUBSTITUTE(Table14[[#This Row],[Wartość]],".",","))</f>
        <v>12713.95</v>
      </c>
      <c r="L18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7" s="2" t="str">
        <f>IF(Table14[[#This Row],[Umowa]]="","Poza umową","Z umowy")</f>
        <v>Z umowy</v>
      </c>
      <c r="N1837" s="2">
        <f>YEAR(Table14[[#This Row],[Data_Wystawienia]])</f>
        <v>2023</v>
      </c>
      <c r="O1837" s="2" t="str">
        <f>TEXT(Table14[[#This Row],[Data_Wystawienia]],"rrrr-mm")</f>
        <v>2023-11</v>
      </c>
      <c r="P1837" s="2">
        <v>1</v>
      </c>
    </row>
    <row r="1838" spans="1:16" x14ac:dyDescent="0.3">
      <c r="A1838" s="2" t="str">
        <f>TRIM(Table1[[#This Row],[Numer_FV]])</f>
        <v>FV/89/SAL/23</v>
      </c>
      <c r="B1838" s="2" t="str">
        <f>TRIM(Table1[[#This Row],[Numer_PZ]])</f>
        <v>PZ/801836</v>
      </c>
      <c r="C1838" s="2" t="str">
        <f>TRIM(Table1[[#This Row],[Dostawca]])</f>
        <v>SalusHurt</v>
      </c>
      <c r="D1838" s="3">
        <v>45240</v>
      </c>
      <c r="E1838" s="4" t="s">
        <v>5425</v>
      </c>
      <c r="F1838" s="2" t="str">
        <f>TRIM(Table1[[#This Row],[Status]])</f>
        <v>Zaakceptowana</v>
      </c>
      <c r="G1838" s="2" t="str">
        <f>TRIM(Table1[[#This Row],[Typ]])</f>
        <v>Faktura VAT</v>
      </c>
      <c r="H1838" s="2" t="str">
        <f>TRIM(Table1[[#This Row],[Magazyn]])</f>
        <v>Apteka Szpitalna</v>
      </c>
      <c r="I1838" s="2" t="str">
        <f>TRIM(Table1[[#This Row],[Umowa]])</f>
        <v/>
      </c>
      <c r="J1838" s="2" t="b">
        <f>ISTEXT(Table14[[#This Row],[Data_Wystawienia]])</f>
        <v>0</v>
      </c>
      <c r="K1838" s="2">
        <f>VALUE(SUBSTITUTE(Table14[[#This Row],[Wartość]],".",","))</f>
        <v>19018.96</v>
      </c>
      <c r="L18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8" s="2" t="str">
        <f>IF(Table14[[#This Row],[Umowa]]="","Poza umową","Z umowy")</f>
        <v>Poza umową</v>
      </c>
      <c r="N1838" s="2">
        <f>YEAR(Table14[[#This Row],[Data_Wystawienia]])</f>
        <v>2023</v>
      </c>
      <c r="O1838" s="2" t="str">
        <f>TEXT(Table14[[#This Row],[Data_Wystawienia]],"rrrr-mm")</f>
        <v>2023-11</v>
      </c>
      <c r="P1838" s="2">
        <v>1</v>
      </c>
    </row>
    <row r="1839" spans="1:16" x14ac:dyDescent="0.3">
      <c r="A1839" s="2" t="str">
        <f>TRIM(Table1[[#This Row],[Numer_FV]])</f>
        <v>FV/CENFA/671402/23</v>
      </c>
      <c r="B1839" s="2" t="str">
        <f>TRIM(Table1[[#This Row],[Numer_PZ]])</f>
        <v>PZ/801837</v>
      </c>
      <c r="C1839" s="2" t="str">
        <f>TRIM(Table1[[#This Row],[Dostawca]])</f>
        <v>CentrumFarm</v>
      </c>
      <c r="D1839" s="3">
        <v>45240</v>
      </c>
      <c r="E1839" s="4" t="s">
        <v>5428</v>
      </c>
      <c r="F1839" s="2" t="str">
        <f>TRIM(Table1[[#This Row],[Status]])</f>
        <v>Zaakceptowana</v>
      </c>
      <c r="G1839" s="2" t="str">
        <f>TRIM(Table1[[#This Row],[Typ]])</f>
        <v>Faktura VAT</v>
      </c>
      <c r="H1839" s="2" t="str">
        <f>TRIM(Table1[[#This Row],[Magazyn]])</f>
        <v>Apteka Szpitalna</v>
      </c>
      <c r="I1839" s="2" t="str">
        <f>TRIM(Table1[[#This Row],[Umowa]])</f>
        <v>UM-CEN-02</v>
      </c>
      <c r="J1839" s="2" t="b">
        <f>ISTEXT(Table14[[#This Row],[Data_Wystawienia]])</f>
        <v>0</v>
      </c>
      <c r="K1839" s="2">
        <f>VALUE(SUBSTITUTE(Table14[[#This Row],[Wartość]],".",","))</f>
        <v>16905.689999999999</v>
      </c>
      <c r="L18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39" s="2" t="str">
        <f>IF(Table14[[#This Row],[Umowa]]="","Poza umową","Z umowy")</f>
        <v>Z umowy</v>
      </c>
      <c r="N1839" s="2">
        <f>YEAR(Table14[[#This Row],[Data_Wystawienia]])</f>
        <v>2023</v>
      </c>
      <c r="O1839" s="2" t="str">
        <f>TEXT(Table14[[#This Row],[Data_Wystawienia]],"rrrr-mm")</f>
        <v>2023-11</v>
      </c>
      <c r="P1839" s="2">
        <v>1</v>
      </c>
    </row>
    <row r="1840" spans="1:16" x14ac:dyDescent="0.3">
      <c r="A1840" s="2" t="str">
        <f>TRIM(Table1[[#This Row],[Numer_FV]])</f>
        <v>FV/POL/54348/2023</v>
      </c>
      <c r="B1840" s="2" t="str">
        <f>TRIM(Table1[[#This Row],[Numer_PZ]])</f>
        <v>PZ/801838</v>
      </c>
      <c r="C1840" s="2" t="str">
        <f>TRIM(Table1[[#This Row],[Dostawca]])</f>
        <v>Polmedica</v>
      </c>
      <c r="D1840" s="3">
        <v>45240</v>
      </c>
      <c r="E1840" s="4" t="s">
        <v>5431</v>
      </c>
      <c r="F1840" s="2" t="str">
        <f>TRIM(Table1[[#This Row],[Status]])</f>
        <v>Zaakceptowana</v>
      </c>
      <c r="G1840" s="2" t="str">
        <f>TRIM(Table1[[#This Row],[Typ]])</f>
        <v>Faktura VAT</v>
      </c>
      <c r="H1840" s="2" t="str">
        <f>TRIM(Table1[[#This Row],[Magazyn]])</f>
        <v>Apteka Szpitalna</v>
      </c>
      <c r="I1840" s="2" t="str">
        <f>TRIM(Table1[[#This Row],[Umowa]])</f>
        <v>UM-POL-03</v>
      </c>
      <c r="J1840" s="2" t="b">
        <f>ISTEXT(Table14[[#This Row],[Data_Wystawienia]])</f>
        <v>0</v>
      </c>
      <c r="K1840" s="2">
        <f>VALUE(SUBSTITUTE(Table14[[#This Row],[Wartość]],".",","))</f>
        <v>21529.5</v>
      </c>
      <c r="L18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0" s="2" t="str">
        <f>IF(Table14[[#This Row],[Umowa]]="","Poza umową","Z umowy")</f>
        <v>Z umowy</v>
      </c>
      <c r="N1840" s="2">
        <f>YEAR(Table14[[#This Row],[Data_Wystawienia]])</f>
        <v>2023</v>
      </c>
      <c r="O1840" s="2" t="str">
        <f>TEXT(Table14[[#This Row],[Data_Wystawienia]],"rrrr-mm")</f>
        <v>2023-11</v>
      </c>
      <c r="P1840" s="2">
        <v>1</v>
      </c>
    </row>
    <row r="1841" spans="1:16" x14ac:dyDescent="0.3">
      <c r="A1841" s="2" t="str">
        <f>TRIM(Table1[[#This Row],[Numer_FV]])</f>
        <v>FV/7048HM/23</v>
      </c>
      <c r="B1841" s="2" t="str">
        <f>TRIM(Table1[[#This Row],[Numer_PZ]])</f>
        <v>PZ/801839</v>
      </c>
      <c r="C1841" s="2" t="str">
        <f>TRIM(Table1[[#This Row],[Dostawca]])</f>
        <v>HurtMedix</v>
      </c>
      <c r="D1841" s="3">
        <v>45241</v>
      </c>
      <c r="E1841" s="4" t="s">
        <v>5434</v>
      </c>
      <c r="F1841" s="2" t="str">
        <f>TRIM(Table1[[#This Row],[Status]])</f>
        <v>Zaakceptowana</v>
      </c>
      <c r="G1841" s="2" t="str">
        <f>TRIM(Table1[[#This Row],[Typ]])</f>
        <v>Faktura VAT</v>
      </c>
      <c r="H1841" s="2" t="str">
        <f>TRIM(Table1[[#This Row],[Magazyn]])</f>
        <v>Apteka Szpitalna</v>
      </c>
      <c r="I1841" s="2" t="str">
        <f>TRIM(Table1[[#This Row],[Umowa]])</f>
        <v>UM-HUR-02</v>
      </c>
      <c r="J1841" s="2" t="b">
        <f>ISTEXT(Table14[[#This Row],[Data_Wystawienia]])</f>
        <v>0</v>
      </c>
      <c r="K1841" s="2">
        <f>VALUE(SUBSTITUTE(Table14[[#This Row],[Wartość]],".",","))</f>
        <v>16564.560000000001</v>
      </c>
      <c r="L18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1" s="2" t="str">
        <f>IF(Table14[[#This Row],[Umowa]]="","Poza umową","Z umowy")</f>
        <v>Z umowy</v>
      </c>
      <c r="N1841" s="2">
        <f>YEAR(Table14[[#This Row],[Data_Wystawienia]])</f>
        <v>2023</v>
      </c>
      <c r="O1841" s="2" t="str">
        <f>TEXT(Table14[[#This Row],[Data_Wystawienia]],"rrrr-mm")</f>
        <v>2023-11</v>
      </c>
      <c r="P1841" s="2">
        <v>1</v>
      </c>
    </row>
    <row r="1842" spans="1:16" x14ac:dyDescent="0.3">
      <c r="A1842" s="2" t="str">
        <f>TRIM(Table1[[#This Row],[Numer_FV]])</f>
        <v>FV/POL/99188/2023</v>
      </c>
      <c r="B1842" s="2" t="str">
        <f>TRIM(Table1[[#This Row],[Numer_PZ]])</f>
        <v>PZ/801840</v>
      </c>
      <c r="C1842" s="2" t="str">
        <f>TRIM(Table1[[#This Row],[Dostawca]])</f>
        <v>Polmedica</v>
      </c>
      <c r="D1842" s="3">
        <v>45241</v>
      </c>
      <c r="E1842" s="4" t="s">
        <v>5437</v>
      </c>
      <c r="F1842" s="2" t="str">
        <f>TRIM(Table1[[#This Row],[Status]])</f>
        <v>Zaakceptowana</v>
      </c>
      <c r="G1842" s="2" t="str">
        <f>TRIM(Table1[[#This Row],[Typ]])</f>
        <v>Faktura VAT</v>
      </c>
      <c r="H1842" s="2" t="str">
        <f>TRIM(Table1[[#This Row],[Magazyn]])</f>
        <v>Apteka Szpitalna</v>
      </c>
      <c r="I1842" s="2" t="str">
        <f>TRIM(Table1[[#This Row],[Umowa]])</f>
        <v/>
      </c>
      <c r="J1842" s="2" t="b">
        <f>ISTEXT(Table14[[#This Row],[Data_Wystawienia]])</f>
        <v>0</v>
      </c>
      <c r="K1842" s="2">
        <f>VALUE(SUBSTITUTE(Table14[[#This Row],[Wartość]],".",","))</f>
        <v>8363.33</v>
      </c>
      <c r="L18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2" s="2" t="str">
        <f>IF(Table14[[#This Row],[Umowa]]="","Poza umową","Z umowy")</f>
        <v>Poza umową</v>
      </c>
      <c r="N1842" s="2">
        <f>YEAR(Table14[[#This Row],[Data_Wystawienia]])</f>
        <v>2023</v>
      </c>
      <c r="O1842" s="2" t="str">
        <f>TEXT(Table14[[#This Row],[Data_Wystawienia]],"rrrr-mm")</f>
        <v>2023-11</v>
      </c>
      <c r="P1842" s="2">
        <v>1</v>
      </c>
    </row>
    <row r="1843" spans="1:16" x14ac:dyDescent="0.3">
      <c r="A1843" s="2" t="str">
        <f>TRIM(Table1[[#This Row],[Numer_FV]])</f>
        <v>FV/4730HM/23</v>
      </c>
      <c r="B1843" s="2" t="str">
        <f>TRIM(Table1[[#This Row],[Numer_PZ]])</f>
        <v>PZ/801841</v>
      </c>
      <c r="C1843" s="2" t="str">
        <f>TRIM(Table1[[#This Row],[Dostawca]])</f>
        <v>HurtMedix</v>
      </c>
      <c r="D1843" s="3">
        <v>45242</v>
      </c>
      <c r="E1843" s="4" t="s">
        <v>5440</v>
      </c>
      <c r="F1843" s="2" t="str">
        <f>TRIM(Table1[[#This Row],[Status]])</f>
        <v>Zaakceptowana</v>
      </c>
      <c r="G1843" s="2" t="str">
        <f>TRIM(Table1[[#This Row],[Typ]])</f>
        <v>Faktura VAT</v>
      </c>
      <c r="H1843" s="2" t="str">
        <f>TRIM(Table1[[#This Row],[Magazyn]])</f>
        <v>Apteka Szpitalna</v>
      </c>
      <c r="I1843" s="2" t="str">
        <f>TRIM(Table1[[#This Row],[Umowa]])</f>
        <v>UM-HUR-02</v>
      </c>
      <c r="J1843" s="2" t="b">
        <f>ISTEXT(Table14[[#This Row],[Data_Wystawienia]])</f>
        <v>0</v>
      </c>
      <c r="K1843" s="2">
        <f>VALUE(SUBSTITUTE(Table14[[#This Row],[Wartość]],".",","))</f>
        <v>18846.07</v>
      </c>
      <c r="L18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3" s="2" t="str">
        <f>IF(Table14[[#This Row],[Umowa]]="","Poza umową","Z umowy")</f>
        <v>Z umowy</v>
      </c>
      <c r="N1843" s="2">
        <f>YEAR(Table14[[#This Row],[Data_Wystawienia]])</f>
        <v>2023</v>
      </c>
      <c r="O1843" s="2" t="str">
        <f>TEXT(Table14[[#This Row],[Data_Wystawienia]],"rrrr-mm")</f>
        <v>2023-11</v>
      </c>
      <c r="P1843" s="2">
        <v>1</v>
      </c>
    </row>
    <row r="1844" spans="1:16" x14ac:dyDescent="0.3">
      <c r="A1844" s="2" t="str">
        <f>TRIM(Table1[[#This Row],[Numer_FV]])</f>
        <v>FV/M/3791/P/23</v>
      </c>
      <c r="B1844" s="2" t="str">
        <f>TRIM(Table1[[#This Row],[Numer_PZ]])</f>
        <v>PZ/801842</v>
      </c>
      <c r="C1844" s="2" t="str">
        <f>TRIM(Table1[[#This Row],[Dostawca]])</f>
        <v>MedicaPharm</v>
      </c>
      <c r="D1844" s="3">
        <v>45243</v>
      </c>
      <c r="E1844" s="4" t="s">
        <v>5443</v>
      </c>
      <c r="F1844" s="2" t="str">
        <f>TRIM(Table1[[#This Row],[Status]])</f>
        <v>Zaakceptowana</v>
      </c>
      <c r="G1844" s="2" t="str">
        <f>TRIM(Table1[[#This Row],[Typ]])</f>
        <v>Faktura VAT</v>
      </c>
      <c r="H1844" s="2" t="str">
        <f>TRIM(Table1[[#This Row],[Magazyn]])</f>
        <v>Apteka Szpitalna</v>
      </c>
      <c r="I1844" s="2" t="str">
        <f>TRIM(Table1[[#This Row],[Umowa]])</f>
        <v>UM-MED-01</v>
      </c>
      <c r="J1844" s="2" t="b">
        <f>ISTEXT(Table14[[#This Row],[Data_Wystawienia]])</f>
        <v>0</v>
      </c>
      <c r="K1844" s="2">
        <f>VALUE(SUBSTITUTE(Table14[[#This Row],[Wartość]],".",","))</f>
        <v>20144.11</v>
      </c>
      <c r="L18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4" s="2" t="str">
        <f>IF(Table14[[#This Row],[Umowa]]="","Poza umową","Z umowy")</f>
        <v>Z umowy</v>
      </c>
      <c r="N1844" s="2">
        <f>YEAR(Table14[[#This Row],[Data_Wystawienia]])</f>
        <v>2023</v>
      </c>
      <c r="O1844" s="2" t="str">
        <f>TEXT(Table14[[#This Row],[Data_Wystawienia]],"rrrr-mm")</f>
        <v>2023-11</v>
      </c>
      <c r="P1844" s="2">
        <v>1</v>
      </c>
    </row>
    <row r="1845" spans="1:16" x14ac:dyDescent="0.3">
      <c r="A1845" s="2" t="str">
        <f>TRIM(Table1[[#This Row],[Numer_FV]])</f>
        <v>FV/CENFA/942805/23</v>
      </c>
      <c r="B1845" s="2" t="str">
        <f>TRIM(Table1[[#This Row],[Numer_PZ]])</f>
        <v>PZ/801843</v>
      </c>
      <c r="C1845" s="2" t="str">
        <f>TRIM(Table1[[#This Row],[Dostawca]])</f>
        <v>CentrumFarm</v>
      </c>
      <c r="D1845" s="3">
        <v>45243</v>
      </c>
      <c r="E1845" s="4" t="s">
        <v>5446</v>
      </c>
      <c r="F1845" s="2" t="str">
        <f>TRIM(Table1[[#This Row],[Status]])</f>
        <v>Zaakceptowana</v>
      </c>
      <c r="G1845" s="2" t="str">
        <f>TRIM(Table1[[#This Row],[Typ]])</f>
        <v>Faktura VAT</v>
      </c>
      <c r="H1845" s="2" t="str">
        <f>TRIM(Table1[[#This Row],[Magazyn]])</f>
        <v>Apteka Szpitalna</v>
      </c>
      <c r="I1845" s="2" t="str">
        <f>TRIM(Table1[[#This Row],[Umowa]])</f>
        <v>UM-CEN-02</v>
      </c>
      <c r="J1845" s="2" t="b">
        <f>ISTEXT(Table14[[#This Row],[Data_Wystawienia]])</f>
        <v>0</v>
      </c>
      <c r="K1845" s="2">
        <f>VALUE(SUBSTITUTE(Table14[[#This Row],[Wartość]],".",","))</f>
        <v>9784.8700000000008</v>
      </c>
      <c r="L18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5" s="2" t="str">
        <f>IF(Table14[[#This Row],[Umowa]]="","Poza umową","Z umowy")</f>
        <v>Z umowy</v>
      </c>
      <c r="N1845" s="2">
        <f>YEAR(Table14[[#This Row],[Data_Wystawienia]])</f>
        <v>2023</v>
      </c>
      <c r="O1845" s="2" t="str">
        <f>TEXT(Table14[[#This Row],[Data_Wystawienia]],"rrrr-mm")</f>
        <v>2023-11</v>
      </c>
      <c r="P1845" s="2">
        <v>1</v>
      </c>
    </row>
    <row r="1846" spans="1:16" x14ac:dyDescent="0.3">
      <c r="A1846" s="2" t="str">
        <f>TRIM(Table1[[#This Row],[Numer_FV]])</f>
        <v>FV/5916/NOVA/23</v>
      </c>
      <c r="B1846" s="2" t="str">
        <f>TRIM(Table1[[#This Row],[Numer_PZ]])</f>
        <v>PZ/801844</v>
      </c>
      <c r="C1846" s="2" t="str">
        <f>TRIM(Table1[[#This Row],[Dostawca]])</f>
        <v>NovaLek</v>
      </c>
      <c r="D1846" s="3">
        <v>45243</v>
      </c>
      <c r="E1846" s="4" t="s">
        <v>5449</v>
      </c>
      <c r="F1846" s="2" t="str">
        <f>TRIM(Table1[[#This Row],[Status]])</f>
        <v>Zaakceptowana</v>
      </c>
      <c r="G1846" s="2" t="str">
        <f>TRIM(Table1[[#This Row],[Typ]])</f>
        <v>Faktura VAT</v>
      </c>
      <c r="H1846" s="2" t="str">
        <f>TRIM(Table1[[#This Row],[Magazyn]])</f>
        <v>Apteka Szpitalna</v>
      </c>
      <c r="I1846" s="2" t="str">
        <f>TRIM(Table1[[#This Row],[Umowa]])</f>
        <v>UM-NOV-02</v>
      </c>
      <c r="J1846" s="2" t="b">
        <f>ISTEXT(Table14[[#This Row],[Data_Wystawienia]])</f>
        <v>0</v>
      </c>
      <c r="K1846" s="2">
        <f>VALUE(SUBSTITUTE(Table14[[#This Row],[Wartość]],".",","))</f>
        <v>17606.41</v>
      </c>
      <c r="L18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6" s="2" t="str">
        <f>IF(Table14[[#This Row],[Umowa]]="","Poza umową","Z umowy")</f>
        <v>Z umowy</v>
      </c>
      <c r="N1846" s="2">
        <f>YEAR(Table14[[#This Row],[Data_Wystawienia]])</f>
        <v>2023</v>
      </c>
      <c r="O1846" s="2" t="str">
        <f>TEXT(Table14[[#This Row],[Data_Wystawienia]],"rrrr-mm")</f>
        <v>2023-11</v>
      </c>
      <c r="P1846" s="2">
        <v>1</v>
      </c>
    </row>
    <row r="1847" spans="1:16" x14ac:dyDescent="0.3">
      <c r="A1847" s="2" t="str">
        <f>TRIM(Table1[[#This Row],[Numer_FV]])</f>
        <v>FV/48/PP/7217/23</v>
      </c>
      <c r="B1847" s="2" t="str">
        <f>TRIM(Table1[[#This Row],[Numer_PZ]])</f>
        <v>PZ/801845</v>
      </c>
      <c r="C1847" s="2" t="str">
        <f>TRIM(Table1[[#This Row],[Dostawca]])</f>
        <v>PharmaPlus</v>
      </c>
      <c r="D1847" s="3">
        <v>45244</v>
      </c>
      <c r="E1847" s="4" t="s">
        <v>5452</v>
      </c>
      <c r="F1847" s="2" t="str">
        <f>TRIM(Table1[[#This Row],[Status]])</f>
        <v>Zaakceptowana</v>
      </c>
      <c r="G1847" s="2" t="str">
        <f>TRIM(Table1[[#This Row],[Typ]])</f>
        <v>Faktura VAT</v>
      </c>
      <c r="H1847" s="2" t="str">
        <f>TRIM(Table1[[#This Row],[Magazyn]])</f>
        <v>Apteka Szpitalna</v>
      </c>
      <c r="I1847" s="2" t="str">
        <f>TRIM(Table1[[#This Row],[Umowa]])</f>
        <v>UM-PHA-02</v>
      </c>
      <c r="J1847" s="2" t="b">
        <f>ISTEXT(Table14[[#This Row],[Data_Wystawienia]])</f>
        <v>0</v>
      </c>
      <c r="K1847" s="2">
        <f>VALUE(SUBSTITUTE(Table14[[#This Row],[Wartość]],".",","))</f>
        <v>11335.87</v>
      </c>
      <c r="L18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7" s="2" t="str">
        <f>IF(Table14[[#This Row],[Umowa]]="","Poza umową","Z umowy")</f>
        <v>Z umowy</v>
      </c>
      <c r="N1847" s="2">
        <f>YEAR(Table14[[#This Row],[Data_Wystawienia]])</f>
        <v>2023</v>
      </c>
      <c r="O1847" s="2" t="str">
        <f>TEXT(Table14[[#This Row],[Data_Wystawienia]],"rrrr-mm")</f>
        <v>2023-11</v>
      </c>
      <c r="P1847" s="2">
        <v>1</v>
      </c>
    </row>
    <row r="1848" spans="1:16" x14ac:dyDescent="0.3">
      <c r="A1848" s="2" t="str">
        <f>TRIM(Table1[[#This Row],[Numer_FV]])</f>
        <v>FV/99/SAL/23</v>
      </c>
      <c r="B1848" s="2" t="str">
        <f>TRIM(Table1[[#This Row],[Numer_PZ]])</f>
        <v>PZ/801846</v>
      </c>
      <c r="C1848" s="2" t="str">
        <f>TRIM(Table1[[#This Row],[Dostawca]])</f>
        <v>SalusHurt</v>
      </c>
      <c r="D1848" s="3">
        <v>45244</v>
      </c>
      <c r="E1848" s="4" t="s">
        <v>5454</v>
      </c>
      <c r="F1848" s="2" t="str">
        <f>TRIM(Table1[[#This Row],[Status]])</f>
        <v>Zaakceptowana</v>
      </c>
      <c r="G1848" s="2" t="str">
        <f>TRIM(Table1[[#This Row],[Typ]])</f>
        <v>Faktura VAT</v>
      </c>
      <c r="H1848" s="2" t="str">
        <f>TRIM(Table1[[#This Row],[Magazyn]])</f>
        <v>Apteka Szpitalna</v>
      </c>
      <c r="I1848" s="2" t="str">
        <f>TRIM(Table1[[#This Row],[Umowa]])</f>
        <v>UM-SAL-01</v>
      </c>
      <c r="J1848" s="2" t="b">
        <f>ISTEXT(Table14[[#This Row],[Data_Wystawienia]])</f>
        <v>0</v>
      </c>
      <c r="K1848" s="2">
        <f>VALUE(SUBSTITUTE(Table14[[#This Row],[Wartość]],".",","))</f>
        <v>10737.3</v>
      </c>
      <c r="L18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8" s="2" t="str">
        <f>IF(Table14[[#This Row],[Umowa]]="","Poza umową","Z umowy")</f>
        <v>Z umowy</v>
      </c>
      <c r="N1848" s="2">
        <f>YEAR(Table14[[#This Row],[Data_Wystawienia]])</f>
        <v>2023</v>
      </c>
      <c r="O1848" s="2" t="str">
        <f>TEXT(Table14[[#This Row],[Data_Wystawienia]],"rrrr-mm")</f>
        <v>2023-11</v>
      </c>
      <c r="P1848" s="2">
        <v>1</v>
      </c>
    </row>
    <row r="1849" spans="1:16" x14ac:dyDescent="0.3">
      <c r="A1849" s="2" t="str">
        <f>TRIM(Table1[[#This Row],[Numer_FV]])</f>
        <v>FV/8707HM/23</v>
      </c>
      <c r="B1849" s="2" t="str">
        <f>TRIM(Table1[[#This Row],[Numer_PZ]])</f>
        <v>PZ/801847</v>
      </c>
      <c r="C1849" s="2" t="str">
        <f>TRIM(Table1[[#This Row],[Dostawca]])</f>
        <v>HurtMedix</v>
      </c>
      <c r="D1849" s="3">
        <v>45244</v>
      </c>
      <c r="E1849" s="4" t="s">
        <v>5457</v>
      </c>
      <c r="F1849" s="2" t="str">
        <f>TRIM(Table1[[#This Row],[Status]])</f>
        <v>Zaakceptowana</v>
      </c>
      <c r="G1849" s="2" t="str">
        <f>TRIM(Table1[[#This Row],[Typ]])</f>
        <v>Faktura VAT</v>
      </c>
      <c r="H1849" s="2" t="str">
        <f>TRIM(Table1[[#This Row],[Magazyn]])</f>
        <v>Apteka Szpitalna</v>
      </c>
      <c r="I1849" s="2" t="str">
        <f>TRIM(Table1[[#This Row],[Umowa]])</f>
        <v>UM-HUR-01</v>
      </c>
      <c r="J1849" s="2" t="b">
        <f>ISTEXT(Table14[[#This Row],[Data_Wystawienia]])</f>
        <v>0</v>
      </c>
      <c r="K1849" s="2">
        <f>VALUE(SUBSTITUTE(Table14[[#This Row],[Wartość]],".",","))</f>
        <v>15091.38</v>
      </c>
      <c r="L18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49" s="2" t="str">
        <f>IF(Table14[[#This Row],[Umowa]]="","Poza umową","Z umowy")</f>
        <v>Z umowy</v>
      </c>
      <c r="N1849" s="2">
        <f>YEAR(Table14[[#This Row],[Data_Wystawienia]])</f>
        <v>2023</v>
      </c>
      <c r="O1849" s="2" t="str">
        <f>TEXT(Table14[[#This Row],[Data_Wystawienia]],"rrrr-mm")</f>
        <v>2023-11</v>
      </c>
      <c r="P1849" s="2">
        <v>1</v>
      </c>
    </row>
    <row r="1850" spans="1:16" x14ac:dyDescent="0.3">
      <c r="A1850" s="2" t="str">
        <f>TRIM(Table1[[#This Row],[Numer_FV]])</f>
        <v>FV/8951HM/23</v>
      </c>
      <c r="B1850" s="2" t="str">
        <f>TRIM(Table1[[#This Row],[Numer_PZ]])</f>
        <v>PZ/801848</v>
      </c>
      <c r="C1850" s="2" t="str">
        <f>TRIM(Table1[[#This Row],[Dostawca]])</f>
        <v>HurtMedix</v>
      </c>
      <c r="D1850" s="3">
        <v>45244</v>
      </c>
      <c r="E1850" s="4" t="s">
        <v>5460</v>
      </c>
      <c r="F1850" s="2" t="str">
        <f>TRIM(Table1[[#This Row],[Status]])</f>
        <v>Zaakceptowana</v>
      </c>
      <c r="G1850" s="2" t="str">
        <f>TRIM(Table1[[#This Row],[Typ]])</f>
        <v>Faktura VAT</v>
      </c>
      <c r="H1850" s="2" t="str">
        <f>TRIM(Table1[[#This Row],[Magazyn]])</f>
        <v>Apteka Szpitalna</v>
      </c>
      <c r="I1850" s="2" t="str">
        <f>TRIM(Table1[[#This Row],[Umowa]])</f>
        <v>UM-HUR-01</v>
      </c>
      <c r="J1850" s="2" t="b">
        <f>ISTEXT(Table14[[#This Row],[Data_Wystawienia]])</f>
        <v>0</v>
      </c>
      <c r="K1850" s="2">
        <f>VALUE(SUBSTITUTE(Table14[[#This Row],[Wartość]],".",","))</f>
        <v>17338.439999999999</v>
      </c>
      <c r="L18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0" s="2" t="str">
        <f>IF(Table14[[#This Row],[Umowa]]="","Poza umową","Z umowy")</f>
        <v>Z umowy</v>
      </c>
      <c r="N1850" s="2">
        <f>YEAR(Table14[[#This Row],[Data_Wystawienia]])</f>
        <v>2023</v>
      </c>
      <c r="O1850" s="2" t="str">
        <f>TEXT(Table14[[#This Row],[Data_Wystawienia]],"rrrr-mm")</f>
        <v>2023-11</v>
      </c>
      <c r="P1850" s="2">
        <v>1</v>
      </c>
    </row>
    <row r="1851" spans="1:16" x14ac:dyDescent="0.3">
      <c r="A1851" s="2" t="str">
        <f>TRIM(Table1[[#This Row],[Numer_FV]])</f>
        <v>FV/33/SAL/23</v>
      </c>
      <c r="B1851" s="2" t="str">
        <f>TRIM(Table1[[#This Row],[Numer_PZ]])</f>
        <v>PZ/801849</v>
      </c>
      <c r="C1851" s="2" t="str">
        <f>TRIM(Table1[[#This Row],[Dostawca]])</f>
        <v>SalusHurt</v>
      </c>
      <c r="D1851" s="3">
        <v>45244</v>
      </c>
      <c r="E1851" s="4" t="s">
        <v>5462</v>
      </c>
      <c r="F1851" s="2" t="str">
        <f>TRIM(Table1[[#This Row],[Status]])</f>
        <v>Zaakceptowana</v>
      </c>
      <c r="G1851" s="2" t="str">
        <f>TRIM(Table1[[#This Row],[Typ]])</f>
        <v>Faktura VAT</v>
      </c>
      <c r="H1851" s="2" t="str">
        <f>TRIM(Table1[[#This Row],[Magazyn]])</f>
        <v>Apteka Szpitalna</v>
      </c>
      <c r="I1851" s="2" t="str">
        <f>TRIM(Table1[[#This Row],[Umowa]])</f>
        <v/>
      </c>
      <c r="J1851" s="2" t="b">
        <f>ISTEXT(Table14[[#This Row],[Data_Wystawienia]])</f>
        <v>0</v>
      </c>
      <c r="K1851" s="2">
        <f>VALUE(SUBSTITUTE(Table14[[#This Row],[Wartość]],".",","))</f>
        <v>9598.66</v>
      </c>
      <c r="L18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1" s="2" t="str">
        <f>IF(Table14[[#This Row],[Umowa]]="","Poza umową","Z umowy")</f>
        <v>Poza umową</v>
      </c>
      <c r="N1851" s="2">
        <f>YEAR(Table14[[#This Row],[Data_Wystawienia]])</f>
        <v>2023</v>
      </c>
      <c r="O1851" s="2" t="str">
        <f>TEXT(Table14[[#This Row],[Data_Wystawienia]],"rrrr-mm")</f>
        <v>2023-11</v>
      </c>
      <c r="P1851" s="2">
        <v>1</v>
      </c>
    </row>
    <row r="1852" spans="1:16" x14ac:dyDescent="0.3">
      <c r="A1852" s="2" t="str">
        <f>TRIM(Table1[[#This Row],[Numer_FV]])</f>
        <v>FV/32/SAL/23</v>
      </c>
      <c r="B1852" s="2" t="str">
        <f>TRIM(Table1[[#This Row],[Numer_PZ]])</f>
        <v>PZ/801850</v>
      </c>
      <c r="C1852" s="2" t="str">
        <f>TRIM(Table1[[#This Row],[Dostawca]])</f>
        <v>SalusHurt</v>
      </c>
      <c r="D1852" s="3">
        <v>45245</v>
      </c>
      <c r="E1852" s="4" t="s">
        <v>5464</v>
      </c>
      <c r="F1852" s="2" t="str">
        <f>TRIM(Table1[[#This Row],[Status]])</f>
        <v>Zaakceptowana</v>
      </c>
      <c r="G1852" s="2" t="str">
        <f>TRIM(Table1[[#This Row],[Typ]])</f>
        <v>Faktura VAT</v>
      </c>
      <c r="H1852" s="2" t="str">
        <f>TRIM(Table1[[#This Row],[Magazyn]])</f>
        <v>Apteka Szpitalna</v>
      </c>
      <c r="I1852" s="2" t="str">
        <f>TRIM(Table1[[#This Row],[Umowa]])</f>
        <v>UM-SAL-01</v>
      </c>
      <c r="J1852" s="2" t="b">
        <f>ISTEXT(Table14[[#This Row],[Data_Wystawienia]])</f>
        <v>0</v>
      </c>
      <c r="K1852" s="2">
        <f>VALUE(SUBSTITUTE(Table14[[#This Row],[Wartość]],".",","))</f>
        <v>10600.7</v>
      </c>
      <c r="L18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2" s="2" t="str">
        <f>IF(Table14[[#This Row],[Umowa]]="","Poza umową","Z umowy")</f>
        <v>Z umowy</v>
      </c>
      <c r="N1852" s="2">
        <f>YEAR(Table14[[#This Row],[Data_Wystawienia]])</f>
        <v>2023</v>
      </c>
      <c r="O1852" s="2" t="str">
        <f>TEXT(Table14[[#This Row],[Data_Wystawienia]],"rrrr-mm")</f>
        <v>2023-11</v>
      </c>
      <c r="P1852" s="2">
        <v>1</v>
      </c>
    </row>
    <row r="1853" spans="1:16" x14ac:dyDescent="0.3">
      <c r="A1853" s="2" t="str">
        <f>TRIM(Table1[[#This Row],[Numer_FV]])</f>
        <v>FV/25472/VDb/2023</v>
      </c>
      <c r="B1853" s="2" t="str">
        <f>TRIM(Table1[[#This Row],[Numer_PZ]])</f>
        <v>PZ/801851</v>
      </c>
      <c r="C1853" s="2" t="str">
        <f>TRIM(Table1[[#This Row],[Dostawca]])</f>
        <v>VitaDistrib</v>
      </c>
      <c r="D1853" s="3">
        <v>45245</v>
      </c>
      <c r="E1853" s="4" t="s">
        <v>5467</v>
      </c>
      <c r="F1853" s="2" t="str">
        <f>TRIM(Table1[[#This Row],[Status]])</f>
        <v>Zaakceptowana</v>
      </c>
      <c r="G1853" s="2" t="str">
        <f>TRIM(Table1[[#This Row],[Typ]])</f>
        <v>Faktura VAT</v>
      </c>
      <c r="H1853" s="2" t="str">
        <f>TRIM(Table1[[#This Row],[Magazyn]])</f>
        <v>Apteka Szpitalna</v>
      </c>
      <c r="I1853" s="2" t="str">
        <f>TRIM(Table1[[#This Row],[Umowa]])</f>
        <v>UM-VIT-01</v>
      </c>
      <c r="J1853" s="2" t="b">
        <f>ISTEXT(Table14[[#This Row],[Data_Wystawienia]])</f>
        <v>0</v>
      </c>
      <c r="K1853" s="2">
        <f>VALUE(SUBSTITUTE(Table14[[#This Row],[Wartość]],".",","))</f>
        <v>15786.82</v>
      </c>
      <c r="L18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3" s="2" t="str">
        <f>IF(Table14[[#This Row],[Umowa]]="","Poza umową","Z umowy")</f>
        <v>Z umowy</v>
      </c>
      <c r="N1853" s="2">
        <f>YEAR(Table14[[#This Row],[Data_Wystawienia]])</f>
        <v>2023</v>
      </c>
      <c r="O1853" s="2" t="str">
        <f>TEXT(Table14[[#This Row],[Data_Wystawienia]],"rrrr-mm")</f>
        <v>2023-11</v>
      </c>
      <c r="P1853" s="2">
        <v>1</v>
      </c>
    </row>
    <row r="1854" spans="1:16" x14ac:dyDescent="0.3">
      <c r="A1854" s="2" t="str">
        <f>TRIM(Table1[[#This Row],[Numer_FV]])</f>
        <v>FV/4029/NOVA/23</v>
      </c>
      <c r="B1854" s="2" t="str">
        <f>TRIM(Table1[[#This Row],[Numer_PZ]])</f>
        <v>PZ/801852</v>
      </c>
      <c r="C1854" s="2" t="str">
        <f>TRIM(Table1[[#This Row],[Dostawca]])</f>
        <v>NovaLek</v>
      </c>
      <c r="D1854" s="3">
        <v>45245</v>
      </c>
      <c r="E1854" s="4" t="s">
        <v>5470</v>
      </c>
      <c r="F1854" s="2" t="str">
        <f>TRIM(Table1[[#This Row],[Status]])</f>
        <v>Zaakceptowana</v>
      </c>
      <c r="G1854" s="2" t="str">
        <f>TRIM(Table1[[#This Row],[Typ]])</f>
        <v>Faktura VAT</v>
      </c>
      <c r="H1854" s="2" t="str">
        <f>TRIM(Table1[[#This Row],[Magazyn]])</f>
        <v>Apteka Szpitalna</v>
      </c>
      <c r="I1854" s="2" t="str">
        <f>TRIM(Table1[[#This Row],[Umowa]])</f>
        <v>UM-NOV-01</v>
      </c>
      <c r="J1854" s="2" t="b">
        <f>ISTEXT(Table14[[#This Row],[Data_Wystawienia]])</f>
        <v>0</v>
      </c>
      <c r="K1854" s="2">
        <f>VALUE(SUBSTITUTE(Table14[[#This Row],[Wartość]],".",","))</f>
        <v>8266.1</v>
      </c>
      <c r="L18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4" s="2" t="str">
        <f>IF(Table14[[#This Row],[Umowa]]="","Poza umową","Z umowy")</f>
        <v>Z umowy</v>
      </c>
      <c r="N1854" s="2">
        <f>YEAR(Table14[[#This Row],[Data_Wystawienia]])</f>
        <v>2023</v>
      </c>
      <c r="O1854" s="2" t="str">
        <f>TEXT(Table14[[#This Row],[Data_Wystawienia]],"rrrr-mm")</f>
        <v>2023-11</v>
      </c>
      <c r="P1854" s="2">
        <v>1</v>
      </c>
    </row>
    <row r="1855" spans="1:16" x14ac:dyDescent="0.3">
      <c r="A1855" s="2" t="str">
        <f>TRIM(Table1[[#This Row],[Numer_FV]])</f>
        <v>FV/POL/60815/2023</v>
      </c>
      <c r="B1855" s="2" t="str">
        <f>TRIM(Table1[[#This Row],[Numer_PZ]])</f>
        <v>PZ/801853</v>
      </c>
      <c r="C1855" s="2" t="str">
        <f>TRIM(Table1[[#This Row],[Dostawca]])</f>
        <v>Polmedica</v>
      </c>
      <c r="D1855" s="3">
        <v>45245</v>
      </c>
      <c r="E1855" s="4" t="s">
        <v>5473</v>
      </c>
      <c r="F1855" s="2" t="str">
        <f>TRIM(Table1[[#This Row],[Status]])</f>
        <v>Zaakceptowana</v>
      </c>
      <c r="G1855" s="2" t="str">
        <f>TRIM(Table1[[#This Row],[Typ]])</f>
        <v>Faktura VAT</v>
      </c>
      <c r="H1855" s="2" t="str">
        <f>TRIM(Table1[[#This Row],[Magazyn]])</f>
        <v>Apteka Szpitalna</v>
      </c>
      <c r="I1855" s="2" t="str">
        <f>TRIM(Table1[[#This Row],[Umowa]])</f>
        <v/>
      </c>
      <c r="J1855" s="2" t="b">
        <f>ISTEXT(Table14[[#This Row],[Data_Wystawienia]])</f>
        <v>0</v>
      </c>
      <c r="K1855" s="2">
        <f>VALUE(SUBSTITUTE(Table14[[#This Row],[Wartość]],".",","))</f>
        <v>20236.599999999999</v>
      </c>
      <c r="L18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5" s="2" t="str">
        <f>IF(Table14[[#This Row],[Umowa]]="","Poza umową","Z umowy")</f>
        <v>Poza umową</v>
      </c>
      <c r="N1855" s="2">
        <f>YEAR(Table14[[#This Row],[Data_Wystawienia]])</f>
        <v>2023</v>
      </c>
      <c r="O1855" s="2" t="str">
        <f>TEXT(Table14[[#This Row],[Data_Wystawienia]],"rrrr-mm")</f>
        <v>2023-11</v>
      </c>
      <c r="P1855" s="2">
        <v>1</v>
      </c>
    </row>
    <row r="1856" spans="1:16" x14ac:dyDescent="0.3">
      <c r="A1856" s="2" t="str">
        <f>TRIM(Table1[[#This Row],[Numer_FV]])</f>
        <v>FV/M/3701/P/23</v>
      </c>
      <c r="B1856" s="2" t="str">
        <f>TRIM(Table1[[#This Row],[Numer_PZ]])</f>
        <v>PZ/801854</v>
      </c>
      <c r="C1856" s="2" t="str">
        <f>TRIM(Table1[[#This Row],[Dostawca]])</f>
        <v>MedicaPharm</v>
      </c>
      <c r="D1856" s="3">
        <v>45245</v>
      </c>
      <c r="E1856" s="4" t="s">
        <v>5476</v>
      </c>
      <c r="F1856" s="2" t="str">
        <f>TRIM(Table1[[#This Row],[Status]])</f>
        <v>Zaakceptowana</v>
      </c>
      <c r="G1856" s="2" t="str">
        <f>TRIM(Table1[[#This Row],[Typ]])</f>
        <v>Faktura VAT</v>
      </c>
      <c r="H1856" s="2" t="str">
        <f>TRIM(Table1[[#This Row],[Magazyn]])</f>
        <v>Apteka Szpitalna</v>
      </c>
      <c r="I1856" s="2" t="str">
        <f>TRIM(Table1[[#This Row],[Umowa]])</f>
        <v>UM-MED-01</v>
      </c>
      <c r="J1856" s="2" t="b">
        <f>ISTEXT(Table14[[#This Row],[Data_Wystawienia]])</f>
        <v>0</v>
      </c>
      <c r="K1856" s="2">
        <f>VALUE(SUBSTITUTE(Table14[[#This Row],[Wartość]],".",","))</f>
        <v>17693.98</v>
      </c>
      <c r="L18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6" s="2" t="str">
        <f>IF(Table14[[#This Row],[Umowa]]="","Poza umową","Z umowy")</f>
        <v>Z umowy</v>
      </c>
      <c r="N1856" s="2">
        <f>YEAR(Table14[[#This Row],[Data_Wystawienia]])</f>
        <v>2023</v>
      </c>
      <c r="O1856" s="2" t="str">
        <f>TEXT(Table14[[#This Row],[Data_Wystawienia]],"rrrr-mm")</f>
        <v>2023-11</v>
      </c>
      <c r="P1856" s="2">
        <v>1</v>
      </c>
    </row>
    <row r="1857" spans="1:16" x14ac:dyDescent="0.3">
      <c r="A1857" s="2" t="str">
        <f>TRIM(Table1[[#This Row],[Numer_FV]])</f>
        <v>FV/POL/81488/2023</v>
      </c>
      <c r="B1857" s="2" t="str">
        <f>TRIM(Table1[[#This Row],[Numer_PZ]])</f>
        <v>PZ/801855</v>
      </c>
      <c r="C1857" s="2" t="str">
        <f>TRIM(Table1[[#This Row],[Dostawca]])</f>
        <v>Polmedica</v>
      </c>
      <c r="D1857" s="3">
        <v>45246</v>
      </c>
      <c r="E1857" s="4" t="s">
        <v>5479</v>
      </c>
      <c r="F1857" s="2" t="str">
        <f>TRIM(Table1[[#This Row],[Status]])</f>
        <v>Zaakceptowana</v>
      </c>
      <c r="G1857" s="2" t="str">
        <f>TRIM(Table1[[#This Row],[Typ]])</f>
        <v>Faktura VAT</v>
      </c>
      <c r="H1857" s="2" t="str">
        <f>TRIM(Table1[[#This Row],[Magazyn]])</f>
        <v>Apteka Szpitalna</v>
      </c>
      <c r="I1857" s="2" t="str">
        <f>TRIM(Table1[[#This Row],[Umowa]])</f>
        <v>UM-POL-03</v>
      </c>
      <c r="J1857" s="2" t="b">
        <f>ISTEXT(Table14[[#This Row],[Data_Wystawienia]])</f>
        <v>0</v>
      </c>
      <c r="K1857" s="2">
        <f>VALUE(SUBSTITUTE(Table14[[#This Row],[Wartość]],".",","))</f>
        <v>27293.19</v>
      </c>
      <c r="L18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7" s="2" t="str">
        <f>IF(Table14[[#This Row],[Umowa]]="","Poza umową","Z umowy")</f>
        <v>Z umowy</v>
      </c>
      <c r="N1857" s="2">
        <f>YEAR(Table14[[#This Row],[Data_Wystawienia]])</f>
        <v>2023</v>
      </c>
      <c r="O1857" s="2" t="str">
        <f>TEXT(Table14[[#This Row],[Data_Wystawienia]],"rrrr-mm")</f>
        <v>2023-11</v>
      </c>
      <c r="P1857" s="2">
        <v>1</v>
      </c>
    </row>
    <row r="1858" spans="1:16" x14ac:dyDescent="0.3">
      <c r="A1858" s="2" t="str">
        <f>TRIM(Table1[[#This Row],[Numer_FV]])</f>
        <v>FV/CENFA/428096/23</v>
      </c>
      <c r="B1858" s="2" t="str">
        <f>TRIM(Table1[[#This Row],[Numer_PZ]])</f>
        <v>PZ/801856</v>
      </c>
      <c r="C1858" s="2" t="str">
        <f>TRIM(Table1[[#This Row],[Dostawca]])</f>
        <v>CentrumFarm</v>
      </c>
      <c r="D1858" s="3">
        <v>45247</v>
      </c>
      <c r="E1858" s="4" t="s">
        <v>5482</v>
      </c>
      <c r="F1858" s="2" t="str">
        <f>TRIM(Table1[[#This Row],[Status]])</f>
        <v>Zaakceptowana</v>
      </c>
      <c r="G1858" s="2" t="str">
        <f>TRIM(Table1[[#This Row],[Typ]])</f>
        <v>Faktura VAT</v>
      </c>
      <c r="H1858" s="2" t="str">
        <f>TRIM(Table1[[#This Row],[Magazyn]])</f>
        <v>Apteka Szpitalna</v>
      </c>
      <c r="I1858" s="2" t="str">
        <f>TRIM(Table1[[#This Row],[Umowa]])</f>
        <v>UM-CEN-02</v>
      </c>
      <c r="J1858" s="2" t="b">
        <f>ISTEXT(Table14[[#This Row],[Data_Wystawienia]])</f>
        <v>0</v>
      </c>
      <c r="K1858" s="2">
        <f>VALUE(SUBSTITUTE(Table14[[#This Row],[Wartość]],".",","))</f>
        <v>15607.98</v>
      </c>
      <c r="L18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8" s="2" t="str">
        <f>IF(Table14[[#This Row],[Umowa]]="","Poza umową","Z umowy")</f>
        <v>Z umowy</v>
      </c>
      <c r="N1858" s="2">
        <f>YEAR(Table14[[#This Row],[Data_Wystawienia]])</f>
        <v>2023</v>
      </c>
      <c r="O1858" s="2" t="str">
        <f>TEXT(Table14[[#This Row],[Data_Wystawienia]],"rrrr-mm")</f>
        <v>2023-11</v>
      </c>
      <c r="P1858" s="2">
        <v>1</v>
      </c>
    </row>
    <row r="1859" spans="1:16" x14ac:dyDescent="0.3">
      <c r="A1859" s="2" t="str">
        <f>TRIM(Table1[[#This Row],[Numer_FV]])</f>
        <v>FV/14/PP/3286/23</v>
      </c>
      <c r="B1859" s="2" t="str">
        <f>TRIM(Table1[[#This Row],[Numer_PZ]])</f>
        <v>PZ/801857</v>
      </c>
      <c r="C1859" s="2" t="str">
        <f>TRIM(Table1[[#This Row],[Dostawca]])</f>
        <v>PharmaPlus</v>
      </c>
      <c r="D1859" s="3">
        <v>45247</v>
      </c>
      <c r="E1859" s="4" t="s">
        <v>5485</v>
      </c>
      <c r="F1859" s="2" t="str">
        <f>TRIM(Table1[[#This Row],[Status]])</f>
        <v>Zaakceptowana</v>
      </c>
      <c r="G1859" s="2" t="str">
        <f>TRIM(Table1[[#This Row],[Typ]])</f>
        <v>Faktura VAT</v>
      </c>
      <c r="H1859" s="2" t="str">
        <f>TRIM(Table1[[#This Row],[Magazyn]])</f>
        <v>Apteka Szpitalna</v>
      </c>
      <c r="I1859" s="2" t="str">
        <f>TRIM(Table1[[#This Row],[Umowa]])</f>
        <v>UM-PHA-01</v>
      </c>
      <c r="J1859" s="2" t="b">
        <f>ISTEXT(Table14[[#This Row],[Data_Wystawienia]])</f>
        <v>0</v>
      </c>
      <c r="K1859" s="2">
        <f>VALUE(SUBSTITUTE(Table14[[#This Row],[Wartość]],".",","))</f>
        <v>19738.939999999999</v>
      </c>
      <c r="L18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59" s="2" t="str">
        <f>IF(Table14[[#This Row],[Umowa]]="","Poza umową","Z umowy")</f>
        <v>Z umowy</v>
      </c>
      <c r="N1859" s="2">
        <f>YEAR(Table14[[#This Row],[Data_Wystawienia]])</f>
        <v>2023</v>
      </c>
      <c r="O1859" s="2" t="str">
        <f>TEXT(Table14[[#This Row],[Data_Wystawienia]],"rrrr-mm")</f>
        <v>2023-11</v>
      </c>
      <c r="P1859" s="2">
        <v>1</v>
      </c>
    </row>
    <row r="1860" spans="1:16" x14ac:dyDescent="0.3">
      <c r="A1860" s="2" t="str">
        <f>TRIM(Table1[[#This Row],[Numer_FV]])</f>
        <v>FV/3099/NOVA/23</v>
      </c>
      <c r="B1860" s="2" t="str">
        <f>TRIM(Table1[[#This Row],[Numer_PZ]])</f>
        <v>PZ/801858</v>
      </c>
      <c r="C1860" s="2" t="str">
        <f>TRIM(Table1[[#This Row],[Dostawca]])</f>
        <v>NovaLek</v>
      </c>
      <c r="D1860" s="3">
        <v>45247</v>
      </c>
      <c r="E1860" s="4" t="s">
        <v>5488</v>
      </c>
      <c r="F1860" s="2" t="str">
        <f>TRIM(Table1[[#This Row],[Status]])</f>
        <v>Zaakceptowana</v>
      </c>
      <c r="G1860" s="2" t="str">
        <f>TRIM(Table1[[#This Row],[Typ]])</f>
        <v>Faktura VAT</v>
      </c>
      <c r="H1860" s="2" t="str">
        <f>TRIM(Table1[[#This Row],[Magazyn]])</f>
        <v>Apteka Szpitalna</v>
      </c>
      <c r="I1860" s="2" t="str">
        <f>TRIM(Table1[[#This Row],[Umowa]])</f>
        <v>UM-NOV-01</v>
      </c>
      <c r="J1860" s="2" t="b">
        <f>ISTEXT(Table14[[#This Row],[Data_Wystawienia]])</f>
        <v>0</v>
      </c>
      <c r="K1860" s="2">
        <f>VALUE(SUBSTITUTE(Table14[[#This Row],[Wartość]],".",","))</f>
        <v>15645.33</v>
      </c>
      <c r="L18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0" s="2" t="str">
        <f>IF(Table14[[#This Row],[Umowa]]="","Poza umową","Z umowy")</f>
        <v>Z umowy</v>
      </c>
      <c r="N1860" s="2">
        <f>YEAR(Table14[[#This Row],[Data_Wystawienia]])</f>
        <v>2023</v>
      </c>
      <c r="O1860" s="2" t="str">
        <f>TEXT(Table14[[#This Row],[Data_Wystawienia]],"rrrr-mm")</f>
        <v>2023-11</v>
      </c>
      <c r="P1860" s="2">
        <v>1</v>
      </c>
    </row>
    <row r="1861" spans="1:16" x14ac:dyDescent="0.3">
      <c r="A1861" s="2" t="str">
        <f>TRIM(Table1[[#This Row],[Numer_FV]])</f>
        <v>FV/2264/NOVA/23</v>
      </c>
      <c r="B1861" s="2" t="str">
        <f>TRIM(Table1[[#This Row],[Numer_PZ]])</f>
        <v>PZ/801859</v>
      </c>
      <c r="C1861" s="2" t="str">
        <f>TRIM(Table1[[#This Row],[Dostawca]])</f>
        <v>NovaLek</v>
      </c>
      <c r="D1861" s="3">
        <v>45249</v>
      </c>
      <c r="E1861" s="4" t="s">
        <v>5491</v>
      </c>
      <c r="F1861" s="2" t="str">
        <f>TRIM(Table1[[#This Row],[Status]])</f>
        <v>Zaakceptowana</v>
      </c>
      <c r="G1861" s="2" t="str">
        <f>TRIM(Table1[[#This Row],[Typ]])</f>
        <v>Faktura VAT</v>
      </c>
      <c r="H1861" s="2" t="str">
        <f>TRIM(Table1[[#This Row],[Magazyn]])</f>
        <v>Apteka Szpitalna</v>
      </c>
      <c r="I1861" s="2" t="str">
        <f>TRIM(Table1[[#This Row],[Umowa]])</f>
        <v>UM-NOV-03</v>
      </c>
      <c r="J1861" s="2" t="b">
        <f>ISTEXT(Table14[[#This Row],[Data_Wystawienia]])</f>
        <v>0</v>
      </c>
      <c r="K1861" s="2">
        <f>VALUE(SUBSTITUTE(Table14[[#This Row],[Wartość]],".",","))</f>
        <v>12055.22</v>
      </c>
      <c r="L18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1" s="2" t="str">
        <f>IF(Table14[[#This Row],[Umowa]]="","Poza umową","Z umowy")</f>
        <v>Z umowy</v>
      </c>
      <c r="N1861" s="2">
        <f>YEAR(Table14[[#This Row],[Data_Wystawienia]])</f>
        <v>2023</v>
      </c>
      <c r="O1861" s="2" t="str">
        <f>TEXT(Table14[[#This Row],[Data_Wystawienia]],"rrrr-mm")</f>
        <v>2023-11</v>
      </c>
      <c r="P1861" s="2">
        <v>1</v>
      </c>
    </row>
    <row r="1862" spans="1:16" x14ac:dyDescent="0.3">
      <c r="A1862" s="2" t="str">
        <f>TRIM(Table1[[#This Row],[Numer_FV]])</f>
        <v>FV/POL/69749/2023</v>
      </c>
      <c r="B1862" s="2" t="str">
        <f>TRIM(Table1[[#This Row],[Numer_PZ]])</f>
        <v>PZ/801860</v>
      </c>
      <c r="C1862" s="2" t="str">
        <f>TRIM(Table1[[#This Row],[Dostawca]])</f>
        <v>Polmedica</v>
      </c>
      <c r="D1862" s="3">
        <v>45249</v>
      </c>
      <c r="E1862" s="4" t="s">
        <v>5494</v>
      </c>
      <c r="F1862" s="2" t="str">
        <f>TRIM(Table1[[#This Row],[Status]])</f>
        <v>Zaakceptowana</v>
      </c>
      <c r="G1862" s="2" t="str">
        <f>TRIM(Table1[[#This Row],[Typ]])</f>
        <v>Faktura VAT</v>
      </c>
      <c r="H1862" s="2" t="str">
        <f>TRIM(Table1[[#This Row],[Magazyn]])</f>
        <v>Apteka Szpitalna</v>
      </c>
      <c r="I1862" s="2" t="str">
        <f>TRIM(Table1[[#This Row],[Umowa]])</f>
        <v>UM-POL-01</v>
      </c>
      <c r="J1862" s="2" t="b">
        <f>ISTEXT(Table14[[#This Row],[Data_Wystawienia]])</f>
        <v>0</v>
      </c>
      <c r="K1862" s="2">
        <f>VALUE(SUBSTITUTE(Table14[[#This Row],[Wartość]],".",","))</f>
        <v>18746.71</v>
      </c>
      <c r="L18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2" s="2" t="str">
        <f>IF(Table14[[#This Row],[Umowa]]="","Poza umową","Z umowy")</f>
        <v>Z umowy</v>
      </c>
      <c r="N1862" s="2">
        <f>YEAR(Table14[[#This Row],[Data_Wystawienia]])</f>
        <v>2023</v>
      </c>
      <c r="O1862" s="2" t="str">
        <f>TEXT(Table14[[#This Row],[Data_Wystawienia]],"rrrr-mm")</f>
        <v>2023-11</v>
      </c>
      <c r="P1862" s="2">
        <v>1</v>
      </c>
    </row>
    <row r="1863" spans="1:16" x14ac:dyDescent="0.3">
      <c r="A1863" s="2" t="str">
        <f>TRIM(Table1[[#This Row],[Numer_FV]])</f>
        <v>FV/13/PP/4254/23</v>
      </c>
      <c r="B1863" s="2" t="str">
        <f>TRIM(Table1[[#This Row],[Numer_PZ]])</f>
        <v>PZ/801861</v>
      </c>
      <c r="C1863" s="2" t="str">
        <f>TRIM(Table1[[#This Row],[Dostawca]])</f>
        <v>PharmaPlus</v>
      </c>
      <c r="D1863" s="3">
        <v>45250</v>
      </c>
      <c r="E1863" s="4" t="s">
        <v>5497</v>
      </c>
      <c r="F1863" s="2" t="str">
        <f>TRIM(Table1[[#This Row],[Status]])</f>
        <v>Zaakceptowana</v>
      </c>
      <c r="G1863" s="2" t="str">
        <f>TRIM(Table1[[#This Row],[Typ]])</f>
        <v>Faktura VAT</v>
      </c>
      <c r="H1863" s="2" t="str">
        <f>TRIM(Table1[[#This Row],[Magazyn]])</f>
        <v>Apteka Szpitalna</v>
      </c>
      <c r="I1863" s="2" t="str">
        <f>TRIM(Table1[[#This Row],[Umowa]])</f>
        <v/>
      </c>
      <c r="J1863" s="2" t="b">
        <f>ISTEXT(Table14[[#This Row],[Data_Wystawienia]])</f>
        <v>0</v>
      </c>
      <c r="K1863" s="2">
        <f>VALUE(SUBSTITUTE(Table14[[#This Row],[Wartość]],".",","))</f>
        <v>20421.07</v>
      </c>
      <c r="L18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3" s="2" t="str">
        <f>IF(Table14[[#This Row],[Umowa]]="","Poza umową","Z umowy")</f>
        <v>Poza umową</v>
      </c>
      <c r="N1863" s="2">
        <f>YEAR(Table14[[#This Row],[Data_Wystawienia]])</f>
        <v>2023</v>
      </c>
      <c r="O1863" s="2" t="str">
        <f>TEXT(Table14[[#This Row],[Data_Wystawienia]],"rrrr-mm")</f>
        <v>2023-11</v>
      </c>
      <c r="P1863" s="2">
        <v>1</v>
      </c>
    </row>
    <row r="1864" spans="1:16" x14ac:dyDescent="0.3">
      <c r="A1864" s="2" t="str">
        <f>TRIM(Table1[[#This Row],[Numer_FV]])</f>
        <v>FV/7664HM/23</v>
      </c>
      <c r="B1864" s="2" t="str">
        <f>TRIM(Table1[[#This Row],[Numer_PZ]])</f>
        <v>PZ/801862</v>
      </c>
      <c r="C1864" s="2" t="str">
        <f>TRIM(Table1[[#This Row],[Dostawca]])</f>
        <v>HurtMedix</v>
      </c>
      <c r="D1864" s="3">
        <v>45251</v>
      </c>
      <c r="E1864" s="4" t="s">
        <v>5499</v>
      </c>
      <c r="F1864" s="2" t="str">
        <f>TRIM(Table1[[#This Row],[Status]])</f>
        <v>Zaakceptowana</v>
      </c>
      <c r="G1864" s="2" t="str">
        <f>TRIM(Table1[[#This Row],[Typ]])</f>
        <v>Faktura VAT</v>
      </c>
      <c r="H1864" s="2" t="str">
        <f>TRIM(Table1[[#This Row],[Magazyn]])</f>
        <v>Apteka Szpitalna</v>
      </c>
      <c r="I1864" s="2" t="str">
        <f>TRIM(Table1[[#This Row],[Umowa]])</f>
        <v/>
      </c>
      <c r="J1864" s="2" t="b">
        <f>ISTEXT(Table14[[#This Row],[Data_Wystawienia]])</f>
        <v>0</v>
      </c>
      <c r="K1864" s="2">
        <f>VALUE(SUBSTITUTE(Table14[[#This Row],[Wartość]],".",","))</f>
        <v>9191.67</v>
      </c>
      <c r="L18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4" s="2" t="str">
        <f>IF(Table14[[#This Row],[Umowa]]="","Poza umową","Z umowy")</f>
        <v>Poza umową</v>
      </c>
      <c r="N1864" s="2">
        <f>YEAR(Table14[[#This Row],[Data_Wystawienia]])</f>
        <v>2023</v>
      </c>
      <c r="O1864" s="2" t="str">
        <f>TEXT(Table14[[#This Row],[Data_Wystawienia]],"rrrr-mm")</f>
        <v>2023-11</v>
      </c>
      <c r="P1864" s="2">
        <v>1</v>
      </c>
    </row>
    <row r="1865" spans="1:16" x14ac:dyDescent="0.3">
      <c r="A1865" s="2" t="str">
        <f>TRIM(Table1[[#This Row],[Numer_FV]])</f>
        <v>FV/M/3777/P/23</v>
      </c>
      <c r="B1865" s="2" t="str">
        <f>TRIM(Table1[[#This Row],[Numer_PZ]])</f>
        <v>PZ/801863</v>
      </c>
      <c r="C1865" s="2" t="str">
        <f>TRIM(Table1[[#This Row],[Dostawca]])</f>
        <v>MedicaPharm</v>
      </c>
      <c r="D1865" s="3">
        <v>45251</v>
      </c>
      <c r="E1865" s="4" t="s">
        <v>5502</v>
      </c>
      <c r="F1865" s="2" t="str">
        <f>TRIM(Table1[[#This Row],[Status]])</f>
        <v>Zaakceptowana</v>
      </c>
      <c r="G1865" s="2" t="str">
        <f>TRIM(Table1[[#This Row],[Typ]])</f>
        <v>Faktura VAT</v>
      </c>
      <c r="H1865" s="2" t="str">
        <f>TRIM(Table1[[#This Row],[Magazyn]])</f>
        <v>Apteka Szpitalna</v>
      </c>
      <c r="I1865" s="2" t="str">
        <f>TRIM(Table1[[#This Row],[Umowa]])</f>
        <v>UM-MED-01</v>
      </c>
      <c r="J1865" s="2" t="b">
        <f>ISTEXT(Table14[[#This Row],[Data_Wystawienia]])</f>
        <v>0</v>
      </c>
      <c r="K1865" s="2">
        <f>VALUE(SUBSTITUTE(Table14[[#This Row],[Wartość]],".",","))</f>
        <v>8853.01</v>
      </c>
      <c r="L18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5" s="2" t="str">
        <f>IF(Table14[[#This Row],[Umowa]]="","Poza umową","Z umowy")</f>
        <v>Z umowy</v>
      </c>
      <c r="N1865" s="2">
        <f>YEAR(Table14[[#This Row],[Data_Wystawienia]])</f>
        <v>2023</v>
      </c>
      <c r="O1865" s="2" t="str">
        <f>TEXT(Table14[[#This Row],[Data_Wystawienia]],"rrrr-mm")</f>
        <v>2023-11</v>
      </c>
      <c r="P1865" s="2">
        <v>1</v>
      </c>
    </row>
    <row r="1866" spans="1:16" x14ac:dyDescent="0.3">
      <c r="A1866" s="2" t="str">
        <f>TRIM(Table1[[#This Row],[Numer_FV]])</f>
        <v>FV/M/8727/P/23</v>
      </c>
      <c r="B1866" s="2" t="str">
        <f>TRIM(Table1[[#This Row],[Numer_PZ]])</f>
        <v>PZ/801864</v>
      </c>
      <c r="C1866" s="2" t="str">
        <f>TRIM(Table1[[#This Row],[Dostawca]])</f>
        <v>MedicaPharm</v>
      </c>
      <c r="D1866" s="3">
        <v>45252</v>
      </c>
      <c r="E1866" s="4" t="s">
        <v>5505</v>
      </c>
      <c r="F1866" s="2" t="str">
        <f>TRIM(Table1[[#This Row],[Status]])</f>
        <v>Zaakceptowana</v>
      </c>
      <c r="G1866" s="2" t="str">
        <f>TRIM(Table1[[#This Row],[Typ]])</f>
        <v>Faktura VAT</v>
      </c>
      <c r="H1866" s="2" t="str">
        <f>TRIM(Table1[[#This Row],[Magazyn]])</f>
        <v>Apteka Szpitalna</v>
      </c>
      <c r="I1866" s="2" t="str">
        <f>TRIM(Table1[[#This Row],[Umowa]])</f>
        <v/>
      </c>
      <c r="J1866" s="2" t="b">
        <f>ISTEXT(Table14[[#This Row],[Data_Wystawienia]])</f>
        <v>0</v>
      </c>
      <c r="K1866" s="2">
        <f>VALUE(SUBSTITUTE(Table14[[#This Row],[Wartość]],".",","))</f>
        <v>17766.05</v>
      </c>
      <c r="L18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6" s="2" t="str">
        <f>IF(Table14[[#This Row],[Umowa]]="","Poza umową","Z umowy")</f>
        <v>Poza umową</v>
      </c>
      <c r="N1866" s="2">
        <f>YEAR(Table14[[#This Row],[Data_Wystawienia]])</f>
        <v>2023</v>
      </c>
      <c r="O1866" s="2" t="str">
        <f>TEXT(Table14[[#This Row],[Data_Wystawienia]],"rrrr-mm")</f>
        <v>2023-11</v>
      </c>
      <c r="P1866" s="2">
        <v>1</v>
      </c>
    </row>
    <row r="1867" spans="1:16" x14ac:dyDescent="0.3">
      <c r="A1867" s="2" t="str">
        <f>TRIM(Table1[[#This Row],[Numer_FV]])</f>
        <v>FV/98/PP/3410/23</v>
      </c>
      <c r="B1867" s="2" t="str">
        <f>TRIM(Table1[[#This Row],[Numer_PZ]])</f>
        <v>PZ/801865</v>
      </c>
      <c r="C1867" s="2" t="str">
        <f>TRIM(Table1[[#This Row],[Dostawca]])</f>
        <v>PharmaPlus</v>
      </c>
      <c r="D1867" s="3">
        <v>45252</v>
      </c>
      <c r="E1867" s="4" t="s">
        <v>5508</v>
      </c>
      <c r="F1867" s="2" t="str">
        <f>TRIM(Table1[[#This Row],[Status]])</f>
        <v>Zaakceptowana</v>
      </c>
      <c r="G1867" s="2" t="str">
        <f>TRIM(Table1[[#This Row],[Typ]])</f>
        <v>Faktura VAT</v>
      </c>
      <c r="H1867" s="2" t="str">
        <f>TRIM(Table1[[#This Row],[Magazyn]])</f>
        <v>Apteka Szpitalna</v>
      </c>
      <c r="I1867" s="2" t="str">
        <f>TRIM(Table1[[#This Row],[Umowa]])</f>
        <v>UM-PHA-01</v>
      </c>
      <c r="J1867" s="2" t="b">
        <f>ISTEXT(Table14[[#This Row],[Data_Wystawienia]])</f>
        <v>0</v>
      </c>
      <c r="K1867" s="2">
        <f>VALUE(SUBSTITUTE(Table14[[#This Row],[Wartość]],".",","))</f>
        <v>10614.36</v>
      </c>
      <c r="L18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7" s="2" t="str">
        <f>IF(Table14[[#This Row],[Umowa]]="","Poza umową","Z umowy")</f>
        <v>Z umowy</v>
      </c>
      <c r="N1867" s="2">
        <f>YEAR(Table14[[#This Row],[Data_Wystawienia]])</f>
        <v>2023</v>
      </c>
      <c r="O1867" s="2" t="str">
        <f>TEXT(Table14[[#This Row],[Data_Wystawienia]],"rrrr-mm")</f>
        <v>2023-11</v>
      </c>
      <c r="P1867" s="2">
        <v>1</v>
      </c>
    </row>
    <row r="1868" spans="1:16" x14ac:dyDescent="0.3">
      <c r="A1868" s="2" t="str">
        <f>TRIM(Table1[[#This Row],[Numer_FV]])</f>
        <v>FV/POL/34407/2023</v>
      </c>
      <c r="B1868" s="2" t="str">
        <f>TRIM(Table1[[#This Row],[Numer_PZ]])</f>
        <v>PZ/801866</v>
      </c>
      <c r="C1868" s="2" t="str">
        <f>TRIM(Table1[[#This Row],[Dostawca]])</f>
        <v>Polmedica</v>
      </c>
      <c r="D1868" s="3">
        <v>45253</v>
      </c>
      <c r="E1868" s="4" t="s">
        <v>5511</v>
      </c>
      <c r="F1868" s="2" t="str">
        <f>TRIM(Table1[[#This Row],[Status]])</f>
        <v>Zaakceptowana</v>
      </c>
      <c r="G1868" s="2" t="str">
        <f>TRIM(Table1[[#This Row],[Typ]])</f>
        <v>Faktura VAT</v>
      </c>
      <c r="H1868" s="2" t="str">
        <f>TRIM(Table1[[#This Row],[Magazyn]])</f>
        <v>Apteka Szpitalna</v>
      </c>
      <c r="I1868" s="2" t="str">
        <f>TRIM(Table1[[#This Row],[Umowa]])</f>
        <v/>
      </c>
      <c r="J1868" s="2" t="b">
        <f>ISTEXT(Table14[[#This Row],[Data_Wystawienia]])</f>
        <v>0</v>
      </c>
      <c r="K1868" s="2">
        <f>VALUE(SUBSTITUTE(Table14[[#This Row],[Wartość]],".",","))</f>
        <v>16879.97</v>
      </c>
      <c r="L18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8" s="2" t="str">
        <f>IF(Table14[[#This Row],[Umowa]]="","Poza umową","Z umowy")</f>
        <v>Poza umową</v>
      </c>
      <c r="N1868" s="2">
        <f>YEAR(Table14[[#This Row],[Data_Wystawienia]])</f>
        <v>2023</v>
      </c>
      <c r="O1868" s="2" t="str">
        <f>TEXT(Table14[[#This Row],[Data_Wystawienia]],"rrrr-mm")</f>
        <v>2023-11</v>
      </c>
      <c r="P1868" s="2">
        <v>1</v>
      </c>
    </row>
    <row r="1869" spans="1:16" x14ac:dyDescent="0.3">
      <c r="A1869" s="2" t="str">
        <f>TRIM(Table1[[#This Row],[Numer_FV]])</f>
        <v>FV/48007/VDb/2023</v>
      </c>
      <c r="B1869" s="2" t="str">
        <f>TRIM(Table1[[#This Row],[Numer_PZ]])</f>
        <v>PZ/801867</v>
      </c>
      <c r="C1869" s="2" t="str">
        <f>TRIM(Table1[[#This Row],[Dostawca]])</f>
        <v>VitaDistrib</v>
      </c>
      <c r="D1869" s="3">
        <v>45253</v>
      </c>
      <c r="E1869" s="4" t="s">
        <v>5514</v>
      </c>
      <c r="F1869" s="2" t="str">
        <f>TRIM(Table1[[#This Row],[Status]])</f>
        <v>Zaakceptowana</v>
      </c>
      <c r="G1869" s="2" t="str">
        <f>TRIM(Table1[[#This Row],[Typ]])</f>
        <v>Faktura VAT</v>
      </c>
      <c r="H1869" s="2" t="str">
        <f>TRIM(Table1[[#This Row],[Magazyn]])</f>
        <v>Apteka Szpitalna</v>
      </c>
      <c r="I1869" s="2" t="str">
        <f>TRIM(Table1[[#This Row],[Umowa]])</f>
        <v>UM-VIT-01</v>
      </c>
      <c r="J1869" s="2" t="b">
        <f>ISTEXT(Table14[[#This Row],[Data_Wystawienia]])</f>
        <v>0</v>
      </c>
      <c r="K1869" s="2">
        <f>VALUE(SUBSTITUTE(Table14[[#This Row],[Wartość]],".",","))</f>
        <v>13543.93</v>
      </c>
      <c r="L18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69" s="2" t="str">
        <f>IF(Table14[[#This Row],[Umowa]]="","Poza umową","Z umowy")</f>
        <v>Z umowy</v>
      </c>
      <c r="N1869" s="2">
        <f>YEAR(Table14[[#This Row],[Data_Wystawienia]])</f>
        <v>2023</v>
      </c>
      <c r="O1869" s="2" t="str">
        <f>TEXT(Table14[[#This Row],[Data_Wystawienia]],"rrrr-mm")</f>
        <v>2023-11</v>
      </c>
      <c r="P1869" s="2">
        <v>1</v>
      </c>
    </row>
    <row r="1870" spans="1:16" x14ac:dyDescent="0.3">
      <c r="A1870" s="2" t="str">
        <f>TRIM(Table1[[#This Row],[Numer_FV]])</f>
        <v>FV/CENFA/360335/23</v>
      </c>
      <c r="B1870" s="2" t="str">
        <f>TRIM(Table1[[#This Row],[Numer_PZ]])</f>
        <v>PZ/801868</v>
      </c>
      <c r="C1870" s="2" t="str">
        <f>TRIM(Table1[[#This Row],[Dostawca]])</f>
        <v>CentrumFarm</v>
      </c>
      <c r="D1870" s="3">
        <v>45253</v>
      </c>
      <c r="E1870" s="4" t="s">
        <v>5517</v>
      </c>
      <c r="F1870" s="2" t="str">
        <f>TRIM(Table1[[#This Row],[Status]])</f>
        <v>Zaakceptowana</v>
      </c>
      <c r="G1870" s="2" t="str">
        <f>TRIM(Table1[[#This Row],[Typ]])</f>
        <v>Faktura VAT</v>
      </c>
      <c r="H1870" s="2" t="str">
        <f>TRIM(Table1[[#This Row],[Magazyn]])</f>
        <v>Apteka Szpitalna</v>
      </c>
      <c r="I1870" s="2" t="str">
        <f>TRIM(Table1[[#This Row],[Umowa]])</f>
        <v>UM-CEN-02</v>
      </c>
      <c r="J1870" s="2" t="b">
        <f>ISTEXT(Table14[[#This Row],[Data_Wystawienia]])</f>
        <v>0</v>
      </c>
      <c r="K1870" s="2">
        <f>VALUE(SUBSTITUTE(Table14[[#This Row],[Wartość]],".",","))</f>
        <v>15942.37</v>
      </c>
      <c r="L18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0" s="2" t="str">
        <f>IF(Table14[[#This Row],[Umowa]]="","Poza umową","Z umowy")</f>
        <v>Z umowy</v>
      </c>
      <c r="N1870" s="2">
        <f>YEAR(Table14[[#This Row],[Data_Wystawienia]])</f>
        <v>2023</v>
      </c>
      <c r="O1870" s="2" t="str">
        <f>TEXT(Table14[[#This Row],[Data_Wystawienia]],"rrrr-mm")</f>
        <v>2023-11</v>
      </c>
      <c r="P1870" s="2">
        <v>1</v>
      </c>
    </row>
    <row r="1871" spans="1:16" x14ac:dyDescent="0.3">
      <c r="A1871" s="2" t="str">
        <f>TRIM(Table1[[#This Row],[Numer_FV]])</f>
        <v>FV/44413/VDb/2023</v>
      </c>
      <c r="B1871" s="2" t="str">
        <f>TRIM(Table1[[#This Row],[Numer_PZ]])</f>
        <v>PZ/801869</v>
      </c>
      <c r="C1871" s="2" t="str">
        <f>TRIM(Table1[[#This Row],[Dostawca]])</f>
        <v>VitaDistrib</v>
      </c>
      <c r="D1871" s="3">
        <v>45253</v>
      </c>
      <c r="E1871" s="4" t="s">
        <v>5520</v>
      </c>
      <c r="F1871" s="2" t="str">
        <f>TRIM(Table1[[#This Row],[Status]])</f>
        <v>Zaakceptowana</v>
      </c>
      <c r="G1871" s="2" t="str">
        <f>TRIM(Table1[[#This Row],[Typ]])</f>
        <v>Faktura VAT</v>
      </c>
      <c r="H1871" s="2" t="str">
        <f>TRIM(Table1[[#This Row],[Magazyn]])</f>
        <v>Apteka Szpitalna</v>
      </c>
      <c r="I1871" s="2" t="str">
        <f>TRIM(Table1[[#This Row],[Umowa]])</f>
        <v>UM-VIT-01</v>
      </c>
      <c r="J1871" s="2" t="b">
        <f>ISTEXT(Table14[[#This Row],[Data_Wystawienia]])</f>
        <v>0</v>
      </c>
      <c r="K1871" s="2">
        <f>VALUE(SUBSTITUTE(Table14[[#This Row],[Wartość]],".",","))</f>
        <v>15409.87</v>
      </c>
      <c r="L18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1" s="2" t="str">
        <f>IF(Table14[[#This Row],[Umowa]]="","Poza umową","Z umowy")</f>
        <v>Z umowy</v>
      </c>
      <c r="N1871" s="2">
        <f>YEAR(Table14[[#This Row],[Data_Wystawienia]])</f>
        <v>2023</v>
      </c>
      <c r="O1871" s="2" t="str">
        <f>TEXT(Table14[[#This Row],[Data_Wystawienia]],"rrrr-mm")</f>
        <v>2023-11</v>
      </c>
      <c r="P1871" s="2">
        <v>1</v>
      </c>
    </row>
    <row r="1872" spans="1:16" x14ac:dyDescent="0.3">
      <c r="A1872" s="2" t="str">
        <f>TRIM(Table1[[#This Row],[Numer_FV]])</f>
        <v>FV/3223/NOVA/23</v>
      </c>
      <c r="B1872" s="2" t="str">
        <f>TRIM(Table1[[#This Row],[Numer_PZ]])</f>
        <v>PZ/801870</v>
      </c>
      <c r="C1872" s="2" t="str">
        <f>TRIM(Table1[[#This Row],[Dostawca]])</f>
        <v>NovaLek</v>
      </c>
      <c r="D1872" s="3">
        <v>45254</v>
      </c>
      <c r="E1872" s="4" t="s">
        <v>5523</v>
      </c>
      <c r="F1872" s="2" t="str">
        <f>TRIM(Table1[[#This Row],[Status]])</f>
        <v>Zaakceptowana</v>
      </c>
      <c r="G1872" s="2" t="str">
        <f>TRIM(Table1[[#This Row],[Typ]])</f>
        <v>Faktura VAT</v>
      </c>
      <c r="H1872" s="2" t="str">
        <f>TRIM(Table1[[#This Row],[Magazyn]])</f>
        <v>Apteka Szpitalna</v>
      </c>
      <c r="I1872" s="2" t="str">
        <f>TRIM(Table1[[#This Row],[Umowa]])</f>
        <v>UM-NOV-03</v>
      </c>
      <c r="J1872" s="2" t="b">
        <f>ISTEXT(Table14[[#This Row],[Data_Wystawienia]])</f>
        <v>0</v>
      </c>
      <c r="K1872" s="2">
        <f>VALUE(SUBSTITUTE(Table14[[#This Row],[Wartość]],".",","))</f>
        <v>10502.66</v>
      </c>
      <c r="L18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2" s="2" t="str">
        <f>IF(Table14[[#This Row],[Umowa]]="","Poza umową","Z umowy")</f>
        <v>Z umowy</v>
      </c>
      <c r="N1872" s="2">
        <f>YEAR(Table14[[#This Row],[Data_Wystawienia]])</f>
        <v>2023</v>
      </c>
      <c r="O1872" s="2" t="str">
        <f>TEXT(Table14[[#This Row],[Data_Wystawienia]],"rrrr-mm")</f>
        <v>2023-11</v>
      </c>
      <c r="P1872" s="2">
        <v>1</v>
      </c>
    </row>
    <row r="1873" spans="1:16" x14ac:dyDescent="0.3">
      <c r="A1873" s="2" t="str">
        <f>TRIM(Table1[[#This Row],[Numer_FV]])</f>
        <v>FV/POL/84824/2023</v>
      </c>
      <c r="B1873" s="2" t="str">
        <f>TRIM(Table1[[#This Row],[Numer_PZ]])</f>
        <v>PZ/801871</v>
      </c>
      <c r="C1873" s="2" t="str">
        <f>TRIM(Table1[[#This Row],[Dostawca]])</f>
        <v>Polmedica</v>
      </c>
      <c r="D1873" s="3">
        <v>45254</v>
      </c>
      <c r="E1873" s="4" t="s">
        <v>5526</v>
      </c>
      <c r="F1873" s="2" t="str">
        <f>TRIM(Table1[[#This Row],[Status]])</f>
        <v>Zaakceptowana</v>
      </c>
      <c r="G1873" s="2" t="str">
        <f>TRIM(Table1[[#This Row],[Typ]])</f>
        <v>Faktura VAT</v>
      </c>
      <c r="H1873" s="2" t="str">
        <f>TRIM(Table1[[#This Row],[Magazyn]])</f>
        <v>Apteka Szpitalna</v>
      </c>
      <c r="I1873" s="2" t="str">
        <f>TRIM(Table1[[#This Row],[Umowa]])</f>
        <v>UM-POL-03</v>
      </c>
      <c r="J1873" s="2" t="b">
        <f>ISTEXT(Table14[[#This Row],[Data_Wystawienia]])</f>
        <v>0</v>
      </c>
      <c r="K1873" s="2">
        <f>VALUE(SUBSTITUTE(Table14[[#This Row],[Wartość]],".",","))</f>
        <v>8996.17</v>
      </c>
      <c r="L18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3" s="2" t="str">
        <f>IF(Table14[[#This Row],[Umowa]]="","Poza umową","Z umowy")</f>
        <v>Z umowy</v>
      </c>
      <c r="N1873" s="2">
        <f>YEAR(Table14[[#This Row],[Data_Wystawienia]])</f>
        <v>2023</v>
      </c>
      <c r="O1873" s="2" t="str">
        <f>TEXT(Table14[[#This Row],[Data_Wystawienia]],"rrrr-mm")</f>
        <v>2023-11</v>
      </c>
      <c r="P1873" s="2">
        <v>1</v>
      </c>
    </row>
    <row r="1874" spans="1:16" x14ac:dyDescent="0.3">
      <c r="A1874" s="2" t="str">
        <f>TRIM(Table1[[#This Row],[Numer_FV]])</f>
        <v>FV/CENFA/803839/23</v>
      </c>
      <c r="B1874" s="2" t="str">
        <f>TRIM(Table1[[#This Row],[Numer_PZ]])</f>
        <v>PZ/801872</v>
      </c>
      <c r="C1874" s="2" t="str">
        <f>TRIM(Table1[[#This Row],[Dostawca]])</f>
        <v>CentrumFarm</v>
      </c>
      <c r="D1874" s="3">
        <v>45255</v>
      </c>
      <c r="E1874" s="4" t="s">
        <v>5529</v>
      </c>
      <c r="F1874" s="2" t="str">
        <f>TRIM(Table1[[#This Row],[Status]])</f>
        <v>Zaakceptowana</v>
      </c>
      <c r="G1874" s="2" t="str">
        <f>TRIM(Table1[[#This Row],[Typ]])</f>
        <v>Faktura VAT</v>
      </c>
      <c r="H1874" s="2" t="str">
        <f>TRIM(Table1[[#This Row],[Magazyn]])</f>
        <v>Apteka Szpitalna</v>
      </c>
      <c r="I1874" s="2" t="str">
        <f>TRIM(Table1[[#This Row],[Umowa]])</f>
        <v>UM-CEN-02</v>
      </c>
      <c r="J1874" s="2" t="b">
        <f>ISTEXT(Table14[[#This Row],[Data_Wystawienia]])</f>
        <v>0</v>
      </c>
      <c r="K1874" s="2">
        <f>VALUE(SUBSTITUTE(Table14[[#This Row],[Wartość]],".",","))</f>
        <v>15292.3</v>
      </c>
      <c r="L18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4" s="2" t="str">
        <f>IF(Table14[[#This Row],[Umowa]]="","Poza umową","Z umowy")</f>
        <v>Z umowy</v>
      </c>
      <c r="N1874" s="2">
        <f>YEAR(Table14[[#This Row],[Data_Wystawienia]])</f>
        <v>2023</v>
      </c>
      <c r="O1874" s="2" t="str">
        <f>TEXT(Table14[[#This Row],[Data_Wystawienia]],"rrrr-mm")</f>
        <v>2023-11</v>
      </c>
      <c r="P1874" s="2">
        <v>1</v>
      </c>
    </row>
    <row r="1875" spans="1:16" x14ac:dyDescent="0.3">
      <c r="A1875" s="2" t="str">
        <f>TRIM(Table1[[#This Row],[Numer_FV]])</f>
        <v>FV/CENFA/923821/23</v>
      </c>
      <c r="B1875" s="2" t="str">
        <f>TRIM(Table1[[#This Row],[Numer_PZ]])</f>
        <v>PZ/801873</v>
      </c>
      <c r="C1875" s="2" t="str">
        <f>TRIM(Table1[[#This Row],[Dostawca]])</f>
        <v>CentrumFarm</v>
      </c>
      <c r="D1875" s="3">
        <v>45255</v>
      </c>
      <c r="E1875" s="4" t="s">
        <v>5532</v>
      </c>
      <c r="F1875" s="2" t="str">
        <f>TRIM(Table1[[#This Row],[Status]])</f>
        <v>Zaakceptowana</v>
      </c>
      <c r="G1875" s="2" t="str">
        <f>TRIM(Table1[[#This Row],[Typ]])</f>
        <v>Faktura VAT</v>
      </c>
      <c r="H1875" s="2" t="str">
        <f>TRIM(Table1[[#This Row],[Magazyn]])</f>
        <v>Apteka Szpitalna</v>
      </c>
      <c r="I1875" s="2" t="str">
        <f>TRIM(Table1[[#This Row],[Umowa]])</f>
        <v>UM-CEN-02</v>
      </c>
      <c r="J1875" s="2" t="b">
        <f>ISTEXT(Table14[[#This Row],[Data_Wystawienia]])</f>
        <v>0</v>
      </c>
      <c r="K1875" s="2">
        <f>VALUE(SUBSTITUTE(Table14[[#This Row],[Wartość]],".",","))</f>
        <v>14880.07</v>
      </c>
      <c r="L18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5" s="2" t="str">
        <f>IF(Table14[[#This Row],[Umowa]]="","Poza umową","Z umowy")</f>
        <v>Z umowy</v>
      </c>
      <c r="N1875" s="2">
        <f>YEAR(Table14[[#This Row],[Data_Wystawienia]])</f>
        <v>2023</v>
      </c>
      <c r="O1875" s="2" t="str">
        <f>TEXT(Table14[[#This Row],[Data_Wystawienia]],"rrrr-mm")</f>
        <v>2023-11</v>
      </c>
      <c r="P1875" s="2">
        <v>1</v>
      </c>
    </row>
    <row r="1876" spans="1:16" x14ac:dyDescent="0.3">
      <c r="A1876" s="2" t="str">
        <f>TRIM(Table1[[#This Row],[Numer_FV]])</f>
        <v>FV/19656/VDb/2023</v>
      </c>
      <c r="B1876" s="2" t="str">
        <f>TRIM(Table1[[#This Row],[Numer_PZ]])</f>
        <v>PZ/801874</v>
      </c>
      <c r="C1876" s="2" t="str">
        <f>TRIM(Table1[[#This Row],[Dostawca]])</f>
        <v>VitaDistrib</v>
      </c>
      <c r="D1876" s="3">
        <v>45255</v>
      </c>
      <c r="E1876" s="4" t="s">
        <v>5535</v>
      </c>
      <c r="F1876" s="2" t="str">
        <f>TRIM(Table1[[#This Row],[Status]])</f>
        <v>Zaakceptowana</v>
      </c>
      <c r="G1876" s="2" t="str">
        <f>TRIM(Table1[[#This Row],[Typ]])</f>
        <v>Faktura VAT</v>
      </c>
      <c r="H1876" s="2" t="str">
        <f>TRIM(Table1[[#This Row],[Magazyn]])</f>
        <v>Apteka Szpitalna</v>
      </c>
      <c r="I1876" s="2" t="str">
        <f>TRIM(Table1[[#This Row],[Umowa]])</f>
        <v>UM-VIT-01</v>
      </c>
      <c r="J1876" s="2" t="b">
        <f>ISTEXT(Table14[[#This Row],[Data_Wystawienia]])</f>
        <v>0</v>
      </c>
      <c r="K1876" s="2">
        <f>VALUE(SUBSTITUTE(Table14[[#This Row],[Wartość]],".",","))</f>
        <v>15861.9</v>
      </c>
      <c r="L18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6" s="2" t="str">
        <f>IF(Table14[[#This Row],[Umowa]]="","Poza umową","Z umowy")</f>
        <v>Z umowy</v>
      </c>
      <c r="N1876" s="2">
        <f>YEAR(Table14[[#This Row],[Data_Wystawienia]])</f>
        <v>2023</v>
      </c>
      <c r="O1876" s="2" t="str">
        <f>TEXT(Table14[[#This Row],[Data_Wystawienia]],"rrrr-mm")</f>
        <v>2023-11</v>
      </c>
      <c r="P1876" s="2">
        <v>1</v>
      </c>
    </row>
    <row r="1877" spans="1:16" x14ac:dyDescent="0.3">
      <c r="A1877" s="2" t="str">
        <f>TRIM(Table1[[#This Row],[Numer_FV]])</f>
        <v>FV/CENFA/340343/23</v>
      </c>
      <c r="B1877" s="2" t="str">
        <f>TRIM(Table1[[#This Row],[Numer_PZ]])</f>
        <v>PZ/801875</v>
      </c>
      <c r="C1877" s="2" t="str">
        <f>TRIM(Table1[[#This Row],[Dostawca]])</f>
        <v>CentrumFarm</v>
      </c>
      <c r="D1877" s="3">
        <v>45255</v>
      </c>
      <c r="E1877" s="4" t="s">
        <v>5538</v>
      </c>
      <c r="F1877" s="2" t="str">
        <f>TRIM(Table1[[#This Row],[Status]])</f>
        <v>Zaakceptowana</v>
      </c>
      <c r="G1877" s="2" t="str">
        <f>TRIM(Table1[[#This Row],[Typ]])</f>
        <v>Faktura VAT</v>
      </c>
      <c r="H1877" s="2" t="str">
        <f>TRIM(Table1[[#This Row],[Magazyn]])</f>
        <v>Apteka Szpitalna</v>
      </c>
      <c r="I1877" s="2" t="str">
        <f>TRIM(Table1[[#This Row],[Umowa]])</f>
        <v>UM-CEN-02</v>
      </c>
      <c r="J1877" s="2" t="b">
        <f>ISTEXT(Table14[[#This Row],[Data_Wystawienia]])</f>
        <v>0</v>
      </c>
      <c r="K1877" s="2">
        <f>VALUE(SUBSTITUTE(Table14[[#This Row],[Wartość]],".",","))</f>
        <v>16473.57</v>
      </c>
      <c r="L18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7" s="2" t="str">
        <f>IF(Table14[[#This Row],[Umowa]]="","Poza umową","Z umowy")</f>
        <v>Z umowy</v>
      </c>
      <c r="N1877" s="2">
        <f>YEAR(Table14[[#This Row],[Data_Wystawienia]])</f>
        <v>2023</v>
      </c>
      <c r="O1877" s="2" t="str">
        <f>TEXT(Table14[[#This Row],[Data_Wystawienia]],"rrrr-mm")</f>
        <v>2023-11</v>
      </c>
      <c r="P1877" s="2">
        <v>1</v>
      </c>
    </row>
    <row r="1878" spans="1:16" x14ac:dyDescent="0.3">
      <c r="A1878" s="2" t="str">
        <f>TRIM(Table1[[#This Row],[Numer_FV]])</f>
        <v>FV/POL/98077/2023</v>
      </c>
      <c r="B1878" s="2" t="str">
        <f>TRIM(Table1[[#This Row],[Numer_PZ]])</f>
        <v>PZ/801876</v>
      </c>
      <c r="C1878" s="2" t="str">
        <f>TRIM(Table1[[#This Row],[Dostawca]])</f>
        <v>Polmedica</v>
      </c>
      <c r="D1878" s="3">
        <v>45255</v>
      </c>
      <c r="E1878" s="4" t="s">
        <v>5541</v>
      </c>
      <c r="F1878" s="2" t="str">
        <f>TRIM(Table1[[#This Row],[Status]])</f>
        <v>Zaakceptowana</v>
      </c>
      <c r="G1878" s="2" t="str">
        <f>TRIM(Table1[[#This Row],[Typ]])</f>
        <v>Faktura VAT</v>
      </c>
      <c r="H1878" s="2" t="str">
        <f>TRIM(Table1[[#This Row],[Magazyn]])</f>
        <v>Apteka Szpitalna</v>
      </c>
      <c r="I1878" s="2" t="str">
        <f>TRIM(Table1[[#This Row],[Umowa]])</f>
        <v>UM-POL-01</v>
      </c>
      <c r="J1878" s="2" t="b">
        <f>ISTEXT(Table14[[#This Row],[Data_Wystawienia]])</f>
        <v>0</v>
      </c>
      <c r="K1878" s="2">
        <f>VALUE(SUBSTITUTE(Table14[[#This Row],[Wartość]],".",","))</f>
        <v>9487.9</v>
      </c>
      <c r="L18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8" s="2" t="str">
        <f>IF(Table14[[#This Row],[Umowa]]="","Poza umową","Z umowy")</f>
        <v>Z umowy</v>
      </c>
      <c r="N1878" s="2">
        <f>YEAR(Table14[[#This Row],[Data_Wystawienia]])</f>
        <v>2023</v>
      </c>
      <c r="O1878" s="2" t="str">
        <f>TEXT(Table14[[#This Row],[Data_Wystawienia]],"rrrr-mm")</f>
        <v>2023-11</v>
      </c>
      <c r="P1878" s="2">
        <v>1</v>
      </c>
    </row>
    <row r="1879" spans="1:16" x14ac:dyDescent="0.3">
      <c r="A1879" s="2" t="str">
        <f>TRIM(Table1[[#This Row],[Numer_FV]])</f>
        <v>FV/M/1227/P/23</v>
      </c>
      <c r="B1879" s="2" t="str">
        <f>TRIM(Table1[[#This Row],[Numer_PZ]])</f>
        <v>PZ/801877</v>
      </c>
      <c r="C1879" s="2" t="str">
        <f>TRIM(Table1[[#This Row],[Dostawca]])</f>
        <v>MedicaPharm</v>
      </c>
      <c r="D1879" s="3">
        <v>45256</v>
      </c>
      <c r="E1879" s="4" t="s">
        <v>5544</v>
      </c>
      <c r="F1879" s="2" t="str">
        <f>TRIM(Table1[[#This Row],[Status]])</f>
        <v>Zaakceptowana</v>
      </c>
      <c r="G1879" s="2" t="str">
        <f>TRIM(Table1[[#This Row],[Typ]])</f>
        <v>Faktura VAT</v>
      </c>
      <c r="H1879" s="2" t="str">
        <f>TRIM(Table1[[#This Row],[Magazyn]])</f>
        <v>Apteka Szpitalna</v>
      </c>
      <c r="I1879" s="2" t="str">
        <f>TRIM(Table1[[#This Row],[Umowa]])</f>
        <v>UM-MED-01</v>
      </c>
      <c r="J1879" s="2" t="b">
        <f>ISTEXT(Table14[[#This Row],[Data_Wystawienia]])</f>
        <v>0</v>
      </c>
      <c r="K1879" s="2">
        <f>VALUE(SUBSTITUTE(Table14[[#This Row],[Wartość]],".",","))</f>
        <v>13319.48</v>
      </c>
      <c r="L18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79" s="2" t="str">
        <f>IF(Table14[[#This Row],[Umowa]]="","Poza umową","Z umowy")</f>
        <v>Z umowy</v>
      </c>
      <c r="N1879" s="2">
        <f>YEAR(Table14[[#This Row],[Data_Wystawienia]])</f>
        <v>2023</v>
      </c>
      <c r="O1879" s="2" t="str">
        <f>TEXT(Table14[[#This Row],[Data_Wystawienia]],"rrrr-mm")</f>
        <v>2023-11</v>
      </c>
      <c r="P1879" s="2">
        <v>1</v>
      </c>
    </row>
    <row r="1880" spans="1:16" x14ac:dyDescent="0.3">
      <c r="A1880" s="2" t="str">
        <f>TRIM(Table1[[#This Row],[Numer_FV]])</f>
        <v>FV/2759HM/23</v>
      </c>
      <c r="B1880" s="2" t="str">
        <f>TRIM(Table1[[#This Row],[Numer_PZ]])</f>
        <v>PZ/801878</v>
      </c>
      <c r="C1880" s="2" t="str">
        <f>TRIM(Table1[[#This Row],[Dostawca]])</f>
        <v>HurtMedix</v>
      </c>
      <c r="D1880" s="3">
        <v>45256</v>
      </c>
      <c r="E1880" s="4" t="s">
        <v>5547</v>
      </c>
      <c r="F1880" s="2" t="str">
        <f>TRIM(Table1[[#This Row],[Status]])</f>
        <v>Zaakceptowana</v>
      </c>
      <c r="G1880" s="2" t="str">
        <f>TRIM(Table1[[#This Row],[Typ]])</f>
        <v>Korekta FV</v>
      </c>
      <c r="H1880" s="2" t="str">
        <f>TRIM(Table1[[#This Row],[Magazyn]])</f>
        <v>Apteka Szpitalna</v>
      </c>
      <c r="I1880" s="2" t="str">
        <f>TRIM(Table1[[#This Row],[Umowa]])</f>
        <v>UM-HUR-02</v>
      </c>
      <c r="J1880" s="2" t="b">
        <f>ISTEXT(Table14[[#This Row],[Data_Wystawienia]])</f>
        <v>0</v>
      </c>
      <c r="K1880" s="2">
        <f>VALUE(SUBSTITUTE(Table14[[#This Row],[Wartość]],".",","))</f>
        <v>-1471.74</v>
      </c>
      <c r="L18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0" s="2" t="str">
        <f>IF(Table14[[#This Row],[Umowa]]="","Poza umową","Z umowy")</f>
        <v>Z umowy</v>
      </c>
      <c r="N1880" s="2">
        <f>YEAR(Table14[[#This Row],[Data_Wystawienia]])</f>
        <v>2023</v>
      </c>
      <c r="O1880" s="2" t="str">
        <f>TEXT(Table14[[#This Row],[Data_Wystawienia]],"rrrr-mm")</f>
        <v>2023-11</v>
      </c>
      <c r="P1880" s="2">
        <v>1</v>
      </c>
    </row>
    <row r="1881" spans="1:16" x14ac:dyDescent="0.3">
      <c r="A1881" s="2" t="str">
        <f>TRIM(Table1[[#This Row],[Numer_FV]])</f>
        <v>FV/1948/NOVA/23</v>
      </c>
      <c r="B1881" s="2" t="str">
        <f>TRIM(Table1[[#This Row],[Numer_PZ]])</f>
        <v>PZ/801879</v>
      </c>
      <c r="C1881" s="2" t="str">
        <f>TRIM(Table1[[#This Row],[Dostawca]])</f>
        <v>NovaLek</v>
      </c>
      <c r="D1881" s="3">
        <v>45257</v>
      </c>
      <c r="E1881" s="4" t="s">
        <v>5550</v>
      </c>
      <c r="F1881" s="2" t="str">
        <f>TRIM(Table1[[#This Row],[Status]])</f>
        <v>Zaakceptowana</v>
      </c>
      <c r="G1881" s="2" t="str">
        <f>TRIM(Table1[[#This Row],[Typ]])</f>
        <v>Faktura VAT</v>
      </c>
      <c r="H1881" s="2" t="str">
        <f>TRIM(Table1[[#This Row],[Magazyn]])</f>
        <v>Apteka Szpitalna</v>
      </c>
      <c r="I1881" s="2" t="str">
        <f>TRIM(Table1[[#This Row],[Umowa]])</f>
        <v/>
      </c>
      <c r="J1881" s="2" t="b">
        <f>ISTEXT(Table14[[#This Row],[Data_Wystawienia]])</f>
        <v>0</v>
      </c>
      <c r="K1881" s="2">
        <f>VALUE(SUBSTITUTE(Table14[[#This Row],[Wartość]],".",","))</f>
        <v>8371.74</v>
      </c>
      <c r="L18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1" s="2" t="str">
        <f>IF(Table14[[#This Row],[Umowa]]="","Poza umową","Z umowy")</f>
        <v>Poza umową</v>
      </c>
      <c r="N1881" s="2">
        <f>YEAR(Table14[[#This Row],[Data_Wystawienia]])</f>
        <v>2023</v>
      </c>
      <c r="O1881" s="2" t="str">
        <f>TEXT(Table14[[#This Row],[Data_Wystawienia]],"rrrr-mm")</f>
        <v>2023-11</v>
      </c>
      <c r="P1881" s="2">
        <v>1</v>
      </c>
    </row>
    <row r="1882" spans="1:16" x14ac:dyDescent="0.3">
      <c r="A1882" s="2" t="str">
        <f>TRIM(Table1[[#This Row],[Numer_FV]])</f>
        <v>FV/54/PP/8793/23</v>
      </c>
      <c r="B1882" s="2" t="str">
        <f>TRIM(Table1[[#This Row],[Numer_PZ]])</f>
        <v>PZ/801880</v>
      </c>
      <c r="C1882" s="2" t="str">
        <f>TRIM(Table1[[#This Row],[Dostawca]])</f>
        <v>PharmaPlus</v>
      </c>
      <c r="D1882" s="3">
        <v>45257</v>
      </c>
      <c r="E1882" s="4" t="s">
        <v>5553</v>
      </c>
      <c r="F1882" s="2" t="str">
        <f>TRIM(Table1[[#This Row],[Status]])</f>
        <v>Zaakceptowana</v>
      </c>
      <c r="G1882" s="2" t="str">
        <f>TRIM(Table1[[#This Row],[Typ]])</f>
        <v>Faktura VAT</v>
      </c>
      <c r="H1882" s="2" t="str">
        <f>TRIM(Table1[[#This Row],[Magazyn]])</f>
        <v>Apteka Szpitalna</v>
      </c>
      <c r="I1882" s="2" t="str">
        <f>TRIM(Table1[[#This Row],[Umowa]])</f>
        <v/>
      </c>
      <c r="J1882" s="2" t="b">
        <f>ISTEXT(Table14[[#This Row],[Data_Wystawienia]])</f>
        <v>0</v>
      </c>
      <c r="K1882" s="2">
        <f>VALUE(SUBSTITUTE(Table14[[#This Row],[Wartość]],".",","))</f>
        <v>25387.22</v>
      </c>
      <c r="L18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2" s="2" t="str">
        <f>IF(Table14[[#This Row],[Umowa]]="","Poza umową","Z umowy")</f>
        <v>Poza umową</v>
      </c>
      <c r="N1882" s="2">
        <f>YEAR(Table14[[#This Row],[Data_Wystawienia]])</f>
        <v>2023</v>
      </c>
      <c r="O1882" s="2" t="str">
        <f>TEXT(Table14[[#This Row],[Data_Wystawienia]],"rrrr-mm")</f>
        <v>2023-11</v>
      </c>
      <c r="P1882" s="2">
        <v>1</v>
      </c>
    </row>
    <row r="1883" spans="1:16" x14ac:dyDescent="0.3">
      <c r="A1883" s="2" t="str">
        <f>TRIM(Table1[[#This Row],[Numer_FV]])</f>
        <v>FV/POL/65336/2023</v>
      </c>
      <c r="B1883" s="2" t="str">
        <f>TRIM(Table1[[#This Row],[Numer_PZ]])</f>
        <v>PZ/801881</v>
      </c>
      <c r="C1883" s="2" t="str">
        <f>TRIM(Table1[[#This Row],[Dostawca]])</f>
        <v>Polmedica</v>
      </c>
      <c r="D1883" s="3">
        <v>45258</v>
      </c>
      <c r="E1883" s="4" t="s">
        <v>5556</v>
      </c>
      <c r="F1883" s="2" t="str">
        <f>TRIM(Table1[[#This Row],[Status]])</f>
        <v>Zaakceptowana</v>
      </c>
      <c r="G1883" s="2" t="str">
        <f>TRIM(Table1[[#This Row],[Typ]])</f>
        <v>Faktura VAT</v>
      </c>
      <c r="H1883" s="2" t="str">
        <f>TRIM(Table1[[#This Row],[Magazyn]])</f>
        <v>Apteka Szpitalna</v>
      </c>
      <c r="I1883" s="2" t="str">
        <f>TRIM(Table1[[#This Row],[Umowa]])</f>
        <v>UM-POL-01</v>
      </c>
      <c r="J1883" s="2" t="b">
        <f>ISTEXT(Table14[[#This Row],[Data_Wystawienia]])</f>
        <v>0</v>
      </c>
      <c r="K1883" s="2">
        <f>VALUE(SUBSTITUTE(Table14[[#This Row],[Wartość]],".",","))</f>
        <v>10491.47</v>
      </c>
      <c r="L18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3" s="2" t="str">
        <f>IF(Table14[[#This Row],[Umowa]]="","Poza umową","Z umowy")</f>
        <v>Z umowy</v>
      </c>
      <c r="N1883" s="2">
        <f>YEAR(Table14[[#This Row],[Data_Wystawienia]])</f>
        <v>2023</v>
      </c>
      <c r="O1883" s="2" t="str">
        <f>TEXT(Table14[[#This Row],[Data_Wystawienia]],"rrrr-mm")</f>
        <v>2023-11</v>
      </c>
      <c r="P1883" s="2">
        <v>1</v>
      </c>
    </row>
    <row r="1884" spans="1:16" x14ac:dyDescent="0.3">
      <c r="A1884" s="2" t="str">
        <f>TRIM(Table1[[#This Row],[Numer_FV]])</f>
        <v>FV/61/SAL/23</v>
      </c>
      <c r="B1884" s="2" t="str">
        <f>TRIM(Table1[[#This Row],[Numer_PZ]])</f>
        <v>PZ/801882</v>
      </c>
      <c r="C1884" s="2" t="str">
        <f>TRIM(Table1[[#This Row],[Dostawca]])</f>
        <v>SalusHurt</v>
      </c>
      <c r="D1884" s="3">
        <v>45258</v>
      </c>
      <c r="E1884" s="4" t="s">
        <v>5558</v>
      </c>
      <c r="F1884" s="2" t="str">
        <f>TRIM(Table1[[#This Row],[Status]])</f>
        <v>Zaakceptowana</v>
      </c>
      <c r="G1884" s="2" t="str">
        <f>TRIM(Table1[[#This Row],[Typ]])</f>
        <v>Faktura VAT</v>
      </c>
      <c r="H1884" s="2" t="str">
        <f>TRIM(Table1[[#This Row],[Magazyn]])</f>
        <v>Apteka Szpitalna</v>
      </c>
      <c r="I1884" s="2" t="str">
        <f>TRIM(Table1[[#This Row],[Umowa]])</f>
        <v>UM-SAL-01</v>
      </c>
      <c r="J1884" s="2" t="b">
        <f>ISTEXT(Table14[[#This Row],[Data_Wystawienia]])</f>
        <v>0</v>
      </c>
      <c r="K1884" s="2">
        <f>VALUE(SUBSTITUTE(Table14[[#This Row],[Wartość]],".",","))</f>
        <v>15046.14</v>
      </c>
      <c r="L18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4" s="2" t="str">
        <f>IF(Table14[[#This Row],[Umowa]]="","Poza umową","Z umowy")</f>
        <v>Z umowy</v>
      </c>
      <c r="N1884" s="2">
        <f>YEAR(Table14[[#This Row],[Data_Wystawienia]])</f>
        <v>2023</v>
      </c>
      <c r="O1884" s="2" t="str">
        <f>TEXT(Table14[[#This Row],[Data_Wystawienia]],"rrrr-mm")</f>
        <v>2023-11</v>
      </c>
      <c r="P1884" s="2">
        <v>1</v>
      </c>
    </row>
    <row r="1885" spans="1:16" x14ac:dyDescent="0.3">
      <c r="A1885" s="2" t="str">
        <f>TRIM(Table1[[#This Row],[Numer_FV]])</f>
        <v>FV/CENFA/764473/23</v>
      </c>
      <c r="B1885" s="2" t="str">
        <f>TRIM(Table1[[#This Row],[Numer_PZ]])</f>
        <v>PZ/801883</v>
      </c>
      <c r="C1885" s="2" t="str">
        <f>TRIM(Table1[[#This Row],[Dostawca]])</f>
        <v>CentrumFarm</v>
      </c>
      <c r="D1885" s="3">
        <v>45258</v>
      </c>
      <c r="E1885" s="4" t="s">
        <v>5561</v>
      </c>
      <c r="F1885" s="2" t="str">
        <f>TRIM(Table1[[#This Row],[Status]])</f>
        <v>Zaakceptowana</v>
      </c>
      <c r="G1885" s="2" t="str">
        <f>TRIM(Table1[[#This Row],[Typ]])</f>
        <v>Faktura VAT</v>
      </c>
      <c r="H1885" s="2" t="str">
        <f>TRIM(Table1[[#This Row],[Magazyn]])</f>
        <v>Apteka Szpitalna</v>
      </c>
      <c r="I1885" s="2" t="str">
        <f>TRIM(Table1[[#This Row],[Umowa]])</f>
        <v>UM-CEN-01</v>
      </c>
      <c r="J1885" s="2" t="b">
        <f>ISTEXT(Table14[[#This Row],[Data_Wystawienia]])</f>
        <v>0</v>
      </c>
      <c r="K1885" s="2">
        <f>VALUE(SUBSTITUTE(Table14[[#This Row],[Wartość]],".",","))</f>
        <v>14746.83</v>
      </c>
      <c r="L18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5" s="2" t="str">
        <f>IF(Table14[[#This Row],[Umowa]]="","Poza umową","Z umowy")</f>
        <v>Z umowy</v>
      </c>
      <c r="N1885" s="2">
        <f>YEAR(Table14[[#This Row],[Data_Wystawienia]])</f>
        <v>2023</v>
      </c>
      <c r="O1885" s="2" t="str">
        <f>TEXT(Table14[[#This Row],[Data_Wystawienia]],"rrrr-mm")</f>
        <v>2023-11</v>
      </c>
      <c r="P1885" s="2">
        <v>1</v>
      </c>
    </row>
    <row r="1886" spans="1:16" x14ac:dyDescent="0.3">
      <c r="A1886" s="2" t="str">
        <f>TRIM(Table1[[#This Row],[Numer_FV]])</f>
        <v>FV/CENFA/318452/23</v>
      </c>
      <c r="B1886" s="2" t="str">
        <f>TRIM(Table1[[#This Row],[Numer_PZ]])</f>
        <v>PZ/801884</v>
      </c>
      <c r="C1886" s="2" t="str">
        <f>TRIM(Table1[[#This Row],[Dostawca]])</f>
        <v>CentrumFarm</v>
      </c>
      <c r="D1886" s="3">
        <v>45258</v>
      </c>
      <c r="E1886" s="4" t="s">
        <v>5564</v>
      </c>
      <c r="F1886" s="2" t="str">
        <f>TRIM(Table1[[#This Row],[Status]])</f>
        <v>Zaakceptowana</v>
      </c>
      <c r="G1886" s="2" t="str">
        <f>TRIM(Table1[[#This Row],[Typ]])</f>
        <v>Faktura VAT</v>
      </c>
      <c r="H1886" s="2" t="str">
        <f>TRIM(Table1[[#This Row],[Magazyn]])</f>
        <v>Apteka Szpitalna</v>
      </c>
      <c r="I1886" s="2" t="str">
        <f>TRIM(Table1[[#This Row],[Umowa]])</f>
        <v>UM-CEN-01</v>
      </c>
      <c r="J1886" s="2" t="b">
        <f>ISTEXT(Table14[[#This Row],[Data_Wystawienia]])</f>
        <v>0</v>
      </c>
      <c r="K1886" s="2">
        <f>VALUE(SUBSTITUTE(Table14[[#This Row],[Wartość]],".",","))</f>
        <v>10046.219999999999</v>
      </c>
      <c r="L18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6" s="2" t="str">
        <f>IF(Table14[[#This Row],[Umowa]]="","Poza umową","Z umowy")</f>
        <v>Z umowy</v>
      </c>
      <c r="N1886" s="2">
        <f>YEAR(Table14[[#This Row],[Data_Wystawienia]])</f>
        <v>2023</v>
      </c>
      <c r="O1886" s="2" t="str">
        <f>TEXT(Table14[[#This Row],[Data_Wystawienia]],"rrrr-mm")</f>
        <v>2023-11</v>
      </c>
      <c r="P1886" s="2">
        <v>1</v>
      </c>
    </row>
    <row r="1887" spans="1:16" x14ac:dyDescent="0.3">
      <c r="A1887" s="2" t="str">
        <f>TRIM(Table1[[#This Row],[Numer_FV]])</f>
        <v>FV/M/1356/P/23</v>
      </c>
      <c r="B1887" s="2" t="str">
        <f>TRIM(Table1[[#This Row],[Numer_PZ]])</f>
        <v>PZ/801885</v>
      </c>
      <c r="C1887" s="2" t="str">
        <f>TRIM(Table1[[#This Row],[Dostawca]])</f>
        <v>MedicaPharm</v>
      </c>
      <c r="D1887" s="3">
        <v>45258</v>
      </c>
      <c r="E1887" s="4" t="s">
        <v>5567</v>
      </c>
      <c r="F1887" s="2" t="str">
        <f>TRIM(Table1[[#This Row],[Status]])</f>
        <v>Zaakceptowana</v>
      </c>
      <c r="G1887" s="2" t="str">
        <f>TRIM(Table1[[#This Row],[Typ]])</f>
        <v>Faktura VAT</v>
      </c>
      <c r="H1887" s="2" t="str">
        <f>TRIM(Table1[[#This Row],[Magazyn]])</f>
        <v>Apteka Szpitalna</v>
      </c>
      <c r="I1887" s="2" t="str">
        <f>TRIM(Table1[[#This Row],[Umowa]])</f>
        <v/>
      </c>
      <c r="J1887" s="2" t="b">
        <f>ISTEXT(Table14[[#This Row],[Data_Wystawienia]])</f>
        <v>0</v>
      </c>
      <c r="K1887" s="2">
        <f>VALUE(SUBSTITUTE(Table14[[#This Row],[Wartość]],".",","))</f>
        <v>15836.21</v>
      </c>
      <c r="L18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7" s="2" t="str">
        <f>IF(Table14[[#This Row],[Umowa]]="","Poza umową","Z umowy")</f>
        <v>Poza umową</v>
      </c>
      <c r="N1887" s="2">
        <f>YEAR(Table14[[#This Row],[Data_Wystawienia]])</f>
        <v>2023</v>
      </c>
      <c r="O1887" s="2" t="str">
        <f>TEXT(Table14[[#This Row],[Data_Wystawienia]],"rrrr-mm")</f>
        <v>2023-11</v>
      </c>
      <c r="P1887" s="2">
        <v>1</v>
      </c>
    </row>
    <row r="1888" spans="1:16" x14ac:dyDescent="0.3">
      <c r="A1888" s="2" t="str">
        <f>TRIM(Table1[[#This Row],[Numer_FV]])</f>
        <v>FV/1874/NOVA/23</v>
      </c>
      <c r="B1888" s="2" t="str">
        <f>TRIM(Table1[[#This Row],[Numer_PZ]])</f>
        <v>PZ/801886</v>
      </c>
      <c r="C1888" s="2" t="str">
        <f>TRIM(Table1[[#This Row],[Dostawca]])</f>
        <v>NovaLek</v>
      </c>
      <c r="D1888" s="3">
        <v>45259</v>
      </c>
      <c r="E1888" s="4" t="s">
        <v>5570</v>
      </c>
      <c r="F1888" s="2" t="str">
        <f>TRIM(Table1[[#This Row],[Status]])</f>
        <v>Zaakceptowana</v>
      </c>
      <c r="G1888" s="2" t="str">
        <f>TRIM(Table1[[#This Row],[Typ]])</f>
        <v>Faktura VAT</v>
      </c>
      <c r="H1888" s="2" t="str">
        <f>TRIM(Table1[[#This Row],[Magazyn]])</f>
        <v>Apteka Szpitalna</v>
      </c>
      <c r="I1888" s="2" t="str">
        <f>TRIM(Table1[[#This Row],[Umowa]])</f>
        <v>UM-NOV-02</v>
      </c>
      <c r="J1888" s="2" t="b">
        <f>ISTEXT(Table14[[#This Row],[Data_Wystawienia]])</f>
        <v>0</v>
      </c>
      <c r="K1888" s="2">
        <f>VALUE(SUBSTITUTE(Table14[[#This Row],[Wartość]],".",","))</f>
        <v>15310.52</v>
      </c>
      <c r="L18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8" s="2" t="str">
        <f>IF(Table14[[#This Row],[Umowa]]="","Poza umową","Z umowy")</f>
        <v>Z umowy</v>
      </c>
      <c r="N1888" s="2">
        <f>YEAR(Table14[[#This Row],[Data_Wystawienia]])</f>
        <v>2023</v>
      </c>
      <c r="O1888" s="2" t="str">
        <f>TEXT(Table14[[#This Row],[Data_Wystawienia]],"rrrr-mm")</f>
        <v>2023-11</v>
      </c>
      <c r="P1888" s="2">
        <v>1</v>
      </c>
    </row>
    <row r="1889" spans="1:16" x14ac:dyDescent="0.3">
      <c r="A1889" s="2" t="str">
        <f>TRIM(Table1[[#This Row],[Numer_FV]])</f>
        <v>FV/CENFA/698065/23</v>
      </c>
      <c r="B1889" s="2" t="str">
        <f>TRIM(Table1[[#This Row],[Numer_PZ]])</f>
        <v>PZ/801887</v>
      </c>
      <c r="C1889" s="2" t="str">
        <f>TRIM(Table1[[#This Row],[Dostawca]])</f>
        <v>CentrumFarm</v>
      </c>
      <c r="D1889" s="3">
        <v>45262</v>
      </c>
      <c r="E1889" s="4" t="s">
        <v>5573</v>
      </c>
      <c r="F1889" s="2" t="str">
        <f>TRIM(Table1[[#This Row],[Status]])</f>
        <v>Zaakceptowana</v>
      </c>
      <c r="G1889" s="2" t="str">
        <f>TRIM(Table1[[#This Row],[Typ]])</f>
        <v>Faktura VAT</v>
      </c>
      <c r="H1889" s="2" t="str">
        <f>TRIM(Table1[[#This Row],[Magazyn]])</f>
        <v>Apteka Szpitalna</v>
      </c>
      <c r="I1889" s="2" t="str">
        <f>TRIM(Table1[[#This Row],[Umowa]])</f>
        <v>UM-CEN-01</v>
      </c>
      <c r="J1889" s="2" t="b">
        <f>ISTEXT(Table14[[#This Row],[Data_Wystawienia]])</f>
        <v>0</v>
      </c>
      <c r="K1889" s="2">
        <f>VALUE(SUBSTITUTE(Table14[[#This Row],[Wartość]],".",","))</f>
        <v>10259.469999999999</v>
      </c>
      <c r="L18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89" s="2" t="str">
        <f>IF(Table14[[#This Row],[Umowa]]="","Poza umową","Z umowy")</f>
        <v>Z umowy</v>
      </c>
      <c r="N1889" s="2">
        <f>YEAR(Table14[[#This Row],[Data_Wystawienia]])</f>
        <v>2023</v>
      </c>
      <c r="O1889" s="2" t="str">
        <f>TEXT(Table14[[#This Row],[Data_Wystawienia]],"rrrr-mm")</f>
        <v>2023-12</v>
      </c>
      <c r="P1889" s="2">
        <v>1</v>
      </c>
    </row>
    <row r="1890" spans="1:16" x14ac:dyDescent="0.3">
      <c r="A1890" s="2" t="str">
        <f>TRIM(Table1[[#This Row],[Numer_FV]])</f>
        <v>FV/31/SAL/23</v>
      </c>
      <c r="B1890" s="2" t="str">
        <f>TRIM(Table1[[#This Row],[Numer_PZ]])</f>
        <v>PZ/801888</v>
      </c>
      <c r="C1890" s="2" t="str">
        <f>TRIM(Table1[[#This Row],[Dostawca]])</f>
        <v>SalusHurt</v>
      </c>
      <c r="D1890" s="3">
        <v>45262</v>
      </c>
      <c r="E1890" s="4" t="s">
        <v>5575</v>
      </c>
      <c r="F1890" s="2" t="str">
        <f>TRIM(Table1[[#This Row],[Status]])</f>
        <v>Zaakceptowana</v>
      </c>
      <c r="G1890" s="2" t="str">
        <f>TRIM(Table1[[#This Row],[Typ]])</f>
        <v>Faktura VAT</v>
      </c>
      <c r="H1890" s="2" t="str">
        <f>TRIM(Table1[[#This Row],[Magazyn]])</f>
        <v>Apteka Szpitalna</v>
      </c>
      <c r="I1890" s="2" t="str">
        <f>TRIM(Table1[[#This Row],[Umowa]])</f>
        <v>UM-SAL-02</v>
      </c>
      <c r="J1890" s="2" t="b">
        <f>ISTEXT(Table14[[#This Row],[Data_Wystawienia]])</f>
        <v>0</v>
      </c>
      <c r="K1890" s="2">
        <f>VALUE(SUBSTITUTE(Table14[[#This Row],[Wartość]],".",","))</f>
        <v>11356.44</v>
      </c>
      <c r="L18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0" s="2" t="str">
        <f>IF(Table14[[#This Row],[Umowa]]="","Poza umową","Z umowy")</f>
        <v>Z umowy</v>
      </c>
      <c r="N1890" s="2">
        <f>YEAR(Table14[[#This Row],[Data_Wystawienia]])</f>
        <v>2023</v>
      </c>
      <c r="O1890" s="2" t="str">
        <f>TEXT(Table14[[#This Row],[Data_Wystawienia]],"rrrr-mm")</f>
        <v>2023-12</v>
      </c>
      <c r="P1890" s="2">
        <v>1</v>
      </c>
    </row>
    <row r="1891" spans="1:16" x14ac:dyDescent="0.3">
      <c r="A1891" s="2" t="str">
        <f>TRIM(Table1[[#This Row],[Numer_FV]])</f>
        <v>FV/M/5265/P/23</v>
      </c>
      <c r="B1891" s="2" t="str">
        <f>TRIM(Table1[[#This Row],[Numer_PZ]])</f>
        <v>PZ/801889</v>
      </c>
      <c r="C1891" s="2" t="str">
        <f>TRIM(Table1[[#This Row],[Dostawca]])</f>
        <v>MedicaPharm</v>
      </c>
      <c r="D1891" s="3">
        <v>45264</v>
      </c>
      <c r="E1891" s="4" t="s">
        <v>5578</v>
      </c>
      <c r="F1891" s="2" t="str">
        <f>TRIM(Table1[[#This Row],[Status]])</f>
        <v>Zaakceptowana</v>
      </c>
      <c r="G1891" s="2" t="str">
        <f>TRIM(Table1[[#This Row],[Typ]])</f>
        <v>Faktura VAT</v>
      </c>
      <c r="H1891" s="2" t="str">
        <f>TRIM(Table1[[#This Row],[Magazyn]])</f>
        <v>Apteka Szpitalna</v>
      </c>
      <c r="I1891" s="2" t="str">
        <f>TRIM(Table1[[#This Row],[Umowa]])</f>
        <v>UM-MED-02</v>
      </c>
      <c r="J1891" s="2" t="b">
        <f>ISTEXT(Table14[[#This Row],[Data_Wystawienia]])</f>
        <v>0</v>
      </c>
      <c r="K1891" s="2">
        <f>VALUE(SUBSTITUTE(Table14[[#This Row],[Wartość]],".",","))</f>
        <v>15184.6</v>
      </c>
      <c r="L18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1" s="2" t="str">
        <f>IF(Table14[[#This Row],[Umowa]]="","Poza umową","Z umowy")</f>
        <v>Z umowy</v>
      </c>
      <c r="N1891" s="2">
        <f>YEAR(Table14[[#This Row],[Data_Wystawienia]])</f>
        <v>2023</v>
      </c>
      <c r="O1891" s="2" t="str">
        <f>TEXT(Table14[[#This Row],[Data_Wystawienia]],"rrrr-mm")</f>
        <v>2023-12</v>
      </c>
      <c r="P1891" s="2">
        <v>1</v>
      </c>
    </row>
    <row r="1892" spans="1:16" x14ac:dyDescent="0.3">
      <c r="A1892" s="2" t="str">
        <f>TRIM(Table1[[#This Row],[Numer_FV]])</f>
        <v>FV/1734HM/23</v>
      </c>
      <c r="B1892" s="2" t="str">
        <f>TRIM(Table1[[#This Row],[Numer_PZ]])</f>
        <v>PZ/801890</v>
      </c>
      <c r="C1892" s="2" t="str">
        <f>TRIM(Table1[[#This Row],[Dostawca]])</f>
        <v>HurtMedix</v>
      </c>
      <c r="D1892" s="3">
        <v>45265</v>
      </c>
      <c r="E1892" s="4" t="s">
        <v>5581</v>
      </c>
      <c r="F1892" s="2" t="str">
        <f>TRIM(Table1[[#This Row],[Status]])</f>
        <v>Zaakceptowana</v>
      </c>
      <c r="G1892" s="2" t="str">
        <f>TRIM(Table1[[#This Row],[Typ]])</f>
        <v>Faktura VAT</v>
      </c>
      <c r="H1892" s="2" t="str">
        <f>TRIM(Table1[[#This Row],[Magazyn]])</f>
        <v>Apteka Szpitalna</v>
      </c>
      <c r="I1892" s="2" t="str">
        <f>TRIM(Table1[[#This Row],[Umowa]])</f>
        <v/>
      </c>
      <c r="J1892" s="2" t="b">
        <f>ISTEXT(Table14[[#This Row],[Data_Wystawienia]])</f>
        <v>0</v>
      </c>
      <c r="K1892" s="2">
        <f>VALUE(SUBSTITUTE(Table14[[#This Row],[Wartość]],".",","))</f>
        <v>5647.62</v>
      </c>
      <c r="L18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2" s="2" t="str">
        <f>IF(Table14[[#This Row],[Umowa]]="","Poza umową","Z umowy")</f>
        <v>Poza umową</v>
      </c>
      <c r="N1892" s="2">
        <f>YEAR(Table14[[#This Row],[Data_Wystawienia]])</f>
        <v>2023</v>
      </c>
      <c r="O1892" s="2" t="str">
        <f>TEXT(Table14[[#This Row],[Data_Wystawienia]],"rrrr-mm")</f>
        <v>2023-12</v>
      </c>
      <c r="P1892" s="2">
        <v>1</v>
      </c>
    </row>
    <row r="1893" spans="1:16" x14ac:dyDescent="0.3">
      <c r="A1893" s="2" t="str">
        <f>TRIM(Table1[[#This Row],[Numer_FV]])</f>
        <v>FV/CENFA/567822/23</v>
      </c>
      <c r="B1893" s="2" t="str">
        <f>TRIM(Table1[[#This Row],[Numer_PZ]])</f>
        <v>PZ/801891</v>
      </c>
      <c r="C1893" s="2" t="str">
        <f>TRIM(Table1[[#This Row],[Dostawca]])</f>
        <v>CentrumFarm</v>
      </c>
      <c r="D1893" s="3">
        <v>45265</v>
      </c>
      <c r="E1893" s="4" t="s">
        <v>5584</v>
      </c>
      <c r="F1893" s="2" t="str">
        <f>TRIM(Table1[[#This Row],[Status]])</f>
        <v>Zaakceptowana</v>
      </c>
      <c r="G1893" s="2" t="str">
        <f>TRIM(Table1[[#This Row],[Typ]])</f>
        <v>Faktura VAT</v>
      </c>
      <c r="H1893" s="2" t="str">
        <f>TRIM(Table1[[#This Row],[Magazyn]])</f>
        <v>Apteka Szpitalna</v>
      </c>
      <c r="I1893" s="2" t="str">
        <f>TRIM(Table1[[#This Row],[Umowa]])</f>
        <v>UM-CEN-01</v>
      </c>
      <c r="J1893" s="2" t="b">
        <f>ISTEXT(Table14[[#This Row],[Data_Wystawienia]])</f>
        <v>0</v>
      </c>
      <c r="K1893" s="2">
        <f>VALUE(SUBSTITUTE(Table14[[#This Row],[Wartość]],".",","))</f>
        <v>12651.05</v>
      </c>
      <c r="L18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3" s="2" t="str">
        <f>IF(Table14[[#This Row],[Umowa]]="","Poza umową","Z umowy")</f>
        <v>Z umowy</v>
      </c>
      <c r="N1893" s="2">
        <f>YEAR(Table14[[#This Row],[Data_Wystawienia]])</f>
        <v>2023</v>
      </c>
      <c r="O1893" s="2" t="str">
        <f>TEXT(Table14[[#This Row],[Data_Wystawienia]],"rrrr-mm")</f>
        <v>2023-12</v>
      </c>
      <c r="P1893" s="2">
        <v>1</v>
      </c>
    </row>
    <row r="1894" spans="1:16" x14ac:dyDescent="0.3">
      <c r="A1894" s="2" t="str">
        <f>TRIM(Table1[[#This Row],[Numer_FV]])</f>
        <v>FV/69419/VDb/2023</v>
      </c>
      <c r="B1894" s="2" t="str">
        <f>TRIM(Table1[[#This Row],[Numer_PZ]])</f>
        <v>PZ/801892</v>
      </c>
      <c r="C1894" s="2" t="str">
        <f>TRIM(Table1[[#This Row],[Dostawca]])</f>
        <v>VitaDistrib</v>
      </c>
      <c r="D1894" s="3">
        <v>45266</v>
      </c>
      <c r="E1894" s="4" t="s">
        <v>5587</v>
      </c>
      <c r="F1894" s="2" t="str">
        <f>TRIM(Table1[[#This Row],[Status]])</f>
        <v>Zaakceptowana</v>
      </c>
      <c r="G1894" s="2" t="str">
        <f>TRIM(Table1[[#This Row],[Typ]])</f>
        <v>Faktura VAT</v>
      </c>
      <c r="H1894" s="2" t="str">
        <f>TRIM(Table1[[#This Row],[Magazyn]])</f>
        <v>Apteka Szpitalna</v>
      </c>
      <c r="I1894" s="2" t="str">
        <f>TRIM(Table1[[#This Row],[Umowa]])</f>
        <v>UM-VIT-01</v>
      </c>
      <c r="J1894" s="2" t="b">
        <f>ISTEXT(Table14[[#This Row],[Data_Wystawienia]])</f>
        <v>0</v>
      </c>
      <c r="K1894" s="2">
        <f>VALUE(SUBSTITUTE(Table14[[#This Row],[Wartość]],".",","))</f>
        <v>13797.76</v>
      </c>
      <c r="L18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4" s="2" t="str">
        <f>IF(Table14[[#This Row],[Umowa]]="","Poza umową","Z umowy")</f>
        <v>Z umowy</v>
      </c>
      <c r="N1894" s="2">
        <f>YEAR(Table14[[#This Row],[Data_Wystawienia]])</f>
        <v>2023</v>
      </c>
      <c r="O1894" s="2" t="str">
        <f>TEXT(Table14[[#This Row],[Data_Wystawienia]],"rrrr-mm")</f>
        <v>2023-12</v>
      </c>
      <c r="P1894" s="2">
        <v>1</v>
      </c>
    </row>
    <row r="1895" spans="1:16" x14ac:dyDescent="0.3">
      <c r="A1895" s="2" t="str">
        <f>TRIM(Table1[[#This Row],[Numer_FV]])</f>
        <v>FV/M/2253/P/23</v>
      </c>
      <c r="B1895" s="2" t="str">
        <f>TRIM(Table1[[#This Row],[Numer_PZ]])</f>
        <v>PZ/801893</v>
      </c>
      <c r="C1895" s="2" t="str">
        <f>TRIM(Table1[[#This Row],[Dostawca]])</f>
        <v>MedicaPharm</v>
      </c>
      <c r="D1895" s="3">
        <v>45267</v>
      </c>
      <c r="E1895" s="4" t="s">
        <v>5590</v>
      </c>
      <c r="F1895" s="2" t="str">
        <f>TRIM(Table1[[#This Row],[Status]])</f>
        <v>Zaakceptowana</v>
      </c>
      <c r="G1895" s="2" t="str">
        <f>TRIM(Table1[[#This Row],[Typ]])</f>
        <v>Faktura VAT</v>
      </c>
      <c r="H1895" s="2" t="str">
        <f>TRIM(Table1[[#This Row],[Magazyn]])</f>
        <v>Apteka Szpitalna</v>
      </c>
      <c r="I1895" s="2" t="str">
        <f>TRIM(Table1[[#This Row],[Umowa]])</f>
        <v>UM-MED-01</v>
      </c>
      <c r="J1895" s="2" t="b">
        <f>ISTEXT(Table14[[#This Row],[Data_Wystawienia]])</f>
        <v>0</v>
      </c>
      <c r="K1895" s="2">
        <f>VALUE(SUBSTITUTE(Table14[[#This Row],[Wartość]],".",","))</f>
        <v>17299.080000000002</v>
      </c>
      <c r="L18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5" s="2" t="str">
        <f>IF(Table14[[#This Row],[Umowa]]="","Poza umową","Z umowy")</f>
        <v>Z umowy</v>
      </c>
      <c r="N1895" s="2">
        <f>YEAR(Table14[[#This Row],[Data_Wystawienia]])</f>
        <v>2023</v>
      </c>
      <c r="O1895" s="2" t="str">
        <f>TEXT(Table14[[#This Row],[Data_Wystawienia]],"rrrr-mm")</f>
        <v>2023-12</v>
      </c>
      <c r="P1895" s="2">
        <v>1</v>
      </c>
    </row>
    <row r="1896" spans="1:16" x14ac:dyDescent="0.3">
      <c r="A1896" s="2" t="str">
        <f>TRIM(Table1[[#This Row],[Numer_FV]])</f>
        <v>FV/74863/VDb/2023</v>
      </c>
      <c r="B1896" s="2" t="str">
        <f>TRIM(Table1[[#This Row],[Numer_PZ]])</f>
        <v>PZ/801894</v>
      </c>
      <c r="C1896" s="2" t="str">
        <f>TRIM(Table1[[#This Row],[Dostawca]])</f>
        <v>VitaDistrib</v>
      </c>
      <c r="D1896" s="3">
        <v>45267</v>
      </c>
      <c r="E1896" s="4" t="s">
        <v>5593</v>
      </c>
      <c r="F1896" s="2" t="str">
        <f>TRIM(Table1[[#This Row],[Status]])</f>
        <v>Zaakceptowana</v>
      </c>
      <c r="G1896" s="2" t="str">
        <f>TRIM(Table1[[#This Row],[Typ]])</f>
        <v>Faktura VAT</v>
      </c>
      <c r="H1896" s="2" t="str">
        <f>TRIM(Table1[[#This Row],[Magazyn]])</f>
        <v>Apteka Szpitalna</v>
      </c>
      <c r="I1896" s="2" t="str">
        <f>TRIM(Table1[[#This Row],[Umowa]])</f>
        <v>UM-VIT-01</v>
      </c>
      <c r="J1896" s="2" t="b">
        <f>ISTEXT(Table14[[#This Row],[Data_Wystawienia]])</f>
        <v>0</v>
      </c>
      <c r="K1896" s="2">
        <f>VALUE(SUBSTITUTE(Table14[[#This Row],[Wartość]],".",","))</f>
        <v>14330.77</v>
      </c>
      <c r="L18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6" s="2" t="str">
        <f>IF(Table14[[#This Row],[Umowa]]="","Poza umową","Z umowy")</f>
        <v>Z umowy</v>
      </c>
      <c r="N1896" s="2">
        <f>YEAR(Table14[[#This Row],[Data_Wystawienia]])</f>
        <v>2023</v>
      </c>
      <c r="O1896" s="2" t="str">
        <f>TEXT(Table14[[#This Row],[Data_Wystawienia]],"rrrr-mm")</f>
        <v>2023-12</v>
      </c>
      <c r="P1896" s="2">
        <v>1</v>
      </c>
    </row>
    <row r="1897" spans="1:16" x14ac:dyDescent="0.3">
      <c r="A1897" s="2" t="str">
        <f>TRIM(Table1[[#This Row],[Numer_FV]])</f>
        <v>FV/CENFA/499079/23</v>
      </c>
      <c r="B1897" s="2" t="str">
        <f>TRIM(Table1[[#This Row],[Numer_PZ]])</f>
        <v>PZ/801895</v>
      </c>
      <c r="C1897" s="2" t="str">
        <f>TRIM(Table1[[#This Row],[Dostawca]])</f>
        <v>CentrumFarm</v>
      </c>
      <c r="D1897" s="3">
        <v>45267</v>
      </c>
      <c r="E1897" s="4" t="s">
        <v>5596</v>
      </c>
      <c r="F1897" s="2" t="str">
        <f>TRIM(Table1[[#This Row],[Status]])</f>
        <v>Zaakceptowana</v>
      </c>
      <c r="G1897" s="2" t="str">
        <f>TRIM(Table1[[#This Row],[Typ]])</f>
        <v>Faktura VAT</v>
      </c>
      <c r="H1897" s="2" t="str">
        <f>TRIM(Table1[[#This Row],[Magazyn]])</f>
        <v>Apteka Szpitalna</v>
      </c>
      <c r="I1897" s="2" t="str">
        <f>TRIM(Table1[[#This Row],[Umowa]])</f>
        <v>UM-CEN-02</v>
      </c>
      <c r="J1897" s="2" t="b">
        <f>ISTEXT(Table14[[#This Row],[Data_Wystawienia]])</f>
        <v>0</v>
      </c>
      <c r="K1897" s="2">
        <f>VALUE(SUBSTITUTE(Table14[[#This Row],[Wartość]],".",","))</f>
        <v>3925.15</v>
      </c>
      <c r="L18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7" s="2" t="str">
        <f>IF(Table14[[#This Row],[Umowa]]="","Poza umową","Z umowy")</f>
        <v>Z umowy</v>
      </c>
      <c r="N1897" s="2">
        <f>YEAR(Table14[[#This Row],[Data_Wystawienia]])</f>
        <v>2023</v>
      </c>
      <c r="O1897" s="2" t="str">
        <f>TEXT(Table14[[#This Row],[Data_Wystawienia]],"rrrr-mm")</f>
        <v>2023-12</v>
      </c>
      <c r="P1897" s="2">
        <v>1</v>
      </c>
    </row>
    <row r="1898" spans="1:16" x14ac:dyDescent="0.3">
      <c r="A1898" s="2" t="str">
        <f>TRIM(Table1[[#This Row],[Numer_FV]])</f>
        <v>FV/POL/99356/2023</v>
      </c>
      <c r="B1898" s="2" t="str">
        <f>TRIM(Table1[[#This Row],[Numer_PZ]])</f>
        <v>PZ/801896</v>
      </c>
      <c r="C1898" s="2" t="str">
        <f>TRIM(Table1[[#This Row],[Dostawca]])</f>
        <v>Polmedica</v>
      </c>
      <c r="D1898" s="3">
        <v>45267</v>
      </c>
      <c r="E1898" s="4" t="s">
        <v>5599</v>
      </c>
      <c r="F1898" s="2" t="str">
        <f>TRIM(Table1[[#This Row],[Status]])</f>
        <v>Zaakceptowana</v>
      </c>
      <c r="G1898" s="2" t="str">
        <f>TRIM(Table1[[#This Row],[Typ]])</f>
        <v>Faktura VAT</v>
      </c>
      <c r="H1898" s="2" t="str">
        <f>TRIM(Table1[[#This Row],[Magazyn]])</f>
        <v>Apteka Szpitalna</v>
      </c>
      <c r="I1898" s="2" t="str">
        <f>TRIM(Table1[[#This Row],[Umowa]])</f>
        <v>UM-POL-01</v>
      </c>
      <c r="J1898" s="2" t="b">
        <f>ISTEXT(Table14[[#This Row],[Data_Wystawienia]])</f>
        <v>0</v>
      </c>
      <c r="K1898" s="2">
        <f>VALUE(SUBSTITUTE(Table14[[#This Row],[Wartość]],".",","))</f>
        <v>12386.75</v>
      </c>
      <c r="L18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8" s="2" t="str">
        <f>IF(Table14[[#This Row],[Umowa]]="","Poza umową","Z umowy")</f>
        <v>Z umowy</v>
      </c>
      <c r="N1898" s="2">
        <f>YEAR(Table14[[#This Row],[Data_Wystawienia]])</f>
        <v>2023</v>
      </c>
      <c r="O1898" s="2" t="str">
        <f>TEXT(Table14[[#This Row],[Data_Wystawienia]],"rrrr-mm")</f>
        <v>2023-12</v>
      </c>
      <c r="P1898" s="2">
        <v>1</v>
      </c>
    </row>
    <row r="1899" spans="1:16" x14ac:dyDescent="0.3">
      <c r="A1899" s="2" t="str">
        <f>TRIM(Table1[[#This Row],[Numer_FV]])</f>
        <v>FV/M/5240/P/23</v>
      </c>
      <c r="B1899" s="2" t="str">
        <f>TRIM(Table1[[#This Row],[Numer_PZ]])</f>
        <v>PZ/801897</v>
      </c>
      <c r="C1899" s="2" t="str">
        <f>TRIM(Table1[[#This Row],[Dostawca]])</f>
        <v>MedicaPharm</v>
      </c>
      <c r="D1899" s="3">
        <v>45267</v>
      </c>
      <c r="E1899" s="4" t="s">
        <v>5602</v>
      </c>
      <c r="F1899" s="2" t="str">
        <f>TRIM(Table1[[#This Row],[Status]])</f>
        <v>Zaakceptowana</v>
      </c>
      <c r="G1899" s="2" t="str">
        <f>TRIM(Table1[[#This Row],[Typ]])</f>
        <v>Faktura VAT</v>
      </c>
      <c r="H1899" s="2" t="str">
        <f>TRIM(Table1[[#This Row],[Magazyn]])</f>
        <v>Apteka Szpitalna</v>
      </c>
      <c r="I1899" s="2" t="str">
        <f>TRIM(Table1[[#This Row],[Umowa]])</f>
        <v>UM-MED-02</v>
      </c>
      <c r="J1899" s="2" t="b">
        <f>ISTEXT(Table14[[#This Row],[Data_Wystawienia]])</f>
        <v>0</v>
      </c>
      <c r="K1899" s="2">
        <f>VALUE(SUBSTITUTE(Table14[[#This Row],[Wartość]],".",","))</f>
        <v>11053.62</v>
      </c>
      <c r="L18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899" s="2" t="str">
        <f>IF(Table14[[#This Row],[Umowa]]="","Poza umową","Z umowy")</f>
        <v>Z umowy</v>
      </c>
      <c r="N1899" s="2">
        <f>YEAR(Table14[[#This Row],[Data_Wystawienia]])</f>
        <v>2023</v>
      </c>
      <c r="O1899" s="2" t="str">
        <f>TEXT(Table14[[#This Row],[Data_Wystawienia]],"rrrr-mm")</f>
        <v>2023-12</v>
      </c>
      <c r="P1899" s="2">
        <v>1</v>
      </c>
    </row>
    <row r="1900" spans="1:16" x14ac:dyDescent="0.3">
      <c r="A1900" s="2" t="str">
        <f>TRIM(Table1[[#This Row],[Numer_FV]])</f>
        <v>FV/POL/12628/2023</v>
      </c>
      <c r="B1900" s="2" t="str">
        <f>TRIM(Table1[[#This Row],[Numer_PZ]])</f>
        <v>PZ/801898</v>
      </c>
      <c r="C1900" s="2" t="str">
        <f>TRIM(Table1[[#This Row],[Dostawca]])</f>
        <v>Polmedica</v>
      </c>
      <c r="D1900" s="3">
        <v>45267</v>
      </c>
      <c r="E1900" s="4" t="s">
        <v>5605</v>
      </c>
      <c r="F1900" s="2" t="str">
        <f>TRIM(Table1[[#This Row],[Status]])</f>
        <v>Zaakceptowana</v>
      </c>
      <c r="G1900" s="2" t="str">
        <f>TRIM(Table1[[#This Row],[Typ]])</f>
        <v>Faktura VAT</v>
      </c>
      <c r="H1900" s="2" t="str">
        <f>TRIM(Table1[[#This Row],[Magazyn]])</f>
        <v>Apteka Szpitalna</v>
      </c>
      <c r="I1900" s="2" t="str">
        <f>TRIM(Table1[[#This Row],[Umowa]])</f>
        <v>UM-POL-02</v>
      </c>
      <c r="J1900" s="2" t="b">
        <f>ISTEXT(Table14[[#This Row],[Data_Wystawienia]])</f>
        <v>0</v>
      </c>
      <c r="K1900" s="2">
        <f>VALUE(SUBSTITUTE(Table14[[#This Row],[Wartość]],".",","))</f>
        <v>15087.47</v>
      </c>
      <c r="L19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0" s="2" t="str">
        <f>IF(Table14[[#This Row],[Umowa]]="","Poza umową","Z umowy")</f>
        <v>Z umowy</v>
      </c>
      <c r="N1900" s="2">
        <f>YEAR(Table14[[#This Row],[Data_Wystawienia]])</f>
        <v>2023</v>
      </c>
      <c r="O1900" s="2" t="str">
        <f>TEXT(Table14[[#This Row],[Data_Wystawienia]],"rrrr-mm")</f>
        <v>2023-12</v>
      </c>
      <c r="P1900" s="2">
        <v>1</v>
      </c>
    </row>
    <row r="1901" spans="1:16" x14ac:dyDescent="0.3">
      <c r="A1901" s="2" t="str">
        <f>TRIM(Table1[[#This Row],[Numer_FV]])</f>
        <v>FV/70295/VDb/2023</v>
      </c>
      <c r="B1901" s="2" t="str">
        <f>TRIM(Table1[[#This Row],[Numer_PZ]])</f>
        <v>PZ/801899</v>
      </c>
      <c r="C1901" s="2" t="str">
        <f>TRIM(Table1[[#This Row],[Dostawca]])</f>
        <v>VitaDistrib</v>
      </c>
      <c r="D1901" s="3">
        <v>45268</v>
      </c>
      <c r="E1901" s="4" t="s">
        <v>5608</v>
      </c>
      <c r="F1901" s="2" t="str">
        <f>TRIM(Table1[[#This Row],[Status]])</f>
        <v>Zaakceptowana</v>
      </c>
      <c r="G1901" s="2" t="str">
        <f>TRIM(Table1[[#This Row],[Typ]])</f>
        <v>Faktura VAT</v>
      </c>
      <c r="H1901" s="2" t="str">
        <f>TRIM(Table1[[#This Row],[Magazyn]])</f>
        <v>Apteka Szpitalna</v>
      </c>
      <c r="I1901" s="2" t="str">
        <f>TRIM(Table1[[#This Row],[Umowa]])</f>
        <v>UM-VIT-01</v>
      </c>
      <c r="J1901" s="2" t="b">
        <f>ISTEXT(Table14[[#This Row],[Data_Wystawienia]])</f>
        <v>0</v>
      </c>
      <c r="K1901" s="2">
        <f>VALUE(SUBSTITUTE(Table14[[#This Row],[Wartość]],".",","))</f>
        <v>20207.78</v>
      </c>
      <c r="L19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1" s="2" t="str">
        <f>IF(Table14[[#This Row],[Umowa]]="","Poza umową","Z umowy")</f>
        <v>Z umowy</v>
      </c>
      <c r="N1901" s="2">
        <f>YEAR(Table14[[#This Row],[Data_Wystawienia]])</f>
        <v>2023</v>
      </c>
      <c r="O1901" s="2" t="str">
        <f>TEXT(Table14[[#This Row],[Data_Wystawienia]],"rrrr-mm")</f>
        <v>2023-12</v>
      </c>
      <c r="P1901" s="2">
        <v>1</v>
      </c>
    </row>
    <row r="1902" spans="1:16" x14ac:dyDescent="0.3">
      <c r="A1902" s="2" t="str">
        <f>TRIM(Table1[[#This Row],[Numer_FV]])</f>
        <v>FV/57087/VDb/2023</v>
      </c>
      <c r="B1902" s="2" t="str">
        <f>TRIM(Table1[[#This Row],[Numer_PZ]])</f>
        <v>PZ/801900</v>
      </c>
      <c r="C1902" s="2" t="str">
        <f>TRIM(Table1[[#This Row],[Dostawca]])</f>
        <v>VitaDistrib</v>
      </c>
      <c r="D1902" s="3">
        <v>45268</v>
      </c>
      <c r="E1902" s="4" t="s">
        <v>5611</v>
      </c>
      <c r="F1902" s="2" t="str">
        <f>TRIM(Table1[[#This Row],[Status]])</f>
        <v>Zaakceptowana</v>
      </c>
      <c r="G1902" s="2" t="str">
        <f>TRIM(Table1[[#This Row],[Typ]])</f>
        <v>Faktura VAT</v>
      </c>
      <c r="H1902" s="2" t="str">
        <f>TRIM(Table1[[#This Row],[Magazyn]])</f>
        <v>Apteka Szpitalna</v>
      </c>
      <c r="I1902" s="2" t="str">
        <f>TRIM(Table1[[#This Row],[Umowa]])</f>
        <v>UM-VIT-01</v>
      </c>
      <c r="J1902" s="2" t="b">
        <f>ISTEXT(Table14[[#This Row],[Data_Wystawienia]])</f>
        <v>0</v>
      </c>
      <c r="K1902" s="2">
        <f>VALUE(SUBSTITUTE(Table14[[#This Row],[Wartość]],".",","))</f>
        <v>20522.46</v>
      </c>
      <c r="L19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2" s="2" t="str">
        <f>IF(Table14[[#This Row],[Umowa]]="","Poza umową","Z umowy")</f>
        <v>Z umowy</v>
      </c>
      <c r="N1902" s="2">
        <f>YEAR(Table14[[#This Row],[Data_Wystawienia]])</f>
        <v>2023</v>
      </c>
      <c r="O1902" s="2" t="str">
        <f>TEXT(Table14[[#This Row],[Data_Wystawienia]],"rrrr-mm")</f>
        <v>2023-12</v>
      </c>
      <c r="P1902" s="2">
        <v>1</v>
      </c>
    </row>
    <row r="1903" spans="1:16" x14ac:dyDescent="0.3">
      <c r="A1903" s="2" t="str">
        <f>TRIM(Table1[[#This Row],[Numer_FV]])</f>
        <v>FV/38205/VDb/2023</v>
      </c>
      <c r="B1903" s="2" t="str">
        <f>TRIM(Table1[[#This Row],[Numer_PZ]])</f>
        <v>PZ/801901</v>
      </c>
      <c r="C1903" s="2" t="str">
        <f>TRIM(Table1[[#This Row],[Dostawca]])</f>
        <v>VitaDistrib</v>
      </c>
      <c r="D1903" s="3">
        <v>45269</v>
      </c>
      <c r="E1903" s="4" t="s">
        <v>5614</v>
      </c>
      <c r="F1903" s="2" t="str">
        <f>TRIM(Table1[[#This Row],[Status]])</f>
        <v>Zaakceptowana</v>
      </c>
      <c r="G1903" s="2" t="str">
        <f>TRIM(Table1[[#This Row],[Typ]])</f>
        <v>Faktura VAT</v>
      </c>
      <c r="H1903" s="2" t="str">
        <f>TRIM(Table1[[#This Row],[Magazyn]])</f>
        <v>Apteka Szpitalna</v>
      </c>
      <c r="I1903" s="2" t="str">
        <f>TRIM(Table1[[#This Row],[Umowa]])</f>
        <v>UM-VIT-01</v>
      </c>
      <c r="J1903" s="2" t="b">
        <f>ISTEXT(Table14[[#This Row],[Data_Wystawienia]])</f>
        <v>0</v>
      </c>
      <c r="K1903" s="2">
        <f>VALUE(SUBSTITUTE(Table14[[#This Row],[Wartość]],".",","))</f>
        <v>17066.96</v>
      </c>
      <c r="L19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3" s="2" t="str">
        <f>IF(Table14[[#This Row],[Umowa]]="","Poza umową","Z umowy")</f>
        <v>Z umowy</v>
      </c>
      <c r="N1903" s="2">
        <f>YEAR(Table14[[#This Row],[Data_Wystawienia]])</f>
        <v>2023</v>
      </c>
      <c r="O1903" s="2" t="str">
        <f>TEXT(Table14[[#This Row],[Data_Wystawienia]],"rrrr-mm")</f>
        <v>2023-12</v>
      </c>
      <c r="P1903" s="2">
        <v>1</v>
      </c>
    </row>
    <row r="1904" spans="1:16" x14ac:dyDescent="0.3">
      <c r="A1904" s="2" t="str">
        <f>TRIM(Table1[[#This Row],[Numer_FV]])</f>
        <v>FV/24202/VDb/2023</v>
      </c>
      <c r="B1904" s="2" t="str">
        <f>TRIM(Table1[[#This Row],[Numer_PZ]])</f>
        <v>PZ/801902</v>
      </c>
      <c r="C1904" s="2" t="str">
        <f>TRIM(Table1[[#This Row],[Dostawca]])</f>
        <v>VitaDistrib</v>
      </c>
      <c r="D1904" s="3">
        <v>45269</v>
      </c>
      <c r="E1904" s="4" t="s">
        <v>5617</v>
      </c>
      <c r="F1904" s="2" t="str">
        <f>TRIM(Table1[[#This Row],[Status]])</f>
        <v>Zaakceptowana</v>
      </c>
      <c r="G1904" s="2" t="str">
        <f>TRIM(Table1[[#This Row],[Typ]])</f>
        <v>Faktura VAT</v>
      </c>
      <c r="H1904" s="2" t="str">
        <f>TRIM(Table1[[#This Row],[Magazyn]])</f>
        <v>Apteka Szpitalna</v>
      </c>
      <c r="I1904" s="2" t="str">
        <f>TRIM(Table1[[#This Row],[Umowa]])</f>
        <v>UM-VIT-01</v>
      </c>
      <c r="J1904" s="2" t="b">
        <f>ISTEXT(Table14[[#This Row],[Data_Wystawienia]])</f>
        <v>0</v>
      </c>
      <c r="K1904" s="2">
        <f>VALUE(SUBSTITUTE(Table14[[#This Row],[Wartość]],".",","))</f>
        <v>18847.7</v>
      </c>
      <c r="L19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4" s="2" t="str">
        <f>IF(Table14[[#This Row],[Umowa]]="","Poza umową","Z umowy")</f>
        <v>Z umowy</v>
      </c>
      <c r="N1904" s="2">
        <f>YEAR(Table14[[#This Row],[Data_Wystawienia]])</f>
        <v>2023</v>
      </c>
      <c r="O1904" s="2" t="str">
        <f>TEXT(Table14[[#This Row],[Data_Wystawienia]],"rrrr-mm")</f>
        <v>2023-12</v>
      </c>
      <c r="P1904" s="2">
        <v>1</v>
      </c>
    </row>
    <row r="1905" spans="1:16" x14ac:dyDescent="0.3">
      <c r="A1905" s="2" t="str">
        <f>TRIM(Table1[[#This Row],[Numer_FV]])</f>
        <v>FV/9812/NOVA/23</v>
      </c>
      <c r="B1905" s="2" t="str">
        <f>TRIM(Table1[[#This Row],[Numer_PZ]])</f>
        <v>PZ/801903</v>
      </c>
      <c r="C1905" s="2" t="str">
        <f>TRIM(Table1[[#This Row],[Dostawca]])</f>
        <v>NovaLek</v>
      </c>
      <c r="D1905" s="3">
        <v>45269</v>
      </c>
      <c r="E1905" s="4" t="s">
        <v>5620</v>
      </c>
      <c r="F1905" s="2" t="str">
        <f>TRIM(Table1[[#This Row],[Status]])</f>
        <v>Zaakceptowana</v>
      </c>
      <c r="G1905" s="2" t="str">
        <f>TRIM(Table1[[#This Row],[Typ]])</f>
        <v>Faktura VAT</v>
      </c>
      <c r="H1905" s="2" t="str">
        <f>TRIM(Table1[[#This Row],[Magazyn]])</f>
        <v>Apteka Szpitalna</v>
      </c>
      <c r="I1905" s="2" t="str">
        <f>TRIM(Table1[[#This Row],[Umowa]])</f>
        <v>UM-NOV-03</v>
      </c>
      <c r="J1905" s="2" t="b">
        <f>ISTEXT(Table14[[#This Row],[Data_Wystawienia]])</f>
        <v>0</v>
      </c>
      <c r="K1905" s="2">
        <f>VALUE(SUBSTITUTE(Table14[[#This Row],[Wartość]],".",","))</f>
        <v>16306.91</v>
      </c>
      <c r="L19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5" s="2" t="str">
        <f>IF(Table14[[#This Row],[Umowa]]="","Poza umową","Z umowy")</f>
        <v>Z umowy</v>
      </c>
      <c r="N1905" s="2">
        <f>YEAR(Table14[[#This Row],[Data_Wystawienia]])</f>
        <v>2023</v>
      </c>
      <c r="O1905" s="2" t="str">
        <f>TEXT(Table14[[#This Row],[Data_Wystawienia]],"rrrr-mm")</f>
        <v>2023-12</v>
      </c>
      <c r="P1905" s="2">
        <v>1</v>
      </c>
    </row>
    <row r="1906" spans="1:16" x14ac:dyDescent="0.3">
      <c r="A1906" s="2" t="str">
        <f>TRIM(Table1[[#This Row],[Numer_FV]])</f>
        <v>FV/2896/NOVA/23</v>
      </c>
      <c r="B1906" s="2" t="str">
        <f>TRIM(Table1[[#This Row],[Numer_PZ]])</f>
        <v>PZ/801904</v>
      </c>
      <c r="C1906" s="2" t="str">
        <f>TRIM(Table1[[#This Row],[Dostawca]])</f>
        <v>NovaLek</v>
      </c>
      <c r="D1906" s="3">
        <v>45269</v>
      </c>
      <c r="E1906" s="4" t="s">
        <v>5623</v>
      </c>
      <c r="F1906" s="2" t="str">
        <f>TRIM(Table1[[#This Row],[Status]])</f>
        <v>Zaakceptowana</v>
      </c>
      <c r="G1906" s="2" t="str">
        <f>TRIM(Table1[[#This Row],[Typ]])</f>
        <v>Faktura VAT</v>
      </c>
      <c r="H1906" s="2" t="str">
        <f>TRIM(Table1[[#This Row],[Magazyn]])</f>
        <v>Apteka Szpitalna</v>
      </c>
      <c r="I1906" s="2" t="str">
        <f>TRIM(Table1[[#This Row],[Umowa]])</f>
        <v>UM-NOV-01</v>
      </c>
      <c r="J1906" s="2" t="b">
        <f>ISTEXT(Table14[[#This Row],[Data_Wystawienia]])</f>
        <v>0</v>
      </c>
      <c r="K1906" s="2">
        <f>VALUE(SUBSTITUTE(Table14[[#This Row],[Wartość]],".",","))</f>
        <v>17342.28</v>
      </c>
      <c r="L19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6" s="2" t="str">
        <f>IF(Table14[[#This Row],[Umowa]]="","Poza umową","Z umowy")</f>
        <v>Z umowy</v>
      </c>
      <c r="N1906" s="2">
        <f>YEAR(Table14[[#This Row],[Data_Wystawienia]])</f>
        <v>2023</v>
      </c>
      <c r="O1906" s="2" t="str">
        <f>TEXT(Table14[[#This Row],[Data_Wystawienia]],"rrrr-mm")</f>
        <v>2023-12</v>
      </c>
      <c r="P1906" s="2">
        <v>1</v>
      </c>
    </row>
    <row r="1907" spans="1:16" x14ac:dyDescent="0.3">
      <c r="A1907" s="2" t="str">
        <f>TRIM(Table1[[#This Row],[Numer_FV]])</f>
        <v>FV/POL/25236/2023</v>
      </c>
      <c r="B1907" s="2" t="str">
        <f>TRIM(Table1[[#This Row],[Numer_PZ]])</f>
        <v>PZ/801905</v>
      </c>
      <c r="C1907" s="2" t="str">
        <f>TRIM(Table1[[#This Row],[Dostawca]])</f>
        <v>Polmedica</v>
      </c>
      <c r="D1907" s="3">
        <v>45269</v>
      </c>
      <c r="E1907" s="4" t="s">
        <v>5626</v>
      </c>
      <c r="F1907" s="2" t="str">
        <f>TRIM(Table1[[#This Row],[Status]])</f>
        <v>Zaakceptowana</v>
      </c>
      <c r="G1907" s="2" t="str">
        <f>TRIM(Table1[[#This Row],[Typ]])</f>
        <v>Faktura VAT</v>
      </c>
      <c r="H1907" s="2" t="str">
        <f>TRIM(Table1[[#This Row],[Magazyn]])</f>
        <v>Apteka Szpitalna</v>
      </c>
      <c r="I1907" s="2" t="str">
        <f>TRIM(Table1[[#This Row],[Umowa]])</f>
        <v>UM-POL-02</v>
      </c>
      <c r="J1907" s="2" t="b">
        <f>ISTEXT(Table14[[#This Row],[Data_Wystawienia]])</f>
        <v>0</v>
      </c>
      <c r="K1907" s="2">
        <f>VALUE(SUBSTITUTE(Table14[[#This Row],[Wartość]],".",","))</f>
        <v>11459.14</v>
      </c>
      <c r="L19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7" s="2" t="str">
        <f>IF(Table14[[#This Row],[Umowa]]="","Poza umową","Z umowy")</f>
        <v>Z umowy</v>
      </c>
      <c r="N1907" s="2">
        <f>YEAR(Table14[[#This Row],[Data_Wystawienia]])</f>
        <v>2023</v>
      </c>
      <c r="O1907" s="2" t="str">
        <f>TEXT(Table14[[#This Row],[Data_Wystawienia]],"rrrr-mm")</f>
        <v>2023-12</v>
      </c>
      <c r="P1907" s="2">
        <v>1</v>
      </c>
    </row>
    <row r="1908" spans="1:16" x14ac:dyDescent="0.3">
      <c r="A1908" s="2" t="str">
        <f>TRIM(Table1[[#This Row],[Numer_FV]])</f>
        <v>FV/POL/90737/2023</v>
      </c>
      <c r="B1908" s="2" t="str">
        <f>TRIM(Table1[[#This Row],[Numer_PZ]])</f>
        <v>PZ/801906</v>
      </c>
      <c r="C1908" s="2" t="str">
        <f>TRIM(Table1[[#This Row],[Dostawca]])</f>
        <v>Polmedica</v>
      </c>
      <c r="D1908" s="3">
        <v>45269</v>
      </c>
      <c r="E1908" s="4" t="s">
        <v>5629</v>
      </c>
      <c r="F1908" s="2" t="str">
        <f>TRIM(Table1[[#This Row],[Status]])</f>
        <v>Zaakceptowana</v>
      </c>
      <c r="G1908" s="2" t="str">
        <f>TRIM(Table1[[#This Row],[Typ]])</f>
        <v>Faktura VAT</v>
      </c>
      <c r="H1908" s="2" t="str">
        <f>TRIM(Table1[[#This Row],[Magazyn]])</f>
        <v>Apteka Szpitalna</v>
      </c>
      <c r="I1908" s="2" t="str">
        <f>TRIM(Table1[[#This Row],[Umowa]])</f>
        <v>UM-POL-01</v>
      </c>
      <c r="J1908" s="2" t="b">
        <f>ISTEXT(Table14[[#This Row],[Data_Wystawienia]])</f>
        <v>0</v>
      </c>
      <c r="K1908" s="2">
        <f>VALUE(SUBSTITUTE(Table14[[#This Row],[Wartość]],".",","))</f>
        <v>6020.44</v>
      </c>
      <c r="L19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8" s="2" t="str">
        <f>IF(Table14[[#This Row],[Umowa]]="","Poza umową","Z umowy")</f>
        <v>Z umowy</v>
      </c>
      <c r="N1908" s="2">
        <f>YEAR(Table14[[#This Row],[Data_Wystawienia]])</f>
        <v>2023</v>
      </c>
      <c r="O1908" s="2" t="str">
        <f>TEXT(Table14[[#This Row],[Data_Wystawienia]],"rrrr-mm")</f>
        <v>2023-12</v>
      </c>
      <c r="P1908" s="2">
        <v>1</v>
      </c>
    </row>
    <row r="1909" spans="1:16" x14ac:dyDescent="0.3">
      <c r="A1909" s="2" t="str">
        <f>TRIM(Table1[[#This Row],[Numer_FV]])</f>
        <v>FV/M/8322/P/23</v>
      </c>
      <c r="B1909" s="2" t="str">
        <f>TRIM(Table1[[#This Row],[Numer_PZ]])</f>
        <v>PZ/801907</v>
      </c>
      <c r="C1909" s="2" t="str">
        <f>TRIM(Table1[[#This Row],[Dostawca]])</f>
        <v>MedicaPharm</v>
      </c>
      <c r="D1909" s="3">
        <v>45270</v>
      </c>
      <c r="E1909" s="4" t="s">
        <v>5632</v>
      </c>
      <c r="F1909" s="2" t="str">
        <f>TRIM(Table1[[#This Row],[Status]])</f>
        <v>Zaakceptowana</v>
      </c>
      <c r="G1909" s="2" t="str">
        <f>TRIM(Table1[[#This Row],[Typ]])</f>
        <v>Faktura VAT</v>
      </c>
      <c r="H1909" s="2" t="str">
        <f>TRIM(Table1[[#This Row],[Magazyn]])</f>
        <v>Apteka Szpitalna</v>
      </c>
      <c r="I1909" s="2" t="str">
        <f>TRIM(Table1[[#This Row],[Umowa]])</f>
        <v>UM-MED-01</v>
      </c>
      <c r="J1909" s="2" t="b">
        <f>ISTEXT(Table14[[#This Row],[Data_Wystawienia]])</f>
        <v>0</v>
      </c>
      <c r="K1909" s="2">
        <f>VALUE(SUBSTITUTE(Table14[[#This Row],[Wartość]],".",","))</f>
        <v>20435.849999999999</v>
      </c>
      <c r="L19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09" s="2" t="str">
        <f>IF(Table14[[#This Row],[Umowa]]="","Poza umową","Z umowy")</f>
        <v>Z umowy</v>
      </c>
      <c r="N1909" s="2">
        <f>YEAR(Table14[[#This Row],[Data_Wystawienia]])</f>
        <v>2023</v>
      </c>
      <c r="O1909" s="2" t="str">
        <f>TEXT(Table14[[#This Row],[Data_Wystawienia]],"rrrr-mm")</f>
        <v>2023-12</v>
      </c>
      <c r="P1909" s="2">
        <v>1</v>
      </c>
    </row>
    <row r="1910" spans="1:16" x14ac:dyDescent="0.3">
      <c r="A1910" s="2" t="str">
        <f>TRIM(Table1[[#This Row],[Numer_FV]])</f>
        <v>FV/CENFA/615451/23</v>
      </c>
      <c r="B1910" s="2" t="str">
        <f>TRIM(Table1[[#This Row],[Numer_PZ]])</f>
        <v>PZ/801908</v>
      </c>
      <c r="C1910" s="2" t="str">
        <f>TRIM(Table1[[#This Row],[Dostawca]])</f>
        <v>CentrumFarm</v>
      </c>
      <c r="D1910" s="3">
        <v>45270</v>
      </c>
      <c r="E1910" s="4" t="s">
        <v>5635</v>
      </c>
      <c r="F1910" s="2" t="str">
        <f>TRIM(Table1[[#This Row],[Status]])</f>
        <v>Zaakceptowana</v>
      </c>
      <c r="G1910" s="2" t="str">
        <f>TRIM(Table1[[#This Row],[Typ]])</f>
        <v>Faktura VAT</v>
      </c>
      <c r="H1910" s="2" t="str">
        <f>TRIM(Table1[[#This Row],[Magazyn]])</f>
        <v>Apteka Szpitalna</v>
      </c>
      <c r="I1910" s="2" t="str">
        <f>TRIM(Table1[[#This Row],[Umowa]])</f>
        <v>UM-CEN-02</v>
      </c>
      <c r="J1910" s="2" t="b">
        <f>ISTEXT(Table14[[#This Row],[Data_Wystawienia]])</f>
        <v>0</v>
      </c>
      <c r="K1910" s="2">
        <f>VALUE(SUBSTITUTE(Table14[[#This Row],[Wartość]],".",","))</f>
        <v>15538.2</v>
      </c>
      <c r="L19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0" s="2" t="str">
        <f>IF(Table14[[#This Row],[Umowa]]="","Poza umową","Z umowy")</f>
        <v>Z umowy</v>
      </c>
      <c r="N1910" s="2">
        <f>YEAR(Table14[[#This Row],[Data_Wystawienia]])</f>
        <v>2023</v>
      </c>
      <c r="O1910" s="2" t="str">
        <f>TEXT(Table14[[#This Row],[Data_Wystawienia]],"rrrr-mm")</f>
        <v>2023-12</v>
      </c>
      <c r="P1910" s="2">
        <v>1</v>
      </c>
    </row>
    <row r="1911" spans="1:16" x14ac:dyDescent="0.3">
      <c r="A1911" s="2" t="str">
        <f>TRIM(Table1[[#This Row],[Numer_FV]])</f>
        <v>FV/84384/VDb/2023</v>
      </c>
      <c r="B1911" s="2" t="str">
        <f>TRIM(Table1[[#This Row],[Numer_PZ]])</f>
        <v>PZ/801909</v>
      </c>
      <c r="C1911" s="2" t="str">
        <f>TRIM(Table1[[#This Row],[Dostawca]])</f>
        <v>VitaDistrib</v>
      </c>
      <c r="D1911" s="3">
        <v>45270</v>
      </c>
      <c r="E1911" s="4" t="s">
        <v>5638</v>
      </c>
      <c r="F1911" s="2" t="str">
        <f>TRIM(Table1[[#This Row],[Status]])</f>
        <v>Zaakceptowana</v>
      </c>
      <c r="G1911" s="2" t="str">
        <f>TRIM(Table1[[#This Row],[Typ]])</f>
        <v>Faktura VAT</v>
      </c>
      <c r="H1911" s="2" t="str">
        <f>TRIM(Table1[[#This Row],[Magazyn]])</f>
        <v>Apteka Szpitalna</v>
      </c>
      <c r="I1911" s="2" t="str">
        <f>TRIM(Table1[[#This Row],[Umowa]])</f>
        <v>UM-VIT-01</v>
      </c>
      <c r="J1911" s="2" t="b">
        <f>ISTEXT(Table14[[#This Row],[Data_Wystawienia]])</f>
        <v>0</v>
      </c>
      <c r="K1911" s="2">
        <f>VALUE(SUBSTITUTE(Table14[[#This Row],[Wartość]],".",","))</f>
        <v>11037.95</v>
      </c>
      <c r="L19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1" s="2" t="str">
        <f>IF(Table14[[#This Row],[Umowa]]="","Poza umową","Z umowy")</f>
        <v>Z umowy</v>
      </c>
      <c r="N1911" s="2">
        <f>YEAR(Table14[[#This Row],[Data_Wystawienia]])</f>
        <v>2023</v>
      </c>
      <c r="O1911" s="2" t="str">
        <f>TEXT(Table14[[#This Row],[Data_Wystawienia]],"rrrr-mm")</f>
        <v>2023-12</v>
      </c>
      <c r="P1911" s="2">
        <v>1</v>
      </c>
    </row>
    <row r="1912" spans="1:16" x14ac:dyDescent="0.3">
      <c r="A1912" s="2" t="str">
        <f>TRIM(Table1[[#This Row],[Numer_FV]])</f>
        <v>FV/41/PP/6845/23</v>
      </c>
      <c r="B1912" s="2" t="str">
        <f>TRIM(Table1[[#This Row],[Numer_PZ]])</f>
        <v>PZ/801910</v>
      </c>
      <c r="C1912" s="2" t="str">
        <f>TRIM(Table1[[#This Row],[Dostawca]])</f>
        <v>PharmaPlus</v>
      </c>
      <c r="D1912" s="3">
        <v>45271</v>
      </c>
      <c r="E1912" s="4" t="s">
        <v>5641</v>
      </c>
      <c r="F1912" s="2" t="str">
        <f>TRIM(Table1[[#This Row],[Status]])</f>
        <v>Zaakceptowana</v>
      </c>
      <c r="G1912" s="2" t="str">
        <f>TRIM(Table1[[#This Row],[Typ]])</f>
        <v>Faktura VAT</v>
      </c>
      <c r="H1912" s="2" t="str">
        <f>TRIM(Table1[[#This Row],[Magazyn]])</f>
        <v>Apteka Szpitalna</v>
      </c>
      <c r="I1912" s="2" t="str">
        <f>TRIM(Table1[[#This Row],[Umowa]])</f>
        <v>UM-PHA-02</v>
      </c>
      <c r="J1912" s="2" t="b">
        <f>ISTEXT(Table14[[#This Row],[Data_Wystawienia]])</f>
        <v>0</v>
      </c>
      <c r="K1912" s="2">
        <f>VALUE(SUBSTITUTE(Table14[[#This Row],[Wartość]],".",","))</f>
        <v>12695.52</v>
      </c>
      <c r="L19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2" s="2" t="str">
        <f>IF(Table14[[#This Row],[Umowa]]="","Poza umową","Z umowy")</f>
        <v>Z umowy</v>
      </c>
      <c r="N1912" s="2">
        <f>YEAR(Table14[[#This Row],[Data_Wystawienia]])</f>
        <v>2023</v>
      </c>
      <c r="O1912" s="2" t="str">
        <f>TEXT(Table14[[#This Row],[Data_Wystawienia]],"rrrr-mm")</f>
        <v>2023-12</v>
      </c>
      <c r="P1912" s="2">
        <v>1</v>
      </c>
    </row>
    <row r="1913" spans="1:16" x14ac:dyDescent="0.3">
      <c r="A1913" s="2" t="str">
        <f>TRIM(Table1[[#This Row],[Numer_FV]])</f>
        <v>FV/POL/20902/2023</v>
      </c>
      <c r="B1913" s="2" t="str">
        <f>TRIM(Table1[[#This Row],[Numer_PZ]])</f>
        <v>PZ/801911</v>
      </c>
      <c r="C1913" s="2" t="str">
        <f>TRIM(Table1[[#This Row],[Dostawca]])</f>
        <v>Polmedica</v>
      </c>
      <c r="D1913" s="3">
        <v>45271</v>
      </c>
      <c r="E1913" s="4" t="s">
        <v>5644</v>
      </c>
      <c r="F1913" s="2" t="str">
        <f>TRIM(Table1[[#This Row],[Status]])</f>
        <v>Zaakceptowana</v>
      </c>
      <c r="G1913" s="2" t="str">
        <f>TRIM(Table1[[#This Row],[Typ]])</f>
        <v>Faktura VAT</v>
      </c>
      <c r="H1913" s="2" t="str">
        <f>TRIM(Table1[[#This Row],[Magazyn]])</f>
        <v>Apteka Szpitalna</v>
      </c>
      <c r="I1913" s="2" t="str">
        <f>TRIM(Table1[[#This Row],[Umowa]])</f>
        <v/>
      </c>
      <c r="J1913" s="2" t="b">
        <f>ISTEXT(Table14[[#This Row],[Data_Wystawienia]])</f>
        <v>0</v>
      </c>
      <c r="K1913" s="2">
        <f>VALUE(SUBSTITUTE(Table14[[#This Row],[Wartość]],".",","))</f>
        <v>13012.92</v>
      </c>
      <c r="L19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3" s="2" t="str">
        <f>IF(Table14[[#This Row],[Umowa]]="","Poza umową","Z umowy")</f>
        <v>Poza umową</v>
      </c>
      <c r="N1913" s="2">
        <f>YEAR(Table14[[#This Row],[Data_Wystawienia]])</f>
        <v>2023</v>
      </c>
      <c r="O1913" s="2" t="str">
        <f>TEXT(Table14[[#This Row],[Data_Wystawienia]],"rrrr-mm")</f>
        <v>2023-12</v>
      </c>
      <c r="P1913" s="2">
        <v>1</v>
      </c>
    </row>
    <row r="1914" spans="1:16" x14ac:dyDescent="0.3">
      <c r="A1914" s="2" t="str">
        <f>TRIM(Table1[[#This Row],[Numer_FV]])</f>
        <v>FV/POL/71548/2023</v>
      </c>
      <c r="B1914" s="2" t="str">
        <f>TRIM(Table1[[#This Row],[Numer_PZ]])</f>
        <v>PZ/801912</v>
      </c>
      <c r="C1914" s="2" t="str">
        <f>TRIM(Table1[[#This Row],[Dostawca]])</f>
        <v>Polmedica</v>
      </c>
      <c r="D1914" s="3">
        <v>45271</v>
      </c>
      <c r="E1914" s="4" t="s">
        <v>5647</v>
      </c>
      <c r="F1914" s="2" t="str">
        <f>TRIM(Table1[[#This Row],[Status]])</f>
        <v>Zaakceptowana</v>
      </c>
      <c r="G1914" s="2" t="str">
        <f>TRIM(Table1[[#This Row],[Typ]])</f>
        <v>Faktura VAT</v>
      </c>
      <c r="H1914" s="2" t="str">
        <f>TRIM(Table1[[#This Row],[Magazyn]])</f>
        <v>Apteka Szpitalna</v>
      </c>
      <c r="I1914" s="2" t="str">
        <f>TRIM(Table1[[#This Row],[Umowa]])</f>
        <v/>
      </c>
      <c r="J1914" s="2" t="b">
        <f>ISTEXT(Table14[[#This Row],[Data_Wystawienia]])</f>
        <v>0</v>
      </c>
      <c r="K1914" s="2">
        <f>VALUE(SUBSTITUTE(Table14[[#This Row],[Wartość]],".",","))</f>
        <v>17226.48</v>
      </c>
      <c r="L19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4" s="2" t="str">
        <f>IF(Table14[[#This Row],[Umowa]]="","Poza umową","Z umowy")</f>
        <v>Poza umową</v>
      </c>
      <c r="N1914" s="2">
        <f>YEAR(Table14[[#This Row],[Data_Wystawienia]])</f>
        <v>2023</v>
      </c>
      <c r="O1914" s="2" t="str">
        <f>TEXT(Table14[[#This Row],[Data_Wystawienia]],"rrrr-mm")</f>
        <v>2023-12</v>
      </c>
      <c r="P1914" s="2">
        <v>1</v>
      </c>
    </row>
    <row r="1915" spans="1:16" x14ac:dyDescent="0.3">
      <c r="A1915" s="2" t="str">
        <f>TRIM(Table1[[#This Row],[Numer_FV]])</f>
        <v>FV/2848HM/23</v>
      </c>
      <c r="B1915" s="2" t="str">
        <f>TRIM(Table1[[#This Row],[Numer_PZ]])</f>
        <v>PZ/801913</v>
      </c>
      <c r="C1915" s="2" t="str">
        <f>TRIM(Table1[[#This Row],[Dostawca]])</f>
        <v>HurtMedix</v>
      </c>
      <c r="D1915" s="3">
        <v>45271</v>
      </c>
      <c r="E1915" s="4" t="s">
        <v>5650</v>
      </c>
      <c r="F1915" s="2" t="str">
        <f>TRIM(Table1[[#This Row],[Status]])</f>
        <v>Zaakceptowana</v>
      </c>
      <c r="G1915" s="2" t="str">
        <f>TRIM(Table1[[#This Row],[Typ]])</f>
        <v>Faktura VAT</v>
      </c>
      <c r="H1915" s="2" t="str">
        <f>TRIM(Table1[[#This Row],[Magazyn]])</f>
        <v>Apteka Szpitalna</v>
      </c>
      <c r="I1915" s="2" t="str">
        <f>TRIM(Table1[[#This Row],[Umowa]])</f>
        <v>UM-HUR-01</v>
      </c>
      <c r="J1915" s="2" t="b">
        <f>ISTEXT(Table14[[#This Row],[Data_Wystawienia]])</f>
        <v>0</v>
      </c>
      <c r="K1915" s="2">
        <f>VALUE(SUBSTITUTE(Table14[[#This Row],[Wartość]],".",","))</f>
        <v>17572.46</v>
      </c>
      <c r="L19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5" s="2" t="str">
        <f>IF(Table14[[#This Row],[Umowa]]="","Poza umową","Z umowy")</f>
        <v>Z umowy</v>
      </c>
      <c r="N1915" s="2">
        <f>YEAR(Table14[[#This Row],[Data_Wystawienia]])</f>
        <v>2023</v>
      </c>
      <c r="O1915" s="2" t="str">
        <f>TEXT(Table14[[#This Row],[Data_Wystawienia]],"rrrr-mm")</f>
        <v>2023-12</v>
      </c>
      <c r="P1915" s="2">
        <v>1</v>
      </c>
    </row>
    <row r="1916" spans="1:16" x14ac:dyDescent="0.3">
      <c r="A1916" s="2" t="str">
        <f>TRIM(Table1[[#This Row],[Numer_FV]])</f>
        <v>FV/8145HM/23</v>
      </c>
      <c r="B1916" s="2" t="str">
        <f>TRIM(Table1[[#This Row],[Numer_PZ]])</f>
        <v>PZ/801914</v>
      </c>
      <c r="C1916" s="2" t="str">
        <f>TRIM(Table1[[#This Row],[Dostawca]])</f>
        <v>HurtMedix</v>
      </c>
      <c r="D1916" s="3">
        <v>45272</v>
      </c>
      <c r="E1916" s="4" t="s">
        <v>5653</v>
      </c>
      <c r="F1916" s="2" t="str">
        <f>TRIM(Table1[[#This Row],[Status]])</f>
        <v>Zaakceptowana</v>
      </c>
      <c r="G1916" s="2" t="str">
        <f>TRIM(Table1[[#This Row],[Typ]])</f>
        <v>Faktura VAT</v>
      </c>
      <c r="H1916" s="2" t="str">
        <f>TRIM(Table1[[#This Row],[Magazyn]])</f>
        <v>Apteka Szpitalna</v>
      </c>
      <c r="I1916" s="2" t="str">
        <f>TRIM(Table1[[#This Row],[Umowa]])</f>
        <v>UM-HUR-02</v>
      </c>
      <c r="J1916" s="2" t="b">
        <f>ISTEXT(Table14[[#This Row],[Data_Wystawienia]])</f>
        <v>0</v>
      </c>
      <c r="K1916" s="2">
        <f>VALUE(SUBSTITUTE(Table14[[#This Row],[Wartość]],".",","))</f>
        <v>19640.14</v>
      </c>
      <c r="L19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6" s="2" t="str">
        <f>IF(Table14[[#This Row],[Umowa]]="","Poza umową","Z umowy")</f>
        <v>Z umowy</v>
      </c>
      <c r="N1916" s="2">
        <f>YEAR(Table14[[#This Row],[Data_Wystawienia]])</f>
        <v>2023</v>
      </c>
      <c r="O1916" s="2" t="str">
        <f>TEXT(Table14[[#This Row],[Data_Wystawienia]],"rrrr-mm")</f>
        <v>2023-12</v>
      </c>
      <c r="P1916" s="2">
        <v>1</v>
      </c>
    </row>
    <row r="1917" spans="1:16" x14ac:dyDescent="0.3">
      <c r="A1917" s="2" t="str">
        <f>TRIM(Table1[[#This Row],[Numer_FV]])</f>
        <v>FV/8169HM/23</v>
      </c>
      <c r="B1917" s="2" t="str">
        <f>TRIM(Table1[[#This Row],[Numer_PZ]])</f>
        <v>PZ/801915</v>
      </c>
      <c r="C1917" s="2" t="str">
        <f>TRIM(Table1[[#This Row],[Dostawca]])</f>
        <v>HurtMedix</v>
      </c>
      <c r="D1917" s="3">
        <v>45272</v>
      </c>
      <c r="E1917" s="4" t="s">
        <v>5656</v>
      </c>
      <c r="F1917" s="2" t="str">
        <f>TRIM(Table1[[#This Row],[Status]])</f>
        <v>Zaakceptowana</v>
      </c>
      <c r="G1917" s="2" t="str">
        <f>TRIM(Table1[[#This Row],[Typ]])</f>
        <v>Faktura VAT</v>
      </c>
      <c r="H1917" s="2" t="str">
        <f>TRIM(Table1[[#This Row],[Magazyn]])</f>
        <v>Apteka Szpitalna</v>
      </c>
      <c r="I1917" s="2" t="str">
        <f>TRIM(Table1[[#This Row],[Umowa]])</f>
        <v>UM-HUR-03</v>
      </c>
      <c r="J1917" s="2" t="b">
        <f>ISTEXT(Table14[[#This Row],[Data_Wystawienia]])</f>
        <v>0</v>
      </c>
      <c r="K1917" s="2">
        <f>VALUE(SUBSTITUTE(Table14[[#This Row],[Wartość]],".",","))</f>
        <v>14433.55</v>
      </c>
      <c r="L19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7" s="2" t="str">
        <f>IF(Table14[[#This Row],[Umowa]]="","Poza umową","Z umowy")</f>
        <v>Z umowy</v>
      </c>
      <c r="N1917" s="2">
        <f>YEAR(Table14[[#This Row],[Data_Wystawienia]])</f>
        <v>2023</v>
      </c>
      <c r="O1917" s="2" t="str">
        <f>TEXT(Table14[[#This Row],[Data_Wystawienia]],"rrrr-mm")</f>
        <v>2023-12</v>
      </c>
      <c r="P1917" s="2">
        <v>1</v>
      </c>
    </row>
    <row r="1918" spans="1:16" x14ac:dyDescent="0.3">
      <c r="A1918" s="2" t="str">
        <f>TRIM(Table1[[#This Row],[Numer_FV]])</f>
        <v>FV/8235HM/23</v>
      </c>
      <c r="B1918" s="2" t="str">
        <f>TRIM(Table1[[#This Row],[Numer_PZ]])</f>
        <v>PZ/801916</v>
      </c>
      <c r="C1918" s="2" t="str">
        <f>TRIM(Table1[[#This Row],[Dostawca]])</f>
        <v>HurtMedix</v>
      </c>
      <c r="D1918" s="3">
        <v>45272</v>
      </c>
      <c r="E1918" s="4" t="s">
        <v>5659</v>
      </c>
      <c r="F1918" s="2" t="str">
        <f>TRIM(Table1[[#This Row],[Status]])</f>
        <v>Zaakceptowana</v>
      </c>
      <c r="G1918" s="2" t="str">
        <f>TRIM(Table1[[#This Row],[Typ]])</f>
        <v>Faktura VAT</v>
      </c>
      <c r="H1918" s="2" t="str">
        <f>TRIM(Table1[[#This Row],[Magazyn]])</f>
        <v>Apteka Szpitalna</v>
      </c>
      <c r="I1918" s="2" t="str">
        <f>TRIM(Table1[[#This Row],[Umowa]])</f>
        <v>UM-HUR-03</v>
      </c>
      <c r="J1918" s="2" t="b">
        <f>ISTEXT(Table14[[#This Row],[Data_Wystawienia]])</f>
        <v>0</v>
      </c>
      <c r="K1918" s="2">
        <f>VALUE(SUBSTITUTE(Table14[[#This Row],[Wartość]],".",","))</f>
        <v>5051.58</v>
      </c>
      <c r="L19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8" s="2" t="str">
        <f>IF(Table14[[#This Row],[Umowa]]="","Poza umową","Z umowy")</f>
        <v>Z umowy</v>
      </c>
      <c r="N1918" s="2">
        <f>YEAR(Table14[[#This Row],[Data_Wystawienia]])</f>
        <v>2023</v>
      </c>
      <c r="O1918" s="2" t="str">
        <f>TEXT(Table14[[#This Row],[Data_Wystawienia]],"rrrr-mm")</f>
        <v>2023-12</v>
      </c>
      <c r="P1918" s="2">
        <v>1</v>
      </c>
    </row>
    <row r="1919" spans="1:16" x14ac:dyDescent="0.3">
      <c r="A1919" s="2" t="str">
        <f>TRIM(Table1[[#This Row],[Numer_FV]])</f>
        <v>FV/CENFA/882792/23</v>
      </c>
      <c r="B1919" s="2" t="str">
        <f>TRIM(Table1[[#This Row],[Numer_PZ]])</f>
        <v>PZ/801917</v>
      </c>
      <c r="C1919" s="2" t="str">
        <f>TRIM(Table1[[#This Row],[Dostawca]])</f>
        <v>CentrumFarm</v>
      </c>
      <c r="D1919" s="3">
        <v>45272</v>
      </c>
      <c r="E1919" s="4" t="s">
        <v>5662</v>
      </c>
      <c r="F1919" s="2" t="str">
        <f>TRIM(Table1[[#This Row],[Status]])</f>
        <v>Zaakceptowana</v>
      </c>
      <c r="G1919" s="2" t="str">
        <f>TRIM(Table1[[#This Row],[Typ]])</f>
        <v>Faktura VAT</v>
      </c>
      <c r="H1919" s="2" t="str">
        <f>TRIM(Table1[[#This Row],[Magazyn]])</f>
        <v>Apteka Szpitalna</v>
      </c>
      <c r="I1919" s="2" t="str">
        <f>TRIM(Table1[[#This Row],[Umowa]])</f>
        <v>UM-CEN-02</v>
      </c>
      <c r="J1919" s="2" t="b">
        <f>ISTEXT(Table14[[#This Row],[Data_Wystawienia]])</f>
        <v>0</v>
      </c>
      <c r="K1919" s="2">
        <f>VALUE(SUBSTITUTE(Table14[[#This Row],[Wartość]],".",","))</f>
        <v>11305.68</v>
      </c>
      <c r="L19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19" s="2" t="str">
        <f>IF(Table14[[#This Row],[Umowa]]="","Poza umową","Z umowy")</f>
        <v>Z umowy</v>
      </c>
      <c r="N1919" s="2">
        <f>YEAR(Table14[[#This Row],[Data_Wystawienia]])</f>
        <v>2023</v>
      </c>
      <c r="O1919" s="2" t="str">
        <f>TEXT(Table14[[#This Row],[Data_Wystawienia]],"rrrr-mm")</f>
        <v>2023-12</v>
      </c>
      <c r="P1919" s="2">
        <v>1</v>
      </c>
    </row>
    <row r="1920" spans="1:16" x14ac:dyDescent="0.3">
      <c r="A1920" s="2" t="str">
        <f>TRIM(Table1[[#This Row],[Numer_FV]])</f>
        <v>FV/POL/67098/2023</v>
      </c>
      <c r="B1920" s="2" t="str">
        <f>TRIM(Table1[[#This Row],[Numer_PZ]])</f>
        <v>PZ/801918</v>
      </c>
      <c r="C1920" s="2" t="str">
        <f>TRIM(Table1[[#This Row],[Dostawca]])</f>
        <v>Polmedica</v>
      </c>
      <c r="D1920" s="3">
        <v>45272</v>
      </c>
      <c r="E1920" s="4" t="s">
        <v>5665</v>
      </c>
      <c r="F1920" s="2" t="str">
        <f>TRIM(Table1[[#This Row],[Status]])</f>
        <v>Zaakceptowana</v>
      </c>
      <c r="G1920" s="2" t="str">
        <f>TRIM(Table1[[#This Row],[Typ]])</f>
        <v>Faktura VAT</v>
      </c>
      <c r="H1920" s="2" t="str">
        <f>TRIM(Table1[[#This Row],[Magazyn]])</f>
        <v>Apteka Szpitalna</v>
      </c>
      <c r="I1920" s="2" t="str">
        <f>TRIM(Table1[[#This Row],[Umowa]])</f>
        <v>UM-POL-02</v>
      </c>
      <c r="J1920" s="2" t="b">
        <f>ISTEXT(Table14[[#This Row],[Data_Wystawienia]])</f>
        <v>0</v>
      </c>
      <c r="K1920" s="2">
        <f>VALUE(SUBSTITUTE(Table14[[#This Row],[Wartość]],".",","))</f>
        <v>15860.8</v>
      </c>
      <c r="L19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0" s="2" t="str">
        <f>IF(Table14[[#This Row],[Umowa]]="","Poza umową","Z umowy")</f>
        <v>Z umowy</v>
      </c>
      <c r="N1920" s="2">
        <f>YEAR(Table14[[#This Row],[Data_Wystawienia]])</f>
        <v>2023</v>
      </c>
      <c r="O1920" s="2" t="str">
        <f>TEXT(Table14[[#This Row],[Data_Wystawienia]],"rrrr-mm")</f>
        <v>2023-12</v>
      </c>
      <c r="P1920" s="2">
        <v>1</v>
      </c>
    </row>
    <row r="1921" spans="1:16" x14ac:dyDescent="0.3">
      <c r="A1921" s="2" t="str">
        <f>TRIM(Table1[[#This Row],[Numer_FV]])</f>
        <v>FV/54367/VDb/2023</v>
      </c>
      <c r="B1921" s="2" t="str">
        <f>TRIM(Table1[[#This Row],[Numer_PZ]])</f>
        <v>PZ/801919</v>
      </c>
      <c r="C1921" s="2" t="str">
        <f>TRIM(Table1[[#This Row],[Dostawca]])</f>
        <v>VitaDistrib</v>
      </c>
      <c r="D1921" s="3">
        <v>45273</v>
      </c>
      <c r="E1921" s="4" t="s">
        <v>5668</v>
      </c>
      <c r="F1921" s="2" t="str">
        <f>TRIM(Table1[[#This Row],[Status]])</f>
        <v>Zaakceptowana</v>
      </c>
      <c r="G1921" s="2" t="str">
        <f>TRIM(Table1[[#This Row],[Typ]])</f>
        <v>Faktura VAT</v>
      </c>
      <c r="H1921" s="2" t="str">
        <f>TRIM(Table1[[#This Row],[Magazyn]])</f>
        <v>Apteka Szpitalna</v>
      </c>
      <c r="I1921" s="2" t="str">
        <f>TRIM(Table1[[#This Row],[Umowa]])</f>
        <v>UM-VIT-01</v>
      </c>
      <c r="J1921" s="2" t="b">
        <f>ISTEXT(Table14[[#This Row],[Data_Wystawienia]])</f>
        <v>0</v>
      </c>
      <c r="K1921" s="2">
        <f>VALUE(SUBSTITUTE(Table14[[#This Row],[Wartość]],".",","))</f>
        <v>16748.669999999998</v>
      </c>
      <c r="L19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1" s="2" t="str">
        <f>IF(Table14[[#This Row],[Umowa]]="","Poza umową","Z umowy")</f>
        <v>Z umowy</v>
      </c>
      <c r="N1921" s="2">
        <f>YEAR(Table14[[#This Row],[Data_Wystawienia]])</f>
        <v>2023</v>
      </c>
      <c r="O1921" s="2" t="str">
        <f>TEXT(Table14[[#This Row],[Data_Wystawienia]],"rrrr-mm")</f>
        <v>2023-12</v>
      </c>
      <c r="P1921" s="2">
        <v>1</v>
      </c>
    </row>
    <row r="1922" spans="1:16" x14ac:dyDescent="0.3">
      <c r="A1922" s="2" t="str">
        <f>TRIM(Table1[[#This Row],[Numer_FV]])</f>
        <v>FV/32/PP/6473/23</v>
      </c>
      <c r="B1922" s="2" t="str">
        <f>TRIM(Table1[[#This Row],[Numer_PZ]])</f>
        <v>PZ/801920</v>
      </c>
      <c r="C1922" s="2" t="str">
        <f>TRIM(Table1[[#This Row],[Dostawca]])</f>
        <v>PharmaPlus</v>
      </c>
      <c r="D1922" s="3">
        <v>45273</v>
      </c>
      <c r="E1922" s="4" t="s">
        <v>5671</v>
      </c>
      <c r="F1922" s="2" t="str">
        <f>TRIM(Table1[[#This Row],[Status]])</f>
        <v>Zaakceptowana</v>
      </c>
      <c r="G1922" s="2" t="str">
        <f>TRIM(Table1[[#This Row],[Typ]])</f>
        <v>Faktura VAT</v>
      </c>
      <c r="H1922" s="2" t="str">
        <f>TRIM(Table1[[#This Row],[Magazyn]])</f>
        <v>Apteka Szpitalna</v>
      </c>
      <c r="I1922" s="2" t="str">
        <f>TRIM(Table1[[#This Row],[Umowa]])</f>
        <v>UM-PHA-02</v>
      </c>
      <c r="J1922" s="2" t="b">
        <f>ISTEXT(Table14[[#This Row],[Data_Wystawienia]])</f>
        <v>0</v>
      </c>
      <c r="K1922" s="2">
        <f>VALUE(SUBSTITUTE(Table14[[#This Row],[Wartość]],".",","))</f>
        <v>10579.87</v>
      </c>
      <c r="L19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2" s="2" t="str">
        <f>IF(Table14[[#This Row],[Umowa]]="","Poza umową","Z umowy")</f>
        <v>Z umowy</v>
      </c>
      <c r="N1922" s="2">
        <f>YEAR(Table14[[#This Row],[Data_Wystawienia]])</f>
        <v>2023</v>
      </c>
      <c r="O1922" s="2" t="str">
        <f>TEXT(Table14[[#This Row],[Data_Wystawienia]],"rrrr-mm")</f>
        <v>2023-12</v>
      </c>
      <c r="P1922" s="2">
        <v>1</v>
      </c>
    </row>
    <row r="1923" spans="1:16" x14ac:dyDescent="0.3">
      <c r="A1923" s="2" t="str">
        <f>TRIM(Table1[[#This Row],[Numer_FV]])</f>
        <v>FV/POL/45818/2023</v>
      </c>
      <c r="B1923" s="2" t="str">
        <f>TRIM(Table1[[#This Row],[Numer_PZ]])</f>
        <v>PZ/801921</v>
      </c>
      <c r="C1923" s="2" t="str">
        <f>TRIM(Table1[[#This Row],[Dostawca]])</f>
        <v>Polmedica</v>
      </c>
      <c r="D1923" s="3">
        <v>45274</v>
      </c>
      <c r="E1923" s="4" t="s">
        <v>5674</v>
      </c>
      <c r="F1923" s="2" t="str">
        <f>TRIM(Table1[[#This Row],[Status]])</f>
        <v>Zaakceptowana</v>
      </c>
      <c r="G1923" s="2" t="str">
        <f>TRIM(Table1[[#This Row],[Typ]])</f>
        <v>Faktura VAT</v>
      </c>
      <c r="H1923" s="2" t="str">
        <f>TRIM(Table1[[#This Row],[Magazyn]])</f>
        <v>Apteka Szpitalna</v>
      </c>
      <c r="I1923" s="2" t="str">
        <f>TRIM(Table1[[#This Row],[Umowa]])</f>
        <v>UM-POL-01</v>
      </c>
      <c r="J1923" s="2" t="b">
        <f>ISTEXT(Table14[[#This Row],[Data_Wystawienia]])</f>
        <v>0</v>
      </c>
      <c r="K1923" s="2">
        <f>VALUE(SUBSTITUTE(Table14[[#This Row],[Wartość]],".",","))</f>
        <v>12175.26</v>
      </c>
      <c r="L19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3" s="2" t="str">
        <f>IF(Table14[[#This Row],[Umowa]]="","Poza umową","Z umowy")</f>
        <v>Z umowy</v>
      </c>
      <c r="N1923" s="2">
        <f>YEAR(Table14[[#This Row],[Data_Wystawienia]])</f>
        <v>2023</v>
      </c>
      <c r="O1923" s="2" t="str">
        <f>TEXT(Table14[[#This Row],[Data_Wystawienia]],"rrrr-mm")</f>
        <v>2023-12</v>
      </c>
      <c r="P1923" s="2">
        <v>1</v>
      </c>
    </row>
    <row r="1924" spans="1:16" x14ac:dyDescent="0.3">
      <c r="A1924" s="2" t="str">
        <f>TRIM(Table1[[#This Row],[Numer_FV]])</f>
        <v>FV/CENFA/892546/23</v>
      </c>
      <c r="B1924" s="2" t="str">
        <f>TRIM(Table1[[#This Row],[Numer_PZ]])</f>
        <v>PZ/801922</v>
      </c>
      <c r="C1924" s="2" t="str">
        <f>TRIM(Table1[[#This Row],[Dostawca]])</f>
        <v>CentrumFarm</v>
      </c>
      <c r="D1924" s="3">
        <v>45275</v>
      </c>
      <c r="E1924" s="4" t="s">
        <v>5677</v>
      </c>
      <c r="F1924" s="2" t="str">
        <f>TRIM(Table1[[#This Row],[Status]])</f>
        <v>Zaakceptowana</v>
      </c>
      <c r="G1924" s="2" t="str">
        <f>TRIM(Table1[[#This Row],[Typ]])</f>
        <v>Faktura VAT</v>
      </c>
      <c r="H1924" s="2" t="str">
        <f>TRIM(Table1[[#This Row],[Magazyn]])</f>
        <v>Apteka Szpitalna</v>
      </c>
      <c r="I1924" s="2" t="str">
        <f>TRIM(Table1[[#This Row],[Umowa]])</f>
        <v>UM-CEN-02</v>
      </c>
      <c r="J1924" s="2" t="b">
        <f>ISTEXT(Table14[[#This Row],[Data_Wystawienia]])</f>
        <v>0</v>
      </c>
      <c r="K1924" s="2">
        <f>VALUE(SUBSTITUTE(Table14[[#This Row],[Wartość]],".",","))</f>
        <v>15185.67</v>
      </c>
      <c r="L19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4" s="2" t="str">
        <f>IF(Table14[[#This Row],[Umowa]]="","Poza umową","Z umowy")</f>
        <v>Z umowy</v>
      </c>
      <c r="N1924" s="2">
        <f>YEAR(Table14[[#This Row],[Data_Wystawienia]])</f>
        <v>2023</v>
      </c>
      <c r="O1924" s="2" t="str">
        <f>TEXT(Table14[[#This Row],[Data_Wystawienia]],"rrrr-mm")</f>
        <v>2023-12</v>
      </c>
      <c r="P1924" s="2">
        <v>1</v>
      </c>
    </row>
    <row r="1925" spans="1:16" x14ac:dyDescent="0.3">
      <c r="A1925" s="2" t="str">
        <f>TRIM(Table1[[#This Row],[Numer_FV]])</f>
        <v>FV/M/8193/P/23</v>
      </c>
      <c r="B1925" s="2" t="str">
        <f>TRIM(Table1[[#This Row],[Numer_PZ]])</f>
        <v>PZ/801923</v>
      </c>
      <c r="C1925" s="2" t="str">
        <f>TRIM(Table1[[#This Row],[Dostawca]])</f>
        <v>MedicaPharm</v>
      </c>
      <c r="D1925" s="3">
        <v>45275</v>
      </c>
      <c r="E1925" s="4" t="s">
        <v>5680</v>
      </c>
      <c r="F1925" s="2" t="str">
        <f>TRIM(Table1[[#This Row],[Status]])</f>
        <v>Zaakceptowana</v>
      </c>
      <c r="G1925" s="2" t="str">
        <f>TRIM(Table1[[#This Row],[Typ]])</f>
        <v>Faktura VAT</v>
      </c>
      <c r="H1925" s="2" t="str">
        <f>TRIM(Table1[[#This Row],[Magazyn]])</f>
        <v>Apteka Szpitalna</v>
      </c>
      <c r="I1925" s="2" t="str">
        <f>TRIM(Table1[[#This Row],[Umowa]])</f>
        <v>UM-MED-01</v>
      </c>
      <c r="J1925" s="2" t="b">
        <f>ISTEXT(Table14[[#This Row],[Data_Wystawienia]])</f>
        <v>0</v>
      </c>
      <c r="K1925" s="2">
        <f>VALUE(SUBSTITUTE(Table14[[#This Row],[Wartość]],".",","))</f>
        <v>7513.86</v>
      </c>
      <c r="L19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5" s="2" t="str">
        <f>IF(Table14[[#This Row],[Umowa]]="","Poza umową","Z umowy")</f>
        <v>Z umowy</v>
      </c>
      <c r="N1925" s="2">
        <f>YEAR(Table14[[#This Row],[Data_Wystawienia]])</f>
        <v>2023</v>
      </c>
      <c r="O1925" s="2" t="str">
        <f>TEXT(Table14[[#This Row],[Data_Wystawienia]],"rrrr-mm")</f>
        <v>2023-12</v>
      </c>
      <c r="P1925" s="2">
        <v>1</v>
      </c>
    </row>
    <row r="1926" spans="1:16" x14ac:dyDescent="0.3">
      <c r="A1926" s="2" t="str">
        <f>TRIM(Table1[[#This Row],[Numer_FV]])</f>
        <v>FV/83/PP/9127/23</v>
      </c>
      <c r="B1926" s="2" t="str">
        <f>TRIM(Table1[[#This Row],[Numer_PZ]])</f>
        <v>PZ/801924</v>
      </c>
      <c r="C1926" s="2" t="str">
        <f>TRIM(Table1[[#This Row],[Dostawca]])</f>
        <v>PharmaPlus</v>
      </c>
      <c r="D1926" s="3">
        <v>45275</v>
      </c>
      <c r="E1926" s="4" t="s">
        <v>5683</v>
      </c>
      <c r="F1926" s="2" t="str">
        <f>TRIM(Table1[[#This Row],[Status]])</f>
        <v>Zaakceptowana</v>
      </c>
      <c r="G1926" s="2" t="str">
        <f>TRIM(Table1[[#This Row],[Typ]])</f>
        <v>Faktura VAT</v>
      </c>
      <c r="H1926" s="2" t="str">
        <f>TRIM(Table1[[#This Row],[Magazyn]])</f>
        <v>Apteka Szpitalna</v>
      </c>
      <c r="I1926" s="2" t="str">
        <f>TRIM(Table1[[#This Row],[Umowa]])</f>
        <v>UM-PHA-02</v>
      </c>
      <c r="J1926" s="2" t="b">
        <f>ISTEXT(Table14[[#This Row],[Data_Wystawienia]])</f>
        <v>0</v>
      </c>
      <c r="K1926" s="2">
        <f>VALUE(SUBSTITUTE(Table14[[#This Row],[Wartość]],".",","))</f>
        <v>15144.1</v>
      </c>
      <c r="L19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6" s="2" t="str">
        <f>IF(Table14[[#This Row],[Umowa]]="","Poza umową","Z umowy")</f>
        <v>Z umowy</v>
      </c>
      <c r="N1926" s="2">
        <f>YEAR(Table14[[#This Row],[Data_Wystawienia]])</f>
        <v>2023</v>
      </c>
      <c r="O1926" s="2" t="str">
        <f>TEXT(Table14[[#This Row],[Data_Wystawienia]],"rrrr-mm")</f>
        <v>2023-12</v>
      </c>
      <c r="P1926" s="2">
        <v>1</v>
      </c>
    </row>
    <row r="1927" spans="1:16" x14ac:dyDescent="0.3">
      <c r="A1927" s="2" t="str">
        <f>TRIM(Table1[[#This Row],[Numer_FV]])</f>
        <v>FV/21387/VDb/2023</v>
      </c>
      <c r="B1927" s="2" t="str">
        <f>TRIM(Table1[[#This Row],[Numer_PZ]])</f>
        <v>PZ/801925</v>
      </c>
      <c r="C1927" s="2" t="str">
        <f>TRIM(Table1[[#This Row],[Dostawca]])</f>
        <v>VitaDistrib</v>
      </c>
      <c r="D1927" s="3">
        <v>45275</v>
      </c>
      <c r="E1927" s="4" t="s">
        <v>5686</v>
      </c>
      <c r="F1927" s="2" t="str">
        <f>TRIM(Table1[[#This Row],[Status]])</f>
        <v>Zaakceptowana</v>
      </c>
      <c r="G1927" s="2" t="str">
        <f>TRIM(Table1[[#This Row],[Typ]])</f>
        <v>Faktura VAT</v>
      </c>
      <c r="H1927" s="2" t="str">
        <f>TRIM(Table1[[#This Row],[Magazyn]])</f>
        <v>Apteka Szpitalna</v>
      </c>
      <c r="I1927" s="2" t="str">
        <f>TRIM(Table1[[#This Row],[Umowa]])</f>
        <v>UM-VIT-01</v>
      </c>
      <c r="J1927" s="2" t="b">
        <f>ISTEXT(Table14[[#This Row],[Data_Wystawienia]])</f>
        <v>0</v>
      </c>
      <c r="K1927" s="2">
        <f>VALUE(SUBSTITUTE(Table14[[#This Row],[Wartość]],".",","))</f>
        <v>18670.3</v>
      </c>
      <c r="L19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7" s="2" t="str">
        <f>IF(Table14[[#This Row],[Umowa]]="","Poza umową","Z umowy")</f>
        <v>Z umowy</v>
      </c>
      <c r="N1927" s="2">
        <f>YEAR(Table14[[#This Row],[Data_Wystawienia]])</f>
        <v>2023</v>
      </c>
      <c r="O1927" s="2" t="str">
        <f>TEXT(Table14[[#This Row],[Data_Wystawienia]],"rrrr-mm")</f>
        <v>2023-12</v>
      </c>
      <c r="P1927" s="2">
        <v>1</v>
      </c>
    </row>
    <row r="1928" spans="1:16" x14ac:dyDescent="0.3">
      <c r="A1928" s="2" t="str">
        <f>TRIM(Table1[[#This Row],[Numer_FV]])</f>
        <v>FV/2893HM/23</v>
      </c>
      <c r="B1928" s="2" t="str">
        <f>TRIM(Table1[[#This Row],[Numer_PZ]])</f>
        <v>PZ/801926</v>
      </c>
      <c r="C1928" s="2" t="str">
        <f>TRIM(Table1[[#This Row],[Dostawca]])</f>
        <v>HurtMedix</v>
      </c>
      <c r="D1928" s="3">
        <v>45275</v>
      </c>
      <c r="E1928" s="4" t="s">
        <v>5689</v>
      </c>
      <c r="F1928" s="2" t="str">
        <f>TRIM(Table1[[#This Row],[Status]])</f>
        <v>Zaakceptowana</v>
      </c>
      <c r="G1928" s="2" t="str">
        <f>TRIM(Table1[[#This Row],[Typ]])</f>
        <v>Korekta FV</v>
      </c>
      <c r="H1928" s="2" t="str">
        <f>TRIM(Table1[[#This Row],[Magazyn]])</f>
        <v>Apteka Szpitalna</v>
      </c>
      <c r="I1928" s="2" t="str">
        <f>TRIM(Table1[[#This Row],[Umowa]])</f>
        <v/>
      </c>
      <c r="J1928" s="2" t="b">
        <f>ISTEXT(Table14[[#This Row],[Data_Wystawienia]])</f>
        <v>0</v>
      </c>
      <c r="K1928" s="2">
        <f>VALUE(SUBSTITUTE(Table14[[#This Row],[Wartość]],".",","))</f>
        <v>-638.4</v>
      </c>
      <c r="L19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8" s="2" t="str">
        <f>IF(Table14[[#This Row],[Umowa]]="","Poza umową","Z umowy")</f>
        <v>Poza umową</v>
      </c>
      <c r="N1928" s="2">
        <f>YEAR(Table14[[#This Row],[Data_Wystawienia]])</f>
        <v>2023</v>
      </c>
      <c r="O1928" s="2" t="str">
        <f>TEXT(Table14[[#This Row],[Data_Wystawienia]],"rrrr-mm")</f>
        <v>2023-12</v>
      </c>
      <c r="P1928" s="2">
        <v>1</v>
      </c>
    </row>
    <row r="1929" spans="1:16" x14ac:dyDescent="0.3">
      <c r="A1929" s="2" t="str">
        <f>TRIM(Table1[[#This Row],[Numer_FV]])</f>
        <v>FV/CENFA/526202/23</v>
      </c>
      <c r="B1929" s="2" t="str">
        <f>TRIM(Table1[[#This Row],[Numer_PZ]])</f>
        <v>PZ/801927</v>
      </c>
      <c r="C1929" s="2" t="str">
        <f>TRIM(Table1[[#This Row],[Dostawca]])</f>
        <v>CentrumFarm</v>
      </c>
      <c r="D1929" s="3">
        <v>45275</v>
      </c>
      <c r="E1929" s="4" t="s">
        <v>5692</v>
      </c>
      <c r="F1929" s="2" t="str">
        <f>TRIM(Table1[[#This Row],[Status]])</f>
        <v>Zaakceptowana</v>
      </c>
      <c r="G1929" s="2" t="str">
        <f>TRIM(Table1[[#This Row],[Typ]])</f>
        <v>Faktura VAT</v>
      </c>
      <c r="H1929" s="2" t="str">
        <f>TRIM(Table1[[#This Row],[Magazyn]])</f>
        <v>Apteka Szpitalna</v>
      </c>
      <c r="I1929" s="2" t="str">
        <f>TRIM(Table1[[#This Row],[Umowa]])</f>
        <v>UM-CEN-02</v>
      </c>
      <c r="J1929" s="2" t="b">
        <f>ISTEXT(Table14[[#This Row],[Data_Wystawienia]])</f>
        <v>0</v>
      </c>
      <c r="K1929" s="2">
        <f>VALUE(SUBSTITUTE(Table14[[#This Row],[Wartość]],".",","))</f>
        <v>9305.31</v>
      </c>
      <c r="L19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29" s="2" t="str">
        <f>IF(Table14[[#This Row],[Umowa]]="","Poza umową","Z umowy")</f>
        <v>Z umowy</v>
      </c>
      <c r="N1929" s="2">
        <f>YEAR(Table14[[#This Row],[Data_Wystawienia]])</f>
        <v>2023</v>
      </c>
      <c r="O1929" s="2" t="str">
        <f>TEXT(Table14[[#This Row],[Data_Wystawienia]],"rrrr-mm")</f>
        <v>2023-12</v>
      </c>
      <c r="P1929" s="2">
        <v>1</v>
      </c>
    </row>
    <row r="1930" spans="1:16" x14ac:dyDescent="0.3">
      <c r="A1930" s="2" t="str">
        <f>TRIM(Table1[[#This Row],[Numer_FV]])</f>
        <v>FV/1300/NOVA/23</v>
      </c>
      <c r="B1930" s="2" t="str">
        <f>TRIM(Table1[[#This Row],[Numer_PZ]])</f>
        <v>PZ/801928</v>
      </c>
      <c r="C1930" s="2" t="str">
        <f>TRIM(Table1[[#This Row],[Dostawca]])</f>
        <v>NovaLek</v>
      </c>
      <c r="D1930" s="3">
        <v>45276</v>
      </c>
      <c r="E1930" s="4" t="s">
        <v>5695</v>
      </c>
      <c r="F1930" s="2" t="str">
        <f>TRIM(Table1[[#This Row],[Status]])</f>
        <v>Zaakceptowana</v>
      </c>
      <c r="G1930" s="2" t="str">
        <f>TRIM(Table1[[#This Row],[Typ]])</f>
        <v>Faktura VAT</v>
      </c>
      <c r="H1930" s="2" t="str">
        <f>TRIM(Table1[[#This Row],[Magazyn]])</f>
        <v>Apteka Szpitalna</v>
      </c>
      <c r="I1930" s="2" t="str">
        <f>TRIM(Table1[[#This Row],[Umowa]])</f>
        <v/>
      </c>
      <c r="J1930" s="2" t="b">
        <f>ISTEXT(Table14[[#This Row],[Data_Wystawienia]])</f>
        <v>0</v>
      </c>
      <c r="K1930" s="2">
        <f>VALUE(SUBSTITUTE(Table14[[#This Row],[Wartość]],".",","))</f>
        <v>19269.689999999999</v>
      </c>
      <c r="L19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0" s="2" t="str">
        <f>IF(Table14[[#This Row],[Umowa]]="","Poza umową","Z umowy")</f>
        <v>Poza umową</v>
      </c>
      <c r="N1930" s="2">
        <f>YEAR(Table14[[#This Row],[Data_Wystawienia]])</f>
        <v>2023</v>
      </c>
      <c r="O1930" s="2" t="str">
        <f>TEXT(Table14[[#This Row],[Data_Wystawienia]],"rrrr-mm")</f>
        <v>2023-12</v>
      </c>
      <c r="P1930" s="2">
        <v>1</v>
      </c>
    </row>
    <row r="1931" spans="1:16" x14ac:dyDescent="0.3">
      <c r="A1931" s="2" t="str">
        <f>TRIM(Table1[[#This Row],[Numer_FV]])</f>
        <v>FV/99/SAL/23</v>
      </c>
      <c r="B1931" s="2" t="str">
        <f>TRIM(Table1[[#This Row],[Numer_PZ]])</f>
        <v>PZ/801929</v>
      </c>
      <c r="C1931" s="2" t="str">
        <f>TRIM(Table1[[#This Row],[Dostawca]])</f>
        <v>SalusHurt</v>
      </c>
      <c r="D1931" s="3">
        <v>45276</v>
      </c>
      <c r="E1931" s="4" t="s">
        <v>5697</v>
      </c>
      <c r="F1931" s="2" t="str">
        <f>TRIM(Table1[[#This Row],[Status]])</f>
        <v>Zaakceptowana</v>
      </c>
      <c r="G1931" s="2" t="str">
        <f>TRIM(Table1[[#This Row],[Typ]])</f>
        <v>Faktura VAT</v>
      </c>
      <c r="H1931" s="2" t="str">
        <f>TRIM(Table1[[#This Row],[Magazyn]])</f>
        <v>Apteka Szpitalna</v>
      </c>
      <c r="I1931" s="2" t="str">
        <f>TRIM(Table1[[#This Row],[Umowa]])</f>
        <v>UM-SAL-02</v>
      </c>
      <c r="J1931" s="2" t="b">
        <f>ISTEXT(Table14[[#This Row],[Data_Wystawienia]])</f>
        <v>0</v>
      </c>
      <c r="K1931" s="2">
        <f>VALUE(SUBSTITUTE(Table14[[#This Row],[Wartość]],".",","))</f>
        <v>14415.74</v>
      </c>
      <c r="L19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1" s="2" t="str">
        <f>IF(Table14[[#This Row],[Umowa]]="","Poza umową","Z umowy")</f>
        <v>Z umowy</v>
      </c>
      <c r="N1931" s="2">
        <f>YEAR(Table14[[#This Row],[Data_Wystawienia]])</f>
        <v>2023</v>
      </c>
      <c r="O1931" s="2" t="str">
        <f>TEXT(Table14[[#This Row],[Data_Wystawienia]],"rrrr-mm")</f>
        <v>2023-12</v>
      </c>
      <c r="P1931" s="2">
        <v>1</v>
      </c>
    </row>
    <row r="1932" spans="1:16" x14ac:dyDescent="0.3">
      <c r="A1932" s="2" t="str">
        <f>TRIM(Table1[[#This Row],[Numer_FV]])</f>
        <v>FV/2708/NOVA/23</v>
      </c>
      <c r="B1932" s="2" t="str">
        <f>TRIM(Table1[[#This Row],[Numer_PZ]])</f>
        <v>PZ/801930</v>
      </c>
      <c r="C1932" s="2" t="str">
        <f>TRIM(Table1[[#This Row],[Dostawca]])</f>
        <v>NovaLek</v>
      </c>
      <c r="D1932" s="3">
        <v>45276</v>
      </c>
      <c r="E1932" s="4" t="s">
        <v>5700</v>
      </c>
      <c r="F1932" s="2" t="str">
        <f>TRIM(Table1[[#This Row],[Status]])</f>
        <v>Zaakceptowana</v>
      </c>
      <c r="G1932" s="2" t="str">
        <f>TRIM(Table1[[#This Row],[Typ]])</f>
        <v>Faktura VAT</v>
      </c>
      <c r="H1932" s="2" t="str">
        <f>TRIM(Table1[[#This Row],[Magazyn]])</f>
        <v>Apteka Szpitalna</v>
      </c>
      <c r="I1932" s="2" t="str">
        <f>TRIM(Table1[[#This Row],[Umowa]])</f>
        <v>UM-NOV-02</v>
      </c>
      <c r="J1932" s="2" t="b">
        <f>ISTEXT(Table14[[#This Row],[Data_Wystawienia]])</f>
        <v>0</v>
      </c>
      <c r="K1932" s="2">
        <f>VALUE(SUBSTITUTE(Table14[[#This Row],[Wartość]],".",","))</f>
        <v>18910.82</v>
      </c>
      <c r="L19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2" s="2" t="str">
        <f>IF(Table14[[#This Row],[Umowa]]="","Poza umową","Z umowy")</f>
        <v>Z umowy</v>
      </c>
      <c r="N1932" s="2">
        <f>YEAR(Table14[[#This Row],[Data_Wystawienia]])</f>
        <v>2023</v>
      </c>
      <c r="O1932" s="2" t="str">
        <f>TEXT(Table14[[#This Row],[Data_Wystawienia]],"rrrr-mm")</f>
        <v>2023-12</v>
      </c>
      <c r="P1932" s="2">
        <v>1</v>
      </c>
    </row>
    <row r="1933" spans="1:16" x14ac:dyDescent="0.3">
      <c r="A1933" s="2" t="str">
        <f>TRIM(Table1[[#This Row],[Numer_FV]])</f>
        <v>FV/2892HM/23</v>
      </c>
      <c r="B1933" s="2" t="str">
        <f>TRIM(Table1[[#This Row],[Numer_PZ]])</f>
        <v>PZ/801931</v>
      </c>
      <c r="C1933" s="2" t="str">
        <f>TRIM(Table1[[#This Row],[Dostawca]])</f>
        <v>HurtMedix</v>
      </c>
      <c r="D1933" s="3">
        <v>45278</v>
      </c>
      <c r="E1933" s="4" t="s">
        <v>5703</v>
      </c>
      <c r="F1933" s="2" t="str">
        <f>TRIM(Table1[[#This Row],[Status]])</f>
        <v>Zaakceptowana</v>
      </c>
      <c r="G1933" s="2" t="str">
        <f>TRIM(Table1[[#This Row],[Typ]])</f>
        <v>Faktura VAT</v>
      </c>
      <c r="H1933" s="2" t="str">
        <f>TRIM(Table1[[#This Row],[Magazyn]])</f>
        <v>Apteka Szpitalna</v>
      </c>
      <c r="I1933" s="2" t="str">
        <f>TRIM(Table1[[#This Row],[Umowa]])</f>
        <v/>
      </c>
      <c r="J1933" s="2" t="b">
        <f>ISTEXT(Table14[[#This Row],[Data_Wystawienia]])</f>
        <v>0</v>
      </c>
      <c r="K1933" s="2">
        <f>VALUE(SUBSTITUTE(Table14[[#This Row],[Wartość]],".",","))</f>
        <v>20413.18</v>
      </c>
      <c r="L19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3" s="2" t="str">
        <f>IF(Table14[[#This Row],[Umowa]]="","Poza umową","Z umowy")</f>
        <v>Poza umową</v>
      </c>
      <c r="N1933" s="2">
        <f>YEAR(Table14[[#This Row],[Data_Wystawienia]])</f>
        <v>2023</v>
      </c>
      <c r="O1933" s="2" t="str">
        <f>TEXT(Table14[[#This Row],[Data_Wystawienia]],"rrrr-mm")</f>
        <v>2023-12</v>
      </c>
      <c r="P1933" s="2">
        <v>1</v>
      </c>
    </row>
    <row r="1934" spans="1:16" x14ac:dyDescent="0.3">
      <c r="A1934" s="2" t="str">
        <f>TRIM(Table1[[#This Row],[Numer_FV]])</f>
        <v>FV/41/PP/9914/23</v>
      </c>
      <c r="B1934" s="2" t="str">
        <f>TRIM(Table1[[#This Row],[Numer_PZ]])</f>
        <v>PZ/801932</v>
      </c>
      <c r="C1934" s="2" t="str">
        <f>TRIM(Table1[[#This Row],[Dostawca]])</f>
        <v>PharmaPlus</v>
      </c>
      <c r="D1934" s="3">
        <v>45278</v>
      </c>
      <c r="E1934" s="4" t="s">
        <v>5706</v>
      </c>
      <c r="F1934" s="2" t="str">
        <f>TRIM(Table1[[#This Row],[Status]])</f>
        <v>Zaakceptowana</v>
      </c>
      <c r="G1934" s="2" t="str">
        <f>TRIM(Table1[[#This Row],[Typ]])</f>
        <v>Faktura VAT</v>
      </c>
      <c r="H1934" s="2" t="str">
        <f>TRIM(Table1[[#This Row],[Magazyn]])</f>
        <v>Apteka Szpitalna</v>
      </c>
      <c r="I1934" s="2" t="str">
        <f>TRIM(Table1[[#This Row],[Umowa]])</f>
        <v>UM-PHA-02</v>
      </c>
      <c r="J1934" s="2" t="b">
        <f>ISTEXT(Table14[[#This Row],[Data_Wystawienia]])</f>
        <v>0</v>
      </c>
      <c r="K1934" s="2">
        <f>VALUE(SUBSTITUTE(Table14[[#This Row],[Wartość]],".",","))</f>
        <v>20908.53</v>
      </c>
      <c r="L19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4" s="2" t="str">
        <f>IF(Table14[[#This Row],[Umowa]]="","Poza umową","Z umowy")</f>
        <v>Z umowy</v>
      </c>
      <c r="N1934" s="2">
        <f>YEAR(Table14[[#This Row],[Data_Wystawienia]])</f>
        <v>2023</v>
      </c>
      <c r="O1934" s="2" t="str">
        <f>TEXT(Table14[[#This Row],[Data_Wystawienia]],"rrrr-mm")</f>
        <v>2023-12</v>
      </c>
      <c r="P1934" s="2">
        <v>1</v>
      </c>
    </row>
    <row r="1935" spans="1:16" x14ac:dyDescent="0.3">
      <c r="A1935" s="2" t="str">
        <f>TRIM(Table1[[#This Row],[Numer_FV]])</f>
        <v>FV/87/PP/5016/23</v>
      </c>
      <c r="B1935" s="2" t="str">
        <f>TRIM(Table1[[#This Row],[Numer_PZ]])</f>
        <v>PZ/801933</v>
      </c>
      <c r="C1935" s="2" t="str">
        <f>TRIM(Table1[[#This Row],[Dostawca]])</f>
        <v>PharmaPlus</v>
      </c>
      <c r="D1935" s="3">
        <v>45279</v>
      </c>
      <c r="E1935" s="4" t="s">
        <v>5709</v>
      </c>
      <c r="F1935" s="2" t="str">
        <f>TRIM(Table1[[#This Row],[Status]])</f>
        <v>Zaakceptowana</v>
      </c>
      <c r="G1935" s="2" t="str">
        <f>TRIM(Table1[[#This Row],[Typ]])</f>
        <v>Faktura VAT</v>
      </c>
      <c r="H1935" s="2" t="str">
        <f>TRIM(Table1[[#This Row],[Magazyn]])</f>
        <v>Apteka Szpitalna</v>
      </c>
      <c r="I1935" s="2" t="str">
        <f>TRIM(Table1[[#This Row],[Umowa]])</f>
        <v>UM-PHA-02</v>
      </c>
      <c r="J1935" s="2" t="b">
        <f>ISTEXT(Table14[[#This Row],[Data_Wystawienia]])</f>
        <v>0</v>
      </c>
      <c r="K1935" s="2">
        <f>VALUE(SUBSTITUTE(Table14[[#This Row],[Wartość]],".",","))</f>
        <v>13450.31</v>
      </c>
      <c r="L19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5" s="2" t="str">
        <f>IF(Table14[[#This Row],[Umowa]]="","Poza umową","Z umowy")</f>
        <v>Z umowy</v>
      </c>
      <c r="N1935" s="2">
        <f>YEAR(Table14[[#This Row],[Data_Wystawienia]])</f>
        <v>2023</v>
      </c>
      <c r="O1935" s="2" t="str">
        <f>TEXT(Table14[[#This Row],[Data_Wystawienia]],"rrrr-mm")</f>
        <v>2023-12</v>
      </c>
      <c r="P1935" s="2">
        <v>1</v>
      </c>
    </row>
    <row r="1936" spans="1:16" x14ac:dyDescent="0.3">
      <c r="A1936" s="2" t="str">
        <f>TRIM(Table1[[#This Row],[Numer_FV]])</f>
        <v>FV/46/SAL/23</v>
      </c>
      <c r="B1936" s="2" t="str">
        <f>TRIM(Table1[[#This Row],[Numer_PZ]])</f>
        <v>PZ/801934</v>
      </c>
      <c r="C1936" s="2" t="str">
        <f>TRIM(Table1[[#This Row],[Dostawca]])</f>
        <v>SalusHurt</v>
      </c>
      <c r="D1936" s="3">
        <v>45279</v>
      </c>
      <c r="E1936" s="4" t="s">
        <v>5711</v>
      </c>
      <c r="F1936" s="2" t="str">
        <f>TRIM(Table1[[#This Row],[Status]])</f>
        <v>Zaakceptowana</v>
      </c>
      <c r="G1936" s="2" t="str">
        <f>TRIM(Table1[[#This Row],[Typ]])</f>
        <v>Faktura VAT</v>
      </c>
      <c r="H1936" s="2" t="str">
        <f>TRIM(Table1[[#This Row],[Magazyn]])</f>
        <v>Apteka Szpitalna</v>
      </c>
      <c r="I1936" s="2" t="str">
        <f>TRIM(Table1[[#This Row],[Umowa]])</f>
        <v>UM-SAL-01</v>
      </c>
      <c r="J1936" s="2" t="b">
        <f>ISTEXT(Table14[[#This Row],[Data_Wystawienia]])</f>
        <v>0</v>
      </c>
      <c r="K1936" s="2">
        <f>VALUE(SUBSTITUTE(Table14[[#This Row],[Wartość]],".",","))</f>
        <v>16155.11</v>
      </c>
      <c r="L19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6" s="2" t="str">
        <f>IF(Table14[[#This Row],[Umowa]]="","Poza umową","Z umowy")</f>
        <v>Z umowy</v>
      </c>
      <c r="N1936" s="2">
        <f>YEAR(Table14[[#This Row],[Data_Wystawienia]])</f>
        <v>2023</v>
      </c>
      <c r="O1936" s="2" t="str">
        <f>TEXT(Table14[[#This Row],[Data_Wystawienia]],"rrrr-mm")</f>
        <v>2023-12</v>
      </c>
      <c r="P1936" s="2">
        <v>1</v>
      </c>
    </row>
    <row r="1937" spans="1:16" x14ac:dyDescent="0.3">
      <c r="A1937" s="2" t="str">
        <f>TRIM(Table1[[#This Row],[Numer_FV]])</f>
        <v>FV/14/PP/1799/23</v>
      </c>
      <c r="B1937" s="2" t="str">
        <f>TRIM(Table1[[#This Row],[Numer_PZ]])</f>
        <v>PZ/801935</v>
      </c>
      <c r="C1937" s="2" t="str">
        <f>TRIM(Table1[[#This Row],[Dostawca]])</f>
        <v>PharmaPlus</v>
      </c>
      <c r="D1937" s="3">
        <v>45279</v>
      </c>
      <c r="E1937" s="4" t="s">
        <v>5714</v>
      </c>
      <c r="F1937" s="2" t="str">
        <f>TRIM(Table1[[#This Row],[Status]])</f>
        <v>Zaakceptowana</v>
      </c>
      <c r="G1937" s="2" t="str">
        <f>TRIM(Table1[[#This Row],[Typ]])</f>
        <v>Faktura VAT</v>
      </c>
      <c r="H1937" s="2" t="str">
        <f>TRIM(Table1[[#This Row],[Magazyn]])</f>
        <v>Apteka Szpitalna</v>
      </c>
      <c r="I1937" s="2" t="str">
        <f>TRIM(Table1[[#This Row],[Umowa]])</f>
        <v/>
      </c>
      <c r="J1937" s="2" t="b">
        <f>ISTEXT(Table14[[#This Row],[Data_Wystawienia]])</f>
        <v>0</v>
      </c>
      <c r="K1937" s="2">
        <f>VALUE(SUBSTITUTE(Table14[[#This Row],[Wartość]],".",","))</f>
        <v>17242.2</v>
      </c>
      <c r="L19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7" s="2" t="str">
        <f>IF(Table14[[#This Row],[Umowa]]="","Poza umową","Z umowy")</f>
        <v>Poza umową</v>
      </c>
      <c r="N1937" s="2">
        <f>YEAR(Table14[[#This Row],[Data_Wystawienia]])</f>
        <v>2023</v>
      </c>
      <c r="O1937" s="2" t="str">
        <f>TEXT(Table14[[#This Row],[Data_Wystawienia]],"rrrr-mm")</f>
        <v>2023-12</v>
      </c>
      <c r="P1937" s="2">
        <v>1</v>
      </c>
    </row>
    <row r="1938" spans="1:16" x14ac:dyDescent="0.3">
      <c r="A1938" s="2" t="str">
        <f>TRIM(Table1[[#This Row],[Numer_FV]])</f>
        <v>FV/POL/52361/2023</v>
      </c>
      <c r="B1938" s="2" t="str">
        <f>TRIM(Table1[[#This Row],[Numer_PZ]])</f>
        <v>PZ/801936</v>
      </c>
      <c r="C1938" s="2" t="str">
        <f>TRIM(Table1[[#This Row],[Dostawca]])</f>
        <v>Polmedica</v>
      </c>
      <c r="D1938" s="3">
        <v>45280</v>
      </c>
      <c r="E1938" s="4" t="s">
        <v>5717</v>
      </c>
      <c r="F1938" s="2" t="str">
        <f>TRIM(Table1[[#This Row],[Status]])</f>
        <v>Zaakceptowana</v>
      </c>
      <c r="G1938" s="2" t="str">
        <f>TRIM(Table1[[#This Row],[Typ]])</f>
        <v>Faktura VAT</v>
      </c>
      <c r="H1938" s="2" t="str">
        <f>TRIM(Table1[[#This Row],[Magazyn]])</f>
        <v>Apteka Szpitalna</v>
      </c>
      <c r="I1938" s="2" t="str">
        <f>TRIM(Table1[[#This Row],[Umowa]])</f>
        <v/>
      </c>
      <c r="J1938" s="2" t="b">
        <f>ISTEXT(Table14[[#This Row],[Data_Wystawienia]])</f>
        <v>0</v>
      </c>
      <c r="K1938" s="2">
        <f>VALUE(SUBSTITUTE(Table14[[#This Row],[Wartość]],".",","))</f>
        <v>3858.52</v>
      </c>
      <c r="L19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8" s="2" t="str">
        <f>IF(Table14[[#This Row],[Umowa]]="","Poza umową","Z umowy")</f>
        <v>Poza umową</v>
      </c>
      <c r="N1938" s="2">
        <f>YEAR(Table14[[#This Row],[Data_Wystawienia]])</f>
        <v>2023</v>
      </c>
      <c r="O1938" s="2" t="str">
        <f>TEXT(Table14[[#This Row],[Data_Wystawienia]],"rrrr-mm")</f>
        <v>2023-12</v>
      </c>
      <c r="P1938" s="2">
        <v>1</v>
      </c>
    </row>
    <row r="1939" spans="1:16" x14ac:dyDescent="0.3">
      <c r="A1939" s="2" t="str">
        <f>TRIM(Table1[[#This Row],[Numer_FV]])</f>
        <v>FV/CENFA/363802/23</v>
      </c>
      <c r="B1939" s="2" t="str">
        <f>TRIM(Table1[[#This Row],[Numer_PZ]])</f>
        <v>PZ/801937</v>
      </c>
      <c r="C1939" s="2" t="str">
        <f>TRIM(Table1[[#This Row],[Dostawca]])</f>
        <v>CentrumFarm</v>
      </c>
      <c r="D1939" s="3">
        <v>45280</v>
      </c>
      <c r="E1939" s="4" t="s">
        <v>5720</v>
      </c>
      <c r="F1939" s="2" t="str">
        <f>TRIM(Table1[[#This Row],[Status]])</f>
        <v>Zaakceptowana</v>
      </c>
      <c r="G1939" s="2" t="str">
        <f>TRIM(Table1[[#This Row],[Typ]])</f>
        <v>Faktura VAT</v>
      </c>
      <c r="H1939" s="2" t="str">
        <f>TRIM(Table1[[#This Row],[Magazyn]])</f>
        <v>Apteka Szpitalna</v>
      </c>
      <c r="I1939" s="2" t="str">
        <f>TRIM(Table1[[#This Row],[Umowa]])</f>
        <v>UM-CEN-02</v>
      </c>
      <c r="J1939" s="2" t="b">
        <f>ISTEXT(Table14[[#This Row],[Data_Wystawienia]])</f>
        <v>0</v>
      </c>
      <c r="K1939" s="2">
        <f>VALUE(SUBSTITUTE(Table14[[#This Row],[Wartość]],".",","))</f>
        <v>12658.05</v>
      </c>
      <c r="L19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39" s="2" t="str">
        <f>IF(Table14[[#This Row],[Umowa]]="","Poza umową","Z umowy")</f>
        <v>Z umowy</v>
      </c>
      <c r="N1939" s="2">
        <f>YEAR(Table14[[#This Row],[Data_Wystawienia]])</f>
        <v>2023</v>
      </c>
      <c r="O1939" s="2" t="str">
        <f>TEXT(Table14[[#This Row],[Data_Wystawienia]],"rrrr-mm")</f>
        <v>2023-12</v>
      </c>
      <c r="P1939" s="2">
        <v>1</v>
      </c>
    </row>
    <row r="1940" spans="1:16" x14ac:dyDescent="0.3">
      <c r="A1940" s="2" t="str">
        <f>TRIM(Table1[[#This Row],[Numer_FV]])</f>
        <v>FV/80863/VDb/2023</v>
      </c>
      <c r="B1940" s="2" t="str">
        <f>TRIM(Table1[[#This Row],[Numer_PZ]])</f>
        <v>PZ/801938</v>
      </c>
      <c r="C1940" s="2" t="str">
        <f>TRIM(Table1[[#This Row],[Dostawca]])</f>
        <v>VitaDistrib</v>
      </c>
      <c r="D1940" s="3">
        <v>45280</v>
      </c>
      <c r="E1940" s="4" t="s">
        <v>5723</v>
      </c>
      <c r="F1940" s="2" t="str">
        <f>TRIM(Table1[[#This Row],[Status]])</f>
        <v>Zaakceptowana</v>
      </c>
      <c r="G1940" s="2" t="str">
        <f>TRIM(Table1[[#This Row],[Typ]])</f>
        <v>Faktura VAT</v>
      </c>
      <c r="H1940" s="2" t="str">
        <f>TRIM(Table1[[#This Row],[Magazyn]])</f>
        <v>Apteka Szpitalna</v>
      </c>
      <c r="I1940" s="2" t="str">
        <f>TRIM(Table1[[#This Row],[Umowa]])</f>
        <v>UM-VIT-01</v>
      </c>
      <c r="J1940" s="2" t="b">
        <f>ISTEXT(Table14[[#This Row],[Data_Wystawienia]])</f>
        <v>0</v>
      </c>
      <c r="K1940" s="2">
        <f>VALUE(SUBSTITUTE(Table14[[#This Row],[Wartość]],".",","))</f>
        <v>21041.65</v>
      </c>
      <c r="L19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0" s="2" t="str">
        <f>IF(Table14[[#This Row],[Umowa]]="","Poza umową","Z umowy")</f>
        <v>Z umowy</v>
      </c>
      <c r="N1940" s="2">
        <f>YEAR(Table14[[#This Row],[Data_Wystawienia]])</f>
        <v>2023</v>
      </c>
      <c r="O1940" s="2" t="str">
        <f>TEXT(Table14[[#This Row],[Data_Wystawienia]],"rrrr-mm")</f>
        <v>2023-12</v>
      </c>
      <c r="P1940" s="2">
        <v>1</v>
      </c>
    </row>
    <row r="1941" spans="1:16" x14ac:dyDescent="0.3">
      <c r="A1941" s="2" t="str">
        <f>TRIM(Table1[[#This Row],[Numer_FV]])</f>
        <v>FV/22/SAL/23</v>
      </c>
      <c r="B1941" s="2" t="str">
        <f>TRIM(Table1[[#This Row],[Numer_PZ]])</f>
        <v>PZ/801939</v>
      </c>
      <c r="C1941" s="2" t="str">
        <f>TRIM(Table1[[#This Row],[Dostawca]])</f>
        <v>SalusHurt</v>
      </c>
      <c r="D1941" s="3">
        <v>45280</v>
      </c>
      <c r="E1941" s="4" t="s">
        <v>5726</v>
      </c>
      <c r="F1941" s="2" t="str">
        <f>TRIM(Table1[[#This Row],[Status]])</f>
        <v>Zaakceptowana</v>
      </c>
      <c r="G1941" s="2" t="str">
        <f>TRIM(Table1[[#This Row],[Typ]])</f>
        <v>Faktura VAT</v>
      </c>
      <c r="H1941" s="2" t="str">
        <f>TRIM(Table1[[#This Row],[Magazyn]])</f>
        <v>Apteka Szpitalna</v>
      </c>
      <c r="I1941" s="2" t="str">
        <f>TRIM(Table1[[#This Row],[Umowa]])</f>
        <v>UM-SAL-02</v>
      </c>
      <c r="J1941" s="2" t="b">
        <f>ISTEXT(Table14[[#This Row],[Data_Wystawienia]])</f>
        <v>0</v>
      </c>
      <c r="K1941" s="2">
        <f>VALUE(SUBSTITUTE(Table14[[#This Row],[Wartość]],".",","))</f>
        <v>10098.790000000001</v>
      </c>
      <c r="L19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1" s="2" t="str">
        <f>IF(Table14[[#This Row],[Umowa]]="","Poza umową","Z umowy")</f>
        <v>Z umowy</v>
      </c>
      <c r="N1941" s="2">
        <f>YEAR(Table14[[#This Row],[Data_Wystawienia]])</f>
        <v>2023</v>
      </c>
      <c r="O1941" s="2" t="str">
        <f>TEXT(Table14[[#This Row],[Data_Wystawienia]],"rrrr-mm")</f>
        <v>2023-12</v>
      </c>
      <c r="P1941" s="2">
        <v>1</v>
      </c>
    </row>
    <row r="1942" spans="1:16" x14ac:dyDescent="0.3">
      <c r="A1942" s="2" t="str">
        <f>TRIM(Table1[[#This Row],[Numer_FV]])</f>
        <v>FV/CENFA/117678/23</v>
      </c>
      <c r="B1942" s="2" t="str">
        <f>TRIM(Table1[[#This Row],[Numer_PZ]])</f>
        <v>PZ/801940</v>
      </c>
      <c r="C1942" s="2" t="str">
        <f>TRIM(Table1[[#This Row],[Dostawca]])</f>
        <v>CentrumFarm</v>
      </c>
      <c r="D1942" s="3">
        <v>45280</v>
      </c>
      <c r="E1942" s="4" t="s">
        <v>5729</v>
      </c>
      <c r="F1942" s="2" t="str">
        <f>TRIM(Table1[[#This Row],[Status]])</f>
        <v>Zaakceptowana</v>
      </c>
      <c r="G1942" s="2" t="str">
        <f>TRIM(Table1[[#This Row],[Typ]])</f>
        <v>Faktura VAT</v>
      </c>
      <c r="H1942" s="2" t="str">
        <f>TRIM(Table1[[#This Row],[Magazyn]])</f>
        <v>Apteka Szpitalna</v>
      </c>
      <c r="I1942" s="2" t="str">
        <f>TRIM(Table1[[#This Row],[Umowa]])</f>
        <v>UM-CEN-02</v>
      </c>
      <c r="J1942" s="2" t="b">
        <f>ISTEXT(Table14[[#This Row],[Data_Wystawienia]])</f>
        <v>0</v>
      </c>
      <c r="K1942" s="2">
        <f>VALUE(SUBSTITUTE(Table14[[#This Row],[Wartość]],".",","))</f>
        <v>11592.67</v>
      </c>
      <c r="L19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2" s="2" t="str">
        <f>IF(Table14[[#This Row],[Umowa]]="","Poza umową","Z umowy")</f>
        <v>Z umowy</v>
      </c>
      <c r="N1942" s="2">
        <f>YEAR(Table14[[#This Row],[Data_Wystawienia]])</f>
        <v>2023</v>
      </c>
      <c r="O1942" s="2" t="str">
        <f>TEXT(Table14[[#This Row],[Data_Wystawienia]],"rrrr-mm")</f>
        <v>2023-12</v>
      </c>
      <c r="P1942" s="2">
        <v>1</v>
      </c>
    </row>
    <row r="1943" spans="1:16" x14ac:dyDescent="0.3">
      <c r="A1943" s="2" t="str">
        <f>TRIM(Table1[[#This Row],[Numer_FV]])</f>
        <v>FV/6962HM/23</v>
      </c>
      <c r="B1943" s="2" t="str">
        <f>TRIM(Table1[[#This Row],[Numer_PZ]])</f>
        <v>PZ/801941</v>
      </c>
      <c r="C1943" s="2" t="str">
        <f>TRIM(Table1[[#This Row],[Dostawca]])</f>
        <v>HurtMedix</v>
      </c>
      <c r="D1943" s="3">
        <v>45280</v>
      </c>
      <c r="E1943" s="4" t="s">
        <v>5732</v>
      </c>
      <c r="F1943" s="2" t="str">
        <f>TRIM(Table1[[#This Row],[Status]])</f>
        <v>Zaakceptowana</v>
      </c>
      <c r="G1943" s="2" t="str">
        <f>TRIM(Table1[[#This Row],[Typ]])</f>
        <v>Faktura VAT</v>
      </c>
      <c r="H1943" s="2" t="str">
        <f>TRIM(Table1[[#This Row],[Magazyn]])</f>
        <v>Apteka Szpitalna</v>
      </c>
      <c r="I1943" s="2" t="str">
        <f>TRIM(Table1[[#This Row],[Umowa]])</f>
        <v>UM-HUR-03</v>
      </c>
      <c r="J1943" s="2" t="b">
        <f>ISTEXT(Table14[[#This Row],[Data_Wystawienia]])</f>
        <v>0</v>
      </c>
      <c r="K1943" s="2">
        <f>VALUE(SUBSTITUTE(Table14[[#This Row],[Wartość]],".",","))</f>
        <v>24551.97</v>
      </c>
      <c r="L19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3" s="2" t="str">
        <f>IF(Table14[[#This Row],[Umowa]]="","Poza umową","Z umowy")</f>
        <v>Z umowy</v>
      </c>
      <c r="N1943" s="2">
        <f>YEAR(Table14[[#This Row],[Data_Wystawienia]])</f>
        <v>2023</v>
      </c>
      <c r="O1943" s="2" t="str">
        <f>TEXT(Table14[[#This Row],[Data_Wystawienia]],"rrrr-mm")</f>
        <v>2023-12</v>
      </c>
      <c r="P1943" s="2">
        <v>1</v>
      </c>
    </row>
    <row r="1944" spans="1:16" x14ac:dyDescent="0.3">
      <c r="A1944" s="2" t="str">
        <f>TRIM(Table1[[#This Row],[Numer_FV]])</f>
        <v>FV/7170/NOVA/23</v>
      </c>
      <c r="B1944" s="2" t="str">
        <f>TRIM(Table1[[#This Row],[Numer_PZ]])</f>
        <v>PZ/801942</v>
      </c>
      <c r="C1944" s="2" t="str">
        <f>TRIM(Table1[[#This Row],[Dostawca]])</f>
        <v>NovaLek</v>
      </c>
      <c r="D1944" s="3">
        <v>45281</v>
      </c>
      <c r="E1944" s="4" t="s">
        <v>5735</v>
      </c>
      <c r="F1944" s="2" t="str">
        <f>TRIM(Table1[[#This Row],[Status]])</f>
        <v>Zaakceptowana</v>
      </c>
      <c r="G1944" s="2" t="str">
        <f>TRIM(Table1[[#This Row],[Typ]])</f>
        <v>Faktura VAT</v>
      </c>
      <c r="H1944" s="2" t="str">
        <f>TRIM(Table1[[#This Row],[Magazyn]])</f>
        <v>Apteka Szpitalna</v>
      </c>
      <c r="I1944" s="2" t="str">
        <f>TRIM(Table1[[#This Row],[Umowa]])</f>
        <v>UM-NOV-01</v>
      </c>
      <c r="J1944" s="2" t="b">
        <f>ISTEXT(Table14[[#This Row],[Data_Wystawienia]])</f>
        <v>0</v>
      </c>
      <c r="K1944" s="2">
        <f>VALUE(SUBSTITUTE(Table14[[#This Row],[Wartość]],".",","))</f>
        <v>14835.62</v>
      </c>
      <c r="L19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4" s="2" t="str">
        <f>IF(Table14[[#This Row],[Umowa]]="","Poza umową","Z umowy")</f>
        <v>Z umowy</v>
      </c>
      <c r="N1944" s="2">
        <f>YEAR(Table14[[#This Row],[Data_Wystawienia]])</f>
        <v>2023</v>
      </c>
      <c r="O1944" s="2" t="str">
        <f>TEXT(Table14[[#This Row],[Data_Wystawienia]],"rrrr-mm")</f>
        <v>2023-12</v>
      </c>
      <c r="P1944" s="2">
        <v>1</v>
      </c>
    </row>
    <row r="1945" spans="1:16" x14ac:dyDescent="0.3">
      <c r="A1945" s="2" t="str">
        <f>TRIM(Table1[[#This Row],[Numer_FV]])</f>
        <v>FV/30/PP/3700/23</v>
      </c>
      <c r="B1945" s="2" t="str">
        <f>TRIM(Table1[[#This Row],[Numer_PZ]])</f>
        <v>PZ/801943</v>
      </c>
      <c r="C1945" s="2" t="str">
        <f>TRIM(Table1[[#This Row],[Dostawca]])</f>
        <v>PharmaPlus</v>
      </c>
      <c r="D1945" s="3">
        <v>45282</v>
      </c>
      <c r="E1945" s="4" t="s">
        <v>5738</v>
      </c>
      <c r="F1945" s="2" t="str">
        <f>TRIM(Table1[[#This Row],[Status]])</f>
        <v>Zaakceptowana</v>
      </c>
      <c r="G1945" s="2" t="str">
        <f>TRIM(Table1[[#This Row],[Typ]])</f>
        <v>Faktura VAT</v>
      </c>
      <c r="H1945" s="2" t="str">
        <f>TRIM(Table1[[#This Row],[Magazyn]])</f>
        <v>Apteka Szpitalna</v>
      </c>
      <c r="I1945" s="2" t="str">
        <f>TRIM(Table1[[#This Row],[Umowa]])</f>
        <v>UM-PHA-02</v>
      </c>
      <c r="J1945" s="2" t="b">
        <f>ISTEXT(Table14[[#This Row],[Data_Wystawienia]])</f>
        <v>0</v>
      </c>
      <c r="K1945" s="2">
        <f>VALUE(SUBSTITUTE(Table14[[#This Row],[Wartość]],".",","))</f>
        <v>7811.08</v>
      </c>
      <c r="L19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5" s="2" t="str">
        <f>IF(Table14[[#This Row],[Umowa]]="","Poza umową","Z umowy")</f>
        <v>Z umowy</v>
      </c>
      <c r="N1945" s="2">
        <f>YEAR(Table14[[#This Row],[Data_Wystawienia]])</f>
        <v>2023</v>
      </c>
      <c r="O1945" s="2" t="str">
        <f>TEXT(Table14[[#This Row],[Data_Wystawienia]],"rrrr-mm")</f>
        <v>2023-12</v>
      </c>
      <c r="P1945" s="2">
        <v>1</v>
      </c>
    </row>
    <row r="1946" spans="1:16" x14ac:dyDescent="0.3">
      <c r="A1946" s="2" t="str">
        <f>TRIM(Table1[[#This Row],[Numer_FV]])</f>
        <v>FV/16/SAL/23</v>
      </c>
      <c r="B1946" s="2" t="str">
        <f>TRIM(Table1[[#This Row],[Numer_PZ]])</f>
        <v>PZ/801944</v>
      </c>
      <c r="C1946" s="2" t="str">
        <f>TRIM(Table1[[#This Row],[Dostawca]])</f>
        <v>SalusHurt</v>
      </c>
      <c r="D1946" s="3">
        <v>45283</v>
      </c>
      <c r="E1946" s="4" t="s">
        <v>5740</v>
      </c>
      <c r="F1946" s="2" t="str">
        <f>TRIM(Table1[[#This Row],[Status]])</f>
        <v>Zaakceptowana</v>
      </c>
      <c r="G1946" s="2" t="str">
        <f>TRIM(Table1[[#This Row],[Typ]])</f>
        <v>Faktura VAT</v>
      </c>
      <c r="H1946" s="2" t="str">
        <f>TRIM(Table1[[#This Row],[Magazyn]])</f>
        <v>Apteka Szpitalna</v>
      </c>
      <c r="I1946" s="2" t="str">
        <f>TRIM(Table1[[#This Row],[Umowa]])</f>
        <v>UM-SAL-02</v>
      </c>
      <c r="J1946" s="2" t="b">
        <f>ISTEXT(Table14[[#This Row],[Data_Wystawienia]])</f>
        <v>0</v>
      </c>
      <c r="K1946" s="2">
        <f>VALUE(SUBSTITUTE(Table14[[#This Row],[Wartość]],".",","))</f>
        <v>9764.56</v>
      </c>
      <c r="L19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6" s="2" t="str">
        <f>IF(Table14[[#This Row],[Umowa]]="","Poza umową","Z umowy")</f>
        <v>Z umowy</v>
      </c>
      <c r="N1946" s="2">
        <f>YEAR(Table14[[#This Row],[Data_Wystawienia]])</f>
        <v>2023</v>
      </c>
      <c r="O1946" s="2" t="str">
        <f>TEXT(Table14[[#This Row],[Data_Wystawienia]],"rrrr-mm")</f>
        <v>2023-12</v>
      </c>
      <c r="P1946" s="2">
        <v>1</v>
      </c>
    </row>
    <row r="1947" spans="1:16" x14ac:dyDescent="0.3">
      <c r="A1947" s="2" t="str">
        <f>TRIM(Table1[[#This Row],[Numer_FV]])</f>
        <v>FV/POL/20505/2023</v>
      </c>
      <c r="B1947" s="2" t="str">
        <f>TRIM(Table1[[#This Row],[Numer_PZ]])</f>
        <v>PZ/801945</v>
      </c>
      <c r="C1947" s="2" t="str">
        <f>TRIM(Table1[[#This Row],[Dostawca]])</f>
        <v>Polmedica</v>
      </c>
      <c r="D1947" s="3">
        <v>45283</v>
      </c>
      <c r="E1947" s="4" t="s">
        <v>5743</v>
      </c>
      <c r="F1947" s="2" t="str">
        <f>TRIM(Table1[[#This Row],[Status]])</f>
        <v>Zaakceptowana</v>
      </c>
      <c r="G1947" s="2" t="str">
        <f>TRIM(Table1[[#This Row],[Typ]])</f>
        <v>Faktura VAT</v>
      </c>
      <c r="H1947" s="2" t="str">
        <f>TRIM(Table1[[#This Row],[Magazyn]])</f>
        <v>Apteka Szpitalna</v>
      </c>
      <c r="I1947" s="2" t="str">
        <f>TRIM(Table1[[#This Row],[Umowa]])</f>
        <v>UM-POL-01</v>
      </c>
      <c r="J1947" s="2" t="b">
        <f>ISTEXT(Table14[[#This Row],[Data_Wystawienia]])</f>
        <v>0</v>
      </c>
      <c r="K1947" s="2">
        <f>VALUE(SUBSTITUTE(Table14[[#This Row],[Wartość]],".",","))</f>
        <v>14455.52</v>
      </c>
      <c r="L19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7" s="2" t="str">
        <f>IF(Table14[[#This Row],[Umowa]]="","Poza umową","Z umowy")</f>
        <v>Z umowy</v>
      </c>
      <c r="N1947" s="2">
        <f>YEAR(Table14[[#This Row],[Data_Wystawienia]])</f>
        <v>2023</v>
      </c>
      <c r="O1947" s="2" t="str">
        <f>TEXT(Table14[[#This Row],[Data_Wystawienia]],"rrrr-mm")</f>
        <v>2023-12</v>
      </c>
      <c r="P1947" s="2">
        <v>1</v>
      </c>
    </row>
    <row r="1948" spans="1:16" x14ac:dyDescent="0.3">
      <c r="A1948" s="2" t="str">
        <f>TRIM(Table1[[#This Row],[Numer_FV]])</f>
        <v>FV/CENFA/878263/23</v>
      </c>
      <c r="B1948" s="2" t="str">
        <f>TRIM(Table1[[#This Row],[Numer_PZ]])</f>
        <v>PZ/801946</v>
      </c>
      <c r="C1948" s="2" t="str">
        <f>TRIM(Table1[[#This Row],[Dostawca]])</f>
        <v>CentrumFarm</v>
      </c>
      <c r="D1948" s="3">
        <v>45283</v>
      </c>
      <c r="E1948" s="4" t="s">
        <v>5746</v>
      </c>
      <c r="F1948" s="2" t="str">
        <f>TRIM(Table1[[#This Row],[Status]])</f>
        <v>Zaakceptowana</v>
      </c>
      <c r="G1948" s="2" t="str">
        <f>TRIM(Table1[[#This Row],[Typ]])</f>
        <v>Faktura VAT</v>
      </c>
      <c r="H1948" s="2" t="str">
        <f>TRIM(Table1[[#This Row],[Magazyn]])</f>
        <v>Apteka Szpitalna</v>
      </c>
      <c r="I1948" s="2" t="str">
        <f>TRIM(Table1[[#This Row],[Umowa]])</f>
        <v>UM-CEN-01</v>
      </c>
      <c r="J1948" s="2" t="b">
        <f>ISTEXT(Table14[[#This Row],[Data_Wystawienia]])</f>
        <v>0</v>
      </c>
      <c r="K1948" s="2">
        <f>VALUE(SUBSTITUTE(Table14[[#This Row],[Wartość]],".",","))</f>
        <v>16901.349999999999</v>
      </c>
      <c r="L19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8" s="2" t="str">
        <f>IF(Table14[[#This Row],[Umowa]]="","Poza umową","Z umowy")</f>
        <v>Z umowy</v>
      </c>
      <c r="N1948" s="2">
        <f>YEAR(Table14[[#This Row],[Data_Wystawienia]])</f>
        <v>2023</v>
      </c>
      <c r="O1948" s="2" t="str">
        <f>TEXT(Table14[[#This Row],[Data_Wystawienia]],"rrrr-mm")</f>
        <v>2023-12</v>
      </c>
      <c r="P1948" s="2">
        <v>1</v>
      </c>
    </row>
    <row r="1949" spans="1:16" x14ac:dyDescent="0.3">
      <c r="A1949" s="2" t="str">
        <f>TRIM(Table1[[#This Row],[Numer_FV]])</f>
        <v>FV/88163/VDb/2023</v>
      </c>
      <c r="B1949" s="2" t="str">
        <f>TRIM(Table1[[#This Row],[Numer_PZ]])</f>
        <v>PZ/801947</v>
      </c>
      <c r="C1949" s="2" t="str">
        <f>TRIM(Table1[[#This Row],[Dostawca]])</f>
        <v>VitaDistrib</v>
      </c>
      <c r="D1949" s="3">
        <v>45283</v>
      </c>
      <c r="E1949" s="4" t="s">
        <v>5749</v>
      </c>
      <c r="F1949" s="2" t="str">
        <f>TRIM(Table1[[#This Row],[Status]])</f>
        <v>Zaakceptowana</v>
      </c>
      <c r="G1949" s="2" t="str">
        <f>TRIM(Table1[[#This Row],[Typ]])</f>
        <v>Faktura VAT</v>
      </c>
      <c r="H1949" s="2" t="str">
        <f>TRIM(Table1[[#This Row],[Magazyn]])</f>
        <v>Apteka Szpitalna</v>
      </c>
      <c r="I1949" s="2" t="str">
        <f>TRIM(Table1[[#This Row],[Umowa]])</f>
        <v>UM-VIT-01</v>
      </c>
      <c r="J1949" s="2" t="b">
        <f>ISTEXT(Table14[[#This Row],[Data_Wystawienia]])</f>
        <v>0</v>
      </c>
      <c r="K1949" s="2">
        <f>VALUE(SUBSTITUTE(Table14[[#This Row],[Wartość]],".",","))</f>
        <v>12648.41</v>
      </c>
      <c r="L19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49" s="2" t="str">
        <f>IF(Table14[[#This Row],[Umowa]]="","Poza umową","Z umowy")</f>
        <v>Z umowy</v>
      </c>
      <c r="N1949" s="2">
        <f>YEAR(Table14[[#This Row],[Data_Wystawienia]])</f>
        <v>2023</v>
      </c>
      <c r="O1949" s="2" t="str">
        <f>TEXT(Table14[[#This Row],[Data_Wystawienia]],"rrrr-mm")</f>
        <v>2023-12</v>
      </c>
      <c r="P1949" s="2">
        <v>1</v>
      </c>
    </row>
    <row r="1950" spans="1:16" x14ac:dyDescent="0.3">
      <c r="A1950" s="2" t="str">
        <f>TRIM(Table1[[#This Row],[Numer_FV]])</f>
        <v>FV/8733/NOVA/23</v>
      </c>
      <c r="B1950" s="2" t="str">
        <f>TRIM(Table1[[#This Row],[Numer_PZ]])</f>
        <v>PZ/801948</v>
      </c>
      <c r="C1950" s="2" t="str">
        <f>TRIM(Table1[[#This Row],[Dostawca]])</f>
        <v>NovaLek</v>
      </c>
      <c r="D1950" s="3">
        <v>45283</v>
      </c>
      <c r="E1950" s="4" t="s">
        <v>5752</v>
      </c>
      <c r="F1950" s="2" t="str">
        <f>TRIM(Table1[[#This Row],[Status]])</f>
        <v>Zaakceptowana</v>
      </c>
      <c r="G1950" s="2" t="str">
        <f>TRIM(Table1[[#This Row],[Typ]])</f>
        <v>Faktura VAT</v>
      </c>
      <c r="H1950" s="2" t="str">
        <f>TRIM(Table1[[#This Row],[Magazyn]])</f>
        <v>Apteka Szpitalna</v>
      </c>
      <c r="I1950" s="2" t="str">
        <f>TRIM(Table1[[#This Row],[Umowa]])</f>
        <v>UM-NOV-02</v>
      </c>
      <c r="J1950" s="2" t="b">
        <f>ISTEXT(Table14[[#This Row],[Data_Wystawienia]])</f>
        <v>0</v>
      </c>
      <c r="K1950" s="2">
        <f>VALUE(SUBSTITUTE(Table14[[#This Row],[Wartość]],".",","))</f>
        <v>15267.16</v>
      </c>
      <c r="L19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0" s="2" t="str">
        <f>IF(Table14[[#This Row],[Umowa]]="","Poza umową","Z umowy")</f>
        <v>Z umowy</v>
      </c>
      <c r="N1950" s="2">
        <f>YEAR(Table14[[#This Row],[Data_Wystawienia]])</f>
        <v>2023</v>
      </c>
      <c r="O1950" s="2" t="str">
        <f>TEXT(Table14[[#This Row],[Data_Wystawienia]],"rrrr-mm")</f>
        <v>2023-12</v>
      </c>
      <c r="P1950" s="2">
        <v>1</v>
      </c>
    </row>
    <row r="1951" spans="1:16" x14ac:dyDescent="0.3">
      <c r="A1951" s="2" t="str">
        <f>TRIM(Table1[[#This Row],[Numer_FV]])</f>
        <v>FV/35877/VDb/2023</v>
      </c>
      <c r="B1951" s="2" t="str">
        <f>TRIM(Table1[[#This Row],[Numer_PZ]])</f>
        <v>PZ/801949</v>
      </c>
      <c r="C1951" s="2" t="str">
        <f>TRIM(Table1[[#This Row],[Dostawca]])</f>
        <v>VitaDistrib</v>
      </c>
      <c r="D1951" s="3">
        <v>45284</v>
      </c>
      <c r="E1951" s="4" t="s">
        <v>5755</v>
      </c>
      <c r="F1951" s="2" t="str">
        <f>TRIM(Table1[[#This Row],[Status]])</f>
        <v>Zaakceptowana</v>
      </c>
      <c r="G1951" s="2" t="str">
        <f>TRIM(Table1[[#This Row],[Typ]])</f>
        <v>Faktura VAT</v>
      </c>
      <c r="H1951" s="2" t="str">
        <f>TRIM(Table1[[#This Row],[Magazyn]])</f>
        <v>Apteka Szpitalna</v>
      </c>
      <c r="I1951" s="2" t="str">
        <f>TRIM(Table1[[#This Row],[Umowa]])</f>
        <v>UM-VIT-01</v>
      </c>
      <c r="J1951" s="2" t="b">
        <f>ISTEXT(Table14[[#This Row],[Data_Wystawienia]])</f>
        <v>0</v>
      </c>
      <c r="K1951" s="2">
        <f>VALUE(SUBSTITUTE(Table14[[#This Row],[Wartość]],".",","))</f>
        <v>16051.83</v>
      </c>
      <c r="L19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1" s="2" t="str">
        <f>IF(Table14[[#This Row],[Umowa]]="","Poza umową","Z umowy")</f>
        <v>Z umowy</v>
      </c>
      <c r="N1951" s="2">
        <f>YEAR(Table14[[#This Row],[Data_Wystawienia]])</f>
        <v>2023</v>
      </c>
      <c r="O1951" s="2" t="str">
        <f>TEXT(Table14[[#This Row],[Data_Wystawienia]],"rrrr-mm")</f>
        <v>2023-12</v>
      </c>
      <c r="P1951" s="2">
        <v>1</v>
      </c>
    </row>
    <row r="1952" spans="1:16" x14ac:dyDescent="0.3">
      <c r="A1952" s="2" t="str">
        <f>TRIM(Table1[[#This Row],[Numer_FV]])</f>
        <v>FV/M/1226/P/23</v>
      </c>
      <c r="B1952" s="2" t="str">
        <f>TRIM(Table1[[#This Row],[Numer_PZ]])</f>
        <v>PZ/801950</v>
      </c>
      <c r="C1952" s="2" t="str">
        <f>TRIM(Table1[[#This Row],[Dostawca]])</f>
        <v>MedicaPharm</v>
      </c>
      <c r="D1952" s="3">
        <v>45284</v>
      </c>
      <c r="E1952" s="4" t="s">
        <v>5758</v>
      </c>
      <c r="F1952" s="2" t="str">
        <f>TRIM(Table1[[#This Row],[Status]])</f>
        <v>Zaakceptowana</v>
      </c>
      <c r="G1952" s="2" t="str">
        <f>TRIM(Table1[[#This Row],[Typ]])</f>
        <v>Faktura VAT</v>
      </c>
      <c r="H1952" s="2" t="str">
        <f>TRIM(Table1[[#This Row],[Magazyn]])</f>
        <v>Apteka Szpitalna</v>
      </c>
      <c r="I1952" s="2" t="str">
        <f>TRIM(Table1[[#This Row],[Umowa]])</f>
        <v>UM-MED-01</v>
      </c>
      <c r="J1952" s="2" t="b">
        <f>ISTEXT(Table14[[#This Row],[Data_Wystawienia]])</f>
        <v>0</v>
      </c>
      <c r="K1952" s="2">
        <f>VALUE(SUBSTITUTE(Table14[[#This Row],[Wartość]],".",","))</f>
        <v>12923.13</v>
      </c>
      <c r="L19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2" s="2" t="str">
        <f>IF(Table14[[#This Row],[Umowa]]="","Poza umową","Z umowy")</f>
        <v>Z umowy</v>
      </c>
      <c r="N1952" s="2">
        <f>YEAR(Table14[[#This Row],[Data_Wystawienia]])</f>
        <v>2023</v>
      </c>
      <c r="O1952" s="2" t="str">
        <f>TEXT(Table14[[#This Row],[Data_Wystawienia]],"rrrr-mm")</f>
        <v>2023-12</v>
      </c>
      <c r="P1952" s="2">
        <v>1</v>
      </c>
    </row>
    <row r="1953" spans="1:16" x14ac:dyDescent="0.3">
      <c r="A1953" s="2" t="str">
        <f>TRIM(Table1[[#This Row],[Numer_FV]])</f>
        <v>FV/6954HM/23</v>
      </c>
      <c r="B1953" s="2" t="str">
        <f>TRIM(Table1[[#This Row],[Numer_PZ]])</f>
        <v>PZ/801951</v>
      </c>
      <c r="C1953" s="2" t="str">
        <f>TRIM(Table1[[#This Row],[Dostawca]])</f>
        <v>HurtMedix</v>
      </c>
      <c r="D1953" s="3">
        <v>45285</v>
      </c>
      <c r="E1953" s="4" t="s">
        <v>5761</v>
      </c>
      <c r="F1953" s="2" t="str">
        <f>TRIM(Table1[[#This Row],[Status]])</f>
        <v>Zaakceptowana</v>
      </c>
      <c r="G1953" s="2" t="str">
        <f>TRIM(Table1[[#This Row],[Typ]])</f>
        <v>Faktura VAT</v>
      </c>
      <c r="H1953" s="2" t="str">
        <f>TRIM(Table1[[#This Row],[Magazyn]])</f>
        <v>Apteka Szpitalna</v>
      </c>
      <c r="I1953" s="2" t="str">
        <f>TRIM(Table1[[#This Row],[Umowa]])</f>
        <v/>
      </c>
      <c r="J1953" s="2" t="b">
        <f>ISTEXT(Table14[[#This Row],[Data_Wystawienia]])</f>
        <v>0</v>
      </c>
      <c r="K1953" s="2">
        <f>VALUE(SUBSTITUTE(Table14[[#This Row],[Wartość]],".",","))</f>
        <v>11874.05</v>
      </c>
      <c r="L19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3" s="2" t="str">
        <f>IF(Table14[[#This Row],[Umowa]]="","Poza umową","Z umowy")</f>
        <v>Poza umową</v>
      </c>
      <c r="N1953" s="2">
        <f>YEAR(Table14[[#This Row],[Data_Wystawienia]])</f>
        <v>2023</v>
      </c>
      <c r="O1953" s="2" t="str">
        <f>TEXT(Table14[[#This Row],[Data_Wystawienia]],"rrrr-mm")</f>
        <v>2023-12</v>
      </c>
      <c r="P1953" s="2">
        <v>1</v>
      </c>
    </row>
    <row r="1954" spans="1:16" x14ac:dyDescent="0.3">
      <c r="A1954" s="2" t="str">
        <f>TRIM(Table1[[#This Row],[Numer_FV]])</f>
        <v>FV/92285/VDb/2023</v>
      </c>
      <c r="B1954" s="2" t="str">
        <f>TRIM(Table1[[#This Row],[Numer_PZ]])</f>
        <v>PZ/801952</v>
      </c>
      <c r="C1954" s="2" t="str">
        <f>TRIM(Table1[[#This Row],[Dostawca]])</f>
        <v>VitaDistrib</v>
      </c>
      <c r="D1954" s="3">
        <v>45285</v>
      </c>
      <c r="E1954" s="4" t="s">
        <v>5764</v>
      </c>
      <c r="F1954" s="2" t="str">
        <f>TRIM(Table1[[#This Row],[Status]])</f>
        <v>Zaakceptowana</v>
      </c>
      <c r="G1954" s="2" t="str">
        <f>TRIM(Table1[[#This Row],[Typ]])</f>
        <v>Korekta FV</v>
      </c>
      <c r="H1954" s="2" t="str">
        <f>TRIM(Table1[[#This Row],[Magazyn]])</f>
        <v>Apteka Szpitalna</v>
      </c>
      <c r="I1954" s="2" t="str">
        <f>TRIM(Table1[[#This Row],[Umowa]])</f>
        <v>UM-VIT-01</v>
      </c>
      <c r="J1954" s="2" t="b">
        <f>ISTEXT(Table14[[#This Row],[Data_Wystawienia]])</f>
        <v>0</v>
      </c>
      <c r="K1954" s="2">
        <f>VALUE(SUBSTITUTE(Table14[[#This Row],[Wartość]],".",","))</f>
        <v>-1326.54</v>
      </c>
      <c r="L19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4" s="2" t="str">
        <f>IF(Table14[[#This Row],[Umowa]]="","Poza umową","Z umowy")</f>
        <v>Z umowy</v>
      </c>
      <c r="N1954" s="2">
        <f>YEAR(Table14[[#This Row],[Data_Wystawienia]])</f>
        <v>2023</v>
      </c>
      <c r="O1954" s="2" t="str">
        <f>TEXT(Table14[[#This Row],[Data_Wystawienia]],"rrrr-mm")</f>
        <v>2023-12</v>
      </c>
      <c r="P1954" s="2">
        <v>1</v>
      </c>
    </row>
    <row r="1955" spans="1:16" x14ac:dyDescent="0.3">
      <c r="A1955" s="2" t="str">
        <f>TRIM(Table1[[#This Row],[Numer_FV]])</f>
        <v>FV/CENFA/919508/23</v>
      </c>
      <c r="B1955" s="2" t="str">
        <f>TRIM(Table1[[#This Row],[Numer_PZ]])</f>
        <v>PZ/801953</v>
      </c>
      <c r="C1955" s="2" t="str">
        <f>TRIM(Table1[[#This Row],[Dostawca]])</f>
        <v>CentrumFarm</v>
      </c>
      <c r="D1955" s="3">
        <v>45285</v>
      </c>
      <c r="E1955" s="4" t="s">
        <v>5767</v>
      </c>
      <c r="F1955" s="2" t="str">
        <f>TRIM(Table1[[#This Row],[Status]])</f>
        <v>Zaakceptowana</v>
      </c>
      <c r="G1955" s="2" t="str">
        <f>TRIM(Table1[[#This Row],[Typ]])</f>
        <v>Faktura VAT</v>
      </c>
      <c r="H1955" s="2" t="str">
        <f>TRIM(Table1[[#This Row],[Magazyn]])</f>
        <v>Apteka Szpitalna</v>
      </c>
      <c r="I1955" s="2" t="str">
        <f>TRIM(Table1[[#This Row],[Umowa]])</f>
        <v/>
      </c>
      <c r="J1955" s="2" t="b">
        <f>ISTEXT(Table14[[#This Row],[Data_Wystawienia]])</f>
        <v>0</v>
      </c>
      <c r="K1955" s="2">
        <f>VALUE(SUBSTITUTE(Table14[[#This Row],[Wartość]],".",","))</f>
        <v>10516.69</v>
      </c>
      <c r="L19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5" s="2" t="str">
        <f>IF(Table14[[#This Row],[Umowa]]="","Poza umową","Z umowy")</f>
        <v>Poza umową</v>
      </c>
      <c r="N1955" s="2">
        <f>YEAR(Table14[[#This Row],[Data_Wystawienia]])</f>
        <v>2023</v>
      </c>
      <c r="O1955" s="2" t="str">
        <f>TEXT(Table14[[#This Row],[Data_Wystawienia]],"rrrr-mm")</f>
        <v>2023-12</v>
      </c>
      <c r="P1955" s="2">
        <v>1</v>
      </c>
    </row>
    <row r="1956" spans="1:16" x14ac:dyDescent="0.3">
      <c r="A1956" s="2" t="str">
        <f>TRIM(Table1[[#This Row],[Numer_FV]])</f>
        <v>FV/73995/VDb/2023</v>
      </c>
      <c r="B1956" s="2" t="str">
        <f>TRIM(Table1[[#This Row],[Numer_PZ]])</f>
        <v>PZ/801954</v>
      </c>
      <c r="C1956" s="2" t="str">
        <f>TRIM(Table1[[#This Row],[Dostawca]])</f>
        <v>VitaDistrib</v>
      </c>
      <c r="D1956" s="3">
        <v>45285</v>
      </c>
      <c r="E1956" s="4" t="s">
        <v>5770</v>
      </c>
      <c r="F1956" s="2" t="str">
        <f>TRIM(Table1[[#This Row],[Status]])</f>
        <v>Zaakceptowana</v>
      </c>
      <c r="G1956" s="2" t="str">
        <f>TRIM(Table1[[#This Row],[Typ]])</f>
        <v>Faktura VAT</v>
      </c>
      <c r="H1956" s="2" t="str">
        <f>TRIM(Table1[[#This Row],[Magazyn]])</f>
        <v>Apteka Szpitalna</v>
      </c>
      <c r="I1956" s="2" t="str">
        <f>TRIM(Table1[[#This Row],[Umowa]])</f>
        <v>UM-VIT-01</v>
      </c>
      <c r="J1956" s="2" t="b">
        <f>ISTEXT(Table14[[#This Row],[Data_Wystawienia]])</f>
        <v>0</v>
      </c>
      <c r="K1956" s="2">
        <f>VALUE(SUBSTITUTE(Table14[[#This Row],[Wartość]],".",","))</f>
        <v>15391.07</v>
      </c>
      <c r="L19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6" s="2" t="str">
        <f>IF(Table14[[#This Row],[Umowa]]="","Poza umową","Z umowy")</f>
        <v>Z umowy</v>
      </c>
      <c r="N1956" s="2">
        <f>YEAR(Table14[[#This Row],[Data_Wystawienia]])</f>
        <v>2023</v>
      </c>
      <c r="O1956" s="2" t="str">
        <f>TEXT(Table14[[#This Row],[Data_Wystawienia]],"rrrr-mm")</f>
        <v>2023-12</v>
      </c>
      <c r="P1956" s="2">
        <v>1</v>
      </c>
    </row>
    <row r="1957" spans="1:16" x14ac:dyDescent="0.3">
      <c r="A1957" s="2" t="str">
        <f>TRIM(Table1[[#This Row],[Numer_FV]])</f>
        <v>FV/5461/NOVA/23</v>
      </c>
      <c r="B1957" s="2" t="str">
        <f>TRIM(Table1[[#This Row],[Numer_PZ]])</f>
        <v>PZ/801955</v>
      </c>
      <c r="C1957" s="2" t="str">
        <f>TRIM(Table1[[#This Row],[Dostawca]])</f>
        <v>NovaLek</v>
      </c>
      <c r="D1957" s="3">
        <v>45286</v>
      </c>
      <c r="E1957" s="4" t="s">
        <v>5773</v>
      </c>
      <c r="F1957" s="2" t="str">
        <f>TRIM(Table1[[#This Row],[Status]])</f>
        <v>Zaakceptowana</v>
      </c>
      <c r="G1957" s="2" t="str">
        <f>TRIM(Table1[[#This Row],[Typ]])</f>
        <v>Faktura VAT</v>
      </c>
      <c r="H1957" s="2" t="str">
        <f>TRIM(Table1[[#This Row],[Magazyn]])</f>
        <v>Apteka Szpitalna</v>
      </c>
      <c r="I1957" s="2" t="str">
        <f>TRIM(Table1[[#This Row],[Umowa]])</f>
        <v>UM-NOV-03</v>
      </c>
      <c r="J1957" s="2" t="b">
        <f>ISTEXT(Table14[[#This Row],[Data_Wystawienia]])</f>
        <v>0</v>
      </c>
      <c r="K1957" s="2">
        <f>VALUE(SUBSTITUTE(Table14[[#This Row],[Wartość]],".",","))</f>
        <v>15612.16</v>
      </c>
      <c r="L19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7" s="2" t="str">
        <f>IF(Table14[[#This Row],[Umowa]]="","Poza umową","Z umowy")</f>
        <v>Z umowy</v>
      </c>
      <c r="N1957" s="2">
        <f>YEAR(Table14[[#This Row],[Data_Wystawienia]])</f>
        <v>2023</v>
      </c>
      <c r="O1957" s="2" t="str">
        <f>TEXT(Table14[[#This Row],[Data_Wystawienia]],"rrrr-mm")</f>
        <v>2023-12</v>
      </c>
      <c r="P1957" s="2">
        <v>1</v>
      </c>
    </row>
    <row r="1958" spans="1:16" x14ac:dyDescent="0.3">
      <c r="A1958" s="2" t="str">
        <f>TRIM(Table1[[#This Row],[Numer_FV]])</f>
        <v>FV/3831/NOVA/23</v>
      </c>
      <c r="B1958" s="2" t="str">
        <f>TRIM(Table1[[#This Row],[Numer_PZ]])</f>
        <v>PZ/801956</v>
      </c>
      <c r="C1958" s="2" t="str">
        <f>TRIM(Table1[[#This Row],[Dostawca]])</f>
        <v>NovaLek</v>
      </c>
      <c r="D1958" s="3">
        <v>45286</v>
      </c>
      <c r="E1958" s="4" t="s">
        <v>5775</v>
      </c>
      <c r="F1958" s="2" t="str">
        <f>TRIM(Table1[[#This Row],[Status]])</f>
        <v>Zaakceptowana</v>
      </c>
      <c r="G1958" s="2" t="str">
        <f>TRIM(Table1[[#This Row],[Typ]])</f>
        <v>Faktura VAT</v>
      </c>
      <c r="H1958" s="2" t="str">
        <f>TRIM(Table1[[#This Row],[Magazyn]])</f>
        <v>Apteka Szpitalna</v>
      </c>
      <c r="I1958" s="2" t="str">
        <f>TRIM(Table1[[#This Row],[Umowa]])</f>
        <v>UM-NOV-02</v>
      </c>
      <c r="J1958" s="2" t="b">
        <f>ISTEXT(Table14[[#This Row],[Data_Wystawienia]])</f>
        <v>0</v>
      </c>
      <c r="K1958" s="2">
        <f>VALUE(SUBSTITUTE(Table14[[#This Row],[Wartość]],".",","))</f>
        <v>24098.79</v>
      </c>
      <c r="L19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8" s="2" t="str">
        <f>IF(Table14[[#This Row],[Umowa]]="","Poza umową","Z umowy")</f>
        <v>Z umowy</v>
      </c>
      <c r="N1958" s="2">
        <f>YEAR(Table14[[#This Row],[Data_Wystawienia]])</f>
        <v>2023</v>
      </c>
      <c r="O1958" s="2" t="str">
        <f>TEXT(Table14[[#This Row],[Data_Wystawienia]],"rrrr-mm")</f>
        <v>2023-12</v>
      </c>
      <c r="P1958" s="2">
        <v>1</v>
      </c>
    </row>
    <row r="1959" spans="1:16" x14ac:dyDescent="0.3">
      <c r="A1959" s="2" t="str">
        <f>TRIM(Table1[[#This Row],[Numer_FV]])</f>
        <v>FV/M/5819/P/23</v>
      </c>
      <c r="B1959" s="2" t="str">
        <f>TRIM(Table1[[#This Row],[Numer_PZ]])</f>
        <v>PZ/801957</v>
      </c>
      <c r="C1959" s="2" t="str">
        <f>TRIM(Table1[[#This Row],[Dostawca]])</f>
        <v>MedicaPharm</v>
      </c>
      <c r="D1959" s="3">
        <v>45286</v>
      </c>
      <c r="E1959" s="4" t="s">
        <v>5778</v>
      </c>
      <c r="F1959" s="2" t="str">
        <f>TRIM(Table1[[#This Row],[Status]])</f>
        <v>Zaakceptowana</v>
      </c>
      <c r="G1959" s="2" t="str">
        <f>TRIM(Table1[[#This Row],[Typ]])</f>
        <v>Faktura VAT</v>
      </c>
      <c r="H1959" s="2" t="str">
        <f>TRIM(Table1[[#This Row],[Magazyn]])</f>
        <v>Apteka Szpitalna</v>
      </c>
      <c r="I1959" s="2" t="str">
        <f>TRIM(Table1[[#This Row],[Umowa]])</f>
        <v/>
      </c>
      <c r="J1959" s="2" t="b">
        <f>ISTEXT(Table14[[#This Row],[Data_Wystawienia]])</f>
        <v>0</v>
      </c>
      <c r="K1959" s="2">
        <f>VALUE(SUBSTITUTE(Table14[[#This Row],[Wartość]],".",","))</f>
        <v>12441.56</v>
      </c>
      <c r="L19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59" s="2" t="str">
        <f>IF(Table14[[#This Row],[Umowa]]="","Poza umową","Z umowy")</f>
        <v>Poza umową</v>
      </c>
      <c r="N1959" s="2">
        <f>YEAR(Table14[[#This Row],[Data_Wystawienia]])</f>
        <v>2023</v>
      </c>
      <c r="O1959" s="2" t="str">
        <f>TEXT(Table14[[#This Row],[Data_Wystawienia]],"rrrr-mm")</f>
        <v>2023-12</v>
      </c>
      <c r="P1959" s="2">
        <v>1</v>
      </c>
    </row>
    <row r="1960" spans="1:16" x14ac:dyDescent="0.3">
      <c r="A1960" s="2" t="str">
        <f>TRIM(Table1[[#This Row],[Numer_FV]])</f>
        <v>FV/84/PP/1737/23</v>
      </c>
      <c r="B1960" s="2" t="str">
        <f>TRIM(Table1[[#This Row],[Numer_PZ]])</f>
        <v>PZ/801958</v>
      </c>
      <c r="C1960" s="2" t="str">
        <f>TRIM(Table1[[#This Row],[Dostawca]])</f>
        <v>PharmaPlus</v>
      </c>
      <c r="D1960" s="3">
        <v>45286</v>
      </c>
      <c r="E1960" s="4" t="s">
        <v>5781</v>
      </c>
      <c r="F1960" s="2" t="str">
        <f>TRIM(Table1[[#This Row],[Status]])</f>
        <v>Zaakceptowana</v>
      </c>
      <c r="G1960" s="2" t="str">
        <f>TRIM(Table1[[#This Row],[Typ]])</f>
        <v>Faktura VAT</v>
      </c>
      <c r="H1960" s="2" t="str">
        <f>TRIM(Table1[[#This Row],[Magazyn]])</f>
        <v>Apteka Szpitalna</v>
      </c>
      <c r="I1960" s="2" t="str">
        <f>TRIM(Table1[[#This Row],[Umowa]])</f>
        <v>UM-PHA-02</v>
      </c>
      <c r="J1960" s="2" t="b">
        <f>ISTEXT(Table14[[#This Row],[Data_Wystawienia]])</f>
        <v>0</v>
      </c>
      <c r="K1960" s="2">
        <f>VALUE(SUBSTITUTE(Table14[[#This Row],[Wartość]],".",","))</f>
        <v>15815.44</v>
      </c>
      <c r="L19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0" s="2" t="str">
        <f>IF(Table14[[#This Row],[Umowa]]="","Poza umową","Z umowy")</f>
        <v>Z umowy</v>
      </c>
      <c r="N1960" s="2">
        <f>YEAR(Table14[[#This Row],[Data_Wystawienia]])</f>
        <v>2023</v>
      </c>
      <c r="O1960" s="2" t="str">
        <f>TEXT(Table14[[#This Row],[Data_Wystawienia]],"rrrr-mm")</f>
        <v>2023-12</v>
      </c>
      <c r="P1960" s="2">
        <v>1</v>
      </c>
    </row>
    <row r="1961" spans="1:16" x14ac:dyDescent="0.3">
      <c r="A1961" s="2" t="str">
        <f>TRIM(Table1[[#This Row],[Numer_FV]])</f>
        <v>FV/POL/16281/2023</v>
      </c>
      <c r="B1961" s="2" t="str">
        <f>TRIM(Table1[[#This Row],[Numer_PZ]])</f>
        <v>PZ/801959</v>
      </c>
      <c r="C1961" s="2" t="str">
        <f>TRIM(Table1[[#This Row],[Dostawca]])</f>
        <v>Polmedica</v>
      </c>
      <c r="D1961" s="3">
        <v>45286</v>
      </c>
      <c r="E1961" s="4" t="s">
        <v>5784</v>
      </c>
      <c r="F1961" s="2" t="str">
        <f>TRIM(Table1[[#This Row],[Status]])</f>
        <v>Zaakceptowana</v>
      </c>
      <c r="G1961" s="2" t="str">
        <f>TRIM(Table1[[#This Row],[Typ]])</f>
        <v>Korekta FV</v>
      </c>
      <c r="H1961" s="2" t="str">
        <f>TRIM(Table1[[#This Row],[Magazyn]])</f>
        <v>Apteka Szpitalna</v>
      </c>
      <c r="I1961" s="2" t="str">
        <f>TRIM(Table1[[#This Row],[Umowa]])</f>
        <v>UM-POL-01</v>
      </c>
      <c r="J1961" s="2" t="b">
        <f>ISTEXT(Table14[[#This Row],[Data_Wystawienia]])</f>
        <v>0</v>
      </c>
      <c r="K1961" s="2">
        <f>VALUE(SUBSTITUTE(Table14[[#This Row],[Wartość]],".",","))</f>
        <v>-2049.5100000000002</v>
      </c>
      <c r="L19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1" s="2" t="str">
        <f>IF(Table14[[#This Row],[Umowa]]="","Poza umową","Z umowy")</f>
        <v>Z umowy</v>
      </c>
      <c r="N1961" s="2">
        <f>YEAR(Table14[[#This Row],[Data_Wystawienia]])</f>
        <v>2023</v>
      </c>
      <c r="O1961" s="2" t="str">
        <f>TEXT(Table14[[#This Row],[Data_Wystawienia]],"rrrr-mm")</f>
        <v>2023-12</v>
      </c>
      <c r="P1961" s="2">
        <v>1</v>
      </c>
    </row>
    <row r="1962" spans="1:16" x14ac:dyDescent="0.3">
      <c r="A1962" s="2" t="str">
        <f>TRIM(Table1[[#This Row],[Numer_FV]])</f>
        <v>FV/2739/NOVA/23</v>
      </c>
      <c r="B1962" s="2" t="str">
        <f>TRIM(Table1[[#This Row],[Numer_PZ]])</f>
        <v>PZ/801960</v>
      </c>
      <c r="C1962" s="2" t="str">
        <f>TRIM(Table1[[#This Row],[Dostawca]])</f>
        <v>NovaLek</v>
      </c>
      <c r="D1962" s="3">
        <v>45287</v>
      </c>
      <c r="E1962" s="4" t="s">
        <v>5787</v>
      </c>
      <c r="F1962" s="2" t="str">
        <f>TRIM(Table1[[#This Row],[Status]])</f>
        <v>Zaakceptowana</v>
      </c>
      <c r="G1962" s="2" t="str">
        <f>TRIM(Table1[[#This Row],[Typ]])</f>
        <v>Faktura VAT</v>
      </c>
      <c r="H1962" s="2" t="str">
        <f>TRIM(Table1[[#This Row],[Magazyn]])</f>
        <v>Apteka Szpitalna</v>
      </c>
      <c r="I1962" s="2" t="str">
        <f>TRIM(Table1[[#This Row],[Umowa]])</f>
        <v>UM-NOV-01</v>
      </c>
      <c r="J1962" s="2" t="b">
        <f>ISTEXT(Table14[[#This Row],[Data_Wystawienia]])</f>
        <v>0</v>
      </c>
      <c r="K1962" s="2">
        <f>VALUE(SUBSTITUTE(Table14[[#This Row],[Wartość]],".",","))</f>
        <v>10149.94</v>
      </c>
      <c r="L19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2" s="2" t="str">
        <f>IF(Table14[[#This Row],[Umowa]]="","Poza umową","Z umowy")</f>
        <v>Z umowy</v>
      </c>
      <c r="N1962" s="2">
        <f>YEAR(Table14[[#This Row],[Data_Wystawienia]])</f>
        <v>2023</v>
      </c>
      <c r="O1962" s="2" t="str">
        <f>TEXT(Table14[[#This Row],[Data_Wystawienia]],"rrrr-mm")</f>
        <v>2023-12</v>
      </c>
      <c r="P1962" s="2">
        <v>1</v>
      </c>
    </row>
    <row r="1963" spans="1:16" x14ac:dyDescent="0.3">
      <c r="A1963" s="2" t="str">
        <f>TRIM(Table1[[#This Row],[Numer_FV]])</f>
        <v>FV/1271/NOVA/23</v>
      </c>
      <c r="B1963" s="2" t="str">
        <f>TRIM(Table1[[#This Row],[Numer_PZ]])</f>
        <v>PZ/801961</v>
      </c>
      <c r="C1963" s="2" t="str">
        <f>TRIM(Table1[[#This Row],[Dostawca]])</f>
        <v>NovaLek</v>
      </c>
      <c r="D1963" s="3">
        <v>45287</v>
      </c>
      <c r="E1963" s="4" t="s">
        <v>5790</v>
      </c>
      <c r="F1963" s="2" t="str">
        <f>TRIM(Table1[[#This Row],[Status]])</f>
        <v>Zaakceptowana</v>
      </c>
      <c r="G1963" s="2" t="str">
        <f>TRIM(Table1[[#This Row],[Typ]])</f>
        <v>Faktura VAT</v>
      </c>
      <c r="H1963" s="2" t="str">
        <f>TRIM(Table1[[#This Row],[Magazyn]])</f>
        <v>Apteka Szpitalna</v>
      </c>
      <c r="I1963" s="2" t="str">
        <f>TRIM(Table1[[#This Row],[Umowa]])</f>
        <v>UM-NOV-01</v>
      </c>
      <c r="J1963" s="2" t="b">
        <f>ISTEXT(Table14[[#This Row],[Data_Wystawienia]])</f>
        <v>0</v>
      </c>
      <c r="K1963" s="2">
        <f>VALUE(SUBSTITUTE(Table14[[#This Row],[Wartość]],".",","))</f>
        <v>15976.69</v>
      </c>
      <c r="L19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3" s="2" t="str">
        <f>IF(Table14[[#This Row],[Umowa]]="","Poza umową","Z umowy")</f>
        <v>Z umowy</v>
      </c>
      <c r="N1963" s="2">
        <f>YEAR(Table14[[#This Row],[Data_Wystawienia]])</f>
        <v>2023</v>
      </c>
      <c r="O1963" s="2" t="str">
        <f>TEXT(Table14[[#This Row],[Data_Wystawienia]],"rrrr-mm")</f>
        <v>2023-12</v>
      </c>
      <c r="P1963" s="2">
        <v>1</v>
      </c>
    </row>
    <row r="1964" spans="1:16" x14ac:dyDescent="0.3">
      <c r="A1964" s="2" t="str">
        <f>TRIM(Table1[[#This Row],[Numer_FV]])</f>
        <v>FV/POL/11371/2023</v>
      </c>
      <c r="B1964" s="2" t="str">
        <f>TRIM(Table1[[#This Row],[Numer_PZ]])</f>
        <v>PZ/801962</v>
      </c>
      <c r="C1964" s="2" t="str">
        <f>TRIM(Table1[[#This Row],[Dostawca]])</f>
        <v>Polmedica</v>
      </c>
      <c r="D1964" s="3">
        <v>45288</v>
      </c>
      <c r="E1964" s="4" t="s">
        <v>5793</v>
      </c>
      <c r="F1964" s="2" t="str">
        <f>TRIM(Table1[[#This Row],[Status]])</f>
        <v>Zaakceptowana</v>
      </c>
      <c r="G1964" s="2" t="str">
        <f>TRIM(Table1[[#This Row],[Typ]])</f>
        <v>Faktura VAT</v>
      </c>
      <c r="H1964" s="2" t="str">
        <f>TRIM(Table1[[#This Row],[Magazyn]])</f>
        <v>Apteka Szpitalna</v>
      </c>
      <c r="I1964" s="2" t="str">
        <f>TRIM(Table1[[#This Row],[Umowa]])</f>
        <v/>
      </c>
      <c r="J1964" s="2" t="b">
        <f>ISTEXT(Table14[[#This Row],[Data_Wystawienia]])</f>
        <v>0</v>
      </c>
      <c r="K1964" s="2">
        <f>VALUE(SUBSTITUTE(Table14[[#This Row],[Wartość]],".",","))</f>
        <v>14691.92</v>
      </c>
      <c r="L19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4" s="2" t="str">
        <f>IF(Table14[[#This Row],[Umowa]]="","Poza umową","Z umowy")</f>
        <v>Poza umową</v>
      </c>
      <c r="N1964" s="2">
        <f>YEAR(Table14[[#This Row],[Data_Wystawienia]])</f>
        <v>2023</v>
      </c>
      <c r="O1964" s="2" t="str">
        <f>TEXT(Table14[[#This Row],[Data_Wystawienia]],"rrrr-mm")</f>
        <v>2023-12</v>
      </c>
      <c r="P1964" s="2">
        <v>1</v>
      </c>
    </row>
    <row r="1965" spans="1:16" x14ac:dyDescent="0.3">
      <c r="A1965" s="2" t="str">
        <f>TRIM(Table1[[#This Row],[Numer_FV]])</f>
        <v>FV/POL/46288/2023</v>
      </c>
      <c r="B1965" s="2" t="str">
        <f>TRIM(Table1[[#This Row],[Numer_PZ]])</f>
        <v>PZ/801963</v>
      </c>
      <c r="C1965" s="2" t="str">
        <f>TRIM(Table1[[#This Row],[Dostawca]])</f>
        <v>Polmedica</v>
      </c>
      <c r="D1965" s="3">
        <v>45288</v>
      </c>
      <c r="E1965" s="4" t="s">
        <v>5796</v>
      </c>
      <c r="F1965" s="2" t="str">
        <f>TRIM(Table1[[#This Row],[Status]])</f>
        <v>Zaakceptowana</v>
      </c>
      <c r="G1965" s="2" t="str">
        <f>TRIM(Table1[[#This Row],[Typ]])</f>
        <v>Faktura VAT</v>
      </c>
      <c r="H1965" s="2" t="str">
        <f>TRIM(Table1[[#This Row],[Magazyn]])</f>
        <v>Apteka Szpitalna</v>
      </c>
      <c r="I1965" s="2" t="str">
        <f>TRIM(Table1[[#This Row],[Umowa]])</f>
        <v>UM-POL-03</v>
      </c>
      <c r="J1965" s="2" t="b">
        <f>ISTEXT(Table14[[#This Row],[Data_Wystawienia]])</f>
        <v>0</v>
      </c>
      <c r="K1965" s="2">
        <f>VALUE(SUBSTITUTE(Table14[[#This Row],[Wartość]],".",","))</f>
        <v>23480.14</v>
      </c>
      <c r="L19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5" s="2" t="str">
        <f>IF(Table14[[#This Row],[Umowa]]="","Poza umową","Z umowy")</f>
        <v>Z umowy</v>
      </c>
      <c r="N1965" s="2">
        <f>YEAR(Table14[[#This Row],[Data_Wystawienia]])</f>
        <v>2023</v>
      </c>
      <c r="O1965" s="2" t="str">
        <f>TEXT(Table14[[#This Row],[Data_Wystawienia]],"rrrr-mm")</f>
        <v>2023-12</v>
      </c>
      <c r="P1965" s="2">
        <v>1</v>
      </c>
    </row>
    <row r="1966" spans="1:16" x14ac:dyDescent="0.3">
      <c r="A1966" s="2" t="str">
        <f>TRIM(Table1[[#This Row],[Numer_FV]])</f>
        <v>FV/23/PP/8570/23</v>
      </c>
      <c r="B1966" s="2" t="str">
        <f>TRIM(Table1[[#This Row],[Numer_PZ]])</f>
        <v>PZ/801964</v>
      </c>
      <c r="C1966" s="2" t="str">
        <f>TRIM(Table1[[#This Row],[Dostawca]])</f>
        <v>PharmaPlus</v>
      </c>
      <c r="D1966" s="3">
        <v>45288</v>
      </c>
      <c r="E1966" s="4" t="s">
        <v>5799</v>
      </c>
      <c r="F1966" s="2" t="str">
        <f>TRIM(Table1[[#This Row],[Status]])</f>
        <v>Zaakceptowana</v>
      </c>
      <c r="G1966" s="2" t="str">
        <f>TRIM(Table1[[#This Row],[Typ]])</f>
        <v>Faktura VAT</v>
      </c>
      <c r="H1966" s="2" t="str">
        <f>TRIM(Table1[[#This Row],[Magazyn]])</f>
        <v>Apteka Szpitalna</v>
      </c>
      <c r="I1966" s="2" t="str">
        <f>TRIM(Table1[[#This Row],[Umowa]])</f>
        <v>UM-PHA-01</v>
      </c>
      <c r="J1966" s="2" t="b">
        <f>ISTEXT(Table14[[#This Row],[Data_Wystawienia]])</f>
        <v>0</v>
      </c>
      <c r="K1966" s="2">
        <f>VALUE(SUBSTITUTE(Table14[[#This Row],[Wartość]],".",","))</f>
        <v>17954.599999999999</v>
      </c>
      <c r="L19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6" s="2" t="str">
        <f>IF(Table14[[#This Row],[Umowa]]="","Poza umową","Z umowy")</f>
        <v>Z umowy</v>
      </c>
      <c r="N1966" s="2">
        <f>YEAR(Table14[[#This Row],[Data_Wystawienia]])</f>
        <v>2023</v>
      </c>
      <c r="O1966" s="2" t="str">
        <f>TEXT(Table14[[#This Row],[Data_Wystawienia]],"rrrr-mm")</f>
        <v>2023-12</v>
      </c>
      <c r="P1966" s="2">
        <v>1</v>
      </c>
    </row>
    <row r="1967" spans="1:16" x14ac:dyDescent="0.3">
      <c r="A1967" s="2" t="str">
        <f>TRIM(Table1[[#This Row],[Numer_FV]])</f>
        <v>FV/40/PP/4405/23</v>
      </c>
      <c r="B1967" s="2" t="str">
        <f>TRIM(Table1[[#This Row],[Numer_PZ]])</f>
        <v>PZ/801965</v>
      </c>
      <c r="C1967" s="2" t="str">
        <f>TRIM(Table1[[#This Row],[Dostawca]])</f>
        <v>PharmaPlus</v>
      </c>
      <c r="D1967" s="3">
        <v>45288</v>
      </c>
      <c r="E1967" s="4" t="s">
        <v>5802</v>
      </c>
      <c r="F1967" s="2" t="str">
        <f>TRIM(Table1[[#This Row],[Status]])</f>
        <v>Zaakceptowana</v>
      </c>
      <c r="G1967" s="2" t="str">
        <f>TRIM(Table1[[#This Row],[Typ]])</f>
        <v>Faktura VAT</v>
      </c>
      <c r="H1967" s="2" t="str">
        <f>TRIM(Table1[[#This Row],[Magazyn]])</f>
        <v>Apteka Szpitalna</v>
      </c>
      <c r="I1967" s="2" t="str">
        <f>TRIM(Table1[[#This Row],[Umowa]])</f>
        <v>UM-PHA-02</v>
      </c>
      <c r="J1967" s="2" t="b">
        <f>ISTEXT(Table14[[#This Row],[Data_Wystawienia]])</f>
        <v>0</v>
      </c>
      <c r="K1967" s="2">
        <f>VALUE(SUBSTITUTE(Table14[[#This Row],[Wartość]],".",","))</f>
        <v>21225.09</v>
      </c>
      <c r="L19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7" s="2" t="str">
        <f>IF(Table14[[#This Row],[Umowa]]="","Poza umową","Z umowy")</f>
        <v>Z umowy</v>
      </c>
      <c r="N1967" s="2">
        <f>YEAR(Table14[[#This Row],[Data_Wystawienia]])</f>
        <v>2023</v>
      </c>
      <c r="O1967" s="2" t="str">
        <f>TEXT(Table14[[#This Row],[Data_Wystawienia]],"rrrr-mm")</f>
        <v>2023-12</v>
      </c>
      <c r="P1967" s="2">
        <v>1</v>
      </c>
    </row>
    <row r="1968" spans="1:16" x14ac:dyDescent="0.3">
      <c r="A1968" s="2" t="str">
        <f>TRIM(Table1[[#This Row],[Numer_FV]])</f>
        <v>FV/POL/83781/2023</v>
      </c>
      <c r="B1968" s="2" t="str">
        <f>TRIM(Table1[[#This Row],[Numer_PZ]])</f>
        <v>PZ/801966</v>
      </c>
      <c r="C1968" s="2" t="str">
        <f>TRIM(Table1[[#This Row],[Dostawca]])</f>
        <v>Polmedica</v>
      </c>
      <c r="D1968" s="3">
        <v>45289</v>
      </c>
      <c r="E1968" s="4" t="s">
        <v>5805</v>
      </c>
      <c r="F1968" s="2" t="str">
        <f>TRIM(Table1[[#This Row],[Status]])</f>
        <v>Zaakceptowana</v>
      </c>
      <c r="G1968" s="2" t="str">
        <f>TRIM(Table1[[#This Row],[Typ]])</f>
        <v>Faktura VAT</v>
      </c>
      <c r="H1968" s="2" t="str">
        <f>TRIM(Table1[[#This Row],[Magazyn]])</f>
        <v>Apteka Szpitalna</v>
      </c>
      <c r="I1968" s="2" t="str">
        <f>TRIM(Table1[[#This Row],[Umowa]])</f>
        <v>UM-POL-02</v>
      </c>
      <c r="J1968" s="2" t="b">
        <f>ISTEXT(Table14[[#This Row],[Data_Wystawienia]])</f>
        <v>0</v>
      </c>
      <c r="K1968" s="2">
        <f>VALUE(SUBSTITUTE(Table14[[#This Row],[Wartość]],".",","))</f>
        <v>11940.46</v>
      </c>
      <c r="L19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8" s="2" t="str">
        <f>IF(Table14[[#This Row],[Umowa]]="","Poza umową","Z umowy")</f>
        <v>Z umowy</v>
      </c>
      <c r="N1968" s="2">
        <f>YEAR(Table14[[#This Row],[Data_Wystawienia]])</f>
        <v>2023</v>
      </c>
      <c r="O1968" s="2" t="str">
        <f>TEXT(Table14[[#This Row],[Data_Wystawienia]],"rrrr-mm")</f>
        <v>2023-12</v>
      </c>
      <c r="P1968" s="2">
        <v>1</v>
      </c>
    </row>
    <row r="1969" spans="1:16" x14ac:dyDescent="0.3">
      <c r="A1969" s="2" t="str">
        <f>TRIM(Table1[[#This Row],[Numer_FV]])</f>
        <v>FV/82/PP/1546/23</v>
      </c>
      <c r="B1969" s="2" t="str">
        <f>TRIM(Table1[[#This Row],[Numer_PZ]])</f>
        <v>PZ/801967</v>
      </c>
      <c r="C1969" s="2" t="str">
        <f>TRIM(Table1[[#This Row],[Dostawca]])</f>
        <v>PharmaPlus</v>
      </c>
      <c r="D1969" s="3">
        <v>45289</v>
      </c>
      <c r="E1969" s="4" t="s">
        <v>5808</v>
      </c>
      <c r="F1969" s="2" t="str">
        <f>TRIM(Table1[[#This Row],[Status]])</f>
        <v>Zaakceptowana</v>
      </c>
      <c r="G1969" s="2" t="str">
        <f>TRIM(Table1[[#This Row],[Typ]])</f>
        <v>Faktura VAT</v>
      </c>
      <c r="H1969" s="2" t="str">
        <f>TRIM(Table1[[#This Row],[Magazyn]])</f>
        <v>Apteka Szpitalna</v>
      </c>
      <c r="I1969" s="2" t="str">
        <f>TRIM(Table1[[#This Row],[Umowa]])</f>
        <v>UM-PHA-02</v>
      </c>
      <c r="J1969" s="2" t="b">
        <f>ISTEXT(Table14[[#This Row],[Data_Wystawienia]])</f>
        <v>0</v>
      </c>
      <c r="K1969" s="2">
        <f>VALUE(SUBSTITUTE(Table14[[#This Row],[Wartość]],".",","))</f>
        <v>16246.12</v>
      </c>
      <c r="L19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69" s="2" t="str">
        <f>IF(Table14[[#This Row],[Umowa]]="","Poza umową","Z umowy")</f>
        <v>Z umowy</v>
      </c>
      <c r="N1969" s="2">
        <f>YEAR(Table14[[#This Row],[Data_Wystawienia]])</f>
        <v>2023</v>
      </c>
      <c r="O1969" s="2" t="str">
        <f>TEXT(Table14[[#This Row],[Data_Wystawienia]],"rrrr-mm")</f>
        <v>2023-12</v>
      </c>
      <c r="P1969" s="2">
        <v>1</v>
      </c>
    </row>
    <row r="1970" spans="1:16" x14ac:dyDescent="0.3">
      <c r="A1970" s="2" t="str">
        <f>TRIM(Table1[[#This Row],[Numer_FV]])</f>
        <v>FV/M/4210/P/23</v>
      </c>
      <c r="B1970" s="2" t="str">
        <f>TRIM(Table1[[#This Row],[Numer_PZ]])</f>
        <v>PZ/801968</v>
      </c>
      <c r="C1970" s="2" t="str">
        <f>TRIM(Table1[[#This Row],[Dostawca]])</f>
        <v>MedicaPharm</v>
      </c>
      <c r="D1970" s="3">
        <v>45289</v>
      </c>
      <c r="E1970" s="4" t="s">
        <v>5811</v>
      </c>
      <c r="F1970" s="2" t="str">
        <f>TRIM(Table1[[#This Row],[Status]])</f>
        <v>Zaakceptowana</v>
      </c>
      <c r="G1970" s="2" t="str">
        <f>TRIM(Table1[[#This Row],[Typ]])</f>
        <v>Faktura VAT</v>
      </c>
      <c r="H1970" s="2" t="str">
        <f>TRIM(Table1[[#This Row],[Magazyn]])</f>
        <v>Apteka Szpitalna</v>
      </c>
      <c r="I1970" s="2" t="str">
        <f>TRIM(Table1[[#This Row],[Umowa]])</f>
        <v>UM-MED-01</v>
      </c>
      <c r="J1970" s="2" t="b">
        <f>ISTEXT(Table14[[#This Row],[Data_Wystawienia]])</f>
        <v>0</v>
      </c>
      <c r="K1970" s="2">
        <f>VALUE(SUBSTITUTE(Table14[[#This Row],[Wartość]],".",","))</f>
        <v>19761.259999999998</v>
      </c>
      <c r="L19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0" s="2" t="str">
        <f>IF(Table14[[#This Row],[Umowa]]="","Poza umową","Z umowy")</f>
        <v>Z umowy</v>
      </c>
      <c r="N1970" s="2">
        <f>YEAR(Table14[[#This Row],[Data_Wystawienia]])</f>
        <v>2023</v>
      </c>
      <c r="O1970" s="2" t="str">
        <f>TEXT(Table14[[#This Row],[Data_Wystawienia]],"rrrr-mm")</f>
        <v>2023-12</v>
      </c>
      <c r="P1970" s="2">
        <v>1</v>
      </c>
    </row>
    <row r="1971" spans="1:16" x14ac:dyDescent="0.3">
      <c r="A1971" s="2" t="str">
        <f>TRIM(Table1[[#This Row],[Numer_FV]])</f>
        <v>FV/43/PP/5175/23</v>
      </c>
      <c r="B1971" s="2" t="str">
        <f>TRIM(Table1[[#This Row],[Numer_PZ]])</f>
        <v>PZ/801969</v>
      </c>
      <c r="C1971" s="2" t="str">
        <f>TRIM(Table1[[#This Row],[Dostawca]])</f>
        <v>PharmaPlus</v>
      </c>
      <c r="D1971" s="3">
        <v>45290</v>
      </c>
      <c r="E1971" s="4" t="s">
        <v>5814</v>
      </c>
      <c r="F1971" s="2" t="str">
        <f>TRIM(Table1[[#This Row],[Status]])</f>
        <v>Zaakceptowana</v>
      </c>
      <c r="G1971" s="2" t="str">
        <f>TRIM(Table1[[#This Row],[Typ]])</f>
        <v>Faktura VAT</v>
      </c>
      <c r="H1971" s="2" t="str">
        <f>TRIM(Table1[[#This Row],[Magazyn]])</f>
        <v>Apteka Szpitalna</v>
      </c>
      <c r="I1971" s="2" t="str">
        <f>TRIM(Table1[[#This Row],[Umowa]])</f>
        <v>UM-PHA-02</v>
      </c>
      <c r="J1971" s="2" t="b">
        <f>ISTEXT(Table14[[#This Row],[Data_Wystawienia]])</f>
        <v>0</v>
      </c>
      <c r="K1971" s="2">
        <f>VALUE(SUBSTITUTE(Table14[[#This Row],[Wartość]],".",","))</f>
        <v>12238.41</v>
      </c>
      <c r="L19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1" s="2" t="str">
        <f>IF(Table14[[#This Row],[Umowa]]="","Poza umową","Z umowy")</f>
        <v>Z umowy</v>
      </c>
      <c r="N1971" s="2">
        <f>YEAR(Table14[[#This Row],[Data_Wystawienia]])</f>
        <v>2023</v>
      </c>
      <c r="O1971" s="2" t="str">
        <f>TEXT(Table14[[#This Row],[Data_Wystawienia]],"rrrr-mm")</f>
        <v>2023-12</v>
      </c>
      <c r="P1971" s="2">
        <v>1</v>
      </c>
    </row>
    <row r="1972" spans="1:16" x14ac:dyDescent="0.3">
      <c r="A1972" s="2" t="str">
        <f>TRIM(Table1[[#This Row],[Numer_FV]])</f>
        <v>FV/M/4199/P/23</v>
      </c>
      <c r="B1972" s="2" t="str">
        <f>TRIM(Table1[[#This Row],[Numer_PZ]])</f>
        <v>PZ/801970</v>
      </c>
      <c r="C1972" s="2" t="str">
        <f>TRIM(Table1[[#This Row],[Dostawca]])</f>
        <v>MedicaPharm</v>
      </c>
      <c r="D1972" s="3">
        <v>45290</v>
      </c>
      <c r="E1972" s="4" t="s">
        <v>5817</v>
      </c>
      <c r="F1972" s="2" t="str">
        <f>TRIM(Table1[[#This Row],[Status]])</f>
        <v>Zaakceptowana</v>
      </c>
      <c r="G1972" s="2" t="str">
        <f>TRIM(Table1[[#This Row],[Typ]])</f>
        <v>Faktura VAT</v>
      </c>
      <c r="H1972" s="2" t="str">
        <f>TRIM(Table1[[#This Row],[Magazyn]])</f>
        <v>Apteka Szpitalna</v>
      </c>
      <c r="I1972" s="2" t="str">
        <f>TRIM(Table1[[#This Row],[Umowa]])</f>
        <v>UM-MED-01</v>
      </c>
      <c r="J1972" s="2" t="b">
        <f>ISTEXT(Table14[[#This Row],[Data_Wystawienia]])</f>
        <v>0</v>
      </c>
      <c r="K1972" s="2">
        <f>VALUE(SUBSTITUTE(Table14[[#This Row],[Wartość]],".",","))</f>
        <v>14204.73</v>
      </c>
      <c r="L19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2" s="2" t="str">
        <f>IF(Table14[[#This Row],[Umowa]]="","Poza umową","Z umowy")</f>
        <v>Z umowy</v>
      </c>
      <c r="N1972" s="2">
        <f>YEAR(Table14[[#This Row],[Data_Wystawienia]])</f>
        <v>2023</v>
      </c>
      <c r="O1972" s="2" t="str">
        <f>TEXT(Table14[[#This Row],[Data_Wystawienia]],"rrrr-mm")</f>
        <v>2023-12</v>
      </c>
      <c r="P1972" s="2">
        <v>1</v>
      </c>
    </row>
    <row r="1973" spans="1:16" x14ac:dyDescent="0.3">
      <c r="A1973" s="2" t="str">
        <f>TRIM(Table1[[#This Row],[Numer_FV]])</f>
        <v>FV/CENFA/389878/23</v>
      </c>
      <c r="B1973" s="2" t="str">
        <f>TRIM(Table1[[#This Row],[Numer_PZ]])</f>
        <v>PZ/801971</v>
      </c>
      <c r="C1973" s="2" t="str">
        <f>TRIM(Table1[[#This Row],[Dostawca]])</f>
        <v>CentrumFarm</v>
      </c>
      <c r="D1973" s="3">
        <v>45290</v>
      </c>
      <c r="E1973" s="4" t="s">
        <v>5820</v>
      </c>
      <c r="F1973" s="2" t="str">
        <f>TRIM(Table1[[#This Row],[Status]])</f>
        <v>Zaakceptowana</v>
      </c>
      <c r="G1973" s="2" t="str">
        <f>TRIM(Table1[[#This Row],[Typ]])</f>
        <v>Faktura VAT</v>
      </c>
      <c r="H1973" s="2" t="str">
        <f>TRIM(Table1[[#This Row],[Magazyn]])</f>
        <v>Apteka Szpitalna</v>
      </c>
      <c r="I1973" s="2" t="str">
        <f>TRIM(Table1[[#This Row],[Umowa]])</f>
        <v/>
      </c>
      <c r="J1973" s="2" t="b">
        <f>ISTEXT(Table14[[#This Row],[Data_Wystawienia]])</f>
        <v>0</v>
      </c>
      <c r="K1973" s="2">
        <f>VALUE(SUBSTITUTE(Table14[[#This Row],[Wartość]],".",","))</f>
        <v>16809.63</v>
      </c>
      <c r="L19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3" s="2" t="str">
        <f>IF(Table14[[#This Row],[Umowa]]="","Poza umową","Z umowy")</f>
        <v>Poza umową</v>
      </c>
      <c r="N1973" s="2">
        <f>YEAR(Table14[[#This Row],[Data_Wystawienia]])</f>
        <v>2023</v>
      </c>
      <c r="O1973" s="2" t="str">
        <f>TEXT(Table14[[#This Row],[Data_Wystawienia]],"rrrr-mm")</f>
        <v>2023-12</v>
      </c>
      <c r="P1973" s="2">
        <v>1</v>
      </c>
    </row>
    <row r="1974" spans="1:16" x14ac:dyDescent="0.3">
      <c r="A1974" s="2" t="str">
        <f>TRIM(Table1[[#This Row],[Numer_FV]])</f>
        <v>FV/27935/VDb/2023</v>
      </c>
      <c r="B1974" s="2" t="str">
        <f>TRIM(Table1[[#This Row],[Numer_PZ]])</f>
        <v>PZ/801972</v>
      </c>
      <c r="C1974" s="2" t="str">
        <f>TRIM(Table1[[#This Row],[Dostawca]])</f>
        <v>VitaDistrib</v>
      </c>
      <c r="D1974" s="3">
        <v>45291</v>
      </c>
      <c r="E1974" s="4" t="s">
        <v>5823</v>
      </c>
      <c r="F1974" s="2" t="str">
        <f>TRIM(Table1[[#This Row],[Status]])</f>
        <v>Zaakceptowana</v>
      </c>
      <c r="G1974" s="2" t="str">
        <f>TRIM(Table1[[#This Row],[Typ]])</f>
        <v>Faktura VAT</v>
      </c>
      <c r="H1974" s="2" t="str">
        <f>TRIM(Table1[[#This Row],[Magazyn]])</f>
        <v>Apteka Szpitalna</v>
      </c>
      <c r="I1974" s="2" t="str">
        <f>TRIM(Table1[[#This Row],[Umowa]])</f>
        <v/>
      </c>
      <c r="J1974" s="2" t="b">
        <f>ISTEXT(Table14[[#This Row],[Data_Wystawienia]])</f>
        <v>0</v>
      </c>
      <c r="K1974" s="2">
        <f>VALUE(SUBSTITUTE(Table14[[#This Row],[Wartość]],".",","))</f>
        <v>21901.06</v>
      </c>
      <c r="L19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4" s="2" t="str">
        <f>IF(Table14[[#This Row],[Umowa]]="","Poza umową","Z umowy")</f>
        <v>Poza umową</v>
      </c>
      <c r="N1974" s="2">
        <f>YEAR(Table14[[#This Row],[Data_Wystawienia]])</f>
        <v>2023</v>
      </c>
      <c r="O1974" s="2" t="str">
        <f>TEXT(Table14[[#This Row],[Data_Wystawienia]],"rrrr-mm")</f>
        <v>2023-12</v>
      </c>
      <c r="P1974" s="2">
        <v>1</v>
      </c>
    </row>
    <row r="1975" spans="1:16" x14ac:dyDescent="0.3">
      <c r="A1975" s="2" t="str">
        <f>TRIM(Table1[[#This Row],[Numer_FV]])</f>
        <v>FV/43537/VDb/2023</v>
      </c>
      <c r="B1975" s="2" t="str">
        <f>TRIM(Table1[[#This Row],[Numer_PZ]])</f>
        <v>PZ/801973</v>
      </c>
      <c r="C1975" s="2" t="str">
        <f>TRIM(Table1[[#This Row],[Dostawca]])</f>
        <v>VitaDistrib</v>
      </c>
      <c r="D1975" s="3">
        <v>45291</v>
      </c>
      <c r="E1975" s="4" t="s">
        <v>5826</v>
      </c>
      <c r="F1975" s="2" t="str">
        <f>TRIM(Table1[[#This Row],[Status]])</f>
        <v>Zaakceptowana</v>
      </c>
      <c r="G1975" s="2" t="str">
        <f>TRIM(Table1[[#This Row],[Typ]])</f>
        <v>Faktura VAT</v>
      </c>
      <c r="H1975" s="2" t="str">
        <f>TRIM(Table1[[#This Row],[Magazyn]])</f>
        <v>Apteka Szpitalna</v>
      </c>
      <c r="I1975" s="2" t="str">
        <f>TRIM(Table1[[#This Row],[Umowa]])</f>
        <v/>
      </c>
      <c r="J1975" s="2" t="b">
        <f>ISTEXT(Table14[[#This Row],[Data_Wystawienia]])</f>
        <v>0</v>
      </c>
      <c r="K1975" s="2">
        <f>VALUE(SUBSTITUTE(Table14[[#This Row],[Wartość]],".",","))</f>
        <v>18108.060000000001</v>
      </c>
      <c r="L19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5" s="2" t="str">
        <f>IF(Table14[[#This Row],[Umowa]]="","Poza umową","Z umowy")</f>
        <v>Poza umową</v>
      </c>
      <c r="N1975" s="2">
        <f>YEAR(Table14[[#This Row],[Data_Wystawienia]])</f>
        <v>2023</v>
      </c>
      <c r="O1975" s="2" t="str">
        <f>TEXT(Table14[[#This Row],[Data_Wystawienia]],"rrrr-mm")</f>
        <v>2023-12</v>
      </c>
      <c r="P1975" s="2">
        <v>1</v>
      </c>
    </row>
    <row r="1976" spans="1:16" x14ac:dyDescent="0.3">
      <c r="A1976" s="2" t="str">
        <f>TRIM(Table1[[#This Row],[Numer_FV]])</f>
        <v>FV/89/SAL/24</v>
      </c>
      <c r="B1976" s="2" t="str">
        <f>TRIM(Table1[[#This Row],[Numer_PZ]])</f>
        <v>PZ/801974</v>
      </c>
      <c r="C1976" s="2" t="str">
        <f>TRIM(Table1[[#This Row],[Dostawca]])</f>
        <v>SalusHurt</v>
      </c>
      <c r="D1976" s="3">
        <v>45292</v>
      </c>
      <c r="E1976" s="4" t="s">
        <v>5829</v>
      </c>
      <c r="F1976" s="2" t="str">
        <f>TRIM(Table1[[#This Row],[Status]])</f>
        <v>Zaakceptowana</v>
      </c>
      <c r="G1976" s="2" t="str">
        <f>TRIM(Table1[[#This Row],[Typ]])</f>
        <v>Faktura VAT</v>
      </c>
      <c r="H1976" s="2" t="str">
        <f>TRIM(Table1[[#This Row],[Magazyn]])</f>
        <v>Apteka Szpitalna</v>
      </c>
      <c r="I1976" s="2" t="str">
        <f>TRIM(Table1[[#This Row],[Umowa]])</f>
        <v>UM-SAL-02</v>
      </c>
      <c r="J1976" s="2" t="b">
        <f>ISTEXT(Table14[[#This Row],[Data_Wystawienia]])</f>
        <v>0</v>
      </c>
      <c r="K1976" s="2">
        <f>VALUE(SUBSTITUTE(Table14[[#This Row],[Wartość]],".",","))</f>
        <v>8948.1200000000008</v>
      </c>
      <c r="L19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6" s="2" t="str">
        <f>IF(Table14[[#This Row],[Umowa]]="","Poza umową","Z umowy")</f>
        <v>Z umowy</v>
      </c>
      <c r="N1976" s="2">
        <f>YEAR(Table14[[#This Row],[Data_Wystawienia]])</f>
        <v>2024</v>
      </c>
      <c r="O1976" s="2" t="str">
        <f>TEXT(Table14[[#This Row],[Data_Wystawienia]],"rrrr-mm")</f>
        <v>2024-01</v>
      </c>
      <c r="P1976" s="2">
        <v>1</v>
      </c>
    </row>
    <row r="1977" spans="1:16" x14ac:dyDescent="0.3">
      <c r="A1977" s="2" t="str">
        <f>TRIM(Table1[[#This Row],[Numer_FV]])</f>
        <v>FV/57/SAL/24</v>
      </c>
      <c r="B1977" s="2" t="str">
        <f>TRIM(Table1[[#This Row],[Numer_PZ]])</f>
        <v>PZ/801975</v>
      </c>
      <c r="C1977" s="2" t="str">
        <f>TRIM(Table1[[#This Row],[Dostawca]])</f>
        <v>SalusHurt</v>
      </c>
      <c r="D1977" s="3">
        <v>45292</v>
      </c>
      <c r="E1977" s="4" t="s">
        <v>5832</v>
      </c>
      <c r="F1977" s="2" t="str">
        <f>TRIM(Table1[[#This Row],[Status]])</f>
        <v>Zaakceptowana</v>
      </c>
      <c r="G1977" s="2" t="str">
        <f>TRIM(Table1[[#This Row],[Typ]])</f>
        <v>Faktura VAT</v>
      </c>
      <c r="H1977" s="2" t="str">
        <f>TRIM(Table1[[#This Row],[Magazyn]])</f>
        <v>Apteka Szpitalna</v>
      </c>
      <c r="I1977" s="2" t="str">
        <f>TRIM(Table1[[#This Row],[Umowa]])</f>
        <v>UM-SAL-01</v>
      </c>
      <c r="J1977" s="2" t="b">
        <f>ISTEXT(Table14[[#This Row],[Data_Wystawienia]])</f>
        <v>0</v>
      </c>
      <c r="K1977" s="2">
        <f>VALUE(SUBSTITUTE(Table14[[#This Row],[Wartość]],".",","))</f>
        <v>13807.17</v>
      </c>
      <c r="L19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7" s="2" t="str">
        <f>IF(Table14[[#This Row],[Umowa]]="","Poza umową","Z umowy")</f>
        <v>Z umowy</v>
      </c>
      <c r="N1977" s="2">
        <f>YEAR(Table14[[#This Row],[Data_Wystawienia]])</f>
        <v>2024</v>
      </c>
      <c r="O1977" s="2" t="str">
        <f>TEXT(Table14[[#This Row],[Data_Wystawienia]],"rrrr-mm")</f>
        <v>2024-01</v>
      </c>
      <c r="P1977" s="2">
        <v>1</v>
      </c>
    </row>
    <row r="1978" spans="1:16" x14ac:dyDescent="0.3">
      <c r="A1978" s="2" t="str">
        <f>TRIM(Table1[[#This Row],[Numer_FV]])</f>
        <v>FV/36691/VDb/2024</v>
      </c>
      <c r="B1978" s="2" t="str">
        <f>TRIM(Table1[[#This Row],[Numer_PZ]])</f>
        <v>PZ/801976</v>
      </c>
      <c r="C1978" s="2" t="str">
        <f>TRIM(Table1[[#This Row],[Dostawca]])</f>
        <v>VitaDistrib</v>
      </c>
      <c r="D1978" s="3">
        <v>45292</v>
      </c>
      <c r="E1978" s="4" t="s">
        <v>5835</v>
      </c>
      <c r="F1978" s="2" t="str">
        <f>TRIM(Table1[[#This Row],[Status]])</f>
        <v>Zaakceptowana</v>
      </c>
      <c r="G1978" s="2" t="str">
        <f>TRIM(Table1[[#This Row],[Typ]])</f>
        <v>Faktura VAT</v>
      </c>
      <c r="H1978" s="2" t="str">
        <f>TRIM(Table1[[#This Row],[Magazyn]])</f>
        <v>Apteka Szpitalna</v>
      </c>
      <c r="I1978" s="2" t="str">
        <f>TRIM(Table1[[#This Row],[Umowa]])</f>
        <v>UM-VIT-01</v>
      </c>
      <c r="J1978" s="2" t="b">
        <f>ISTEXT(Table14[[#This Row],[Data_Wystawienia]])</f>
        <v>0</v>
      </c>
      <c r="K1978" s="2">
        <f>VALUE(SUBSTITUTE(Table14[[#This Row],[Wartość]],".",","))</f>
        <v>10571.5</v>
      </c>
      <c r="L19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8" s="2" t="str">
        <f>IF(Table14[[#This Row],[Umowa]]="","Poza umową","Z umowy")</f>
        <v>Z umowy</v>
      </c>
      <c r="N1978" s="2">
        <f>YEAR(Table14[[#This Row],[Data_Wystawienia]])</f>
        <v>2024</v>
      </c>
      <c r="O1978" s="2" t="str">
        <f>TEXT(Table14[[#This Row],[Data_Wystawienia]],"rrrr-mm")</f>
        <v>2024-01</v>
      </c>
      <c r="P1978" s="2">
        <v>1</v>
      </c>
    </row>
    <row r="1979" spans="1:16" x14ac:dyDescent="0.3">
      <c r="A1979" s="2" t="str">
        <f>TRIM(Table1[[#This Row],[Numer_FV]])</f>
        <v>FV/POL/64960/2024</v>
      </c>
      <c r="B1979" s="2" t="str">
        <f>TRIM(Table1[[#This Row],[Numer_PZ]])</f>
        <v>PZ/801977</v>
      </c>
      <c r="C1979" s="2" t="str">
        <f>TRIM(Table1[[#This Row],[Dostawca]])</f>
        <v>Polmedica</v>
      </c>
      <c r="D1979" s="3">
        <v>45294</v>
      </c>
      <c r="E1979" s="4" t="s">
        <v>5838</v>
      </c>
      <c r="F1979" s="2" t="str">
        <f>TRIM(Table1[[#This Row],[Status]])</f>
        <v>Zaakceptowana</v>
      </c>
      <c r="G1979" s="2" t="str">
        <f>TRIM(Table1[[#This Row],[Typ]])</f>
        <v>Faktura VAT</v>
      </c>
      <c r="H1979" s="2" t="str">
        <f>TRIM(Table1[[#This Row],[Magazyn]])</f>
        <v>Apteka Szpitalna</v>
      </c>
      <c r="I1979" s="2" t="str">
        <f>TRIM(Table1[[#This Row],[Umowa]])</f>
        <v>UM-POL-03</v>
      </c>
      <c r="J1979" s="2" t="b">
        <f>ISTEXT(Table14[[#This Row],[Data_Wystawienia]])</f>
        <v>0</v>
      </c>
      <c r="K1979" s="2">
        <f>VALUE(SUBSTITUTE(Table14[[#This Row],[Wartość]],".",","))</f>
        <v>23842.54</v>
      </c>
      <c r="L19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79" s="2" t="str">
        <f>IF(Table14[[#This Row],[Umowa]]="","Poza umową","Z umowy")</f>
        <v>Z umowy</v>
      </c>
      <c r="N1979" s="2">
        <f>YEAR(Table14[[#This Row],[Data_Wystawienia]])</f>
        <v>2024</v>
      </c>
      <c r="O1979" s="2" t="str">
        <f>TEXT(Table14[[#This Row],[Data_Wystawienia]],"rrrr-mm")</f>
        <v>2024-01</v>
      </c>
      <c r="P1979" s="2">
        <v>1</v>
      </c>
    </row>
    <row r="1980" spans="1:16" x14ac:dyDescent="0.3">
      <c r="A1980" s="2" t="str">
        <f>TRIM(Table1[[#This Row],[Numer_FV]])</f>
        <v>FV/60/PP/1099/24</v>
      </c>
      <c r="B1980" s="2" t="str">
        <f>TRIM(Table1[[#This Row],[Numer_PZ]])</f>
        <v>PZ/801978</v>
      </c>
      <c r="C1980" s="2" t="str">
        <f>TRIM(Table1[[#This Row],[Dostawca]])</f>
        <v>PharmaPlus</v>
      </c>
      <c r="D1980" s="3">
        <v>45294</v>
      </c>
      <c r="E1980" s="4" t="s">
        <v>5841</v>
      </c>
      <c r="F1980" s="2" t="str">
        <f>TRIM(Table1[[#This Row],[Status]])</f>
        <v>Zaakceptowana</v>
      </c>
      <c r="G1980" s="2" t="str">
        <f>TRIM(Table1[[#This Row],[Typ]])</f>
        <v>Faktura VAT</v>
      </c>
      <c r="H1980" s="2" t="str">
        <f>TRIM(Table1[[#This Row],[Magazyn]])</f>
        <v>Apteka Szpitalna</v>
      </c>
      <c r="I1980" s="2" t="str">
        <f>TRIM(Table1[[#This Row],[Umowa]])</f>
        <v>UM-PHA-02</v>
      </c>
      <c r="J1980" s="2" t="b">
        <f>ISTEXT(Table14[[#This Row],[Data_Wystawienia]])</f>
        <v>0</v>
      </c>
      <c r="K1980" s="2">
        <f>VALUE(SUBSTITUTE(Table14[[#This Row],[Wartość]],".",","))</f>
        <v>19012.03</v>
      </c>
      <c r="L19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0" s="2" t="str">
        <f>IF(Table14[[#This Row],[Umowa]]="","Poza umową","Z umowy")</f>
        <v>Z umowy</v>
      </c>
      <c r="N1980" s="2">
        <f>YEAR(Table14[[#This Row],[Data_Wystawienia]])</f>
        <v>2024</v>
      </c>
      <c r="O1980" s="2" t="str">
        <f>TEXT(Table14[[#This Row],[Data_Wystawienia]],"rrrr-mm")</f>
        <v>2024-01</v>
      </c>
      <c r="P1980" s="2">
        <v>1</v>
      </c>
    </row>
    <row r="1981" spans="1:16" x14ac:dyDescent="0.3">
      <c r="A1981" s="2" t="str">
        <f>TRIM(Table1[[#This Row],[Numer_FV]])</f>
        <v>FV/CENFA/413376/24</v>
      </c>
      <c r="B1981" s="2" t="str">
        <f>TRIM(Table1[[#This Row],[Numer_PZ]])</f>
        <v>PZ/801979</v>
      </c>
      <c r="C1981" s="2" t="str">
        <f>TRIM(Table1[[#This Row],[Dostawca]])</f>
        <v>CentrumFarm</v>
      </c>
      <c r="D1981" s="3">
        <v>45295</v>
      </c>
      <c r="E1981" s="4" t="s">
        <v>5844</v>
      </c>
      <c r="F1981" s="2" t="str">
        <f>TRIM(Table1[[#This Row],[Status]])</f>
        <v>Zaakceptowana</v>
      </c>
      <c r="G1981" s="2" t="str">
        <f>TRIM(Table1[[#This Row],[Typ]])</f>
        <v>Faktura VAT</v>
      </c>
      <c r="H1981" s="2" t="str">
        <f>TRIM(Table1[[#This Row],[Magazyn]])</f>
        <v>Apteka Szpitalna</v>
      </c>
      <c r="I1981" s="2" t="str">
        <f>TRIM(Table1[[#This Row],[Umowa]])</f>
        <v>UM-CEN-02</v>
      </c>
      <c r="J1981" s="2" t="b">
        <f>ISTEXT(Table14[[#This Row],[Data_Wystawienia]])</f>
        <v>0</v>
      </c>
      <c r="K1981" s="2">
        <f>VALUE(SUBSTITUTE(Table14[[#This Row],[Wartość]],".",","))</f>
        <v>15700.46</v>
      </c>
      <c r="L19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1" s="2" t="str">
        <f>IF(Table14[[#This Row],[Umowa]]="","Poza umową","Z umowy")</f>
        <v>Z umowy</v>
      </c>
      <c r="N1981" s="2">
        <f>YEAR(Table14[[#This Row],[Data_Wystawienia]])</f>
        <v>2024</v>
      </c>
      <c r="O1981" s="2" t="str">
        <f>TEXT(Table14[[#This Row],[Data_Wystawienia]],"rrrr-mm")</f>
        <v>2024-01</v>
      </c>
      <c r="P1981" s="2">
        <v>1</v>
      </c>
    </row>
    <row r="1982" spans="1:16" x14ac:dyDescent="0.3">
      <c r="A1982" s="2" t="str">
        <f>TRIM(Table1[[#This Row],[Numer_FV]])</f>
        <v>FV/CENFA/525906/24</v>
      </c>
      <c r="B1982" s="2" t="str">
        <f>TRIM(Table1[[#This Row],[Numer_PZ]])</f>
        <v>PZ/801980</v>
      </c>
      <c r="C1982" s="2" t="str">
        <f>TRIM(Table1[[#This Row],[Dostawca]])</f>
        <v>CentrumFarm</v>
      </c>
      <c r="D1982" s="3">
        <v>45295</v>
      </c>
      <c r="E1982" s="4" t="s">
        <v>5847</v>
      </c>
      <c r="F1982" s="2" t="str">
        <f>TRIM(Table1[[#This Row],[Status]])</f>
        <v>Zaakceptowana</v>
      </c>
      <c r="G1982" s="2" t="str">
        <f>TRIM(Table1[[#This Row],[Typ]])</f>
        <v>Faktura VAT</v>
      </c>
      <c r="H1982" s="2" t="str">
        <f>TRIM(Table1[[#This Row],[Magazyn]])</f>
        <v>Apteka Szpitalna</v>
      </c>
      <c r="I1982" s="2" t="str">
        <f>TRIM(Table1[[#This Row],[Umowa]])</f>
        <v/>
      </c>
      <c r="J1982" s="2" t="b">
        <f>ISTEXT(Table14[[#This Row],[Data_Wystawienia]])</f>
        <v>0</v>
      </c>
      <c r="K1982" s="2">
        <f>VALUE(SUBSTITUTE(Table14[[#This Row],[Wartość]],".",","))</f>
        <v>14863.94</v>
      </c>
      <c r="L19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2" s="2" t="str">
        <f>IF(Table14[[#This Row],[Umowa]]="","Poza umową","Z umowy")</f>
        <v>Poza umową</v>
      </c>
      <c r="N1982" s="2">
        <f>YEAR(Table14[[#This Row],[Data_Wystawienia]])</f>
        <v>2024</v>
      </c>
      <c r="O1982" s="2" t="str">
        <f>TEXT(Table14[[#This Row],[Data_Wystawienia]],"rrrr-mm")</f>
        <v>2024-01</v>
      </c>
      <c r="P1982" s="2">
        <v>1</v>
      </c>
    </row>
    <row r="1983" spans="1:16" x14ac:dyDescent="0.3">
      <c r="A1983" s="2" t="str">
        <f>TRIM(Table1[[#This Row],[Numer_FV]])</f>
        <v>FV/4556/NOVA/24</v>
      </c>
      <c r="B1983" s="2" t="str">
        <f>TRIM(Table1[[#This Row],[Numer_PZ]])</f>
        <v>PZ/801981</v>
      </c>
      <c r="C1983" s="2" t="str">
        <f>TRIM(Table1[[#This Row],[Dostawca]])</f>
        <v>NovaLek</v>
      </c>
      <c r="D1983" s="3">
        <v>45296</v>
      </c>
      <c r="E1983" s="4" t="s">
        <v>5850</v>
      </c>
      <c r="F1983" s="2" t="str">
        <f>TRIM(Table1[[#This Row],[Status]])</f>
        <v>Zaakceptowana</v>
      </c>
      <c r="G1983" s="2" t="str">
        <f>TRIM(Table1[[#This Row],[Typ]])</f>
        <v>Faktura VAT</v>
      </c>
      <c r="H1983" s="2" t="str">
        <f>TRIM(Table1[[#This Row],[Magazyn]])</f>
        <v>Apteka Szpitalna</v>
      </c>
      <c r="I1983" s="2" t="str">
        <f>TRIM(Table1[[#This Row],[Umowa]])</f>
        <v>UM-NOV-02</v>
      </c>
      <c r="J1983" s="2" t="b">
        <f>ISTEXT(Table14[[#This Row],[Data_Wystawienia]])</f>
        <v>0</v>
      </c>
      <c r="K1983" s="2">
        <f>VALUE(SUBSTITUTE(Table14[[#This Row],[Wartość]],".",","))</f>
        <v>13300.32</v>
      </c>
      <c r="L19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3" s="2" t="str">
        <f>IF(Table14[[#This Row],[Umowa]]="","Poza umową","Z umowy")</f>
        <v>Z umowy</v>
      </c>
      <c r="N1983" s="2">
        <f>YEAR(Table14[[#This Row],[Data_Wystawienia]])</f>
        <v>2024</v>
      </c>
      <c r="O1983" s="2" t="str">
        <f>TEXT(Table14[[#This Row],[Data_Wystawienia]],"rrrr-mm")</f>
        <v>2024-01</v>
      </c>
      <c r="P1983" s="2">
        <v>1</v>
      </c>
    </row>
    <row r="1984" spans="1:16" x14ac:dyDescent="0.3">
      <c r="A1984" s="2" t="str">
        <f>TRIM(Table1[[#This Row],[Numer_FV]])</f>
        <v>FV/75/SAL/24</v>
      </c>
      <c r="B1984" s="2" t="str">
        <f>TRIM(Table1[[#This Row],[Numer_PZ]])</f>
        <v>PZ/801982</v>
      </c>
      <c r="C1984" s="2" t="str">
        <f>TRIM(Table1[[#This Row],[Dostawca]])</f>
        <v>SalusHurt</v>
      </c>
      <c r="D1984" s="3">
        <v>45296</v>
      </c>
      <c r="E1984" s="4" t="s">
        <v>5853</v>
      </c>
      <c r="F1984" s="2" t="str">
        <f>TRIM(Table1[[#This Row],[Status]])</f>
        <v>Zaakceptowana</v>
      </c>
      <c r="G1984" s="2" t="str">
        <f>TRIM(Table1[[#This Row],[Typ]])</f>
        <v>Faktura VAT</v>
      </c>
      <c r="H1984" s="2" t="str">
        <f>TRIM(Table1[[#This Row],[Magazyn]])</f>
        <v>Apteka Szpitalna</v>
      </c>
      <c r="I1984" s="2" t="str">
        <f>TRIM(Table1[[#This Row],[Umowa]])</f>
        <v>UM-SAL-02</v>
      </c>
      <c r="J1984" s="2" t="b">
        <f>ISTEXT(Table14[[#This Row],[Data_Wystawienia]])</f>
        <v>0</v>
      </c>
      <c r="K1984" s="2">
        <f>VALUE(SUBSTITUTE(Table14[[#This Row],[Wartość]],".",","))</f>
        <v>16978.560000000001</v>
      </c>
      <c r="L19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4" s="2" t="str">
        <f>IF(Table14[[#This Row],[Umowa]]="","Poza umową","Z umowy")</f>
        <v>Z umowy</v>
      </c>
      <c r="N1984" s="2">
        <f>YEAR(Table14[[#This Row],[Data_Wystawienia]])</f>
        <v>2024</v>
      </c>
      <c r="O1984" s="2" t="str">
        <f>TEXT(Table14[[#This Row],[Data_Wystawienia]],"rrrr-mm")</f>
        <v>2024-01</v>
      </c>
      <c r="P1984" s="2">
        <v>1</v>
      </c>
    </row>
    <row r="1985" spans="1:16" x14ac:dyDescent="0.3">
      <c r="A1985" s="2" t="str">
        <f>TRIM(Table1[[#This Row],[Numer_FV]])</f>
        <v>FV/POL/59787/2024</v>
      </c>
      <c r="B1985" s="2" t="str">
        <f>TRIM(Table1[[#This Row],[Numer_PZ]])</f>
        <v>PZ/801983</v>
      </c>
      <c r="C1985" s="2" t="str">
        <f>TRIM(Table1[[#This Row],[Dostawca]])</f>
        <v>Polmedica</v>
      </c>
      <c r="D1985" s="3">
        <v>45296</v>
      </c>
      <c r="E1985" s="4" t="s">
        <v>5856</v>
      </c>
      <c r="F1985" s="2" t="str">
        <f>TRIM(Table1[[#This Row],[Status]])</f>
        <v>Zaakceptowana</v>
      </c>
      <c r="G1985" s="2" t="str">
        <f>TRIM(Table1[[#This Row],[Typ]])</f>
        <v>Faktura VAT</v>
      </c>
      <c r="H1985" s="2" t="str">
        <f>TRIM(Table1[[#This Row],[Magazyn]])</f>
        <v>Apteka Szpitalna</v>
      </c>
      <c r="I1985" s="2" t="str">
        <f>TRIM(Table1[[#This Row],[Umowa]])</f>
        <v>UM-POL-02</v>
      </c>
      <c r="J1985" s="2" t="b">
        <f>ISTEXT(Table14[[#This Row],[Data_Wystawienia]])</f>
        <v>0</v>
      </c>
      <c r="K1985" s="2">
        <f>VALUE(SUBSTITUTE(Table14[[#This Row],[Wartość]],".",","))</f>
        <v>22714.46</v>
      </c>
      <c r="L19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5" s="2" t="str">
        <f>IF(Table14[[#This Row],[Umowa]]="","Poza umową","Z umowy")</f>
        <v>Z umowy</v>
      </c>
      <c r="N1985" s="2">
        <f>YEAR(Table14[[#This Row],[Data_Wystawienia]])</f>
        <v>2024</v>
      </c>
      <c r="O1985" s="2" t="str">
        <f>TEXT(Table14[[#This Row],[Data_Wystawienia]],"rrrr-mm")</f>
        <v>2024-01</v>
      </c>
      <c r="P1985" s="2">
        <v>1</v>
      </c>
    </row>
    <row r="1986" spans="1:16" x14ac:dyDescent="0.3">
      <c r="A1986" s="2" t="str">
        <f>TRIM(Table1[[#This Row],[Numer_FV]])</f>
        <v>FV/POL/79256/2024</v>
      </c>
      <c r="B1986" s="2" t="str">
        <f>TRIM(Table1[[#This Row],[Numer_PZ]])</f>
        <v>PZ/801984</v>
      </c>
      <c r="C1986" s="2" t="str">
        <f>TRIM(Table1[[#This Row],[Dostawca]])</f>
        <v>Polmedica</v>
      </c>
      <c r="D1986" s="3">
        <v>45296</v>
      </c>
      <c r="E1986" s="4" t="s">
        <v>5859</v>
      </c>
      <c r="F1986" s="2" t="str">
        <f>TRIM(Table1[[#This Row],[Status]])</f>
        <v>Zaakceptowana</v>
      </c>
      <c r="G1986" s="2" t="str">
        <f>TRIM(Table1[[#This Row],[Typ]])</f>
        <v>Korekta FV</v>
      </c>
      <c r="H1986" s="2" t="str">
        <f>TRIM(Table1[[#This Row],[Magazyn]])</f>
        <v>Apteka Szpitalna</v>
      </c>
      <c r="I1986" s="2" t="str">
        <f>TRIM(Table1[[#This Row],[Umowa]])</f>
        <v/>
      </c>
      <c r="J1986" s="2" t="b">
        <f>ISTEXT(Table14[[#This Row],[Data_Wystawienia]])</f>
        <v>0</v>
      </c>
      <c r="K1986" s="2">
        <f>VALUE(SUBSTITUTE(Table14[[#This Row],[Wartość]],".",","))</f>
        <v>-2676.91</v>
      </c>
      <c r="L19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6" s="2" t="str">
        <f>IF(Table14[[#This Row],[Umowa]]="","Poza umową","Z umowy")</f>
        <v>Poza umową</v>
      </c>
      <c r="N1986" s="2">
        <f>YEAR(Table14[[#This Row],[Data_Wystawienia]])</f>
        <v>2024</v>
      </c>
      <c r="O1986" s="2" t="str">
        <f>TEXT(Table14[[#This Row],[Data_Wystawienia]],"rrrr-mm")</f>
        <v>2024-01</v>
      </c>
      <c r="P1986" s="2">
        <v>1</v>
      </c>
    </row>
    <row r="1987" spans="1:16" x14ac:dyDescent="0.3">
      <c r="A1987" s="2" t="str">
        <f>TRIM(Table1[[#This Row],[Numer_FV]])</f>
        <v>FV/95/SAL/24</v>
      </c>
      <c r="B1987" s="2" t="str">
        <f>TRIM(Table1[[#This Row],[Numer_PZ]])</f>
        <v>PZ/801985</v>
      </c>
      <c r="C1987" s="2" t="str">
        <f>TRIM(Table1[[#This Row],[Dostawca]])</f>
        <v>SalusHurt</v>
      </c>
      <c r="D1987" s="3">
        <v>45297</v>
      </c>
      <c r="E1987" s="4" t="s">
        <v>5862</v>
      </c>
      <c r="F1987" s="2" t="str">
        <f>TRIM(Table1[[#This Row],[Status]])</f>
        <v>Zaakceptowana</v>
      </c>
      <c r="G1987" s="2" t="str">
        <f>TRIM(Table1[[#This Row],[Typ]])</f>
        <v>Faktura VAT</v>
      </c>
      <c r="H1987" s="2" t="str">
        <f>TRIM(Table1[[#This Row],[Magazyn]])</f>
        <v>Apteka Szpitalna</v>
      </c>
      <c r="I1987" s="2" t="str">
        <f>TRIM(Table1[[#This Row],[Umowa]])</f>
        <v>UM-SAL-02</v>
      </c>
      <c r="J1987" s="2" t="b">
        <f>ISTEXT(Table14[[#This Row],[Data_Wystawienia]])</f>
        <v>0</v>
      </c>
      <c r="K1987" s="2">
        <f>VALUE(SUBSTITUTE(Table14[[#This Row],[Wartość]],".",","))</f>
        <v>21554.09</v>
      </c>
      <c r="L19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7" s="2" t="str">
        <f>IF(Table14[[#This Row],[Umowa]]="","Poza umową","Z umowy")</f>
        <v>Z umowy</v>
      </c>
      <c r="N1987" s="2">
        <f>YEAR(Table14[[#This Row],[Data_Wystawienia]])</f>
        <v>2024</v>
      </c>
      <c r="O1987" s="2" t="str">
        <f>TEXT(Table14[[#This Row],[Data_Wystawienia]],"rrrr-mm")</f>
        <v>2024-01</v>
      </c>
      <c r="P1987" s="2">
        <v>1</v>
      </c>
    </row>
    <row r="1988" spans="1:16" x14ac:dyDescent="0.3">
      <c r="A1988" s="2" t="str">
        <f>TRIM(Table1[[#This Row],[Numer_FV]])</f>
        <v>FV/2066HM/24</v>
      </c>
      <c r="B1988" s="2" t="str">
        <f>TRIM(Table1[[#This Row],[Numer_PZ]])</f>
        <v>PZ/801986</v>
      </c>
      <c r="C1988" s="2" t="str">
        <f>TRIM(Table1[[#This Row],[Dostawca]])</f>
        <v>HurtMedix</v>
      </c>
      <c r="D1988" s="3">
        <v>45297</v>
      </c>
      <c r="E1988" s="4" t="s">
        <v>5865</v>
      </c>
      <c r="F1988" s="2" t="str">
        <f>TRIM(Table1[[#This Row],[Status]])</f>
        <v>Zaakceptowana</v>
      </c>
      <c r="G1988" s="2" t="str">
        <f>TRIM(Table1[[#This Row],[Typ]])</f>
        <v>Faktura VAT</v>
      </c>
      <c r="H1988" s="2" t="str">
        <f>TRIM(Table1[[#This Row],[Magazyn]])</f>
        <v>Apteka Szpitalna</v>
      </c>
      <c r="I1988" s="2" t="str">
        <f>TRIM(Table1[[#This Row],[Umowa]])</f>
        <v>UM-HUR-03</v>
      </c>
      <c r="J1988" s="2" t="b">
        <f>ISTEXT(Table14[[#This Row],[Data_Wystawienia]])</f>
        <v>0</v>
      </c>
      <c r="K1988" s="2">
        <f>VALUE(SUBSTITUTE(Table14[[#This Row],[Wartość]],".",","))</f>
        <v>17174.28</v>
      </c>
      <c r="L19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8" s="2" t="str">
        <f>IF(Table14[[#This Row],[Umowa]]="","Poza umową","Z umowy")</f>
        <v>Z umowy</v>
      </c>
      <c r="N1988" s="2">
        <f>YEAR(Table14[[#This Row],[Data_Wystawienia]])</f>
        <v>2024</v>
      </c>
      <c r="O1988" s="2" t="str">
        <f>TEXT(Table14[[#This Row],[Data_Wystawienia]],"rrrr-mm")</f>
        <v>2024-01</v>
      </c>
      <c r="P1988" s="2">
        <v>1</v>
      </c>
    </row>
    <row r="1989" spans="1:16" x14ac:dyDescent="0.3">
      <c r="A1989" s="2" t="str">
        <f>TRIM(Table1[[#This Row],[Numer_FV]])</f>
        <v>FV/POL/72556/2024</v>
      </c>
      <c r="B1989" s="2" t="str">
        <f>TRIM(Table1[[#This Row],[Numer_PZ]])</f>
        <v>PZ/801987</v>
      </c>
      <c r="C1989" s="2" t="str">
        <f>TRIM(Table1[[#This Row],[Dostawca]])</f>
        <v>Polmedica</v>
      </c>
      <c r="D1989" s="3">
        <v>45299</v>
      </c>
      <c r="E1989" s="4" t="s">
        <v>5868</v>
      </c>
      <c r="F1989" s="2" t="str">
        <f>TRIM(Table1[[#This Row],[Status]])</f>
        <v>Zaakceptowana</v>
      </c>
      <c r="G1989" s="2" t="str">
        <f>TRIM(Table1[[#This Row],[Typ]])</f>
        <v>Faktura VAT</v>
      </c>
      <c r="H1989" s="2" t="str">
        <f>TRIM(Table1[[#This Row],[Magazyn]])</f>
        <v>Apteka Szpitalna</v>
      </c>
      <c r="I1989" s="2" t="str">
        <f>TRIM(Table1[[#This Row],[Umowa]])</f>
        <v/>
      </c>
      <c r="J1989" s="2" t="b">
        <f>ISTEXT(Table14[[#This Row],[Data_Wystawienia]])</f>
        <v>0</v>
      </c>
      <c r="K1989" s="2">
        <f>VALUE(SUBSTITUTE(Table14[[#This Row],[Wartość]],".",","))</f>
        <v>10134.629999999999</v>
      </c>
      <c r="L19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89" s="2" t="str">
        <f>IF(Table14[[#This Row],[Umowa]]="","Poza umową","Z umowy")</f>
        <v>Poza umową</v>
      </c>
      <c r="N1989" s="2">
        <f>YEAR(Table14[[#This Row],[Data_Wystawienia]])</f>
        <v>2024</v>
      </c>
      <c r="O1989" s="2" t="str">
        <f>TEXT(Table14[[#This Row],[Data_Wystawienia]],"rrrr-mm")</f>
        <v>2024-01</v>
      </c>
      <c r="P1989" s="2">
        <v>1</v>
      </c>
    </row>
    <row r="1990" spans="1:16" x14ac:dyDescent="0.3">
      <c r="A1990" s="2" t="str">
        <f>TRIM(Table1[[#This Row],[Numer_FV]])</f>
        <v>FV/CENFA/978051/24</v>
      </c>
      <c r="B1990" s="2" t="str">
        <f>TRIM(Table1[[#This Row],[Numer_PZ]])</f>
        <v>PZ/801988</v>
      </c>
      <c r="C1990" s="2" t="str">
        <f>TRIM(Table1[[#This Row],[Dostawca]])</f>
        <v>CentrumFarm</v>
      </c>
      <c r="D1990" s="3">
        <v>45299</v>
      </c>
      <c r="E1990" s="4" t="s">
        <v>5871</v>
      </c>
      <c r="F1990" s="2" t="str">
        <f>TRIM(Table1[[#This Row],[Status]])</f>
        <v>Zaakceptowana</v>
      </c>
      <c r="G1990" s="2" t="str">
        <f>TRIM(Table1[[#This Row],[Typ]])</f>
        <v>Faktura VAT</v>
      </c>
      <c r="H1990" s="2" t="str">
        <f>TRIM(Table1[[#This Row],[Magazyn]])</f>
        <v>Apteka Szpitalna</v>
      </c>
      <c r="I1990" s="2" t="str">
        <f>TRIM(Table1[[#This Row],[Umowa]])</f>
        <v>UM-CEN-02</v>
      </c>
      <c r="J1990" s="2" t="b">
        <f>ISTEXT(Table14[[#This Row],[Data_Wystawienia]])</f>
        <v>0</v>
      </c>
      <c r="K1990" s="2">
        <f>VALUE(SUBSTITUTE(Table14[[#This Row],[Wartość]],".",","))</f>
        <v>9371.0499999999993</v>
      </c>
      <c r="L19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0" s="2" t="str">
        <f>IF(Table14[[#This Row],[Umowa]]="","Poza umową","Z umowy")</f>
        <v>Z umowy</v>
      </c>
      <c r="N1990" s="2">
        <f>YEAR(Table14[[#This Row],[Data_Wystawienia]])</f>
        <v>2024</v>
      </c>
      <c r="O1990" s="2" t="str">
        <f>TEXT(Table14[[#This Row],[Data_Wystawienia]],"rrrr-mm")</f>
        <v>2024-01</v>
      </c>
      <c r="P1990" s="2">
        <v>1</v>
      </c>
    </row>
    <row r="1991" spans="1:16" x14ac:dyDescent="0.3">
      <c r="A1991" s="2" t="str">
        <f>TRIM(Table1[[#This Row],[Numer_FV]])</f>
        <v>FV/M/5925/P/24</v>
      </c>
      <c r="B1991" s="2" t="str">
        <f>TRIM(Table1[[#This Row],[Numer_PZ]])</f>
        <v>PZ/801989</v>
      </c>
      <c r="C1991" s="2" t="str">
        <f>TRIM(Table1[[#This Row],[Dostawca]])</f>
        <v>MedicaPharm</v>
      </c>
      <c r="D1991" s="3">
        <v>45299</v>
      </c>
      <c r="E1991" s="4" t="s">
        <v>5874</v>
      </c>
      <c r="F1991" s="2" t="str">
        <f>TRIM(Table1[[#This Row],[Status]])</f>
        <v>Zaakceptowana</v>
      </c>
      <c r="G1991" s="2" t="str">
        <f>TRIM(Table1[[#This Row],[Typ]])</f>
        <v>Faktura VAT</v>
      </c>
      <c r="H1991" s="2" t="str">
        <f>TRIM(Table1[[#This Row],[Magazyn]])</f>
        <v>Apteka Szpitalna</v>
      </c>
      <c r="I1991" s="2" t="str">
        <f>TRIM(Table1[[#This Row],[Umowa]])</f>
        <v/>
      </c>
      <c r="J1991" s="2" t="b">
        <f>ISTEXT(Table14[[#This Row],[Data_Wystawienia]])</f>
        <v>0</v>
      </c>
      <c r="K1991" s="2">
        <f>VALUE(SUBSTITUTE(Table14[[#This Row],[Wartość]],".",","))</f>
        <v>6173.7</v>
      </c>
      <c r="L19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1" s="2" t="str">
        <f>IF(Table14[[#This Row],[Umowa]]="","Poza umową","Z umowy")</f>
        <v>Poza umową</v>
      </c>
      <c r="N1991" s="2">
        <f>YEAR(Table14[[#This Row],[Data_Wystawienia]])</f>
        <v>2024</v>
      </c>
      <c r="O1991" s="2" t="str">
        <f>TEXT(Table14[[#This Row],[Data_Wystawienia]],"rrrr-mm")</f>
        <v>2024-01</v>
      </c>
      <c r="P1991" s="2">
        <v>1</v>
      </c>
    </row>
    <row r="1992" spans="1:16" x14ac:dyDescent="0.3">
      <c r="A1992" s="2" t="str">
        <f>TRIM(Table1[[#This Row],[Numer_FV]])</f>
        <v>FV/86273/VDb/2024</v>
      </c>
      <c r="B1992" s="2" t="str">
        <f>TRIM(Table1[[#This Row],[Numer_PZ]])</f>
        <v>PZ/801990</v>
      </c>
      <c r="C1992" s="2" t="str">
        <f>TRIM(Table1[[#This Row],[Dostawca]])</f>
        <v>VitaDistrib</v>
      </c>
      <c r="D1992" s="3">
        <v>45299</v>
      </c>
      <c r="E1992" s="4" t="s">
        <v>5877</v>
      </c>
      <c r="F1992" s="2" t="str">
        <f>TRIM(Table1[[#This Row],[Status]])</f>
        <v>Zaakceptowana</v>
      </c>
      <c r="G1992" s="2" t="str">
        <f>TRIM(Table1[[#This Row],[Typ]])</f>
        <v>Faktura VAT</v>
      </c>
      <c r="H1992" s="2" t="str">
        <f>TRIM(Table1[[#This Row],[Magazyn]])</f>
        <v>Apteka Szpitalna</v>
      </c>
      <c r="I1992" s="2" t="str">
        <f>TRIM(Table1[[#This Row],[Umowa]])</f>
        <v/>
      </c>
      <c r="J1992" s="2" t="b">
        <f>ISTEXT(Table14[[#This Row],[Data_Wystawienia]])</f>
        <v>0</v>
      </c>
      <c r="K1992" s="2">
        <f>VALUE(SUBSTITUTE(Table14[[#This Row],[Wartość]],".",","))</f>
        <v>15865.16</v>
      </c>
      <c r="L19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2" s="2" t="str">
        <f>IF(Table14[[#This Row],[Umowa]]="","Poza umową","Z umowy")</f>
        <v>Poza umową</v>
      </c>
      <c r="N1992" s="2">
        <f>YEAR(Table14[[#This Row],[Data_Wystawienia]])</f>
        <v>2024</v>
      </c>
      <c r="O1992" s="2" t="str">
        <f>TEXT(Table14[[#This Row],[Data_Wystawienia]],"rrrr-mm")</f>
        <v>2024-01</v>
      </c>
      <c r="P1992" s="2">
        <v>1</v>
      </c>
    </row>
    <row r="1993" spans="1:16" x14ac:dyDescent="0.3">
      <c r="A1993" s="2" t="str">
        <f>TRIM(Table1[[#This Row],[Numer_FV]])</f>
        <v>FV/M/5472/P/24</v>
      </c>
      <c r="B1993" s="2" t="str">
        <f>TRIM(Table1[[#This Row],[Numer_PZ]])</f>
        <v>PZ/801991</v>
      </c>
      <c r="C1993" s="2" t="str">
        <f>TRIM(Table1[[#This Row],[Dostawca]])</f>
        <v>MedicaPharm</v>
      </c>
      <c r="D1993" s="3">
        <v>45299</v>
      </c>
      <c r="E1993" s="4" t="s">
        <v>5880</v>
      </c>
      <c r="F1993" s="2" t="str">
        <f>TRIM(Table1[[#This Row],[Status]])</f>
        <v>Zaakceptowana</v>
      </c>
      <c r="G1993" s="2" t="str">
        <f>TRIM(Table1[[#This Row],[Typ]])</f>
        <v>Faktura VAT</v>
      </c>
      <c r="H1993" s="2" t="str">
        <f>TRIM(Table1[[#This Row],[Magazyn]])</f>
        <v>Apteka Szpitalna</v>
      </c>
      <c r="I1993" s="2" t="str">
        <f>TRIM(Table1[[#This Row],[Umowa]])</f>
        <v>UM-MED-01</v>
      </c>
      <c r="J1993" s="2" t="b">
        <f>ISTEXT(Table14[[#This Row],[Data_Wystawienia]])</f>
        <v>0</v>
      </c>
      <c r="K1993" s="2">
        <f>VALUE(SUBSTITUTE(Table14[[#This Row],[Wartość]],".",","))</f>
        <v>19817.740000000002</v>
      </c>
      <c r="L19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3" s="2" t="str">
        <f>IF(Table14[[#This Row],[Umowa]]="","Poza umową","Z umowy")</f>
        <v>Z umowy</v>
      </c>
      <c r="N1993" s="2">
        <f>YEAR(Table14[[#This Row],[Data_Wystawienia]])</f>
        <v>2024</v>
      </c>
      <c r="O1993" s="2" t="str">
        <f>TEXT(Table14[[#This Row],[Data_Wystawienia]],"rrrr-mm")</f>
        <v>2024-01</v>
      </c>
      <c r="P1993" s="2">
        <v>1</v>
      </c>
    </row>
    <row r="1994" spans="1:16" x14ac:dyDescent="0.3">
      <c r="A1994" s="2" t="str">
        <f>TRIM(Table1[[#This Row],[Numer_FV]])</f>
        <v>FV/POL/16226/2024</v>
      </c>
      <c r="B1994" s="2" t="str">
        <f>TRIM(Table1[[#This Row],[Numer_PZ]])</f>
        <v>PZ/801992</v>
      </c>
      <c r="C1994" s="2" t="str">
        <f>TRIM(Table1[[#This Row],[Dostawca]])</f>
        <v>Polmedica</v>
      </c>
      <c r="D1994" s="3">
        <v>45300</v>
      </c>
      <c r="E1994" s="4" t="s">
        <v>5883</v>
      </c>
      <c r="F1994" s="2" t="str">
        <f>TRIM(Table1[[#This Row],[Status]])</f>
        <v>Zaakceptowana</v>
      </c>
      <c r="G1994" s="2" t="str">
        <f>TRIM(Table1[[#This Row],[Typ]])</f>
        <v>Faktura VAT</v>
      </c>
      <c r="H1994" s="2" t="str">
        <f>TRIM(Table1[[#This Row],[Magazyn]])</f>
        <v>Apteka Szpitalna</v>
      </c>
      <c r="I1994" s="2" t="str">
        <f>TRIM(Table1[[#This Row],[Umowa]])</f>
        <v>UM-POL-01</v>
      </c>
      <c r="J1994" s="2" t="b">
        <f>ISTEXT(Table14[[#This Row],[Data_Wystawienia]])</f>
        <v>0</v>
      </c>
      <c r="K1994" s="2">
        <f>VALUE(SUBSTITUTE(Table14[[#This Row],[Wartość]],".",","))</f>
        <v>9540.06</v>
      </c>
      <c r="L19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4" s="2" t="str">
        <f>IF(Table14[[#This Row],[Umowa]]="","Poza umową","Z umowy")</f>
        <v>Z umowy</v>
      </c>
      <c r="N1994" s="2">
        <f>YEAR(Table14[[#This Row],[Data_Wystawienia]])</f>
        <v>2024</v>
      </c>
      <c r="O1994" s="2" t="str">
        <f>TEXT(Table14[[#This Row],[Data_Wystawienia]],"rrrr-mm")</f>
        <v>2024-01</v>
      </c>
      <c r="P1994" s="2">
        <v>1</v>
      </c>
    </row>
    <row r="1995" spans="1:16" x14ac:dyDescent="0.3">
      <c r="A1995" s="2" t="str">
        <f>TRIM(Table1[[#This Row],[Numer_FV]])</f>
        <v>FV/51/PP/2619/24</v>
      </c>
      <c r="B1995" s="2" t="str">
        <f>TRIM(Table1[[#This Row],[Numer_PZ]])</f>
        <v>PZ/801993</v>
      </c>
      <c r="C1995" s="2" t="str">
        <f>TRIM(Table1[[#This Row],[Dostawca]])</f>
        <v>PharmaPlus</v>
      </c>
      <c r="D1995" s="3">
        <v>45300</v>
      </c>
      <c r="E1995" s="4" t="s">
        <v>5886</v>
      </c>
      <c r="F1995" s="2" t="str">
        <f>TRIM(Table1[[#This Row],[Status]])</f>
        <v>Zaakceptowana</v>
      </c>
      <c r="G1995" s="2" t="str">
        <f>TRIM(Table1[[#This Row],[Typ]])</f>
        <v>Faktura VAT</v>
      </c>
      <c r="H1995" s="2" t="str">
        <f>TRIM(Table1[[#This Row],[Magazyn]])</f>
        <v>Apteka Szpitalna</v>
      </c>
      <c r="I1995" s="2" t="str">
        <f>TRIM(Table1[[#This Row],[Umowa]])</f>
        <v/>
      </c>
      <c r="J1995" s="2" t="b">
        <f>ISTEXT(Table14[[#This Row],[Data_Wystawienia]])</f>
        <v>0</v>
      </c>
      <c r="K1995" s="2">
        <f>VALUE(SUBSTITUTE(Table14[[#This Row],[Wartość]],".",","))</f>
        <v>8299.5499999999993</v>
      </c>
      <c r="L19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5" s="2" t="str">
        <f>IF(Table14[[#This Row],[Umowa]]="","Poza umową","Z umowy")</f>
        <v>Poza umową</v>
      </c>
      <c r="N1995" s="2">
        <f>YEAR(Table14[[#This Row],[Data_Wystawienia]])</f>
        <v>2024</v>
      </c>
      <c r="O1995" s="2" t="str">
        <f>TEXT(Table14[[#This Row],[Data_Wystawienia]],"rrrr-mm")</f>
        <v>2024-01</v>
      </c>
      <c r="P1995" s="2">
        <v>1</v>
      </c>
    </row>
    <row r="1996" spans="1:16" x14ac:dyDescent="0.3">
      <c r="A1996" s="2" t="str">
        <f>TRIM(Table1[[#This Row],[Numer_FV]])</f>
        <v>FV/89/SAL/24</v>
      </c>
      <c r="B1996" s="2" t="str">
        <f>TRIM(Table1[[#This Row],[Numer_PZ]])</f>
        <v>PZ/801994</v>
      </c>
      <c r="C1996" s="2" t="str">
        <f>TRIM(Table1[[#This Row],[Dostawca]])</f>
        <v>SalusHurt</v>
      </c>
      <c r="D1996" s="3">
        <v>45301</v>
      </c>
      <c r="E1996" s="4" t="s">
        <v>5888</v>
      </c>
      <c r="F1996" s="2" t="str">
        <f>TRIM(Table1[[#This Row],[Status]])</f>
        <v>Zaakceptowana</v>
      </c>
      <c r="G1996" s="2" t="str">
        <f>TRIM(Table1[[#This Row],[Typ]])</f>
        <v>Faktura VAT</v>
      </c>
      <c r="H1996" s="2" t="str">
        <f>TRIM(Table1[[#This Row],[Magazyn]])</f>
        <v>Apteka Szpitalna</v>
      </c>
      <c r="I1996" s="2" t="str">
        <f>TRIM(Table1[[#This Row],[Umowa]])</f>
        <v>UM-SAL-02</v>
      </c>
      <c r="J1996" s="2" t="b">
        <f>ISTEXT(Table14[[#This Row],[Data_Wystawienia]])</f>
        <v>0</v>
      </c>
      <c r="K1996" s="2">
        <f>VALUE(SUBSTITUTE(Table14[[#This Row],[Wartość]],".",","))</f>
        <v>10260.01</v>
      </c>
      <c r="L19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6" s="2" t="str">
        <f>IF(Table14[[#This Row],[Umowa]]="","Poza umową","Z umowy")</f>
        <v>Z umowy</v>
      </c>
      <c r="N1996" s="2">
        <f>YEAR(Table14[[#This Row],[Data_Wystawienia]])</f>
        <v>2024</v>
      </c>
      <c r="O1996" s="2" t="str">
        <f>TEXT(Table14[[#This Row],[Data_Wystawienia]],"rrrr-mm")</f>
        <v>2024-01</v>
      </c>
      <c r="P1996" s="2">
        <v>1</v>
      </c>
    </row>
    <row r="1997" spans="1:16" x14ac:dyDescent="0.3">
      <c r="A1997" s="2" t="str">
        <f>TRIM(Table1[[#This Row],[Numer_FV]])</f>
        <v>FV/M/9870/P/24</v>
      </c>
      <c r="B1997" s="2" t="str">
        <f>TRIM(Table1[[#This Row],[Numer_PZ]])</f>
        <v>PZ/801995</v>
      </c>
      <c r="C1997" s="2" t="str">
        <f>TRIM(Table1[[#This Row],[Dostawca]])</f>
        <v>MedicaPharm</v>
      </c>
      <c r="D1997" s="3">
        <v>45301</v>
      </c>
      <c r="E1997" s="4" t="s">
        <v>5891</v>
      </c>
      <c r="F1997" s="2" t="str">
        <f>TRIM(Table1[[#This Row],[Status]])</f>
        <v>Zaakceptowana</v>
      </c>
      <c r="G1997" s="2" t="str">
        <f>TRIM(Table1[[#This Row],[Typ]])</f>
        <v>Faktura VAT</v>
      </c>
      <c r="H1997" s="2" t="str">
        <f>TRIM(Table1[[#This Row],[Magazyn]])</f>
        <v>Apteka Szpitalna</v>
      </c>
      <c r="I1997" s="2" t="str">
        <f>TRIM(Table1[[#This Row],[Umowa]])</f>
        <v>UM-MED-02</v>
      </c>
      <c r="J1997" s="2" t="b">
        <f>ISTEXT(Table14[[#This Row],[Data_Wystawienia]])</f>
        <v>0</v>
      </c>
      <c r="K1997" s="2">
        <f>VALUE(SUBSTITUTE(Table14[[#This Row],[Wartość]],".",","))</f>
        <v>12914.29</v>
      </c>
      <c r="L19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7" s="2" t="str">
        <f>IF(Table14[[#This Row],[Umowa]]="","Poza umową","Z umowy")</f>
        <v>Z umowy</v>
      </c>
      <c r="N1997" s="2">
        <f>YEAR(Table14[[#This Row],[Data_Wystawienia]])</f>
        <v>2024</v>
      </c>
      <c r="O1997" s="2" t="str">
        <f>TEXT(Table14[[#This Row],[Data_Wystawienia]],"rrrr-mm")</f>
        <v>2024-01</v>
      </c>
      <c r="P1997" s="2">
        <v>1</v>
      </c>
    </row>
    <row r="1998" spans="1:16" x14ac:dyDescent="0.3">
      <c r="A1998" s="2" t="str">
        <f>TRIM(Table1[[#This Row],[Numer_FV]])</f>
        <v>FV/8484HM/24</v>
      </c>
      <c r="B1998" s="2" t="str">
        <f>TRIM(Table1[[#This Row],[Numer_PZ]])</f>
        <v>PZ/801996</v>
      </c>
      <c r="C1998" s="2" t="str">
        <f>TRIM(Table1[[#This Row],[Dostawca]])</f>
        <v>HurtMedix</v>
      </c>
      <c r="D1998" s="3">
        <v>45301</v>
      </c>
      <c r="E1998" s="4" t="s">
        <v>5894</v>
      </c>
      <c r="F1998" s="2" t="str">
        <f>TRIM(Table1[[#This Row],[Status]])</f>
        <v>Zaakceptowana</v>
      </c>
      <c r="G1998" s="2" t="str">
        <f>TRIM(Table1[[#This Row],[Typ]])</f>
        <v>Faktura VAT</v>
      </c>
      <c r="H1998" s="2" t="str">
        <f>TRIM(Table1[[#This Row],[Magazyn]])</f>
        <v>Apteka Szpitalna</v>
      </c>
      <c r="I1998" s="2" t="str">
        <f>TRIM(Table1[[#This Row],[Umowa]])</f>
        <v>UM-HUR-03</v>
      </c>
      <c r="J1998" s="2" t="b">
        <f>ISTEXT(Table14[[#This Row],[Data_Wystawienia]])</f>
        <v>0</v>
      </c>
      <c r="K1998" s="2">
        <f>VALUE(SUBSTITUTE(Table14[[#This Row],[Wartość]],".",","))</f>
        <v>9046.4500000000007</v>
      </c>
      <c r="L19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8" s="2" t="str">
        <f>IF(Table14[[#This Row],[Umowa]]="","Poza umową","Z umowy")</f>
        <v>Z umowy</v>
      </c>
      <c r="N1998" s="2">
        <f>YEAR(Table14[[#This Row],[Data_Wystawienia]])</f>
        <v>2024</v>
      </c>
      <c r="O1998" s="2" t="str">
        <f>TEXT(Table14[[#This Row],[Data_Wystawienia]],"rrrr-mm")</f>
        <v>2024-01</v>
      </c>
      <c r="P1998" s="2">
        <v>1</v>
      </c>
    </row>
    <row r="1999" spans="1:16" x14ac:dyDescent="0.3">
      <c r="A1999" s="2" t="str">
        <f>TRIM(Table1[[#This Row],[Numer_FV]])</f>
        <v>FV/M/3812/P/24</v>
      </c>
      <c r="B1999" s="2" t="str">
        <f>TRIM(Table1[[#This Row],[Numer_PZ]])</f>
        <v>PZ/801997</v>
      </c>
      <c r="C1999" s="2" t="str">
        <f>TRIM(Table1[[#This Row],[Dostawca]])</f>
        <v>MedicaPharm</v>
      </c>
      <c r="D1999" s="3">
        <v>45301</v>
      </c>
      <c r="E1999" s="4" t="s">
        <v>5897</v>
      </c>
      <c r="F1999" s="2" t="str">
        <f>TRIM(Table1[[#This Row],[Status]])</f>
        <v>Zaakceptowana</v>
      </c>
      <c r="G1999" s="2" t="str">
        <f>TRIM(Table1[[#This Row],[Typ]])</f>
        <v>Faktura VAT</v>
      </c>
      <c r="H1999" s="2" t="str">
        <f>TRIM(Table1[[#This Row],[Magazyn]])</f>
        <v>Apteka Szpitalna</v>
      </c>
      <c r="I1999" s="2" t="str">
        <f>TRIM(Table1[[#This Row],[Umowa]])</f>
        <v>UM-MED-02</v>
      </c>
      <c r="J1999" s="2" t="b">
        <f>ISTEXT(Table14[[#This Row],[Data_Wystawienia]])</f>
        <v>0</v>
      </c>
      <c r="K1999" s="2">
        <f>VALUE(SUBSTITUTE(Table14[[#This Row],[Wartość]],".",","))</f>
        <v>15132.42</v>
      </c>
      <c r="L19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1999" s="2" t="str">
        <f>IF(Table14[[#This Row],[Umowa]]="","Poza umową","Z umowy")</f>
        <v>Z umowy</v>
      </c>
      <c r="N1999" s="2">
        <f>YEAR(Table14[[#This Row],[Data_Wystawienia]])</f>
        <v>2024</v>
      </c>
      <c r="O1999" s="2" t="str">
        <f>TEXT(Table14[[#This Row],[Data_Wystawienia]],"rrrr-mm")</f>
        <v>2024-01</v>
      </c>
      <c r="P1999" s="2">
        <v>1</v>
      </c>
    </row>
    <row r="2000" spans="1:16" x14ac:dyDescent="0.3">
      <c r="A2000" s="2" t="str">
        <f>TRIM(Table1[[#This Row],[Numer_FV]])</f>
        <v>FV/POL/63014/2024</v>
      </c>
      <c r="B2000" s="2" t="str">
        <f>TRIM(Table1[[#This Row],[Numer_PZ]])</f>
        <v>PZ/801998</v>
      </c>
      <c r="C2000" s="2" t="str">
        <f>TRIM(Table1[[#This Row],[Dostawca]])</f>
        <v>Polmedica</v>
      </c>
      <c r="D2000" s="3">
        <v>45302</v>
      </c>
      <c r="E2000" s="4" t="s">
        <v>5900</v>
      </c>
      <c r="F2000" s="2" t="str">
        <f>TRIM(Table1[[#This Row],[Status]])</f>
        <v>Zaakceptowana</v>
      </c>
      <c r="G2000" s="2" t="str">
        <f>TRIM(Table1[[#This Row],[Typ]])</f>
        <v>Faktura VAT</v>
      </c>
      <c r="H2000" s="2" t="str">
        <f>TRIM(Table1[[#This Row],[Magazyn]])</f>
        <v>Apteka Szpitalna</v>
      </c>
      <c r="I2000" s="2" t="str">
        <f>TRIM(Table1[[#This Row],[Umowa]])</f>
        <v>UM-POL-02</v>
      </c>
      <c r="J2000" s="2" t="b">
        <f>ISTEXT(Table14[[#This Row],[Data_Wystawienia]])</f>
        <v>0</v>
      </c>
      <c r="K2000" s="2">
        <f>VALUE(SUBSTITUTE(Table14[[#This Row],[Wartość]],".",","))</f>
        <v>8513.33</v>
      </c>
      <c r="L20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0" s="2" t="str">
        <f>IF(Table14[[#This Row],[Umowa]]="","Poza umową","Z umowy")</f>
        <v>Z umowy</v>
      </c>
      <c r="N2000" s="2">
        <f>YEAR(Table14[[#This Row],[Data_Wystawienia]])</f>
        <v>2024</v>
      </c>
      <c r="O2000" s="2" t="str">
        <f>TEXT(Table14[[#This Row],[Data_Wystawienia]],"rrrr-mm")</f>
        <v>2024-01</v>
      </c>
      <c r="P2000" s="2">
        <v>1</v>
      </c>
    </row>
    <row r="2001" spans="1:16" x14ac:dyDescent="0.3">
      <c r="A2001" s="2" t="str">
        <f>TRIM(Table1[[#This Row],[Numer_FV]])</f>
        <v>FV/4653HM/24</v>
      </c>
      <c r="B2001" s="2" t="str">
        <f>TRIM(Table1[[#This Row],[Numer_PZ]])</f>
        <v>PZ/801999</v>
      </c>
      <c r="C2001" s="2" t="str">
        <f>TRIM(Table1[[#This Row],[Dostawca]])</f>
        <v>HurtMedix</v>
      </c>
      <c r="D2001" s="3">
        <v>45303</v>
      </c>
      <c r="E2001" s="4" t="s">
        <v>5903</v>
      </c>
      <c r="F2001" s="2" t="str">
        <f>TRIM(Table1[[#This Row],[Status]])</f>
        <v>Zaakceptowana</v>
      </c>
      <c r="G2001" s="2" t="str">
        <f>TRIM(Table1[[#This Row],[Typ]])</f>
        <v>Faktura VAT</v>
      </c>
      <c r="H2001" s="2" t="str">
        <f>TRIM(Table1[[#This Row],[Magazyn]])</f>
        <v>Apteka Szpitalna</v>
      </c>
      <c r="I2001" s="2" t="str">
        <f>TRIM(Table1[[#This Row],[Umowa]])</f>
        <v>UM-HUR-03</v>
      </c>
      <c r="J2001" s="2" t="b">
        <f>ISTEXT(Table14[[#This Row],[Data_Wystawienia]])</f>
        <v>0</v>
      </c>
      <c r="K2001" s="2">
        <f>VALUE(SUBSTITUTE(Table14[[#This Row],[Wartość]],".",","))</f>
        <v>18159.71</v>
      </c>
      <c r="L20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1" s="2" t="str">
        <f>IF(Table14[[#This Row],[Umowa]]="","Poza umową","Z umowy")</f>
        <v>Z umowy</v>
      </c>
      <c r="N2001" s="2">
        <f>YEAR(Table14[[#This Row],[Data_Wystawienia]])</f>
        <v>2024</v>
      </c>
      <c r="O2001" s="2" t="str">
        <f>TEXT(Table14[[#This Row],[Data_Wystawienia]],"rrrr-mm")</f>
        <v>2024-01</v>
      </c>
      <c r="P2001" s="2">
        <v>1</v>
      </c>
    </row>
    <row r="2002" spans="1:16" x14ac:dyDescent="0.3">
      <c r="A2002" s="2" t="str">
        <f>TRIM(Table1[[#This Row],[Numer_FV]])</f>
        <v>FV/39492/VDb/2024</v>
      </c>
      <c r="B2002" s="2" t="str">
        <f>TRIM(Table1[[#This Row],[Numer_PZ]])</f>
        <v>PZ/802000</v>
      </c>
      <c r="C2002" s="2" t="str">
        <f>TRIM(Table1[[#This Row],[Dostawca]])</f>
        <v>VitaDistrib</v>
      </c>
      <c r="D2002" s="3">
        <v>45303</v>
      </c>
      <c r="E2002" s="4" t="s">
        <v>5906</v>
      </c>
      <c r="F2002" s="2" t="str">
        <f>TRIM(Table1[[#This Row],[Status]])</f>
        <v>Zaakceptowana</v>
      </c>
      <c r="G2002" s="2" t="str">
        <f>TRIM(Table1[[#This Row],[Typ]])</f>
        <v>Faktura VAT</v>
      </c>
      <c r="H2002" s="2" t="str">
        <f>TRIM(Table1[[#This Row],[Magazyn]])</f>
        <v>Apteka Szpitalna</v>
      </c>
      <c r="I2002" s="2" t="str">
        <f>TRIM(Table1[[#This Row],[Umowa]])</f>
        <v>UM-VIT-01</v>
      </c>
      <c r="J2002" s="2" t="b">
        <f>ISTEXT(Table14[[#This Row],[Data_Wystawienia]])</f>
        <v>0</v>
      </c>
      <c r="K2002" s="2">
        <f>VALUE(SUBSTITUTE(Table14[[#This Row],[Wartość]],".",","))</f>
        <v>7769.41</v>
      </c>
      <c r="L20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2" s="2" t="str">
        <f>IF(Table14[[#This Row],[Umowa]]="","Poza umową","Z umowy")</f>
        <v>Z umowy</v>
      </c>
      <c r="N2002" s="2">
        <f>YEAR(Table14[[#This Row],[Data_Wystawienia]])</f>
        <v>2024</v>
      </c>
      <c r="O2002" s="2" t="str">
        <f>TEXT(Table14[[#This Row],[Data_Wystawienia]],"rrrr-mm")</f>
        <v>2024-01</v>
      </c>
      <c r="P2002" s="2">
        <v>1</v>
      </c>
    </row>
    <row r="2003" spans="1:16" x14ac:dyDescent="0.3">
      <c r="A2003" s="2" t="str">
        <f>TRIM(Table1[[#This Row],[Numer_FV]])</f>
        <v>FV/CENFA/123539/24</v>
      </c>
      <c r="B2003" s="2" t="str">
        <f>TRIM(Table1[[#This Row],[Numer_PZ]])</f>
        <v>PZ/802001</v>
      </c>
      <c r="C2003" s="2" t="str">
        <f>TRIM(Table1[[#This Row],[Dostawca]])</f>
        <v>CentrumFarm</v>
      </c>
      <c r="D2003" s="3">
        <v>45303</v>
      </c>
      <c r="E2003" s="4" t="s">
        <v>5909</v>
      </c>
      <c r="F2003" s="2" t="str">
        <f>TRIM(Table1[[#This Row],[Status]])</f>
        <v>Zaakceptowana</v>
      </c>
      <c r="G2003" s="2" t="str">
        <f>TRIM(Table1[[#This Row],[Typ]])</f>
        <v>Korekta FV</v>
      </c>
      <c r="H2003" s="2" t="str">
        <f>TRIM(Table1[[#This Row],[Magazyn]])</f>
        <v>Apteka Szpitalna</v>
      </c>
      <c r="I2003" s="2" t="str">
        <f>TRIM(Table1[[#This Row],[Umowa]])</f>
        <v/>
      </c>
      <c r="J2003" s="2" t="b">
        <f>ISTEXT(Table14[[#This Row],[Data_Wystawienia]])</f>
        <v>0</v>
      </c>
      <c r="K2003" s="2">
        <f>VALUE(SUBSTITUTE(Table14[[#This Row],[Wartość]],".",","))</f>
        <v>-1292.92</v>
      </c>
      <c r="L20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3" s="2" t="str">
        <f>IF(Table14[[#This Row],[Umowa]]="","Poza umową","Z umowy")</f>
        <v>Poza umową</v>
      </c>
      <c r="N2003" s="2">
        <f>YEAR(Table14[[#This Row],[Data_Wystawienia]])</f>
        <v>2024</v>
      </c>
      <c r="O2003" s="2" t="str">
        <f>TEXT(Table14[[#This Row],[Data_Wystawienia]],"rrrr-mm")</f>
        <v>2024-01</v>
      </c>
      <c r="P2003" s="2">
        <v>1</v>
      </c>
    </row>
    <row r="2004" spans="1:16" x14ac:dyDescent="0.3">
      <c r="A2004" s="2" t="str">
        <f>TRIM(Table1[[#This Row],[Numer_FV]])</f>
        <v>FV/12/SAL/24</v>
      </c>
      <c r="B2004" s="2" t="str">
        <f>TRIM(Table1[[#This Row],[Numer_PZ]])</f>
        <v>PZ/802002</v>
      </c>
      <c r="C2004" s="2" t="str">
        <f>TRIM(Table1[[#This Row],[Dostawca]])</f>
        <v>SalusHurt</v>
      </c>
      <c r="D2004" s="3">
        <v>45304</v>
      </c>
      <c r="E2004" s="4" t="s">
        <v>5912</v>
      </c>
      <c r="F2004" s="2" t="str">
        <f>TRIM(Table1[[#This Row],[Status]])</f>
        <v>Zaakceptowana</v>
      </c>
      <c r="G2004" s="2" t="str">
        <f>TRIM(Table1[[#This Row],[Typ]])</f>
        <v>Korekta FV</v>
      </c>
      <c r="H2004" s="2" t="str">
        <f>TRIM(Table1[[#This Row],[Magazyn]])</f>
        <v>Apteka Szpitalna</v>
      </c>
      <c r="I2004" s="2" t="str">
        <f>TRIM(Table1[[#This Row],[Umowa]])</f>
        <v>UM-SAL-01</v>
      </c>
      <c r="J2004" s="2" t="b">
        <f>ISTEXT(Table14[[#This Row],[Data_Wystawienia]])</f>
        <v>0</v>
      </c>
      <c r="K2004" s="2">
        <f>VALUE(SUBSTITUTE(Table14[[#This Row],[Wartość]],".",","))</f>
        <v>-740.9</v>
      </c>
      <c r="L20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4" s="2" t="str">
        <f>IF(Table14[[#This Row],[Umowa]]="","Poza umową","Z umowy")</f>
        <v>Z umowy</v>
      </c>
      <c r="N2004" s="2">
        <f>YEAR(Table14[[#This Row],[Data_Wystawienia]])</f>
        <v>2024</v>
      </c>
      <c r="O2004" s="2" t="str">
        <f>TEXT(Table14[[#This Row],[Data_Wystawienia]],"rrrr-mm")</f>
        <v>2024-01</v>
      </c>
      <c r="P2004" s="2">
        <v>1</v>
      </c>
    </row>
    <row r="2005" spans="1:16" x14ac:dyDescent="0.3">
      <c r="A2005" s="2" t="str">
        <f>TRIM(Table1[[#This Row],[Numer_FV]])</f>
        <v>FV/39912/VDb/2024</v>
      </c>
      <c r="B2005" s="2" t="str">
        <f>TRIM(Table1[[#This Row],[Numer_PZ]])</f>
        <v>PZ/802003</v>
      </c>
      <c r="C2005" s="2" t="str">
        <f>TRIM(Table1[[#This Row],[Dostawca]])</f>
        <v>VitaDistrib</v>
      </c>
      <c r="D2005" s="3">
        <v>45304</v>
      </c>
      <c r="E2005" s="4" t="s">
        <v>5915</v>
      </c>
      <c r="F2005" s="2" t="str">
        <f>TRIM(Table1[[#This Row],[Status]])</f>
        <v>Zaakceptowana</v>
      </c>
      <c r="G2005" s="2" t="str">
        <f>TRIM(Table1[[#This Row],[Typ]])</f>
        <v>Faktura VAT</v>
      </c>
      <c r="H2005" s="2" t="str">
        <f>TRIM(Table1[[#This Row],[Magazyn]])</f>
        <v>Apteka Szpitalna</v>
      </c>
      <c r="I2005" s="2" t="str">
        <f>TRIM(Table1[[#This Row],[Umowa]])</f>
        <v/>
      </c>
      <c r="J2005" s="2" t="b">
        <f>ISTEXT(Table14[[#This Row],[Data_Wystawienia]])</f>
        <v>0</v>
      </c>
      <c r="K2005" s="2">
        <f>VALUE(SUBSTITUTE(Table14[[#This Row],[Wartość]],".",","))</f>
        <v>17624.64</v>
      </c>
      <c r="L20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5" s="2" t="str">
        <f>IF(Table14[[#This Row],[Umowa]]="","Poza umową","Z umowy")</f>
        <v>Poza umową</v>
      </c>
      <c r="N2005" s="2">
        <f>YEAR(Table14[[#This Row],[Data_Wystawienia]])</f>
        <v>2024</v>
      </c>
      <c r="O2005" s="2" t="str">
        <f>TEXT(Table14[[#This Row],[Data_Wystawienia]],"rrrr-mm")</f>
        <v>2024-01</v>
      </c>
      <c r="P2005" s="2">
        <v>1</v>
      </c>
    </row>
    <row r="2006" spans="1:16" x14ac:dyDescent="0.3">
      <c r="A2006" s="2" t="str">
        <f>TRIM(Table1[[#This Row],[Numer_FV]])</f>
        <v>FV/M/4560/P/24</v>
      </c>
      <c r="B2006" s="2" t="str">
        <f>TRIM(Table1[[#This Row],[Numer_PZ]])</f>
        <v>PZ/802004</v>
      </c>
      <c r="C2006" s="2" t="str">
        <f>TRIM(Table1[[#This Row],[Dostawca]])</f>
        <v>MedicaPharm</v>
      </c>
      <c r="D2006" s="3">
        <v>45304</v>
      </c>
      <c r="E2006" s="4" t="s">
        <v>5918</v>
      </c>
      <c r="F2006" s="2" t="str">
        <f>TRIM(Table1[[#This Row],[Status]])</f>
        <v>Zaakceptowana</v>
      </c>
      <c r="G2006" s="2" t="str">
        <f>TRIM(Table1[[#This Row],[Typ]])</f>
        <v>Faktura VAT</v>
      </c>
      <c r="H2006" s="2" t="str">
        <f>TRIM(Table1[[#This Row],[Magazyn]])</f>
        <v>Apteka Szpitalna</v>
      </c>
      <c r="I2006" s="2" t="str">
        <f>TRIM(Table1[[#This Row],[Umowa]])</f>
        <v>UM-MED-01</v>
      </c>
      <c r="J2006" s="2" t="b">
        <f>ISTEXT(Table14[[#This Row],[Data_Wystawienia]])</f>
        <v>0</v>
      </c>
      <c r="K2006" s="2">
        <f>VALUE(SUBSTITUTE(Table14[[#This Row],[Wartość]],".",","))</f>
        <v>21688.03</v>
      </c>
      <c r="L20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6" s="2" t="str">
        <f>IF(Table14[[#This Row],[Umowa]]="","Poza umową","Z umowy")</f>
        <v>Z umowy</v>
      </c>
      <c r="N2006" s="2">
        <f>YEAR(Table14[[#This Row],[Data_Wystawienia]])</f>
        <v>2024</v>
      </c>
      <c r="O2006" s="2" t="str">
        <f>TEXT(Table14[[#This Row],[Data_Wystawienia]],"rrrr-mm")</f>
        <v>2024-01</v>
      </c>
      <c r="P2006" s="2">
        <v>1</v>
      </c>
    </row>
    <row r="2007" spans="1:16" x14ac:dyDescent="0.3">
      <c r="A2007" s="2" t="str">
        <f>TRIM(Table1[[#This Row],[Numer_FV]])</f>
        <v>FV/14787/VDb/2024</v>
      </c>
      <c r="B2007" s="2" t="str">
        <f>TRIM(Table1[[#This Row],[Numer_PZ]])</f>
        <v>PZ/802005</v>
      </c>
      <c r="C2007" s="2" t="str">
        <f>TRIM(Table1[[#This Row],[Dostawca]])</f>
        <v>VitaDistrib</v>
      </c>
      <c r="D2007" s="3">
        <v>45304</v>
      </c>
      <c r="E2007" s="4" t="s">
        <v>5921</v>
      </c>
      <c r="F2007" s="2" t="str">
        <f>TRIM(Table1[[#This Row],[Status]])</f>
        <v>Zaakceptowana</v>
      </c>
      <c r="G2007" s="2" t="str">
        <f>TRIM(Table1[[#This Row],[Typ]])</f>
        <v>Korekta FV</v>
      </c>
      <c r="H2007" s="2" t="str">
        <f>TRIM(Table1[[#This Row],[Magazyn]])</f>
        <v>Apteka Szpitalna</v>
      </c>
      <c r="I2007" s="2" t="str">
        <f>TRIM(Table1[[#This Row],[Umowa]])</f>
        <v>UM-VIT-01</v>
      </c>
      <c r="J2007" s="2" t="b">
        <f>ISTEXT(Table14[[#This Row],[Data_Wystawienia]])</f>
        <v>0</v>
      </c>
      <c r="K2007" s="2">
        <f>VALUE(SUBSTITUTE(Table14[[#This Row],[Wartość]],".",","))</f>
        <v>-671.36</v>
      </c>
      <c r="L20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7" s="2" t="str">
        <f>IF(Table14[[#This Row],[Umowa]]="","Poza umową","Z umowy")</f>
        <v>Z umowy</v>
      </c>
      <c r="N2007" s="2">
        <f>YEAR(Table14[[#This Row],[Data_Wystawienia]])</f>
        <v>2024</v>
      </c>
      <c r="O2007" s="2" t="str">
        <f>TEXT(Table14[[#This Row],[Data_Wystawienia]],"rrrr-mm")</f>
        <v>2024-01</v>
      </c>
      <c r="P2007" s="2">
        <v>1</v>
      </c>
    </row>
    <row r="2008" spans="1:16" x14ac:dyDescent="0.3">
      <c r="A2008" s="2" t="str">
        <f>TRIM(Table1[[#This Row],[Numer_FV]])</f>
        <v>FV/54/SAL/24</v>
      </c>
      <c r="B2008" s="2" t="str">
        <f>TRIM(Table1[[#This Row],[Numer_PZ]])</f>
        <v>PZ/802006</v>
      </c>
      <c r="C2008" s="2" t="str">
        <f>TRIM(Table1[[#This Row],[Dostawca]])</f>
        <v>SalusHurt</v>
      </c>
      <c r="D2008" s="3">
        <v>45304</v>
      </c>
      <c r="E2008" s="4" t="s">
        <v>5924</v>
      </c>
      <c r="F2008" s="2" t="str">
        <f>TRIM(Table1[[#This Row],[Status]])</f>
        <v>Zaakceptowana</v>
      </c>
      <c r="G2008" s="2" t="str">
        <f>TRIM(Table1[[#This Row],[Typ]])</f>
        <v>Faktura VAT</v>
      </c>
      <c r="H2008" s="2" t="str">
        <f>TRIM(Table1[[#This Row],[Magazyn]])</f>
        <v>Apteka Szpitalna</v>
      </c>
      <c r="I2008" s="2" t="str">
        <f>TRIM(Table1[[#This Row],[Umowa]])</f>
        <v>UM-SAL-01</v>
      </c>
      <c r="J2008" s="2" t="b">
        <f>ISTEXT(Table14[[#This Row],[Data_Wystawienia]])</f>
        <v>0</v>
      </c>
      <c r="K2008" s="2">
        <f>VALUE(SUBSTITUTE(Table14[[#This Row],[Wartość]],".",","))</f>
        <v>12648.85</v>
      </c>
      <c r="L20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8" s="2" t="str">
        <f>IF(Table14[[#This Row],[Umowa]]="","Poza umową","Z umowy")</f>
        <v>Z umowy</v>
      </c>
      <c r="N2008" s="2">
        <f>YEAR(Table14[[#This Row],[Data_Wystawienia]])</f>
        <v>2024</v>
      </c>
      <c r="O2008" s="2" t="str">
        <f>TEXT(Table14[[#This Row],[Data_Wystawienia]],"rrrr-mm")</f>
        <v>2024-01</v>
      </c>
      <c r="P2008" s="2">
        <v>1</v>
      </c>
    </row>
    <row r="2009" spans="1:16" x14ac:dyDescent="0.3">
      <c r="A2009" s="2" t="str">
        <f>TRIM(Table1[[#This Row],[Numer_FV]])</f>
        <v>FV/69894/VDb/2024</v>
      </c>
      <c r="B2009" s="2" t="str">
        <f>TRIM(Table1[[#This Row],[Numer_PZ]])</f>
        <v>PZ/802007</v>
      </c>
      <c r="C2009" s="2" t="str">
        <f>TRIM(Table1[[#This Row],[Dostawca]])</f>
        <v>VitaDistrib</v>
      </c>
      <c r="D2009" s="3">
        <v>45305</v>
      </c>
      <c r="E2009" s="4" t="s">
        <v>5927</v>
      </c>
      <c r="F2009" s="2" t="str">
        <f>TRIM(Table1[[#This Row],[Status]])</f>
        <v>Zaakceptowana</v>
      </c>
      <c r="G2009" s="2" t="str">
        <f>TRIM(Table1[[#This Row],[Typ]])</f>
        <v>Faktura VAT</v>
      </c>
      <c r="H2009" s="2" t="str">
        <f>TRIM(Table1[[#This Row],[Magazyn]])</f>
        <v>Apteka Szpitalna</v>
      </c>
      <c r="I2009" s="2" t="str">
        <f>TRIM(Table1[[#This Row],[Umowa]])</f>
        <v/>
      </c>
      <c r="J2009" s="2" t="b">
        <f>ISTEXT(Table14[[#This Row],[Data_Wystawienia]])</f>
        <v>0</v>
      </c>
      <c r="K2009" s="2">
        <f>VALUE(SUBSTITUTE(Table14[[#This Row],[Wartość]],".",","))</f>
        <v>13752.13</v>
      </c>
      <c r="L20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09" s="2" t="str">
        <f>IF(Table14[[#This Row],[Umowa]]="","Poza umową","Z umowy")</f>
        <v>Poza umową</v>
      </c>
      <c r="N2009" s="2">
        <f>YEAR(Table14[[#This Row],[Data_Wystawienia]])</f>
        <v>2024</v>
      </c>
      <c r="O2009" s="2" t="str">
        <f>TEXT(Table14[[#This Row],[Data_Wystawienia]],"rrrr-mm")</f>
        <v>2024-01</v>
      </c>
      <c r="P2009" s="2">
        <v>1</v>
      </c>
    </row>
    <row r="2010" spans="1:16" x14ac:dyDescent="0.3">
      <c r="A2010" s="2" t="str">
        <f>TRIM(Table1[[#This Row],[Numer_FV]])</f>
        <v>FV/47716/VDb/2024</v>
      </c>
      <c r="B2010" s="2" t="str">
        <f>TRIM(Table1[[#This Row],[Numer_PZ]])</f>
        <v>PZ/802008</v>
      </c>
      <c r="C2010" s="2" t="str">
        <f>TRIM(Table1[[#This Row],[Dostawca]])</f>
        <v>VitaDistrib</v>
      </c>
      <c r="D2010" s="3">
        <v>45305</v>
      </c>
      <c r="E2010" s="4" t="s">
        <v>5930</v>
      </c>
      <c r="F2010" s="2" t="str">
        <f>TRIM(Table1[[#This Row],[Status]])</f>
        <v>Zaakceptowana</v>
      </c>
      <c r="G2010" s="2" t="str">
        <f>TRIM(Table1[[#This Row],[Typ]])</f>
        <v>Faktura VAT</v>
      </c>
      <c r="H2010" s="2" t="str">
        <f>TRIM(Table1[[#This Row],[Magazyn]])</f>
        <v>Apteka Szpitalna</v>
      </c>
      <c r="I2010" s="2" t="str">
        <f>TRIM(Table1[[#This Row],[Umowa]])</f>
        <v>UM-VIT-01</v>
      </c>
      <c r="J2010" s="2" t="b">
        <f>ISTEXT(Table14[[#This Row],[Data_Wystawienia]])</f>
        <v>0</v>
      </c>
      <c r="K2010" s="2">
        <f>VALUE(SUBSTITUTE(Table14[[#This Row],[Wartość]],".",","))</f>
        <v>14247.19</v>
      </c>
      <c r="L20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0" s="2" t="str">
        <f>IF(Table14[[#This Row],[Umowa]]="","Poza umową","Z umowy")</f>
        <v>Z umowy</v>
      </c>
      <c r="N2010" s="2">
        <f>YEAR(Table14[[#This Row],[Data_Wystawienia]])</f>
        <v>2024</v>
      </c>
      <c r="O2010" s="2" t="str">
        <f>TEXT(Table14[[#This Row],[Data_Wystawienia]],"rrrr-mm")</f>
        <v>2024-01</v>
      </c>
      <c r="P2010" s="2">
        <v>1</v>
      </c>
    </row>
    <row r="2011" spans="1:16" x14ac:dyDescent="0.3">
      <c r="A2011" s="2" t="str">
        <f>TRIM(Table1[[#This Row],[Numer_FV]])</f>
        <v>FV/21963/VDb/2024</v>
      </c>
      <c r="B2011" s="2" t="str">
        <f>TRIM(Table1[[#This Row],[Numer_PZ]])</f>
        <v>PZ/802009</v>
      </c>
      <c r="C2011" s="2" t="str">
        <f>TRIM(Table1[[#This Row],[Dostawca]])</f>
        <v>VitaDistrib</v>
      </c>
      <c r="D2011" s="3">
        <v>45305</v>
      </c>
      <c r="E2011" s="4" t="s">
        <v>5933</v>
      </c>
      <c r="F2011" s="2" t="str">
        <f>TRIM(Table1[[#This Row],[Status]])</f>
        <v>Zaakceptowana</v>
      </c>
      <c r="G2011" s="2" t="str">
        <f>TRIM(Table1[[#This Row],[Typ]])</f>
        <v>Faktura VAT</v>
      </c>
      <c r="H2011" s="2" t="str">
        <f>TRIM(Table1[[#This Row],[Magazyn]])</f>
        <v>Apteka Szpitalna</v>
      </c>
      <c r="I2011" s="2" t="str">
        <f>TRIM(Table1[[#This Row],[Umowa]])</f>
        <v>UM-VIT-01</v>
      </c>
      <c r="J2011" s="2" t="b">
        <f>ISTEXT(Table14[[#This Row],[Data_Wystawienia]])</f>
        <v>0</v>
      </c>
      <c r="K2011" s="2">
        <f>VALUE(SUBSTITUTE(Table14[[#This Row],[Wartość]],".",","))</f>
        <v>14447.1</v>
      </c>
      <c r="L20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1" s="2" t="str">
        <f>IF(Table14[[#This Row],[Umowa]]="","Poza umową","Z umowy")</f>
        <v>Z umowy</v>
      </c>
      <c r="N2011" s="2">
        <f>YEAR(Table14[[#This Row],[Data_Wystawienia]])</f>
        <v>2024</v>
      </c>
      <c r="O2011" s="2" t="str">
        <f>TEXT(Table14[[#This Row],[Data_Wystawienia]],"rrrr-mm")</f>
        <v>2024-01</v>
      </c>
      <c r="P2011" s="2">
        <v>1</v>
      </c>
    </row>
    <row r="2012" spans="1:16" x14ac:dyDescent="0.3">
      <c r="A2012" s="2" t="str">
        <f>TRIM(Table1[[#This Row],[Numer_FV]])</f>
        <v>FV/POL/46506/2024</v>
      </c>
      <c r="B2012" s="2" t="str">
        <f>TRIM(Table1[[#This Row],[Numer_PZ]])</f>
        <v>PZ/802010</v>
      </c>
      <c r="C2012" s="2" t="str">
        <f>TRIM(Table1[[#This Row],[Dostawca]])</f>
        <v>Polmedica</v>
      </c>
      <c r="D2012" s="3">
        <v>45305</v>
      </c>
      <c r="E2012" s="4" t="s">
        <v>5936</v>
      </c>
      <c r="F2012" s="2" t="str">
        <f>TRIM(Table1[[#This Row],[Status]])</f>
        <v>Zaakceptowana</v>
      </c>
      <c r="G2012" s="2" t="str">
        <f>TRIM(Table1[[#This Row],[Typ]])</f>
        <v>Faktura VAT</v>
      </c>
      <c r="H2012" s="2" t="str">
        <f>TRIM(Table1[[#This Row],[Magazyn]])</f>
        <v>Apteka Szpitalna</v>
      </c>
      <c r="I2012" s="2" t="str">
        <f>TRIM(Table1[[#This Row],[Umowa]])</f>
        <v/>
      </c>
      <c r="J2012" s="2" t="b">
        <f>ISTEXT(Table14[[#This Row],[Data_Wystawienia]])</f>
        <v>0</v>
      </c>
      <c r="K2012" s="2">
        <f>VALUE(SUBSTITUTE(Table14[[#This Row],[Wartość]],".",","))</f>
        <v>19163.46</v>
      </c>
      <c r="L20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2" s="2" t="str">
        <f>IF(Table14[[#This Row],[Umowa]]="","Poza umową","Z umowy")</f>
        <v>Poza umową</v>
      </c>
      <c r="N2012" s="2">
        <f>YEAR(Table14[[#This Row],[Data_Wystawienia]])</f>
        <v>2024</v>
      </c>
      <c r="O2012" s="2" t="str">
        <f>TEXT(Table14[[#This Row],[Data_Wystawienia]],"rrrr-mm")</f>
        <v>2024-01</v>
      </c>
      <c r="P2012" s="2">
        <v>1</v>
      </c>
    </row>
    <row r="2013" spans="1:16" x14ac:dyDescent="0.3">
      <c r="A2013" s="2" t="str">
        <f>TRIM(Table1[[#This Row],[Numer_FV]])</f>
        <v>FV/M/7004/P/24</v>
      </c>
      <c r="B2013" s="2" t="str">
        <f>TRIM(Table1[[#This Row],[Numer_PZ]])</f>
        <v>PZ/802011</v>
      </c>
      <c r="C2013" s="2" t="str">
        <f>TRIM(Table1[[#This Row],[Dostawca]])</f>
        <v>MedicaPharm</v>
      </c>
      <c r="D2013" s="3">
        <v>45306</v>
      </c>
      <c r="E2013" s="4" t="s">
        <v>5939</v>
      </c>
      <c r="F2013" s="2" t="str">
        <f>TRIM(Table1[[#This Row],[Status]])</f>
        <v>Zaakceptowana</v>
      </c>
      <c r="G2013" s="2" t="str">
        <f>TRIM(Table1[[#This Row],[Typ]])</f>
        <v>Faktura VAT</v>
      </c>
      <c r="H2013" s="2" t="str">
        <f>TRIM(Table1[[#This Row],[Magazyn]])</f>
        <v>Apteka Szpitalna</v>
      </c>
      <c r="I2013" s="2" t="str">
        <f>TRIM(Table1[[#This Row],[Umowa]])</f>
        <v>UM-MED-01</v>
      </c>
      <c r="J2013" s="2" t="b">
        <f>ISTEXT(Table14[[#This Row],[Data_Wystawienia]])</f>
        <v>0</v>
      </c>
      <c r="K2013" s="2">
        <f>VALUE(SUBSTITUTE(Table14[[#This Row],[Wartość]],".",","))</f>
        <v>15193.27</v>
      </c>
      <c r="L20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3" s="2" t="str">
        <f>IF(Table14[[#This Row],[Umowa]]="","Poza umową","Z umowy")</f>
        <v>Z umowy</v>
      </c>
      <c r="N2013" s="2">
        <f>YEAR(Table14[[#This Row],[Data_Wystawienia]])</f>
        <v>2024</v>
      </c>
      <c r="O2013" s="2" t="str">
        <f>TEXT(Table14[[#This Row],[Data_Wystawienia]],"rrrr-mm")</f>
        <v>2024-01</v>
      </c>
      <c r="P2013" s="2">
        <v>1</v>
      </c>
    </row>
    <row r="2014" spans="1:16" x14ac:dyDescent="0.3">
      <c r="A2014" s="2" t="str">
        <f>TRIM(Table1[[#This Row],[Numer_FV]])</f>
        <v>FV/46/PP/8478/24</v>
      </c>
      <c r="B2014" s="2" t="str">
        <f>TRIM(Table1[[#This Row],[Numer_PZ]])</f>
        <v>PZ/802012</v>
      </c>
      <c r="C2014" s="2" t="str">
        <f>TRIM(Table1[[#This Row],[Dostawca]])</f>
        <v>PharmaPlus</v>
      </c>
      <c r="D2014" s="3">
        <v>45306</v>
      </c>
      <c r="E2014" s="4" t="s">
        <v>5942</v>
      </c>
      <c r="F2014" s="2" t="str">
        <f>TRIM(Table1[[#This Row],[Status]])</f>
        <v>Zaakceptowana</v>
      </c>
      <c r="G2014" s="2" t="str">
        <f>TRIM(Table1[[#This Row],[Typ]])</f>
        <v>Faktura VAT</v>
      </c>
      <c r="H2014" s="2" t="str">
        <f>TRIM(Table1[[#This Row],[Magazyn]])</f>
        <v>Apteka Szpitalna</v>
      </c>
      <c r="I2014" s="2" t="str">
        <f>TRIM(Table1[[#This Row],[Umowa]])</f>
        <v>UM-PHA-02</v>
      </c>
      <c r="J2014" s="2" t="b">
        <f>ISTEXT(Table14[[#This Row],[Data_Wystawienia]])</f>
        <v>0</v>
      </c>
      <c r="K2014" s="2">
        <f>VALUE(SUBSTITUTE(Table14[[#This Row],[Wartość]],".",","))</f>
        <v>15802.34</v>
      </c>
      <c r="L20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4" s="2" t="str">
        <f>IF(Table14[[#This Row],[Umowa]]="","Poza umową","Z umowy")</f>
        <v>Z umowy</v>
      </c>
      <c r="N2014" s="2">
        <f>YEAR(Table14[[#This Row],[Data_Wystawienia]])</f>
        <v>2024</v>
      </c>
      <c r="O2014" s="2" t="str">
        <f>TEXT(Table14[[#This Row],[Data_Wystawienia]],"rrrr-mm")</f>
        <v>2024-01</v>
      </c>
      <c r="P2014" s="2">
        <v>1</v>
      </c>
    </row>
    <row r="2015" spans="1:16" x14ac:dyDescent="0.3">
      <c r="A2015" s="2" t="str">
        <f>TRIM(Table1[[#This Row],[Numer_FV]])</f>
        <v>FV/3709/NOVA/24</v>
      </c>
      <c r="B2015" s="2" t="str">
        <f>TRIM(Table1[[#This Row],[Numer_PZ]])</f>
        <v>PZ/802013</v>
      </c>
      <c r="C2015" s="2" t="str">
        <f>TRIM(Table1[[#This Row],[Dostawca]])</f>
        <v>NovaLek</v>
      </c>
      <c r="D2015" s="3">
        <v>45307</v>
      </c>
      <c r="E2015" s="4" t="s">
        <v>5945</v>
      </c>
      <c r="F2015" s="2" t="str">
        <f>TRIM(Table1[[#This Row],[Status]])</f>
        <v>Zaakceptowana</v>
      </c>
      <c r="G2015" s="2" t="str">
        <f>TRIM(Table1[[#This Row],[Typ]])</f>
        <v>Faktura VAT</v>
      </c>
      <c r="H2015" s="2" t="str">
        <f>TRIM(Table1[[#This Row],[Magazyn]])</f>
        <v>Apteka Szpitalna</v>
      </c>
      <c r="I2015" s="2" t="str">
        <f>TRIM(Table1[[#This Row],[Umowa]])</f>
        <v>UM-NOV-02</v>
      </c>
      <c r="J2015" s="2" t="b">
        <f>ISTEXT(Table14[[#This Row],[Data_Wystawienia]])</f>
        <v>0</v>
      </c>
      <c r="K2015" s="2">
        <f>VALUE(SUBSTITUTE(Table14[[#This Row],[Wartość]],".",","))</f>
        <v>21530.13</v>
      </c>
      <c r="L20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5" s="2" t="str">
        <f>IF(Table14[[#This Row],[Umowa]]="","Poza umową","Z umowy")</f>
        <v>Z umowy</v>
      </c>
      <c r="N2015" s="2">
        <f>YEAR(Table14[[#This Row],[Data_Wystawienia]])</f>
        <v>2024</v>
      </c>
      <c r="O2015" s="2" t="str">
        <f>TEXT(Table14[[#This Row],[Data_Wystawienia]],"rrrr-mm")</f>
        <v>2024-01</v>
      </c>
      <c r="P2015" s="2">
        <v>1</v>
      </c>
    </row>
    <row r="2016" spans="1:16" x14ac:dyDescent="0.3">
      <c r="A2016" s="2" t="str">
        <f>TRIM(Table1[[#This Row],[Numer_FV]])</f>
        <v>FV/M/1352/P/24</v>
      </c>
      <c r="B2016" s="2" t="str">
        <f>TRIM(Table1[[#This Row],[Numer_PZ]])</f>
        <v>PZ/802014</v>
      </c>
      <c r="C2016" s="2" t="str">
        <f>TRIM(Table1[[#This Row],[Dostawca]])</f>
        <v>MedicaPharm</v>
      </c>
      <c r="D2016" s="3">
        <v>45307</v>
      </c>
      <c r="E2016" s="4" t="s">
        <v>5948</v>
      </c>
      <c r="F2016" s="2" t="str">
        <f>TRIM(Table1[[#This Row],[Status]])</f>
        <v>Zaakceptowana</v>
      </c>
      <c r="G2016" s="2" t="str">
        <f>TRIM(Table1[[#This Row],[Typ]])</f>
        <v>Faktura VAT</v>
      </c>
      <c r="H2016" s="2" t="str">
        <f>TRIM(Table1[[#This Row],[Magazyn]])</f>
        <v>Apteka Szpitalna</v>
      </c>
      <c r="I2016" s="2" t="str">
        <f>TRIM(Table1[[#This Row],[Umowa]])</f>
        <v>UM-MED-02</v>
      </c>
      <c r="J2016" s="2" t="b">
        <f>ISTEXT(Table14[[#This Row],[Data_Wystawienia]])</f>
        <v>0</v>
      </c>
      <c r="K2016" s="2">
        <f>VALUE(SUBSTITUTE(Table14[[#This Row],[Wartość]],".",","))</f>
        <v>12030.78</v>
      </c>
      <c r="L20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6" s="2" t="str">
        <f>IF(Table14[[#This Row],[Umowa]]="","Poza umową","Z umowy")</f>
        <v>Z umowy</v>
      </c>
      <c r="N2016" s="2">
        <f>YEAR(Table14[[#This Row],[Data_Wystawienia]])</f>
        <v>2024</v>
      </c>
      <c r="O2016" s="2" t="str">
        <f>TEXT(Table14[[#This Row],[Data_Wystawienia]],"rrrr-mm")</f>
        <v>2024-01</v>
      </c>
      <c r="P2016" s="2">
        <v>1</v>
      </c>
    </row>
    <row r="2017" spans="1:16" x14ac:dyDescent="0.3">
      <c r="A2017" s="2" t="str">
        <f>TRIM(Table1[[#This Row],[Numer_FV]])</f>
        <v>FV/88/PP/8509/24</v>
      </c>
      <c r="B2017" s="2" t="str">
        <f>TRIM(Table1[[#This Row],[Numer_PZ]])</f>
        <v>PZ/802015</v>
      </c>
      <c r="C2017" s="2" t="str">
        <f>TRIM(Table1[[#This Row],[Dostawca]])</f>
        <v>PharmaPlus</v>
      </c>
      <c r="D2017" s="3">
        <v>45307</v>
      </c>
      <c r="E2017" s="4" t="s">
        <v>5951</v>
      </c>
      <c r="F2017" s="2" t="str">
        <f>TRIM(Table1[[#This Row],[Status]])</f>
        <v>Zaakceptowana</v>
      </c>
      <c r="G2017" s="2" t="str">
        <f>TRIM(Table1[[#This Row],[Typ]])</f>
        <v>Faktura VAT</v>
      </c>
      <c r="H2017" s="2" t="str">
        <f>TRIM(Table1[[#This Row],[Magazyn]])</f>
        <v>Apteka Szpitalna</v>
      </c>
      <c r="I2017" s="2" t="str">
        <f>TRIM(Table1[[#This Row],[Umowa]])</f>
        <v>UM-PHA-02</v>
      </c>
      <c r="J2017" s="2" t="b">
        <f>ISTEXT(Table14[[#This Row],[Data_Wystawienia]])</f>
        <v>0</v>
      </c>
      <c r="K2017" s="2">
        <f>VALUE(SUBSTITUTE(Table14[[#This Row],[Wartość]],".",","))</f>
        <v>15331.96</v>
      </c>
      <c r="L20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7" s="2" t="str">
        <f>IF(Table14[[#This Row],[Umowa]]="","Poza umową","Z umowy")</f>
        <v>Z umowy</v>
      </c>
      <c r="N2017" s="2">
        <f>YEAR(Table14[[#This Row],[Data_Wystawienia]])</f>
        <v>2024</v>
      </c>
      <c r="O2017" s="2" t="str">
        <f>TEXT(Table14[[#This Row],[Data_Wystawienia]],"rrrr-mm")</f>
        <v>2024-01</v>
      </c>
      <c r="P2017" s="2">
        <v>1</v>
      </c>
    </row>
    <row r="2018" spans="1:16" x14ac:dyDescent="0.3">
      <c r="A2018" s="2" t="str">
        <f>TRIM(Table1[[#This Row],[Numer_FV]])</f>
        <v>FV/5024HM/24</v>
      </c>
      <c r="B2018" s="2" t="str">
        <f>TRIM(Table1[[#This Row],[Numer_PZ]])</f>
        <v>PZ/802016</v>
      </c>
      <c r="C2018" s="2" t="str">
        <f>TRIM(Table1[[#This Row],[Dostawca]])</f>
        <v>HurtMedix</v>
      </c>
      <c r="D2018" s="3">
        <v>45308</v>
      </c>
      <c r="E2018" s="4" t="s">
        <v>5954</v>
      </c>
      <c r="F2018" s="2" t="str">
        <f>TRIM(Table1[[#This Row],[Status]])</f>
        <v>Zaakceptowana</v>
      </c>
      <c r="G2018" s="2" t="str">
        <f>TRIM(Table1[[#This Row],[Typ]])</f>
        <v>Faktura VAT</v>
      </c>
      <c r="H2018" s="2" t="str">
        <f>TRIM(Table1[[#This Row],[Magazyn]])</f>
        <v>Apteka Szpitalna</v>
      </c>
      <c r="I2018" s="2" t="str">
        <f>TRIM(Table1[[#This Row],[Umowa]])</f>
        <v>UM-HUR-03</v>
      </c>
      <c r="J2018" s="2" t="b">
        <f>ISTEXT(Table14[[#This Row],[Data_Wystawienia]])</f>
        <v>0</v>
      </c>
      <c r="K2018" s="2">
        <f>VALUE(SUBSTITUTE(Table14[[#This Row],[Wartość]],".",","))</f>
        <v>23418.99</v>
      </c>
      <c r="L20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8" s="2" t="str">
        <f>IF(Table14[[#This Row],[Umowa]]="","Poza umową","Z umowy")</f>
        <v>Z umowy</v>
      </c>
      <c r="N2018" s="2">
        <f>YEAR(Table14[[#This Row],[Data_Wystawienia]])</f>
        <v>2024</v>
      </c>
      <c r="O2018" s="2" t="str">
        <f>TEXT(Table14[[#This Row],[Data_Wystawienia]],"rrrr-mm")</f>
        <v>2024-01</v>
      </c>
      <c r="P2018" s="2">
        <v>1</v>
      </c>
    </row>
    <row r="2019" spans="1:16" x14ac:dyDescent="0.3">
      <c r="A2019" s="2" t="str">
        <f>TRIM(Table1[[#This Row],[Numer_FV]])</f>
        <v>FV/POL/93611/2024</v>
      </c>
      <c r="B2019" s="2" t="str">
        <f>TRIM(Table1[[#This Row],[Numer_PZ]])</f>
        <v>PZ/802017</v>
      </c>
      <c r="C2019" s="2" t="str">
        <f>TRIM(Table1[[#This Row],[Dostawca]])</f>
        <v>Polmedica</v>
      </c>
      <c r="D2019" s="3">
        <v>45308</v>
      </c>
      <c r="E2019" s="4" t="s">
        <v>5957</v>
      </c>
      <c r="F2019" s="2" t="str">
        <f>TRIM(Table1[[#This Row],[Status]])</f>
        <v>Zaakceptowana</v>
      </c>
      <c r="G2019" s="2" t="str">
        <f>TRIM(Table1[[#This Row],[Typ]])</f>
        <v>Faktura VAT</v>
      </c>
      <c r="H2019" s="2" t="str">
        <f>TRIM(Table1[[#This Row],[Magazyn]])</f>
        <v>Apteka Szpitalna</v>
      </c>
      <c r="I2019" s="2" t="str">
        <f>TRIM(Table1[[#This Row],[Umowa]])</f>
        <v>UM-POL-03</v>
      </c>
      <c r="J2019" s="2" t="b">
        <f>ISTEXT(Table14[[#This Row],[Data_Wystawienia]])</f>
        <v>0</v>
      </c>
      <c r="K2019" s="2">
        <f>VALUE(SUBSTITUTE(Table14[[#This Row],[Wartość]],".",","))</f>
        <v>18609.48</v>
      </c>
      <c r="L20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19" s="2" t="str">
        <f>IF(Table14[[#This Row],[Umowa]]="","Poza umową","Z umowy")</f>
        <v>Z umowy</v>
      </c>
      <c r="N2019" s="2">
        <f>YEAR(Table14[[#This Row],[Data_Wystawienia]])</f>
        <v>2024</v>
      </c>
      <c r="O2019" s="2" t="str">
        <f>TEXT(Table14[[#This Row],[Data_Wystawienia]],"rrrr-mm")</f>
        <v>2024-01</v>
      </c>
      <c r="P2019" s="2">
        <v>1</v>
      </c>
    </row>
    <row r="2020" spans="1:16" x14ac:dyDescent="0.3">
      <c r="A2020" s="2" t="str">
        <f>TRIM(Table1[[#This Row],[Numer_FV]])</f>
        <v>FV/CENFA/501904/24</v>
      </c>
      <c r="B2020" s="2" t="str">
        <f>TRIM(Table1[[#This Row],[Numer_PZ]])</f>
        <v>PZ/802018</v>
      </c>
      <c r="C2020" s="2" t="str">
        <f>TRIM(Table1[[#This Row],[Dostawca]])</f>
        <v>CentrumFarm</v>
      </c>
      <c r="D2020" s="3">
        <v>45309</v>
      </c>
      <c r="E2020" s="4" t="s">
        <v>5960</v>
      </c>
      <c r="F2020" s="2" t="str">
        <f>TRIM(Table1[[#This Row],[Status]])</f>
        <v>Zaakceptowana</v>
      </c>
      <c r="G2020" s="2" t="str">
        <f>TRIM(Table1[[#This Row],[Typ]])</f>
        <v>Faktura VAT</v>
      </c>
      <c r="H2020" s="2" t="str">
        <f>TRIM(Table1[[#This Row],[Magazyn]])</f>
        <v>Apteka Szpitalna</v>
      </c>
      <c r="I2020" s="2" t="str">
        <f>TRIM(Table1[[#This Row],[Umowa]])</f>
        <v>UM-CEN-01</v>
      </c>
      <c r="J2020" s="2" t="b">
        <f>ISTEXT(Table14[[#This Row],[Data_Wystawienia]])</f>
        <v>0</v>
      </c>
      <c r="K2020" s="2">
        <f>VALUE(SUBSTITUTE(Table14[[#This Row],[Wartość]],".",","))</f>
        <v>12770.24</v>
      </c>
      <c r="L20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0" s="2" t="str">
        <f>IF(Table14[[#This Row],[Umowa]]="","Poza umową","Z umowy")</f>
        <v>Z umowy</v>
      </c>
      <c r="N2020" s="2">
        <f>YEAR(Table14[[#This Row],[Data_Wystawienia]])</f>
        <v>2024</v>
      </c>
      <c r="O2020" s="2" t="str">
        <f>TEXT(Table14[[#This Row],[Data_Wystawienia]],"rrrr-mm")</f>
        <v>2024-01</v>
      </c>
      <c r="P2020" s="2">
        <v>1</v>
      </c>
    </row>
    <row r="2021" spans="1:16" x14ac:dyDescent="0.3">
      <c r="A2021" s="2" t="str">
        <f>TRIM(Table1[[#This Row],[Numer_FV]])</f>
        <v>FV/POL/72092/2024</v>
      </c>
      <c r="B2021" s="2" t="str">
        <f>TRIM(Table1[[#This Row],[Numer_PZ]])</f>
        <v>PZ/802019</v>
      </c>
      <c r="C2021" s="2" t="str">
        <f>TRIM(Table1[[#This Row],[Dostawca]])</f>
        <v>Polmedica</v>
      </c>
      <c r="D2021" s="3">
        <v>45309</v>
      </c>
      <c r="E2021" s="4" t="s">
        <v>5963</v>
      </c>
      <c r="F2021" s="2" t="str">
        <f>TRIM(Table1[[#This Row],[Status]])</f>
        <v>Zaakceptowana</v>
      </c>
      <c r="G2021" s="2" t="str">
        <f>TRIM(Table1[[#This Row],[Typ]])</f>
        <v>Faktura VAT</v>
      </c>
      <c r="H2021" s="2" t="str">
        <f>TRIM(Table1[[#This Row],[Magazyn]])</f>
        <v>Apteka Szpitalna</v>
      </c>
      <c r="I2021" s="2" t="str">
        <f>TRIM(Table1[[#This Row],[Umowa]])</f>
        <v>UM-POL-01</v>
      </c>
      <c r="J2021" s="2" t="b">
        <f>ISTEXT(Table14[[#This Row],[Data_Wystawienia]])</f>
        <v>0</v>
      </c>
      <c r="K2021" s="2">
        <f>VALUE(SUBSTITUTE(Table14[[#This Row],[Wartość]],".",","))</f>
        <v>20868.560000000001</v>
      </c>
      <c r="L20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1" s="2" t="str">
        <f>IF(Table14[[#This Row],[Umowa]]="","Poza umową","Z umowy")</f>
        <v>Z umowy</v>
      </c>
      <c r="N2021" s="2">
        <f>YEAR(Table14[[#This Row],[Data_Wystawienia]])</f>
        <v>2024</v>
      </c>
      <c r="O2021" s="2" t="str">
        <f>TEXT(Table14[[#This Row],[Data_Wystawienia]],"rrrr-mm")</f>
        <v>2024-01</v>
      </c>
      <c r="P2021" s="2">
        <v>1</v>
      </c>
    </row>
    <row r="2022" spans="1:16" x14ac:dyDescent="0.3">
      <c r="A2022" s="2" t="str">
        <f>TRIM(Table1[[#This Row],[Numer_FV]])</f>
        <v>FV/POL/48111/2024</v>
      </c>
      <c r="B2022" s="2" t="str">
        <f>TRIM(Table1[[#This Row],[Numer_PZ]])</f>
        <v>PZ/802020</v>
      </c>
      <c r="C2022" s="2" t="str">
        <f>TRIM(Table1[[#This Row],[Dostawca]])</f>
        <v>Polmedica</v>
      </c>
      <c r="D2022" s="3">
        <v>45310</v>
      </c>
      <c r="E2022" s="4" t="s">
        <v>5966</v>
      </c>
      <c r="F2022" s="2" t="str">
        <f>TRIM(Table1[[#This Row],[Status]])</f>
        <v>Zaakceptowana</v>
      </c>
      <c r="G2022" s="2" t="str">
        <f>TRIM(Table1[[#This Row],[Typ]])</f>
        <v>Faktura VAT</v>
      </c>
      <c r="H2022" s="2" t="str">
        <f>TRIM(Table1[[#This Row],[Magazyn]])</f>
        <v>Apteka Szpitalna</v>
      </c>
      <c r="I2022" s="2" t="str">
        <f>TRIM(Table1[[#This Row],[Umowa]])</f>
        <v/>
      </c>
      <c r="J2022" s="2" t="b">
        <f>ISTEXT(Table14[[#This Row],[Data_Wystawienia]])</f>
        <v>0</v>
      </c>
      <c r="K2022" s="2">
        <f>VALUE(SUBSTITUTE(Table14[[#This Row],[Wartość]],".",","))</f>
        <v>14828.69</v>
      </c>
      <c r="L20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2" s="2" t="str">
        <f>IF(Table14[[#This Row],[Umowa]]="","Poza umową","Z umowy")</f>
        <v>Poza umową</v>
      </c>
      <c r="N2022" s="2">
        <f>YEAR(Table14[[#This Row],[Data_Wystawienia]])</f>
        <v>2024</v>
      </c>
      <c r="O2022" s="2" t="str">
        <f>TEXT(Table14[[#This Row],[Data_Wystawienia]],"rrrr-mm")</f>
        <v>2024-01</v>
      </c>
      <c r="P2022" s="2">
        <v>1</v>
      </c>
    </row>
    <row r="2023" spans="1:16" x14ac:dyDescent="0.3">
      <c r="A2023" s="2" t="str">
        <f>TRIM(Table1[[#This Row],[Numer_FV]])</f>
        <v>FV/12/PP/8926/24</v>
      </c>
      <c r="B2023" s="2" t="str">
        <f>TRIM(Table1[[#This Row],[Numer_PZ]])</f>
        <v>PZ/802021</v>
      </c>
      <c r="C2023" s="2" t="str">
        <f>TRIM(Table1[[#This Row],[Dostawca]])</f>
        <v>PharmaPlus</v>
      </c>
      <c r="D2023" s="3">
        <v>45311</v>
      </c>
      <c r="E2023" s="4" t="s">
        <v>5969</v>
      </c>
      <c r="F2023" s="2" t="str">
        <f>TRIM(Table1[[#This Row],[Status]])</f>
        <v>Zaakceptowana</v>
      </c>
      <c r="G2023" s="2" t="str">
        <f>TRIM(Table1[[#This Row],[Typ]])</f>
        <v>Faktura VAT</v>
      </c>
      <c r="H2023" s="2" t="str">
        <f>TRIM(Table1[[#This Row],[Magazyn]])</f>
        <v>Apteka Szpitalna</v>
      </c>
      <c r="I2023" s="2" t="str">
        <f>TRIM(Table1[[#This Row],[Umowa]])</f>
        <v>UM-PHA-01</v>
      </c>
      <c r="J2023" s="2" t="b">
        <f>ISTEXT(Table14[[#This Row],[Data_Wystawienia]])</f>
        <v>0</v>
      </c>
      <c r="K2023" s="2">
        <f>VALUE(SUBSTITUTE(Table14[[#This Row],[Wartość]],".",","))</f>
        <v>24527.040000000001</v>
      </c>
      <c r="L20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3" s="2" t="str">
        <f>IF(Table14[[#This Row],[Umowa]]="","Poza umową","Z umowy")</f>
        <v>Z umowy</v>
      </c>
      <c r="N2023" s="2">
        <f>YEAR(Table14[[#This Row],[Data_Wystawienia]])</f>
        <v>2024</v>
      </c>
      <c r="O2023" s="2" t="str">
        <f>TEXT(Table14[[#This Row],[Data_Wystawienia]],"rrrr-mm")</f>
        <v>2024-01</v>
      </c>
      <c r="P2023" s="2">
        <v>1</v>
      </c>
    </row>
    <row r="2024" spans="1:16" x14ac:dyDescent="0.3">
      <c r="A2024" s="2" t="str">
        <f>TRIM(Table1[[#This Row],[Numer_FV]])</f>
        <v>FV/26/SAL/24</v>
      </c>
      <c r="B2024" s="2" t="str">
        <f>TRIM(Table1[[#This Row],[Numer_PZ]])</f>
        <v>PZ/802022</v>
      </c>
      <c r="C2024" s="2" t="str">
        <f>TRIM(Table1[[#This Row],[Dostawca]])</f>
        <v>SalusHurt</v>
      </c>
      <c r="D2024" s="3">
        <v>45311</v>
      </c>
      <c r="E2024" s="4" t="s">
        <v>5972</v>
      </c>
      <c r="F2024" s="2" t="str">
        <f>TRIM(Table1[[#This Row],[Status]])</f>
        <v>Zaakceptowana</v>
      </c>
      <c r="G2024" s="2" t="str">
        <f>TRIM(Table1[[#This Row],[Typ]])</f>
        <v>Faktura VAT</v>
      </c>
      <c r="H2024" s="2" t="str">
        <f>TRIM(Table1[[#This Row],[Magazyn]])</f>
        <v>Apteka Szpitalna</v>
      </c>
      <c r="I2024" s="2" t="str">
        <f>TRIM(Table1[[#This Row],[Umowa]])</f>
        <v>UM-SAL-02</v>
      </c>
      <c r="J2024" s="2" t="b">
        <f>ISTEXT(Table14[[#This Row],[Data_Wystawienia]])</f>
        <v>0</v>
      </c>
      <c r="K2024" s="2">
        <f>VALUE(SUBSTITUTE(Table14[[#This Row],[Wartość]],".",","))</f>
        <v>14762.2</v>
      </c>
      <c r="L20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4" s="2" t="str">
        <f>IF(Table14[[#This Row],[Umowa]]="","Poza umową","Z umowy")</f>
        <v>Z umowy</v>
      </c>
      <c r="N2024" s="2">
        <f>YEAR(Table14[[#This Row],[Data_Wystawienia]])</f>
        <v>2024</v>
      </c>
      <c r="O2024" s="2" t="str">
        <f>TEXT(Table14[[#This Row],[Data_Wystawienia]],"rrrr-mm")</f>
        <v>2024-01</v>
      </c>
      <c r="P2024" s="2">
        <v>1</v>
      </c>
    </row>
    <row r="2025" spans="1:16" x14ac:dyDescent="0.3">
      <c r="A2025" s="2" t="str">
        <f>TRIM(Table1[[#This Row],[Numer_FV]])</f>
        <v>FV/20004/VDb/2024</v>
      </c>
      <c r="B2025" s="2" t="str">
        <f>TRIM(Table1[[#This Row],[Numer_PZ]])</f>
        <v>PZ/802023</v>
      </c>
      <c r="C2025" s="2" t="str">
        <f>TRIM(Table1[[#This Row],[Dostawca]])</f>
        <v>VitaDistrib</v>
      </c>
      <c r="D2025" s="3">
        <v>45311</v>
      </c>
      <c r="E2025" s="4" t="s">
        <v>5975</v>
      </c>
      <c r="F2025" s="2" t="str">
        <f>TRIM(Table1[[#This Row],[Status]])</f>
        <v>Zaakceptowana</v>
      </c>
      <c r="G2025" s="2" t="str">
        <f>TRIM(Table1[[#This Row],[Typ]])</f>
        <v>Faktura VAT</v>
      </c>
      <c r="H2025" s="2" t="str">
        <f>TRIM(Table1[[#This Row],[Magazyn]])</f>
        <v>Apteka Szpitalna</v>
      </c>
      <c r="I2025" s="2" t="str">
        <f>TRIM(Table1[[#This Row],[Umowa]])</f>
        <v>UM-VIT-01</v>
      </c>
      <c r="J2025" s="2" t="b">
        <f>ISTEXT(Table14[[#This Row],[Data_Wystawienia]])</f>
        <v>0</v>
      </c>
      <c r="K2025" s="2">
        <f>VALUE(SUBSTITUTE(Table14[[#This Row],[Wartość]],".",","))</f>
        <v>6412.53</v>
      </c>
      <c r="L20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5" s="2" t="str">
        <f>IF(Table14[[#This Row],[Umowa]]="","Poza umową","Z umowy")</f>
        <v>Z umowy</v>
      </c>
      <c r="N2025" s="2">
        <f>YEAR(Table14[[#This Row],[Data_Wystawienia]])</f>
        <v>2024</v>
      </c>
      <c r="O2025" s="2" t="str">
        <f>TEXT(Table14[[#This Row],[Data_Wystawienia]],"rrrr-mm")</f>
        <v>2024-01</v>
      </c>
      <c r="P2025" s="2">
        <v>1</v>
      </c>
    </row>
    <row r="2026" spans="1:16" x14ac:dyDescent="0.3">
      <c r="A2026" s="2" t="str">
        <f>TRIM(Table1[[#This Row],[Numer_FV]])</f>
        <v>FV/1992HM/24</v>
      </c>
      <c r="B2026" s="2" t="str">
        <f>TRIM(Table1[[#This Row],[Numer_PZ]])</f>
        <v>PZ/802024</v>
      </c>
      <c r="C2026" s="2" t="str">
        <f>TRIM(Table1[[#This Row],[Dostawca]])</f>
        <v>HurtMedix</v>
      </c>
      <c r="D2026" s="3">
        <v>45311</v>
      </c>
      <c r="E2026" s="4" t="s">
        <v>5978</v>
      </c>
      <c r="F2026" s="2" t="str">
        <f>TRIM(Table1[[#This Row],[Status]])</f>
        <v>Zaakceptowana</v>
      </c>
      <c r="G2026" s="2" t="str">
        <f>TRIM(Table1[[#This Row],[Typ]])</f>
        <v>Faktura VAT</v>
      </c>
      <c r="H2026" s="2" t="str">
        <f>TRIM(Table1[[#This Row],[Magazyn]])</f>
        <v>Apteka Szpitalna</v>
      </c>
      <c r="I2026" s="2" t="str">
        <f>TRIM(Table1[[#This Row],[Umowa]])</f>
        <v>UM-HUR-01</v>
      </c>
      <c r="J2026" s="2" t="b">
        <f>ISTEXT(Table14[[#This Row],[Data_Wystawienia]])</f>
        <v>0</v>
      </c>
      <c r="K2026" s="2">
        <f>VALUE(SUBSTITUTE(Table14[[#This Row],[Wartość]],".",","))</f>
        <v>12714.66</v>
      </c>
      <c r="L20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6" s="2" t="str">
        <f>IF(Table14[[#This Row],[Umowa]]="","Poza umową","Z umowy")</f>
        <v>Z umowy</v>
      </c>
      <c r="N2026" s="2">
        <f>YEAR(Table14[[#This Row],[Data_Wystawienia]])</f>
        <v>2024</v>
      </c>
      <c r="O2026" s="2" t="str">
        <f>TEXT(Table14[[#This Row],[Data_Wystawienia]],"rrrr-mm")</f>
        <v>2024-01</v>
      </c>
      <c r="P2026" s="2">
        <v>1</v>
      </c>
    </row>
    <row r="2027" spans="1:16" x14ac:dyDescent="0.3">
      <c r="A2027" s="2" t="str">
        <f>TRIM(Table1[[#This Row],[Numer_FV]])</f>
        <v>FV/M/2696/P/24</v>
      </c>
      <c r="B2027" s="2" t="str">
        <f>TRIM(Table1[[#This Row],[Numer_PZ]])</f>
        <v>PZ/802025</v>
      </c>
      <c r="C2027" s="2" t="str">
        <f>TRIM(Table1[[#This Row],[Dostawca]])</f>
        <v>MedicaPharm</v>
      </c>
      <c r="D2027" s="3">
        <v>45311</v>
      </c>
      <c r="E2027" s="4" t="s">
        <v>5981</v>
      </c>
      <c r="F2027" s="2" t="str">
        <f>TRIM(Table1[[#This Row],[Status]])</f>
        <v>Zaakceptowana</v>
      </c>
      <c r="G2027" s="2" t="str">
        <f>TRIM(Table1[[#This Row],[Typ]])</f>
        <v>Faktura VAT</v>
      </c>
      <c r="H2027" s="2" t="str">
        <f>TRIM(Table1[[#This Row],[Magazyn]])</f>
        <v>Apteka Szpitalna</v>
      </c>
      <c r="I2027" s="2" t="str">
        <f>TRIM(Table1[[#This Row],[Umowa]])</f>
        <v>UM-MED-01</v>
      </c>
      <c r="J2027" s="2" t="b">
        <f>ISTEXT(Table14[[#This Row],[Data_Wystawienia]])</f>
        <v>0</v>
      </c>
      <c r="K2027" s="2">
        <f>VALUE(SUBSTITUTE(Table14[[#This Row],[Wartość]],".",","))</f>
        <v>19028.5</v>
      </c>
      <c r="L20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7" s="2" t="str">
        <f>IF(Table14[[#This Row],[Umowa]]="","Poza umową","Z umowy")</f>
        <v>Z umowy</v>
      </c>
      <c r="N2027" s="2">
        <f>YEAR(Table14[[#This Row],[Data_Wystawienia]])</f>
        <v>2024</v>
      </c>
      <c r="O2027" s="2" t="str">
        <f>TEXT(Table14[[#This Row],[Data_Wystawienia]],"rrrr-mm")</f>
        <v>2024-01</v>
      </c>
      <c r="P2027" s="2">
        <v>1</v>
      </c>
    </row>
    <row r="2028" spans="1:16" x14ac:dyDescent="0.3">
      <c r="A2028" s="2" t="str">
        <f>TRIM(Table1[[#This Row],[Numer_FV]])</f>
        <v>FV/M/4971/P/24</v>
      </c>
      <c r="B2028" s="2" t="str">
        <f>TRIM(Table1[[#This Row],[Numer_PZ]])</f>
        <v>PZ/802026</v>
      </c>
      <c r="C2028" s="2" t="str">
        <f>TRIM(Table1[[#This Row],[Dostawca]])</f>
        <v>MedicaPharm</v>
      </c>
      <c r="D2028" s="3">
        <v>45312</v>
      </c>
      <c r="E2028" s="4" t="s">
        <v>5984</v>
      </c>
      <c r="F2028" s="2" t="str">
        <f>TRIM(Table1[[#This Row],[Status]])</f>
        <v>Zaakceptowana</v>
      </c>
      <c r="G2028" s="2" t="str">
        <f>TRIM(Table1[[#This Row],[Typ]])</f>
        <v>Faktura VAT</v>
      </c>
      <c r="H2028" s="2" t="str">
        <f>TRIM(Table1[[#This Row],[Magazyn]])</f>
        <v>Apteka Szpitalna</v>
      </c>
      <c r="I2028" s="2" t="str">
        <f>TRIM(Table1[[#This Row],[Umowa]])</f>
        <v>UM-MED-02</v>
      </c>
      <c r="J2028" s="2" t="b">
        <f>ISTEXT(Table14[[#This Row],[Data_Wystawienia]])</f>
        <v>0</v>
      </c>
      <c r="K2028" s="2">
        <f>VALUE(SUBSTITUTE(Table14[[#This Row],[Wartość]],".",","))</f>
        <v>15911.93</v>
      </c>
      <c r="L20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8" s="2" t="str">
        <f>IF(Table14[[#This Row],[Umowa]]="","Poza umową","Z umowy")</f>
        <v>Z umowy</v>
      </c>
      <c r="N2028" s="2">
        <f>YEAR(Table14[[#This Row],[Data_Wystawienia]])</f>
        <v>2024</v>
      </c>
      <c r="O2028" s="2" t="str">
        <f>TEXT(Table14[[#This Row],[Data_Wystawienia]],"rrrr-mm")</f>
        <v>2024-01</v>
      </c>
      <c r="P2028" s="2">
        <v>1</v>
      </c>
    </row>
    <row r="2029" spans="1:16" x14ac:dyDescent="0.3">
      <c r="A2029" s="2" t="str">
        <f>TRIM(Table1[[#This Row],[Numer_FV]])</f>
        <v>FV/8073/NOVA/24</v>
      </c>
      <c r="B2029" s="2" t="str">
        <f>TRIM(Table1[[#This Row],[Numer_PZ]])</f>
        <v>PZ/802027</v>
      </c>
      <c r="C2029" s="2" t="str">
        <f>TRIM(Table1[[#This Row],[Dostawca]])</f>
        <v>NovaLek</v>
      </c>
      <c r="D2029" s="3">
        <v>45312</v>
      </c>
      <c r="E2029" s="4" t="s">
        <v>5987</v>
      </c>
      <c r="F2029" s="2" t="str">
        <f>TRIM(Table1[[#This Row],[Status]])</f>
        <v>Zaakceptowana</v>
      </c>
      <c r="G2029" s="2" t="str">
        <f>TRIM(Table1[[#This Row],[Typ]])</f>
        <v>Faktura VAT</v>
      </c>
      <c r="H2029" s="2" t="str">
        <f>TRIM(Table1[[#This Row],[Magazyn]])</f>
        <v>Apteka Szpitalna</v>
      </c>
      <c r="I2029" s="2" t="str">
        <f>TRIM(Table1[[#This Row],[Umowa]])</f>
        <v>UM-NOV-03</v>
      </c>
      <c r="J2029" s="2" t="b">
        <f>ISTEXT(Table14[[#This Row],[Data_Wystawienia]])</f>
        <v>0</v>
      </c>
      <c r="K2029" s="2">
        <f>VALUE(SUBSTITUTE(Table14[[#This Row],[Wartość]],".",","))</f>
        <v>15446.85</v>
      </c>
      <c r="L20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29" s="2" t="str">
        <f>IF(Table14[[#This Row],[Umowa]]="","Poza umową","Z umowy")</f>
        <v>Z umowy</v>
      </c>
      <c r="N2029" s="2">
        <f>YEAR(Table14[[#This Row],[Data_Wystawienia]])</f>
        <v>2024</v>
      </c>
      <c r="O2029" s="2" t="str">
        <f>TEXT(Table14[[#This Row],[Data_Wystawienia]],"rrrr-mm")</f>
        <v>2024-01</v>
      </c>
      <c r="P2029" s="2">
        <v>1</v>
      </c>
    </row>
    <row r="2030" spans="1:16" x14ac:dyDescent="0.3">
      <c r="A2030" s="2" t="str">
        <f>TRIM(Table1[[#This Row],[Numer_FV]])</f>
        <v>FV/35/SAL/24</v>
      </c>
      <c r="B2030" s="2" t="str">
        <f>TRIM(Table1[[#This Row],[Numer_PZ]])</f>
        <v>PZ/802028</v>
      </c>
      <c r="C2030" s="2" t="str">
        <f>TRIM(Table1[[#This Row],[Dostawca]])</f>
        <v>SalusHurt</v>
      </c>
      <c r="D2030" s="3">
        <v>45313</v>
      </c>
      <c r="E2030" s="4" t="s">
        <v>5990</v>
      </c>
      <c r="F2030" s="2" t="str">
        <f>TRIM(Table1[[#This Row],[Status]])</f>
        <v>Zaakceptowana</v>
      </c>
      <c r="G2030" s="2" t="str">
        <f>TRIM(Table1[[#This Row],[Typ]])</f>
        <v>Faktura VAT</v>
      </c>
      <c r="H2030" s="2" t="str">
        <f>TRIM(Table1[[#This Row],[Magazyn]])</f>
        <v>Apteka Szpitalna</v>
      </c>
      <c r="I2030" s="2" t="str">
        <f>TRIM(Table1[[#This Row],[Umowa]])</f>
        <v/>
      </c>
      <c r="J2030" s="2" t="b">
        <f>ISTEXT(Table14[[#This Row],[Data_Wystawienia]])</f>
        <v>0</v>
      </c>
      <c r="K2030" s="2">
        <f>VALUE(SUBSTITUTE(Table14[[#This Row],[Wartość]],".",","))</f>
        <v>18385.22</v>
      </c>
      <c r="L20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0" s="2" t="str">
        <f>IF(Table14[[#This Row],[Umowa]]="","Poza umową","Z umowy")</f>
        <v>Poza umową</v>
      </c>
      <c r="N2030" s="2">
        <f>YEAR(Table14[[#This Row],[Data_Wystawienia]])</f>
        <v>2024</v>
      </c>
      <c r="O2030" s="2" t="str">
        <f>TEXT(Table14[[#This Row],[Data_Wystawienia]],"rrrr-mm")</f>
        <v>2024-01</v>
      </c>
      <c r="P2030" s="2">
        <v>1</v>
      </c>
    </row>
    <row r="2031" spans="1:16" x14ac:dyDescent="0.3">
      <c r="A2031" s="2" t="str">
        <f>TRIM(Table1[[#This Row],[Numer_FV]])</f>
        <v>FV/CENFA/109487/24</v>
      </c>
      <c r="B2031" s="2" t="str">
        <f>TRIM(Table1[[#This Row],[Numer_PZ]])</f>
        <v>PZ/802029</v>
      </c>
      <c r="C2031" s="2" t="str">
        <f>TRIM(Table1[[#This Row],[Dostawca]])</f>
        <v>CentrumFarm</v>
      </c>
      <c r="D2031" s="3">
        <v>45313</v>
      </c>
      <c r="E2031" s="4" t="s">
        <v>5993</v>
      </c>
      <c r="F2031" s="2" t="str">
        <f>TRIM(Table1[[#This Row],[Status]])</f>
        <v>Zaakceptowana</v>
      </c>
      <c r="G2031" s="2" t="str">
        <f>TRIM(Table1[[#This Row],[Typ]])</f>
        <v>Faktura VAT</v>
      </c>
      <c r="H2031" s="2" t="str">
        <f>TRIM(Table1[[#This Row],[Magazyn]])</f>
        <v>Apteka Szpitalna</v>
      </c>
      <c r="I2031" s="2" t="str">
        <f>TRIM(Table1[[#This Row],[Umowa]])</f>
        <v>UM-CEN-01</v>
      </c>
      <c r="J2031" s="2" t="b">
        <f>ISTEXT(Table14[[#This Row],[Data_Wystawienia]])</f>
        <v>0</v>
      </c>
      <c r="K2031" s="2">
        <f>VALUE(SUBSTITUTE(Table14[[#This Row],[Wartość]],".",","))</f>
        <v>17358.099999999999</v>
      </c>
      <c r="L20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1" s="2" t="str">
        <f>IF(Table14[[#This Row],[Umowa]]="","Poza umową","Z umowy")</f>
        <v>Z umowy</v>
      </c>
      <c r="N2031" s="2">
        <f>YEAR(Table14[[#This Row],[Data_Wystawienia]])</f>
        <v>2024</v>
      </c>
      <c r="O2031" s="2" t="str">
        <f>TEXT(Table14[[#This Row],[Data_Wystawienia]],"rrrr-mm")</f>
        <v>2024-01</v>
      </c>
      <c r="P2031" s="2">
        <v>1</v>
      </c>
    </row>
    <row r="2032" spans="1:16" x14ac:dyDescent="0.3">
      <c r="A2032" s="2" t="str">
        <f>TRIM(Table1[[#This Row],[Numer_FV]])</f>
        <v>FV/POL/92127/2024</v>
      </c>
      <c r="B2032" s="2" t="str">
        <f>TRIM(Table1[[#This Row],[Numer_PZ]])</f>
        <v>PZ/802030</v>
      </c>
      <c r="C2032" s="2" t="str">
        <f>TRIM(Table1[[#This Row],[Dostawca]])</f>
        <v>Polmedica</v>
      </c>
      <c r="D2032" s="3">
        <v>45314</v>
      </c>
      <c r="E2032" s="4" t="s">
        <v>5996</v>
      </c>
      <c r="F2032" s="2" t="str">
        <f>TRIM(Table1[[#This Row],[Status]])</f>
        <v>Zaakceptowana</v>
      </c>
      <c r="G2032" s="2" t="str">
        <f>TRIM(Table1[[#This Row],[Typ]])</f>
        <v>Faktura VAT</v>
      </c>
      <c r="H2032" s="2" t="str">
        <f>TRIM(Table1[[#This Row],[Magazyn]])</f>
        <v>Apteka Szpitalna</v>
      </c>
      <c r="I2032" s="2" t="str">
        <f>TRIM(Table1[[#This Row],[Umowa]])</f>
        <v>UM-POL-02</v>
      </c>
      <c r="J2032" s="2" t="b">
        <f>ISTEXT(Table14[[#This Row],[Data_Wystawienia]])</f>
        <v>0</v>
      </c>
      <c r="K2032" s="2">
        <f>VALUE(SUBSTITUTE(Table14[[#This Row],[Wartość]],".",","))</f>
        <v>15209.59</v>
      </c>
      <c r="L20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2" s="2" t="str">
        <f>IF(Table14[[#This Row],[Umowa]]="","Poza umową","Z umowy")</f>
        <v>Z umowy</v>
      </c>
      <c r="N2032" s="2">
        <f>YEAR(Table14[[#This Row],[Data_Wystawienia]])</f>
        <v>2024</v>
      </c>
      <c r="O2032" s="2" t="str">
        <f>TEXT(Table14[[#This Row],[Data_Wystawienia]],"rrrr-mm")</f>
        <v>2024-01</v>
      </c>
      <c r="P2032" s="2">
        <v>1</v>
      </c>
    </row>
    <row r="2033" spans="1:16" x14ac:dyDescent="0.3">
      <c r="A2033" s="2" t="str">
        <f>TRIM(Table1[[#This Row],[Numer_FV]])</f>
        <v>FV/65/SAL/24</v>
      </c>
      <c r="B2033" s="2" t="str">
        <f>TRIM(Table1[[#This Row],[Numer_PZ]])</f>
        <v>PZ/802031</v>
      </c>
      <c r="C2033" s="2" t="str">
        <f>TRIM(Table1[[#This Row],[Dostawca]])</f>
        <v>SalusHurt</v>
      </c>
      <c r="D2033" s="3">
        <v>45314</v>
      </c>
      <c r="E2033" s="4" t="s">
        <v>5999</v>
      </c>
      <c r="F2033" s="2" t="str">
        <f>TRIM(Table1[[#This Row],[Status]])</f>
        <v>Zaakceptowana</v>
      </c>
      <c r="G2033" s="2" t="str">
        <f>TRIM(Table1[[#This Row],[Typ]])</f>
        <v>Faktura VAT</v>
      </c>
      <c r="H2033" s="2" t="str">
        <f>TRIM(Table1[[#This Row],[Magazyn]])</f>
        <v>Apteka Szpitalna</v>
      </c>
      <c r="I2033" s="2" t="str">
        <f>TRIM(Table1[[#This Row],[Umowa]])</f>
        <v/>
      </c>
      <c r="J2033" s="2" t="b">
        <f>ISTEXT(Table14[[#This Row],[Data_Wystawienia]])</f>
        <v>0</v>
      </c>
      <c r="K2033" s="2">
        <f>VALUE(SUBSTITUTE(Table14[[#This Row],[Wartość]],".",","))</f>
        <v>11587.78</v>
      </c>
      <c r="L20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3" s="2" t="str">
        <f>IF(Table14[[#This Row],[Umowa]]="","Poza umową","Z umowy")</f>
        <v>Poza umową</v>
      </c>
      <c r="N2033" s="2">
        <f>YEAR(Table14[[#This Row],[Data_Wystawienia]])</f>
        <v>2024</v>
      </c>
      <c r="O2033" s="2" t="str">
        <f>TEXT(Table14[[#This Row],[Data_Wystawienia]],"rrrr-mm")</f>
        <v>2024-01</v>
      </c>
      <c r="P2033" s="2">
        <v>1</v>
      </c>
    </row>
    <row r="2034" spans="1:16" x14ac:dyDescent="0.3">
      <c r="A2034" s="2" t="str">
        <f>TRIM(Table1[[#This Row],[Numer_FV]])</f>
        <v>FV/57/PP/8905/24</v>
      </c>
      <c r="B2034" s="2" t="str">
        <f>TRIM(Table1[[#This Row],[Numer_PZ]])</f>
        <v>PZ/802032</v>
      </c>
      <c r="C2034" s="2" t="str">
        <f>TRIM(Table1[[#This Row],[Dostawca]])</f>
        <v>PharmaPlus</v>
      </c>
      <c r="D2034" s="3">
        <v>45314</v>
      </c>
      <c r="E2034" s="4" t="s">
        <v>6002</v>
      </c>
      <c r="F2034" s="2" t="str">
        <f>TRIM(Table1[[#This Row],[Status]])</f>
        <v>Zaakceptowana</v>
      </c>
      <c r="G2034" s="2" t="str">
        <f>TRIM(Table1[[#This Row],[Typ]])</f>
        <v>Faktura VAT</v>
      </c>
      <c r="H2034" s="2" t="str">
        <f>TRIM(Table1[[#This Row],[Magazyn]])</f>
        <v>Apteka Szpitalna</v>
      </c>
      <c r="I2034" s="2" t="str">
        <f>TRIM(Table1[[#This Row],[Umowa]])</f>
        <v>UM-PHA-01</v>
      </c>
      <c r="J2034" s="2" t="b">
        <f>ISTEXT(Table14[[#This Row],[Data_Wystawienia]])</f>
        <v>0</v>
      </c>
      <c r="K2034" s="2">
        <f>VALUE(SUBSTITUTE(Table14[[#This Row],[Wartość]],".",","))</f>
        <v>17525.97</v>
      </c>
      <c r="L20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4" s="2" t="str">
        <f>IF(Table14[[#This Row],[Umowa]]="","Poza umową","Z umowy")</f>
        <v>Z umowy</v>
      </c>
      <c r="N2034" s="2">
        <f>YEAR(Table14[[#This Row],[Data_Wystawienia]])</f>
        <v>2024</v>
      </c>
      <c r="O2034" s="2" t="str">
        <f>TEXT(Table14[[#This Row],[Data_Wystawienia]],"rrrr-mm")</f>
        <v>2024-01</v>
      </c>
      <c r="P2034" s="2">
        <v>1</v>
      </c>
    </row>
    <row r="2035" spans="1:16" x14ac:dyDescent="0.3">
      <c r="A2035" s="2" t="str">
        <f>TRIM(Table1[[#This Row],[Numer_FV]])</f>
        <v>FV/1547/NOVA/24</v>
      </c>
      <c r="B2035" s="2" t="str">
        <f>TRIM(Table1[[#This Row],[Numer_PZ]])</f>
        <v>PZ/802033</v>
      </c>
      <c r="C2035" s="2" t="str">
        <f>TRIM(Table1[[#This Row],[Dostawca]])</f>
        <v>NovaLek</v>
      </c>
      <c r="D2035" s="3">
        <v>45315</v>
      </c>
      <c r="E2035" s="4" t="s">
        <v>6005</v>
      </c>
      <c r="F2035" s="2" t="str">
        <f>TRIM(Table1[[#This Row],[Status]])</f>
        <v>Zaakceptowana</v>
      </c>
      <c r="G2035" s="2" t="str">
        <f>TRIM(Table1[[#This Row],[Typ]])</f>
        <v>Faktura VAT</v>
      </c>
      <c r="H2035" s="2" t="str">
        <f>TRIM(Table1[[#This Row],[Magazyn]])</f>
        <v>Apteka Szpitalna</v>
      </c>
      <c r="I2035" s="2" t="str">
        <f>TRIM(Table1[[#This Row],[Umowa]])</f>
        <v>UM-NOV-03</v>
      </c>
      <c r="J2035" s="2" t="b">
        <f>ISTEXT(Table14[[#This Row],[Data_Wystawienia]])</f>
        <v>0</v>
      </c>
      <c r="K2035" s="2">
        <f>VALUE(SUBSTITUTE(Table14[[#This Row],[Wartość]],".",","))</f>
        <v>21307.84</v>
      </c>
      <c r="L20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5" s="2" t="str">
        <f>IF(Table14[[#This Row],[Umowa]]="","Poza umową","Z umowy")</f>
        <v>Z umowy</v>
      </c>
      <c r="N2035" s="2">
        <f>YEAR(Table14[[#This Row],[Data_Wystawienia]])</f>
        <v>2024</v>
      </c>
      <c r="O2035" s="2" t="str">
        <f>TEXT(Table14[[#This Row],[Data_Wystawienia]],"rrrr-mm")</f>
        <v>2024-01</v>
      </c>
      <c r="P2035" s="2">
        <v>1</v>
      </c>
    </row>
    <row r="2036" spans="1:16" x14ac:dyDescent="0.3">
      <c r="A2036" s="2" t="str">
        <f>TRIM(Table1[[#This Row],[Numer_FV]])</f>
        <v>FV/9905/NOVA/24</v>
      </c>
      <c r="B2036" s="2" t="str">
        <f>TRIM(Table1[[#This Row],[Numer_PZ]])</f>
        <v>PZ/802034</v>
      </c>
      <c r="C2036" s="2" t="str">
        <f>TRIM(Table1[[#This Row],[Dostawca]])</f>
        <v>NovaLek</v>
      </c>
      <c r="D2036" s="3">
        <v>45315</v>
      </c>
      <c r="E2036" s="4" t="s">
        <v>6008</v>
      </c>
      <c r="F2036" s="2" t="str">
        <f>TRIM(Table1[[#This Row],[Status]])</f>
        <v>Zaakceptowana</v>
      </c>
      <c r="G2036" s="2" t="str">
        <f>TRIM(Table1[[#This Row],[Typ]])</f>
        <v>Faktura VAT</v>
      </c>
      <c r="H2036" s="2" t="str">
        <f>TRIM(Table1[[#This Row],[Magazyn]])</f>
        <v>Apteka Szpitalna</v>
      </c>
      <c r="I2036" s="2" t="str">
        <f>TRIM(Table1[[#This Row],[Umowa]])</f>
        <v>UM-NOV-02</v>
      </c>
      <c r="J2036" s="2" t="b">
        <f>ISTEXT(Table14[[#This Row],[Data_Wystawienia]])</f>
        <v>0</v>
      </c>
      <c r="K2036" s="2">
        <f>VALUE(SUBSTITUTE(Table14[[#This Row],[Wartość]],".",","))</f>
        <v>27948.93</v>
      </c>
      <c r="L20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6" s="2" t="str">
        <f>IF(Table14[[#This Row],[Umowa]]="","Poza umową","Z umowy")</f>
        <v>Z umowy</v>
      </c>
      <c r="N2036" s="2">
        <f>YEAR(Table14[[#This Row],[Data_Wystawienia]])</f>
        <v>2024</v>
      </c>
      <c r="O2036" s="2" t="str">
        <f>TEXT(Table14[[#This Row],[Data_Wystawienia]],"rrrr-mm")</f>
        <v>2024-01</v>
      </c>
      <c r="P2036" s="2">
        <v>1</v>
      </c>
    </row>
    <row r="2037" spans="1:16" x14ac:dyDescent="0.3">
      <c r="A2037" s="2" t="str">
        <f>TRIM(Table1[[#This Row],[Numer_FV]])</f>
        <v>FV/19/SAL/24</v>
      </c>
      <c r="B2037" s="2" t="str">
        <f>TRIM(Table1[[#This Row],[Numer_PZ]])</f>
        <v>PZ/802035</v>
      </c>
      <c r="C2037" s="2" t="str">
        <f>TRIM(Table1[[#This Row],[Dostawca]])</f>
        <v>SalusHurt</v>
      </c>
      <c r="D2037" s="3">
        <v>45315</v>
      </c>
      <c r="E2037" s="4" t="s">
        <v>6011</v>
      </c>
      <c r="F2037" s="2" t="str">
        <f>TRIM(Table1[[#This Row],[Status]])</f>
        <v>Zaakceptowana</v>
      </c>
      <c r="G2037" s="2" t="str">
        <f>TRIM(Table1[[#This Row],[Typ]])</f>
        <v>Faktura VAT</v>
      </c>
      <c r="H2037" s="2" t="str">
        <f>TRIM(Table1[[#This Row],[Magazyn]])</f>
        <v>Apteka Szpitalna</v>
      </c>
      <c r="I2037" s="2" t="str">
        <f>TRIM(Table1[[#This Row],[Umowa]])</f>
        <v>UM-SAL-01</v>
      </c>
      <c r="J2037" s="2" t="b">
        <f>ISTEXT(Table14[[#This Row],[Data_Wystawienia]])</f>
        <v>0</v>
      </c>
      <c r="K2037" s="2">
        <f>VALUE(SUBSTITUTE(Table14[[#This Row],[Wartość]],".",","))</f>
        <v>10242.51</v>
      </c>
      <c r="L20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7" s="2" t="str">
        <f>IF(Table14[[#This Row],[Umowa]]="","Poza umową","Z umowy")</f>
        <v>Z umowy</v>
      </c>
      <c r="N2037" s="2">
        <f>YEAR(Table14[[#This Row],[Data_Wystawienia]])</f>
        <v>2024</v>
      </c>
      <c r="O2037" s="2" t="str">
        <f>TEXT(Table14[[#This Row],[Data_Wystawienia]],"rrrr-mm")</f>
        <v>2024-01</v>
      </c>
      <c r="P2037" s="2">
        <v>1</v>
      </c>
    </row>
    <row r="2038" spans="1:16" x14ac:dyDescent="0.3">
      <c r="A2038" s="2" t="str">
        <f>TRIM(Table1[[#This Row],[Numer_FV]])</f>
        <v>FV/50/SAL/24</v>
      </c>
      <c r="B2038" s="2" t="str">
        <f>TRIM(Table1[[#This Row],[Numer_PZ]])</f>
        <v>PZ/802036</v>
      </c>
      <c r="C2038" s="2" t="str">
        <f>TRIM(Table1[[#This Row],[Dostawca]])</f>
        <v>SalusHurt</v>
      </c>
      <c r="D2038" s="3">
        <v>45315</v>
      </c>
      <c r="E2038" s="4" t="s">
        <v>6014</v>
      </c>
      <c r="F2038" s="2" t="str">
        <f>TRIM(Table1[[#This Row],[Status]])</f>
        <v>Zaakceptowana</v>
      </c>
      <c r="G2038" s="2" t="str">
        <f>TRIM(Table1[[#This Row],[Typ]])</f>
        <v>Faktura VAT</v>
      </c>
      <c r="H2038" s="2" t="str">
        <f>TRIM(Table1[[#This Row],[Magazyn]])</f>
        <v>Apteka Szpitalna</v>
      </c>
      <c r="I2038" s="2" t="str">
        <f>TRIM(Table1[[#This Row],[Umowa]])</f>
        <v>UM-SAL-02</v>
      </c>
      <c r="J2038" s="2" t="b">
        <f>ISTEXT(Table14[[#This Row],[Data_Wystawienia]])</f>
        <v>0</v>
      </c>
      <c r="K2038" s="2">
        <f>VALUE(SUBSTITUTE(Table14[[#This Row],[Wartość]],".",","))</f>
        <v>9836.59</v>
      </c>
      <c r="L20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8" s="2" t="str">
        <f>IF(Table14[[#This Row],[Umowa]]="","Poza umową","Z umowy")</f>
        <v>Z umowy</v>
      </c>
      <c r="N2038" s="2">
        <f>YEAR(Table14[[#This Row],[Data_Wystawienia]])</f>
        <v>2024</v>
      </c>
      <c r="O2038" s="2" t="str">
        <f>TEXT(Table14[[#This Row],[Data_Wystawienia]],"rrrr-mm")</f>
        <v>2024-01</v>
      </c>
      <c r="P2038" s="2">
        <v>1</v>
      </c>
    </row>
    <row r="2039" spans="1:16" x14ac:dyDescent="0.3">
      <c r="A2039" s="2" t="str">
        <f>TRIM(Table1[[#This Row],[Numer_FV]])</f>
        <v>FV/97602/VDb/2024</v>
      </c>
      <c r="B2039" s="2" t="str">
        <f>TRIM(Table1[[#This Row],[Numer_PZ]])</f>
        <v>PZ/802037</v>
      </c>
      <c r="C2039" s="2" t="str">
        <f>TRIM(Table1[[#This Row],[Dostawca]])</f>
        <v>VitaDistrib</v>
      </c>
      <c r="D2039" s="3">
        <v>45316</v>
      </c>
      <c r="E2039" s="4" t="s">
        <v>6017</v>
      </c>
      <c r="F2039" s="2" t="str">
        <f>TRIM(Table1[[#This Row],[Status]])</f>
        <v>Zaakceptowana</v>
      </c>
      <c r="G2039" s="2" t="str">
        <f>TRIM(Table1[[#This Row],[Typ]])</f>
        <v>Faktura VAT</v>
      </c>
      <c r="H2039" s="2" t="str">
        <f>TRIM(Table1[[#This Row],[Magazyn]])</f>
        <v>Apteka Szpitalna</v>
      </c>
      <c r="I2039" s="2" t="str">
        <f>TRIM(Table1[[#This Row],[Umowa]])</f>
        <v>UM-VIT-01</v>
      </c>
      <c r="J2039" s="2" t="b">
        <f>ISTEXT(Table14[[#This Row],[Data_Wystawienia]])</f>
        <v>0</v>
      </c>
      <c r="K2039" s="2">
        <f>VALUE(SUBSTITUTE(Table14[[#This Row],[Wartość]],".",","))</f>
        <v>9202.7099999999991</v>
      </c>
      <c r="L20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39" s="2" t="str">
        <f>IF(Table14[[#This Row],[Umowa]]="","Poza umową","Z umowy")</f>
        <v>Z umowy</v>
      </c>
      <c r="N2039" s="2">
        <f>YEAR(Table14[[#This Row],[Data_Wystawienia]])</f>
        <v>2024</v>
      </c>
      <c r="O2039" s="2" t="str">
        <f>TEXT(Table14[[#This Row],[Data_Wystawienia]],"rrrr-mm")</f>
        <v>2024-01</v>
      </c>
      <c r="P2039" s="2">
        <v>1</v>
      </c>
    </row>
    <row r="2040" spans="1:16" x14ac:dyDescent="0.3">
      <c r="A2040" s="2" t="str">
        <f>TRIM(Table1[[#This Row],[Numer_FV]])</f>
        <v>FV/86/PP/1949/24</v>
      </c>
      <c r="B2040" s="2" t="str">
        <f>TRIM(Table1[[#This Row],[Numer_PZ]])</f>
        <v>PZ/802038</v>
      </c>
      <c r="C2040" s="2" t="str">
        <f>TRIM(Table1[[#This Row],[Dostawca]])</f>
        <v>PharmaPlus</v>
      </c>
      <c r="D2040" s="3">
        <v>45316</v>
      </c>
      <c r="E2040" s="4" t="s">
        <v>6020</v>
      </c>
      <c r="F2040" s="2" t="str">
        <f>TRIM(Table1[[#This Row],[Status]])</f>
        <v>Zaakceptowana</v>
      </c>
      <c r="G2040" s="2" t="str">
        <f>TRIM(Table1[[#This Row],[Typ]])</f>
        <v>Faktura VAT</v>
      </c>
      <c r="H2040" s="2" t="str">
        <f>TRIM(Table1[[#This Row],[Magazyn]])</f>
        <v>Apteka Szpitalna</v>
      </c>
      <c r="I2040" s="2" t="str">
        <f>TRIM(Table1[[#This Row],[Umowa]])</f>
        <v>UM-PHA-02</v>
      </c>
      <c r="J2040" s="2" t="b">
        <f>ISTEXT(Table14[[#This Row],[Data_Wystawienia]])</f>
        <v>0</v>
      </c>
      <c r="K2040" s="2">
        <f>VALUE(SUBSTITUTE(Table14[[#This Row],[Wartość]],".",","))</f>
        <v>13726.99</v>
      </c>
      <c r="L20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0" s="2" t="str">
        <f>IF(Table14[[#This Row],[Umowa]]="","Poza umową","Z umowy")</f>
        <v>Z umowy</v>
      </c>
      <c r="N2040" s="2">
        <f>YEAR(Table14[[#This Row],[Data_Wystawienia]])</f>
        <v>2024</v>
      </c>
      <c r="O2040" s="2" t="str">
        <f>TEXT(Table14[[#This Row],[Data_Wystawienia]],"rrrr-mm")</f>
        <v>2024-01</v>
      </c>
      <c r="P2040" s="2">
        <v>1</v>
      </c>
    </row>
    <row r="2041" spans="1:16" x14ac:dyDescent="0.3">
      <c r="A2041" s="2" t="str">
        <f>TRIM(Table1[[#This Row],[Numer_FV]])</f>
        <v>FV/CENFA/482007/24</v>
      </c>
      <c r="B2041" s="2" t="str">
        <f>TRIM(Table1[[#This Row],[Numer_PZ]])</f>
        <v>PZ/802039</v>
      </c>
      <c r="C2041" s="2" t="str">
        <f>TRIM(Table1[[#This Row],[Dostawca]])</f>
        <v>CentrumFarm</v>
      </c>
      <c r="D2041" s="3">
        <v>45316</v>
      </c>
      <c r="E2041" s="4" t="s">
        <v>6023</v>
      </c>
      <c r="F2041" s="2" t="str">
        <f>TRIM(Table1[[#This Row],[Status]])</f>
        <v>Zaakceptowana</v>
      </c>
      <c r="G2041" s="2" t="str">
        <f>TRIM(Table1[[#This Row],[Typ]])</f>
        <v>Faktura VAT</v>
      </c>
      <c r="H2041" s="2" t="str">
        <f>TRIM(Table1[[#This Row],[Magazyn]])</f>
        <v>Apteka Szpitalna</v>
      </c>
      <c r="I2041" s="2" t="str">
        <f>TRIM(Table1[[#This Row],[Umowa]])</f>
        <v>UM-CEN-01</v>
      </c>
      <c r="J2041" s="2" t="b">
        <f>ISTEXT(Table14[[#This Row],[Data_Wystawienia]])</f>
        <v>0</v>
      </c>
      <c r="K2041" s="2">
        <f>VALUE(SUBSTITUTE(Table14[[#This Row],[Wartość]],".",","))</f>
        <v>15819.17</v>
      </c>
      <c r="L20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1" s="2" t="str">
        <f>IF(Table14[[#This Row],[Umowa]]="","Poza umową","Z umowy")</f>
        <v>Z umowy</v>
      </c>
      <c r="N2041" s="2">
        <f>YEAR(Table14[[#This Row],[Data_Wystawienia]])</f>
        <v>2024</v>
      </c>
      <c r="O2041" s="2" t="str">
        <f>TEXT(Table14[[#This Row],[Data_Wystawienia]],"rrrr-mm")</f>
        <v>2024-01</v>
      </c>
      <c r="P2041" s="2">
        <v>1</v>
      </c>
    </row>
    <row r="2042" spans="1:16" x14ac:dyDescent="0.3">
      <c r="A2042" s="2" t="str">
        <f>TRIM(Table1[[#This Row],[Numer_FV]])</f>
        <v>FV/CENFA/487810/24</v>
      </c>
      <c r="B2042" s="2" t="str">
        <f>TRIM(Table1[[#This Row],[Numer_PZ]])</f>
        <v>PZ/802040</v>
      </c>
      <c r="C2042" s="2" t="str">
        <f>TRIM(Table1[[#This Row],[Dostawca]])</f>
        <v>CentrumFarm</v>
      </c>
      <c r="D2042" s="3">
        <v>45316</v>
      </c>
      <c r="E2042" s="4" t="s">
        <v>6026</v>
      </c>
      <c r="F2042" s="2" t="str">
        <f>TRIM(Table1[[#This Row],[Status]])</f>
        <v>Zaakceptowana</v>
      </c>
      <c r="G2042" s="2" t="str">
        <f>TRIM(Table1[[#This Row],[Typ]])</f>
        <v>Faktura VAT</v>
      </c>
      <c r="H2042" s="2" t="str">
        <f>TRIM(Table1[[#This Row],[Magazyn]])</f>
        <v>Apteka Szpitalna</v>
      </c>
      <c r="I2042" s="2" t="str">
        <f>TRIM(Table1[[#This Row],[Umowa]])</f>
        <v/>
      </c>
      <c r="J2042" s="2" t="b">
        <f>ISTEXT(Table14[[#This Row],[Data_Wystawienia]])</f>
        <v>0</v>
      </c>
      <c r="K2042" s="2">
        <f>VALUE(SUBSTITUTE(Table14[[#This Row],[Wartość]],".",","))</f>
        <v>19498.23</v>
      </c>
      <c r="L20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2" s="2" t="str">
        <f>IF(Table14[[#This Row],[Umowa]]="","Poza umową","Z umowy")</f>
        <v>Poza umową</v>
      </c>
      <c r="N2042" s="2">
        <f>YEAR(Table14[[#This Row],[Data_Wystawienia]])</f>
        <v>2024</v>
      </c>
      <c r="O2042" s="2" t="str">
        <f>TEXT(Table14[[#This Row],[Data_Wystawienia]],"rrrr-mm")</f>
        <v>2024-01</v>
      </c>
      <c r="P2042" s="2">
        <v>1</v>
      </c>
    </row>
    <row r="2043" spans="1:16" x14ac:dyDescent="0.3">
      <c r="A2043" s="2" t="str">
        <f>TRIM(Table1[[#This Row],[Numer_FV]])</f>
        <v>FV/64937/VDb/2024</v>
      </c>
      <c r="B2043" s="2" t="str">
        <f>TRIM(Table1[[#This Row],[Numer_PZ]])</f>
        <v>PZ/802041</v>
      </c>
      <c r="C2043" s="2" t="str">
        <f>TRIM(Table1[[#This Row],[Dostawca]])</f>
        <v>VitaDistrib</v>
      </c>
      <c r="D2043" s="3">
        <v>45317</v>
      </c>
      <c r="E2043" s="4" t="s">
        <v>6029</v>
      </c>
      <c r="F2043" s="2" t="str">
        <f>TRIM(Table1[[#This Row],[Status]])</f>
        <v>Zaakceptowana</v>
      </c>
      <c r="G2043" s="2" t="str">
        <f>TRIM(Table1[[#This Row],[Typ]])</f>
        <v>Faktura VAT</v>
      </c>
      <c r="H2043" s="2" t="str">
        <f>TRIM(Table1[[#This Row],[Magazyn]])</f>
        <v>Apteka Szpitalna</v>
      </c>
      <c r="I2043" s="2" t="str">
        <f>TRIM(Table1[[#This Row],[Umowa]])</f>
        <v>UM-VIT-01</v>
      </c>
      <c r="J2043" s="2" t="b">
        <f>ISTEXT(Table14[[#This Row],[Data_Wystawienia]])</f>
        <v>0</v>
      </c>
      <c r="K2043" s="2">
        <f>VALUE(SUBSTITUTE(Table14[[#This Row],[Wartość]],".",","))</f>
        <v>20948.419999999998</v>
      </c>
      <c r="L20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3" s="2" t="str">
        <f>IF(Table14[[#This Row],[Umowa]]="","Poza umową","Z umowy")</f>
        <v>Z umowy</v>
      </c>
      <c r="N2043" s="2">
        <f>YEAR(Table14[[#This Row],[Data_Wystawienia]])</f>
        <v>2024</v>
      </c>
      <c r="O2043" s="2" t="str">
        <f>TEXT(Table14[[#This Row],[Data_Wystawienia]],"rrrr-mm")</f>
        <v>2024-01</v>
      </c>
      <c r="P2043" s="2">
        <v>1</v>
      </c>
    </row>
    <row r="2044" spans="1:16" x14ac:dyDescent="0.3">
      <c r="A2044" s="2" t="str">
        <f>TRIM(Table1[[#This Row],[Numer_FV]])</f>
        <v>FV/POL/24692/2024</v>
      </c>
      <c r="B2044" s="2" t="str">
        <f>TRIM(Table1[[#This Row],[Numer_PZ]])</f>
        <v>PZ/802042</v>
      </c>
      <c r="C2044" s="2" t="str">
        <f>TRIM(Table1[[#This Row],[Dostawca]])</f>
        <v>Polmedica</v>
      </c>
      <c r="D2044" s="3">
        <v>45317</v>
      </c>
      <c r="E2044" s="4" t="s">
        <v>6032</v>
      </c>
      <c r="F2044" s="2" t="str">
        <f>TRIM(Table1[[#This Row],[Status]])</f>
        <v>Zaakceptowana</v>
      </c>
      <c r="G2044" s="2" t="str">
        <f>TRIM(Table1[[#This Row],[Typ]])</f>
        <v>Faktura VAT</v>
      </c>
      <c r="H2044" s="2" t="str">
        <f>TRIM(Table1[[#This Row],[Magazyn]])</f>
        <v>Apteka Szpitalna</v>
      </c>
      <c r="I2044" s="2" t="str">
        <f>TRIM(Table1[[#This Row],[Umowa]])</f>
        <v/>
      </c>
      <c r="J2044" s="2" t="b">
        <f>ISTEXT(Table14[[#This Row],[Data_Wystawienia]])</f>
        <v>0</v>
      </c>
      <c r="K2044" s="2">
        <f>VALUE(SUBSTITUTE(Table14[[#This Row],[Wartość]],".",","))</f>
        <v>18824.810000000001</v>
      </c>
      <c r="L20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4" s="2" t="str">
        <f>IF(Table14[[#This Row],[Umowa]]="","Poza umową","Z umowy")</f>
        <v>Poza umową</v>
      </c>
      <c r="N2044" s="2">
        <f>YEAR(Table14[[#This Row],[Data_Wystawienia]])</f>
        <v>2024</v>
      </c>
      <c r="O2044" s="2" t="str">
        <f>TEXT(Table14[[#This Row],[Data_Wystawienia]],"rrrr-mm")</f>
        <v>2024-01</v>
      </c>
      <c r="P2044" s="2">
        <v>1</v>
      </c>
    </row>
    <row r="2045" spans="1:16" x14ac:dyDescent="0.3">
      <c r="A2045" s="2" t="str">
        <f>TRIM(Table1[[#This Row],[Numer_FV]])</f>
        <v>FV/53347/VDb/2024</v>
      </c>
      <c r="B2045" s="2" t="str">
        <f>TRIM(Table1[[#This Row],[Numer_PZ]])</f>
        <v>PZ/802043</v>
      </c>
      <c r="C2045" s="2" t="str">
        <f>TRIM(Table1[[#This Row],[Dostawca]])</f>
        <v>VitaDistrib</v>
      </c>
      <c r="D2045" s="3">
        <v>45317</v>
      </c>
      <c r="E2045" s="4" t="s">
        <v>6035</v>
      </c>
      <c r="F2045" s="2" t="str">
        <f>TRIM(Table1[[#This Row],[Status]])</f>
        <v>Zaakceptowana</v>
      </c>
      <c r="G2045" s="2" t="str">
        <f>TRIM(Table1[[#This Row],[Typ]])</f>
        <v>Faktura VAT</v>
      </c>
      <c r="H2045" s="2" t="str">
        <f>TRIM(Table1[[#This Row],[Magazyn]])</f>
        <v>Apteka Szpitalna</v>
      </c>
      <c r="I2045" s="2" t="str">
        <f>TRIM(Table1[[#This Row],[Umowa]])</f>
        <v/>
      </c>
      <c r="J2045" s="2" t="b">
        <f>ISTEXT(Table14[[#This Row],[Data_Wystawienia]])</f>
        <v>0</v>
      </c>
      <c r="K2045" s="2">
        <f>VALUE(SUBSTITUTE(Table14[[#This Row],[Wartość]],".",","))</f>
        <v>8588.8700000000008</v>
      </c>
      <c r="L20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5" s="2" t="str">
        <f>IF(Table14[[#This Row],[Umowa]]="","Poza umową","Z umowy")</f>
        <v>Poza umową</v>
      </c>
      <c r="N2045" s="2">
        <f>YEAR(Table14[[#This Row],[Data_Wystawienia]])</f>
        <v>2024</v>
      </c>
      <c r="O2045" s="2" t="str">
        <f>TEXT(Table14[[#This Row],[Data_Wystawienia]],"rrrr-mm")</f>
        <v>2024-01</v>
      </c>
      <c r="P2045" s="2">
        <v>1</v>
      </c>
    </row>
    <row r="2046" spans="1:16" x14ac:dyDescent="0.3">
      <c r="A2046" s="2" t="str">
        <f>TRIM(Table1[[#This Row],[Numer_FV]])</f>
        <v>FV/58208/VDb/2024</v>
      </c>
      <c r="B2046" s="2" t="str">
        <f>TRIM(Table1[[#This Row],[Numer_PZ]])</f>
        <v>PZ/802044</v>
      </c>
      <c r="C2046" s="2" t="str">
        <f>TRIM(Table1[[#This Row],[Dostawca]])</f>
        <v>VitaDistrib</v>
      </c>
      <c r="D2046" s="3">
        <v>45318</v>
      </c>
      <c r="E2046" s="4" t="s">
        <v>6038</v>
      </c>
      <c r="F2046" s="2" t="str">
        <f>TRIM(Table1[[#This Row],[Status]])</f>
        <v>Zaakceptowana</v>
      </c>
      <c r="G2046" s="2" t="str">
        <f>TRIM(Table1[[#This Row],[Typ]])</f>
        <v>Korekta FV</v>
      </c>
      <c r="H2046" s="2" t="str">
        <f>TRIM(Table1[[#This Row],[Magazyn]])</f>
        <v>Apteka Szpitalna</v>
      </c>
      <c r="I2046" s="2" t="str">
        <f>TRIM(Table1[[#This Row],[Umowa]])</f>
        <v>UM-VIT-01</v>
      </c>
      <c r="J2046" s="2" t="b">
        <f>ISTEXT(Table14[[#This Row],[Data_Wystawienia]])</f>
        <v>0</v>
      </c>
      <c r="K2046" s="2">
        <f>VALUE(SUBSTITUTE(Table14[[#This Row],[Wartość]],".",","))</f>
        <v>-61.89</v>
      </c>
      <c r="L20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6" s="2" t="str">
        <f>IF(Table14[[#This Row],[Umowa]]="","Poza umową","Z umowy")</f>
        <v>Z umowy</v>
      </c>
      <c r="N2046" s="2">
        <f>YEAR(Table14[[#This Row],[Data_Wystawienia]])</f>
        <v>2024</v>
      </c>
      <c r="O2046" s="2" t="str">
        <f>TEXT(Table14[[#This Row],[Data_Wystawienia]],"rrrr-mm")</f>
        <v>2024-01</v>
      </c>
      <c r="P2046" s="2">
        <v>1</v>
      </c>
    </row>
    <row r="2047" spans="1:16" x14ac:dyDescent="0.3">
      <c r="A2047" s="2" t="str">
        <f>TRIM(Table1[[#This Row],[Numer_FV]])</f>
        <v>FV/13/SAL/24</v>
      </c>
      <c r="B2047" s="2" t="str">
        <f>TRIM(Table1[[#This Row],[Numer_PZ]])</f>
        <v>PZ/802045</v>
      </c>
      <c r="C2047" s="2" t="str">
        <f>TRIM(Table1[[#This Row],[Dostawca]])</f>
        <v>SalusHurt</v>
      </c>
      <c r="D2047" s="3">
        <v>45320</v>
      </c>
      <c r="E2047" s="4" t="s">
        <v>6041</v>
      </c>
      <c r="F2047" s="2" t="str">
        <f>TRIM(Table1[[#This Row],[Status]])</f>
        <v>Zaakceptowana</v>
      </c>
      <c r="G2047" s="2" t="str">
        <f>TRIM(Table1[[#This Row],[Typ]])</f>
        <v>Faktura VAT</v>
      </c>
      <c r="H2047" s="2" t="str">
        <f>TRIM(Table1[[#This Row],[Magazyn]])</f>
        <v>Apteka Szpitalna</v>
      </c>
      <c r="I2047" s="2" t="str">
        <f>TRIM(Table1[[#This Row],[Umowa]])</f>
        <v>UM-SAL-02</v>
      </c>
      <c r="J2047" s="2" t="b">
        <f>ISTEXT(Table14[[#This Row],[Data_Wystawienia]])</f>
        <v>0</v>
      </c>
      <c r="K2047" s="2">
        <f>VALUE(SUBSTITUTE(Table14[[#This Row],[Wartość]],".",","))</f>
        <v>18180.259999999998</v>
      </c>
      <c r="L20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7" s="2" t="str">
        <f>IF(Table14[[#This Row],[Umowa]]="","Poza umową","Z umowy")</f>
        <v>Z umowy</v>
      </c>
      <c r="N2047" s="2">
        <f>YEAR(Table14[[#This Row],[Data_Wystawienia]])</f>
        <v>2024</v>
      </c>
      <c r="O2047" s="2" t="str">
        <f>TEXT(Table14[[#This Row],[Data_Wystawienia]],"rrrr-mm")</f>
        <v>2024-01</v>
      </c>
      <c r="P2047" s="2">
        <v>1</v>
      </c>
    </row>
    <row r="2048" spans="1:16" x14ac:dyDescent="0.3">
      <c r="A2048" s="2" t="str">
        <f>TRIM(Table1[[#This Row],[Numer_FV]])</f>
        <v>FV/15/SAL/24</v>
      </c>
      <c r="B2048" s="2" t="str">
        <f>TRIM(Table1[[#This Row],[Numer_PZ]])</f>
        <v>PZ/802046</v>
      </c>
      <c r="C2048" s="2" t="str">
        <f>TRIM(Table1[[#This Row],[Dostawca]])</f>
        <v>SalusHurt</v>
      </c>
      <c r="D2048" s="3">
        <v>45320</v>
      </c>
      <c r="E2048" s="4" t="s">
        <v>6044</v>
      </c>
      <c r="F2048" s="2" t="str">
        <f>TRIM(Table1[[#This Row],[Status]])</f>
        <v>Zaakceptowana</v>
      </c>
      <c r="G2048" s="2" t="str">
        <f>TRIM(Table1[[#This Row],[Typ]])</f>
        <v>Faktura VAT</v>
      </c>
      <c r="H2048" s="2" t="str">
        <f>TRIM(Table1[[#This Row],[Magazyn]])</f>
        <v>Apteka Szpitalna</v>
      </c>
      <c r="I2048" s="2" t="str">
        <f>TRIM(Table1[[#This Row],[Umowa]])</f>
        <v>UM-SAL-01</v>
      </c>
      <c r="J2048" s="2" t="b">
        <f>ISTEXT(Table14[[#This Row],[Data_Wystawienia]])</f>
        <v>0</v>
      </c>
      <c r="K2048" s="2">
        <f>VALUE(SUBSTITUTE(Table14[[#This Row],[Wartość]],".",","))</f>
        <v>8744.9699999999993</v>
      </c>
      <c r="L20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8" s="2" t="str">
        <f>IF(Table14[[#This Row],[Umowa]]="","Poza umową","Z umowy")</f>
        <v>Z umowy</v>
      </c>
      <c r="N2048" s="2">
        <f>YEAR(Table14[[#This Row],[Data_Wystawienia]])</f>
        <v>2024</v>
      </c>
      <c r="O2048" s="2" t="str">
        <f>TEXT(Table14[[#This Row],[Data_Wystawienia]],"rrrr-mm")</f>
        <v>2024-01</v>
      </c>
      <c r="P2048" s="2">
        <v>1</v>
      </c>
    </row>
    <row r="2049" spans="1:16" x14ac:dyDescent="0.3">
      <c r="A2049" s="2" t="str">
        <f>TRIM(Table1[[#This Row],[Numer_FV]])</f>
        <v>FV/CENFA/423417/24</v>
      </c>
      <c r="B2049" s="2" t="str">
        <f>TRIM(Table1[[#This Row],[Numer_PZ]])</f>
        <v>PZ/802047</v>
      </c>
      <c r="C2049" s="2" t="str">
        <f>TRIM(Table1[[#This Row],[Dostawca]])</f>
        <v>CentrumFarm</v>
      </c>
      <c r="D2049" s="3">
        <v>45320</v>
      </c>
      <c r="E2049" s="4" t="s">
        <v>6047</v>
      </c>
      <c r="F2049" s="2" t="str">
        <f>TRIM(Table1[[#This Row],[Status]])</f>
        <v>Zaakceptowana</v>
      </c>
      <c r="G2049" s="2" t="str">
        <f>TRIM(Table1[[#This Row],[Typ]])</f>
        <v>Faktura VAT</v>
      </c>
      <c r="H2049" s="2" t="str">
        <f>TRIM(Table1[[#This Row],[Magazyn]])</f>
        <v>Apteka Szpitalna</v>
      </c>
      <c r="I2049" s="2" t="str">
        <f>TRIM(Table1[[#This Row],[Umowa]])</f>
        <v>UM-CEN-02</v>
      </c>
      <c r="J2049" s="2" t="b">
        <f>ISTEXT(Table14[[#This Row],[Data_Wystawienia]])</f>
        <v>0</v>
      </c>
      <c r="K2049" s="2">
        <f>VALUE(SUBSTITUTE(Table14[[#This Row],[Wartość]],".",","))</f>
        <v>16155.47</v>
      </c>
      <c r="L20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49" s="2" t="str">
        <f>IF(Table14[[#This Row],[Umowa]]="","Poza umową","Z umowy")</f>
        <v>Z umowy</v>
      </c>
      <c r="N2049" s="2">
        <f>YEAR(Table14[[#This Row],[Data_Wystawienia]])</f>
        <v>2024</v>
      </c>
      <c r="O2049" s="2" t="str">
        <f>TEXT(Table14[[#This Row],[Data_Wystawienia]],"rrrr-mm")</f>
        <v>2024-01</v>
      </c>
      <c r="P2049" s="2">
        <v>1</v>
      </c>
    </row>
    <row r="2050" spans="1:16" x14ac:dyDescent="0.3">
      <c r="A2050" s="2" t="str">
        <f>TRIM(Table1[[#This Row],[Numer_FV]])</f>
        <v>FV/M/5018/P/24</v>
      </c>
      <c r="B2050" s="2" t="str">
        <f>TRIM(Table1[[#This Row],[Numer_PZ]])</f>
        <v>PZ/802048</v>
      </c>
      <c r="C2050" s="2" t="str">
        <f>TRIM(Table1[[#This Row],[Dostawca]])</f>
        <v>MedicaPharm</v>
      </c>
      <c r="D2050" s="3">
        <v>45320</v>
      </c>
      <c r="E2050" s="4" t="s">
        <v>6050</v>
      </c>
      <c r="F2050" s="2" t="str">
        <f>TRIM(Table1[[#This Row],[Status]])</f>
        <v>Zaakceptowana</v>
      </c>
      <c r="G2050" s="2" t="str">
        <f>TRIM(Table1[[#This Row],[Typ]])</f>
        <v>Faktura VAT</v>
      </c>
      <c r="H2050" s="2" t="str">
        <f>TRIM(Table1[[#This Row],[Magazyn]])</f>
        <v>Apteka Szpitalna</v>
      </c>
      <c r="I2050" s="2" t="str">
        <f>TRIM(Table1[[#This Row],[Umowa]])</f>
        <v>UM-MED-01</v>
      </c>
      <c r="J2050" s="2" t="b">
        <f>ISTEXT(Table14[[#This Row],[Data_Wystawienia]])</f>
        <v>0</v>
      </c>
      <c r="K2050" s="2">
        <f>VALUE(SUBSTITUTE(Table14[[#This Row],[Wartość]],".",","))</f>
        <v>10213.99</v>
      </c>
      <c r="L20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0" s="2" t="str">
        <f>IF(Table14[[#This Row],[Umowa]]="","Poza umową","Z umowy")</f>
        <v>Z umowy</v>
      </c>
      <c r="N2050" s="2">
        <f>YEAR(Table14[[#This Row],[Data_Wystawienia]])</f>
        <v>2024</v>
      </c>
      <c r="O2050" s="2" t="str">
        <f>TEXT(Table14[[#This Row],[Data_Wystawienia]],"rrrr-mm")</f>
        <v>2024-01</v>
      </c>
      <c r="P2050" s="2">
        <v>1</v>
      </c>
    </row>
    <row r="2051" spans="1:16" x14ac:dyDescent="0.3">
      <c r="A2051" s="2" t="str">
        <f>TRIM(Table1[[#This Row],[Numer_FV]])</f>
        <v>FV/46/SAL/24</v>
      </c>
      <c r="B2051" s="2" t="str">
        <f>TRIM(Table1[[#This Row],[Numer_PZ]])</f>
        <v>PZ/802049</v>
      </c>
      <c r="C2051" s="2" t="str">
        <f>TRIM(Table1[[#This Row],[Dostawca]])</f>
        <v>SalusHurt</v>
      </c>
      <c r="D2051" s="3">
        <v>45320</v>
      </c>
      <c r="E2051" s="4" t="s">
        <v>6053</v>
      </c>
      <c r="F2051" s="2" t="str">
        <f>TRIM(Table1[[#This Row],[Status]])</f>
        <v>Zaakceptowana</v>
      </c>
      <c r="G2051" s="2" t="str">
        <f>TRIM(Table1[[#This Row],[Typ]])</f>
        <v>Faktura VAT</v>
      </c>
      <c r="H2051" s="2" t="str">
        <f>TRIM(Table1[[#This Row],[Magazyn]])</f>
        <v>Apteka Szpitalna</v>
      </c>
      <c r="I2051" s="2" t="str">
        <f>TRIM(Table1[[#This Row],[Umowa]])</f>
        <v>UM-SAL-01</v>
      </c>
      <c r="J2051" s="2" t="b">
        <f>ISTEXT(Table14[[#This Row],[Data_Wystawienia]])</f>
        <v>0</v>
      </c>
      <c r="K2051" s="2">
        <f>VALUE(SUBSTITUTE(Table14[[#This Row],[Wartość]],".",","))</f>
        <v>20605.810000000001</v>
      </c>
      <c r="L20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1" s="2" t="str">
        <f>IF(Table14[[#This Row],[Umowa]]="","Poza umową","Z umowy")</f>
        <v>Z umowy</v>
      </c>
      <c r="N2051" s="2">
        <f>YEAR(Table14[[#This Row],[Data_Wystawienia]])</f>
        <v>2024</v>
      </c>
      <c r="O2051" s="2" t="str">
        <f>TEXT(Table14[[#This Row],[Data_Wystawienia]],"rrrr-mm")</f>
        <v>2024-01</v>
      </c>
      <c r="P2051" s="2">
        <v>1</v>
      </c>
    </row>
    <row r="2052" spans="1:16" x14ac:dyDescent="0.3">
      <c r="A2052" s="2" t="str">
        <f>TRIM(Table1[[#This Row],[Numer_FV]])</f>
        <v>FV/CENFA/249043/24</v>
      </c>
      <c r="B2052" s="2" t="str">
        <f>TRIM(Table1[[#This Row],[Numer_PZ]])</f>
        <v>PZ/802050</v>
      </c>
      <c r="C2052" s="2" t="str">
        <f>TRIM(Table1[[#This Row],[Dostawca]])</f>
        <v>CentrumFarm</v>
      </c>
      <c r="D2052" s="3">
        <v>45320</v>
      </c>
      <c r="E2052" s="4" t="s">
        <v>6056</v>
      </c>
      <c r="F2052" s="2" t="str">
        <f>TRIM(Table1[[#This Row],[Status]])</f>
        <v>Zaakceptowana</v>
      </c>
      <c r="G2052" s="2" t="str">
        <f>TRIM(Table1[[#This Row],[Typ]])</f>
        <v>Faktura VAT</v>
      </c>
      <c r="H2052" s="2" t="str">
        <f>TRIM(Table1[[#This Row],[Magazyn]])</f>
        <v>Apteka Szpitalna</v>
      </c>
      <c r="I2052" s="2" t="str">
        <f>TRIM(Table1[[#This Row],[Umowa]])</f>
        <v>UM-CEN-02</v>
      </c>
      <c r="J2052" s="2" t="b">
        <f>ISTEXT(Table14[[#This Row],[Data_Wystawienia]])</f>
        <v>0</v>
      </c>
      <c r="K2052" s="2">
        <f>VALUE(SUBSTITUTE(Table14[[#This Row],[Wartość]],".",","))</f>
        <v>18085.89</v>
      </c>
      <c r="L20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2" s="2" t="str">
        <f>IF(Table14[[#This Row],[Umowa]]="","Poza umową","Z umowy")</f>
        <v>Z umowy</v>
      </c>
      <c r="N2052" s="2">
        <f>YEAR(Table14[[#This Row],[Data_Wystawienia]])</f>
        <v>2024</v>
      </c>
      <c r="O2052" s="2" t="str">
        <f>TEXT(Table14[[#This Row],[Data_Wystawienia]],"rrrr-mm")</f>
        <v>2024-01</v>
      </c>
      <c r="P2052" s="2">
        <v>1</v>
      </c>
    </row>
    <row r="2053" spans="1:16" x14ac:dyDescent="0.3">
      <c r="A2053" s="2" t="str">
        <f>TRIM(Table1[[#This Row],[Numer_FV]])</f>
        <v>FV/M/7686/P/24</v>
      </c>
      <c r="B2053" s="2" t="str">
        <f>TRIM(Table1[[#This Row],[Numer_PZ]])</f>
        <v>PZ/802051</v>
      </c>
      <c r="C2053" s="2" t="str">
        <f>TRIM(Table1[[#This Row],[Dostawca]])</f>
        <v>MedicaPharm</v>
      </c>
      <c r="D2053" s="3">
        <v>45321</v>
      </c>
      <c r="E2053" s="4" t="s">
        <v>6059</v>
      </c>
      <c r="F2053" s="2" t="str">
        <f>TRIM(Table1[[#This Row],[Status]])</f>
        <v>Zaakceptowana</v>
      </c>
      <c r="G2053" s="2" t="str">
        <f>TRIM(Table1[[#This Row],[Typ]])</f>
        <v>Faktura VAT</v>
      </c>
      <c r="H2053" s="2" t="str">
        <f>TRIM(Table1[[#This Row],[Magazyn]])</f>
        <v>Apteka Szpitalna</v>
      </c>
      <c r="I2053" s="2" t="str">
        <f>TRIM(Table1[[#This Row],[Umowa]])</f>
        <v>UM-MED-02</v>
      </c>
      <c r="J2053" s="2" t="b">
        <f>ISTEXT(Table14[[#This Row],[Data_Wystawienia]])</f>
        <v>0</v>
      </c>
      <c r="K2053" s="2">
        <f>VALUE(SUBSTITUTE(Table14[[#This Row],[Wartość]],".",","))</f>
        <v>15961.21</v>
      </c>
      <c r="L20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3" s="2" t="str">
        <f>IF(Table14[[#This Row],[Umowa]]="","Poza umową","Z umowy")</f>
        <v>Z umowy</v>
      </c>
      <c r="N2053" s="2">
        <f>YEAR(Table14[[#This Row],[Data_Wystawienia]])</f>
        <v>2024</v>
      </c>
      <c r="O2053" s="2" t="str">
        <f>TEXT(Table14[[#This Row],[Data_Wystawienia]],"rrrr-mm")</f>
        <v>2024-01</v>
      </c>
      <c r="P2053" s="2">
        <v>1</v>
      </c>
    </row>
    <row r="2054" spans="1:16" x14ac:dyDescent="0.3">
      <c r="A2054" s="2" t="str">
        <f>TRIM(Table1[[#This Row],[Numer_FV]])</f>
        <v>FV/CENFA/884503/24</v>
      </c>
      <c r="B2054" s="2" t="str">
        <f>TRIM(Table1[[#This Row],[Numer_PZ]])</f>
        <v>PZ/802052</v>
      </c>
      <c r="C2054" s="2" t="str">
        <f>TRIM(Table1[[#This Row],[Dostawca]])</f>
        <v>CentrumFarm</v>
      </c>
      <c r="D2054" s="3">
        <v>45321</v>
      </c>
      <c r="E2054" s="4" t="s">
        <v>6062</v>
      </c>
      <c r="F2054" s="2" t="str">
        <f>TRIM(Table1[[#This Row],[Status]])</f>
        <v>Zaakceptowana</v>
      </c>
      <c r="G2054" s="2" t="str">
        <f>TRIM(Table1[[#This Row],[Typ]])</f>
        <v>Faktura VAT</v>
      </c>
      <c r="H2054" s="2" t="str">
        <f>TRIM(Table1[[#This Row],[Magazyn]])</f>
        <v>Apteka Szpitalna</v>
      </c>
      <c r="I2054" s="2" t="str">
        <f>TRIM(Table1[[#This Row],[Umowa]])</f>
        <v/>
      </c>
      <c r="J2054" s="2" t="b">
        <f>ISTEXT(Table14[[#This Row],[Data_Wystawienia]])</f>
        <v>0</v>
      </c>
      <c r="K2054" s="2">
        <f>VALUE(SUBSTITUTE(Table14[[#This Row],[Wartość]],".",","))</f>
        <v>15837.05</v>
      </c>
      <c r="L20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4" s="2" t="str">
        <f>IF(Table14[[#This Row],[Umowa]]="","Poza umową","Z umowy")</f>
        <v>Poza umową</v>
      </c>
      <c r="N2054" s="2">
        <f>YEAR(Table14[[#This Row],[Data_Wystawienia]])</f>
        <v>2024</v>
      </c>
      <c r="O2054" s="2" t="str">
        <f>TEXT(Table14[[#This Row],[Data_Wystawienia]],"rrrr-mm")</f>
        <v>2024-01</v>
      </c>
      <c r="P2054" s="2">
        <v>1</v>
      </c>
    </row>
    <row r="2055" spans="1:16" x14ac:dyDescent="0.3">
      <c r="A2055" s="2" t="str">
        <f>TRIM(Table1[[#This Row],[Numer_FV]])</f>
        <v>FV/5181HM/24</v>
      </c>
      <c r="B2055" s="2" t="str">
        <f>TRIM(Table1[[#This Row],[Numer_PZ]])</f>
        <v>PZ/802053</v>
      </c>
      <c r="C2055" s="2" t="str">
        <f>TRIM(Table1[[#This Row],[Dostawca]])</f>
        <v>HurtMedix</v>
      </c>
      <c r="D2055" s="3">
        <v>45321</v>
      </c>
      <c r="E2055" s="4" t="s">
        <v>6065</v>
      </c>
      <c r="F2055" s="2" t="str">
        <f>TRIM(Table1[[#This Row],[Status]])</f>
        <v>Zaakceptowana</v>
      </c>
      <c r="G2055" s="2" t="str">
        <f>TRIM(Table1[[#This Row],[Typ]])</f>
        <v>Faktura VAT</v>
      </c>
      <c r="H2055" s="2" t="str">
        <f>TRIM(Table1[[#This Row],[Magazyn]])</f>
        <v>Apteka Szpitalna</v>
      </c>
      <c r="I2055" s="2" t="str">
        <f>TRIM(Table1[[#This Row],[Umowa]])</f>
        <v>UM-HUR-03</v>
      </c>
      <c r="J2055" s="2" t="b">
        <f>ISTEXT(Table14[[#This Row],[Data_Wystawienia]])</f>
        <v>0</v>
      </c>
      <c r="K2055" s="2">
        <f>VALUE(SUBSTITUTE(Table14[[#This Row],[Wartość]],".",","))</f>
        <v>13205.6</v>
      </c>
      <c r="L20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5" s="2" t="str">
        <f>IF(Table14[[#This Row],[Umowa]]="","Poza umową","Z umowy")</f>
        <v>Z umowy</v>
      </c>
      <c r="N2055" s="2">
        <f>YEAR(Table14[[#This Row],[Data_Wystawienia]])</f>
        <v>2024</v>
      </c>
      <c r="O2055" s="2" t="str">
        <f>TEXT(Table14[[#This Row],[Data_Wystawienia]],"rrrr-mm")</f>
        <v>2024-01</v>
      </c>
      <c r="P2055" s="2">
        <v>1</v>
      </c>
    </row>
    <row r="2056" spans="1:16" x14ac:dyDescent="0.3">
      <c r="A2056" s="2" t="str">
        <f>TRIM(Table1[[#This Row],[Numer_FV]])</f>
        <v>FV/POL/97475/2024</v>
      </c>
      <c r="B2056" s="2" t="str">
        <f>TRIM(Table1[[#This Row],[Numer_PZ]])</f>
        <v>PZ/802054</v>
      </c>
      <c r="C2056" s="2" t="str">
        <f>TRIM(Table1[[#This Row],[Dostawca]])</f>
        <v>Polmedica</v>
      </c>
      <c r="D2056" s="3">
        <v>45321</v>
      </c>
      <c r="E2056" s="4" t="s">
        <v>6068</v>
      </c>
      <c r="F2056" s="2" t="str">
        <f>TRIM(Table1[[#This Row],[Status]])</f>
        <v>Zaakceptowana</v>
      </c>
      <c r="G2056" s="2" t="str">
        <f>TRIM(Table1[[#This Row],[Typ]])</f>
        <v>Faktura VAT</v>
      </c>
      <c r="H2056" s="2" t="str">
        <f>TRIM(Table1[[#This Row],[Magazyn]])</f>
        <v>Apteka Szpitalna</v>
      </c>
      <c r="I2056" s="2" t="str">
        <f>TRIM(Table1[[#This Row],[Umowa]])</f>
        <v/>
      </c>
      <c r="J2056" s="2" t="b">
        <f>ISTEXT(Table14[[#This Row],[Data_Wystawienia]])</f>
        <v>0</v>
      </c>
      <c r="K2056" s="2">
        <f>VALUE(SUBSTITUTE(Table14[[#This Row],[Wartość]],".",","))</f>
        <v>13966.52</v>
      </c>
      <c r="L20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6" s="2" t="str">
        <f>IF(Table14[[#This Row],[Umowa]]="","Poza umową","Z umowy")</f>
        <v>Poza umową</v>
      </c>
      <c r="N2056" s="2">
        <f>YEAR(Table14[[#This Row],[Data_Wystawienia]])</f>
        <v>2024</v>
      </c>
      <c r="O2056" s="2" t="str">
        <f>TEXT(Table14[[#This Row],[Data_Wystawienia]],"rrrr-mm")</f>
        <v>2024-01</v>
      </c>
      <c r="P2056" s="2">
        <v>1</v>
      </c>
    </row>
    <row r="2057" spans="1:16" x14ac:dyDescent="0.3">
      <c r="A2057" s="2" t="str">
        <f>TRIM(Table1[[#This Row],[Numer_FV]])</f>
        <v>FV/CENFA/328497/24</v>
      </c>
      <c r="B2057" s="2" t="str">
        <f>TRIM(Table1[[#This Row],[Numer_PZ]])</f>
        <v>PZ/802055</v>
      </c>
      <c r="C2057" s="2" t="str">
        <f>TRIM(Table1[[#This Row],[Dostawca]])</f>
        <v>CentrumFarm</v>
      </c>
      <c r="D2057" s="3">
        <v>45321</v>
      </c>
      <c r="E2057" s="4" t="s">
        <v>6071</v>
      </c>
      <c r="F2057" s="2" t="str">
        <f>TRIM(Table1[[#This Row],[Status]])</f>
        <v>Zaakceptowana</v>
      </c>
      <c r="G2057" s="2" t="str">
        <f>TRIM(Table1[[#This Row],[Typ]])</f>
        <v>Faktura VAT</v>
      </c>
      <c r="H2057" s="2" t="str">
        <f>TRIM(Table1[[#This Row],[Magazyn]])</f>
        <v>Apteka Szpitalna</v>
      </c>
      <c r="I2057" s="2" t="str">
        <f>TRIM(Table1[[#This Row],[Umowa]])</f>
        <v/>
      </c>
      <c r="J2057" s="2" t="b">
        <f>ISTEXT(Table14[[#This Row],[Data_Wystawienia]])</f>
        <v>0</v>
      </c>
      <c r="K2057" s="2">
        <f>VALUE(SUBSTITUTE(Table14[[#This Row],[Wartość]],".",","))</f>
        <v>9243.48</v>
      </c>
      <c r="L20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7" s="2" t="str">
        <f>IF(Table14[[#This Row],[Umowa]]="","Poza umową","Z umowy")</f>
        <v>Poza umową</v>
      </c>
      <c r="N2057" s="2">
        <f>YEAR(Table14[[#This Row],[Data_Wystawienia]])</f>
        <v>2024</v>
      </c>
      <c r="O2057" s="2" t="str">
        <f>TEXT(Table14[[#This Row],[Data_Wystawienia]],"rrrr-mm")</f>
        <v>2024-01</v>
      </c>
      <c r="P2057" s="2">
        <v>1</v>
      </c>
    </row>
    <row r="2058" spans="1:16" x14ac:dyDescent="0.3">
      <c r="A2058" s="2" t="str">
        <f>TRIM(Table1[[#This Row],[Numer_FV]])</f>
        <v>FV/94674/VDb/2024</v>
      </c>
      <c r="B2058" s="2" t="str">
        <f>TRIM(Table1[[#This Row],[Numer_PZ]])</f>
        <v>PZ/802056</v>
      </c>
      <c r="C2058" s="2" t="str">
        <f>TRIM(Table1[[#This Row],[Dostawca]])</f>
        <v>VitaDistrib</v>
      </c>
      <c r="D2058" s="3">
        <v>45321</v>
      </c>
      <c r="E2058" s="4" t="s">
        <v>6074</v>
      </c>
      <c r="F2058" s="2" t="str">
        <f>TRIM(Table1[[#This Row],[Status]])</f>
        <v>Zaakceptowana</v>
      </c>
      <c r="G2058" s="2" t="str">
        <f>TRIM(Table1[[#This Row],[Typ]])</f>
        <v>Faktura VAT</v>
      </c>
      <c r="H2058" s="2" t="str">
        <f>TRIM(Table1[[#This Row],[Magazyn]])</f>
        <v>Apteka Szpitalna</v>
      </c>
      <c r="I2058" s="2" t="str">
        <f>TRIM(Table1[[#This Row],[Umowa]])</f>
        <v>UM-VIT-01</v>
      </c>
      <c r="J2058" s="2" t="b">
        <f>ISTEXT(Table14[[#This Row],[Data_Wystawienia]])</f>
        <v>0</v>
      </c>
      <c r="K2058" s="2">
        <f>VALUE(SUBSTITUTE(Table14[[#This Row],[Wartość]],".",","))</f>
        <v>7733.64</v>
      </c>
      <c r="L20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8" s="2" t="str">
        <f>IF(Table14[[#This Row],[Umowa]]="","Poza umową","Z umowy")</f>
        <v>Z umowy</v>
      </c>
      <c r="N2058" s="2">
        <f>YEAR(Table14[[#This Row],[Data_Wystawienia]])</f>
        <v>2024</v>
      </c>
      <c r="O2058" s="2" t="str">
        <f>TEXT(Table14[[#This Row],[Data_Wystawienia]],"rrrr-mm")</f>
        <v>2024-01</v>
      </c>
      <c r="P2058" s="2">
        <v>1</v>
      </c>
    </row>
    <row r="2059" spans="1:16" x14ac:dyDescent="0.3">
      <c r="A2059" s="2" t="str">
        <f>TRIM(Table1[[#This Row],[Numer_FV]])</f>
        <v>FV/6582/NOVA/24</v>
      </c>
      <c r="B2059" s="2" t="str">
        <f>TRIM(Table1[[#This Row],[Numer_PZ]])</f>
        <v>PZ/802057</v>
      </c>
      <c r="C2059" s="2" t="str">
        <f>TRIM(Table1[[#This Row],[Dostawca]])</f>
        <v>NovaLek</v>
      </c>
      <c r="D2059" s="3">
        <v>45322</v>
      </c>
      <c r="E2059" s="4" t="s">
        <v>6077</v>
      </c>
      <c r="F2059" s="2" t="str">
        <f>TRIM(Table1[[#This Row],[Status]])</f>
        <v>Zaakceptowana</v>
      </c>
      <c r="G2059" s="2" t="str">
        <f>TRIM(Table1[[#This Row],[Typ]])</f>
        <v>Faktura VAT</v>
      </c>
      <c r="H2059" s="2" t="str">
        <f>TRIM(Table1[[#This Row],[Magazyn]])</f>
        <v>Apteka Szpitalna</v>
      </c>
      <c r="I2059" s="2" t="str">
        <f>TRIM(Table1[[#This Row],[Umowa]])</f>
        <v>UM-NOV-02</v>
      </c>
      <c r="J2059" s="2" t="b">
        <f>ISTEXT(Table14[[#This Row],[Data_Wystawienia]])</f>
        <v>0</v>
      </c>
      <c r="K2059" s="2">
        <f>VALUE(SUBSTITUTE(Table14[[#This Row],[Wartość]],".",","))</f>
        <v>6942.92</v>
      </c>
      <c r="L20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59" s="2" t="str">
        <f>IF(Table14[[#This Row],[Umowa]]="","Poza umową","Z umowy")</f>
        <v>Z umowy</v>
      </c>
      <c r="N2059" s="2">
        <f>YEAR(Table14[[#This Row],[Data_Wystawienia]])</f>
        <v>2024</v>
      </c>
      <c r="O2059" s="2" t="str">
        <f>TEXT(Table14[[#This Row],[Data_Wystawienia]],"rrrr-mm")</f>
        <v>2024-01</v>
      </c>
      <c r="P2059" s="2">
        <v>1</v>
      </c>
    </row>
    <row r="2060" spans="1:16" x14ac:dyDescent="0.3">
      <c r="A2060" s="2" t="str">
        <f>TRIM(Table1[[#This Row],[Numer_FV]])</f>
        <v>FV/8761/NOVA/24</v>
      </c>
      <c r="B2060" s="2" t="str">
        <f>TRIM(Table1[[#This Row],[Numer_PZ]])</f>
        <v>PZ/802058</v>
      </c>
      <c r="C2060" s="2" t="str">
        <f>TRIM(Table1[[#This Row],[Dostawca]])</f>
        <v>NovaLek</v>
      </c>
      <c r="D2060" s="3">
        <v>45323</v>
      </c>
      <c r="E2060" s="4" t="s">
        <v>6080</v>
      </c>
      <c r="F2060" s="2" t="str">
        <f>TRIM(Table1[[#This Row],[Status]])</f>
        <v>Zaakceptowana</v>
      </c>
      <c r="G2060" s="2" t="str">
        <f>TRIM(Table1[[#This Row],[Typ]])</f>
        <v>Faktura VAT</v>
      </c>
      <c r="H2060" s="2" t="str">
        <f>TRIM(Table1[[#This Row],[Magazyn]])</f>
        <v>Apteka Szpitalna</v>
      </c>
      <c r="I2060" s="2" t="str">
        <f>TRIM(Table1[[#This Row],[Umowa]])</f>
        <v>UM-NOV-03</v>
      </c>
      <c r="J2060" s="2" t="b">
        <f>ISTEXT(Table14[[#This Row],[Data_Wystawienia]])</f>
        <v>0</v>
      </c>
      <c r="K2060" s="2">
        <f>VALUE(SUBSTITUTE(Table14[[#This Row],[Wartość]],".",","))</f>
        <v>17798.95</v>
      </c>
      <c r="L20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0" s="2" t="str">
        <f>IF(Table14[[#This Row],[Umowa]]="","Poza umową","Z umowy")</f>
        <v>Z umowy</v>
      </c>
      <c r="N2060" s="2">
        <f>YEAR(Table14[[#This Row],[Data_Wystawienia]])</f>
        <v>2024</v>
      </c>
      <c r="O2060" s="2" t="str">
        <f>TEXT(Table14[[#This Row],[Data_Wystawienia]],"rrrr-mm")</f>
        <v>2024-02</v>
      </c>
      <c r="P2060" s="2">
        <v>1</v>
      </c>
    </row>
    <row r="2061" spans="1:16" x14ac:dyDescent="0.3">
      <c r="A2061" s="2" t="str">
        <f>TRIM(Table1[[#This Row],[Numer_FV]])</f>
        <v>FV/8956HM/24</v>
      </c>
      <c r="B2061" s="2" t="str">
        <f>TRIM(Table1[[#This Row],[Numer_PZ]])</f>
        <v>PZ/802059</v>
      </c>
      <c r="C2061" s="2" t="str">
        <f>TRIM(Table1[[#This Row],[Dostawca]])</f>
        <v>HurtMedix</v>
      </c>
      <c r="D2061" s="3">
        <v>45323</v>
      </c>
      <c r="E2061" s="4" t="s">
        <v>6083</v>
      </c>
      <c r="F2061" s="2" t="str">
        <f>TRIM(Table1[[#This Row],[Status]])</f>
        <v>Zaakceptowana</v>
      </c>
      <c r="G2061" s="2" t="str">
        <f>TRIM(Table1[[#This Row],[Typ]])</f>
        <v>Faktura VAT</v>
      </c>
      <c r="H2061" s="2" t="str">
        <f>TRIM(Table1[[#This Row],[Magazyn]])</f>
        <v>Apteka Szpitalna</v>
      </c>
      <c r="I2061" s="2" t="str">
        <f>TRIM(Table1[[#This Row],[Umowa]])</f>
        <v/>
      </c>
      <c r="J2061" s="2" t="b">
        <f>ISTEXT(Table14[[#This Row],[Data_Wystawienia]])</f>
        <v>0</v>
      </c>
      <c r="K2061" s="2">
        <f>VALUE(SUBSTITUTE(Table14[[#This Row],[Wartość]],".",","))</f>
        <v>19580.29</v>
      </c>
      <c r="L20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1" s="2" t="str">
        <f>IF(Table14[[#This Row],[Umowa]]="","Poza umową","Z umowy")</f>
        <v>Poza umową</v>
      </c>
      <c r="N2061" s="2">
        <f>YEAR(Table14[[#This Row],[Data_Wystawienia]])</f>
        <v>2024</v>
      </c>
      <c r="O2061" s="2" t="str">
        <f>TEXT(Table14[[#This Row],[Data_Wystawienia]],"rrrr-mm")</f>
        <v>2024-02</v>
      </c>
      <c r="P2061" s="2">
        <v>1</v>
      </c>
    </row>
    <row r="2062" spans="1:16" x14ac:dyDescent="0.3">
      <c r="A2062" s="2" t="str">
        <f>TRIM(Table1[[#This Row],[Numer_FV]])</f>
        <v>FV/2538/NOVA/24</v>
      </c>
      <c r="B2062" s="2" t="str">
        <f>TRIM(Table1[[#This Row],[Numer_PZ]])</f>
        <v>PZ/802060</v>
      </c>
      <c r="C2062" s="2" t="str">
        <f>TRIM(Table1[[#This Row],[Dostawca]])</f>
        <v>NovaLek</v>
      </c>
      <c r="D2062" s="3">
        <v>45323</v>
      </c>
      <c r="E2062" s="4" t="s">
        <v>6086</v>
      </c>
      <c r="F2062" s="2" t="str">
        <f>TRIM(Table1[[#This Row],[Status]])</f>
        <v>Zaakceptowana</v>
      </c>
      <c r="G2062" s="2" t="str">
        <f>TRIM(Table1[[#This Row],[Typ]])</f>
        <v>Faktura VAT</v>
      </c>
      <c r="H2062" s="2" t="str">
        <f>TRIM(Table1[[#This Row],[Magazyn]])</f>
        <v>Apteka Szpitalna</v>
      </c>
      <c r="I2062" s="2" t="str">
        <f>TRIM(Table1[[#This Row],[Umowa]])</f>
        <v/>
      </c>
      <c r="J2062" s="2" t="b">
        <f>ISTEXT(Table14[[#This Row],[Data_Wystawienia]])</f>
        <v>0</v>
      </c>
      <c r="K2062" s="2">
        <f>VALUE(SUBSTITUTE(Table14[[#This Row],[Wartość]],".",","))</f>
        <v>19962.34</v>
      </c>
      <c r="L20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2" s="2" t="str">
        <f>IF(Table14[[#This Row],[Umowa]]="","Poza umową","Z umowy")</f>
        <v>Poza umową</v>
      </c>
      <c r="N2062" s="2">
        <f>YEAR(Table14[[#This Row],[Data_Wystawienia]])</f>
        <v>2024</v>
      </c>
      <c r="O2062" s="2" t="str">
        <f>TEXT(Table14[[#This Row],[Data_Wystawienia]],"rrrr-mm")</f>
        <v>2024-02</v>
      </c>
      <c r="P2062" s="2">
        <v>1</v>
      </c>
    </row>
    <row r="2063" spans="1:16" x14ac:dyDescent="0.3">
      <c r="A2063" s="2" t="str">
        <f>TRIM(Table1[[#This Row],[Numer_FV]])</f>
        <v>FV/POL/84335/2024</v>
      </c>
      <c r="B2063" s="2" t="str">
        <f>TRIM(Table1[[#This Row],[Numer_PZ]])</f>
        <v>PZ/802061</v>
      </c>
      <c r="C2063" s="2" t="str">
        <f>TRIM(Table1[[#This Row],[Dostawca]])</f>
        <v>Polmedica</v>
      </c>
      <c r="D2063" s="3">
        <v>45324</v>
      </c>
      <c r="E2063" s="4" t="s">
        <v>6089</v>
      </c>
      <c r="F2063" s="2" t="str">
        <f>TRIM(Table1[[#This Row],[Status]])</f>
        <v>Zaakceptowana</v>
      </c>
      <c r="G2063" s="2" t="str">
        <f>TRIM(Table1[[#This Row],[Typ]])</f>
        <v>Faktura VAT</v>
      </c>
      <c r="H2063" s="2" t="str">
        <f>TRIM(Table1[[#This Row],[Magazyn]])</f>
        <v>Apteka Szpitalna</v>
      </c>
      <c r="I2063" s="2" t="str">
        <f>TRIM(Table1[[#This Row],[Umowa]])</f>
        <v/>
      </c>
      <c r="J2063" s="2" t="b">
        <f>ISTEXT(Table14[[#This Row],[Data_Wystawienia]])</f>
        <v>0</v>
      </c>
      <c r="K2063" s="2">
        <f>VALUE(SUBSTITUTE(Table14[[#This Row],[Wartość]],".",","))</f>
        <v>19451</v>
      </c>
      <c r="L20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3" s="2" t="str">
        <f>IF(Table14[[#This Row],[Umowa]]="","Poza umową","Z umowy")</f>
        <v>Poza umową</v>
      </c>
      <c r="N2063" s="2">
        <f>YEAR(Table14[[#This Row],[Data_Wystawienia]])</f>
        <v>2024</v>
      </c>
      <c r="O2063" s="2" t="str">
        <f>TEXT(Table14[[#This Row],[Data_Wystawienia]],"rrrr-mm")</f>
        <v>2024-02</v>
      </c>
      <c r="P2063" s="2">
        <v>1</v>
      </c>
    </row>
    <row r="2064" spans="1:16" x14ac:dyDescent="0.3">
      <c r="A2064" s="2" t="str">
        <f>TRIM(Table1[[#This Row],[Numer_FV]])</f>
        <v>FV/65927/VDb/2024</v>
      </c>
      <c r="B2064" s="2" t="str">
        <f>TRIM(Table1[[#This Row],[Numer_PZ]])</f>
        <v>PZ/802062</v>
      </c>
      <c r="C2064" s="2" t="str">
        <f>TRIM(Table1[[#This Row],[Dostawca]])</f>
        <v>VitaDistrib</v>
      </c>
      <c r="D2064" s="3">
        <v>45324</v>
      </c>
      <c r="E2064" s="4" t="s">
        <v>6092</v>
      </c>
      <c r="F2064" s="2" t="str">
        <f>TRIM(Table1[[#This Row],[Status]])</f>
        <v>Zaakceptowana</v>
      </c>
      <c r="G2064" s="2" t="str">
        <f>TRIM(Table1[[#This Row],[Typ]])</f>
        <v>Faktura VAT</v>
      </c>
      <c r="H2064" s="2" t="str">
        <f>TRIM(Table1[[#This Row],[Magazyn]])</f>
        <v>Apteka Szpitalna</v>
      </c>
      <c r="I2064" s="2" t="str">
        <f>TRIM(Table1[[#This Row],[Umowa]])</f>
        <v>UM-VIT-01</v>
      </c>
      <c r="J2064" s="2" t="b">
        <f>ISTEXT(Table14[[#This Row],[Data_Wystawienia]])</f>
        <v>0</v>
      </c>
      <c r="K2064" s="2">
        <f>VALUE(SUBSTITUTE(Table14[[#This Row],[Wartość]],".",","))</f>
        <v>13869.21</v>
      </c>
      <c r="L20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4" s="2" t="str">
        <f>IF(Table14[[#This Row],[Umowa]]="","Poza umową","Z umowy")</f>
        <v>Z umowy</v>
      </c>
      <c r="N2064" s="2">
        <f>YEAR(Table14[[#This Row],[Data_Wystawienia]])</f>
        <v>2024</v>
      </c>
      <c r="O2064" s="2" t="str">
        <f>TEXT(Table14[[#This Row],[Data_Wystawienia]],"rrrr-mm")</f>
        <v>2024-02</v>
      </c>
      <c r="P2064" s="2">
        <v>1</v>
      </c>
    </row>
    <row r="2065" spans="1:16" x14ac:dyDescent="0.3">
      <c r="A2065" s="2" t="str">
        <f>TRIM(Table1[[#This Row],[Numer_FV]])</f>
        <v>FV/POL/30758/2024</v>
      </c>
      <c r="B2065" s="2" t="str">
        <f>TRIM(Table1[[#This Row],[Numer_PZ]])</f>
        <v>PZ/802063</v>
      </c>
      <c r="C2065" s="2" t="str">
        <f>TRIM(Table1[[#This Row],[Dostawca]])</f>
        <v>Polmedica</v>
      </c>
      <c r="D2065" s="3">
        <v>45324</v>
      </c>
      <c r="E2065" s="4" t="s">
        <v>6095</v>
      </c>
      <c r="F2065" s="2" t="str">
        <f>TRIM(Table1[[#This Row],[Status]])</f>
        <v>Zaakceptowana</v>
      </c>
      <c r="G2065" s="2" t="str">
        <f>TRIM(Table1[[#This Row],[Typ]])</f>
        <v>Faktura VAT</v>
      </c>
      <c r="H2065" s="2" t="str">
        <f>TRIM(Table1[[#This Row],[Magazyn]])</f>
        <v>Apteka Szpitalna</v>
      </c>
      <c r="I2065" s="2" t="str">
        <f>TRIM(Table1[[#This Row],[Umowa]])</f>
        <v>UM-POL-03</v>
      </c>
      <c r="J2065" s="2" t="b">
        <f>ISTEXT(Table14[[#This Row],[Data_Wystawienia]])</f>
        <v>0</v>
      </c>
      <c r="K2065" s="2">
        <f>VALUE(SUBSTITUTE(Table14[[#This Row],[Wartość]],".",","))</f>
        <v>13143.58</v>
      </c>
      <c r="L20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5" s="2" t="str">
        <f>IF(Table14[[#This Row],[Umowa]]="","Poza umową","Z umowy")</f>
        <v>Z umowy</v>
      </c>
      <c r="N2065" s="2">
        <f>YEAR(Table14[[#This Row],[Data_Wystawienia]])</f>
        <v>2024</v>
      </c>
      <c r="O2065" s="2" t="str">
        <f>TEXT(Table14[[#This Row],[Data_Wystawienia]],"rrrr-mm")</f>
        <v>2024-02</v>
      </c>
      <c r="P2065" s="2">
        <v>1</v>
      </c>
    </row>
    <row r="2066" spans="1:16" x14ac:dyDescent="0.3">
      <c r="A2066" s="2" t="str">
        <f>TRIM(Table1[[#This Row],[Numer_FV]])</f>
        <v>FV/1823/NOVA/24</v>
      </c>
      <c r="B2066" s="2" t="str">
        <f>TRIM(Table1[[#This Row],[Numer_PZ]])</f>
        <v>PZ/802064</v>
      </c>
      <c r="C2066" s="2" t="str">
        <f>TRIM(Table1[[#This Row],[Dostawca]])</f>
        <v>NovaLek</v>
      </c>
      <c r="D2066" s="3">
        <v>45324</v>
      </c>
      <c r="E2066" s="4" t="s">
        <v>6098</v>
      </c>
      <c r="F2066" s="2" t="str">
        <f>TRIM(Table1[[#This Row],[Status]])</f>
        <v>Zaakceptowana</v>
      </c>
      <c r="G2066" s="2" t="str">
        <f>TRIM(Table1[[#This Row],[Typ]])</f>
        <v>Faktura VAT</v>
      </c>
      <c r="H2066" s="2" t="str">
        <f>TRIM(Table1[[#This Row],[Magazyn]])</f>
        <v>Apteka Szpitalna</v>
      </c>
      <c r="I2066" s="2" t="str">
        <f>TRIM(Table1[[#This Row],[Umowa]])</f>
        <v>UM-NOV-01</v>
      </c>
      <c r="J2066" s="2" t="b">
        <f>ISTEXT(Table14[[#This Row],[Data_Wystawienia]])</f>
        <v>0</v>
      </c>
      <c r="K2066" s="2">
        <f>VALUE(SUBSTITUTE(Table14[[#This Row],[Wartość]],".",","))</f>
        <v>18609.09</v>
      </c>
      <c r="L20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6" s="2" t="str">
        <f>IF(Table14[[#This Row],[Umowa]]="","Poza umową","Z umowy")</f>
        <v>Z umowy</v>
      </c>
      <c r="N2066" s="2">
        <f>YEAR(Table14[[#This Row],[Data_Wystawienia]])</f>
        <v>2024</v>
      </c>
      <c r="O2066" s="2" t="str">
        <f>TEXT(Table14[[#This Row],[Data_Wystawienia]],"rrrr-mm")</f>
        <v>2024-02</v>
      </c>
      <c r="P2066" s="2">
        <v>1</v>
      </c>
    </row>
    <row r="2067" spans="1:16" x14ac:dyDescent="0.3">
      <c r="A2067" s="2" t="str">
        <f>TRIM(Table1[[#This Row],[Numer_FV]])</f>
        <v>FV/33/PP/5508/24</v>
      </c>
      <c r="B2067" s="2" t="str">
        <f>TRIM(Table1[[#This Row],[Numer_PZ]])</f>
        <v>PZ/802065</v>
      </c>
      <c r="C2067" s="2" t="str">
        <f>TRIM(Table1[[#This Row],[Dostawca]])</f>
        <v>PharmaPlus</v>
      </c>
      <c r="D2067" s="3">
        <v>45325</v>
      </c>
      <c r="E2067" s="4" t="s">
        <v>6101</v>
      </c>
      <c r="F2067" s="2" t="str">
        <f>TRIM(Table1[[#This Row],[Status]])</f>
        <v>Zaakceptowana</v>
      </c>
      <c r="G2067" s="2" t="str">
        <f>TRIM(Table1[[#This Row],[Typ]])</f>
        <v>Faktura VAT</v>
      </c>
      <c r="H2067" s="2" t="str">
        <f>TRIM(Table1[[#This Row],[Magazyn]])</f>
        <v>Apteka Szpitalna</v>
      </c>
      <c r="I2067" s="2" t="str">
        <f>TRIM(Table1[[#This Row],[Umowa]])</f>
        <v/>
      </c>
      <c r="J2067" s="2" t="b">
        <f>ISTEXT(Table14[[#This Row],[Data_Wystawienia]])</f>
        <v>0</v>
      </c>
      <c r="K2067" s="2">
        <f>VALUE(SUBSTITUTE(Table14[[#This Row],[Wartość]],".",","))</f>
        <v>8844.2000000000007</v>
      </c>
      <c r="L20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7" s="2" t="str">
        <f>IF(Table14[[#This Row],[Umowa]]="","Poza umową","Z umowy")</f>
        <v>Poza umową</v>
      </c>
      <c r="N2067" s="2">
        <f>YEAR(Table14[[#This Row],[Data_Wystawienia]])</f>
        <v>2024</v>
      </c>
      <c r="O2067" s="2" t="str">
        <f>TEXT(Table14[[#This Row],[Data_Wystawienia]],"rrrr-mm")</f>
        <v>2024-02</v>
      </c>
      <c r="P2067" s="2">
        <v>1</v>
      </c>
    </row>
    <row r="2068" spans="1:16" x14ac:dyDescent="0.3">
      <c r="A2068" s="2" t="str">
        <f>TRIM(Table1[[#This Row],[Numer_FV]])</f>
        <v>FV/47/PP/8494/24</v>
      </c>
      <c r="B2068" s="2" t="str">
        <f>TRIM(Table1[[#This Row],[Numer_PZ]])</f>
        <v>PZ/802066</v>
      </c>
      <c r="C2068" s="2" t="str">
        <f>TRIM(Table1[[#This Row],[Dostawca]])</f>
        <v>PharmaPlus</v>
      </c>
      <c r="D2068" s="3">
        <v>45325</v>
      </c>
      <c r="E2068" s="4" t="s">
        <v>6104</v>
      </c>
      <c r="F2068" s="2" t="str">
        <f>TRIM(Table1[[#This Row],[Status]])</f>
        <v>Zaakceptowana</v>
      </c>
      <c r="G2068" s="2" t="str">
        <f>TRIM(Table1[[#This Row],[Typ]])</f>
        <v>Faktura VAT</v>
      </c>
      <c r="H2068" s="2" t="str">
        <f>TRIM(Table1[[#This Row],[Magazyn]])</f>
        <v>Apteka Szpitalna</v>
      </c>
      <c r="I2068" s="2" t="str">
        <f>TRIM(Table1[[#This Row],[Umowa]])</f>
        <v>UM-PHA-01</v>
      </c>
      <c r="J2068" s="2" t="b">
        <f>ISTEXT(Table14[[#This Row],[Data_Wystawienia]])</f>
        <v>0</v>
      </c>
      <c r="K2068" s="2">
        <f>VALUE(SUBSTITUTE(Table14[[#This Row],[Wartość]],".",","))</f>
        <v>17810.53</v>
      </c>
      <c r="L20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8" s="2" t="str">
        <f>IF(Table14[[#This Row],[Umowa]]="","Poza umową","Z umowy")</f>
        <v>Z umowy</v>
      </c>
      <c r="N2068" s="2">
        <f>YEAR(Table14[[#This Row],[Data_Wystawienia]])</f>
        <v>2024</v>
      </c>
      <c r="O2068" s="2" t="str">
        <f>TEXT(Table14[[#This Row],[Data_Wystawienia]],"rrrr-mm")</f>
        <v>2024-02</v>
      </c>
      <c r="P2068" s="2">
        <v>1</v>
      </c>
    </row>
    <row r="2069" spans="1:16" x14ac:dyDescent="0.3">
      <c r="A2069" s="2" t="str">
        <f>TRIM(Table1[[#This Row],[Numer_FV]])</f>
        <v>FV/9154HM/24</v>
      </c>
      <c r="B2069" s="2" t="str">
        <f>TRIM(Table1[[#This Row],[Numer_PZ]])</f>
        <v>PZ/802067</v>
      </c>
      <c r="C2069" s="2" t="str">
        <f>TRIM(Table1[[#This Row],[Dostawca]])</f>
        <v>HurtMedix</v>
      </c>
      <c r="D2069" s="3">
        <v>45325</v>
      </c>
      <c r="E2069" s="4" t="s">
        <v>6107</v>
      </c>
      <c r="F2069" s="2" t="str">
        <f>TRIM(Table1[[#This Row],[Status]])</f>
        <v>Zaakceptowana</v>
      </c>
      <c r="G2069" s="2" t="str">
        <f>TRIM(Table1[[#This Row],[Typ]])</f>
        <v>Faktura VAT</v>
      </c>
      <c r="H2069" s="2" t="str">
        <f>TRIM(Table1[[#This Row],[Magazyn]])</f>
        <v>Apteka Szpitalna</v>
      </c>
      <c r="I2069" s="2" t="str">
        <f>TRIM(Table1[[#This Row],[Umowa]])</f>
        <v/>
      </c>
      <c r="J2069" s="2" t="b">
        <f>ISTEXT(Table14[[#This Row],[Data_Wystawienia]])</f>
        <v>0</v>
      </c>
      <c r="K2069" s="2">
        <f>VALUE(SUBSTITUTE(Table14[[#This Row],[Wartość]],".",","))</f>
        <v>6512.48</v>
      </c>
      <c r="L20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69" s="2" t="str">
        <f>IF(Table14[[#This Row],[Umowa]]="","Poza umową","Z umowy")</f>
        <v>Poza umową</v>
      </c>
      <c r="N2069" s="2">
        <f>YEAR(Table14[[#This Row],[Data_Wystawienia]])</f>
        <v>2024</v>
      </c>
      <c r="O2069" s="2" t="str">
        <f>TEXT(Table14[[#This Row],[Data_Wystawienia]],"rrrr-mm")</f>
        <v>2024-02</v>
      </c>
      <c r="P2069" s="2">
        <v>1</v>
      </c>
    </row>
    <row r="2070" spans="1:16" x14ac:dyDescent="0.3">
      <c r="A2070" s="2" t="str">
        <f>TRIM(Table1[[#This Row],[Numer_FV]])</f>
        <v>FV/7064/NOVA/24</v>
      </c>
      <c r="B2070" s="2" t="str">
        <f>TRIM(Table1[[#This Row],[Numer_PZ]])</f>
        <v>PZ/802068</v>
      </c>
      <c r="C2070" s="2" t="str">
        <f>TRIM(Table1[[#This Row],[Dostawca]])</f>
        <v>NovaLek</v>
      </c>
      <c r="D2070" s="3">
        <v>45325</v>
      </c>
      <c r="E2070" s="4" t="s">
        <v>6110</v>
      </c>
      <c r="F2070" s="2" t="str">
        <f>TRIM(Table1[[#This Row],[Status]])</f>
        <v>Zaakceptowana</v>
      </c>
      <c r="G2070" s="2" t="str">
        <f>TRIM(Table1[[#This Row],[Typ]])</f>
        <v>Faktura VAT</v>
      </c>
      <c r="H2070" s="2" t="str">
        <f>TRIM(Table1[[#This Row],[Magazyn]])</f>
        <v>Apteka Szpitalna</v>
      </c>
      <c r="I2070" s="2" t="str">
        <f>TRIM(Table1[[#This Row],[Umowa]])</f>
        <v/>
      </c>
      <c r="J2070" s="2" t="b">
        <f>ISTEXT(Table14[[#This Row],[Data_Wystawienia]])</f>
        <v>0</v>
      </c>
      <c r="K2070" s="2">
        <f>VALUE(SUBSTITUTE(Table14[[#This Row],[Wartość]],".",","))</f>
        <v>18467.39</v>
      </c>
      <c r="L20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0" s="2" t="str">
        <f>IF(Table14[[#This Row],[Umowa]]="","Poza umową","Z umowy")</f>
        <v>Poza umową</v>
      </c>
      <c r="N2070" s="2">
        <f>YEAR(Table14[[#This Row],[Data_Wystawienia]])</f>
        <v>2024</v>
      </c>
      <c r="O2070" s="2" t="str">
        <f>TEXT(Table14[[#This Row],[Data_Wystawienia]],"rrrr-mm")</f>
        <v>2024-02</v>
      </c>
      <c r="P2070" s="2">
        <v>1</v>
      </c>
    </row>
    <row r="2071" spans="1:16" x14ac:dyDescent="0.3">
      <c r="A2071" s="2" t="str">
        <f>TRIM(Table1[[#This Row],[Numer_FV]])</f>
        <v>FV/4265HM/24</v>
      </c>
      <c r="B2071" s="2" t="str">
        <f>TRIM(Table1[[#This Row],[Numer_PZ]])</f>
        <v>PZ/802069</v>
      </c>
      <c r="C2071" s="2" t="str">
        <f>TRIM(Table1[[#This Row],[Dostawca]])</f>
        <v>HurtMedix</v>
      </c>
      <c r="D2071" s="3">
        <v>45326</v>
      </c>
      <c r="E2071" s="4" t="s">
        <v>6113</v>
      </c>
      <c r="F2071" s="2" t="str">
        <f>TRIM(Table1[[#This Row],[Status]])</f>
        <v>Zaakceptowana</v>
      </c>
      <c r="G2071" s="2" t="str">
        <f>TRIM(Table1[[#This Row],[Typ]])</f>
        <v>Faktura VAT</v>
      </c>
      <c r="H2071" s="2" t="str">
        <f>TRIM(Table1[[#This Row],[Magazyn]])</f>
        <v>Apteka Szpitalna</v>
      </c>
      <c r="I2071" s="2" t="str">
        <f>TRIM(Table1[[#This Row],[Umowa]])</f>
        <v>UM-HUR-03</v>
      </c>
      <c r="J2071" s="2" t="b">
        <f>ISTEXT(Table14[[#This Row],[Data_Wystawienia]])</f>
        <v>0</v>
      </c>
      <c r="K2071" s="2">
        <f>VALUE(SUBSTITUTE(Table14[[#This Row],[Wartość]],".",","))</f>
        <v>22850.44</v>
      </c>
      <c r="L20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1" s="2" t="str">
        <f>IF(Table14[[#This Row],[Umowa]]="","Poza umową","Z umowy")</f>
        <v>Z umowy</v>
      </c>
      <c r="N2071" s="2">
        <f>YEAR(Table14[[#This Row],[Data_Wystawienia]])</f>
        <v>2024</v>
      </c>
      <c r="O2071" s="2" t="str">
        <f>TEXT(Table14[[#This Row],[Data_Wystawienia]],"rrrr-mm")</f>
        <v>2024-02</v>
      </c>
      <c r="P2071" s="2">
        <v>1</v>
      </c>
    </row>
    <row r="2072" spans="1:16" x14ac:dyDescent="0.3">
      <c r="A2072" s="2" t="str">
        <f>TRIM(Table1[[#This Row],[Numer_FV]])</f>
        <v>FV/34775/VDb/2024</v>
      </c>
      <c r="B2072" s="2" t="str">
        <f>TRIM(Table1[[#This Row],[Numer_PZ]])</f>
        <v>PZ/802070</v>
      </c>
      <c r="C2072" s="2" t="str">
        <f>TRIM(Table1[[#This Row],[Dostawca]])</f>
        <v>VitaDistrib</v>
      </c>
      <c r="D2072" s="3">
        <v>45326</v>
      </c>
      <c r="E2072" s="4" t="s">
        <v>6116</v>
      </c>
      <c r="F2072" s="2" t="str">
        <f>TRIM(Table1[[#This Row],[Status]])</f>
        <v>Zaakceptowana</v>
      </c>
      <c r="G2072" s="2" t="str">
        <f>TRIM(Table1[[#This Row],[Typ]])</f>
        <v>Faktura VAT</v>
      </c>
      <c r="H2072" s="2" t="str">
        <f>TRIM(Table1[[#This Row],[Magazyn]])</f>
        <v>Apteka Szpitalna</v>
      </c>
      <c r="I2072" s="2" t="str">
        <f>TRIM(Table1[[#This Row],[Umowa]])</f>
        <v>UM-VIT-01</v>
      </c>
      <c r="J2072" s="2" t="b">
        <f>ISTEXT(Table14[[#This Row],[Data_Wystawienia]])</f>
        <v>0</v>
      </c>
      <c r="K2072" s="2">
        <f>VALUE(SUBSTITUTE(Table14[[#This Row],[Wartość]],".",","))</f>
        <v>14031.93</v>
      </c>
      <c r="L20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2" s="2" t="str">
        <f>IF(Table14[[#This Row],[Umowa]]="","Poza umową","Z umowy")</f>
        <v>Z umowy</v>
      </c>
      <c r="N2072" s="2">
        <f>YEAR(Table14[[#This Row],[Data_Wystawienia]])</f>
        <v>2024</v>
      </c>
      <c r="O2072" s="2" t="str">
        <f>TEXT(Table14[[#This Row],[Data_Wystawienia]],"rrrr-mm")</f>
        <v>2024-02</v>
      </c>
      <c r="P2072" s="2">
        <v>1</v>
      </c>
    </row>
    <row r="2073" spans="1:16" x14ac:dyDescent="0.3">
      <c r="A2073" s="2" t="str">
        <f>TRIM(Table1[[#This Row],[Numer_FV]])</f>
        <v>FV/M/6654/P/24</v>
      </c>
      <c r="B2073" s="2" t="str">
        <f>TRIM(Table1[[#This Row],[Numer_PZ]])</f>
        <v>PZ/802071</v>
      </c>
      <c r="C2073" s="2" t="str">
        <f>TRIM(Table1[[#This Row],[Dostawca]])</f>
        <v>MedicaPharm</v>
      </c>
      <c r="D2073" s="3">
        <v>45328</v>
      </c>
      <c r="E2073" s="4" t="s">
        <v>6119</v>
      </c>
      <c r="F2073" s="2" t="str">
        <f>TRIM(Table1[[#This Row],[Status]])</f>
        <v>Zaakceptowana</v>
      </c>
      <c r="G2073" s="2" t="str">
        <f>TRIM(Table1[[#This Row],[Typ]])</f>
        <v>Korekta FV</v>
      </c>
      <c r="H2073" s="2" t="str">
        <f>TRIM(Table1[[#This Row],[Magazyn]])</f>
        <v>Apteka Szpitalna</v>
      </c>
      <c r="I2073" s="2" t="str">
        <f>TRIM(Table1[[#This Row],[Umowa]])</f>
        <v/>
      </c>
      <c r="J2073" s="2" t="b">
        <f>ISTEXT(Table14[[#This Row],[Data_Wystawienia]])</f>
        <v>0</v>
      </c>
      <c r="K2073" s="2">
        <f>VALUE(SUBSTITUTE(Table14[[#This Row],[Wartość]],".",","))</f>
        <v>-1442.96</v>
      </c>
      <c r="L20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3" s="2" t="str">
        <f>IF(Table14[[#This Row],[Umowa]]="","Poza umową","Z umowy")</f>
        <v>Poza umową</v>
      </c>
      <c r="N2073" s="2">
        <f>YEAR(Table14[[#This Row],[Data_Wystawienia]])</f>
        <v>2024</v>
      </c>
      <c r="O2073" s="2" t="str">
        <f>TEXT(Table14[[#This Row],[Data_Wystawienia]],"rrrr-mm")</f>
        <v>2024-02</v>
      </c>
      <c r="P2073" s="2">
        <v>1</v>
      </c>
    </row>
    <row r="2074" spans="1:16" x14ac:dyDescent="0.3">
      <c r="A2074" s="2" t="str">
        <f>TRIM(Table1[[#This Row],[Numer_FV]])</f>
        <v>FV/CENFA/303937/24</v>
      </c>
      <c r="B2074" s="2" t="str">
        <f>TRIM(Table1[[#This Row],[Numer_PZ]])</f>
        <v>PZ/802072</v>
      </c>
      <c r="C2074" s="2" t="str">
        <f>TRIM(Table1[[#This Row],[Dostawca]])</f>
        <v>CentrumFarm</v>
      </c>
      <c r="D2074" s="3">
        <v>45329</v>
      </c>
      <c r="E2074" s="4" t="s">
        <v>6122</v>
      </c>
      <c r="F2074" s="2" t="str">
        <f>TRIM(Table1[[#This Row],[Status]])</f>
        <v>Zaakceptowana</v>
      </c>
      <c r="G2074" s="2" t="str">
        <f>TRIM(Table1[[#This Row],[Typ]])</f>
        <v>Faktura VAT</v>
      </c>
      <c r="H2074" s="2" t="str">
        <f>TRIM(Table1[[#This Row],[Magazyn]])</f>
        <v>Apteka Szpitalna</v>
      </c>
      <c r="I2074" s="2" t="str">
        <f>TRIM(Table1[[#This Row],[Umowa]])</f>
        <v>UM-CEN-02</v>
      </c>
      <c r="J2074" s="2" t="b">
        <f>ISTEXT(Table14[[#This Row],[Data_Wystawienia]])</f>
        <v>0</v>
      </c>
      <c r="K2074" s="2">
        <f>VALUE(SUBSTITUTE(Table14[[#This Row],[Wartość]],".",","))</f>
        <v>15107.54</v>
      </c>
      <c r="L20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4" s="2" t="str">
        <f>IF(Table14[[#This Row],[Umowa]]="","Poza umową","Z umowy")</f>
        <v>Z umowy</v>
      </c>
      <c r="N2074" s="2">
        <f>YEAR(Table14[[#This Row],[Data_Wystawienia]])</f>
        <v>2024</v>
      </c>
      <c r="O2074" s="2" t="str">
        <f>TEXT(Table14[[#This Row],[Data_Wystawienia]],"rrrr-mm")</f>
        <v>2024-02</v>
      </c>
      <c r="P2074" s="2">
        <v>1</v>
      </c>
    </row>
    <row r="2075" spans="1:16" x14ac:dyDescent="0.3">
      <c r="A2075" s="2" t="str">
        <f>TRIM(Table1[[#This Row],[Numer_FV]])</f>
        <v>FV/M/6396/P/24</v>
      </c>
      <c r="B2075" s="2" t="str">
        <f>TRIM(Table1[[#This Row],[Numer_PZ]])</f>
        <v>PZ/802073</v>
      </c>
      <c r="C2075" s="2" t="str">
        <f>TRIM(Table1[[#This Row],[Dostawca]])</f>
        <v>MedicaPharm</v>
      </c>
      <c r="D2075" s="3">
        <v>45329</v>
      </c>
      <c r="E2075" s="4" t="s">
        <v>6125</v>
      </c>
      <c r="F2075" s="2" t="str">
        <f>TRIM(Table1[[#This Row],[Status]])</f>
        <v>Zaakceptowana</v>
      </c>
      <c r="G2075" s="2" t="str">
        <f>TRIM(Table1[[#This Row],[Typ]])</f>
        <v>Faktura VAT</v>
      </c>
      <c r="H2075" s="2" t="str">
        <f>TRIM(Table1[[#This Row],[Magazyn]])</f>
        <v>Apteka Szpitalna</v>
      </c>
      <c r="I2075" s="2" t="str">
        <f>TRIM(Table1[[#This Row],[Umowa]])</f>
        <v>UM-MED-02</v>
      </c>
      <c r="J2075" s="2" t="b">
        <f>ISTEXT(Table14[[#This Row],[Data_Wystawienia]])</f>
        <v>0</v>
      </c>
      <c r="K2075" s="2">
        <f>VALUE(SUBSTITUTE(Table14[[#This Row],[Wartość]],".",","))</f>
        <v>10079.32</v>
      </c>
      <c r="L20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5" s="2" t="str">
        <f>IF(Table14[[#This Row],[Umowa]]="","Poza umową","Z umowy")</f>
        <v>Z umowy</v>
      </c>
      <c r="N2075" s="2">
        <f>YEAR(Table14[[#This Row],[Data_Wystawienia]])</f>
        <v>2024</v>
      </c>
      <c r="O2075" s="2" t="str">
        <f>TEXT(Table14[[#This Row],[Data_Wystawienia]],"rrrr-mm")</f>
        <v>2024-02</v>
      </c>
      <c r="P2075" s="2">
        <v>1</v>
      </c>
    </row>
    <row r="2076" spans="1:16" x14ac:dyDescent="0.3">
      <c r="A2076" s="2" t="str">
        <f>TRIM(Table1[[#This Row],[Numer_FV]])</f>
        <v>FV/7503HM/24</v>
      </c>
      <c r="B2076" s="2" t="str">
        <f>TRIM(Table1[[#This Row],[Numer_PZ]])</f>
        <v>PZ/802074</v>
      </c>
      <c r="C2076" s="2" t="str">
        <f>TRIM(Table1[[#This Row],[Dostawca]])</f>
        <v>HurtMedix</v>
      </c>
      <c r="D2076" s="3">
        <v>45329</v>
      </c>
      <c r="E2076" s="4" t="s">
        <v>6128</v>
      </c>
      <c r="F2076" s="2" t="str">
        <f>TRIM(Table1[[#This Row],[Status]])</f>
        <v>Zaakceptowana</v>
      </c>
      <c r="G2076" s="2" t="str">
        <f>TRIM(Table1[[#This Row],[Typ]])</f>
        <v>Faktura VAT</v>
      </c>
      <c r="H2076" s="2" t="str">
        <f>TRIM(Table1[[#This Row],[Magazyn]])</f>
        <v>Apteka Szpitalna</v>
      </c>
      <c r="I2076" s="2" t="str">
        <f>TRIM(Table1[[#This Row],[Umowa]])</f>
        <v>UM-HUR-03</v>
      </c>
      <c r="J2076" s="2" t="b">
        <f>ISTEXT(Table14[[#This Row],[Data_Wystawienia]])</f>
        <v>0</v>
      </c>
      <c r="K2076" s="2">
        <f>VALUE(SUBSTITUTE(Table14[[#This Row],[Wartość]],".",","))</f>
        <v>18002.830000000002</v>
      </c>
      <c r="L20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6" s="2" t="str">
        <f>IF(Table14[[#This Row],[Umowa]]="","Poza umową","Z umowy")</f>
        <v>Z umowy</v>
      </c>
      <c r="N2076" s="2">
        <f>YEAR(Table14[[#This Row],[Data_Wystawienia]])</f>
        <v>2024</v>
      </c>
      <c r="O2076" s="2" t="str">
        <f>TEXT(Table14[[#This Row],[Data_Wystawienia]],"rrrr-mm")</f>
        <v>2024-02</v>
      </c>
      <c r="P2076" s="2">
        <v>1</v>
      </c>
    </row>
    <row r="2077" spans="1:16" x14ac:dyDescent="0.3">
      <c r="A2077" s="2" t="str">
        <f>TRIM(Table1[[#This Row],[Numer_FV]])</f>
        <v>FV/3026HM/24</v>
      </c>
      <c r="B2077" s="2" t="str">
        <f>TRIM(Table1[[#This Row],[Numer_PZ]])</f>
        <v>PZ/802075</v>
      </c>
      <c r="C2077" s="2" t="str">
        <f>TRIM(Table1[[#This Row],[Dostawca]])</f>
        <v>HurtMedix</v>
      </c>
      <c r="D2077" s="3">
        <v>45330</v>
      </c>
      <c r="E2077" s="4" t="s">
        <v>6131</v>
      </c>
      <c r="F2077" s="2" t="str">
        <f>TRIM(Table1[[#This Row],[Status]])</f>
        <v>Zaakceptowana</v>
      </c>
      <c r="G2077" s="2" t="str">
        <f>TRIM(Table1[[#This Row],[Typ]])</f>
        <v>Faktura VAT</v>
      </c>
      <c r="H2077" s="2" t="str">
        <f>TRIM(Table1[[#This Row],[Magazyn]])</f>
        <v>Apteka Szpitalna</v>
      </c>
      <c r="I2077" s="2" t="str">
        <f>TRIM(Table1[[#This Row],[Umowa]])</f>
        <v>UM-HUR-03</v>
      </c>
      <c r="J2077" s="2" t="b">
        <f>ISTEXT(Table14[[#This Row],[Data_Wystawienia]])</f>
        <v>0</v>
      </c>
      <c r="K2077" s="2">
        <f>VALUE(SUBSTITUTE(Table14[[#This Row],[Wartość]],".",","))</f>
        <v>8832.68</v>
      </c>
      <c r="L20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7" s="2" t="str">
        <f>IF(Table14[[#This Row],[Umowa]]="","Poza umową","Z umowy")</f>
        <v>Z umowy</v>
      </c>
      <c r="N2077" s="2">
        <f>YEAR(Table14[[#This Row],[Data_Wystawienia]])</f>
        <v>2024</v>
      </c>
      <c r="O2077" s="2" t="str">
        <f>TEXT(Table14[[#This Row],[Data_Wystawienia]],"rrrr-mm")</f>
        <v>2024-02</v>
      </c>
      <c r="P2077" s="2">
        <v>1</v>
      </c>
    </row>
    <row r="2078" spans="1:16" x14ac:dyDescent="0.3">
      <c r="A2078" s="2" t="str">
        <f>TRIM(Table1[[#This Row],[Numer_FV]])</f>
        <v>FV/POL/66403/2024</v>
      </c>
      <c r="B2078" s="2" t="str">
        <f>TRIM(Table1[[#This Row],[Numer_PZ]])</f>
        <v>PZ/802076</v>
      </c>
      <c r="C2078" s="2" t="str">
        <f>TRIM(Table1[[#This Row],[Dostawca]])</f>
        <v>Polmedica</v>
      </c>
      <c r="D2078" s="3">
        <v>45330</v>
      </c>
      <c r="E2078" s="4" t="s">
        <v>6134</v>
      </c>
      <c r="F2078" s="2" t="str">
        <f>TRIM(Table1[[#This Row],[Status]])</f>
        <v>Zaakceptowana</v>
      </c>
      <c r="G2078" s="2" t="str">
        <f>TRIM(Table1[[#This Row],[Typ]])</f>
        <v>Faktura VAT</v>
      </c>
      <c r="H2078" s="2" t="str">
        <f>TRIM(Table1[[#This Row],[Magazyn]])</f>
        <v>Apteka Szpitalna</v>
      </c>
      <c r="I2078" s="2" t="str">
        <f>TRIM(Table1[[#This Row],[Umowa]])</f>
        <v>UM-POL-02</v>
      </c>
      <c r="J2078" s="2" t="b">
        <f>ISTEXT(Table14[[#This Row],[Data_Wystawienia]])</f>
        <v>0</v>
      </c>
      <c r="K2078" s="2">
        <f>VALUE(SUBSTITUTE(Table14[[#This Row],[Wartość]],".",","))</f>
        <v>15138.93</v>
      </c>
      <c r="L20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8" s="2" t="str">
        <f>IF(Table14[[#This Row],[Umowa]]="","Poza umową","Z umowy")</f>
        <v>Z umowy</v>
      </c>
      <c r="N2078" s="2">
        <f>YEAR(Table14[[#This Row],[Data_Wystawienia]])</f>
        <v>2024</v>
      </c>
      <c r="O2078" s="2" t="str">
        <f>TEXT(Table14[[#This Row],[Data_Wystawienia]],"rrrr-mm")</f>
        <v>2024-02</v>
      </c>
      <c r="P2078" s="2">
        <v>1</v>
      </c>
    </row>
    <row r="2079" spans="1:16" x14ac:dyDescent="0.3">
      <c r="A2079" s="2" t="str">
        <f>TRIM(Table1[[#This Row],[Numer_FV]])</f>
        <v>FV/5207HM/24</v>
      </c>
      <c r="B2079" s="2" t="str">
        <f>TRIM(Table1[[#This Row],[Numer_PZ]])</f>
        <v>PZ/802077</v>
      </c>
      <c r="C2079" s="2" t="str">
        <f>TRIM(Table1[[#This Row],[Dostawca]])</f>
        <v>HurtMedix</v>
      </c>
      <c r="D2079" s="3">
        <v>45331</v>
      </c>
      <c r="E2079" s="4" t="s">
        <v>6137</v>
      </c>
      <c r="F2079" s="2" t="str">
        <f>TRIM(Table1[[#This Row],[Status]])</f>
        <v>Zaakceptowana</v>
      </c>
      <c r="G2079" s="2" t="str">
        <f>TRIM(Table1[[#This Row],[Typ]])</f>
        <v>Faktura VAT</v>
      </c>
      <c r="H2079" s="2" t="str">
        <f>TRIM(Table1[[#This Row],[Magazyn]])</f>
        <v>Apteka Szpitalna</v>
      </c>
      <c r="I2079" s="2" t="str">
        <f>TRIM(Table1[[#This Row],[Umowa]])</f>
        <v>UM-HUR-01</v>
      </c>
      <c r="J2079" s="2" t="b">
        <f>ISTEXT(Table14[[#This Row],[Data_Wystawienia]])</f>
        <v>0</v>
      </c>
      <c r="K2079" s="2">
        <f>VALUE(SUBSTITUTE(Table14[[#This Row],[Wartość]],".",","))</f>
        <v>7941.64</v>
      </c>
      <c r="L20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79" s="2" t="str">
        <f>IF(Table14[[#This Row],[Umowa]]="","Poza umową","Z umowy")</f>
        <v>Z umowy</v>
      </c>
      <c r="N2079" s="2">
        <f>YEAR(Table14[[#This Row],[Data_Wystawienia]])</f>
        <v>2024</v>
      </c>
      <c r="O2079" s="2" t="str">
        <f>TEXT(Table14[[#This Row],[Data_Wystawienia]],"rrrr-mm")</f>
        <v>2024-02</v>
      </c>
      <c r="P2079" s="2">
        <v>1</v>
      </c>
    </row>
    <row r="2080" spans="1:16" x14ac:dyDescent="0.3">
      <c r="A2080" s="2" t="str">
        <f>TRIM(Table1[[#This Row],[Numer_FV]])</f>
        <v>FV/6444/NOVA/24</v>
      </c>
      <c r="B2080" s="2" t="str">
        <f>TRIM(Table1[[#This Row],[Numer_PZ]])</f>
        <v>PZ/802078</v>
      </c>
      <c r="C2080" s="2" t="str">
        <f>TRIM(Table1[[#This Row],[Dostawca]])</f>
        <v>NovaLek</v>
      </c>
      <c r="D2080" s="3">
        <v>45331</v>
      </c>
      <c r="E2080" s="4" t="s">
        <v>6140</v>
      </c>
      <c r="F2080" s="2" t="str">
        <f>TRIM(Table1[[#This Row],[Status]])</f>
        <v>Zaakceptowana</v>
      </c>
      <c r="G2080" s="2" t="str">
        <f>TRIM(Table1[[#This Row],[Typ]])</f>
        <v>Faktura VAT</v>
      </c>
      <c r="H2080" s="2" t="str">
        <f>TRIM(Table1[[#This Row],[Magazyn]])</f>
        <v>Apteka Szpitalna</v>
      </c>
      <c r="I2080" s="2" t="str">
        <f>TRIM(Table1[[#This Row],[Umowa]])</f>
        <v>UM-NOV-02</v>
      </c>
      <c r="J2080" s="2" t="b">
        <f>ISTEXT(Table14[[#This Row],[Data_Wystawienia]])</f>
        <v>0</v>
      </c>
      <c r="K2080" s="2">
        <f>VALUE(SUBSTITUTE(Table14[[#This Row],[Wartość]],".",","))</f>
        <v>8240.42</v>
      </c>
      <c r="L20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0" s="2" t="str">
        <f>IF(Table14[[#This Row],[Umowa]]="","Poza umową","Z umowy")</f>
        <v>Z umowy</v>
      </c>
      <c r="N2080" s="2">
        <f>YEAR(Table14[[#This Row],[Data_Wystawienia]])</f>
        <v>2024</v>
      </c>
      <c r="O2080" s="2" t="str">
        <f>TEXT(Table14[[#This Row],[Data_Wystawienia]],"rrrr-mm")</f>
        <v>2024-02</v>
      </c>
      <c r="P2080" s="2">
        <v>1</v>
      </c>
    </row>
    <row r="2081" spans="1:16" x14ac:dyDescent="0.3">
      <c r="A2081" s="2" t="str">
        <f>TRIM(Table1[[#This Row],[Numer_FV]])</f>
        <v>FV/POL/57729/2024</v>
      </c>
      <c r="B2081" s="2" t="str">
        <f>TRIM(Table1[[#This Row],[Numer_PZ]])</f>
        <v>PZ/802079</v>
      </c>
      <c r="C2081" s="2" t="str">
        <f>TRIM(Table1[[#This Row],[Dostawca]])</f>
        <v>Polmedica</v>
      </c>
      <c r="D2081" s="3">
        <v>45332</v>
      </c>
      <c r="E2081" s="4" t="s">
        <v>6143</v>
      </c>
      <c r="F2081" s="2" t="str">
        <f>TRIM(Table1[[#This Row],[Status]])</f>
        <v>Zaakceptowana</v>
      </c>
      <c r="G2081" s="2" t="str">
        <f>TRIM(Table1[[#This Row],[Typ]])</f>
        <v>Korekta FV</v>
      </c>
      <c r="H2081" s="2" t="str">
        <f>TRIM(Table1[[#This Row],[Magazyn]])</f>
        <v>Apteka Szpitalna</v>
      </c>
      <c r="I2081" s="2" t="str">
        <f>TRIM(Table1[[#This Row],[Umowa]])</f>
        <v>UM-POL-03</v>
      </c>
      <c r="J2081" s="2" t="b">
        <f>ISTEXT(Table14[[#This Row],[Data_Wystawienia]])</f>
        <v>0</v>
      </c>
      <c r="K2081" s="2">
        <f>VALUE(SUBSTITUTE(Table14[[#This Row],[Wartość]],".",","))</f>
        <v>-1171.3599999999999</v>
      </c>
      <c r="L20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1" s="2" t="str">
        <f>IF(Table14[[#This Row],[Umowa]]="","Poza umową","Z umowy")</f>
        <v>Z umowy</v>
      </c>
      <c r="N2081" s="2">
        <f>YEAR(Table14[[#This Row],[Data_Wystawienia]])</f>
        <v>2024</v>
      </c>
      <c r="O2081" s="2" t="str">
        <f>TEXT(Table14[[#This Row],[Data_Wystawienia]],"rrrr-mm")</f>
        <v>2024-02</v>
      </c>
      <c r="P2081" s="2">
        <v>1</v>
      </c>
    </row>
    <row r="2082" spans="1:16" x14ac:dyDescent="0.3">
      <c r="A2082" s="2" t="str">
        <f>TRIM(Table1[[#This Row],[Numer_FV]])</f>
        <v>FV/6507HM/24</v>
      </c>
      <c r="B2082" s="2" t="str">
        <f>TRIM(Table1[[#This Row],[Numer_PZ]])</f>
        <v>PZ/802080</v>
      </c>
      <c r="C2082" s="2" t="str">
        <f>TRIM(Table1[[#This Row],[Dostawca]])</f>
        <v>HurtMedix</v>
      </c>
      <c r="D2082" s="3">
        <v>45332</v>
      </c>
      <c r="E2082" s="4" t="s">
        <v>6146</v>
      </c>
      <c r="F2082" s="2" t="str">
        <f>TRIM(Table1[[#This Row],[Status]])</f>
        <v>Zaakceptowana</v>
      </c>
      <c r="G2082" s="2" t="str">
        <f>TRIM(Table1[[#This Row],[Typ]])</f>
        <v>Korekta FV</v>
      </c>
      <c r="H2082" s="2" t="str">
        <f>TRIM(Table1[[#This Row],[Magazyn]])</f>
        <v>Apteka Szpitalna</v>
      </c>
      <c r="I2082" s="2" t="str">
        <f>TRIM(Table1[[#This Row],[Umowa]])</f>
        <v>UM-HUR-01</v>
      </c>
      <c r="J2082" s="2" t="b">
        <f>ISTEXT(Table14[[#This Row],[Data_Wystawienia]])</f>
        <v>0</v>
      </c>
      <c r="K2082" s="2">
        <f>VALUE(SUBSTITUTE(Table14[[#This Row],[Wartość]],".",","))</f>
        <v>-1488.93</v>
      </c>
      <c r="L20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2" s="2" t="str">
        <f>IF(Table14[[#This Row],[Umowa]]="","Poza umową","Z umowy")</f>
        <v>Z umowy</v>
      </c>
      <c r="N2082" s="2">
        <f>YEAR(Table14[[#This Row],[Data_Wystawienia]])</f>
        <v>2024</v>
      </c>
      <c r="O2082" s="2" t="str">
        <f>TEXT(Table14[[#This Row],[Data_Wystawienia]],"rrrr-mm")</f>
        <v>2024-02</v>
      </c>
      <c r="P2082" s="2">
        <v>1</v>
      </c>
    </row>
    <row r="2083" spans="1:16" x14ac:dyDescent="0.3">
      <c r="A2083" s="2" t="str">
        <f>TRIM(Table1[[#This Row],[Numer_FV]])</f>
        <v>FV/65/SAL/24</v>
      </c>
      <c r="B2083" s="2" t="str">
        <f>TRIM(Table1[[#This Row],[Numer_PZ]])</f>
        <v>PZ/802081</v>
      </c>
      <c r="C2083" s="2" t="str">
        <f>TRIM(Table1[[#This Row],[Dostawca]])</f>
        <v>SalusHurt</v>
      </c>
      <c r="D2083" s="3">
        <v>45332</v>
      </c>
      <c r="E2083" s="4" t="s">
        <v>6148</v>
      </c>
      <c r="F2083" s="2" t="str">
        <f>TRIM(Table1[[#This Row],[Status]])</f>
        <v>Zaakceptowana</v>
      </c>
      <c r="G2083" s="2" t="str">
        <f>TRIM(Table1[[#This Row],[Typ]])</f>
        <v>Faktura VAT</v>
      </c>
      <c r="H2083" s="2" t="str">
        <f>TRIM(Table1[[#This Row],[Magazyn]])</f>
        <v>Apteka Szpitalna</v>
      </c>
      <c r="I2083" s="2" t="str">
        <f>TRIM(Table1[[#This Row],[Umowa]])</f>
        <v>UM-SAL-02</v>
      </c>
      <c r="J2083" s="2" t="b">
        <f>ISTEXT(Table14[[#This Row],[Data_Wystawienia]])</f>
        <v>0</v>
      </c>
      <c r="K2083" s="2">
        <f>VALUE(SUBSTITUTE(Table14[[#This Row],[Wartość]],".",","))</f>
        <v>13674.6</v>
      </c>
      <c r="L20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3" s="2" t="str">
        <f>IF(Table14[[#This Row],[Umowa]]="","Poza umową","Z umowy")</f>
        <v>Z umowy</v>
      </c>
      <c r="N2083" s="2">
        <f>YEAR(Table14[[#This Row],[Data_Wystawienia]])</f>
        <v>2024</v>
      </c>
      <c r="O2083" s="2" t="str">
        <f>TEXT(Table14[[#This Row],[Data_Wystawienia]],"rrrr-mm")</f>
        <v>2024-02</v>
      </c>
      <c r="P2083" s="2">
        <v>1</v>
      </c>
    </row>
    <row r="2084" spans="1:16" x14ac:dyDescent="0.3">
      <c r="A2084" s="2" t="str">
        <f>TRIM(Table1[[#This Row],[Numer_FV]])</f>
        <v>FV/16881/VDb/2024</v>
      </c>
      <c r="B2084" s="2" t="str">
        <f>TRIM(Table1[[#This Row],[Numer_PZ]])</f>
        <v>PZ/802082</v>
      </c>
      <c r="C2084" s="2" t="str">
        <f>TRIM(Table1[[#This Row],[Dostawca]])</f>
        <v>VitaDistrib</v>
      </c>
      <c r="D2084" s="3">
        <v>45332</v>
      </c>
      <c r="E2084" s="4" t="s">
        <v>6151</v>
      </c>
      <c r="F2084" s="2" t="str">
        <f>TRIM(Table1[[#This Row],[Status]])</f>
        <v>Zaakceptowana</v>
      </c>
      <c r="G2084" s="2" t="str">
        <f>TRIM(Table1[[#This Row],[Typ]])</f>
        <v>Faktura VAT</v>
      </c>
      <c r="H2084" s="2" t="str">
        <f>TRIM(Table1[[#This Row],[Magazyn]])</f>
        <v>Apteka Szpitalna</v>
      </c>
      <c r="I2084" s="2" t="str">
        <f>TRIM(Table1[[#This Row],[Umowa]])</f>
        <v/>
      </c>
      <c r="J2084" s="2" t="b">
        <f>ISTEXT(Table14[[#This Row],[Data_Wystawienia]])</f>
        <v>0</v>
      </c>
      <c r="K2084" s="2">
        <f>VALUE(SUBSTITUTE(Table14[[#This Row],[Wartość]],".",","))</f>
        <v>13261.93</v>
      </c>
      <c r="L20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4" s="2" t="str">
        <f>IF(Table14[[#This Row],[Umowa]]="","Poza umową","Z umowy")</f>
        <v>Poza umową</v>
      </c>
      <c r="N2084" s="2">
        <f>YEAR(Table14[[#This Row],[Data_Wystawienia]])</f>
        <v>2024</v>
      </c>
      <c r="O2084" s="2" t="str">
        <f>TEXT(Table14[[#This Row],[Data_Wystawienia]],"rrrr-mm")</f>
        <v>2024-02</v>
      </c>
      <c r="P2084" s="2">
        <v>1</v>
      </c>
    </row>
    <row r="2085" spans="1:16" x14ac:dyDescent="0.3">
      <c r="A2085" s="2" t="str">
        <f>TRIM(Table1[[#This Row],[Numer_FV]])</f>
        <v>FV/42/SAL/24</v>
      </c>
      <c r="B2085" s="2" t="str">
        <f>TRIM(Table1[[#This Row],[Numer_PZ]])</f>
        <v>PZ/802083</v>
      </c>
      <c r="C2085" s="2" t="str">
        <f>TRIM(Table1[[#This Row],[Dostawca]])</f>
        <v>SalusHurt</v>
      </c>
      <c r="D2085" s="3">
        <v>45333</v>
      </c>
      <c r="E2085" s="4" t="s">
        <v>6154</v>
      </c>
      <c r="F2085" s="2" t="str">
        <f>TRIM(Table1[[#This Row],[Status]])</f>
        <v>Zaakceptowana</v>
      </c>
      <c r="G2085" s="2" t="str">
        <f>TRIM(Table1[[#This Row],[Typ]])</f>
        <v>Faktura VAT</v>
      </c>
      <c r="H2085" s="2" t="str">
        <f>TRIM(Table1[[#This Row],[Magazyn]])</f>
        <v>Apteka Szpitalna</v>
      </c>
      <c r="I2085" s="2" t="str">
        <f>TRIM(Table1[[#This Row],[Umowa]])</f>
        <v/>
      </c>
      <c r="J2085" s="2" t="b">
        <f>ISTEXT(Table14[[#This Row],[Data_Wystawienia]])</f>
        <v>0</v>
      </c>
      <c r="K2085" s="2">
        <f>VALUE(SUBSTITUTE(Table14[[#This Row],[Wartość]],".",","))</f>
        <v>14020.17</v>
      </c>
      <c r="L20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5" s="2" t="str">
        <f>IF(Table14[[#This Row],[Umowa]]="","Poza umową","Z umowy")</f>
        <v>Poza umową</v>
      </c>
      <c r="N2085" s="2">
        <f>YEAR(Table14[[#This Row],[Data_Wystawienia]])</f>
        <v>2024</v>
      </c>
      <c r="O2085" s="2" t="str">
        <f>TEXT(Table14[[#This Row],[Data_Wystawienia]],"rrrr-mm")</f>
        <v>2024-02</v>
      </c>
      <c r="P2085" s="2">
        <v>1</v>
      </c>
    </row>
    <row r="2086" spans="1:16" x14ac:dyDescent="0.3">
      <c r="A2086" s="2" t="str">
        <f>TRIM(Table1[[#This Row],[Numer_FV]])</f>
        <v>FV/POL/97105/2024</v>
      </c>
      <c r="B2086" s="2" t="str">
        <f>TRIM(Table1[[#This Row],[Numer_PZ]])</f>
        <v>PZ/802084</v>
      </c>
      <c r="C2086" s="2" t="str">
        <f>TRIM(Table1[[#This Row],[Dostawca]])</f>
        <v>Polmedica</v>
      </c>
      <c r="D2086" s="3">
        <v>45333</v>
      </c>
      <c r="E2086" s="4" t="s">
        <v>6157</v>
      </c>
      <c r="F2086" s="2" t="str">
        <f>TRIM(Table1[[#This Row],[Status]])</f>
        <v>Zaakceptowana</v>
      </c>
      <c r="G2086" s="2" t="str">
        <f>TRIM(Table1[[#This Row],[Typ]])</f>
        <v>Faktura VAT</v>
      </c>
      <c r="H2086" s="2" t="str">
        <f>TRIM(Table1[[#This Row],[Magazyn]])</f>
        <v>Apteka Szpitalna</v>
      </c>
      <c r="I2086" s="2" t="str">
        <f>TRIM(Table1[[#This Row],[Umowa]])</f>
        <v>UM-POL-03</v>
      </c>
      <c r="J2086" s="2" t="b">
        <f>ISTEXT(Table14[[#This Row],[Data_Wystawienia]])</f>
        <v>0</v>
      </c>
      <c r="K2086" s="2">
        <f>VALUE(SUBSTITUTE(Table14[[#This Row],[Wartość]],".",","))</f>
        <v>17896.240000000002</v>
      </c>
      <c r="L20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6" s="2" t="str">
        <f>IF(Table14[[#This Row],[Umowa]]="","Poza umową","Z umowy")</f>
        <v>Z umowy</v>
      </c>
      <c r="N2086" s="2">
        <f>YEAR(Table14[[#This Row],[Data_Wystawienia]])</f>
        <v>2024</v>
      </c>
      <c r="O2086" s="2" t="str">
        <f>TEXT(Table14[[#This Row],[Data_Wystawienia]],"rrrr-mm")</f>
        <v>2024-02</v>
      </c>
      <c r="P2086" s="2">
        <v>1</v>
      </c>
    </row>
    <row r="2087" spans="1:16" x14ac:dyDescent="0.3">
      <c r="A2087" s="2" t="str">
        <f>TRIM(Table1[[#This Row],[Numer_FV]])</f>
        <v>FV/M/7978/P/24</v>
      </c>
      <c r="B2087" s="2" t="str">
        <f>TRIM(Table1[[#This Row],[Numer_PZ]])</f>
        <v>PZ/802085</v>
      </c>
      <c r="C2087" s="2" t="str">
        <f>TRIM(Table1[[#This Row],[Dostawca]])</f>
        <v>MedicaPharm</v>
      </c>
      <c r="D2087" s="3">
        <v>45333</v>
      </c>
      <c r="E2087" s="4" t="s">
        <v>6160</v>
      </c>
      <c r="F2087" s="2" t="str">
        <f>TRIM(Table1[[#This Row],[Status]])</f>
        <v>Zaakceptowana</v>
      </c>
      <c r="G2087" s="2" t="str">
        <f>TRIM(Table1[[#This Row],[Typ]])</f>
        <v>Faktura VAT</v>
      </c>
      <c r="H2087" s="2" t="str">
        <f>TRIM(Table1[[#This Row],[Magazyn]])</f>
        <v>Apteka Szpitalna</v>
      </c>
      <c r="I2087" s="2" t="str">
        <f>TRIM(Table1[[#This Row],[Umowa]])</f>
        <v/>
      </c>
      <c r="J2087" s="2" t="b">
        <f>ISTEXT(Table14[[#This Row],[Data_Wystawienia]])</f>
        <v>0</v>
      </c>
      <c r="K2087" s="2">
        <f>VALUE(SUBSTITUTE(Table14[[#This Row],[Wartość]],".",","))</f>
        <v>10890.84</v>
      </c>
      <c r="L20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7" s="2" t="str">
        <f>IF(Table14[[#This Row],[Umowa]]="","Poza umową","Z umowy")</f>
        <v>Poza umową</v>
      </c>
      <c r="N2087" s="2">
        <f>YEAR(Table14[[#This Row],[Data_Wystawienia]])</f>
        <v>2024</v>
      </c>
      <c r="O2087" s="2" t="str">
        <f>TEXT(Table14[[#This Row],[Data_Wystawienia]],"rrrr-mm")</f>
        <v>2024-02</v>
      </c>
      <c r="P2087" s="2">
        <v>1</v>
      </c>
    </row>
    <row r="2088" spans="1:16" x14ac:dyDescent="0.3">
      <c r="A2088" s="2" t="str">
        <f>TRIM(Table1[[#This Row],[Numer_FV]])</f>
        <v>FV/99395/VDb/2024</v>
      </c>
      <c r="B2088" s="2" t="str">
        <f>TRIM(Table1[[#This Row],[Numer_PZ]])</f>
        <v>PZ/802086</v>
      </c>
      <c r="C2088" s="2" t="str">
        <f>TRIM(Table1[[#This Row],[Dostawca]])</f>
        <v>VitaDistrib</v>
      </c>
      <c r="D2088" s="3">
        <v>45334</v>
      </c>
      <c r="E2088" s="4" t="s">
        <v>6163</v>
      </c>
      <c r="F2088" s="2" t="str">
        <f>TRIM(Table1[[#This Row],[Status]])</f>
        <v>Zaakceptowana</v>
      </c>
      <c r="G2088" s="2" t="str">
        <f>TRIM(Table1[[#This Row],[Typ]])</f>
        <v>Faktura VAT</v>
      </c>
      <c r="H2088" s="2" t="str">
        <f>TRIM(Table1[[#This Row],[Magazyn]])</f>
        <v>Apteka Szpitalna</v>
      </c>
      <c r="I2088" s="2" t="str">
        <f>TRIM(Table1[[#This Row],[Umowa]])</f>
        <v>UM-VIT-01</v>
      </c>
      <c r="J2088" s="2" t="b">
        <f>ISTEXT(Table14[[#This Row],[Data_Wystawienia]])</f>
        <v>0</v>
      </c>
      <c r="K2088" s="2">
        <f>VALUE(SUBSTITUTE(Table14[[#This Row],[Wartość]],".",","))</f>
        <v>11216.18</v>
      </c>
      <c r="L20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8" s="2" t="str">
        <f>IF(Table14[[#This Row],[Umowa]]="","Poza umową","Z umowy")</f>
        <v>Z umowy</v>
      </c>
      <c r="N2088" s="2">
        <f>YEAR(Table14[[#This Row],[Data_Wystawienia]])</f>
        <v>2024</v>
      </c>
      <c r="O2088" s="2" t="str">
        <f>TEXT(Table14[[#This Row],[Data_Wystawienia]],"rrrr-mm")</f>
        <v>2024-02</v>
      </c>
      <c r="P2088" s="2">
        <v>1</v>
      </c>
    </row>
    <row r="2089" spans="1:16" x14ac:dyDescent="0.3">
      <c r="A2089" s="2" t="str">
        <f>TRIM(Table1[[#This Row],[Numer_FV]])</f>
        <v>FV/7076HM/24</v>
      </c>
      <c r="B2089" s="2" t="str">
        <f>TRIM(Table1[[#This Row],[Numer_PZ]])</f>
        <v>PZ/802087</v>
      </c>
      <c r="C2089" s="2" t="str">
        <f>TRIM(Table1[[#This Row],[Dostawca]])</f>
        <v>HurtMedix</v>
      </c>
      <c r="D2089" s="3">
        <v>45334</v>
      </c>
      <c r="E2089" s="4" t="s">
        <v>6166</v>
      </c>
      <c r="F2089" s="2" t="str">
        <f>TRIM(Table1[[#This Row],[Status]])</f>
        <v>Zaakceptowana</v>
      </c>
      <c r="G2089" s="2" t="str">
        <f>TRIM(Table1[[#This Row],[Typ]])</f>
        <v>Faktura VAT</v>
      </c>
      <c r="H2089" s="2" t="str">
        <f>TRIM(Table1[[#This Row],[Magazyn]])</f>
        <v>Apteka Szpitalna</v>
      </c>
      <c r="I2089" s="2" t="str">
        <f>TRIM(Table1[[#This Row],[Umowa]])</f>
        <v>UM-HUR-02</v>
      </c>
      <c r="J2089" s="2" t="b">
        <f>ISTEXT(Table14[[#This Row],[Data_Wystawienia]])</f>
        <v>0</v>
      </c>
      <c r="K2089" s="2">
        <f>VALUE(SUBSTITUTE(Table14[[#This Row],[Wartość]],".",","))</f>
        <v>8871.06</v>
      </c>
      <c r="L20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89" s="2" t="str">
        <f>IF(Table14[[#This Row],[Umowa]]="","Poza umową","Z umowy")</f>
        <v>Z umowy</v>
      </c>
      <c r="N2089" s="2">
        <f>YEAR(Table14[[#This Row],[Data_Wystawienia]])</f>
        <v>2024</v>
      </c>
      <c r="O2089" s="2" t="str">
        <f>TEXT(Table14[[#This Row],[Data_Wystawienia]],"rrrr-mm")</f>
        <v>2024-02</v>
      </c>
      <c r="P2089" s="2">
        <v>1</v>
      </c>
    </row>
    <row r="2090" spans="1:16" x14ac:dyDescent="0.3">
      <c r="A2090" s="2" t="str">
        <f>TRIM(Table1[[#This Row],[Numer_FV]])</f>
        <v>FV/4261HM/24</v>
      </c>
      <c r="B2090" s="2" t="str">
        <f>TRIM(Table1[[#This Row],[Numer_PZ]])</f>
        <v>PZ/802088</v>
      </c>
      <c r="C2090" s="2" t="str">
        <f>TRIM(Table1[[#This Row],[Dostawca]])</f>
        <v>HurtMedix</v>
      </c>
      <c r="D2090" s="3">
        <v>45334</v>
      </c>
      <c r="E2090" s="4" t="s">
        <v>6169</v>
      </c>
      <c r="F2090" s="2" t="str">
        <f>TRIM(Table1[[#This Row],[Status]])</f>
        <v>Zaakceptowana</v>
      </c>
      <c r="G2090" s="2" t="str">
        <f>TRIM(Table1[[#This Row],[Typ]])</f>
        <v>Faktura VAT</v>
      </c>
      <c r="H2090" s="2" t="str">
        <f>TRIM(Table1[[#This Row],[Magazyn]])</f>
        <v>Apteka Szpitalna</v>
      </c>
      <c r="I2090" s="2" t="str">
        <f>TRIM(Table1[[#This Row],[Umowa]])</f>
        <v>UM-HUR-02</v>
      </c>
      <c r="J2090" s="2" t="b">
        <f>ISTEXT(Table14[[#This Row],[Data_Wystawienia]])</f>
        <v>0</v>
      </c>
      <c r="K2090" s="2">
        <f>VALUE(SUBSTITUTE(Table14[[#This Row],[Wartość]],".",","))</f>
        <v>14400.88</v>
      </c>
      <c r="L20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0" s="2" t="str">
        <f>IF(Table14[[#This Row],[Umowa]]="","Poza umową","Z umowy")</f>
        <v>Z umowy</v>
      </c>
      <c r="N2090" s="2">
        <f>YEAR(Table14[[#This Row],[Data_Wystawienia]])</f>
        <v>2024</v>
      </c>
      <c r="O2090" s="2" t="str">
        <f>TEXT(Table14[[#This Row],[Data_Wystawienia]],"rrrr-mm")</f>
        <v>2024-02</v>
      </c>
      <c r="P2090" s="2">
        <v>1</v>
      </c>
    </row>
    <row r="2091" spans="1:16" x14ac:dyDescent="0.3">
      <c r="A2091" s="2" t="str">
        <f>TRIM(Table1[[#This Row],[Numer_FV]])</f>
        <v>FV/3029/NOVA/24</v>
      </c>
      <c r="B2091" s="2" t="str">
        <f>TRIM(Table1[[#This Row],[Numer_PZ]])</f>
        <v>PZ/802089</v>
      </c>
      <c r="C2091" s="2" t="str">
        <f>TRIM(Table1[[#This Row],[Dostawca]])</f>
        <v>NovaLek</v>
      </c>
      <c r="D2091" s="3">
        <v>45334</v>
      </c>
      <c r="E2091" s="4" t="s">
        <v>6172</v>
      </c>
      <c r="F2091" s="2" t="str">
        <f>TRIM(Table1[[#This Row],[Status]])</f>
        <v>Zaakceptowana</v>
      </c>
      <c r="G2091" s="2" t="str">
        <f>TRIM(Table1[[#This Row],[Typ]])</f>
        <v>Faktura VAT</v>
      </c>
      <c r="H2091" s="2" t="str">
        <f>TRIM(Table1[[#This Row],[Magazyn]])</f>
        <v>Apteka Szpitalna</v>
      </c>
      <c r="I2091" s="2" t="str">
        <f>TRIM(Table1[[#This Row],[Umowa]])</f>
        <v/>
      </c>
      <c r="J2091" s="2" t="b">
        <f>ISTEXT(Table14[[#This Row],[Data_Wystawienia]])</f>
        <v>0</v>
      </c>
      <c r="K2091" s="2">
        <f>VALUE(SUBSTITUTE(Table14[[#This Row],[Wartość]],".",","))</f>
        <v>18423.77</v>
      </c>
      <c r="L20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1" s="2" t="str">
        <f>IF(Table14[[#This Row],[Umowa]]="","Poza umową","Z umowy")</f>
        <v>Poza umową</v>
      </c>
      <c r="N2091" s="2">
        <f>YEAR(Table14[[#This Row],[Data_Wystawienia]])</f>
        <v>2024</v>
      </c>
      <c r="O2091" s="2" t="str">
        <f>TEXT(Table14[[#This Row],[Data_Wystawienia]],"rrrr-mm")</f>
        <v>2024-02</v>
      </c>
      <c r="P2091" s="2">
        <v>1</v>
      </c>
    </row>
    <row r="2092" spans="1:16" x14ac:dyDescent="0.3">
      <c r="A2092" s="2" t="str">
        <f>TRIM(Table1[[#This Row],[Numer_FV]])</f>
        <v>FV/15/PP/4107/24</v>
      </c>
      <c r="B2092" s="2" t="str">
        <f>TRIM(Table1[[#This Row],[Numer_PZ]])</f>
        <v>PZ/802090</v>
      </c>
      <c r="C2092" s="2" t="str">
        <f>TRIM(Table1[[#This Row],[Dostawca]])</f>
        <v>PharmaPlus</v>
      </c>
      <c r="D2092" s="3">
        <v>45334</v>
      </c>
      <c r="E2092" s="4" t="s">
        <v>6175</v>
      </c>
      <c r="F2092" s="2" t="str">
        <f>TRIM(Table1[[#This Row],[Status]])</f>
        <v>Zaakceptowana</v>
      </c>
      <c r="G2092" s="2" t="str">
        <f>TRIM(Table1[[#This Row],[Typ]])</f>
        <v>Faktura VAT</v>
      </c>
      <c r="H2092" s="2" t="str">
        <f>TRIM(Table1[[#This Row],[Magazyn]])</f>
        <v>Apteka Szpitalna</v>
      </c>
      <c r="I2092" s="2" t="str">
        <f>TRIM(Table1[[#This Row],[Umowa]])</f>
        <v/>
      </c>
      <c r="J2092" s="2" t="b">
        <f>ISTEXT(Table14[[#This Row],[Data_Wystawienia]])</f>
        <v>0</v>
      </c>
      <c r="K2092" s="2">
        <f>VALUE(SUBSTITUTE(Table14[[#This Row],[Wartość]],".",","))</f>
        <v>8188.43</v>
      </c>
      <c r="L20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2" s="2" t="str">
        <f>IF(Table14[[#This Row],[Umowa]]="","Poza umową","Z umowy")</f>
        <v>Poza umową</v>
      </c>
      <c r="N2092" s="2">
        <f>YEAR(Table14[[#This Row],[Data_Wystawienia]])</f>
        <v>2024</v>
      </c>
      <c r="O2092" s="2" t="str">
        <f>TEXT(Table14[[#This Row],[Data_Wystawienia]],"rrrr-mm")</f>
        <v>2024-02</v>
      </c>
      <c r="P2092" s="2">
        <v>1</v>
      </c>
    </row>
    <row r="2093" spans="1:16" x14ac:dyDescent="0.3">
      <c r="A2093" s="2" t="str">
        <f>TRIM(Table1[[#This Row],[Numer_FV]])</f>
        <v>FV/62/SAL/24</v>
      </c>
      <c r="B2093" s="2" t="str">
        <f>TRIM(Table1[[#This Row],[Numer_PZ]])</f>
        <v>PZ/802091</v>
      </c>
      <c r="C2093" s="2" t="str">
        <f>TRIM(Table1[[#This Row],[Dostawca]])</f>
        <v>SalusHurt</v>
      </c>
      <c r="D2093" s="3">
        <v>45335</v>
      </c>
      <c r="E2093" s="4" t="s">
        <v>6178</v>
      </c>
      <c r="F2093" s="2" t="str">
        <f>TRIM(Table1[[#This Row],[Status]])</f>
        <v>Zaakceptowana</v>
      </c>
      <c r="G2093" s="2" t="str">
        <f>TRIM(Table1[[#This Row],[Typ]])</f>
        <v>Faktura VAT</v>
      </c>
      <c r="H2093" s="2" t="str">
        <f>TRIM(Table1[[#This Row],[Magazyn]])</f>
        <v>Apteka Szpitalna</v>
      </c>
      <c r="I2093" s="2" t="str">
        <f>TRIM(Table1[[#This Row],[Umowa]])</f>
        <v>UM-SAL-02</v>
      </c>
      <c r="J2093" s="2" t="b">
        <f>ISTEXT(Table14[[#This Row],[Data_Wystawienia]])</f>
        <v>0</v>
      </c>
      <c r="K2093" s="2">
        <f>VALUE(SUBSTITUTE(Table14[[#This Row],[Wartość]],".",","))</f>
        <v>11323.8</v>
      </c>
      <c r="L20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3" s="2" t="str">
        <f>IF(Table14[[#This Row],[Umowa]]="","Poza umową","Z umowy")</f>
        <v>Z umowy</v>
      </c>
      <c r="N2093" s="2">
        <f>YEAR(Table14[[#This Row],[Data_Wystawienia]])</f>
        <v>2024</v>
      </c>
      <c r="O2093" s="2" t="str">
        <f>TEXT(Table14[[#This Row],[Data_Wystawienia]],"rrrr-mm")</f>
        <v>2024-02</v>
      </c>
      <c r="P2093" s="2">
        <v>1</v>
      </c>
    </row>
    <row r="2094" spans="1:16" x14ac:dyDescent="0.3">
      <c r="A2094" s="2" t="str">
        <f>TRIM(Table1[[#This Row],[Numer_FV]])</f>
        <v>FV/74/SAL/24</v>
      </c>
      <c r="B2094" s="2" t="str">
        <f>TRIM(Table1[[#This Row],[Numer_PZ]])</f>
        <v>PZ/802092</v>
      </c>
      <c r="C2094" s="2" t="str">
        <f>TRIM(Table1[[#This Row],[Dostawca]])</f>
        <v>SalusHurt</v>
      </c>
      <c r="D2094" s="3">
        <v>45335</v>
      </c>
      <c r="E2094" s="4" t="s">
        <v>6181</v>
      </c>
      <c r="F2094" s="2" t="str">
        <f>TRIM(Table1[[#This Row],[Status]])</f>
        <v>Zaakceptowana</v>
      </c>
      <c r="G2094" s="2" t="str">
        <f>TRIM(Table1[[#This Row],[Typ]])</f>
        <v>Faktura VAT</v>
      </c>
      <c r="H2094" s="2" t="str">
        <f>TRIM(Table1[[#This Row],[Magazyn]])</f>
        <v>Apteka Szpitalna</v>
      </c>
      <c r="I2094" s="2" t="str">
        <f>TRIM(Table1[[#This Row],[Umowa]])</f>
        <v>UM-SAL-01</v>
      </c>
      <c r="J2094" s="2" t="b">
        <f>ISTEXT(Table14[[#This Row],[Data_Wystawienia]])</f>
        <v>0</v>
      </c>
      <c r="K2094" s="2">
        <f>VALUE(SUBSTITUTE(Table14[[#This Row],[Wartość]],".",","))</f>
        <v>16281.36</v>
      </c>
      <c r="L20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4" s="2" t="str">
        <f>IF(Table14[[#This Row],[Umowa]]="","Poza umową","Z umowy")</f>
        <v>Z umowy</v>
      </c>
      <c r="N2094" s="2">
        <f>YEAR(Table14[[#This Row],[Data_Wystawienia]])</f>
        <v>2024</v>
      </c>
      <c r="O2094" s="2" t="str">
        <f>TEXT(Table14[[#This Row],[Data_Wystawienia]],"rrrr-mm")</f>
        <v>2024-02</v>
      </c>
      <c r="P2094" s="2">
        <v>1</v>
      </c>
    </row>
    <row r="2095" spans="1:16" x14ac:dyDescent="0.3">
      <c r="A2095" s="2" t="str">
        <f>TRIM(Table1[[#This Row],[Numer_FV]])</f>
        <v>FV/9971HM/24</v>
      </c>
      <c r="B2095" s="2" t="str">
        <f>TRIM(Table1[[#This Row],[Numer_PZ]])</f>
        <v>PZ/802093</v>
      </c>
      <c r="C2095" s="2" t="str">
        <f>TRIM(Table1[[#This Row],[Dostawca]])</f>
        <v>HurtMedix</v>
      </c>
      <c r="D2095" s="3">
        <v>45335</v>
      </c>
      <c r="E2095" s="4" t="s">
        <v>6184</v>
      </c>
      <c r="F2095" s="2" t="str">
        <f>TRIM(Table1[[#This Row],[Status]])</f>
        <v>Zaakceptowana</v>
      </c>
      <c r="G2095" s="2" t="str">
        <f>TRIM(Table1[[#This Row],[Typ]])</f>
        <v>Faktura VAT</v>
      </c>
      <c r="H2095" s="2" t="str">
        <f>TRIM(Table1[[#This Row],[Magazyn]])</f>
        <v>Apteka Szpitalna</v>
      </c>
      <c r="I2095" s="2" t="str">
        <f>TRIM(Table1[[#This Row],[Umowa]])</f>
        <v/>
      </c>
      <c r="J2095" s="2" t="b">
        <f>ISTEXT(Table14[[#This Row],[Data_Wystawienia]])</f>
        <v>0</v>
      </c>
      <c r="K2095" s="2">
        <f>VALUE(SUBSTITUTE(Table14[[#This Row],[Wartość]],".",","))</f>
        <v>8955.43</v>
      </c>
      <c r="L20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5" s="2" t="str">
        <f>IF(Table14[[#This Row],[Umowa]]="","Poza umową","Z umowy")</f>
        <v>Poza umową</v>
      </c>
      <c r="N2095" s="2">
        <f>YEAR(Table14[[#This Row],[Data_Wystawienia]])</f>
        <v>2024</v>
      </c>
      <c r="O2095" s="2" t="str">
        <f>TEXT(Table14[[#This Row],[Data_Wystawienia]],"rrrr-mm")</f>
        <v>2024-02</v>
      </c>
      <c r="P2095" s="2">
        <v>1</v>
      </c>
    </row>
    <row r="2096" spans="1:16" x14ac:dyDescent="0.3">
      <c r="A2096" s="2" t="str">
        <f>TRIM(Table1[[#This Row],[Numer_FV]])</f>
        <v>FV/23307/VDb/2024</v>
      </c>
      <c r="B2096" s="2" t="str">
        <f>TRIM(Table1[[#This Row],[Numer_PZ]])</f>
        <v>PZ/802094</v>
      </c>
      <c r="C2096" s="2" t="str">
        <f>TRIM(Table1[[#This Row],[Dostawca]])</f>
        <v>VitaDistrib</v>
      </c>
      <c r="D2096" s="3">
        <v>45335</v>
      </c>
      <c r="E2096" s="4" t="s">
        <v>6187</v>
      </c>
      <c r="F2096" s="2" t="str">
        <f>TRIM(Table1[[#This Row],[Status]])</f>
        <v>Zaakceptowana</v>
      </c>
      <c r="G2096" s="2" t="str">
        <f>TRIM(Table1[[#This Row],[Typ]])</f>
        <v>Faktura VAT</v>
      </c>
      <c r="H2096" s="2" t="str">
        <f>TRIM(Table1[[#This Row],[Magazyn]])</f>
        <v>Apteka Szpitalna</v>
      </c>
      <c r="I2096" s="2" t="str">
        <f>TRIM(Table1[[#This Row],[Umowa]])</f>
        <v>UM-VIT-01</v>
      </c>
      <c r="J2096" s="2" t="b">
        <f>ISTEXT(Table14[[#This Row],[Data_Wystawienia]])</f>
        <v>0</v>
      </c>
      <c r="K2096" s="2">
        <f>VALUE(SUBSTITUTE(Table14[[#This Row],[Wartość]],".",","))</f>
        <v>10883.22</v>
      </c>
      <c r="L20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6" s="2" t="str">
        <f>IF(Table14[[#This Row],[Umowa]]="","Poza umową","Z umowy")</f>
        <v>Z umowy</v>
      </c>
      <c r="N2096" s="2">
        <f>YEAR(Table14[[#This Row],[Data_Wystawienia]])</f>
        <v>2024</v>
      </c>
      <c r="O2096" s="2" t="str">
        <f>TEXT(Table14[[#This Row],[Data_Wystawienia]],"rrrr-mm")</f>
        <v>2024-02</v>
      </c>
      <c r="P2096" s="2">
        <v>1</v>
      </c>
    </row>
    <row r="2097" spans="1:16" x14ac:dyDescent="0.3">
      <c r="A2097" s="2" t="str">
        <f>TRIM(Table1[[#This Row],[Numer_FV]])</f>
        <v>FV/44/SAL/24</v>
      </c>
      <c r="B2097" s="2" t="str">
        <f>TRIM(Table1[[#This Row],[Numer_PZ]])</f>
        <v>PZ/802095</v>
      </c>
      <c r="C2097" s="2" t="str">
        <f>TRIM(Table1[[#This Row],[Dostawca]])</f>
        <v>SalusHurt</v>
      </c>
      <c r="D2097" s="3">
        <v>45336</v>
      </c>
      <c r="E2097" s="4" t="s">
        <v>6190</v>
      </c>
      <c r="F2097" s="2" t="str">
        <f>TRIM(Table1[[#This Row],[Status]])</f>
        <v>Zaakceptowana</v>
      </c>
      <c r="G2097" s="2" t="str">
        <f>TRIM(Table1[[#This Row],[Typ]])</f>
        <v>Faktura VAT</v>
      </c>
      <c r="H2097" s="2" t="str">
        <f>TRIM(Table1[[#This Row],[Magazyn]])</f>
        <v>Apteka Szpitalna</v>
      </c>
      <c r="I2097" s="2" t="str">
        <f>TRIM(Table1[[#This Row],[Umowa]])</f>
        <v/>
      </c>
      <c r="J2097" s="2" t="b">
        <f>ISTEXT(Table14[[#This Row],[Data_Wystawienia]])</f>
        <v>0</v>
      </c>
      <c r="K2097" s="2">
        <f>VALUE(SUBSTITUTE(Table14[[#This Row],[Wartość]],".",","))</f>
        <v>14202.72</v>
      </c>
      <c r="L20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7" s="2" t="str">
        <f>IF(Table14[[#This Row],[Umowa]]="","Poza umową","Z umowy")</f>
        <v>Poza umową</v>
      </c>
      <c r="N2097" s="2">
        <f>YEAR(Table14[[#This Row],[Data_Wystawienia]])</f>
        <v>2024</v>
      </c>
      <c r="O2097" s="2" t="str">
        <f>TEXT(Table14[[#This Row],[Data_Wystawienia]],"rrrr-mm")</f>
        <v>2024-02</v>
      </c>
      <c r="P2097" s="2">
        <v>1</v>
      </c>
    </row>
    <row r="2098" spans="1:16" x14ac:dyDescent="0.3">
      <c r="A2098" s="2" t="str">
        <f>TRIM(Table1[[#This Row],[Numer_FV]])</f>
        <v>FV/6133HM/24</v>
      </c>
      <c r="B2098" s="2" t="str">
        <f>TRIM(Table1[[#This Row],[Numer_PZ]])</f>
        <v>PZ/802096</v>
      </c>
      <c r="C2098" s="2" t="str">
        <f>TRIM(Table1[[#This Row],[Dostawca]])</f>
        <v>HurtMedix</v>
      </c>
      <c r="D2098" s="3">
        <v>45336</v>
      </c>
      <c r="E2098" s="4" t="s">
        <v>6193</v>
      </c>
      <c r="F2098" s="2" t="str">
        <f>TRIM(Table1[[#This Row],[Status]])</f>
        <v>Zaakceptowana</v>
      </c>
      <c r="G2098" s="2" t="str">
        <f>TRIM(Table1[[#This Row],[Typ]])</f>
        <v>Faktura VAT</v>
      </c>
      <c r="H2098" s="2" t="str">
        <f>TRIM(Table1[[#This Row],[Magazyn]])</f>
        <v>Apteka Szpitalna</v>
      </c>
      <c r="I2098" s="2" t="str">
        <f>TRIM(Table1[[#This Row],[Umowa]])</f>
        <v>UM-HUR-01</v>
      </c>
      <c r="J2098" s="2" t="b">
        <f>ISTEXT(Table14[[#This Row],[Data_Wystawienia]])</f>
        <v>0</v>
      </c>
      <c r="K2098" s="2">
        <f>VALUE(SUBSTITUTE(Table14[[#This Row],[Wartość]],".",","))</f>
        <v>14240.66</v>
      </c>
      <c r="L20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8" s="2" t="str">
        <f>IF(Table14[[#This Row],[Umowa]]="","Poza umową","Z umowy")</f>
        <v>Z umowy</v>
      </c>
      <c r="N2098" s="2">
        <f>YEAR(Table14[[#This Row],[Data_Wystawienia]])</f>
        <v>2024</v>
      </c>
      <c r="O2098" s="2" t="str">
        <f>TEXT(Table14[[#This Row],[Data_Wystawienia]],"rrrr-mm")</f>
        <v>2024-02</v>
      </c>
      <c r="P2098" s="2">
        <v>1</v>
      </c>
    </row>
    <row r="2099" spans="1:16" x14ac:dyDescent="0.3">
      <c r="A2099" s="2" t="str">
        <f>TRIM(Table1[[#This Row],[Numer_FV]])</f>
        <v>FV/45/PP/1107/24</v>
      </c>
      <c r="B2099" s="2" t="str">
        <f>TRIM(Table1[[#This Row],[Numer_PZ]])</f>
        <v>PZ/802097</v>
      </c>
      <c r="C2099" s="2" t="str">
        <f>TRIM(Table1[[#This Row],[Dostawca]])</f>
        <v>PharmaPlus</v>
      </c>
      <c r="D2099" s="3">
        <v>45336</v>
      </c>
      <c r="E2099" s="4" t="s">
        <v>6196</v>
      </c>
      <c r="F2099" s="2" t="str">
        <f>TRIM(Table1[[#This Row],[Status]])</f>
        <v>Zaakceptowana</v>
      </c>
      <c r="G2099" s="2" t="str">
        <f>TRIM(Table1[[#This Row],[Typ]])</f>
        <v>Faktura VAT</v>
      </c>
      <c r="H2099" s="2" t="str">
        <f>TRIM(Table1[[#This Row],[Magazyn]])</f>
        <v>Apteka Szpitalna</v>
      </c>
      <c r="I2099" s="2" t="str">
        <f>TRIM(Table1[[#This Row],[Umowa]])</f>
        <v>UM-PHA-01</v>
      </c>
      <c r="J2099" s="2" t="b">
        <f>ISTEXT(Table14[[#This Row],[Data_Wystawienia]])</f>
        <v>0</v>
      </c>
      <c r="K2099" s="2">
        <f>VALUE(SUBSTITUTE(Table14[[#This Row],[Wartość]],".",","))</f>
        <v>17432.099999999999</v>
      </c>
      <c r="L20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099" s="2" t="str">
        <f>IF(Table14[[#This Row],[Umowa]]="","Poza umową","Z umowy")</f>
        <v>Z umowy</v>
      </c>
      <c r="N2099" s="2">
        <f>YEAR(Table14[[#This Row],[Data_Wystawienia]])</f>
        <v>2024</v>
      </c>
      <c r="O2099" s="2" t="str">
        <f>TEXT(Table14[[#This Row],[Data_Wystawienia]],"rrrr-mm")</f>
        <v>2024-02</v>
      </c>
      <c r="P2099" s="2">
        <v>1</v>
      </c>
    </row>
    <row r="2100" spans="1:16" x14ac:dyDescent="0.3">
      <c r="A2100" s="2" t="str">
        <f>TRIM(Table1[[#This Row],[Numer_FV]])</f>
        <v>FV/M/7761/P/24</v>
      </c>
      <c r="B2100" s="2" t="str">
        <f>TRIM(Table1[[#This Row],[Numer_PZ]])</f>
        <v>PZ/802098</v>
      </c>
      <c r="C2100" s="2" t="str">
        <f>TRIM(Table1[[#This Row],[Dostawca]])</f>
        <v>MedicaPharm</v>
      </c>
      <c r="D2100" s="3">
        <v>45336</v>
      </c>
      <c r="E2100" s="4" t="s">
        <v>6199</v>
      </c>
      <c r="F2100" s="2" t="str">
        <f>TRIM(Table1[[#This Row],[Status]])</f>
        <v>Zaakceptowana</v>
      </c>
      <c r="G2100" s="2" t="str">
        <f>TRIM(Table1[[#This Row],[Typ]])</f>
        <v>Faktura VAT</v>
      </c>
      <c r="H2100" s="2" t="str">
        <f>TRIM(Table1[[#This Row],[Magazyn]])</f>
        <v>Apteka Szpitalna</v>
      </c>
      <c r="I2100" s="2" t="str">
        <f>TRIM(Table1[[#This Row],[Umowa]])</f>
        <v/>
      </c>
      <c r="J2100" s="2" t="b">
        <f>ISTEXT(Table14[[#This Row],[Data_Wystawienia]])</f>
        <v>0</v>
      </c>
      <c r="K2100" s="2">
        <f>VALUE(SUBSTITUTE(Table14[[#This Row],[Wartość]],".",","))</f>
        <v>24233.14</v>
      </c>
      <c r="L21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0" s="2" t="str">
        <f>IF(Table14[[#This Row],[Umowa]]="","Poza umową","Z umowy")</f>
        <v>Poza umową</v>
      </c>
      <c r="N2100" s="2">
        <f>YEAR(Table14[[#This Row],[Data_Wystawienia]])</f>
        <v>2024</v>
      </c>
      <c r="O2100" s="2" t="str">
        <f>TEXT(Table14[[#This Row],[Data_Wystawienia]],"rrrr-mm")</f>
        <v>2024-02</v>
      </c>
      <c r="P2100" s="2">
        <v>1</v>
      </c>
    </row>
    <row r="2101" spans="1:16" x14ac:dyDescent="0.3">
      <c r="A2101" s="2" t="str">
        <f>TRIM(Table1[[#This Row],[Numer_FV]])</f>
        <v>FV/POL/35688/2024</v>
      </c>
      <c r="B2101" s="2" t="str">
        <f>TRIM(Table1[[#This Row],[Numer_PZ]])</f>
        <v>PZ/802099</v>
      </c>
      <c r="C2101" s="2" t="str">
        <f>TRIM(Table1[[#This Row],[Dostawca]])</f>
        <v>Polmedica</v>
      </c>
      <c r="D2101" s="3">
        <v>45336</v>
      </c>
      <c r="E2101" s="4" t="s">
        <v>6202</v>
      </c>
      <c r="F2101" s="2" t="str">
        <f>TRIM(Table1[[#This Row],[Status]])</f>
        <v>Zaakceptowana</v>
      </c>
      <c r="G2101" s="2" t="str">
        <f>TRIM(Table1[[#This Row],[Typ]])</f>
        <v>Faktura VAT</v>
      </c>
      <c r="H2101" s="2" t="str">
        <f>TRIM(Table1[[#This Row],[Magazyn]])</f>
        <v>Apteka Szpitalna</v>
      </c>
      <c r="I2101" s="2" t="str">
        <f>TRIM(Table1[[#This Row],[Umowa]])</f>
        <v>UM-POL-02</v>
      </c>
      <c r="J2101" s="2" t="b">
        <f>ISTEXT(Table14[[#This Row],[Data_Wystawienia]])</f>
        <v>0</v>
      </c>
      <c r="K2101" s="2">
        <f>VALUE(SUBSTITUTE(Table14[[#This Row],[Wartość]],".",","))</f>
        <v>8126.08</v>
      </c>
      <c r="L21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1" s="2" t="str">
        <f>IF(Table14[[#This Row],[Umowa]]="","Poza umową","Z umowy")</f>
        <v>Z umowy</v>
      </c>
      <c r="N2101" s="2">
        <f>YEAR(Table14[[#This Row],[Data_Wystawienia]])</f>
        <v>2024</v>
      </c>
      <c r="O2101" s="2" t="str">
        <f>TEXT(Table14[[#This Row],[Data_Wystawienia]],"rrrr-mm")</f>
        <v>2024-02</v>
      </c>
      <c r="P2101" s="2">
        <v>1</v>
      </c>
    </row>
    <row r="2102" spans="1:16" x14ac:dyDescent="0.3">
      <c r="A2102" s="2" t="str">
        <f>TRIM(Table1[[#This Row],[Numer_FV]])</f>
        <v>FV/24760/VDb/2024</v>
      </c>
      <c r="B2102" s="2" t="str">
        <f>TRIM(Table1[[#This Row],[Numer_PZ]])</f>
        <v>PZ/802100</v>
      </c>
      <c r="C2102" s="2" t="str">
        <f>TRIM(Table1[[#This Row],[Dostawca]])</f>
        <v>VitaDistrib</v>
      </c>
      <c r="D2102" s="3">
        <v>45336</v>
      </c>
      <c r="E2102" s="4" t="s">
        <v>6205</v>
      </c>
      <c r="F2102" s="2" t="str">
        <f>TRIM(Table1[[#This Row],[Status]])</f>
        <v>Zaakceptowana</v>
      </c>
      <c r="G2102" s="2" t="str">
        <f>TRIM(Table1[[#This Row],[Typ]])</f>
        <v>Faktura VAT</v>
      </c>
      <c r="H2102" s="2" t="str">
        <f>TRIM(Table1[[#This Row],[Magazyn]])</f>
        <v>Apteka Szpitalna</v>
      </c>
      <c r="I2102" s="2" t="str">
        <f>TRIM(Table1[[#This Row],[Umowa]])</f>
        <v>UM-VIT-01</v>
      </c>
      <c r="J2102" s="2" t="b">
        <f>ISTEXT(Table14[[#This Row],[Data_Wystawienia]])</f>
        <v>0</v>
      </c>
      <c r="K2102" s="2">
        <f>VALUE(SUBSTITUTE(Table14[[#This Row],[Wartość]],".",","))</f>
        <v>9448.7199999999993</v>
      </c>
      <c r="L21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2" s="2" t="str">
        <f>IF(Table14[[#This Row],[Umowa]]="","Poza umową","Z umowy")</f>
        <v>Z umowy</v>
      </c>
      <c r="N2102" s="2">
        <f>YEAR(Table14[[#This Row],[Data_Wystawienia]])</f>
        <v>2024</v>
      </c>
      <c r="O2102" s="2" t="str">
        <f>TEXT(Table14[[#This Row],[Data_Wystawienia]],"rrrr-mm")</f>
        <v>2024-02</v>
      </c>
      <c r="P2102" s="2">
        <v>1</v>
      </c>
    </row>
    <row r="2103" spans="1:16" x14ac:dyDescent="0.3">
      <c r="A2103" s="2" t="str">
        <f>TRIM(Table1[[#This Row],[Numer_FV]])</f>
        <v>FV/POL/64104/2024</v>
      </c>
      <c r="B2103" s="2" t="str">
        <f>TRIM(Table1[[#This Row],[Numer_PZ]])</f>
        <v>PZ/802101</v>
      </c>
      <c r="C2103" s="2" t="str">
        <f>TRIM(Table1[[#This Row],[Dostawca]])</f>
        <v>Polmedica</v>
      </c>
      <c r="D2103" s="3">
        <v>45337</v>
      </c>
      <c r="E2103" s="4" t="s">
        <v>6208</v>
      </c>
      <c r="F2103" s="2" t="str">
        <f>TRIM(Table1[[#This Row],[Status]])</f>
        <v>Zaakceptowana</v>
      </c>
      <c r="G2103" s="2" t="str">
        <f>TRIM(Table1[[#This Row],[Typ]])</f>
        <v>Faktura VAT</v>
      </c>
      <c r="H2103" s="2" t="str">
        <f>TRIM(Table1[[#This Row],[Magazyn]])</f>
        <v>Apteka Szpitalna</v>
      </c>
      <c r="I2103" s="2" t="str">
        <f>TRIM(Table1[[#This Row],[Umowa]])</f>
        <v/>
      </c>
      <c r="J2103" s="2" t="b">
        <f>ISTEXT(Table14[[#This Row],[Data_Wystawienia]])</f>
        <v>0</v>
      </c>
      <c r="K2103" s="2">
        <f>VALUE(SUBSTITUTE(Table14[[#This Row],[Wartość]],".",","))</f>
        <v>16237.66</v>
      </c>
      <c r="L21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3" s="2" t="str">
        <f>IF(Table14[[#This Row],[Umowa]]="","Poza umową","Z umowy")</f>
        <v>Poza umową</v>
      </c>
      <c r="N2103" s="2">
        <f>YEAR(Table14[[#This Row],[Data_Wystawienia]])</f>
        <v>2024</v>
      </c>
      <c r="O2103" s="2" t="str">
        <f>TEXT(Table14[[#This Row],[Data_Wystawienia]],"rrrr-mm")</f>
        <v>2024-02</v>
      </c>
      <c r="P2103" s="2">
        <v>1</v>
      </c>
    </row>
    <row r="2104" spans="1:16" x14ac:dyDescent="0.3">
      <c r="A2104" s="2" t="str">
        <f>TRIM(Table1[[#This Row],[Numer_FV]])</f>
        <v>FV/75552/VDb/2024</v>
      </c>
      <c r="B2104" s="2" t="str">
        <f>TRIM(Table1[[#This Row],[Numer_PZ]])</f>
        <v>PZ/802102</v>
      </c>
      <c r="C2104" s="2" t="str">
        <f>TRIM(Table1[[#This Row],[Dostawca]])</f>
        <v>VitaDistrib</v>
      </c>
      <c r="D2104" s="3">
        <v>45337</v>
      </c>
      <c r="E2104" s="4" t="s">
        <v>6211</v>
      </c>
      <c r="F2104" s="2" t="str">
        <f>TRIM(Table1[[#This Row],[Status]])</f>
        <v>Zaakceptowana</v>
      </c>
      <c r="G2104" s="2" t="str">
        <f>TRIM(Table1[[#This Row],[Typ]])</f>
        <v>Faktura VAT</v>
      </c>
      <c r="H2104" s="2" t="str">
        <f>TRIM(Table1[[#This Row],[Magazyn]])</f>
        <v>Apteka Szpitalna</v>
      </c>
      <c r="I2104" s="2" t="str">
        <f>TRIM(Table1[[#This Row],[Umowa]])</f>
        <v>UM-VIT-01</v>
      </c>
      <c r="J2104" s="2" t="b">
        <f>ISTEXT(Table14[[#This Row],[Data_Wystawienia]])</f>
        <v>0</v>
      </c>
      <c r="K2104" s="2">
        <f>VALUE(SUBSTITUTE(Table14[[#This Row],[Wartość]],".",","))</f>
        <v>17782.240000000002</v>
      </c>
      <c r="L21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4" s="2" t="str">
        <f>IF(Table14[[#This Row],[Umowa]]="","Poza umową","Z umowy")</f>
        <v>Z umowy</v>
      </c>
      <c r="N2104" s="2">
        <f>YEAR(Table14[[#This Row],[Data_Wystawienia]])</f>
        <v>2024</v>
      </c>
      <c r="O2104" s="2" t="str">
        <f>TEXT(Table14[[#This Row],[Data_Wystawienia]],"rrrr-mm")</f>
        <v>2024-02</v>
      </c>
      <c r="P2104" s="2">
        <v>1</v>
      </c>
    </row>
    <row r="2105" spans="1:16" x14ac:dyDescent="0.3">
      <c r="A2105" s="2" t="str">
        <f>TRIM(Table1[[#This Row],[Numer_FV]])</f>
        <v>FV/POL/94152/2024</v>
      </c>
      <c r="B2105" s="2" t="str">
        <f>TRIM(Table1[[#This Row],[Numer_PZ]])</f>
        <v>PZ/802103</v>
      </c>
      <c r="C2105" s="2" t="str">
        <f>TRIM(Table1[[#This Row],[Dostawca]])</f>
        <v>Polmedica</v>
      </c>
      <c r="D2105" s="3">
        <v>45339</v>
      </c>
      <c r="E2105" s="4" t="s">
        <v>6214</v>
      </c>
      <c r="F2105" s="2" t="str">
        <f>TRIM(Table1[[#This Row],[Status]])</f>
        <v>Zaakceptowana</v>
      </c>
      <c r="G2105" s="2" t="str">
        <f>TRIM(Table1[[#This Row],[Typ]])</f>
        <v>Korekta FV</v>
      </c>
      <c r="H2105" s="2" t="str">
        <f>TRIM(Table1[[#This Row],[Magazyn]])</f>
        <v>Apteka Szpitalna</v>
      </c>
      <c r="I2105" s="2" t="str">
        <f>TRIM(Table1[[#This Row],[Umowa]])</f>
        <v>UM-POL-02</v>
      </c>
      <c r="J2105" s="2" t="b">
        <f>ISTEXT(Table14[[#This Row],[Data_Wystawienia]])</f>
        <v>0</v>
      </c>
      <c r="K2105" s="2">
        <f>VALUE(SUBSTITUTE(Table14[[#This Row],[Wartość]],".",","))</f>
        <v>-242.78</v>
      </c>
      <c r="L21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5" s="2" t="str">
        <f>IF(Table14[[#This Row],[Umowa]]="","Poza umową","Z umowy")</f>
        <v>Z umowy</v>
      </c>
      <c r="N2105" s="2">
        <f>YEAR(Table14[[#This Row],[Data_Wystawienia]])</f>
        <v>2024</v>
      </c>
      <c r="O2105" s="2" t="str">
        <f>TEXT(Table14[[#This Row],[Data_Wystawienia]],"rrrr-mm")</f>
        <v>2024-02</v>
      </c>
      <c r="P2105" s="2">
        <v>1</v>
      </c>
    </row>
    <row r="2106" spans="1:16" x14ac:dyDescent="0.3">
      <c r="A2106" s="2" t="str">
        <f>TRIM(Table1[[#This Row],[Numer_FV]])</f>
        <v>FV/7360HM/24</v>
      </c>
      <c r="B2106" s="2" t="str">
        <f>TRIM(Table1[[#This Row],[Numer_PZ]])</f>
        <v>PZ/802104</v>
      </c>
      <c r="C2106" s="2" t="str">
        <f>TRIM(Table1[[#This Row],[Dostawca]])</f>
        <v>HurtMedix</v>
      </c>
      <c r="D2106" s="3">
        <v>45339</v>
      </c>
      <c r="E2106" s="4" t="s">
        <v>6217</v>
      </c>
      <c r="F2106" s="2" t="str">
        <f>TRIM(Table1[[#This Row],[Status]])</f>
        <v>Zaakceptowana</v>
      </c>
      <c r="G2106" s="2" t="str">
        <f>TRIM(Table1[[#This Row],[Typ]])</f>
        <v>Faktura VAT</v>
      </c>
      <c r="H2106" s="2" t="str">
        <f>TRIM(Table1[[#This Row],[Magazyn]])</f>
        <v>Apteka Szpitalna</v>
      </c>
      <c r="I2106" s="2" t="str">
        <f>TRIM(Table1[[#This Row],[Umowa]])</f>
        <v>UM-HUR-02</v>
      </c>
      <c r="J2106" s="2" t="b">
        <f>ISTEXT(Table14[[#This Row],[Data_Wystawienia]])</f>
        <v>0</v>
      </c>
      <c r="K2106" s="2">
        <f>VALUE(SUBSTITUTE(Table14[[#This Row],[Wartość]],".",","))</f>
        <v>12810.42</v>
      </c>
      <c r="L21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6" s="2" t="str">
        <f>IF(Table14[[#This Row],[Umowa]]="","Poza umową","Z umowy")</f>
        <v>Z umowy</v>
      </c>
      <c r="N2106" s="2">
        <f>YEAR(Table14[[#This Row],[Data_Wystawienia]])</f>
        <v>2024</v>
      </c>
      <c r="O2106" s="2" t="str">
        <f>TEXT(Table14[[#This Row],[Data_Wystawienia]],"rrrr-mm")</f>
        <v>2024-02</v>
      </c>
      <c r="P2106" s="2">
        <v>1</v>
      </c>
    </row>
    <row r="2107" spans="1:16" x14ac:dyDescent="0.3">
      <c r="A2107" s="2" t="str">
        <f>TRIM(Table1[[#This Row],[Numer_FV]])</f>
        <v>FV/M/5073/P/24</v>
      </c>
      <c r="B2107" s="2" t="str">
        <f>TRIM(Table1[[#This Row],[Numer_PZ]])</f>
        <v>PZ/802105</v>
      </c>
      <c r="C2107" s="2" t="str">
        <f>TRIM(Table1[[#This Row],[Dostawca]])</f>
        <v>MedicaPharm</v>
      </c>
      <c r="D2107" s="3">
        <v>45339</v>
      </c>
      <c r="E2107" s="4" t="s">
        <v>6220</v>
      </c>
      <c r="F2107" s="2" t="str">
        <f>TRIM(Table1[[#This Row],[Status]])</f>
        <v>Zaakceptowana</v>
      </c>
      <c r="G2107" s="2" t="str">
        <f>TRIM(Table1[[#This Row],[Typ]])</f>
        <v>Faktura VAT</v>
      </c>
      <c r="H2107" s="2" t="str">
        <f>TRIM(Table1[[#This Row],[Magazyn]])</f>
        <v>Apteka Szpitalna</v>
      </c>
      <c r="I2107" s="2" t="str">
        <f>TRIM(Table1[[#This Row],[Umowa]])</f>
        <v>UM-MED-01</v>
      </c>
      <c r="J2107" s="2" t="b">
        <f>ISTEXT(Table14[[#This Row],[Data_Wystawienia]])</f>
        <v>0</v>
      </c>
      <c r="K2107" s="2">
        <f>VALUE(SUBSTITUTE(Table14[[#This Row],[Wartość]],".",","))</f>
        <v>13494.57</v>
      </c>
      <c r="L21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7" s="2" t="str">
        <f>IF(Table14[[#This Row],[Umowa]]="","Poza umową","Z umowy")</f>
        <v>Z umowy</v>
      </c>
      <c r="N2107" s="2">
        <f>YEAR(Table14[[#This Row],[Data_Wystawienia]])</f>
        <v>2024</v>
      </c>
      <c r="O2107" s="2" t="str">
        <f>TEXT(Table14[[#This Row],[Data_Wystawienia]],"rrrr-mm")</f>
        <v>2024-02</v>
      </c>
      <c r="P2107" s="2">
        <v>1</v>
      </c>
    </row>
    <row r="2108" spans="1:16" x14ac:dyDescent="0.3">
      <c r="A2108" s="2" t="str">
        <f>TRIM(Table1[[#This Row],[Numer_FV]])</f>
        <v>FV/6725HM/24</v>
      </c>
      <c r="B2108" s="2" t="str">
        <f>TRIM(Table1[[#This Row],[Numer_PZ]])</f>
        <v>PZ/802106</v>
      </c>
      <c r="C2108" s="2" t="str">
        <f>TRIM(Table1[[#This Row],[Dostawca]])</f>
        <v>HurtMedix</v>
      </c>
      <c r="D2108" s="3">
        <v>45339</v>
      </c>
      <c r="E2108" s="4" t="s">
        <v>6223</v>
      </c>
      <c r="F2108" s="2" t="str">
        <f>TRIM(Table1[[#This Row],[Status]])</f>
        <v>Zaakceptowana</v>
      </c>
      <c r="G2108" s="2" t="str">
        <f>TRIM(Table1[[#This Row],[Typ]])</f>
        <v>Faktura VAT</v>
      </c>
      <c r="H2108" s="2" t="str">
        <f>TRIM(Table1[[#This Row],[Magazyn]])</f>
        <v>Apteka Szpitalna</v>
      </c>
      <c r="I2108" s="2" t="str">
        <f>TRIM(Table1[[#This Row],[Umowa]])</f>
        <v>UM-HUR-01</v>
      </c>
      <c r="J2108" s="2" t="b">
        <f>ISTEXT(Table14[[#This Row],[Data_Wystawienia]])</f>
        <v>0</v>
      </c>
      <c r="K2108" s="2">
        <f>VALUE(SUBSTITUTE(Table14[[#This Row],[Wartość]],".",","))</f>
        <v>9677.0400000000009</v>
      </c>
      <c r="L21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8" s="2" t="str">
        <f>IF(Table14[[#This Row],[Umowa]]="","Poza umową","Z umowy")</f>
        <v>Z umowy</v>
      </c>
      <c r="N2108" s="2">
        <f>YEAR(Table14[[#This Row],[Data_Wystawienia]])</f>
        <v>2024</v>
      </c>
      <c r="O2108" s="2" t="str">
        <f>TEXT(Table14[[#This Row],[Data_Wystawienia]],"rrrr-mm")</f>
        <v>2024-02</v>
      </c>
      <c r="P2108" s="2">
        <v>1</v>
      </c>
    </row>
    <row r="2109" spans="1:16" x14ac:dyDescent="0.3">
      <c r="A2109" s="2" t="str">
        <f>TRIM(Table1[[#This Row],[Numer_FV]])</f>
        <v>FV/POL/24307/2024</v>
      </c>
      <c r="B2109" s="2" t="str">
        <f>TRIM(Table1[[#This Row],[Numer_PZ]])</f>
        <v>PZ/802107</v>
      </c>
      <c r="C2109" s="2" t="str">
        <f>TRIM(Table1[[#This Row],[Dostawca]])</f>
        <v>Polmedica</v>
      </c>
      <c r="D2109" s="3">
        <v>45340</v>
      </c>
      <c r="E2109" s="4" t="s">
        <v>6226</v>
      </c>
      <c r="F2109" s="2" t="str">
        <f>TRIM(Table1[[#This Row],[Status]])</f>
        <v>Zaakceptowana</v>
      </c>
      <c r="G2109" s="2" t="str">
        <f>TRIM(Table1[[#This Row],[Typ]])</f>
        <v>Faktura VAT</v>
      </c>
      <c r="H2109" s="2" t="str">
        <f>TRIM(Table1[[#This Row],[Magazyn]])</f>
        <v>Apteka Szpitalna</v>
      </c>
      <c r="I2109" s="2" t="str">
        <f>TRIM(Table1[[#This Row],[Umowa]])</f>
        <v/>
      </c>
      <c r="J2109" s="2" t="b">
        <f>ISTEXT(Table14[[#This Row],[Data_Wystawienia]])</f>
        <v>0</v>
      </c>
      <c r="K2109" s="2">
        <f>VALUE(SUBSTITUTE(Table14[[#This Row],[Wartość]],".",","))</f>
        <v>17168.29</v>
      </c>
      <c r="L21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09" s="2" t="str">
        <f>IF(Table14[[#This Row],[Umowa]]="","Poza umową","Z umowy")</f>
        <v>Poza umową</v>
      </c>
      <c r="N2109" s="2">
        <f>YEAR(Table14[[#This Row],[Data_Wystawienia]])</f>
        <v>2024</v>
      </c>
      <c r="O2109" s="2" t="str">
        <f>TEXT(Table14[[#This Row],[Data_Wystawienia]],"rrrr-mm")</f>
        <v>2024-02</v>
      </c>
      <c r="P2109" s="2">
        <v>1</v>
      </c>
    </row>
    <row r="2110" spans="1:16" x14ac:dyDescent="0.3">
      <c r="A2110" s="2" t="str">
        <f>TRIM(Table1[[#This Row],[Numer_FV]])</f>
        <v>FV/55/PP/2982/24</v>
      </c>
      <c r="B2110" s="2" t="str">
        <f>TRIM(Table1[[#This Row],[Numer_PZ]])</f>
        <v>PZ/802108</v>
      </c>
      <c r="C2110" s="2" t="str">
        <f>TRIM(Table1[[#This Row],[Dostawca]])</f>
        <v>PharmaPlus</v>
      </c>
      <c r="D2110" s="3">
        <v>45340</v>
      </c>
      <c r="E2110" s="4" t="s">
        <v>6229</v>
      </c>
      <c r="F2110" s="2" t="str">
        <f>TRIM(Table1[[#This Row],[Status]])</f>
        <v>Zaakceptowana</v>
      </c>
      <c r="G2110" s="2" t="str">
        <f>TRIM(Table1[[#This Row],[Typ]])</f>
        <v>Faktura VAT</v>
      </c>
      <c r="H2110" s="2" t="str">
        <f>TRIM(Table1[[#This Row],[Magazyn]])</f>
        <v>Apteka Szpitalna</v>
      </c>
      <c r="I2110" s="2" t="str">
        <f>TRIM(Table1[[#This Row],[Umowa]])</f>
        <v>UM-PHA-01</v>
      </c>
      <c r="J2110" s="2" t="b">
        <f>ISTEXT(Table14[[#This Row],[Data_Wystawienia]])</f>
        <v>0</v>
      </c>
      <c r="K2110" s="2">
        <f>VALUE(SUBSTITUTE(Table14[[#This Row],[Wartość]],".",","))</f>
        <v>16159.46</v>
      </c>
      <c r="L21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0" s="2" t="str">
        <f>IF(Table14[[#This Row],[Umowa]]="","Poza umową","Z umowy")</f>
        <v>Z umowy</v>
      </c>
      <c r="N2110" s="2">
        <f>YEAR(Table14[[#This Row],[Data_Wystawienia]])</f>
        <v>2024</v>
      </c>
      <c r="O2110" s="2" t="str">
        <f>TEXT(Table14[[#This Row],[Data_Wystawienia]],"rrrr-mm")</f>
        <v>2024-02</v>
      </c>
      <c r="P2110" s="2">
        <v>1</v>
      </c>
    </row>
    <row r="2111" spans="1:16" x14ac:dyDescent="0.3">
      <c r="A2111" s="2" t="str">
        <f>TRIM(Table1[[#This Row],[Numer_FV]])</f>
        <v>FV/CENFA/577930/24</v>
      </c>
      <c r="B2111" s="2" t="str">
        <f>TRIM(Table1[[#This Row],[Numer_PZ]])</f>
        <v>PZ/802109</v>
      </c>
      <c r="C2111" s="2" t="str">
        <f>TRIM(Table1[[#This Row],[Dostawca]])</f>
        <v>CentrumFarm</v>
      </c>
      <c r="D2111" s="3">
        <v>45340</v>
      </c>
      <c r="E2111" s="4" t="s">
        <v>6232</v>
      </c>
      <c r="F2111" s="2" t="str">
        <f>TRIM(Table1[[#This Row],[Status]])</f>
        <v>Zaakceptowana</v>
      </c>
      <c r="G2111" s="2" t="str">
        <f>TRIM(Table1[[#This Row],[Typ]])</f>
        <v>Faktura VAT</v>
      </c>
      <c r="H2111" s="2" t="str">
        <f>TRIM(Table1[[#This Row],[Magazyn]])</f>
        <v>Apteka Szpitalna</v>
      </c>
      <c r="I2111" s="2" t="str">
        <f>TRIM(Table1[[#This Row],[Umowa]])</f>
        <v>UM-CEN-02</v>
      </c>
      <c r="J2111" s="2" t="b">
        <f>ISTEXT(Table14[[#This Row],[Data_Wystawienia]])</f>
        <v>0</v>
      </c>
      <c r="K2111" s="2">
        <f>VALUE(SUBSTITUTE(Table14[[#This Row],[Wartość]],".",","))</f>
        <v>12163.02</v>
      </c>
      <c r="L21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1" s="2" t="str">
        <f>IF(Table14[[#This Row],[Umowa]]="","Poza umową","Z umowy")</f>
        <v>Z umowy</v>
      </c>
      <c r="N2111" s="2">
        <f>YEAR(Table14[[#This Row],[Data_Wystawienia]])</f>
        <v>2024</v>
      </c>
      <c r="O2111" s="2" t="str">
        <f>TEXT(Table14[[#This Row],[Data_Wystawienia]],"rrrr-mm")</f>
        <v>2024-02</v>
      </c>
      <c r="P2111" s="2">
        <v>1</v>
      </c>
    </row>
    <row r="2112" spans="1:16" x14ac:dyDescent="0.3">
      <c r="A2112" s="2" t="str">
        <f>TRIM(Table1[[#This Row],[Numer_FV]])</f>
        <v>FV/M/9062/P/24</v>
      </c>
      <c r="B2112" s="2" t="str">
        <f>TRIM(Table1[[#This Row],[Numer_PZ]])</f>
        <v>PZ/802110</v>
      </c>
      <c r="C2112" s="2" t="str">
        <f>TRIM(Table1[[#This Row],[Dostawca]])</f>
        <v>MedicaPharm</v>
      </c>
      <c r="D2112" s="3">
        <v>45341</v>
      </c>
      <c r="E2112" s="4" t="s">
        <v>6235</v>
      </c>
      <c r="F2112" s="2" t="str">
        <f>TRIM(Table1[[#This Row],[Status]])</f>
        <v>Zaakceptowana</v>
      </c>
      <c r="G2112" s="2" t="str">
        <f>TRIM(Table1[[#This Row],[Typ]])</f>
        <v>Faktura VAT</v>
      </c>
      <c r="H2112" s="2" t="str">
        <f>TRIM(Table1[[#This Row],[Magazyn]])</f>
        <v>Apteka Szpitalna</v>
      </c>
      <c r="I2112" s="2" t="str">
        <f>TRIM(Table1[[#This Row],[Umowa]])</f>
        <v/>
      </c>
      <c r="J2112" s="2" t="b">
        <f>ISTEXT(Table14[[#This Row],[Data_Wystawienia]])</f>
        <v>0</v>
      </c>
      <c r="K2112" s="2">
        <f>VALUE(SUBSTITUTE(Table14[[#This Row],[Wartość]],".",","))</f>
        <v>14503.05</v>
      </c>
      <c r="L21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2" s="2" t="str">
        <f>IF(Table14[[#This Row],[Umowa]]="","Poza umową","Z umowy")</f>
        <v>Poza umową</v>
      </c>
      <c r="N2112" s="2">
        <f>YEAR(Table14[[#This Row],[Data_Wystawienia]])</f>
        <v>2024</v>
      </c>
      <c r="O2112" s="2" t="str">
        <f>TEXT(Table14[[#This Row],[Data_Wystawienia]],"rrrr-mm")</f>
        <v>2024-02</v>
      </c>
      <c r="P2112" s="2">
        <v>1</v>
      </c>
    </row>
    <row r="2113" spans="1:16" x14ac:dyDescent="0.3">
      <c r="A2113" s="2" t="str">
        <f>TRIM(Table1[[#This Row],[Numer_FV]])</f>
        <v>FV/60/SAL/24</v>
      </c>
      <c r="B2113" s="2" t="str">
        <f>TRIM(Table1[[#This Row],[Numer_PZ]])</f>
        <v>PZ/802111</v>
      </c>
      <c r="C2113" s="2" t="str">
        <f>TRIM(Table1[[#This Row],[Dostawca]])</f>
        <v>SalusHurt</v>
      </c>
      <c r="D2113" s="3">
        <v>45342</v>
      </c>
      <c r="E2113" s="4" t="s">
        <v>6238</v>
      </c>
      <c r="F2113" s="2" t="str">
        <f>TRIM(Table1[[#This Row],[Status]])</f>
        <v>Zaakceptowana</v>
      </c>
      <c r="G2113" s="2" t="str">
        <f>TRIM(Table1[[#This Row],[Typ]])</f>
        <v>Faktura VAT</v>
      </c>
      <c r="H2113" s="2" t="str">
        <f>TRIM(Table1[[#This Row],[Magazyn]])</f>
        <v>Apteka Szpitalna</v>
      </c>
      <c r="I2113" s="2" t="str">
        <f>TRIM(Table1[[#This Row],[Umowa]])</f>
        <v>UM-SAL-02</v>
      </c>
      <c r="J2113" s="2" t="b">
        <f>ISTEXT(Table14[[#This Row],[Data_Wystawienia]])</f>
        <v>0</v>
      </c>
      <c r="K2113" s="2">
        <f>VALUE(SUBSTITUTE(Table14[[#This Row],[Wartość]],".",","))</f>
        <v>13815.9</v>
      </c>
      <c r="L21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3" s="2" t="str">
        <f>IF(Table14[[#This Row],[Umowa]]="","Poza umową","Z umowy")</f>
        <v>Z umowy</v>
      </c>
      <c r="N2113" s="2">
        <f>YEAR(Table14[[#This Row],[Data_Wystawienia]])</f>
        <v>2024</v>
      </c>
      <c r="O2113" s="2" t="str">
        <f>TEXT(Table14[[#This Row],[Data_Wystawienia]],"rrrr-mm")</f>
        <v>2024-02</v>
      </c>
      <c r="P2113" s="2">
        <v>1</v>
      </c>
    </row>
    <row r="2114" spans="1:16" x14ac:dyDescent="0.3">
      <c r="A2114" s="2" t="str">
        <f>TRIM(Table1[[#This Row],[Numer_FV]])</f>
        <v>FV/9428/NOVA/24</v>
      </c>
      <c r="B2114" s="2" t="str">
        <f>TRIM(Table1[[#This Row],[Numer_PZ]])</f>
        <v>PZ/802112</v>
      </c>
      <c r="C2114" s="2" t="str">
        <f>TRIM(Table1[[#This Row],[Dostawca]])</f>
        <v>NovaLek</v>
      </c>
      <c r="D2114" s="3">
        <v>45342</v>
      </c>
      <c r="E2114" s="4" t="s">
        <v>6241</v>
      </c>
      <c r="F2114" s="2" t="str">
        <f>TRIM(Table1[[#This Row],[Status]])</f>
        <v>Zaakceptowana</v>
      </c>
      <c r="G2114" s="2" t="str">
        <f>TRIM(Table1[[#This Row],[Typ]])</f>
        <v>Faktura VAT</v>
      </c>
      <c r="H2114" s="2" t="str">
        <f>TRIM(Table1[[#This Row],[Magazyn]])</f>
        <v>Apteka Szpitalna</v>
      </c>
      <c r="I2114" s="2" t="str">
        <f>TRIM(Table1[[#This Row],[Umowa]])</f>
        <v/>
      </c>
      <c r="J2114" s="2" t="b">
        <f>ISTEXT(Table14[[#This Row],[Data_Wystawienia]])</f>
        <v>0</v>
      </c>
      <c r="K2114" s="2">
        <f>VALUE(SUBSTITUTE(Table14[[#This Row],[Wartość]],".",","))</f>
        <v>12735.63</v>
      </c>
      <c r="L21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4" s="2" t="str">
        <f>IF(Table14[[#This Row],[Umowa]]="","Poza umową","Z umowy")</f>
        <v>Poza umową</v>
      </c>
      <c r="N2114" s="2">
        <f>YEAR(Table14[[#This Row],[Data_Wystawienia]])</f>
        <v>2024</v>
      </c>
      <c r="O2114" s="2" t="str">
        <f>TEXT(Table14[[#This Row],[Data_Wystawienia]],"rrrr-mm")</f>
        <v>2024-02</v>
      </c>
      <c r="P2114" s="2">
        <v>1</v>
      </c>
    </row>
    <row r="2115" spans="1:16" x14ac:dyDescent="0.3">
      <c r="A2115" s="2" t="str">
        <f>TRIM(Table1[[#This Row],[Numer_FV]])</f>
        <v>FV/3823/NOVA/24</v>
      </c>
      <c r="B2115" s="2" t="str">
        <f>TRIM(Table1[[#This Row],[Numer_PZ]])</f>
        <v>PZ/802113</v>
      </c>
      <c r="C2115" s="2" t="str">
        <f>TRIM(Table1[[#This Row],[Dostawca]])</f>
        <v>NovaLek</v>
      </c>
      <c r="D2115" s="3">
        <v>45343</v>
      </c>
      <c r="E2115" s="4" t="s">
        <v>6244</v>
      </c>
      <c r="F2115" s="2" t="str">
        <f>TRIM(Table1[[#This Row],[Status]])</f>
        <v>Zaakceptowana</v>
      </c>
      <c r="G2115" s="2" t="str">
        <f>TRIM(Table1[[#This Row],[Typ]])</f>
        <v>Faktura VAT</v>
      </c>
      <c r="H2115" s="2" t="str">
        <f>TRIM(Table1[[#This Row],[Magazyn]])</f>
        <v>Apteka Szpitalna</v>
      </c>
      <c r="I2115" s="2" t="str">
        <f>TRIM(Table1[[#This Row],[Umowa]])</f>
        <v>UM-NOV-02</v>
      </c>
      <c r="J2115" s="2" t="b">
        <f>ISTEXT(Table14[[#This Row],[Data_Wystawienia]])</f>
        <v>0</v>
      </c>
      <c r="K2115" s="2">
        <f>VALUE(SUBSTITUTE(Table14[[#This Row],[Wartość]],".",","))</f>
        <v>21940.799999999999</v>
      </c>
      <c r="L21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5" s="2" t="str">
        <f>IF(Table14[[#This Row],[Umowa]]="","Poza umową","Z umowy")</f>
        <v>Z umowy</v>
      </c>
      <c r="N2115" s="2">
        <f>YEAR(Table14[[#This Row],[Data_Wystawienia]])</f>
        <v>2024</v>
      </c>
      <c r="O2115" s="2" t="str">
        <f>TEXT(Table14[[#This Row],[Data_Wystawienia]],"rrrr-mm")</f>
        <v>2024-02</v>
      </c>
      <c r="P2115" s="2">
        <v>1</v>
      </c>
    </row>
    <row r="2116" spans="1:16" x14ac:dyDescent="0.3">
      <c r="A2116" s="2" t="str">
        <f>TRIM(Table1[[#This Row],[Numer_FV]])</f>
        <v>FV/7380HM/24</v>
      </c>
      <c r="B2116" s="2" t="str">
        <f>TRIM(Table1[[#This Row],[Numer_PZ]])</f>
        <v>PZ/802114</v>
      </c>
      <c r="C2116" s="2" t="str">
        <f>TRIM(Table1[[#This Row],[Dostawca]])</f>
        <v>HurtMedix</v>
      </c>
      <c r="D2116" s="3">
        <v>45345</v>
      </c>
      <c r="E2116" s="4" t="s">
        <v>6247</v>
      </c>
      <c r="F2116" s="2" t="str">
        <f>TRIM(Table1[[#This Row],[Status]])</f>
        <v>Zaakceptowana</v>
      </c>
      <c r="G2116" s="2" t="str">
        <f>TRIM(Table1[[#This Row],[Typ]])</f>
        <v>Faktura VAT</v>
      </c>
      <c r="H2116" s="2" t="str">
        <f>TRIM(Table1[[#This Row],[Magazyn]])</f>
        <v>Apteka Szpitalna</v>
      </c>
      <c r="I2116" s="2" t="str">
        <f>TRIM(Table1[[#This Row],[Umowa]])</f>
        <v/>
      </c>
      <c r="J2116" s="2" t="b">
        <f>ISTEXT(Table14[[#This Row],[Data_Wystawienia]])</f>
        <v>0</v>
      </c>
      <c r="K2116" s="2">
        <f>VALUE(SUBSTITUTE(Table14[[#This Row],[Wartość]],".",","))</f>
        <v>19159.560000000001</v>
      </c>
      <c r="L21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6" s="2" t="str">
        <f>IF(Table14[[#This Row],[Umowa]]="","Poza umową","Z umowy")</f>
        <v>Poza umową</v>
      </c>
      <c r="N2116" s="2">
        <f>YEAR(Table14[[#This Row],[Data_Wystawienia]])</f>
        <v>2024</v>
      </c>
      <c r="O2116" s="2" t="str">
        <f>TEXT(Table14[[#This Row],[Data_Wystawienia]],"rrrr-mm")</f>
        <v>2024-02</v>
      </c>
      <c r="P2116" s="2">
        <v>1</v>
      </c>
    </row>
    <row r="2117" spans="1:16" x14ac:dyDescent="0.3">
      <c r="A2117" s="2" t="str">
        <f>TRIM(Table1[[#This Row],[Numer_FV]])</f>
        <v>FV/64/PP/7269/24</v>
      </c>
      <c r="B2117" s="2" t="str">
        <f>TRIM(Table1[[#This Row],[Numer_PZ]])</f>
        <v>PZ/802115</v>
      </c>
      <c r="C2117" s="2" t="str">
        <f>TRIM(Table1[[#This Row],[Dostawca]])</f>
        <v>PharmaPlus</v>
      </c>
      <c r="D2117" s="3">
        <v>45345</v>
      </c>
      <c r="E2117" s="4" t="s">
        <v>6250</v>
      </c>
      <c r="F2117" s="2" t="str">
        <f>TRIM(Table1[[#This Row],[Status]])</f>
        <v>Zaakceptowana</v>
      </c>
      <c r="G2117" s="2" t="str">
        <f>TRIM(Table1[[#This Row],[Typ]])</f>
        <v>Faktura VAT</v>
      </c>
      <c r="H2117" s="2" t="str">
        <f>TRIM(Table1[[#This Row],[Magazyn]])</f>
        <v>Apteka Szpitalna</v>
      </c>
      <c r="I2117" s="2" t="str">
        <f>TRIM(Table1[[#This Row],[Umowa]])</f>
        <v>UM-PHA-02</v>
      </c>
      <c r="J2117" s="2" t="b">
        <f>ISTEXT(Table14[[#This Row],[Data_Wystawienia]])</f>
        <v>0</v>
      </c>
      <c r="K2117" s="2">
        <f>VALUE(SUBSTITUTE(Table14[[#This Row],[Wartość]],".",","))</f>
        <v>13812.92</v>
      </c>
      <c r="L21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7" s="2" t="str">
        <f>IF(Table14[[#This Row],[Umowa]]="","Poza umową","Z umowy")</f>
        <v>Z umowy</v>
      </c>
      <c r="N2117" s="2">
        <f>YEAR(Table14[[#This Row],[Data_Wystawienia]])</f>
        <v>2024</v>
      </c>
      <c r="O2117" s="2" t="str">
        <f>TEXT(Table14[[#This Row],[Data_Wystawienia]],"rrrr-mm")</f>
        <v>2024-02</v>
      </c>
      <c r="P2117" s="2">
        <v>1</v>
      </c>
    </row>
    <row r="2118" spans="1:16" x14ac:dyDescent="0.3">
      <c r="A2118" s="2" t="str">
        <f>TRIM(Table1[[#This Row],[Numer_FV]])</f>
        <v>FV/CENFA/324048/24</v>
      </c>
      <c r="B2118" s="2" t="str">
        <f>TRIM(Table1[[#This Row],[Numer_PZ]])</f>
        <v>PZ/802116</v>
      </c>
      <c r="C2118" s="2" t="str">
        <f>TRIM(Table1[[#This Row],[Dostawca]])</f>
        <v>CentrumFarm</v>
      </c>
      <c r="D2118" s="3">
        <v>45345</v>
      </c>
      <c r="E2118" s="4" t="s">
        <v>6253</v>
      </c>
      <c r="F2118" s="2" t="str">
        <f>TRIM(Table1[[#This Row],[Status]])</f>
        <v>Zaakceptowana</v>
      </c>
      <c r="G2118" s="2" t="str">
        <f>TRIM(Table1[[#This Row],[Typ]])</f>
        <v>Faktura VAT</v>
      </c>
      <c r="H2118" s="2" t="str">
        <f>TRIM(Table1[[#This Row],[Magazyn]])</f>
        <v>Apteka Szpitalna</v>
      </c>
      <c r="I2118" s="2" t="str">
        <f>TRIM(Table1[[#This Row],[Umowa]])</f>
        <v>UM-CEN-01</v>
      </c>
      <c r="J2118" s="2" t="b">
        <f>ISTEXT(Table14[[#This Row],[Data_Wystawienia]])</f>
        <v>0</v>
      </c>
      <c r="K2118" s="2">
        <f>VALUE(SUBSTITUTE(Table14[[#This Row],[Wartość]],".",","))</f>
        <v>14504.27</v>
      </c>
      <c r="L21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8" s="2" t="str">
        <f>IF(Table14[[#This Row],[Umowa]]="","Poza umową","Z umowy")</f>
        <v>Z umowy</v>
      </c>
      <c r="N2118" s="2">
        <f>YEAR(Table14[[#This Row],[Data_Wystawienia]])</f>
        <v>2024</v>
      </c>
      <c r="O2118" s="2" t="str">
        <f>TEXT(Table14[[#This Row],[Data_Wystawienia]],"rrrr-mm")</f>
        <v>2024-02</v>
      </c>
      <c r="P2118" s="2">
        <v>1</v>
      </c>
    </row>
    <row r="2119" spans="1:16" x14ac:dyDescent="0.3">
      <c r="A2119" s="2" t="str">
        <f>TRIM(Table1[[#This Row],[Numer_FV]])</f>
        <v>FV/8783/NOVA/24</v>
      </c>
      <c r="B2119" s="2" t="str">
        <f>TRIM(Table1[[#This Row],[Numer_PZ]])</f>
        <v>PZ/802117</v>
      </c>
      <c r="C2119" s="2" t="str">
        <f>TRIM(Table1[[#This Row],[Dostawca]])</f>
        <v>NovaLek</v>
      </c>
      <c r="D2119" s="3">
        <v>45346</v>
      </c>
      <c r="E2119" s="4" t="s">
        <v>6256</v>
      </c>
      <c r="F2119" s="2" t="str">
        <f>TRIM(Table1[[#This Row],[Status]])</f>
        <v>Zaakceptowana</v>
      </c>
      <c r="G2119" s="2" t="str">
        <f>TRIM(Table1[[#This Row],[Typ]])</f>
        <v>Faktura VAT</v>
      </c>
      <c r="H2119" s="2" t="str">
        <f>TRIM(Table1[[#This Row],[Magazyn]])</f>
        <v>Apteka Szpitalna</v>
      </c>
      <c r="I2119" s="2" t="str">
        <f>TRIM(Table1[[#This Row],[Umowa]])</f>
        <v>UM-NOV-03</v>
      </c>
      <c r="J2119" s="2" t="b">
        <f>ISTEXT(Table14[[#This Row],[Data_Wystawienia]])</f>
        <v>0</v>
      </c>
      <c r="K2119" s="2">
        <f>VALUE(SUBSTITUTE(Table14[[#This Row],[Wartość]],".",","))</f>
        <v>12297.48</v>
      </c>
      <c r="L21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19" s="2" t="str">
        <f>IF(Table14[[#This Row],[Umowa]]="","Poza umową","Z umowy")</f>
        <v>Z umowy</v>
      </c>
      <c r="N2119" s="2">
        <f>YEAR(Table14[[#This Row],[Data_Wystawienia]])</f>
        <v>2024</v>
      </c>
      <c r="O2119" s="2" t="str">
        <f>TEXT(Table14[[#This Row],[Data_Wystawienia]],"rrrr-mm")</f>
        <v>2024-02</v>
      </c>
      <c r="P2119" s="2">
        <v>1</v>
      </c>
    </row>
    <row r="2120" spans="1:16" x14ac:dyDescent="0.3">
      <c r="A2120" s="2" t="str">
        <f>TRIM(Table1[[#This Row],[Numer_FV]])</f>
        <v>FV/4743/NOVA/24</v>
      </c>
      <c r="B2120" s="2" t="str">
        <f>TRIM(Table1[[#This Row],[Numer_PZ]])</f>
        <v>PZ/802118</v>
      </c>
      <c r="C2120" s="2" t="str">
        <f>TRIM(Table1[[#This Row],[Dostawca]])</f>
        <v>NovaLek</v>
      </c>
      <c r="D2120" s="3">
        <v>45346</v>
      </c>
      <c r="E2120" s="4" t="s">
        <v>6259</v>
      </c>
      <c r="F2120" s="2" t="str">
        <f>TRIM(Table1[[#This Row],[Status]])</f>
        <v>Zaakceptowana</v>
      </c>
      <c r="G2120" s="2" t="str">
        <f>TRIM(Table1[[#This Row],[Typ]])</f>
        <v>Faktura VAT</v>
      </c>
      <c r="H2120" s="2" t="str">
        <f>TRIM(Table1[[#This Row],[Magazyn]])</f>
        <v>Apteka Szpitalna</v>
      </c>
      <c r="I2120" s="2" t="str">
        <f>TRIM(Table1[[#This Row],[Umowa]])</f>
        <v/>
      </c>
      <c r="J2120" s="2" t="b">
        <f>ISTEXT(Table14[[#This Row],[Data_Wystawienia]])</f>
        <v>0</v>
      </c>
      <c r="K2120" s="2">
        <f>VALUE(SUBSTITUTE(Table14[[#This Row],[Wartość]],".",","))</f>
        <v>12512.19</v>
      </c>
      <c r="L21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0" s="2" t="str">
        <f>IF(Table14[[#This Row],[Umowa]]="","Poza umową","Z umowy")</f>
        <v>Poza umową</v>
      </c>
      <c r="N2120" s="2">
        <f>YEAR(Table14[[#This Row],[Data_Wystawienia]])</f>
        <v>2024</v>
      </c>
      <c r="O2120" s="2" t="str">
        <f>TEXT(Table14[[#This Row],[Data_Wystawienia]],"rrrr-mm")</f>
        <v>2024-02</v>
      </c>
      <c r="P2120" s="2">
        <v>1</v>
      </c>
    </row>
    <row r="2121" spans="1:16" x14ac:dyDescent="0.3">
      <c r="A2121" s="2" t="str">
        <f>TRIM(Table1[[#This Row],[Numer_FV]])</f>
        <v>FV/CENFA/598312/24</v>
      </c>
      <c r="B2121" s="2" t="str">
        <f>TRIM(Table1[[#This Row],[Numer_PZ]])</f>
        <v>PZ/802119</v>
      </c>
      <c r="C2121" s="2" t="str">
        <f>TRIM(Table1[[#This Row],[Dostawca]])</f>
        <v>CentrumFarm</v>
      </c>
      <c r="D2121" s="3">
        <v>45346</v>
      </c>
      <c r="E2121" s="4" t="s">
        <v>6262</v>
      </c>
      <c r="F2121" s="2" t="str">
        <f>TRIM(Table1[[#This Row],[Status]])</f>
        <v>Zaakceptowana</v>
      </c>
      <c r="G2121" s="2" t="str">
        <f>TRIM(Table1[[#This Row],[Typ]])</f>
        <v>Faktura VAT</v>
      </c>
      <c r="H2121" s="2" t="str">
        <f>TRIM(Table1[[#This Row],[Magazyn]])</f>
        <v>Apteka Szpitalna</v>
      </c>
      <c r="I2121" s="2" t="str">
        <f>TRIM(Table1[[#This Row],[Umowa]])</f>
        <v/>
      </c>
      <c r="J2121" s="2" t="b">
        <f>ISTEXT(Table14[[#This Row],[Data_Wystawienia]])</f>
        <v>0</v>
      </c>
      <c r="K2121" s="2">
        <f>VALUE(SUBSTITUTE(Table14[[#This Row],[Wartość]],".",","))</f>
        <v>18378.3</v>
      </c>
      <c r="L21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1" s="2" t="str">
        <f>IF(Table14[[#This Row],[Umowa]]="","Poza umową","Z umowy")</f>
        <v>Poza umową</v>
      </c>
      <c r="N2121" s="2">
        <f>YEAR(Table14[[#This Row],[Data_Wystawienia]])</f>
        <v>2024</v>
      </c>
      <c r="O2121" s="2" t="str">
        <f>TEXT(Table14[[#This Row],[Data_Wystawienia]],"rrrr-mm")</f>
        <v>2024-02</v>
      </c>
      <c r="P2121" s="2">
        <v>1</v>
      </c>
    </row>
    <row r="2122" spans="1:16" x14ac:dyDescent="0.3">
      <c r="A2122" s="2" t="str">
        <f>TRIM(Table1[[#This Row],[Numer_FV]])</f>
        <v>FV/6779/NOVA/24</v>
      </c>
      <c r="B2122" s="2" t="str">
        <f>TRIM(Table1[[#This Row],[Numer_PZ]])</f>
        <v>PZ/802120</v>
      </c>
      <c r="C2122" s="2" t="str">
        <f>TRIM(Table1[[#This Row],[Dostawca]])</f>
        <v>NovaLek</v>
      </c>
      <c r="D2122" s="3">
        <v>45347</v>
      </c>
      <c r="E2122" s="4" t="s">
        <v>6265</v>
      </c>
      <c r="F2122" s="2" t="str">
        <f>TRIM(Table1[[#This Row],[Status]])</f>
        <v>Zaakceptowana</v>
      </c>
      <c r="G2122" s="2" t="str">
        <f>TRIM(Table1[[#This Row],[Typ]])</f>
        <v>Faktura VAT</v>
      </c>
      <c r="H2122" s="2" t="str">
        <f>TRIM(Table1[[#This Row],[Magazyn]])</f>
        <v>Apteka Szpitalna</v>
      </c>
      <c r="I2122" s="2" t="str">
        <f>TRIM(Table1[[#This Row],[Umowa]])</f>
        <v>UM-NOV-02</v>
      </c>
      <c r="J2122" s="2" t="b">
        <f>ISTEXT(Table14[[#This Row],[Data_Wystawienia]])</f>
        <v>0</v>
      </c>
      <c r="K2122" s="2">
        <f>VALUE(SUBSTITUTE(Table14[[#This Row],[Wartość]],".",","))</f>
        <v>19249.28</v>
      </c>
      <c r="L21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2" s="2" t="str">
        <f>IF(Table14[[#This Row],[Umowa]]="","Poza umową","Z umowy")</f>
        <v>Z umowy</v>
      </c>
      <c r="N2122" s="2">
        <f>YEAR(Table14[[#This Row],[Data_Wystawienia]])</f>
        <v>2024</v>
      </c>
      <c r="O2122" s="2" t="str">
        <f>TEXT(Table14[[#This Row],[Data_Wystawienia]],"rrrr-mm")</f>
        <v>2024-02</v>
      </c>
      <c r="P2122" s="2">
        <v>1</v>
      </c>
    </row>
    <row r="2123" spans="1:16" x14ac:dyDescent="0.3">
      <c r="A2123" s="2" t="str">
        <f>TRIM(Table1[[#This Row],[Numer_FV]])</f>
        <v>FV/59410/VDb/2024</v>
      </c>
      <c r="B2123" s="2" t="str">
        <f>TRIM(Table1[[#This Row],[Numer_PZ]])</f>
        <v>PZ/802121</v>
      </c>
      <c r="C2123" s="2" t="str">
        <f>TRIM(Table1[[#This Row],[Dostawca]])</f>
        <v>VitaDistrib</v>
      </c>
      <c r="D2123" s="3">
        <v>45347</v>
      </c>
      <c r="E2123" s="4" t="s">
        <v>6268</v>
      </c>
      <c r="F2123" s="2" t="str">
        <f>TRIM(Table1[[#This Row],[Status]])</f>
        <v>Zaakceptowana</v>
      </c>
      <c r="G2123" s="2" t="str">
        <f>TRIM(Table1[[#This Row],[Typ]])</f>
        <v>Faktura VAT</v>
      </c>
      <c r="H2123" s="2" t="str">
        <f>TRIM(Table1[[#This Row],[Magazyn]])</f>
        <v>Apteka Szpitalna</v>
      </c>
      <c r="I2123" s="2" t="str">
        <f>TRIM(Table1[[#This Row],[Umowa]])</f>
        <v>UM-VIT-01</v>
      </c>
      <c r="J2123" s="2" t="b">
        <f>ISTEXT(Table14[[#This Row],[Data_Wystawienia]])</f>
        <v>0</v>
      </c>
      <c r="K2123" s="2">
        <f>VALUE(SUBSTITUTE(Table14[[#This Row],[Wartość]],".",","))</f>
        <v>14602.17</v>
      </c>
      <c r="L21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3" s="2" t="str">
        <f>IF(Table14[[#This Row],[Umowa]]="","Poza umową","Z umowy")</f>
        <v>Z umowy</v>
      </c>
      <c r="N2123" s="2">
        <f>YEAR(Table14[[#This Row],[Data_Wystawienia]])</f>
        <v>2024</v>
      </c>
      <c r="O2123" s="2" t="str">
        <f>TEXT(Table14[[#This Row],[Data_Wystawienia]],"rrrr-mm")</f>
        <v>2024-02</v>
      </c>
      <c r="P2123" s="2">
        <v>1</v>
      </c>
    </row>
    <row r="2124" spans="1:16" x14ac:dyDescent="0.3">
      <c r="A2124" s="2" t="str">
        <f>TRIM(Table1[[#This Row],[Numer_FV]])</f>
        <v>FV/63/PP/3604/24</v>
      </c>
      <c r="B2124" s="2" t="str">
        <f>TRIM(Table1[[#This Row],[Numer_PZ]])</f>
        <v>PZ/802122</v>
      </c>
      <c r="C2124" s="2" t="str">
        <f>TRIM(Table1[[#This Row],[Dostawca]])</f>
        <v>PharmaPlus</v>
      </c>
      <c r="D2124" s="3">
        <v>45347</v>
      </c>
      <c r="E2124" s="4" t="s">
        <v>6271</v>
      </c>
      <c r="F2124" s="2" t="str">
        <f>TRIM(Table1[[#This Row],[Status]])</f>
        <v>Zaakceptowana</v>
      </c>
      <c r="G2124" s="2" t="str">
        <f>TRIM(Table1[[#This Row],[Typ]])</f>
        <v>Faktura VAT</v>
      </c>
      <c r="H2124" s="2" t="str">
        <f>TRIM(Table1[[#This Row],[Magazyn]])</f>
        <v>Apteka Szpitalna</v>
      </c>
      <c r="I2124" s="2" t="str">
        <f>TRIM(Table1[[#This Row],[Umowa]])</f>
        <v>UM-PHA-02</v>
      </c>
      <c r="J2124" s="2" t="b">
        <f>ISTEXT(Table14[[#This Row],[Data_Wystawienia]])</f>
        <v>0</v>
      </c>
      <c r="K2124" s="2">
        <f>VALUE(SUBSTITUTE(Table14[[#This Row],[Wartość]],".",","))</f>
        <v>15019.4</v>
      </c>
      <c r="L21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4" s="2" t="str">
        <f>IF(Table14[[#This Row],[Umowa]]="","Poza umową","Z umowy")</f>
        <v>Z umowy</v>
      </c>
      <c r="N2124" s="2">
        <f>YEAR(Table14[[#This Row],[Data_Wystawienia]])</f>
        <v>2024</v>
      </c>
      <c r="O2124" s="2" t="str">
        <f>TEXT(Table14[[#This Row],[Data_Wystawienia]],"rrrr-mm")</f>
        <v>2024-02</v>
      </c>
      <c r="P2124" s="2">
        <v>1</v>
      </c>
    </row>
    <row r="2125" spans="1:16" x14ac:dyDescent="0.3">
      <c r="A2125" s="2" t="str">
        <f>TRIM(Table1[[#This Row],[Numer_FV]])</f>
        <v>FV/56153/VDb/2024</v>
      </c>
      <c r="B2125" s="2" t="str">
        <f>TRIM(Table1[[#This Row],[Numer_PZ]])</f>
        <v>PZ/802123</v>
      </c>
      <c r="C2125" s="2" t="str">
        <f>TRIM(Table1[[#This Row],[Dostawca]])</f>
        <v>VitaDistrib</v>
      </c>
      <c r="D2125" s="3">
        <v>45348</v>
      </c>
      <c r="E2125" s="4" t="s">
        <v>6274</v>
      </c>
      <c r="F2125" s="2" t="str">
        <f>TRIM(Table1[[#This Row],[Status]])</f>
        <v>Zaakceptowana</v>
      </c>
      <c r="G2125" s="2" t="str">
        <f>TRIM(Table1[[#This Row],[Typ]])</f>
        <v>Faktura VAT</v>
      </c>
      <c r="H2125" s="2" t="str">
        <f>TRIM(Table1[[#This Row],[Magazyn]])</f>
        <v>Apteka Szpitalna</v>
      </c>
      <c r="I2125" s="2" t="str">
        <f>TRIM(Table1[[#This Row],[Umowa]])</f>
        <v>UM-VIT-01</v>
      </c>
      <c r="J2125" s="2" t="b">
        <f>ISTEXT(Table14[[#This Row],[Data_Wystawienia]])</f>
        <v>0</v>
      </c>
      <c r="K2125" s="2">
        <f>VALUE(SUBSTITUTE(Table14[[#This Row],[Wartość]],".",","))</f>
        <v>16277.8</v>
      </c>
      <c r="L21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5" s="2" t="str">
        <f>IF(Table14[[#This Row],[Umowa]]="","Poza umową","Z umowy")</f>
        <v>Z umowy</v>
      </c>
      <c r="N2125" s="2">
        <f>YEAR(Table14[[#This Row],[Data_Wystawienia]])</f>
        <v>2024</v>
      </c>
      <c r="O2125" s="2" t="str">
        <f>TEXT(Table14[[#This Row],[Data_Wystawienia]],"rrrr-mm")</f>
        <v>2024-02</v>
      </c>
      <c r="P2125" s="2">
        <v>1</v>
      </c>
    </row>
    <row r="2126" spans="1:16" x14ac:dyDescent="0.3">
      <c r="A2126" s="2" t="str">
        <f>TRIM(Table1[[#This Row],[Numer_FV]])</f>
        <v>FV/M/4643/P/24</v>
      </c>
      <c r="B2126" s="2" t="str">
        <f>TRIM(Table1[[#This Row],[Numer_PZ]])</f>
        <v>PZ/802124</v>
      </c>
      <c r="C2126" s="2" t="str">
        <f>TRIM(Table1[[#This Row],[Dostawca]])</f>
        <v>MedicaPharm</v>
      </c>
      <c r="D2126" s="3">
        <v>45349</v>
      </c>
      <c r="E2126" s="4" t="s">
        <v>6277</v>
      </c>
      <c r="F2126" s="2" t="str">
        <f>TRIM(Table1[[#This Row],[Status]])</f>
        <v>Zaakceptowana</v>
      </c>
      <c r="G2126" s="2" t="str">
        <f>TRIM(Table1[[#This Row],[Typ]])</f>
        <v>Faktura VAT</v>
      </c>
      <c r="H2126" s="2" t="str">
        <f>TRIM(Table1[[#This Row],[Magazyn]])</f>
        <v>Apteka Szpitalna</v>
      </c>
      <c r="I2126" s="2" t="str">
        <f>TRIM(Table1[[#This Row],[Umowa]])</f>
        <v/>
      </c>
      <c r="J2126" s="2" t="b">
        <f>ISTEXT(Table14[[#This Row],[Data_Wystawienia]])</f>
        <v>0</v>
      </c>
      <c r="K2126" s="2">
        <f>VALUE(SUBSTITUTE(Table14[[#This Row],[Wartość]],".",","))</f>
        <v>9512.09</v>
      </c>
      <c r="L21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6" s="2" t="str">
        <f>IF(Table14[[#This Row],[Umowa]]="","Poza umową","Z umowy")</f>
        <v>Poza umową</v>
      </c>
      <c r="N2126" s="2">
        <f>YEAR(Table14[[#This Row],[Data_Wystawienia]])</f>
        <v>2024</v>
      </c>
      <c r="O2126" s="2" t="str">
        <f>TEXT(Table14[[#This Row],[Data_Wystawienia]],"rrrr-mm")</f>
        <v>2024-02</v>
      </c>
      <c r="P2126" s="2">
        <v>1</v>
      </c>
    </row>
    <row r="2127" spans="1:16" x14ac:dyDescent="0.3">
      <c r="A2127" s="2" t="str">
        <f>TRIM(Table1[[#This Row],[Numer_FV]])</f>
        <v>FV/CENFA/443348/24</v>
      </c>
      <c r="B2127" s="2" t="str">
        <f>TRIM(Table1[[#This Row],[Numer_PZ]])</f>
        <v>PZ/802125</v>
      </c>
      <c r="C2127" s="2" t="str">
        <f>TRIM(Table1[[#This Row],[Dostawca]])</f>
        <v>CentrumFarm</v>
      </c>
      <c r="D2127" s="3">
        <v>45349</v>
      </c>
      <c r="E2127" s="4" t="s">
        <v>6280</v>
      </c>
      <c r="F2127" s="2" t="str">
        <f>TRIM(Table1[[#This Row],[Status]])</f>
        <v>Zaakceptowana</v>
      </c>
      <c r="G2127" s="2" t="str">
        <f>TRIM(Table1[[#This Row],[Typ]])</f>
        <v>Faktura VAT</v>
      </c>
      <c r="H2127" s="2" t="str">
        <f>TRIM(Table1[[#This Row],[Magazyn]])</f>
        <v>Apteka Szpitalna</v>
      </c>
      <c r="I2127" s="2" t="str">
        <f>TRIM(Table1[[#This Row],[Umowa]])</f>
        <v>UM-CEN-01</v>
      </c>
      <c r="J2127" s="2" t="b">
        <f>ISTEXT(Table14[[#This Row],[Data_Wystawienia]])</f>
        <v>0</v>
      </c>
      <c r="K2127" s="2">
        <f>VALUE(SUBSTITUTE(Table14[[#This Row],[Wartość]],".",","))</f>
        <v>14082.84</v>
      </c>
      <c r="L21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7" s="2" t="str">
        <f>IF(Table14[[#This Row],[Umowa]]="","Poza umową","Z umowy")</f>
        <v>Z umowy</v>
      </c>
      <c r="N2127" s="2">
        <f>YEAR(Table14[[#This Row],[Data_Wystawienia]])</f>
        <v>2024</v>
      </c>
      <c r="O2127" s="2" t="str">
        <f>TEXT(Table14[[#This Row],[Data_Wystawienia]],"rrrr-mm")</f>
        <v>2024-02</v>
      </c>
      <c r="P2127" s="2">
        <v>1</v>
      </c>
    </row>
    <row r="2128" spans="1:16" x14ac:dyDescent="0.3">
      <c r="A2128" s="2" t="str">
        <f>TRIM(Table1[[#This Row],[Numer_FV]])</f>
        <v>FV/32/PP/7644/24</v>
      </c>
      <c r="B2128" s="2" t="str">
        <f>TRIM(Table1[[#This Row],[Numer_PZ]])</f>
        <v>PZ/802126</v>
      </c>
      <c r="C2128" s="2" t="str">
        <f>TRIM(Table1[[#This Row],[Dostawca]])</f>
        <v>PharmaPlus</v>
      </c>
      <c r="D2128" s="3">
        <v>45349</v>
      </c>
      <c r="E2128" s="4" t="s">
        <v>6283</v>
      </c>
      <c r="F2128" s="2" t="str">
        <f>TRIM(Table1[[#This Row],[Status]])</f>
        <v>Zaakceptowana</v>
      </c>
      <c r="G2128" s="2" t="str">
        <f>TRIM(Table1[[#This Row],[Typ]])</f>
        <v>Faktura VAT</v>
      </c>
      <c r="H2128" s="2" t="str">
        <f>TRIM(Table1[[#This Row],[Magazyn]])</f>
        <v>Apteka Szpitalna</v>
      </c>
      <c r="I2128" s="2" t="str">
        <f>TRIM(Table1[[#This Row],[Umowa]])</f>
        <v>UM-PHA-01</v>
      </c>
      <c r="J2128" s="2" t="b">
        <f>ISTEXT(Table14[[#This Row],[Data_Wystawienia]])</f>
        <v>0</v>
      </c>
      <c r="K2128" s="2">
        <f>VALUE(SUBSTITUTE(Table14[[#This Row],[Wartość]],".",","))</f>
        <v>15943.65</v>
      </c>
      <c r="L21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8" s="2" t="str">
        <f>IF(Table14[[#This Row],[Umowa]]="","Poza umową","Z umowy")</f>
        <v>Z umowy</v>
      </c>
      <c r="N2128" s="2">
        <f>YEAR(Table14[[#This Row],[Data_Wystawienia]])</f>
        <v>2024</v>
      </c>
      <c r="O2128" s="2" t="str">
        <f>TEXT(Table14[[#This Row],[Data_Wystawienia]],"rrrr-mm")</f>
        <v>2024-02</v>
      </c>
      <c r="P2128" s="2">
        <v>1</v>
      </c>
    </row>
    <row r="2129" spans="1:16" x14ac:dyDescent="0.3">
      <c r="A2129" s="2" t="str">
        <f>TRIM(Table1[[#This Row],[Numer_FV]])</f>
        <v>FV/1000HM/24</v>
      </c>
      <c r="B2129" s="2" t="str">
        <f>TRIM(Table1[[#This Row],[Numer_PZ]])</f>
        <v>PZ/802127</v>
      </c>
      <c r="C2129" s="2" t="str">
        <f>TRIM(Table1[[#This Row],[Dostawca]])</f>
        <v>HurtMedix</v>
      </c>
      <c r="D2129" s="3">
        <v>45349</v>
      </c>
      <c r="E2129" s="4" t="s">
        <v>6286</v>
      </c>
      <c r="F2129" s="2" t="str">
        <f>TRIM(Table1[[#This Row],[Status]])</f>
        <v>Zaakceptowana</v>
      </c>
      <c r="G2129" s="2" t="str">
        <f>TRIM(Table1[[#This Row],[Typ]])</f>
        <v>Faktura VAT</v>
      </c>
      <c r="H2129" s="2" t="str">
        <f>TRIM(Table1[[#This Row],[Magazyn]])</f>
        <v>Apteka Szpitalna</v>
      </c>
      <c r="I2129" s="2" t="str">
        <f>TRIM(Table1[[#This Row],[Umowa]])</f>
        <v>UM-HUR-03</v>
      </c>
      <c r="J2129" s="2" t="b">
        <f>ISTEXT(Table14[[#This Row],[Data_Wystawienia]])</f>
        <v>0</v>
      </c>
      <c r="K2129" s="2">
        <f>VALUE(SUBSTITUTE(Table14[[#This Row],[Wartość]],".",","))</f>
        <v>16578.29</v>
      </c>
      <c r="L21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29" s="2" t="str">
        <f>IF(Table14[[#This Row],[Umowa]]="","Poza umową","Z umowy")</f>
        <v>Z umowy</v>
      </c>
      <c r="N2129" s="2">
        <f>YEAR(Table14[[#This Row],[Data_Wystawienia]])</f>
        <v>2024</v>
      </c>
      <c r="O2129" s="2" t="str">
        <f>TEXT(Table14[[#This Row],[Data_Wystawienia]],"rrrr-mm")</f>
        <v>2024-02</v>
      </c>
      <c r="P2129" s="2">
        <v>1</v>
      </c>
    </row>
    <row r="2130" spans="1:16" x14ac:dyDescent="0.3">
      <c r="A2130" s="2" t="str">
        <f>TRIM(Table1[[#This Row],[Numer_FV]])</f>
        <v>FV/POL/64089/2024</v>
      </c>
      <c r="B2130" s="2" t="str">
        <f>TRIM(Table1[[#This Row],[Numer_PZ]])</f>
        <v>PZ/802128</v>
      </c>
      <c r="C2130" s="2" t="str">
        <f>TRIM(Table1[[#This Row],[Dostawca]])</f>
        <v>Polmedica</v>
      </c>
      <c r="D2130" s="3">
        <v>45350</v>
      </c>
      <c r="E2130" s="4" t="s">
        <v>6289</v>
      </c>
      <c r="F2130" s="2" t="str">
        <f>TRIM(Table1[[#This Row],[Status]])</f>
        <v>Zaakceptowana</v>
      </c>
      <c r="G2130" s="2" t="str">
        <f>TRIM(Table1[[#This Row],[Typ]])</f>
        <v>Faktura VAT</v>
      </c>
      <c r="H2130" s="2" t="str">
        <f>TRIM(Table1[[#This Row],[Magazyn]])</f>
        <v>Apteka Szpitalna</v>
      </c>
      <c r="I2130" s="2" t="str">
        <f>TRIM(Table1[[#This Row],[Umowa]])</f>
        <v>UM-POL-01</v>
      </c>
      <c r="J2130" s="2" t="b">
        <f>ISTEXT(Table14[[#This Row],[Data_Wystawienia]])</f>
        <v>0</v>
      </c>
      <c r="K2130" s="2">
        <f>VALUE(SUBSTITUTE(Table14[[#This Row],[Wartość]],".",","))</f>
        <v>25390.45</v>
      </c>
      <c r="L21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0" s="2" t="str">
        <f>IF(Table14[[#This Row],[Umowa]]="","Poza umową","Z umowy")</f>
        <v>Z umowy</v>
      </c>
      <c r="N2130" s="2">
        <f>YEAR(Table14[[#This Row],[Data_Wystawienia]])</f>
        <v>2024</v>
      </c>
      <c r="O2130" s="2" t="str">
        <f>TEXT(Table14[[#This Row],[Data_Wystawienia]],"rrrr-mm")</f>
        <v>2024-02</v>
      </c>
      <c r="P2130" s="2">
        <v>1</v>
      </c>
    </row>
    <row r="2131" spans="1:16" x14ac:dyDescent="0.3">
      <c r="A2131" s="2" t="str">
        <f>TRIM(Table1[[#This Row],[Numer_FV]])</f>
        <v>FV/6455/NOVA/24</v>
      </c>
      <c r="B2131" s="2" t="str">
        <f>TRIM(Table1[[#This Row],[Numer_PZ]])</f>
        <v>PZ/802129</v>
      </c>
      <c r="C2131" s="2" t="str">
        <f>TRIM(Table1[[#This Row],[Dostawca]])</f>
        <v>NovaLek</v>
      </c>
      <c r="D2131" s="3">
        <v>45351</v>
      </c>
      <c r="E2131" s="4" t="s">
        <v>6292</v>
      </c>
      <c r="F2131" s="2" t="str">
        <f>TRIM(Table1[[#This Row],[Status]])</f>
        <v>Zaakceptowana</v>
      </c>
      <c r="G2131" s="2" t="str">
        <f>TRIM(Table1[[#This Row],[Typ]])</f>
        <v>Faktura VAT</v>
      </c>
      <c r="H2131" s="2" t="str">
        <f>TRIM(Table1[[#This Row],[Magazyn]])</f>
        <v>Apteka Szpitalna</v>
      </c>
      <c r="I2131" s="2" t="str">
        <f>TRIM(Table1[[#This Row],[Umowa]])</f>
        <v>UM-NOV-02</v>
      </c>
      <c r="J2131" s="2" t="b">
        <f>ISTEXT(Table14[[#This Row],[Data_Wystawienia]])</f>
        <v>0</v>
      </c>
      <c r="K2131" s="2">
        <f>VALUE(SUBSTITUTE(Table14[[#This Row],[Wartość]],".",","))</f>
        <v>20640.61</v>
      </c>
      <c r="L21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1" s="2" t="str">
        <f>IF(Table14[[#This Row],[Umowa]]="","Poza umową","Z umowy")</f>
        <v>Z umowy</v>
      </c>
      <c r="N2131" s="2">
        <f>YEAR(Table14[[#This Row],[Data_Wystawienia]])</f>
        <v>2024</v>
      </c>
      <c r="O2131" s="2" t="str">
        <f>TEXT(Table14[[#This Row],[Data_Wystawienia]],"rrrr-mm")</f>
        <v>2024-02</v>
      </c>
      <c r="P2131" s="2">
        <v>1</v>
      </c>
    </row>
    <row r="2132" spans="1:16" x14ac:dyDescent="0.3">
      <c r="A2132" s="2" t="str">
        <f>TRIM(Table1[[#This Row],[Numer_FV]])</f>
        <v>FV/5979/NOVA/24</v>
      </c>
      <c r="B2132" s="2" t="str">
        <f>TRIM(Table1[[#This Row],[Numer_PZ]])</f>
        <v>PZ/802130</v>
      </c>
      <c r="C2132" s="2" t="str">
        <f>TRIM(Table1[[#This Row],[Dostawca]])</f>
        <v>NovaLek</v>
      </c>
      <c r="D2132" s="3">
        <v>45351</v>
      </c>
      <c r="E2132" s="4" t="s">
        <v>6295</v>
      </c>
      <c r="F2132" s="2" t="str">
        <f>TRIM(Table1[[#This Row],[Status]])</f>
        <v>Zaakceptowana</v>
      </c>
      <c r="G2132" s="2" t="str">
        <f>TRIM(Table1[[#This Row],[Typ]])</f>
        <v>Faktura VAT</v>
      </c>
      <c r="H2132" s="2" t="str">
        <f>TRIM(Table1[[#This Row],[Magazyn]])</f>
        <v>Apteka Szpitalna</v>
      </c>
      <c r="I2132" s="2" t="str">
        <f>TRIM(Table1[[#This Row],[Umowa]])</f>
        <v>UM-NOV-01</v>
      </c>
      <c r="J2132" s="2" t="b">
        <f>ISTEXT(Table14[[#This Row],[Data_Wystawienia]])</f>
        <v>0</v>
      </c>
      <c r="K2132" s="2">
        <f>VALUE(SUBSTITUTE(Table14[[#This Row],[Wartość]],".",","))</f>
        <v>13039.21</v>
      </c>
      <c r="L21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2" s="2" t="str">
        <f>IF(Table14[[#This Row],[Umowa]]="","Poza umową","Z umowy")</f>
        <v>Z umowy</v>
      </c>
      <c r="N2132" s="2">
        <f>YEAR(Table14[[#This Row],[Data_Wystawienia]])</f>
        <v>2024</v>
      </c>
      <c r="O2132" s="2" t="str">
        <f>TEXT(Table14[[#This Row],[Data_Wystawienia]],"rrrr-mm")</f>
        <v>2024-02</v>
      </c>
      <c r="P2132" s="2">
        <v>1</v>
      </c>
    </row>
    <row r="2133" spans="1:16" x14ac:dyDescent="0.3">
      <c r="A2133" s="2" t="str">
        <f>TRIM(Table1[[#This Row],[Numer_FV]])</f>
        <v>FV/64527/VDb/2024</v>
      </c>
      <c r="B2133" s="2" t="str">
        <f>TRIM(Table1[[#This Row],[Numer_PZ]])</f>
        <v>PZ/802131</v>
      </c>
      <c r="C2133" s="2" t="str">
        <f>TRIM(Table1[[#This Row],[Dostawca]])</f>
        <v>VitaDistrib</v>
      </c>
      <c r="D2133" s="3">
        <v>45352</v>
      </c>
      <c r="E2133" s="4" t="s">
        <v>6298</v>
      </c>
      <c r="F2133" s="2" t="str">
        <f>TRIM(Table1[[#This Row],[Status]])</f>
        <v>Zaakceptowana</v>
      </c>
      <c r="G2133" s="2" t="str">
        <f>TRIM(Table1[[#This Row],[Typ]])</f>
        <v>Korekta FV</v>
      </c>
      <c r="H2133" s="2" t="str">
        <f>TRIM(Table1[[#This Row],[Magazyn]])</f>
        <v>Apteka Szpitalna</v>
      </c>
      <c r="I2133" s="2" t="str">
        <f>TRIM(Table1[[#This Row],[Umowa]])</f>
        <v>UM-VIT-01</v>
      </c>
      <c r="J2133" s="2" t="b">
        <f>ISTEXT(Table14[[#This Row],[Data_Wystawienia]])</f>
        <v>0</v>
      </c>
      <c r="K2133" s="2">
        <f>VALUE(SUBSTITUTE(Table14[[#This Row],[Wartość]],".",","))</f>
        <v>-1695.4</v>
      </c>
      <c r="L21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3" s="2" t="str">
        <f>IF(Table14[[#This Row],[Umowa]]="","Poza umową","Z umowy")</f>
        <v>Z umowy</v>
      </c>
      <c r="N2133" s="2">
        <f>YEAR(Table14[[#This Row],[Data_Wystawienia]])</f>
        <v>2024</v>
      </c>
      <c r="O2133" s="2" t="str">
        <f>TEXT(Table14[[#This Row],[Data_Wystawienia]],"rrrr-mm")</f>
        <v>2024-03</v>
      </c>
      <c r="P2133" s="2">
        <v>1</v>
      </c>
    </row>
    <row r="2134" spans="1:16" x14ac:dyDescent="0.3">
      <c r="A2134" s="2" t="str">
        <f>TRIM(Table1[[#This Row],[Numer_FV]])</f>
        <v>FV/44/PP/4837/24</v>
      </c>
      <c r="B2134" s="2" t="str">
        <f>TRIM(Table1[[#This Row],[Numer_PZ]])</f>
        <v>PZ/802132</v>
      </c>
      <c r="C2134" s="2" t="str">
        <f>TRIM(Table1[[#This Row],[Dostawca]])</f>
        <v>PharmaPlus</v>
      </c>
      <c r="D2134" s="3">
        <v>45352</v>
      </c>
      <c r="E2134" s="4" t="s">
        <v>6301</v>
      </c>
      <c r="F2134" s="2" t="str">
        <f>TRIM(Table1[[#This Row],[Status]])</f>
        <v>Zaakceptowana</v>
      </c>
      <c r="G2134" s="2" t="str">
        <f>TRIM(Table1[[#This Row],[Typ]])</f>
        <v>Faktura VAT</v>
      </c>
      <c r="H2134" s="2" t="str">
        <f>TRIM(Table1[[#This Row],[Magazyn]])</f>
        <v>Apteka Szpitalna</v>
      </c>
      <c r="I2134" s="2" t="str">
        <f>TRIM(Table1[[#This Row],[Umowa]])</f>
        <v>UM-PHA-01</v>
      </c>
      <c r="J2134" s="2" t="b">
        <f>ISTEXT(Table14[[#This Row],[Data_Wystawienia]])</f>
        <v>0</v>
      </c>
      <c r="K2134" s="2">
        <f>VALUE(SUBSTITUTE(Table14[[#This Row],[Wartość]],".",","))</f>
        <v>16189.26</v>
      </c>
      <c r="L21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4" s="2" t="str">
        <f>IF(Table14[[#This Row],[Umowa]]="","Poza umową","Z umowy")</f>
        <v>Z umowy</v>
      </c>
      <c r="N2134" s="2">
        <f>YEAR(Table14[[#This Row],[Data_Wystawienia]])</f>
        <v>2024</v>
      </c>
      <c r="O2134" s="2" t="str">
        <f>TEXT(Table14[[#This Row],[Data_Wystawienia]],"rrrr-mm")</f>
        <v>2024-03</v>
      </c>
      <c r="P2134" s="2">
        <v>1</v>
      </c>
    </row>
    <row r="2135" spans="1:16" x14ac:dyDescent="0.3">
      <c r="A2135" s="2" t="str">
        <f>TRIM(Table1[[#This Row],[Numer_FV]])</f>
        <v>FV/57/PP/3543/24</v>
      </c>
      <c r="B2135" s="2" t="str">
        <f>TRIM(Table1[[#This Row],[Numer_PZ]])</f>
        <v>PZ/802133</v>
      </c>
      <c r="C2135" s="2" t="str">
        <f>TRIM(Table1[[#This Row],[Dostawca]])</f>
        <v>PharmaPlus</v>
      </c>
      <c r="D2135" s="3">
        <v>45353</v>
      </c>
      <c r="E2135" s="4" t="s">
        <v>6304</v>
      </c>
      <c r="F2135" s="2" t="str">
        <f>TRIM(Table1[[#This Row],[Status]])</f>
        <v>Zaakceptowana</v>
      </c>
      <c r="G2135" s="2" t="str">
        <f>TRIM(Table1[[#This Row],[Typ]])</f>
        <v>Faktura VAT</v>
      </c>
      <c r="H2135" s="2" t="str">
        <f>TRIM(Table1[[#This Row],[Magazyn]])</f>
        <v>Apteka Szpitalna</v>
      </c>
      <c r="I2135" s="2" t="str">
        <f>TRIM(Table1[[#This Row],[Umowa]])</f>
        <v>UM-PHA-01</v>
      </c>
      <c r="J2135" s="2" t="b">
        <f>ISTEXT(Table14[[#This Row],[Data_Wystawienia]])</f>
        <v>0</v>
      </c>
      <c r="K2135" s="2">
        <f>VALUE(SUBSTITUTE(Table14[[#This Row],[Wartość]],".",","))</f>
        <v>14718.06</v>
      </c>
      <c r="L21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5" s="2" t="str">
        <f>IF(Table14[[#This Row],[Umowa]]="","Poza umową","Z umowy")</f>
        <v>Z umowy</v>
      </c>
      <c r="N2135" s="2">
        <f>YEAR(Table14[[#This Row],[Data_Wystawienia]])</f>
        <v>2024</v>
      </c>
      <c r="O2135" s="2" t="str">
        <f>TEXT(Table14[[#This Row],[Data_Wystawienia]],"rrrr-mm")</f>
        <v>2024-03</v>
      </c>
      <c r="P2135" s="2">
        <v>1</v>
      </c>
    </row>
    <row r="2136" spans="1:16" x14ac:dyDescent="0.3">
      <c r="A2136" s="2" t="str">
        <f>TRIM(Table1[[#This Row],[Numer_FV]])</f>
        <v>FV/M/2544/P/24</v>
      </c>
      <c r="B2136" s="2" t="str">
        <f>TRIM(Table1[[#This Row],[Numer_PZ]])</f>
        <v>PZ/802134</v>
      </c>
      <c r="C2136" s="2" t="str">
        <f>TRIM(Table1[[#This Row],[Dostawca]])</f>
        <v>MedicaPharm</v>
      </c>
      <c r="D2136" s="3">
        <v>45355</v>
      </c>
      <c r="E2136" s="4" t="s">
        <v>6307</v>
      </c>
      <c r="F2136" s="2" t="str">
        <f>TRIM(Table1[[#This Row],[Status]])</f>
        <v>Zaakceptowana</v>
      </c>
      <c r="G2136" s="2" t="str">
        <f>TRIM(Table1[[#This Row],[Typ]])</f>
        <v>Faktura VAT</v>
      </c>
      <c r="H2136" s="2" t="str">
        <f>TRIM(Table1[[#This Row],[Magazyn]])</f>
        <v>Apteka Szpitalna</v>
      </c>
      <c r="I2136" s="2" t="str">
        <f>TRIM(Table1[[#This Row],[Umowa]])</f>
        <v>UM-MED-02</v>
      </c>
      <c r="J2136" s="2" t="b">
        <f>ISTEXT(Table14[[#This Row],[Data_Wystawienia]])</f>
        <v>0</v>
      </c>
      <c r="K2136" s="2">
        <f>VALUE(SUBSTITUTE(Table14[[#This Row],[Wartość]],".",","))</f>
        <v>12934.06</v>
      </c>
      <c r="L21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6" s="2" t="str">
        <f>IF(Table14[[#This Row],[Umowa]]="","Poza umową","Z umowy")</f>
        <v>Z umowy</v>
      </c>
      <c r="N2136" s="2">
        <f>YEAR(Table14[[#This Row],[Data_Wystawienia]])</f>
        <v>2024</v>
      </c>
      <c r="O2136" s="2" t="str">
        <f>TEXT(Table14[[#This Row],[Data_Wystawienia]],"rrrr-mm")</f>
        <v>2024-03</v>
      </c>
      <c r="P2136" s="2">
        <v>1</v>
      </c>
    </row>
    <row r="2137" spans="1:16" x14ac:dyDescent="0.3">
      <c r="A2137" s="2" t="str">
        <f>TRIM(Table1[[#This Row],[Numer_FV]])</f>
        <v>FV/11/PP/3656/24</v>
      </c>
      <c r="B2137" s="2" t="str">
        <f>TRIM(Table1[[#This Row],[Numer_PZ]])</f>
        <v>PZ/802135</v>
      </c>
      <c r="C2137" s="2" t="str">
        <f>TRIM(Table1[[#This Row],[Dostawca]])</f>
        <v>PharmaPlus</v>
      </c>
      <c r="D2137" s="3">
        <v>45355</v>
      </c>
      <c r="E2137" s="4" t="s">
        <v>6310</v>
      </c>
      <c r="F2137" s="2" t="str">
        <f>TRIM(Table1[[#This Row],[Status]])</f>
        <v>Zaakceptowana</v>
      </c>
      <c r="G2137" s="2" t="str">
        <f>TRIM(Table1[[#This Row],[Typ]])</f>
        <v>Faktura VAT</v>
      </c>
      <c r="H2137" s="2" t="str">
        <f>TRIM(Table1[[#This Row],[Magazyn]])</f>
        <v>Apteka Szpitalna</v>
      </c>
      <c r="I2137" s="2" t="str">
        <f>TRIM(Table1[[#This Row],[Umowa]])</f>
        <v>UM-PHA-01</v>
      </c>
      <c r="J2137" s="2" t="b">
        <f>ISTEXT(Table14[[#This Row],[Data_Wystawienia]])</f>
        <v>0</v>
      </c>
      <c r="K2137" s="2">
        <f>VALUE(SUBSTITUTE(Table14[[#This Row],[Wartość]],".",","))</f>
        <v>13897.2</v>
      </c>
      <c r="L21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7" s="2" t="str">
        <f>IF(Table14[[#This Row],[Umowa]]="","Poza umową","Z umowy")</f>
        <v>Z umowy</v>
      </c>
      <c r="N2137" s="2">
        <f>YEAR(Table14[[#This Row],[Data_Wystawienia]])</f>
        <v>2024</v>
      </c>
      <c r="O2137" s="2" t="str">
        <f>TEXT(Table14[[#This Row],[Data_Wystawienia]],"rrrr-mm")</f>
        <v>2024-03</v>
      </c>
      <c r="P2137" s="2">
        <v>1</v>
      </c>
    </row>
    <row r="2138" spans="1:16" x14ac:dyDescent="0.3">
      <c r="A2138" s="2" t="str">
        <f>TRIM(Table1[[#This Row],[Numer_FV]])</f>
        <v>FV/CENFA/879309/24</v>
      </c>
      <c r="B2138" s="2" t="str">
        <f>TRIM(Table1[[#This Row],[Numer_PZ]])</f>
        <v>PZ/802136</v>
      </c>
      <c r="C2138" s="2" t="str">
        <f>TRIM(Table1[[#This Row],[Dostawca]])</f>
        <v>CentrumFarm</v>
      </c>
      <c r="D2138" s="3">
        <v>45355</v>
      </c>
      <c r="E2138" s="4" t="s">
        <v>6313</v>
      </c>
      <c r="F2138" s="2" t="str">
        <f>TRIM(Table1[[#This Row],[Status]])</f>
        <v>Zaakceptowana</v>
      </c>
      <c r="G2138" s="2" t="str">
        <f>TRIM(Table1[[#This Row],[Typ]])</f>
        <v>Faktura VAT</v>
      </c>
      <c r="H2138" s="2" t="str">
        <f>TRIM(Table1[[#This Row],[Magazyn]])</f>
        <v>Apteka Szpitalna</v>
      </c>
      <c r="I2138" s="2" t="str">
        <f>TRIM(Table1[[#This Row],[Umowa]])</f>
        <v>UM-CEN-02</v>
      </c>
      <c r="J2138" s="2" t="b">
        <f>ISTEXT(Table14[[#This Row],[Data_Wystawienia]])</f>
        <v>0</v>
      </c>
      <c r="K2138" s="2">
        <f>VALUE(SUBSTITUTE(Table14[[#This Row],[Wartość]],".",","))</f>
        <v>16910.78</v>
      </c>
      <c r="L21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8" s="2" t="str">
        <f>IF(Table14[[#This Row],[Umowa]]="","Poza umową","Z umowy")</f>
        <v>Z umowy</v>
      </c>
      <c r="N2138" s="2">
        <f>YEAR(Table14[[#This Row],[Data_Wystawienia]])</f>
        <v>2024</v>
      </c>
      <c r="O2138" s="2" t="str">
        <f>TEXT(Table14[[#This Row],[Data_Wystawienia]],"rrrr-mm")</f>
        <v>2024-03</v>
      </c>
      <c r="P2138" s="2">
        <v>1</v>
      </c>
    </row>
    <row r="2139" spans="1:16" x14ac:dyDescent="0.3">
      <c r="A2139" s="2" t="str">
        <f>TRIM(Table1[[#This Row],[Numer_FV]])</f>
        <v>FV/2560HM/24</v>
      </c>
      <c r="B2139" s="2" t="str">
        <f>TRIM(Table1[[#This Row],[Numer_PZ]])</f>
        <v>PZ/802137</v>
      </c>
      <c r="C2139" s="2" t="str">
        <f>TRIM(Table1[[#This Row],[Dostawca]])</f>
        <v>HurtMedix</v>
      </c>
      <c r="D2139" s="3">
        <v>45355</v>
      </c>
      <c r="E2139" s="4" t="s">
        <v>6316</v>
      </c>
      <c r="F2139" s="2" t="str">
        <f>TRIM(Table1[[#This Row],[Status]])</f>
        <v>Zaakceptowana</v>
      </c>
      <c r="G2139" s="2" t="str">
        <f>TRIM(Table1[[#This Row],[Typ]])</f>
        <v>Faktura VAT</v>
      </c>
      <c r="H2139" s="2" t="str">
        <f>TRIM(Table1[[#This Row],[Magazyn]])</f>
        <v>Apteka Szpitalna</v>
      </c>
      <c r="I2139" s="2" t="str">
        <f>TRIM(Table1[[#This Row],[Umowa]])</f>
        <v>UM-HUR-03</v>
      </c>
      <c r="J2139" s="2" t="b">
        <f>ISTEXT(Table14[[#This Row],[Data_Wystawienia]])</f>
        <v>0</v>
      </c>
      <c r="K2139" s="2">
        <f>VALUE(SUBSTITUTE(Table14[[#This Row],[Wartość]],".",","))</f>
        <v>17983.07</v>
      </c>
      <c r="L21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39" s="2" t="str">
        <f>IF(Table14[[#This Row],[Umowa]]="","Poza umową","Z umowy")</f>
        <v>Z umowy</v>
      </c>
      <c r="N2139" s="2">
        <f>YEAR(Table14[[#This Row],[Data_Wystawienia]])</f>
        <v>2024</v>
      </c>
      <c r="O2139" s="2" t="str">
        <f>TEXT(Table14[[#This Row],[Data_Wystawienia]],"rrrr-mm")</f>
        <v>2024-03</v>
      </c>
      <c r="P2139" s="2">
        <v>1</v>
      </c>
    </row>
    <row r="2140" spans="1:16" x14ac:dyDescent="0.3">
      <c r="A2140" s="2" t="str">
        <f>TRIM(Table1[[#This Row],[Numer_FV]])</f>
        <v>FV/M/4451/P/24</v>
      </c>
      <c r="B2140" s="2" t="str">
        <f>TRIM(Table1[[#This Row],[Numer_PZ]])</f>
        <v>PZ/802138</v>
      </c>
      <c r="C2140" s="2" t="str">
        <f>TRIM(Table1[[#This Row],[Dostawca]])</f>
        <v>MedicaPharm</v>
      </c>
      <c r="D2140" s="3">
        <v>45356</v>
      </c>
      <c r="E2140" s="4" t="s">
        <v>6319</v>
      </c>
      <c r="F2140" s="2" t="str">
        <f>TRIM(Table1[[#This Row],[Status]])</f>
        <v>Zaakceptowana</v>
      </c>
      <c r="G2140" s="2" t="str">
        <f>TRIM(Table1[[#This Row],[Typ]])</f>
        <v>Faktura VAT</v>
      </c>
      <c r="H2140" s="2" t="str">
        <f>TRIM(Table1[[#This Row],[Magazyn]])</f>
        <v>Apteka Szpitalna</v>
      </c>
      <c r="I2140" s="2" t="str">
        <f>TRIM(Table1[[#This Row],[Umowa]])</f>
        <v>UM-MED-02</v>
      </c>
      <c r="J2140" s="2" t="b">
        <f>ISTEXT(Table14[[#This Row],[Data_Wystawienia]])</f>
        <v>0</v>
      </c>
      <c r="K2140" s="2">
        <f>VALUE(SUBSTITUTE(Table14[[#This Row],[Wartość]],".",","))</f>
        <v>14195.12</v>
      </c>
      <c r="L21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0" s="2" t="str">
        <f>IF(Table14[[#This Row],[Umowa]]="","Poza umową","Z umowy")</f>
        <v>Z umowy</v>
      </c>
      <c r="N2140" s="2">
        <f>YEAR(Table14[[#This Row],[Data_Wystawienia]])</f>
        <v>2024</v>
      </c>
      <c r="O2140" s="2" t="str">
        <f>TEXT(Table14[[#This Row],[Data_Wystawienia]],"rrrr-mm")</f>
        <v>2024-03</v>
      </c>
      <c r="P2140" s="2">
        <v>1</v>
      </c>
    </row>
    <row r="2141" spans="1:16" x14ac:dyDescent="0.3">
      <c r="A2141" s="2" t="str">
        <f>TRIM(Table1[[#This Row],[Numer_FV]])</f>
        <v>FV/CENFA/424146/24</v>
      </c>
      <c r="B2141" s="2" t="str">
        <f>TRIM(Table1[[#This Row],[Numer_PZ]])</f>
        <v>PZ/802139</v>
      </c>
      <c r="C2141" s="2" t="str">
        <f>TRIM(Table1[[#This Row],[Dostawca]])</f>
        <v>CentrumFarm</v>
      </c>
      <c r="D2141" s="3">
        <v>45356</v>
      </c>
      <c r="E2141" s="4" t="s">
        <v>6322</v>
      </c>
      <c r="F2141" s="2" t="str">
        <f>TRIM(Table1[[#This Row],[Status]])</f>
        <v>Zaakceptowana</v>
      </c>
      <c r="G2141" s="2" t="str">
        <f>TRIM(Table1[[#This Row],[Typ]])</f>
        <v>Faktura VAT</v>
      </c>
      <c r="H2141" s="2" t="str">
        <f>TRIM(Table1[[#This Row],[Magazyn]])</f>
        <v>Apteka Szpitalna</v>
      </c>
      <c r="I2141" s="2" t="str">
        <f>TRIM(Table1[[#This Row],[Umowa]])</f>
        <v>UM-CEN-02</v>
      </c>
      <c r="J2141" s="2" t="b">
        <f>ISTEXT(Table14[[#This Row],[Data_Wystawienia]])</f>
        <v>0</v>
      </c>
      <c r="K2141" s="2">
        <f>VALUE(SUBSTITUTE(Table14[[#This Row],[Wartość]],".",","))</f>
        <v>16774.939999999999</v>
      </c>
      <c r="L21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1" s="2" t="str">
        <f>IF(Table14[[#This Row],[Umowa]]="","Poza umową","Z umowy")</f>
        <v>Z umowy</v>
      </c>
      <c r="N2141" s="2">
        <f>YEAR(Table14[[#This Row],[Data_Wystawienia]])</f>
        <v>2024</v>
      </c>
      <c r="O2141" s="2" t="str">
        <f>TEXT(Table14[[#This Row],[Data_Wystawienia]],"rrrr-mm")</f>
        <v>2024-03</v>
      </c>
      <c r="P2141" s="2">
        <v>1</v>
      </c>
    </row>
    <row r="2142" spans="1:16" x14ac:dyDescent="0.3">
      <c r="A2142" s="2" t="str">
        <f>TRIM(Table1[[#This Row],[Numer_FV]])</f>
        <v>FV/9098HM/24</v>
      </c>
      <c r="B2142" s="2" t="str">
        <f>TRIM(Table1[[#This Row],[Numer_PZ]])</f>
        <v>PZ/802140</v>
      </c>
      <c r="C2142" s="2" t="str">
        <f>TRIM(Table1[[#This Row],[Dostawca]])</f>
        <v>HurtMedix</v>
      </c>
      <c r="D2142" s="3">
        <v>45357</v>
      </c>
      <c r="E2142" s="4" t="s">
        <v>6325</v>
      </c>
      <c r="F2142" s="2" t="str">
        <f>TRIM(Table1[[#This Row],[Status]])</f>
        <v>Zaakceptowana</v>
      </c>
      <c r="G2142" s="2" t="str">
        <f>TRIM(Table1[[#This Row],[Typ]])</f>
        <v>Faktura VAT</v>
      </c>
      <c r="H2142" s="2" t="str">
        <f>TRIM(Table1[[#This Row],[Magazyn]])</f>
        <v>Apteka Szpitalna</v>
      </c>
      <c r="I2142" s="2" t="str">
        <f>TRIM(Table1[[#This Row],[Umowa]])</f>
        <v>UM-HUR-01</v>
      </c>
      <c r="J2142" s="2" t="b">
        <f>ISTEXT(Table14[[#This Row],[Data_Wystawienia]])</f>
        <v>0</v>
      </c>
      <c r="K2142" s="2">
        <f>VALUE(SUBSTITUTE(Table14[[#This Row],[Wartość]],".",","))</f>
        <v>7917.73</v>
      </c>
      <c r="L21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2" s="2" t="str">
        <f>IF(Table14[[#This Row],[Umowa]]="","Poza umową","Z umowy")</f>
        <v>Z umowy</v>
      </c>
      <c r="N2142" s="2">
        <f>YEAR(Table14[[#This Row],[Data_Wystawienia]])</f>
        <v>2024</v>
      </c>
      <c r="O2142" s="2" t="str">
        <f>TEXT(Table14[[#This Row],[Data_Wystawienia]],"rrrr-mm")</f>
        <v>2024-03</v>
      </c>
      <c r="P2142" s="2">
        <v>1</v>
      </c>
    </row>
    <row r="2143" spans="1:16" x14ac:dyDescent="0.3">
      <c r="A2143" s="2" t="str">
        <f>TRIM(Table1[[#This Row],[Numer_FV]])</f>
        <v>FV/93/PP/8125/24</v>
      </c>
      <c r="B2143" s="2" t="str">
        <f>TRIM(Table1[[#This Row],[Numer_PZ]])</f>
        <v>PZ/802141</v>
      </c>
      <c r="C2143" s="2" t="str">
        <f>TRIM(Table1[[#This Row],[Dostawca]])</f>
        <v>PharmaPlus</v>
      </c>
      <c r="D2143" s="3">
        <v>45357</v>
      </c>
      <c r="E2143" s="4" t="s">
        <v>6328</v>
      </c>
      <c r="F2143" s="2" t="str">
        <f>TRIM(Table1[[#This Row],[Status]])</f>
        <v>Zaakceptowana</v>
      </c>
      <c r="G2143" s="2" t="str">
        <f>TRIM(Table1[[#This Row],[Typ]])</f>
        <v>Faktura VAT</v>
      </c>
      <c r="H2143" s="2" t="str">
        <f>TRIM(Table1[[#This Row],[Magazyn]])</f>
        <v>Apteka Szpitalna</v>
      </c>
      <c r="I2143" s="2" t="str">
        <f>TRIM(Table1[[#This Row],[Umowa]])</f>
        <v>UM-PHA-02</v>
      </c>
      <c r="J2143" s="2" t="b">
        <f>ISTEXT(Table14[[#This Row],[Data_Wystawienia]])</f>
        <v>0</v>
      </c>
      <c r="K2143" s="2">
        <f>VALUE(SUBSTITUTE(Table14[[#This Row],[Wartość]],".",","))</f>
        <v>11534.23</v>
      </c>
      <c r="L21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3" s="2" t="str">
        <f>IF(Table14[[#This Row],[Umowa]]="","Poza umową","Z umowy")</f>
        <v>Z umowy</v>
      </c>
      <c r="N2143" s="2">
        <f>YEAR(Table14[[#This Row],[Data_Wystawienia]])</f>
        <v>2024</v>
      </c>
      <c r="O2143" s="2" t="str">
        <f>TEXT(Table14[[#This Row],[Data_Wystawienia]],"rrrr-mm")</f>
        <v>2024-03</v>
      </c>
      <c r="P2143" s="2">
        <v>1</v>
      </c>
    </row>
    <row r="2144" spans="1:16" x14ac:dyDescent="0.3">
      <c r="A2144" s="2" t="str">
        <f>TRIM(Table1[[#This Row],[Numer_FV]])</f>
        <v>FV/18/SAL/24</v>
      </c>
      <c r="B2144" s="2" t="str">
        <f>TRIM(Table1[[#This Row],[Numer_PZ]])</f>
        <v>PZ/802142</v>
      </c>
      <c r="C2144" s="2" t="str">
        <f>TRIM(Table1[[#This Row],[Dostawca]])</f>
        <v>SalusHurt</v>
      </c>
      <c r="D2144" s="3">
        <v>45358</v>
      </c>
      <c r="E2144" s="4" t="s">
        <v>6331</v>
      </c>
      <c r="F2144" s="2" t="str">
        <f>TRIM(Table1[[#This Row],[Status]])</f>
        <v>Zaakceptowana</v>
      </c>
      <c r="G2144" s="2" t="str">
        <f>TRIM(Table1[[#This Row],[Typ]])</f>
        <v>Faktura VAT</v>
      </c>
      <c r="H2144" s="2" t="str">
        <f>TRIM(Table1[[#This Row],[Magazyn]])</f>
        <v>Apteka Szpitalna</v>
      </c>
      <c r="I2144" s="2" t="str">
        <f>TRIM(Table1[[#This Row],[Umowa]])</f>
        <v>UM-SAL-01</v>
      </c>
      <c r="J2144" s="2" t="b">
        <f>ISTEXT(Table14[[#This Row],[Data_Wystawienia]])</f>
        <v>0</v>
      </c>
      <c r="K2144" s="2">
        <f>VALUE(SUBSTITUTE(Table14[[#This Row],[Wartość]],".",","))</f>
        <v>11095.52</v>
      </c>
      <c r="L21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4" s="2" t="str">
        <f>IF(Table14[[#This Row],[Umowa]]="","Poza umową","Z umowy")</f>
        <v>Z umowy</v>
      </c>
      <c r="N2144" s="2">
        <f>YEAR(Table14[[#This Row],[Data_Wystawienia]])</f>
        <v>2024</v>
      </c>
      <c r="O2144" s="2" t="str">
        <f>TEXT(Table14[[#This Row],[Data_Wystawienia]],"rrrr-mm")</f>
        <v>2024-03</v>
      </c>
      <c r="P2144" s="2">
        <v>1</v>
      </c>
    </row>
    <row r="2145" spans="1:16" x14ac:dyDescent="0.3">
      <c r="A2145" s="2" t="str">
        <f>TRIM(Table1[[#This Row],[Numer_FV]])</f>
        <v>FV/M/8179/P/24</v>
      </c>
      <c r="B2145" s="2" t="str">
        <f>TRIM(Table1[[#This Row],[Numer_PZ]])</f>
        <v>PZ/802143</v>
      </c>
      <c r="C2145" s="2" t="str">
        <f>TRIM(Table1[[#This Row],[Dostawca]])</f>
        <v>MedicaPharm</v>
      </c>
      <c r="D2145" s="3">
        <v>45358</v>
      </c>
      <c r="E2145" s="4" t="s">
        <v>6334</v>
      </c>
      <c r="F2145" s="2" t="str">
        <f>TRIM(Table1[[#This Row],[Status]])</f>
        <v>Zaakceptowana</v>
      </c>
      <c r="G2145" s="2" t="str">
        <f>TRIM(Table1[[#This Row],[Typ]])</f>
        <v>Faktura VAT</v>
      </c>
      <c r="H2145" s="2" t="str">
        <f>TRIM(Table1[[#This Row],[Magazyn]])</f>
        <v>Apteka Szpitalna</v>
      </c>
      <c r="I2145" s="2" t="str">
        <f>TRIM(Table1[[#This Row],[Umowa]])</f>
        <v>UM-MED-01</v>
      </c>
      <c r="J2145" s="2" t="b">
        <f>ISTEXT(Table14[[#This Row],[Data_Wystawienia]])</f>
        <v>0</v>
      </c>
      <c r="K2145" s="2">
        <f>VALUE(SUBSTITUTE(Table14[[#This Row],[Wartość]],".",","))</f>
        <v>7800.56</v>
      </c>
      <c r="L21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5" s="2" t="str">
        <f>IF(Table14[[#This Row],[Umowa]]="","Poza umową","Z umowy")</f>
        <v>Z umowy</v>
      </c>
      <c r="N2145" s="2">
        <f>YEAR(Table14[[#This Row],[Data_Wystawienia]])</f>
        <v>2024</v>
      </c>
      <c r="O2145" s="2" t="str">
        <f>TEXT(Table14[[#This Row],[Data_Wystawienia]],"rrrr-mm")</f>
        <v>2024-03</v>
      </c>
      <c r="P2145" s="2">
        <v>1</v>
      </c>
    </row>
    <row r="2146" spans="1:16" x14ac:dyDescent="0.3">
      <c r="A2146" s="2" t="str">
        <f>TRIM(Table1[[#This Row],[Numer_FV]])</f>
        <v>FV/13627/VDb/2024</v>
      </c>
      <c r="B2146" s="2" t="str">
        <f>TRIM(Table1[[#This Row],[Numer_PZ]])</f>
        <v>PZ/802144</v>
      </c>
      <c r="C2146" s="2" t="str">
        <f>TRIM(Table1[[#This Row],[Dostawca]])</f>
        <v>VitaDistrib</v>
      </c>
      <c r="D2146" s="3">
        <v>45359</v>
      </c>
      <c r="E2146" s="4" t="s">
        <v>6337</v>
      </c>
      <c r="F2146" s="2" t="str">
        <f>TRIM(Table1[[#This Row],[Status]])</f>
        <v>Zaakceptowana</v>
      </c>
      <c r="G2146" s="2" t="str">
        <f>TRIM(Table1[[#This Row],[Typ]])</f>
        <v>Faktura VAT</v>
      </c>
      <c r="H2146" s="2" t="str">
        <f>TRIM(Table1[[#This Row],[Magazyn]])</f>
        <v>Apteka Szpitalna</v>
      </c>
      <c r="I2146" s="2" t="str">
        <f>TRIM(Table1[[#This Row],[Umowa]])</f>
        <v>UM-VIT-01</v>
      </c>
      <c r="J2146" s="2" t="b">
        <f>ISTEXT(Table14[[#This Row],[Data_Wystawienia]])</f>
        <v>0</v>
      </c>
      <c r="K2146" s="2">
        <f>VALUE(SUBSTITUTE(Table14[[#This Row],[Wartość]],".",","))</f>
        <v>10996.75</v>
      </c>
      <c r="L21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6" s="2" t="str">
        <f>IF(Table14[[#This Row],[Umowa]]="","Poza umową","Z umowy")</f>
        <v>Z umowy</v>
      </c>
      <c r="N2146" s="2">
        <f>YEAR(Table14[[#This Row],[Data_Wystawienia]])</f>
        <v>2024</v>
      </c>
      <c r="O2146" s="2" t="str">
        <f>TEXT(Table14[[#This Row],[Data_Wystawienia]],"rrrr-mm")</f>
        <v>2024-03</v>
      </c>
      <c r="P2146" s="2">
        <v>1</v>
      </c>
    </row>
    <row r="2147" spans="1:16" x14ac:dyDescent="0.3">
      <c r="A2147" s="2" t="str">
        <f>TRIM(Table1[[#This Row],[Numer_FV]])</f>
        <v>FV/18/SAL/24</v>
      </c>
      <c r="B2147" s="2" t="str">
        <f>TRIM(Table1[[#This Row],[Numer_PZ]])</f>
        <v>PZ/802145</v>
      </c>
      <c r="C2147" s="2" t="str">
        <f>TRIM(Table1[[#This Row],[Dostawca]])</f>
        <v>SalusHurt</v>
      </c>
      <c r="D2147" s="3">
        <v>45359</v>
      </c>
      <c r="E2147" s="4" t="s">
        <v>6339</v>
      </c>
      <c r="F2147" s="2" t="str">
        <f>TRIM(Table1[[#This Row],[Status]])</f>
        <v>Zaakceptowana</v>
      </c>
      <c r="G2147" s="2" t="str">
        <f>TRIM(Table1[[#This Row],[Typ]])</f>
        <v>Faktura VAT</v>
      </c>
      <c r="H2147" s="2" t="str">
        <f>TRIM(Table1[[#This Row],[Magazyn]])</f>
        <v>Apteka Szpitalna</v>
      </c>
      <c r="I2147" s="2" t="str">
        <f>TRIM(Table1[[#This Row],[Umowa]])</f>
        <v>UM-SAL-01</v>
      </c>
      <c r="J2147" s="2" t="b">
        <f>ISTEXT(Table14[[#This Row],[Data_Wystawienia]])</f>
        <v>0</v>
      </c>
      <c r="K2147" s="2">
        <f>VALUE(SUBSTITUTE(Table14[[#This Row],[Wartość]],".",","))</f>
        <v>15610.07</v>
      </c>
      <c r="L21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7" s="2" t="str">
        <f>IF(Table14[[#This Row],[Umowa]]="","Poza umową","Z umowy")</f>
        <v>Z umowy</v>
      </c>
      <c r="N2147" s="2">
        <f>YEAR(Table14[[#This Row],[Data_Wystawienia]])</f>
        <v>2024</v>
      </c>
      <c r="O2147" s="2" t="str">
        <f>TEXT(Table14[[#This Row],[Data_Wystawienia]],"rrrr-mm")</f>
        <v>2024-03</v>
      </c>
      <c r="P2147" s="2">
        <v>1</v>
      </c>
    </row>
    <row r="2148" spans="1:16" x14ac:dyDescent="0.3">
      <c r="A2148" s="2" t="str">
        <f>TRIM(Table1[[#This Row],[Numer_FV]])</f>
        <v>FV/CENFA/224381/24</v>
      </c>
      <c r="B2148" s="2" t="str">
        <f>TRIM(Table1[[#This Row],[Numer_PZ]])</f>
        <v>PZ/802146</v>
      </c>
      <c r="C2148" s="2" t="str">
        <f>TRIM(Table1[[#This Row],[Dostawca]])</f>
        <v>CentrumFarm</v>
      </c>
      <c r="D2148" s="3">
        <v>45360</v>
      </c>
      <c r="E2148" s="4" t="s">
        <v>6342</v>
      </c>
      <c r="F2148" s="2" t="str">
        <f>TRIM(Table1[[#This Row],[Status]])</f>
        <v>Zaakceptowana</v>
      </c>
      <c r="G2148" s="2" t="str">
        <f>TRIM(Table1[[#This Row],[Typ]])</f>
        <v>Faktura VAT</v>
      </c>
      <c r="H2148" s="2" t="str">
        <f>TRIM(Table1[[#This Row],[Magazyn]])</f>
        <v>Apteka Szpitalna</v>
      </c>
      <c r="I2148" s="2" t="str">
        <f>TRIM(Table1[[#This Row],[Umowa]])</f>
        <v>UM-CEN-01</v>
      </c>
      <c r="J2148" s="2" t="b">
        <f>ISTEXT(Table14[[#This Row],[Data_Wystawienia]])</f>
        <v>0</v>
      </c>
      <c r="K2148" s="2">
        <f>VALUE(SUBSTITUTE(Table14[[#This Row],[Wartość]],".",","))</f>
        <v>15629.91</v>
      </c>
      <c r="L21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8" s="2" t="str">
        <f>IF(Table14[[#This Row],[Umowa]]="","Poza umową","Z umowy")</f>
        <v>Z umowy</v>
      </c>
      <c r="N2148" s="2">
        <f>YEAR(Table14[[#This Row],[Data_Wystawienia]])</f>
        <v>2024</v>
      </c>
      <c r="O2148" s="2" t="str">
        <f>TEXT(Table14[[#This Row],[Data_Wystawienia]],"rrrr-mm")</f>
        <v>2024-03</v>
      </c>
      <c r="P2148" s="2">
        <v>1</v>
      </c>
    </row>
    <row r="2149" spans="1:16" x14ac:dyDescent="0.3">
      <c r="A2149" s="2" t="str">
        <f>TRIM(Table1[[#This Row],[Numer_FV]])</f>
        <v>FV/M/7667/P/24</v>
      </c>
      <c r="B2149" s="2" t="str">
        <f>TRIM(Table1[[#This Row],[Numer_PZ]])</f>
        <v>PZ/802147</v>
      </c>
      <c r="C2149" s="2" t="str">
        <f>TRIM(Table1[[#This Row],[Dostawca]])</f>
        <v>MedicaPharm</v>
      </c>
      <c r="D2149" s="3">
        <v>45360</v>
      </c>
      <c r="E2149" s="4" t="s">
        <v>6345</v>
      </c>
      <c r="F2149" s="2" t="str">
        <f>TRIM(Table1[[#This Row],[Status]])</f>
        <v>Zaakceptowana</v>
      </c>
      <c r="G2149" s="2" t="str">
        <f>TRIM(Table1[[#This Row],[Typ]])</f>
        <v>Faktura VAT</v>
      </c>
      <c r="H2149" s="2" t="str">
        <f>TRIM(Table1[[#This Row],[Magazyn]])</f>
        <v>Apteka Szpitalna</v>
      </c>
      <c r="I2149" s="2" t="str">
        <f>TRIM(Table1[[#This Row],[Umowa]])</f>
        <v>UM-MED-02</v>
      </c>
      <c r="J2149" s="2" t="b">
        <f>ISTEXT(Table14[[#This Row],[Data_Wystawienia]])</f>
        <v>0</v>
      </c>
      <c r="K2149" s="2">
        <f>VALUE(SUBSTITUTE(Table14[[#This Row],[Wartość]],".",","))</f>
        <v>17657.099999999999</v>
      </c>
      <c r="L21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49" s="2" t="str">
        <f>IF(Table14[[#This Row],[Umowa]]="","Poza umową","Z umowy")</f>
        <v>Z umowy</v>
      </c>
      <c r="N2149" s="2">
        <f>YEAR(Table14[[#This Row],[Data_Wystawienia]])</f>
        <v>2024</v>
      </c>
      <c r="O2149" s="2" t="str">
        <f>TEXT(Table14[[#This Row],[Data_Wystawienia]],"rrrr-mm")</f>
        <v>2024-03</v>
      </c>
      <c r="P2149" s="2">
        <v>1</v>
      </c>
    </row>
    <row r="2150" spans="1:16" x14ac:dyDescent="0.3">
      <c r="A2150" s="2" t="str">
        <f>TRIM(Table1[[#This Row],[Numer_FV]])</f>
        <v>FV/1083HM/24</v>
      </c>
      <c r="B2150" s="2" t="str">
        <f>TRIM(Table1[[#This Row],[Numer_PZ]])</f>
        <v>PZ/802148</v>
      </c>
      <c r="C2150" s="2" t="str">
        <f>TRIM(Table1[[#This Row],[Dostawca]])</f>
        <v>HurtMedix</v>
      </c>
      <c r="D2150" s="3">
        <v>45360</v>
      </c>
      <c r="E2150" s="4" t="s">
        <v>6348</v>
      </c>
      <c r="F2150" s="2" t="str">
        <f>TRIM(Table1[[#This Row],[Status]])</f>
        <v>Zaakceptowana</v>
      </c>
      <c r="G2150" s="2" t="str">
        <f>TRIM(Table1[[#This Row],[Typ]])</f>
        <v>Faktura VAT</v>
      </c>
      <c r="H2150" s="2" t="str">
        <f>TRIM(Table1[[#This Row],[Magazyn]])</f>
        <v>Apteka Szpitalna</v>
      </c>
      <c r="I2150" s="2" t="str">
        <f>TRIM(Table1[[#This Row],[Umowa]])</f>
        <v>UM-HUR-01</v>
      </c>
      <c r="J2150" s="2" t="b">
        <f>ISTEXT(Table14[[#This Row],[Data_Wystawienia]])</f>
        <v>0</v>
      </c>
      <c r="K2150" s="2">
        <f>VALUE(SUBSTITUTE(Table14[[#This Row],[Wartość]],".",","))</f>
        <v>10219.799999999999</v>
      </c>
      <c r="L21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0" s="2" t="str">
        <f>IF(Table14[[#This Row],[Umowa]]="","Poza umową","Z umowy")</f>
        <v>Z umowy</v>
      </c>
      <c r="N2150" s="2">
        <f>YEAR(Table14[[#This Row],[Data_Wystawienia]])</f>
        <v>2024</v>
      </c>
      <c r="O2150" s="2" t="str">
        <f>TEXT(Table14[[#This Row],[Data_Wystawienia]],"rrrr-mm")</f>
        <v>2024-03</v>
      </c>
      <c r="P2150" s="2">
        <v>1</v>
      </c>
    </row>
    <row r="2151" spans="1:16" x14ac:dyDescent="0.3">
      <c r="A2151" s="2" t="str">
        <f>TRIM(Table1[[#This Row],[Numer_FV]])</f>
        <v>FV/3398HM/24</v>
      </c>
      <c r="B2151" s="2" t="str">
        <f>TRIM(Table1[[#This Row],[Numer_PZ]])</f>
        <v>PZ/802149</v>
      </c>
      <c r="C2151" s="2" t="str">
        <f>TRIM(Table1[[#This Row],[Dostawca]])</f>
        <v>HurtMedix</v>
      </c>
      <c r="D2151" s="3">
        <v>45360</v>
      </c>
      <c r="E2151" s="4" t="s">
        <v>6351</v>
      </c>
      <c r="F2151" s="2" t="str">
        <f>TRIM(Table1[[#This Row],[Status]])</f>
        <v>Zaakceptowana</v>
      </c>
      <c r="G2151" s="2" t="str">
        <f>TRIM(Table1[[#This Row],[Typ]])</f>
        <v>Faktura VAT</v>
      </c>
      <c r="H2151" s="2" t="str">
        <f>TRIM(Table1[[#This Row],[Magazyn]])</f>
        <v>Apteka Szpitalna</v>
      </c>
      <c r="I2151" s="2" t="str">
        <f>TRIM(Table1[[#This Row],[Umowa]])</f>
        <v>UM-HUR-02</v>
      </c>
      <c r="J2151" s="2" t="b">
        <f>ISTEXT(Table14[[#This Row],[Data_Wystawienia]])</f>
        <v>0</v>
      </c>
      <c r="K2151" s="2">
        <f>VALUE(SUBSTITUTE(Table14[[#This Row],[Wartość]],".",","))</f>
        <v>17557.28</v>
      </c>
      <c r="L21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1" s="2" t="str">
        <f>IF(Table14[[#This Row],[Umowa]]="","Poza umową","Z umowy")</f>
        <v>Z umowy</v>
      </c>
      <c r="N2151" s="2">
        <f>YEAR(Table14[[#This Row],[Data_Wystawienia]])</f>
        <v>2024</v>
      </c>
      <c r="O2151" s="2" t="str">
        <f>TEXT(Table14[[#This Row],[Data_Wystawienia]],"rrrr-mm")</f>
        <v>2024-03</v>
      </c>
      <c r="P2151" s="2">
        <v>1</v>
      </c>
    </row>
    <row r="2152" spans="1:16" x14ac:dyDescent="0.3">
      <c r="A2152" s="2" t="str">
        <f>TRIM(Table1[[#This Row],[Numer_FV]])</f>
        <v>FV/POL/54537/2024</v>
      </c>
      <c r="B2152" s="2" t="str">
        <f>TRIM(Table1[[#This Row],[Numer_PZ]])</f>
        <v>PZ/802150</v>
      </c>
      <c r="C2152" s="2" t="str">
        <f>TRIM(Table1[[#This Row],[Dostawca]])</f>
        <v>Polmedica</v>
      </c>
      <c r="D2152" s="3">
        <v>45361</v>
      </c>
      <c r="E2152" s="4" t="s">
        <v>6354</v>
      </c>
      <c r="F2152" s="2" t="str">
        <f>TRIM(Table1[[#This Row],[Status]])</f>
        <v>Zaakceptowana</v>
      </c>
      <c r="G2152" s="2" t="str">
        <f>TRIM(Table1[[#This Row],[Typ]])</f>
        <v>Faktura VAT</v>
      </c>
      <c r="H2152" s="2" t="str">
        <f>TRIM(Table1[[#This Row],[Magazyn]])</f>
        <v>Apteka Szpitalna</v>
      </c>
      <c r="I2152" s="2" t="str">
        <f>TRIM(Table1[[#This Row],[Umowa]])</f>
        <v>UM-POL-02</v>
      </c>
      <c r="J2152" s="2" t="b">
        <f>ISTEXT(Table14[[#This Row],[Data_Wystawienia]])</f>
        <v>0</v>
      </c>
      <c r="K2152" s="2">
        <f>VALUE(SUBSTITUTE(Table14[[#This Row],[Wartość]],".",","))</f>
        <v>18092.88</v>
      </c>
      <c r="L21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2" s="2" t="str">
        <f>IF(Table14[[#This Row],[Umowa]]="","Poza umową","Z umowy")</f>
        <v>Z umowy</v>
      </c>
      <c r="N2152" s="2">
        <f>YEAR(Table14[[#This Row],[Data_Wystawienia]])</f>
        <v>2024</v>
      </c>
      <c r="O2152" s="2" t="str">
        <f>TEXT(Table14[[#This Row],[Data_Wystawienia]],"rrrr-mm")</f>
        <v>2024-03</v>
      </c>
      <c r="P2152" s="2">
        <v>1</v>
      </c>
    </row>
    <row r="2153" spans="1:16" x14ac:dyDescent="0.3">
      <c r="A2153" s="2" t="str">
        <f>TRIM(Table1[[#This Row],[Numer_FV]])</f>
        <v>FV/49/PP/9361/24</v>
      </c>
      <c r="B2153" s="2" t="str">
        <f>TRIM(Table1[[#This Row],[Numer_PZ]])</f>
        <v>PZ/802151</v>
      </c>
      <c r="C2153" s="2" t="str">
        <f>TRIM(Table1[[#This Row],[Dostawca]])</f>
        <v>PharmaPlus</v>
      </c>
      <c r="D2153" s="3">
        <v>45362</v>
      </c>
      <c r="E2153" s="4" t="s">
        <v>6357</v>
      </c>
      <c r="F2153" s="2" t="str">
        <f>TRIM(Table1[[#This Row],[Status]])</f>
        <v>Zaakceptowana</v>
      </c>
      <c r="G2153" s="2" t="str">
        <f>TRIM(Table1[[#This Row],[Typ]])</f>
        <v>Faktura VAT</v>
      </c>
      <c r="H2153" s="2" t="str">
        <f>TRIM(Table1[[#This Row],[Magazyn]])</f>
        <v>Apteka Szpitalna</v>
      </c>
      <c r="I2153" s="2" t="str">
        <f>TRIM(Table1[[#This Row],[Umowa]])</f>
        <v>UM-PHA-02</v>
      </c>
      <c r="J2153" s="2" t="b">
        <f>ISTEXT(Table14[[#This Row],[Data_Wystawienia]])</f>
        <v>0</v>
      </c>
      <c r="K2153" s="2">
        <f>VALUE(SUBSTITUTE(Table14[[#This Row],[Wartość]],".",","))</f>
        <v>15481.58</v>
      </c>
      <c r="L21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3" s="2" t="str">
        <f>IF(Table14[[#This Row],[Umowa]]="","Poza umową","Z umowy")</f>
        <v>Z umowy</v>
      </c>
      <c r="N2153" s="2">
        <f>YEAR(Table14[[#This Row],[Data_Wystawienia]])</f>
        <v>2024</v>
      </c>
      <c r="O2153" s="2" t="str">
        <f>TEXT(Table14[[#This Row],[Data_Wystawienia]],"rrrr-mm")</f>
        <v>2024-03</v>
      </c>
      <c r="P2153" s="2">
        <v>1</v>
      </c>
    </row>
    <row r="2154" spans="1:16" x14ac:dyDescent="0.3">
      <c r="A2154" s="2" t="str">
        <f>TRIM(Table1[[#This Row],[Numer_FV]])</f>
        <v>FV/POL/89096/2024</v>
      </c>
      <c r="B2154" s="2" t="str">
        <f>TRIM(Table1[[#This Row],[Numer_PZ]])</f>
        <v>PZ/802152</v>
      </c>
      <c r="C2154" s="2" t="str">
        <f>TRIM(Table1[[#This Row],[Dostawca]])</f>
        <v>Polmedica</v>
      </c>
      <c r="D2154" s="3">
        <v>45362</v>
      </c>
      <c r="E2154" s="4" t="s">
        <v>6360</v>
      </c>
      <c r="F2154" s="2" t="str">
        <f>TRIM(Table1[[#This Row],[Status]])</f>
        <v>Zaakceptowana</v>
      </c>
      <c r="G2154" s="2" t="str">
        <f>TRIM(Table1[[#This Row],[Typ]])</f>
        <v>Faktura VAT</v>
      </c>
      <c r="H2154" s="2" t="str">
        <f>TRIM(Table1[[#This Row],[Magazyn]])</f>
        <v>Apteka Szpitalna</v>
      </c>
      <c r="I2154" s="2" t="str">
        <f>TRIM(Table1[[#This Row],[Umowa]])</f>
        <v>UM-POL-02</v>
      </c>
      <c r="J2154" s="2" t="b">
        <f>ISTEXT(Table14[[#This Row],[Data_Wystawienia]])</f>
        <v>0</v>
      </c>
      <c r="K2154" s="2">
        <f>VALUE(SUBSTITUTE(Table14[[#This Row],[Wartość]],".",","))</f>
        <v>4193.33</v>
      </c>
      <c r="L21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4" s="2" t="str">
        <f>IF(Table14[[#This Row],[Umowa]]="","Poza umową","Z umowy")</f>
        <v>Z umowy</v>
      </c>
      <c r="N2154" s="2">
        <f>YEAR(Table14[[#This Row],[Data_Wystawienia]])</f>
        <v>2024</v>
      </c>
      <c r="O2154" s="2" t="str">
        <f>TEXT(Table14[[#This Row],[Data_Wystawienia]],"rrrr-mm")</f>
        <v>2024-03</v>
      </c>
      <c r="P2154" s="2">
        <v>1</v>
      </c>
    </row>
    <row r="2155" spans="1:16" x14ac:dyDescent="0.3">
      <c r="A2155" s="2" t="str">
        <f>TRIM(Table1[[#This Row],[Numer_FV]])</f>
        <v>FV/CENFA/903163/24</v>
      </c>
      <c r="B2155" s="2" t="str">
        <f>TRIM(Table1[[#This Row],[Numer_PZ]])</f>
        <v>PZ/802153</v>
      </c>
      <c r="C2155" s="2" t="str">
        <f>TRIM(Table1[[#This Row],[Dostawca]])</f>
        <v>CentrumFarm</v>
      </c>
      <c r="D2155" s="3">
        <v>45363</v>
      </c>
      <c r="E2155" s="4" t="s">
        <v>6363</v>
      </c>
      <c r="F2155" s="2" t="str">
        <f>TRIM(Table1[[#This Row],[Status]])</f>
        <v>Zaakceptowana</v>
      </c>
      <c r="G2155" s="2" t="str">
        <f>TRIM(Table1[[#This Row],[Typ]])</f>
        <v>Faktura VAT</v>
      </c>
      <c r="H2155" s="2" t="str">
        <f>TRIM(Table1[[#This Row],[Magazyn]])</f>
        <v>Apteka Szpitalna</v>
      </c>
      <c r="I2155" s="2" t="str">
        <f>TRIM(Table1[[#This Row],[Umowa]])</f>
        <v/>
      </c>
      <c r="J2155" s="2" t="b">
        <f>ISTEXT(Table14[[#This Row],[Data_Wystawienia]])</f>
        <v>0</v>
      </c>
      <c r="K2155" s="2">
        <f>VALUE(SUBSTITUTE(Table14[[#This Row],[Wartość]],".",","))</f>
        <v>17067.16</v>
      </c>
      <c r="L21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5" s="2" t="str">
        <f>IF(Table14[[#This Row],[Umowa]]="","Poza umową","Z umowy")</f>
        <v>Poza umową</v>
      </c>
      <c r="N2155" s="2">
        <f>YEAR(Table14[[#This Row],[Data_Wystawienia]])</f>
        <v>2024</v>
      </c>
      <c r="O2155" s="2" t="str">
        <f>TEXT(Table14[[#This Row],[Data_Wystawienia]],"rrrr-mm")</f>
        <v>2024-03</v>
      </c>
      <c r="P2155" s="2">
        <v>1</v>
      </c>
    </row>
    <row r="2156" spans="1:16" x14ac:dyDescent="0.3">
      <c r="A2156" s="2" t="str">
        <f>TRIM(Table1[[#This Row],[Numer_FV]])</f>
        <v>FV/CENFA/532464/24</v>
      </c>
      <c r="B2156" s="2" t="str">
        <f>TRIM(Table1[[#This Row],[Numer_PZ]])</f>
        <v>PZ/802154</v>
      </c>
      <c r="C2156" s="2" t="str">
        <f>TRIM(Table1[[#This Row],[Dostawca]])</f>
        <v>CentrumFarm</v>
      </c>
      <c r="D2156" s="3">
        <v>45363</v>
      </c>
      <c r="E2156" s="4" t="s">
        <v>6366</v>
      </c>
      <c r="F2156" s="2" t="str">
        <f>TRIM(Table1[[#This Row],[Status]])</f>
        <v>Zaakceptowana</v>
      </c>
      <c r="G2156" s="2" t="str">
        <f>TRIM(Table1[[#This Row],[Typ]])</f>
        <v>Faktura VAT</v>
      </c>
      <c r="H2156" s="2" t="str">
        <f>TRIM(Table1[[#This Row],[Magazyn]])</f>
        <v>Apteka Szpitalna</v>
      </c>
      <c r="I2156" s="2" t="str">
        <f>TRIM(Table1[[#This Row],[Umowa]])</f>
        <v/>
      </c>
      <c r="J2156" s="2" t="b">
        <f>ISTEXT(Table14[[#This Row],[Data_Wystawienia]])</f>
        <v>0</v>
      </c>
      <c r="K2156" s="2">
        <f>VALUE(SUBSTITUTE(Table14[[#This Row],[Wartość]],".",","))</f>
        <v>27044.47</v>
      </c>
      <c r="L21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6" s="2" t="str">
        <f>IF(Table14[[#This Row],[Umowa]]="","Poza umową","Z umowy")</f>
        <v>Poza umową</v>
      </c>
      <c r="N2156" s="2">
        <f>YEAR(Table14[[#This Row],[Data_Wystawienia]])</f>
        <v>2024</v>
      </c>
      <c r="O2156" s="2" t="str">
        <f>TEXT(Table14[[#This Row],[Data_Wystawienia]],"rrrr-mm")</f>
        <v>2024-03</v>
      </c>
      <c r="P2156" s="2">
        <v>1</v>
      </c>
    </row>
    <row r="2157" spans="1:16" x14ac:dyDescent="0.3">
      <c r="A2157" s="2" t="str">
        <f>TRIM(Table1[[#This Row],[Numer_FV]])</f>
        <v>FV/8305HM/24</v>
      </c>
      <c r="B2157" s="2" t="str">
        <f>TRIM(Table1[[#This Row],[Numer_PZ]])</f>
        <v>PZ/802155</v>
      </c>
      <c r="C2157" s="2" t="str">
        <f>TRIM(Table1[[#This Row],[Dostawca]])</f>
        <v>HurtMedix</v>
      </c>
      <c r="D2157" s="3">
        <v>45363</v>
      </c>
      <c r="E2157" s="4" t="s">
        <v>6369</v>
      </c>
      <c r="F2157" s="2" t="str">
        <f>TRIM(Table1[[#This Row],[Status]])</f>
        <v>Zaakceptowana</v>
      </c>
      <c r="G2157" s="2" t="str">
        <f>TRIM(Table1[[#This Row],[Typ]])</f>
        <v>Faktura VAT</v>
      </c>
      <c r="H2157" s="2" t="str">
        <f>TRIM(Table1[[#This Row],[Magazyn]])</f>
        <v>Apteka Szpitalna</v>
      </c>
      <c r="I2157" s="2" t="str">
        <f>TRIM(Table1[[#This Row],[Umowa]])</f>
        <v/>
      </c>
      <c r="J2157" s="2" t="b">
        <f>ISTEXT(Table14[[#This Row],[Data_Wystawienia]])</f>
        <v>0</v>
      </c>
      <c r="K2157" s="2">
        <f>VALUE(SUBSTITUTE(Table14[[#This Row],[Wartość]],".",","))</f>
        <v>12906.53</v>
      </c>
      <c r="L21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7" s="2" t="str">
        <f>IF(Table14[[#This Row],[Umowa]]="","Poza umową","Z umowy")</f>
        <v>Poza umową</v>
      </c>
      <c r="N2157" s="2">
        <f>YEAR(Table14[[#This Row],[Data_Wystawienia]])</f>
        <v>2024</v>
      </c>
      <c r="O2157" s="2" t="str">
        <f>TEXT(Table14[[#This Row],[Data_Wystawienia]],"rrrr-mm")</f>
        <v>2024-03</v>
      </c>
      <c r="P2157" s="2">
        <v>1</v>
      </c>
    </row>
    <row r="2158" spans="1:16" x14ac:dyDescent="0.3">
      <c r="A2158" s="2" t="str">
        <f>TRIM(Table1[[#This Row],[Numer_FV]])</f>
        <v>FV/74/SAL/24</v>
      </c>
      <c r="B2158" s="2" t="str">
        <f>TRIM(Table1[[#This Row],[Numer_PZ]])</f>
        <v>PZ/802156</v>
      </c>
      <c r="C2158" s="2" t="str">
        <f>TRIM(Table1[[#This Row],[Dostawca]])</f>
        <v>SalusHurt</v>
      </c>
      <c r="D2158" s="3">
        <v>45364</v>
      </c>
      <c r="E2158" s="4" t="s">
        <v>6371</v>
      </c>
      <c r="F2158" s="2" t="str">
        <f>TRIM(Table1[[#This Row],[Status]])</f>
        <v>Zaakceptowana</v>
      </c>
      <c r="G2158" s="2" t="str">
        <f>TRIM(Table1[[#This Row],[Typ]])</f>
        <v>Faktura VAT</v>
      </c>
      <c r="H2158" s="2" t="str">
        <f>TRIM(Table1[[#This Row],[Magazyn]])</f>
        <v>Apteka Szpitalna</v>
      </c>
      <c r="I2158" s="2" t="str">
        <f>TRIM(Table1[[#This Row],[Umowa]])</f>
        <v>UM-SAL-02</v>
      </c>
      <c r="J2158" s="2" t="b">
        <f>ISTEXT(Table14[[#This Row],[Data_Wystawienia]])</f>
        <v>0</v>
      </c>
      <c r="K2158" s="2">
        <f>VALUE(SUBSTITUTE(Table14[[#This Row],[Wartość]],".",","))</f>
        <v>21368.75</v>
      </c>
      <c r="L21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8" s="2" t="str">
        <f>IF(Table14[[#This Row],[Umowa]]="","Poza umową","Z umowy")</f>
        <v>Z umowy</v>
      </c>
      <c r="N2158" s="2">
        <f>YEAR(Table14[[#This Row],[Data_Wystawienia]])</f>
        <v>2024</v>
      </c>
      <c r="O2158" s="2" t="str">
        <f>TEXT(Table14[[#This Row],[Data_Wystawienia]],"rrrr-mm")</f>
        <v>2024-03</v>
      </c>
      <c r="P2158" s="2">
        <v>1</v>
      </c>
    </row>
    <row r="2159" spans="1:16" x14ac:dyDescent="0.3">
      <c r="A2159" s="2" t="str">
        <f>TRIM(Table1[[#This Row],[Numer_FV]])</f>
        <v>FV/57026/VDb/2024</v>
      </c>
      <c r="B2159" s="2" t="str">
        <f>TRIM(Table1[[#This Row],[Numer_PZ]])</f>
        <v>PZ/802157</v>
      </c>
      <c r="C2159" s="2" t="str">
        <f>TRIM(Table1[[#This Row],[Dostawca]])</f>
        <v>VitaDistrib</v>
      </c>
      <c r="D2159" s="3">
        <v>45364</v>
      </c>
      <c r="E2159" s="4" t="s">
        <v>6374</v>
      </c>
      <c r="F2159" s="2" t="str">
        <f>TRIM(Table1[[#This Row],[Status]])</f>
        <v>Zaakceptowana</v>
      </c>
      <c r="G2159" s="2" t="str">
        <f>TRIM(Table1[[#This Row],[Typ]])</f>
        <v>Faktura VAT</v>
      </c>
      <c r="H2159" s="2" t="str">
        <f>TRIM(Table1[[#This Row],[Magazyn]])</f>
        <v>Apteka Szpitalna</v>
      </c>
      <c r="I2159" s="2" t="str">
        <f>TRIM(Table1[[#This Row],[Umowa]])</f>
        <v>UM-VIT-01</v>
      </c>
      <c r="J2159" s="2" t="b">
        <f>ISTEXT(Table14[[#This Row],[Data_Wystawienia]])</f>
        <v>0</v>
      </c>
      <c r="K2159" s="2">
        <f>VALUE(SUBSTITUTE(Table14[[#This Row],[Wartość]],".",","))</f>
        <v>18423.23</v>
      </c>
      <c r="L21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59" s="2" t="str">
        <f>IF(Table14[[#This Row],[Umowa]]="","Poza umową","Z umowy")</f>
        <v>Z umowy</v>
      </c>
      <c r="N2159" s="2">
        <f>YEAR(Table14[[#This Row],[Data_Wystawienia]])</f>
        <v>2024</v>
      </c>
      <c r="O2159" s="2" t="str">
        <f>TEXT(Table14[[#This Row],[Data_Wystawienia]],"rrrr-mm")</f>
        <v>2024-03</v>
      </c>
      <c r="P2159" s="2">
        <v>1</v>
      </c>
    </row>
    <row r="2160" spans="1:16" x14ac:dyDescent="0.3">
      <c r="A2160" s="2" t="str">
        <f>TRIM(Table1[[#This Row],[Numer_FV]])</f>
        <v>FV/M/3250/P/24</v>
      </c>
      <c r="B2160" s="2" t="str">
        <f>TRIM(Table1[[#This Row],[Numer_PZ]])</f>
        <v>PZ/802158</v>
      </c>
      <c r="C2160" s="2" t="str">
        <f>TRIM(Table1[[#This Row],[Dostawca]])</f>
        <v>MedicaPharm</v>
      </c>
      <c r="D2160" s="3">
        <v>45364</v>
      </c>
      <c r="E2160" s="4" t="s">
        <v>6377</v>
      </c>
      <c r="F2160" s="2" t="str">
        <f>TRIM(Table1[[#This Row],[Status]])</f>
        <v>Zaakceptowana</v>
      </c>
      <c r="G2160" s="2" t="str">
        <f>TRIM(Table1[[#This Row],[Typ]])</f>
        <v>Faktura VAT</v>
      </c>
      <c r="H2160" s="2" t="str">
        <f>TRIM(Table1[[#This Row],[Magazyn]])</f>
        <v>Apteka Szpitalna</v>
      </c>
      <c r="I2160" s="2" t="str">
        <f>TRIM(Table1[[#This Row],[Umowa]])</f>
        <v>UM-MED-01</v>
      </c>
      <c r="J2160" s="2" t="b">
        <f>ISTEXT(Table14[[#This Row],[Data_Wystawienia]])</f>
        <v>0</v>
      </c>
      <c r="K2160" s="2">
        <f>VALUE(SUBSTITUTE(Table14[[#This Row],[Wartość]],".",","))</f>
        <v>11259.87</v>
      </c>
      <c r="L21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0" s="2" t="str">
        <f>IF(Table14[[#This Row],[Umowa]]="","Poza umową","Z umowy")</f>
        <v>Z umowy</v>
      </c>
      <c r="N2160" s="2">
        <f>YEAR(Table14[[#This Row],[Data_Wystawienia]])</f>
        <v>2024</v>
      </c>
      <c r="O2160" s="2" t="str">
        <f>TEXT(Table14[[#This Row],[Data_Wystawienia]],"rrrr-mm")</f>
        <v>2024-03</v>
      </c>
      <c r="P2160" s="2">
        <v>1</v>
      </c>
    </row>
    <row r="2161" spans="1:16" x14ac:dyDescent="0.3">
      <c r="A2161" s="2" t="str">
        <f>TRIM(Table1[[#This Row],[Numer_FV]])</f>
        <v>FV/CENFA/434477/24</v>
      </c>
      <c r="B2161" s="2" t="str">
        <f>TRIM(Table1[[#This Row],[Numer_PZ]])</f>
        <v>PZ/802159</v>
      </c>
      <c r="C2161" s="2" t="str">
        <f>TRIM(Table1[[#This Row],[Dostawca]])</f>
        <v>CentrumFarm</v>
      </c>
      <c r="D2161" s="3">
        <v>45364</v>
      </c>
      <c r="E2161" s="4" t="s">
        <v>6380</v>
      </c>
      <c r="F2161" s="2" t="str">
        <f>TRIM(Table1[[#This Row],[Status]])</f>
        <v>Zaakceptowana</v>
      </c>
      <c r="G2161" s="2" t="str">
        <f>TRIM(Table1[[#This Row],[Typ]])</f>
        <v>Faktura VAT</v>
      </c>
      <c r="H2161" s="2" t="str">
        <f>TRIM(Table1[[#This Row],[Magazyn]])</f>
        <v>Apteka Szpitalna</v>
      </c>
      <c r="I2161" s="2" t="str">
        <f>TRIM(Table1[[#This Row],[Umowa]])</f>
        <v>UM-CEN-02</v>
      </c>
      <c r="J2161" s="2" t="b">
        <f>ISTEXT(Table14[[#This Row],[Data_Wystawienia]])</f>
        <v>0</v>
      </c>
      <c r="K2161" s="2">
        <f>VALUE(SUBSTITUTE(Table14[[#This Row],[Wartość]],".",","))</f>
        <v>19805.900000000001</v>
      </c>
      <c r="L21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1" s="2" t="str">
        <f>IF(Table14[[#This Row],[Umowa]]="","Poza umową","Z umowy")</f>
        <v>Z umowy</v>
      </c>
      <c r="N2161" s="2">
        <f>YEAR(Table14[[#This Row],[Data_Wystawienia]])</f>
        <v>2024</v>
      </c>
      <c r="O2161" s="2" t="str">
        <f>TEXT(Table14[[#This Row],[Data_Wystawienia]],"rrrr-mm")</f>
        <v>2024-03</v>
      </c>
      <c r="P2161" s="2">
        <v>1</v>
      </c>
    </row>
    <row r="2162" spans="1:16" x14ac:dyDescent="0.3">
      <c r="A2162" s="2" t="str">
        <f>TRIM(Table1[[#This Row],[Numer_FV]])</f>
        <v>FV/50621/VDb/2024</v>
      </c>
      <c r="B2162" s="2" t="str">
        <f>TRIM(Table1[[#This Row],[Numer_PZ]])</f>
        <v>PZ/802160</v>
      </c>
      <c r="C2162" s="2" t="str">
        <f>TRIM(Table1[[#This Row],[Dostawca]])</f>
        <v>VitaDistrib</v>
      </c>
      <c r="D2162" s="3">
        <v>45364</v>
      </c>
      <c r="E2162" s="4" t="s">
        <v>6383</v>
      </c>
      <c r="F2162" s="2" t="str">
        <f>TRIM(Table1[[#This Row],[Status]])</f>
        <v>Zaakceptowana</v>
      </c>
      <c r="G2162" s="2" t="str">
        <f>TRIM(Table1[[#This Row],[Typ]])</f>
        <v>Faktura VAT</v>
      </c>
      <c r="H2162" s="2" t="str">
        <f>TRIM(Table1[[#This Row],[Magazyn]])</f>
        <v>Apteka Szpitalna</v>
      </c>
      <c r="I2162" s="2" t="str">
        <f>TRIM(Table1[[#This Row],[Umowa]])</f>
        <v>UM-VIT-01</v>
      </c>
      <c r="J2162" s="2" t="b">
        <f>ISTEXT(Table14[[#This Row],[Data_Wystawienia]])</f>
        <v>0</v>
      </c>
      <c r="K2162" s="2">
        <f>VALUE(SUBSTITUTE(Table14[[#This Row],[Wartość]],".",","))</f>
        <v>9893.5499999999993</v>
      </c>
      <c r="L21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2" s="2" t="str">
        <f>IF(Table14[[#This Row],[Umowa]]="","Poza umową","Z umowy")</f>
        <v>Z umowy</v>
      </c>
      <c r="N2162" s="2">
        <f>YEAR(Table14[[#This Row],[Data_Wystawienia]])</f>
        <v>2024</v>
      </c>
      <c r="O2162" s="2" t="str">
        <f>TEXT(Table14[[#This Row],[Data_Wystawienia]],"rrrr-mm")</f>
        <v>2024-03</v>
      </c>
      <c r="P2162" s="2">
        <v>1</v>
      </c>
    </row>
    <row r="2163" spans="1:16" x14ac:dyDescent="0.3">
      <c r="A2163" s="2" t="str">
        <f>TRIM(Table1[[#This Row],[Numer_FV]])</f>
        <v>FV/36/SAL/24</v>
      </c>
      <c r="B2163" s="2" t="str">
        <f>TRIM(Table1[[#This Row],[Numer_PZ]])</f>
        <v>PZ/802161</v>
      </c>
      <c r="C2163" s="2" t="str">
        <f>TRIM(Table1[[#This Row],[Dostawca]])</f>
        <v>SalusHurt</v>
      </c>
      <c r="D2163" s="3">
        <v>45365</v>
      </c>
      <c r="E2163" s="4" t="s">
        <v>6386</v>
      </c>
      <c r="F2163" s="2" t="str">
        <f>TRIM(Table1[[#This Row],[Status]])</f>
        <v>Zaakceptowana</v>
      </c>
      <c r="G2163" s="2" t="str">
        <f>TRIM(Table1[[#This Row],[Typ]])</f>
        <v>Faktura VAT</v>
      </c>
      <c r="H2163" s="2" t="str">
        <f>TRIM(Table1[[#This Row],[Magazyn]])</f>
        <v>Apteka Szpitalna</v>
      </c>
      <c r="I2163" s="2" t="str">
        <f>TRIM(Table1[[#This Row],[Umowa]])</f>
        <v>UM-SAL-01</v>
      </c>
      <c r="J2163" s="2" t="b">
        <f>ISTEXT(Table14[[#This Row],[Data_Wystawienia]])</f>
        <v>0</v>
      </c>
      <c r="K2163" s="2">
        <f>VALUE(SUBSTITUTE(Table14[[#This Row],[Wartość]],".",","))</f>
        <v>14038.56</v>
      </c>
      <c r="L21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3" s="2" t="str">
        <f>IF(Table14[[#This Row],[Umowa]]="","Poza umową","Z umowy")</f>
        <v>Z umowy</v>
      </c>
      <c r="N2163" s="2">
        <f>YEAR(Table14[[#This Row],[Data_Wystawienia]])</f>
        <v>2024</v>
      </c>
      <c r="O2163" s="2" t="str">
        <f>TEXT(Table14[[#This Row],[Data_Wystawienia]],"rrrr-mm")</f>
        <v>2024-03</v>
      </c>
      <c r="P2163" s="2">
        <v>1</v>
      </c>
    </row>
    <row r="2164" spans="1:16" x14ac:dyDescent="0.3">
      <c r="A2164" s="2" t="str">
        <f>TRIM(Table1[[#This Row],[Numer_FV]])</f>
        <v>FV/M/1442/P/24</v>
      </c>
      <c r="B2164" s="2" t="str">
        <f>TRIM(Table1[[#This Row],[Numer_PZ]])</f>
        <v>PZ/802162</v>
      </c>
      <c r="C2164" s="2" t="str">
        <f>TRIM(Table1[[#This Row],[Dostawca]])</f>
        <v>MedicaPharm</v>
      </c>
      <c r="D2164" s="3">
        <v>45365</v>
      </c>
      <c r="E2164" s="4" t="s">
        <v>6389</v>
      </c>
      <c r="F2164" s="2" t="str">
        <f>TRIM(Table1[[#This Row],[Status]])</f>
        <v>Zaakceptowana</v>
      </c>
      <c r="G2164" s="2" t="str">
        <f>TRIM(Table1[[#This Row],[Typ]])</f>
        <v>Faktura VAT</v>
      </c>
      <c r="H2164" s="2" t="str">
        <f>TRIM(Table1[[#This Row],[Magazyn]])</f>
        <v>Apteka Szpitalna</v>
      </c>
      <c r="I2164" s="2" t="str">
        <f>TRIM(Table1[[#This Row],[Umowa]])</f>
        <v>UM-MED-01</v>
      </c>
      <c r="J2164" s="2" t="b">
        <f>ISTEXT(Table14[[#This Row],[Data_Wystawienia]])</f>
        <v>0</v>
      </c>
      <c r="K2164" s="2">
        <f>VALUE(SUBSTITUTE(Table14[[#This Row],[Wartość]],".",","))</f>
        <v>5521.31</v>
      </c>
      <c r="L21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4" s="2" t="str">
        <f>IF(Table14[[#This Row],[Umowa]]="","Poza umową","Z umowy")</f>
        <v>Z umowy</v>
      </c>
      <c r="N2164" s="2">
        <f>YEAR(Table14[[#This Row],[Data_Wystawienia]])</f>
        <v>2024</v>
      </c>
      <c r="O2164" s="2" t="str">
        <f>TEXT(Table14[[#This Row],[Data_Wystawienia]],"rrrr-mm")</f>
        <v>2024-03</v>
      </c>
      <c r="P2164" s="2">
        <v>1</v>
      </c>
    </row>
    <row r="2165" spans="1:16" x14ac:dyDescent="0.3">
      <c r="A2165" s="2" t="str">
        <f>TRIM(Table1[[#This Row],[Numer_FV]])</f>
        <v>FV/11/PP/2770/24</v>
      </c>
      <c r="B2165" s="2" t="str">
        <f>TRIM(Table1[[#This Row],[Numer_PZ]])</f>
        <v>PZ/802163</v>
      </c>
      <c r="C2165" s="2" t="str">
        <f>TRIM(Table1[[#This Row],[Dostawca]])</f>
        <v>PharmaPlus</v>
      </c>
      <c r="D2165" s="3">
        <v>45365</v>
      </c>
      <c r="E2165" s="4" t="s">
        <v>6392</v>
      </c>
      <c r="F2165" s="2" t="str">
        <f>TRIM(Table1[[#This Row],[Status]])</f>
        <v>Zaakceptowana</v>
      </c>
      <c r="G2165" s="2" t="str">
        <f>TRIM(Table1[[#This Row],[Typ]])</f>
        <v>Faktura VAT</v>
      </c>
      <c r="H2165" s="2" t="str">
        <f>TRIM(Table1[[#This Row],[Magazyn]])</f>
        <v>Apteka Szpitalna</v>
      </c>
      <c r="I2165" s="2" t="str">
        <f>TRIM(Table1[[#This Row],[Umowa]])</f>
        <v>UM-PHA-01</v>
      </c>
      <c r="J2165" s="2" t="b">
        <f>ISTEXT(Table14[[#This Row],[Data_Wystawienia]])</f>
        <v>0</v>
      </c>
      <c r="K2165" s="2">
        <f>VALUE(SUBSTITUTE(Table14[[#This Row],[Wartość]],".",","))</f>
        <v>15099.78</v>
      </c>
      <c r="L21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5" s="2" t="str">
        <f>IF(Table14[[#This Row],[Umowa]]="","Poza umową","Z umowy")</f>
        <v>Z umowy</v>
      </c>
      <c r="N2165" s="2">
        <f>YEAR(Table14[[#This Row],[Data_Wystawienia]])</f>
        <v>2024</v>
      </c>
      <c r="O2165" s="2" t="str">
        <f>TEXT(Table14[[#This Row],[Data_Wystawienia]],"rrrr-mm")</f>
        <v>2024-03</v>
      </c>
      <c r="P2165" s="2">
        <v>1</v>
      </c>
    </row>
    <row r="2166" spans="1:16" x14ac:dyDescent="0.3">
      <c r="A2166" s="2" t="str">
        <f>TRIM(Table1[[#This Row],[Numer_FV]])</f>
        <v>FV/POL/40804/2024</v>
      </c>
      <c r="B2166" s="2" t="str">
        <f>TRIM(Table1[[#This Row],[Numer_PZ]])</f>
        <v>PZ/802164</v>
      </c>
      <c r="C2166" s="2" t="str">
        <f>TRIM(Table1[[#This Row],[Dostawca]])</f>
        <v>Polmedica</v>
      </c>
      <c r="D2166" s="3">
        <v>45365</v>
      </c>
      <c r="E2166" s="4" t="s">
        <v>6395</v>
      </c>
      <c r="F2166" s="2" t="str">
        <f>TRIM(Table1[[#This Row],[Status]])</f>
        <v>Zaakceptowana</v>
      </c>
      <c r="G2166" s="2" t="str">
        <f>TRIM(Table1[[#This Row],[Typ]])</f>
        <v>Faktura VAT</v>
      </c>
      <c r="H2166" s="2" t="str">
        <f>TRIM(Table1[[#This Row],[Magazyn]])</f>
        <v>Apteka Szpitalna</v>
      </c>
      <c r="I2166" s="2" t="str">
        <f>TRIM(Table1[[#This Row],[Umowa]])</f>
        <v>UM-POL-02</v>
      </c>
      <c r="J2166" s="2" t="b">
        <f>ISTEXT(Table14[[#This Row],[Data_Wystawienia]])</f>
        <v>0</v>
      </c>
      <c r="K2166" s="2">
        <f>VALUE(SUBSTITUTE(Table14[[#This Row],[Wartość]],".",","))</f>
        <v>11939.68</v>
      </c>
      <c r="L21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6" s="2" t="str">
        <f>IF(Table14[[#This Row],[Umowa]]="","Poza umową","Z umowy")</f>
        <v>Z umowy</v>
      </c>
      <c r="N2166" s="2">
        <f>YEAR(Table14[[#This Row],[Data_Wystawienia]])</f>
        <v>2024</v>
      </c>
      <c r="O2166" s="2" t="str">
        <f>TEXT(Table14[[#This Row],[Data_Wystawienia]],"rrrr-mm")</f>
        <v>2024-03</v>
      </c>
      <c r="P2166" s="2">
        <v>1</v>
      </c>
    </row>
    <row r="2167" spans="1:16" x14ac:dyDescent="0.3">
      <c r="A2167" s="2" t="str">
        <f>TRIM(Table1[[#This Row],[Numer_FV]])</f>
        <v>FV/8705HM/24</v>
      </c>
      <c r="B2167" s="2" t="str">
        <f>TRIM(Table1[[#This Row],[Numer_PZ]])</f>
        <v>PZ/802165</v>
      </c>
      <c r="C2167" s="2" t="str">
        <f>TRIM(Table1[[#This Row],[Dostawca]])</f>
        <v>HurtMedix</v>
      </c>
      <c r="D2167" s="3">
        <v>45366</v>
      </c>
      <c r="E2167" s="4" t="s">
        <v>6398</v>
      </c>
      <c r="F2167" s="2" t="str">
        <f>TRIM(Table1[[#This Row],[Status]])</f>
        <v>Zaakceptowana</v>
      </c>
      <c r="G2167" s="2" t="str">
        <f>TRIM(Table1[[#This Row],[Typ]])</f>
        <v>Faktura VAT</v>
      </c>
      <c r="H2167" s="2" t="str">
        <f>TRIM(Table1[[#This Row],[Magazyn]])</f>
        <v>Apteka Szpitalna</v>
      </c>
      <c r="I2167" s="2" t="str">
        <f>TRIM(Table1[[#This Row],[Umowa]])</f>
        <v>UM-HUR-01</v>
      </c>
      <c r="J2167" s="2" t="b">
        <f>ISTEXT(Table14[[#This Row],[Data_Wystawienia]])</f>
        <v>0</v>
      </c>
      <c r="K2167" s="2">
        <f>VALUE(SUBSTITUTE(Table14[[#This Row],[Wartość]],".",","))</f>
        <v>13369.75</v>
      </c>
      <c r="L21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7" s="2" t="str">
        <f>IF(Table14[[#This Row],[Umowa]]="","Poza umową","Z umowy")</f>
        <v>Z umowy</v>
      </c>
      <c r="N2167" s="2">
        <f>YEAR(Table14[[#This Row],[Data_Wystawienia]])</f>
        <v>2024</v>
      </c>
      <c r="O2167" s="2" t="str">
        <f>TEXT(Table14[[#This Row],[Data_Wystawienia]],"rrrr-mm")</f>
        <v>2024-03</v>
      </c>
      <c r="P2167" s="2">
        <v>1</v>
      </c>
    </row>
    <row r="2168" spans="1:16" x14ac:dyDescent="0.3">
      <c r="A2168" s="2" t="str">
        <f>TRIM(Table1[[#This Row],[Numer_FV]])</f>
        <v>FV/M/8156/P/24</v>
      </c>
      <c r="B2168" s="2" t="str">
        <f>TRIM(Table1[[#This Row],[Numer_PZ]])</f>
        <v>PZ/802166</v>
      </c>
      <c r="C2168" s="2" t="str">
        <f>TRIM(Table1[[#This Row],[Dostawca]])</f>
        <v>MedicaPharm</v>
      </c>
      <c r="D2168" s="3">
        <v>45366</v>
      </c>
      <c r="E2168" s="4" t="s">
        <v>6401</v>
      </c>
      <c r="F2168" s="2" t="str">
        <f>TRIM(Table1[[#This Row],[Status]])</f>
        <v>Zaakceptowana</v>
      </c>
      <c r="G2168" s="2" t="str">
        <f>TRIM(Table1[[#This Row],[Typ]])</f>
        <v>Faktura VAT</v>
      </c>
      <c r="H2168" s="2" t="str">
        <f>TRIM(Table1[[#This Row],[Magazyn]])</f>
        <v>Apteka Szpitalna</v>
      </c>
      <c r="I2168" s="2" t="str">
        <f>TRIM(Table1[[#This Row],[Umowa]])</f>
        <v>UM-MED-02</v>
      </c>
      <c r="J2168" s="2" t="b">
        <f>ISTEXT(Table14[[#This Row],[Data_Wystawienia]])</f>
        <v>0</v>
      </c>
      <c r="K2168" s="2">
        <f>VALUE(SUBSTITUTE(Table14[[#This Row],[Wartość]],".",","))</f>
        <v>8697.2199999999993</v>
      </c>
      <c r="L21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8" s="2" t="str">
        <f>IF(Table14[[#This Row],[Umowa]]="","Poza umową","Z umowy")</f>
        <v>Z umowy</v>
      </c>
      <c r="N2168" s="2">
        <f>YEAR(Table14[[#This Row],[Data_Wystawienia]])</f>
        <v>2024</v>
      </c>
      <c r="O2168" s="2" t="str">
        <f>TEXT(Table14[[#This Row],[Data_Wystawienia]],"rrrr-mm")</f>
        <v>2024-03</v>
      </c>
      <c r="P2168" s="2">
        <v>1</v>
      </c>
    </row>
    <row r="2169" spans="1:16" x14ac:dyDescent="0.3">
      <c r="A2169" s="2" t="str">
        <f>TRIM(Table1[[#This Row],[Numer_FV]])</f>
        <v>FV/20/PP/4976/24</v>
      </c>
      <c r="B2169" s="2" t="str">
        <f>TRIM(Table1[[#This Row],[Numer_PZ]])</f>
        <v>PZ/802167</v>
      </c>
      <c r="C2169" s="2" t="str">
        <f>TRIM(Table1[[#This Row],[Dostawca]])</f>
        <v>PharmaPlus</v>
      </c>
      <c r="D2169" s="3">
        <v>45366</v>
      </c>
      <c r="E2169" s="4" t="s">
        <v>6404</v>
      </c>
      <c r="F2169" s="2" t="str">
        <f>TRIM(Table1[[#This Row],[Status]])</f>
        <v>Zaakceptowana</v>
      </c>
      <c r="G2169" s="2" t="str">
        <f>TRIM(Table1[[#This Row],[Typ]])</f>
        <v>Faktura VAT</v>
      </c>
      <c r="H2169" s="2" t="str">
        <f>TRIM(Table1[[#This Row],[Magazyn]])</f>
        <v>Apteka Szpitalna</v>
      </c>
      <c r="I2169" s="2" t="str">
        <f>TRIM(Table1[[#This Row],[Umowa]])</f>
        <v>UM-PHA-01</v>
      </c>
      <c r="J2169" s="2" t="b">
        <f>ISTEXT(Table14[[#This Row],[Data_Wystawienia]])</f>
        <v>0</v>
      </c>
      <c r="K2169" s="2">
        <f>VALUE(SUBSTITUTE(Table14[[#This Row],[Wartość]],".",","))</f>
        <v>10116.56</v>
      </c>
      <c r="L21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69" s="2" t="str">
        <f>IF(Table14[[#This Row],[Umowa]]="","Poza umową","Z umowy")</f>
        <v>Z umowy</v>
      </c>
      <c r="N2169" s="2">
        <f>YEAR(Table14[[#This Row],[Data_Wystawienia]])</f>
        <v>2024</v>
      </c>
      <c r="O2169" s="2" t="str">
        <f>TEXT(Table14[[#This Row],[Data_Wystawienia]],"rrrr-mm")</f>
        <v>2024-03</v>
      </c>
      <c r="P2169" s="2">
        <v>1</v>
      </c>
    </row>
    <row r="2170" spans="1:16" x14ac:dyDescent="0.3">
      <c r="A2170" s="2" t="str">
        <f>TRIM(Table1[[#This Row],[Numer_FV]])</f>
        <v>FV/CENFA/822576/24</v>
      </c>
      <c r="B2170" s="2" t="str">
        <f>TRIM(Table1[[#This Row],[Numer_PZ]])</f>
        <v>PZ/802168</v>
      </c>
      <c r="C2170" s="2" t="str">
        <f>TRIM(Table1[[#This Row],[Dostawca]])</f>
        <v>CentrumFarm</v>
      </c>
      <c r="D2170" s="3">
        <v>45366</v>
      </c>
      <c r="E2170" s="4" t="s">
        <v>6407</v>
      </c>
      <c r="F2170" s="2" t="str">
        <f>TRIM(Table1[[#This Row],[Status]])</f>
        <v>Zaakceptowana</v>
      </c>
      <c r="G2170" s="2" t="str">
        <f>TRIM(Table1[[#This Row],[Typ]])</f>
        <v>Faktura VAT</v>
      </c>
      <c r="H2170" s="2" t="str">
        <f>TRIM(Table1[[#This Row],[Magazyn]])</f>
        <v>Apteka Szpitalna</v>
      </c>
      <c r="I2170" s="2" t="str">
        <f>TRIM(Table1[[#This Row],[Umowa]])</f>
        <v>UM-CEN-01</v>
      </c>
      <c r="J2170" s="2" t="b">
        <f>ISTEXT(Table14[[#This Row],[Data_Wystawienia]])</f>
        <v>0</v>
      </c>
      <c r="K2170" s="2">
        <f>VALUE(SUBSTITUTE(Table14[[#This Row],[Wartość]],".",","))</f>
        <v>8898.2000000000007</v>
      </c>
      <c r="L21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0" s="2" t="str">
        <f>IF(Table14[[#This Row],[Umowa]]="","Poza umową","Z umowy")</f>
        <v>Z umowy</v>
      </c>
      <c r="N2170" s="2">
        <f>YEAR(Table14[[#This Row],[Data_Wystawienia]])</f>
        <v>2024</v>
      </c>
      <c r="O2170" s="2" t="str">
        <f>TEXT(Table14[[#This Row],[Data_Wystawienia]],"rrrr-mm")</f>
        <v>2024-03</v>
      </c>
      <c r="P2170" s="2">
        <v>1</v>
      </c>
    </row>
    <row r="2171" spans="1:16" x14ac:dyDescent="0.3">
      <c r="A2171" s="2" t="str">
        <f>TRIM(Table1[[#This Row],[Numer_FV]])</f>
        <v>FV/9445/NOVA/24</v>
      </c>
      <c r="B2171" s="2" t="str">
        <f>TRIM(Table1[[#This Row],[Numer_PZ]])</f>
        <v>PZ/802169</v>
      </c>
      <c r="C2171" s="2" t="str">
        <f>TRIM(Table1[[#This Row],[Dostawca]])</f>
        <v>NovaLek</v>
      </c>
      <c r="D2171" s="3">
        <v>45366</v>
      </c>
      <c r="E2171" s="4" t="s">
        <v>6410</v>
      </c>
      <c r="F2171" s="2" t="str">
        <f>TRIM(Table1[[#This Row],[Status]])</f>
        <v>Zaakceptowana</v>
      </c>
      <c r="G2171" s="2" t="str">
        <f>TRIM(Table1[[#This Row],[Typ]])</f>
        <v>Faktura VAT</v>
      </c>
      <c r="H2171" s="2" t="str">
        <f>TRIM(Table1[[#This Row],[Magazyn]])</f>
        <v>Apteka Szpitalna</v>
      </c>
      <c r="I2171" s="2" t="str">
        <f>TRIM(Table1[[#This Row],[Umowa]])</f>
        <v>UM-NOV-03</v>
      </c>
      <c r="J2171" s="2" t="b">
        <f>ISTEXT(Table14[[#This Row],[Data_Wystawienia]])</f>
        <v>0</v>
      </c>
      <c r="K2171" s="2">
        <f>VALUE(SUBSTITUTE(Table14[[#This Row],[Wartość]],".",","))</f>
        <v>13999.91</v>
      </c>
      <c r="L21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1" s="2" t="str">
        <f>IF(Table14[[#This Row],[Umowa]]="","Poza umową","Z umowy")</f>
        <v>Z umowy</v>
      </c>
      <c r="N2171" s="2">
        <f>YEAR(Table14[[#This Row],[Data_Wystawienia]])</f>
        <v>2024</v>
      </c>
      <c r="O2171" s="2" t="str">
        <f>TEXT(Table14[[#This Row],[Data_Wystawienia]],"rrrr-mm")</f>
        <v>2024-03</v>
      </c>
      <c r="P2171" s="2">
        <v>1</v>
      </c>
    </row>
    <row r="2172" spans="1:16" x14ac:dyDescent="0.3">
      <c r="A2172" s="2" t="str">
        <f>TRIM(Table1[[#This Row],[Numer_FV]])</f>
        <v>FV/19371/VDb/2024</v>
      </c>
      <c r="B2172" s="2" t="str">
        <f>TRIM(Table1[[#This Row],[Numer_PZ]])</f>
        <v>PZ/802170</v>
      </c>
      <c r="C2172" s="2" t="str">
        <f>TRIM(Table1[[#This Row],[Dostawca]])</f>
        <v>VitaDistrib</v>
      </c>
      <c r="D2172" s="3">
        <v>45367</v>
      </c>
      <c r="E2172" s="4" t="s">
        <v>6413</v>
      </c>
      <c r="F2172" s="2" t="str">
        <f>TRIM(Table1[[#This Row],[Status]])</f>
        <v>Zaakceptowana</v>
      </c>
      <c r="G2172" s="2" t="str">
        <f>TRIM(Table1[[#This Row],[Typ]])</f>
        <v>Faktura VAT</v>
      </c>
      <c r="H2172" s="2" t="str">
        <f>TRIM(Table1[[#This Row],[Magazyn]])</f>
        <v>Apteka Szpitalna</v>
      </c>
      <c r="I2172" s="2" t="str">
        <f>TRIM(Table1[[#This Row],[Umowa]])</f>
        <v>UM-VIT-01</v>
      </c>
      <c r="J2172" s="2" t="b">
        <f>ISTEXT(Table14[[#This Row],[Data_Wystawienia]])</f>
        <v>0</v>
      </c>
      <c r="K2172" s="2">
        <f>VALUE(SUBSTITUTE(Table14[[#This Row],[Wartość]],".",","))</f>
        <v>10552.76</v>
      </c>
      <c r="L21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2" s="2" t="str">
        <f>IF(Table14[[#This Row],[Umowa]]="","Poza umową","Z umowy")</f>
        <v>Z umowy</v>
      </c>
      <c r="N2172" s="2">
        <f>YEAR(Table14[[#This Row],[Data_Wystawienia]])</f>
        <v>2024</v>
      </c>
      <c r="O2172" s="2" t="str">
        <f>TEXT(Table14[[#This Row],[Data_Wystawienia]],"rrrr-mm")</f>
        <v>2024-03</v>
      </c>
      <c r="P2172" s="2">
        <v>1</v>
      </c>
    </row>
    <row r="2173" spans="1:16" x14ac:dyDescent="0.3">
      <c r="A2173" s="2" t="str">
        <f>TRIM(Table1[[#This Row],[Numer_FV]])</f>
        <v>FV/M/5124/P/24</v>
      </c>
      <c r="B2173" s="2" t="str">
        <f>TRIM(Table1[[#This Row],[Numer_PZ]])</f>
        <v>PZ/802171</v>
      </c>
      <c r="C2173" s="2" t="str">
        <f>TRIM(Table1[[#This Row],[Dostawca]])</f>
        <v>MedicaPharm</v>
      </c>
      <c r="D2173" s="3">
        <v>45368</v>
      </c>
      <c r="E2173" s="4" t="s">
        <v>6416</v>
      </c>
      <c r="F2173" s="2" t="str">
        <f>TRIM(Table1[[#This Row],[Status]])</f>
        <v>Zaakceptowana</v>
      </c>
      <c r="G2173" s="2" t="str">
        <f>TRIM(Table1[[#This Row],[Typ]])</f>
        <v>Faktura VAT</v>
      </c>
      <c r="H2173" s="2" t="str">
        <f>TRIM(Table1[[#This Row],[Magazyn]])</f>
        <v>Apteka Szpitalna</v>
      </c>
      <c r="I2173" s="2" t="str">
        <f>TRIM(Table1[[#This Row],[Umowa]])</f>
        <v>UM-MED-02</v>
      </c>
      <c r="J2173" s="2" t="b">
        <f>ISTEXT(Table14[[#This Row],[Data_Wystawienia]])</f>
        <v>0</v>
      </c>
      <c r="K2173" s="2">
        <f>VALUE(SUBSTITUTE(Table14[[#This Row],[Wartość]],".",","))</f>
        <v>8487.06</v>
      </c>
      <c r="L21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3" s="2" t="str">
        <f>IF(Table14[[#This Row],[Umowa]]="","Poza umową","Z umowy")</f>
        <v>Z umowy</v>
      </c>
      <c r="N2173" s="2">
        <f>YEAR(Table14[[#This Row],[Data_Wystawienia]])</f>
        <v>2024</v>
      </c>
      <c r="O2173" s="2" t="str">
        <f>TEXT(Table14[[#This Row],[Data_Wystawienia]],"rrrr-mm")</f>
        <v>2024-03</v>
      </c>
      <c r="P2173" s="2">
        <v>1</v>
      </c>
    </row>
    <row r="2174" spans="1:16" x14ac:dyDescent="0.3">
      <c r="A2174" s="2" t="str">
        <f>TRIM(Table1[[#This Row],[Numer_FV]])</f>
        <v>FV/46/PP/2913/24</v>
      </c>
      <c r="B2174" s="2" t="str">
        <f>TRIM(Table1[[#This Row],[Numer_PZ]])</f>
        <v>PZ/802172</v>
      </c>
      <c r="C2174" s="2" t="str">
        <f>TRIM(Table1[[#This Row],[Dostawca]])</f>
        <v>PharmaPlus</v>
      </c>
      <c r="D2174" s="3">
        <v>45368</v>
      </c>
      <c r="E2174" s="4" t="s">
        <v>6419</v>
      </c>
      <c r="F2174" s="2" t="str">
        <f>TRIM(Table1[[#This Row],[Status]])</f>
        <v>Zaakceptowana</v>
      </c>
      <c r="G2174" s="2" t="str">
        <f>TRIM(Table1[[#This Row],[Typ]])</f>
        <v>Faktura VAT</v>
      </c>
      <c r="H2174" s="2" t="str">
        <f>TRIM(Table1[[#This Row],[Magazyn]])</f>
        <v>Apteka Szpitalna</v>
      </c>
      <c r="I2174" s="2" t="str">
        <f>TRIM(Table1[[#This Row],[Umowa]])</f>
        <v>UM-PHA-02</v>
      </c>
      <c r="J2174" s="2" t="b">
        <f>ISTEXT(Table14[[#This Row],[Data_Wystawienia]])</f>
        <v>0</v>
      </c>
      <c r="K2174" s="2">
        <f>VALUE(SUBSTITUTE(Table14[[#This Row],[Wartość]],".",","))</f>
        <v>14045.82</v>
      </c>
      <c r="L21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4" s="2" t="str">
        <f>IF(Table14[[#This Row],[Umowa]]="","Poza umową","Z umowy")</f>
        <v>Z umowy</v>
      </c>
      <c r="N2174" s="2">
        <f>YEAR(Table14[[#This Row],[Data_Wystawienia]])</f>
        <v>2024</v>
      </c>
      <c r="O2174" s="2" t="str">
        <f>TEXT(Table14[[#This Row],[Data_Wystawienia]],"rrrr-mm")</f>
        <v>2024-03</v>
      </c>
      <c r="P2174" s="2">
        <v>1</v>
      </c>
    </row>
    <row r="2175" spans="1:16" x14ac:dyDescent="0.3">
      <c r="A2175" s="2" t="str">
        <f>TRIM(Table1[[#This Row],[Numer_FV]])</f>
        <v>FV/M/6686/P/24</v>
      </c>
      <c r="B2175" s="2" t="str">
        <f>TRIM(Table1[[#This Row],[Numer_PZ]])</f>
        <v>PZ/802173</v>
      </c>
      <c r="C2175" s="2" t="str">
        <f>TRIM(Table1[[#This Row],[Dostawca]])</f>
        <v>MedicaPharm</v>
      </c>
      <c r="D2175" s="3">
        <v>45368</v>
      </c>
      <c r="E2175" s="4" t="s">
        <v>6422</v>
      </c>
      <c r="F2175" s="2" t="str">
        <f>TRIM(Table1[[#This Row],[Status]])</f>
        <v>Zaakceptowana</v>
      </c>
      <c r="G2175" s="2" t="str">
        <f>TRIM(Table1[[#This Row],[Typ]])</f>
        <v>Faktura VAT</v>
      </c>
      <c r="H2175" s="2" t="str">
        <f>TRIM(Table1[[#This Row],[Magazyn]])</f>
        <v>Apteka Szpitalna</v>
      </c>
      <c r="I2175" s="2" t="str">
        <f>TRIM(Table1[[#This Row],[Umowa]])</f>
        <v>UM-MED-01</v>
      </c>
      <c r="J2175" s="2" t="b">
        <f>ISTEXT(Table14[[#This Row],[Data_Wystawienia]])</f>
        <v>0</v>
      </c>
      <c r="K2175" s="2">
        <f>VALUE(SUBSTITUTE(Table14[[#This Row],[Wartość]],".",","))</f>
        <v>18775.93</v>
      </c>
      <c r="L21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5" s="2" t="str">
        <f>IF(Table14[[#This Row],[Umowa]]="","Poza umową","Z umowy")</f>
        <v>Z umowy</v>
      </c>
      <c r="N2175" s="2">
        <f>YEAR(Table14[[#This Row],[Data_Wystawienia]])</f>
        <v>2024</v>
      </c>
      <c r="O2175" s="2" t="str">
        <f>TEXT(Table14[[#This Row],[Data_Wystawienia]],"rrrr-mm")</f>
        <v>2024-03</v>
      </c>
      <c r="P2175" s="2">
        <v>1</v>
      </c>
    </row>
    <row r="2176" spans="1:16" x14ac:dyDescent="0.3">
      <c r="A2176" s="2" t="str">
        <f>TRIM(Table1[[#This Row],[Numer_FV]])</f>
        <v>FV/POL/29829/2024</v>
      </c>
      <c r="B2176" s="2" t="str">
        <f>TRIM(Table1[[#This Row],[Numer_PZ]])</f>
        <v>PZ/802174</v>
      </c>
      <c r="C2176" s="2" t="str">
        <f>TRIM(Table1[[#This Row],[Dostawca]])</f>
        <v>Polmedica</v>
      </c>
      <c r="D2176" s="3">
        <v>45368</v>
      </c>
      <c r="E2176" s="4" t="s">
        <v>6425</v>
      </c>
      <c r="F2176" s="2" t="str">
        <f>TRIM(Table1[[#This Row],[Status]])</f>
        <v>Zaakceptowana</v>
      </c>
      <c r="G2176" s="2" t="str">
        <f>TRIM(Table1[[#This Row],[Typ]])</f>
        <v>Faktura VAT</v>
      </c>
      <c r="H2176" s="2" t="str">
        <f>TRIM(Table1[[#This Row],[Magazyn]])</f>
        <v>Apteka Szpitalna</v>
      </c>
      <c r="I2176" s="2" t="str">
        <f>TRIM(Table1[[#This Row],[Umowa]])</f>
        <v>UM-POL-01</v>
      </c>
      <c r="J2176" s="2" t="b">
        <f>ISTEXT(Table14[[#This Row],[Data_Wystawienia]])</f>
        <v>0</v>
      </c>
      <c r="K2176" s="2">
        <f>VALUE(SUBSTITUTE(Table14[[#This Row],[Wartość]],".",","))</f>
        <v>18760.580000000002</v>
      </c>
      <c r="L21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6" s="2" t="str">
        <f>IF(Table14[[#This Row],[Umowa]]="","Poza umową","Z umowy")</f>
        <v>Z umowy</v>
      </c>
      <c r="N2176" s="2">
        <f>YEAR(Table14[[#This Row],[Data_Wystawienia]])</f>
        <v>2024</v>
      </c>
      <c r="O2176" s="2" t="str">
        <f>TEXT(Table14[[#This Row],[Data_Wystawienia]],"rrrr-mm")</f>
        <v>2024-03</v>
      </c>
      <c r="P2176" s="2">
        <v>1</v>
      </c>
    </row>
    <row r="2177" spans="1:16" x14ac:dyDescent="0.3">
      <c r="A2177" s="2" t="str">
        <f>TRIM(Table1[[#This Row],[Numer_FV]])</f>
        <v>FV/M/5408/P/24</v>
      </c>
      <c r="B2177" s="2" t="str">
        <f>TRIM(Table1[[#This Row],[Numer_PZ]])</f>
        <v>PZ/802175</v>
      </c>
      <c r="C2177" s="2" t="str">
        <f>TRIM(Table1[[#This Row],[Dostawca]])</f>
        <v>MedicaPharm</v>
      </c>
      <c r="D2177" s="3">
        <v>45368</v>
      </c>
      <c r="E2177" s="4" t="s">
        <v>6428</v>
      </c>
      <c r="F2177" s="2" t="str">
        <f>TRIM(Table1[[#This Row],[Status]])</f>
        <v>Zaakceptowana</v>
      </c>
      <c r="G2177" s="2" t="str">
        <f>TRIM(Table1[[#This Row],[Typ]])</f>
        <v>Faktura VAT</v>
      </c>
      <c r="H2177" s="2" t="str">
        <f>TRIM(Table1[[#This Row],[Magazyn]])</f>
        <v>Apteka Szpitalna</v>
      </c>
      <c r="I2177" s="2" t="str">
        <f>TRIM(Table1[[#This Row],[Umowa]])</f>
        <v/>
      </c>
      <c r="J2177" s="2" t="b">
        <f>ISTEXT(Table14[[#This Row],[Data_Wystawienia]])</f>
        <v>0</v>
      </c>
      <c r="K2177" s="2">
        <f>VALUE(SUBSTITUTE(Table14[[#This Row],[Wartość]],".",","))</f>
        <v>14939.5</v>
      </c>
      <c r="L21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7" s="2" t="str">
        <f>IF(Table14[[#This Row],[Umowa]]="","Poza umową","Z umowy")</f>
        <v>Poza umową</v>
      </c>
      <c r="N2177" s="2">
        <f>YEAR(Table14[[#This Row],[Data_Wystawienia]])</f>
        <v>2024</v>
      </c>
      <c r="O2177" s="2" t="str">
        <f>TEXT(Table14[[#This Row],[Data_Wystawienia]],"rrrr-mm")</f>
        <v>2024-03</v>
      </c>
      <c r="P2177" s="2">
        <v>1</v>
      </c>
    </row>
    <row r="2178" spans="1:16" x14ac:dyDescent="0.3">
      <c r="A2178" s="2" t="str">
        <f>TRIM(Table1[[#This Row],[Numer_FV]])</f>
        <v>FV/CENFA/173142/24</v>
      </c>
      <c r="B2178" s="2" t="str">
        <f>TRIM(Table1[[#This Row],[Numer_PZ]])</f>
        <v>PZ/802176</v>
      </c>
      <c r="C2178" s="2" t="str">
        <f>TRIM(Table1[[#This Row],[Dostawca]])</f>
        <v>CentrumFarm</v>
      </c>
      <c r="D2178" s="3">
        <v>45368</v>
      </c>
      <c r="E2178" s="4" t="s">
        <v>6431</v>
      </c>
      <c r="F2178" s="2" t="str">
        <f>TRIM(Table1[[#This Row],[Status]])</f>
        <v>Zaakceptowana</v>
      </c>
      <c r="G2178" s="2" t="str">
        <f>TRIM(Table1[[#This Row],[Typ]])</f>
        <v>Faktura VAT</v>
      </c>
      <c r="H2178" s="2" t="str">
        <f>TRIM(Table1[[#This Row],[Magazyn]])</f>
        <v>Apteka Szpitalna</v>
      </c>
      <c r="I2178" s="2" t="str">
        <f>TRIM(Table1[[#This Row],[Umowa]])</f>
        <v>UM-CEN-02</v>
      </c>
      <c r="J2178" s="2" t="b">
        <f>ISTEXT(Table14[[#This Row],[Data_Wystawienia]])</f>
        <v>0</v>
      </c>
      <c r="K2178" s="2">
        <f>VALUE(SUBSTITUTE(Table14[[#This Row],[Wartość]],".",","))</f>
        <v>17638.23</v>
      </c>
      <c r="L21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8" s="2" t="str">
        <f>IF(Table14[[#This Row],[Umowa]]="","Poza umową","Z umowy")</f>
        <v>Z umowy</v>
      </c>
      <c r="N2178" s="2">
        <f>YEAR(Table14[[#This Row],[Data_Wystawienia]])</f>
        <v>2024</v>
      </c>
      <c r="O2178" s="2" t="str">
        <f>TEXT(Table14[[#This Row],[Data_Wystawienia]],"rrrr-mm")</f>
        <v>2024-03</v>
      </c>
      <c r="P2178" s="2">
        <v>1</v>
      </c>
    </row>
    <row r="2179" spans="1:16" x14ac:dyDescent="0.3">
      <c r="A2179" s="2" t="str">
        <f>TRIM(Table1[[#This Row],[Numer_FV]])</f>
        <v>FV/54/SAL/24</v>
      </c>
      <c r="B2179" s="2" t="str">
        <f>TRIM(Table1[[#This Row],[Numer_PZ]])</f>
        <v>PZ/802177</v>
      </c>
      <c r="C2179" s="2" t="str">
        <f>TRIM(Table1[[#This Row],[Dostawca]])</f>
        <v>SalusHurt</v>
      </c>
      <c r="D2179" s="3">
        <v>45369</v>
      </c>
      <c r="E2179" s="4" t="s">
        <v>6433</v>
      </c>
      <c r="F2179" s="2" t="str">
        <f>TRIM(Table1[[#This Row],[Status]])</f>
        <v>Zaakceptowana</v>
      </c>
      <c r="G2179" s="2" t="str">
        <f>TRIM(Table1[[#This Row],[Typ]])</f>
        <v>Faktura VAT</v>
      </c>
      <c r="H2179" s="2" t="str">
        <f>TRIM(Table1[[#This Row],[Magazyn]])</f>
        <v>Apteka Szpitalna</v>
      </c>
      <c r="I2179" s="2" t="str">
        <f>TRIM(Table1[[#This Row],[Umowa]])</f>
        <v>UM-SAL-02</v>
      </c>
      <c r="J2179" s="2" t="b">
        <f>ISTEXT(Table14[[#This Row],[Data_Wystawienia]])</f>
        <v>0</v>
      </c>
      <c r="K2179" s="2">
        <f>VALUE(SUBSTITUTE(Table14[[#This Row],[Wartość]],".",","))</f>
        <v>18420.12</v>
      </c>
      <c r="L21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79" s="2" t="str">
        <f>IF(Table14[[#This Row],[Umowa]]="","Poza umową","Z umowy")</f>
        <v>Z umowy</v>
      </c>
      <c r="N2179" s="2">
        <f>YEAR(Table14[[#This Row],[Data_Wystawienia]])</f>
        <v>2024</v>
      </c>
      <c r="O2179" s="2" t="str">
        <f>TEXT(Table14[[#This Row],[Data_Wystawienia]],"rrrr-mm")</f>
        <v>2024-03</v>
      </c>
      <c r="P2179" s="2">
        <v>1</v>
      </c>
    </row>
    <row r="2180" spans="1:16" x14ac:dyDescent="0.3">
      <c r="A2180" s="2" t="str">
        <f>TRIM(Table1[[#This Row],[Numer_FV]])</f>
        <v>FV/CENFA/783244/24</v>
      </c>
      <c r="B2180" s="2" t="str">
        <f>TRIM(Table1[[#This Row],[Numer_PZ]])</f>
        <v>PZ/802178</v>
      </c>
      <c r="C2180" s="2" t="str">
        <f>TRIM(Table1[[#This Row],[Dostawca]])</f>
        <v>CentrumFarm</v>
      </c>
      <c r="D2180" s="3">
        <v>45369</v>
      </c>
      <c r="E2180" s="4" t="s">
        <v>6436</v>
      </c>
      <c r="F2180" s="2" t="str">
        <f>TRIM(Table1[[#This Row],[Status]])</f>
        <v>Zaakceptowana</v>
      </c>
      <c r="G2180" s="2" t="str">
        <f>TRIM(Table1[[#This Row],[Typ]])</f>
        <v>Faktura VAT</v>
      </c>
      <c r="H2180" s="2" t="str">
        <f>TRIM(Table1[[#This Row],[Magazyn]])</f>
        <v>Apteka Szpitalna</v>
      </c>
      <c r="I2180" s="2" t="str">
        <f>TRIM(Table1[[#This Row],[Umowa]])</f>
        <v>UM-CEN-01</v>
      </c>
      <c r="J2180" s="2" t="b">
        <f>ISTEXT(Table14[[#This Row],[Data_Wystawienia]])</f>
        <v>0</v>
      </c>
      <c r="K2180" s="2">
        <f>VALUE(SUBSTITUTE(Table14[[#This Row],[Wartość]],".",","))</f>
        <v>22474.97</v>
      </c>
      <c r="L21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0" s="2" t="str">
        <f>IF(Table14[[#This Row],[Umowa]]="","Poza umową","Z umowy")</f>
        <v>Z umowy</v>
      </c>
      <c r="N2180" s="2">
        <f>YEAR(Table14[[#This Row],[Data_Wystawienia]])</f>
        <v>2024</v>
      </c>
      <c r="O2180" s="2" t="str">
        <f>TEXT(Table14[[#This Row],[Data_Wystawienia]],"rrrr-mm")</f>
        <v>2024-03</v>
      </c>
      <c r="P2180" s="2">
        <v>1</v>
      </c>
    </row>
    <row r="2181" spans="1:16" x14ac:dyDescent="0.3">
      <c r="A2181" s="2" t="str">
        <f>TRIM(Table1[[#This Row],[Numer_FV]])</f>
        <v>FV/80/SAL/24</v>
      </c>
      <c r="B2181" s="2" t="str">
        <f>TRIM(Table1[[#This Row],[Numer_PZ]])</f>
        <v>PZ/802179</v>
      </c>
      <c r="C2181" s="2" t="str">
        <f>TRIM(Table1[[#This Row],[Dostawca]])</f>
        <v>SalusHurt</v>
      </c>
      <c r="D2181" s="3">
        <v>45371</v>
      </c>
      <c r="E2181" s="4" t="s">
        <v>6439</v>
      </c>
      <c r="F2181" s="2" t="str">
        <f>TRIM(Table1[[#This Row],[Status]])</f>
        <v>Zaakceptowana</v>
      </c>
      <c r="G2181" s="2" t="str">
        <f>TRIM(Table1[[#This Row],[Typ]])</f>
        <v>Faktura VAT</v>
      </c>
      <c r="H2181" s="2" t="str">
        <f>TRIM(Table1[[#This Row],[Magazyn]])</f>
        <v>Apteka Szpitalna</v>
      </c>
      <c r="I2181" s="2" t="str">
        <f>TRIM(Table1[[#This Row],[Umowa]])</f>
        <v>UM-SAL-01</v>
      </c>
      <c r="J2181" s="2" t="b">
        <f>ISTEXT(Table14[[#This Row],[Data_Wystawienia]])</f>
        <v>0</v>
      </c>
      <c r="K2181" s="2">
        <f>VALUE(SUBSTITUTE(Table14[[#This Row],[Wartość]],".",","))</f>
        <v>15964.28</v>
      </c>
      <c r="L21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1" s="2" t="str">
        <f>IF(Table14[[#This Row],[Umowa]]="","Poza umową","Z umowy")</f>
        <v>Z umowy</v>
      </c>
      <c r="N2181" s="2">
        <f>YEAR(Table14[[#This Row],[Data_Wystawienia]])</f>
        <v>2024</v>
      </c>
      <c r="O2181" s="2" t="str">
        <f>TEXT(Table14[[#This Row],[Data_Wystawienia]],"rrrr-mm")</f>
        <v>2024-03</v>
      </c>
      <c r="P2181" s="2">
        <v>1</v>
      </c>
    </row>
    <row r="2182" spans="1:16" x14ac:dyDescent="0.3">
      <c r="A2182" s="2" t="str">
        <f>TRIM(Table1[[#This Row],[Numer_FV]])</f>
        <v>FV/POL/83329/2024</v>
      </c>
      <c r="B2182" s="2" t="str">
        <f>TRIM(Table1[[#This Row],[Numer_PZ]])</f>
        <v>PZ/802180</v>
      </c>
      <c r="C2182" s="2" t="str">
        <f>TRIM(Table1[[#This Row],[Dostawca]])</f>
        <v>Polmedica</v>
      </c>
      <c r="D2182" s="3">
        <v>45372</v>
      </c>
      <c r="E2182" s="4" t="s">
        <v>6442</v>
      </c>
      <c r="F2182" s="2" t="str">
        <f>TRIM(Table1[[#This Row],[Status]])</f>
        <v>Zaakceptowana</v>
      </c>
      <c r="G2182" s="2" t="str">
        <f>TRIM(Table1[[#This Row],[Typ]])</f>
        <v>Faktura VAT</v>
      </c>
      <c r="H2182" s="2" t="str">
        <f>TRIM(Table1[[#This Row],[Magazyn]])</f>
        <v>Apteka Szpitalna</v>
      </c>
      <c r="I2182" s="2" t="str">
        <f>TRIM(Table1[[#This Row],[Umowa]])</f>
        <v/>
      </c>
      <c r="J2182" s="2" t="b">
        <f>ISTEXT(Table14[[#This Row],[Data_Wystawienia]])</f>
        <v>0</v>
      </c>
      <c r="K2182" s="2">
        <f>VALUE(SUBSTITUTE(Table14[[#This Row],[Wartość]],".",","))</f>
        <v>16509.830000000002</v>
      </c>
      <c r="L21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2" s="2" t="str">
        <f>IF(Table14[[#This Row],[Umowa]]="","Poza umową","Z umowy")</f>
        <v>Poza umową</v>
      </c>
      <c r="N2182" s="2">
        <f>YEAR(Table14[[#This Row],[Data_Wystawienia]])</f>
        <v>2024</v>
      </c>
      <c r="O2182" s="2" t="str">
        <f>TEXT(Table14[[#This Row],[Data_Wystawienia]],"rrrr-mm")</f>
        <v>2024-03</v>
      </c>
      <c r="P2182" s="2">
        <v>1</v>
      </c>
    </row>
    <row r="2183" spans="1:16" x14ac:dyDescent="0.3">
      <c r="A2183" s="2" t="str">
        <f>TRIM(Table1[[#This Row],[Numer_FV]])</f>
        <v>FV/90/PP/9973/24</v>
      </c>
      <c r="B2183" s="2" t="str">
        <f>TRIM(Table1[[#This Row],[Numer_PZ]])</f>
        <v>PZ/802181</v>
      </c>
      <c r="C2183" s="2" t="str">
        <f>TRIM(Table1[[#This Row],[Dostawca]])</f>
        <v>PharmaPlus</v>
      </c>
      <c r="D2183" s="3">
        <v>45372</v>
      </c>
      <c r="E2183" s="4" t="s">
        <v>6445</v>
      </c>
      <c r="F2183" s="2" t="str">
        <f>TRIM(Table1[[#This Row],[Status]])</f>
        <v>Zaakceptowana</v>
      </c>
      <c r="G2183" s="2" t="str">
        <f>TRIM(Table1[[#This Row],[Typ]])</f>
        <v>Faktura VAT</v>
      </c>
      <c r="H2183" s="2" t="str">
        <f>TRIM(Table1[[#This Row],[Magazyn]])</f>
        <v>Apteka Szpitalna</v>
      </c>
      <c r="I2183" s="2" t="str">
        <f>TRIM(Table1[[#This Row],[Umowa]])</f>
        <v>UM-PHA-02</v>
      </c>
      <c r="J2183" s="2" t="b">
        <f>ISTEXT(Table14[[#This Row],[Data_Wystawienia]])</f>
        <v>0</v>
      </c>
      <c r="K2183" s="2">
        <f>VALUE(SUBSTITUTE(Table14[[#This Row],[Wartość]],".",","))</f>
        <v>21186.04</v>
      </c>
      <c r="L21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3" s="2" t="str">
        <f>IF(Table14[[#This Row],[Umowa]]="","Poza umową","Z umowy")</f>
        <v>Z umowy</v>
      </c>
      <c r="N2183" s="2">
        <f>YEAR(Table14[[#This Row],[Data_Wystawienia]])</f>
        <v>2024</v>
      </c>
      <c r="O2183" s="2" t="str">
        <f>TEXT(Table14[[#This Row],[Data_Wystawienia]],"rrrr-mm")</f>
        <v>2024-03</v>
      </c>
      <c r="P2183" s="2">
        <v>1</v>
      </c>
    </row>
    <row r="2184" spans="1:16" x14ac:dyDescent="0.3">
      <c r="A2184" s="2" t="str">
        <f>TRIM(Table1[[#This Row],[Numer_FV]])</f>
        <v>FV/1912/NOVA/24</v>
      </c>
      <c r="B2184" s="2" t="str">
        <f>TRIM(Table1[[#This Row],[Numer_PZ]])</f>
        <v>PZ/802182</v>
      </c>
      <c r="C2184" s="2" t="str">
        <f>TRIM(Table1[[#This Row],[Dostawca]])</f>
        <v>NovaLek</v>
      </c>
      <c r="D2184" s="3">
        <v>45372</v>
      </c>
      <c r="E2184" s="4" t="s">
        <v>6448</v>
      </c>
      <c r="F2184" s="2" t="str">
        <f>TRIM(Table1[[#This Row],[Status]])</f>
        <v>Zaakceptowana</v>
      </c>
      <c r="G2184" s="2" t="str">
        <f>TRIM(Table1[[#This Row],[Typ]])</f>
        <v>Faktura VAT</v>
      </c>
      <c r="H2184" s="2" t="str">
        <f>TRIM(Table1[[#This Row],[Magazyn]])</f>
        <v>Apteka Szpitalna</v>
      </c>
      <c r="I2184" s="2" t="str">
        <f>TRIM(Table1[[#This Row],[Umowa]])</f>
        <v>UM-NOV-03</v>
      </c>
      <c r="J2184" s="2" t="b">
        <f>ISTEXT(Table14[[#This Row],[Data_Wystawienia]])</f>
        <v>0</v>
      </c>
      <c r="K2184" s="2">
        <f>VALUE(SUBSTITUTE(Table14[[#This Row],[Wartość]],".",","))</f>
        <v>14711.41</v>
      </c>
      <c r="L21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4" s="2" t="str">
        <f>IF(Table14[[#This Row],[Umowa]]="","Poza umową","Z umowy")</f>
        <v>Z umowy</v>
      </c>
      <c r="N2184" s="2">
        <f>YEAR(Table14[[#This Row],[Data_Wystawienia]])</f>
        <v>2024</v>
      </c>
      <c r="O2184" s="2" t="str">
        <f>TEXT(Table14[[#This Row],[Data_Wystawienia]],"rrrr-mm")</f>
        <v>2024-03</v>
      </c>
      <c r="P2184" s="2">
        <v>1</v>
      </c>
    </row>
    <row r="2185" spans="1:16" x14ac:dyDescent="0.3">
      <c r="A2185" s="2" t="str">
        <f>TRIM(Table1[[#This Row],[Numer_FV]])</f>
        <v>FV/14/SAL/24</v>
      </c>
      <c r="B2185" s="2" t="str">
        <f>TRIM(Table1[[#This Row],[Numer_PZ]])</f>
        <v>PZ/802183</v>
      </c>
      <c r="C2185" s="2" t="str">
        <f>TRIM(Table1[[#This Row],[Dostawca]])</f>
        <v>SalusHurt</v>
      </c>
      <c r="D2185" s="3">
        <v>45372</v>
      </c>
      <c r="E2185" s="4" t="s">
        <v>6451</v>
      </c>
      <c r="F2185" s="2" t="str">
        <f>TRIM(Table1[[#This Row],[Status]])</f>
        <v>Zaakceptowana</v>
      </c>
      <c r="G2185" s="2" t="str">
        <f>TRIM(Table1[[#This Row],[Typ]])</f>
        <v>Faktura VAT</v>
      </c>
      <c r="H2185" s="2" t="str">
        <f>TRIM(Table1[[#This Row],[Magazyn]])</f>
        <v>Apteka Szpitalna</v>
      </c>
      <c r="I2185" s="2" t="str">
        <f>TRIM(Table1[[#This Row],[Umowa]])</f>
        <v>UM-SAL-02</v>
      </c>
      <c r="J2185" s="2" t="b">
        <f>ISTEXT(Table14[[#This Row],[Data_Wystawienia]])</f>
        <v>0</v>
      </c>
      <c r="K2185" s="2">
        <f>VALUE(SUBSTITUTE(Table14[[#This Row],[Wartość]],".",","))</f>
        <v>19902.57</v>
      </c>
      <c r="L21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5" s="2" t="str">
        <f>IF(Table14[[#This Row],[Umowa]]="","Poza umową","Z umowy")</f>
        <v>Z umowy</v>
      </c>
      <c r="N2185" s="2">
        <f>YEAR(Table14[[#This Row],[Data_Wystawienia]])</f>
        <v>2024</v>
      </c>
      <c r="O2185" s="2" t="str">
        <f>TEXT(Table14[[#This Row],[Data_Wystawienia]],"rrrr-mm")</f>
        <v>2024-03</v>
      </c>
      <c r="P2185" s="2">
        <v>1</v>
      </c>
    </row>
    <row r="2186" spans="1:16" x14ac:dyDescent="0.3">
      <c r="A2186" s="2" t="str">
        <f>TRIM(Table1[[#This Row],[Numer_FV]])</f>
        <v>FV/6056/NOVA/24</v>
      </c>
      <c r="B2186" s="2" t="str">
        <f>TRIM(Table1[[#This Row],[Numer_PZ]])</f>
        <v>PZ/802184</v>
      </c>
      <c r="C2186" s="2" t="str">
        <f>TRIM(Table1[[#This Row],[Dostawca]])</f>
        <v>NovaLek</v>
      </c>
      <c r="D2186" s="3">
        <v>45373</v>
      </c>
      <c r="E2186" s="4" t="s">
        <v>6454</v>
      </c>
      <c r="F2186" s="2" t="str">
        <f>TRIM(Table1[[#This Row],[Status]])</f>
        <v>Zaakceptowana</v>
      </c>
      <c r="G2186" s="2" t="str">
        <f>TRIM(Table1[[#This Row],[Typ]])</f>
        <v>Faktura VAT</v>
      </c>
      <c r="H2186" s="2" t="str">
        <f>TRIM(Table1[[#This Row],[Magazyn]])</f>
        <v>Apteka Szpitalna</v>
      </c>
      <c r="I2186" s="2" t="str">
        <f>TRIM(Table1[[#This Row],[Umowa]])</f>
        <v>UM-NOV-03</v>
      </c>
      <c r="J2186" s="2" t="b">
        <f>ISTEXT(Table14[[#This Row],[Data_Wystawienia]])</f>
        <v>0</v>
      </c>
      <c r="K2186" s="2">
        <f>VALUE(SUBSTITUTE(Table14[[#This Row],[Wartość]],".",","))</f>
        <v>14621.88</v>
      </c>
      <c r="L21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6" s="2" t="str">
        <f>IF(Table14[[#This Row],[Umowa]]="","Poza umową","Z umowy")</f>
        <v>Z umowy</v>
      </c>
      <c r="N2186" s="2">
        <f>YEAR(Table14[[#This Row],[Data_Wystawienia]])</f>
        <v>2024</v>
      </c>
      <c r="O2186" s="2" t="str">
        <f>TEXT(Table14[[#This Row],[Data_Wystawienia]],"rrrr-mm")</f>
        <v>2024-03</v>
      </c>
      <c r="P2186" s="2">
        <v>1</v>
      </c>
    </row>
    <row r="2187" spans="1:16" x14ac:dyDescent="0.3">
      <c r="A2187" s="2" t="str">
        <f>TRIM(Table1[[#This Row],[Numer_FV]])</f>
        <v>FV/1867HM/24</v>
      </c>
      <c r="B2187" s="2" t="str">
        <f>TRIM(Table1[[#This Row],[Numer_PZ]])</f>
        <v>PZ/802185</v>
      </c>
      <c r="C2187" s="2" t="str">
        <f>TRIM(Table1[[#This Row],[Dostawca]])</f>
        <v>HurtMedix</v>
      </c>
      <c r="D2187" s="3">
        <v>45374</v>
      </c>
      <c r="E2187" s="4" t="s">
        <v>6457</v>
      </c>
      <c r="F2187" s="2" t="str">
        <f>TRIM(Table1[[#This Row],[Status]])</f>
        <v>Zaakceptowana</v>
      </c>
      <c r="G2187" s="2" t="str">
        <f>TRIM(Table1[[#This Row],[Typ]])</f>
        <v>Faktura VAT</v>
      </c>
      <c r="H2187" s="2" t="str">
        <f>TRIM(Table1[[#This Row],[Magazyn]])</f>
        <v>Apteka Szpitalna</v>
      </c>
      <c r="I2187" s="2" t="str">
        <f>TRIM(Table1[[#This Row],[Umowa]])</f>
        <v>UM-HUR-02</v>
      </c>
      <c r="J2187" s="2" t="b">
        <f>ISTEXT(Table14[[#This Row],[Data_Wystawienia]])</f>
        <v>0</v>
      </c>
      <c r="K2187" s="2">
        <f>VALUE(SUBSTITUTE(Table14[[#This Row],[Wartość]],".",","))</f>
        <v>10163.74</v>
      </c>
      <c r="L21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7" s="2" t="str">
        <f>IF(Table14[[#This Row],[Umowa]]="","Poza umową","Z umowy")</f>
        <v>Z umowy</v>
      </c>
      <c r="N2187" s="2">
        <f>YEAR(Table14[[#This Row],[Data_Wystawienia]])</f>
        <v>2024</v>
      </c>
      <c r="O2187" s="2" t="str">
        <f>TEXT(Table14[[#This Row],[Data_Wystawienia]],"rrrr-mm")</f>
        <v>2024-03</v>
      </c>
      <c r="P2187" s="2">
        <v>1</v>
      </c>
    </row>
    <row r="2188" spans="1:16" x14ac:dyDescent="0.3">
      <c r="A2188" s="2" t="str">
        <f>TRIM(Table1[[#This Row],[Numer_FV]])</f>
        <v>FV/81890/VDb/2024</v>
      </c>
      <c r="B2188" s="2" t="str">
        <f>TRIM(Table1[[#This Row],[Numer_PZ]])</f>
        <v>PZ/802186</v>
      </c>
      <c r="C2188" s="2" t="str">
        <f>TRIM(Table1[[#This Row],[Dostawca]])</f>
        <v>VitaDistrib</v>
      </c>
      <c r="D2188" s="3">
        <v>45374</v>
      </c>
      <c r="E2188" s="4" t="s">
        <v>6460</v>
      </c>
      <c r="F2188" s="2" t="str">
        <f>TRIM(Table1[[#This Row],[Status]])</f>
        <v>Zaakceptowana</v>
      </c>
      <c r="G2188" s="2" t="str">
        <f>TRIM(Table1[[#This Row],[Typ]])</f>
        <v>Faktura VAT</v>
      </c>
      <c r="H2188" s="2" t="str">
        <f>TRIM(Table1[[#This Row],[Magazyn]])</f>
        <v>Apteka Szpitalna</v>
      </c>
      <c r="I2188" s="2" t="str">
        <f>TRIM(Table1[[#This Row],[Umowa]])</f>
        <v>UM-VIT-01</v>
      </c>
      <c r="J2188" s="2" t="b">
        <f>ISTEXT(Table14[[#This Row],[Data_Wystawienia]])</f>
        <v>0</v>
      </c>
      <c r="K2188" s="2">
        <f>VALUE(SUBSTITUTE(Table14[[#This Row],[Wartość]],".",","))</f>
        <v>12106.08</v>
      </c>
      <c r="L21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8" s="2" t="str">
        <f>IF(Table14[[#This Row],[Umowa]]="","Poza umową","Z umowy")</f>
        <v>Z umowy</v>
      </c>
      <c r="N2188" s="2">
        <f>YEAR(Table14[[#This Row],[Data_Wystawienia]])</f>
        <v>2024</v>
      </c>
      <c r="O2188" s="2" t="str">
        <f>TEXT(Table14[[#This Row],[Data_Wystawienia]],"rrrr-mm")</f>
        <v>2024-03</v>
      </c>
      <c r="P2188" s="2">
        <v>1</v>
      </c>
    </row>
    <row r="2189" spans="1:16" x14ac:dyDescent="0.3">
      <c r="A2189" s="2" t="str">
        <f>TRIM(Table1[[#This Row],[Numer_FV]])</f>
        <v>FV/CENFA/411693/24</v>
      </c>
      <c r="B2189" s="2" t="str">
        <f>TRIM(Table1[[#This Row],[Numer_PZ]])</f>
        <v>PZ/802187</v>
      </c>
      <c r="C2189" s="2" t="str">
        <f>TRIM(Table1[[#This Row],[Dostawca]])</f>
        <v>CentrumFarm</v>
      </c>
      <c r="D2189" s="3">
        <v>45375</v>
      </c>
      <c r="E2189" s="4" t="s">
        <v>6463</v>
      </c>
      <c r="F2189" s="2" t="str">
        <f>TRIM(Table1[[#This Row],[Status]])</f>
        <v>Zaakceptowana</v>
      </c>
      <c r="G2189" s="2" t="str">
        <f>TRIM(Table1[[#This Row],[Typ]])</f>
        <v>Faktura VAT</v>
      </c>
      <c r="H2189" s="2" t="str">
        <f>TRIM(Table1[[#This Row],[Magazyn]])</f>
        <v>Apteka Szpitalna</v>
      </c>
      <c r="I2189" s="2" t="str">
        <f>TRIM(Table1[[#This Row],[Umowa]])</f>
        <v/>
      </c>
      <c r="J2189" s="2" t="b">
        <f>ISTEXT(Table14[[#This Row],[Data_Wystawienia]])</f>
        <v>0</v>
      </c>
      <c r="K2189" s="2">
        <f>VALUE(SUBSTITUTE(Table14[[#This Row],[Wartość]],".",","))</f>
        <v>14711.81</v>
      </c>
      <c r="L21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89" s="2" t="str">
        <f>IF(Table14[[#This Row],[Umowa]]="","Poza umową","Z umowy")</f>
        <v>Poza umową</v>
      </c>
      <c r="N2189" s="2">
        <f>YEAR(Table14[[#This Row],[Data_Wystawienia]])</f>
        <v>2024</v>
      </c>
      <c r="O2189" s="2" t="str">
        <f>TEXT(Table14[[#This Row],[Data_Wystawienia]],"rrrr-mm")</f>
        <v>2024-03</v>
      </c>
      <c r="P2189" s="2">
        <v>1</v>
      </c>
    </row>
    <row r="2190" spans="1:16" x14ac:dyDescent="0.3">
      <c r="A2190" s="2" t="str">
        <f>TRIM(Table1[[#This Row],[Numer_FV]])</f>
        <v>FV/50836/VDb/2024</v>
      </c>
      <c r="B2190" s="2" t="str">
        <f>TRIM(Table1[[#This Row],[Numer_PZ]])</f>
        <v>PZ/802188</v>
      </c>
      <c r="C2190" s="2" t="str">
        <f>TRIM(Table1[[#This Row],[Dostawca]])</f>
        <v>VitaDistrib</v>
      </c>
      <c r="D2190" s="3">
        <v>45376</v>
      </c>
      <c r="E2190" s="4" t="s">
        <v>6466</v>
      </c>
      <c r="F2190" s="2" t="str">
        <f>TRIM(Table1[[#This Row],[Status]])</f>
        <v>Zaakceptowana</v>
      </c>
      <c r="G2190" s="2" t="str">
        <f>TRIM(Table1[[#This Row],[Typ]])</f>
        <v>Faktura VAT</v>
      </c>
      <c r="H2190" s="2" t="str">
        <f>TRIM(Table1[[#This Row],[Magazyn]])</f>
        <v>Apteka Szpitalna</v>
      </c>
      <c r="I2190" s="2" t="str">
        <f>TRIM(Table1[[#This Row],[Umowa]])</f>
        <v/>
      </c>
      <c r="J2190" s="2" t="b">
        <f>ISTEXT(Table14[[#This Row],[Data_Wystawienia]])</f>
        <v>0</v>
      </c>
      <c r="K2190" s="2">
        <f>VALUE(SUBSTITUTE(Table14[[#This Row],[Wartość]],".",","))</f>
        <v>12155.86</v>
      </c>
      <c r="L21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0" s="2" t="str">
        <f>IF(Table14[[#This Row],[Umowa]]="","Poza umową","Z umowy")</f>
        <v>Poza umową</v>
      </c>
      <c r="N2190" s="2">
        <f>YEAR(Table14[[#This Row],[Data_Wystawienia]])</f>
        <v>2024</v>
      </c>
      <c r="O2190" s="2" t="str">
        <f>TEXT(Table14[[#This Row],[Data_Wystawienia]],"rrrr-mm")</f>
        <v>2024-03</v>
      </c>
      <c r="P2190" s="2">
        <v>1</v>
      </c>
    </row>
    <row r="2191" spans="1:16" x14ac:dyDescent="0.3">
      <c r="A2191" s="2" t="str">
        <f>TRIM(Table1[[#This Row],[Numer_FV]])</f>
        <v>FV/21328/VDb/2024</v>
      </c>
      <c r="B2191" s="2" t="str">
        <f>TRIM(Table1[[#This Row],[Numer_PZ]])</f>
        <v>PZ/802189</v>
      </c>
      <c r="C2191" s="2" t="str">
        <f>TRIM(Table1[[#This Row],[Dostawca]])</f>
        <v>VitaDistrib</v>
      </c>
      <c r="D2191" s="3">
        <v>45376</v>
      </c>
      <c r="E2191" s="4" t="s">
        <v>6469</v>
      </c>
      <c r="F2191" s="2" t="str">
        <f>TRIM(Table1[[#This Row],[Status]])</f>
        <v>Zaakceptowana</v>
      </c>
      <c r="G2191" s="2" t="str">
        <f>TRIM(Table1[[#This Row],[Typ]])</f>
        <v>Faktura VAT</v>
      </c>
      <c r="H2191" s="2" t="str">
        <f>TRIM(Table1[[#This Row],[Magazyn]])</f>
        <v>Apteka Szpitalna</v>
      </c>
      <c r="I2191" s="2" t="str">
        <f>TRIM(Table1[[#This Row],[Umowa]])</f>
        <v>UM-VIT-01</v>
      </c>
      <c r="J2191" s="2" t="b">
        <f>ISTEXT(Table14[[#This Row],[Data_Wystawienia]])</f>
        <v>0</v>
      </c>
      <c r="K2191" s="2">
        <f>VALUE(SUBSTITUTE(Table14[[#This Row],[Wartość]],".",","))</f>
        <v>15998.6</v>
      </c>
      <c r="L21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1" s="2" t="str">
        <f>IF(Table14[[#This Row],[Umowa]]="","Poza umową","Z umowy")</f>
        <v>Z umowy</v>
      </c>
      <c r="N2191" s="2">
        <f>YEAR(Table14[[#This Row],[Data_Wystawienia]])</f>
        <v>2024</v>
      </c>
      <c r="O2191" s="2" t="str">
        <f>TEXT(Table14[[#This Row],[Data_Wystawienia]],"rrrr-mm")</f>
        <v>2024-03</v>
      </c>
      <c r="P2191" s="2">
        <v>1</v>
      </c>
    </row>
    <row r="2192" spans="1:16" x14ac:dyDescent="0.3">
      <c r="A2192" s="2" t="str">
        <f>TRIM(Table1[[#This Row],[Numer_FV]])</f>
        <v>FV/6368HM/24</v>
      </c>
      <c r="B2192" s="2" t="str">
        <f>TRIM(Table1[[#This Row],[Numer_PZ]])</f>
        <v>PZ/802190</v>
      </c>
      <c r="C2192" s="2" t="str">
        <f>TRIM(Table1[[#This Row],[Dostawca]])</f>
        <v>HurtMedix</v>
      </c>
      <c r="D2192" s="3">
        <v>45376</v>
      </c>
      <c r="E2192" s="4" t="s">
        <v>6472</v>
      </c>
      <c r="F2192" s="2" t="str">
        <f>TRIM(Table1[[#This Row],[Status]])</f>
        <v>Zaakceptowana</v>
      </c>
      <c r="G2192" s="2" t="str">
        <f>TRIM(Table1[[#This Row],[Typ]])</f>
        <v>Korekta FV</v>
      </c>
      <c r="H2192" s="2" t="str">
        <f>TRIM(Table1[[#This Row],[Magazyn]])</f>
        <v>Apteka Szpitalna</v>
      </c>
      <c r="I2192" s="2" t="str">
        <f>TRIM(Table1[[#This Row],[Umowa]])</f>
        <v>UM-HUR-01</v>
      </c>
      <c r="J2192" s="2" t="b">
        <f>ISTEXT(Table14[[#This Row],[Data_Wystawienia]])</f>
        <v>0</v>
      </c>
      <c r="K2192" s="2">
        <f>VALUE(SUBSTITUTE(Table14[[#This Row],[Wartość]],".",","))</f>
        <v>-1429</v>
      </c>
      <c r="L21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2" s="2" t="str">
        <f>IF(Table14[[#This Row],[Umowa]]="","Poza umową","Z umowy")</f>
        <v>Z umowy</v>
      </c>
      <c r="N2192" s="2">
        <f>YEAR(Table14[[#This Row],[Data_Wystawienia]])</f>
        <v>2024</v>
      </c>
      <c r="O2192" s="2" t="str">
        <f>TEXT(Table14[[#This Row],[Data_Wystawienia]],"rrrr-mm")</f>
        <v>2024-03</v>
      </c>
      <c r="P2192" s="2">
        <v>1</v>
      </c>
    </row>
    <row r="2193" spans="1:16" x14ac:dyDescent="0.3">
      <c r="A2193" s="2" t="str">
        <f>TRIM(Table1[[#This Row],[Numer_FV]])</f>
        <v>FV/CENFA/548720/24</v>
      </c>
      <c r="B2193" s="2" t="str">
        <f>TRIM(Table1[[#This Row],[Numer_PZ]])</f>
        <v>PZ/802191</v>
      </c>
      <c r="C2193" s="2" t="str">
        <f>TRIM(Table1[[#This Row],[Dostawca]])</f>
        <v>CentrumFarm</v>
      </c>
      <c r="D2193" s="3">
        <v>45376</v>
      </c>
      <c r="E2193" s="4" t="s">
        <v>6475</v>
      </c>
      <c r="F2193" s="2" t="str">
        <f>TRIM(Table1[[#This Row],[Status]])</f>
        <v>Zaakceptowana</v>
      </c>
      <c r="G2193" s="2" t="str">
        <f>TRIM(Table1[[#This Row],[Typ]])</f>
        <v>Faktura VAT</v>
      </c>
      <c r="H2193" s="2" t="str">
        <f>TRIM(Table1[[#This Row],[Magazyn]])</f>
        <v>Apteka Szpitalna</v>
      </c>
      <c r="I2193" s="2" t="str">
        <f>TRIM(Table1[[#This Row],[Umowa]])</f>
        <v>UM-CEN-02</v>
      </c>
      <c r="J2193" s="2" t="b">
        <f>ISTEXT(Table14[[#This Row],[Data_Wystawienia]])</f>
        <v>0</v>
      </c>
      <c r="K2193" s="2">
        <f>VALUE(SUBSTITUTE(Table14[[#This Row],[Wartość]],".",","))</f>
        <v>14137.31</v>
      </c>
      <c r="L21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3" s="2" t="str">
        <f>IF(Table14[[#This Row],[Umowa]]="","Poza umową","Z umowy")</f>
        <v>Z umowy</v>
      </c>
      <c r="N2193" s="2">
        <f>YEAR(Table14[[#This Row],[Data_Wystawienia]])</f>
        <v>2024</v>
      </c>
      <c r="O2193" s="2" t="str">
        <f>TEXT(Table14[[#This Row],[Data_Wystawienia]],"rrrr-mm")</f>
        <v>2024-03</v>
      </c>
      <c r="P2193" s="2">
        <v>1</v>
      </c>
    </row>
    <row r="2194" spans="1:16" x14ac:dyDescent="0.3">
      <c r="A2194" s="2" t="str">
        <f>TRIM(Table1[[#This Row],[Numer_FV]])</f>
        <v>FV/40/PP/9341/24</v>
      </c>
      <c r="B2194" s="2" t="str">
        <f>TRIM(Table1[[#This Row],[Numer_PZ]])</f>
        <v>PZ/802192</v>
      </c>
      <c r="C2194" s="2" t="str">
        <f>TRIM(Table1[[#This Row],[Dostawca]])</f>
        <v>PharmaPlus</v>
      </c>
      <c r="D2194" s="3">
        <v>45377</v>
      </c>
      <c r="E2194" s="4" t="s">
        <v>6478</v>
      </c>
      <c r="F2194" s="2" t="str">
        <f>TRIM(Table1[[#This Row],[Status]])</f>
        <v>Zaakceptowana</v>
      </c>
      <c r="G2194" s="2" t="str">
        <f>TRIM(Table1[[#This Row],[Typ]])</f>
        <v>Faktura VAT</v>
      </c>
      <c r="H2194" s="2" t="str">
        <f>TRIM(Table1[[#This Row],[Magazyn]])</f>
        <v>Apteka Szpitalna</v>
      </c>
      <c r="I2194" s="2" t="str">
        <f>TRIM(Table1[[#This Row],[Umowa]])</f>
        <v>UM-PHA-01</v>
      </c>
      <c r="J2194" s="2" t="b">
        <f>ISTEXT(Table14[[#This Row],[Data_Wystawienia]])</f>
        <v>0</v>
      </c>
      <c r="K2194" s="2">
        <f>VALUE(SUBSTITUTE(Table14[[#This Row],[Wartość]],".",","))</f>
        <v>19653.46</v>
      </c>
      <c r="L21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4" s="2" t="str">
        <f>IF(Table14[[#This Row],[Umowa]]="","Poza umową","Z umowy")</f>
        <v>Z umowy</v>
      </c>
      <c r="N2194" s="2">
        <f>YEAR(Table14[[#This Row],[Data_Wystawienia]])</f>
        <v>2024</v>
      </c>
      <c r="O2194" s="2" t="str">
        <f>TEXT(Table14[[#This Row],[Data_Wystawienia]],"rrrr-mm")</f>
        <v>2024-03</v>
      </c>
      <c r="P2194" s="2">
        <v>1</v>
      </c>
    </row>
    <row r="2195" spans="1:16" x14ac:dyDescent="0.3">
      <c r="A2195" s="2" t="str">
        <f>TRIM(Table1[[#This Row],[Numer_FV]])</f>
        <v>FV/CENFA/573010/24</v>
      </c>
      <c r="B2195" s="2" t="str">
        <f>TRIM(Table1[[#This Row],[Numer_PZ]])</f>
        <v>PZ/802193</v>
      </c>
      <c r="C2195" s="2" t="str">
        <f>TRIM(Table1[[#This Row],[Dostawca]])</f>
        <v>CentrumFarm</v>
      </c>
      <c r="D2195" s="3">
        <v>45377</v>
      </c>
      <c r="E2195" s="4" t="s">
        <v>6481</v>
      </c>
      <c r="F2195" s="2" t="str">
        <f>TRIM(Table1[[#This Row],[Status]])</f>
        <v>Zaakceptowana</v>
      </c>
      <c r="G2195" s="2" t="str">
        <f>TRIM(Table1[[#This Row],[Typ]])</f>
        <v>Faktura VAT</v>
      </c>
      <c r="H2195" s="2" t="str">
        <f>TRIM(Table1[[#This Row],[Magazyn]])</f>
        <v>Apteka Szpitalna</v>
      </c>
      <c r="I2195" s="2" t="str">
        <f>TRIM(Table1[[#This Row],[Umowa]])</f>
        <v>UM-CEN-02</v>
      </c>
      <c r="J2195" s="2" t="b">
        <f>ISTEXT(Table14[[#This Row],[Data_Wystawienia]])</f>
        <v>0</v>
      </c>
      <c r="K2195" s="2">
        <f>VALUE(SUBSTITUTE(Table14[[#This Row],[Wartość]],".",","))</f>
        <v>10848.5</v>
      </c>
      <c r="L21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5" s="2" t="str">
        <f>IF(Table14[[#This Row],[Umowa]]="","Poza umową","Z umowy")</f>
        <v>Z umowy</v>
      </c>
      <c r="N2195" s="2">
        <f>YEAR(Table14[[#This Row],[Data_Wystawienia]])</f>
        <v>2024</v>
      </c>
      <c r="O2195" s="2" t="str">
        <f>TEXT(Table14[[#This Row],[Data_Wystawienia]],"rrrr-mm")</f>
        <v>2024-03</v>
      </c>
      <c r="P2195" s="2">
        <v>1</v>
      </c>
    </row>
    <row r="2196" spans="1:16" x14ac:dyDescent="0.3">
      <c r="A2196" s="2" t="str">
        <f>TRIM(Table1[[#This Row],[Numer_FV]])</f>
        <v>FV/9248/NOVA/24</v>
      </c>
      <c r="B2196" s="2" t="str">
        <f>TRIM(Table1[[#This Row],[Numer_PZ]])</f>
        <v>PZ/802194</v>
      </c>
      <c r="C2196" s="2" t="str">
        <f>TRIM(Table1[[#This Row],[Dostawca]])</f>
        <v>NovaLek</v>
      </c>
      <c r="D2196" s="3">
        <v>45377</v>
      </c>
      <c r="E2196" s="4" t="s">
        <v>6484</v>
      </c>
      <c r="F2196" s="2" t="str">
        <f>TRIM(Table1[[#This Row],[Status]])</f>
        <v>Zaakceptowana</v>
      </c>
      <c r="G2196" s="2" t="str">
        <f>TRIM(Table1[[#This Row],[Typ]])</f>
        <v>Faktura VAT</v>
      </c>
      <c r="H2196" s="2" t="str">
        <f>TRIM(Table1[[#This Row],[Magazyn]])</f>
        <v>Apteka Szpitalna</v>
      </c>
      <c r="I2196" s="2" t="str">
        <f>TRIM(Table1[[#This Row],[Umowa]])</f>
        <v>UM-NOV-03</v>
      </c>
      <c r="J2196" s="2" t="b">
        <f>ISTEXT(Table14[[#This Row],[Data_Wystawienia]])</f>
        <v>0</v>
      </c>
      <c r="K2196" s="2">
        <f>VALUE(SUBSTITUTE(Table14[[#This Row],[Wartość]],".",","))</f>
        <v>14004.84</v>
      </c>
      <c r="L21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6" s="2" t="str">
        <f>IF(Table14[[#This Row],[Umowa]]="","Poza umową","Z umowy")</f>
        <v>Z umowy</v>
      </c>
      <c r="N2196" s="2">
        <f>YEAR(Table14[[#This Row],[Data_Wystawienia]])</f>
        <v>2024</v>
      </c>
      <c r="O2196" s="2" t="str">
        <f>TEXT(Table14[[#This Row],[Data_Wystawienia]],"rrrr-mm")</f>
        <v>2024-03</v>
      </c>
      <c r="P2196" s="2">
        <v>1</v>
      </c>
    </row>
    <row r="2197" spans="1:16" x14ac:dyDescent="0.3">
      <c r="A2197" s="2" t="str">
        <f>TRIM(Table1[[#This Row],[Numer_FV]])</f>
        <v>FV/POL/78748/2024</v>
      </c>
      <c r="B2197" s="2" t="str">
        <f>TRIM(Table1[[#This Row],[Numer_PZ]])</f>
        <v>PZ/802195</v>
      </c>
      <c r="C2197" s="2" t="str">
        <f>TRIM(Table1[[#This Row],[Dostawca]])</f>
        <v>Polmedica</v>
      </c>
      <c r="D2197" s="3">
        <v>45378</v>
      </c>
      <c r="E2197" s="4" t="s">
        <v>6487</v>
      </c>
      <c r="F2197" s="2" t="str">
        <f>TRIM(Table1[[#This Row],[Status]])</f>
        <v>Zaakceptowana</v>
      </c>
      <c r="G2197" s="2" t="str">
        <f>TRIM(Table1[[#This Row],[Typ]])</f>
        <v>Faktura VAT</v>
      </c>
      <c r="H2197" s="2" t="str">
        <f>TRIM(Table1[[#This Row],[Magazyn]])</f>
        <v>Apteka Szpitalna</v>
      </c>
      <c r="I2197" s="2" t="str">
        <f>TRIM(Table1[[#This Row],[Umowa]])</f>
        <v>UM-POL-01</v>
      </c>
      <c r="J2197" s="2" t="b">
        <f>ISTEXT(Table14[[#This Row],[Data_Wystawienia]])</f>
        <v>0</v>
      </c>
      <c r="K2197" s="2">
        <f>VALUE(SUBSTITUTE(Table14[[#This Row],[Wartość]],".",","))</f>
        <v>11638.48</v>
      </c>
      <c r="L21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7" s="2" t="str">
        <f>IF(Table14[[#This Row],[Umowa]]="","Poza umową","Z umowy")</f>
        <v>Z umowy</v>
      </c>
      <c r="N2197" s="2">
        <f>YEAR(Table14[[#This Row],[Data_Wystawienia]])</f>
        <v>2024</v>
      </c>
      <c r="O2197" s="2" t="str">
        <f>TEXT(Table14[[#This Row],[Data_Wystawienia]],"rrrr-mm")</f>
        <v>2024-03</v>
      </c>
      <c r="P2197" s="2">
        <v>1</v>
      </c>
    </row>
    <row r="2198" spans="1:16" x14ac:dyDescent="0.3">
      <c r="A2198" s="2" t="str">
        <f>TRIM(Table1[[#This Row],[Numer_FV]])</f>
        <v>FV/8336/NOVA/24</v>
      </c>
      <c r="B2198" s="2" t="str">
        <f>TRIM(Table1[[#This Row],[Numer_PZ]])</f>
        <v>PZ/802196</v>
      </c>
      <c r="C2198" s="2" t="str">
        <f>TRIM(Table1[[#This Row],[Dostawca]])</f>
        <v>NovaLek</v>
      </c>
      <c r="D2198" s="3">
        <v>45378</v>
      </c>
      <c r="E2198" s="4" t="s">
        <v>6490</v>
      </c>
      <c r="F2198" s="2" t="str">
        <f>TRIM(Table1[[#This Row],[Status]])</f>
        <v>Zaakceptowana</v>
      </c>
      <c r="G2198" s="2" t="str">
        <f>TRIM(Table1[[#This Row],[Typ]])</f>
        <v>Faktura VAT</v>
      </c>
      <c r="H2198" s="2" t="str">
        <f>TRIM(Table1[[#This Row],[Magazyn]])</f>
        <v>Apteka Szpitalna</v>
      </c>
      <c r="I2198" s="2" t="str">
        <f>TRIM(Table1[[#This Row],[Umowa]])</f>
        <v>UM-NOV-03</v>
      </c>
      <c r="J2198" s="2" t="b">
        <f>ISTEXT(Table14[[#This Row],[Data_Wystawienia]])</f>
        <v>0</v>
      </c>
      <c r="K2198" s="2">
        <f>VALUE(SUBSTITUTE(Table14[[#This Row],[Wartość]],".",","))</f>
        <v>13708.64</v>
      </c>
      <c r="L21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8" s="2" t="str">
        <f>IF(Table14[[#This Row],[Umowa]]="","Poza umową","Z umowy")</f>
        <v>Z umowy</v>
      </c>
      <c r="N2198" s="2">
        <f>YEAR(Table14[[#This Row],[Data_Wystawienia]])</f>
        <v>2024</v>
      </c>
      <c r="O2198" s="2" t="str">
        <f>TEXT(Table14[[#This Row],[Data_Wystawienia]],"rrrr-mm")</f>
        <v>2024-03</v>
      </c>
      <c r="P2198" s="2">
        <v>1</v>
      </c>
    </row>
    <row r="2199" spans="1:16" x14ac:dyDescent="0.3">
      <c r="A2199" s="2" t="str">
        <f>TRIM(Table1[[#This Row],[Numer_FV]])</f>
        <v>FV/4948HM/24</v>
      </c>
      <c r="B2199" s="2" t="str">
        <f>TRIM(Table1[[#This Row],[Numer_PZ]])</f>
        <v>PZ/802197</v>
      </c>
      <c r="C2199" s="2" t="str">
        <f>TRIM(Table1[[#This Row],[Dostawca]])</f>
        <v>HurtMedix</v>
      </c>
      <c r="D2199" s="3">
        <v>45379</v>
      </c>
      <c r="E2199" s="4" t="s">
        <v>6493</v>
      </c>
      <c r="F2199" s="2" t="str">
        <f>TRIM(Table1[[#This Row],[Status]])</f>
        <v>Zaakceptowana</v>
      </c>
      <c r="G2199" s="2" t="str">
        <f>TRIM(Table1[[#This Row],[Typ]])</f>
        <v>Korekta FV</v>
      </c>
      <c r="H2199" s="2" t="str">
        <f>TRIM(Table1[[#This Row],[Magazyn]])</f>
        <v>Apteka Szpitalna</v>
      </c>
      <c r="I2199" s="2" t="str">
        <f>TRIM(Table1[[#This Row],[Umowa]])</f>
        <v>UM-HUR-02</v>
      </c>
      <c r="J2199" s="2" t="b">
        <f>ISTEXT(Table14[[#This Row],[Data_Wystawienia]])</f>
        <v>0</v>
      </c>
      <c r="K2199" s="2">
        <f>VALUE(SUBSTITUTE(Table14[[#This Row],[Wartość]],".",","))</f>
        <v>-831.74</v>
      </c>
      <c r="L21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199" s="2" t="str">
        <f>IF(Table14[[#This Row],[Umowa]]="","Poza umową","Z umowy")</f>
        <v>Z umowy</v>
      </c>
      <c r="N2199" s="2">
        <f>YEAR(Table14[[#This Row],[Data_Wystawienia]])</f>
        <v>2024</v>
      </c>
      <c r="O2199" s="2" t="str">
        <f>TEXT(Table14[[#This Row],[Data_Wystawienia]],"rrrr-mm")</f>
        <v>2024-03</v>
      </c>
      <c r="P2199" s="2">
        <v>1</v>
      </c>
    </row>
    <row r="2200" spans="1:16" x14ac:dyDescent="0.3">
      <c r="A2200" s="2" t="str">
        <f>TRIM(Table1[[#This Row],[Numer_FV]])</f>
        <v>FV/85/SAL/24</v>
      </c>
      <c r="B2200" s="2" t="str">
        <f>TRIM(Table1[[#This Row],[Numer_PZ]])</f>
        <v>PZ/802198</v>
      </c>
      <c r="C2200" s="2" t="str">
        <f>TRIM(Table1[[#This Row],[Dostawca]])</f>
        <v>SalusHurt</v>
      </c>
      <c r="D2200" s="3">
        <v>45379</v>
      </c>
      <c r="E2200" s="4" t="s">
        <v>6496</v>
      </c>
      <c r="F2200" s="2" t="str">
        <f>TRIM(Table1[[#This Row],[Status]])</f>
        <v>Zaakceptowana</v>
      </c>
      <c r="G2200" s="2" t="str">
        <f>TRIM(Table1[[#This Row],[Typ]])</f>
        <v>Faktura VAT</v>
      </c>
      <c r="H2200" s="2" t="str">
        <f>TRIM(Table1[[#This Row],[Magazyn]])</f>
        <v>Apteka Szpitalna</v>
      </c>
      <c r="I2200" s="2" t="str">
        <f>TRIM(Table1[[#This Row],[Umowa]])</f>
        <v>UM-SAL-02</v>
      </c>
      <c r="J2200" s="2" t="b">
        <f>ISTEXT(Table14[[#This Row],[Data_Wystawienia]])</f>
        <v>0</v>
      </c>
      <c r="K2200" s="2">
        <f>VALUE(SUBSTITUTE(Table14[[#This Row],[Wartość]],".",","))</f>
        <v>16071.97</v>
      </c>
      <c r="L22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0" s="2" t="str">
        <f>IF(Table14[[#This Row],[Umowa]]="","Poza umową","Z umowy")</f>
        <v>Z umowy</v>
      </c>
      <c r="N2200" s="2">
        <f>YEAR(Table14[[#This Row],[Data_Wystawienia]])</f>
        <v>2024</v>
      </c>
      <c r="O2200" s="2" t="str">
        <f>TEXT(Table14[[#This Row],[Data_Wystawienia]],"rrrr-mm")</f>
        <v>2024-03</v>
      </c>
      <c r="P2200" s="2">
        <v>1</v>
      </c>
    </row>
    <row r="2201" spans="1:16" x14ac:dyDescent="0.3">
      <c r="A2201" s="2" t="str">
        <f>TRIM(Table1[[#This Row],[Numer_FV]])</f>
        <v>FV/POL/45948/2024</v>
      </c>
      <c r="B2201" s="2" t="str">
        <f>TRIM(Table1[[#This Row],[Numer_PZ]])</f>
        <v>PZ/802199</v>
      </c>
      <c r="C2201" s="2" t="str">
        <f>TRIM(Table1[[#This Row],[Dostawca]])</f>
        <v>Polmedica</v>
      </c>
      <c r="D2201" s="3">
        <v>45379</v>
      </c>
      <c r="E2201" s="4" t="s">
        <v>6499</v>
      </c>
      <c r="F2201" s="2" t="str">
        <f>TRIM(Table1[[#This Row],[Status]])</f>
        <v>Zaakceptowana</v>
      </c>
      <c r="G2201" s="2" t="str">
        <f>TRIM(Table1[[#This Row],[Typ]])</f>
        <v>Faktura VAT</v>
      </c>
      <c r="H2201" s="2" t="str">
        <f>TRIM(Table1[[#This Row],[Magazyn]])</f>
        <v>Apteka Szpitalna</v>
      </c>
      <c r="I2201" s="2" t="str">
        <f>TRIM(Table1[[#This Row],[Umowa]])</f>
        <v>UM-POL-01</v>
      </c>
      <c r="J2201" s="2" t="b">
        <f>ISTEXT(Table14[[#This Row],[Data_Wystawienia]])</f>
        <v>0</v>
      </c>
      <c r="K2201" s="2">
        <f>VALUE(SUBSTITUTE(Table14[[#This Row],[Wartość]],".",","))</f>
        <v>28271.88</v>
      </c>
      <c r="L22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1" s="2" t="str">
        <f>IF(Table14[[#This Row],[Umowa]]="","Poza umową","Z umowy")</f>
        <v>Z umowy</v>
      </c>
      <c r="N2201" s="2">
        <f>YEAR(Table14[[#This Row],[Data_Wystawienia]])</f>
        <v>2024</v>
      </c>
      <c r="O2201" s="2" t="str">
        <f>TEXT(Table14[[#This Row],[Data_Wystawienia]],"rrrr-mm")</f>
        <v>2024-03</v>
      </c>
      <c r="P2201" s="2">
        <v>1</v>
      </c>
    </row>
    <row r="2202" spans="1:16" x14ac:dyDescent="0.3">
      <c r="A2202" s="2" t="str">
        <f>TRIM(Table1[[#This Row],[Numer_FV]])</f>
        <v>FV/7910HM/24</v>
      </c>
      <c r="B2202" s="2" t="str">
        <f>TRIM(Table1[[#This Row],[Numer_PZ]])</f>
        <v>PZ/802200</v>
      </c>
      <c r="C2202" s="2" t="str">
        <f>TRIM(Table1[[#This Row],[Dostawca]])</f>
        <v>HurtMedix</v>
      </c>
      <c r="D2202" s="3">
        <v>45379</v>
      </c>
      <c r="E2202" s="4" t="s">
        <v>6502</v>
      </c>
      <c r="F2202" s="2" t="str">
        <f>TRIM(Table1[[#This Row],[Status]])</f>
        <v>Zaakceptowana</v>
      </c>
      <c r="G2202" s="2" t="str">
        <f>TRIM(Table1[[#This Row],[Typ]])</f>
        <v>Faktura VAT</v>
      </c>
      <c r="H2202" s="2" t="str">
        <f>TRIM(Table1[[#This Row],[Magazyn]])</f>
        <v>Apteka Szpitalna</v>
      </c>
      <c r="I2202" s="2" t="str">
        <f>TRIM(Table1[[#This Row],[Umowa]])</f>
        <v>UM-HUR-03</v>
      </c>
      <c r="J2202" s="2" t="b">
        <f>ISTEXT(Table14[[#This Row],[Data_Wystawienia]])</f>
        <v>0</v>
      </c>
      <c r="K2202" s="2">
        <f>VALUE(SUBSTITUTE(Table14[[#This Row],[Wartość]],".",","))</f>
        <v>9495.6299999999992</v>
      </c>
      <c r="L22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2" s="2" t="str">
        <f>IF(Table14[[#This Row],[Umowa]]="","Poza umową","Z umowy")</f>
        <v>Z umowy</v>
      </c>
      <c r="N2202" s="2">
        <f>YEAR(Table14[[#This Row],[Data_Wystawienia]])</f>
        <v>2024</v>
      </c>
      <c r="O2202" s="2" t="str">
        <f>TEXT(Table14[[#This Row],[Data_Wystawienia]],"rrrr-mm")</f>
        <v>2024-03</v>
      </c>
      <c r="P2202" s="2">
        <v>1</v>
      </c>
    </row>
    <row r="2203" spans="1:16" x14ac:dyDescent="0.3">
      <c r="A2203" s="2" t="str">
        <f>TRIM(Table1[[#This Row],[Numer_FV]])</f>
        <v>FV/30/PP/1716/24</v>
      </c>
      <c r="B2203" s="2" t="str">
        <f>TRIM(Table1[[#This Row],[Numer_PZ]])</f>
        <v>PZ/802201</v>
      </c>
      <c r="C2203" s="2" t="str">
        <f>TRIM(Table1[[#This Row],[Dostawca]])</f>
        <v>PharmaPlus</v>
      </c>
      <c r="D2203" s="3">
        <v>45379</v>
      </c>
      <c r="E2203" s="4" t="s">
        <v>6505</v>
      </c>
      <c r="F2203" s="2" t="str">
        <f>TRIM(Table1[[#This Row],[Status]])</f>
        <v>Zaakceptowana</v>
      </c>
      <c r="G2203" s="2" t="str">
        <f>TRIM(Table1[[#This Row],[Typ]])</f>
        <v>Faktura VAT</v>
      </c>
      <c r="H2203" s="2" t="str">
        <f>TRIM(Table1[[#This Row],[Magazyn]])</f>
        <v>Apteka Szpitalna</v>
      </c>
      <c r="I2203" s="2" t="str">
        <f>TRIM(Table1[[#This Row],[Umowa]])</f>
        <v>UM-PHA-01</v>
      </c>
      <c r="J2203" s="2" t="b">
        <f>ISTEXT(Table14[[#This Row],[Data_Wystawienia]])</f>
        <v>0</v>
      </c>
      <c r="K2203" s="2">
        <f>VALUE(SUBSTITUTE(Table14[[#This Row],[Wartość]],".",","))</f>
        <v>15829.68</v>
      </c>
      <c r="L22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3" s="2" t="str">
        <f>IF(Table14[[#This Row],[Umowa]]="","Poza umową","Z umowy")</f>
        <v>Z umowy</v>
      </c>
      <c r="N2203" s="2">
        <f>YEAR(Table14[[#This Row],[Data_Wystawienia]])</f>
        <v>2024</v>
      </c>
      <c r="O2203" s="2" t="str">
        <f>TEXT(Table14[[#This Row],[Data_Wystawienia]],"rrrr-mm")</f>
        <v>2024-03</v>
      </c>
      <c r="P2203" s="2">
        <v>1</v>
      </c>
    </row>
    <row r="2204" spans="1:16" x14ac:dyDescent="0.3">
      <c r="A2204" s="2" t="str">
        <f>TRIM(Table1[[#This Row],[Numer_FV]])</f>
        <v>FV/65/PP/5692/24</v>
      </c>
      <c r="B2204" s="2" t="str">
        <f>TRIM(Table1[[#This Row],[Numer_PZ]])</f>
        <v>PZ/802202</v>
      </c>
      <c r="C2204" s="2" t="str">
        <f>TRIM(Table1[[#This Row],[Dostawca]])</f>
        <v>PharmaPlus</v>
      </c>
      <c r="D2204" s="3">
        <v>45380</v>
      </c>
      <c r="E2204" s="4" t="s">
        <v>6508</v>
      </c>
      <c r="F2204" s="2" t="str">
        <f>TRIM(Table1[[#This Row],[Status]])</f>
        <v>Zaakceptowana</v>
      </c>
      <c r="G2204" s="2" t="str">
        <f>TRIM(Table1[[#This Row],[Typ]])</f>
        <v>Faktura VAT</v>
      </c>
      <c r="H2204" s="2" t="str">
        <f>TRIM(Table1[[#This Row],[Magazyn]])</f>
        <v>Apteka Szpitalna</v>
      </c>
      <c r="I2204" s="2" t="str">
        <f>TRIM(Table1[[#This Row],[Umowa]])</f>
        <v>UM-PHA-01</v>
      </c>
      <c r="J2204" s="2" t="b">
        <f>ISTEXT(Table14[[#This Row],[Data_Wystawienia]])</f>
        <v>0</v>
      </c>
      <c r="K2204" s="2">
        <f>VALUE(SUBSTITUTE(Table14[[#This Row],[Wartość]],".",","))</f>
        <v>18290.599999999999</v>
      </c>
      <c r="L22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4" s="2" t="str">
        <f>IF(Table14[[#This Row],[Umowa]]="","Poza umową","Z umowy")</f>
        <v>Z umowy</v>
      </c>
      <c r="N2204" s="2">
        <f>YEAR(Table14[[#This Row],[Data_Wystawienia]])</f>
        <v>2024</v>
      </c>
      <c r="O2204" s="2" t="str">
        <f>TEXT(Table14[[#This Row],[Data_Wystawienia]],"rrrr-mm")</f>
        <v>2024-03</v>
      </c>
      <c r="P2204" s="2">
        <v>1</v>
      </c>
    </row>
    <row r="2205" spans="1:16" x14ac:dyDescent="0.3">
      <c r="A2205" s="2" t="str">
        <f>TRIM(Table1[[#This Row],[Numer_FV]])</f>
        <v>FV/76941/VDb/2024</v>
      </c>
      <c r="B2205" s="2" t="str">
        <f>TRIM(Table1[[#This Row],[Numer_PZ]])</f>
        <v>PZ/802203</v>
      </c>
      <c r="C2205" s="2" t="str">
        <f>TRIM(Table1[[#This Row],[Dostawca]])</f>
        <v>VitaDistrib</v>
      </c>
      <c r="D2205" s="3">
        <v>45380</v>
      </c>
      <c r="E2205" s="4" t="s">
        <v>6511</v>
      </c>
      <c r="F2205" s="2" t="str">
        <f>TRIM(Table1[[#This Row],[Status]])</f>
        <v>Zaakceptowana</v>
      </c>
      <c r="G2205" s="2" t="str">
        <f>TRIM(Table1[[#This Row],[Typ]])</f>
        <v>Faktura VAT</v>
      </c>
      <c r="H2205" s="2" t="str">
        <f>TRIM(Table1[[#This Row],[Magazyn]])</f>
        <v>Apteka Szpitalna</v>
      </c>
      <c r="I2205" s="2" t="str">
        <f>TRIM(Table1[[#This Row],[Umowa]])</f>
        <v>UM-VIT-01</v>
      </c>
      <c r="J2205" s="2" t="b">
        <f>ISTEXT(Table14[[#This Row],[Data_Wystawienia]])</f>
        <v>0</v>
      </c>
      <c r="K2205" s="2">
        <f>VALUE(SUBSTITUTE(Table14[[#This Row],[Wartość]],".",","))</f>
        <v>7026.17</v>
      </c>
      <c r="L22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5" s="2" t="str">
        <f>IF(Table14[[#This Row],[Umowa]]="","Poza umową","Z umowy")</f>
        <v>Z umowy</v>
      </c>
      <c r="N2205" s="2">
        <f>YEAR(Table14[[#This Row],[Data_Wystawienia]])</f>
        <v>2024</v>
      </c>
      <c r="O2205" s="2" t="str">
        <f>TEXT(Table14[[#This Row],[Data_Wystawienia]],"rrrr-mm")</f>
        <v>2024-03</v>
      </c>
      <c r="P2205" s="2">
        <v>1</v>
      </c>
    </row>
    <row r="2206" spans="1:16" x14ac:dyDescent="0.3">
      <c r="A2206" s="2" t="str">
        <f>TRIM(Table1[[#This Row],[Numer_FV]])</f>
        <v>FV/95287/VDb/2024</v>
      </c>
      <c r="B2206" s="2" t="str">
        <f>TRIM(Table1[[#This Row],[Numer_PZ]])</f>
        <v>PZ/802204</v>
      </c>
      <c r="C2206" s="2" t="str">
        <f>TRIM(Table1[[#This Row],[Dostawca]])</f>
        <v>VitaDistrib</v>
      </c>
      <c r="D2206" s="3">
        <v>45381</v>
      </c>
      <c r="E2206" s="4" t="s">
        <v>6514</v>
      </c>
      <c r="F2206" s="2" t="str">
        <f>TRIM(Table1[[#This Row],[Status]])</f>
        <v>Zaakceptowana</v>
      </c>
      <c r="G2206" s="2" t="str">
        <f>TRIM(Table1[[#This Row],[Typ]])</f>
        <v>Faktura VAT</v>
      </c>
      <c r="H2206" s="2" t="str">
        <f>TRIM(Table1[[#This Row],[Magazyn]])</f>
        <v>Apteka Szpitalna</v>
      </c>
      <c r="I2206" s="2" t="str">
        <f>TRIM(Table1[[#This Row],[Umowa]])</f>
        <v>UM-VIT-01</v>
      </c>
      <c r="J2206" s="2" t="b">
        <f>ISTEXT(Table14[[#This Row],[Data_Wystawienia]])</f>
        <v>0</v>
      </c>
      <c r="K2206" s="2">
        <f>VALUE(SUBSTITUTE(Table14[[#This Row],[Wartość]],".",","))</f>
        <v>23677.33</v>
      </c>
      <c r="L22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6" s="2" t="str">
        <f>IF(Table14[[#This Row],[Umowa]]="","Poza umową","Z umowy")</f>
        <v>Z umowy</v>
      </c>
      <c r="N2206" s="2">
        <f>YEAR(Table14[[#This Row],[Data_Wystawienia]])</f>
        <v>2024</v>
      </c>
      <c r="O2206" s="2" t="str">
        <f>TEXT(Table14[[#This Row],[Data_Wystawienia]],"rrrr-mm")</f>
        <v>2024-03</v>
      </c>
      <c r="P2206" s="2">
        <v>1</v>
      </c>
    </row>
    <row r="2207" spans="1:16" x14ac:dyDescent="0.3">
      <c r="A2207" s="2" t="str">
        <f>TRIM(Table1[[#This Row],[Numer_FV]])</f>
        <v>FV/CENFA/486258/24</v>
      </c>
      <c r="B2207" s="2" t="str">
        <f>TRIM(Table1[[#This Row],[Numer_PZ]])</f>
        <v>PZ/802205</v>
      </c>
      <c r="C2207" s="2" t="str">
        <f>TRIM(Table1[[#This Row],[Dostawca]])</f>
        <v>CentrumFarm</v>
      </c>
      <c r="D2207" s="3">
        <v>45381</v>
      </c>
      <c r="E2207" s="4" t="s">
        <v>6517</v>
      </c>
      <c r="F2207" s="2" t="str">
        <f>TRIM(Table1[[#This Row],[Status]])</f>
        <v>Zaakceptowana</v>
      </c>
      <c r="G2207" s="2" t="str">
        <f>TRIM(Table1[[#This Row],[Typ]])</f>
        <v>Faktura VAT</v>
      </c>
      <c r="H2207" s="2" t="str">
        <f>TRIM(Table1[[#This Row],[Magazyn]])</f>
        <v>Apteka Szpitalna</v>
      </c>
      <c r="I2207" s="2" t="str">
        <f>TRIM(Table1[[#This Row],[Umowa]])</f>
        <v>UM-CEN-01</v>
      </c>
      <c r="J2207" s="2" t="b">
        <f>ISTEXT(Table14[[#This Row],[Data_Wystawienia]])</f>
        <v>0</v>
      </c>
      <c r="K2207" s="2">
        <f>VALUE(SUBSTITUTE(Table14[[#This Row],[Wartość]],".",","))</f>
        <v>25804.77</v>
      </c>
      <c r="L22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7" s="2" t="str">
        <f>IF(Table14[[#This Row],[Umowa]]="","Poza umową","Z umowy")</f>
        <v>Z umowy</v>
      </c>
      <c r="N2207" s="2">
        <f>YEAR(Table14[[#This Row],[Data_Wystawienia]])</f>
        <v>2024</v>
      </c>
      <c r="O2207" s="2" t="str">
        <f>TEXT(Table14[[#This Row],[Data_Wystawienia]],"rrrr-mm")</f>
        <v>2024-03</v>
      </c>
      <c r="P2207" s="2">
        <v>1</v>
      </c>
    </row>
    <row r="2208" spans="1:16" x14ac:dyDescent="0.3">
      <c r="A2208" s="2" t="str">
        <f>TRIM(Table1[[#This Row],[Numer_FV]])</f>
        <v>FV/80261/VDb/2024</v>
      </c>
      <c r="B2208" s="2" t="str">
        <f>TRIM(Table1[[#This Row],[Numer_PZ]])</f>
        <v>PZ/802206</v>
      </c>
      <c r="C2208" s="2" t="str">
        <f>TRIM(Table1[[#This Row],[Dostawca]])</f>
        <v>VitaDistrib</v>
      </c>
      <c r="D2208" s="3">
        <v>45381</v>
      </c>
      <c r="E2208" s="4" t="s">
        <v>6520</v>
      </c>
      <c r="F2208" s="2" t="str">
        <f>TRIM(Table1[[#This Row],[Status]])</f>
        <v>Zaakceptowana</v>
      </c>
      <c r="G2208" s="2" t="str">
        <f>TRIM(Table1[[#This Row],[Typ]])</f>
        <v>Faktura VAT</v>
      </c>
      <c r="H2208" s="2" t="str">
        <f>TRIM(Table1[[#This Row],[Magazyn]])</f>
        <v>Apteka Szpitalna</v>
      </c>
      <c r="I2208" s="2" t="str">
        <f>TRIM(Table1[[#This Row],[Umowa]])</f>
        <v/>
      </c>
      <c r="J2208" s="2" t="b">
        <f>ISTEXT(Table14[[#This Row],[Data_Wystawienia]])</f>
        <v>0</v>
      </c>
      <c r="K2208" s="2">
        <f>VALUE(SUBSTITUTE(Table14[[#This Row],[Wartość]],".",","))</f>
        <v>13550.71</v>
      </c>
      <c r="L22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8" s="2" t="str">
        <f>IF(Table14[[#This Row],[Umowa]]="","Poza umową","Z umowy")</f>
        <v>Poza umową</v>
      </c>
      <c r="N2208" s="2">
        <f>YEAR(Table14[[#This Row],[Data_Wystawienia]])</f>
        <v>2024</v>
      </c>
      <c r="O2208" s="2" t="str">
        <f>TEXT(Table14[[#This Row],[Data_Wystawienia]],"rrrr-mm")</f>
        <v>2024-03</v>
      </c>
      <c r="P2208" s="2">
        <v>1</v>
      </c>
    </row>
    <row r="2209" spans="1:16" x14ac:dyDescent="0.3">
      <c r="A2209" s="2" t="str">
        <f>TRIM(Table1[[#This Row],[Numer_FV]])</f>
        <v>FV/21878/VDb/2024</v>
      </c>
      <c r="B2209" s="2" t="str">
        <f>TRIM(Table1[[#This Row],[Numer_PZ]])</f>
        <v>PZ/802207</v>
      </c>
      <c r="C2209" s="2" t="str">
        <f>TRIM(Table1[[#This Row],[Dostawca]])</f>
        <v>VitaDistrib</v>
      </c>
      <c r="D2209" s="3">
        <v>45381</v>
      </c>
      <c r="E2209" s="4" t="s">
        <v>6523</v>
      </c>
      <c r="F2209" s="2" t="str">
        <f>TRIM(Table1[[#This Row],[Status]])</f>
        <v>Zaakceptowana</v>
      </c>
      <c r="G2209" s="2" t="str">
        <f>TRIM(Table1[[#This Row],[Typ]])</f>
        <v>Faktura VAT</v>
      </c>
      <c r="H2209" s="2" t="str">
        <f>TRIM(Table1[[#This Row],[Magazyn]])</f>
        <v>Apteka Szpitalna</v>
      </c>
      <c r="I2209" s="2" t="str">
        <f>TRIM(Table1[[#This Row],[Umowa]])</f>
        <v>UM-VIT-01</v>
      </c>
      <c r="J2209" s="2" t="b">
        <f>ISTEXT(Table14[[#This Row],[Data_Wystawienia]])</f>
        <v>0</v>
      </c>
      <c r="K2209" s="2">
        <f>VALUE(SUBSTITUTE(Table14[[#This Row],[Wartość]],".",","))</f>
        <v>13091.16</v>
      </c>
      <c r="L22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09" s="2" t="str">
        <f>IF(Table14[[#This Row],[Umowa]]="","Poza umową","Z umowy")</f>
        <v>Z umowy</v>
      </c>
      <c r="N2209" s="2">
        <f>YEAR(Table14[[#This Row],[Data_Wystawienia]])</f>
        <v>2024</v>
      </c>
      <c r="O2209" s="2" t="str">
        <f>TEXT(Table14[[#This Row],[Data_Wystawienia]],"rrrr-mm")</f>
        <v>2024-03</v>
      </c>
      <c r="P2209" s="2">
        <v>1</v>
      </c>
    </row>
    <row r="2210" spans="1:16" x14ac:dyDescent="0.3">
      <c r="A2210" s="2" t="str">
        <f>TRIM(Table1[[#This Row],[Numer_FV]])</f>
        <v>FV/22/PP/7308/24</v>
      </c>
      <c r="B2210" s="2" t="str">
        <f>TRIM(Table1[[#This Row],[Numer_PZ]])</f>
        <v>PZ/802208</v>
      </c>
      <c r="C2210" s="2" t="str">
        <f>TRIM(Table1[[#This Row],[Dostawca]])</f>
        <v>PharmaPlus</v>
      </c>
      <c r="D2210" s="3">
        <v>45381</v>
      </c>
      <c r="E2210" s="4" t="s">
        <v>6526</v>
      </c>
      <c r="F2210" s="2" t="str">
        <f>TRIM(Table1[[#This Row],[Status]])</f>
        <v>Zaakceptowana</v>
      </c>
      <c r="G2210" s="2" t="str">
        <f>TRIM(Table1[[#This Row],[Typ]])</f>
        <v>Faktura VAT</v>
      </c>
      <c r="H2210" s="2" t="str">
        <f>TRIM(Table1[[#This Row],[Magazyn]])</f>
        <v>Apteka Szpitalna</v>
      </c>
      <c r="I2210" s="2" t="str">
        <f>TRIM(Table1[[#This Row],[Umowa]])</f>
        <v>UM-PHA-01</v>
      </c>
      <c r="J2210" s="2" t="b">
        <f>ISTEXT(Table14[[#This Row],[Data_Wystawienia]])</f>
        <v>0</v>
      </c>
      <c r="K2210" s="2">
        <f>VALUE(SUBSTITUTE(Table14[[#This Row],[Wartość]],".",","))</f>
        <v>6939.3</v>
      </c>
      <c r="L22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0" s="2" t="str">
        <f>IF(Table14[[#This Row],[Umowa]]="","Poza umową","Z umowy")</f>
        <v>Z umowy</v>
      </c>
      <c r="N2210" s="2">
        <f>YEAR(Table14[[#This Row],[Data_Wystawienia]])</f>
        <v>2024</v>
      </c>
      <c r="O2210" s="2" t="str">
        <f>TEXT(Table14[[#This Row],[Data_Wystawienia]],"rrrr-mm")</f>
        <v>2024-03</v>
      </c>
      <c r="P2210" s="2">
        <v>1</v>
      </c>
    </row>
    <row r="2211" spans="1:16" x14ac:dyDescent="0.3">
      <c r="A2211" s="2" t="str">
        <f>TRIM(Table1[[#This Row],[Numer_FV]])</f>
        <v>FV/CENFA/174630/24</v>
      </c>
      <c r="B2211" s="2" t="str">
        <f>TRIM(Table1[[#This Row],[Numer_PZ]])</f>
        <v>PZ/802209</v>
      </c>
      <c r="C2211" s="2" t="str">
        <f>TRIM(Table1[[#This Row],[Dostawca]])</f>
        <v>CentrumFarm</v>
      </c>
      <c r="D2211" s="3">
        <v>45382</v>
      </c>
      <c r="E2211" s="4" t="s">
        <v>6529</v>
      </c>
      <c r="F2211" s="2" t="str">
        <f>TRIM(Table1[[#This Row],[Status]])</f>
        <v>Zaakceptowana</v>
      </c>
      <c r="G2211" s="2" t="str">
        <f>TRIM(Table1[[#This Row],[Typ]])</f>
        <v>Faktura VAT</v>
      </c>
      <c r="H2211" s="2" t="str">
        <f>TRIM(Table1[[#This Row],[Magazyn]])</f>
        <v>Apteka Szpitalna</v>
      </c>
      <c r="I2211" s="2" t="str">
        <f>TRIM(Table1[[#This Row],[Umowa]])</f>
        <v>UM-CEN-01</v>
      </c>
      <c r="J2211" s="2" t="b">
        <f>ISTEXT(Table14[[#This Row],[Data_Wystawienia]])</f>
        <v>0</v>
      </c>
      <c r="K2211" s="2">
        <f>VALUE(SUBSTITUTE(Table14[[#This Row],[Wartość]],".",","))</f>
        <v>18393.57</v>
      </c>
      <c r="L22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1" s="2" t="str">
        <f>IF(Table14[[#This Row],[Umowa]]="","Poza umową","Z umowy")</f>
        <v>Z umowy</v>
      </c>
      <c r="N2211" s="2">
        <f>YEAR(Table14[[#This Row],[Data_Wystawienia]])</f>
        <v>2024</v>
      </c>
      <c r="O2211" s="2" t="str">
        <f>TEXT(Table14[[#This Row],[Data_Wystawienia]],"rrrr-mm")</f>
        <v>2024-03</v>
      </c>
      <c r="P2211" s="2">
        <v>1</v>
      </c>
    </row>
    <row r="2212" spans="1:16" x14ac:dyDescent="0.3">
      <c r="A2212" s="2" t="str">
        <f>TRIM(Table1[[#This Row],[Numer_FV]])</f>
        <v>FV/81/SAL/24</v>
      </c>
      <c r="B2212" s="2" t="str">
        <f>TRIM(Table1[[#This Row],[Numer_PZ]])</f>
        <v>PZ/802210</v>
      </c>
      <c r="C2212" s="2" t="str">
        <f>TRIM(Table1[[#This Row],[Dostawca]])</f>
        <v>SalusHurt</v>
      </c>
      <c r="D2212" s="3">
        <v>45383</v>
      </c>
      <c r="E2212" s="4" t="s">
        <v>6532</v>
      </c>
      <c r="F2212" s="2" t="str">
        <f>TRIM(Table1[[#This Row],[Status]])</f>
        <v>Zaakceptowana</v>
      </c>
      <c r="G2212" s="2" t="str">
        <f>TRIM(Table1[[#This Row],[Typ]])</f>
        <v>Faktura VAT</v>
      </c>
      <c r="H2212" s="2" t="str">
        <f>TRIM(Table1[[#This Row],[Magazyn]])</f>
        <v>Apteka Szpitalna</v>
      </c>
      <c r="I2212" s="2" t="str">
        <f>TRIM(Table1[[#This Row],[Umowa]])</f>
        <v>UM-SAL-01</v>
      </c>
      <c r="J2212" s="2" t="b">
        <f>ISTEXT(Table14[[#This Row],[Data_Wystawienia]])</f>
        <v>0</v>
      </c>
      <c r="K2212" s="2">
        <f>VALUE(SUBSTITUTE(Table14[[#This Row],[Wartość]],".",","))</f>
        <v>18494.169999999998</v>
      </c>
      <c r="L22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2" s="2" t="str">
        <f>IF(Table14[[#This Row],[Umowa]]="","Poza umową","Z umowy")</f>
        <v>Z umowy</v>
      </c>
      <c r="N2212" s="2">
        <f>YEAR(Table14[[#This Row],[Data_Wystawienia]])</f>
        <v>2024</v>
      </c>
      <c r="O2212" s="2" t="str">
        <f>TEXT(Table14[[#This Row],[Data_Wystawienia]],"rrrr-mm")</f>
        <v>2024-04</v>
      </c>
      <c r="P2212" s="2">
        <v>1</v>
      </c>
    </row>
    <row r="2213" spans="1:16" x14ac:dyDescent="0.3">
      <c r="A2213" s="2" t="str">
        <f>TRIM(Table1[[#This Row],[Numer_FV]])</f>
        <v>FV/POL/56247/2024</v>
      </c>
      <c r="B2213" s="2" t="str">
        <f>TRIM(Table1[[#This Row],[Numer_PZ]])</f>
        <v>PZ/802211</v>
      </c>
      <c r="C2213" s="2" t="str">
        <f>TRIM(Table1[[#This Row],[Dostawca]])</f>
        <v>Polmedica</v>
      </c>
      <c r="D2213" s="3">
        <v>45383</v>
      </c>
      <c r="E2213" s="4" t="s">
        <v>6535</v>
      </c>
      <c r="F2213" s="2" t="str">
        <f>TRIM(Table1[[#This Row],[Status]])</f>
        <v>Zaakceptowana</v>
      </c>
      <c r="G2213" s="2" t="str">
        <f>TRIM(Table1[[#This Row],[Typ]])</f>
        <v>Faktura VAT</v>
      </c>
      <c r="H2213" s="2" t="str">
        <f>TRIM(Table1[[#This Row],[Magazyn]])</f>
        <v>Apteka Szpitalna</v>
      </c>
      <c r="I2213" s="2" t="str">
        <f>TRIM(Table1[[#This Row],[Umowa]])</f>
        <v>UM-POL-03</v>
      </c>
      <c r="J2213" s="2" t="b">
        <f>ISTEXT(Table14[[#This Row],[Data_Wystawienia]])</f>
        <v>0</v>
      </c>
      <c r="K2213" s="2">
        <f>VALUE(SUBSTITUTE(Table14[[#This Row],[Wartość]],".",","))</f>
        <v>4161.74</v>
      </c>
      <c r="L22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3" s="2" t="str">
        <f>IF(Table14[[#This Row],[Umowa]]="","Poza umową","Z umowy")</f>
        <v>Z umowy</v>
      </c>
      <c r="N2213" s="2">
        <f>YEAR(Table14[[#This Row],[Data_Wystawienia]])</f>
        <v>2024</v>
      </c>
      <c r="O2213" s="2" t="str">
        <f>TEXT(Table14[[#This Row],[Data_Wystawienia]],"rrrr-mm")</f>
        <v>2024-04</v>
      </c>
      <c r="P2213" s="2">
        <v>1</v>
      </c>
    </row>
    <row r="2214" spans="1:16" x14ac:dyDescent="0.3">
      <c r="A2214" s="2" t="str">
        <f>TRIM(Table1[[#This Row],[Numer_FV]])</f>
        <v>FV/M/5526/P/24</v>
      </c>
      <c r="B2214" s="2" t="str">
        <f>TRIM(Table1[[#This Row],[Numer_PZ]])</f>
        <v>PZ/802212</v>
      </c>
      <c r="C2214" s="2" t="str">
        <f>TRIM(Table1[[#This Row],[Dostawca]])</f>
        <v>MedicaPharm</v>
      </c>
      <c r="D2214" s="3">
        <v>45383</v>
      </c>
      <c r="E2214" s="4" t="s">
        <v>6538</v>
      </c>
      <c r="F2214" s="2" t="str">
        <f>TRIM(Table1[[#This Row],[Status]])</f>
        <v>Zaakceptowana</v>
      </c>
      <c r="G2214" s="2" t="str">
        <f>TRIM(Table1[[#This Row],[Typ]])</f>
        <v>Faktura VAT</v>
      </c>
      <c r="H2214" s="2" t="str">
        <f>TRIM(Table1[[#This Row],[Magazyn]])</f>
        <v>Apteka Szpitalna</v>
      </c>
      <c r="I2214" s="2" t="str">
        <f>TRIM(Table1[[#This Row],[Umowa]])</f>
        <v>UM-MED-01</v>
      </c>
      <c r="J2214" s="2" t="b">
        <f>ISTEXT(Table14[[#This Row],[Data_Wystawienia]])</f>
        <v>0</v>
      </c>
      <c r="K2214" s="2">
        <f>VALUE(SUBSTITUTE(Table14[[#This Row],[Wartość]],".",","))</f>
        <v>17280.310000000001</v>
      </c>
      <c r="L22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4" s="2" t="str">
        <f>IF(Table14[[#This Row],[Umowa]]="","Poza umową","Z umowy")</f>
        <v>Z umowy</v>
      </c>
      <c r="N2214" s="2">
        <f>YEAR(Table14[[#This Row],[Data_Wystawienia]])</f>
        <v>2024</v>
      </c>
      <c r="O2214" s="2" t="str">
        <f>TEXT(Table14[[#This Row],[Data_Wystawienia]],"rrrr-mm")</f>
        <v>2024-04</v>
      </c>
      <c r="P2214" s="2">
        <v>1</v>
      </c>
    </row>
    <row r="2215" spans="1:16" x14ac:dyDescent="0.3">
      <c r="A2215" s="2" t="str">
        <f>TRIM(Table1[[#This Row],[Numer_FV]])</f>
        <v>FV/7295/NOVA/24</v>
      </c>
      <c r="B2215" s="2" t="str">
        <f>TRIM(Table1[[#This Row],[Numer_PZ]])</f>
        <v>PZ/802213</v>
      </c>
      <c r="C2215" s="2" t="str">
        <f>TRIM(Table1[[#This Row],[Dostawca]])</f>
        <v>NovaLek</v>
      </c>
      <c r="D2215" s="3">
        <v>45383</v>
      </c>
      <c r="E2215" s="4" t="s">
        <v>6541</v>
      </c>
      <c r="F2215" s="2" t="str">
        <f>TRIM(Table1[[#This Row],[Status]])</f>
        <v>Zaakceptowana</v>
      </c>
      <c r="G2215" s="2" t="str">
        <f>TRIM(Table1[[#This Row],[Typ]])</f>
        <v>Faktura VAT</v>
      </c>
      <c r="H2215" s="2" t="str">
        <f>TRIM(Table1[[#This Row],[Magazyn]])</f>
        <v>Apteka Szpitalna</v>
      </c>
      <c r="I2215" s="2" t="str">
        <f>TRIM(Table1[[#This Row],[Umowa]])</f>
        <v>UM-NOV-03</v>
      </c>
      <c r="J2215" s="2" t="b">
        <f>ISTEXT(Table14[[#This Row],[Data_Wystawienia]])</f>
        <v>0</v>
      </c>
      <c r="K2215" s="2">
        <f>VALUE(SUBSTITUTE(Table14[[#This Row],[Wartość]],".",","))</f>
        <v>11233.67</v>
      </c>
      <c r="L22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5" s="2" t="str">
        <f>IF(Table14[[#This Row],[Umowa]]="","Poza umową","Z umowy")</f>
        <v>Z umowy</v>
      </c>
      <c r="N2215" s="2">
        <f>YEAR(Table14[[#This Row],[Data_Wystawienia]])</f>
        <v>2024</v>
      </c>
      <c r="O2215" s="2" t="str">
        <f>TEXT(Table14[[#This Row],[Data_Wystawienia]],"rrrr-mm")</f>
        <v>2024-04</v>
      </c>
      <c r="P2215" s="2">
        <v>1</v>
      </c>
    </row>
    <row r="2216" spans="1:16" x14ac:dyDescent="0.3">
      <c r="A2216" s="2" t="str">
        <f>TRIM(Table1[[#This Row],[Numer_FV]])</f>
        <v>FV/23/SAL/24</v>
      </c>
      <c r="B2216" s="2" t="str">
        <f>TRIM(Table1[[#This Row],[Numer_PZ]])</f>
        <v>PZ/802214</v>
      </c>
      <c r="C2216" s="2" t="str">
        <f>TRIM(Table1[[#This Row],[Dostawca]])</f>
        <v>SalusHurt</v>
      </c>
      <c r="D2216" s="3">
        <v>45383</v>
      </c>
      <c r="E2216" s="4" t="s">
        <v>6544</v>
      </c>
      <c r="F2216" s="2" t="str">
        <f>TRIM(Table1[[#This Row],[Status]])</f>
        <v>Zaakceptowana</v>
      </c>
      <c r="G2216" s="2" t="str">
        <f>TRIM(Table1[[#This Row],[Typ]])</f>
        <v>Faktura VAT</v>
      </c>
      <c r="H2216" s="2" t="str">
        <f>TRIM(Table1[[#This Row],[Magazyn]])</f>
        <v>Apteka Szpitalna</v>
      </c>
      <c r="I2216" s="2" t="str">
        <f>TRIM(Table1[[#This Row],[Umowa]])</f>
        <v>UM-SAL-02</v>
      </c>
      <c r="J2216" s="2" t="b">
        <f>ISTEXT(Table14[[#This Row],[Data_Wystawienia]])</f>
        <v>0</v>
      </c>
      <c r="K2216" s="2">
        <f>VALUE(SUBSTITUTE(Table14[[#This Row],[Wartość]],".",","))</f>
        <v>6679.58</v>
      </c>
      <c r="L22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6" s="2" t="str">
        <f>IF(Table14[[#This Row],[Umowa]]="","Poza umową","Z umowy")</f>
        <v>Z umowy</v>
      </c>
      <c r="N2216" s="2">
        <f>YEAR(Table14[[#This Row],[Data_Wystawienia]])</f>
        <v>2024</v>
      </c>
      <c r="O2216" s="2" t="str">
        <f>TEXT(Table14[[#This Row],[Data_Wystawienia]],"rrrr-mm")</f>
        <v>2024-04</v>
      </c>
      <c r="P2216" s="2">
        <v>1</v>
      </c>
    </row>
    <row r="2217" spans="1:16" x14ac:dyDescent="0.3">
      <c r="A2217" s="2" t="str">
        <f>TRIM(Table1[[#This Row],[Numer_FV]])</f>
        <v>FV/CENFA/415690/24</v>
      </c>
      <c r="B2217" s="2" t="str">
        <f>TRIM(Table1[[#This Row],[Numer_PZ]])</f>
        <v>PZ/802215</v>
      </c>
      <c r="C2217" s="2" t="str">
        <f>TRIM(Table1[[#This Row],[Dostawca]])</f>
        <v>CentrumFarm</v>
      </c>
      <c r="D2217" s="3">
        <v>45383</v>
      </c>
      <c r="E2217" s="4" t="s">
        <v>6547</v>
      </c>
      <c r="F2217" s="2" t="str">
        <f>TRIM(Table1[[#This Row],[Status]])</f>
        <v>Zaakceptowana</v>
      </c>
      <c r="G2217" s="2" t="str">
        <f>TRIM(Table1[[#This Row],[Typ]])</f>
        <v>Faktura VAT</v>
      </c>
      <c r="H2217" s="2" t="str">
        <f>TRIM(Table1[[#This Row],[Magazyn]])</f>
        <v>Apteka Szpitalna</v>
      </c>
      <c r="I2217" s="2" t="str">
        <f>TRIM(Table1[[#This Row],[Umowa]])</f>
        <v>UM-CEN-02</v>
      </c>
      <c r="J2217" s="2" t="b">
        <f>ISTEXT(Table14[[#This Row],[Data_Wystawienia]])</f>
        <v>0</v>
      </c>
      <c r="K2217" s="2">
        <f>VALUE(SUBSTITUTE(Table14[[#This Row],[Wartość]],".",","))</f>
        <v>12374.89</v>
      </c>
      <c r="L22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7" s="2" t="str">
        <f>IF(Table14[[#This Row],[Umowa]]="","Poza umową","Z umowy")</f>
        <v>Z umowy</v>
      </c>
      <c r="N2217" s="2">
        <f>YEAR(Table14[[#This Row],[Data_Wystawienia]])</f>
        <v>2024</v>
      </c>
      <c r="O2217" s="2" t="str">
        <f>TEXT(Table14[[#This Row],[Data_Wystawienia]],"rrrr-mm")</f>
        <v>2024-04</v>
      </c>
      <c r="P2217" s="2">
        <v>1</v>
      </c>
    </row>
    <row r="2218" spans="1:16" x14ac:dyDescent="0.3">
      <c r="A2218" s="2" t="str">
        <f>TRIM(Table1[[#This Row],[Numer_FV]])</f>
        <v>FV/66045/VDb/2024</v>
      </c>
      <c r="B2218" s="2" t="str">
        <f>TRIM(Table1[[#This Row],[Numer_PZ]])</f>
        <v>PZ/802216</v>
      </c>
      <c r="C2218" s="2" t="str">
        <f>TRIM(Table1[[#This Row],[Dostawca]])</f>
        <v>VitaDistrib</v>
      </c>
      <c r="D2218" s="3">
        <v>45383</v>
      </c>
      <c r="E2218" s="4" t="s">
        <v>6550</v>
      </c>
      <c r="F2218" s="2" t="str">
        <f>TRIM(Table1[[#This Row],[Status]])</f>
        <v>Zaakceptowana</v>
      </c>
      <c r="G2218" s="2" t="str">
        <f>TRIM(Table1[[#This Row],[Typ]])</f>
        <v>Faktura VAT</v>
      </c>
      <c r="H2218" s="2" t="str">
        <f>TRIM(Table1[[#This Row],[Magazyn]])</f>
        <v>Apteka Szpitalna</v>
      </c>
      <c r="I2218" s="2" t="str">
        <f>TRIM(Table1[[#This Row],[Umowa]])</f>
        <v>UM-VIT-01</v>
      </c>
      <c r="J2218" s="2" t="b">
        <f>ISTEXT(Table14[[#This Row],[Data_Wystawienia]])</f>
        <v>0</v>
      </c>
      <c r="K2218" s="2">
        <f>VALUE(SUBSTITUTE(Table14[[#This Row],[Wartość]],".",","))</f>
        <v>20784.02</v>
      </c>
      <c r="L22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8" s="2" t="str">
        <f>IF(Table14[[#This Row],[Umowa]]="","Poza umową","Z umowy")</f>
        <v>Z umowy</v>
      </c>
      <c r="N2218" s="2">
        <f>YEAR(Table14[[#This Row],[Data_Wystawienia]])</f>
        <v>2024</v>
      </c>
      <c r="O2218" s="2" t="str">
        <f>TEXT(Table14[[#This Row],[Data_Wystawienia]],"rrrr-mm")</f>
        <v>2024-04</v>
      </c>
      <c r="P2218" s="2">
        <v>1</v>
      </c>
    </row>
    <row r="2219" spans="1:16" x14ac:dyDescent="0.3">
      <c r="A2219" s="2" t="str">
        <f>TRIM(Table1[[#This Row],[Numer_FV]])</f>
        <v>FV/32517/VDb/2024</v>
      </c>
      <c r="B2219" s="2" t="str">
        <f>TRIM(Table1[[#This Row],[Numer_PZ]])</f>
        <v>PZ/802217</v>
      </c>
      <c r="C2219" s="2" t="str">
        <f>TRIM(Table1[[#This Row],[Dostawca]])</f>
        <v>VitaDistrib</v>
      </c>
      <c r="D2219" s="3">
        <v>45384</v>
      </c>
      <c r="E2219" s="4" t="s">
        <v>6553</v>
      </c>
      <c r="F2219" s="2" t="str">
        <f>TRIM(Table1[[#This Row],[Status]])</f>
        <v>Zaakceptowana</v>
      </c>
      <c r="G2219" s="2" t="str">
        <f>TRIM(Table1[[#This Row],[Typ]])</f>
        <v>Faktura VAT</v>
      </c>
      <c r="H2219" s="2" t="str">
        <f>TRIM(Table1[[#This Row],[Magazyn]])</f>
        <v>Apteka Szpitalna</v>
      </c>
      <c r="I2219" s="2" t="str">
        <f>TRIM(Table1[[#This Row],[Umowa]])</f>
        <v/>
      </c>
      <c r="J2219" s="2" t="b">
        <f>ISTEXT(Table14[[#This Row],[Data_Wystawienia]])</f>
        <v>0</v>
      </c>
      <c r="K2219" s="2">
        <f>VALUE(SUBSTITUTE(Table14[[#This Row],[Wartość]],".",","))</f>
        <v>9231.73</v>
      </c>
      <c r="L22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19" s="2" t="str">
        <f>IF(Table14[[#This Row],[Umowa]]="","Poza umową","Z umowy")</f>
        <v>Poza umową</v>
      </c>
      <c r="N2219" s="2">
        <f>YEAR(Table14[[#This Row],[Data_Wystawienia]])</f>
        <v>2024</v>
      </c>
      <c r="O2219" s="2" t="str">
        <f>TEXT(Table14[[#This Row],[Data_Wystawienia]],"rrrr-mm")</f>
        <v>2024-04</v>
      </c>
      <c r="P2219" s="2">
        <v>1</v>
      </c>
    </row>
    <row r="2220" spans="1:16" x14ac:dyDescent="0.3">
      <c r="A2220" s="2" t="str">
        <f>TRIM(Table1[[#This Row],[Numer_FV]])</f>
        <v>FV/CENFA/281132/24</v>
      </c>
      <c r="B2220" s="2" t="str">
        <f>TRIM(Table1[[#This Row],[Numer_PZ]])</f>
        <v>PZ/802218</v>
      </c>
      <c r="C2220" s="2" t="str">
        <f>TRIM(Table1[[#This Row],[Dostawca]])</f>
        <v>CentrumFarm</v>
      </c>
      <c r="D2220" s="3">
        <v>45385</v>
      </c>
      <c r="E2220" s="4" t="s">
        <v>6556</v>
      </c>
      <c r="F2220" s="2" t="str">
        <f>TRIM(Table1[[#This Row],[Status]])</f>
        <v>Zaakceptowana</v>
      </c>
      <c r="G2220" s="2" t="str">
        <f>TRIM(Table1[[#This Row],[Typ]])</f>
        <v>Faktura VAT</v>
      </c>
      <c r="H2220" s="2" t="str">
        <f>TRIM(Table1[[#This Row],[Magazyn]])</f>
        <v>Apteka Szpitalna</v>
      </c>
      <c r="I2220" s="2" t="str">
        <f>TRIM(Table1[[#This Row],[Umowa]])</f>
        <v>UM-CEN-01</v>
      </c>
      <c r="J2220" s="2" t="b">
        <f>ISTEXT(Table14[[#This Row],[Data_Wystawienia]])</f>
        <v>0</v>
      </c>
      <c r="K2220" s="2">
        <f>VALUE(SUBSTITUTE(Table14[[#This Row],[Wartość]],".",","))</f>
        <v>15895.02</v>
      </c>
      <c r="L22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0" s="2" t="str">
        <f>IF(Table14[[#This Row],[Umowa]]="","Poza umową","Z umowy")</f>
        <v>Z umowy</v>
      </c>
      <c r="N2220" s="2">
        <f>YEAR(Table14[[#This Row],[Data_Wystawienia]])</f>
        <v>2024</v>
      </c>
      <c r="O2220" s="2" t="str">
        <f>TEXT(Table14[[#This Row],[Data_Wystawienia]],"rrrr-mm")</f>
        <v>2024-04</v>
      </c>
      <c r="P2220" s="2">
        <v>1</v>
      </c>
    </row>
    <row r="2221" spans="1:16" x14ac:dyDescent="0.3">
      <c r="A2221" s="2" t="str">
        <f>TRIM(Table1[[#This Row],[Numer_FV]])</f>
        <v>FV/73/PP/8594/24</v>
      </c>
      <c r="B2221" s="2" t="str">
        <f>TRIM(Table1[[#This Row],[Numer_PZ]])</f>
        <v>PZ/802219</v>
      </c>
      <c r="C2221" s="2" t="str">
        <f>TRIM(Table1[[#This Row],[Dostawca]])</f>
        <v>PharmaPlus</v>
      </c>
      <c r="D2221" s="3">
        <v>45385</v>
      </c>
      <c r="E2221" s="4" t="s">
        <v>6559</v>
      </c>
      <c r="F2221" s="2" t="str">
        <f>TRIM(Table1[[#This Row],[Status]])</f>
        <v>Zaakceptowana</v>
      </c>
      <c r="G2221" s="2" t="str">
        <f>TRIM(Table1[[#This Row],[Typ]])</f>
        <v>Faktura VAT</v>
      </c>
      <c r="H2221" s="2" t="str">
        <f>TRIM(Table1[[#This Row],[Magazyn]])</f>
        <v>Apteka Szpitalna</v>
      </c>
      <c r="I2221" s="2" t="str">
        <f>TRIM(Table1[[#This Row],[Umowa]])</f>
        <v/>
      </c>
      <c r="J2221" s="2" t="b">
        <f>ISTEXT(Table14[[#This Row],[Data_Wystawienia]])</f>
        <v>0</v>
      </c>
      <c r="K2221" s="2">
        <f>VALUE(SUBSTITUTE(Table14[[#This Row],[Wartość]],".",","))</f>
        <v>22614.76</v>
      </c>
      <c r="L22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1" s="2" t="str">
        <f>IF(Table14[[#This Row],[Umowa]]="","Poza umową","Z umowy")</f>
        <v>Poza umową</v>
      </c>
      <c r="N2221" s="2">
        <f>YEAR(Table14[[#This Row],[Data_Wystawienia]])</f>
        <v>2024</v>
      </c>
      <c r="O2221" s="2" t="str">
        <f>TEXT(Table14[[#This Row],[Data_Wystawienia]],"rrrr-mm")</f>
        <v>2024-04</v>
      </c>
      <c r="P2221" s="2">
        <v>1</v>
      </c>
    </row>
    <row r="2222" spans="1:16" x14ac:dyDescent="0.3">
      <c r="A2222" s="2" t="str">
        <f>TRIM(Table1[[#This Row],[Numer_FV]])</f>
        <v>FV/78062/VDb/2024</v>
      </c>
      <c r="B2222" s="2" t="str">
        <f>TRIM(Table1[[#This Row],[Numer_PZ]])</f>
        <v>PZ/802220</v>
      </c>
      <c r="C2222" s="2" t="str">
        <f>TRIM(Table1[[#This Row],[Dostawca]])</f>
        <v>VitaDistrib</v>
      </c>
      <c r="D2222" s="3">
        <v>45385</v>
      </c>
      <c r="E2222" s="4" t="s">
        <v>6562</v>
      </c>
      <c r="F2222" s="2" t="str">
        <f>TRIM(Table1[[#This Row],[Status]])</f>
        <v>Zaakceptowana</v>
      </c>
      <c r="G2222" s="2" t="str">
        <f>TRIM(Table1[[#This Row],[Typ]])</f>
        <v>Faktura VAT</v>
      </c>
      <c r="H2222" s="2" t="str">
        <f>TRIM(Table1[[#This Row],[Magazyn]])</f>
        <v>Apteka Szpitalna</v>
      </c>
      <c r="I2222" s="2" t="str">
        <f>TRIM(Table1[[#This Row],[Umowa]])</f>
        <v>UM-VIT-01</v>
      </c>
      <c r="J2222" s="2" t="b">
        <f>ISTEXT(Table14[[#This Row],[Data_Wystawienia]])</f>
        <v>0</v>
      </c>
      <c r="K2222" s="2">
        <f>VALUE(SUBSTITUTE(Table14[[#This Row],[Wartość]],".",","))</f>
        <v>8199.82</v>
      </c>
      <c r="L22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2" s="2" t="str">
        <f>IF(Table14[[#This Row],[Umowa]]="","Poza umową","Z umowy")</f>
        <v>Z umowy</v>
      </c>
      <c r="N2222" s="2">
        <f>YEAR(Table14[[#This Row],[Data_Wystawienia]])</f>
        <v>2024</v>
      </c>
      <c r="O2222" s="2" t="str">
        <f>TEXT(Table14[[#This Row],[Data_Wystawienia]],"rrrr-mm")</f>
        <v>2024-04</v>
      </c>
      <c r="P2222" s="2">
        <v>1</v>
      </c>
    </row>
    <row r="2223" spans="1:16" x14ac:dyDescent="0.3">
      <c r="A2223" s="2" t="str">
        <f>TRIM(Table1[[#This Row],[Numer_FV]])</f>
        <v>FV/5221HM/24</v>
      </c>
      <c r="B2223" s="2" t="str">
        <f>TRIM(Table1[[#This Row],[Numer_PZ]])</f>
        <v>PZ/802221</v>
      </c>
      <c r="C2223" s="2" t="str">
        <f>TRIM(Table1[[#This Row],[Dostawca]])</f>
        <v>HurtMedix</v>
      </c>
      <c r="D2223" s="3">
        <v>45386</v>
      </c>
      <c r="E2223" s="4" t="s">
        <v>6565</v>
      </c>
      <c r="F2223" s="2" t="str">
        <f>TRIM(Table1[[#This Row],[Status]])</f>
        <v>Zaakceptowana</v>
      </c>
      <c r="G2223" s="2" t="str">
        <f>TRIM(Table1[[#This Row],[Typ]])</f>
        <v>Faktura VAT</v>
      </c>
      <c r="H2223" s="2" t="str">
        <f>TRIM(Table1[[#This Row],[Magazyn]])</f>
        <v>Apteka Szpitalna</v>
      </c>
      <c r="I2223" s="2" t="str">
        <f>TRIM(Table1[[#This Row],[Umowa]])</f>
        <v>UM-HUR-02</v>
      </c>
      <c r="J2223" s="2" t="b">
        <f>ISTEXT(Table14[[#This Row],[Data_Wystawienia]])</f>
        <v>0</v>
      </c>
      <c r="K2223" s="2">
        <f>VALUE(SUBSTITUTE(Table14[[#This Row],[Wartość]],".",","))</f>
        <v>5999.54</v>
      </c>
      <c r="L22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3" s="2" t="str">
        <f>IF(Table14[[#This Row],[Umowa]]="","Poza umową","Z umowy")</f>
        <v>Z umowy</v>
      </c>
      <c r="N2223" s="2">
        <f>YEAR(Table14[[#This Row],[Data_Wystawienia]])</f>
        <v>2024</v>
      </c>
      <c r="O2223" s="2" t="str">
        <f>TEXT(Table14[[#This Row],[Data_Wystawienia]],"rrrr-mm")</f>
        <v>2024-04</v>
      </c>
      <c r="P2223" s="2">
        <v>1</v>
      </c>
    </row>
    <row r="2224" spans="1:16" x14ac:dyDescent="0.3">
      <c r="A2224" s="2" t="str">
        <f>TRIM(Table1[[#This Row],[Numer_FV]])</f>
        <v>FV/CENFA/871983/24</v>
      </c>
      <c r="B2224" s="2" t="str">
        <f>TRIM(Table1[[#This Row],[Numer_PZ]])</f>
        <v>PZ/802222</v>
      </c>
      <c r="C2224" s="2" t="str">
        <f>TRIM(Table1[[#This Row],[Dostawca]])</f>
        <v>CentrumFarm</v>
      </c>
      <c r="D2224" s="3">
        <v>45386</v>
      </c>
      <c r="E2224" s="4" t="s">
        <v>6568</v>
      </c>
      <c r="F2224" s="2" t="str">
        <f>TRIM(Table1[[#This Row],[Status]])</f>
        <v>Zaakceptowana</v>
      </c>
      <c r="G2224" s="2" t="str">
        <f>TRIM(Table1[[#This Row],[Typ]])</f>
        <v>Faktura VAT</v>
      </c>
      <c r="H2224" s="2" t="str">
        <f>TRIM(Table1[[#This Row],[Magazyn]])</f>
        <v>Apteka Szpitalna</v>
      </c>
      <c r="I2224" s="2" t="str">
        <f>TRIM(Table1[[#This Row],[Umowa]])</f>
        <v>UM-CEN-01</v>
      </c>
      <c r="J2224" s="2" t="b">
        <f>ISTEXT(Table14[[#This Row],[Data_Wystawienia]])</f>
        <v>0</v>
      </c>
      <c r="K2224" s="2">
        <f>VALUE(SUBSTITUTE(Table14[[#This Row],[Wartość]],".",","))</f>
        <v>15417.88</v>
      </c>
      <c r="L22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4" s="2" t="str">
        <f>IF(Table14[[#This Row],[Umowa]]="","Poza umową","Z umowy")</f>
        <v>Z umowy</v>
      </c>
      <c r="N2224" s="2">
        <f>YEAR(Table14[[#This Row],[Data_Wystawienia]])</f>
        <v>2024</v>
      </c>
      <c r="O2224" s="2" t="str">
        <f>TEXT(Table14[[#This Row],[Data_Wystawienia]],"rrrr-mm")</f>
        <v>2024-04</v>
      </c>
      <c r="P2224" s="2">
        <v>1</v>
      </c>
    </row>
    <row r="2225" spans="1:16" x14ac:dyDescent="0.3">
      <c r="A2225" s="2" t="str">
        <f>TRIM(Table1[[#This Row],[Numer_FV]])</f>
        <v>FV/63/SAL/24</v>
      </c>
      <c r="B2225" s="2" t="str">
        <f>TRIM(Table1[[#This Row],[Numer_PZ]])</f>
        <v>PZ/802223</v>
      </c>
      <c r="C2225" s="2" t="str">
        <f>TRIM(Table1[[#This Row],[Dostawca]])</f>
        <v>SalusHurt</v>
      </c>
      <c r="D2225" s="3">
        <v>45387</v>
      </c>
      <c r="E2225" s="4" t="s">
        <v>6571</v>
      </c>
      <c r="F2225" s="2" t="str">
        <f>TRIM(Table1[[#This Row],[Status]])</f>
        <v>Zaakceptowana</v>
      </c>
      <c r="G2225" s="2" t="str">
        <f>TRIM(Table1[[#This Row],[Typ]])</f>
        <v>Faktura VAT</v>
      </c>
      <c r="H2225" s="2" t="str">
        <f>TRIM(Table1[[#This Row],[Magazyn]])</f>
        <v>Apteka Szpitalna</v>
      </c>
      <c r="I2225" s="2" t="str">
        <f>TRIM(Table1[[#This Row],[Umowa]])</f>
        <v>UM-SAL-01</v>
      </c>
      <c r="J2225" s="2" t="b">
        <f>ISTEXT(Table14[[#This Row],[Data_Wystawienia]])</f>
        <v>0</v>
      </c>
      <c r="K2225" s="2">
        <f>VALUE(SUBSTITUTE(Table14[[#This Row],[Wartość]],".",","))</f>
        <v>20821.93</v>
      </c>
      <c r="L22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5" s="2" t="str">
        <f>IF(Table14[[#This Row],[Umowa]]="","Poza umową","Z umowy")</f>
        <v>Z umowy</v>
      </c>
      <c r="N2225" s="2">
        <f>YEAR(Table14[[#This Row],[Data_Wystawienia]])</f>
        <v>2024</v>
      </c>
      <c r="O2225" s="2" t="str">
        <f>TEXT(Table14[[#This Row],[Data_Wystawienia]],"rrrr-mm")</f>
        <v>2024-04</v>
      </c>
      <c r="P2225" s="2">
        <v>1</v>
      </c>
    </row>
    <row r="2226" spans="1:16" x14ac:dyDescent="0.3">
      <c r="A2226" s="2" t="str">
        <f>TRIM(Table1[[#This Row],[Numer_FV]])</f>
        <v>FV/90917/VDb/2024</v>
      </c>
      <c r="B2226" s="2" t="str">
        <f>TRIM(Table1[[#This Row],[Numer_PZ]])</f>
        <v>PZ/802224</v>
      </c>
      <c r="C2226" s="2" t="str">
        <f>TRIM(Table1[[#This Row],[Dostawca]])</f>
        <v>VitaDistrib</v>
      </c>
      <c r="D2226" s="3">
        <v>45387</v>
      </c>
      <c r="E2226" s="4" t="s">
        <v>6574</v>
      </c>
      <c r="F2226" s="2" t="str">
        <f>TRIM(Table1[[#This Row],[Status]])</f>
        <v>Zaakceptowana</v>
      </c>
      <c r="G2226" s="2" t="str">
        <f>TRIM(Table1[[#This Row],[Typ]])</f>
        <v>Faktura VAT</v>
      </c>
      <c r="H2226" s="2" t="str">
        <f>TRIM(Table1[[#This Row],[Magazyn]])</f>
        <v>Apteka Szpitalna</v>
      </c>
      <c r="I2226" s="2" t="str">
        <f>TRIM(Table1[[#This Row],[Umowa]])</f>
        <v>UM-VIT-01</v>
      </c>
      <c r="J2226" s="2" t="b">
        <f>ISTEXT(Table14[[#This Row],[Data_Wystawienia]])</f>
        <v>0</v>
      </c>
      <c r="K2226" s="2">
        <f>VALUE(SUBSTITUTE(Table14[[#This Row],[Wartość]],".",","))</f>
        <v>7225.54</v>
      </c>
      <c r="L22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6" s="2" t="str">
        <f>IF(Table14[[#This Row],[Umowa]]="","Poza umową","Z umowy")</f>
        <v>Z umowy</v>
      </c>
      <c r="N2226" s="2">
        <f>YEAR(Table14[[#This Row],[Data_Wystawienia]])</f>
        <v>2024</v>
      </c>
      <c r="O2226" s="2" t="str">
        <f>TEXT(Table14[[#This Row],[Data_Wystawienia]],"rrrr-mm")</f>
        <v>2024-04</v>
      </c>
      <c r="P2226" s="2">
        <v>1</v>
      </c>
    </row>
    <row r="2227" spans="1:16" x14ac:dyDescent="0.3">
      <c r="A2227" s="2" t="str">
        <f>TRIM(Table1[[#This Row],[Numer_FV]])</f>
        <v>FV/39/SAL/24</v>
      </c>
      <c r="B2227" s="2" t="str">
        <f>TRIM(Table1[[#This Row],[Numer_PZ]])</f>
        <v>PZ/802225</v>
      </c>
      <c r="C2227" s="2" t="str">
        <f>TRIM(Table1[[#This Row],[Dostawca]])</f>
        <v>SalusHurt</v>
      </c>
      <c r="D2227" s="3">
        <v>45387</v>
      </c>
      <c r="E2227" s="4" t="s">
        <v>6577</v>
      </c>
      <c r="F2227" s="2" t="str">
        <f>TRIM(Table1[[#This Row],[Status]])</f>
        <v>Zaakceptowana</v>
      </c>
      <c r="G2227" s="2" t="str">
        <f>TRIM(Table1[[#This Row],[Typ]])</f>
        <v>Faktura VAT</v>
      </c>
      <c r="H2227" s="2" t="str">
        <f>TRIM(Table1[[#This Row],[Magazyn]])</f>
        <v>Apteka Szpitalna</v>
      </c>
      <c r="I2227" s="2" t="str">
        <f>TRIM(Table1[[#This Row],[Umowa]])</f>
        <v>UM-SAL-01</v>
      </c>
      <c r="J2227" s="2" t="b">
        <f>ISTEXT(Table14[[#This Row],[Data_Wystawienia]])</f>
        <v>0</v>
      </c>
      <c r="K2227" s="2">
        <f>VALUE(SUBSTITUTE(Table14[[#This Row],[Wartość]],".",","))</f>
        <v>8404.9699999999993</v>
      </c>
      <c r="L22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7" s="2" t="str">
        <f>IF(Table14[[#This Row],[Umowa]]="","Poza umową","Z umowy")</f>
        <v>Z umowy</v>
      </c>
      <c r="N2227" s="2">
        <f>YEAR(Table14[[#This Row],[Data_Wystawienia]])</f>
        <v>2024</v>
      </c>
      <c r="O2227" s="2" t="str">
        <f>TEXT(Table14[[#This Row],[Data_Wystawienia]],"rrrr-mm")</f>
        <v>2024-04</v>
      </c>
      <c r="P2227" s="2">
        <v>1</v>
      </c>
    </row>
    <row r="2228" spans="1:16" x14ac:dyDescent="0.3">
      <c r="A2228" s="2" t="str">
        <f>TRIM(Table1[[#This Row],[Numer_FV]])</f>
        <v>FV/POL/94360/2024</v>
      </c>
      <c r="B2228" s="2" t="str">
        <f>TRIM(Table1[[#This Row],[Numer_PZ]])</f>
        <v>PZ/802226</v>
      </c>
      <c r="C2228" s="2" t="str">
        <f>TRIM(Table1[[#This Row],[Dostawca]])</f>
        <v>Polmedica</v>
      </c>
      <c r="D2228" s="3">
        <v>45388</v>
      </c>
      <c r="E2228" s="4" t="s">
        <v>6580</v>
      </c>
      <c r="F2228" s="2" t="str">
        <f>TRIM(Table1[[#This Row],[Status]])</f>
        <v>Zaakceptowana</v>
      </c>
      <c r="G2228" s="2" t="str">
        <f>TRIM(Table1[[#This Row],[Typ]])</f>
        <v>Faktura VAT</v>
      </c>
      <c r="H2228" s="2" t="str">
        <f>TRIM(Table1[[#This Row],[Magazyn]])</f>
        <v>Apteka Szpitalna</v>
      </c>
      <c r="I2228" s="2" t="str">
        <f>TRIM(Table1[[#This Row],[Umowa]])</f>
        <v>UM-POL-02</v>
      </c>
      <c r="J2228" s="2" t="b">
        <f>ISTEXT(Table14[[#This Row],[Data_Wystawienia]])</f>
        <v>0</v>
      </c>
      <c r="K2228" s="2">
        <f>VALUE(SUBSTITUTE(Table14[[#This Row],[Wartość]],".",","))</f>
        <v>3523.69</v>
      </c>
      <c r="L22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8" s="2" t="str">
        <f>IF(Table14[[#This Row],[Umowa]]="","Poza umową","Z umowy")</f>
        <v>Z umowy</v>
      </c>
      <c r="N2228" s="2">
        <f>YEAR(Table14[[#This Row],[Data_Wystawienia]])</f>
        <v>2024</v>
      </c>
      <c r="O2228" s="2" t="str">
        <f>TEXT(Table14[[#This Row],[Data_Wystawienia]],"rrrr-mm")</f>
        <v>2024-04</v>
      </c>
      <c r="P2228" s="2">
        <v>1</v>
      </c>
    </row>
    <row r="2229" spans="1:16" x14ac:dyDescent="0.3">
      <c r="A2229" s="2" t="str">
        <f>TRIM(Table1[[#This Row],[Numer_FV]])</f>
        <v>FV/M/4907/P/24</v>
      </c>
      <c r="B2229" s="2" t="str">
        <f>TRIM(Table1[[#This Row],[Numer_PZ]])</f>
        <v>PZ/802227</v>
      </c>
      <c r="C2229" s="2" t="str">
        <f>TRIM(Table1[[#This Row],[Dostawca]])</f>
        <v>MedicaPharm</v>
      </c>
      <c r="D2229" s="3">
        <v>45388</v>
      </c>
      <c r="E2229" s="4" t="s">
        <v>6583</v>
      </c>
      <c r="F2229" s="2" t="str">
        <f>TRIM(Table1[[#This Row],[Status]])</f>
        <v>Zaakceptowana</v>
      </c>
      <c r="G2229" s="2" t="str">
        <f>TRIM(Table1[[#This Row],[Typ]])</f>
        <v>Faktura VAT</v>
      </c>
      <c r="H2229" s="2" t="str">
        <f>TRIM(Table1[[#This Row],[Magazyn]])</f>
        <v>Apteka Szpitalna</v>
      </c>
      <c r="I2229" s="2" t="str">
        <f>TRIM(Table1[[#This Row],[Umowa]])</f>
        <v>UM-MED-02</v>
      </c>
      <c r="J2229" s="2" t="b">
        <f>ISTEXT(Table14[[#This Row],[Data_Wystawienia]])</f>
        <v>0</v>
      </c>
      <c r="K2229" s="2">
        <f>VALUE(SUBSTITUTE(Table14[[#This Row],[Wartość]],".",","))</f>
        <v>12577.77</v>
      </c>
      <c r="L22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29" s="2" t="str">
        <f>IF(Table14[[#This Row],[Umowa]]="","Poza umową","Z umowy")</f>
        <v>Z umowy</v>
      </c>
      <c r="N2229" s="2">
        <f>YEAR(Table14[[#This Row],[Data_Wystawienia]])</f>
        <v>2024</v>
      </c>
      <c r="O2229" s="2" t="str">
        <f>TEXT(Table14[[#This Row],[Data_Wystawienia]],"rrrr-mm")</f>
        <v>2024-04</v>
      </c>
      <c r="P2229" s="2">
        <v>1</v>
      </c>
    </row>
    <row r="2230" spans="1:16" x14ac:dyDescent="0.3">
      <c r="A2230" s="2" t="str">
        <f>TRIM(Table1[[#This Row],[Numer_FV]])</f>
        <v>FV/91/PP/8151/24</v>
      </c>
      <c r="B2230" s="2" t="str">
        <f>TRIM(Table1[[#This Row],[Numer_PZ]])</f>
        <v>PZ/802228</v>
      </c>
      <c r="C2230" s="2" t="str">
        <f>TRIM(Table1[[#This Row],[Dostawca]])</f>
        <v>PharmaPlus</v>
      </c>
      <c r="D2230" s="3">
        <v>45388</v>
      </c>
      <c r="E2230" s="4" t="s">
        <v>6586</v>
      </c>
      <c r="F2230" s="2" t="str">
        <f>TRIM(Table1[[#This Row],[Status]])</f>
        <v>Zaakceptowana</v>
      </c>
      <c r="G2230" s="2" t="str">
        <f>TRIM(Table1[[#This Row],[Typ]])</f>
        <v>Faktura VAT</v>
      </c>
      <c r="H2230" s="2" t="str">
        <f>TRIM(Table1[[#This Row],[Magazyn]])</f>
        <v>Apteka Szpitalna</v>
      </c>
      <c r="I2230" s="2" t="str">
        <f>TRIM(Table1[[#This Row],[Umowa]])</f>
        <v/>
      </c>
      <c r="J2230" s="2" t="b">
        <f>ISTEXT(Table14[[#This Row],[Data_Wystawienia]])</f>
        <v>0</v>
      </c>
      <c r="K2230" s="2">
        <f>VALUE(SUBSTITUTE(Table14[[#This Row],[Wartość]],".",","))</f>
        <v>11299.91</v>
      </c>
      <c r="L22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0" s="2" t="str">
        <f>IF(Table14[[#This Row],[Umowa]]="","Poza umową","Z umowy")</f>
        <v>Poza umową</v>
      </c>
      <c r="N2230" s="2">
        <f>YEAR(Table14[[#This Row],[Data_Wystawienia]])</f>
        <v>2024</v>
      </c>
      <c r="O2230" s="2" t="str">
        <f>TEXT(Table14[[#This Row],[Data_Wystawienia]],"rrrr-mm")</f>
        <v>2024-04</v>
      </c>
      <c r="P2230" s="2">
        <v>1</v>
      </c>
    </row>
    <row r="2231" spans="1:16" x14ac:dyDescent="0.3">
      <c r="A2231" s="2" t="str">
        <f>TRIM(Table1[[#This Row],[Numer_FV]])</f>
        <v>FV/96/PP/4640/24</v>
      </c>
      <c r="B2231" s="2" t="str">
        <f>TRIM(Table1[[#This Row],[Numer_PZ]])</f>
        <v>PZ/802229</v>
      </c>
      <c r="C2231" s="2" t="str">
        <f>TRIM(Table1[[#This Row],[Dostawca]])</f>
        <v>PharmaPlus</v>
      </c>
      <c r="D2231" s="3">
        <v>45389</v>
      </c>
      <c r="E2231" s="4" t="s">
        <v>6589</v>
      </c>
      <c r="F2231" s="2" t="str">
        <f>TRIM(Table1[[#This Row],[Status]])</f>
        <v>Zaakceptowana</v>
      </c>
      <c r="G2231" s="2" t="str">
        <f>TRIM(Table1[[#This Row],[Typ]])</f>
        <v>Faktura VAT</v>
      </c>
      <c r="H2231" s="2" t="str">
        <f>TRIM(Table1[[#This Row],[Magazyn]])</f>
        <v>Apteka Szpitalna</v>
      </c>
      <c r="I2231" s="2" t="str">
        <f>TRIM(Table1[[#This Row],[Umowa]])</f>
        <v>UM-PHA-01</v>
      </c>
      <c r="J2231" s="2" t="b">
        <f>ISTEXT(Table14[[#This Row],[Data_Wystawienia]])</f>
        <v>0</v>
      </c>
      <c r="K2231" s="2">
        <f>VALUE(SUBSTITUTE(Table14[[#This Row],[Wartość]],".",","))</f>
        <v>11242.01</v>
      </c>
      <c r="L22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1" s="2" t="str">
        <f>IF(Table14[[#This Row],[Umowa]]="","Poza umową","Z umowy")</f>
        <v>Z umowy</v>
      </c>
      <c r="N2231" s="2">
        <f>YEAR(Table14[[#This Row],[Data_Wystawienia]])</f>
        <v>2024</v>
      </c>
      <c r="O2231" s="2" t="str">
        <f>TEXT(Table14[[#This Row],[Data_Wystawienia]],"rrrr-mm")</f>
        <v>2024-04</v>
      </c>
      <c r="P2231" s="2">
        <v>1</v>
      </c>
    </row>
    <row r="2232" spans="1:16" x14ac:dyDescent="0.3">
      <c r="A2232" s="2" t="str">
        <f>TRIM(Table1[[#This Row],[Numer_FV]])</f>
        <v>FV/4145/NOVA/24</v>
      </c>
      <c r="B2232" s="2" t="str">
        <f>TRIM(Table1[[#This Row],[Numer_PZ]])</f>
        <v>PZ/802230</v>
      </c>
      <c r="C2232" s="2" t="str">
        <f>TRIM(Table1[[#This Row],[Dostawca]])</f>
        <v>NovaLek</v>
      </c>
      <c r="D2232" s="3">
        <v>45389</v>
      </c>
      <c r="E2232" s="4" t="s">
        <v>6592</v>
      </c>
      <c r="F2232" s="2" t="str">
        <f>TRIM(Table1[[#This Row],[Status]])</f>
        <v>Zaakceptowana</v>
      </c>
      <c r="G2232" s="2" t="str">
        <f>TRIM(Table1[[#This Row],[Typ]])</f>
        <v>Faktura VAT</v>
      </c>
      <c r="H2232" s="2" t="str">
        <f>TRIM(Table1[[#This Row],[Magazyn]])</f>
        <v>Apteka Szpitalna</v>
      </c>
      <c r="I2232" s="2" t="str">
        <f>TRIM(Table1[[#This Row],[Umowa]])</f>
        <v>UM-NOV-03</v>
      </c>
      <c r="J2232" s="2" t="b">
        <f>ISTEXT(Table14[[#This Row],[Data_Wystawienia]])</f>
        <v>0</v>
      </c>
      <c r="K2232" s="2">
        <f>VALUE(SUBSTITUTE(Table14[[#This Row],[Wartość]],".",","))</f>
        <v>18327.32</v>
      </c>
      <c r="L22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2" s="2" t="str">
        <f>IF(Table14[[#This Row],[Umowa]]="","Poza umową","Z umowy")</f>
        <v>Z umowy</v>
      </c>
      <c r="N2232" s="2">
        <f>YEAR(Table14[[#This Row],[Data_Wystawienia]])</f>
        <v>2024</v>
      </c>
      <c r="O2232" s="2" t="str">
        <f>TEXT(Table14[[#This Row],[Data_Wystawienia]],"rrrr-mm")</f>
        <v>2024-04</v>
      </c>
      <c r="P2232" s="2">
        <v>1</v>
      </c>
    </row>
    <row r="2233" spans="1:16" x14ac:dyDescent="0.3">
      <c r="A2233" s="2" t="str">
        <f>TRIM(Table1[[#This Row],[Numer_FV]])</f>
        <v>FV/94/PP/6903/24</v>
      </c>
      <c r="B2233" s="2" t="str">
        <f>TRIM(Table1[[#This Row],[Numer_PZ]])</f>
        <v>PZ/802231</v>
      </c>
      <c r="C2233" s="2" t="str">
        <f>TRIM(Table1[[#This Row],[Dostawca]])</f>
        <v>PharmaPlus</v>
      </c>
      <c r="D2233" s="3">
        <v>45389</v>
      </c>
      <c r="E2233" s="4" t="s">
        <v>6595</v>
      </c>
      <c r="F2233" s="2" t="str">
        <f>TRIM(Table1[[#This Row],[Status]])</f>
        <v>Zaakceptowana</v>
      </c>
      <c r="G2233" s="2" t="str">
        <f>TRIM(Table1[[#This Row],[Typ]])</f>
        <v>Faktura VAT</v>
      </c>
      <c r="H2233" s="2" t="str">
        <f>TRIM(Table1[[#This Row],[Magazyn]])</f>
        <v>Apteka Szpitalna</v>
      </c>
      <c r="I2233" s="2" t="str">
        <f>TRIM(Table1[[#This Row],[Umowa]])</f>
        <v>UM-PHA-01</v>
      </c>
      <c r="J2233" s="2" t="b">
        <f>ISTEXT(Table14[[#This Row],[Data_Wystawienia]])</f>
        <v>0</v>
      </c>
      <c r="K2233" s="2">
        <f>VALUE(SUBSTITUTE(Table14[[#This Row],[Wartość]],".",","))</f>
        <v>21801.53</v>
      </c>
      <c r="L22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3" s="2" t="str">
        <f>IF(Table14[[#This Row],[Umowa]]="","Poza umową","Z umowy")</f>
        <v>Z umowy</v>
      </c>
      <c r="N2233" s="2">
        <f>YEAR(Table14[[#This Row],[Data_Wystawienia]])</f>
        <v>2024</v>
      </c>
      <c r="O2233" s="2" t="str">
        <f>TEXT(Table14[[#This Row],[Data_Wystawienia]],"rrrr-mm")</f>
        <v>2024-04</v>
      </c>
      <c r="P2233" s="2">
        <v>1</v>
      </c>
    </row>
    <row r="2234" spans="1:16" x14ac:dyDescent="0.3">
      <c r="A2234" s="2" t="str">
        <f>TRIM(Table1[[#This Row],[Numer_FV]])</f>
        <v>FV/3155/NOVA/24</v>
      </c>
      <c r="B2234" s="2" t="str">
        <f>TRIM(Table1[[#This Row],[Numer_PZ]])</f>
        <v>PZ/802232</v>
      </c>
      <c r="C2234" s="2" t="str">
        <f>TRIM(Table1[[#This Row],[Dostawca]])</f>
        <v>NovaLek</v>
      </c>
      <c r="D2234" s="3">
        <v>45389</v>
      </c>
      <c r="E2234" s="4" t="s">
        <v>6598</v>
      </c>
      <c r="F2234" s="2" t="str">
        <f>TRIM(Table1[[#This Row],[Status]])</f>
        <v>Zaakceptowana</v>
      </c>
      <c r="G2234" s="2" t="str">
        <f>TRIM(Table1[[#This Row],[Typ]])</f>
        <v>Faktura VAT</v>
      </c>
      <c r="H2234" s="2" t="str">
        <f>TRIM(Table1[[#This Row],[Magazyn]])</f>
        <v>Apteka Szpitalna</v>
      </c>
      <c r="I2234" s="2" t="str">
        <f>TRIM(Table1[[#This Row],[Umowa]])</f>
        <v/>
      </c>
      <c r="J2234" s="2" t="b">
        <f>ISTEXT(Table14[[#This Row],[Data_Wystawienia]])</f>
        <v>0</v>
      </c>
      <c r="K2234" s="2">
        <f>VALUE(SUBSTITUTE(Table14[[#This Row],[Wartość]],".",","))</f>
        <v>26561.68</v>
      </c>
      <c r="L22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4" s="2" t="str">
        <f>IF(Table14[[#This Row],[Umowa]]="","Poza umową","Z umowy")</f>
        <v>Poza umową</v>
      </c>
      <c r="N2234" s="2">
        <f>YEAR(Table14[[#This Row],[Data_Wystawienia]])</f>
        <v>2024</v>
      </c>
      <c r="O2234" s="2" t="str">
        <f>TEXT(Table14[[#This Row],[Data_Wystawienia]],"rrrr-mm")</f>
        <v>2024-04</v>
      </c>
      <c r="P2234" s="2">
        <v>1</v>
      </c>
    </row>
    <row r="2235" spans="1:16" x14ac:dyDescent="0.3">
      <c r="A2235" s="2" t="str">
        <f>TRIM(Table1[[#This Row],[Numer_FV]])</f>
        <v>FV/CENFA/603964/24</v>
      </c>
      <c r="B2235" s="2" t="str">
        <f>TRIM(Table1[[#This Row],[Numer_PZ]])</f>
        <v>PZ/802233</v>
      </c>
      <c r="C2235" s="2" t="str">
        <f>TRIM(Table1[[#This Row],[Dostawca]])</f>
        <v>CentrumFarm</v>
      </c>
      <c r="D2235" s="3">
        <v>45389</v>
      </c>
      <c r="E2235" s="4" t="s">
        <v>6601</v>
      </c>
      <c r="F2235" s="2" t="str">
        <f>TRIM(Table1[[#This Row],[Status]])</f>
        <v>Zaakceptowana</v>
      </c>
      <c r="G2235" s="2" t="str">
        <f>TRIM(Table1[[#This Row],[Typ]])</f>
        <v>Faktura VAT</v>
      </c>
      <c r="H2235" s="2" t="str">
        <f>TRIM(Table1[[#This Row],[Magazyn]])</f>
        <v>Apteka Szpitalna</v>
      </c>
      <c r="I2235" s="2" t="str">
        <f>TRIM(Table1[[#This Row],[Umowa]])</f>
        <v>UM-CEN-01</v>
      </c>
      <c r="J2235" s="2" t="b">
        <f>ISTEXT(Table14[[#This Row],[Data_Wystawienia]])</f>
        <v>0</v>
      </c>
      <c r="K2235" s="2">
        <f>VALUE(SUBSTITUTE(Table14[[#This Row],[Wartość]],".",","))</f>
        <v>17761.91</v>
      </c>
      <c r="L22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5" s="2" t="str">
        <f>IF(Table14[[#This Row],[Umowa]]="","Poza umową","Z umowy")</f>
        <v>Z umowy</v>
      </c>
      <c r="N2235" s="2">
        <f>YEAR(Table14[[#This Row],[Data_Wystawienia]])</f>
        <v>2024</v>
      </c>
      <c r="O2235" s="2" t="str">
        <f>TEXT(Table14[[#This Row],[Data_Wystawienia]],"rrrr-mm")</f>
        <v>2024-04</v>
      </c>
      <c r="P2235" s="2">
        <v>1</v>
      </c>
    </row>
    <row r="2236" spans="1:16" x14ac:dyDescent="0.3">
      <c r="A2236" s="2" t="str">
        <f>TRIM(Table1[[#This Row],[Numer_FV]])</f>
        <v>FV/26209/VDb/2024</v>
      </c>
      <c r="B2236" s="2" t="str">
        <f>TRIM(Table1[[#This Row],[Numer_PZ]])</f>
        <v>PZ/802234</v>
      </c>
      <c r="C2236" s="2" t="str">
        <f>TRIM(Table1[[#This Row],[Dostawca]])</f>
        <v>VitaDistrib</v>
      </c>
      <c r="D2236" s="3">
        <v>45390</v>
      </c>
      <c r="E2236" s="4" t="s">
        <v>6604</v>
      </c>
      <c r="F2236" s="2" t="str">
        <f>TRIM(Table1[[#This Row],[Status]])</f>
        <v>Zaakceptowana</v>
      </c>
      <c r="G2236" s="2" t="str">
        <f>TRIM(Table1[[#This Row],[Typ]])</f>
        <v>Faktura VAT</v>
      </c>
      <c r="H2236" s="2" t="str">
        <f>TRIM(Table1[[#This Row],[Magazyn]])</f>
        <v>Apteka Szpitalna</v>
      </c>
      <c r="I2236" s="2" t="str">
        <f>TRIM(Table1[[#This Row],[Umowa]])</f>
        <v>UM-VIT-01</v>
      </c>
      <c r="J2236" s="2" t="b">
        <f>ISTEXT(Table14[[#This Row],[Data_Wystawienia]])</f>
        <v>0</v>
      </c>
      <c r="K2236" s="2">
        <f>VALUE(SUBSTITUTE(Table14[[#This Row],[Wartość]],".",","))</f>
        <v>13361.08</v>
      </c>
      <c r="L22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6" s="2" t="str">
        <f>IF(Table14[[#This Row],[Umowa]]="","Poza umową","Z umowy")</f>
        <v>Z umowy</v>
      </c>
      <c r="N2236" s="2">
        <f>YEAR(Table14[[#This Row],[Data_Wystawienia]])</f>
        <v>2024</v>
      </c>
      <c r="O2236" s="2" t="str">
        <f>TEXT(Table14[[#This Row],[Data_Wystawienia]],"rrrr-mm")</f>
        <v>2024-04</v>
      </c>
      <c r="P2236" s="2">
        <v>1</v>
      </c>
    </row>
    <row r="2237" spans="1:16" x14ac:dyDescent="0.3">
      <c r="A2237" s="2" t="str">
        <f>TRIM(Table1[[#This Row],[Numer_FV]])</f>
        <v>FV/30/PP/2043/24</v>
      </c>
      <c r="B2237" s="2" t="str">
        <f>TRIM(Table1[[#This Row],[Numer_PZ]])</f>
        <v>PZ/802235</v>
      </c>
      <c r="C2237" s="2" t="str">
        <f>TRIM(Table1[[#This Row],[Dostawca]])</f>
        <v>PharmaPlus</v>
      </c>
      <c r="D2237" s="3">
        <v>45390</v>
      </c>
      <c r="E2237" s="4" t="s">
        <v>6607</v>
      </c>
      <c r="F2237" s="2" t="str">
        <f>TRIM(Table1[[#This Row],[Status]])</f>
        <v>Zaakceptowana</v>
      </c>
      <c r="G2237" s="2" t="str">
        <f>TRIM(Table1[[#This Row],[Typ]])</f>
        <v>Korekta FV</v>
      </c>
      <c r="H2237" s="2" t="str">
        <f>TRIM(Table1[[#This Row],[Magazyn]])</f>
        <v>Apteka Szpitalna</v>
      </c>
      <c r="I2237" s="2" t="str">
        <f>TRIM(Table1[[#This Row],[Umowa]])</f>
        <v>UM-PHA-02</v>
      </c>
      <c r="J2237" s="2" t="b">
        <f>ISTEXT(Table14[[#This Row],[Data_Wystawienia]])</f>
        <v>0</v>
      </c>
      <c r="K2237" s="2">
        <f>VALUE(SUBSTITUTE(Table14[[#This Row],[Wartość]],".",","))</f>
        <v>-2279.91</v>
      </c>
      <c r="L22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7" s="2" t="str">
        <f>IF(Table14[[#This Row],[Umowa]]="","Poza umową","Z umowy")</f>
        <v>Z umowy</v>
      </c>
      <c r="N2237" s="2">
        <f>YEAR(Table14[[#This Row],[Data_Wystawienia]])</f>
        <v>2024</v>
      </c>
      <c r="O2237" s="2" t="str">
        <f>TEXT(Table14[[#This Row],[Data_Wystawienia]],"rrrr-mm")</f>
        <v>2024-04</v>
      </c>
      <c r="P2237" s="2">
        <v>1</v>
      </c>
    </row>
    <row r="2238" spans="1:16" x14ac:dyDescent="0.3">
      <c r="A2238" s="2" t="str">
        <f>TRIM(Table1[[#This Row],[Numer_FV]])</f>
        <v>FV/CENFA/189600/24</v>
      </c>
      <c r="B2238" s="2" t="str">
        <f>TRIM(Table1[[#This Row],[Numer_PZ]])</f>
        <v>PZ/802236</v>
      </c>
      <c r="C2238" s="2" t="str">
        <f>TRIM(Table1[[#This Row],[Dostawca]])</f>
        <v>CentrumFarm</v>
      </c>
      <c r="D2238" s="3">
        <v>45391</v>
      </c>
      <c r="E2238" s="4" t="s">
        <v>6610</v>
      </c>
      <c r="F2238" s="2" t="str">
        <f>TRIM(Table1[[#This Row],[Status]])</f>
        <v>Zaakceptowana</v>
      </c>
      <c r="G2238" s="2" t="str">
        <f>TRIM(Table1[[#This Row],[Typ]])</f>
        <v>Faktura VAT</v>
      </c>
      <c r="H2238" s="2" t="str">
        <f>TRIM(Table1[[#This Row],[Magazyn]])</f>
        <v>Apteka Szpitalna</v>
      </c>
      <c r="I2238" s="2" t="str">
        <f>TRIM(Table1[[#This Row],[Umowa]])</f>
        <v>UM-CEN-02</v>
      </c>
      <c r="J2238" s="2" t="b">
        <f>ISTEXT(Table14[[#This Row],[Data_Wystawienia]])</f>
        <v>0</v>
      </c>
      <c r="K2238" s="2">
        <f>VALUE(SUBSTITUTE(Table14[[#This Row],[Wartość]],".",","))</f>
        <v>14225.4</v>
      </c>
      <c r="L22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8" s="2" t="str">
        <f>IF(Table14[[#This Row],[Umowa]]="","Poza umową","Z umowy")</f>
        <v>Z umowy</v>
      </c>
      <c r="N2238" s="2">
        <f>YEAR(Table14[[#This Row],[Data_Wystawienia]])</f>
        <v>2024</v>
      </c>
      <c r="O2238" s="2" t="str">
        <f>TEXT(Table14[[#This Row],[Data_Wystawienia]],"rrrr-mm")</f>
        <v>2024-04</v>
      </c>
      <c r="P2238" s="2">
        <v>1</v>
      </c>
    </row>
    <row r="2239" spans="1:16" x14ac:dyDescent="0.3">
      <c r="A2239" s="2" t="str">
        <f>TRIM(Table1[[#This Row],[Numer_FV]])</f>
        <v>FV/POL/62159/2024</v>
      </c>
      <c r="B2239" s="2" t="str">
        <f>TRIM(Table1[[#This Row],[Numer_PZ]])</f>
        <v>PZ/802237</v>
      </c>
      <c r="C2239" s="2" t="str">
        <f>TRIM(Table1[[#This Row],[Dostawca]])</f>
        <v>Polmedica</v>
      </c>
      <c r="D2239" s="3">
        <v>45392</v>
      </c>
      <c r="E2239" s="4" t="s">
        <v>6613</v>
      </c>
      <c r="F2239" s="2" t="str">
        <f>TRIM(Table1[[#This Row],[Status]])</f>
        <v>Zaakceptowana</v>
      </c>
      <c r="G2239" s="2" t="str">
        <f>TRIM(Table1[[#This Row],[Typ]])</f>
        <v>Faktura VAT</v>
      </c>
      <c r="H2239" s="2" t="str">
        <f>TRIM(Table1[[#This Row],[Magazyn]])</f>
        <v>Apteka Szpitalna</v>
      </c>
      <c r="I2239" s="2" t="str">
        <f>TRIM(Table1[[#This Row],[Umowa]])</f>
        <v>UM-POL-03</v>
      </c>
      <c r="J2239" s="2" t="b">
        <f>ISTEXT(Table14[[#This Row],[Data_Wystawienia]])</f>
        <v>0</v>
      </c>
      <c r="K2239" s="2">
        <f>VALUE(SUBSTITUTE(Table14[[#This Row],[Wartość]],".",","))</f>
        <v>19324.18</v>
      </c>
      <c r="L22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39" s="2" t="str">
        <f>IF(Table14[[#This Row],[Umowa]]="","Poza umową","Z umowy")</f>
        <v>Z umowy</v>
      </c>
      <c r="N2239" s="2">
        <f>YEAR(Table14[[#This Row],[Data_Wystawienia]])</f>
        <v>2024</v>
      </c>
      <c r="O2239" s="2" t="str">
        <f>TEXT(Table14[[#This Row],[Data_Wystawienia]],"rrrr-mm")</f>
        <v>2024-04</v>
      </c>
      <c r="P2239" s="2">
        <v>1</v>
      </c>
    </row>
    <row r="2240" spans="1:16" x14ac:dyDescent="0.3">
      <c r="A2240" s="2" t="str">
        <f>TRIM(Table1[[#This Row],[Numer_FV]])</f>
        <v>FV/26/PP/4568/24</v>
      </c>
      <c r="B2240" s="2" t="str">
        <f>TRIM(Table1[[#This Row],[Numer_PZ]])</f>
        <v>PZ/802238</v>
      </c>
      <c r="C2240" s="2" t="str">
        <f>TRIM(Table1[[#This Row],[Dostawca]])</f>
        <v>PharmaPlus</v>
      </c>
      <c r="D2240" s="3">
        <v>45392</v>
      </c>
      <c r="E2240" s="4" t="s">
        <v>6616</v>
      </c>
      <c r="F2240" s="2" t="str">
        <f>TRIM(Table1[[#This Row],[Status]])</f>
        <v>Zaakceptowana</v>
      </c>
      <c r="G2240" s="2" t="str">
        <f>TRIM(Table1[[#This Row],[Typ]])</f>
        <v>Faktura VAT</v>
      </c>
      <c r="H2240" s="2" t="str">
        <f>TRIM(Table1[[#This Row],[Magazyn]])</f>
        <v>Apteka Szpitalna</v>
      </c>
      <c r="I2240" s="2" t="str">
        <f>TRIM(Table1[[#This Row],[Umowa]])</f>
        <v>UM-PHA-02</v>
      </c>
      <c r="J2240" s="2" t="b">
        <f>ISTEXT(Table14[[#This Row],[Data_Wystawienia]])</f>
        <v>0</v>
      </c>
      <c r="K2240" s="2">
        <f>VALUE(SUBSTITUTE(Table14[[#This Row],[Wartość]],".",","))</f>
        <v>7464.49</v>
      </c>
      <c r="L22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0" s="2" t="str">
        <f>IF(Table14[[#This Row],[Umowa]]="","Poza umową","Z umowy")</f>
        <v>Z umowy</v>
      </c>
      <c r="N2240" s="2">
        <f>YEAR(Table14[[#This Row],[Data_Wystawienia]])</f>
        <v>2024</v>
      </c>
      <c r="O2240" s="2" t="str">
        <f>TEXT(Table14[[#This Row],[Data_Wystawienia]],"rrrr-mm")</f>
        <v>2024-04</v>
      </c>
      <c r="P2240" s="2">
        <v>1</v>
      </c>
    </row>
    <row r="2241" spans="1:16" x14ac:dyDescent="0.3">
      <c r="A2241" s="2" t="str">
        <f>TRIM(Table1[[#This Row],[Numer_FV]])</f>
        <v>FV/8946/NOVA/24</v>
      </c>
      <c r="B2241" s="2" t="str">
        <f>TRIM(Table1[[#This Row],[Numer_PZ]])</f>
        <v>PZ/802239</v>
      </c>
      <c r="C2241" s="2" t="str">
        <f>TRIM(Table1[[#This Row],[Dostawca]])</f>
        <v>NovaLek</v>
      </c>
      <c r="D2241" s="3">
        <v>45392</v>
      </c>
      <c r="E2241" s="4" t="s">
        <v>6619</v>
      </c>
      <c r="F2241" s="2" t="str">
        <f>TRIM(Table1[[#This Row],[Status]])</f>
        <v>Zaakceptowana</v>
      </c>
      <c r="G2241" s="2" t="str">
        <f>TRIM(Table1[[#This Row],[Typ]])</f>
        <v>Faktura VAT</v>
      </c>
      <c r="H2241" s="2" t="str">
        <f>TRIM(Table1[[#This Row],[Magazyn]])</f>
        <v>Apteka Szpitalna</v>
      </c>
      <c r="I2241" s="2" t="str">
        <f>TRIM(Table1[[#This Row],[Umowa]])</f>
        <v>UM-NOV-03</v>
      </c>
      <c r="J2241" s="2" t="b">
        <f>ISTEXT(Table14[[#This Row],[Data_Wystawienia]])</f>
        <v>0</v>
      </c>
      <c r="K2241" s="2">
        <f>VALUE(SUBSTITUTE(Table14[[#This Row],[Wartość]],".",","))</f>
        <v>20180.04</v>
      </c>
      <c r="L22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1" s="2" t="str">
        <f>IF(Table14[[#This Row],[Umowa]]="","Poza umową","Z umowy")</f>
        <v>Z umowy</v>
      </c>
      <c r="N2241" s="2">
        <f>YEAR(Table14[[#This Row],[Data_Wystawienia]])</f>
        <v>2024</v>
      </c>
      <c r="O2241" s="2" t="str">
        <f>TEXT(Table14[[#This Row],[Data_Wystawienia]],"rrrr-mm")</f>
        <v>2024-04</v>
      </c>
      <c r="P2241" s="2">
        <v>1</v>
      </c>
    </row>
    <row r="2242" spans="1:16" x14ac:dyDescent="0.3">
      <c r="A2242" s="2" t="str">
        <f>TRIM(Table1[[#This Row],[Numer_FV]])</f>
        <v>FV/POL/35611/2024</v>
      </c>
      <c r="B2242" s="2" t="str">
        <f>TRIM(Table1[[#This Row],[Numer_PZ]])</f>
        <v>PZ/802240</v>
      </c>
      <c r="C2242" s="2" t="str">
        <f>TRIM(Table1[[#This Row],[Dostawca]])</f>
        <v>Polmedica</v>
      </c>
      <c r="D2242" s="3">
        <v>45392</v>
      </c>
      <c r="E2242" s="4" t="s">
        <v>6622</v>
      </c>
      <c r="F2242" s="2" t="str">
        <f>TRIM(Table1[[#This Row],[Status]])</f>
        <v>Zaakceptowana</v>
      </c>
      <c r="G2242" s="2" t="str">
        <f>TRIM(Table1[[#This Row],[Typ]])</f>
        <v>Faktura VAT</v>
      </c>
      <c r="H2242" s="2" t="str">
        <f>TRIM(Table1[[#This Row],[Magazyn]])</f>
        <v>Apteka Szpitalna</v>
      </c>
      <c r="I2242" s="2" t="str">
        <f>TRIM(Table1[[#This Row],[Umowa]])</f>
        <v/>
      </c>
      <c r="J2242" s="2" t="b">
        <f>ISTEXT(Table14[[#This Row],[Data_Wystawienia]])</f>
        <v>0</v>
      </c>
      <c r="K2242" s="2">
        <f>VALUE(SUBSTITUTE(Table14[[#This Row],[Wartość]],".",","))</f>
        <v>13628.1</v>
      </c>
      <c r="L22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2" s="2" t="str">
        <f>IF(Table14[[#This Row],[Umowa]]="","Poza umową","Z umowy")</f>
        <v>Poza umową</v>
      </c>
      <c r="N2242" s="2">
        <f>YEAR(Table14[[#This Row],[Data_Wystawienia]])</f>
        <v>2024</v>
      </c>
      <c r="O2242" s="2" t="str">
        <f>TEXT(Table14[[#This Row],[Data_Wystawienia]],"rrrr-mm")</f>
        <v>2024-04</v>
      </c>
      <c r="P2242" s="2">
        <v>1</v>
      </c>
    </row>
    <row r="2243" spans="1:16" x14ac:dyDescent="0.3">
      <c r="A2243" s="2" t="str">
        <f>TRIM(Table1[[#This Row],[Numer_FV]])</f>
        <v>FV/8646HM/24</v>
      </c>
      <c r="B2243" s="2" t="str">
        <f>TRIM(Table1[[#This Row],[Numer_PZ]])</f>
        <v>PZ/802241</v>
      </c>
      <c r="C2243" s="2" t="str">
        <f>TRIM(Table1[[#This Row],[Dostawca]])</f>
        <v>HurtMedix</v>
      </c>
      <c r="D2243" s="3">
        <v>45393</v>
      </c>
      <c r="E2243" s="4" t="s">
        <v>6625</v>
      </c>
      <c r="F2243" s="2" t="str">
        <f>TRIM(Table1[[#This Row],[Status]])</f>
        <v>Zaakceptowana</v>
      </c>
      <c r="G2243" s="2" t="str">
        <f>TRIM(Table1[[#This Row],[Typ]])</f>
        <v>Faktura VAT</v>
      </c>
      <c r="H2243" s="2" t="str">
        <f>TRIM(Table1[[#This Row],[Magazyn]])</f>
        <v>Apteka Szpitalna</v>
      </c>
      <c r="I2243" s="2" t="str">
        <f>TRIM(Table1[[#This Row],[Umowa]])</f>
        <v>UM-HUR-03</v>
      </c>
      <c r="J2243" s="2" t="b">
        <f>ISTEXT(Table14[[#This Row],[Data_Wystawienia]])</f>
        <v>0</v>
      </c>
      <c r="K2243" s="2">
        <f>VALUE(SUBSTITUTE(Table14[[#This Row],[Wartość]],".",","))</f>
        <v>13642.72</v>
      </c>
      <c r="L22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3" s="2" t="str">
        <f>IF(Table14[[#This Row],[Umowa]]="","Poza umową","Z umowy")</f>
        <v>Z umowy</v>
      </c>
      <c r="N2243" s="2">
        <f>YEAR(Table14[[#This Row],[Data_Wystawienia]])</f>
        <v>2024</v>
      </c>
      <c r="O2243" s="2" t="str">
        <f>TEXT(Table14[[#This Row],[Data_Wystawienia]],"rrrr-mm")</f>
        <v>2024-04</v>
      </c>
      <c r="P2243" s="2">
        <v>1</v>
      </c>
    </row>
    <row r="2244" spans="1:16" x14ac:dyDescent="0.3">
      <c r="A2244" s="2" t="str">
        <f>TRIM(Table1[[#This Row],[Numer_FV]])</f>
        <v>FV/5322/NOVA/24</v>
      </c>
      <c r="B2244" s="2" t="str">
        <f>TRIM(Table1[[#This Row],[Numer_PZ]])</f>
        <v>PZ/802242</v>
      </c>
      <c r="C2244" s="2" t="str">
        <f>TRIM(Table1[[#This Row],[Dostawca]])</f>
        <v>NovaLek</v>
      </c>
      <c r="D2244" s="3">
        <v>45393</v>
      </c>
      <c r="E2244" s="4" t="s">
        <v>6628</v>
      </c>
      <c r="F2244" s="2" t="str">
        <f>TRIM(Table1[[#This Row],[Status]])</f>
        <v>Zaakceptowana</v>
      </c>
      <c r="G2244" s="2" t="str">
        <f>TRIM(Table1[[#This Row],[Typ]])</f>
        <v>Faktura VAT</v>
      </c>
      <c r="H2244" s="2" t="str">
        <f>TRIM(Table1[[#This Row],[Magazyn]])</f>
        <v>Apteka Szpitalna</v>
      </c>
      <c r="I2244" s="2" t="str">
        <f>TRIM(Table1[[#This Row],[Umowa]])</f>
        <v>UM-NOV-03</v>
      </c>
      <c r="J2244" s="2" t="b">
        <f>ISTEXT(Table14[[#This Row],[Data_Wystawienia]])</f>
        <v>0</v>
      </c>
      <c r="K2244" s="2">
        <f>VALUE(SUBSTITUTE(Table14[[#This Row],[Wartość]],".",","))</f>
        <v>20753.34</v>
      </c>
      <c r="L22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4" s="2" t="str">
        <f>IF(Table14[[#This Row],[Umowa]]="","Poza umową","Z umowy")</f>
        <v>Z umowy</v>
      </c>
      <c r="N2244" s="2">
        <f>YEAR(Table14[[#This Row],[Data_Wystawienia]])</f>
        <v>2024</v>
      </c>
      <c r="O2244" s="2" t="str">
        <f>TEXT(Table14[[#This Row],[Data_Wystawienia]],"rrrr-mm")</f>
        <v>2024-04</v>
      </c>
      <c r="P2244" s="2">
        <v>1</v>
      </c>
    </row>
    <row r="2245" spans="1:16" x14ac:dyDescent="0.3">
      <c r="A2245" s="2" t="str">
        <f>TRIM(Table1[[#This Row],[Numer_FV]])</f>
        <v>FV/CENFA/241827/24</v>
      </c>
      <c r="B2245" s="2" t="str">
        <f>TRIM(Table1[[#This Row],[Numer_PZ]])</f>
        <v>PZ/802243</v>
      </c>
      <c r="C2245" s="2" t="str">
        <f>TRIM(Table1[[#This Row],[Dostawca]])</f>
        <v>CentrumFarm</v>
      </c>
      <c r="D2245" s="3">
        <v>45393</v>
      </c>
      <c r="E2245" s="4" t="s">
        <v>6631</v>
      </c>
      <c r="F2245" s="2" t="str">
        <f>TRIM(Table1[[#This Row],[Status]])</f>
        <v>Zaakceptowana</v>
      </c>
      <c r="G2245" s="2" t="str">
        <f>TRIM(Table1[[#This Row],[Typ]])</f>
        <v>Faktura VAT</v>
      </c>
      <c r="H2245" s="2" t="str">
        <f>TRIM(Table1[[#This Row],[Magazyn]])</f>
        <v>Apteka Szpitalna</v>
      </c>
      <c r="I2245" s="2" t="str">
        <f>TRIM(Table1[[#This Row],[Umowa]])</f>
        <v>UM-CEN-01</v>
      </c>
      <c r="J2245" s="2" t="b">
        <f>ISTEXT(Table14[[#This Row],[Data_Wystawienia]])</f>
        <v>0</v>
      </c>
      <c r="K2245" s="2">
        <f>VALUE(SUBSTITUTE(Table14[[#This Row],[Wartość]],".",","))</f>
        <v>13532.4</v>
      </c>
      <c r="L22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5" s="2" t="str">
        <f>IF(Table14[[#This Row],[Umowa]]="","Poza umową","Z umowy")</f>
        <v>Z umowy</v>
      </c>
      <c r="N2245" s="2">
        <f>YEAR(Table14[[#This Row],[Data_Wystawienia]])</f>
        <v>2024</v>
      </c>
      <c r="O2245" s="2" t="str">
        <f>TEXT(Table14[[#This Row],[Data_Wystawienia]],"rrrr-mm")</f>
        <v>2024-04</v>
      </c>
      <c r="P2245" s="2">
        <v>1</v>
      </c>
    </row>
    <row r="2246" spans="1:16" x14ac:dyDescent="0.3">
      <c r="A2246" s="2" t="str">
        <f>TRIM(Table1[[#This Row],[Numer_FV]])</f>
        <v>FV/56/SAL/24</v>
      </c>
      <c r="B2246" s="2" t="str">
        <f>TRIM(Table1[[#This Row],[Numer_PZ]])</f>
        <v>PZ/802244</v>
      </c>
      <c r="C2246" s="2" t="str">
        <f>TRIM(Table1[[#This Row],[Dostawca]])</f>
        <v>SalusHurt</v>
      </c>
      <c r="D2246" s="3">
        <v>45393</v>
      </c>
      <c r="E2246" s="4" t="s">
        <v>6634</v>
      </c>
      <c r="F2246" s="2" t="str">
        <f>TRIM(Table1[[#This Row],[Status]])</f>
        <v>Zaakceptowana</v>
      </c>
      <c r="G2246" s="2" t="str">
        <f>TRIM(Table1[[#This Row],[Typ]])</f>
        <v>Faktura VAT</v>
      </c>
      <c r="H2246" s="2" t="str">
        <f>TRIM(Table1[[#This Row],[Magazyn]])</f>
        <v>Apteka Szpitalna</v>
      </c>
      <c r="I2246" s="2" t="str">
        <f>TRIM(Table1[[#This Row],[Umowa]])</f>
        <v/>
      </c>
      <c r="J2246" s="2" t="b">
        <f>ISTEXT(Table14[[#This Row],[Data_Wystawienia]])</f>
        <v>0</v>
      </c>
      <c r="K2246" s="2">
        <f>VALUE(SUBSTITUTE(Table14[[#This Row],[Wartość]],".",","))</f>
        <v>15648.57</v>
      </c>
      <c r="L22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6" s="2" t="str">
        <f>IF(Table14[[#This Row],[Umowa]]="","Poza umową","Z umowy")</f>
        <v>Poza umową</v>
      </c>
      <c r="N2246" s="2">
        <f>YEAR(Table14[[#This Row],[Data_Wystawienia]])</f>
        <v>2024</v>
      </c>
      <c r="O2246" s="2" t="str">
        <f>TEXT(Table14[[#This Row],[Data_Wystawienia]],"rrrr-mm")</f>
        <v>2024-04</v>
      </c>
      <c r="P2246" s="2">
        <v>1</v>
      </c>
    </row>
    <row r="2247" spans="1:16" x14ac:dyDescent="0.3">
      <c r="A2247" s="2" t="str">
        <f>TRIM(Table1[[#This Row],[Numer_FV]])</f>
        <v>FV/12126/VDb/2024</v>
      </c>
      <c r="B2247" s="2" t="str">
        <f>TRIM(Table1[[#This Row],[Numer_PZ]])</f>
        <v>PZ/802245</v>
      </c>
      <c r="C2247" s="2" t="str">
        <f>TRIM(Table1[[#This Row],[Dostawca]])</f>
        <v>VitaDistrib</v>
      </c>
      <c r="D2247" s="3">
        <v>45393</v>
      </c>
      <c r="E2247" s="4" t="s">
        <v>6637</v>
      </c>
      <c r="F2247" s="2" t="str">
        <f>TRIM(Table1[[#This Row],[Status]])</f>
        <v>Zaakceptowana</v>
      </c>
      <c r="G2247" s="2" t="str">
        <f>TRIM(Table1[[#This Row],[Typ]])</f>
        <v>Faktura VAT</v>
      </c>
      <c r="H2247" s="2" t="str">
        <f>TRIM(Table1[[#This Row],[Magazyn]])</f>
        <v>Apteka Szpitalna</v>
      </c>
      <c r="I2247" s="2" t="str">
        <f>TRIM(Table1[[#This Row],[Umowa]])</f>
        <v>UM-VIT-01</v>
      </c>
      <c r="J2247" s="2" t="b">
        <f>ISTEXT(Table14[[#This Row],[Data_Wystawienia]])</f>
        <v>0</v>
      </c>
      <c r="K2247" s="2">
        <f>VALUE(SUBSTITUTE(Table14[[#This Row],[Wartość]],".",","))</f>
        <v>15998.63</v>
      </c>
      <c r="L22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7" s="2" t="str">
        <f>IF(Table14[[#This Row],[Umowa]]="","Poza umową","Z umowy")</f>
        <v>Z umowy</v>
      </c>
      <c r="N2247" s="2">
        <f>YEAR(Table14[[#This Row],[Data_Wystawienia]])</f>
        <v>2024</v>
      </c>
      <c r="O2247" s="2" t="str">
        <f>TEXT(Table14[[#This Row],[Data_Wystawienia]],"rrrr-mm")</f>
        <v>2024-04</v>
      </c>
      <c r="P2247" s="2">
        <v>1</v>
      </c>
    </row>
    <row r="2248" spans="1:16" x14ac:dyDescent="0.3">
      <c r="A2248" s="2" t="str">
        <f>TRIM(Table1[[#This Row],[Numer_FV]])</f>
        <v>FV/7462HM/24</v>
      </c>
      <c r="B2248" s="2" t="str">
        <f>TRIM(Table1[[#This Row],[Numer_PZ]])</f>
        <v>PZ/802246</v>
      </c>
      <c r="C2248" s="2" t="str">
        <f>TRIM(Table1[[#This Row],[Dostawca]])</f>
        <v>HurtMedix</v>
      </c>
      <c r="D2248" s="3">
        <v>45393</v>
      </c>
      <c r="E2248" s="4" t="s">
        <v>6640</v>
      </c>
      <c r="F2248" s="2" t="str">
        <f>TRIM(Table1[[#This Row],[Status]])</f>
        <v>Zaakceptowana</v>
      </c>
      <c r="G2248" s="2" t="str">
        <f>TRIM(Table1[[#This Row],[Typ]])</f>
        <v>Faktura VAT</v>
      </c>
      <c r="H2248" s="2" t="str">
        <f>TRIM(Table1[[#This Row],[Magazyn]])</f>
        <v>Apteka Szpitalna</v>
      </c>
      <c r="I2248" s="2" t="str">
        <f>TRIM(Table1[[#This Row],[Umowa]])</f>
        <v>UM-HUR-03</v>
      </c>
      <c r="J2248" s="2" t="b">
        <f>ISTEXT(Table14[[#This Row],[Data_Wystawienia]])</f>
        <v>0</v>
      </c>
      <c r="K2248" s="2">
        <f>VALUE(SUBSTITUTE(Table14[[#This Row],[Wartość]],".",","))</f>
        <v>17192.59</v>
      </c>
      <c r="L22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8" s="2" t="str">
        <f>IF(Table14[[#This Row],[Umowa]]="","Poza umową","Z umowy")</f>
        <v>Z umowy</v>
      </c>
      <c r="N2248" s="2">
        <f>YEAR(Table14[[#This Row],[Data_Wystawienia]])</f>
        <v>2024</v>
      </c>
      <c r="O2248" s="2" t="str">
        <f>TEXT(Table14[[#This Row],[Data_Wystawienia]],"rrrr-mm")</f>
        <v>2024-04</v>
      </c>
      <c r="P2248" s="2">
        <v>1</v>
      </c>
    </row>
    <row r="2249" spans="1:16" x14ac:dyDescent="0.3">
      <c r="A2249" s="2" t="str">
        <f>TRIM(Table1[[#This Row],[Numer_FV]])</f>
        <v>FV/6065/NOVA/24</v>
      </c>
      <c r="B2249" s="2" t="str">
        <f>TRIM(Table1[[#This Row],[Numer_PZ]])</f>
        <v>PZ/802247</v>
      </c>
      <c r="C2249" s="2" t="str">
        <f>TRIM(Table1[[#This Row],[Dostawca]])</f>
        <v>NovaLek</v>
      </c>
      <c r="D2249" s="3">
        <v>45394</v>
      </c>
      <c r="E2249" s="4" t="s">
        <v>6643</v>
      </c>
      <c r="F2249" s="2" t="str">
        <f>TRIM(Table1[[#This Row],[Status]])</f>
        <v>Zaakceptowana</v>
      </c>
      <c r="G2249" s="2" t="str">
        <f>TRIM(Table1[[#This Row],[Typ]])</f>
        <v>Faktura VAT</v>
      </c>
      <c r="H2249" s="2" t="str">
        <f>TRIM(Table1[[#This Row],[Magazyn]])</f>
        <v>Apteka Szpitalna</v>
      </c>
      <c r="I2249" s="2" t="str">
        <f>TRIM(Table1[[#This Row],[Umowa]])</f>
        <v>UM-NOV-01</v>
      </c>
      <c r="J2249" s="2" t="b">
        <f>ISTEXT(Table14[[#This Row],[Data_Wystawienia]])</f>
        <v>0</v>
      </c>
      <c r="K2249" s="2">
        <f>VALUE(SUBSTITUTE(Table14[[#This Row],[Wartość]],".",","))</f>
        <v>17887.52</v>
      </c>
      <c r="L22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49" s="2" t="str">
        <f>IF(Table14[[#This Row],[Umowa]]="","Poza umową","Z umowy")</f>
        <v>Z umowy</v>
      </c>
      <c r="N2249" s="2">
        <f>YEAR(Table14[[#This Row],[Data_Wystawienia]])</f>
        <v>2024</v>
      </c>
      <c r="O2249" s="2" t="str">
        <f>TEXT(Table14[[#This Row],[Data_Wystawienia]],"rrrr-mm")</f>
        <v>2024-04</v>
      </c>
      <c r="P2249" s="2">
        <v>1</v>
      </c>
    </row>
    <row r="2250" spans="1:16" x14ac:dyDescent="0.3">
      <c r="A2250" s="2" t="str">
        <f>TRIM(Table1[[#This Row],[Numer_FV]])</f>
        <v>FV/CENFA/578020/24</v>
      </c>
      <c r="B2250" s="2" t="str">
        <f>TRIM(Table1[[#This Row],[Numer_PZ]])</f>
        <v>PZ/802248</v>
      </c>
      <c r="C2250" s="2" t="str">
        <f>TRIM(Table1[[#This Row],[Dostawca]])</f>
        <v>CentrumFarm</v>
      </c>
      <c r="D2250" s="3">
        <v>45394</v>
      </c>
      <c r="E2250" s="4" t="s">
        <v>6646</v>
      </c>
      <c r="F2250" s="2" t="str">
        <f>TRIM(Table1[[#This Row],[Status]])</f>
        <v>Zaakceptowana</v>
      </c>
      <c r="G2250" s="2" t="str">
        <f>TRIM(Table1[[#This Row],[Typ]])</f>
        <v>Faktura VAT</v>
      </c>
      <c r="H2250" s="2" t="str">
        <f>TRIM(Table1[[#This Row],[Magazyn]])</f>
        <v>Apteka Szpitalna</v>
      </c>
      <c r="I2250" s="2" t="str">
        <f>TRIM(Table1[[#This Row],[Umowa]])</f>
        <v>UM-CEN-02</v>
      </c>
      <c r="J2250" s="2" t="b">
        <f>ISTEXT(Table14[[#This Row],[Data_Wystawienia]])</f>
        <v>0</v>
      </c>
      <c r="K2250" s="2">
        <f>VALUE(SUBSTITUTE(Table14[[#This Row],[Wartość]],".",","))</f>
        <v>16131.36</v>
      </c>
      <c r="L22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0" s="2" t="str">
        <f>IF(Table14[[#This Row],[Umowa]]="","Poza umową","Z umowy")</f>
        <v>Z umowy</v>
      </c>
      <c r="N2250" s="2">
        <f>YEAR(Table14[[#This Row],[Data_Wystawienia]])</f>
        <v>2024</v>
      </c>
      <c r="O2250" s="2" t="str">
        <f>TEXT(Table14[[#This Row],[Data_Wystawienia]],"rrrr-mm")</f>
        <v>2024-04</v>
      </c>
      <c r="P2250" s="2">
        <v>1</v>
      </c>
    </row>
    <row r="2251" spans="1:16" x14ac:dyDescent="0.3">
      <c r="A2251" s="2" t="str">
        <f>TRIM(Table1[[#This Row],[Numer_FV]])</f>
        <v>FV/4651/NOVA/24</v>
      </c>
      <c r="B2251" s="2" t="str">
        <f>TRIM(Table1[[#This Row],[Numer_PZ]])</f>
        <v>PZ/802249</v>
      </c>
      <c r="C2251" s="2" t="str">
        <f>TRIM(Table1[[#This Row],[Dostawca]])</f>
        <v>NovaLek</v>
      </c>
      <c r="D2251" s="3">
        <v>45395</v>
      </c>
      <c r="E2251" s="4" t="s">
        <v>6649</v>
      </c>
      <c r="F2251" s="2" t="str">
        <f>TRIM(Table1[[#This Row],[Status]])</f>
        <v>Zaakceptowana</v>
      </c>
      <c r="G2251" s="2" t="str">
        <f>TRIM(Table1[[#This Row],[Typ]])</f>
        <v>Faktura VAT</v>
      </c>
      <c r="H2251" s="2" t="str">
        <f>TRIM(Table1[[#This Row],[Magazyn]])</f>
        <v>Apteka Szpitalna</v>
      </c>
      <c r="I2251" s="2" t="str">
        <f>TRIM(Table1[[#This Row],[Umowa]])</f>
        <v>UM-NOV-03</v>
      </c>
      <c r="J2251" s="2" t="b">
        <f>ISTEXT(Table14[[#This Row],[Data_Wystawienia]])</f>
        <v>0</v>
      </c>
      <c r="K2251" s="2">
        <f>VALUE(SUBSTITUTE(Table14[[#This Row],[Wartość]],".",","))</f>
        <v>13790.57</v>
      </c>
      <c r="L22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1" s="2" t="str">
        <f>IF(Table14[[#This Row],[Umowa]]="","Poza umową","Z umowy")</f>
        <v>Z umowy</v>
      </c>
      <c r="N2251" s="2">
        <f>YEAR(Table14[[#This Row],[Data_Wystawienia]])</f>
        <v>2024</v>
      </c>
      <c r="O2251" s="2" t="str">
        <f>TEXT(Table14[[#This Row],[Data_Wystawienia]],"rrrr-mm")</f>
        <v>2024-04</v>
      </c>
      <c r="P2251" s="2">
        <v>1</v>
      </c>
    </row>
    <row r="2252" spans="1:16" x14ac:dyDescent="0.3">
      <c r="A2252" s="2" t="str">
        <f>TRIM(Table1[[#This Row],[Numer_FV]])</f>
        <v>FV/1166HM/24</v>
      </c>
      <c r="B2252" s="2" t="str">
        <f>TRIM(Table1[[#This Row],[Numer_PZ]])</f>
        <v>PZ/802250</v>
      </c>
      <c r="C2252" s="2" t="str">
        <f>TRIM(Table1[[#This Row],[Dostawca]])</f>
        <v>HurtMedix</v>
      </c>
      <c r="D2252" s="3">
        <v>45395</v>
      </c>
      <c r="E2252" s="4" t="s">
        <v>6652</v>
      </c>
      <c r="F2252" s="2" t="str">
        <f>TRIM(Table1[[#This Row],[Status]])</f>
        <v>Zaakceptowana</v>
      </c>
      <c r="G2252" s="2" t="str">
        <f>TRIM(Table1[[#This Row],[Typ]])</f>
        <v>Faktura VAT</v>
      </c>
      <c r="H2252" s="2" t="str">
        <f>TRIM(Table1[[#This Row],[Magazyn]])</f>
        <v>Apteka Szpitalna</v>
      </c>
      <c r="I2252" s="2" t="str">
        <f>TRIM(Table1[[#This Row],[Umowa]])</f>
        <v>UM-HUR-02</v>
      </c>
      <c r="J2252" s="2" t="b">
        <f>ISTEXT(Table14[[#This Row],[Data_Wystawienia]])</f>
        <v>0</v>
      </c>
      <c r="K2252" s="2">
        <f>VALUE(SUBSTITUTE(Table14[[#This Row],[Wartość]],".",","))</f>
        <v>13618.72</v>
      </c>
      <c r="L22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2" s="2" t="str">
        <f>IF(Table14[[#This Row],[Umowa]]="","Poza umową","Z umowy")</f>
        <v>Z umowy</v>
      </c>
      <c r="N2252" s="2">
        <f>YEAR(Table14[[#This Row],[Data_Wystawienia]])</f>
        <v>2024</v>
      </c>
      <c r="O2252" s="2" t="str">
        <f>TEXT(Table14[[#This Row],[Data_Wystawienia]],"rrrr-mm")</f>
        <v>2024-04</v>
      </c>
      <c r="P2252" s="2">
        <v>1</v>
      </c>
    </row>
    <row r="2253" spans="1:16" x14ac:dyDescent="0.3">
      <c r="A2253" s="2" t="str">
        <f>TRIM(Table1[[#This Row],[Numer_FV]])</f>
        <v>FV/CENFA/446717/24</v>
      </c>
      <c r="B2253" s="2" t="str">
        <f>TRIM(Table1[[#This Row],[Numer_PZ]])</f>
        <v>PZ/802251</v>
      </c>
      <c r="C2253" s="2" t="str">
        <f>TRIM(Table1[[#This Row],[Dostawca]])</f>
        <v>CentrumFarm</v>
      </c>
      <c r="D2253" s="3">
        <v>45396</v>
      </c>
      <c r="E2253" s="4" t="s">
        <v>6655</v>
      </c>
      <c r="F2253" s="2" t="str">
        <f>TRIM(Table1[[#This Row],[Status]])</f>
        <v>Zaakceptowana</v>
      </c>
      <c r="G2253" s="2" t="str">
        <f>TRIM(Table1[[#This Row],[Typ]])</f>
        <v>Faktura VAT</v>
      </c>
      <c r="H2253" s="2" t="str">
        <f>TRIM(Table1[[#This Row],[Magazyn]])</f>
        <v>Apteka Szpitalna</v>
      </c>
      <c r="I2253" s="2" t="str">
        <f>TRIM(Table1[[#This Row],[Umowa]])</f>
        <v>UM-CEN-02</v>
      </c>
      <c r="J2253" s="2" t="b">
        <f>ISTEXT(Table14[[#This Row],[Data_Wystawienia]])</f>
        <v>0</v>
      </c>
      <c r="K2253" s="2">
        <f>VALUE(SUBSTITUTE(Table14[[#This Row],[Wartość]],".",","))</f>
        <v>16589.59</v>
      </c>
      <c r="L22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3" s="2" t="str">
        <f>IF(Table14[[#This Row],[Umowa]]="","Poza umową","Z umowy")</f>
        <v>Z umowy</v>
      </c>
      <c r="N2253" s="2">
        <f>YEAR(Table14[[#This Row],[Data_Wystawienia]])</f>
        <v>2024</v>
      </c>
      <c r="O2253" s="2" t="str">
        <f>TEXT(Table14[[#This Row],[Data_Wystawienia]],"rrrr-mm")</f>
        <v>2024-04</v>
      </c>
      <c r="P2253" s="2">
        <v>1</v>
      </c>
    </row>
    <row r="2254" spans="1:16" x14ac:dyDescent="0.3">
      <c r="A2254" s="2" t="str">
        <f>TRIM(Table1[[#This Row],[Numer_FV]])</f>
        <v>FV/68/PP/3217/24</v>
      </c>
      <c r="B2254" s="2" t="str">
        <f>TRIM(Table1[[#This Row],[Numer_PZ]])</f>
        <v>PZ/802252</v>
      </c>
      <c r="C2254" s="2" t="str">
        <f>TRIM(Table1[[#This Row],[Dostawca]])</f>
        <v>PharmaPlus</v>
      </c>
      <c r="D2254" s="3">
        <v>45397</v>
      </c>
      <c r="E2254" s="4" t="s">
        <v>6658</v>
      </c>
      <c r="F2254" s="2" t="str">
        <f>TRIM(Table1[[#This Row],[Status]])</f>
        <v>Zaakceptowana</v>
      </c>
      <c r="G2254" s="2" t="str">
        <f>TRIM(Table1[[#This Row],[Typ]])</f>
        <v>Korekta FV</v>
      </c>
      <c r="H2254" s="2" t="str">
        <f>TRIM(Table1[[#This Row],[Magazyn]])</f>
        <v>Apteka Szpitalna</v>
      </c>
      <c r="I2254" s="2" t="str">
        <f>TRIM(Table1[[#This Row],[Umowa]])</f>
        <v>UM-PHA-02</v>
      </c>
      <c r="J2254" s="2" t="b">
        <f>ISTEXT(Table14[[#This Row],[Data_Wystawienia]])</f>
        <v>0</v>
      </c>
      <c r="K2254" s="2">
        <f>VALUE(SUBSTITUTE(Table14[[#This Row],[Wartość]],".",","))</f>
        <v>-2078.8000000000002</v>
      </c>
      <c r="L22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4" s="2" t="str">
        <f>IF(Table14[[#This Row],[Umowa]]="","Poza umową","Z umowy")</f>
        <v>Z umowy</v>
      </c>
      <c r="N2254" s="2">
        <f>YEAR(Table14[[#This Row],[Data_Wystawienia]])</f>
        <v>2024</v>
      </c>
      <c r="O2254" s="2" t="str">
        <f>TEXT(Table14[[#This Row],[Data_Wystawienia]],"rrrr-mm")</f>
        <v>2024-04</v>
      </c>
      <c r="P2254" s="2">
        <v>1</v>
      </c>
    </row>
    <row r="2255" spans="1:16" x14ac:dyDescent="0.3">
      <c r="A2255" s="2" t="str">
        <f>TRIM(Table1[[#This Row],[Numer_FV]])</f>
        <v>FV/CENFA/745025/24</v>
      </c>
      <c r="B2255" s="2" t="str">
        <f>TRIM(Table1[[#This Row],[Numer_PZ]])</f>
        <v>PZ/802253</v>
      </c>
      <c r="C2255" s="2" t="str">
        <f>TRIM(Table1[[#This Row],[Dostawca]])</f>
        <v>CentrumFarm</v>
      </c>
      <c r="D2255" s="3">
        <v>45397</v>
      </c>
      <c r="E2255" s="4" t="s">
        <v>6661</v>
      </c>
      <c r="F2255" s="2" t="str">
        <f>TRIM(Table1[[#This Row],[Status]])</f>
        <v>Zaakceptowana</v>
      </c>
      <c r="G2255" s="2" t="str">
        <f>TRIM(Table1[[#This Row],[Typ]])</f>
        <v>Faktura VAT</v>
      </c>
      <c r="H2255" s="2" t="str">
        <f>TRIM(Table1[[#This Row],[Magazyn]])</f>
        <v>Apteka Szpitalna</v>
      </c>
      <c r="I2255" s="2" t="str">
        <f>TRIM(Table1[[#This Row],[Umowa]])</f>
        <v>UM-CEN-01</v>
      </c>
      <c r="J2255" s="2" t="b">
        <f>ISTEXT(Table14[[#This Row],[Data_Wystawienia]])</f>
        <v>0</v>
      </c>
      <c r="K2255" s="2">
        <f>VALUE(SUBSTITUTE(Table14[[#This Row],[Wartość]],".",","))</f>
        <v>9884.32</v>
      </c>
      <c r="L22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5" s="2" t="str">
        <f>IF(Table14[[#This Row],[Umowa]]="","Poza umową","Z umowy")</f>
        <v>Z umowy</v>
      </c>
      <c r="N2255" s="2">
        <f>YEAR(Table14[[#This Row],[Data_Wystawienia]])</f>
        <v>2024</v>
      </c>
      <c r="O2255" s="2" t="str">
        <f>TEXT(Table14[[#This Row],[Data_Wystawienia]],"rrrr-mm")</f>
        <v>2024-04</v>
      </c>
      <c r="P2255" s="2">
        <v>1</v>
      </c>
    </row>
    <row r="2256" spans="1:16" x14ac:dyDescent="0.3">
      <c r="A2256" s="2" t="str">
        <f>TRIM(Table1[[#This Row],[Numer_FV]])</f>
        <v>FV/POL/81629/2024</v>
      </c>
      <c r="B2256" s="2" t="str">
        <f>TRIM(Table1[[#This Row],[Numer_PZ]])</f>
        <v>PZ/802254</v>
      </c>
      <c r="C2256" s="2" t="str">
        <f>TRIM(Table1[[#This Row],[Dostawca]])</f>
        <v>Polmedica</v>
      </c>
      <c r="D2256" s="3">
        <v>45398</v>
      </c>
      <c r="E2256" s="4" t="s">
        <v>6664</v>
      </c>
      <c r="F2256" s="2" t="str">
        <f>TRIM(Table1[[#This Row],[Status]])</f>
        <v>Zaakceptowana</v>
      </c>
      <c r="G2256" s="2" t="str">
        <f>TRIM(Table1[[#This Row],[Typ]])</f>
        <v>Faktura VAT</v>
      </c>
      <c r="H2256" s="2" t="str">
        <f>TRIM(Table1[[#This Row],[Magazyn]])</f>
        <v>Apteka Szpitalna</v>
      </c>
      <c r="I2256" s="2" t="str">
        <f>TRIM(Table1[[#This Row],[Umowa]])</f>
        <v>UM-POL-03</v>
      </c>
      <c r="J2256" s="2" t="b">
        <f>ISTEXT(Table14[[#This Row],[Data_Wystawienia]])</f>
        <v>0</v>
      </c>
      <c r="K2256" s="2">
        <f>VALUE(SUBSTITUTE(Table14[[#This Row],[Wartość]],".",","))</f>
        <v>7027.76</v>
      </c>
      <c r="L22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6" s="2" t="str">
        <f>IF(Table14[[#This Row],[Umowa]]="","Poza umową","Z umowy")</f>
        <v>Z umowy</v>
      </c>
      <c r="N2256" s="2">
        <f>YEAR(Table14[[#This Row],[Data_Wystawienia]])</f>
        <v>2024</v>
      </c>
      <c r="O2256" s="2" t="str">
        <f>TEXT(Table14[[#This Row],[Data_Wystawienia]],"rrrr-mm")</f>
        <v>2024-04</v>
      </c>
      <c r="P2256" s="2">
        <v>1</v>
      </c>
    </row>
    <row r="2257" spans="1:16" x14ac:dyDescent="0.3">
      <c r="A2257" s="2" t="str">
        <f>TRIM(Table1[[#This Row],[Numer_FV]])</f>
        <v>FV/9993HM/24</v>
      </c>
      <c r="B2257" s="2" t="str">
        <f>TRIM(Table1[[#This Row],[Numer_PZ]])</f>
        <v>PZ/802255</v>
      </c>
      <c r="C2257" s="2" t="str">
        <f>TRIM(Table1[[#This Row],[Dostawca]])</f>
        <v>HurtMedix</v>
      </c>
      <c r="D2257" s="3">
        <v>45398</v>
      </c>
      <c r="E2257" s="4" t="s">
        <v>6667</v>
      </c>
      <c r="F2257" s="2" t="str">
        <f>TRIM(Table1[[#This Row],[Status]])</f>
        <v>Zaakceptowana</v>
      </c>
      <c r="G2257" s="2" t="str">
        <f>TRIM(Table1[[#This Row],[Typ]])</f>
        <v>Faktura VAT</v>
      </c>
      <c r="H2257" s="2" t="str">
        <f>TRIM(Table1[[#This Row],[Magazyn]])</f>
        <v>Apteka Szpitalna</v>
      </c>
      <c r="I2257" s="2" t="str">
        <f>TRIM(Table1[[#This Row],[Umowa]])</f>
        <v>UM-HUR-02</v>
      </c>
      <c r="J2257" s="2" t="b">
        <f>ISTEXT(Table14[[#This Row],[Data_Wystawienia]])</f>
        <v>0</v>
      </c>
      <c r="K2257" s="2">
        <f>VALUE(SUBSTITUTE(Table14[[#This Row],[Wartość]],".",","))</f>
        <v>24578.38</v>
      </c>
      <c r="L22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7" s="2" t="str">
        <f>IF(Table14[[#This Row],[Umowa]]="","Poza umową","Z umowy")</f>
        <v>Z umowy</v>
      </c>
      <c r="N2257" s="2">
        <f>YEAR(Table14[[#This Row],[Data_Wystawienia]])</f>
        <v>2024</v>
      </c>
      <c r="O2257" s="2" t="str">
        <f>TEXT(Table14[[#This Row],[Data_Wystawienia]],"rrrr-mm")</f>
        <v>2024-04</v>
      </c>
      <c r="P2257" s="2">
        <v>1</v>
      </c>
    </row>
    <row r="2258" spans="1:16" x14ac:dyDescent="0.3">
      <c r="A2258" s="2" t="str">
        <f>TRIM(Table1[[#This Row],[Numer_FV]])</f>
        <v>FV/1760/NOVA/24</v>
      </c>
      <c r="B2258" s="2" t="str">
        <f>TRIM(Table1[[#This Row],[Numer_PZ]])</f>
        <v>PZ/802256</v>
      </c>
      <c r="C2258" s="2" t="str">
        <f>TRIM(Table1[[#This Row],[Dostawca]])</f>
        <v>NovaLek</v>
      </c>
      <c r="D2258" s="3">
        <v>45399</v>
      </c>
      <c r="E2258" s="4" t="s">
        <v>6670</v>
      </c>
      <c r="F2258" s="2" t="str">
        <f>TRIM(Table1[[#This Row],[Status]])</f>
        <v>Zaakceptowana</v>
      </c>
      <c r="G2258" s="2" t="str">
        <f>TRIM(Table1[[#This Row],[Typ]])</f>
        <v>Korekta FV</v>
      </c>
      <c r="H2258" s="2" t="str">
        <f>TRIM(Table1[[#This Row],[Magazyn]])</f>
        <v>Apteka Szpitalna</v>
      </c>
      <c r="I2258" s="2" t="str">
        <f>TRIM(Table1[[#This Row],[Umowa]])</f>
        <v>UM-NOV-01</v>
      </c>
      <c r="J2258" s="2" t="b">
        <f>ISTEXT(Table14[[#This Row],[Data_Wystawienia]])</f>
        <v>0</v>
      </c>
      <c r="K2258" s="2">
        <f>VALUE(SUBSTITUTE(Table14[[#This Row],[Wartość]],".",","))</f>
        <v>-1026.08</v>
      </c>
      <c r="L22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8" s="2" t="str">
        <f>IF(Table14[[#This Row],[Umowa]]="","Poza umową","Z umowy")</f>
        <v>Z umowy</v>
      </c>
      <c r="N2258" s="2">
        <f>YEAR(Table14[[#This Row],[Data_Wystawienia]])</f>
        <v>2024</v>
      </c>
      <c r="O2258" s="2" t="str">
        <f>TEXT(Table14[[#This Row],[Data_Wystawienia]],"rrrr-mm")</f>
        <v>2024-04</v>
      </c>
      <c r="P2258" s="2">
        <v>1</v>
      </c>
    </row>
    <row r="2259" spans="1:16" x14ac:dyDescent="0.3">
      <c r="A2259" s="2" t="str">
        <f>TRIM(Table1[[#This Row],[Numer_FV]])</f>
        <v>FV/4015HM/24</v>
      </c>
      <c r="B2259" s="2" t="str">
        <f>TRIM(Table1[[#This Row],[Numer_PZ]])</f>
        <v>PZ/802257</v>
      </c>
      <c r="C2259" s="2" t="str">
        <f>TRIM(Table1[[#This Row],[Dostawca]])</f>
        <v>HurtMedix</v>
      </c>
      <c r="D2259" s="3">
        <v>45399</v>
      </c>
      <c r="E2259" s="4" t="s">
        <v>6673</v>
      </c>
      <c r="F2259" s="2" t="str">
        <f>TRIM(Table1[[#This Row],[Status]])</f>
        <v>Zaakceptowana</v>
      </c>
      <c r="G2259" s="2" t="str">
        <f>TRIM(Table1[[#This Row],[Typ]])</f>
        <v>Faktura VAT</v>
      </c>
      <c r="H2259" s="2" t="str">
        <f>TRIM(Table1[[#This Row],[Magazyn]])</f>
        <v>Apteka Szpitalna</v>
      </c>
      <c r="I2259" s="2" t="str">
        <f>TRIM(Table1[[#This Row],[Umowa]])</f>
        <v>UM-HUR-01</v>
      </c>
      <c r="J2259" s="2" t="b">
        <f>ISTEXT(Table14[[#This Row],[Data_Wystawienia]])</f>
        <v>0</v>
      </c>
      <c r="K2259" s="2">
        <f>VALUE(SUBSTITUTE(Table14[[#This Row],[Wartość]],".",","))</f>
        <v>18003.939999999999</v>
      </c>
      <c r="L22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59" s="2" t="str">
        <f>IF(Table14[[#This Row],[Umowa]]="","Poza umową","Z umowy")</f>
        <v>Z umowy</v>
      </c>
      <c r="N2259" s="2">
        <f>YEAR(Table14[[#This Row],[Data_Wystawienia]])</f>
        <v>2024</v>
      </c>
      <c r="O2259" s="2" t="str">
        <f>TEXT(Table14[[#This Row],[Data_Wystawienia]],"rrrr-mm")</f>
        <v>2024-04</v>
      </c>
      <c r="P2259" s="2">
        <v>1</v>
      </c>
    </row>
    <row r="2260" spans="1:16" x14ac:dyDescent="0.3">
      <c r="A2260" s="2" t="str">
        <f>TRIM(Table1[[#This Row],[Numer_FV]])</f>
        <v>FV/M/7585/P/24</v>
      </c>
      <c r="B2260" s="2" t="str">
        <f>TRIM(Table1[[#This Row],[Numer_PZ]])</f>
        <v>PZ/802258</v>
      </c>
      <c r="C2260" s="2" t="str">
        <f>TRIM(Table1[[#This Row],[Dostawca]])</f>
        <v>MedicaPharm</v>
      </c>
      <c r="D2260" s="3">
        <v>45400</v>
      </c>
      <c r="E2260" s="4" t="s">
        <v>6676</v>
      </c>
      <c r="F2260" s="2" t="str">
        <f>TRIM(Table1[[#This Row],[Status]])</f>
        <v>Zaakceptowana</v>
      </c>
      <c r="G2260" s="2" t="str">
        <f>TRIM(Table1[[#This Row],[Typ]])</f>
        <v>Faktura VAT</v>
      </c>
      <c r="H2260" s="2" t="str">
        <f>TRIM(Table1[[#This Row],[Magazyn]])</f>
        <v>Apteka Szpitalna</v>
      </c>
      <c r="I2260" s="2" t="str">
        <f>TRIM(Table1[[#This Row],[Umowa]])</f>
        <v>UM-MED-01</v>
      </c>
      <c r="J2260" s="2" t="b">
        <f>ISTEXT(Table14[[#This Row],[Data_Wystawienia]])</f>
        <v>0</v>
      </c>
      <c r="K2260" s="2">
        <f>VALUE(SUBSTITUTE(Table14[[#This Row],[Wartość]],".",","))</f>
        <v>25816.240000000002</v>
      </c>
      <c r="L22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0" s="2" t="str">
        <f>IF(Table14[[#This Row],[Umowa]]="","Poza umową","Z umowy")</f>
        <v>Z umowy</v>
      </c>
      <c r="N2260" s="2">
        <f>YEAR(Table14[[#This Row],[Data_Wystawienia]])</f>
        <v>2024</v>
      </c>
      <c r="O2260" s="2" t="str">
        <f>TEXT(Table14[[#This Row],[Data_Wystawienia]],"rrrr-mm")</f>
        <v>2024-04</v>
      </c>
      <c r="P2260" s="2">
        <v>1</v>
      </c>
    </row>
    <row r="2261" spans="1:16" x14ac:dyDescent="0.3">
      <c r="A2261" s="2" t="str">
        <f>TRIM(Table1[[#This Row],[Numer_FV]])</f>
        <v>FV/CENFA/986349/24</v>
      </c>
      <c r="B2261" s="2" t="str">
        <f>TRIM(Table1[[#This Row],[Numer_PZ]])</f>
        <v>PZ/802259</v>
      </c>
      <c r="C2261" s="2" t="str">
        <f>TRIM(Table1[[#This Row],[Dostawca]])</f>
        <v>CentrumFarm</v>
      </c>
      <c r="D2261" s="3">
        <v>45401</v>
      </c>
      <c r="E2261" s="4" t="s">
        <v>6679</v>
      </c>
      <c r="F2261" s="2" t="str">
        <f>TRIM(Table1[[#This Row],[Status]])</f>
        <v>Zaakceptowana</v>
      </c>
      <c r="G2261" s="2" t="str">
        <f>TRIM(Table1[[#This Row],[Typ]])</f>
        <v>Faktura VAT</v>
      </c>
      <c r="H2261" s="2" t="str">
        <f>TRIM(Table1[[#This Row],[Magazyn]])</f>
        <v>Apteka Szpitalna</v>
      </c>
      <c r="I2261" s="2" t="str">
        <f>TRIM(Table1[[#This Row],[Umowa]])</f>
        <v>UM-CEN-01</v>
      </c>
      <c r="J2261" s="2" t="b">
        <f>ISTEXT(Table14[[#This Row],[Data_Wystawienia]])</f>
        <v>0</v>
      </c>
      <c r="K2261" s="2">
        <f>VALUE(SUBSTITUTE(Table14[[#This Row],[Wartość]],".",","))</f>
        <v>8352.61</v>
      </c>
      <c r="L22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1" s="2" t="str">
        <f>IF(Table14[[#This Row],[Umowa]]="","Poza umową","Z umowy")</f>
        <v>Z umowy</v>
      </c>
      <c r="N2261" s="2">
        <f>YEAR(Table14[[#This Row],[Data_Wystawienia]])</f>
        <v>2024</v>
      </c>
      <c r="O2261" s="2" t="str">
        <f>TEXT(Table14[[#This Row],[Data_Wystawienia]],"rrrr-mm")</f>
        <v>2024-04</v>
      </c>
      <c r="P2261" s="2">
        <v>1</v>
      </c>
    </row>
    <row r="2262" spans="1:16" x14ac:dyDescent="0.3">
      <c r="A2262" s="2" t="str">
        <f>TRIM(Table1[[#This Row],[Numer_FV]])</f>
        <v>FV/18/PP/9235/24</v>
      </c>
      <c r="B2262" s="2" t="str">
        <f>TRIM(Table1[[#This Row],[Numer_PZ]])</f>
        <v>PZ/802260</v>
      </c>
      <c r="C2262" s="2" t="str">
        <f>TRIM(Table1[[#This Row],[Dostawca]])</f>
        <v>PharmaPlus</v>
      </c>
      <c r="D2262" s="3">
        <v>45401</v>
      </c>
      <c r="E2262" s="4" t="s">
        <v>6682</v>
      </c>
      <c r="F2262" s="2" t="str">
        <f>TRIM(Table1[[#This Row],[Status]])</f>
        <v>Zaakceptowana</v>
      </c>
      <c r="G2262" s="2" t="str">
        <f>TRIM(Table1[[#This Row],[Typ]])</f>
        <v>Faktura VAT</v>
      </c>
      <c r="H2262" s="2" t="str">
        <f>TRIM(Table1[[#This Row],[Magazyn]])</f>
        <v>Apteka Szpitalna</v>
      </c>
      <c r="I2262" s="2" t="str">
        <f>TRIM(Table1[[#This Row],[Umowa]])</f>
        <v>UM-PHA-01</v>
      </c>
      <c r="J2262" s="2" t="b">
        <f>ISTEXT(Table14[[#This Row],[Data_Wystawienia]])</f>
        <v>0</v>
      </c>
      <c r="K2262" s="2">
        <f>VALUE(SUBSTITUTE(Table14[[#This Row],[Wartość]],".",","))</f>
        <v>14572.85</v>
      </c>
      <c r="L22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2" s="2" t="str">
        <f>IF(Table14[[#This Row],[Umowa]]="","Poza umową","Z umowy")</f>
        <v>Z umowy</v>
      </c>
      <c r="N2262" s="2">
        <f>YEAR(Table14[[#This Row],[Data_Wystawienia]])</f>
        <v>2024</v>
      </c>
      <c r="O2262" s="2" t="str">
        <f>TEXT(Table14[[#This Row],[Data_Wystawienia]],"rrrr-mm")</f>
        <v>2024-04</v>
      </c>
      <c r="P2262" s="2">
        <v>1</v>
      </c>
    </row>
    <row r="2263" spans="1:16" x14ac:dyDescent="0.3">
      <c r="A2263" s="2" t="str">
        <f>TRIM(Table1[[#This Row],[Numer_FV]])</f>
        <v>FV/22/SAL/24</v>
      </c>
      <c r="B2263" s="2" t="str">
        <f>TRIM(Table1[[#This Row],[Numer_PZ]])</f>
        <v>PZ/802261</v>
      </c>
      <c r="C2263" s="2" t="str">
        <f>TRIM(Table1[[#This Row],[Dostawca]])</f>
        <v>SalusHurt</v>
      </c>
      <c r="D2263" s="3">
        <v>45401</v>
      </c>
      <c r="E2263" s="4" t="s">
        <v>6685</v>
      </c>
      <c r="F2263" s="2" t="str">
        <f>TRIM(Table1[[#This Row],[Status]])</f>
        <v>Zaakceptowana</v>
      </c>
      <c r="G2263" s="2" t="str">
        <f>TRIM(Table1[[#This Row],[Typ]])</f>
        <v>Faktura VAT</v>
      </c>
      <c r="H2263" s="2" t="str">
        <f>TRIM(Table1[[#This Row],[Magazyn]])</f>
        <v>Apteka Szpitalna</v>
      </c>
      <c r="I2263" s="2" t="str">
        <f>TRIM(Table1[[#This Row],[Umowa]])</f>
        <v>UM-SAL-01</v>
      </c>
      <c r="J2263" s="2" t="b">
        <f>ISTEXT(Table14[[#This Row],[Data_Wystawienia]])</f>
        <v>0</v>
      </c>
      <c r="K2263" s="2">
        <f>VALUE(SUBSTITUTE(Table14[[#This Row],[Wartość]],".",","))</f>
        <v>13776.13</v>
      </c>
      <c r="L22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3" s="2" t="str">
        <f>IF(Table14[[#This Row],[Umowa]]="","Poza umową","Z umowy")</f>
        <v>Z umowy</v>
      </c>
      <c r="N2263" s="2">
        <f>YEAR(Table14[[#This Row],[Data_Wystawienia]])</f>
        <v>2024</v>
      </c>
      <c r="O2263" s="2" t="str">
        <f>TEXT(Table14[[#This Row],[Data_Wystawienia]],"rrrr-mm")</f>
        <v>2024-04</v>
      </c>
      <c r="P2263" s="2">
        <v>1</v>
      </c>
    </row>
    <row r="2264" spans="1:16" x14ac:dyDescent="0.3">
      <c r="A2264" s="2" t="str">
        <f>TRIM(Table1[[#This Row],[Numer_FV]])</f>
        <v>FV/CENFA/773246/24</v>
      </c>
      <c r="B2264" s="2" t="str">
        <f>TRIM(Table1[[#This Row],[Numer_PZ]])</f>
        <v>PZ/802262</v>
      </c>
      <c r="C2264" s="2" t="str">
        <f>TRIM(Table1[[#This Row],[Dostawca]])</f>
        <v>CentrumFarm</v>
      </c>
      <c r="D2264" s="3">
        <v>45402</v>
      </c>
      <c r="E2264" s="4" t="s">
        <v>6688</v>
      </c>
      <c r="F2264" s="2" t="str">
        <f>TRIM(Table1[[#This Row],[Status]])</f>
        <v>Zaakceptowana</v>
      </c>
      <c r="G2264" s="2" t="str">
        <f>TRIM(Table1[[#This Row],[Typ]])</f>
        <v>Faktura VAT</v>
      </c>
      <c r="H2264" s="2" t="str">
        <f>TRIM(Table1[[#This Row],[Magazyn]])</f>
        <v>Apteka Szpitalna</v>
      </c>
      <c r="I2264" s="2" t="str">
        <f>TRIM(Table1[[#This Row],[Umowa]])</f>
        <v>UM-CEN-02</v>
      </c>
      <c r="J2264" s="2" t="b">
        <f>ISTEXT(Table14[[#This Row],[Data_Wystawienia]])</f>
        <v>0</v>
      </c>
      <c r="K2264" s="2">
        <f>VALUE(SUBSTITUTE(Table14[[#This Row],[Wartość]],".",","))</f>
        <v>11856.06</v>
      </c>
      <c r="L22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4" s="2" t="str">
        <f>IF(Table14[[#This Row],[Umowa]]="","Poza umową","Z umowy")</f>
        <v>Z umowy</v>
      </c>
      <c r="N2264" s="2">
        <f>YEAR(Table14[[#This Row],[Data_Wystawienia]])</f>
        <v>2024</v>
      </c>
      <c r="O2264" s="2" t="str">
        <f>TEXT(Table14[[#This Row],[Data_Wystawienia]],"rrrr-mm")</f>
        <v>2024-04</v>
      </c>
      <c r="P2264" s="2">
        <v>1</v>
      </c>
    </row>
    <row r="2265" spans="1:16" x14ac:dyDescent="0.3">
      <c r="A2265" s="2" t="str">
        <f>TRIM(Table1[[#This Row],[Numer_FV]])</f>
        <v>FV/56/SAL/24</v>
      </c>
      <c r="B2265" s="2" t="str">
        <f>TRIM(Table1[[#This Row],[Numer_PZ]])</f>
        <v>PZ/802263</v>
      </c>
      <c r="C2265" s="2" t="str">
        <f>TRIM(Table1[[#This Row],[Dostawca]])</f>
        <v>SalusHurt</v>
      </c>
      <c r="D2265" s="3">
        <v>45402</v>
      </c>
      <c r="E2265" s="4" t="s">
        <v>6690</v>
      </c>
      <c r="F2265" s="2" t="str">
        <f>TRIM(Table1[[#This Row],[Status]])</f>
        <v>Zaakceptowana</v>
      </c>
      <c r="G2265" s="2" t="str">
        <f>TRIM(Table1[[#This Row],[Typ]])</f>
        <v>Faktura VAT</v>
      </c>
      <c r="H2265" s="2" t="str">
        <f>TRIM(Table1[[#This Row],[Magazyn]])</f>
        <v>Apteka Szpitalna</v>
      </c>
      <c r="I2265" s="2" t="str">
        <f>TRIM(Table1[[#This Row],[Umowa]])</f>
        <v/>
      </c>
      <c r="J2265" s="2" t="b">
        <f>ISTEXT(Table14[[#This Row],[Data_Wystawienia]])</f>
        <v>0</v>
      </c>
      <c r="K2265" s="2">
        <f>VALUE(SUBSTITUTE(Table14[[#This Row],[Wartość]],".",","))</f>
        <v>14754.76</v>
      </c>
      <c r="L22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5" s="2" t="str">
        <f>IF(Table14[[#This Row],[Umowa]]="","Poza umową","Z umowy")</f>
        <v>Poza umową</v>
      </c>
      <c r="N2265" s="2">
        <f>YEAR(Table14[[#This Row],[Data_Wystawienia]])</f>
        <v>2024</v>
      </c>
      <c r="O2265" s="2" t="str">
        <f>TEXT(Table14[[#This Row],[Data_Wystawienia]],"rrrr-mm")</f>
        <v>2024-04</v>
      </c>
      <c r="P2265" s="2">
        <v>1</v>
      </c>
    </row>
    <row r="2266" spans="1:16" x14ac:dyDescent="0.3">
      <c r="A2266" s="2" t="str">
        <f>TRIM(Table1[[#This Row],[Numer_FV]])</f>
        <v>FV/24/PP/6211/24</v>
      </c>
      <c r="B2266" s="2" t="str">
        <f>TRIM(Table1[[#This Row],[Numer_PZ]])</f>
        <v>PZ/802264</v>
      </c>
      <c r="C2266" s="2" t="str">
        <f>TRIM(Table1[[#This Row],[Dostawca]])</f>
        <v>PharmaPlus</v>
      </c>
      <c r="D2266" s="3">
        <v>45403</v>
      </c>
      <c r="E2266" s="4" t="s">
        <v>6693</v>
      </c>
      <c r="F2266" s="2" t="str">
        <f>TRIM(Table1[[#This Row],[Status]])</f>
        <v>Zaakceptowana</v>
      </c>
      <c r="G2266" s="2" t="str">
        <f>TRIM(Table1[[#This Row],[Typ]])</f>
        <v>Faktura VAT</v>
      </c>
      <c r="H2266" s="2" t="str">
        <f>TRIM(Table1[[#This Row],[Magazyn]])</f>
        <v>Apteka Szpitalna</v>
      </c>
      <c r="I2266" s="2" t="str">
        <f>TRIM(Table1[[#This Row],[Umowa]])</f>
        <v>UM-PHA-02</v>
      </c>
      <c r="J2266" s="2" t="b">
        <f>ISTEXT(Table14[[#This Row],[Data_Wystawienia]])</f>
        <v>0</v>
      </c>
      <c r="K2266" s="2">
        <f>VALUE(SUBSTITUTE(Table14[[#This Row],[Wartość]],".",","))</f>
        <v>15769.63</v>
      </c>
      <c r="L22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6" s="2" t="str">
        <f>IF(Table14[[#This Row],[Umowa]]="","Poza umową","Z umowy")</f>
        <v>Z umowy</v>
      </c>
      <c r="N2266" s="2">
        <f>YEAR(Table14[[#This Row],[Data_Wystawienia]])</f>
        <v>2024</v>
      </c>
      <c r="O2266" s="2" t="str">
        <f>TEXT(Table14[[#This Row],[Data_Wystawienia]],"rrrr-mm")</f>
        <v>2024-04</v>
      </c>
      <c r="P2266" s="2">
        <v>1</v>
      </c>
    </row>
    <row r="2267" spans="1:16" x14ac:dyDescent="0.3">
      <c r="A2267" s="2" t="str">
        <f>TRIM(Table1[[#This Row],[Numer_FV]])</f>
        <v>FV/6750HM/24</v>
      </c>
      <c r="B2267" s="2" t="str">
        <f>TRIM(Table1[[#This Row],[Numer_PZ]])</f>
        <v>PZ/802265</v>
      </c>
      <c r="C2267" s="2" t="str">
        <f>TRIM(Table1[[#This Row],[Dostawca]])</f>
        <v>HurtMedix</v>
      </c>
      <c r="D2267" s="3">
        <v>45403</v>
      </c>
      <c r="E2267" s="4" t="s">
        <v>6696</v>
      </c>
      <c r="F2267" s="2" t="str">
        <f>TRIM(Table1[[#This Row],[Status]])</f>
        <v>Zaakceptowana</v>
      </c>
      <c r="G2267" s="2" t="str">
        <f>TRIM(Table1[[#This Row],[Typ]])</f>
        <v>Faktura VAT</v>
      </c>
      <c r="H2267" s="2" t="str">
        <f>TRIM(Table1[[#This Row],[Magazyn]])</f>
        <v>Apteka Szpitalna</v>
      </c>
      <c r="I2267" s="2" t="str">
        <f>TRIM(Table1[[#This Row],[Umowa]])</f>
        <v>UM-HUR-01</v>
      </c>
      <c r="J2267" s="2" t="b">
        <f>ISTEXT(Table14[[#This Row],[Data_Wystawienia]])</f>
        <v>0</v>
      </c>
      <c r="K2267" s="2">
        <f>VALUE(SUBSTITUTE(Table14[[#This Row],[Wartość]],".",","))</f>
        <v>13919.07</v>
      </c>
      <c r="L22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7" s="2" t="str">
        <f>IF(Table14[[#This Row],[Umowa]]="","Poza umową","Z umowy")</f>
        <v>Z umowy</v>
      </c>
      <c r="N2267" s="2">
        <f>YEAR(Table14[[#This Row],[Data_Wystawienia]])</f>
        <v>2024</v>
      </c>
      <c r="O2267" s="2" t="str">
        <f>TEXT(Table14[[#This Row],[Data_Wystawienia]],"rrrr-mm")</f>
        <v>2024-04</v>
      </c>
      <c r="P2267" s="2">
        <v>1</v>
      </c>
    </row>
    <row r="2268" spans="1:16" x14ac:dyDescent="0.3">
      <c r="A2268" s="2" t="str">
        <f>TRIM(Table1[[#This Row],[Numer_FV]])</f>
        <v>FV/POL/93296/2024</v>
      </c>
      <c r="B2268" s="2" t="str">
        <f>TRIM(Table1[[#This Row],[Numer_PZ]])</f>
        <v>PZ/802266</v>
      </c>
      <c r="C2268" s="2" t="str">
        <f>TRIM(Table1[[#This Row],[Dostawca]])</f>
        <v>Polmedica</v>
      </c>
      <c r="D2268" s="3">
        <v>45404</v>
      </c>
      <c r="E2268" s="4" t="s">
        <v>6699</v>
      </c>
      <c r="F2268" s="2" t="str">
        <f>TRIM(Table1[[#This Row],[Status]])</f>
        <v>Zaakceptowana</v>
      </c>
      <c r="G2268" s="2" t="str">
        <f>TRIM(Table1[[#This Row],[Typ]])</f>
        <v>Faktura VAT</v>
      </c>
      <c r="H2268" s="2" t="str">
        <f>TRIM(Table1[[#This Row],[Magazyn]])</f>
        <v>Apteka Szpitalna</v>
      </c>
      <c r="I2268" s="2" t="str">
        <f>TRIM(Table1[[#This Row],[Umowa]])</f>
        <v>UM-POL-01</v>
      </c>
      <c r="J2268" s="2" t="b">
        <f>ISTEXT(Table14[[#This Row],[Data_Wystawienia]])</f>
        <v>0</v>
      </c>
      <c r="K2268" s="2">
        <f>VALUE(SUBSTITUTE(Table14[[#This Row],[Wartość]],".",","))</f>
        <v>20930.13</v>
      </c>
      <c r="L22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8" s="2" t="str">
        <f>IF(Table14[[#This Row],[Umowa]]="","Poza umową","Z umowy")</f>
        <v>Z umowy</v>
      </c>
      <c r="N2268" s="2">
        <f>YEAR(Table14[[#This Row],[Data_Wystawienia]])</f>
        <v>2024</v>
      </c>
      <c r="O2268" s="2" t="str">
        <f>TEXT(Table14[[#This Row],[Data_Wystawienia]],"rrrr-mm")</f>
        <v>2024-04</v>
      </c>
      <c r="P2268" s="2">
        <v>1</v>
      </c>
    </row>
    <row r="2269" spans="1:16" x14ac:dyDescent="0.3">
      <c r="A2269" s="2" t="str">
        <f>TRIM(Table1[[#This Row],[Numer_FV]])</f>
        <v>FV/POL/20446/2024</v>
      </c>
      <c r="B2269" s="2" t="str">
        <f>TRIM(Table1[[#This Row],[Numer_PZ]])</f>
        <v>PZ/802267</v>
      </c>
      <c r="C2269" s="2" t="str">
        <f>TRIM(Table1[[#This Row],[Dostawca]])</f>
        <v>Polmedica</v>
      </c>
      <c r="D2269" s="3">
        <v>45404</v>
      </c>
      <c r="E2269" s="4" t="s">
        <v>6702</v>
      </c>
      <c r="F2269" s="2" t="str">
        <f>TRIM(Table1[[#This Row],[Status]])</f>
        <v>Zaakceptowana</v>
      </c>
      <c r="G2269" s="2" t="str">
        <f>TRIM(Table1[[#This Row],[Typ]])</f>
        <v>Faktura VAT</v>
      </c>
      <c r="H2269" s="2" t="str">
        <f>TRIM(Table1[[#This Row],[Magazyn]])</f>
        <v>Apteka Szpitalna</v>
      </c>
      <c r="I2269" s="2" t="str">
        <f>TRIM(Table1[[#This Row],[Umowa]])</f>
        <v>UM-POL-02</v>
      </c>
      <c r="J2269" s="2" t="b">
        <f>ISTEXT(Table14[[#This Row],[Data_Wystawienia]])</f>
        <v>0</v>
      </c>
      <c r="K2269" s="2">
        <f>VALUE(SUBSTITUTE(Table14[[#This Row],[Wartość]],".",","))</f>
        <v>10154.98</v>
      </c>
      <c r="L22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69" s="2" t="str">
        <f>IF(Table14[[#This Row],[Umowa]]="","Poza umową","Z umowy")</f>
        <v>Z umowy</v>
      </c>
      <c r="N2269" s="2">
        <f>YEAR(Table14[[#This Row],[Data_Wystawienia]])</f>
        <v>2024</v>
      </c>
      <c r="O2269" s="2" t="str">
        <f>TEXT(Table14[[#This Row],[Data_Wystawienia]],"rrrr-mm")</f>
        <v>2024-04</v>
      </c>
      <c r="P2269" s="2">
        <v>1</v>
      </c>
    </row>
    <row r="2270" spans="1:16" x14ac:dyDescent="0.3">
      <c r="A2270" s="2" t="str">
        <f>TRIM(Table1[[#This Row],[Numer_FV]])</f>
        <v>FV/6675HM/24</v>
      </c>
      <c r="B2270" s="2" t="str">
        <f>TRIM(Table1[[#This Row],[Numer_PZ]])</f>
        <v>PZ/802268</v>
      </c>
      <c r="C2270" s="2" t="str">
        <f>TRIM(Table1[[#This Row],[Dostawca]])</f>
        <v>HurtMedix</v>
      </c>
      <c r="D2270" s="3">
        <v>45405</v>
      </c>
      <c r="E2270" s="4" t="s">
        <v>6705</v>
      </c>
      <c r="F2270" s="2" t="str">
        <f>TRIM(Table1[[#This Row],[Status]])</f>
        <v>Zaakceptowana</v>
      </c>
      <c r="G2270" s="2" t="str">
        <f>TRIM(Table1[[#This Row],[Typ]])</f>
        <v>Faktura VAT</v>
      </c>
      <c r="H2270" s="2" t="str">
        <f>TRIM(Table1[[#This Row],[Magazyn]])</f>
        <v>Apteka Szpitalna</v>
      </c>
      <c r="I2270" s="2" t="str">
        <f>TRIM(Table1[[#This Row],[Umowa]])</f>
        <v>UM-HUR-03</v>
      </c>
      <c r="J2270" s="2" t="b">
        <f>ISTEXT(Table14[[#This Row],[Data_Wystawienia]])</f>
        <v>0</v>
      </c>
      <c r="K2270" s="2">
        <f>VALUE(SUBSTITUTE(Table14[[#This Row],[Wartość]],".",","))</f>
        <v>18818.53</v>
      </c>
      <c r="L22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0" s="2" t="str">
        <f>IF(Table14[[#This Row],[Umowa]]="","Poza umową","Z umowy")</f>
        <v>Z umowy</v>
      </c>
      <c r="N2270" s="2">
        <f>YEAR(Table14[[#This Row],[Data_Wystawienia]])</f>
        <v>2024</v>
      </c>
      <c r="O2270" s="2" t="str">
        <f>TEXT(Table14[[#This Row],[Data_Wystawienia]],"rrrr-mm")</f>
        <v>2024-04</v>
      </c>
      <c r="P2270" s="2">
        <v>1</v>
      </c>
    </row>
    <row r="2271" spans="1:16" x14ac:dyDescent="0.3">
      <c r="A2271" s="2" t="str">
        <f>TRIM(Table1[[#This Row],[Numer_FV]])</f>
        <v>FV/9948/NOVA/24</v>
      </c>
      <c r="B2271" s="2" t="str">
        <f>TRIM(Table1[[#This Row],[Numer_PZ]])</f>
        <v>PZ/802269</v>
      </c>
      <c r="C2271" s="2" t="str">
        <f>TRIM(Table1[[#This Row],[Dostawca]])</f>
        <v>NovaLek</v>
      </c>
      <c r="D2271" s="3">
        <v>45405</v>
      </c>
      <c r="E2271" s="4" t="s">
        <v>6708</v>
      </c>
      <c r="F2271" s="2" t="str">
        <f>TRIM(Table1[[#This Row],[Status]])</f>
        <v>Zaakceptowana</v>
      </c>
      <c r="G2271" s="2" t="str">
        <f>TRIM(Table1[[#This Row],[Typ]])</f>
        <v>Faktura VAT</v>
      </c>
      <c r="H2271" s="2" t="str">
        <f>TRIM(Table1[[#This Row],[Magazyn]])</f>
        <v>Apteka Szpitalna</v>
      </c>
      <c r="I2271" s="2" t="str">
        <f>TRIM(Table1[[#This Row],[Umowa]])</f>
        <v>UM-NOV-01</v>
      </c>
      <c r="J2271" s="2" t="b">
        <f>ISTEXT(Table14[[#This Row],[Data_Wystawienia]])</f>
        <v>0</v>
      </c>
      <c r="K2271" s="2">
        <f>VALUE(SUBSTITUTE(Table14[[#This Row],[Wartość]],".",","))</f>
        <v>19094.72</v>
      </c>
      <c r="L22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1" s="2" t="str">
        <f>IF(Table14[[#This Row],[Umowa]]="","Poza umową","Z umowy")</f>
        <v>Z umowy</v>
      </c>
      <c r="N2271" s="2">
        <f>YEAR(Table14[[#This Row],[Data_Wystawienia]])</f>
        <v>2024</v>
      </c>
      <c r="O2271" s="2" t="str">
        <f>TEXT(Table14[[#This Row],[Data_Wystawienia]],"rrrr-mm")</f>
        <v>2024-04</v>
      </c>
      <c r="P2271" s="2">
        <v>1</v>
      </c>
    </row>
    <row r="2272" spans="1:16" x14ac:dyDescent="0.3">
      <c r="A2272" s="2" t="str">
        <f>TRIM(Table1[[#This Row],[Numer_FV]])</f>
        <v>FV/CENFA/688372/24</v>
      </c>
      <c r="B2272" s="2" t="str">
        <f>TRIM(Table1[[#This Row],[Numer_PZ]])</f>
        <v>PZ/802270</v>
      </c>
      <c r="C2272" s="2" t="str">
        <f>TRIM(Table1[[#This Row],[Dostawca]])</f>
        <v>CentrumFarm</v>
      </c>
      <c r="D2272" s="3">
        <v>45405</v>
      </c>
      <c r="E2272" s="4" t="s">
        <v>6711</v>
      </c>
      <c r="F2272" s="2" t="str">
        <f>TRIM(Table1[[#This Row],[Status]])</f>
        <v>Zaakceptowana</v>
      </c>
      <c r="G2272" s="2" t="str">
        <f>TRIM(Table1[[#This Row],[Typ]])</f>
        <v>Faktura VAT</v>
      </c>
      <c r="H2272" s="2" t="str">
        <f>TRIM(Table1[[#This Row],[Magazyn]])</f>
        <v>Apteka Szpitalna</v>
      </c>
      <c r="I2272" s="2" t="str">
        <f>TRIM(Table1[[#This Row],[Umowa]])</f>
        <v>UM-CEN-02</v>
      </c>
      <c r="J2272" s="2" t="b">
        <f>ISTEXT(Table14[[#This Row],[Data_Wystawienia]])</f>
        <v>0</v>
      </c>
      <c r="K2272" s="2">
        <f>VALUE(SUBSTITUTE(Table14[[#This Row],[Wartość]],".",","))</f>
        <v>20723.32</v>
      </c>
      <c r="L22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2" s="2" t="str">
        <f>IF(Table14[[#This Row],[Umowa]]="","Poza umową","Z umowy")</f>
        <v>Z umowy</v>
      </c>
      <c r="N2272" s="2">
        <f>YEAR(Table14[[#This Row],[Data_Wystawienia]])</f>
        <v>2024</v>
      </c>
      <c r="O2272" s="2" t="str">
        <f>TEXT(Table14[[#This Row],[Data_Wystawienia]],"rrrr-mm")</f>
        <v>2024-04</v>
      </c>
      <c r="P2272" s="2">
        <v>1</v>
      </c>
    </row>
    <row r="2273" spans="1:16" x14ac:dyDescent="0.3">
      <c r="A2273" s="2" t="str">
        <f>TRIM(Table1[[#This Row],[Numer_FV]])</f>
        <v>FV/POL/13869/2024</v>
      </c>
      <c r="B2273" s="2" t="str">
        <f>TRIM(Table1[[#This Row],[Numer_PZ]])</f>
        <v>PZ/802271</v>
      </c>
      <c r="C2273" s="2" t="str">
        <f>TRIM(Table1[[#This Row],[Dostawca]])</f>
        <v>Polmedica</v>
      </c>
      <c r="D2273" s="3">
        <v>45405</v>
      </c>
      <c r="E2273" s="4" t="s">
        <v>6714</v>
      </c>
      <c r="F2273" s="2" t="str">
        <f>TRIM(Table1[[#This Row],[Status]])</f>
        <v>Zaakceptowana</v>
      </c>
      <c r="G2273" s="2" t="str">
        <f>TRIM(Table1[[#This Row],[Typ]])</f>
        <v>Faktura VAT</v>
      </c>
      <c r="H2273" s="2" t="str">
        <f>TRIM(Table1[[#This Row],[Magazyn]])</f>
        <v>Apteka Szpitalna</v>
      </c>
      <c r="I2273" s="2" t="str">
        <f>TRIM(Table1[[#This Row],[Umowa]])</f>
        <v>UM-POL-01</v>
      </c>
      <c r="J2273" s="2" t="b">
        <f>ISTEXT(Table14[[#This Row],[Data_Wystawienia]])</f>
        <v>0</v>
      </c>
      <c r="K2273" s="2">
        <f>VALUE(SUBSTITUTE(Table14[[#This Row],[Wartość]],".",","))</f>
        <v>15387.52</v>
      </c>
      <c r="L22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3" s="2" t="str">
        <f>IF(Table14[[#This Row],[Umowa]]="","Poza umową","Z umowy")</f>
        <v>Z umowy</v>
      </c>
      <c r="N2273" s="2">
        <f>YEAR(Table14[[#This Row],[Data_Wystawienia]])</f>
        <v>2024</v>
      </c>
      <c r="O2273" s="2" t="str">
        <f>TEXT(Table14[[#This Row],[Data_Wystawienia]],"rrrr-mm")</f>
        <v>2024-04</v>
      </c>
      <c r="P2273" s="2">
        <v>1</v>
      </c>
    </row>
    <row r="2274" spans="1:16" x14ac:dyDescent="0.3">
      <c r="A2274" s="2" t="str">
        <f>TRIM(Table1[[#This Row],[Numer_FV]])</f>
        <v>FV/29/SAL/24</v>
      </c>
      <c r="B2274" s="2" t="str">
        <f>TRIM(Table1[[#This Row],[Numer_PZ]])</f>
        <v>PZ/802272</v>
      </c>
      <c r="C2274" s="2" t="str">
        <f>TRIM(Table1[[#This Row],[Dostawca]])</f>
        <v>SalusHurt</v>
      </c>
      <c r="D2274" s="3">
        <v>45406</v>
      </c>
      <c r="E2274" s="4" t="s">
        <v>6717</v>
      </c>
      <c r="F2274" s="2" t="str">
        <f>TRIM(Table1[[#This Row],[Status]])</f>
        <v>Zaakceptowana</v>
      </c>
      <c r="G2274" s="2" t="str">
        <f>TRIM(Table1[[#This Row],[Typ]])</f>
        <v>Faktura VAT</v>
      </c>
      <c r="H2274" s="2" t="str">
        <f>TRIM(Table1[[#This Row],[Magazyn]])</f>
        <v>Apteka Szpitalna</v>
      </c>
      <c r="I2274" s="2" t="str">
        <f>TRIM(Table1[[#This Row],[Umowa]])</f>
        <v>UM-SAL-01</v>
      </c>
      <c r="J2274" s="2" t="b">
        <f>ISTEXT(Table14[[#This Row],[Data_Wystawienia]])</f>
        <v>0</v>
      </c>
      <c r="K2274" s="2">
        <f>VALUE(SUBSTITUTE(Table14[[#This Row],[Wartość]],".",","))</f>
        <v>16757.939999999999</v>
      </c>
      <c r="L22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4" s="2" t="str">
        <f>IF(Table14[[#This Row],[Umowa]]="","Poza umową","Z umowy")</f>
        <v>Z umowy</v>
      </c>
      <c r="N2274" s="2">
        <f>YEAR(Table14[[#This Row],[Data_Wystawienia]])</f>
        <v>2024</v>
      </c>
      <c r="O2274" s="2" t="str">
        <f>TEXT(Table14[[#This Row],[Data_Wystawienia]],"rrrr-mm")</f>
        <v>2024-04</v>
      </c>
      <c r="P2274" s="2">
        <v>1</v>
      </c>
    </row>
    <row r="2275" spans="1:16" x14ac:dyDescent="0.3">
      <c r="A2275" s="2" t="str">
        <f>TRIM(Table1[[#This Row],[Numer_FV]])</f>
        <v>FV/POL/43389/2024</v>
      </c>
      <c r="B2275" s="2" t="str">
        <f>TRIM(Table1[[#This Row],[Numer_PZ]])</f>
        <v>PZ/802273</v>
      </c>
      <c r="C2275" s="2" t="str">
        <f>TRIM(Table1[[#This Row],[Dostawca]])</f>
        <v>Polmedica</v>
      </c>
      <c r="D2275" s="3">
        <v>45407</v>
      </c>
      <c r="E2275" s="4" t="s">
        <v>6720</v>
      </c>
      <c r="F2275" s="2" t="str">
        <f>TRIM(Table1[[#This Row],[Status]])</f>
        <v>Zaakceptowana</v>
      </c>
      <c r="G2275" s="2" t="str">
        <f>TRIM(Table1[[#This Row],[Typ]])</f>
        <v>Faktura VAT</v>
      </c>
      <c r="H2275" s="2" t="str">
        <f>TRIM(Table1[[#This Row],[Magazyn]])</f>
        <v>Apteka Szpitalna</v>
      </c>
      <c r="I2275" s="2" t="str">
        <f>TRIM(Table1[[#This Row],[Umowa]])</f>
        <v>UM-POL-03</v>
      </c>
      <c r="J2275" s="2" t="b">
        <f>ISTEXT(Table14[[#This Row],[Data_Wystawienia]])</f>
        <v>0</v>
      </c>
      <c r="K2275" s="2">
        <f>VALUE(SUBSTITUTE(Table14[[#This Row],[Wartość]],".",","))</f>
        <v>5715.15</v>
      </c>
      <c r="L22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5" s="2" t="str">
        <f>IF(Table14[[#This Row],[Umowa]]="","Poza umową","Z umowy")</f>
        <v>Z umowy</v>
      </c>
      <c r="N2275" s="2">
        <f>YEAR(Table14[[#This Row],[Data_Wystawienia]])</f>
        <v>2024</v>
      </c>
      <c r="O2275" s="2" t="str">
        <f>TEXT(Table14[[#This Row],[Data_Wystawienia]],"rrrr-mm")</f>
        <v>2024-04</v>
      </c>
      <c r="P2275" s="2">
        <v>1</v>
      </c>
    </row>
    <row r="2276" spans="1:16" x14ac:dyDescent="0.3">
      <c r="A2276" s="2" t="str">
        <f>TRIM(Table1[[#This Row],[Numer_FV]])</f>
        <v>FV/58/PP/4278/24</v>
      </c>
      <c r="B2276" s="2" t="str">
        <f>TRIM(Table1[[#This Row],[Numer_PZ]])</f>
        <v>PZ/802274</v>
      </c>
      <c r="C2276" s="2" t="str">
        <f>TRIM(Table1[[#This Row],[Dostawca]])</f>
        <v>PharmaPlus</v>
      </c>
      <c r="D2276" s="3">
        <v>45407</v>
      </c>
      <c r="E2276" s="4" t="s">
        <v>6723</v>
      </c>
      <c r="F2276" s="2" t="str">
        <f>TRIM(Table1[[#This Row],[Status]])</f>
        <v>Zaakceptowana</v>
      </c>
      <c r="G2276" s="2" t="str">
        <f>TRIM(Table1[[#This Row],[Typ]])</f>
        <v>Faktura VAT</v>
      </c>
      <c r="H2276" s="2" t="str">
        <f>TRIM(Table1[[#This Row],[Magazyn]])</f>
        <v>Apteka Szpitalna</v>
      </c>
      <c r="I2276" s="2" t="str">
        <f>TRIM(Table1[[#This Row],[Umowa]])</f>
        <v>UM-PHA-02</v>
      </c>
      <c r="J2276" s="2" t="b">
        <f>ISTEXT(Table14[[#This Row],[Data_Wystawienia]])</f>
        <v>0</v>
      </c>
      <c r="K2276" s="2">
        <f>VALUE(SUBSTITUTE(Table14[[#This Row],[Wartość]],".",","))</f>
        <v>7100.81</v>
      </c>
      <c r="L22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6" s="2" t="str">
        <f>IF(Table14[[#This Row],[Umowa]]="","Poza umową","Z umowy")</f>
        <v>Z umowy</v>
      </c>
      <c r="N2276" s="2">
        <f>YEAR(Table14[[#This Row],[Data_Wystawienia]])</f>
        <v>2024</v>
      </c>
      <c r="O2276" s="2" t="str">
        <f>TEXT(Table14[[#This Row],[Data_Wystawienia]],"rrrr-mm")</f>
        <v>2024-04</v>
      </c>
      <c r="P2276" s="2">
        <v>1</v>
      </c>
    </row>
    <row r="2277" spans="1:16" x14ac:dyDescent="0.3">
      <c r="A2277" s="2" t="str">
        <f>TRIM(Table1[[#This Row],[Numer_FV]])</f>
        <v>FV/CENFA/678019/24</v>
      </c>
      <c r="B2277" s="2" t="str">
        <f>TRIM(Table1[[#This Row],[Numer_PZ]])</f>
        <v>PZ/802275</v>
      </c>
      <c r="C2277" s="2" t="str">
        <f>TRIM(Table1[[#This Row],[Dostawca]])</f>
        <v>CentrumFarm</v>
      </c>
      <c r="D2277" s="3">
        <v>45407</v>
      </c>
      <c r="E2277" s="4" t="s">
        <v>6726</v>
      </c>
      <c r="F2277" s="2" t="str">
        <f>TRIM(Table1[[#This Row],[Status]])</f>
        <v>Zaakceptowana</v>
      </c>
      <c r="G2277" s="2" t="str">
        <f>TRIM(Table1[[#This Row],[Typ]])</f>
        <v>Faktura VAT</v>
      </c>
      <c r="H2277" s="2" t="str">
        <f>TRIM(Table1[[#This Row],[Magazyn]])</f>
        <v>Apteka Szpitalna</v>
      </c>
      <c r="I2277" s="2" t="str">
        <f>TRIM(Table1[[#This Row],[Umowa]])</f>
        <v>UM-CEN-01</v>
      </c>
      <c r="J2277" s="2" t="b">
        <f>ISTEXT(Table14[[#This Row],[Data_Wystawienia]])</f>
        <v>0</v>
      </c>
      <c r="K2277" s="2">
        <f>VALUE(SUBSTITUTE(Table14[[#This Row],[Wartość]],".",","))</f>
        <v>14557.65</v>
      </c>
      <c r="L22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7" s="2" t="str">
        <f>IF(Table14[[#This Row],[Umowa]]="","Poza umową","Z umowy")</f>
        <v>Z umowy</v>
      </c>
      <c r="N2277" s="2">
        <f>YEAR(Table14[[#This Row],[Data_Wystawienia]])</f>
        <v>2024</v>
      </c>
      <c r="O2277" s="2" t="str">
        <f>TEXT(Table14[[#This Row],[Data_Wystawienia]],"rrrr-mm")</f>
        <v>2024-04</v>
      </c>
      <c r="P2277" s="2">
        <v>1</v>
      </c>
    </row>
    <row r="2278" spans="1:16" x14ac:dyDescent="0.3">
      <c r="A2278" s="2" t="str">
        <f>TRIM(Table1[[#This Row],[Numer_FV]])</f>
        <v>FV/M/9709/P/24</v>
      </c>
      <c r="B2278" s="2" t="str">
        <f>TRIM(Table1[[#This Row],[Numer_PZ]])</f>
        <v>PZ/802276</v>
      </c>
      <c r="C2278" s="2" t="str">
        <f>TRIM(Table1[[#This Row],[Dostawca]])</f>
        <v>MedicaPharm</v>
      </c>
      <c r="D2278" s="3">
        <v>45407</v>
      </c>
      <c r="E2278" s="4" t="s">
        <v>6729</v>
      </c>
      <c r="F2278" s="2" t="str">
        <f>TRIM(Table1[[#This Row],[Status]])</f>
        <v>Zaakceptowana</v>
      </c>
      <c r="G2278" s="2" t="str">
        <f>TRIM(Table1[[#This Row],[Typ]])</f>
        <v>Faktura VAT</v>
      </c>
      <c r="H2278" s="2" t="str">
        <f>TRIM(Table1[[#This Row],[Magazyn]])</f>
        <v>Apteka Szpitalna</v>
      </c>
      <c r="I2278" s="2" t="str">
        <f>TRIM(Table1[[#This Row],[Umowa]])</f>
        <v/>
      </c>
      <c r="J2278" s="2" t="b">
        <f>ISTEXT(Table14[[#This Row],[Data_Wystawienia]])</f>
        <v>0</v>
      </c>
      <c r="K2278" s="2">
        <f>VALUE(SUBSTITUTE(Table14[[#This Row],[Wartość]],".",","))</f>
        <v>17383.939999999999</v>
      </c>
      <c r="L22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8" s="2" t="str">
        <f>IF(Table14[[#This Row],[Umowa]]="","Poza umową","Z umowy")</f>
        <v>Poza umową</v>
      </c>
      <c r="N2278" s="2">
        <f>YEAR(Table14[[#This Row],[Data_Wystawienia]])</f>
        <v>2024</v>
      </c>
      <c r="O2278" s="2" t="str">
        <f>TEXT(Table14[[#This Row],[Data_Wystawienia]],"rrrr-mm")</f>
        <v>2024-04</v>
      </c>
      <c r="P2278" s="2">
        <v>1</v>
      </c>
    </row>
    <row r="2279" spans="1:16" x14ac:dyDescent="0.3">
      <c r="A2279" s="2" t="str">
        <f>TRIM(Table1[[#This Row],[Numer_FV]])</f>
        <v>FV/8488HM/24</v>
      </c>
      <c r="B2279" s="2" t="str">
        <f>TRIM(Table1[[#This Row],[Numer_PZ]])</f>
        <v>PZ/802277</v>
      </c>
      <c r="C2279" s="2" t="str">
        <f>TRIM(Table1[[#This Row],[Dostawca]])</f>
        <v>HurtMedix</v>
      </c>
      <c r="D2279" s="3">
        <v>45407</v>
      </c>
      <c r="E2279" s="4" t="s">
        <v>6732</v>
      </c>
      <c r="F2279" s="2" t="str">
        <f>TRIM(Table1[[#This Row],[Status]])</f>
        <v>Zaakceptowana</v>
      </c>
      <c r="G2279" s="2" t="str">
        <f>TRIM(Table1[[#This Row],[Typ]])</f>
        <v>Faktura VAT</v>
      </c>
      <c r="H2279" s="2" t="str">
        <f>TRIM(Table1[[#This Row],[Magazyn]])</f>
        <v>Apteka Szpitalna</v>
      </c>
      <c r="I2279" s="2" t="str">
        <f>TRIM(Table1[[#This Row],[Umowa]])</f>
        <v/>
      </c>
      <c r="J2279" s="2" t="b">
        <f>ISTEXT(Table14[[#This Row],[Data_Wystawienia]])</f>
        <v>0</v>
      </c>
      <c r="K2279" s="2">
        <f>VALUE(SUBSTITUTE(Table14[[#This Row],[Wartość]],".",","))</f>
        <v>16874.36</v>
      </c>
      <c r="L22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79" s="2" t="str">
        <f>IF(Table14[[#This Row],[Umowa]]="","Poza umową","Z umowy")</f>
        <v>Poza umową</v>
      </c>
      <c r="N2279" s="2">
        <f>YEAR(Table14[[#This Row],[Data_Wystawienia]])</f>
        <v>2024</v>
      </c>
      <c r="O2279" s="2" t="str">
        <f>TEXT(Table14[[#This Row],[Data_Wystawienia]],"rrrr-mm")</f>
        <v>2024-04</v>
      </c>
      <c r="P2279" s="2">
        <v>1</v>
      </c>
    </row>
    <row r="2280" spans="1:16" x14ac:dyDescent="0.3">
      <c r="A2280" s="2" t="str">
        <f>TRIM(Table1[[#This Row],[Numer_FV]])</f>
        <v>FV/53695/VDb/2024</v>
      </c>
      <c r="B2280" s="2" t="str">
        <f>TRIM(Table1[[#This Row],[Numer_PZ]])</f>
        <v>PZ/802278</v>
      </c>
      <c r="C2280" s="2" t="str">
        <f>TRIM(Table1[[#This Row],[Dostawca]])</f>
        <v>VitaDistrib</v>
      </c>
      <c r="D2280" s="3">
        <v>45407</v>
      </c>
      <c r="E2280" s="4" t="s">
        <v>6735</v>
      </c>
      <c r="F2280" s="2" t="str">
        <f>TRIM(Table1[[#This Row],[Status]])</f>
        <v>Zaakceptowana</v>
      </c>
      <c r="G2280" s="2" t="str">
        <f>TRIM(Table1[[#This Row],[Typ]])</f>
        <v>Faktura VAT</v>
      </c>
      <c r="H2280" s="2" t="str">
        <f>TRIM(Table1[[#This Row],[Magazyn]])</f>
        <v>Apteka Szpitalna</v>
      </c>
      <c r="I2280" s="2" t="str">
        <f>TRIM(Table1[[#This Row],[Umowa]])</f>
        <v>UM-VIT-01</v>
      </c>
      <c r="J2280" s="2" t="b">
        <f>ISTEXT(Table14[[#This Row],[Data_Wystawienia]])</f>
        <v>0</v>
      </c>
      <c r="K2280" s="2">
        <f>VALUE(SUBSTITUTE(Table14[[#This Row],[Wartość]],".",","))</f>
        <v>11829.7</v>
      </c>
      <c r="L22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0" s="2" t="str">
        <f>IF(Table14[[#This Row],[Umowa]]="","Poza umową","Z umowy")</f>
        <v>Z umowy</v>
      </c>
      <c r="N2280" s="2">
        <f>YEAR(Table14[[#This Row],[Data_Wystawienia]])</f>
        <v>2024</v>
      </c>
      <c r="O2280" s="2" t="str">
        <f>TEXT(Table14[[#This Row],[Data_Wystawienia]],"rrrr-mm")</f>
        <v>2024-04</v>
      </c>
      <c r="P2280" s="2">
        <v>1</v>
      </c>
    </row>
    <row r="2281" spans="1:16" x14ac:dyDescent="0.3">
      <c r="A2281" s="2" t="str">
        <f>TRIM(Table1[[#This Row],[Numer_FV]])</f>
        <v>FV/4071HM/24</v>
      </c>
      <c r="B2281" s="2" t="str">
        <f>TRIM(Table1[[#This Row],[Numer_PZ]])</f>
        <v>PZ/802279</v>
      </c>
      <c r="C2281" s="2" t="str">
        <f>TRIM(Table1[[#This Row],[Dostawca]])</f>
        <v>HurtMedix</v>
      </c>
      <c r="D2281" s="3">
        <v>45407</v>
      </c>
      <c r="E2281" s="4" t="s">
        <v>6738</v>
      </c>
      <c r="F2281" s="2" t="str">
        <f>TRIM(Table1[[#This Row],[Status]])</f>
        <v>Zaakceptowana</v>
      </c>
      <c r="G2281" s="2" t="str">
        <f>TRIM(Table1[[#This Row],[Typ]])</f>
        <v>Faktura VAT</v>
      </c>
      <c r="H2281" s="2" t="str">
        <f>TRIM(Table1[[#This Row],[Magazyn]])</f>
        <v>Apteka Szpitalna</v>
      </c>
      <c r="I2281" s="2" t="str">
        <f>TRIM(Table1[[#This Row],[Umowa]])</f>
        <v>UM-HUR-03</v>
      </c>
      <c r="J2281" s="2" t="b">
        <f>ISTEXT(Table14[[#This Row],[Data_Wystawienia]])</f>
        <v>0</v>
      </c>
      <c r="K2281" s="2">
        <f>VALUE(SUBSTITUTE(Table14[[#This Row],[Wartość]],".",","))</f>
        <v>18032.099999999999</v>
      </c>
      <c r="L22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1" s="2" t="str">
        <f>IF(Table14[[#This Row],[Umowa]]="","Poza umową","Z umowy")</f>
        <v>Z umowy</v>
      </c>
      <c r="N2281" s="2">
        <f>YEAR(Table14[[#This Row],[Data_Wystawienia]])</f>
        <v>2024</v>
      </c>
      <c r="O2281" s="2" t="str">
        <f>TEXT(Table14[[#This Row],[Data_Wystawienia]],"rrrr-mm")</f>
        <v>2024-04</v>
      </c>
      <c r="P2281" s="2">
        <v>1</v>
      </c>
    </row>
    <row r="2282" spans="1:16" x14ac:dyDescent="0.3">
      <c r="A2282" s="2" t="str">
        <f>TRIM(Table1[[#This Row],[Numer_FV]])</f>
        <v>FV/64862/VDb/2024</v>
      </c>
      <c r="B2282" s="2" t="str">
        <f>TRIM(Table1[[#This Row],[Numer_PZ]])</f>
        <v>PZ/802280</v>
      </c>
      <c r="C2282" s="2" t="str">
        <f>TRIM(Table1[[#This Row],[Dostawca]])</f>
        <v>VitaDistrib</v>
      </c>
      <c r="D2282" s="3">
        <v>45408</v>
      </c>
      <c r="E2282" s="4" t="s">
        <v>6741</v>
      </c>
      <c r="F2282" s="2" t="str">
        <f>TRIM(Table1[[#This Row],[Status]])</f>
        <v>Zaakceptowana</v>
      </c>
      <c r="G2282" s="2" t="str">
        <f>TRIM(Table1[[#This Row],[Typ]])</f>
        <v>Faktura VAT</v>
      </c>
      <c r="H2282" s="2" t="str">
        <f>TRIM(Table1[[#This Row],[Magazyn]])</f>
        <v>Apteka Szpitalna</v>
      </c>
      <c r="I2282" s="2" t="str">
        <f>TRIM(Table1[[#This Row],[Umowa]])</f>
        <v>UM-VIT-01</v>
      </c>
      <c r="J2282" s="2" t="b">
        <f>ISTEXT(Table14[[#This Row],[Data_Wystawienia]])</f>
        <v>0</v>
      </c>
      <c r="K2282" s="2">
        <f>VALUE(SUBSTITUTE(Table14[[#This Row],[Wartość]],".",","))</f>
        <v>16210.57</v>
      </c>
      <c r="L22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2" s="2" t="str">
        <f>IF(Table14[[#This Row],[Umowa]]="","Poza umową","Z umowy")</f>
        <v>Z umowy</v>
      </c>
      <c r="N2282" s="2">
        <f>YEAR(Table14[[#This Row],[Data_Wystawienia]])</f>
        <v>2024</v>
      </c>
      <c r="O2282" s="2" t="str">
        <f>TEXT(Table14[[#This Row],[Data_Wystawienia]],"rrrr-mm")</f>
        <v>2024-04</v>
      </c>
      <c r="P2282" s="2">
        <v>1</v>
      </c>
    </row>
    <row r="2283" spans="1:16" x14ac:dyDescent="0.3">
      <c r="A2283" s="2" t="str">
        <f>TRIM(Table1[[#This Row],[Numer_FV]])</f>
        <v>FV/M/3280/P/24</v>
      </c>
      <c r="B2283" s="2" t="str">
        <f>TRIM(Table1[[#This Row],[Numer_PZ]])</f>
        <v>PZ/802281</v>
      </c>
      <c r="C2283" s="2" t="str">
        <f>TRIM(Table1[[#This Row],[Dostawca]])</f>
        <v>MedicaPharm</v>
      </c>
      <c r="D2283" s="3">
        <v>45408</v>
      </c>
      <c r="E2283" s="4" t="s">
        <v>6744</v>
      </c>
      <c r="F2283" s="2" t="str">
        <f>TRIM(Table1[[#This Row],[Status]])</f>
        <v>Zaakceptowana</v>
      </c>
      <c r="G2283" s="2" t="str">
        <f>TRIM(Table1[[#This Row],[Typ]])</f>
        <v>Faktura VAT</v>
      </c>
      <c r="H2283" s="2" t="str">
        <f>TRIM(Table1[[#This Row],[Magazyn]])</f>
        <v>Apteka Szpitalna</v>
      </c>
      <c r="I2283" s="2" t="str">
        <f>TRIM(Table1[[#This Row],[Umowa]])</f>
        <v>UM-MED-02</v>
      </c>
      <c r="J2283" s="2" t="b">
        <f>ISTEXT(Table14[[#This Row],[Data_Wystawienia]])</f>
        <v>0</v>
      </c>
      <c r="K2283" s="2">
        <f>VALUE(SUBSTITUTE(Table14[[#This Row],[Wartość]],".",","))</f>
        <v>19563.55</v>
      </c>
      <c r="L22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3" s="2" t="str">
        <f>IF(Table14[[#This Row],[Umowa]]="","Poza umową","Z umowy")</f>
        <v>Z umowy</v>
      </c>
      <c r="N2283" s="2">
        <f>YEAR(Table14[[#This Row],[Data_Wystawienia]])</f>
        <v>2024</v>
      </c>
      <c r="O2283" s="2" t="str">
        <f>TEXT(Table14[[#This Row],[Data_Wystawienia]],"rrrr-mm")</f>
        <v>2024-04</v>
      </c>
      <c r="P2283" s="2">
        <v>1</v>
      </c>
    </row>
    <row r="2284" spans="1:16" x14ac:dyDescent="0.3">
      <c r="A2284" s="2" t="str">
        <f>TRIM(Table1[[#This Row],[Numer_FV]])</f>
        <v>FV/CENFA/198032/24</v>
      </c>
      <c r="B2284" s="2" t="str">
        <f>TRIM(Table1[[#This Row],[Numer_PZ]])</f>
        <v>PZ/802282</v>
      </c>
      <c r="C2284" s="2" t="str">
        <f>TRIM(Table1[[#This Row],[Dostawca]])</f>
        <v>CentrumFarm</v>
      </c>
      <c r="D2284" s="3">
        <v>45408</v>
      </c>
      <c r="E2284" s="4" t="s">
        <v>6747</v>
      </c>
      <c r="F2284" s="2" t="str">
        <f>TRIM(Table1[[#This Row],[Status]])</f>
        <v>Zaakceptowana</v>
      </c>
      <c r="G2284" s="2" t="str">
        <f>TRIM(Table1[[#This Row],[Typ]])</f>
        <v>Faktura VAT</v>
      </c>
      <c r="H2284" s="2" t="str">
        <f>TRIM(Table1[[#This Row],[Magazyn]])</f>
        <v>Apteka Szpitalna</v>
      </c>
      <c r="I2284" s="2" t="str">
        <f>TRIM(Table1[[#This Row],[Umowa]])</f>
        <v>UM-CEN-01</v>
      </c>
      <c r="J2284" s="2" t="b">
        <f>ISTEXT(Table14[[#This Row],[Data_Wystawienia]])</f>
        <v>0</v>
      </c>
      <c r="K2284" s="2">
        <f>VALUE(SUBSTITUTE(Table14[[#This Row],[Wartość]],".",","))</f>
        <v>15633.2</v>
      </c>
      <c r="L22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4" s="2" t="str">
        <f>IF(Table14[[#This Row],[Umowa]]="","Poza umową","Z umowy")</f>
        <v>Z umowy</v>
      </c>
      <c r="N2284" s="2">
        <f>YEAR(Table14[[#This Row],[Data_Wystawienia]])</f>
        <v>2024</v>
      </c>
      <c r="O2284" s="2" t="str">
        <f>TEXT(Table14[[#This Row],[Data_Wystawienia]],"rrrr-mm")</f>
        <v>2024-04</v>
      </c>
      <c r="P2284" s="2">
        <v>1</v>
      </c>
    </row>
    <row r="2285" spans="1:16" x14ac:dyDescent="0.3">
      <c r="A2285" s="2" t="str">
        <f>TRIM(Table1[[#This Row],[Numer_FV]])</f>
        <v>FV/POL/78009/2024</v>
      </c>
      <c r="B2285" s="2" t="str">
        <f>TRIM(Table1[[#This Row],[Numer_PZ]])</f>
        <v>PZ/802283</v>
      </c>
      <c r="C2285" s="2" t="str">
        <f>TRIM(Table1[[#This Row],[Dostawca]])</f>
        <v>Polmedica</v>
      </c>
      <c r="D2285" s="3">
        <v>45409</v>
      </c>
      <c r="E2285" s="4" t="s">
        <v>6750</v>
      </c>
      <c r="F2285" s="2" t="str">
        <f>TRIM(Table1[[#This Row],[Status]])</f>
        <v>Zaakceptowana</v>
      </c>
      <c r="G2285" s="2" t="str">
        <f>TRIM(Table1[[#This Row],[Typ]])</f>
        <v>Faktura VAT</v>
      </c>
      <c r="H2285" s="2" t="str">
        <f>TRIM(Table1[[#This Row],[Magazyn]])</f>
        <v>Apteka Szpitalna</v>
      </c>
      <c r="I2285" s="2" t="str">
        <f>TRIM(Table1[[#This Row],[Umowa]])</f>
        <v/>
      </c>
      <c r="J2285" s="2" t="b">
        <f>ISTEXT(Table14[[#This Row],[Data_Wystawienia]])</f>
        <v>0</v>
      </c>
      <c r="K2285" s="2">
        <f>VALUE(SUBSTITUTE(Table14[[#This Row],[Wartość]],".",","))</f>
        <v>28966.83</v>
      </c>
      <c r="L22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5" s="2" t="str">
        <f>IF(Table14[[#This Row],[Umowa]]="","Poza umową","Z umowy")</f>
        <v>Poza umową</v>
      </c>
      <c r="N2285" s="2">
        <f>YEAR(Table14[[#This Row],[Data_Wystawienia]])</f>
        <v>2024</v>
      </c>
      <c r="O2285" s="2" t="str">
        <f>TEXT(Table14[[#This Row],[Data_Wystawienia]],"rrrr-mm")</f>
        <v>2024-04</v>
      </c>
      <c r="P2285" s="2">
        <v>1</v>
      </c>
    </row>
    <row r="2286" spans="1:16" x14ac:dyDescent="0.3">
      <c r="A2286" s="2" t="str">
        <f>TRIM(Table1[[#This Row],[Numer_FV]])</f>
        <v>FV/CENFA/347512/24</v>
      </c>
      <c r="B2286" s="2" t="str">
        <f>TRIM(Table1[[#This Row],[Numer_PZ]])</f>
        <v>PZ/802284</v>
      </c>
      <c r="C2286" s="2" t="str">
        <f>TRIM(Table1[[#This Row],[Dostawca]])</f>
        <v>CentrumFarm</v>
      </c>
      <c r="D2286" s="3">
        <v>45410</v>
      </c>
      <c r="E2286" s="4" t="s">
        <v>6753</v>
      </c>
      <c r="F2286" s="2" t="str">
        <f>TRIM(Table1[[#This Row],[Status]])</f>
        <v>Zaakceptowana</v>
      </c>
      <c r="G2286" s="2" t="str">
        <f>TRIM(Table1[[#This Row],[Typ]])</f>
        <v>Faktura VAT</v>
      </c>
      <c r="H2286" s="2" t="str">
        <f>TRIM(Table1[[#This Row],[Magazyn]])</f>
        <v>Apteka Szpitalna</v>
      </c>
      <c r="I2286" s="2" t="str">
        <f>TRIM(Table1[[#This Row],[Umowa]])</f>
        <v>UM-CEN-01</v>
      </c>
      <c r="J2286" s="2" t="b">
        <f>ISTEXT(Table14[[#This Row],[Data_Wystawienia]])</f>
        <v>0</v>
      </c>
      <c r="K2286" s="2">
        <f>VALUE(SUBSTITUTE(Table14[[#This Row],[Wartość]],".",","))</f>
        <v>15404.94</v>
      </c>
      <c r="L22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6" s="2" t="str">
        <f>IF(Table14[[#This Row],[Umowa]]="","Poza umową","Z umowy")</f>
        <v>Z umowy</v>
      </c>
      <c r="N2286" s="2">
        <f>YEAR(Table14[[#This Row],[Data_Wystawienia]])</f>
        <v>2024</v>
      </c>
      <c r="O2286" s="2" t="str">
        <f>TEXT(Table14[[#This Row],[Data_Wystawienia]],"rrrr-mm")</f>
        <v>2024-04</v>
      </c>
      <c r="P2286" s="2">
        <v>1</v>
      </c>
    </row>
    <row r="2287" spans="1:16" x14ac:dyDescent="0.3">
      <c r="A2287" s="2" t="str">
        <f>TRIM(Table1[[#This Row],[Numer_FV]])</f>
        <v>FV/60/SAL/24</v>
      </c>
      <c r="B2287" s="2" t="str">
        <f>TRIM(Table1[[#This Row],[Numer_PZ]])</f>
        <v>PZ/802285</v>
      </c>
      <c r="C2287" s="2" t="str">
        <f>TRIM(Table1[[#This Row],[Dostawca]])</f>
        <v>SalusHurt</v>
      </c>
      <c r="D2287" s="3">
        <v>45410</v>
      </c>
      <c r="E2287" s="4" t="s">
        <v>6755</v>
      </c>
      <c r="F2287" s="2" t="str">
        <f>TRIM(Table1[[#This Row],[Status]])</f>
        <v>Zaakceptowana</v>
      </c>
      <c r="G2287" s="2" t="str">
        <f>TRIM(Table1[[#This Row],[Typ]])</f>
        <v>Faktura VAT</v>
      </c>
      <c r="H2287" s="2" t="str">
        <f>TRIM(Table1[[#This Row],[Magazyn]])</f>
        <v>Apteka Szpitalna</v>
      </c>
      <c r="I2287" s="2" t="str">
        <f>TRIM(Table1[[#This Row],[Umowa]])</f>
        <v/>
      </c>
      <c r="J2287" s="2" t="b">
        <f>ISTEXT(Table14[[#This Row],[Data_Wystawienia]])</f>
        <v>0</v>
      </c>
      <c r="K2287" s="2">
        <f>VALUE(SUBSTITUTE(Table14[[#This Row],[Wartość]],".",","))</f>
        <v>12683.17</v>
      </c>
      <c r="L22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7" s="2" t="str">
        <f>IF(Table14[[#This Row],[Umowa]]="","Poza umową","Z umowy")</f>
        <v>Poza umową</v>
      </c>
      <c r="N2287" s="2">
        <f>YEAR(Table14[[#This Row],[Data_Wystawienia]])</f>
        <v>2024</v>
      </c>
      <c r="O2287" s="2" t="str">
        <f>TEXT(Table14[[#This Row],[Data_Wystawienia]],"rrrr-mm")</f>
        <v>2024-04</v>
      </c>
      <c r="P2287" s="2">
        <v>1</v>
      </c>
    </row>
    <row r="2288" spans="1:16" x14ac:dyDescent="0.3">
      <c r="A2288" s="2" t="str">
        <f>TRIM(Table1[[#This Row],[Numer_FV]])</f>
        <v>FV/8294HM/24</v>
      </c>
      <c r="B2288" s="2" t="str">
        <f>TRIM(Table1[[#This Row],[Numer_PZ]])</f>
        <v>PZ/802286</v>
      </c>
      <c r="C2288" s="2" t="str">
        <f>TRIM(Table1[[#This Row],[Dostawca]])</f>
        <v>HurtMedix</v>
      </c>
      <c r="D2288" s="3">
        <v>45410</v>
      </c>
      <c r="E2288" s="4" t="s">
        <v>6758</v>
      </c>
      <c r="F2288" s="2" t="str">
        <f>TRIM(Table1[[#This Row],[Status]])</f>
        <v>Zaakceptowana</v>
      </c>
      <c r="G2288" s="2" t="str">
        <f>TRIM(Table1[[#This Row],[Typ]])</f>
        <v>Faktura VAT</v>
      </c>
      <c r="H2288" s="2" t="str">
        <f>TRIM(Table1[[#This Row],[Magazyn]])</f>
        <v>Apteka Szpitalna</v>
      </c>
      <c r="I2288" s="2" t="str">
        <f>TRIM(Table1[[#This Row],[Umowa]])</f>
        <v>UM-HUR-02</v>
      </c>
      <c r="J2288" s="2" t="b">
        <f>ISTEXT(Table14[[#This Row],[Data_Wystawienia]])</f>
        <v>0</v>
      </c>
      <c r="K2288" s="2">
        <f>VALUE(SUBSTITUTE(Table14[[#This Row],[Wartość]],".",","))</f>
        <v>17179.27</v>
      </c>
      <c r="L22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8" s="2" t="str">
        <f>IF(Table14[[#This Row],[Umowa]]="","Poza umową","Z umowy")</f>
        <v>Z umowy</v>
      </c>
      <c r="N2288" s="2">
        <f>YEAR(Table14[[#This Row],[Data_Wystawienia]])</f>
        <v>2024</v>
      </c>
      <c r="O2288" s="2" t="str">
        <f>TEXT(Table14[[#This Row],[Data_Wystawienia]],"rrrr-mm")</f>
        <v>2024-04</v>
      </c>
      <c r="P2288" s="2">
        <v>1</v>
      </c>
    </row>
    <row r="2289" spans="1:16" x14ac:dyDescent="0.3">
      <c r="A2289" s="2" t="str">
        <f>TRIM(Table1[[#This Row],[Numer_FV]])</f>
        <v>FV/4353HM/24</v>
      </c>
      <c r="B2289" s="2" t="str">
        <f>TRIM(Table1[[#This Row],[Numer_PZ]])</f>
        <v>PZ/802287</v>
      </c>
      <c r="C2289" s="2" t="str">
        <f>TRIM(Table1[[#This Row],[Dostawca]])</f>
        <v>HurtMedix</v>
      </c>
      <c r="D2289" s="3">
        <v>45411</v>
      </c>
      <c r="E2289" s="4" t="s">
        <v>6761</v>
      </c>
      <c r="F2289" s="2" t="str">
        <f>TRIM(Table1[[#This Row],[Status]])</f>
        <v>Zaakceptowana</v>
      </c>
      <c r="G2289" s="2" t="str">
        <f>TRIM(Table1[[#This Row],[Typ]])</f>
        <v>Faktura VAT</v>
      </c>
      <c r="H2289" s="2" t="str">
        <f>TRIM(Table1[[#This Row],[Magazyn]])</f>
        <v>Apteka Szpitalna</v>
      </c>
      <c r="I2289" s="2" t="str">
        <f>TRIM(Table1[[#This Row],[Umowa]])</f>
        <v>UM-HUR-02</v>
      </c>
      <c r="J2289" s="2" t="b">
        <f>ISTEXT(Table14[[#This Row],[Data_Wystawienia]])</f>
        <v>0</v>
      </c>
      <c r="K2289" s="2">
        <f>VALUE(SUBSTITUTE(Table14[[#This Row],[Wartość]],".",","))</f>
        <v>18030.32</v>
      </c>
      <c r="L22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89" s="2" t="str">
        <f>IF(Table14[[#This Row],[Umowa]]="","Poza umową","Z umowy")</f>
        <v>Z umowy</v>
      </c>
      <c r="N2289" s="2">
        <f>YEAR(Table14[[#This Row],[Data_Wystawienia]])</f>
        <v>2024</v>
      </c>
      <c r="O2289" s="2" t="str">
        <f>TEXT(Table14[[#This Row],[Data_Wystawienia]],"rrrr-mm")</f>
        <v>2024-04</v>
      </c>
      <c r="P2289" s="2">
        <v>1</v>
      </c>
    </row>
    <row r="2290" spans="1:16" x14ac:dyDescent="0.3">
      <c r="A2290" s="2" t="str">
        <f>TRIM(Table1[[#This Row],[Numer_FV]])</f>
        <v>FV/CENFA/535130/24</v>
      </c>
      <c r="B2290" s="2" t="str">
        <f>TRIM(Table1[[#This Row],[Numer_PZ]])</f>
        <v>PZ/802288</v>
      </c>
      <c r="C2290" s="2" t="str">
        <f>TRIM(Table1[[#This Row],[Dostawca]])</f>
        <v>CentrumFarm</v>
      </c>
      <c r="D2290" s="3">
        <v>45411</v>
      </c>
      <c r="E2290" s="4" t="s">
        <v>6764</v>
      </c>
      <c r="F2290" s="2" t="str">
        <f>TRIM(Table1[[#This Row],[Status]])</f>
        <v>Zaakceptowana</v>
      </c>
      <c r="G2290" s="2" t="str">
        <f>TRIM(Table1[[#This Row],[Typ]])</f>
        <v>Faktura VAT</v>
      </c>
      <c r="H2290" s="2" t="str">
        <f>TRIM(Table1[[#This Row],[Magazyn]])</f>
        <v>Apteka Szpitalna</v>
      </c>
      <c r="I2290" s="2" t="str">
        <f>TRIM(Table1[[#This Row],[Umowa]])</f>
        <v/>
      </c>
      <c r="J2290" s="2" t="b">
        <f>ISTEXT(Table14[[#This Row],[Data_Wystawienia]])</f>
        <v>0</v>
      </c>
      <c r="K2290" s="2">
        <f>VALUE(SUBSTITUTE(Table14[[#This Row],[Wartość]],".",","))</f>
        <v>19458.310000000001</v>
      </c>
      <c r="L22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0" s="2" t="str">
        <f>IF(Table14[[#This Row],[Umowa]]="","Poza umową","Z umowy")</f>
        <v>Poza umową</v>
      </c>
      <c r="N2290" s="2">
        <f>YEAR(Table14[[#This Row],[Data_Wystawienia]])</f>
        <v>2024</v>
      </c>
      <c r="O2290" s="2" t="str">
        <f>TEXT(Table14[[#This Row],[Data_Wystawienia]],"rrrr-mm")</f>
        <v>2024-04</v>
      </c>
      <c r="P2290" s="2">
        <v>1</v>
      </c>
    </row>
    <row r="2291" spans="1:16" x14ac:dyDescent="0.3">
      <c r="A2291" s="2" t="str">
        <f>TRIM(Table1[[#This Row],[Numer_FV]])</f>
        <v>FV/CENFA/476536/24</v>
      </c>
      <c r="B2291" s="2" t="str">
        <f>TRIM(Table1[[#This Row],[Numer_PZ]])</f>
        <v>PZ/802289</v>
      </c>
      <c r="C2291" s="2" t="str">
        <f>TRIM(Table1[[#This Row],[Dostawca]])</f>
        <v>CentrumFarm</v>
      </c>
      <c r="D2291" s="3">
        <v>45411</v>
      </c>
      <c r="E2291" s="4" t="s">
        <v>6767</v>
      </c>
      <c r="F2291" s="2" t="str">
        <f>TRIM(Table1[[#This Row],[Status]])</f>
        <v>Zaakceptowana</v>
      </c>
      <c r="G2291" s="2" t="str">
        <f>TRIM(Table1[[#This Row],[Typ]])</f>
        <v>Faktura VAT</v>
      </c>
      <c r="H2291" s="2" t="str">
        <f>TRIM(Table1[[#This Row],[Magazyn]])</f>
        <v>Apteka Szpitalna</v>
      </c>
      <c r="I2291" s="2" t="str">
        <f>TRIM(Table1[[#This Row],[Umowa]])</f>
        <v>UM-CEN-01</v>
      </c>
      <c r="J2291" s="2" t="b">
        <f>ISTEXT(Table14[[#This Row],[Data_Wystawienia]])</f>
        <v>0</v>
      </c>
      <c r="K2291" s="2">
        <f>VALUE(SUBSTITUTE(Table14[[#This Row],[Wartość]],".",","))</f>
        <v>16635.96</v>
      </c>
      <c r="L22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1" s="2" t="str">
        <f>IF(Table14[[#This Row],[Umowa]]="","Poza umową","Z umowy")</f>
        <v>Z umowy</v>
      </c>
      <c r="N2291" s="2">
        <f>YEAR(Table14[[#This Row],[Data_Wystawienia]])</f>
        <v>2024</v>
      </c>
      <c r="O2291" s="2" t="str">
        <f>TEXT(Table14[[#This Row],[Data_Wystawienia]],"rrrr-mm")</f>
        <v>2024-04</v>
      </c>
      <c r="P2291" s="2">
        <v>1</v>
      </c>
    </row>
    <row r="2292" spans="1:16" x14ac:dyDescent="0.3">
      <c r="A2292" s="2" t="str">
        <f>TRIM(Table1[[#This Row],[Numer_FV]])</f>
        <v>FV/CENFA/744743/24</v>
      </c>
      <c r="B2292" s="2" t="str">
        <f>TRIM(Table1[[#This Row],[Numer_PZ]])</f>
        <v>PZ/802290</v>
      </c>
      <c r="C2292" s="2" t="str">
        <f>TRIM(Table1[[#This Row],[Dostawca]])</f>
        <v>CentrumFarm</v>
      </c>
      <c r="D2292" s="3">
        <v>45411</v>
      </c>
      <c r="E2292" s="4" t="s">
        <v>6770</v>
      </c>
      <c r="F2292" s="2" t="str">
        <f>TRIM(Table1[[#This Row],[Status]])</f>
        <v>Zaakceptowana</v>
      </c>
      <c r="G2292" s="2" t="str">
        <f>TRIM(Table1[[#This Row],[Typ]])</f>
        <v>Faktura VAT</v>
      </c>
      <c r="H2292" s="2" t="str">
        <f>TRIM(Table1[[#This Row],[Magazyn]])</f>
        <v>Apteka Szpitalna</v>
      </c>
      <c r="I2292" s="2" t="str">
        <f>TRIM(Table1[[#This Row],[Umowa]])</f>
        <v>UM-CEN-02</v>
      </c>
      <c r="J2292" s="2" t="b">
        <f>ISTEXT(Table14[[#This Row],[Data_Wystawienia]])</f>
        <v>0</v>
      </c>
      <c r="K2292" s="2">
        <f>VALUE(SUBSTITUTE(Table14[[#This Row],[Wartość]],".",","))</f>
        <v>12833.37</v>
      </c>
      <c r="L22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2" s="2" t="str">
        <f>IF(Table14[[#This Row],[Umowa]]="","Poza umową","Z umowy")</f>
        <v>Z umowy</v>
      </c>
      <c r="N2292" s="2">
        <f>YEAR(Table14[[#This Row],[Data_Wystawienia]])</f>
        <v>2024</v>
      </c>
      <c r="O2292" s="2" t="str">
        <f>TEXT(Table14[[#This Row],[Data_Wystawienia]],"rrrr-mm")</f>
        <v>2024-04</v>
      </c>
      <c r="P2292" s="2">
        <v>1</v>
      </c>
    </row>
    <row r="2293" spans="1:16" x14ac:dyDescent="0.3">
      <c r="A2293" s="2" t="str">
        <f>TRIM(Table1[[#This Row],[Numer_FV]])</f>
        <v>FV/1316HM/24</v>
      </c>
      <c r="B2293" s="2" t="str">
        <f>TRIM(Table1[[#This Row],[Numer_PZ]])</f>
        <v>PZ/802291</v>
      </c>
      <c r="C2293" s="2" t="str">
        <f>TRIM(Table1[[#This Row],[Dostawca]])</f>
        <v>HurtMedix</v>
      </c>
      <c r="D2293" s="3">
        <v>45412</v>
      </c>
      <c r="E2293" s="4" t="s">
        <v>6773</v>
      </c>
      <c r="F2293" s="2" t="str">
        <f>TRIM(Table1[[#This Row],[Status]])</f>
        <v>Zaakceptowana</v>
      </c>
      <c r="G2293" s="2" t="str">
        <f>TRIM(Table1[[#This Row],[Typ]])</f>
        <v>Faktura VAT</v>
      </c>
      <c r="H2293" s="2" t="str">
        <f>TRIM(Table1[[#This Row],[Magazyn]])</f>
        <v>Apteka Szpitalna</v>
      </c>
      <c r="I2293" s="2" t="str">
        <f>TRIM(Table1[[#This Row],[Umowa]])</f>
        <v>UM-HUR-02</v>
      </c>
      <c r="J2293" s="2" t="b">
        <f>ISTEXT(Table14[[#This Row],[Data_Wystawienia]])</f>
        <v>0</v>
      </c>
      <c r="K2293" s="2">
        <f>VALUE(SUBSTITUTE(Table14[[#This Row],[Wartość]],".",","))</f>
        <v>17025.57</v>
      </c>
      <c r="L22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3" s="2" t="str">
        <f>IF(Table14[[#This Row],[Umowa]]="","Poza umową","Z umowy")</f>
        <v>Z umowy</v>
      </c>
      <c r="N2293" s="2">
        <f>YEAR(Table14[[#This Row],[Data_Wystawienia]])</f>
        <v>2024</v>
      </c>
      <c r="O2293" s="2" t="str">
        <f>TEXT(Table14[[#This Row],[Data_Wystawienia]],"rrrr-mm")</f>
        <v>2024-04</v>
      </c>
      <c r="P2293" s="2">
        <v>1</v>
      </c>
    </row>
    <row r="2294" spans="1:16" x14ac:dyDescent="0.3">
      <c r="A2294" s="2" t="str">
        <f>TRIM(Table1[[#This Row],[Numer_FV]])</f>
        <v>FV/64/SAL/24</v>
      </c>
      <c r="B2294" s="2" t="str">
        <f>TRIM(Table1[[#This Row],[Numer_PZ]])</f>
        <v>PZ/802292</v>
      </c>
      <c r="C2294" s="2" t="str">
        <f>TRIM(Table1[[#This Row],[Dostawca]])</f>
        <v>SalusHurt</v>
      </c>
      <c r="D2294" s="3">
        <v>45412</v>
      </c>
      <c r="E2294" s="4" t="s">
        <v>6776</v>
      </c>
      <c r="F2294" s="2" t="str">
        <f>TRIM(Table1[[#This Row],[Status]])</f>
        <v>Zaakceptowana</v>
      </c>
      <c r="G2294" s="2" t="str">
        <f>TRIM(Table1[[#This Row],[Typ]])</f>
        <v>Faktura VAT</v>
      </c>
      <c r="H2294" s="2" t="str">
        <f>TRIM(Table1[[#This Row],[Magazyn]])</f>
        <v>Apteka Szpitalna</v>
      </c>
      <c r="I2294" s="2" t="str">
        <f>TRIM(Table1[[#This Row],[Umowa]])</f>
        <v>UM-SAL-02</v>
      </c>
      <c r="J2294" s="2" t="b">
        <f>ISTEXT(Table14[[#This Row],[Data_Wystawienia]])</f>
        <v>0</v>
      </c>
      <c r="K2294" s="2">
        <f>VALUE(SUBSTITUTE(Table14[[#This Row],[Wartość]],".",","))</f>
        <v>12882.91</v>
      </c>
      <c r="L22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4" s="2" t="str">
        <f>IF(Table14[[#This Row],[Umowa]]="","Poza umową","Z umowy")</f>
        <v>Z umowy</v>
      </c>
      <c r="N2294" s="2">
        <f>YEAR(Table14[[#This Row],[Data_Wystawienia]])</f>
        <v>2024</v>
      </c>
      <c r="O2294" s="2" t="str">
        <f>TEXT(Table14[[#This Row],[Data_Wystawienia]],"rrrr-mm")</f>
        <v>2024-04</v>
      </c>
      <c r="P2294" s="2">
        <v>1</v>
      </c>
    </row>
    <row r="2295" spans="1:16" x14ac:dyDescent="0.3">
      <c r="A2295" s="2" t="str">
        <f>TRIM(Table1[[#This Row],[Numer_FV]])</f>
        <v>FV/5345HM/24</v>
      </c>
      <c r="B2295" s="2" t="str">
        <f>TRIM(Table1[[#This Row],[Numer_PZ]])</f>
        <v>PZ/802293</v>
      </c>
      <c r="C2295" s="2" t="str">
        <f>TRIM(Table1[[#This Row],[Dostawca]])</f>
        <v>HurtMedix</v>
      </c>
      <c r="D2295" s="3">
        <v>45412</v>
      </c>
      <c r="E2295" s="4" t="s">
        <v>6779</v>
      </c>
      <c r="F2295" s="2" t="str">
        <f>TRIM(Table1[[#This Row],[Status]])</f>
        <v>Zaakceptowana</v>
      </c>
      <c r="G2295" s="2" t="str">
        <f>TRIM(Table1[[#This Row],[Typ]])</f>
        <v>Faktura VAT</v>
      </c>
      <c r="H2295" s="2" t="str">
        <f>TRIM(Table1[[#This Row],[Magazyn]])</f>
        <v>Apteka Szpitalna</v>
      </c>
      <c r="I2295" s="2" t="str">
        <f>TRIM(Table1[[#This Row],[Umowa]])</f>
        <v>UM-HUR-01</v>
      </c>
      <c r="J2295" s="2" t="b">
        <f>ISTEXT(Table14[[#This Row],[Data_Wystawienia]])</f>
        <v>0</v>
      </c>
      <c r="K2295" s="2">
        <f>VALUE(SUBSTITUTE(Table14[[#This Row],[Wartość]],".",","))</f>
        <v>16894.29</v>
      </c>
      <c r="L22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5" s="2" t="str">
        <f>IF(Table14[[#This Row],[Umowa]]="","Poza umową","Z umowy")</f>
        <v>Z umowy</v>
      </c>
      <c r="N2295" s="2">
        <f>YEAR(Table14[[#This Row],[Data_Wystawienia]])</f>
        <v>2024</v>
      </c>
      <c r="O2295" s="2" t="str">
        <f>TEXT(Table14[[#This Row],[Data_Wystawienia]],"rrrr-mm")</f>
        <v>2024-04</v>
      </c>
      <c r="P2295" s="2">
        <v>1</v>
      </c>
    </row>
    <row r="2296" spans="1:16" x14ac:dyDescent="0.3">
      <c r="A2296" s="2" t="str">
        <f>TRIM(Table1[[#This Row],[Numer_FV]])</f>
        <v>FV/86/PP/2973/24</v>
      </c>
      <c r="B2296" s="2" t="str">
        <f>TRIM(Table1[[#This Row],[Numer_PZ]])</f>
        <v>PZ/802294</v>
      </c>
      <c r="C2296" s="2" t="str">
        <f>TRIM(Table1[[#This Row],[Dostawca]])</f>
        <v>PharmaPlus</v>
      </c>
      <c r="D2296" s="3">
        <v>45413</v>
      </c>
      <c r="E2296" s="4" t="s">
        <v>6782</v>
      </c>
      <c r="F2296" s="2" t="str">
        <f>TRIM(Table1[[#This Row],[Status]])</f>
        <v>Zaakceptowana</v>
      </c>
      <c r="G2296" s="2" t="str">
        <f>TRIM(Table1[[#This Row],[Typ]])</f>
        <v>Faktura VAT</v>
      </c>
      <c r="H2296" s="2" t="str">
        <f>TRIM(Table1[[#This Row],[Magazyn]])</f>
        <v>Apteka Szpitalna</v>
      </c>
      <c r="I2296" s="2" t="str">
        <f>TRIM(Table1[[#This Row],[Umowa]])</f>
        <v>UM-PHA-02</v>
      </c>
      <c r="J2296" s="2" t="b">
        <f>ISTEXT(Table14[[#This Row],[Data_Wystawienia]])</f>
        <v>0</v>
      </c>
      <c r="K2296" s="2">
        <f>VALUE(SUBSTITUTE(Table14[[#This Row],[Wartość]],".",","))</f>
        <v>17547.47</v>
      </c>
      <c r="L22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6" s="2" t="str">
        <f>IF(Table14[[#This Row],[Umowa]]="","Poza umową","Z umowy")</f>
        <v>Z umowy</v>
      </c>
      <c r="N2296" s="2">
        <f>YEAR(Table14[[#This Row],[Data_Wystawienia]])</f>
        <v>2024</v>
      </c>
      <c r="O2296" s="2" t="str">
        <f>TEXT(Table14[[#This Row],[Data_Wystawienia]],"rrrr-mm")</f>
        <v>2024-05</v>
      </c>
      <c r="P2296" s="2">
        <v>1</v>
      </c>
    </row>
    <row r="2297" spans="1:16" x14ac:dyDescent="0.3">
      <c r="A2297" s="2" t="str">
        <f>TRIM(Table1[[#This Row],[Numer_FV]])</f>
        <v>FV/52/SAL/24</v>
      </c>
      <c r="B2297" s="2" t="str">
        <f>TRIM(Table1[[#This Row],[Numer_PZ]])</f>
        <v>PZ/802295</v>
      </c>
      <c r="C2297" s="2" t="str">
        <f>TRIM(Table1[[#This Row],[Dostawca]])</f>
        <v>SalusHurt</v>
      </c>
      <c r="D2297" s="3">
        <v>45413</v>
      </c>
      <c r="E2297" s="4" t="s">
        <v>6785</v>
      </c>
      <c r="F2297" s="2" t="str">
        <f>TRIM(Table1[[#This Row],[Status]])</f>
        <v>Zaakceptowana</v>
      </c>
      <c r="G2297" s="2" t="str">
        <f>TRIM(Table1[[#This Row],[Typ]])</f>
        <v>Faktura VAT</v>
      </c>
      <c r="H2297" s="2" t="str">
        <f>TRIM(Table1[[#This Row],[Magazyn]])</f>
        <v>Apteka Szpitalna</v>
      </c>
      <c r="I2297" s="2" t="str">
        <f>TRIM(Table1[[#This Row],[Umowa]])</f>
        <v>UM-SAL-01</v>
      </c>
      <c r="J2297" s="2" t="b">
        <f>ISTEXT(Table14[[#This Row],[Data_Wystawienia]])</f>
        <v>0</v>
      </c>
      <c r="K2297" s="2">
        <f>VALUE(SUBSTITUTE(Table14[[#This Row],[Wartość]],".",","))</f>
        <v>4317.72</v>
      </c>
      <c r="L22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7" s="2" t="str">
        <f>IF(Table14[[#This Row],[Umowa]]="","Poza umową","Z umowy")</f>
        <v>Z umowy</v>
      </c>
      <c r="N2297" s="2">
        <f>YEAR(Table14[[#This Row],[Data_Wystawienia]])</f>
        <v>2024</v>
      </c>
      <c r="O2297" s="2" t="str">
        <f>TEXT(Table14[[#This Row],[Data_Wystawienia]],"rrrr-mm")</f>
        <v>2024-05</v>
      </c>
      <c r="P2297" s="2">
        <v>1</v>
      </c>
    </row>
    <row r="2298" spans="1:16" x14ac:dyDescent="0.3">
      <c r="A2298" s="2" t="str">
        <f>TRIM(Table1[[#This Row],[Numer_FV]])</f>
        <v>FV/POL/28333/2024</v>
      </c>
      <c r="B2298" s="2" t="str">
        <f>TRIM(Table1[[#This Row],[Numer_PZ]])</f>
        <v>PZ/802296</v>
      </c>
      <c r="C2298" s="2" t="str">
        <f>TRIM(Table1[[#This Row],[Dostawca]])</f>
        <v>Polmedica</v>
      </c>
      <c r="D2298" s="3">
        <v>45413</v>
      </c>
      <c r="E2298" s="4" t="s">
        <v>6788</v>
      </c>
      <c r="F2298" s="2" t="str">
        <f>TRIM(Table1[[#This Row],[Status]])</f>
        <v>Zaakceptowana</v>
      </c>
      <c r="G2298" s="2" t="str">
        <f>TRIM(Table1[[#This Row],[Typ]])</f>
        <v>Faktura VAT</v>
      </c>
      <c r="H2298" s="2" t="str">
        <f>TRIM(Table1[[#This Row],[Magazyn]])</f>
        <v>Apteka Szpitalna</v>
      </c>
      <c r="I2298" s="2" t="str">
        <f>TRIM(Table1[[#This Row],[Umowa]])</f>
        <v/>
      </c>
      <c r="J2298" s="2" t="b">
        <f>ISTEXT(Table14[[#This Row],[Data_Wystawienia]])</f>
        <v>0</v>
      </c>
      <c r="K2298" s="2">
        <f>VALUE(SUBSTITUTE(Table14[[#This Row],[Wartość]],".",","))</f>
        <v>12963.37</v>
      </c>
      <c r="L22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8" s="2" t="str">
        <f>IF(Table14[[#This Row],[Umowa]]="","Poza umową","Z umowy")</f>
        <v>Poza umową</v>
      </c>
      <c r="N2298" s="2">
        <f>YEAR(Table14[[#This Row],[Data_Wystawienia]])</f>
        <v>2024</v>
      </c>
      <c r="O2298" s="2" t="str">
        <f>TEXT(Table14[[#This Row],[Data_Wystawienia]],"rrrr-mm")</f>
        <v>2024-05</v>
      </c>
      <c r="P2298" s="2">
        <v>1</v>
      </c>
    </row>
    <row r="2299" spans="1:16" x14ac:dyDescent="0.3">
      <c r="A2299" s="2" t="str">
        <f>TRIM(Table1[[#This Row],[Numer_FV]])</f>
        <v>FV/81408/VDb/2024</v>
      </c>
      <c r="B2299" s="2" t="str">
        <f>TRIM(Table1[[#This Row],[Numer_PZ]])</f>
        <v>PZ/802297</v>
      </c>
      <c r="C2299" s="2" t="str">
        <f>TRIM(Table1[[#This Row],[Dostawca]])</f>
        <v>VitaDistrib</v>
      </c>
      <c r="D2299" s="3">
        <v>45414</v>
      </c>
      <c r="E2299" s="4" t="s">
        <v>6791</v>
      </c>
      <c r="F2299" s="2" t="str">
        <f>TRIM(Table1[[#This Row],[Status]])</f>
        <v>Zaakceptowana</v>
      </c>
      <c r="G2299" s="2" t="str">
        <f>TRIM(Table1[[#This Row],[Typ]])</f>
        <v>Faktura VAT</v>
      </c>
      <c r="H2299" s="2" t="str">
        <f>TRIM(Table1[[#This Row],[Magazyn]])</f>
        <v>Apteka Szpitalna</v>
      </c>
      <c r="I2299" s="2" t="str">
        <f>TRIM(Table1[[#This Row],[Umowa]])</f>
        <v>UM-VIT-01</v>
      </c>
      <c r="J2299" s="2" t="b">
        <f>ISTEXT(Table14[[#This Row],[Data_Wystawienia]])</f>
        <v>0</v>
      </c>
      <c r="K2299" s="2">
        <f>VALUE(SUBSTITUTE(Table14[[#This Row],[Wartość]],".",","))</f>
        <v>18231.22</v>
      </c>
      <c r="L22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299" s="2" t="str">
        <f>IF(Table14[[#This Row],[Umowa]]="","Poza umową","Z umowy")</f>
        <v>Z umowy</v>
      </c>
      <c r="N2299" s="2">
        <f>YEAR(Table14[[#This Row],[Data_Wystawienia]])</f>
        <v>2024</v>
      </c>
      <c r="O2299" s="2" t="str">
        <f>TEXT(Table14[[#This Row],[Data_Wystawienia]],"rrrr-mm")</f>
        <v>2024-05</v>
      </c>
      <c r="P2299" s="2">
        <v>1</v>
      </c>
    </row>
    <row r="2300" spans="1:16" x14ac:dyDescent="0.3">
      <c r="A2300" s="2" t="str">
        <f>TRIM(Table1[[#This Row],[Numer_FV]])</f>
        <v>FV/17225/VDb/2024</v>
      </c>
      <c r="B2300" s="2" t="str">
        <f>TRIM(Table1[[#This Row],[Numer_PZ]])</f>
        <v>PZ/802298</v>
      </c>
      <c r="C2300" s="2" t="str">
        <f>TRIM(Table1[[#This Row],[Dostawca]])</f>
        <v>VitaDistrib</v>
      </c>
      <c r="D2300" s="3">
        <v>45414</v>
      </c>
      <c r="E2300" s="4" t="s">
        <v>6794</v>
      </c>
      <c r="F2300" s="2" t="str">
        <f>TRIM(Table1[[#This Row],[Status]])</f>
        <v>Zaakceptowana</v>
      </c>
      <c r="G2300" s="2" t="str">
        <f>TRIM(Table1[[#This Row],[Typ]])</f>
        <v>Faktura VAT</v>
      </c>
      <c r="H2300" s="2" t="str">
        <f>TRIM(Table1[[#This Row],[Magazyn]])</f>
        <v>Apteka Szpitalna</v>
      </c>
      <c r="I2300" s="2" t="str">
        <f>TRIM(Table1[[#This Row],[Umowa]])</f>
        <v>UM-VIT-01</v>
      </c>
      <c r="J2300" s="2" t="b">
        <f>ISTEXT(Table14[[#This Row],[Data_Wystawienia]])</f>
        <v>0</v>
      </c>
      <c r="K2300" s="2">
        <f>VALUE(SUBSTITUTE(Table14[[#This Row],[Wartość]],".",","))</f>
        <v>12050.44</v>
      </c>
      <c r="L23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0" s="2" t="str">
        <f>IF(Table14[[#This Row],[Umowa]]="","Poza umową","Z umowy")</f>
        <v>Z umowy</v>
      </c>
      <c r="N2300" s="2">
        <f>YEAR(Table14[[#This Row],[Data_Wystawienia]])</f>
        <v>2024</v>
      </c>
      <c r="O2300" s="2" t="str">
        <f>TEXT(Table14[[#This Row],[Data_Wystawienia]],"rrrr-mm")</f>
        <v>2024-05</v>
      </c>
      <c r="P2300" s="2">
        <v>1</v>
      </c>
    </row>
    <row r="2301" spans="1:16" x14ac:dyDescent="0.3">
      <c r="A2301" s="2" t="str">
        <f>TRIM(Table1[[#This Row],[Numer_FV]])</f>
        <v>FV/CENFA/340607/24</v>
      </c>
      <c r="B2301" s="2" t="str">
        <f>TRIM(Table1[[#This Row],[Numer_PZ]])</f>
        <v>PZ/802299</v>
      </c>
      <c r="C2301" s="2" t="str">
        <f>TRIM(Table1[[#This Row],[Dostawca]])</f>
        <v>CentrumFarm</v>
      </c>
      <c r="D2301" s="3">
        <v>45414</v>
      </c>
      <c r="E2301" s="4" t="s">
        <v>6797</v>
      </c>
      <c r="F2301" s="2" t="str">
        <f>TRIM(Table1[[#This Row],[Status]])</f>
        <v>Zaakceptowana</v>
      </c>
      <c r="G2301" s="2" t="str">
        <f>TRIM(Table1[[#This Row],[Typ]])</f>
        <v>Faktura VAT</v>
      </c>
      <c r="H2301" s="2" t="str">
        <f>TRIM(Table1[[#This Row],[Magazyn]])</f>
        <v>Apteka Szpitalna</v>
      </c>
      <c r="I2301" s="2" t="str">
        <f>TRIM(Table1[[#This Row],[Umowa]])</f>
        <v>UM-CEN-02</v>
      </c>
      <c r="J2301" s="2" t="b">
        <f>ISTEXT(Table14[[#This Row],[Data_Wystawienia]])</f>
        <v>0</v>
      </c>
      <c r="K2301" s="2">
        <f>VALUE(SUBSTITUTE(Table14[[#This Row],[Wartość]],".",","))</f>
        <v>13934.2</v>
      </c>
      <c r="L23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1" s="2" t="str">
        <f>IF(Table14[[#This Row],[Umowa]]="","Poza umową","Z umowy")</f>
        <v>Z umowy</v>
      </c>
      <c r="N2301" s="2">
        <f>YEAR(Table14[[#This Row],[Data_Wystawienia]])</f>
        <v>2024</v>
      </c>
      <c r="O2301" s="2" t="str">
        <f>TEXT(Table14[[#This Row],[Data_Wystawienia]],"rrrr-mm")</f>
        <v>2024-05</v>
      </c>
      <c r="P2301" s="2">
        <v>1</v>
      </c>
    </row>
    <row r="2302" spans="1:16" x14ac:dyDescent="0.3">
      <c r="A2302" s="2" t="str">
        <f>TRIM(Table1[[#This Row],[Numer_FV]])</f>
        <v>FV/99051/VDb/2024</v>
      </c>
      <c r="B2302" s="2" t="str">
        <f>TRIM(Table1[[#This Row],[Numer_PZ]])</f>
        <v>PZ/802300</v>
      </c>
      <c r="C2302" s="2" t="str">
        <f>TRIM(Table1[[#This Row],[Dostawca]])</f>
        <v>VitaDistrib</v>
      </c>
      <c r="D2302" s="3">
        <v>45414</v>
      </c>
      <c r="E2302" s="4" t="s">
        <v>6800</v>
      </c>
      <c r="F2302" s="2" t="str">
        <f>TRIM(Table1[[#This Row],[Status]])</f>
        <v>Zaakceptowana</v>
      </c>
      <c r="G2302" s="2" t="str">
        <f>TRIM(Table1[[#This Row],[Typ]])</f>
        <v>Faktura VAT</v>
      </c>
      <c r="H2302" s="2" t="str">
        <f>TRIM(Table1[[#This Row],[Magazyn]])</f>
        <v>Apteka Szpitalna</v>
      </c>
      <c r="I2302" s="2" t="str">
        <f>TRIM(Table1[[#This Row],[Umowa]])</f>
        <v>UM-VIT-01</v>
      </c>
      <c r="J2302" s="2" t="b">
        <f>ISTEXT(Table14[[#This Row],[Data_Wystawienia]])</f>
        <v>0</v>
      </c>
      <c r="K2302" s="2">
        <f>VALUE(SUBSTITUTE(Table14[[#This Row],[Wartość]],".",","))</f>
        <v>13374.35</v>
      </c>
      <c r="L23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2" s="2" t="str">
        <f>IF(Table14[[#This Row],[Umowa]]="","Poza umową","Z umowy")</f>
        <v>Z umowy</v>
      </c>
      <c r="N2302" s="2">
        <f>YEAR(Table14[[#This Row],[Data_Wystawienia]])</f>
        <v>2024</v>
      </c>
      <c r="O2302" s="2" t="str">
        <f>TEXT(Table14[[#This Row],[Data_Wystawienia]],"rrrr-mm")</f>
        <v>2024-05</v>
      </c>
      <c r="P2302" s="2">
        <v>1</v>
      </c>
    </row>
    <row r="2303" spans="1:16" x14ac:dyDescent="0.3">
      <c r="A2303" s="2" t="str">
        <f>TRIM(Table1[[#This Row],[Numer_FV]])</f>
        <v>FV/79448/VDb/2024</v>
      </c>
      <c r="B2303" s="2" t="str">
        <f>TRIM(Table1[[#This Row],[Numer_PZ]])</f>
        <v>PZ/802301</v>
      </c>
      <c r="C2303" s="2" t="str">
        <f>TRIM(Table1[[#This Row],[Dostawca]])</f>
        <v>VitaDistrib</v>
      </c>
      <c r="D2303" s="3">
        <v>45414</v>
      </c>
      <c r="E2303" s="4" t="s">
        <v>6803</v>
      </c>
      <c r="F2303" s="2" t="str">
        <f>TRIM(Table1[[#This Row],[Status]])</f>
        <v>Zaakceptowana</v>
      </c>
      <c r="G2303" s="2" t="str">
        <f>TRIM(Table1[[#This Row],[Typ]])</f>
        <v>Faktura VAT</v>
      </c>
      <c r="H2303" s="2" t="str">
        <f>TRIM(Table1[[#This Row],[Magazyn]])</f>
        <v>Apteka Szpitalna</v>
      </c>
      <c r="I2303" s="2" t="str">
        <f>TRIM(Table1[[#This Row],[Umowa]])</f>
        <v>UM-VIT-01</v>
      </c>
      <c r="J2303" s="2" t="b">
        <f>ISTEXT(Table14[[#This Row],[Data_Wystawienia]])</f>
        <v>0</v>
      </c>
      <c r="K2303" s="2">
        <f>VALUE(SUBSTITUTE(Table14[[#This Row],[Wartość]],".",","))</f>
        <v>18160.59</v>
      </c>
      <c r="L23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3" s="2" t="str">
        <f>IF(Table14[[#This Row],[Umowa]]="","Poza umową","Z umowy")</f>
        <v>Z umowy</v>
      </c>
      <c r="N2303" s="2">
        <f>YEAR(Table14[[#This Row],[Data_Wystawienia]])</f>
        <v>2024</v>
      </c>
      <c r="O2303" s="2" t="str">
        <f>TEXT(Table14[[#This Row],[Data_Wystawienia]],"rrrr-mm")</f>
        <v>2024-05</v>
      </c>
      <c r="P2303" s="2">
        <v>1</v>
      </c>
    </row>
    <row r="2304" spans="1:16" x14ac:dyDescent="0.3">
      <c r="A2304" s="2" t="str">
        <f>TRIM(Table1[[#This Row],[Numer_FV]])</f>
        <v>FV/CENFA/394664/24</v>
      </c>
      <c r="B2304" s="2" t="str">
        <f>TRIM(Table1[[#This Row],[Numer_PZ]])</f>
        <v>PZ/802302</v>
      </c>
      <c r="C2304" s="2" t="str">
        <f>TRIM(Table1[[#This Row],[Dostawca]])</f>
        <v>CentrumFarm</v>
      </c>
      <c r="D2304" s="3">
        <v>45414</v>
      </c>
      <c r="E2304" s="4" t="s">
        <v>6806</v>
      </c>
      <c r="F2304" s="2" t="str">
        <f>TRIM(Table1[[#This Row],[Status]])</f>
        <v>Zaakceptowana</v>
      </c>
      <c r="G2304" s="2" t="str">
        <f>TRIM(Table1[[#This Row],[Typ]])</f>
        <v>Faktura VAT</v>
      </c>
      <c r="H2304" s="2" t="str">
        <f>TRIM(Table1[[#This Row],[Magazyn]])</f>
        <v>Apteka Szpitalna</v>
      </c>
      <c r="I2304" s="2" t="str">
        <f>TRIM(Table1[[#This Row],[Umowa]])</f>
        <v>UM-CEN-02</v>
      </c>
      <c r="J2304" s="2" t="b">
        <f>ISTEXT(Table14[[#This Row],[Data_Wystawienia]])</f>
        <v>0</v>
      </c>
      <c r="K2304" s="2">
        <f>VALUE(SUBSTITUTE(Table14[[#This Row],[Wartość]],".",","))</f>
        <v>12154.99</v>
      </c>
      <c r="L23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4" s="2" t="str">
        <f>IF(Table14[[#This Row],[Umowa]]="","Poza umową","Z umowy")</f>
        <v>Z umowy</v>
      </c>
      <c r="N2304" s="2">
        <f>YEAR(Table14[[#This Row],[Data_Wystawienia]])</f>
        <v>2024</v>
      </c>
      <c r="O2304" s="2" t="str">
        <f>TEXT(Table14[[#This Row],[Data_Wystawienia]],"rrrr-mm")</f>
        <v>2024-05</v>
      </c>
      <c r="P2304" s="2">
        <v>1</v>
      </c>
    </row>
    <row r="2305" spans="1:16" x14ac:dyDescent="0.3">
      <c r="A2305" s="2" t="str">
        <f>TRIM(Table1[[#This Row],[Numer_FV]])</f>
        <v>FV/24312/VDb/2024</v>
      </c>
      <c r="B2305" s="2" t="str">
        <f>TRIM(Table1[[#This Row],[Numer_PZ]])</f>
        <v>PZ/802303</v>
      </c>
      <c r="C2305" s="2" t="str">
        <f>TRIM(Table1[[#This Row],[Dostawca]])</f>
        <v>VitaDistrib</v>
      </c>
      <c r="D2305" s="3">
        <v>45415</v>
      </c>
      <c r="E2305" s="4" t="s">
        <v>6809</v>
      </c>
      <c r="F2305" s="2" t="str">
        <f>TRIM(Table1[[#This Row],[Status]])</f>
        <v>Zaakceptowana</v>
      </c>
      <c r="G2305" s="2" t="str">
        <f>TRIM(Table1[[#This Row],[Typ]])</f>
        <v>Faktura VAT</v>
      </c>
      <c r="H2305" s="2" t="str">
        <f>TRIM(Table1[[#This Row],[Magazyn]])</f>
        <v>Apteka Szpitalna</v>
      </c>
      <c r="I2305" s="2" t="str">
        <f>TRIM(Table1[[#This Row],[Umowa]])</f>
        <v/>
      </c>
      <c r="J2305" s="2" t="b">
        <f>ISTEXT(Table14[[#This Row],[Data_Wystawienia]])</f>
        <v>0</v>
      </c>
      <c r="K2305" s="2">
        <f>VALUE(SUBSTITUTE(Table14[[#This Row],[Wartość]],".",","))</f>
        <v>19720.349999999999</v>
      </c>
      <c r="L23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5" s="2" t="str">
        <f>IF(Table14[[#This Row],[Umowa]]="","Poza umową","Z umowy")</f>
        <v>Poza umową</v>
      </c>
      <c r="N2305" s="2">
        <f>YEAR(Table14[[#This Row],[Data_Wystawienia]])</f>
        <v>2024</v>
      </c>
      <c r="O2305" s="2" t="str">
        <f>TEXT(Table14[[#This Row],[Data_Wystawienia]],"rrrr-mm")</f>
        <v>2024-05</v>
      </c>
      <c r="P2305" s="2">
        <v>1</v>
      </c>
    </row>
    <row r="2306" spans="1:16" x14ac:dyDescent="0.3">
      <c r="A2306" s="2" t="str">
        <f>TRIM(Table1[[#This Row],[Numer_FV]])</f>
        <v>FV/72374/VDb/2024</v>
      </c>
      <c r="B2306" s="2" t="str">
        <f>TRIM(Table1[[#This Row],[Numer_PZ]])</f>
        <v>PZ/802304</v>
      </c>
      <c r="C2306" s="2" t="str">
        <f>TRIM(Table1[[#This Row],[Dostawca]])</f>
        <v>VitaDistrib</v>
      </c>
      <c r="D2306" s="3">
        <v>45415</v>
      </c>
      <c r="E2306" s="4" t="s">
        <v>6812</v>
      </c>
      <c r="F2306" s="2" t="str">
        <f>TRIM(Table1[[#This Row],[Status]])</f>
        <v>Zaakceptowana</v>
      </c>
      <c r="G2306" s="2" t="str">
        <f>TRIM(Table1[[#This Row],[Typ]])</f>
        <v>Faktura VAT</v>
      </c>
      <c r="H2306" s="2" t="str">
        <f>TRIM(Table1[[#This Row],[Magazyn]])</f>
        <v>Apteka Szpitalna</v>
      </c>
      <c r="I2306" s="2" t="str">
        <f>TRIM(Table1[[#This Row],[Umowa]])</f>
        <v>UM-VIT-01</v>
      </c>
      <c r="J2306" s="2" t="b">
        <f>ISTEXT(Table14[[#This Row],[Data_Wystawienia]])</f>
        <v>0</v>
      </c>
      <c r="K2306" s="2">
        <f>VALUE(SUBSTITUTE(Table14[[#This Row],[Wartość]],".",","))</f>
        <v>15805.11</v>
      </c>
      <c r="L23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6" s="2" t="str">
        <f>IF(Table14[[#This Row],[Umowa]]="","Poza umową","Z umowy")</f>
        <v>Z umowy</v>
      </c>
      <c r="N2306" s="2">
        <f>YEAR(Table14[[#This Row],[Data_Wystawienia]])</f>
        <v>2024</v>
      </c>
      <c r="O2306" s="2" t="str">
        <f>TEXT(Table14[[#This Row],[Data_Wystawienia]],"rrrr-mm")</f>
        <v>2024-05</v>
      </c>
      <c r="P2306" s="2">
        <v>1</v>
      </c>
    </row>
    <row r="2307" spans="1:16" x14ac:dyDescent="0.3">
      <c r="A2307" s="2" t="str">
        <f>TRIM(Table1[[#This Row],[Numer_FV]])</f>
        <v>FV/CENFA/595570/24</v>
      </c>
      <c r="B2307" s="2" t="str">
        <f>TRIM(Table1[[#This Row],[Numer_PZ]])</f>
        <v>PZ/802305</v>
      </c>
      <c r="C2307" s="2" t="str">
        <f>TRIM(Table1[[#This Row],[Dostawca]])</f>
        <v>CentrumFarm</v>
      </c>
      <c r="D2307" s="3">
        <v>45415</v>
      </c>
      <c r="E2307" s="4" t="s">
        <v>6815</v>
      </c>
      <c r="F2307" s="2" t="str">
        <f>TRIM(Table1[[#This Row],[Status]])</f>
        <v>Zaakceptowana</v>
      </c>
      <c r="G2307" s="2" t="str">
        <f>TRIM(Table1[[#This Row],[Typ]])</f>
        <v>Faktura VAT</v>
      </c>
      <c r="H2307" s="2" t="str">
        <f>TRIM(Table1[[#This Row],[Magazyn]])</f>
        <v>Apteka Szpitalna</v>
      </c>
      <c r="I2307" s="2" t="str">
        <f>TRIM(Table1[[#This Row],[Umowa]])</f>
        <v/>
      </c>
      <c r="J2307" s="2" t="b">
        <f>ISTEXT(Table14[[#This Row],[Data_Wystawienia]])</f>
        <v>0</v>
      </c>
      <c r="K2307" s="2">
        <f>VALUE(SUBSTITUTE(Table14[[#This Row],[Wartość]],".",","))</f>
        <v>12173.05</v>
      </c>
      <c r="L23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7" s="2" t="str">
        <f>IF(Table14[[#This Row],[Umowa]]="","Poza umową","Z umowy")</f>
        <v>Poza umową</v>
      </c>
      <c r="N2307" s="2">
        <f>YEAR(Table14[[#This Row],[Data_Wystawienia]])</f>
        <v>2024</v>
      </c>
      <c r="O2307" s="2" t="str">
        <f>TEXT(Table14[[#This Row],[Data_Wystawienia]],"rrrr-mm")</f>
        <v>2024-05</v>
      </c>
      <c r="P2307" s="2">
        <v>1</v>
      </c>
    </row>
    <row r="2308" spans="1:16" x14ac:dyDescent="0.3">
      <c r="A2308" s="2" t="str">
        <f>TRIM(Table1[[#This Row],[Numer_FV]])</f>
        <v>FV/3057HM/24</v>
      </c>
      <c r="B2308" s="2" t="str">
        <f>TRIM(Table1[[#This Row],[Numer_PZ]])</f>
        <v>PZ/802306</v>
      </c>
      <c r="C2308" s="2" t="str">
        <f>TRIM(Table1[[#This Row],[Dostawca]])</f>
        <v>HurtMedix</v>
      </c>
      <c r="D2308" s="3">
        <v>45415</v>
      </c>
      <c r="E2308" s="4" t="s">
        <v>6818</v>
      </c>
      <c r="F2308" s="2" t="str">
        <f>TRIM(Table1[[#This Row],[Status]])</f>
        <v>Zaakceptowana</v>
      </c>
      <c r="G2308" s="2" t="str">
        <f>TRIM(Table1[[#This Row],[Typ]])</f>
        <v>Faktura VAT</v>
      </c>
      <c r="H2308" s="2" t="str">
        <f>TRIM(Table1[[#This Row],[Magazyn]])</f>
        <v>Apteka Szpitalna</v>
      </c>
      <c r="I2308" s="2" t="str">
        <f>TRIM(Table1[[#This Row],[Umowa]])</f>
        <v>UM-HUR-01</v>
      </c>
      <c r="J2308" s="2" t="b">
        <f>ISTEXT(Table14[[#This Row],[Data_Wystawienia]])</f>
        <v>0</v>
      </c>
      <c r="K2308" s="2">
        <f>VALUE(SUBSTITUTE(Table14[[#This Row],[Wartość]],".",","))</f>
        <v>25566.09</v>
      </c>
      <c r="L23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8" s="2" t="str">
        <f>IF(Table14[[#This Row],[Umowa]]="","Poza umową","Z umowy")</f>
        <v>Z umowy</v>
      </c>
      <c r="N2308" s="2">
        <f>YEAR(Table14[[#This Row],[Data_Wystawienia]])</f>
        <v>2024</v>
      </c>
      <c r="O2308" s="2" t="str">
        <f>TEXT(Table14[[#This Row],[Data_Wystawienia]],"rrrr-mm")</f>
        <v>2024-05</v>
      </c>
      <c r="P2308" s="2">
        <v>1</v>
      </c>
    </row>
    <row r="2309" spans="1:16" x14ac:dyDescent="0.3">
      <c r="A2309" s="2" t="str">
        <f>TRIM(Table1[[#This Row],[Numer_FV]])</f>
        <v>FV/47142/VDb/2024</v>
      </c>
      <c r="B2309" s="2" t="str">
        <f>TRIM(Table1[[#This Row],[Numer_PZ]])</f>
        <v>PZ/802307</v>
      </c>
      <c r="C2309" s="2" t="str">
        <f>TRIM(Table1[[#This Row],[Dostawca]])</f>
        <v>VitaDistrib</v>
      </c>
      <c r="D2309" s="3">
        <v>45415</v>
      </c>
      <c r="E2309" s="4" t="s">
        <v>6821</v>
      </c>
      <c r="F2309" s="2" t="str">
        <f>TRIM(Table1[[#This Row],[Status]])</f>
        <v>Zaakceptowana</v>
      </c>
      <c r="G2309" s="2" t="str">
        <f>TRIM(Table1[[#This Row],[Typ]])</f>
        <v>Faktura VAT</v>
      </c>
      <c r="H2309" s="2" t="str">
        <f>TRIM(Table1[[#This Row],[Magazyn]])</f>
        <v>Apteka Szpitalna</v>
      </c>
      <c r="I2309" s="2" t="str">
        <f>TRIM(Table1[[#This Row],[Umowa]])</f>
        <v>UM-VIT-01</v>
      </c>
      <c r="J2309" s="2" t="b">
        <f>ISTEXT(Table14[[#This Row],[Data_Wystawienia]])</f>
        <v>0</v>
      </c>
      <c r="K2309" s="2">
        <f>VALUE(SUBSTITUTE(Table14[[#This Row],[Wartość]],".",","))</f>
        <v>16701.05</v>
      </c>
      <c r="L23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09" s="2" t="str">
        <f>IF(Table14[[#This Row],[Umowa]]="","Poza umową","Z umowy")</f>
        <v>Z umowy</v>
      </c>
      <c r="N2309" s="2">
        <f>YEAR(Table14[[#This Row],[Data_Wystawienia]])</f>
        <v>2024</v>
      </c>
      <c r="O2309" s="2" t="str">
        <f>TEXT(Table14[[#This Row],[Data_Wystawienia]],"rrrr-mm")</f>
        <v>2024-05</v>
      </c>
      <c r="P2309" s="2">
        <v>1</v>
      </c>
    </row>
    <row r="2310" spans="1:16" x14ac:dyDescent="0.3">
      <c r="A2310" s="2" t="str">
        <f>TRIM(Table1[[#This Row],[Numer_FV]])</f>
        <v>FV/CENFA/132678/24</v>
      </c>
      <c r="B2310" s="2" t="str">
        <f>TRIM(Table1[[#This Row],[Numer_PZ]])</f>
        <v>PZ/802308</v>
      </c>
      <c r="C2310" s="2" t="str">
        <f>TRIM(Table1[[#This Row],[Dostawca]])</f>
        <v>CentrumFarm</v>
      </c>
      <c r="D2310" s="3">
        <v>45415</v>
      </c>
      <c r="E2310" s="4" t="s">
        <v>6824</v>
      </c>
      <c r="F2310" s="2" t="str">
        <f>TRIM(Table1[[#This Row],[Status]])</f>
        <v>Zaakceptowana</v>
      </c>
      <c r="G2310" s="2" t="str">
        <f>TRIM(Table1[[#This Row],[Typ]])</f>
        <v>Faktura VAT</v>
      </c>
      <c r="H2310" s="2" t="str">
        <f>TRIM(Table1[[#This Row],[Magazyn]])</f>
        <v>Apteka Szpitalna</v>
      </c>
      <c r="I2310" s="2" t="str">
        <f>TRIM(Table1[[#This Row],[Umowa]])</f>
        <v>UM-CEN-01</v>
      </c>
      <c r="J2310" s="2" t="b">
        <f>ISTEXT(Table14[[#This Row],[Data_Wystawienia]])</f>
        <v>0</v>
      </c>
      <c r="K2310" s="2">
        <f>VALUE(SUBSTITUTE(Table14[[#This Row],[Wartość]],".",","))</f>
        <v>22299.42</v>
      </c>
      <c r="L23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0" s="2" t="str">
        <f>IF(Table14[[#This Row],[Umowa]]="","Poza umową","Z umowy")</f>
        <v>Z umowy</v>
      </c>
      <c r="N2310" s="2">
        <f>YEAR(Table14[[#This Row],[Data_Wystawienia]])</f>
        <v>2024</v>
      </c>
      <c r="O2310" s="2" t="str">
        <f>TEXT(Table14[[#This Row],[Data_Wystawienia]],"rrrr-mm")</f>
        <v>2024-05</v>
      </c>
      <c r="P2310" s="2">
        <v>1</v>
      </c>
    </row>
    <row r="2311" spans="1:16" x14ac:dyDescent="0.3">
      <c r="A2311" s="2" t="str">
        <f>TRIM(Table1[[#This Row],[Numer_FV]])</f>
        <v>FV/1730HM/24</v>
      </c>
      <c r="B2311" s="2" t="str">
        <f>TRIM(Table1[[#This Row],[Numer_PZ]])</f>
        <v>PZ/802309</v>
      </c>
      <c r="C2311" s="2" t="str">
        <f>TRIM(Table1[[#This Row],[Dostawca]])</f>
        <v>HurtMedix</v>
      </c>
      <c r="D2311" s="3">
        <v>45415</v>
      </c>
      <c r="E2311" s="4" t="s">
        <v>6827</v>
      </c>
      <c r="F2311" s="2" t="str">
        <f>TRIM(Table1[[#This Row],[Status]])</f>
        <v>Zaakceptowana</v>
      </c>
      <c r="G2311" s="2" t="str">
        <f>TRIM(Table1[[#This Row],[Typ]])</f>
        <v>Faktura VAT</v>
      </c>
      <c r="H2311" s="2" t="str">
        <f>TRIM(Table1[[#This Row],[Magazyn]])</f>
        <v>Apteka Szpitalna</v>
      </c>
      <c r="I2311" s="2" t="str">
        <f>TRIM(Table1[[#This Row],[Umowa]])</f>
        <v>UM-HUR-03</v>
      </c>
      <c r="J2311" s="2" t="b">
        <f>ISTEXT(Table14[[#This Row],[Data_Wystawienia]])</f>
        <v>0</v>
      </c>
      <c r="K2311" s="2">
        <f>VALUE(SUBSTITUTE(Table14[[#This Row],[Wartość]],".",","))</f>
        <v>21281.27</v>
      </c>
      <c r="L23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1" s="2" t="str">
        <f>IF(Table14[[#This Row],[Umowa]]="","Poza umową","Z umowy")</f>
        <v>Z umowy</v>
      </c>
      <c r="N2311" s="2">
        <f>YEAR(Table14[[#This Row],[Data_Wystawienia]])</f>
        <v>2024</v>
      </c>
      <c r="O2311" s="2" t="str">
        <f>TEXT(Table14[[#This Row],[Data_Wystawienia]],"rrrr-mm")</f>
        <v>2024-05</v>
      </c>
      <c r="P2311" s="2">
        <v>1</v>
      </c>
    </row>
    <row r="2312" spans="1:16" x14ac:dyDescent="0.3">
      <c r="A2312" s="2" t="str">
        <f>TRIM(Table1[[#This Row],[Numer_FV]])</f>
        <v>FV/59947/VDb/2024</v>
      </c>
      <c r="B2312" s="2" t="str">
        <f>TRIM(Table1[[#This Row],[Numer_PZ]])</f>
        <v>PZ/802310</v>
      </c>
      <c r="C2312" s="2" t="str">
        <f>TRIM(Table1[[#This Row],[Dostawca]])</f>
        <v>VitaDistrib</v>
      </c>
      <c r="D2312" s="3">
        <v>45416</v>
      </c>
      <c r="E2312" s="4" t="s">
        <v>6830</v>
      </c>
      <c r="F2312" s="2" t="str">
        <f>TRIM(Table1[[#This Row],[Status]])</f>
        <v>Zaakceptowana</v>
      </c>
      <c r="G2312" s="2" t="str">
        <f>TRIM(Table1[[#This Row],[Typ]])</f>
        <v>Faktura VAT</v>
      </c>
      <c r="H2312" s="2" t="str">
        <f>TRIM(Table1[[#This Row],[Magazyn]])</f>
        <v>Apteka Szpitalna</v>
      </c>
      <c r="I2312" s="2" t="str">
        <f>TRIM(Table1[[#This Row],[Umowa]])</f>
        <v>UM-VIT-01</v>
      </c>
      <c r="J2312" s="2" t="b">
        <f>ISTEXT(Table14[[#This Row],[Data_Wystawienia]])</f>
        <v>0</v>
      </c>
      <c r="K2312" s="2">
        <f>VALUE(SUBSTITUTE(Table14[[#This Row],[Wartość]],".",","))</f>
        <v>25325.91</v>
      </c>
      <c r="L23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2" s="2" t="str">
        <f>IF(Table14[[#This Row],[Umowa]]="","Poza umową","Z umowy")</f>
        <v>Z umowy</v>
      </c>
      <c r="N2312" s="2">
        <f>YEAR(Table14[[#This Row],[Data_Wystawienia]])</f>
        <v>2024</v>
      </c>
      <c r="O2312" s="2" t="str">
        <f>TEXT(Table14[[#This Row],[Data_Wystawienia]],"rrrr-mm")</f>
        <v>2024-05</v>
      </c>
      <c r="P2312" s="2">
        <v>1</v>
      </c>
    </row>
    <row r="2313" spans="1:16" x14ac:dyDescent="0.3">
      <c r="A2313" s="2" t="str">
        <f>TRIM(Table1[[#This Row],[Numer_FV]])</f>
        <v>FV/71734/VDb/2024</v>
      </c>
      <c r="B2313" s="2" t="str">
        <f>TRIM(Table1[[#This Row],[Numer_PZ]])</f>
        <v>PZ/802311</v>
      </c>
      <c r="C2313" s="2" t="str">
        <f>TRIM(Table1[[#This Row],[Dostawca]])</f>
        <v>VitaDistrib</v>
      </c>
      <c r="D2313" s="3">
        <v>45417</v>
      </c>
      <c r="E2313" s="4" t="s">
        <v>6833</v>
      </c>
      <c r="F2313" s="2" t="str">
        <f>TRIM(Table1[[#This Row],[Status]])</f>
        <v>Zaakceptowana</v>
      </c>
      <c r="G2313" s="2" t="str">
        <f>TRIM(Table1[[#This Row],[Typ]])</f>
        <v>Faktura VAT</v>
      </c>
      <c r="H2313" s="2" t="str">
        <f>TRIM(Table1[[#This Row],[Magazyn]])</f>
        <v>Apteka Szpitalna</v>
      </c>
      <c r="I2313" s="2" t="str">
        <f>TRIM(Table1[[#This Row],[Umowa]])</f>
        <v/>
      </c>
      <c r="J2313" s="2" t="b">
        <f>ISTEXT(Table14[[#This Row],[Data_Wystawienia]])</f>
        <v>0</v>
      </c>
      <c r="K2313" s="2">
        <f>VALUE(SUBSTITUTE(Table14[[#This Row],[Wartość]],".",","))</f>
        <v>9884.2000000000007</v>
      </c>
      <c r="L23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3" s="2" t="str">
        <f>IF(Table14[[#This Row],[Umowa]]="","Poza umową","Z umowy")</f>
        <v>Poza umową</v>
      </c>
      <c r="N2313" s="2">
        <f>YEAR(Table14[[#This Row],[Data_Wystawienia]])</f>
        <v>2024</v>
      </c>
      <c r="O2313" s="2" t="str">
        <f>TEXT(Table14[[#This Row],[Data_Wystawienia]],"rrrr-mm")</f>
        <v>2024-05</v>
      </c>
      <c r="P2313" s="2">
        <v>1</v>
      </c>
    </row>
    <row r="2314" spans="1:16" x14ac:dyDescent="0.3">
      <c r="A2314" s="2" t="str">
        <f>TRIM(Table1[[#This Row],[Numer_FV]])</f>
        <v>FV/95/SAL/24</v>
      </c>
      <c r="B2314" s="2" t="str">
        <f>TRIM(Table1[[#This Row],[Numer_PZ]])</f>
        <v>PZ/802312</v>
      </c>
      <c r="C2314" s="2" t="str">
        <f>TRIM(Table1[[#This Row],[Dostawca]])</f>
        <v>SalusHurt</v>
      </c>
      <c r="D2314" s="3">
        <v>45417</v>
      </c>
      <c r="E2314" s="4" t="s">
        <v>6835</v>
      </c>
      <c r="F2314" s="2" t="str">
        <f>TRIM(Table1[[#This Row],[Status]])</f>
        <v>Zaakceptowana</v>
      </c>
      <c r="G2314" s="2" t="str">
        <f>TRIM(Table1[[#This Row],[Typ]])</f>
        <v>Faktura VAT</v>
      </c>
      <c r="H2314" s="2" t="str">
        <f>TRIM(Table1[[#This Row],[Magazyn]])</f>
        <v>Apteka Szpitalna</v>
      </c>
      <c r="I2314" s="2" t="str">
        <f>TRIM(Table1[[#This Row],[Umowa]])</f>
        <v>UM-SAL-02</v>
      </c>
      <c r="J2314" s="2" t="b">
        <f>ISTEXT(Table14[[#This Row],[Data_Wystawienia]])</f>
        <v>0</v>
      </c>
      <c r="K2314" s="2">
        <f>VALUE(SUBSTITUTE(Table14[[#This Row],[Wartość]],".",","))</f>
        <v>12497.64</v>
      </c>
      <c r="L23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4" s="2" t="str">
        <f>IF(Table14[[#This Row],[Umowa]]="","Poza umową","Z umowy")</f>
        <v>Z umowy</v>
      </c>
      <c r="N2314" s="2">
        <f>YEAR(Table14[[#This Row],[Data_Wystawienia]])</f>
        <v>2024</v>
      </c>
      <c r="O2314" s="2" t="str">
        <f>TEXT(Table14[[#This Row],[Data_Wystawienia]],"rrrr-mm")</f>
        <v>2024-05</v>
      </c>
      <c r="P2314" s="2">
        <v>1</v>
      </c>
    </row>
    <row r="2315" spans="1:16" x14ac:dyDescent="0.3">
      <c r="A2315" s="2" t="str">
        <f>TRIM(Table1[[#This Row],[Numer_FV]])</f>
        <v>FV/CENFA/313505/24</v>
      </c>
      <c r="B2315" s="2" t="str">
        <f>TRIM(Table1[[#This Row],[Numer_PZ]])</f>
        <v>PZ/802313</v>
      </c>
      <c r="C2315" s="2" t="str">
        <f>TRIM(Table1[[#This Row],[Dostawca]])</f>
        <v>CentrumFarm</v>
      </c>
      <c r="D2315" s="3">
        <v>45417</v>
      </c>
      <c r="E2315" s="4" t="s">
        <v>6838</v>
      </c>
      <c r="F2315" s="2" t="str">
        <f>TRIM(Table1[[#This Row],[Status]])</f>
        <v>Zaakceptowana</v>
      </c>
      <c r="G2315" s="2" t="str">
        <f>TRIM(Table1[[#This Row],[Typ]])</f>
        <v>Faktura VAT</v>
      </c>
      <c r="H2315" s="2" t="str">
        <f>TRIM(Table1[[#This Row],[Magazyn]])</f>
        <v>Apteka Szpitalna</v>
      </c>
      <c r="I2315" s="2" t="str">
        <f>TRIM(Table1[[#This Row],[Umowa]])</f>
        <v/>
      </c>
      <c r="J2315" s="2" t="b">
        <f>ISTEXT(Table14[[#This Row],[Data_Wystawienia]])</f>
        <v>0</v>
      </c>
      <c r="K2315" s="2">
        <f>VALUE(SUBSTITUTE(Table14[[#This Row],[Wartość]],".",","))</f>
        <v>3943.98</v>
      </c>
      <c r="L23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5" s="2" t="str">
        <f>IF(Table14[[#This Row],[Umowa]]="","Poza umową","Z umowy")</f>
        <v>Poza umową</v>
      </c>
      <c r="N2315" s="2">
        <f>YEAR(Table14[[#This Row],[Data_Wystawienia]])</f>
        <v>2024</v>
      </c>
      <c r="O2315" s="2" t="str">
        <f>TEXT(Table14[[#This Row],[Data_Wystawienia]],"rrrr-mm")</f>
        <v>2024-05</v>
      </c>
      <c r="P2315" s="2">
        <v>1</v>
      </c>
    </row>
    <row r="2316" spans="1:16" x14ac:dyDescent="0.3">
      <c r="A2316" s="2" t="str">
        <f>TRIM(Table1[[#This Row],[Numer_FV]])</f>
        <v>FV/M/3727/P/24</v>
      </c>
      <c r="B2316" s="2" t="str">
        <f>TRIM(Table1[[#This Row],[Numer_PZ]])</f>
        <v>PZ/802314</v>
      </c>
      <c r="C2316" s="2" t="str">
        <f>TRIM(Table1[[#This Row],[Dostawca]])</f>
        <v>MedicaPharm</v>
      </c>
      <c r="D2316" s="3">
        <v>45417</v>
      </c>
      <c r="E2316" s="4" t="s">
        <v>6841</v>
      </c>
      <c r="F2316" s="2" t="str">
        <f>TRIM(Table1[[#This Row],[Status]])</f>
        <v>Zaakceptowana</v>
      </c>
      <c r="G2316" s="2" t="str">
        <f>TRIM(Table1[[#This Row],[Typ]])</f>
        <v>Faktura VAT</v>
      </c>
      <c r="H2316" s="2" t="str">
        <f>TRIM(Table1[[#This Row],[Magazyn]])</f>
        <v>Apteka Szpitalna</v>
      </c>
      <c r="I2316" s="2" t="str">
        <f>TRIM(Table1[[#This Row],[Umowa]])</f>
        <v>UM-MED-01</v>
      </c>
      <c r="J2316" s="2" t="b">
        <f>ISTEXT(Table14[[#This Row],[Data_Wystawienia]])</f>
        <v>0</v>
      </c>
      <c r="K2316" s="2">
        <f>VALUE(SUBSTITUTE(Table14[[#This Row],[Wartość]],".",","))</f>
        <v>8877.49</v>
      </c>
      <c r="L23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6" s="2" t="str">
        <f>IF(Table14[[#This Row],[Umowa]]="","Poza umową","Z umowy")</f>
        <v>Z umowy</v>
      </c>
      <c r="N2316" s="2">
        <f>YEAR(Table14[[#This Row],[Data_Wystawienia]])</f>
        <v>2024</v>
      </c>
      <c r="O2316" s="2" t="str">
        <f>TEXT(Table14[[#This Row],[Data_Wystawienia]],"rrrr-mm")</f>
        <v>2024-05</v>
      </c>
      <c r="P2316" s="2">
        <v>1</v>
      </c>
    </row>
    <row r="2317" spans="1:16" x14ac:dyDescent="0.3">
      <c r="A2317" s="2" t="str">
        <f>TRIM(Table1[[#This Row],[Numer_FV]])</f>
        <v>FV/CENFA/242105/24</v>
      </c>
      <c r="B2317" s="2" t="str">
        <f>TRIM(Table1[[#This Row],[Numer_PZ]])</f>
        <v>PZ/802315</v>
      </c>
      <c r="C2317" s="2" t="str">
        <f>TRIM(Table1[[#This Row],[Dostawca]])</f>
        <v>CentrumFarm</v>
      </c>
      <c r="D2317" s="3">
        <v>45418</v>
      </c>
      <c r="E2317" s="4" t="s">
        <v>6844</v>
      </c>
      <c r="F2317" s="2" t="str">
        <f>TRIM(Table1[[#This Row],[Status]])</f>
        <v>Zaakceptowana</v>
      </c>
      <c r="G2317" s="2" t="str">
        <f>TRIM(Table1[[#This Row],[Typ]])</f>
        <v>Faktura VAT</v>
      </c>
      <c r="H2317" s="2" t="str">
        <f>TRIM(Table1[[#This Row],[Magazyn]])</f>
        <v>Apteka Szpitalna</v>
      </c>
      <c r="I2317" s="2" t="str">
        <f>TRIM(Table1[[#This Row],[Umowa]])</f>
        <v>UM-CEN-02</v>
      </c>
      <c r="J2317" s="2" t="b">
        <f>ISTEXT(Table14[[#This Row],[Data_Wystawienia]])</f>
        <v>0</v>
      </c>
      <c r="K2317" s="2">
        <f>VALUE(SUBSTITUTE(Table14[[#This Row],[Wartość]],".",","))</f>
        <v>11389.2</v>
      </c>
      <c r="L23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7" s="2" t="str">
        <f>IF(Table14[[#This Row],[Umowa]]="","Poza umową","Z umowy")</f>
        <v>Z umowy</v>
      </c>
      <c r="N2317" s="2">
        <f>YEAR(Table14[[#This Row],[Data_Wystawienia]])</f>
        <v>2024</v>
      </c>
      <c r="O2317" s="2" t="str">
        <f>TEXT(Table14[[#This Row],[Data_Wystawienia]],"rrrr-mm")</f>
        <v>2024-05</v>
      </c>
      <c r="P2317" s="2">
        <v>1</v>
      </c>
    </row>
    <row r="2318" spans="1:16" x14ac:dyDescent="0.3">
      <c r="A2318" s="2" t="str">
        <f>TRIM(Table1[[#This Row],[Numer_FV]])</f>
        <v>FV/8328/NOVA/24</v>
      </c>
      <c r="B2318" s="2" t="str">
        <f>TRIM(Table1[[#This Row],[Numer_PZ]])</f>
        <v>PZ/802316</v>
      </c>
      <c r="C2318" s="2" t="str">
        <f>TRIM(Table1[[#This Row],[Dostawca]])</f>
        <v>NovaLek</v>
      </c>
      <c r="D2318" s="3">
        <v>45418</v>
      </c>
      <c r="E2318" s="4" t="s">
        <v>6847</v>
      </c>
      <c r="F2318" s="2" t="str">
        <f>TRIM(Table1[[#This Row],[Status]])</f>
        <v>Zaakceptowana</v>
      </c>
      <c r="G2318" s="2" t="str">
        <f>TRIM(Table1[[#This Row],[Typ]])</f>
        <v>Faktura VAT</v>
      </c>
      <c r="H2318" s="2" t="str">
        <f>TRIM(Table1[[#This Row],[Magazyn]])</f>
        <v>Apteka Szpitalna</v>
      </c>
      <c r="I2318" s="2" t="str">
        <f>TRIM(Table1[[#This Row],[Umowa]])</f>
        <v/>
      </c>
      <c r="J2318" s="2" t="b">
        <f>ISTEXT(Table14[[#This Row],[Data_Wystawienia]])</f>
        <v>0</v>
      </c>
      <c r="K2318" s="2">
        <f>VALUE(SUBSTITUTE(Table14[[#This Row],[Wartość]],".",","))</f>
        <v>18972.55</v>
      </c>
      <c r="L23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8" s="2" t="str">
        <f>IF(Table14[[#This Row],[Umowa]]="","Poza umową","Z umowy")</f>
        <v>Poza umową</v>
      </c>
      <c r="N2318" s="2">
        <f>YEAR(Table14[[#This Row],[Data_Wystawienia]])</f>
        <v>2024</v>
      </c>
      <c r="O2318" s="2" t="str">
        <f>TEXT(Table14[[#This Row],[Data_Wystawienia]],"rrrr-mm")</f>
        <v>2024-05</v>
      </c>
      <c r="P2318" s="2">
        <v>1</v>
      </c>
    </row>
    <row r="2319" spans="1:16" x14ac:dyDescent="0.3">
      <c r="A2319" s="2" t="str">
        <f>TRIM(Table1[[#This Row],[Numer_FV]])</f>
        <v>FV/POL/61406/2024</v>
      </c>
      <c r="B2319" s="2" t="str">
        <f>TRIM(Table1[[#This Row],[Numer_PZ]])</f>
        <v>PZ/802317</v>
      </c>
      <c r="C2319" s="2" t="str">
        <f>TRIM(Table1[[#This Row],[Dostawca]])</f>
        <v>Polmedica</v>
      </c>
      <c r="D2319" s="3">
        <v>45419</v>
      </c>
      <c r="E2319" s="4" t="s">
        <v>6850</v>
      </c>
      <c r="F2319" s="2" t="str">
        <f>TRIM(Table1[[#This Row],[Status]])</f>
        <v>Zaakceptowana</v>
      </c>
      <c r="G2319" s="2" t="str">
        <f>TRIM(Table1[[#This Row],[Typ]])</f>
        <v>Faktura VAT</v>
      </c>
      <c r="H2319" s="2" t="str">
        <f>TRIM(Table1[[#This Row],[Magazyn]])</f>
        <v>Apteka Szpitalna</v>
      </c>
      <c r="I2319" s="2" t="str">
        <f>TRIM(Table1[[#This Row],[Umowa]])</f>
        <v>UM-POL-03</v>
      </c>
      <c r="J2319" s="2" t="b">
        <f>ISTEXT(Table14[[#This Row],[Data_Wystawienia]])</f>
        <v>0</v>
      </c>
      <c r="K2319" s="2">
        <f>VALUE(SUBSTITUTE(Table14[[#This Row],[Wartość]],".",","))</f>
        <v>13229.88</v>
      </c>
      <c r="L23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19" s="2" t="str">
        <f>IF(Table14[[#This Row],[Umowa]]="","Poza umową","Z umowy")</f>
        <v>Z umowy</v>
      </c>
      <c r="N2319" s="2">
        <f>YEAR(Table14[[#This Row],[Data_Wystawienia]])</f>
        <v>2024</v>
      </c>
      <c r="O2319" s="2" t="str">
        <f>TEXT(Table14[[#This Row],[Data_Wystawienia]],"rrrr-mm")</f>
        <v>2024-05</v>
      </c>
      <c r="P2319" s="2">
        <v>1</v>
      </c>
    </row>
    <row r="2320" spans="1:16" x14ac:dyDescent="0.3">
      <c r="A2320" s="2" t="str">
        <f>TRIM(Table1[[#This Row],[Numer_FV]])</f>
        <v>FV/49276/VDb/2024</v>
      </c>
      <c r="B2320" s="2" t="str">
        <f>TRIM(Table1[[#This Row],[Numer_PZ]])</f>
        <v>PZ/802318</v>
      </c>
      <c r="C2320" s="2" t="str">
        <f>TRIM(Table1[[#This Row],[Dostawca]])</f>
        <v>VitaDistrib</v>
      </c>
      <c r="D2320" s="3">
        <v>45419</v>
      </c>
      <c r="E2320" s="4" t="s">
        <v>6853</v>
      </c>
      <c r="F2320" s="2" t="str">
        <f>TRIM(Table1[[#This Row],[Status]])</f>
        <v>Zaakceptowana</v>
      </c>
      <c r="G2320" s="2" t="str">
        <f>TRIM(Table1[[#This Row],[Typ]])</f>
        <v>Faktura VAT</v>
      </c>
      <c r="H2320" s="2" t="str">
        <f>TRIM(Table1[[#This Row],[Magazyn]])</f>
        <v>Apteka Szpitalna</v>
      </c>
      <c r="I2320" s="2" t="str">
        <f>TRIM(Table1[[#This Row],[Umowa]])</f>
        <v>UM-VIT-01</v>
      </c>
      <c r="J2320" s="2" t="b">
        <f>ISTEXT(Table14[[#This Row],[Data_Wystawienia]])</f>
        <v>0</v>
      </c>
      <c r="K2320" s="2">
        <f>VALUE(SUBSTITUTE(Table14[[#This Row],[Wartość]],".",","))</f>
        <v>1447.73</v>
      </c>
      <c r="L23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0" s="2" t="str">
        <f>IF(Table14[[#This Row],[Umowa]]="","Poza umową","Z umowy")</f>
        <v>Z umowy</v>
      </c>
      <c r="N2320" s="2">
        <f>YEAR(Table14[[#This Row],[Data_Wystawienia]])</f>
        <v>2024</v>
      </c>
      <c r="O2320" s="2" t="str">
        <f>TEXT(Table14[[#This Row],[Data_Wystawienia]],"rrrr-mm")</f>
        <v>2024-05</v>
      </c>
      <c r="P2320" s="2">
        <v>1</v>
      </c>
    </row>
    <row r="2321" spans="1:16" x14ac:dyDescent="0.3">
      <c r="A2321" s="2" t="str">
        <f>TRIM(Table1[[#This Row],[Numer_FV]])</f>
        <v>FV/POL/50630/2024</v>
      </c>
      <c r="B2321" s="2" t="str">
        <f>TRIM(Table1[[#This Row],[Numer_PZ]])</f>
        <v>PZ/802319</v>
      </c>
      <c r="C2321" s="2" t="str">
        <f>TRIM(Table1[[#This Row],[Dostawca]])</f>
        <v>Polmedica</v>
      </c>
      <c r="D2321" s="3">
        <v>45419</v>
      </c>
      <c r="E2321" s="4" t="s">
        <v>6856</v>
      </c>
      <c r="F2321" s="2" t="str">
        <f>TRIM(Table1[[#This Row],[Status]])</f>
        <v>Zaakceptowana</v>
      </c>
      <c r="G2321" s="2" t="str">
        <f>TRIM(Table1[[#This Row],[Typ]])</f>
        <v>Faktura VAT</v>
      </c>
      <c r="H2321" s="2" t="str">
        <f>TRIM(Table1[[#This Row],[Magazyn]])</f>
        <v>Apteka Szpitalna</v>
      </c>
      <c r="I2321" s="2" t="str">
        <f>TRIM(Table1[[#This Row],[Umowa]])</f>
        <v>UM-POL-03</v>
      </c>
      <c r="J2321" s="2" t="b">
        <f>ISTEXT(Table14[[#This Row],[Data_Wystawienia]])</f>
        <v>0</v>
      </c>
      <c r="K2321" s="2">
        <f>VALUE(SUBSTITUTE(Table14[[#This Row],[Wartość]],".",","))</f>
        <v>16752.55</v>
      </c>
      <c r="L23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1" s="2" t="str">
        <f>IF(Table14[[#This Row],[Umowa]]="","Poza umową","Z umowy")</f>
        <v>Z umowy</v>
      </c>
      <c r="N2321" s="2">
        <f>YEAR(Table14[[#This Row],[Data_Wystawienia]])</f>
        <v>2024</v>
      </c>
      <c r="O2321" s="2" t="str">
        <f>TEXT(Table14[[#This Row],[Data_Wystawienia]],"rrrr-mm")</f>
        <v>2024-05</v>
      </c>
      <c r="P2321" s="2">
        <v>1</v>
      </c>
    </row>
    <row r="2322" spans="1:16" x14ac:dyDescent="0.3">
      <c r="A2322" s="2" t="str">
        <f>TRIM(Table1[[#This Row],[Numer_FV]])</f>
        <v>FV/M/3209/P/24</v>
      </c>
      <c r="B2322" s="2" t="str">
        <f>TRIM(Table1[[#This Row],[Numer_PZ]])</f>
        <v>PZ/802320</v>
      </c>
      <c r="C2322" s="2" t="str">
        <f>TRIM(Table1[[#This Row],[Dostawca]])</f>
        <v>MedicaPharm</v>
      </c>
      <c r="D2322" s="3">
        <v>45419</v>
      </c>
      <c r="E2322" s="4" t="s">
        <v>6859</v>
      </c>
      <c r="F2322" s="2" t="str">
        <f>TRIM(Table1[[#This Row],[Status]])</f>
        <v>Zaakceptowana</v>
      </c>
      <c r="G2322" s="2" t="str">
        <f>TRIM(Table1[[#This Row],[Typ]])</f>
        <v>Faktura VAT</v>
      </c>
      <c r="H2322" s="2" t="str">
        <f>TRIM(Table1[[#This Row],[Magazyn]])</f>
        <v>Apteka Szpitalna</v>
      </c>
      <c r="I2322" s="2" t="str">
        <f>TRIM(Table1[[#This Row],[Umowa]])</f>
        <v>UM-MED-01</v>
      </c>
      <c r="J2322" s="2" t="b">
        <f>ISTEXT(Table14[[#This Row],[Data_Wystawienia]])</f>
        <v>0</v>
      </c>
      <c r="K2322" s="2">
        <f>VALUE(SUBSTITUTE(Table14[[#This Row],[Wartość]],".",","))</f>
        <v>27862.799999999999</v>
      </c>
      <c r="L23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2" s="2" t="str">
        <f>IF(Table14[[#This Row],[Umowa]]="","Poza umową","Z umowy")</f>
        <v>Z umowy</v>
      </c>
      <c r="N2322" s="2">
        <f>YEAR(Table14[[#This Row],[Data_Wystawienia]])</f>
        <v>2024</v>
      </c>
      <c r="O2322" s="2" t="str">
        <f>TEXT(Table14[[#This Row],[Data_Wystawienia]],"rrrr-mm")</f>
        <v>2024-05</v>
      </c>
      <c r="P2322" s="2">
        <v>1</v>
      </c>
    </row>
    <row r="2323" spans="1:16" x14ac:dyDescent="0.3">
      <c r="A2323" s="2" t="str">
        <f>TRIM(Table1[[#This Row],[Numer_FV]])</f>
        <v>FV/2576HM/24</v>
      </c>
      <c r="B2323" s="2" t="str">
        <f>TRIM(Table1[[#This Row],[Numer_PZ]])</f>
        <v>PZ/802321</v>
      </c>
      <c r="C2323" s="2" t="str">
        <f>TRIM(Table1[[#This Row],[Dostawca]])</f>
        <v>HurtMedix</v>
      </c>
      <c r="D2323" s="3">
        <v>45419</v>
      </c>
      <c r="E2323" s="4" t="s">
        <v>6862</v>
      </c>
      <c r="F2323" s="2" t="str">
        <f>TRIM(Table1[[#This Row],[Status]])</f>
        <v>Zaakceptowana</v>
      </c>
      <c r="G2323" s="2" t="str">
        <f>TRIM(Table1[[#This Row],[Typ]])</f>
        <v>Faktura VAT</v>
      </c>
      <c r="H2323" s="2" t="str">
        <f>TRIM(Table1[[#This Row],[Magazyn]])</f>
        <v>Apteka Szpitalna</v>
      </c>
      <c r="I2323" s="2" t="str">
        <f>TRIM(Table1[[#This Row],[Umowa]])</f>
        <v>UM-HUR-03</v>
      </c>
      <c r="J2323" s="2" t="b">
        <f>ISTEXT(Table14[[#This Row],[Data_Wystawienia]])</f>
        <v>0</v>
      </c>
      <c r="K2323" s="2">
        <f>VALUE(SUBSTITUTE(Table14[[#This Row],[Wartość]],".",","))</f>
        <v>9996.98</v>
      </c>
      <c r="L23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3" s="2" t="str">
        <f>IF(Table14[[#This Row],[Umowa]]="","Poza umową","Z umowy")</f>
        <v>Z umowy</v>
      </c>
      <c r="N2323" s="2">
        <f>YEAR(Table14[[#This Row],[Data_Wystawienia]])</f>
        <v>2024</v>
      </c>
      <c r="O2323" s="2" t="str">
        <f>TEXT(Table14[[#This Row],[Data_Wystawienia]],"rrrr-mm")</f>
        <v>2024-05</v>
      </c>
      <c r="P2323" s="2">
        <v>1</v>
      </c>
    </row>
    <row r="2324" spans="1:16" x14ac:dyDescent="0.3">
      <c r="A2324" s="2" t="str">
        <f>TRIM(Table1[[#This Row],[Numer_FV]])</f>
        <v>FV/20/SAL/24</v>
      </c>
      <c r="B2324" s="2" t="str">
        <f>TRIM(Table1[[#This Row],[Numer_PZ]])</f>
        <v>PZ/802322</v>
      </c>
      <c r="C2324" s="2" t="str">
        <f>TRIM(Table1[[#This Row],[Dostawca]])</f>
        <v>SalusHurt</v>
      </c>
      <c r="D2324" s="3">
        <v>45419</v>
      </c>
      <c r="E2324" s="4" t="s">
        <v>6865</v>
      </c>
      <c r="F2324" s="2" t="str">
        <f>TRIM(Table1[[#This Row],[Status]])</f>
        <v>Zaakceptowana</v>
      </c>
      <c r="G2324" s="2" t="str">
        <f>TRIM(Table1[[#This Row],[Typ]])</f>
        <v>Faktura VAT</v>
      </c>
      <c r="H2324" s="2" t="str">
        <f>TRIM(Table1[[#This Row],[Magazyn]])</f>
        <v>Apteka Szpitalna</v>
      </c>
      <c r="I2324" s="2" t="str">
        <f>TRIM(Table1[[#This Row],[Umowa]])</f>
        <v>UM-SAL-02</v>
      </c>
      <c r="J2324" s="2" t="b">
        <f>ISTEXT(Table14[[#This Row],[Data_Wystawienia]])</f>
        <v>0</v>
      </c>
      <c r="K2324" s="2">
        <f>VALUE(SUBSTITUTE(Table14[[#This Row],[Wartość]],".",","))</f>
        <v>12532.41</v>
      </c>
      <c r="L23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4" s="2" t="str">
        <f>IF(Table14[[#This Row],[Umowa]]="","Poza umową","Z umowy")</f>
        <v>Z umowy</v>
      </c>
      <c r="N2324" s="2">
        <f>YEAR(Table14[[#This Row],[Data_Wystawienia]])</f>
        <v>2024</v>
      </c>
      <c r="O2324" s="2" t="str">
        <f>TEXT(Table14[[#This Row],[Data_Wystawienia]],"rrrr-mm")</f>
        <v>2024-05</v>
      </c>
      <c r="P2324" s="2">
        <v>1</v>
      </c>
    </row>
    <row r="2325" spans="1:16" x14ac:dyDescent="0.3">
      <c r="A2325" s="2" t="str">
        <f>TRIM(Table1[[#This Row],[Numer_FV]])</f>
        <v>FV/CENFA/172245/24</v>
      </c>
      <c r="B2325" s="2" t="str">
        <f>TRIM(Table1[[#This Row],[Numer_PZ]])</f>
        <v>PZ/802323</v>
      </c>
      <c r="C2325" s="2" t="str">
        <f>TRIM(Table1[[#This Row],[Dostawca]])</f>
        <v>CentrumFarm</v>
      </c>
      <c r="D2325" s="3">
        <v>45420</v>
      </c>
      <c r="E2325" s="4" t="s">
        <v>6868</v>
      </c>
      <c r="F2325" s="2" t="str">
        <f>TRIM(Table1[[#This Row],[Status]])</f>
        <v>Zaakceptowana</v>
      </c>
      <c r="G2325" s="2" t="str">
        <f>TRIM(Table1[[#This Row],[Typ]])</f>
        <v>Faktura VAT</v>
      </c>
      <c r="H2325" s="2" t="str">
        <f>TRIM(Table1[[#This Row],[Magazyn]])</f>
        <v>Apteka Szpitalna</v>
      </c>
      <c r="I2325" s="2" t="str">
        <f>TRIM(Table1[[#This Row],[Umowa]])</f>
        <v>UM-CEN-02</v>
      </c>
      <c r="J2325" s="2" t="b">
        <f>ISTEXT(Table14[[#This Row],[Data_Wystawienia]])</f>
        <v>0</v>
      </c>
      <c r="K2325" s="2">
        <f>VALUE(SUBSTITUTE(Table14[[#This Row],[Wartość]],".",","))</f>
        <v>14847.64</v>
      </c>
      <c r="L23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5" s="2" t="str">
        <f>IF(Table14[[#This Row],[Umowa]]="","Poza umową","Z umowy")</f>
        <v>Z umowy</v>
      </c>
      <c r="N2325" s="2">
        <f>YEAR(Table14[[#This Row],[Data_Wystawienia]])</f>
        <v>2024</v>
      </c>
      <c r="O2325" s="2" t="str">
        <f>TEXT(Table14[[#This Row],[Data_Wystawienia]],"rrrr-mm")</f>
        <v>2024-05</v>
      </c>
      <c r="P2325" s="2">
        <v>1</v>
      </c>
    </row>
    <row r="2326" spans="1:16" x14ac:dyDescent="0.3">
      <c r="A2326" s="2" t="str">
        <f>TRIM(Table1[[#This Row],[Numer_FV]])</f>
        <v>FV/POL/32043/2024</v>
      </c>
      <c r="B2326" s="2" t="str">
        <f>TRIM(Table1[[#This Row],[Numer_PZ]])</f>
        <v>PZ/802324</v>
      </c>
      <c r="C2326" s="2" t="str">
        <f>TRIM(Table1[[#This Row],[Dostawca]])</f>
        <v>Polmedica</v>
      </c>
      <c r="D2326" s="3">
        <v>45420</v>
      </c>
      <c r="E2326" s="4" t="s">
        <v>6871</v>
      </c>
      <c r="F2326" s="2" t="str">
        <f>TRIM(Table1[[#This Row],[Status]])</f>
        <v>Zaakceptowana</v>
      </c>
      <c r="G2326" s="2" t="str">
        <f>TRIM(Table1[[#This Row],[Typ]])</f>
        <v>Faktura VAT</v>
      </c>
      <c r="H2326" s="2" t="str">
        <f>TRIM(Table1[[#This Row],[Magazyn]])</f>
        <v>Apteka Szpitalna</v>
      </c>
      <c r="I2326" s="2" t="str">
        <f>TRIM(Table1[[#This Row],[Umowa]])</f>
        <v>UM-POL-01</v>
      </c>
      <c r="J2326" s="2" t="b">
        <f>ISTEXT(Table14[[#This Row],[Data_Wystawienia]])</f>
        <v>0</v>
      </c>
      <c r="K2326" s="2">
        <f>VALUE(SUBSTITUTE(Table14[[#This Row],[Wartość]],".",","))</f>
        <v>16768.330000000002</v>
      </c>
      <c r="L23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6" s="2" t="str">
        <f>IF(Table14[[#This Row],[Umowa]]="","Poza umową","Z umowy")</f>
        <v>Z umowy</v>
      </c>
      <c r="N2326" s="2">
        <f>YEAR(Table14[[#This Row],[Data_Wystawienia]])</f>
        <v>2024</v>
      </c>
      <c r="O2326" s="2" t="str">
        <f>TEXT(Table14[[#This Row],[Data_Wystawienia]],"rrrr-mm")</f>
        <v>2024-05</v>
      </c>
      <c r="P2326" s="2">
        <v>1</v>
      </c>
    </row>
    <row r="2327" spans="1:16" x14ac:dyDescent="0.3">
      <c r="A2327" s="2" t="str">
        <f>TRIM(Table1[[#This Row],[Numer_FV]])</f>
        <v>FV/POL/96475/2024</v>
      </c>
      <c r="B2327" s="2" t="str">
        <f>TRIM(Table1[[#This Row],[Numer_PZ]])</f>
        <v>PZ/802325</v>
      </c>
      <c r="C2327" s="2" t="str">
        <f>TRIM(Table1[[#This Row],[Dostawca]])</f>
        <v>Polmedica</v>
      </c>
      <c r="D2327" s="3">
        <v>45421</v>
      </c>
      <c r="E2327" s="4" t="s">
        <v>6874</v>
      </c>
      <c r="F2327" s="2" t="str">
        <f>TRIM(Table1[[#This Row],[Status]])</f>
        <v>Zaakceptowana</v>
      </c>
      <c r="G2327" s="2" t="str">
        <f>TRIM(Table1[[#This Row],[Typ]])</f>
        <v>Faktura VAT</v>
      </c>
      <c r="H2327" s="2" t="str">
        <f>TRIM(Table1[[#This Row],[Magazyn]])</f>
        <v>Apteka Szpitalna</v>
      </c>
      <c r="I2327" s="2" t="str">
        <f>TRIM(Table1[[#This Row],[Umowa]])</f>
        <v>UM-POL-03</v>
      </c>
      <c r="J2327" s="2" t="b">
        <f>ISTEXT(Table14[[#This Row],[Data_Wystawienia]])</f>
        <v>0</v>
      </c>
      <c r="K2327" s="2">
        <f>VALUE(SUBSTITUTE(Table14[[#This Row],[Wartość]],".",","))</f>
        <v>10933.67</v>
      </c>
      <c r="L23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7" s="2" t="str">
        <f>IF(Table14[[#This Row],[Umowa]]="","Poza umową","Z umowy")</f>
        <v>Z umowy</v>
      </c>
      <c r="N2327" s="2">
        <f>YEAR(Table14[[#This Row],[Data_Wystawienia]])</f>
        <v>2024</v>
      </c>
      <c r="O2327" s="2" t="str">
        <f>TEXT(Table14[[#This Row],[Data_Wystawienia]],"rrrr-mm")</f>
        <v>2024-05</v>
      </c>
      <c r="P2327" s="2">
        <v>1</v>
      </c>
    </row>
    <row r="2328" spans="1:16" x14ac:dyDescent="0.3">
      <c r="A2328" s="2" t="str">
        <f>TRIM(Table1[[#This Row],[Numer_FV]])</f>
        <v>FV/M/6117/P/24</v>
      </c>
      <c r="B2328" s="2" t="str">
        <f>TRIM(Table1[[#This Row],[Numer_PZ]])</f>
        <v>PZ/802326</v>
      </c>
      <c r="C2328" s="2" t="str">
        <f>TRIM(Table1[[#This Row],[Dostawca]])</f>
        <v>MedicaPharm</v>
      </c>
      <c r="D2328" s="3">
        <v>45421</v>
      </c>
      <c r="E2328" s="4" t="s">
        <v>6877</v>
      </c>
      <c r="F2328" s="2" t="str">
        <f>TRIM(Table1[[#This Row],[Status]])</f>
        <v>Zaakceptowana</v>
      </c>
      <c r="G2328" s="2" t="str">
        <f>TRIM(Table1[[#This Row],[Typ]])</f>
        <v>Faktura VAT</v>
      </c>
      <c r="H2328" s="2" t="str">
        <f>TRIM(Table1[[#This Row],[Magazyn]])</f>
        <v>Apteka Szpitalna</v>
      </c>
      <c r="I2328" s="2" t="str">
        <f>TRIM(Table1[[#This Row],[Umowa]])</f>
        <v/>
      </c>
      <c r="J2328" s="2" t="b">
        <f>ISTEXT(Table14[[#This Row],[Data_Wystawienia]])</f>
        <v>0</v>
      </c>
      <c r="K2328" s="2">
        <f>VALUE(SUBSTITUTE(Table14[[#This Row],[Wartość]],".",","))</f>
        <v>9429.0499999999993</v>
      </c>
      <c r="L23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8" s="2" t="str">
        <f>IF(Table14[[#This Row],[Umowa]]="","Poza umową","Z umowy")</f>
        <v>Poza umową</v>
      </c>
      <c r="N2328" s="2">
        <f>YEAR(Table14[[#This Row],[Data_Wystawienia]])</f>
        <v>2024</v>
      </c>
      <c r="O2328" s="2" t="str">
        <f>TEXT(Table14[[#This Row],[Data_Wystawienia]],"rrrr-mm")</f>
        <v>2024-05</v>
      </c>
      <c r="P2328" s="2">
        <v>1</v>
      </c>
    </row>
    <row r="2329" spans="1:16" x14ac:dyDescent="0.3">
      <c r="A2329" s="2" t="str">
        <f>TRIM(Table1[[#This Row],[Numer_FV]])</f>
        <v>FV/83497/VDb/2024</v>
      </c>
      <c r="B2329" s="2" t="str">
        <f>TRIM(Table1[[#This Row],[Numer_PZ]])</f>
        <v>PZ/802327</v>
      </c>
      <c r="C2329" s="2" t="str">
        <f>TRIM(Table1[[#This Row],[Dostawca]])</f>
        <v>VitaDistrib</v>
      </c>
      <c r="D2329" s="3">
        <v>45421</v>
      </c>
      <c r="E2329" s="4" t="s">
        <v>6880</v>
      </c>
      <c r="F2329" s="2" t="str">
        <f>TRIM(Table1[[#This Row],[Status]])</f>
        <v>Zaakceptowana</v>
      </c>
      <c r="G2329" s="2" t="str">
        <f>TRIM(Table1[[#This Row],[Typ]])</f>
        <v>Faktura VAT</v>
      </c>
      <c r="H2329" s="2" t="str">
        <f>TRIM(Table1[[#This Row],[Magazyn]])</f>
        <v>Apteka Szpitalna</v>
      </c>
      <c r="I2329" s="2" t="str">
        <f>TRIM(Table1[[#This Row],[Umowa]])</f>
        <v>UM-VIT-01</v>
      </c>
      <c r="J2329" s="2" t="b">
        <f>ISTEXT(Table14[[#This Row],[Data_Wystawienia]])</f>
        <v>0</v>
      </c>
      <c r="K2329" s="2">
        <f>VALUE(SUBSTITUTE(Table14[[#This Row],[Wartość]],".",","))</f>
        <v>7896.07</v>
      </c>
      <c r="L23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29" s="2" t="str">
        <f>IF(Table14[[#This Row],[Umowa]]="","Poza umową","Z umowy")</f>
        <v>Z umowy</v>
      </c>
      <c r="N2329" s="2">
        <f>YEAR(Table14[[#This Row],[Data_Wystawienia]])</f>
        <v>2024</v>
      </c>
      <c r="O2329" s="2" t="str">
        <f>TEXT(Table14[[#This Row],[Data_Wystawienia]],"rrrr-mm")</f>
        <v>2024-05</v>
      </c>
      <c r="P2329" s="2">
        <v>1</v>
      </c>
    </row>
    <row r="2330" spans="1:16" x14ac:dyDescent="0.3">
      <c r="A2330" s="2" t="str">
        <f>TRIM(Table1[[#This Row],[Numer_FV]])</f>
        <v>FV/M/3218/P/24</v>
      </c>
      <c r="B2330" s="2" t="str">
        <f>TRIM(Table1[[#This Row],[Numer_PZ]])</f>
        <v>PZ/802328</v>
      </c>
      <c r="C2330" s="2" t="str">
        <f>TRIM(Table1[[#This Row],[Dostawca]])</f>
        <v>MedicaPharm</v>
      </c>
      <c r="D2330" s="3">
        <v>45421</v>
      </c>
      <c r="E2330" s="4" t="s">
        <v>6883</v>
      </c>
      <c r="F2330" s="2" t="str">
        <f>TRIM(Table1[[#This Row],[Status]])</f>
        <v>Zaakceptowana</v>
      </c>
      <c r="G2330" s="2" t="str">
        <f>TRIM(Table1[[#This Row],[Typ]])</f>
        <v>Faktura VAT</v>
      </c>
      <c r="H2330" s="2" t="str">
        <f>TRIM(Table1[[#This Row],[Magazyn]])</f>
        <v>Apteka Szpitalna</v>
      </c>
      <c r="I2330" s="2" t="str">
        <f>TRIM(Table1[[#This Row],[Umowa]])</f>
        <v/>
      </c>
      <c r="J2330" s="2" t="b">
        <f>ISTEXT(Table14[[#This Row],[Data_Wystawienia]])</f>
        <v>0</v>
      </c>
      <c r="K2330" s="2">
        <f>VALUE(SUBSTITUTE(Table14[[#This Row],[Wartość]],".",","))</f>
        <v>15731.05</v>
      </c>
      <c r="L23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0" s="2" t="str">
        <f>IF(Table14[[#This Row],[Umowa]]="","Poza umową","Z umowy")</f>
        <v>Poza umową</v>
      </c>
      <c r="N2330" s="2">
        <f>YEAR(Table14[[#This Row],[Data_Wystawienia]])</f>
        <v>2024</v>
      </c>
      <c r="O2330" s="2" t="str">
        <f>TEXT(Table14[[#This Row],[Data_Wystawienia]],"rrrr-mm")</f>
        <v>2024-05</v>
      </c>
      <c r="P2330" s="2">
        <v>1</v>
      </c>
    </row>
    <row r="2331" spans="1:16" x14ac:dyDescent="0.3">
      <c r="A2331" s="2" t="str">
        <f>TRIM(Table1[[#This Row],[Numer_FV]])</f>
        <v>FV/96/SAL/24</v>
      </c>
      <c r="B2331" s="2" t="str">
        <f>TRIM(Table1[[#This Row],[Numer_PZ]])</f>
        <v>PZ/802329</v>
      </c>
      <c r="C2331" s="2" t="str">
        <f>TRIM(Table1[[#This Row],[Dostawca]])</f>
        <v>SalusHurt</v>
      </c>
      <c r="D2331" s="3">
        <v>45422</v>
      </c>
      <c r="E2331" s="4" t="s">
        <v>6886</v>
      </c>
      <c r="F2331" s="2" t="str">
        <f>TRIM(Table1[[#This Row],[Status]])</f>
        <v>Zaakceptowana</v>
      </c>
      <c r="G2331" s="2" t="str">
        <f>TRIM(Table1[[#This Row],[Typ]])</f>
        <v>Faktura VAT</v>
      </c>
      <c r="H2331" s="2" t="str">
        <f>TRIM(Table1[[#This Row],[Magazyn]])</f>
        <v>Apteka Szpitalna</v>
      </c>
      <c r="I2331" s="2" t="str">
        <f>TRIM(Table1[[#This Row],[Umowa]])</f>
        <v>UM-SAL-01</v>
      </c>
      <c r="J2331" s="2" t="b">
        <f>ISTEXT(Table14[[#This Row],[Data_Wystawienia]])</f>
        <v>0</v>
      </c>
      <c r="K2331" s="2">
        <f>VALUE(SUBSTITUTE(Table14[[#This Row],[Wartość]],".",","))</f>
        <v>22038.32</v>
      </c>
      <c r="L23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1" s="2" t="str">
        <f>IF(Table14[[#This Row],[Umowa]]="","Poza umową","Z umowy")</f>
        <v>Z umowy</v>
      </c>
      <c r="N2331" s="2">
        <f>YEAR(Table14[[#This Row],[Data_Wystawienia]])</f>
        <v>2024</v>
      </c>
      <c r="O2331" s="2" t="str">
        <f>TEXT(Table14[[#This Row],[Data_Wystawienia]],"rrrr-mm")</f>
        <v>2024-05</v>
      </c>
      <c r="P2331" s="2">
        <v>1</v>
      </c>
    </row>
    <row r="2332" spans="1:16" x14ac:dyDescent="0.3">
      <c r="A2332" s="2" t="str">
        <f>TRIM(Table1[[#This Row],[Numer_FV]])</f>
        <v>FV/CENFA/894600/24</v>
      </c>
      <c r="B2332" s="2" t="str">
        <f>TRIM(Table1[[#This Row],[Numer_PZ]])</f>
        <v>PZ/802330</v>
      </c>
      <c r="C2332" s="2" t="str">
        <f>TRIM(Table1[[#This Row],[Dostawca]])</f>
        <v>CentrumFarm</v>
      </c>
      <c r="D2332" s="3">
        <v>45423</v>
      </c>
      <c r="E2332" s="4" t="s">
        <v>6889</v>
      </c>
      <c r="F2332" s="2" t="str">
        <f>TRIM(Table1[[#This Row],[Status]])</f>
        <v>Zaakceptowana</v>
      </c>
      <c r="G2332" s="2" t="str">
        <f>TRIM(Table1[[#This Row],[Typ]])</f>
        <v>Faktura VAT</v>
      </c>
      <c r="H2332" s="2" t="str">
        <f>TRIM(Table1[[#This Row],[Magazyn]])</f>
        <v>Apteka Szpitalna</v>
      </c>
      <c r="I2332" s="2" t="str">
        <f>TRIM(Table1[[#This Row],[Umowa]])</f>
        <v>UM-CEN-02</v>
      </c>
      <c r="J2332" s="2" t="b">
        <f>ISTEXT(Table14[[#This Row],[Data_Wystawienia]])</f>
        <v>0</v>
      </c>
      <c r="K2332" s="2">
        <f>VALUE(SUBSTITUTE(Table14[[#This Row],[Wartość]],".",","))</f>
        <v>15434.78</v>
      </c>
      <c r="L23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2" s="2" t="str">
        <f>IF(Table14[[#This Row],[Umowa]]="","Poza umową","Z umowy")</f>
        <v>Z umowy</v>
      </c>
      <c r="N2332" s="2">
        <f>YEAR(Table14[[#This Row],[Data_Wystawienia]])</f>
        <v>2024</v>
      </c>
      <c r="O2332" s="2" t="str">
        <f>TEXT(Table14[[#This Row],[Data_Wystawienia]],"rrrr-mm")</f>
        <v>2024-05</v>
      </c>
      <c r="P2332" s="2">
        <v>1</v>
      </c>
    </row>
    <row r="2333" spans="1:16" x14ac:dyDescent="0.3">
      <c r="A2333" s="2" t="str">
        <f>TRIM(Table1[[#This Row],[Numer_FV]])</f>
        <v>FV/M/1402/P/24</v>
      </c>
      <c r="B2333" s="2" t="str">
        <f>TRIM(Table1[[#This Row],[Numer_PZ]])</f>
        <v>PZ/802331</v>
      </c>
      <c r="C2333" s="2" t="str">
        <f>TRIM(Table1[[#This Row],[Dostawca]])</f>
        <v>MedicaPharm</v>
      </c>
      <c r="D2333" s="3">
        <v>45423</v>
      </c>
      <c r="E2333" s="4" t="s">
        <v>6892</v>
      </c>
      <c r="F2333" s="2" t="str">
        <f>TRIM(Table1[[#This Row],[Status]])</f>
        <v>Zaakceptowana</v>
      </c>
      <c r="G2333" s="2" t="str">
        <f>TRIM(Table1[[#This Row],[Typ]])</f>
        <v>Faktura VAT</v>
      </c>
      <c r="H2333" s="2" t="str">
        <f>TRIM(Table1[[#This Row],[Magazyn]])</f>
        <v>Apteka Szpitalna</v>
      </c>
      <c r="I2333" s="2" t="str">
        <f>TRIM(Table1[[#This Row],[Umowa]])</f>
        <v>UM-MED-02</v>
      </c>
      <c r="J2333" s="2" t="b">
        <f>ISTEXT(Table14[[#This Row],[Data_Wystawienia]])</f>
        <v>0</v>
      </c>
      <c r="K2333" s="2">
        <f>VALUE(SUBSTITUTE(Table14[[#This Row],[Wartość]],".",","))</f>
        <v>24111.14</v>
      </c>
      <c r="L23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3" s="2" t="str">
        <f>IF(Table14[[#This Row],[Umowa]]="","Poza umową","Z umowy")</f>
        <v>Z umowy</v>
      </c>
      <c r="N2333" s="2">
        <f>YEAR(Table14[[#This Row],[Data_Wystawienia]])</f>
        <v>2024</v>
      </c>
      <c r="O2333" s="2" t="str">
        <f>TEXT(Table14[[#This Row],[Data_Wystawienia]],"rrrr-mm")</f>
        <v>2024-05</v>
      </c>
      <c r="P2333" s="2">
        <v>1</v>
      </c>
    </row>
    <row r="2334" spans="1:16" x14ac:dyDescent="0.3">
      <c r="A2334" s="2" t="str">
        <f>TRIM(Table1[[#This Row],[Numer_FV]])</f>
        <v>FV/19/PP/5943/24</v>
      </c>
      <c r="B2334" s="2" t="str">
        <f>TRIM(Table1[[#This Row],[Numer_PZ]])</f>
        <v>PZ/802332</v>
      </c>
      <c r="C2334" s="2" t="str">
        <f>TRIM(Table1[[#This Row],[Dostawca]])</f>
        <v>PharmaPlus</v>
      </c>
      <c r="D2334" s="3">
        <v>45423</v>
      </c>
      <c r="E2334" s="4" t="s">
        <v>6895</v>
      </c>
      <c r="F2334" s="2" t="str">
        <f>TRIM(Table1[[#This Row],[Status]])</f>
        <v>Zaakceptowana</v>
      </c>
      <c r="G2334" s="2" t="str">
        <f>TRIM(Table1[[#This Row],[Typ]])</f>
        <v>Faktura VAT</v>
      </c>
      <c r="H2334" s="2" t="str">
        <f>TRIM(Table1[[#This Row],[Magazyn]])</f>
        <v>Apteka Szpitalna</v>
      </c>
      <c r="I2334" s="2" t="str">
        <f>TRIM(Table1[[#This Row],[Umowa]])</f>
        <v>UM-PHA-01</v>
      </c>
      <c r="J2334" s="2" t="b">
        <f>ISTEXT(Table14[[#This Row],[Data_Wystawienia]])</f>
        <v>0</v>
      </c>
      <c r="K2334" s="2">
        <f>VALUE(SUBSTITUTE(Table14[[#This Row],[Wartość]],".",","))</f>
        <v>21372.38</v>
      </c>
      <c r="L23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4" s="2" t="str">
        <f>IF(Table14[[#This Row],[Umowa]]="","Poza umową","Z umowy")</f>
        <v>Z umowy</v>
      </c>
      <c r="N2334" s="2">
        <f>YEAR(Table14[[#This Row],[Data_Wystawienia]])</f>
        <v>2024</v>
      </c>
      <c r="O2334" s="2" t="str">
        <f>TEXT(Table14[[#This Row],[Data_Wystawienia]],"rrrr-mm")</f>
        <v>2024-05</v>
      </c>
      <c r="P2334" s="2">
        <v>1</v>
      </c>
    </row>
    <row r="2335" spans="1:16" x14ac:dyDescent="0.3">
      <c r="A2335" s="2" t="str">
        <f>TRIM(Table1[[#This Row],[Numer_FV]])</f>
        <v>FV/76727/VDb/2024</v>
      </c>
      <c r="B2335" s="2" t="str">
        <f>TRIM(Table1[[#This Row],[Numer_PZ]])</f>
        <v>PZ/802333</v>
      </c>
      <c r="C2335" s="2" t="str">
        <f>TRIM(Table1[[#This Row],[Dostawca]])</f>
        <v>VitaDistrib</v>
      </c>
      <c r="D2335" s="3">
        <v>45424</v>
      </c>
      <c r="E2335" s="4" t="s">
        <v>6898</v>
      </c>
      <c r="F2335" s="2" t="str">
        <f>TRIM(Table1[[#This Row],[Status]])</f>
        <v>Zaakceptowana</v>
      </c>
      <c r="G2335" s="2" t="str">
        <f>TRIM(Table1[[#This Row],[Typ]])</f>
        <v>Faktura VAT</v>
      </c>
      <c r="H2335" s="2" t="str">
        <f>TRIM(Table1[[#This Row],[Magazyn]])</f>
        <v>Apteka Szpitalna</v>
      </c>
      <c r="I2335" s="2" t="str">
        <f>TRIM(Table1[[#This Row],[Umowa]])</f>
        <v>UM-VIT-01</v>
      </c>
      <c r="J2335" s="2" t="b">
        <f>ISTEXT(Table14[[#This Row],[Data_Wystawienia]])</f>
        <v>0</v>
      </c>
      <c r="K2335" s="2">
        <f>VALUE(SUBSTITUTE(Table14[[#This Row],[Wartość]],".",","))</f>
        <v>20362.419999999998</v>
      </c>
      <c r="L23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5" s="2" t="str">
        <f>IF(Table14[[#This Row],[Umowa]]="","Poza umową","Z umowy")</f>
        <v>Z umowy</v>
      </c>
      <c r="N2335" s="2">
        <f>YEAR(Table14[[#This Row],[Data_Wystawienia]])</f>
        <v>2024</v>
      </c>
      <c r="O2335" s="2" t="str">
        <f>TEXT(Table14[[#This Row],[Data_Wystawienia]],"rrrr-mm")</f>
        <v>2024-05</v>
      </c>
      <c r="P2335" s="2">
        <v>1</v>
      </c>
    </row>
    <row r="2336" spans="1:16" x14ac:dyDescent="0.3">
      <c r="A2336" s="2" t="str">
        <f>TRIM(Table1[[#This Row],[Numer_FV]])</f>
        <v>FV/4234HM/24</v>
      </c>
      <c r="B2336" s="2" t="str">
        <f>TRIM(Table1[[#This Row],[Numer_PZ]])</f>
        <v>PZ/802334</v>
      </c>
      <c r="C2336" s="2" t="str">
        <f>TRIM(Table1[[#This Row],[Dostawca]])</f>
        <v>HurtMedix</v>
      </c>
      <c r="D2336" s="3">
        <v>45424</v>
      </c>
      <c r="E2336" s="4" t="s">
        <v>6901</v>
      </c>
      <c r="F2336" s="2" t="str">
        <f>TRIM(Table1[[#This Row],[Status]])</f>
        <v>Zaakceptowana</v>
      </c>
      <c r="G2336" s="2" t="str">
        <f>TRIM(Table1[[#This Row],[Typ]])</f>
        <v>Korekta FV</v>
      </c>
      <c r="H2336" s="2" t="str">
        <f>TRIM(Table1[[#This Row],[Magazyn]])</f>
        <v>Apteka Szpitalna</v>
      </c>
      <c r="I2336" s="2" t="str">
        <f>TRIM(Table1[[#This Row],[Umowa]])</f>
        <v>UM-HUR-03</v>
      </c>
      <c r="J2336" s="2" t="b">
        <f>ISTEXT(Table14[[#This Row],[Data_Wystawienia]])</f>
        <v>0</v>
      </c>
      <c r="K2336" s="2">
        <f>VALUE(SUBSTITUTE(Table14[[#This Row],[Wartość]],".",","))</f>
        <v>-739.25</v>
      </c>
      <c r="L23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6" s="2" t="str">
        <f>IF(Table14[[#This Row],[Umowa]]="","Poza umową","Z umowy")</f>
        <v>Z umowy</v>
      </c>
      <c r="N2336" s="2">
        <f>YEAR(Table14[[#This Row],[Data_Wystawienia]])</f>
        <v>2024</v>
      </c>
      <c r="O2336" s="2" t="str">
        <f>TEXT(Table14[[#This Row],[Data_Wystawienia]],"rrrr-mm")</f>
        <v>2024-05</v>
      </c>
      <c r="P2336" s="2">
        <v>1</v>
      </c>
    </row>
    <row r="2337" spans="1:16" x14ac:dyDescent="0.3">
      <c r="A2337" s="2" t="str">
        <f>TRIM(Table1[[#This Row],[Numer_FV]])</f>
        <v>FV/CENFA/911432/24</v>
      </c>
      <c r="B2337" s="2" t="str">
        <f>TRIM(Table1[[#This Row],[Numer_PZ]])</f>
        <v>PZ/802335</v>
      </c>
      <c r="C2337" s="2" t="str">
        <f>TRIM(Table1[[#This Row],[Dostawca]])</f>
        <v>CentrumFarm</v>
      </c>
      <c r="D2337" s="3">
        <v>45424</v>
      </c>
      <c r="E2337" s="4" t="s">
        <v>6904</v>
      </c>
      <c r="F2337" s="2" t="str">
        <f>TRIM(Table1[[#This Row],[Status]])</f>
        <v>Zaakceptowana</v>
      </c>
      <c r="G2337" s="2" t="str">
        <f>TRIM(Table1[[#This Row],[Typ]])</f>
        <v>Korekta FV</v>
      </c>
      <c r="H2337" s="2" t="str">
        <f>TRIM(Table1[[#This Row],[Magazyn]])</f>
        <v>Apteka Szpitalna</v>
      </c>
      <c r="I2337" s="2" t="str">
        <f>TRIM(Table1[[#This Row],[Umowa]])</f>
        <v>UM-CEN-01</v>
      </c>
      <c r="J2337" s="2" t="b">
        <f>ISTEXT(Table14[[#This Row],[Data_Wystawienia]])</f>
        <v>0</v>
      </c>
      <c r="K2337" s="2">
        <f>VALUE(SUBSTITUTE(Table14[[#This Row],[Wartość]],".",","))</f>
        <v>-1250.81</v>
      </c>
      <c r="L23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7" s="2" t="str">
        <f>IF(Table14[[#This Row],[Umowa]]="","Poza umową","Z umowy")</f>
        <v>Z umowy</v>
      </c>
      <c r="N2337" s="2">
        <f>YEAR(Table14[[#This Row],[Data_Wystawienia]])</f>
        <v>2024</v>
      </c>
      <c r="O2337" s="2" t="str">
        <f>TEXT(Table14[[#This Row],[Data_Wystawienia]],"rrrr-mm")</f>
        <v>2024-05</v>
      </c>
      <c r="P2337" s="2">
        <v>1</v>
      </c>
    </row>
    <row r="2338" spans="1:16" x14ac:dyDescent="0.3">
      <c r="A2338" s="2" t="str">
        <f>TRIM(Table1[[#This Row],[Numer_FV]])</f>
        <v>FV/2482HM/24</v>
      </c>
      <c r="B2338" s="2" t="str">
        <f>TRIM(Table1[[#This Row],[Numer_PZ]])</f>
        <v>PZ/802336</v>
      </c>
      <c r="C2338" s="2" t="str">
        <f>TRIM(Table1[[#This Row],[Dostawca]])</f>
        <v>HurtMedix</v>
      </c>
      <c r="D2338" s="3">
        <v>45425</v>
      </c>
      <c r="E2338" s="4" t="s">
        <v>6907</v>
      </c>
      <c r="F2338" s="2" t="str">
        <f>TRIM(Table1[[#This Row],[Status]])</f>
        <v>Zaakceptowana</v>
      </c>
      <c r="G2338" s="2" t="str">
        <f>TRIM(Table1[[#This Row],[Typ]])</f>
        <v>Faktura VAT</v>
      </c>
      <c r="H2338" s="2" t="str">
        <f>TRIM(Table1[[#This Row],[Magazyn]])</f>
        <v>Apteka Szpitalna</v>
      </c>
      <c r="I2338" s="2" t="str">
        <f>TRIM(Table1[[#This Row],[Umowa]])</f>
        <v>UM-HUR-01</v>
      </c>
      <c r="J2338" s="2" t="b">
        <f>ISTEXT(Table14[[#This Row],[Data_Wystawienia]])</f>
        <v>0</v>
      </c>
      <c r="K2338" s="2">
        <f>VALUE(SUBSTITUTE(Table14[[#This Row],[Wartość]],".",","))</f>
        <v>10223.280000000001</v>
      </c>
      <c r="L23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8" s="2" t="str">
        <f>IF(Table14[[#This Row],[Umowa]]="","Poza umową","Z umowy")</f>
        <v>Z umowy</v>
      </c>
      <c r="N2338" s="2">
        <f>YEAR(Table14[[#This Row],[Data_Wystawienia]])</f>
        <v>2024</v>
      </c>
      <c r="O2338" s="2" t="str">
        <f>TEXT(Table14[[#This Row],[Data_Wystawienia]],"rrrr-mm")</f>
        <v>2024-05</v>
      </c>
      <c r="P2338" s="2">
        <v>1</v>
      </c>
    </row>
    <row r="2339" spans="1:16" x14ac:dyDescent="0.3">
      <c r="A2339" s="2" t="str">
        <f>TRIM(Table1[[#This Row],[Numer_FV]])</f>
        <v>FV/M/2941/P/24</v>
      </c>
      <c r="B2339" s="2" t="str">
        <f>TRIM(Table1[[#This Row],[Numer_PZ]])</f>
        <v>PZ/802337</v>
      </c>
      <c r="C2339" s="2" t="str">
        <f>TRIM(Table1[[#This Row],[Dostawca]])</f>
        <v>MedicaPharm</v>
      </c>
      <c r="D2339" s="3">
        <v>45425</v>
      </c>
      <c r="E2339" s="4" t="s">
        <v>6910</v>
      </c>
      <c r="F2339" s="2" t="str">
        <f>TRIM(Table1[[#This Row],[Status]])</f>
        <v>Zaakceptowana</v>
      </c>
      <c r="G2339" s="2" t="str">
        <f>TRIM(Table1[[#This Row],[Typ]])</f>
        <v>Faktura VAT</v>
      </c>
      <c r="H2339" s="2" t="str">
        <f>TRIM(Table1[[#This Row],[Magazyn]])</f>
        <v>Apteka Szpitalna</v>
      </c>
      <c r="I2339" s="2" t="str">
        <f>TRIM(Table1[[#This Row],[Umowa]])</f>
        <v>UM-MED-02</v>
      </c>
      <c r="J2339" s="2" t="b">
        <f>ISTEXT(Table14[[#This Row],[Data_Wystawienia]])</f>
        <v>0</v>
      </c>
      <c r="K2339" s="2">
        <f>VALUE(SUBSTITUTE(Table14[[#This Row],[Wartość]],".",","))</f>
        <v>16240.96</v>
      </c>
      <c r="L23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39" s="2" t="str">
        <f>IF(Table14[[#This Row],[Umowa]]="","Poza umową","Z umowy")</f>
        <v>Z umowy</v>
      </c>
      <c r="N2339" s="2">
        <f>YEAR(Table14[[#This Row],[Data_Wystawienia]])</f>
        <v>2024</v>
      </c>
      <c r="O2339" s="2" t="str">
        <f>TEXT(Table14[[#This Row],[Data_Wystawienia]],"rrrr-mm")</f>
        <v>2024-05</v>
      </c>
      <c r="P2339" s="2">
        <v>1</v>
      </c>
    </row>
    <row r="2340" spans="1:16" x14ac:dyDescent="0.3">
      <c r="A2340" s="2" t="str">
        <f>TRIM(Table1[[#This Row],[Numer_FV]])</f>
        <v>FV/POL/87402/2024</v>
      </c>
      <c r="B2340" s="2" t="str">
        <f>TRIM(Table1[[#This Row],[Numer_PZ]])</f>
        <v>PZ/802338</v>
      </c>
      <c r="C2340" s="2" t="str">
        <f>TRIM(Table1[[#This Row],[Dostawca]])</f>
        <v>Polmedica</v>
      </c>
      <c r="D2340" s="3">
        <v>45426</v>
      </c>
      <c r="E2340" s="4" t="s">
        <v>6913</v>
      </c>
      <c r="F2340" s="2" t="str">
        <f>TRIM(Table1[[#This Row],[Status]])</f>
        <v>Zaakceptowana</v>
      </c>
      <c r="G2340" s="2" t="str">
        <f>TRIM(Table1[[#This Row],[Typ]])</f>
        <v>Faktura VAT</v>
      </c>
      <c r="H2340" s="2" t="str">
        <f>TRIM(Table1[[#This Row],[Magazyn]])</f>
        <v>Apteka Szpitalna</v>
      </c>
      <c r="I2340" s="2" t="str">
        <f>TRIM(Table1[[#This Row],[Umowa]])</f>
        <v>UM-POL-02</v>
      </c>
      <c r="J2340" s="2" t="b">
        <f>ISTEXT(Table14[[#This Row],[Data_Wystawienia]])</f>
        <v>0</v>
      </c>
      <c r="K2340" s="2">
        <f>VALUE(SUBSTITUTE(Table14[[#This Row],[Wartość]],".",","))</f>
        <v>14093.68</v>
      </c>
      <c r="L23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0" s="2" t="str">
        <f>IF(Table14[[#This Row],[Umowa]]="","Poza umową","Z umowy")</f>
        <v>Z umowy</v>
      </c>
      <c r="N2340" s="2">
        <f>YEAR(Table14[[#This Row],[Data_Wystawienia]])</f>
        <v>2024</v>
      </c>
      <c r="O2340" s="2" t="str">
        <f>TEXT(Table14[[#This Row],[Data_Wystawienia]],"rrrr-mm")</f>
        <v>2024-05</v>
      </c>
      <c r="P2340" s="2">
        <v>1</v>
      </c>
    </row>
    <row r="2341" spans="1:16" x14ac:dyDescent="0.3">
      <c r="A2341" s="2" t="str">
        <f>TRIM(Table1[[#This Row],[Numer_FV]])</f>
        <v>FV/M/3414/P/24</v>
      </c>
      <c r="B2341" s="2" t="str">
        <f>TRIM(Table1[[#This Row],[Numer_PZ]])</f>
        <v>PZ/802339</v>
      </c>
      <c r="C2341" s="2" t="str">
        <f>TRIM(Table1[[#This Row],[Dostawca]])</f>
        <v>MedicaPharm</v>
      </c>
      <c r="D2341" s="3">
        <v>45427</v>
      </c>
      <c r="E2341" s="4" t="s">
        <v>6916</v>
      </c>
      <c r="F2341" s="2" t="str">
        <f>TRIM(Table1[[#This Row],[Status]])</f>
        <v>Zaakceptowana</v>
      </c>
      <c r="G2341" s="2" t="str">
        <f>TRIM(Table1[[#This Row],[Typ]])</f>
        <v>Faktura VAT</v>
      </c>
      <c r="H2341" s="2" t="str">
        <f>TRIM(Table1[[#This Row],[Magazyn]])</f>
        <v>Apteka Szpitalna</v>
      </c>
      <c r="I2341" s="2" t="str">
        <f>TRIM(Table1[[#This Row],[Umowa]])</f>
        <v>UM-MED-02</v>
      </c>
      <c r="J2341" s="2" t="b">
        <f>ISTEXT(Table14[[#This Row],[Data_Wystawienia]])</f>
        <v>0</v>
      </c>
      <c r="K2341" s="2">
        <f>VALUE(SUBSTITUTE(Table14[[#This Row],[Wartość]],".",","))</f>
        <v>16884.400000000001</v>
      </c>
      <c r="L23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1" s="2" t="str">
        <f>IF(Table14[[#This Row],[Umowa]]="","Poza umową","Z umowy")</f>
        <v>Z umowy</v>
      </c>
      <c r="N2341" s="2">
        <f>YEAR(Table14[[#This Row],[Data_Wystawienia]])</f>
        <v>2024</v>
      </c>
      <c r="O2341" s="2" t="str">
        <f>TEXT(Table14[[#This Row],[Data_Wystawienia]],"rrrr-mm")</f>
        <v>2024-05</v>
      </c>
      <c r="P2341" s="2">
        <v>1</v>
      </c>
    </row>
    <row r="2342" spans="1:16" x14ac:dyDescent="0.3">
      <c r="A2342" s="2" t="str">
        <f>TRIM(Table1[[#This Row],[Numer_FV]])</f>
        <v>FV/55/SAL/24</v>
      </c>
      <c r="B2342" s="2" t="str">
        <f>TRIM(Table1[[#This Row],[Numer_PZ]])</f>
        <v>PZ/802340</v>
      </c>
      <c r="C2342" s="2" t="str">
        <f>TRIM(Table1[[#This Row],[Dostawca]])</f>
        <v>SalusHurt</v>
      </c>
      <c r="D2342" s="3">
        <v>45427</v>
      </c>
      <c r="E2342" s="4" t="s">
        <v>6919</v>
      </c>
      <c r="F2342" s="2" t="str">
        <f>TRIM(Table1[[#This Row],[Status]])</f>
        <v>Zaakceptowana</v>
      </c>
      <c r="G2342" s="2" t="str">
        <f>TRIM(Table1[[#This Row],[Typ]])</f>
        <v>Faktura VAT</v>
      </c>
      <c r="H2342" s="2" t="str">
        <f>TRIM(Table1[[#This Row],[Magazyn]])</f>
        <v>Apteka Szpitalna</v>
      </c>
      <c r="I2342" s="2" t="str">
        <f>TRIM(Table1[[#This Row],[Umowa]])</f>
        <v>UM-SAL-01</v>
      </c>
      <c r="J2342" s="2" t="b">
        <f>ISTEXT(Table14[[#This Row],[Data_Wystawienia]])</f>
        <v>0</v>
      </c>
      <c r="K2342" s="2">
        <f>VALUE(SUBSTITUTE(Table14[[#This Row],[Wartość]],".",","))</f>
        <v>22519.5</v>
      </c>
      <c r="L23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2" s="2" t="str">
        <f>IF(Table14[[#This Row],[Umowa]]="","Poza umową","Z umowy")</f>
        <v>Z umowy</v>
      </c>
      <c r="N2342" s="2">
        <f>YEAR(Table14[[#This Row],[Data_Wystawienia]])</f>
        <v>2024</v>
      </c>
      <c r="O2342" s="2" t="str">
        <f>TEXT(Table14[[#This Row],[Data_Wystawienia]],"rrrr-mm")</f>
        <v>2024-05</v>
      </c>
      <c r="P2342" s="2">
        <v>1</v>
      </c>
    </row>
    <row r="2343" spans="1:16" x14ac:dyDescent="0.3">
      <c r="A2343" s="2" t="str">
        <f>TRIM(Table1[[#This Row],[Numer_FV]])</f>
        <v>FV/CENFA/123533/24</v>
      </c>
      <c r="B2343" s="2" t="str">
        <f>TRIM(Table1[[#This Row],[Numer_PZ]])</f>
        <v>PZ/802341</v>
      </c>
      <c r="C2343" s="2" t="str">
        <f>TRIM(Table1[[#This Row],[Dostawca]])</f>
        <v>CentrumFarm</v>
      </c>
      <c r="D2343" s="3">
        <v>45427</v>
      </c>
      <c r="E2343" s="4" t="s">
        <v>6922</v>
      </c>
      <c r="F2343" s="2" t="str">
        <f>TRIM(Table1[[#This Row],[Status]])</f>
        <v>Zaakceptowana</v>
      </c>
      <c r="G2343" s="2" t="str">
        <f>TRIM(Table1[[#This Row],[Typ]])</f>
        <v>Faktura VAT</v>
      </c>
      <c r="H2343" s="2" t="str">
        <f>TRIM(Table1[[#This Row],[Magazyn]])</f>
        <v>Apteka Szpitalna</v>
      </c>
      <c r="I2343" s="2" t="str">
        <f>TRIM(Table1[[#This Row],[Umowa]])</f>
        <v/>
      </c>
      <c r="J2343" s="2" t="b">
        <f>ISTEXT(Table14[[#This Row],[Data_Wystawienia]])</f>
        <v>0</v>
      </c>
      <c r="K2343" s="2">
        <f>VALUE(SUBSTITUTE(Table14[[#This Row],[Wartość]],".",","))</f>
        <v>4576.92</v>
      </c>
      <c r="L23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3" s="2" t="str">
        <f>IF(Table14[[#This Row],[Umowa]]="","Poza umową","Z umowy")</f>
        <v>Poza umową</v>
      </c>
      <c r="N2343" s="2">
        <f>YEAR(Table14[[#This Row],[Data_Wystawienia]])</f>
        <v>2024</v>
      </c>
      <c r="O2343" s="2" t="str">
        <f>TEXT(Table14[[#This Row],[Data_Wystawienia]],"rrrr-mm")</f>
        <v>2024-05</v>
      </c>
      <c r="P2343" s="2">
        <v>1</v>
      </c>
    </row>
    <row r="2344" spans="1:16" x14ac:dyDescent="0.3">
      <c r="A2344" s="2" t="str">
        <f>TRIM(Table1[[#This Row],[Numer_FV]])</f>
        <v>FV/9840/NOVA/24</v>
      </c>
      <c r="B2344" s="2" t="str">
        <f>TRIM(Table1[[#This Row],[Numer_PZ]])</f>
        <v>PZ/802342</v>
      </c>
      <c r="C2344" s="2" t="str">
        <f>TRIM(Table1[[#This Row],[Dostawca]])</f>
        <v>NovaLek</v>
      </c>
      <c r="D2344" s="3">
        <v>45427</v>
      </c>
      <c r="E2344" s="4" t="s">
        <v>6925</v>
      </c>
      <c r="F2344" s="2" t="str">
        <f>TRIM(Table1[[#This Row],[Status]])</f>
        <v>Zaakceptowana</v>
      </c>
      <c r="G2344" s="2" t="str">
        <f>TRIM(Table1[[#This Row],[Typ]])</f>
        <v>Faktura VAT</v>
      </c>
      <c r="H2344" s="2" t="str">
        <f>TRIM(Table1[[#This Row],[Magazyn]])</f>
        <v>Apteka Szpitalna</v>
      </c>
      <c r="I2344" s="2" t="str">
        <f>TRIM(Table1[[#This Row],[Umowa]])</f>
        <v>UM-NOV-02</v>
      </c>
      <c r="J2344" s="2" t="b">
        <f>ISTEXT(Table14[[#This Row],[Data_Wystawienia]])</f>
        <v>0</v>
      </c>
      <c r="K2344" s="2">
        <f>VALUE(SUBSTITUTE(Table14[[#This Row],[Wartość]],".",","))</f>
        <v>23694.65</v>
      </c>
      <c r="L23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4" s="2" t="str">
        <f>IF(Table14[[#This Row],[Umowa]]="","Poza umową","Z umowy")</f>
        <v>Z umowy</v>
      </c>
      <c r="N2344" s="2">
        <f>YEAR(Table14[[#This Row],[Data_Wystawienia]])</f>
        <v>2024</v>
      </c>
      <c r="O2344" s="2" t="str">
        <f>TEXT(Table14[[#This Row],[Data_Wystawienia]],"rrrr-mm")</f>
        <v>2024-05</v>
      </c>
      <c r="P2344" s="2">
        <v>1</v>
      </c>
    </row>
    <row r="2345" spans="1:16" x14ac:dyDescent="0.3">
      <c r="A2345" s="2" t="str">
        <f>TRIM(Table1[[#This Row],[Numer_FV]])</f>
        <v>FV/2607HM/24</v>
      </c>
      <c r="B2345" s="2" t="str">
        <f>TRIM(Table1[[#This Row],[Numer_PZ]])</f>
        <v>PZ/802343</v>
      </c>
      <c r="C2345" s="2" t="str">
        <f>TRIM(Table1[[#This Row],[Dostawca]])</f>
        <v>HurtMedix</v>
      </c>
      <c r="D2345" s="3">
        <v>45427</v>
      </c>
      <c r="E2345" s="4" t="s">
        <v>6928</v>
      </c>
      <c r="F2345" s="2" t="str">
        <f>TRIM(Table1[[#This Row],[Status]])</f>
        <v>Zaakceptowana</v>
      </c>
      <c r="G2345" s="2" t="str">
        <f>TRIM(Table1[[#This Row],[Typ]])</f>
        <v>Faktura VAT</v>
      </c>
      <c r="H2345" s="2" t="str">
        <f>TRIM(Table1[[#This Row],[Magazyn]])</f>
        <v>Apteka Szpitalna</v>
      </c>
      <c r="I2345" s="2" t="str">
        <f>TRIM(Table1[[#This Row],[Umowa]])</f>
        <v>UM-HUR-01</v>
      </c>
      <c r="J2345" s="2" t="b">
        <f>ISTEXT(Table14[[#This Row],[Data_Wystawienia]])</f>
        <v>0</v>
      </c>
      <c r="K2345" s="2">
        <f>VALUE(SUBSTITUTE(Table14[[#This Row],[Wartość]],".",","))</f>
        <v>19814.28</v>
      </c>
      <c r="L23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5" s="2" t="str">
        <f>IF(Table14[[#This Row],[Umowa]]="","Poza umową","Z umowy")</f>
        <v>Z umowy</v>
      </c>
      <c r="N2345" s="2">
        <f>YEAR(Table14[[#This Row],[Data_Wystawienia]])</f>
        <v>2024</v>
      </c>
      <c r="O2345" s="2" t="str">
        <f>TEXT(Table14[[#This Row],[Data_Wystawienia]],"rrrr-mm")</f>
        <v>2024-05</v>
      </c>
      <c r="P2345" s="2">
        <v>1</v>
      </c>
    </row>
    <row r="2346" spans="1:16" x14ac:dyDescent="0.3">
      <c r="A2346" s="2" t="str">
        <f>TRIM(Table1[[#This Row],[Numer_FV]])</f>
        <v>FV/20391/VDb/2024</v>
      </c>
      <c r="B2346" s="2" t="str">
        <f>TRIM(Table1[[#This Row],[Numer_PZ]])</f>
        <v>PZ/802344</v>
      </c>
      <c r="C2346" s="2" t="str">
        <f>TRIM(Table1[[#This Row],[Dostawca]])</f>
        <v>VitaDistrib</v>
      </c>
      <c r="D2346" s="3">
        <v>45428</v>
      </c>
      <c r="E2346" s="4" t="s">
        <v>6931</v>
      </c>
      <c r="F2346" s="2" t="str">
        <f>TRIM(Table1[[#This Row],[Status]])</f>
        <v>Zaakceptowana</v>
      </c>
      <c r="G2346" s="2" t="str">
        <f>TRIM(Table1[[#This Row],[Typ]])</f>
        <v>Faktura VAT</v>
      </c>
      <c r="H2346" s="2" t="str">
        <f>TRIM(Table1[[#This Row],[Magazyn]])</f>
        <v>Apteka Szpitalna</v>
      </c>
      <c r="I2346" s="2" t="str">
        <f>TRIM(Table1[[#This Row],[Umowa]])</f>
        <v>UM-VIT-01</v>
      </c>
      <c r="J2346" s="2" t="b">
        <f>ISTEXT(Table14[[#This Row],[Data_Wystawienia]])</f>
        <v>0</v>
      </c>
      <c r="K2346" s="2">
        <f>VALUE(SUBSTITUTE(Table14[[#This Row],[Wartość]],".",","))</f>
        <v>21360.05</v>
      </c>
      <c r="L23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6" s="2" t="str">
        <f>IF(Table14[[#This Row],[Umowa]]="","Poza umową","Z umowy")</f>
        <v>Z umowy</v>
      </c>
      <c r="N2346" s="2">
        <f>YEAR(Table14[[#This Row],[Data_Wystawienia]])</f>
        <v>2024</v>
      </c>
      <c r="O2346" s="2" t="str">
        <f>TEXT(Table14[[#This Row],[Data_Wystawienia]],"rrrr-mm")</f>
        <v>2024-05</v>
      </c>
      <c r="P2346" s="2">
        <v>1</v>
      </c>
    </row>
    <row r="2347" spans="1:16" x14ac:dyDescent="0.3">
      <c r="A2347" s="2" t="str">
        <f>TRIM(Table1[[#This Row],[Numer_FV]])</f>
        <v>FV/63131/VDb/2024</v>
      </c>
      <c r="B2347" s="2" t="str">
        <f>TRIM(Table1[[#This Row],[Numer_PZ]])</f>
        <v>PZ/802345</v>
      </c>
      <c r="C2347" s="2" t="str">
        <f>TRIM(Table1[[#This Row],[Dostawca]])</f>
        <v>VitaDistrib</v>
      </c>
      <c r="D2347" s="3">
        <v>45428</v>
      </c>
      <c r="E2347" s="4" t="s">
        <v>6934</v>
      </c>
      <c r="F2347" s="2" t="str">
        <f>TRIM(Table1[[#This Row],[Status]])</f>
        <v>Zaakceptowana</v>
      </c>
      <c r="G2347" s="2" t="str">
        <f>TRIM(Table1[[#This Row],[Typ]])</f>
        <v>Faktura VAT</v>
      </c>
      <c r="H2347" s="2" t="str">
        <f>TRIM(Table1[[#This Row],[Magazyn]])</f>
        <v>Apteka Szpitalna</v>
      </c>
      <c r="I2347" s="2" t="str">
        <f>TRIM(Table1[[#This Row],[Umowa]])</f>
        <v>UM-VIT-01</v>
      </c>
      <c r="J2347" s="2" t="b">
        <f>ISTEXT(Table14[[#This Row],[Data_Wystawienia]])</f>
        <v>0</v>
      </c>
      <c r="K2347" s="2">
        <f>VALUE(SUBSTITUTE(Table14[[#This Row],[Wartość]],".",","))</f>
        <v>8534.6</v>
      </c>
      <c r="L23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7" s="2" t="str">
        <f>IF(Table14[[#This Row],[Umowa]]="","Poza umową","Z umowy")</f>
        <v>Z umowy</v>
      </c>
      <c r="N2347" s="2">
        <f>YEAR(Table14[[#This Row],[Data_Wystawienia]])</f>
        <v>2024</v>
      </c>
      <c r="O2347" s="2" t="str">
        <f>TEXT(Table14[[#This Row],[Data_Wystawienia]],"rrrr-mm")</f>
        <v>2024-05</v>
      </c>
      <c r="P2347" s="2">
        <v>1</v>
      </c>
    </row>
    <row r="2348" spans="1:16" x14ac:dyDescent="0.3">
      <c r="A2348" s="2" t="str">
        <f>TRIM(Table1[[#This Row],[Numer_FV]])</f>
        <v>FV/67905/VDb/2024</v>
      </c>
      <c r="B2348" s="2" t="str">
        <f>TRIM(Table1[[#This Row],[Numer_PZ]])</f>
        <v>PZ/802346</v>
      </c>
      <c r="C2348" s="2" t="str">
        <f>TRIM(Table1[[#This Row],[Dostawca]])</f>
        <v>VitaDistrib</v>
      </c>
      <c r="D2348" s="3">
        <v>45428</v>
      </c>
      <c r="E2348" s="4" t="s">
        <v>6937</v>
      </c>
      <c r="F2348" s="2" t="str">
        <f>TRIM(Table1[[#This Row],[Status]])</f>
        <v>Zaakceptowana</v>
      </c>
      <c r="G2348" s="2" t="str">
        <f>TRIM(Table1[[#This Row],[Typ]])</f>
        <v>Faktura VAT</v>
      </c>
      <c r="H2348" s="2" t="str">
        <f>TRIM(Table1[[#This Row],[Magazyn]])</f>
        <v>Apteka Szpitalna</v>
      </c>
      <c r="I2348" s="2" t="str">
        <f>TRIM(Table1[[#This Row],[Umowa]])</f>
        <v>UM-VIT-01</v>
      </c>
      <c r="J2348" s="2" t="b">
        <f>ISTEXT(Table14[[#This Row],[Data_Wystawienia]])</f>
        <v>0</v>
      </c>
      <c r="K2348" s="2">
        <f>VALUE(SUBSTITUTE(Table14[[#This Row],[Wartość]],".",","))</f>
        <v>16742.95</v>
      </c>
      <c r="L23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8" s="2" t="str">
        <f>IF(Table14[[#This Row],[Umowa]]="","Poza umową","Z umowy")</f>
        <v>Z umowy</v>
      </c>
      <c r="N2348" s="2">
        <f>YEAR(Table14[[#This Row],[Data_Wystawienia]])</f>
        <v>2024</v>
      </c>
      <c r="O2348" s="2" t="str">
        <f>TEXT(Table14[[#This Row],[Data_Wystawienia]],"rrrr-mm")</f>
        <v>2024-05</v>
      </c>
      <c r="P2348" s="2">
        <v>1</v>
      </c>
    </row>
    <row r="2349" spans="1:16" x14ac:dyDescent="0.3">
      <c r="A2349" s="2" t="str">
        <f>TRIM(Table1[[#This Row],[Numer_FV]])</f>
        <v>FV/POL/22378/2024</v>
      </c>
      <c r="B2349" s="2" t="str">
        <f>TRIM(Table1[[#This Row],[Numer_PZ]])</f>
        <v>PZ/802347</v>
      </c>
      <c r="C2349" s="2" t="str">
        <f>TRIM(Table1[[#This Row],[Dostawca]])</f>
        <v>Polmedica</v>
      </c>
      <c r="D2349" s="3">
        <v>45428</v>
      </c>
      <c r="E2349" s="4" t="s">
        <v>6940</v>
      </c>
      <c r="F2349" s="2" t="str">
        <f>TRIM(Table1[[#This Row],[Status]])</f>
        <v>Zaakceptowana</v>
      </c>
      <c r="G2349" s="2" t="str">
        <f>TRIM(Table1[[#This Row],[Typ]])</f>
        <v>Korekta FV</v>
      </c>
      <c r="H2349" s="2" t="str">
        <f>TRIM(Table1[[#This Row],[Magazyn]])</f>
        <v>Apteka Szpitalna</v>
      </c>
      <c r="I2349" s="2" t="str">
        <f>TRIM(Table1[[#This Row],[Umowa]])</f>
        <v>UM-POL-01</v>
      </c>
      <c r="J2349" s="2" t="b">
        <f>ISTEXT(Table14[[#This Row],[Data_Wystawienia]])</f>
        <v>0</v>
      </c>
      <c r="K2349" s="2">
        <f>VALUE(SUBSTITUTE(Table14[[#This Row],[Wartość]],".",","))</f>
        <v>-1178.5999999999999</v>
      </c>
      <c r="L23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49" s="2" t="str">
        <f>IF(Table14[[#This Row],[Umowa]]="","Poza umową","Z umowy")</f>
        <v>Z umowy</v>
      </c>
      <c r="N2349" s="2">
        <f>YEAR(Table14[[#This Row],[Data_Wystawienia]])</f>
        <v>2024</v>
      </c>
      <c r="O2349" s="2" t="str">
        <f>TEXT(Table14[[#This Row],[Data_Wystawienia]],"rrrr-mm")</f>
        <v>2024-05</v>
      </c>
      <c r="P2349" s="2">
        <v>1</v>
      </c>
    </row>
    <row r="2350" spans="1:16" x14ac:dyDescent="0.3">
      <c r="A2350" s="2" t="str">
        <f>TRIM(Table1[[#This Row],[Numer_FV]])</f>
        <v>FV/M/9586/P/24</v>
      </c>
      <c r="B2350" s="2" t="str">
        <f>TRIM(Table1[[#This Row],[Numer_PZ]])</f>
        <v>PZ/802348</v>
      </c>
      <c r="C2350" s="2" t="str">
        <f>TRIM(Table1[[#This Row],[Dostawca]])</f>
        <v>MedicaPharm</v>
      </c>
      <c r="D2350" s="3">
        <v>45428</v>
      </c>
      <c r="E2350" s="4" t="s">
        <v>6943</v>
      </c>
      <c r="F2350" s="2" t="str">
        <f>TRIM(Table1[[#This Row],[Status]])</f>
        <v>Zaakceptowana</v>
      </c>
      <c r="G2350" s="2" t="str">
        <f>TRIM(Table1[[#This Row],[Typ]])</f>
        <v>Faktura VAT</v>
      </c>
      <c r="H2350" s="2" t="str">
        <f>TRIM(Table1[[#This Row],[Magazyn]])</f>
        <v>Apteka Szpitalna</v>
      </c>
      <c r="I2350" s="2" t="str">
        <f>TRIM(Table1[[#This Row],[Umowa]])</f>
        <v>UM-MED-02</v>
      </c>
      <c r="J2350" s="2" t="b">
        <f>ISTEXT(Table14[[#This Row],[Data_Wystawienia]])</f>
        <v>0</v>
      </c>
      <c r="K2350" s="2">
        <f>VALUE(SUBSTITUTE(Table14[[#This Row],[Wartość]],".",","))</f>
        <v>11821</v>
      </c>
      <c r="L23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0" s="2" t="str">
        <f>IF(Table14[[#This Row],[Umowa]]="","Poza umową","Z umowy")</f>
        <v>Z umowy</v>
      </c>
      <c r="N2350" s="2">
        <f>YEAR(Table14[[#This Row],[Data_Wystawienia]])</f>
        <v>2024</v>
      </c>
      <c r="O2350" s="2" t="str">
        <f>TEXT(Table14[[#This Row],[Data_Wystawienia]],"rrrr-mm")</f>
        <v>2024-05</v>
      </c>
      <c r="P2350" s="2">
        <v>1</v>
      </c>
    </row>
    <row r="2351" spans="1:16" x14ac:dyDescent="0.3">
      <c r="A2351" s="2" t="str">
        <f>TRIM(Table1[[#This Row],[Numer_FV]])</f>
        <v>FV/86571/VDb/2024</v>
      </c>
      <c r="B2351" s="2" t="str">
        <f>TRIM(Table1[[#This Row],[Numer_PZ]])</f>
        <v>PZ/802349</v>
      </c>
      <c r="C2351" s="2" t="str">
        <f>TRIM(Table1[[#This Row],[Dostawca]])</f>
        <v>VitaDistrib</v>
      </c>
      <c r="D2351" s="3">
        <v>45429</v>
      </c>
      <c r="E2351" s="4" t="s">
        <v>6946</v>
      </c>
      <c r="F2351" s="2" t="str">
        <f>TRIM(Table1[[#This Row],[Status]])</f>
        <v>Zaakceptowana</v>
      </c>
      <c r="G2351" s="2" t="str">
        <f>TRIM(Table1[[#This Row],[Typ]])</f>
        <v>Faktura VAT</v>
      </c>
      <c r="H2351" s="2" t="str">
        <f>TRIM(Table1[[#This Row],[Magazyn]])</f>
        <v>Apteka Szpitalna</v>
      </c>
      <c r="I2351" s="2" t="str">
        <f>TRIM(Table1[[#This Row],[Umowa]])</f>
        <v>UM-VIT-01</v>
      </c>
      <c r="J2351" s="2" t="b">
        <f>ISTEXT(Table14[[#This Row],[Data_Wystawienia]])</f>
        <v>0</v>
      </c>
      <c r="K2351" s="2">
        <f>VALUE(SUBSTITUTE(Table14[[#This Row],[Wartość]],".",","))</f>
        <v>19256.11</v>
      </c>
      <c r="L23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1" s="2" t="str">
        <f>IF(Table14[[#This Row],[Umowa]]="","Poza umową","Z umowy")</f>
        <v>Z umowy</v>
      </c>
      <c r="N2351" s="2">
        <f>YEAR(Table14[[#This Row],[Data_Wystawienia]])</f>
        <v>2024</v>
      </c>
      <c r="O2351" s="2" t="str">
        <f>TEXT(Table14[[#This Row],[Data_Wystawienia]],"rrrr-mm")</f>
        <v>2024-05</v>
      </c>
      <c r="P2351" s="2">
        <v>1</v>
      </c>
    </row>
    <row r="2352" spans="1:16" x14ac:dyDescent="0.3">
      <c r="A2352" s="2" t="str">
        <f>TRIM(Table1[[#This Row],[Numer_FV]])</f>
        <v>FV/M/6132/P/24</v>
      </c>
      <c r="B2352" s="2" t="str">
        <f>TRIM(Table1[[#This Row],[Numer_PZ]])</f>
        <v>PZ/802350</v>
      </c>
      <c r="C2352" s="2" t="str">
        <f>TRIM(Table1[[#This Row],[Dostawca]])</f>
        <v>MedicaPharm</v>
      </c>
      <c r="D2352" s="3">
        <v>45429</v>
      </c>
      <c r="E2352" s="4" t="s">
        <v>6949</v>
      </c>
      <c r="F2352" s="2" t="str">
        <f>TRIM(Table1[[#This Row],[Status]])</f>
        <v>Zaakceptowana</v>
      </c>
      <c r="G2352" s="2" t="str">
        <f>TRIM(Table1[[#This Row],[Typ]])</f>
        <v>Faktura VAT</v>
      </c>
      <c r="H2352" s="2" t="str">
        <f>TRIM(Table1[[#This Row],[Magazyn]])</f>
        <v>Apteka Szpitalna</v>
      </c>
      <c r="I2352" s="2" t="str">
        <f>TRIM(Table1[[#This Row],[Umowa]])</f>
        <v>UM-MED-02</v>
      </c>
      <c r="J2352" s="2" t="b">
        <f>ISTEXT(Table14[[#This Row],[Data_Wystawienia]])</f>
        <v>0</v>
      </c>
      <c r="K2352" s="2">
        <f>VALUE(SUBSTITUTE(Table14[[#This Row],[Wartość]],".",","))</f>
        <v>27303.26</v>
      </c>
      <c r="L23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2" s="2" t="str">
        <f>IF(Table14[[#This Row],[Umowa]]="","Poza umową","Z umowy")</f>
        <v>Z umowy</v>
      </c>
      <c r="N2352" s="2">
        <f>YEAR(Table14[[#This Row],[Data_Wystawienia]])</f>
        <v>2024</v>
      </c>
      <c r="O2352" s="2" t="str">
        <f>TEXT(Table14[[#This Row],[Data_Wystawienia]],"rrrr-mm")</f>
        <v>2024-05</v>
      </c>
      <c r="P2352" s="2">
        <v>1</v>
      </c>
    </row>
    <row r="2353" spans="1:16" x14ac:dyDescent="0.3">
      <c r="A2353" s="2" t="str">
        <f>TRIM(Table1[[#This Row],[Numer_FV]])</f>
        <v>FV/4188/NOVA/24</v>
      </c>
      <c r="B2353" s="2" t="str">
        <f>TRIM(Table1[[#This Row],[Numer_PZ]])</f>
        <v>PZ/802351</v>
      </c>
      <c r="C2353" s="2" t="str">
        <f>TRIM(Table1[[#This Row],[Dostawca]])</f>
        <v>NovaLek</v>
      </c>
      <c r="D2353" s="3">
        <v>45429</v>
      </c>
      <c r="E2353" s="4" t="s">
        <v>6952</v>
      </c>
      <c r="F2353" s="2" t="str">
        <f>TRIM(Table1[[#This Row],[Status]])</f>
        <v>Zaakceptowana</v>
      </c>
      <c r="G2353" s="2" t="str">
        <f>TRIM(Table1[[#This Row],[Typ]])</f>
        <v>Faktura VAT</v>
      </c>
      <c r="H2353" s="2" t="str">
        <f>TRIM(Table1[[#This Row],[Magazyn]])</f>
        <v>Apteka Szpitalna</v>
      </c>
      <c r="I2353" s="2" t="str">
        <f>TRIM(Table1[[#This Row],[Umowa]])</f>
        <v>UM-NOV-03</v>
      </c>
      <c r="J2353" s="2" t="b">
        <f>ISTEXT(Table14[[#This Row],[Data_Wystawienia]])</f>
        <v>0</v>
      </c>
      <c r="K2353" s="2">
        <f>VALUE(SUBSTITUTE(Table14[[#This Row],[Wartość]],".",","))</f>
        <v>23700.14</v>
      </c>
      <c r="L23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3" s="2" t="str">
        <f>IF(Table14[[#This Row],[Umowa]]="","Poza umową","Z umowy")</f>
        <v>Z umowy</v>
      </c>
      <c r="N2353" s="2">
        <f>YEAR(Table14[[#This Row],[Data_Wystawienia]])</f>
        <v>2024</v>
      </c>
      <c r="O2353" s="2" t="str">
        <f>TEXT(Table14[[#This Row],[Data_Wystawienia]],"rrrr-mm")</f>
        <v>2024-05</v>
      </c>
      <c r="P2353" s="2">
        <v>1</v>
      </c>
    </row>
    <row r="2354" spans="1:16" x14ac:dyDescent="0.3">
      <c r="A2354" s="2" t="str">
        <f>TRIM(Table1[[#This Row],[Numer_FV]])</f>
        <v>FV/24/SAL/24</v>
      </c>
      <c r="B2354" s="2" t="str">
        <f>TRIM(Table1[[#This Row],[Numer_PZ]])</f>
        <v>PZ/802352</v>
      </c>
      <c r="C2354" s="2" t="str">
        <f>TRIM(Table1[[#This Row],[Dostawca]])</f>
        <v>SalusHurt</v>
      </c>
      <c r="D2354" s="3">
        <v>45429</v>
      </c>
      <c r="E2354" s="4" t="s">
        <v>6955</v>
      </c>
      <c r="F2354" s="2" t="str">
        <f>TRIM(Table1[[#This Row],[Status]])</f>
        <v>Zaakceptowana</v>
      </c>
      <c r="G2354" s="2" t="str">
        <f>TRIM(Table1[[#This Row],[Typ]])</f>
        <v>Faktura VAT</v>
      </c>
      <c r="H2354" s="2" t="str">
        <f>TRIM(Table1[[#This Row],[Magazyn]])</f>
        <v>Apteka Szpitalna</v>
      </c>
      <c r="I2354" s="2" t="str">
        <f>TRIM(Table1[[#This Row],[Umowa]])</f>
        <v>UM-SAL-01</v>
      </c>
      <c r="J2354" s="2" t="b">
        <f>ISTEXT(Table14[[#This Row],[Data_Wystawienia]])</f>
        <v>0</v>
      </c>
      <c r="K2354" s="2">
        <f>VALUE(SUBSTITUTE(Table14[[#This Row],[Wartość]],".",","))</f>
        <v>17953.29</v>
      </c>
      <c r="L23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4" s="2" t="str">
        <f>IF(Table14[[#This Row],[Umowa]]="","Poza umową","Z umowy")</f>
        <v>Z umowy</v>
      </c>
      <c r="N2354" s="2">
        <f>YEAR(Table14[[#This Row],[Data_Wystawienia]])</f>
        <v>2024</v>
      </c>
      <c r="O2354" s="2" t="str">
        <f>TEXT(Table14[[#This Row],[Data_Wystawienia]],"rrrr-mm")</f>
        <v>2024-05</v>
      </c>
      <c r="P2354" s="2">
        <v>1</v>
      </c>
    </row>
    <row r="2355" spans="1:16" x14ac:dyDescent="0.3">
      <c r="A2355" s="2" t="str">
        <f>TRIM(Table1[[#This Row],[Numer_FV]])</f>
        <v>FV/46/PP/9752/24</v>
      </c>
      <c r="B2355" s="2" t="str">
        <f>TRIM(Table1[[#This Row],[Numer_PZ]])</f>
        <v>PZ/802353</v>
      </c>
      <c r="C2355" s="2" t="str">
        <f>TRIM(Table1[[#This Row],[Dostawca]])</f>
        <v>PharmaPlus</v>
      </c>
      <c r="D2355" s="3">
        <v>45430</v>
      </c>
      <c r="E2355" s="4" t="s">
        <v>6958</v>
      </c>
      <c r="F2355" s="2" t="str">
        <f>TRIM(Table1[[#This Row],[Status]])</f>
        <v>Zaakceptowana</v>
      </c>
      <c r="G2355" s="2" t="str">
        <f>TRIM(Table1[[#This Row],[Typ]])</f>
        <v>Faktura VAT</v>
      </c>
      <c r="H2355" s="2" t="str">
        <f>TRIM(Table1[[#This Row],[Magazyn]])</f>
        <v>Apteka Szpitalna</v>
      </c>
      <c r="I2355" s="2" t="str">
        <f>TRIM(Table1[[#This Row],[Umowa]])</f>
        <v>UM-PHA-01</v>
      </c>
      <c r="J2355" s="2" t="b">
        <f>ISTEXT(Table14[[#This Row],[Data_Wystawienia]])</f>
        <v>0</v>
      </c>
      <c r="K2355" s="2">
        <f>VALUE(SUBSTITUTE(Table14[[#This Row],[Wartość]],".",","))</f>
        <v>8250.89</v>
      </c>
      <c r="L23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5" s="2" t="str">
        <f>IF(Table14[[#This Row],[Umowa]]="","Poza umową","Z umowy")</f>
        <v>Z umowy</v>
      </c>
      <c r="N2355" s="2">
        <f>YEAR(Table14[[#This Row],[Data_Wystawienia]])</f>
        <v>2024</v>
      </c>
      <c r="O2355" s="2" t="str">
        <f>TEXT(Table14[[#This Row],[Data_Wystawienia]],"rrrr-mm")</f>
        <v>2024-05</v>
      </c>
      <c r="P2355" s="2">
        <v>1</v>
      </c>
    </row>
    <row r="2356" spans="1:16" x14ac:dyDescent="0.3">
      <c r="A2356" s="2" t="str">
        <f>TRIM(Table1[[#This Row],[Numer_FV]])</f>
        <v>FV/44302/VDb/2024</v>
      </c>
      <c r="B2356" s="2" t="str">
        <f>TRIM(Table1[[#This Row],[Numer_PZ]])</f>
        <v>PZ/802354</v>
      </c>
      <c r="C2356" s="2" t="str">
        <f>TRIM(Table1[[#This Row],[Dostawca]])</f>
        <v>VitaDistrib</v>
      </c>
      <c r="D2356" s="3">
        <v>45430</v>
      </c>
      <c r="E2356" s="4" t="s">
        <v>6961</v>
      </c>
      <c r="F2356" s="2" t="str">
        <f>TRIM(Table1[[#This Row],[Status]])</f>
        <v>Zaakceptowana</v>
      </c>
      <c r="G2356" s="2" t="str">
        <f>TRIM(Table1[[#This Row],[Typ]])</f>
        <v>Faktura VAT</v>
      </c>
      <c r="H2356" s="2" t="str">
        <f>TRIM(Table1[[#This Row],[Magazyn]])</f>
        <v>Apteka Szpitalna</v>
      </c>
      <c r="I2356" s="2" t="str">
        <f>TRIM(Table1[[#This Row],[Umowa]])</f>
        <v>UM-VIT-01</v>
      </c>
      <c r="J2356" s="2" t="b">
        <f>ISTEXT(Table14[[#This Row],[Data_Wystawienia]])</f>
        <v>0</v>
      </c>
      <c r="K2356" s="2">
        <f>VALUE(SUBSTITUTE(Table14[[#This Row],[Wartość]],".",","))</f>
        <v>21587.77</v>
      </c>
      <c r="L23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6" s="2" t="str">
        <f>IF(Table14[[#This Row],[Umowa]]="","Poza umową","Z umowy")</f>
        <v>Z umowy</v>
      </c>
      <c r="N2356" s="2">
        <f>YEAR(Table14[[#This Row],[Data_Wystawienia]])</f>
        <v>2024</v>
      </c>
      <c r="O2356" s="2" t="str">
        <f>TEXT(Table14[[#This Row],[Data_Wystawienia]],"rrrr-mm")</f>
        <v>2024-05</v>
      </c>
      <c r="P2356" s="2">
        <v>1</v>
      </c>
    </row>
    <row r="2357" spans="1:16" x14ac:dyDescent="0.3">
      <c r="A2357" s="2" t="str">
        <f>TRIM(Table1[[#This Row],[Numer_FV]])</f>
        <v>FV/CENFA/793084/24</v>
      </c>
      <c r="B2357" s="2" t="str">
        <f>TRIM(Table1[[#This Row],[Numer_PZ]])</f>
        <v>PZ/802355</v>
      </c>
      <c r="C2357" s="2" t="str">
        <f>TRIM(Table1[[#This Row],[Dostawca]])</f>
        <v>CentrumFarm</v>
      </c>
      <c r="D2357" s="3">
        <v>45430</v>
      </c>
      <c r="E2357" s="4" t="s">
        <v>6964</v>
      </c>
      <c r="F2357" s="2" t="str">
        <f>TRIM(Table1[[#This Row],[Status]])</f>
        <v>Zaakceptowana</v>
      </c>
      <c r="G2357" s="2" t="str">
        <f>TRIM(Table1[[#This Row],[Typ]])</f>
        <v>Faktura VAT</v>
      </c>
      <c r="H2357" s="2" t="str">
        <f>TRIM(Table1[[#This Row],[Magazyn]])</f>
        <v>Apteka Szpitalna</v>
      </c>
      <c r="I2357" s="2" t="str">
        <f>TRIM(Table1[[#This Row],[Umowa]])</f>
        <v>UM-CEN-01</v>
      </c>
      <c r="J2357" s="2" t="b">
        <f>ISTEXT(Table14[[#This Row],[Data_Wystawienia]])</f>
        <v>0</v>
      </c>
      <c r="K2357" s="2">
        <f>VALUE(SUBSTITUTE(Table14[[#This Row],[Wartość]],".",","))</f>
        <v>16820</v>
      </c>
      <c r="L23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7" s="2" t="str">
        <f>IF(Table14[[#This Row],[Umowa]]="","Poza umową","Z umowy")</f>
        <v>Z umowy</v>
      </c>
      <c r="N2357" s="2">
        <f>YEAR(Table14[[#This Row],[Data_Wystawienia]])</f>
        <v>2024</v>
      </c>
      <c r="O2357" s="2" t="str">
        <f>TEXT(Table14[[#This Row],[Data_Wystawienia]],"rrrr-mm")</f>
        <v>2024-05</v>
      </c>
      <c r="P2357" s="2">
        <v>1</v>
      </c>
    </row>
    <row r="2358" spans="1:16" x14ac:dyDescent="0.3">
      <c r="A2358" s="2" t="str">
        <f>TRIM(Table1[[#This Row],[Numer_FV]])</f>
        <v>FV/CENFA/183973/24</v>
      </c>
      <c r="B2358" s="2" t="str">
        <f>TRIM(Table1[[#This Row],[Numer_PZ]])</f>
        <v>PZ/802356</v>
      </c>
      <c r="C2358" s="2" t="str">
        <f>TRIM(Table1[[#This Row],[Dostawca]])</f>
        <v>CentrumFarm</v>
      </c>
      <c r="D2358" s="3">
        <v>45431</v>
      </c>
      <c r="E2358" s="4" t="s">
        <v>6967</v>
      </c>
      <c r="F2358" s="2" t="str">
        <f>TRIM(Table1[[#This Row],[Status]])</f>
        <v>Zaakceptowana</v>
      </c>
      <c r="G2358" s="2" t="str">
        <f>TRIM(Table1[[#This Row],[Typ]])</f>
        <v>Faktura VAT</v>
      </c>
      <c r="H2358" s="2" t="str">
        <f>TRIM(Table1[[#This Row],[Magazyn]])</f>
        <v>Apteka Szpitalna</v>
      </c>
      <c r="I2358" s="2" t="str">
        <f>TRIM(Table1[[#This Row],[Umowa]])</f>
        <v>UM-CEN-01</v>
      </c>
      <c r="J2358" s="2" t="b">
        <f>ISTEXT(Table14[[#This Row],[Data_Wystawienia]])</f>
        <v>0</v>
      </c>
      <c r="K2358" s="2">
        <f>VALUE(SUBSTITUTE(Table14[[#This Row],[Wartość]],".",","))</f>
        <v>18577.990000000002</v>
      </c>
      <c r="L23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8" s="2" t="str">
        <f>IF(Table14[[#This Row],[Umowa]]="","Poza umową","Z umowy")</f>
        <v>Z umowy</v>
      </c>
      <c r="N2358" s="2">
        <f>YEAR(Table14[[#This Row],[Data_Wystawienia]])</f>
        <v>2024</v>
      </c>
      <c r="O2358" s="2" t="str">
        <f>TEXT(Table14[[#This Row],[Data_Wystawienia]],"rrrr-mm")</f>
        <v>2024-05</v>
      </c>
      <c r="P2358" s="2">
        <v>1</v>
      </c>
    </row>
    <row r="2359" spans="1:16" x14ac:dyDescent="0.3">
      <c r="A2359" s="2" t="str">
        <f>TRIM(Table1[[#This Row],[Numer_FV]])</f>
        <v>FV/96548/VDb/2024</v>
      </c>
      <c r="B2359" s="2" t="str">
        <f>TRIM(Table1[[#This Row],[Numer_PZ]])</f>
        <v>PZ/802357</v>
      </c>
      <c r="C2359" s="2" t="str">
        <f>TRIM(Table1[[#This Row],[Dostawca]])</f>
        <v>VitaDistrib</v>
      </c>
      <c r="D2359" s="3">
        <v>45432</v>
      </c>
      <c r="E2359" s="4" t="s">
        <v>6970</v>
      </c>
      <c r="F2359" s="2" t="str">
        <f>TRIM(Table1[[#This Row],[Status]])</f>
        <v>Zaakceptowana</v>
      </c>
      <c r="G2359" s="2" t="str">
        <f>TRIM(Table1[[#This Row],[Typ]])</f>
        <v>Faktura VAT</v>
      </c>
      <c r="H2359" s="2" t="str">
        <f>TRIM(Table1[[#This Row],[Magazyn]])</f>
        <v>Apteka Szpitalna</v>
      </c>
      <c r="I2359" s="2" t="str">
        <f>TRIM(Table1[[#This Row],[Umowa]])</f>
        <v>UM-VIT-01</v>
      </c>
      <c r="J2359" s="2" t="b">
        <f>ISTEXT(Table14[[#This Row],[Data_Wystawienia]])</f>
        <v>0</v>
      </c>
      <c r="K2359" s="2">
        <f>VALUE(SUBSTITUTE(Table14[[#This Row],[Wartość]],".",","))</f>
        <v>17208.189999999999</v>
      </c>
      <c r="L23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59" s="2" t="str">
        <f>IF(Table14[[#This Row],[Umowa]]="","Poza umową","Z umowy")</f>
        <v>Z umowy</v>
      </c>
      <c r="N2359" s="2">
        <f>YEAR(Table14[[#This Row],[Data_Wystawienia]])</f>
        <v>2024</v>
      </c>
      <c r="O2359" s="2" t="str">
        <f>TEXT(Table14[[#This Row],[Data_Wystawienia]],"rrrr-mm")</f>
        <v>2024-05</v>
      </c>
      <c r="P2359" s="2">
        <v>1</v>
      </c>
    </row>
    <row r="2360" spans="1:16" x14ac:dyDescent="0.3">
      <c r="A2360" s="2" t="str">
        <f>TRIM(Table1[[#This Row],[Numer_FV]])</f>
        <v>FV/M/8500/P/24</v>
      </c>
      <c r="B2360" s="2" t="str">
        <f>TRIM(Table1[[#This Row],[Numer_PZ]])</f>
        <v>PZ/802358</v>
      </c>
      <c r="C2360" s="2" t="str">
        <f>TRIM(Table1[[#This Row],[Dostawca]])</f>
        <v>MedicaPharm</v>
      </c>
      <c r="D2360" s="3">
        <v>45433</v>
      </c>
      <c r="E2360" s="4" t="s">
        <v>6973</v>
      </c>
      <c r="F2360" s="2" t="str">
        <f>TRIM(Table1[[#This Row],[Status]])</f>
        <v>Zaakceptowana</v>
      </c>
      <c r="G2360" s="2" t="str">
        <f>TRIM(Table1[[#This Row],[Typ]])</f>
        <v>Faktura VAT</v>
      </c>
      <c r="H2360" s="2" t="str">
        <f>TRIM(Table1[[#This Row],[Magazyn]])</f>
        <v>Apteka Szpitalna</v>
      </c>
      <c r="I2360" s="2" t="str">
        <f>TRIM(Table1[[#This Row],[Umowa]])</f>
        <v>UM-MED-02</v>
      </c>
      <c r="J2360" s="2" t="b">
        <f>ISTEXT(Table14[[#This Row],[Data_Wystawienia]])</f>
        <v>0</v>
      </c>
      <c r="K2360" s="2">
        <f>VALUE(SUBSTITUTE(Table14[[#This Row],[Wartość]],".",","))</f>
        <v>20969.79</v>
      </c>
      <c r="L23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0" s="2" t="str">
        <f>IF(Table14[[#This Row],[Umowa]]="","Poza umową","Z umowy")</f>
        <v>Z umowy</v>
      </c>
      <c r="N2360" s="2">
        <f>YEAR(Table14[[#This Row],[Data_Wystawienia]])</f>
        <v>2024</v>
      </c>
      <c r="O2360" s="2" t="str">
        <f>TEXT(Table14[[#This Row],[Data_Wystawienia]],"rrrr-mm")</f>
        <v>2024-05</v>
      </c>
      <c r="P2360" s="2">
        <v>1</v>
      </c>
    </row>
    <row r="2361" spans="1:16" x14ac:dyDescent="0.3">
      <c r="A2361" s="2" t="str">
        <f>TRIM(Table1[[#This Row],[Numer_FV]])</f>
        <v>FV/CENFA/665780/24</v>
      </c>
      <c r="B2361" s="2" t="str">
        <f>TRIM(Table1[[#This Row],[Numer_PZ]])</f>
        <v>PZ/802359</v>
      </c>
      <c r="C2361" s="2" t="str">
        <f>TRIM(Table1[[#This Row],[Dostawca]])</f>
        <v>CentrumFarm</v>
      </c>
      <c r="D2361" s="3">
        <v>45433</v>
      </c>
      <c r="E2361" s="4" t="s">
        <v>6976</v>
      </c>
      <c r="F2361" s="2" t="str">
        <f>TRIM(Table1[[#This Row],[Status]])</f>
        <v>Zaakceptowana</v>
      </c>
      <c r="G2361" s="2" t="str">
        <f>TRIM(Table1[[#This Row],[Typ]])</f>
        <v>Faktura VAT</v>
      </c>
      <c r="H2361" s="2" t="str">
        <f>TRIM(Table1[[#This Row],[Magazyn]])</f>
        <v>Apteka Szpitalna</v>
      </c>
      <c r="I2361" s="2" t="str">
        <f>TRIM(Table1[[#This Row],[Umowa]])</f>
        <v>UM-CEN-02</v>
      </c>
      <c r="J2361" s="2" t="b">
        <f>ISTEXT(Table14[[#This Row],[Data_Wystawienia]])</f>
        <v>0</v>
      </c>
      <c r="K2361" s="2">
        <f>VALUE(SUBSTITUTE(Table14[[#This Row],[Wartość]],".",","))</f>
        <v>19044.8</v>
      </c>
      <c r="L23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1" s="2" t="str">
        <f>IF(Table14[[#This Row],[Umowa]]="","Poza umową","Z umowy")</f>
        <v>Z umowy</v>
      </c>
      <c r="N2361" s="2">
        <f>YEAR(Table14[[#This Row],[Data_Wystawienia]])</f>
        <v>2024</v>
      </c>
      <c r="O2361" s="2" t="str">
        <f>TEXT(Table14[[#This Row],[Data_Wystawienia]],"rrrr-mm")</f>
        <v>2024-05</v>
      </c>
      <c r="P2361" s="2">
        <v>1</v>
      </c>
    </row>
    <row r="2362" spans="1:16" x14ac:dyDescent="0.3">
      <c r="A2362" s="2" t="str">
        <f>TRIM(Table1[[#This Row],[Numer_FV]])</f>
        <v>FV/POL/27470/2024</v>
      </c>
      <c r="B2362" s="2" t="str">
        <f>TRIM(Table1[[#This Row],[Numer_PZ]])</f>
        <v>PZ/802360</v>
      </c>
      <c r="C2362" s="2" t="str">
        <f>TRIM(Table1[[#This Row],[Dostawca]])</f>
        <v>Polmedica</v>
      </c>
      <c r="D2362" s="3">
        <v>45433</v>
      </c>
      <c r="E2362" s="4" t="s">
        <v>6979</v>
      </c>
      <c r="F2362" s="2" t="str">
        <f>TRIM(Table1[[#This Row],[Status]])</f>
        <v>Zaakceptowana</v>
      </c>
      <c r="G2362" s="2" t="str">
        <f>TRIM(Table1[[#This Row],[Typ]])</f>
        <v>Faktura VAT</v>
      </c>
      <c r="H2362" s="2" t="str">
        <f>TRIM(Table1[[#This Row],[Magazyn]])</f>
        <v>Apteka Szpitalna</v>
      </c>
      <c r="I2362" s="2" t="str">
        <f>TRIM(Table1[[#This Row],[Umowa]])</f>
        <v/>
      </c>
      <c r="J2362" s="2" t="b">
        <f>ISTEXT(Table14[[#This Row],[Data_Wystawienia]])</f>
        <v>0</v>
      </c>
      <c r="K2362" s="2">
        <f>VALUE(SUBSTITUTE(Table14[[#This Row],[Wartość]],".",","))</f>
        <v>20744.79</v>
      </c>
      <c r="L23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2" s="2" t="str">
        <f>IF(Table14[[#This Row],[Umowa]]="","Poza umową","Z umowy")</f>
        <v>Poza umową</v>
      </c>
      <c r="N2362" s="2">
        <f>YEAR(Table14[[#This Row],[Data_Wystawienia]])</f>
        <v>2024</v>
      </c>
      <c r="O2362" s="2" t="str">
        <f>TEXT(Table14[[#This Row],[Data_Wystawienia]],"rrrr-mm")</f>
        <v>2024-05</v>
      </c>
      <c r="P2362" s="2">
        <v>1</v>
      </c>
    </row>
    <row r="2363" spans="1:16" x14ac:dyDescent="0.3">
      <c r="A2363" s="2" t="str">
        <f>TRIM(Table1[[#This Row],[Numer_FV]])</f>
        <v>FV/28/PP/4314/24</v>
      </c>
      <c r="B2363" s="2" t="str">
        <f>TRIM(Table1[[#This Row],[Numer_PZ]])</f>
        <v>PZ/802361</v>
      </c>
      <c r="C2363" s="2" t="str">
        <f>TRIM(Table1[[#This Row],[Dostawca]])</f>
        <v>PharmaPlus</v>
      </c>
      <c r="D2363" s="3">
        <v>45433</v>
      </c>
      <c r="E2363" s="4" t="s">
        <v>6982</v>
      </c>
      <c r="F2363" s="2" t="str">
        <f>TRIM(Table1[[#This Row],[Status]])</f>
        <v>Zaakceptowana</v>
      </c>
      <c r="G2363" s="2" t="str">
        <f>TRIM(Table1[[#This Row],[Typ]])</f>
        <v>Faktura VAT</v>
      </c>
      <c r="H2363" s="2" t="str">
        <f>TRIM(Table1[[#This Row],[Magazyn]])</f>
        <v>Apteka Szpitalna</v>
      </c>
      <c r="I2363" s="2" t="str">
        <f>TRIM(Table1[[#This Row],[Umowa]])</f>
        <v/>
      </c>
      <c r="J2363" s="2" t="b">
        <f>ISTEXT(Table14[[#This Row],[Data_Wystawienia]])</f>
        <v>0</v>
      </c>
      <c r="K2363" s="2">
        <f>VALUE(SUBSTITUTE(Table14[[#This Row],[Wartość]],".",","))</f>
        <v>13355.7</v>
      </c>
      <c r="L23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3" s="2" t="str">
        <f>IF(Table14[[#This Row],[Umowa]]="","Poza umową","Z umowy")</f>
        <v>Poza umową</v>
      </c>
      <c r="N2363" s="2">
        <f>YEAR(Table14[[#This Row],[Data_Wystawienia]])</f>
        <v>2024</v>
      </c>
      <c r="O2363" s="2" t="str">
        <f>TEXT(Table14[[#This Row],[Data_Wystawienia]],"rrrr-mm")</f>
        <v>2024-05</v>
      </c>
      <c r="P2363" s="2">
        <v>1</v>
      </c>
    </row>
    <row r="2364" spans="1:16" x14ac:dyDescent="0.3">
      <c r="A2364" s="2" t="str">
        <f>TRIM(Table1[[#This Row],[Numer_FV]])</f>
        <v>FV/POL/80930/2024</v>
      </c>
      <c r="B2364" s="2" t="str">
        <f>TRIM(Table1[[#This Row],[Numer_PZ]])</f>
        <v>PZ/802362</v>
      </c>
      <c r="C2364" s="2" t="str">
        <f>TRIM(Table1[[#This Row],[Dostawca]])</f>
        <v>Polmedica</v>
      </c>
      <c r="D2364" s="3">
        <v>45434</v>
      </c>
      <c r="E2364" s="4" t="s">
        <v>6985</v>
      </c>
      <c r="F2364" s="2" t="str">
        <f>TRIM(Table1[[#This Row],[Status]])</f>
        <v>Zaakceptowana</v>
      </c>
      <c r="G2364" s="2" t="str">
        <f>TRIM(Table1[[#This Row],[Typ]])</f>
        <v>Faktura VAT</v>
      </c>
      <c r="H2364" s="2" t="str">
        <f>TRIM(Table1[[#This Row],[Magazyn]])</f>
        <v>Apteka Szpitalna</v>
      </c>
      <c r="I2364" s="2" t="str">
        <f>TRIM(Table1[[#This Row],[Umowa]])</f>
        <v>UM-POL-01</v>
      </c>
      <c r="J2364" s="2" t="b">
        <f>ISTEXT(Table14[[#This Row],[Data_Wystawienia]])</f>
        <v>0</v>
      </c>
      <c r="K2364" s="2">
        <f>VALUE(SUBSTITUTE(Table14[[#This Row],[Wartość]],".",","))</f>
        <v>19140.14</v>
      </c>
      <c r="L23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4" s="2" t="str">
        <f>IF(Table14[[#This Row],[Umowa]]="","Poza umową","Z umowy")</f>
        <v>Z umowy</v>
      </c>
      <c r="N2364" s="2">
        <f>YEAR(Table14[[#This Row],[Data_Wystawienia]])</f>
        <v>2024</v>
      </c>
      <c r="O2364" s="2" t="str">
        <f>TEXT(Table14[[#This Row],[Data_Wystawienia]],"rrrr-mm")</f>
        <v>2024-05</v>
      </c>
      <c r="P2364" s="2">
        <v>1</v>
      </c>
    </row>
    <row r="2365" spans="1:16" x14ac:dyDescent="0.3">
      <c r="A2365" s="2" t="str">
        <f>TRIM(Table1[[#This Row],[Numer_FV]])</f>
        <v>FV/4623/NOVA/24</v>
      </c>
      <c r="B2365" s="2" t="str">
        <f>TRIM(Table1[[#This Row],[Numer_PZ]])</f>
        <v>PZ/802363</v>
      </c>
      <c r="C2365" s="2" t="str">
        <f>TRIM(Table1[[#This Row],[Dostawca]])</f>
        <v>NovaLek</v>
      </c>
      <c r="D2365" s="3">
        <v>45435</v>
      </c>
      <c r="E2365" s="4" t="s">
        <v>6988</v>
      </c>
      <c r="F2365" s="2" t="str">
        <f>TRIM(Table1[[#This Row],[Status]])</f>
        <v>Zaakceptowana</v>
      </c>
      <c r="G2365" s="2" t="str">
        <f>TRIM(Table1[[#This Row],[Typ]])</f>
        <v>Faktura VAT</v>
      </c>
      <c r="H2365" s="2" t="str">
        <f>TRIM(Table1[[#This Row],[Magazyn]])</f>
        <v>Apteka Szpitalna</v>
      </c>
      <c r="I2365" s="2" t="str">
        <f>TRIM(Table1[[#This Row],[Umowa]])</f>
        <v/>
      </c>
      <c r="J2365" s="2" t="b">
        <f>ISTEXT(Table14[[#This Row],[Data_Wystawienia]])</f>
        <v>0</v>
      </c>
      <c r="K2365" s="2">
        <f>VALUE(SUBSTITUTE(Table14[[#This Row],[Wartość]],".",","))</f>
        <v>8417.56</v>
      </c>
      <c r="L23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5" s="2" t="str">
        <f>IF(Table14[[#This Row],[Umowa]]="","Poza umową","Z umowy")</f>
        <v>Poza umową</v>
      </c>
      <c r="N2365" s="2">
        <f>YEAR(Table14[[#This Row],[Data_Wystawienia]])</f>
        <v>2024</v>
      </c>
      <c r="O2365" s="2" t="str">
        <f>TEXT(Table14[[#This Row],[Data_Wystawienia]],"rrrr-mm")</f>
        <v>2024-05</v>
      </c>
      <c r="P2365" s="2">
        <v>1</v>
      </c>
    </row>
    <row r="2366" spans="1:16" x14ac:dyDescent="0.3">
      <c r="A2366" s="2" t="str">
        <f>TRIM(Table1[[#This Row],[Numer_FV]])</f>
        <v>FV/5512HM/24</v>
      </c>
      <c r="B2366" s="2" t="str">
        <f>TRIM(Table1[[#This Row],[Numer_PZ]])</f>
        <v>PZ/802364</v>
      </c>
      <c r="C2366" s="2" t="str">
        <f>TRIM(Table1[[#This Row],[Dostawca]])</f>
        <v>HurtMedix</v>
      </c>
      <c r="D2366" s="3">
        <v>45435</v>
      </c>
      <c r="E2366" s="4" t="s">
        <v>6991</v>
      </c>
      <c r="F2366" s="2" t="str">
        <f>TRIM(Table1[[#This Row],[Status]])</f>
        <v>Zaakceptowana</v>
      </c>
      <c r="G2366" s="2" t="str">
        <f>TRIM(Table1[[#This Row],[Typ]])</f>
        <v>Faktura VAT</v>
      </c>
      <c r="H2366" s="2" t="str">
        <f>TRIM(Table1[[#This Row],[Magazyn]])</f>
        <v>Apteka Szpitalna</v>
      </c>
      <c r="I2366" s="2" t="str">
        <f>TRIM(Table1[[#This Row],[Umowa]])</f>
        <v>UM-HUR-02</v>
      </c>
      <c r="J2366" s="2" t="b">
        <f>ISTEXT(Table14[[#This Row],[Data_Wystawienia]])</f>
        <v>0</v>
      </c>
      <c r="K2366" s="2">
        <f>VALUE(SUBSTITUTE(Table14[[#This Row],[Wartość]],".",","))</f>
        <v>10216.11</v>
      </c>
      <c r="L23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6" s="2" t="str">
        <f>IF(Table14[[#This Row],[Umowa]]="","Poza umową","Z umowy")</f>
        <v>Z umowy</v>
      </c>
      <c r="N2366" s="2">
        <f>YEAR(Table14[[#This Row],[Data_Wystawienia]])</f>
        <v>2024</v>
      </c>
      <c r="O2366" s="2" t="str">
        <f>TEXT(Table14[[#This Row],[Data_Wystawienia]],"rrrr-mm")</f>
        <v>2024-05</v>
      </c>
      <c r="P2366" s="2">
        <v>1</v>
      </c>
    </row>
    <row r="2367" spans="1:16" x14ac:dyDescent="0.3">
      <c r="A2367" s="2" t="str">
        <f>TRIM(Table1[[#This Row],[Numer_FV]])</f>
        <v>FV/56960/VDb/2024</v>
      </c>
      <c r="B2367" s="2" t="str">
        <f>TRIM(Table1[[#This Row],[Numer_PZ]])</f>
        <v>PZ/802365</v>
      </c>
      <c r="C2367" s="2" t="str">
        <f>TRIM(Table1[[#This Row],[Dostawca]])</f>
        <v>VitaDistrib</v>
      </c>
      <c r="D2367" s="3">
        <v>45435</v>
      </c>
      <c r="E2367" s="4" t="s">
        <v>6994</v>
      </c>
      <c r="F2367" s="2" t="str">
        <f>TRIM(Table1[[#This Row],[Status]])</f>
        <v>Zaakceptowana</v>
      </c>
      <c r="G2367" s="2" t="str">
        <f>TRIM(Table1[[#This Row],[Typ]])</f>
        <v>Faktura VAT</v>
      </c>
      <c r="H2367" s="2" t="str">
        <f>TRIM(Table1[[#This Row],[Magazyn]])</f>
        <v>Apteka Szpitalna</v>
      </c>
      <c r="I2367" s="2" t="str">
        <f>TRIM(Table1[[#This Row],[Umowa]])</f>
        <v>UM-VIT-01</v>
      </c>
      <c r="J2367" s="2" t="b">
        <f>ISTEXT(Table14[[#This Row],[Data_Wystawienia]])</f>
        <v>0</v>
      </c>
      <c r="K2367" s="2">
        <f>VALUE(SUBSTITUTE(Table14[[#This Row],[Wartość]],".",","))</f>
        <v>5225.12</v>
      </c>
      <c r="L23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7" s="2" t="str">
        <f>IF(Table14[[#This Row],[Umowa]]="","Poza umową","Z umowy")</f>
        <v>Z umowy</v>
      </c>
      <c r="N2367" s="2">
        <f>YEAR(Table14[[#This Row],[Data_Wystawienia]])</f>
        <v>2024</v>
      </c>
      <c r="O2367" s="2" t="str">
        <f>TEXT(Table14[[#This Row],[Data_Wystawienia]],"rrrr-mm")</f>
        <v>2024-05</v>
      </c>
      <c r="P2367" s="2">
        <v>1</v>
      </c>
    </row>
    <row r="2368" spans="1:16" x14ac:dyDescent="0.3">
      <c r="A2368" s="2" t="str">
        <f>TRIM(Table1[[#This Row],[Numer_FV]])</f>
        <v>FV/POL/87440/2024</v>
      </c>
      <c r="B2368" s="2" t="str">
        <f>TRIM(Table1[[#This Row],[Numer_PZ]])</f>
        <v>PZ/802366</v>
      </c>
      <c r="C2368" s="2" t="str">
        <f>TRIM(Table1[[#This Row],[Dostawca]])</f>
        <v>Polmedica</v>
      </c>
      <c r="D2368" s="3">
        <v>45435</v>
      </c>
      <c r="E2368" s="4" t="s">
        <v>6997</v>
      </c>
      <c r="F2368" s="2" t="str">
        <f>TRIM(Table1[[#This Row],[Status]])</f>
        <v>Zaakceptowana</v>
      </c>
      <c r="G2368" s="2" t="str">
        <f>TRIM(Table1[[#This Row],[Typ]])</f>
        <v>Faktura VAT</v>
      </c>
      <c r="H2368" s="2" t="str">
        <f>TRIM(Table1[[#This Row],[Magazyn]])</f>
        <v>Apteka Szpitalna</v>
      </c>
      <c r="I2368" s="2" t="str">
        <f>TRIM(Table1[[#This Row],[Umowa]])</f>
        <v>UM-POL-03</v>
      </c>
      <c r="J2368" s="2" t="b">
        <f>ISTEXT(Table14[[#This Row],[Data_Wystawienia]])</f>
        <v>0</v>
      </c>
      <c r="K2368" s="2">
        <f>VALUE(SUBSTITUTE(Table14[[#This Row],[Wartość]],".",","))</f>
        <v>17988.580000000002</v>
      </c>
      <c r="L23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8" s="2" t="str">
        <f>IF(Table14[[#This Row],[Umowa]]="","Poza umową","Z umowy")</f>
        <v>Z umowy</v>
      </c>
      <c r="N2368" s="2">
        <f>YEAR(Table14[[#This Row],[Data_Wystawienia]])</f>
        <v>2024</v>
      </c>
      <c r="O2368" s="2" t="str">
        <f>TEXT(Table14[[#This Row],[Data_Wystawienia]],"rrrr-mm")</f>
        <v>2024-05</v>
      </c>
      <c r="P2368" s="2">
        <v>1</v>
      </c>
    </row>
    <row r="2369" spans="1:16" x14ac:dyDescent="0.3">
      <c r="A2369" s="2" t="str">
        <f>TRIM(Table1[[#This Row],[Numer_FV]])</f>
        <v>FV/98/SAL/24</v>
      </c>
      <c r="B2369" s="2" t="str">
        <f>TRIM(Table1[[#This Row],[Numer_PZ]])</f>
        <v>PZ/802367</v>
      </c>
      <c r="C2369" s="2" t="str">
        <f>TRIM(Table1[[#This Row],[Dostawca]])</f>
        <v>SalusHurt</v>
      </c>
      <c r="D2369" s="3">
        <v>45435</v>
      </c>
      <c r="E2369" s="4" t="s">
        <v>7000</v>
      </c>
      <c r="F2369" s="2" t="str">
        <f>TRIM(Table1[[#This Row],[Status]])</f>
        <v>Zaakceptowana</v>
      </c>
      <c r="G2369" s="2" t="str">
        <f>TRIM(Table1[[#This Row],[Typ]])</f>
        <v>Faktura VAT</v>
      </c>
      <c r="H2369" s="2" t="str">
        <f>TRIM(Table1[[#This Row],[Magazyn]])</f>
        <v>Apteka Szpitalna</v>
      </c>
      <c r="I2369" s="2" t="str">
        <f>TRIM(Table1[[#This Row],[Umowa]])</f>
        <v/>
      </c>
      <c r="J2369" s="2" t="b">
        <f>ISTEXT(Table14[[#This Row],[Data_Wystawienia]])</f>
        <v>0</v>
      </c>
      <c r="K2369" s="2">
        <f>VALUE(SUBSTITUTE(Table14[[#This Row],[Wartość]],".",","))</f>
        <v>16202.48</v>
      </c>
      <c r="L23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69" s="2" t="str">
        <f>IF(Table14[[#This Row],[Umowa]]="","Poza umową","Z umowy")</f>
        <v>Poza umową</v>
      </c>
      <c r="N2369" s="2">
        <f>YEAR(Table14[[#This Row],[Data_Wystawienia]])</f>
        <v>2024</v>
      </c>
      <c r="O2369" s="2" t="str">
        <f>TEXT(Table14[[#This Row],[Data_Wystawienia]],"rrrr-mm")</f>
        <v>2024-05</v>
      </c>
      <c r="P2369" s="2">
        <v>1</v>
      </c>
    </row>
    <row r="2370" spans="1:16" x14ac:dyDescent="0.3">
      <c r="A2370" s="2" t="str">
        <f>TRIM(Table1[[#This Row],[Numer_FV]])</f>
        <v>FV/4362HM/24</v>
      </c>
      <c r="B2370" s="2" t="str">
        <f>TRIM(Table1[[#This Row],[Numer_PZ]])</f>
        <v>PZ/802368</v>
      </c>
      <c r="C2370" s="2" t="str">
        <f>TRIM(Table1[[#This Row],[Dostawca]])</f>
        <v>HurtMedix</v>
      </c>
      <c r="D2370" s="3">
        <v>45435</v>
      </c>
      <c r="E2370" s="4" t="s">
        <v>7003</v>
      </c>
      <c r="F2370" s="2" t="str">
        <f>TRIM(Table1[[#This Row],[Status]])</f>
        <v>Zaakceptowana</v>
      </c>
      <c r="G2370" s="2" t="str">
        <f>TRIM(Table1[[#This Row],[Typ]])</f>
        <v>Faktura VAT</v>
      </c>
      <c r="H2370" s="2" t="str">
        <f>TRIM(Table1[[#This Row],[Magazyn]])</f>
        <v>Apteka Szpitalna</v>
      </c>
      <c r="I2370" s="2" t="str">
        <f>TRIM(Table1[[#This Row],[Umowa]])</f>
        <v>UM-HUR-03</v>
      </c>
      <c r="J2370" s="2" t="b">
        <f>ISTEXT(Table14[[#This Row],[Data_Wystawienia]])</f>
        <v>0</v>
      </c>
      <c r="K2370" s="2">
        <f>VALUE(SUBSTITUTE(Table14[[#This Row],[Wartość]],".",","))</f>
        <v>19629.89</v>
      </c>
      <c r="L23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0" s="2" t="str">
        <f>IF(Table14[[#This Row],[Umowa]]="","Poza umową","Z umowy")</f>
        <v>Z umowy</v>
      </c>
      <c r="N2370" s="2">
        <f>YEAR(Table14[[#This Row],[Data_Wystawienia]])</f>
        <v>2024</v>
      </c>
      <c r="O2370" s="2" t="str">
        <f>TEXT(Table14[[#This Row],[Data_Wystawienia]],"rrrr-mm")</f>
        <v>2024-05</v>
      </c>
      <c r="P2370" s="2">
        <v>1</v>
      </c>
    </row>
    <row r="2371" spans="1:16" x14ac:dyDescent="0.3">
      <c r="A2371" s="2" t="str">
        <f>TRIM(Table1[[#This Row],[Numer_FV]])</f>
        <v>FV/4013HM/24</v>
      </c>
      <c r="B2371" s="2" t="str">
        <f>TRIM(Table1[[#This Row],[Numer_PZ]])</f>
        <v>PZ/802369</v>
      </c>
      <c r="C2371" s="2" t="str">
        <f>TRIM(Table1[[#This Row],[Dostawca]])</f>
        <v>HurtMedix</v>
      </c>
      <c r="D2371" s="3">
        <v>45436</v>
      </c>
      <c r="E2371" s="4" t="s">
        <v>7006</v>
      </c>
      <c r="F2371" s="2" t="str">
        <f>TRIM(Table1[[#This Row],[Status]])</f>
        <v>Zaakceptowana</v>
      </c>
      <c r="G2371" s="2" t="str">
        <f>TRIM(Table1[[#This Row],[Typ]])</f>
        <v>Faktura VAT</v>
      </c>
      <c r="H2371" s="2" t="str">
        <f>TRIM(Table1[[#This Row],[Magazyn]])</f>
        <v>Apteka Szpitalna</v>
      </c>
      <c r="I2371" s="2" t="str">
        <f>TRIM(Table1[[#This Row],[Umowa]])</f>
        <v>UM-HUR-03</v>
      </c>
      <c r="J2371" s="2" t="b">
        <f>ISTEXT(Table14[[#This Row],[Data_Wystawienia]])</f>
        <v>0</v>
      </c>
      <c r="K2371" s="2">
        <f>VALUE(SUBSTITUTE(Table14[[#This Row],[Wartość]],".",","))</f>
        <v>9533.7199999999993</v>
      </c>
      <c r="L23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1" s="2" t="str">
        <f>IF(Table14[[#This Row],[Umowa]]="","Poza umową","Z umowy")</f>
        <v>Z umowy</v>
      </c>
      <c r="N2371" s="2">
        <f>YEAR(Table14[[#This Row],[Data_Wystawienia]])</f>
        <v>2024</v>
      </c>
      <c r="O2371" s="2" t="str">
        <f>TEXT(Table14[[#This Row],[Data_Wystawienia]],"rrrr-mm")</f>
        <v>2024-05</v>
      </c>
      <c r="P2371" s="2">
        <v>1</v>
      </c>
    </row>
    <row r="2372" spans="1:16" x14ac:dyDescent="0.3">
      <c r="A2372" s="2" t="str">
        <f>TRIM(Table1[[#This Row],[Numer_FV]])</f>
        <v>FV/6031HM/24</v>
      </c>
      <c r="B2372" s="2" t="str">
        <f>TRIM(Table1[[#This Row],[Numer_PZ]])</f>
        <v>PZ/802370</v>
      </c>
      <c r="C2372" s="2" t="str">
        <f>TRIM(Table1[[#This Row],[Dostawca]])</f>
        <v>HurtMedix</v>
      </c>
      <c r="D2372" s="3">
        <v>45436</v>
      </c>
      <c r="E2372" s="4" t="s">
        <v>7009</v>
      </c>
      <c r="F2372" s="2" t="str">
        <f>TRIM(Table1[[#This Row],[Status]])</f>
        <v>Zaakceptowana</v>
      </c>
      <c r="G2372" s="2" t="str">
        <f>TRIM(Table1[[#This Row],[Typ]])</f>
        <v>Faktura VAT</v>
      </c>
      <c r="H2372" s="2" t="str">
        <f>TRIM(Table1[[#This Row],[Magazyn]])</f>
        <v>Apteka Szpitalna</v>
      </c>
      <c r="I2372" s="2" t="str">
        <f>TRIM(Table1[[#This Row],[Umowa]])</f>
        <v>UM-HUR-03</v>
      </c>
      <c r="J2372" s="2" t="b">
        <f>ISTEXT(Table14[[#This Row],[Data_Wystawienia]])</f>
        <v>0</v>
      </c>
      <c r="K2372" s="2">
        <f>VALUE(SUBSTITUTE(Table14[[#This Row],[Wartość]],".",","))</f>
        <v>15229.56</v>
      </c>
      <c r="L23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2" s="2" t="str">
        <f>IF(Table14[[#This Row],[Umowa]]="","Poza umową","Z umowy")</f>
        <v>Z umowy</v>
      </c>
      <c r="N2372" s="2">
        <f>YEAR(Table14[[#This Row],[Data_Wystawienia]])</f>
        <v>2024</v>
      </c>
      <c r="O2372" s="2" t="str">
        <f>TEXT(Table14[[#This Row],[Data_Wystawienia]],"rrrr-mm")</f>
        <v>2024-05</v>
      </c>
      <c r="P2372" s="2">
        <v>1</v>
      </c>
    </row>
    <row r="2373" spans="1:16" x14ac:dyDescent="0.3">
      <c r="A2373" s="2" t="str">
        <f>TRIM(Table1[[#This Row],[Numer_FV]])</f>
        <v>FV/POL/52296/2024</v>
      </c>
      <c r="B2373" s="2" t="str">
        <f>TRIM(Table1[[#This Row],[Numer_PZ]])</f>
        <v>PZ/802371</v>
      </c>
      <c r="C2373" s="2" t="str">
        <f>TRIM(Table1[[#This Row],[Dostawca]])</f>
        <v>Polmedica</v>
      </c>
      <c r="D2373" s="3">
        <v>45436</v>
      </c>
      <c r="E2373" s="4" t="s">
        <v>7012</v>
      </c>
      <c r="F2373" s="2" t="str">
        <f>TRIM(Table1[[#This Row],[Status]])</f>
        <v>Zaakceptowana</v>
      </c>
      <c r="G2373" s="2" t="str">
        <f>TRIM(Table1[[#This Row],[Typ]])</f>
        <v>Faktura VAT</v>
      </c>
      <c r="H2373" s="2" t="str">
        <f>TRIM(Table1[[#This Row],[Magazyn]])</f>
        <v>Apteka Szpitalna</v>
      </c>
      <c r="I2373" s="2" t="str">
        <f>TRIM(Table1[[#This Row],[Umowa]])</f>
        <v/>
      </c>
      <c r="J2373" s="2" t="b">
        <f>ISTEXT(Table14[[#This Row],[Data_Wystawienia]])</f>
        <v>0</v>
      </c>
      <c r="K2373" s="2">
        <f>VALUE(SUBSTITUTE(Table14[[#This Row],[Wartość]],".",","))</f>
        <v>14215.98</v>
      </c>
      <c r="L23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3" s="2" t="str">
        <f>IF(Table14[[#This Row],[Umowa]]="","Poza umową","Z umowy")</f>
        <v>Poza umową</v>
      </c>
      <c r="N2373" s="2">
        <f>YEAR(Table14[[#This Row],[Data_Wystawienia]])</f>
        <v>2024</v>
      </c>
      <c r="O2373" s="2" t="str">
        <f>TEXT(Table14[[#This Row],[Data_Wystawienia]],"rrrr-mm")</f>
        <v>2024-05</v>
      </c>
      <c r="P2373" s="2">
        <v>1</v>
      </c>
    </row>
    <row r="2374" spans="1:16" x14ac:dyDescent="0.3">
      <c r="A2374" s="2" t="str">
        <f>TRIM(Table1[[#This Row],[Numer_FV]])</f>
        <v>FV/7721HM/24</v>
      </c>
      <c r="B2374" s="2" t="str">
        <f>TRIM(Table1[[#This Row],[Numer_PZ]])</f>
        <v>PZ/802372</v>
      </c>
      <c r="C2374" s="2" t="str">
        <f>TRIM(Table1[[#This Row],[Dostawca]])</f>
        <v>HurtMedix</v>
      </c>
      <c r="D2374" s="3">
        <v>45437</v>
      </c>
      <c r="E2374" s="4" t="s">
        <v>7015</v>
      </c>
      <c r="F2374" s="2" t="str">
        <f>TRIM(Table1[[#This Row],[Status]])</f>
        <v>Zaakceptowana</v>
      </c>
      <c r="G2374" s="2" t="str">
        <f>TRIM(Table1[[#This Row],[Typ]])</f>
        <v>Faktura VAT</v>
      </c>
      <c r="H2374" s="2" t="str">
        <f>TRIM(Table1[[#This Row],[Magazyn]])</f>
        <v>Apteka Szpitalna</v>
      </c>
      <c r="I2374" s="2" t="str">
        <f>TRIM(Table1[[#This Row],[Umowa]])</f>
        <v>UM-HUR-02</v>
      </c>
      <c r="J2374" s="2" t="b">
        <f>ISTEXT(Table14[[#This Row],[Data_Wystawienia]])</f>
        <v>0</v>
      </c>
      <c r="K2374" s="2">
        <f>VALUE(SUBSTITUTE(Table14[[#This Row],[Wartość]],".",","))</f>
        <v>10252.01</v>
      </c>
      <c r="L23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4" s="2" t="str">
        <f>IF(Table14[[#This Row],[Umowa]]="","Poza umową","Z umowy")</f>
        <v>Z umowy</v>
      </c>
      <c r="N2374" s="2">
        <f>YEAR(Table14[[#This Row],[Data_Wystawienia]])</f>
        <v>2024</v>
      </c>
      <c r="O2374" s="2" t="str">
        <f>TEXT(Table14[[#This Row],[Data_Wystawienia]],"rrrr-mm")</f>
        <v>2024-05</v>
      </c>
      <c r="P2374" s="2">
        <v>1</v>
      </c>
    </row>
    <row r="2375" spans="1:16" x14ac:dyDescent="0.3">
      <c r="A2375" s="2" t="str">
        <f>TRIM(Table1[[#This Row],[Numer_FV]])</f>
        <v>FV/20175/VDb/2024</v>
      </c>
      <c r="B2375" s="2" t="str">
        <f>TRIM(Table1[[#This Row],[Numer_PZ]])</f>
        <v>PZ/802373</v>
      </c>
      <c r="C2375" s="2" t="str">
        <f>TRIM(Table1[[#This Row],[Dostawca]])</f>
        <v>VitaDistrib</v>
      </c>
      <c r="D2375" s="3">
        <v>45437</v>
      </c>
      <c r="E2375" s="4" t="s">
        <v>7018</v>
      </c>
      <c r="F2375" s="2" t="str">
        <f>TRIM(Table1[[#This Row],[Status]])</f>
        <v>Zaakceptowana</v>
      </c>
      <c r="G2375" s="2" t="str">
        <f>TRIM(Table1[[#This Row],[Typ]])</f>
        <v>Faktura VAT</v>
      </c>
      <c r="H2375" s="2" t="str">
        <f>TRIM(Table1[[#This Row],[Magazyn]])</f>
        <v>Apteka Szpitalna</v>
      </c>
      <c r="I2375" s="2" t="str">
        <f>TRIM(Table1[[#This Row],[Umowa]])</f>
        <v>UM-VIT-01</v>
      </c>
      <c r="J2375" s="2" t="b">
        <f>ISTEXT(Table14[[#This Row],[Data_Wystawienia]])</f>
        <v>0</v>
      </c>
      <c r="K2375" s="2">
        <f>VALUE(SUBSTITUTE(Table14[[#This Row],[Wartość]],".",","))</f>
        <v>20115.07</v>
      </c>
      <c r="L23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5" s="2" t="str">
        <f>IF(Table14[[#This Row],[Umowa]]="","Poza umową","Z umowy")</f>
        <v>Z umowy</v>
      </c>
      <c r="N2375" s="2">
        <f>YEAR(Table14[[#This Row],[Data_Wystawienia]])</f>
        <v>2024</v>
      </c>
      <c r="O2375" s="2" t="str">
        <f>TEXT(Table14[[#This Row],[Data_Wystawienia]],"rrrr-mm")</f>
        <v>2024-05</v>
      </c>
      <c r="P2375" s="2">
        <v>1</v>
      </c>
    </row>
    <row r="2376" spans="1:16" x14ac:dyDescent="0.3">
      <c r="A2376" s="2" t="str">
        <f>TRIM(Table1[[#This Row],[Numer_FV]])</f>
        <v>FV/M/3520/P/24</v>
      </c>
      <c r="B2376" s="2" t="str">
        <f>TRIM(Table1[[#This Row],[Numer_PZ]])</f>
        <v>PZ/802374</v>
      </c>
      <c r="C2376" s="2" t="str">
        <f>TRIM(Table1[[#This Row],[Dostawca]])</f>
        <v>MedicaPharm</v>
      </c>
      <c r="D2376" s="3">
        <v>45439</v>
      </c>
      <c r="E2376" s="4" t="s">
        <v>7021</v>
      </c>
      <c r="F2376" s="2" t="str">
        <f>TRIM(Table1[[#This Row],[Status]])</f>
        <v>Zaakceptowana</v>
      </c>
      <c r="G2376" s="2" t="str">
        <f>TRIM(Table1[[#This Row],[Typ]])</f>
        <v>Faktura VAT</v>
      </c>
      <c r="H2376" s="2" t="str">
        <f>TRIM(Table1[[#This Row],[Magazyn]])</f>
        <v>Apteka Szpitalna</v>
      </c>
      <c r="I2376" s="2" t="str">
        <f>TRIM(Table1[[#This Row],[Umowa]])</f>
        <v>UM-MED-02</v>
      </c>
      <c r="J2376" s="2" t="b">
        <f>ISTEXT(Table14[[#This Row],[Data_Wystawienia]])</f>
        <v>0</v>
      </c>
      <c r="K2376" s="2">
        <f>VALUE(SUBSTITUTE(Table14[[#This Row],[Wartość]],".",","))</f>
        <v>13786.19</v>
      </c>
      <c r="L23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6" s="2" t="str">
        <f>IF(Table14[[#This Row],[Umowa]]="","Poza umową","Z umowy")</f>
        <v>Z umowy</v>
      </c>
      <c r="N2376" s="2">
        <f>YEAR(Table14[[#This Row],[Data_Wystawienia]])</f>
        <v>2024</v>
      </c>
      <c r="O2376" s="2" t="str">
        <f>TEXT(Table14[[#This Row],[Data_Wystawienia]],"rrrr-mm")</f>
        <v>2024-05</v>
      </c>
      <c r="P2376" s="2">
        <v>1</v>
      </c>
    </row>
    <row r="2377" spans="1:16" x14ac:dyDescent="0.3">
      <c r="A2377" s="2" t="str">
        <f>TRIM(Table1[[#This Row],[Numer_FV]])</f>
        <v>FV/9597/NOVA/24</v>
      </c>
      <c r="B2377" s="2" t="str">
        <f>TRIM(Table1[[#This Row],[Numer_PZ]])</f>
        <v>PZ/802375</v>
      </c>
      <c r="C2377" s="2" t="str">
        <f>TRIM(Table1[[#This Row],[Dostawca]])</f>
        <v>NovaLek</v>
      </c>
      <c r="D2377" s="3">
        <v>45439</v>
      </c>
      <c r="E2377" s="4" t="s">
        <v>7024</v>
      </c>
      <c r="F2377" s="2" t="str">
        <f>TRIM(Table1[[#This Row],[Status]])</f>
        <v>Zaakceptowana</v>
      </c>
      <c r="G2377" s="2" t="str">
        <f>TRIM(Table1[[#This Row],[Typ]])</f>
        <v>Faktura VAT</v>
      </c>
      <c r="H2377" s="2" t="str">
        <f>TRIM(Table1[[#This Row],[Magazyn]])</f>
        <v>Apteka Szpitalna</v>
      </c>
      <c r="I2377" s="2" t="str">
        <f>TRIM(Table1[[#This Row],[Umowa]])</f>
        <v>UM-NOV-01</v>
      </c>
      <c r="J2377" s="2" t="b">
        <f>ISTEXT(Table14[[#This Row],[Data_Wystawienia]])</f>
        <v>0</v>
      </c>
      <c r="K2377" s="2">
        <f>VALUE(SUBSTITUTE(Table14[[#This Row],[Wartość]],".",","))</f>
        <v>12823.41</v>
      </c>
      <c r="L23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7" s="2" t="str">
        <f>IF(Table14[[#This Row],[Umowa]]="","Poza umową","Z umowy")</f>
        <v>Z umowy</v>
      </c>
      <c r="N2377" s="2">
        <f>YEAR(Table14[[#This Row],[Data_Wystawienia]])</f>
        <v>2024</v>
      </c>
      <c r="O2377" s="2" t="str">
        <f>TEXT(Table14[[#This Row],[Data_Wystawienia]],"rrrr-mm")</f>
        <v>2024-05</v>
      </c>
      <c r="P2377" s="2">
        <v>1</v>
      </c>
    </row>
    <row r="2378" spans="1:16" x14ac:dyDescent="0.3">
      <c r="A2378" s="2" t="str">
        <f>TRIM(Table1[[#This Row],[Numer_FV]])</f>
        <v>FV/77475/VDb/2024</v>
      </c>
      <c r="B2378" s="2" t="str">
        <f>TRIM(Table1[[#This Row],[Numer_PZ]])</f>
        <v>PZ/802376</v>
      </c>
      <c r="C2378" s="2" t="str">
        <f>TRIM(Table1[[#This Row],[Dostawca]])</f>
        <v>VitaDistrib</v>
      </c>
      <c r="D2378" s="3">
        <v>45440</v>
      </c>
      <c r="E2378" s="4" t="s">
        <v>7027</v>
      </c>
      <c r="F2378" s="2" t="str">
        <f>TRIM(Table1[[#This Row],[Status]])</f>
        <v>Zaakceptowana</v>
      </c>
      <c r="G2378" s="2" t="str">
        <f>TRIM(Table1[[#This Row],[Typ]])</f>
        <v>Korekta FV</v>
      </c>
      <c r="H2378" s="2" t="str">
        <f>TRIM(Table1[[#This Row],[Magazyn]])</f>
        <v>Apteka Szpitalna</v>
      </c>
      <c r="I2378" s="2" t="str">
        <f>TRIM(Table1[[#This Row],[Umowa]])</f>
        <v>UM-VIT-01</v>
      </c>
      <c r="J2378" s="2" t="b">
        <f>ISTEXT(Table14[[#This Row],[Data_Wystawienia]])</f>
        <v>0</v>
      </c>
      <c r="K2378" s="2">
        <f>VALUE(SUBSTITUTE(Table14[[#This Row],[Wartość]],".",","))</f>
        <v>-2359.3000000000002</v>
      </c>
      <c r="L23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8" s="2" t="str">
        <f>IF(Table14[[#This Row],[Umowa]]="","Poza umową","Z umowy")</f>
        <v>Z umowy</v>
      </c>
      <c r="N2378" s="2">
        <f>YEAR(Table14[[#This Row],[Data_Wystawienia]])</f>
        <v>2024</v>
      </c>
      <c r="O2378" s="2" t="str">
        <f>TEXT(Table14[[#This Row],[Data_Wystawienia]],"rrrr-mm")</f>
        <v>2024-05</v>
      </c>
      <c r="P2378" s="2">
        <v>1</v>
      </c>
    </row>
    <row r="2379" spans="1:16" x14ac:dyDescent="0.3">
      <c r="A2379" s="2" t="str">
        <f>TRIM(Table1[[#This Row],[Numer_FV]])</f>
        <v>FV/9715/NOVA/24</v>
      </c>
      <c r="B2379" s="2" t="str">
        <f>TRIM(Table1[[#This Row],[Numer_PZ]])</f>
        <v>PZ/802377</v>
      </c>
      <c r="C2379" s="2" t="str">
        <f>TRIM(Table1[[#This Row],[Dostawca]])</f>
        <v>NovaLek</v>
      </c>
      <c r="D2379" s="3">
        <v>45441</v>
      </c>
      <c r="E2379" s="4" t="s">
        <v>7030</v>
      </c>
      <c r="F2379" s="2" t="str">
        <f>TRIM(Table1[[#This Row],[Status]])</f>
        <v>Zaakceptowana</v>
      </c>
      <c r="G2379" s="2" t="str">
        <f>TRIM(Table1[[#This Row],[Typ]])</f>
        <v>Faktura VAT</v>
      </c>
      <c r="H2379" s="2" t="str">
        <f>TRIM(Table1[[#This Row],[Magazyn]])</f>
        <v>Apteka Szpitalna</v>
      </c>
      <c r="I2379" s="2" t="str">
        <f>TRIM(Table1[[#This Row],[Umowa]])</f>
        <v>UM-NOV-01</v>
      </c>
      <c r="J2379" s="2" t="b">
        <f>ISTEXT(Table14[[#This Row],[Data_Wystawienia]])</f>
        <v>0</v>
      </c>
      <c r="K2379" s="2">
        <f>VALUE(SUBSTITUTE(Table14[[#This Row],[Wartość]],".",","))</f>
        <v>9897.9500000000007</v>
      </c>
      <c r="L23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79" s="2" t="str">
        <f>IF(Table14[[#This Row],[Umowa]]="","Poza umową","Z umowy")</f>
        <v>Z umowy</v>
      </c>
      <c r="N2379" s="2">
        <f>YEAR(Table14[[#This Row],[Data_Wystawienia]])</f>
        <v>2024</v>
      </c>
      <c r="O2379" s="2" t="str">
        <f>TEXT(Table14[[#This Row],[Data_Wystawienia]],"rrrr-mm")</f>
        <v>2024-05</v>
      </c>
      <c r="P2379" s="2">
        <v>1</v>
      </c>
    </row>
    <row r="2380" spans="1:16" x14ac:dyDescent="0.3">
      <c r="A2380" s="2" t="str">
        <f>TRIM(Table1[[#This Row],[Numer_FV]])</f>
        <v>FV/CENFA/766005/24</v>
      </c>
      <c r="B2380" s="2" t="str">
        <f>TRIM(Table1[[#This Row],[Numer_PZ]])</f>
        <v>PZ/802378</v>
      </c>
      <c r="C2380" s="2" t="str">
        <f>TRIM(Table1[[#This Row],[Dostawca]])</f>
        <v>CentrumFarm</v>
      </c>
      <c r="D2380" s="3">
        <v>45441</v>
      </c>
      <c r="E2380" s="4" t="s">
        <v>7033</v>
      </c>
      <c r="F2380" s="2" t="str">
        <f>TRIM(Table1[[#This Row],[Status]])</f>
        <v>Zaakceptowana</v>
      </c>
      <c r="G2380" s="2" t="str">
        <f>TRIM(Table1[[#This Row],[Typ]])</f>
        <v>Faktura VAT</v>
      </c>
      <c r="H2380" s="2" t="str">
        <f>TRIM(Table1[[#This Row],[Magazyn]])</f>
        <v>Apteka Szpitalna</v>
      </c>
      <c r="I2380" s="2" t="str">
        <f>TRIM(Table1[[#This Row],[Umowa]])</f>
        <v>UM-CEN-02</v>
      </c>
      <c r="J2380" s="2" t="b">
        <f>ISTEXT(Table14[[#This Row],[Data_Wystawienia]])</f>
        <v>0</v>
      </c>
      <c r="K2380" s="2">
        <f>VALUE(SUBSTITUTE(Table14[[#This Row],[Wartość]],".",","))</f>
        <v>9101.2199999999993</v>
      </c>
      <c r="L23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0" s="2" t="str">
        <f>IF(Table14[[#This Row],[Umowa]]="","Poza umową","Z umowy")</f>
        <v>Z umowy</v>
      </c>
      <c r="N2380" s="2">
        <f>YEAR(Table14[[#This Row],[Data_Wystawienia]])</f>
        <v>2024</v>
      </c>
      <c r="O2380" s="2" t="str">
        <f>TEXT(Table14[[#This Row],[Data_Wystawienia]],"rrrr-mm")</f>
        <v>2024-05</v>
      </c>
      <c r="P2380" s="2">
        <v>1</v>
      </c>
    </row>
    <row r="2381" spans="1:16" x14ac:dyDescent="0.3">
      <c r="A2381" s="2" t="str">
        <f>TRIM(Table1[[#This Row],[Numer_FV]])</f>
        <v>FV/26/PP/1084/24</v>
      </c>
      <c r="B2381" s="2" t="str">
        <f>TRIM(Table1[[#This Row],[Numer_PZ]])</f>
        <v>PZ/802379</v>
      </c>
      <c r="C2381" s="2" t="str">
        <f>TRIM(Table1[[#This Row],[Dostawca]])</f>
        <v>PharmaPlus</v>
      </c>
      <c r="D2381" s="3">
        <v>45442</v>
      </c>
      <c r="E2381" s="4" t="s">
        <v>7036</v>
      </c>
      <c r="F2381" s="2" t="str">
        <f>TRIM(Table1[[#This Row],[Status]])</f>
        <v>Zaakceptowana</v>
      </c>
      <c r="G2381" s="2" t="str">
        <f>TRIM(Table1[[#This Row],[Typ]])</f>
        <v>Faktura VAT</v>
      </c>
      <c r="H2381" s="2" t="str">
        <f>TRIM(Table1[[#This Row],[Magazyn]])</f>
        <v>Apteka Szpitalna</v>
      </c>
      <c r="I2381" s="2" t="str">
        <f>TRIM(Table1[[#This Row],[Umowa]])</f>
        <v>UM-PHA-02</v>
      </c>
      <c r="J2381" s="2" t="b">
        <f>ISTEXT(Table14[[#This Row],[Data_Wystawienia]])</f>
        <v>0</v>
      </c>
      <c r="K2381" s="2">
        <f>VALUE(SUBSTITUTE(Table14[[#This Row],[Wartość]],".",","))</f>
        <v>22625.69</v>
      </c>
      <c r="L23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1" s="2" t="str">
        <f>IF(Table14[[#This Row],[Umowa]]="","Poza umową","Z umowy")</f>
        <v>Z umowy</v>
      </c>
      <c r="N2381" s="2">
        <f>YEAR(Table14[[#This Row],[Data_Wystawienia]])</f>
        <v>2024</v>
      </c>
      <c r="O2381" s="2" t="str">
        <f>TEXT(Table14[[#This Row],[Data_Wystawienia]],"rrrr-mm")</f>
        <v>2024-05</v>
      </c>
      <c r="P2381" s="2">
        <v>1</v>
      </c>
    </row>
    <row r="2382" spans="1:16" x14ac:dyDescent="0.3">
      <c r="A2382" s="2" t="str">
        <f>TRIM(Table1[[#This Row],[Numer_FV]])</f>
        <v>FV/25261/VDb/2024</v>
      </c>
      <c r="B2382" s="2" t="str">
        <f>TRIM(Table1[[#This Row],[Numer_PZ]])</f>
        <v>PZ/802380</v>
      </c>
      <c r="C2382" s="2" t="str">
        <f>TRIM(Table1[[#This Row],[Dostawca]])</f>
        <v>VitaDistrib</v>
      </c>
      <c r="D2382" s="3">
        <v>45442</v>
      </c>
      <c r="E2382" s="4" t="s">
        <v>7039</v>
      </c>
      <c r="F2382" s="2" t="str">
        <f>TRIM(Table1[[#This Row],[Status]])</f>
        <v>Zaakceptowana</v>
      </c>
      <c r="G2382" s="2" t="str">
        <f>TRIM(Table1[[#This Row],[Typ]])</f>
        <v>Faktura VAT</v>
      </c>
      <c r="H2382" s="2" t="str">
        <f>TRIM(Table1[[#This Row],[Magazyn]])</f>
        <v>Apteka Szpitalna</v>
      </c>
      <c r="I2382" s="2" t="str">
        <f>TRIM(Table1[[#This Row],[Umowa]])</f>
        <v/>
      </c>
      <c r="J2382" s="2" t="b">
        <f>ISTEXT(Table14[[#This Row],[Data_Wystawienia]])</f>
        <v>0</v>
      </c>
      <c r="K2382" s="2">
        <f>VALUE(SUBSTITUTE(Table14[[#This Row],[Wartość]],".",","))</f>
        <v>8758.44</v>
      </c>
      <c r="L23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2" s="2" t="str">
        <f>IF(Table14[[#This Row],[Umowa]]="","Poza umową","Z umowy")</f>
        <v>Poza umową</v>
      </c>
      <c r="N2382" s="2">
        <f>YEAR(Table14[[#This Row],[Data_Wystawienia]])</f>
        <v>2024</v>
      </c>
      <c r="O2382" s="2" t="str">
        <f>TEXT(Table14[[#This Row],[Data_Wystawienia]],"rrrr-mm")</f>
        <v>2024-05</v>
      </c>
      <c r="P2382" s="2">
        <v>1</v>
      </c>
    </row>
    <row r="2383" spans="1:16" x14ac:dyDescent="0.3">
      <c r="A2383" s="2" t="str">
        <f>TRIM(Table1[[#This Row],[Numer_FV]])</f>
        <v>FV/8253HM/24</v>
      </c>
      <c r="B2383" s="2" t="str">
        <f>TRIM(Table1[[#This Row],[Numer_PZ]])</f>
        <v>PZ/802381</v>
      </c>
      <c r="C2383" s="2" t="str">
        <f>TRIM(Table1[[#This Row],[Dostawca]])</f>
        <v>HurtMedix</v>
      </c>
      <c r="D2383" s="3">
        <v>45443</v>
      </c>
      <c r="E2383" s="4" t="s">
        <v>7042</v>
      </c>
      <c r="F2383" s="2" t="str">
        <f>TRIM(Table1[[#This Row],[Status]])</f>
        <v>Zaakceptowana</v>
      </c>
      <c r="G2383" s="2" t="str">
        <f>TRIM(Table1[[#This Row],[Typ]])</f>
        <v>Faktura VAT</v>
      </c>
      <c r="H2383" s="2" t="str">
        <f>TRIM(Table1[[#This Row],[Magazyn]])</f>
        <v>Apteka Szpitalna</v>
      </c>
      <c r="I2383" s="2" t="str">
        <f>TRIM(Table1[[#This Row],[Umowa]])</f>
        <v>UM-HUR-01</v>
      </c>
      <c r="J2383" s="2" t="b">
        <f>ISTEXT(Table14[[#This Row],[Data_Wystawienia]])</f>
        <v>0</v>
      </c>
      <c r="K2383" s="2">
        <f>VALUE(SUBSTITUTE(Table14[[#This Row],[Wartość]],".",","))</f>
        <v>17382.59</v>
      </c>
      <c r="L23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3" s="2" t="str">
        <f>IF(Table14[[#This Row],[Umowa]]="","Poza umową","Z umowy")</f>
        <v>Z umowy</v>
      </c>
      <c r="N2383" s="2">
        <f>YEAR(Table14[[#This Row],[Data_Wystawienia]])</f>
        <v>2024</v>
      </c>
      <c r="O2383" s="2" t="str">
        <f>TEXT(Table14[[#This Row],[Data_Wystawienia]],"rrrr-mm")</f>
        <v>2024-05</v>
      </c>
      <c r="P2383" s="2">
        <v>1</v>
      </c>
    </row>
    <row r="2384" spans="1:16" x14ac:dyDescent="0.3">
      <c r="A2384" s="2" t="str">
        <f>TRIM(Table1[[#This Row],[Numer_FV]])</f>
        <v>FV/POL/81993/2024</v>
      </c>
      <c r="B2384" s="2" t="str">
        <f>TRIM(Table1[[#This Row],[Numer_PZ]])</f>
        <v>PZ/802382</v>
      </c>
      <c r="C2384" s="2" t="str">
        <f>TRIM(Table1[[#This Row],[Dostawca]])</f>
        <v>Polmedica</v>
      </c>
      <c r="D2384" s="3">
        <v>45443</v>
      </c>
      <c r="E2384" s="4" t="s">
        <v>7045</v>
      </c>
      <c r="F2384" s="2" t="str">
        <f>TRIM(Table1[[#This Row],[Status]])</f>
        <v>Zaakceptowana</v>
      </c>
      <c r="G2384" s="2" t="str">
        <f>TRIM(Table1[[#This Row],[Typ]])</f>
        <v>Faktura VAT</v>
      </c>
      <c r="H2384" s="2" t="str">
        <f>TRIM(Table1[[#This Row],[Magazyn]])</f>
        <v>Apteka Szpitalna</v>
      </c>
      <c r="I2384" s="2" t="str">
        <f>TRIM(Table1[[#This Row],[Umowa]])</f>
        <v>UM-POL-01</v>
      </c>
      <c r="J2384" s="2" t="b">
        <f>ISTEXT(Table14[[#This Row],[Data_Wystawienia]])</f>
        <v>0</v>
      </c>
      <c r="K2384" s="2">
        <f>VALUE(SUBSTITUTE(Table14[[#This Row],[Wartość]],".",","))</f>
        <v>13247.52</v>
      </c>
      <c r="L23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4" s="2" t="str">
        <f>IF(Table14[[#This Row],[Umowa]]="","Poza umową","Z umowy")</f>
        <v>Z umowy</v>
      </c>
      <c r="N2384" s="2">
        <f>YEAR(Table14[[#This Row],[Data_Wystawienia]])</f>
        <v>2024</v>
      </c>
      <c r="O2384" s="2" t="str">
        <f>TEXT(Table14[[#This Row],[Data_Wystawienia]],"rrrr-mm")</f>
        <v>2024-05</v>
      </c>
      <c r="P2384" s="2">
        <v>1</v>
      </c>
    </row>
    <row r="2385" spans="1:16" x14ac:dyDescent="0.3">
      <c r="A2385" s="2" t="str">
        <f>TRIM(Table1[[#This Row],[Numer_FV]])</f>
        <v>FV/50583/VDb/2024</v>
      </c>
      <c r="B2385" s="2" t="str">
        <f>TRIM(Table1[[#This Row],[Numer_PZ]])</f>
        <v>PZ/802383</v>
      </c>
      <c r="C2385" s="2" t="str">
        <f>TRIM(Table1[[#This Row],[Dostawca]])</f>
        <v>VitaDistrib</v>
      </c>
      <c r="D2385" s="3">
        <v>45444</v>
      </c>
      <c r="E2385" s="4" t="s">
        <v>7048</v>
      </c>
      <c r="F2385" s="2" t="str">
        <f>TRIM(Table1[[#This Row],[Status]])</f>
        <v>Zaakceptowana</v>
      </c>
      <c r="G2385" s="2" t="str">
        <f>TRIM(Table1[[#This Row],[Typ]])</f>
        <v>Faktura VAT</v>
      </c>
      <c r="H2385" s="2" t="str">
        <f>TRIM(Table1[[#This Row],[Magazyn]])</f>
        <v>Apteka Szpitalna</v>
      </c>
      <c r="I2385" s="2" t="str">
        <f>TRIM(Table1[[#This Row],[Umowa]])</f>
        <v>UM-VIT-01</v>
      </c>
      <c r="J2385" s="2" t="b">
        <f>ISTEXT(Table14[[#This Row],[Data_Wystawienia]])</f>
        <v>0</v>
      </c>
      <c r="K2385" s="2">
        <f>VALUE(SUBSTITUTE(Table14[[#This Row],[Wartość]],".",","))</f>
        <v>11253.07</v>
      </c>
      <c r="L23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5" s="2" t="str">
        <f>IF(Table14[[#This Row],[Umowa]]="","Poza umową","Z umowy")</f>
        <v>Z umowy</v>
      </c>
      <c r="N2385" s="2">
        <f>YEAR(Table14[[#This Row],[Data_Wystawienia]])</f>
        <v>2024</v>
      </c>
      <c r="O2385" s="2" t="str">
        <f>TEXT(Table14[[#This Row],[Data_Wystawienia]],"rrrr-mm")</f>
        <v>2024-06</v>
      </c>
      <c r="P2385" s="2">
        <v>1</v>
      </c>
    </row>
    <row r="2386" spans="1:16" x14ac:dyDescent="0.3">
      <c r="A2386" s="2" t="str">
        <f>TRIM(Table1[[#This Row],[Numer_FV]])</f>
        <v>FV/2364/NOVA/24</v>
      </c>
      <c r="B2386" s="2" t="str">
        <f>TRIM(Table1[[#This Row],[Numer_PZ]])</f>
        <v>PZ/802384</v>
      </c>
      <c r="C2386" s="2" t="str">
        <f>TRIM(Table1[[#This Row],[Dostawca]])</f>
        <v>NovaLek</v>
      </c>
      <c r="D2386" s="3">
        <v>45444</v>
      </c>
      <c r="E2386" s="4" t="s">
        <v>7051</v>
      </c>
      <c r="F2386" s="2" t="str">
        <f>TRIM(Table1[[#This Row],[Status]])</f>
        <v>Zaakceptowana</v>
      </c>
      <c r="G2386" s="2" t="str">
        <f>TRIM(Table1[[#This Row],[Typ]])</f>
        <v>Faktura VAT</v>
      </c>
      <c r="H2386" s="2" t="str">
        <f>TRIM(Table1[[#This Row],[Magazyn]])</f>
        <v>Apteka Szpitalna</v>
      </c>
      <c r="I2386" s="2" t="str">
        <f>TRIM(Table1[[#This Row],[Umowa]])</f>
        <v/>
      </c>
      <c r="J2386" s="2" t="b">
        <f>ISTEXT(Table14[[#This Row],[Data_Wystawienia]])</f>
        <v>0</v>
      </c>
      <c r="K2386" s="2">
        <f>VALUE(SUBSTITUTE(Table14[[#This Row],[Wartość]],".",","))</f>
        <v>7895.38</v>
      </c>
      <c r="L23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6" s="2" t="str">
        <f>IF(Table14[[#This Row],[Umowa]]="","Poza umową","Z umowy")</f>
        <v>Poza umową</v>
      </c>
      <c r="N2386" s="2">
        <f>YEAR(Table14[[#This Row],[Data_Wystawienia]])</f>
        <v>2024</v>
      </c>
      <c r="O2386" s="2" t="str">
        <f>TEXT(Table14[[#This Row],[Data_Wystawienia]],"rrrr-mm")</f>
        <v>2024-06</v>
      </c>
      <c r="P2386" s="2">
        <v>1</v>
      </c>
    </row>
    <row r="2387" spans="1:16" x14ac:dyDescent="0.3">
      <c r="A2387" s="2" t="str">
        <f>TRIM(Table1[[#This Row],[Numer_FV]])</f>
        <v>FV/M/1087/P/24</v>
      </c>
      <c r="B2387" s="2" t="str">
        <f>TRIM(Table1[[#This Row],[Numer_PZ]])</f>
        <v>PZ/802385</v>
      </c>
      <c r="C2387" s="2" t="str">
        <f>TRIM(Table1[[#This Row],[Dostawca]])</f>
        <v>MedicaPharm</v>
      </c>
      <c r="D2387" s="3">
        <v>45446</v>
      </c>
      <c r="E2387" s="4" t="s">
        <v>7054</v>
      </c>
      <c r="F2387" s="2" t="str">
        <f>TRIM(Table1[[#This Row],[Status]])</f>
        <v>Zaakceptowana</v>
      </c>
      <c r="G2387" s="2" t="str">
        <f>TRIM(Table1[[#This Row],[Typ]])</f>
        <v>Faktura VAT</v>
      </c>
      <c r="H2387" s="2" t="str">
        <f>TRIM(Table1[[#This Row],[Magazyn]])</f>
        <v>Apteka Szpitalna</v>
      </c>
      <c r="I2387" s="2" t="str">
        <f>TRIM(Table1[[#This Row],[Umowa]])</f>
        <v/>
      </c>
      <c r="J2387" s="2" t="b">
        <f>ISTEXT(Table14[[#This Row],[Data_Wystawienia]])</f>
        <v>0</v>
      </c>
      <c r="K2387" s="2">
        <f>VALUE(SUBSTITUTE(Table14[[#This Row],[Wartość]],".",","))</f>
        <v>10326.290000000001</v>
      </c>
      <c r="L23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7" s="2" t="str">
        <f>IF(Table14[[#This Row],[Umowa]]="","Poza umową","Z umowy")</f>
        <v>Poza umową</v>
      </c>
      <c r="N2387" s="2">
        <f>YEAR(Table14[[#This Row],[Data_Wystawienia]])</f>
        <v>2024</v>
      </c>
      <c r="O2387" s="2" t="str">
        <f>TEXT(Table14[[#This Row],[Data_Wystawienia]],"rrrr-mm")</f>
        <v>2024-06</v>
      </c>
      <c r="P2387" s="2">
        <v>1</v>
      </c>
    </row>
    <row r="2388" spans="1:16" x14ac:dyDescent="0.3">
      <c r="A2388" s="2" t="str">
        <f>TRIM(Table1[[#This Row],[Numer_FV]])</f>
        <v>FV/59856/VDb/2024</v>
      </c>
      <c r="B2388" s="2" t="str">
        <f>TRIM(Table1[[#This Row],[Numer_PZ]])</f>
        <v>PZ/802386</v>
      </c>
      <c r="C2388" s="2" t="str">
        <f>TRIM(Table1[[#This Row],[Dostawca]])</f>
        <v>VitaDistrib</v>
      </c>
      <c r="D2388" s="3">
        <v>45446</v>
      </c>
      <c r="E2388" s="4" t="s">
        <v>7057</v>
      </c>
      <c r="F2388" s="2" t="str">
        <f>TRIM(Table1[[#This Row],[Status]])</f>
        <v>Zaakceptowana</v>
      </c>
      <c r="G2388" s="2" t="str">
        <f>TRIM(Table1[[#This Row],[Typ]])</f>
        <v>Faktura VAT</v>
      </c>
      <c r="H2388" s="2" t="str">
        <f>TRIM(Table1[[#This Row],[Magazyn]])</f>
        <v>Apteka Szpitalna</v>
      </c>
      <c r="I2388" s="2" t="str">
        <f>TRIM(Table1[[#This Row],[Umowa]])</f>
        <v>UM-VIT-01</v>
      </c>
      <c r="J2388" s="2" t="b">
        <f>ISTEXT(Table14[[#This Row],[Data_Wystawienia]])</f>
        <v>0</v>
      </c>
      <c r="K2388" s="2">
        <f>VALUE(SUBSTITUTE(Table14[[#This Row],[Wartość]],".",","))</f>
        <v>17415.439999999999</v>
      </c>
      <c r="L23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8" s="2" t="str">
        <f>IF(Table14[[#This Row],[Umowa]]="","Poza umową","Z umowy")</f>
        <v>Z umowy</v>
      </c>
      <c r="N2388" s="2">
        <f>YEAR(Table14[[#This Row],[Data_Wystawienia]])</f>
        <v>2024</v>
      </c>
      <c r="O2388" s="2" t="str">
        <f>TEXT(Table14[[#This Row],[Data_Wystawienia]],"rrrr-mm")</f>
        <v>2024-06</v>
      </c>
      <c r="P2388" s="2">
        <v>1</v>
      </c>
    </row>
    <row r="2389" spans="1:16" x14ac:dyDescent="0.3">
      <c r="A2389" s="2" t="str">
        <f>TRIM(Table1[[#This Row],[Numer_FV]])</f>
        <v>FV/CENFA/831629/24</v>
      </c>
      <c r="B2389" s="2" t="str">
        <f>TRIM(Table1[[#This Row],[Numer_PZ]])</f>
        <v>PZ/802387</v>
      </c>
      <c r="C2389" s="2" t="str">
        <f>TRIM(Table1[[#This Row],[Dostawca]])</f>
        <v>CentrumFarm</v>
      </c>
      <c r="D2389" s="3">
        <v>45447</v>
      </c>
      <c r="E2389" s="4" t="s">
        <v>7060</v>
      </c>
      <c r="F2389" s="2" t="str">
        <f>TRIM(Table1[[#This Row],[Status]])</f>
        <v>Zaakceptowana</v>
      </c>
      <c r="G2389" s="2" t="str">
        <f>TRIM(Table1[[#This Row],[Typ]])</f>
        <v>Faktura VAT</v>
      </c>
      <c r="H2389" s="2" t="str">
        <f>TRIM(Table1[[#This Row],[Magazyn]])</f>
        <v>Apteka Szpitalna</v>
      </c>
      <c r="I2389" s="2" t="str">
        <f>TRIM(Table1[[#This Row],[Umowa]])</f>
        <v>UM-CEN-01</v>
      </c>
      <c r="J2389" s="2" t="b">
        <f>ISTEXT(Table14[[#This Row],[Data_Wystawienia]])</f>
        <v>0</v>
      </c>
      <c r="K2389" s="2">
        <f>VALUE(SUBSTITUTE(Table14[[#This Row],[Wartość]],".",","))</f>
        <v>22301.16</v>
      </c>
      <c r="L23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89" s="2" t="str">
        <f>IF(Table14[[#This Row],[Umowa]]="","Poza umową","Z umowy")</f>
        <v>Z umowy</v>
      </c>
      <c r="N2389" s="2">
        <f>YEAR(Table14[[#This Row],[Data_Wystawienia]])</f>
        <v>2024</v>
      </c>
      <c r="O2389" s="2" t="str">
        <f>TEXT(Table14[[#This Row],[Data_Wystawienia]],"rrrr-mm")</f>
        <v>2024-06</v>
      </c>
      <c r="P2389" s="2">
        <v>1</v>
      </c>
    </row>
    <row r="2390" spans="1:16" x14ac:dyDescent="0.3">
      <c r="A2390" s="2" t="str">
        <f>TRIM(Table1[[#This Row],[Numer_FV]])</f>
        <v>FV/POL/85761/2024</v>
      </c>
      <c r="B2390" s="2" t="str">
        <f>TRIM(Table1[[#This Row],[Numer_PZ]])</f>
        <v>PZ/802388</v>
      </c>
      <c r="C2390" s="2" t="str">
        <f>TRIM(Table1[[#This Row],[Dostawca]])</f>
        <v>Polmedica</v>
      </c>
      <c r="D2390" s="3">
        <v>45447</v>
      </c>
      <c r="E2390" s="4" t="s">
        <v>7063</v>
      </c>
      <c r="F2390" s="2" t="str">
        <f>TRIM(Table1[[#This Row],[Status]])</f>
        <v>Zaakceptowana</v>
      </c>
      <c r="G2390" s="2" t="str">
        <f>TRIM(Table1[[#This Row],[Typ]])</f>
        <v>Faktura VAT</v>
      </c>
      <c r="H2390" s="2" t="str">
        <f>TRIM(Table1[[#This Row],[Magazyn]])</f>
        <v>Apteka Szpitalna</v>
      </c>
      <c r="I2390" s="2" t="str">
        <f>TRIM(Table1[[#This Row],[Umowa]])</f>
        <v>UM-POL-01</v>
      </c>
      <c r="J2390" s="2" t="b">
        <f>ISTEXT(Table14[[#This Row],[Data_Wystawienia]])</f>
        <v>0</v>
      </c>
      <c r="K2390" s="2">
        <f>VALUE(SUBSTITUTE(Table14[[#This Row],[Wartość]],".",","))</f>
        <v>20983.54</v>
      </c>
      <c r="L23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0" s="2" t="str">
        <f>IF(Table14[[#This Row],[Umowa]]="","Poza umową","Z umowy")</f>
        <v>Z umowy</v>
      </c>
      <c r="N2390" s="2">
        <f>YEAR(Table14[[#This Row],[Data_Wystawienia]])</f>
        <v>2024</v>
      </c>
      <c r="O2390" s="2" t="str">
        <f>TEXT(Table14[[#This Row],[Data_Wystawienia]],"rrrr-mm")</f>
        <v>2024-06</v>
      </c>
      <c r="P2390" s="2">
        <v>1</v>
      </c>
    </row>
    <row r="2391" spans="1:16" x14ac:dyDescent="0.3">
      <c r="A2391" s="2" t="str">
        <f>TRIM(Table1[[#This Row],[Numer_FV]])</f>
        <v>FV/46332/VDb/2024</v>
      </c>
      <c r="B2391" s="2" t="str">
        <f>TRIM(Table1[[#This Row],[Numer_PZ]])</f>
        <v>PZ/802389</v>
      </c>
      <c r="C2391" s="2" t="str">
        <f>TRIM(Table1[[#This Row],[Dostawca]])</f>
        <v>VitaDistrib</v>
      </c>
      <c r="D2391" s="3">
        <v>45447</v>
      </c>
      <c r="E2391" s="4" t="s">
        <v>7066</v>
      </c>
      <c r="F2391" s="2" t="str">
        <f>TRIM(Table1[[#This Row],[Status]])</f>
        <v>Zaakceptowana</v>
      </c>
      <c r="G2391" s="2" t="str">
        <f>TRIM(Table1[[#This Row],[Typ]])</f>
        <v>Faktura VAT</v>
      </c>
      <c r="H2391" s="2" t="str">
        <f>TRIM(Table1[[#This Row],[Magazyn]])</f>
        <v>Apteka Szpitalna</v>
      </c>
      <c r="I2391" s="2" t="str">
        <f>TRIM(Table1[[#This Row],[Umowa]])</f>
        <v/>
      </c>
      <c r="J2391" s="2" t="b">
        <f>ISTEXT(Table14[[#This Row],[Data_Wystawienia]])</f>
        <v>0</v>
      </c>
      <c r="K2391" s="2">
        <f>VALUE(SUBSTITUTE(Table14[[#This Row],[Wartość]],".",","))</f>
        <v>12264.69</v>
      </c>
      <c r="L23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1" s="2" t="str">
        <f>IF(Table14[[#This Row],[Umowa]]="","Poza umową","Z umowy")</f>
        <v>Poza umową</v>
      </c>
      <c r="N2391" s="2">
        <f>YEAR(Table14[[#This Row],[Data_Wystawienia]])</f>
        <v>2024</v>
      </c>
      <c r="O2391" s="2" t="str">
        <f>TEXT(Table14[[#This Row],[Data_Wystawienia]],"rrrr-mm")</f>
        <v>2024-06</v>
      </c>
      <c r="P2391" s="2">
        <v>1</v>
      </c>
    </row>
    <row r="2392" spans="1:16" x14ac:dyDescent="0.3">
      <c r="A2392" s="2" t="str">
        <f>TRIM(Table1[[#This Row],[Numer_FV]])</f>
        <v>FV/CENFA/560113/24</v>
      </c>
      <c r="B2392" s="2" t="str">
        <f>TRIM(Table1[[#This Row],[Numer_PZ]])</f>
        <v>PZ/802390</v>
      </c>
      <c r="C2392" s="2" t="str">
        <f>TRIM(Table1[[#This Row],[Dostawca]])</f>
        <v>CentrumFarm</v>
      </c>
      <c r="D2392" s="3">
        <v>45448</v>
      </c>
      <c r="E2392" s="4" t="s">
        <v>7069</v>
      </c>
      <c r="F2392" s="2" t="str">
        <f>TRIM(Table1[[#This Row],[Status]])</f>
        <v>Zaakceptowana</v>
      </c>
      <c r="G2392" s="2" t="str">
        <f>TRIM(Table1[[#This Row],[Typ]])</f>
        <v>Faktura VAT</v>
      </c>
      <c r="H2392" s="2" t="str">
        <f>TRIM(Table1[[#This Row],[Magazyn]])</f>
        <v>Apteka Szpitalna</v>
      </c>
      <c r="I2392" s="2" t="str">
        <f>TRIM(Table1[[#This Row],[Umowa]])</f>
        <v/>
      </c>
      <c r="J2392" s="2" t="b">
        <f>ISTEXT(Table14[[#This Row],[Data_Wystawienia]])</f>
        <v>0</v>
      </c>
      <c r="K2392" s="2">
        <f>VALUE(SUBSTITUTE(Table14[[#This Row],[Wartość]],".",","))</f>
        <v>19151.439999999999</v>
      </c>
      <c r="L23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2" s="2" t="str">
        <f>IF(Table14[[#This Row],[Umowa]]="","Poza umową","Z umowy")</f>
        <v>Poza umową</v>
      </c>
      <c r="N2392" s="2">
        <f>YEAR(Table14[[#This Row],[Data_Wystawienia]])</f>
        <v>2024</v>
      </c>
      <c r="O2392" s="2" t="str">
        <f>TEXT(Table14[[#This Row],[Data_Wystawienia]],"rrrr-mm")</f>
        <v>2024-06</v>
      </c>
      <c r="P2392" s="2">
        <v>1</v>
      </c>
    </row>
    <row r="2393" spans="1:16" x14ac:dyDescent="0.3">
      <c r="A2393" s="2" t="str">
        <f>TRIM(Table1[[#This Row],[Numer_FV]])</f>
        <v>FV/3098HM/24</v>
      </c>
      <c r="B2393" s="2" t="str">
        <f>TRIM(Table1[[#This Row],[Numer_PZ]])</f>
        <v>PZ/802391</v>
      </c>
      <c r="C2393" s="2" t="str">
        <f>TRIM(Table1[[#This Row],[Dostawca]])</f>
        <v>HurtMedix</v>
      </c>
      <c r="D2393" s="3">
        <v>45448</v>
      </c>
      <c r="E2393" s="4" t="s">
        <v>7072</v>
      </c>
      <c r="F2393" s="2" t="str">
        <f>TRIM(Table1[[#This Row],[Status]])</f>
        <v>Zaakceptowana</v>
      </c>
      <c r="G2393" s="2" t="str">
        <f>TRIM(Table1[[#This Row],[Typ]])</f>
        <v>Faktura VAT</v>
      </c>
      <c r="H2393" s="2" t="str">
        <f>TRIM(Table1[[#This Row],[Magazyn]])</f>
        <v>Apteka Szpitalna</v>
      </c>
      <c r="I2393" s="2" t="str">
        <f>TRIM(Table1[[#This Row],[Umowa]])</f>
        <v>UM-HUR-02</v>
      </c>
      <c r="J2393" s="2" t="b">
        <f>ISTEXT(Table14[[#This Row],[Data_Wystawienia]])</f>
        <v>0</v>
      </c>
      <c r="K2393" s="2">
        <f>VALUE(SUBSTITUTE(Table14[[#This Row],[Wartość]],".",","))</f>
        <v>18617.25</v>
      </c>
      <c r="L23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3" s="2" t="str">
        <f>IF(Table14[[#This Row],[Umowa]]="","Poza umową","Z umowy")</f>
        <v>Z umowy</v>
      </c>
      <c r="N2393" s="2">
        <f>YEAR(Table14[[#This Row],[Data_Wystawienia]])</f>
        <v>2024</v>
      </c>
      <c r="O2393" s="2" t="str">
        <f>TEXT(Table14[[#This Row],[Data_Wystawienia]],"rrrr-mm")</f>
        <v>2024-06</v>
      </c>
      <c r="P2393" s="2">
        <v>1</v>
      </c>
    </row>
    <row r="2394" spans="1:16" x14ac:dyDescent="0.3">
      <c r="A2394" s="2" t="str">
        <f>TRIM(Table1[[#This Row],[Numer_FV]])</f>
        <v>FV/97595/VDb/2024</v>
      </c>
      <c r="B2394" s="2" t="str">
        <f>TRIM(Table1[[#This Row],[Numer_PZ]])</f>
        <v>PZ/802392</v>
      </c>
      <c r="C2394" s="2" t="str">
        <f>TRIM(Table1[[#This Row],[Dostawca]])</f>
        <v>VitaDistrib</v>
      </c>
      <c r="D2394" s="3">
        <v>45448</v>
      </c>
      <c r="E2394" s="4" t="s">
        <v>7075</v>
      </c>
      <c r="F2394" s="2" t="str">
        <f>TRIM(Table1[[#This Row],[Status]])</f>
        <v>Zaakceptowana</v>
      </c>
      <c r="G2394" s="2" t="str">
        <f>TRIM(Table1[[#This Row],[Typ]])</f>
        <v>Faktura VAT</v>
      </c>
      <c r="H2394" s="2" t="str">
        <f>TRIM(Table1[[#This Row],[Magazyn]])</f>
        <v>Apteka Szpitalna</v>
      </c>
      <c r="I2394" s="2" t="str">
        <f>TRIM(Table1[[#This Row],[Umowa]])</f>
        <v>UM-VIT-01</v>
      </c>
      <c r="J2394" s="2" t="b">
        <f>ISTEXT(Table14[[#This Row],[Data_Wystawienia]])</f>
        <v>0</v>
      </c>
      <c r="K2394" s="2">
        <f>VALUE(SUBSTITUTE(Table14[[#This Row],[Wartość]],".",","))</f>
        <v>4279.28</v>
      </c>
      <c r="L23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4" s="2" t="str">
        <f>IF(Table14[[#This Row],[Umowa]]="","Poza umową","Z umowy")</f>
        <v>Z umowy</v>
      </c>
      <c r="N2394" s="2">
        <f>YEAR(Table14[[#This Row],[Data_Wystawienia]])</f>
        <v>2024</v>
      </c>
      <c r="O2394" s="2" t="str">
        <f>TEXT(Table14[[#This Row],[Data_Wystawienia]],"rrrr-mm")</f>
        <v>2024-06</v>
      </c>
      <c r="P2394" s="2">
        <v>1</v>
      </c>
    </row>
    <row r="2395" spans="1:16" x14ac:dyDescent="0.3">
      <c r="A2395" s="2" t="str">
        <f>TRIM(Table1[[#This Row],[Numer_FV]])</f>
        <v>FV/9175/NOVA/24</v>
      </c>
      <c r="B2395" s="2" t="str">
        <f>TRIM(Table1[[#This Row],[Numer_PZ]])</f>
        <v>PZ/802393</v>
      </c>
      <c r="C2395" s="2" t="str">
        <f>TRIM(Table1[[#This Row],[Dostawca]])</f>
        <v>NovaLek</v>
      </c>
      <c r="D2395" s="3">
        <v>45448</v>
      </c>
      <c r="E2395" s="4" t="s">
        <v>7078</v>
      </c>
      <c r="F2395" s="2" t="str">
        <f>TRIM(Table1[[#This Row],[Status]])</f>
        <v>Zaakceptowana</v>
      </c>
      <c r="G2395" s="2" t="str">
        <f>TRIM(Table1[[#This Row],[Typ]])</f>
        <v>Faktura VAT</v>
      </c>
      <c r="H2395" s="2" t="str">
        <f>TRIM(Table1[[#This Row],[Magazyn]])</f>
        <v>Apteka Szpitalna</v>
      </c>
      <c r="I2395" s="2" t="str">
        <f>TRIM(Table1[[#This Row],[Umowa]])</f>
        <v>UM-NOV-02</v>
      </c>
      <c r="J2395" s="2" t="b">
        <f>ISTEXT(Table14[[#This Row],[Data_Wystawienia]])</f>
        <v>0</v>
      </c>
      <c r="K2395" s="2">
        <f>VALUE(SUBSTITUTE(Table14[[#This Row],[Wartość]],".",","))</f>
        <v>18530.89</v>
      </c>
      <c r="L23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5" s="2" t="str">
        <f>IF(Table14[[#This Row],[Umowa]]="","Poza umową","Z umowy")</f>
        <v>Z umowy</v>
      </c>
      <c r="N2395" s="2">
        <f>YEAR(Table14[[#This Row],[Data_Wystawienia]])</f>
        <v>2024</v>
      </c>
      <c r="O2395" s="2" t="str">
        <f>TEXT(Table14[[#This Row],[Data_Wystawienia]],"rrrr-mm")</f>
        <v>2024-06</v>
      </c>
      <c r="P2395" s="2">
        <v>1</v>
      </c>
    </row>
    <row r="2396" spans="1:16" x14ac:dyDescent="0.3">
      <c r="A2396" s="2" t="str">
        <f>TRIM(Table1[[#This Row],[Numer_FV]])</f>
        <v>FV/8462HM/24</v>
      </c>
      <c r="B2396" s="2" t="str">
        <f>TRIM(Table1[[#This Row],[Numer_PZ]])</f>
        <v>PZ/802394</v>
      </c>
      <c r="C2396" s="2" t="str">
        <f>TRIM(Table1[[#This Row],[Dostawca]])</f>
        <v>HurtMedix</v>
      </c>
      <c r="D2396" s="3">
        <v>45448</v>
      </c>
      <c r="E2396" s="4" t="s">
        <v>7081</v>
      </c>
      <c r="F2396" s="2" t="str">
        <f>TRIM(Table1[[#This Row],[Status]])</f>
        <v>Zaakceptowana</v>
      </c>
      <c r="G2396" s="2" t="str">
        <f>TRIM(Table1[[#This Row],[Typ]])</f>
        <v>Faktura VAT</v>
      </c>
      <c r="H2396" s="2" t="str">
        <f>TRIM(Table1[[#This Row],[Magazyn]])</f>
        <v>Apteka Szpitalna</v>
      </c>
      <c r="I2396" s="2" t="str">
        <f>TRIM(Table1[[#This Row],[Umowa]])</f>
        <v>UM-HUR-01</v>
      </c>
      <c r="J2396" s="2" t="b">
        <f>ISTEXT(Table14[[#This Row],[Data_Wystawienia]])</f>
        <v>0</v>
      </c>
      <c r="K2396" s="2">
        <f>VALUE(SUBSTITUTE(Table14[[#This Row],[Wartość]],".",","))</f>
        <v>9321.7800000000007</v>
      </c>
      <c r="L23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6" s="2" t="str">
        <f>IF(Table14[[#This Row],[Umowa]]="","Poza umową","Z umowy")</f>
        <v>Z umowy</v>
      </c>
      <c r="N2396" s="2">
        <f>YEAR(Table14[[#This Row],[Data_Wystawienia]])</f>
        <v>2024</v>
      </c>
      <c r="O2396" s="2" t="str">
        <f>TEXT(Table14[[#This Row],[Data_Wystawienia]],"rrrr-mm")</f>
        <v>2024-06</v>
      </c>
      <c r="P2396" s="2">
        <v>1</v>
      </c>
    </row>
    <row r="2397" spans="1:16" x14ac:dyDescent="0.3">
      <c r="A2397" s="2" t="str">
        <f>TRIM(Table1[[#This Row],[Numer_FV]])</f>
        <v>FV/41/PP/2480/24</v>
      </c>
      <c r="B2397" s="2" t="str">
        <f>TRIM(Table1[[#This Row],[Numer_PZ]])</f>
        <v>PZ/802395</v>
      </c>
      <c r="C2397" s="2" t="str">
        <f>TRIM(Table1[[#This Row],[Dostawca]])</f>
        <v>PharmaPlus</v>
      </c>
      <c r="D2397" s="3">
        <v>45449</v>
      </c>
      <c r="E2397" s="4" t="s">
        <v>7084</v>
      </c>
      <c r="F2397" s="2" t="str">
        <f>TRIM(Table1[[#This Row],[Status]])</f>
        <v>Zaakceptowana</v>
      </c>
      <c r="G2397" s="2" t="str">
        <f>TRIM(Table1[[#This Row],[Typ]])</f>
        <v>Faktura VAT</v>
      </c>
      <c r="H2397" s="2" t="str">
        <f>TRIM(Table1[[#This Row],[Magazyn]])</f>
        <v>Apteka Szpitalna</v>
      </c>
      <c r="I2397" s="2" t="str">
        <f>TRIM(Table1[[#This Row],[Umowa]])</f>
        <v>UM-PHA-02</v>
      </c>
      <c r="J2397" s="2" t="b">
        <f>ISTEXT(Table14[[#This Row],[Data_Wystawienia]])</f>
        <v>0</v>
      </c>
      <c r="K2397" s="2">
        <f>VALUE(SUBSTITUTE(Table14[[#This Row],[Wartość]],".",","))</f>
        <v>5706.99</v>
      </c>
      <c r="L23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7" s="2" t="str">
        <f>IF(Table14[[#This Row],[Umowa]]="","Poza umową","Z umowy")</f>
        <v>Z umowy</v>
      </c>
      <c r="N2397" s="2">
        <f>YEAR(Table14[[#This Row],[Data_Wystawienia]])</f>
        <v>2024</v>
      </c>
      <c r="O2397" s="2" t="str">
        <f>TEXT(Table14[[#This Row],[Data_Wystawienia]],"rrrr-mm")</f>
        <v>2024-06</v>
      </c>
      <c r="P2397" s="2">
        <v>1</v>
      </c>
    </row>
    <row r="2398" spans="1:16" x14ac:dyDescent="0.3">
      <c r="A2398" s="2" t="str">
        <f>TRIM(Table1[[#This Row],[Numer_FV]])</f>
        <v>FV/M/2665/P/24</v>
      </c>
      <c r="B2398" s="2" t="str">
        <f>TRIM(Table1[[#This Row],[Numer_PZ]])</f>
        <v>PZ/802396</v>
      </c>
      <c r="C2398" s="2" t="str">
        <f>TRIM(Table1[[#This Row],[Dostawca]])</f>
        <v>MedicaPharm</v>
      </c>
      <c r="D2398" s="3">
        <v>45449</v>
      </c>
      <c r="E2398" s="4" t="s">
        <v>7087</v>
      </c>
      <c r="F2398" s="2" t="str">
        <f>TRIM(Table1[[#This Row],[Status]])</f>
        <v>Zaakceptowana</v>
      </c>
      <c r="G2398" s="2" t="str">
        <f>TRIM(Table1[[#This Row],[Typ]])</f>
        <v>Faktura VAT</v>
      </c>
      <c r="H2398" s="2" t="str">
        <f>TRIM(Table1[[#This Row],[Magazyn]])</f>
        <v>Apteka Szpitalna</v>
      </c>
      <c r="I2398" s="2" t="str">
        <f>TRIM(Table1[[#This Row],[Umowa]])</f>
        <v/>
      </c>
      <c r="J2398" s="2" t="b">
        <f>ISTEXT(Table14[[#This Row],[Data_Wystawienia]])</f>
        <v>0</v>
      </c>
      <c r="K2398" s="2">
        <f>VALUE(SUBSTITUTE(Table14[[#This Row],[Wartość]],".",","))</f>
        <v>25052</v>
      </c>
      <c r="L23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8" s="2" t="str">
        <f>IF(Table14[[#This Row],[Umowa]]="","Poza umową","Z umowy")</f>
        <v>Poza umową</v>
      </c>
      <c r="N2398" s="2">
        <f>YEAR(Table14[[#This Row],[Data_Wystawienia]])</f>
        <v>2024</v>
      </c>
      <c r="O2398" s="2" t="str">
        <f>TEXT(Table14[[#This Row],[Data_Wystawienia]],"rrrr-mm")</f>
        <v>2024-06</v>
      </c>
      <c r="P2398" s="2">
        <v>1</v>
      </c>
    </row>
    <row r="2399" spans="1:16" x14ac:dyDescent="0.3">
      <c r="A2399" s="2" t="str">
        <f>TRIM(Table1[[#This Row],[Numer_FV]])</f>
        <v>FV/81/PP/8196/24</v>
      </c>
      <c r="B2399" s="2" t="str">
        <f>TRIM(Table1[[#This Row],[Numer_PZ]])</f>
        <v>PZ/802397</v>
      </c>
      <c r="C2399" s="2" t="str">
        <f>TRIM(Table1[[#This Row],[Dostawca]])</f>
        <v>PharmaPlus</v>
      </c>
      <c r="D2399" s="3">
        <v>45450</v>
      </c>
      <c r="E2399" s="4" t="s">
        <v>7090</v>
      </c>
      <c r="F2399" s="2" t="str">
        <f>TRIM(Table1[[#This Row],[Status]])</f>
        <v>Zaakceptowana</v>
      </c>
      <c r="G2399" s="2" t="str">
        <f>TRIM(Table1[[#This Row],[Typ]])</f>
        <v>Faktura VAT</v>
      </c>
      <c r="H2399" s="2" t="str">
        <f>TRIM(Table1[[#This Row],[Magazyn]])</f>
        <v>Apteka Szpitalna</v>
      </c>
      <c r="I2399" s="2" t="str">
        <f>TRIM(Table1[[#This Row],[Umowa]])</f>
        <v/>
      </c>
      <c r="J2399" s="2" t="b">
        <f>ISTEXT(Table14[[#This Row],[Data_Wystawienia]])</f>
        <v>0</v>
      </c>
      <c r="K2399" s="2">
        <f>VALUE(SUBSTITUTE(Table14[[#This Row],[Wartość]],".",","))</f>
        <v>21120.92</v>
      </c>
      <c r="L23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399" s="2" t="str">
        <f>IF(Table14[[#This Row],[Umowa]]="","Poza umową","Z umowy")</f>
        <v>Poza umową</v>
      </c>
      <c r="N2399" s="2">
        <f>YEAR(Table14[[#This Row],[Data_Wystawienia]])</f>
        <v>2024</v>
      </c>
      <c r="O2399" s="2" t="str">
        <f>TEXT(Table14[[#This Row],[Data_Wystawienia]],"rrrr-mm")</f>
        <v>2024-06</v>
      </c>
      <c r="P2399" s="2">
        <v>1</v>
      </c>
    </row>
    <row r="2400" spans="1:16" x14ac:dyDescent="0.3">
      <c r="A2400" s="2" t="str">
        <f>TRIM(Table1[[#This Row],[Numer_FV]])</f>
        <v>FV/M/7180/P/24</v>
      </c>
      <c r="B2400" s="2" t="str">
        <f>TRIM(Table1[[#This Row],[Numer_PZ]])</f>
        <v>PZ/802398</v>
      </c>
      <c r="C2400" s="2" t="str">
        <f>TRIM(Table1[[#This Row],[Dostawca]])</f>
        <v>MedicaPharm</v>
      </c>
      <c r="D2400" s="3">
        <v>45450</v>
      </c>
      <c r="E2400" s="4" t="s">
        <v>7093</v>
      </c>
      <c r="F2400" s="2" t="str">
        <f>TRIM(Table1[[#This Row],[Status]])</f>
        <v>Zaakceptowana</v>
      </c>
      <c r="G2400" s="2" t="str">
        <f>TRIM(Table1[[#This Row],[Typ]])</f>
        <v>Faktura VAT</v>
      </c>
      <c r="H2400" s="2" t="str">
        <f>TRIM(Table1[[#This Row],[Magazyn]])</f>
        <v>Apteka Szpitalna</v>
      </c>
      <c r="I2400" s="2" t="str">
        <f>TRIM(Table1[[#This Row],[Umowa]])</f>
        <v>UM-MED-02</v>
      </c>
      <c r="J2400" s="2" t="b">
        <f>ISTEXT(Table14[[#This Row],[Data_Wystawienia]])</f>
        <v>0</v>
      </c>
      <c r="K2400" s="2">
        <f>VALUE(SUBSTITUTE(Table14[[#This Row],[Wartość]],".",","))</f>
        <v>20653.259999999998</v>
      </c>
      <c r="L24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0" s="2" t="str">
        <f>IF(Table14[[#This Row],[Umowa]]="","Poza umową","Z umowy")</f>
        <v>Z umowy</v>
      </c>
      <c r="N2400" s="2">
        <f>YEAR(Table14[[#This Row],[Data_Wystawienia]])</f>
        <v>2024</v>
      </c>
      <c r="O2400" s="2" t="str">
        <f>TEXT(Table14[[#This Row],[Data_Wystawienia]],"rrrr-mm")</f>
        <v>2024-06</v>
      </c>
      <c r="P2400" s="2">
        <v>1</v>
      </c>
    </row>
    <row r="2401" spans="1:16" x14ac:dyDescent="0.3">
      <c r="A2401" s="2" t="str">
        <f>TRIM(Table1[[#This Row],[Numer_FV]])</f>
        <v>FV/3464/NOVA/24</v>
      </c>
      <c r="B2401" s="2" t="str">
        <f>TRIM(Table1[[#This Row],[Numer_PZ]])</f>
        <v>PZ/802399</v>
      </c>
      <c r="C2401" s="2" t="str">
        <f>TRIM(Table1[[#This Row],[Dostawca]])</f>
        <v>NovaLek</v>
      </c>
      <c r="D2401" s="3">
        <v>45450</v>
      </c>
      <c r="E2401" s="4" t="s">
        <v>7096</v>
      </c>
      <c r="F2401" s="2" t="str">
        <f>TRIM(Table1[[#This Row],[Status]])</f>
        <v>Zaakceptowana</v>
      </c>
      <c r="G2401" s="2" t="str">
        <f>TRIM(Table1[[#This Row],[Typ]])</f>
        <v>Faktura VAT</v>
      </c>
      <c r="H2401" s="2" t="str">
        <f>TRIM(Table1[[#This Row],[Magazyn]])</f>
        <v>Apteka Szpitalna</v>
      </c>
      <c r="I2401" s="2" t="str">
        <f>TRIM(Table1[[#This Row],[Umowa]])</f>
        <v>UM-NOV-01</v>
      </c>
      <c r="J2401" s="2" t="b">
        <f>ISTEXT(Table14[[#This Row],[Data_Wystawienia]])</f>
        <v>0</v>
      </c>
      <c r="K2401" s="2">
        <f>VALUE(SUBSTITUTE(Table14[[#This Row],[Wartość]],".",","))</f>
        <v>8580.86</v>
      </c>
      <c r="L24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1" s="2" t="str">
        <f>IF(Table14[[#This Row],[Umowa]]="","Poza umową","Z umowy")</f>
        <v>Z umowy</v>
      </c>
      <c r="N2401" s="2">
        <f>YEAR(Table14[[#This Row],[Data_Wystawienia]])</f>
        <v>2024</v>
      </c>
      <c r="O2401" s="2" t="str">
        <f>TEXT(Table14[[#This Row],[Data_Wystawienia]],"rrrr-mm")</f>
        <v>2024-06</v>
      </c>
      <c r="P2401" s="2">
        <v>1</v>
      </c>
    </row>
    <row r="2402" spans="1:16" x14ac:dyDescent="0.3">
      <c r="A2402" s="2" t="str">
        <f>TRIM(Table1[[#This Row],[Numer_FV]])</f>
        <v>FV/51/PP/5796/24</v>
      </c>
      <c r="B2402" s="2" t="str">
        <f>TRIM(Table1[[#This Row],[Numer_PZ]])</f>
        <v>PZ/802400</v>
      </c>
      <c r="C2402" s="2" t="str">
        <f>TRIM(Table1[[#This Row],[Dostawca]])</f>
        <v>PharmaPlus</v>
      </c>
      <c r="D2402" s="3">
        <v>45451</v>
      </c>
      <c r="E2402" s="4" t="s">
        <v>7099</v>
      </c>
      <c r="F2402" s="2" t="str">
        <f>TRIM(Table1[[#This Row],[Status]])</f>
        <v>Zaakceptowana</v>
      </c>
      <c r="G2402" s="2" t="str">
        <f>TRIM(Table1[[#This Row],[Typ]])</f>
        <v>Faktura VAT</v>
      </c>
      <c r="H2402" s="2" t="str">
        <f>TRIM(Table1[[#This Row],[Magazyn]])</f>
        <v>Apteka Szpitalna</v>
      </c>
      <c r="I2402" s="2" t="str">
        <f>TRIM(Table1[[#This Row],[Umowa]])</f>
        <v>UM-PHA-01</v>
      </c>
      <c r="J2402" s="2" t="b">
        <f>ISTEXT(Table14[[#This Row],[Data_Wystawienia]])</f>
        <v>0</v>
      </c>
      <c r="K2402" s="2">
        <f>VALUE(SUBSTITUTE(Table14[[#This Row],[Wartość]],".",","))</f>
        <v>7922.62</v>
      </c>
      <c r="L24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2" s="2" t="str">
        <f>IF(Table14[[#This Row],[Umowa]]="","Poza umową","Z umowy")</f>
        <v>Z umowy</v>
      </c>
      <c r="N2402" s="2">
        <f>YEAR(Table14[[#This Row],[Data_Wystawienia]])</f>
        <v>2024</v>
      </c>
      <c r="O2402" s="2" t="str">
        <f>TEXT(Table14[[#This Row],[Data_Wystawienia]],"rrrr-mm")</f>
        <v>2024-06</v>
      </c>
      <c r="P2402" s="2">
        <v>1</v>
      </c>
    </row>
    <row r="2403" spans="1:16" x14ac:dyDescent="0.3">
      <c r="A2403" s="2" t="str">
        <f>TRIM(Table1[[#This Row],[Numer_FV]])</f>
        <v>FV/2600HM/24</v>
      </c>
      <c r="B2403" s="2" t="str">
        <f>TRIM(Table1[[#This Row],[Numer_PZ]])</f>
        <v>PZ/802401</v>
      </c>
      <c r="C2403" s="2" t="str">
        <f>TRIM(Table1[[#This Row],[Dostawca]])</f>
        <v>HurtMedix</v>
      </c>
      <c r="D2403" s="3">
        <v>45451</v>
      </c>
      <c r="E2403" s="4" t="s">
        <v>7102</v>
      </c>
      <c r="F2403" s="2" t="str">
        <f>TRIM(Table1[[#This Row],[Status]])</f>
        <v>Zaakceptowana</v>
      </c>
      <c r="G2403" s="2" t="str">
        <f>TRIM(Table1[[#This Row],[Typ]])</f>
        <v>Faktura VAT</v>
      </c>
      <c r="H2403" s="2" t="str">
        <f>TRIM(Table1[[#This Row],[Magazyn]])</f>
        <v>Apteka Szpitalna</v>
      </c>
      <c r="I2403" s="2" t="str">
        <f>TRIM(Table1[[#This Row],[Umowa]])</f>
        <v>UM-HUR-03</v>
      </c>
      <c r="J2403" s="2" t="b">
        <f>ISTEXT(Table14[[#This Row],[Data_Wystawienia]])</f>
        <v>0</v>
      </c>
      <c r="K2403" s="2">
        <f>VALUE(SUBSTITUTE(Table14[[#This Row],[Wartość]],".",","))</f>
        <v>10119.35</v>
      </c>
      <c r="L24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3" s="2" t="str">
        <f>IF(Table14[[#This Row],[Umowa]]="","Poza umową","Z umowy")</f>
        <v>Z umowy</v>
      </c>
      <c r="N2403" s="2">
        <f>YEAR(Table14[[#This Row],[Data_Wystawienia]])</f>
        <v>2024</v>
      </c>
      <c r="O2403" s="2" t="str">
        <f>TEXT(Table14[[#This Row],[Data_Wystawienia]],"rrrr-mm")</f>
        <v>2024-06</v>
      </c>
      <c r="P2403" s="2">
        <v>1</v>
      </c>
    </row>
    <row r="2404" spans="1:16" x14ac:dyDescent="0.3">
      <c r="A2404" s="2" t="str">
        <f>TRIM(Table1[[#This Row],[Numer_FV]])</f>
        <v>FV/CENFA/767889/24</v>
      </c>
      <c r="B2404" s="2" t="str">
        <f>TRIM(Table1[[#This Row],[Numer_PZ]])</f>
        <v>PZ/802402</v>
      </c>
      <c r="C2404" s="2" t="str">
        <f>TRIM(Table1[[#This Row],[Dostawca]])</f>
        <v>CentrumFarm</v>
      </c>
      <c r="D2404" s="3">
        <v>45451</v>
      </c>
      <c r="E2404" s="4" t="s">
        <v>7105</v>
      </c>
      <c r="F2404" s="2" t="str">
        <f>TRIM(Table1[[#This Row],[Status]])</f>
        <v>Zaakceptowana</v>
      </c>
      <c r="G2404" s="2" t="str">
        <f>TRIM(Table1[[#This Row],[Typ]])</f>
        <v>Faktura VAT</v>
      </c>
      <c r="H2404" s="2" t="str">
        <f>TRIM(Table1[[#This Row],[Magazyn]])</f>
        <v>Apteka Szpitalna</v>
      </c>
      <c r="I2404" s="2" t="str">
        <f>TRIM(Table1[[#This Row],[Umowa]])</f>
        <v/>
      </c>
      <c r="J2404" s="2" t="b">
        <f>ISTEXT(Table14[[#This Row],[Data_Wystawienia]])</f>
        <v>0</v>
      </c>
      <c r="K2404" s="2">
        <f>VALUE(SUBSTITUTE(Table14[[#This Row],[Wartość]],".",","))</f>
        <v>14757.03</v>
      </c>
      <c r="L24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4" s="2" t="str">
        <f>IF(Table14[[#This Row],[Umowa]]="","Poza umową","Z umowy")</f>
        <v>Poza umową</v>
      </c>
      <c r="N2404" s="2">
        <f>YEAR(Table14[[#This Row],[Data_Wystawienia]])</f>
        <v>2024</v>
      </c>
      <c r="O2404" s="2" t="str">
        <f>TEXT(Table14[[#This Row],[Data_Wystawienia]],"rrrr-mm")</f>
        <v>2024-06</v>
      </c>
      <c r="P2404" s="2">
        <v>1</v>
      </c>
    </row>
    <row r="2405" spans="1:16" x14ac:dyDescent="0.3">
      <c r="A2405" s="2" t="str">
        <f>TRIM(Table1[[#This Row],[Numer_FV]])</f>
        <v>FV/M/4974/P/24</v>
      </c>
      <c r="B2405" s="2" t="str">
        <f>TRIM(Table1[[#This Row],[Numer_PZ]])</f>
        <v>PZ/802403</v>
      </c>
      <c r="C2405" s="2" t="str">
        <f>TRIM(Table1[[#This Row],[Dostawca]])</f>
        <v>MedicaPharm</v>
      </c>
      <c r="D2405" s="3">
        <v>45452</v>
      </c>
      <c r="E2405" s="4" t="s">
        <v>7108</v>
      </c>
      <c r="F2405" s="2" t="str">
        <f>TRIM(Table1[[#This Row],[Status]])</f>
        <v>Zaakceptowana</v>
      </c>
      <c r="G2405" s="2" t="str">
        <f>TRIM(Table1[[#This Row],[Typ]])</f>
        <v>Faktura VAT</v>
      </c>
      <c r="H2405" s="2" t="str">
        <f>TRIM(Table1[[#This Row],[Magazyn]])</f>
        <v>Apteka Szpitalna</v>
      </c>
      <c r="I2405" s="2" t="str">
        <f>TRIM(Table1[[#This Row],[Umowa]])</f>
        <v>UM-MED-02</v>
      </c>
      <c r="J2405" s="2" t="b">
        <f>ISTEXT(Table14[[#This Row],[Data_Wystawienia]])</f>
        <v>0</v>
      </c>
      <c r="K2405" s="2">
        <f>VALUE(SUBSTITUTE(Table14[[#This Row],[Wartość]],".",","))</f>
        <v>16154.24</v>
      </c>
      <c r="L24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5" s="2" t="str">
        <f>IF(Table14[[#This Row],[Umowa]]="","Poza umową","Z umowy")</f>
        <v>Z umowy</v>
      </c>
      <c r="N2405" s="2">
        <f>YEAR(Table14[[#This Row],[Data_Wystawienia]])</f>
        <v>2024</v>
      </c>
      <c r="O2405" s="2" t="str">
        <f>TEXT(Table14[[#This Row],[Data_Wystawienia]],"rrrr-mm")</f>
        <v>2024-06</v>
      </c>
      <c r="P2405" s="2">
        <v>1</v>
      </c>
    </row>
    <row r="2406" spans="1:16" x14ac:dyDescent="0.3">
      <c r="A2406" s="2" t="str">
        <f>TRIM(Table1[[#This Row],[Numer_FV]])</f>
        <v>FV/9061HM/24</v>
      </c>
      <c r="B2406" s="2" t="str">
        <f>TRIM(Table1[[#This Row],[Numer_PZ]])</f>
        <v>PZ/802404</v>
      </c>
      <c r="C2406" s="2" t="str">
        <f>TRIM(Table1[[#This Row],[Dostawca]])</f>
        <v>HurtMedix</v>
      </c>
      <c r="D2406" s="3">
        <v>45452</v>
      </c>
      <c r="E2406" s="4" t="s">
        <v>7111</v>
      </c>
      <c r="F2406" s="2" t="str">
        <f>TRIM(Table1[[#This Row],[Status]])</f>
        <v>Zaakceptowana</v>
      </c>
      <c r="G2406" s="2" t="str">
        <f>TRIM(Table1[[#This Row],[Typ]])</f>
        <v>Faktura VAT</v>
      </c>
      <c r="H2406" s="2" t="str">
        <f>TRIM(Table1[[#This Row],[Magazyn]])</f>
        <v>Apteka Szpitalna</v>
      </c>
      <c r="I2406" s="2" t="str">
        <f>TRIM(Table1[[#This Row],[Umowa]])</f>
        <v>UM-HUR-03</v>
      </c>
      <c r="J2406" s="2" t="b">
        <f>ISTEXT(Table14[[#This Row],[Data_Wystawienia]])</f>
        <v>0</v>
      </c>
      <c r="K2406" s="2">
        <f>VALUE(SUBSTITUTE(Table14[[#This Row],[Wartość]],".",","))</f>
        <v>9924.35</v>
      </c>
      <c r="L24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6" s="2" t="str">
        <f>IF(Table14[[#This Row],[Umowa]]="","Poza umową","Z umowy")</f>
        <v>Z umowy</v>
      </c>
      <c r="N2406" s="2">
        <f>YEAR(Table14[[#This Row],[Data_Wystawienia]])</f>
        <v>2024</v>
      </c>
      <c r="O2406" s="2" t="str">
        <f>TEXT(Table14[[#This Row],[Data_Wystawienia]],"rrrr-mm")</f>
        <v>2024-06</v>
      </c>
      <c r="P2406" s="2">
        <v>1</v>
      </c>
    </row>
    <row r="2407" spans="1:16" x14ac:dyDescent="0.3">
      <c r="A2407" s="2" t="str">
        <f>TRIM(Table1[[#This Row],[Numer_FV]])</f>
        <v>FV/2184/NOVA/24</v>
      </c>
      <c r="B2407" s="2" t="str">
        <f>TRIM(Table1[[#This Row],[Numer_PZ]])</f>
        <v>PZ/802405</v>
      </c>
      <c r="C2407" s="2" t="str">
        <f>TRIM(Table1[[#This Row],[Dostawca]])</f>
        <v>NovaLek</v>
      </c>
      <c r="D2407" s="3">
        <v>45453</v>
      </c>
      <c r="E2407" s="4" t="s">
        <v>7114</v>
      </c>
      <c r="F2407" s="2" t="str">
        <f>TRIM(Table1[[#This Row],[Status]])</f>
        <v>Zaakceptowana</v>
      </c>
      <c r="G2407" s="2" t="str">
        <f>TRIM(Table1[[#This Row],[Typ]])</f>
        <v>Korekta FV</v>
      </c>
      <c r="H2407" s="2" t="str">
        <f>TRIM(Table1[[#This Row],[Magazyn]])</f>
        <v>Apteka Szpitalna</v>
      </c>
      <c r="I2407" s="2" t="str">
        <f>TRIM(Table1[[#This Row],[Umowa]])</f>
        <v/>
      </c>
      <c r="J2407" s="2" t="b">
        <f>ISTEXT(Table14[[#This Row],[Data_Wystawienia]])</f>
        <v>0</v>
      </c>
      <c r="K2407" s="2">
        <f>VALUE(SUBSTITUTE(Table14[[#This Row],[Wartość]],".",","))</f>
        <v>-1008.74</v>
      </c>
      <c r="L24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7" s="2" t="str">
        <f>IF(Table14[[#This Row],[Umowa]]="","Poza umową","Z umowy")</f>
        <v>Poza umową</v>
      </c>
      <c r="N2407" s="2">
        <f>YEAR(Table14[[#This Row],[Data_Wystawienia]])</f>
        <v>2024</v>
      </c>
      <c r="O2407" s="2" t="str">
        <f>TEXT(Table14[[#This Row],[Data_Wystawienia]],"rrrr-mm")</f>
        <v>2024-06</v>
      </c>
      <c r="P2407" s="2">
        <v>1</v>
      </c>
    </row>
    <row r="2408" spans="1:16" x14ac:dyDescent="0.3">
      <c r="A2408" s="2" t="str">
        <f>TRIM(Table1[[#This Row],[Numer_FV]])</f>
        <v>FV/9612HM/24</v>
      </c>
      <c r="B2408" s="2" t="str">
        <f>TRIM(Table1[[#This Row],[Numer_PZ]])</f>
        <v>PZ/802406</v>
      </c>
      <c r="C2408" s="2" t="str">
        <f>TRIM(Table1[[#This Row],[Dostawca]])</f>
        <v>HurtMedix</v>
      </c>
      <c r="D2408" s="3">
        <v>45453</v>
      </c>
      <c r="E2408" s="4" t="s">
        <v>7117</v>
      </c>
      <c r="F2408" s="2" t="str">
        <f>TRIM(Table1[[#This Row],[Status]])</f>
        <v>Zaakceptowana</v>
      </c>
      <c r="G2408" s="2" t="str">
        <f>TRIM(Table1[[#This Row],[Typ]])</f>
        <v>Faktura VAT</v>
      </c>
      <c r="H2408" s="2" t="str">
        <f>TRIM(Table1[[#This Row],[Magazyn]])</f>
        <v>Apteka Szpitalna</v>
      </c>
      <c r="I2408" s="2" t="str">
        <f>TRIM(Table1[[#This Row],[Umowa]])</f>
        <v>UM-HUR-03</v>
      </c>
      <c r="J2408" s="2" t="b">
        <f>ISTEXT(Table14[[#This Row],[Data_Wystawienia]])</f>
        <v>0</v>
      </c>
      <c r="K2408" s="2">
        <f>VALUE(SUBSTITUTE(Table14[[#This Row],[Wartość]],".",","))</f>
        <v>14037.54</v>
      </c>
      <c r="L24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8" s="2" t="str">
        <f>IF(Table14[[#This Row],[Umowa]]="","Poza umową","Z umowy")</f>
        <v>Z umowy</v>
      </c>
      <c r="N2408" s="2">
        <f>YEAR(Table14[[#This Row],[Data_Wystawienia]])</f>
        <v>2024</v>
      </c>
      <c r="O2408" s="2" t="str">
        <f>TEXT(Table14[[#This Row],[Data_Wystawienia]],"rrrr-mm")</f>
        <v>2024-06</v>
      </c>
      <c r="P2408" s="2">
        <v>1</v>
      </c>
    </row>
    <row r="2409" spans="1:16" x14ac:dyDescent="0.3">
      <c r="A2409" s="2" t="str">
        <f>TRIM(Table1[[#This Row],[Numer_FV]])</f>
        <v>FV/49/SAL/24</v>
      </c>
      <c r="B2409" s="2" t="str">
        <f>TRIM(Table1[[#This Row],[Numer_PZ]])</f>
        <v>PZ/802407</v>
      </c>
      <c r="C2409" s="2" t="str">
        <f>TRIM(Table1[[#This Row],[Dostawca]])</f>
        <v>SalusHurt</v>
      </c>
      <c r="D2409" s="3">
        <v>45454</v>
      </c>
      <c r="E2409" s="4" t="s">
        <v>7120</v>
      </c>
      <c r="F2409" s="2" t="str">
        <f>TRIM(Table1[[#This Row],[Status]])</f>
        <v>Zaakceptowana</v>
      </c>
      <c r="G2409" s="2" t="str">
        <f>TRIM(Table1[[#This Row],[Typ]])</f>
        <v>Faktura VAT</v>
      </c>
      <c r="H2409" s="2" t="str">
        <f>TRIM(Table1[[#This Row],[Magazyn]])</f>
        <v>Apteka Szpitalna</v>
      </c>
      <c r="I2409" s="2" t="str">
        <f>TRIM(Table1[[#This Row],[Umowa]])</f>
        <v>UM-SAL-02</v>
      </c>
      <c r="J2409" s="2" t="b">
        <f>ISTEXT(Table14[[#This Row],[Data_Wystawienia]])</f>
        <v>0</v>
      </c>
      <c r="K2409" s="2">
        <f>VALUE(SUBSTITUTE(Table14[[#This Row],[Wartość]],".",","))</f>
        <v>15965.02</v>
      </c>
      <c r="L24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09" s="2" t="str">
        <f>IF(Table14[[#This Row],[Umowa]]="","Poza umową","Z umowy")</f>
        <v>Z umowy</v>
      </c>
      <c r="N2409" s="2">
        <f>YEAR(Table14[[#This Row],[Data_Wystawienia]])</f>
        <v>2024</v>
      </c>
      <c r="O2409" s="2" t="str">
        <f>TEXT(Table14[[#This Row],[Data_Wystawienia]],"rrrr-mm")</f>
        <v>2024-06</v>
      </c>
      <c r="P2409" s="2">
        <v>1</v>
      </c>
    </row>
    <row r="2410" spans="1:16" x14ac:dyDescent="0.3">
      <c r="A2410" s="2" t="str">
        <f>TRIM(Table1[[#This Row],[Numer_FV]])</f>
        <v>FV/6011HM/24</v>
      </c>
      <c r="B2410" s="2" t="str">
        <f>TRIM(Table1[[#This Row],[Numer_PZ]])</f>
        <v>PZ/802408</v>
      </c>
      <c r="C2410" s="2" t="str">
        <f>TRIM(Table1[[#This Row],[Dostawca]])</f>
        <v>HurtMedix</v>
      </c>
      <c r="D2410" s="3">
        <v>45455</v>
      </c>
      <c r="E2410" s="4" t="s">
        <v>7123</v>
      </c>
      <c r="F2410" s="2" t="str">
        <f>TRIM(Table1[[#This Row],[Status]])</f>
        <v>Zaakceptowana</v>
      </c>
      <c r="G2410" s="2" t="str">
        <f>TRIM(Table1[[#This Row],[Typ]])</f>
        <v>Faktura VAT</v>
      </c>
      <c r="H2410" s="2" t="str">
        <f>TRIM(Table1[[#This Row],[Magazyn]])</f>
        <v>Apteka Szpitalna</v>
      </c>
      <c r="I2410" s="2" t="str">
        <f>TRIM(Table1[[#This Row],[Umowa]])</f>
        <v>UM-HUR-01</v>
      </c>
      <c r="J2410" s="2" t="b">
        <f>ISTEXT(Table14[[#This Row],[Data_Wystawienia]])</f>
        <v>0</v>
      </c>
      <c r="K2410" s="2">
        <f>VALUE(SUBSTITUTE(Table14[[#This Row],[Wartość]],".",","))</f>
        <v>20571.560000000001</v>
      </c>
      <c r="L24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0" s="2" t="str">
        <f>IF(Table14[[#This Row],[Umowa]]="","Poza umową","Z umowy")</f>
        <v>Z umowy</v>
      </c>
      <c r="N2410" s="2">
        <f>YEAR(Table14[[#This Row],[Data_Wystawienia]])</f>
        <v>2024</v>
      </c>
      <c r="O2410" s="2" t="str">
        <f>TEXT(Table14[[#This Row],[Data_Wystawienia]],"rrrr-mm")</f>
        <v>2024-06</v>
      </c>
      <c r="P2410" s="2">
        <v>1</v>
      </c>
    </row>
    <row r="2411" spans="1:16" x14ac:dyDescent="0.3">
      <c r="A2411" s="2" t="str">
        <f>TRIM(Table1[[#This Row],[Numer_FV]])</f>
        <v>FV/6545HM/24</v>
      </c>
      <c r="B2411" s="2" t="str">
        <f>TRIM(Table1[[#This Row],[Numer_PZ]])</f>
        <v>PZ/802409</v>
      </c>
      <c r="C2411" s="2" t="str">
        <f>TRIM(Table1[[#This Row],[Dostawca]])</f>
        <v>HurtMedix</v>
      </c>
      <c r="D2411" s="3">
        <v>45455</v>
      </c>
      <c r="E2411" s="4" t="s">
        <v>7126</v>
      </c>
      <c r="F2411" s="2" t="str">
        <f>TRIM(Table1[[#This Row],[Status]])</f>
        <v>Zaakceptowana</v>
      </c>
      <c r="G2411" s="2" t="str">
        <f>TRIM(Table1[[#This Row],[Typ]])</f>
        <v>Faktura VAT</v>
      </c>
      <c r="H2411" s="2" t="str">
        <f>TRIM(Table1[[#This Row],[Magazyn]])</f>
        <v>Apteka Szpitalna</v>
      </c>
      <c r="I2411" s="2" t="str">
        <f>TRIM(Table1[[#This Row],[Umowa]])</f>
        <v>UM-HUR-01</v>
      </c>
      <c r="J2411" s="2" t="b">
        <f>ISTEXT(Table14[[#This Row],[Data_Wystawienia]])</f>
        <v>0</v>
      </c>
      <c r="K2411" s="2">
        <f>VALUE(SUBSTITUTE(Table14[[#This Row],[Wartość]],".",","))</f>
        <v>16286.73</v>
      </c>
      <c r="L24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1" s="2" t="str">
        <f>IF(Table14[[#This Row],[Umowa]]="","Poza umową","Z umowy")</f>
        <v>Z umowy</v>
      </c>
      <c r="N2411" s="2">
        <f>YEAR(Table14[[#This Row],[Data_Wystawienia]])</f>
        <v>2024</v>
      </c>
      <c r="O2411" s="2" t="str">
        <f>TEXT(Table14[[#This Row],[Data_Wystawienia]],"rrrr-mm")</f>
        <v>2024-06</v>
      </c>
      <c r="P2411" s="2">
        <v>1</v>
      </c>
    </row>
    <row r="2412" spans="1:16" x14ac:dyDescent="0.3">
      <c r="A2412" s="2" t="str">
        <f>TRIM(Table1[[#This Row],[Numer_FV]])</f>
        <v>FV/43/SAL/24</v>
      </c>
      <c r="B2412" s="2" t="str">
        <f>TRIM(Table1[[#This Row],[Numer_PZ]])</f>
        <v>PZ/802410</v>
      </c>
      <c r="C2412" s="2" t="str">
        <f>TRIM(Table1[[#This Row],[Dostawca]])</f>
        <v>SalusHurt</v>
      </c>
      <c r="D2412" s="3">
        <v>45456</v>
      </c>
      <c r="E2412" s="4" t="s">
        <v>7129</v>
      </c>
      <c r="F2412" s="2" t="str">
        <f>TRIM(Table1[[#This Row],[Status]])</f>
        <v>Zaakceptowana</v>
      </c>
      <c r="G2412" s="2" t="str">
        <f>TRIM(Table1[[#This Row],[Typ]])</f>
        <v>Faktura VAT</v>
      </c>
      <c r="H2412" s="2" t="str">
        <f>TRIM(Table1[[#This Row],[Magazyn]])</f>
        <v>Apteka Szpitalna</v>
      </c>
      <c r="I2412" s="2" t="str">
        <f>TRIM(Table1[[#This Row],[Umowa]])</f>
        <v>UM-SAL-02</v>
      </c>
      <c r="J2412" s="2" t="b">
        <f>ISTEXT(Table14[[#This Row],[Data_Wystawienia]])</f>
        <v>0</v>
      </c>
      <c r="K2412" s="2">
        <f>VALUE(SUBSTITUTE(Table14[[#This Row],[Wartość]],".",","))</f>
        <v>10546.47</v>
      </c>
      <c r="L24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2" s="2" t="str">
        <f>IF(Table14[[#This Row],[Umowa]]="","Poza umową","Z umowy")</f>
        <v>Z umowy</v>
      </c>
      <c r="N2412" s="2">
        <f>YEAR(Table14[[#This Row],[Data_Wystawienia]])</f>
        <v>2024</v>
      </c>
      <c r="O2412" s="2" t="str">
        <f>TEXT(Table14[[#This Row],[Data_Wystawienia]],"rrrr-mm")</f>
        <v>2024-06</v>
      </c>
      <c r="P2412" s="2">
        <v>1</v>
      </c>
    </row>
    <row r="2413" spans="1:16" x14ac:dyDescent="0.3">
      <c r="A2413" s="2" t="str">
        <f>TRIM(Table1[[#This Row],[Numer_FV]])</f>
        <v>FV/M/8889/P/24</v>
      </c>
      <c r="B2413" s="2" t="str">
        <f>TRIM(Table1[[#This Row],[Numer_PZ]])</f>
        <v>PZ/802411</v>
      </c>
      <c r="C2413" s="2" t="str">
        <f>TRIM(Table1[[#This Row],[Dostawca]])</f>
        <v>MedicaPharm</v>
      </c>
      <c r="D2413" s="3">
        <v>45457</v>
      </c>
      <c r="E2413" s="4" t="s">
        <v>7132</v>
      </c>
      <c r="F2413" s="2" t="str">
        <f>TRIM(Table1[[#This Row],[Status]])</f>
        <v>Zaakceptowana</v>
      </c>
      <c r="G2413" s="2" t="str">
        <f>TRIM(Table1[[#This Row],[Typ]])</f>
        <v>Faktura VAT</v>
      </c>
      <c r="H2413" s="2" t="str">
        <f>TRIM(Table1[[#This Row],[Magazyn]])</f>
        <v>Apteka Szpitalna</v>
      </c>
      <c r="I2413" s="2" t="str">
        <f>TRIM(Table1[[#This Row],[Umowa]])</f>
        <v/>
      </c>
      <c r="J2413" s="2" t="b">
        <f>ISTEXT(Table14[[#This Row],[Data_Wystawienia]])</f>
        <v>0</v>
      </c>
      <c r="K2413" s="2">
        <f>VALUE(SUBSTITUTE(Table14[[#This Row],[Wartość]],".",","))</f>
        <v>11654.04</v>
      </c>
      <c r="L24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3" s="2" t="str">
        <f>IF(Table14[[#This Row],[Umowa]]="","Poza umową","Z umowy")</f>
        <v>Poza umową</v>
      </c>
      <c r="N2413" s="2">
        <f>YEAR(Table14[[#This Row],[Data_Wystawienia]])</f>
        <v>2024</v>
      </c>
      <c r="O2413" s="2" t="str">
        <f>TEXT(Table14[[#This Row],[Data_Wystawienia]],"rrrr-mm")</f>
        <v>2024-06</v>
      </c>
      <c r="P2413" s="2">
        <v>1</v>
      </c>
    </row>
    <row r="2414" spans="1:16" x14ac:dyDescent="0.3">
      <c r="A2414" s="2" t="str">
        <f>TRIM(Table1[[#This Row],[Numer_FV]])</f>
        <v>FV/CENFA/585493/24</v>
      </c>
      <c r="B2414" s="2" t="str">
        <f>TRIM(Table1[[#This Row],[Numer_PZ]])</f>
        <v>PZ/802412</v>
      </c>
      <c r="C2414" s="2" t="str">
        <f>TRIM(Table1[[#This Row],[Dostawca]])</f>
        <v>CentrumFarm</v>
      </c>
      <c r="D2414" s="3">
        <v>45458</v>
      </c>
      <c r="E2414" s="4" t="s">
        <v>7135</v>
      </c>
      <c r="F2414" s="2" t="str">
        <f>TRIM(Table1[[#This Row],[Status]])</f>
        <v>Zaakceptowana</v>
      </c>
      <c r="G2414" s="2" t="str">
        <f>TRIM(Table1[[#This Row],[Typ]])</f>
        <v>Faktura VAT</v>
      </c>
      <c r="H2414" s="2" t="str">
        <f>TRIM(Table1[[#This Row],[Magazyn]])</f>
        <v>Apteka Szpitalna</v>
      </c>
      <c r="I2414" s="2" t="str">
        <f>TRIM(Table1[[#This Row],[Umowa]])</f>
        <v>UM-CEN-02</v>
      </c>
      <c r="J2414" s="2" t="b">
        <f>ISTEXT(Table14[[#This Row],[Data_Wystawienia]])</f>
        <v>0</v>
      </c>
      <c r="K2414" s="2">
        <f>VALUE(SUBSTITUTE(Table14[[#This Row],[Wartość]],".",","))</f>
        <v>15670.07</v>
      </c>
      <c r="L24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4" s="2" t="str">
        <f>IF(Table14[[#This Row],[Umowa]]="","Poza umową","Z umowy")</f>
        <v>Z umowy</v>
      </c>
      <c r="N2414" s="2">
        <f>YEAR(Table14[[#This Row],[Data_Wystawienia]])</f>
        <v>2024</v>
      </c>
      <c r="O2414" s="2" t="str">
        <f>TEXT(Table14[[#This Row],[Data_Wystawienia]],"rrrr-mm")</f>
        <v>2024-06</v>
      </c>
      <c r="P2414" s="2">
        <v>1</v>
      </c>
    </row>
    <row r="2415" spans="1:16" x14ac:dyDescent="0.3">
      <c r="A2415" s="2" t="str">
        <f>TRIM(Table1[[#This Row],[Numer_FV]])</f>
        <v>FV/16983/VDb/2024</v>
      </c>
      <c r="B2415" s="2" t="str">
        <f>TRIM(Table1[[#This Row],[Numer_PZ]])</f>
        <v>PZ/802413</v>
      </c>
      <c r="C2415" s="2" t="str">
        <f>TRIM(Table1[[#This Row],[Dostawca]])</f>
        <v>VitaDistrib</v>
      </c>
      <c r="D2415" s="3">
        <v>45459</v>
      </c>
      <c r="E2415" s="4" t="s">
        <v>7138</v>
      </c>
      <c r="F2415" s="2" t="str">
        <f>TRIM(Table1[[#This Row],[Status]])</f>
        <v>Zaakceptowana</v>
      </c>
      <c r="G2415" s="2" t="str">
        <f>TRIM(Table1[[#This Row],[Typ]])</f>
        <v>Faktura VAT</v>
      </c>
      <c r="H2415" s="2" t="str">
        <f>TRIM(Table1[[#This Row],[Magazyn]])</f>
        <v>Apteka Szpitalna</v>
      </c>
      <c r="I2415" s="2" t="str">
        <f>TRIM(Table1[[#This Row],[Umowa]])</f>
        <v/>
      </c>
      <c r="J2415" s="2" t="b">
        <f>ISTEXT(Table14[[#This Row],[Data_Wystawienia]])</f>
        <v>0</v>
      </c>
      <c r="K2415" s="2">
        <f>VALUE(SUBSTITUTE(Table14[[#This Row],[Wartość]],".",","))</f>
        <v>19423.29</v>
      </c>
      <c r="L24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5" s="2" t="str">
        <f>IF(Table14[[#This Row],[Umowa]]="","Poza umową","Z umowy")</f>
        <v>Poza umową</v>
      </c>
      <c r="N2415" s="2">
        <f>YEAR(Table14[[#This Row],[Data_Wystawienia]])</f>
        <v>2024</v>
      </c>
      <c r="O2415" s="2" t="str">
        <f>TEXT(Table14[[#This Row],[Data_Wystawienia]],"rrrr-mm")</f>
        <v>2024-06</v>
      </c>
      <c r="P2415" s="2">
        <v>1</v>
      </c>
    </row>
    <row r="2416" spans="1:16" x14ac:dyDescent="0.3">
      <c r="A2416" s="2" t="str">
        <f>TRIM(Table1[[#This Row],[Numer_FV]])</f>
        <v>FV/M/8101/P/24</v>
      </c>
      <c r="B2416" s="2" t="str">
        <f>TRIM(Table1[[#This Row],[Numer_PZ]])</f>
        <v>PZ/802414</v>
      </c>
      <c r="C2416" s="2" t="str">
        <f>TRIM(Table1[[#This Row],[Dostawca]])</f>
        <v>MedicaPharm</v>
      </c>
      <c r="D2416" s="3">
        <v>45459</v>
      </c>
      <c r="E2416" s="4" t="s">
        <v>7141</v>
      </c>
      <c r="F2416" s="2" t="str">
        <f>TRIM(Table1[[#This Row],[Status]])</f>
        <v>Zaakceptowana</v>
      </c>
      <c r="G2416" s="2" t="str">
        <f>TRIM(Table1[[#This Row],[Typ]])</f>
        <v>Faktura VAT</v>
      </c>
      <c r="H2416" s="2" t="str">
        <f>TRIM(Table1[[#This Row],[Magazyn]])</f>
        <v>Apteka Szpitalna</v>
      </c>
      <c r="I2416" s="2" t="str">
        <f>TRIM(Table1[[#This Row],[Umowa]])</f>
        <v/>
      </c>
      <c r="J2416" s="2" t="b">
        <f>ISTEXT(Table14[[#This Row],[Data_Wystawienia]])</f>
        <v>0</v>
      </c>
      <c r="K2416" s="2">
        <f>VALUE(SUBSTITUTE(Table14[[#This Row],[Wartość]],".",","))</f>
        <v>9280.08</v>
      </c>
      <c r="L24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6" s="2" t="str">
        <f>IF(Table14[[#This Row],[Umowa]]="","Poza umową","Z umowy")</f>
        <v>Poza umową</v>
      </c>
      <c r="N2416" s="2">
        <f>YEAR(Table14[[#This Row],[Data_Wystawienia]])</f>
        <v>2024</v>
      </c>
      <c r="O2416" s="2" t="str">
        <f>TEXT(Table14[[#This Row],[Data_Wystawienia]],"rrrr-mm")</f>
        <v>2024-06</v>
      </c>
      <c r="P2416" s="2">
        <v>1</v>
      </c>
    </row>
    <row r="2417" spans="1:16" x14ac:dyDescent="0.3">
      <c r="A2417" s="2" t="str">
        <f>TRIM(Table1[[#This Row],[Numer_FV]])</f>
        <v>FV/CENFA/948198/24</v>
      </c>
      <c r="B2417" s="2" t="str">
        <f>TRIM(Table1[[#This Row],[Numer_PZ]])</f>
        <v>PZ/802415</v>
      </c>
      <c r="C2417" s="2" t="str">
        <f>TRIM(Table1[[#This Row],[Dostawca]])</f>
        <v>CentrumFarm</v>
      </c>
      <c r="D2417" s="3">
        <v>45459</v>
      </c>
      <c r="E2417" s="4" t="s">
        <v>7144</v>
      </c>
      <c r="F2417" s="2" t="str">
        <f>TRIM(Table1[[#This Row],[Status]])</f>
        <v>Zaakceptowana</v>
      </c>
      <c r="G2417" s="2" t="str">
        <f>TRIM(Table1[[#This Row],[Typ]])</f>
        <v>Faktura VAT</v>
      </c>
      <c r="H2417" s="2" t="str">
        <f>TRIM(Table1[[#This Row],[Magazyn]])</f>
        <v>Apteka Szpitalna</v>
      </c>
      <c r="I2417" s="2" t="str">
        <f>TRIM(Table1[[#This Row],[Umowa]])</f>
        <v>UM-CEN-01</v>
      </c>
      <c r="J2417" s="2" t="b">
        <f>ISTEXT(Table14[[#This Row],[Data_Wystawienia]])</f>
        <v>0</v>
      </c>
      <c r="K2417" s="2">
        <f>VALUE(SUBSTITUTE(Table14[[#This Row],[Wartość]],".",","))</f>
        <v>11099.97</v>
      </c>
      <c r="L24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7" s="2" t="str">
        <f>IF(Table14[[#This Row],[Umowa]]="","Poza umową","Z umowy")</f>
        <v>Z umowy</v>
      </c>
      <c r="N2417" s="2">
        <f>YEAR(Table14[[#This Row],[Data_Wystawienia]])</f>
        <v>2024</v>
      </c>
      <c r="O2417" s="2" t="str">
        <f>TEXT(Table14[[#This Row],[Data_Wystawienia]],"rrrr-mm")</f>
        <v>2024-06</v>
      </c>
      <c r="P2417" s="2">
        <v>1</v>
      </c>
    </row>
    <row r="2418" spans="1:16" x14ac:dyDescent="0.3">
      <c r="A2418" s="2" t="str">
        <f>TRIM(Table1[[#This Row],[Numer_FV]])</f>
        <v>FV/POL/92449/2024</v>
      </c>
      <c r="B2418" s="2" t="str">
        <f>TRIM(Table1[[#This Row],[Numer_PZ]])</f>
        <v>PZ/802416</v>
      </c>
      <c r="C2418" s="2" t="str">
        <f>TRIM(Table1[[#This Row],[Dostawca]])</f>
        <v>Polmedica</v>
      </c>
      <c r="D2418" s="3">
        <v>45459</v>
      </c>
      <c r="E2418" s="4" t="s">
        <v>7147</v>
      </c>
      <c r="F2418" s="2" t="str">
        <f>TRIM(Table1[[#This Row],[Status]])</f>
        <v>Zaakceptowana</v>
      </c>
      <c r="G2418" s="2" t="str">
        <f>TRIM(Table1[[#This Row],[Typ]])</f>
        <v>Faktura VAT</v>
      </c>
      <c r="H2418" s="2" t="str">
        <f>TRIM(Table1[[#This Row],[Magazyn]])</f>
        <v>Apteka Szpitalna</v>
      </c>
      <c r="I2418" s="2" t="str">
        <f>TRIM(Table1[[#This Row],[Umowa]])</f>
        <v>UM-POL-02</v>
      </c>
      <c r="J2418" s="2" t="b">
        <f>ISTEXT(Table14[[#This Row],[Data_Wystawienia]])</f>
        <v>0</v>
      </c>
      <c r="K2418" s="2">
        <f>VALUE(SUBSTITUTE(Table14[[#This Row],[Wartość]],".",","))</f>
        <v>8803.5400000000009</v>
      </c>
      <c r="L24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8" s="2" t="str">
        <f>IF(Table14[[#This Row],[Umowa]]="","Poza umową","Z umowy")</f>
        <v>Z umowy</v>
      </c>
      <c r="N2418" s="2">
        <f>YEAR(Table14[[#This Row],[Data_Wystawienia]])</f>
        <v>2024</v>
      </c>
      <c r="O2418" s="2" t="str">
        <f>TEXT(Table14[[#This Row],[Data_Wystawienia]],"rrrr-mm")</f>
        <v>2024-06</v>
      </c>
      <c r="P2418" s="2">
        <v>1</v>
      </c>
    </row>
    <row r="2419" spans="1:16" x14ac:dyDescent="0.3">
      <c r="A2419" s="2" t="str">
        <f>TRIM(Table1[[#This Row],[Numer_FV]])</f>
        <v>FV/2819/NOVA/24</v>
      </c>
      <c r="B2419" s="2" t="str">
        <f>TRIM(Table1[[#This Row],[Numer_PZ]])</f>
        <v>PZ/802417</v>
      </c>
      <c r="C2419" s="2" t="str">
        <f>TRIM(Table1[[#This Row],[Dostawca]])</f>
        <v>NovaLek</v>
      </c>
      <c r="D2419" s="3">
        <v>45460</v>
      </c>
      <c r="E2419" s="4" t="s">
        <v>7150</v>
      </c>
      <c r="F2419" s="2" t="str">
        <f>TRIM(Table1[[#This Row],[Status]])</f>
        <v>Zaakceptowana</v>
      </c>
      <c r="G2419" s="2" t="str">
        <f>TRIM(Table1[[#This Row],[Typ]])</f>
        <v>Faktura VAT</v>
      </c>
      <c r="H2419" s="2" t="str">
        <f>TRIM(Table1[[#This Row],[Magazyn]])</f>
        <v>Apteka Szpitalna</v>
      </c>
      <c r="I2419" s="2" t="str">
        <f>TRIM(Table1[[#This Row],[Umowa]])</f>
        <v>UM-NOV-02</v>
      </c>
      <c r="J2419" s="2" t="b">
        <f>ISTEXT(Table14[[#This Row],[Data_Wystawienia]])</f>
        <v>0</v>
      </c>
      <c r="K2419" s="2">
        <f>VALUE(SUBSTITUTE(Table14[[#This Row],[Wartość]],".",","))</f>
        <v>17934.48</v>
      </c>
      <c r="L24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19" s="2" t="str">
        <f>IF(Table14[[#This Row],[Umowa]]="","Poza umową","Z umowy")</f>
        <v>Z umowy</v>
      </c>
      <c r="N2419" s="2">
        <f>YEAR(Table14[[#This Row],[Data_Wystawienia]])</f>
        <v>2024</v>
      </c>
      <c r="O2419" s="2" t="str">
        <f>TEXT(Table14[[#This Row],[Data_Wystawienia]],"rrrr-mm")</f>
        <v>2024-06</v>
      </c>
      <c r="P2419" s="2">
        <v>1</v>
      </c>
    </row>
    <row r="2420" spans="1:16" x14ac:dyDescent="0.3">
      <c r="A2420" s="2" t="str">
        <f>TRIM(Table1[[#This Row],[Numer_FV]])</f>
        <v>FV/M/4142/P/24</v>
      </c>
      <c r="B2420" s="2" t="str">
        <f>TRIM(Table1[[#This Row],[Numer_PZ]])</f>
        <v>PZ/802418</v>
      </c>
      <c r="C2420" s="2" t="str">
        <f>TRIM(Table1[[#This Row],[Dostawca]])</f>
        <v>MedicaPharm</v>
      </c>
      <c r="D2420" s="3">
        <v>45460</v>
      </c>
      <c r="E2420" s="4" t="s">
        <v>7153</v>
      </c>
      <c r="F2420" s="2" t="str">
        <f>TRIM(Table1[[#This Row],[Status]])</f>
        <v>Zaakceptowana</v>
      </c>
      <c r="G2420" s="2" t="str">
        <f>TRIM(Table1[[#This Row],[Typ]])</f>
        <v>Faktura VAT</v>
      </c>
      <c r="H2420" s="2" t="str">
        <f>TRIM(Table1[[#This Row],[Magazyn]])</f>
        <v>Apteka Szpitalna</v>
      </c>
      <c r="I2420" s="2" t="str">
        <f>TRIM(Table1[[#This Row],[Umowa]])</f>
        <v>UM-MED-02</v>
      </c>
      <c r="J2420" s="2" t="b">
        <f>ISTEXT(Table14[[#This Row],[Data_Wystawienia]])</f>
        <v>0</v>
      </c>
      <c r="K2420" s="2">
        <f>VALUE(SUBSTITUTE(Table14[[#This Row],[Wartość]],".",","))</f>
        <v>5269.63</v>
      </c>
      <c r="L24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0" s="2" t="str">
        <f>IF(Table14[[#This Row],[Umowa]]="","Poza umową","Z umowy")</f>
        <v>Z umowy</v>
      </c>
      <c r="N2420" s="2">
        <f>YEAR(Table14[[#This Row],[Data_Wystawienia]])</f>
        <v>2024</v>
      </c>
      <c r="O2420" s="2" t="str">
        <f>TEXT(Table14[[#This Row],[Data_Wystawienia]],"rrrr-mm")</f>
        <v>2024-06</v>
      </c>
      <c r="P2420" s="2">
        <v>1</v>
      </c>
    </row>
    <row r="2421" spans="1:16" x14ac:dyDescent="0.3">
      <c r="A2421" s="2" t="str">
        <f>TRIM(Table1[[#This Row],[Numer_FV]])</f>
        <v>FV/M/4743/P/24</v>
      </c>
      <c r="B2421" s="2" t="str">
        <f>TRIM(Table1[[#This Row],[Numer_PZ]])</f>
        <v>PZ/802419</v>
      </c>
      <c r="C2421" s="2" t="str">
        <f>TRIM(Table1[[#This Row],[Dostawca]])</f>
        <v>MedicaPharm</v>
      </c>
      <c r="D2421" s="3">
        <v>45460</v>
      </c>
      <c r="E2421" s="4" t="s">
        <v>7156</v>
      </c>
      <c r="F2421" s="2" t="str">
        <f>TRIM(Table1[[#This Row],[Status]])</f>
        <v>Zaakceptowana</v>
      </c>
      <c r="G2421" s="2" t="str">
        <f>TRIM(Table1[[#This Row],[Typ]])</f>
        <v>Faktura VAT</v>
      </c>
      <c r="H2421" s="2" t="str">
        <f>TRIM(Table1[[#This Row],[Magazyn]])</f>
        <v>Apteka Szpitalna</v>
      </c>
      <c r="I2421" s="2" t="str">
        <f>TRIM(Table1[[#This Row],[Umowa]])</f>
        <v/>
      </c>
      <c r="J2421" s="2" t="b">
        <f>ISTEXT(Table14[[#This Row],[Data_Wystawienia]])</f>
        <v>0</v>
      </c>
      <c r="K2421" s="2">
        <f>VALUE(SUBSTITUTE(Table14[[#This Row],[Wartość]],".",","))</f>
        <v>24692.09</v>
      </c>
      <c r="L24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1" s="2" t="str">
        <f>IF(Table14[[#This Row],[Umowa]]="","Poza umową","Z umowy")</f>
        <v>Poza umową</v>
      </c>
      <c r="N2421" s="2">
        <f>YEAR(Table14[[#This Row],[Data_Wystawienia]])</f>
        <v>2024</v>
      </c>
      <c r="O2421" s="2" t="str">
        <f>TEXT(Table14[[#This Row],[Data_Wystawienia]],"rrrr-mm")</f>
        <v>2024-06</v>
      </c>
      <c r="P2421" s="2">
        <v>1</v>
      </c>
    </row>
    <row r="2422" spans="1:16" x14ac:dyDescent="0.3">
      <c r="A2422" s="2" t="str">
        <f>TRIM(Table1[[#This Row],[Numer_FV]])</f>
        <v>FV/21/SAL/24</v>
      </c>
      <c r="B2422" s="2" t="str">
        <f>TRIM(Table1[[#This Row],[Numer_PZ]])</f>
        <v>PZ/802420</v>
      </c>
      <c r="C2422" s="2" t="str">
        <f>TRIM(Table1[[#This Row],[Dostawca]])</f>
        <v>SalusHurt</v>
      </c>
      <c r="D2422" s="3">
        <v>45460</v>
      </c>
      <c r="E2422" s="4" t="s">
        <v>7159</v>
      </c>
      <c r="F2422" s="2" t="str">
        <f>TRIM(Table1[[#This Row],[Status]])</f>
        <v>Zaakceptowana</v>
      </c>
      <c r="G2422" s="2" t="str">
        <f>TRIM(Table1[[#This Row],[Typ]])</f>
        <v>Faktura VAT</v>
      </c>
      <c r="H2422" s="2" t="str">
        <f>TRIM(Table1[[#This Row],[Magazyn]])</f>
        <v>Apteka Szpitalna</v>
      </c>
      <c r="I2422" s="2" t="str">
        <f>TRIM(Table1[[#This Row],[Umowa]])</f>
        <v/>
      </c>
      <c r="J2422" s="2" t="b">
        <f>ISTEXT(Table14[[#This Row],[Data_Wystawienia]])</f>
        <v>0</v>
      </c>
      <c r="K2422" s="2">
        <f>VALUE(SUBSTITUTE(Table14[[#This Row],[Wartość]],".",","))</f>
        <v>15760.39</v>
      </c>
      <c r="L24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2" s="2" t="str">
        <f>IF(Table14[[#This Row],[Umowa]]="","Poza umową","Z umowy")</f>
        <v>Poza umową</v>
      </c>
      <c r="N2422" s="2">
        <f>YEAR(Table14[[#This Row],[Data_Wystawienia]])</f>
        <v>2024</v>
      </c>
      <c r="O2422" s="2" t="str">
        <f>TEXT(Table14[[#This Row],[Data_Wystawienia]],"rrrr-mm")</f>
        <v>2024-06</v>
      </c>
      <c r="P2422" s="2">
        <v>1</v>
      </c>
    </row>
    <row r="2423" spans="1:16" x14ac:dyDescent="0.3">
      <c r="A2423" s="2" t="str">
        <f>TRIM(Table1[[#This Row],[Numer_FV]])</f>
        <v>FV/2260/NOVA/24</v>
      </c>
      <c r="B2423" s="2" t="str">
        <f>TRIM(Table1[[#This Row],[Numer_PZ]])</f>
        <v>PZ/802421</v>
      </c>
      <c r="C2423" s="2" t="str">
        <f>TRIM(Table1[[#This Row],[Dostawca]])</f>
        <v>NovaLek</v>
      </c>
      <c r="D2423" s="3">
        <v>45461</v>
      </c>
      <c r="E2423" s="4" t="s">
        <v>7162</v>
      </c>
      <c r="F2423" s="2" t="str">
        <f>TRIM(Table1[[#This Row],[Status]])</f>
        <v>Zaakceptowana</v>
      </c>
      <c r="G2423" s="2" t="str">
        <f>TRIM(Table1[[#This Row],[Typ]])</f>
        <v>Faktura VAT</v>
      </c>
      <c r="H2423" s="2" t="str">
        <f>TRIM(Table1[[#This Row],[Magazyn]])</f>
        <v>Apteka Szpitalna</v>
      </c>
      <c r="I2423" s="2" t="str">
        <f>TRIM(Table1[[#This Row],[Umowa]])</f>
        <v>UM-NOV-01</v>
      </c>
      <c r="J2423" s="2" t="b">
        <f>ISTEXT(Table14[[#This Row],[Data_Wystawienia]])</f>
        <v>0</v>
      </c>
      <c r="K2423" s="2">
        <f>VALUE(SUBSTITUTE(Table14[[#This Row],[Wartość]],".",","))</f>
        <v>18790.3</v>
      </c>
      <c r="L24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3" s="2" t="str">
        <f>IF(Table14[[#This Row],[Umowa]]="","Poza umową","Z umowy")</f>
        <v>Z umowy</v>
      </c>
      <c r="N2423" s="2">
        <f>YEAR(Table14[[#This Row],[Data_Wystawienia]])</f>
        <v>2024</v>
      </c>
      <c r="O2423" s="2" t="str">
        <f>TEXT(Table14[[#This Row],[Data_Wystawienia]],"rrrr-mm")</f>
        <v>2024-06</v>
      </c>
      <c r="P2423" s="2">
        <v>1</v>
      </c>
    </row>
    <row r="2424" spans="1:16" x14ac:dyDescent="0.3">
      <c r="A2424" s="2" t="str">
        <f>TRIM(Table1[[#This Row],[Numer_FV]])</f>
        <v>FV/CENFA/690776/24</v>
      </c>
      <c r="B2424" s="2" t="str">
        <f>TRIM(Table1[[#This Row],[Numer_PZ]])</f>
        <v>PZ/802422</v>
      </c>
      <c r="C2424" s="2" t="str">
        <f>TRIM(Table1[[#This Row],[Dostawca]])</f>
        <v>CentrumFarm</v>
      </c>
      <c r="D2424" s="3">
        <v>45462</v>
      </c>
      <c r="E2424" s="4" t="s">
        <v>7165</v>
      </c>
      <c r="F2424" s="2" t="str">
        <f>TRIM(Table1[[#This Row],[Status]])</f>
        <v>Zaakceptowana</v>
      </c>
      <c r="G2424" s="2" t="str">
        <f>TRIM(Table1[[#This Row],[Typ]])</f>
        <v>Faktura VAT</v>
      </c>
      <c r="H2424" s="2" t="str">
        <f>TRIM(Table1[[#This Row],[Magazyn]])</f>
        <v>Apteka Szpitalna</v>
      </c>
      <c r="I2424" s="2" t="str">
        <f>TRIM(Table1[[#This Row],[Umowa]])</f>
        <v>UM-CEN-02</v>
      </c>
      <c r="J2424" s="2" t="b">
        <f>ISTEXT(Table14[[#This Row],[Data_Wystawienia]])</f>
        <v>0</v>
      </c>
      <c r="K2424" s="2">
        <f>VALUE(SUBSTITUTE(Table14[[#This Row],[Wartość]],".",","))</f>
        <v>17091.990000000002</v>
      </c>
      <c r="L24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4" s="2" t="str">
        <f>IF(Table14[[#This Row],[Umowa]]="","Poza umową","Z umowy")</f>
        <v>Z umowy</v>
      </c>
      <c r="N2424" s="2">
        <f>YEAR(Table14[[#This Row],[Data_Wystawienia]])</f>
        <v>2024</v>
      </c>
      <c r="O2424" s="2" t="str">
        <f>TEXT(Table14[[#This Row],[Data_Wystawienia]],"rrrr-mm")</f>
        <v>2024-06</v>
      </c>
      <c r="P2424" s="2">
        <v>1</v>
      </c>
    </row>
    <row r="2425" spans="1:16" x14ac:dyDescent="0.3">
      <c r="A2425" s="2" t="str">
        <f>TRIM(Table1[[#This Row],[Numer_FV]])</f>
        <v>FV/73671/VDb/2024</v>
      </c>
      <c r="B2425" s="2" t="str">
        <f>TRIM(Table1[[#This Row],[Numer_PZ]])</f>
        <v>PZ/802423</v>
      </c>
      <c r="C2425" s="2" t="str">
        <f>TRIM(Table1[[#This Row],[Dostawca]])</f>
        <v>VitaDistrib</v>
      </c>
      <c r="D2425" s="3">
        <v>45462</v>
      </c>
      <c r="E2425" s="4" t="s">
        <v>7168</v>
      </c>
      <c r="F2425" s="2" t="str">
        <f>TRIM(Table1[[#This Row],[Status]])</f>
        <v>Zaakceptowana</v>
      </c>
      <c r="G2425" s="2" t="str">
        <f>TRIM(Table1[[#This Row],[Typ]])</f>
        <v>Faktura VAT</v>
      </c>
      <c r="H2425" s="2" t="str">
        <f>TRIM(Table1[[#This Row],[Magazyn]])</f>
        <v>Apteka Szpitalna</v>
      </c>
      <c r="I2425" s="2" t="str">
        <f>TRIM(Table1[[#This Row],[Umowa]])</f>
        <v>UM-VIT-01</v>
      </c>
      <c r="J2425" s="2" t="b">
        <f>ISTEXT(Table14[[#This Row],[Data_Wystawienia]])</f>
        <v>0</v>
      </c>
      <c r="K2425" s="2">
        <f>VALUE(SUBSTITUTE(Table14[[#This Row],[Wartość]],".",","))</f>
        <v>11993.04</v>
      </c>
      <c r="L24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5" s="2" t="str">
        <f>IF(Table14[[#This Row],[Umowa]]="","Poza umową","Z umowy")</f>
        <v>Z umowy</v>
      </c>
      <c r="N2425" s="2">
        <f>YEAR(Table14[[#This Row],[Data_Wystawienia]])</f>
        <v>2024</v>
      </c>
      <c r="O2425" s="2" t="str">
        <f>TEXT(Table14[[#This Row],[Data_Wystawienia]],"rrrr-mm")</f>
        <v>2024-06</v>
      </c>
      <c r="P2425" s="2">
        <v>1</v>
      </c>
    </row>
    <row r="2426" spans="1:16" x14ac:dyDescent="0.3">
      <c r="A2426" s="2" t="str">
        <f>TRIM(Table1[[#This Row],[Numer_FV]])</f>
        <v>FV/M/6813/P/24</v>
      </c>
      <c r="B2426" s="2" t="str">
        <f>TRIM(Table1[[#This Row],[Numer_PZ]])</f>
        <v>PZ/802424</v>
      </c>
      <c r="C2426" s="2" t="str">
        <f>TRIM(Table1[[#This Row],[Dostawca]])</f>
        <v>MedicaPharm</v>
      </c>
      <c r="D2426" s="3">
        <v>45463</v>
      </c>
      <c r="E2426" s="4" t="s">
        <v>7171</v>
      </c>
      <c r="F2426" s="2" t="str">
        <f>TRIM(Table1[[#This Row],[Status]])</f>
        <v>Zaakceptowana</v>
      </c>
      <c r="G2426" s="2" t="str">
        <f>TRIM(Table1[[#This Row],[Typ]])</f>
        <v>Faktura VAT</v>
      </c>
      <c r="H2426" s="2" t="str">
        <f>TRIM(Table1[[#This Row],[Magazyn]])</f>
        <v>Apteka Szpitalna</v>
      </c>
      <c r="I2426" s="2" t="str">
        <f>TRIM(Table1[[#This Row],[Umowa]])</f>
        <v>UM-MED-02</v>
      </c>
      <c r="J2426" s="2" t="b">
        <f>ISTEXT(Table14[[#This Row],[Data_Wystawienia]])</f>
        <v>0</v>
      </c>
      <c r="K2426" s="2">
        <f>VALUE(SUBSTITUTE(Table14[[#This Row],[Wartość]],".",","))</f>
        <v>17449.82</v>
      </c>
      <c r="L24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6" s="2" t="str">
        <f>IF(Table14[[#This Row],[Umowa]]="","Poza umową","Z umowy")</f>
        <v>Z umowy</v>
      </c>
      <c r="N2426" s="2">
        <f>YEAR(Table14[[#This Row],[Data_Wystawienia]])</f>
        <v>2024</v>
      </c>
      <c r="O2426" s="2" t="str">
        <f>TEXT(Table14[[#This Row],[Data_Wystawienia]],"rrrr-mm")</f>
        <v>2024-06</v>
      </c>
      <c r="P2426" s="2">
        <v>1</v>
      </c>
    </row>
    <row r="2427" spans="1:16" x14ac:dyDescent="0.3">
      <c r="A2427" s="2" t="str">
        <f>TRIM(Table1[[#This Row],[Numer_FV]])</f>
        <v>FV/M/6063/P/24</v>
      </c>
      <c r="B2427" s="2" t="str">
        <f>TRIM(Table1[[#This Row],[Numer_PZ]])</f>
        <v>PZ/802425</v>
      </c>
      <c r="C2427" s="2" t="str">
        <f>TRIM(Table1[[#This Row],[Dostawca]])</f>
        <v>MedicaPharm</v>
      </c>
      <c r="D2427" s="3">
        <v>45464</v>
      </c>
      <c r="E2427" s="4" t="s">
        <v>7174</v>
      </c>
      <c r="F2427" s="2" t="str">
        <f>TRIM(Table1[[#This Row],[Status]])</f>
        <v>Zaakceptowana</v>
      </c>
      <c r="G2427" s="2" t="str">
        <f>TRIM(Table1[[#This Row],[Typ]])</f>
        <v>Faktura VAT</v>
      </c>
      <c r="H2427" s="2" t="str">
        <f>TRIM(Table1[[#This Row],[Magazyn]])</f>
        <v>Apteka Szpitalna</v>
      </c>
      <c r="I2427" s="2" t="str">
        <f>TRIM(Table1[[#This Row],[Umowa]])</f>
        <v>UM-MED-02</v>
      </c>
      <c r="J2427" s="2" t="b">
        <f>ISTEXT(Table14[[#This Row],[Data_Wystawienia]])</f>
        <v>0</v>
      </c>
      <c r="K2427" s="2">
        <f>VALUE(SUBSTITUTE(Table14[[#This Row],[Wartość]],".",","))</f>
        <v>19199.96</v>
      </c>
      <c r="L24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7" s="2" t="str">
        <f>IF(Table14[[#This Row],[Umowa]]="","Poza umową","Z umowy")</f>
        <v>Z umowy</v>
      </c>
      <c r="N2427" s="2">
        <f>YEAR(Table14[[#This Row],[Data_Wystawienia]])</f>
        <v>2024</v>
      </c>
      <c r="O2427" s="2" t="str">
        <f>TEXT(Table14[[#This Row],[Data_Wystawienia]],"rrrr-mm")</f>
        <v>2024-06</v>
      </c>
      <c r="P2427" s="2">
        <v>1</v>
      </c>
    </row>
    <row r="2428" spans="1:16" x14ac:dyDescent="0.3">
      <c r="A2428" s="2" t="str">
        <f>TRIM(Table1[[#This Row],[Numer_FV]])</f>
        <v>FV/47/PP/6458/24</v>
      </c>
      <c r="B2428" s="2" t="str">
        <f>TRIM(Table1[[#This Row],[Numer_PZ]])</f>
        <v>PZ/802426</v>
      </c>
      <c r="C2428" s="2" t="str">
        <f>TRIM(Table1[[#This Row],[Dostawca]])</f>
        <v>PharmaPlus</v>
      </c>
      <c r="D2428" s="3">
        <v>45464</v>
      </c>
      <c r="E2428" s="4" t="s">
        <v>7177</v>
      </c>
      <c r="F2428" s="2" t="str">
        <f>TRIM(Table1[[#This Row],[Status]])</f>
        <v>Zaakceptowana</v>
      </c>
      <c r="G2428" s="2" t="str">
        <f>TRIM(Table1[[#This Row],[Typ]])</f>
        <v>Faktura VAT</v>
      </c>
      <c r="H2428" s="2" t="str">
        <f>TRIM(Table1[[#This Row],[Magazyn]])</f>
        <v>Apteka Szpitalna</v>
      </c>
      <c r="I2428" s="2" t="str">
        <f>TRIM(Table1[[#This Row],[Umowa]])</f>
        <v>UM-PHA-01</v>
      </c>
      <c r="J2428" s="2" t="b">
        <f>ISTEXT(Table14[[#This Row],[Data_Wystawienia]])</f>
        <v>0</v>
      </c>
      <c r="K2428" s="2">
        <f>VALUE(SUBSTITUTE(Table14[[#This Row],[Wartość]],".",","))</f>
        <v>14988.07</v>
      </c>
      <c r="L24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8" s="2" t="str">
        <f>IF(Table14[[#This Row],[Umowa]]="","Poza umową","Z umowy")</f>
        <v>Z umowy</v>
      </c>
      <c r="N2428" s="2">
        <f>YEAR(Table14[[#This Row],[Data_Wystawienia]])</f>
        <v>2024</v>
      </c>
      <c r="O2428" s="2" t="str">
        <f>TEXT(Table14[[#This Row],[Data_Wystawienia]],"rrrr-mm")</f>
        <v>2024-06</v>
      </c>
      <c r="P2428" s="2">
        <v>1</v>
      </c>
    </row>
    <row r="2429" spans="1:16" x14ac:dyDescent="0.3">
      <c r="A2429" s="2" t="str">
        <f>TRIM(Table1[[#This Row],[Numer_FV]])</f>
        <v>FV/4299/NOVA/24</v>
      </c>
      <c r="B2429" s="2" t="str">
        <f>TRIM(Table1[[#This Row],[Numer_PZ]])</f>
        <v>PZ/802427</v>
      </c>
      <c r="C2429" s="2" t="str">
        <f>TRIM(Table1[[#This Row],[Dostawca]])</f>
        <v>NovaLek</v>
      </c>
      <c r="D2429" s="3">
        <v>45464</v>
      </c>
      <c r="E2429" s="4" t="s">
        <v>7180</v>
      </c>
      <c r="F2429" s="2" t="str">
        <f>TRIM(Table1[[#This Row],[Status]])</f>
        <v>Zaakceptowana</v>
      </c>
      <c r="G2429" s="2" t="str">
        <f>TRIM(Table1[[#This Row],[Typ]])</f>
        <v>Faktura VAT</v>
      </c>
      <c r="H2429" s="2" t="str">
        <f>TRIM(Table1[[#This Row],[Magazyn]])</f>
        <v>Apteka Szpitalna</v>
      </c>
      <c r="I2429" s="2" t="str">
        <f>TRIM(Table1[[#This Row],[Umowa]])</f>
        <v/>
      </c>
      <c r="J2429" s="2" t="b">
        <f>ISTEXT(Table14[[#This Row],[Data_Wystawienia]])</f>
        <v>0</v>
      </c>
      <c r="K2429" s="2">
        <f>VALUE(SUBSTITUTE(Table14[[#This Row],[Wartość]],".",","))</f>
        <v>22238.53</v>
      </c>
      <c r="L24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29" s="2" t="str">
        <f>IF(Table14[[#This Row],[Umowa]]="","Poza umową","Z umowy")</f>
        <v>Poza umową</v>
      </c>
      <c r="N2429" s="2">
        <f>YEAR(Table14[[#This Row],[Data_Wystawienia]])</f>
        <v>2024</v>
      </c>
      <c r="O2429" s="2" t="str">
        <f>TEXT(Table14[[#This Row],[Data_Wystawienia]],"rrrr-mm")</f>
        <v>2024-06</v>
      </c>
      <c r="P2429" s="2">
        <v>1</v>
      </c>
    </row>
    <row r="2430" spans="1:16" x14ac:dyDescent="0.3">
      <c r="A2430" s="2" t="str">
        <f>TRIM(Table1[[#This Row],[Numer_FV]])</f>
        <v>FV/66203/VDb/2024</v>
      </c>
      <c r="B2430" s="2" t="str">
        <f>TRIM(Table1[[#This Row],[Numer_PZ]])</f>
        <v>PZ/802428</v>
      </c>
      <c r="C2430" s="2" t="str">
        <f>TRIM(Table1[[#This Row],[Dostawca]])</f>
        <v>VitaDistrib</v>
      </c>
      <c r="D2430" s="3">
        <v>45464</v>
      </c>
      <c r="E2430" s="4" t="s">
        <v>7183</v>
      </c>
      <c r="F2430" s="2" t="str">
        <f>TRIM(Table1[[#This Row],[Status]])</f>
        <v>Zaakceptowana</v>
      </c>
      <c r="G2430" s="2" t="str">
        <f>TRIM(Table1[[#This Row],[Typ]])</f>
        <v>Faktura VAT</v>
      </c>
      <c r="H2430" s="2" t="str">
        <f>TRIM(Table1[[#This Row],[Magazyn]])</f>
        <v>Apteka Szpitalna</v>
      </c>
      <c r="I2430" s="2" t="str">
        <f>TRIM(Table1[[#This Row],[Umowa]])</f>
        <v>UM-VIT-01</v>
      </c>
      <c r="J2430" s="2" t="b">
        <f>ISTEXT(Table14[[#This Row],[Data_Wystawienia]])</f>
        <v>0</v>
      </c>
      <c r="K2430" s="2">
        <f>VALUE(SUBSTITUTE(Table14[[#This Row],[Wartość]],".",","))</f>
        <v>10039.89</v>
      </c>
      <c r="L24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0" s="2" t="str">
        <f>IF(Table14[[#This Row],[Umowa]]="","Poza umową","Z umowy")</f>
        <v>Z umowy</v>
      </c>
      <c r="N2430" s="2">
        <f>YEAR(Table14[[#This Row],[Data_Wystawienia]])</f>
        <v>2024</v>
      </c>
      <c r="O2430" s="2" t="str">
        <f>TEXT(Table14[[#This Row],[Data_Wystawienia]],"rrrr-mm")</f>
        <v>2024-06</v>
      </c>
      <c r="P2430" s="2">
        <v>1</v>
      </c>
    </row>
    <row r="2431" spans="1:16" x14ac:dyDescent="0.3">
      <c r="A2431" s="2" t="str">
        <f>TRIM(Table1[[#This Row],[Numer_FV]])</f>
        <v>FV/1696/NOVA/24</v>
      </c>
      <c r="B2431" s="2" t="str">
        <f>TRIM(Table1[[#This Row],[Numer_PZ]])</f>
        <v>PZ/802429</v>
      </c>
      <c r="C2431" s="2" t="str">
        <f>TRIM(Table1[[#This Row],[Dostawca]])</f>
        <v>NovaLek</v>
      </c>
      <c r="D2431" s="3">
        <v>45464</v>
      </c>
      <c r="E2431" s="4" t="s">
        <v>7186</v>
      </c>
      <c r="F2431" s="2" t="str">
        <f>TRIM(Table1[[#This Row],[Status]])</f>
        <v>Zaakceptowana</v>
      </c>
      <c r="G2431" s="2" t="str">
        <f>TRIM(Table1[[#This Row],[Typ]])</f>
        <v>Faktura VAT</v>
      </c>
      <c r="H2431" s="2" t="str">
        <f>TRIM(Table1[[#This Row],[Magazyn]])</f>
        <v>Apteka Szpitalna</v>
      </c>
      <c r="I2431" s="2" t="str">
        <f>TRIM(Table1[[#This Row],[Umowa]])</f>
        <v>UM-NOV-01</v>
      </c>
      <c r="J2431" s="2" t="b">
        <f>ISTEXT(Table14[[#This Row],[Data_Wystawienia]])</f>
        <v>0</v>
      </c>
      <c r="K2431" s="2">
        <f>VALUE(SUBSTITUTE(Table14[[#This Row],[Wartość]],".",","))</f>
        <v>9891.0300000000007</v>
      </c>
      <c r="L24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1" s="2" t="str">
        <f>IF(Table14[[#This Row],[Umowa]]="","Poza umową","Z umowy")</f>
        <v>Z umowy</v>
      </c>
      <c r="N2431" s="2">
        <f>YEAR(Table14[[#This Row],[Data_Wystawienia]])</f>
        <v>2024</v>
      </c>
      <c r="O2431" s="2" t="str">
        <f>TEXT(Table14[[#This Row],[Data_Wystawienia]],"rrrr-mm")</f>
        <v>2024-06</v>
      </c>
      <c r="P2431" s="2">
        <v>1</v>
      </c>
    </row>
    <row r="2432" spans="1:16" x14ac:dyDescent="0.3">
      <c r="A2432" s="2" t="str">
        <f>TRIM(Table1[[#This Row],[Numer_FV]])</f>
        <v>FV/8035/NOVA/24</v>
      </c>
      <c r="B2432" s="2" t="str">
        <f>TRIM(Table1[[#This Row],[Numer_PZ]])</f>
        <v>PZ/802430</v>
      </c>
      <c r="C2432" s="2" t="str">
        <f>TRIM(Table1[[#This Row],[Dostawca]])</f>
        <v>NovaLek</v>
      </c>
      <c r="D2432" s="3">
        <v>45465</v>
      </c>
      <c r="E2432" s="4" t="s">
        <v>7189</v>
      </c>
      <c r="F2432" s="2" t="str">
        <f>TRIM(Table1[[#This Row],[Status]])</f>
        <v>Zaakceptowana</v>
      </c>
      <c r="G2432" s="2" t="str">
        <f>TRIM(Table1[[#This Row],[Typ]])</f>
        <v>Faktura VAT</v>
      </c>
      <c r="H2432" s="2" t="str">
        <f>TRIM(Table1[[#This Row],[Magazyn]])</f>
        <v>Apteka Szpitalna</v>
      </c>
      <c r="I2432" s="2" t="str">
        <f>TRIM(Table1[[#This Row],[Umowa]])</f>
        <v>UM-NOV-01</v>
      </c>
      <c r="J2432" s="2" t="b">
        <f>ISTEXT(Table14[[#This Row],[Data_Wystawienia]])</f>
        <v>0</v>
      </c>
      <c r="K2432" s="2">
        <f>VALUE(SUBSTITUTE(Table14[[#This Row],[Wartość]],".",","))</f>
        <v>17934.28</v>
      </c>
      <c r="L24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2" s="2" t="str">
        <f>IF(Table14[[#This Row],[Umowa]]="","Poza umową","Z umowy")</f>
        <v>Z umowy</v>
      </c>
      <c r="N2432" s="2">
        <f>YEAR(Table14[[#This Row],[Data_Wystawienia]])</f>
        <v>2024</v>
      </c>
      <c r="O2432" s="2" t="str">
        <f>TEXT(Table14[[#This Row],[Data_Wystawienia]],"rrrr-mm")</f>
        <v>2024-06</v>
      </c>
      <c r="P2432" s="2">
        <v>1</v>
      </c>
    </row>
    <row r="2433" spans="1:16" x14ac:dyDescent="0.3">
      <c r="A2433" s="2" t="str">
        <f>TRIM(Table1[[#This Row],[Numer_FV]])</f>
        <v>FV/POL/47660/2024</v>
      </c>
      <c r="B2433" s="2" t="str">
        <f>TRIM(Table1[[#This Row],[Numer_PZ]])</f>
        <v>PZ/802431</v>
      </c>
      <c r="C2433" s="2" t="str">
        <f>TRIM(Table1[[#This Row],[Dostawca]])</f>
        <v>Polmedica</v>
      </c>
      <c r="D2433" s="3">
        <v>45465</v>
      </c>
      <c r="E2433" s="4" t="s">
        <v>7192</v>
      </c>
      <c r="F2433" s="2" t="str">
        <f>TRIM(Table1[[#This Row],[Status]])</f>
        <v>Zaakceptowana</v>
      </c>
      <c r="G2433" s="2" t="str">
        <f>TRIM(Table1[[#This Row],[Typ]])</f>
        <v>Faktura VAT</v>
      </c>
      <c r="H2433" s="2" t="str">
        <f>TRIM(Table1[[#This Row],[Magazyn]])</f>
        <v>Apteka Szpitalna</v>
      </c>
      <c r="I2433" s="2" t="str">
        <f>TRIM(Table1[[#This Row],[Umowa]])</f>
        <v>UM-POL-01</v>
      </c>
      <c r="J2433" s="2" t="b">
        <f>ISTEXT(Table14[[#This Row],[Data_Wystawienia]])</f>
        <v>0</v>
      </c>
      <c r="K2433" s="2">
        <f>VALUE(SUBSTITUTE(Table14[[#This Row],[Wartość]],".",","))</f>
        <v>18862.57</v>
      </c>
      <c r="L24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3" s="2" t="str">
        <f>IF(Table14[[#This Row],[Umowa]]="","Poza umową","Z umowy")</f>
        <v>Z umowy</v>
      </c>
      <c r="N2433" s="2">
        <f>YEAR(Table14[[#This Row],[Data_Wystawienia]])</f>
        <v>2024</v>
      </c>
      <c r="O2433" s="2" t="str">
        <f>TEXT(Table14[[#This Row],[Data_Wystawienia]],"rrrr-mm")</f>
        <v>2024-06</v>
      </c>
      <c r="P2433" s="2">
        <v>1</v>
      </c>
    </row>
    <row r="2434" spans="1:16" x14ac:dyDescent="0.3">
      <c r="A2434" s="2" t="str">
        <f>TRIM(Table1[[#This Row],[Numer_FV]])</f>
        <v>FV/POL/15489/2024</v>
      </c>
      <c r="B2434" s="2" t="str">
        <f>TRIM(Table1[[#This Row],[Numer_PZ]])</f>
        <v>PZ/802432</v>
      </c>
      <c r="C2434" s="2" t="str">
        <f>TRIM(Table1[[#This Row],[Dostawca]])</f>
        <v>Polmedica</v>
      </c>
      <c r="D2434" s="3">
        <v>45465</v>
      </c>
      <c r="E2434" s="4" t="s">
        <v>7195</v>
      </c>
      <c r="F2434" s="2" t="str">
        <f>TRIM(Table1[[#This Row],[Status]])</f>
        <v>Zaakceptowana</v>
      </c>
      <c r="G2434" s="2" t="str">
        <f>TRIM(Table1[[#This Row],[Typ]])</f>
        <v>Faktura VAT</v>
      </c>
      <c r="H2434" s="2" t="str">
        <f>TRIM(Table1[[#This Row],[Magazyn]])</f>
        <v>Apteka Szpitalna</v>
      </c>
      <c r="I2434" s="2" t="str">
        <f>TRIM(Table1[[#This Row],[Umowa]])</f>
        <v>UM-POL-02</v>
      </c>
      <c r="J2434" s="2" t="b">
        <f>ISTEXT(Table14[[#This Row],[Data_Wystawienia]])</f>
        <v>0</v>
      </c>
      <c r="K2434" s="2">
        <f>VALUE(SUBSTITUTE(Table14[[#This Row],[Wartość]],".",","))</f>
        <v>20627.439999999999</v>
      </c>
      <c r="L24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4" s="2" t="str">
        <f>IF(Table14[[#This Row],[Umowa]]="","Poza umową","Z umowy")</f>
        <v>Z umowy</v>
      </c>
      <c r="N2434" s="2">
        <f>YEAR(Table14[[#This Row],[Data_Wystawienia]])</f>
        <v>2024</v>
      </c>
      <c r="O2434" s="2" t="str">
        <f>TEXT(Table14[[#This Row],[Data_Wystawienia]],"rrrr-mm")</f>
        <v>2024-06</v>
      </c>
      <c r="P2434" s="2">
        <v>1</v>
      </c>
    </row>
    <row r="2435" spans="1:16" x14ac:dyDescent="0.3">
      <c r="A2435" s="2" t="str">
        <f>TRIM(Table1[[#This Row],[Numer_FV]])</f>
        <v>FV/POL/29222/2024</v>
      </c>
      <c r="B2435" s="2" t="str">
        <f>TRIM(Table1[[#This Row],[Numer_PZ]])</f>
        <v>PZ/802433</v>
      </c>
      <c r="C2435" s="2" t="str">
        <f>TRIM(Table1[[#This Row],[Dostawca]])</f>
        <v>Polmedica</v>
      </c>
      <c r="D2435" s="3">
        <v>45465</v>
      </c>
      <c r="E2435" s="4" t="s">
        <v>7198</v>
      </c>
      <c r="F2435" s="2" t="str">
        <f>TRIM(Table1[[#This Row],[Status]])</f>
        <v>Zaakceptowana</v>
      </c>
      <c r="G2435" s="2" t="str">
        <f>TRIM(Table1[[#This Row],[Typ]])</f>
        <v>Faktura VAT</v>
      </c>
      <c r="H2435" s="2" t="str">
        <f>TRIM(Table1[[#This Row],[Magazyn]])</f>
        <v>Apteka Szpitalna</v>
      </c>
      <c r="I2435" s="2" t="str">
        <f>TRIM(Table1[[#This Row],[Umowa]])</f>
        <v/>
      </c>
      <c r="J2435" s="2" t="b">
        <f>ISTEXT(Table14[[#This Row],[Data_Wystawienia]])</f>
        <v>0</v>
      </c>
      <c r="K2435" s="2">
        <f>VALUE(SUBSTITUTE(Table14[[#This Row],[Wartość]],".",","))</f>
        <v>14284.55</v>
      </c>
      <c r="L24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5" s="2" t="str">
        <f>IF(Table14[[#This Row],[Umowa]]="","Poza umową","Z umowy")</f>
        <v>Poza umową</v>
      </c>
      <c r="N2435" s="2">
        <f>YEAR(Table14[[#This Row],[Data_Wystawienia]])</f>
        <v>2024</v>
      </c>
      <c r="O2435" s="2" t="str">
        <f>TEXT(Table14[[#This Row],[Data_Wystawienia]],"rrrr-mm")</f>
        <v>2024-06</v>
      </c>
      <c r="P2435" s="2">
        <v>1</v>
      </c>
    </row>
    <row r="2436" spans="1:16" x14ac:dyDescent="0.3">
      <c r="A2436" s="2" t="str">
        <f>TRIM(Table1[[#This Row],[Numer_FV]])</f>
        <v>FV/72806/VDb/2024</v>
      </c>
      <c r="B2436" s="2" t="str">
        <f>TRIM(Table1[[#This Row],[Numer_PZ]])</f>
        <v>PZ/802434</v>
      </c>
      <c r="C2436" s="2" t="str">
        <f>TRIM(Table1[[#This Row],[Dostawca]])</f>
        <v>VitaDistrib</v>
      </c>
      <c r="D2436" s="3">
        <v>45465</v>
      </c>
      <c r="E2436" s="4" t="s">
        <v>7201</v>
      </c>
      <c r="F2436" s="2" t="str">
        <f>TRIM(Table1[[#This Row],[Status]])</f>
        <v>Zaakceptowana</v>
      </c>
      <c r="G2436" s="2" t="str">
        <f>TRIM(Table1[[#This Row],[Typ]])</f>
        <v>Faktura VAT</v>
      </c>
      <c r="H2436" s="2" t="str">
        <f>TRIM(Table1[[#This Row],[Magazyn]])</f>
        <v>Apteka Szpitalna</v>
      </c>
      <c r="I2436" s="2" t="str">
        <f>TRIM(Table1[[#This Row],[Umowa]])</f>
        <v>UM-VIT-01</v>
      </c>
      <c r="J2436" s="2" t="b">
        <f>ISTEXT(Table14[[#This Row],[Data_Wystawienia]])</f>
        <v>0</v>
      </c>
      <c r="K2436" s="2">
        <f>VALUE(SUBSTITUTE(Table14[[#This Row],[Wartość]],".",","))</f>
        <v>13271.76</v>
      </c>
      <c r="L24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6" s="2" t="str">
        <f>IF(Table14[[#This Row],[Umowa]]="","Poza umową","Z umowy")</f>
        <v>Z umowy</v>
      </c>
      <c r="N2436" s="2">
        <f>YEAR(Table14[[#This Row],[Data_Wystawienia]])</f>
        <v>2024</v>
      </c>
      <c r="O2436" s="2" t="str">
        <f>TEXT(Table14[[#This Row],[Data_Wystawienia]],"rrrr-mm")</f>
        <v>2024-06</v>
      </c>
      <c r="P2436" s="2">
        <v>1</v>
      </c>
    </row>
    <row r="2437" spans="1:16" x14ac:dyDescent="0.3">
      <c r="A2437" s="2" t="str">
        <f>TRIM(Table1[[#This Row],[Numer_FV]])</f>
        <v>FV/28226/VDb/2024</v>
      </c>
      <c r="B2437" s="2" t="str">
        <f>TRIM(Table1[[#This Row],[Numer_PZ]])</f>
        <v>PZ/802435</v>
      </c>
      <c r="C2437" s="2" t="str">
        <f>TRIM(Table1[[#This Row],[Dostawca]])</f>
        <v>VitaDistrib</v>
      </c>
      <c r="D2437" s="3">
        <v>45465</v>
      </c>
      <c r="E2437" s="4" t="s">
        <v>7204</v>
      </c>
      <c r="F2437" s="2" t="str">
        <f>TRIM(Table1[[#This Row],[Status]])</f>
        <v>Zaakceptowana</v>
      </c>
      <c r="G2437" s="2" t="str">
        <f>TRIM(Table1[[#This Row],[Typ]])</f>
        <v>Faktura VAT</v>
      </c>
      <c r="H2437" s="2" t="str">
        <f>TRIM(Table1[[#This Row],[Magazyn]])</f>
        <v>Apteka Szpitalna</v>
      </c>
      <c r="I2437" s="2" t="str">
        <f>TRIM(Table1[[#This Row],[Umowa]])</f>
        <v/>
      </c>
      <c r="J2437" s="2" t="b">
        <f>ISTEXT(Table14[[#This Row],[Data_Wystawienia]])</f>
        <v>0</v>
      </c>
      <c r="K2437" s="2">
        <f>VALUE(SUBSTITUTE(Table14[[#This Row],[Wartość]],".",","))</f>
        <v>17654.53</v>
      </c>
      <c r="L24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7" s="2" t="str">
        <f>IF(Table14[[#This Row],[Umowa]]="","Poza umową","Z umowy")</f>
        <v>Poza umową</v>
      </c>
      <c r="N2437" s="2">
        <f>YEAR(Table14[[#This Row],[Data_Wystawienia]])</f>
        <v>2024</v>
      </c>
      <c r="O2437" s="2" t="str">
        <f>TEXT(Table14[[#This Row],[Data_Wystawienia]],"rrrr-mm")</f>
        <v>2024-06</v>
      </c>
      <c r="P2437" s="2">
        <v>1</v>
      </c>
    </row>
    <row r="2438" spans="1:16" x14ac:dyDescent="0.3">
      <c r="A2438" s="2" t="str">
        <f>TRIM(Table1[[#This Row],[Numer_FV]])</f>
        <v>FV/12/PP/7761/24</v>
      </c>
      <c r="B2438" s="2" t="str">
        <f>TRIM(Table1[[#This Row],[Numer_PZ]])</f>
        <v>PZ/802436</v>
      </c>
      <c r="C2438" s="2" t="str">
        <f>TRIM(Table1[[#This Row],[Dostawca]])</f>
        <v>PharmaPlus</v>
      </c>
      <c r="D2438" s="3">
        <v>45466</v>
      </c>
      <c r="E2438" s="4" t="s">
        <v>7207</v>
      </c>
      <c r="F2438" s="2" t="str">
        <f>TRIM(Table1[[#This Row],[Status]])</f>
        <v>Zaakceptowana</v>
      </c>
      <c r="G2438" s="2" t="str">
        <f>TRIM(Table1[[#This Row],[Typ]])</f>
        <v>Faktura VAT</v>
      </c>
      <c r="H2438" s="2" t="str">
        <f>TRIM(Table1[[#This Row],[Magazyn]])</f>
        <v>Apteka Szpitalna</v>
      </c>
      <c r="I2438" s="2" t="str">
        <f>TRIM(Table1[[#This Row],[Umowa]])</f>
        <v>UM-PHA-02</v>
      </c>
      <c r="J2438" s="2" t="b">
        <f>ISTEXT(Table14[[#This Row],[Data_Wystawienia]])</f>
        <v>0</v>
      </c>
      <c r="K2438" s="2">
        <f>VALUE(SUBSTITUTE(Table14[[#This Row],[Wartość]],".",","))</f>
        <v>12138.15</v>
      </c>
      <c r="L24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8" s="2" t="str">
        <f>IF(Table14[[#This Row],[Umowa]]="","Poza umową","Z umowy")</f>
        <v>Z umowy</v>
      </c>
      <c r="N2438" s="2">
        <f>YEAR(Table14[[#This Row],[Data_Wystawienia]])</f>
        <v>2024</v>
      </c>
      <c r="O2438" s="2" t="str">
        <f>TEXT(Table14[[#This Row],[Data_Wystawienia]],"rrrr-mm")</f>
        <v>2024-06</v>
      </c>
      <c r="P2438" s="2">
        <v>1</v>
      </c>
    </row>
    <row r="2439" spans="1:16" x14ac:dyDescent="0.3">
      <c r="A2439" s="2" t="str">
        <f>TRIM(Table1[[#This Row],[Numer_FV]])</f>
        <v>FV/5616/NOVA/24</v>
      </c>
      <c r="B2439" s="2" t="str">
        <f>TRIM(Table1[[#This Row],[Numer_PZ]])</f>
        <v>PZ/802437</v>
      </c>
      <c r="C2439" s="2" t="str">
        <f>TRIM(Table1[[#This Row],[Dostawca]])</f>
        <v>NovaLek</v>
      </c>
      <c r="D2439" s="3">
        <v>45466</v>
      </c>
      <c r="E2439" s="4" t="s">
        <v>7210</v>
      </c>
      <c r="F2439" s="2" t="str">
        <f>TRIM(Table1[[#This Row],[Status]])</f>
        <v>Zaakceptowana</v>
      </c>
      <c r="G2439" s="2" t="str">
        <f>TRIM(Table1[[#This Row],[Typ]])</f>
        <v>Faktura VAT</v>
      </c>
      <c r="H2439" s="2" t="str">
        <f>TRIM(Table1[[#This Row],[Magazyn]])</f>
        <v>Apteka Szpitalna</v>
      </c>
      <c r="I2439" s="2" t="str">
        <f>TRIM(Table1[[#This Row],[Umowa]])</f>
        <v>UM-NOV-01</v>
      </c>
      <c r="J2439" s="2" t="b">
        <f>ISTEXT(Table14[[#This Row],[Data_Wystawienia]])</f>
        <v>0</v>
      </c>
      <c r="K2439" s="2">
        <f>VALUE(SUBSTITUTE(Table14[[#This Row],[Wartość]],".",","))</f>
        <v>11312.19</v>
      </c>
      <c r="L24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39" s="2" t="str">
        <f>IF(Table14[[#This Row],[Umowa]]="","Poza umową","Z umowy")</f>
        <v>Z umowy</v>
      </c>
      <c r="N2439" s="2">
        <f>YEAR(Table14[[#This Row],[Data_Wystawienia]])</f>
        <v>2024</v>
      </c>
      <c r="O2439" s="2" t="str">
        <f>TEXT(Table14[[#This Row],[Data_Wystawienia]],"rrrr-mm")</f>
        <v>2024-06</v>
      </c>
      <c r="P2439" s="2">
        <v>1</v>
      </c>
    </row>
    <row r="2440" spans="1:16" x14ac:dyDescent="0.3">
      <c r="A2440" s="2" t="str">
        <f>TRIM(Table1[[#This Row],[Numer_FV]])</f>
        <v>FV/M/7059/P/24</v>
      </c>
      <c r="B2440" s="2" t="str">
        <f>TRIM(Table1[[#This Row],[Numer_PZ]])</f>
        <v>PZ/802438</v>
      </c>
      <c r="C2440" s="2" t="str">
        <f>TRIM(Table1[[#This Row],[Dostawca]])</f>
        <v>MedicaPharm</v>
      </c>
      <c r="D2440" s="3">
        <v>45466</v>
      </c>
      <c r="E2440" s="4" t="s">
        <v>7213</v>
      </c>
      <c r="F2440" s="2" t="str">
        <f>TRIM(Table1[[#This Row],[Status]])</f>
        <v>Zaakceptowana</v>
      </c>
      <c r="G2440" s="2" t="str">
        <f>TRIM(Table1[[#This Row],[Typ]])</f>
        <v>Faktura VAT</v>
      </c>
      <c r="H2440" s="2" t="str">
        <f>TRIM(Table1[[#This Row],[Magazyn]])</f>
        <v>Apteka Szpitalna</v>
      </c>
      <c r="I2440" s="2" t="str">
        <f>TRIM(Table1[[#This Row],[Umowa]])</f>
        <v>UM-MED-01</v>
      </c>
      <c r="J2440" s="2" t="b">
        <f>ISTEXT(Table14[[#This Row],[Data_Wystawienia]])</f>
        <v>0</v>
      </c>
      <c r="K2440" s="2">
        <f>VALUE(SUBSTITUTE(Table14[[#This Row],[Wartość]],".",","))</f>
        <v>17087.400000000001</v>
      </c>
      <c r="L24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0" s="2" t="str">
        <f>IF(Table14[[#This Row],[Umowa]]="","Poza umową","Z umowy")</f>
        <v>Z umowy</v>
      </c>
      <c r="N2440" s="2">
        <f>YEAR(Table14[[#This Row],[Data_Wystawienia]])</f>
        <v>2024</v>
      </c>
      <c r="O2440" s="2" t="str">
        <f>TEXT(Table14[[#This Row],[Data_Wystawienia]],"rrrr-mm")</f>
        <v>2024-06</v>
      </c>
      <c r="P2440" s="2">
        <v>1</v>
      </c>
    </row>
    <row r="2441" spans="1:16" x14ac:dyDescent="0.3">
      <c r="A2441" s="2" t="str">
        <f>TRIM(Table1[[#This Row],[Numer_FV]])</f>
        <v>FV/54/PP/6538/24</v>
      </c>
      <c r="B2441" s="2" t="str">
        <f>TRIM(Table1[[#This Row],[Numer_PZ]])</f>
        <v>PZ/802439</v>
      </c>
      <c r="C2441" s="2" t="str">
        <f>TRIM(Table1[[#This Row],[Dostawca]])</f>
        <v>PharmaPlus</v>
      </c>
      <c r="D2441" s="3">
        <v>45466</v>
      </c>
      <c r="E2441" s="4" t="s">
        <v>7216</v>
      </c>
      <c r="F2441" s="2" t="str">
        <f>TRIM(Table1[[#This Row],[Status]])</f>
        <v>Zaakceptowana</v>
      </c>
      <c r="G2441" s="2" t="str">
        <f>TRIM(Table1[[#This Row],[Typ]])</f>
        <v>Faktura VAT</v>
      </c>
      <c r="H2441" s="2" t="str">
        <f>TRIM(Table1[[#This Row],[Magazyn]])</f>
        <v>Apteka Szpitalna</v>
      </c>
      <c r="I2441" s="2" t="str">
        <f>TRIM(Table1[[#This Row],[Umowa]])</f>
        <v>UM-PHA-02</v>
      </c>
      <c r="J2441" s="2" t="b">
        <f>ISTEXT(Table14[[#This Row],[Data_Wystawienia]])</f>
        <v>0</v>
      </c>
      <c r="K2441" s="2">
        <f>VALUE(SUBSTITUTE(Table14[[#This Row],[Wartość]],".",","))</f>
        <v>17750.509999999998</v>
      </c>
      <c r="L24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1" s="2" t="str">
        <f>IF(Table14[[#This Row],[Umowa]]="","Poza umową","Z umowy")</f>
        <v>Z umowy</v>
      </c>
      <c r="N2441" s="2">
        <f>YEAR(Table14[[#This Row],[Data_Wystawienia]])</f>
        <v>2024</v>
      </c>
      <c r="O2441" s="2" t="str">
        <f>TEXT(Table14[[#This Row],[Data_Wystawienia]],"rrrr-mm")</f>
        <v>2024-06</v>
      </c>
      <c r="P2441" s="2">
        <v>1</v>
      </c>
    </row>
    <row r="2442" spans="1:16" x14ac:dyDescent="0.3">
      <c r="A2442" s="2" t="str">
        <f>TRIM(Table1[[#This Row],[Numer_FV]])</f>
        <v>FV/CENFA/408352/24</v>
      </c>
      <c r="B2442" s="2" t="str">
        <f>TRIM(Table1[[#This Row],[Numer_PZ]])</f>
        <v>PZ/802440</v>
      </c>
      <c r="C2442" s="2" t="str">
        <f>TRIM(Table1[[#This Row],[Dostawca]])</f>
        <v>CentrumFarm</v>
      </c>
      <c r="D2442" s="3">
        <v>45466</v>
      </c>
      <c r="E2442" s="4" t="s">
        <v>7219</v>
      </c>
      <c r="F2442" s="2" t="str">
        <f>TRIM(Table1[[#This Row],[Status]])</f>
        <v>Zaakceptowana</v>
      </c>
      <c r="G2442" s="2" t="str">
        <f>TRIM(Table1[[#This Row],[Typ]])</f>
        <v>Faktura VAT</v>
      </c>
      <c r="H2442" s="2" t="str">
        <f>TRIM(Table1[[#This Row],[Magazyn]])</f>
        <v>Apteka Szpitalna</v>
      </c>
      <c r="I2442" s="2" t="str">
        <f>TRIM(Table1[[#This Row],[Umowa]])</f>
        <v>UM-CEN-01</v>
      </c>
      <c r="J2442" s="2" t="b">
        <f>ISTEXT(Table14[[#This Row],[Data_Wystawienia]])</f>
        <v>0</v>
      </c>
      <c r="K2442" s="2">
        <f>VALUE(SUBSTITUTE(Table14[[#This Row],[Wartość]],".",","))</f>
        <v>13569.51</v>
      </c>
      <c r="L24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2" s="2" t="str">
        <f>IF(Table14[[#This Row],[Umowa]]="","Poza umową","Z umowy")</f>
        <v>Z umowy</v>
      </c>
      <c r="N2442" s="2">
        <f>YEAR(Table14[[#This Row],[Data_Wystawienia]])</f>
        <v>2024</v>
      </c>
      <c r="O2442" s="2" t="str">
        <f>TEXT(Table14[[#This Row],[Data_Wystawienia]],"rrrr-mm")</f>
        <v>2024-06</v>
      </c>
      <c r="P2442" s="2">
        <v>1</v>
      </c>
    </row>
    <row r="2443" spans="1:16" x14ac:dyDescent="0.3">
      <c r="A2443" s="2" t="str">
        <f>TRIM(Table1[[#This Row],[Numer_FV]])</f>
        <v>FV/4995HM/24</v>
      </c>
      <c r="B2443" s="2" t="str">
        <f>TRIM(Table1[[#This Row],[Numer_PZ]])</f>
        <v>PZ/802441</v>
      </c>
      <c r="C2443" s="2" t="str">
        <f>TRIM(Table1[[#This Row],[Dostawca]])</f>
        <v>HurtMedix</v>
      </c>
      <c r="D2443" s="3">
        <v>45467</v>
      </c>
      <c r="E2443" s="4" t="s">
        <v>7222</v>
      </c>
      <c r="F2443" s="2" t="str">
        <f>TRIM(Table1[[#This Row],[Status]])</f>
        <v>Zaakceptowana</v>
      </c>
      <c r="G2443" s="2" t="str">
        <f>TRIM(Table1[[#This Row],[Typ]])</f>
        <v>Faktura VAT</v>
      </c>
      <c r="H2443" s="2" t="str">
        <f>TRIM(Table1[[#This Row],[Magazyn]])</f>
        <v>Apteka Szpitalna</v>
      </c>
      <c r="I2443" s="2" t="str">
        <f>TRIM(Table1[[#This Row],[Umowa]])</f>
        <v>UM-HUR-02</v>
      </c>
      <c r="J2443" s="2" t="b">
        <f>ISTEXT(Table14[[#This Row],[Data_Wystawienia]])</f>
        <v>0</v>
      </c>
      <c r="K2443" s="2">
        <f>VALUE(SUBSTITUTE(Table14[[#This Row],[Wartość]],".",","))</f>
        <v>24318.83</v>
      </c>
      <c r="L24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3" s="2" t="str">
        <f>IF(Table14[[#This Row],[Umowa]]="","Poza umową","Z umowy")</f>
        <v>Z umowy</v>
      </c>
      <c r="N2443" s="2">
        <f>YEAR(Table14[[#This Row],[Data_Wystawienia]])</f>
        <v>2024</v>
      </c>
      <c r="O2443" s="2" t="str">
        <f>TEXT(Table14[[#This Row],[Data_Wystawienia]],"rrrr-mm")</f>
        <v>2024-06</v>
      </c>
      <c r="P2443" s="2">
        <v>1</v>
      </c>
    </row>
    <row r="2444" spans="1:16" x14ac:dyDescent="0.3">
      <c r="A2444" s="2" t="str">
        <f>TRIM(Table1[[#This Row],[Numer_FV]])</f>
        <v>FV/M/3748/P/24</v>
      </c>
      <c r="B2444" s="2" t="str">
        <f>TRIM(Table1[[#This Row],[Numer_PZ]])</f>
        <v>PZ/802442</v>
      </c>
      <c r="C2444" s="2" t="str">
        <f>TRIM(Table1[[#This Row],[Dostawca]])</f>
        <v>MedicaPharm</v>
      </c>
      <c r="D2444" s="3">
        <v>45467</v>
      </c>
      <c r="E2444" s="4" t="s">
        <v>7225</v>
      </c>
      <c r="F2444" s="2" t="str">
        <f>TRIM(Table1[[#This Row],[Status]])</f>
        <v>Zaakceptowana</v>
      </c>
      <c r="G2444" s="2" t="str">
        <f>TRIM(Table1[[#This Row],[Typ]])</f>
        <v>Faktura VAT</v>
      </c>
      <c r="H2444" s="2" t="str">
        <f>TRIM(Table1[[#This Row],[Magazyn]])</f>
        <v>Apteka Szpitalna</v>
      </c>
      <c r="I2444" s="2" t="str">
        <f>TRIM(Table1[[#This Row],[Umowa]])</f>
        <v/>
      </c>
      <c r="J2444" s="2" t="b">
        <f>ISTEXT(Table14[[#This Row],[Data_Wystawienia]])</f>
        <v>0</v>
      </c>
      <c r="K2444" s="2">
        <f>VALUE(SUBSTITUTE(Table14[[#This Row],[Wartość]],".",","))</f>
        <v>3176.43</v>
      </c>
      <c r="L24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4" s="2" t="str">
        <f>IF(Table14[[#This Row],[Umowa]]="","Poza umową","Z umowy")</f>
        <v>Poza umową</v>
      </c>
      <c r="N2444" s="2">
        <f>YEAR(Table14[[#This Row],[Data_Wystawienia]])</f>
        <v>2024</v>
      </c>
      <c r="O2444" s="2" t="str">
        <f>TEXT(Table14[[#This Row],[Data_Wystawienia]],"rrrr-mm")</f>
        <v>2024-06</v>
      </c>
      <c r="P2444" s="2">
        <v>1</v>
      </c>
    </row>
    <row r="2445" spans="1:16" x14ac:dyDescent="0.3">
      <c r="A2445" s="2" t="str">
        <f>TRIM(Table1[[#This Row],[Numer_FV]])</f>
        <v>FV/56/PP/7583/24</v>
      </c>
      <c r="B2445" s="2" t="str">
        <f>TRIM(Table1[[#This Row],[Numer_PZ]])</f>
        <v>PZ/802443</v>
      </c>
      <c r="C2445" s="2" t="str">
        <f>TRIM(Table1[[#This Row],[Dostawca]])</f>
        <v>PharmaPlus</v>
      </c>
      <c r="D2445" s="3">
        <v>45467</v>
      </c>
      <c r="E2445" s="4" t="s">
        <v>7228</v>
      </c>
      <c r="F2445" s="2" t="str">
        <f>TRIM(Table1[[#This Row],[Status]])</f>
        <v>Zaakceptowana</v>
      </c>
      <c r="G2445" s="2" t="str">
        <f>TRIM(Table1[[#This Row],[Typ]])</f>
        <v>Faktura VAT</v>
      </c>
      <c r="H2445" s="2" t="str">
        <f>TRIM(Table1[[#This Row],[Magazyn]])</f>
        <v>Apteka Szpitalna</v>
      </c>
      <c r="I2445" s="2" t="str">
        <f>TRIM(Table1[[#This Row],[Umowa]])</f>
        <v>UM-PHA-02</v>
      </c>
      <c r="J2445" s="2" t="b">
        <f>ISTEXT(Table14[[#This Row],[Data_Wystawienia]])</f>
        <v>0</v>
      </c>
      <c r="K2445" s="2">
        <f>VALUE(SUBSTITUTE(Table14[[#This Row],[Wartość]],".",","))</f>
        <v>14093.83</v>
      </c>
      <c r="L24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5" s="2" t="str">
        <f>IF(Table14[[#This Row],[Umowa]]="","Poza umową","Z umowy")</f>
        <v>Z umowy</v>
      </c>
      <c r="N2445" s="2">
        <f>YEAR(Table14[[#This Row],[Data_Wystawienia]])</f>
        <v>2024</v>
      </c>
      <c r="O2445" s="2" t="str">
        <f>TEXT(Table14[[#This Row],[Data_Wystawienia]],"rrrr-mm")</f>
        <v>2024-06</v>
      </c>
      <c r="P2445" s="2">
        <v>1</v>
      </c>
    </row>
    <row r="2446" spans="1:16" x14ac:dyDescent="0.3">
      <c r="A2446" s="2" t="str">
        <f>TRIM(Table1[[#This Row],[Numer_FV]])</f>
        <v>FV/M/3857/P/24</v>
      </c>
      <c r="B2446" s="2" t="str">
        <f>TRIM(Table1[[#This Row],[Numer_PZ]])</f>
        <v>PZ/802444</v>
      </c>
      <c r="C2446" s="2" t="str">
        <f>TRIM(Table1[[#This Row],[Dostawca]])</f>
        <v>MedicaPharm</v>
      </c>
      <c r="D2446" s="3">
        <v>45468</v>
      </c>
      <c r="E2446" s="4" t="s">
        <v>7231</v>
      </c>
      <c r="F2446" s="2" t="str">
        <f>TRIM(Table1[[#This Row],[Status]])</f>
        <v>Zaakceptowana</v>
      </c>
      <c r="G2446" s="2" t="str">
        <f>TRIM(Table1[[#This Row],[Typ]])</f>
        <v>Faktura VAT</v>
      </c>
      <c r="H2446" s="2" t="str">
        <f>TRIM(Table1[[#This Row],[Magazyn]])</f>
        <v>Apteka Szpitalna</v>
      </c>
      <c r="I2446" s="2" t="str">
        <f>TRIM(Table1[[#This Row],[Umowa]])</f>
        <v/>
      </c>
      <c r="J2446" s="2" t="b">
        <f>ISTEXT(Table14[[#This Row],[Data_Wystawienia]])</f>
        <v>0</v>
      </c>
      <c r="K2446" s="2">
        <f>VALUE(SUBSTITUTE(Table14[[#This Row],[Wartość]],".",","))</f>
        <v>12406.31</v>
      </c>
      <c r="L24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6" s="2" t="str">
        <f>IF(Table14[[#This Row],[Umowa]]="","Poza umową","Z umowy")</f>
        <v>Poza umową</v>
      </c>
      <c r="N2446" s="2">
        <f>YEAR(Table14[[#This Row],[Data_Wystawienia]])</f>
        <v>2024</v>
      </c>
      <c r="O2446" s="2" t="str">
        <f>TEXT(Table14[[#This Row],[Data_Wystawienia]],"rrrr-mm")</f>
        <v>2024-06</v>
      </c>
      <c r="P2446" s="2">
        <v>1</v>
      </c>
    </row>
    <row r="2447" spans="1:16" x14ac:dyDescent="0.3">
      <c r="A2447" s="2" t="str">
        <f>TRIM(Table1[[#This Row],[Numer_FV]])</f>
        <v>FV/CENFA/482983/24</v>
      </c>
      <c r="B2447" s="2" t="str">
        <f>TRIM(Table1[[#This Row],[Numer_PZ]])</f>
        <v>PZ/802445</v>
      </c>
      <c r="C2447" s="2" t="str">
        <f>TRIM(Table1[[#This Row],[Dostawca]])</f>
        <v>CentrumFarm</v>
      </c>
      <c r="D2447" s="3">
        <v>45468</v>
      </c>
      <c r="E2447" s="4" t="s">
        <v>7234</v>
      </c>
      <c r="F2447" s="2" t="str">
        <f>TRIM(Table1[[#This Row],[Status]])</f>
        <v>Zaakceptowana</v>
      </c>
      <c r="G2447" s="2" t="str">
        <f>TRIM(Table1[[#This Row],[Typ]])</f>
        <v>Faktura VAT</v>
      </c>
      <c r="H2447" s="2" t="str">
        <f>TRIM(Table1[[#This Row],[Magazyn]])</f>
        <v>Apteka Szpitalna</v>
      </c>
      <c r="I2447" s="2" t="str">
        <f>TRIM(Table1[[#This Row],[Umowa]])</f>
        <v>UM-CEN-01</v>
      </c>
      <c r="J2447" s="2" t="b">
        <f>ISTEXT(Table14[[#This Row],[Data_Wystawienia]])</f>
        <v>0</v>
      </c>
      <c r="K2447" s="2">
        <f>VALUE(SUBSTITUTE(Table14[[#This Row],[Wartość]],".",","))</f>
        <v>24019.14</v>
      </c>
      <c r="L24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7" s="2" t="str">
        <f>IF(Table14[[#This Row],[Umowa]]="","Poza umową","Z umowy")</f>
        <v>Z umowy</v>
      </c>
      <c r="N2447" s="2">
        <f>YEAR(Table14[[#This Row],[Data_Wystawienia]])</f>
        <v>2024</v>
      </c>
      <c r="O2447" s="2" t="str">
        <f>TEXT(Table14[[#This Row],[Data_Wystawienia]],"rrrr-mm")</f>
        <v>2024-06</v>
      </c>
      <c r="P2447" s="2">
        <v>1</v>
      </c>
    </row>
    <row r="2448" spans="1:16" x14ac:dyDescent="0.3">
      <c r="A2448" s="2" t="str">
        <f>TRIM(Table1[[#This Row],[Numer_FV]])</f>
        <v>FV/44/PP/5016/24</v>
      </c>
      <c r="B2448" s="2" t="str">
        <f>TRIM(Table1[[#This Row],[Numer_PZ]])</f>
        <v>PZ/802446</v>
      </c>
      <c r="C2448" s="2" t="str">
        <f>TRIM(Table1[[#This Row],[Dostawca]])</f>
        <v>PharmaPlus</v>
      </c>
      <c r="D2448" s="3">
        <v>45468</v>
      </c>
      <c r="E2448" s="4" t="s">
        <v>7237</v>
      </c>
      <c r="F2448" s="2" t="str">
        <f>TRIM(Table1[[#This Row],[Status]])</f>
        <v>Zaakceptowana</v>
      </c>
      <c r="G2448" s="2" t="str">
        <f>TRIM(Table1[[#This Row],[Typ]])</f>
        <v>Faktura VAT</v>
      </c>
      <c r="H2448" s="2" t="str">
        <f>TRIM(Table1[[#This Row],[Magazyn]])</f>
        <v>Apteka Szpitalna</v>
      </c>
      <c r="I2448" s="2" t="str">
        <f>TRIM(Table1[[#This Row],[Umowa]])</f>
        <v>UM-PHA-02</v>
      </c>
      <c r="J2448" s="2" t="b">
        <f>ISTEXT(Table14[[#This Row],[Data_Wystawienia]])</f>
        <v>0</v>
      </c>
      <c r="K2448" s="2">
        <f>VALUE(SUBSTITUTE(Table14[[#This Row],[Wartość]],".",","))</f>
        <v>22692.16</v>
      </c>
      <c r="L24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8" s="2" t="str">
        <f>IF(Table14[[#This Row],[Umowa]]="","Poza umową","Z umowy")</f>
        <v>Z umowy</v>
      </c>
      <c r="N2448" s="2">
        <f>YEAR(Table14[[#This Row],[Data_Wystawienia]])</f>
        <v>2024</v>
      </c>
      <c r="O2448" s="2" t="str">
        <f>TEXT(Table14[[#This Row],[Data_Wystawienia]],"rrrr-mm")</f>
        <v>2024-06</v>
      </c>
      <c r="P2448" s="2">
        <v>1</v>
      </c>
    </row>
    <row r="2449" spans="1:16" x14ac:dyDescent="0.3">
      <c r="A2449" s="2" t="str">
        <f>TRIM(Table1[[#This Row],[Numer_FV]])</f>
        <v>FV/CENFA/950988/24</v>
      </c>
      <c r="B2449" s="2" t="str">
        <f>TRIM(Table1[[#This Row],[Numer_PZ]])</f>
        <v>PZ/802447</v>
      </c>
      <c r="C2449" s="2" t="str">
        <f>TRIM(Table1[[#This Row],[Dostawca]])</f>
        <v>CentrumFarm</v>
      </c>
      <c r="D2449" s="3">
        <v>45468</v>
      </c>
      <c r="E2449" s="4" t="s">
        <v>7240</v>
      </c>
      <c r="F2449" s="2" t="str">
        <f>TRIM(Table1[[#This Row],[Status]])</f>
        <v>Zaakceptowana</v>
      </c>
      <c r="G2449" s="2" t="str">
        <f>TRIM(Table1[[#This Row],[Typ]])</f>
        <v>Faktura VAT</v>
      </c>
      <c r="H2449" s="2" t="str">
        <f>TRIM(Table1[[#This Row],[Magazyn]])</f>
        <v>Apteka Szpitalna</v>
      </c>
      <c r="I2449" s="2" t="str">
        <f>TRIM(Table1[[#This Row],[Umowa]])</f>
        <v/>
      </c>
      <c r="J2449" s="2" t="b">
        <f>ISTEXT(Table14[[#This Row],[Data_Wystawienia]])</f>
        <v>0</v>
      </c>
      <c r="K2449" s="2">
        <f>VALUE(SUBSTITUTE(Table14[[#This Row],[Wartość]],".",","))</f>
        <v>13365.6</v>
      </c>
      <c r="L24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49" s="2" t="str">
        <f>IF(Table14[[#This Row],[Umowa]]="","Poza umową","Z umowy")</f>
        <v>Poza umową</v>
      </c>
      <c r="N2449" s="2">
        <f>YEAR(Table14[[#This Row],[Data_Wystawienia]])</f>
        <v>2024</v>
      </c>
      <c r="O2449" s="2" t="str">
        <f>TEXT(Table14[[#This Row],[Data_Wystawienia]],"rrrr-mm")</f>
        <v>2024-06</v>
      </c>
      <c r="P2449" s="2">
        <v>1</v>
      </c>
    </row>
    <row r="2450" spans="1:16" x14ac:dyDescent="0.3">
      <c r="A2450" s="2" t="str">
        <f>TRIM(Table1[[#This Row],[Numer_FV]])</f>
        <v>FV/74/SAL/24</v>
      </c>
      <c r="B2450" s="2" t="str">
        <f>TRIM(Table1[[#This Row],[Numer_PZ]])</f>
        <v>PZ/802448</v>
      </c>
      <c r="C2450" s="2" t="str">
        <f>TRIM(Table1[[#This Row],[Dostawca]])</f>
        <v>SalusHurt</v>
      </c>
      <c r="D2450" s="3">
        <v>45469</v>
      </c>
      <c r="E2450" s="4" t="s">
        <v>7242</v>
      </c>
      <c r="F2450" s="2" t="str">
        <f>TRIM(Table1[[#This Row],[Status]])</f>
        <v>Zaakceptowana</v>
      </c>
      <c r="G2450" s="2" t="str">
        <f>TRIM(Table1[[#This Row],[Typ]])</f>
        <v>Faktura VAT</v>
      </c>
      <c r="H2450" s="2" t="str">
        <f>TRIM(Table1[[#This Row],[Magazyn]])</f>
        <v>Apteka Szpitalna</v>
      </c>
      <c r="I2450" s="2" t="str">
        <f>TRIM(Table1[[#This Row],[Umowa]])</f>
        <v>UM-SAL-01</v>
      </c>
      <c r="J2450" s="2" t="b">
        <f>ISTEXT(Table14[[#This Row],[Data_Wystawienia]])</f>
        <v>0</v>
      </c>
      <c r="K2450" s="2">
        <f>VALUE(SUBSTITUTE(Table14[[#This Row],[Wartość]],".",","))</f>
        <v>19421.93</v>
      </c>
      <c r="L24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0" s="2" t="str">
        <f>IF(Table14[[#This Row],[Umowa]]="","Poza umową","Z umowy")</f>
        <v>Z umowy</v>
      </c>
      <c r="N2450" s="2">
        <f>YEAR(Table14[[#This Row],[Data_Wystawienia]])</f>
        <v>2024</v>
      </c>
      <c r="O2450" s="2" t="str">
        <f>TEXT(Table14[[#This Row],[Data_Wystawienia]],"rrrr-mm")</f>
        <v>2024-06</v>
      </c>
      <c r="P2450" s="2">
        <v>1</v>
      </c>
    </row>
    <row r="2451" spans="1:16" x14ac:dyDescent="0.3">
      <c r="A2451" s="2" t="str">
        <f>TRIM(Table1[[#This Row],[Numer_FV]])</f>
        <v>FV/M/5023/P/24</v>
      </c>
      <c r="B2451" s="2" t="str">
        <f>TRIM(Table1[[#This Row],[Numer_PZ]])</f>
        <v>PZ/802449</v>
      </c>
      <c r="C2451" s="2" t="str">
        <f>TRIM(Table1[[#This Row],[Dostawca]])</f>
        <v>MedicaPharm</v>
      </c>
      <c r="D2451" s="3">
        <v>45469</v>
      </c>
      <c r="E2451" s="4" t="s">
        <v>7245</v>
      </c>
      <c r="F2451" s="2" t="str">
        <f>TRIM(Table1[[#This Row],[Status]])</f>
        <v>Zaakceptowana</v>
      </c>
      <c r="G2451" s="2" t="str">
        <f>TRIM(Table1[[#This Row],[Typ]])</f>
        <v>Faktura VAT</v>
      </c>
      <c r="H2451" s="2" t="str">
        <f>TRIM(Table1[[#This Row],[Magazyn]])</f>
        <v>Apteka Szpitalna</v>
      </c>
      <c r="I2451" s="2" t="str">
        <f>TRIM(Table1[[#This Row],[Umowa]])</f>
        <v>UM-MED-02</v>
      </c>
      <c r="J2451" s="2" t="b">
        <f>ISTEXT(Table14[[#This Row],[Data_Wystawienia]])</f>
        <v>0</v>
      </c>
      <c r="K2451" s="2">
        <f>VALUE(SUBSTITUTE(Table14[[#This Row],[Wartość]],".",","))</f>
        <v>26420.83</v>
      </c>
      <c r="L24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1" s="2" t="str">
        <f>IF(Table14[[#This Row],[Umowa]]="","Poza umową","Z umowy")</f>
        <v>Z umowy</v>
      </c>
      <c r="N2451" s="2">
        <f>YEAR(Table14[[#This Row],[Data_Wystawienia]])</f>
        <v>2024</v>
      </c>
      <c r="O2451" s="2" t="str">
        <f>TEXT(Table14[[#This Row],[Data_Wystawienia]],"rrrr-mm")</f>
        <v>2024-06</v>
      </c>
      <c r="P2451" s="2">
        <v>1</v>
      </c>
    </row>
    <row r="2452" spans="1:16" x14ac:dyDescent="0.3">
      <c r="A2452" s="2" t="str">
        <f>TRIM(Table1[[#This Row],[Numer_FV]])</f>
        <v>FV/M/8866/P/24</v>
      </c>
      <c r="B2452" s="2" t="str">
        <f>TRIM(Table1[[#This Row],[Numer_PZ]])</f>
        <v>PZ/802450</v>
      </c>
      <c r="C2452" s="2" t="str">
        <f>TRIM(Table1[[#This Row],[Dostawca]])</f>
        <v>MedicaPharm</v>
      </c>
      <c r="D2452" s="3">
        <v>45469</v>
      </c>
      <c r="E2452" s="4" t="s">
        <v>7248</v>
      </c>
      <c r="F2452" s="2" t="str">
        <f>TRIM(Table1[[#This Row],[Status]])</f>
        <v>Zaakceptowana</v>
      </c>
      <c r="G2452" s="2" t="str">
        <f>TRIM(Table1[[#This Row],[Typ]])</f>
        <v>Faktura VAT</v>
      </c>
      <c r="H2452" s="2" t="str">
        <f>TRIM(Table1[[#This Row],[Magazyn]])</f>
        <v>Apteka Szpitalna</v>
      </c>
      <c r="I2452" s="2" t="str">
        <f>TRIM(Table1[[#This Row],[Umowa]])</f>
        <v>UM-MED-02</v>
      </c>
      <c r="J2452" s="2" t="b">
        <f>ISTEXT(Table14[[#This Row],[Data_Wystawienia]])</f>
        <v>0</v>
      </c>
      <c r="K2452" s="2">
        <f>VALUE(SUBSTITUTE(Table14[[#This Row],[Wartość]],".",","))</f>
        <v>15137.63</v>
      </c>
      <c r="L24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2" s="2" t="str">
        <f>IF(Table14[[#This Row],[Umowa]]="","Poza umową","Z umowy")</f>
        <v>Z umowy</v>
      </c>
      <c r="N2452" s="2">
        <f>YEAR(Table14[[#This Row],[Data_Wystawienia]])</f>
        <v>2024</v>
      </c>
      <c r="O2452" s="2" t="str">
        <f>TEXT(Table14[[#This Row],[Data_Wystawienia]],"rrrr-mm")</f>
        <v>2024-06</v>
      </c>
      <c r="P2452" s="2">
        <v>1</v>
      </c>
    </row>
    <row r="2453" spans="1:16" x14ac:dyDescent="0.3">
      <c r="A2453" s="2" t="str">
        <f>TRIM(Table1[[#This Row],[Numer_FV]])</f>
        <v>FV/8115/NOVA/24</v>
      </c>
      <c r="B2453" s="2" t="str">
        <f>TRIM(Table1[[#This Row],[Numer_PZ]])</f>
        <v>PZ/802451</v>
      </c>
      <c r="C2453" s="2" t="str">
        <f>TRIM(Table1[[#This Row],[Dostawca]])</f>
        <v>NovaLek</v>
      </c>
      <c r="D2453" s="3">
        <v>45470</v>
      </c>
      <c r="E2453" s="4" t="s">
        <v>4278</v>
      </c>
      <c r="F2453" s="2" t="str">
        <f>TRIM(Table1[[#This Row],[Status]])</f>
        <v>Zaakceptowana</v>
      </c>
      <c r="G2453" s="2" t="str">
        <f>TRIM(Table1[[#This Row],[Typ]])</f>
        <v>Faktura VAT</v>
      </c>
      <c r="H2453" s="2" t="str">
        <f>TRIM(Table1[[#This Row],[Magazyn]])</f>
        <v>Apteka Szpitalna</v>
      </c>
      <c r="I2453" s="2" t="str">
        <f>TRIM(Table1[[#This Row],[Umowa]])</f>
        <v>UM-NOV-03</v>
      </c>
      <c r="J2453" s="2" t="b">
        <f>ISTEXT(Table14[[#This Row],[Data_Wystawienia]])</f>
        <v>0</v>
      </c>
      <c r="K2453" s="2">
        <f>VALUE(SUBSTITUTE(Table14[[#This Row],[Wartość]],".",","))</f>
        <v>16728.490000000002</v>
      </c>
      <c r="L24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3" s="2" t="str">
        <f>IF(Table14[[#This Row],[Umowa]]="","Poza umową","Z umowy")</f>
        <v>Z umowy</v>
      </c>
      <c r="N2453" s="2">
        <f>YEAR(Table14[[#This Row],[Data_Wystawienia]])</f>
        <v>2024</v>
      </c>
      <c r="O2453" s="2" t="str">
        <f>TEXT(Table14[[#This Row],[Data_Wystawienia]],"rrrr-mm")</f>
        <v>2024-06</v>
      </c>
      <c r="P2453" s="2">
        <v>1</v>
      </c>
    </row>
    <row r="2454" spans="1:16" x14ac:dyDescent="0.3">
      <c r="A2454" s="2" t="str">
        <f>TRIM(Table1[[#This Row],[Numer_FV]])</f>
        <v>FV/3299/NOVA/24</v>
      </c>
      <c r="B2454" s="2" t="str">
        <f>TRIM(Table1[[#This Row],[Numer_PZ]])</f>
        <v>PZ/802452</v>
      </c>
      <c r="C2454" s="2" t="str">
        <f>TRIM(Table1[[#This Row],[Dostawca]])</f>
        <v>NovaLek</v>
      </c>
      <c r="D2454" s="3">
        <v>45470</v>
      </c>
      <c r="E2454" s="4" t="s">
        <v>7253</v>
      </c>
      <c r="F2454" s="2" t="str">
        <f>TRIM(Table1[[#This Row],[Status]])</f>
        <v>Zaakceptowana</v>
      </c>
      <c r="G2454" s="2" t="str">
        <f>TRIM(Table1[[#This Row],[Typ]])</f>
        <v>Faktura VAT</v>
      </c>
      <c r="H2454" s="2" t="str">
        <f>TRIM(Table1[[#This Row],[Magazyn]])</f>
        <v>Apteka Szpitalna</v>
      </c>
      <c r="I2454" s="2" t="str">
        <f>TRIM(Table1[[#This Row],[Umowa]])</f>
        <v/>
      </c>
      <c r="J2454" s="2" t="b">
        <f>ISTEXT(Table14[[#This Row],[Data_Wystawienia]])</f>
        <v>0</v>
      </c>
      <c r="K2454" s="2">
        <f>VALUE(SUBSTITUTE(Table14[[#This Row],[Wartość]],".",","))</f>
        <v>15964.79</v>
      </c>
      <c r="L24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4" s="2" t="str">
        <f>IF(Table14[[#This Row],[Umowa]]="","Poza umową","Z umowy")</f>
        <v>Poza umową</v>
      </c>
      <c r="N2454" s="2">
        <f>YEAR(Table14[[#This Row],[Data_Wystawienia]])</f>
        <v>2024</v>
      </c>
      <c r="O2454" s="2" t="str">
        <f>TEXT(Table14[[#This Row],[Data_Wystawienia]],"rrrr-mm")</f>
        <v>2024-06</v>
      </c>
      <c r="P2454" s="2">
        <v>1</v>
      </c>
    </row>
    <row r="2455" spans="1:16" x14ac:dyDescent="0.3">
      <c r="A2455" s="2" t="str">
        <f>TRIM(Table1[[#This Row],[Numer_FV]])</f>
        <v>FV/73/PP/9106/24</v>
      </c>
      <c r="B2455" s="2" t="str">
        <f>TRIM(Table1[[#This Row],[Numer_PZ]])</f>
        <v>PZ/802453</v>
      </c>
      <c r="C2455" s="2" t="str">
        <f>TRIM(Table1[[#This Row],[Dostawca]])</f>
        <v>PharmaPlus</v>
      </c>
      <c r="D2455" s="3">
        <v>45471</v>
      </c>
      <c r="E2455" s="4" t="s">
        <v>7256</v>
      </c>
      <c r="F2455" s="2" t="str">
        <f>TRIM(Table1[[#This Row],[Status]])</f>
        <v>Zaakceptowana</v>
      </c>
      <c r="G2455" s="2" t="str">
        <f>TRIM(Table1[[#This Row],[Typ]])</f>
        <v>Faktura VAT</v>
      </c>
      <c r="H2455" s="2" t="str">
        <f>TRIM(Table1[[#This Row],[Magazyn]])</f>
        <v>Apteka Szpitalna</v>
      </c>
      <c r="I2455" s="2" t="str">
        <f>TRIM(Table1[[#This Row],[Umowa]])</f>
        <v>UM-PHA-01</v>
      </c>
      <c r="J2455" s="2" t="b">
        <f>ISTEXT(Table14[[#This Row],[Data_Wystawienia]])</f>
        <v>0</v>
      </c>
      <c r="K2455" s="2">
        <f>VALUE(SUBSTITUTE(Table14[[#This Row],[Wartość]],".",","))</f>
        <v>1176.21</v>
      </c>
      <c r="L24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5" s="2" t="str">
        <f>IF(Table14[[#This Row],[Umowa]]="","Poza umową","Z umowy")</f>
        <v>Z umowy</v>
      </c>
      <c r="N2455" s="2">
        <f>YEAR(Table14[[#This Row],[Data_Wystawienia]])</f>
        <v>2024</v>
      </c>
      <c r="O2455" s="2" t="str">
        <f>TEXT(Table14[[#This Row],[Data_Wystawienia]],"rrrr-mm")</f>
        <v>2024-06</v>
      </c>
      <c r="P2455" s="2">
        <v>1</v>
      </c>
    </row>
    <row r="2456" spans="1:16" x14ac:dyDescent="0.3">
      <c r="A2456" s="2" t="str">
        <f>TRIM(Table1[[#This Row],[Numer_FV]])</f>
        <v>FV/22/PP/4998/24</v>
      </c>
      <c r="B2456" s="2" t="str">
        <f>TRIM(Table1[[#This Row],[Numer_PZ]])</f>
        <v>PZ/802454</v>
      </c>
      <c r="C2456" s="2" t="str">
        <f>TRIM(Table1[[#This Row],[Dostawca]])</f>
        <v>PharmaPlus</v>
      </c>
      <c r="D2456" s="3">
        <v>45471</v>
      </c>
      <c r="E2456" s="4" t="s">
        <v>7259</v>
      </c>
      <c r="F2456" s="2" t="str">
        <f>TRIM(Table1[[#This Row],[Status]])</f>
        <v>Zaakceptowana</v>
      </c>
      <c r="G2456" s="2" t="str">
        <f>TRIM(Table1[[#This Row],[Typ]])</f>
        <v>Faktura VAT</v>
      </c>
      <c r="H2456" s="2" t="str">
        <f>TRIM(Table1[[#This Row],[Magazyn]])</f>
        <v>Apteka Szpitalna</v>
      </c>
      <c r="I2456" s="2" t="str">
        <f>TRIM(Table1[[#This Row],[Umowa]])</f>
        <v>UM-PHA-02</v>
      </c>
      <c r="J2456" s="2" t="b">
        <f>ISTEXT(Table14[[#This Row],[Data_Wystawienia]])</f>
        <v>0</v>
      </c>
      <c r="K2456" s="2">
        <f>VALUE(SUBSTITUTE(Table14[[#This Row],[Wartość]],".",","))</f>
        <v>15673.73</v>
      </c>
      <c r="L24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6" s="2" t="str">
        <f>IF(Table14[[#This Row],[Umowa]]="","Poza umową","Z umowy")</f>
        <v>Z umowy</v>
      </c>
      <c r="N2456" s="2">
        <f>YEAR(Table14[[#This Row],[Data_Wystawienia]])</f>
        <v>2024</v>
      </c>
      <c r="O2456" s="2" t="str">
        <f>TEXT(Table14[[#This Row],[Data_Wystawienia]],"rrrr-mm")</f>
        <v>2024-06</v>
      </c>
      <c r="P2456" s="2">
        <v>1</v>
      </c>
    </row>
    <row r="2457" spans="1:16" x14ac:dyDescent="0.3">
      <c r="A2457" s="2" t="str">
        <f>TRIM(Table1[[#This Row],[Numer_FV]])</f>
        <v>FV/7902/NOVA/24</v>
      </c>
      <c r="B2457" s="2" t="str">
        <f>TRIM(Table1[[#This Row],[Numer_PZ]])</f>
        <v>PZ/802455</v>
      </c>
      <c r="C2457" s="2" t="str">
        <f>TRIM(Table1[[#This Row],[Dostawca]])</f>
        <v>NovaLek</v>
      </c>
      <c r="D2457" s="3">
        <v>45472</v>
      </c>
      <c r="E2457" s="4" t="s">
        <v>7262</v>
      </c>
      <c r="F2457" s="2" t="str">
        <f>TRIM(Table1[[#This Row],[Status]])</f>
        <v>Zaakceptowana</v>
      </c>
      <c r="G2457" s="2" t="str">
        <f>TRIM(Table1[[#This Row],[Typ]])</f>
        <v>Faktura VAT</v>
      </c>
      <c r="H2457" s="2" t="str">
        <f>TRIM(Table1[[#This Row],[Magazyn]])</f>
        <v>Apteka Szpitalna</v>
      </c>
      <c r="I2457" s="2" t="str">
        <f>TRIM(Table1[[#This Row],[Umowa]])</f>
        <v>UM-NOV-03</v>
      </c>
      <c r="J2457" s="2" t="b">
        <f>ISTEXT(Table14[[#This Row],[Data_Wystawienia]])</f>
        <v>0</v>
      </c>
      <c r="K2457" s="2">
        <f>VALUE(SUBSTITUTE(Table14[[#This Row],[Wartość]],".",","))</f>
        <v>10012.39</v>
      </c>
      <c r="L24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7" s="2" t="str">
        <f>IF(Table14[[#This Row],[Umowa]]="","Poza umową","Z umowy")</f>
        <v>Z umowy</v>
      </c>
      <c r="N2457" s="2">
        <f>YEAR(Table14[[#This Row],[Data_Wystawienia]])</f>
        <v>2024</v>
      </c>
      <c r="O2457" s="2" t="str">
        <f>TEXT(Table14[[#This Row],[Data_Wystawienia]],"rrrr-mm")</f>
        <v>2024-06</v>
      </c>
      <c r="P2457" s="2">
        <v>1</v>
      </c>
    </row>
    <row r="2458" spans="1:16" x14ac:dyDescent="0.3">
      <c r="A2458" s="2" t="str">
        <f>TRIM(Table1[[#This Row],[Numer_FV]])</f>
        <v>FV/7949HM/24</v>
      </c>
      <c r="B2458" s="2" t="str">
        <f>TRIM(Table1[[#This Row],[Numer_PZ]])</f>
        <v>PZ/802456</v>
      </c>
      <c r="C2458" s="2" t="str">
        <f>TRIM(Table1[[#This Row],[Dostawca]])</f>
        <v>HurtMedix</v>
      </c>
      <c r="D2458" s="3">
        <v>45472</v>
      </c>
      <c r="E2458" s="4" t="s">
        <v>7265</v>
      </c>
      <c r="F2458" s="2" t="str">
        <f>TRIM(Table1[[#This Row],[Status]])</f>
        <v>Zaakceptowana</v>
      </c>
      <c r="G2458" s="2" t="str">
        <f>TRIM(Table1[[#This Row],[Typ]])</f>
        <v>Faktura VAT</v>
      </c>
      <c r="H2458" s="2" t="str">
        <f>TRIM(Table1[[#This Row],[Magazyn]])</f>
        <v>Apteka Szpitalna</v>
      </c>
      <c r="I2458" s="2" t="str">
        <f>TRIM(Table1[[#This Row],[Umowa]])</f>
        <v/>
      </c>
      <c r="J2458" s="2" t="b">
        <f>ISTEXT(Table14[[#This Row],[Data_Wystawienia]])</f>
        <v>0</v>
      </c>
      <c r="K2458" s="2">
        <f>VALUE(SUBSTITUTE(Table14[[#This Row],[Wartość]],".",","))</f>
        <v>18186.88</v>
      </c>
      <c r="L24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8" s="2" t="str">
        <f>IF(Table14[[#This Row],[Umowa]]="","Poza umową","Z umowy")</f>
        <v>Poza umową</v>
      </c>
      <c r="N2458" s="2">
        <f>YEAR(Table14[[#This Row],[Data_Wystawienia]])</f>
        <v>2024</v>
      </c>
      <c r="O2458" s="2" t="str">
        <f>TEXT(Table14[[#This Row],[Data_Wystawienia]],"rrrr-mm")</f>
        <v>2024-06</v>
      </c>
      <c r="P2458" s="2">
        <v>1</v>
      </c>
    </row>
    <row r="2459" spans="1:16" x14ac:dyDescent="0.3">
      <c r="A2459" s="2" t="str">
        <f>TRIM(Table1[[#This Row],[Numer_FV]])</f>
        <v>FV/M/1922/P/24</v>
      </c>
      <c r="B2459" s="2" t="str">
        <f>TRIM(Table1[[#This Row],[Numer_PZ]])</f>
        <v>PZ/802457</v>
      </c>
      <c r="C2459" s="2" t="str">
        <f>TRIM(Table1[[#This Row],[Dostawca]])</f>
        <v>MedicaPharm</v>
      </c>
      <c r="D2459" s="3">
        <v>45472</v>
      </c>
      <c r="E2459" s="4" t="s">
        <v>7268</v>
      </c>
      <c r="F2459" s="2" t="str">
        <f>TRIM(Table1[[#This Row],[Status]])</f>
        <v>Zaakceptowana</v>
      </c>
      <c r="G2459" s="2" t="str">
        <f>TRIM(Table1[[#This Row],[Typ]])</f>
        <v>Faktura VAT</v>
      </c>
      <c r="H2459" s="2" t="str">
        <f>TRIM(Table1[[#This Row],[Magazyn]])</f>
        <v>Apteka Szpitalna</v>
      </c>
      <c r="I2459" s="2" t="str">
        <f>TRIM(Table1[[#This Row],[Umowa]])</f>
        <v>UM-MED-02</v>
      </c>
      <c r="J2459" s="2" t="b">
        <f>ISTEXT(Table14[[#This Row],[Data_Wystawienia]])</f>
        <v>0</v>
      </c>
      <c r="K2459" s="2">
        <f>VALUE(SUBSTITUTE(Table14[[#This Row],[Wartość]],".",","))</f>
        <v>6628.26</v>
      </c>
      <c r="L24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59" s="2" t="str">
        <f>IF(Table14[[#This Row],[Umowa]]="","Poza umową","Z umowy")</f>
        <v>Z umowy</v>
      </c>
      <c r="N2459" s="2">
        <f>YEAR(Table14[[#This Row],[Data_Wystawienia]])</f>
        <v>2024</v>
      </c>
      <c r="O2459" s="2" t="str">
        <f>TEXT(Table14[[#This Row],[Data_Wystawienia]],"rrrr-mm")</f>
        <v>2024-06</v>
      </c>
      <c r="P2459" s="2">
        <v>1</v>
      </c>
    </row>
    <row r="2460" spans="1:16" x14ac:dyDescent="0.3">
      <c r="A2460" s="2" t="str">
        <f>TRIM(Table1[[#This Row],[Numer_FV]])</f>
        <v>FV/68/PP/4724/24</v>
      </c>
      <c r="B2460" s="2" t="str">
        <f>TRIM(Table1[[#This Row],[Numer_PZ]])</f>
        <v>PZ/802458</v>
      </c>
      <c r="C2460" s="2" t="str">
        <f>TRIM(Table1[[#This Row],[Dostawca]])</f>
        <v>PharmaPlus</v>
      </c>
      <c r="D2460" s="3">
        <v>45472</v>
      </c>
      <c r="E2460" s="4" t="s">
        <v>7271</v>
      </c>
      <c r="F2460" s="2" t="str">
        <f>TRIM(Table1[[#This Row],[Status]])</f>
        <v>Zaakceptowana</v>
      </c>
      <c r="G2460" s="2" t="str">
        <f>TRIM(Table1[[#This Row],[Typ]])</f>
        <v>Faktura VAT</v>
      </c>
      <c r="H2460" s="2" t="str">
        <f>TRIM(Table1[[#This Row],[Magazyn]])</f>
        <v>Apteka Szpitalna</v>
      </c>
      <c r="I2460" s="2" t="str">
        <f>TRIM(Table1[[#This Row],[Umowa]])</f>
        <v/>
      </c>
      <c r="J2460" s="2" t="b">
        <f>ISTEXT(Table14[[#This Row],[Data_Wystawienia]])</f>
        <v>0</v>
      </c>
      <c r="K2460" s="2">
        <f>VALUE(SUBSTITUTE(Table14[[#This Row],[Wartość]],".",","))</f>
        <v>9632.4</v>
      </c>
      <c r="L24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0" s="2" t="str">
        <f>IF(Table14[[#This Row],[Umowa]]="","Poza umową","Z umowy")</f>
        <v>Poza umową</v>
      </c>
      <c r="N2460" s="2">
        <f>YEAR(Table14[[#This Row],[Data_Wystawienia]])</f>
        <v>2024</v>
      </c>
      <c r="O2460" s="2" t="str">
        <f>TEXT(Table14[[#This Row],[Data_Wystawienia]],"rrrr-mm")</f>
        <v>2024-06</v>
      </c>
      <c r="P2460" s="2">
        <v>1</v>
      </c>
    </row>
    <row r="2461" spans="1:16" x14ac:dyDescent="0.3">
      <c r="A2461" s="2" t="str">
        <f>TRIM(Table1[[#This Row],[Numer_FV]])</f>
        <v>FV/M/8911/P/24</v>
      </c>
      <c r="B2461" s="2" t="str">
        <f>TRIM(Table1[[#This Row],[Numer_PZ]])</f>
        <v>PZ/802459</v>
      </c>
      <c r="C2461" s="2" t="str">
        <f>TRIM(Table1[[#This Row],[Dostawca]])</f>
        <v>MedicaPharm</v>
      </c>
      <c r="D2461" s="3">
        <v>45473</v>
      </c>
      <c r="E2461" s="4" t="s">
        <v>7274</v>
      </c>
      <c r="F2461" s="2" t="str">
        <f>TRIM(Table1[[#This Row],[Status]])</f>
        <v>Zaakceptowana</v>
      </c>
      <c r="G2461" s="2" t="str">
        <f>TRIM(Table1[[#This Row],[Typ]])</f>
        <v>Faktura VAT</v>
      </c>
      <c r="H2461" s="2" t="str">
        <f>TRIM(Table1[[#This Row],[Magazyn]])</f>
        <v>Apteka Szpitalna</v>
      </c>
      <c r="I2461" s="2" t="str">
        <f>TRIM(Table1[[#This Row],[Umowa]])</f>
        <v>UM-MED-01</v>
      </c>
      <c r="J2461" s="2" t="b">
        <f>ISTEXT(Table14[[#This Row],[Data_Wystawienia]])</f>
        <v>0</v>
      </c>
      <c r="K2461" s="2">
        <f>VALUE(SUBSTITUTE(Table14[[#This Row],[Wartość]],".",","))</f>
        <v>21752.25</v>
      </c>
      <c r="L24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1" s="2" t="str">
        <f>IF(Table14[[#This Row],[Umowa]]="","Poza umową","Z umowy")</f>
        <v>Z umowy</v>
      </c>
      <c r="N2461" s="2">
        <f>YEAR(Table14[[#This Row],[Data_Wystawienia]])</f>
        <v>2024</v>
      </c>
      <c r="O2461" s="2" t="str">
        <f>TEXT(Table14[[#This Row],[Data_Wystawienia]],"rrrr-mm")</f>
        <v>2024-06</v>
      </c>
      <c r="P2461" s="2">
        <v>1</v>
      </c>
    </row>
    <row r="2462" spans="1:16" x14ac:dyDescent="0.3">
      <c r="A2462" s="2" t="str">
        <f>TRIM(Table1[[#This Row],[Numer_FV]])</f>
        <v>FV/POL/65102/2024</v>
      </c>
      <c r="B2462" s="2" t="str">
        <f>TRIM(Table1[[#This Row],[Numer_PZ]])</f>
        <v>PZ/802460</v>
      </c>
      <c r="C2462" s="2" t="str">
        <f>TRIM(Table1[[#This Row],[Dostawca]])</f>
        <v>Polmedica</v>
      </c>
      <c r="D2462" s="3">
        <v>45473</v>
      </c>
      <c r="E2462" s="4" t="s">
        <v>7277</v>
      </c>
      <c r="F2462" s="2" t="str">
        <f>TRIM(Table1[[#This Row],[Status]])</f>
        <v>Zaakceptowana</v>
      </c>
      <c r="G2462" s="2" t="str">
        <f>TRIM(Table1[[#This Row],[Typ]])</f>
        <v>Faktura VAT</v>
      </c>
      <c r="H2462" s="2" t="str">
        <f>TRIM(Table1[[#This Row],[Magazyn]])</f>
        <v>Apteka Szpitalna</v>
      </c>
      <c r="I2462" s="2" t="str">
        <f>TRIM(Table1[[#This Row],[Umowa]])</f>
        <v>UM-POL-03</v>
      </c>
      <c r="J2462" s="2" t="b">
        <f>ISTEXT(Table14[[#This Row],[Data_Wystawienia]])</f>
        <v>0</v>
      </c>
      <c r="K2462" s="2">
        <f>VALUE(SUBSTITUTE(Table14[[#This Row],[Wartość]],".",","))</f>
        <v>12642.38</v>
      </c>
      <c r="L24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2" s="2" t="str">
        <f>IF(Table14[[#This Row],[Umowa]]="","Poza umową","Z umowy")</f>
        <v>Z umowy</v>
      </c>
      <c r="N2462" s="2">
        <f>YEAR(Table14[[#This Row],[Data_Wystawienia]])</f>
        <v>2024</v>
      </c>
      <c r="O2462" s="2" t="str">
        <f>TEXT(Table14[[#This Row],[Data_Wystawienia]],"rrrr-mm")</f>
        <v>2024-06</v>
      </c>
      <c r="P2462" s="2">
        <v>1</v>
      </c>
    </row>
    <row r="2463" spans="1:16" x14ac:dyDescent="0.3">
      <c r="A2463" s="2" t="str">
        <f>TRIM(Table1[[#This Row],[Numer_FV]])</f>
        <v>FV/M/8449/P/24</v>
      </c>
      <c r="B2463" s="2" t="str">
        <f>TRIM(Table1[[#This Row],[Numer_PZ]])</f>
        <v>PZ/802461</v>
      </c>
      <c r="C2463" s="2" t="str">
        <f>TRIM(Table1[[#This Row],[Dostawca]])</f>
        <v>MedicaPharm</v>
      </c>
      <c r="D2463" s="3">
        <v>45475</v>
      </c>
      <c r="E2463" s="4" t="s">
        <v>7280</v>
      </c>
      <c r="F2463" s="2" t="str">
        <f>TRIM(Table1[[#This Row],[Status]])</f>
        <v>Zaakceptowana</v>
      </c>
      <c r="G2463" s="2" t="str">
        <f>TRIM(Table1[[#This Row],[Typ]])</f>
        <v>Faktura VAT</v>
      </c>
      <c r="H2463" s="2" t="str">
        <f>TRIM(Table1[[#This Row],[Magazyn]])</f>
        <v>Apteka Szpitalna</v>
      </c>
      <c r="I2463" s="2" t="str">
        <f>TRIM(Table1[[#This Row],[Umowa]])</f>
        <v>UM-MED-02</v>
      </c>
      <c r="J2463" s="2" t="b">
        <f>ISTEXT(Table14[[#This Row],[Data_Wystawienia]])</f>
        <v>0</v>
      </c>
      <c r="K2463" s="2">
        <f>VALUE(SUBSTITUTE(Table14[[#This Row],[Wartość]],".",","))</f>
        <v>15519.42</v>
      </c>
      <c r="L24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3" s="2" t="str">
        <f>IF(Table14[[#This Row],[Umowa]]="","Poza umową","Z umowy")</f>
        <v>Z umowy</v>
      </c>
      <c r="N2463" s="2">
        <f>YEAR(Table14[[#This Row],[Data_Wystawienia]])</f>
        <v>2024</v>
      </c>
      <c r="O2463" s="2" t="str">
        <f>TEXT(Table14[[#This Row],[Data_Wystawienia]],"rrrr-mm")</f>
        <v>2024-07</v>
      </c>
      <c r="P2463" s="2">
        <v>1</v>
      </c>
    </row>
    <row r="2464" spans="1:16" x14ac:dyDescent="0.3">
      <c r="A2464" s="2" t="str">
        <f>TRIM(Table1[[#This Row],[Numer_FV]])</f>
        <v>FV/8893/NOVA/24</v>
      </c>
      <c r="B2464" s="2" t="str">
        <f>TRIM(Table1[[#This Row],[Numer_PZ]])</f>
        <v>PZ/802462</v>
      </c>
      <c r="C2464" s="2" t="str">
        <f>TRIM(Table1[[#This Row],[Dostawca]])</f>
        <v>NovaLek</v>
      </c>
      <c r="D2464" s="3">
        <v>45475</v>
      </c>
      <c r="E2464" s="4" t="s">
        <v>7283</v>
      </c>
      <c r="F2464" s="2" t="str">
        <f>TRIM(Table1[[#This Row],[Status]])</f>
        <v>Zaakceptowana</v>
      </c>
      <c r="G2464" s="2" t="str">
        <f>TRIM(Table1[[#This Row],[Typ]])</f>
        <v>Faktura VAT</v>
      </c>
      <c r="H2464" s="2" t="str">
        <f>TRIM(Table1[[#This Row],[Magazyn]])</f>
        <v>Apteka Szpitalna</v>
      </c>
      <c r="I2464" s="2" t="str">
        <f>TRIM(Table1[[#This Row],[Umowa]])</f>
        <v>UM-NOV-02</v>
      </c>
      <c r="J2464" s="2" t="b">
        <f>ISTEXT(Table14[[#This Row],[Data_Wystawienia]])</f>
        <v>0</v>
      </c>
      <c r="K2464" s="2">
        <f>VALUE(SUBSTITUTE(Table14[[#This Row],[Wartość]],".",","))</f>
        <v>15371.19</v>
      </c>
      <c r="L24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4" s="2" t="str">
        <f>IF(Table14[[#This Row],[Umowa]]="","Poza umową","Z umowy")</f>
        <v>Z umowy</v>
      </c>
      <c r="N2464" s="2">
        <f>YEAR(Table14[[#This Row],[Data_Wystawienia]])</f>
        <v>2024</v>
      </c>
      <c r="O2464" s="2" t="str">
        <f>TEXT(Table14[[#This Row],[Data_Wystawienia]],"rrrr-mm")</f>
        <v>2024-07</v>
      </c>
      <c r="P2464" s="2">
        <v>1</v>
      </c>
    </row>
    <row r="2465" spans="1:16" x14ac:dyDescent="0.3">
      <c r="A2465" s="2" t="str">
        <f>TRIM(Table1[[#This Row],[Numer_FV]])</f>
        <v>FV/24851/VDb/2024</v>
      </c>
      <c r="B2465" s="2" t="str">
        <f>TRIM(Table1[[#This Row],[Numer_PZ]])</f>
        <v>PZ/802463</v>
      </c>
      <c r="C2465" s="2" t="str">
        <f>TRIM(Table1[[#This Row],[Dostawca]])</f>
        <v>VitaDistrib</v>
      </c>
      <c r="D2465" s="3">
        <v>45475</v>
      </c>
      <c r="E2465" s="4" t="s">
        <v>7286</v>
      </c>
      <c r="F2465" s="2" t="str">
        <f>TRIM(Table1[[#This Row],[Status]])</f>
        <v>Zaakceptowana</v>
      </c>
      <c r="G2465" s="2" t="str">
        <f>TRIM(Table1[[#This Row],[Typ]])</f>
        <v>Faktura VAT</v>
      </c>
      <c r="H2465" s="2" t="str">
        <f>TRIM(Table1[[#This Row],[Magazyn]])</f>
        <v>Apteka Szpitalna</v>
      </c>
      <c r="I2465" s="2" t="str">
        <f>TRIM(Table1[[#This Row],[Umowa]])</f>
        <v>UM-VIT-01</v>
      </c>
      <c r="J2465" s="2" t="b">
        <f>ISTEXT(Table14[[#This Row],[Data_Wystawienia]])</f>
        <v>0</v>
      </c>
      <c r="K2465" s="2">
        <f>VALUE(SUBSTITUTE(Table14[[#This Row],[Wartość]],".",","))</f>
        <v>4041.38</v>
      </c>
      <c r="L24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5" s="2" t="str">
        <f>IF(Table14[[#This Row],[Umowa]]="","Poza umową","Z umowy")</f>
        <v>Z umowy</v>
      </c>
      <c r="N2465" s="2">
        <f>YEAR(Table14[[#This Row],[Data_Wystawienia]])</f>
        <v>2024</v>
      </c>
      <c r="O2465" s="2" t="str">
        <f>TEXT(Table14[[#This Row],[Data_Wystawienia]],"rrrr-mm")</f>
        <v>2024-07</v>
      </c>
      <c r="P2465" s="2">
        <v>1</v>
      </c>
    </row>
    <row r="2466" spans="1:16" x14ac:dyDescent="0.3">
      <c r="A2466" s="2" t="str">
        <f>TRIM(Table1[[#This Row],[Numer_FV]])</f>
        <v>FV/POL/23787/2024</v>
      </c>
      <c r="B2466" s="2" t="str">
        <f>TRIM(Table1[[#This Row],[Numer_PZ]])</f>
        <v>PZ/802464</v>
      </c>
      <c r="C2466" s="2" t="str">
        <f>TRIM(Table1[[#This Row],[Dostawca]])</f>
        <v>Polmedica</v>
      </c>
      <c r="D2466" s="3">
        <v>45475</v>
      </c>
      <c r="E2466" s="4" t="s">
        <v>7289</v>
      </c>
      <c r="F2466" s="2" t="str">
        <f>TRIM(Table1[[#This Row],[Status]])</f>
        <v>Zaakceptowana</v>
      </c>
      <c r="G2466" s="2" t="str">
        <f>TRIM(Table1[[#This Row],[Typ]])</f>
        <v>Faktura VAT</v>
      </c>
      <c r="H2466" s="2" t="str">
        <f>TRIM(Table1[[#This Row],[Magazyn]])</f>
        <v>Apteka Szpitalna</v>
      </c>
      <c r="I2466" s="2" t="str">
        <f>TRIM(Table1[[#This Row],[Umowa]])</f>
        <v>UM-POL-02</v>
      </c>
      <c r="J2466" s="2" t="b">
        <f>ISTEXT(Table14[[#This Row],[Data_Wystawienia]])</f>
        <v>0</v>
      </c>
      <c r="K2466" s="2">
        <f>VALUE(SUBSTITUTE(Table14[[#This Row],[Wartość]],".",","))</f>
        <v>20999.68</v>
      </c>
      <c r="L24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6" s="2" t="str">
        <f>IF(Table14[[#This Row],[Umowa]]="","Poza umową","Z umowy")</f>
        <v>Z umowy</v>
      </c>
      <c r="N2466" s="2">
        <f>YEAR(Table14[[#This Row],[Data_Wystawienia]])</f>
        <v>2024</v>
      </c>
      <c r="O2466" s="2" t="str">
        <f>TEXT(Table14[[#This Row],[Data_Wystawienia]],"rrrr-mm")</f>
        <v>2024-07</v>
      </c>
      <c r="P2466" s="2">
        <v>1</v>
      </c>
    </row>
    <row r="2467" spans="1:16" x14ac:dyDescent="0.3">
      <c r="A2467" s="2" t="str">
        <f>TRIM(Table1[[#This Row],[Numer_FV]])</f>
        <v>FV/M/7904/P/24</v>
      </c>
      <c r="B2467" s="2" t="str">
        <f>TRIM(Table1[[#This Row],[Numer_PZ]])</f>
        <v>PZ/802465</v>
      </c>
      <c r="C2467" s="2" t="str">
        <f>TRIM(Table1[[#This Row],[Dostawca]])</f>
        <v>MedicaPharm</v>
      </c>
      <c r="D2467" s="3">
        <v>45476</v>
      </c>
      <c r="E2467" s="4" t="s">
        <v>7292</v>
      </c>
      <c r="F2467" s="2" t="str">
        <f>TRIM(Table1[[#This Row],[Status]])</f>
        <v>Zaakceptowana</v>
      </c>
      <c r="G2467" s="2" t="str">
        <f>TRIM(Table1[[#This Row],[Typ]])</f>
        <v>Faktura VAT</v>
      </c>
      <c r="H2467" s="2" t="str">
        <f>TRIM(Table1[[#This Row],[Magazyn]])</f>
        <v>Apteka Szpitalna</v>
      </c>
      <c r="I2467" s="2" t="str">
        <f>TRIM(Table1[[#This Row],[Umowa]])</f>
        <v>UM-MED-01</v>
      </c>
      <c r="J2467" s="2" t="b">
        <f>ISTEXT(Table14[[#This Row],[Data_Wystawienia]])</f>
        <v>0</v>
      </c>
      <c r="K2467" s="2">
        <f>VALUE(SUBSTITUTE(Table14[[#This Row],[Wartość]],".",","))</f>
        <v>11293.77</v>
      </c>
      <c r="L24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7" s="2" t="str">
        <f>IF(Table14[[#This Row],[Umowa]]="","Poza umową","Z umowy")</f>
        <v>Z umowy</v>
      </c>
      <c r="N2467" s="2">
        <f>YEAR(Table14[[#This Row],[Data_Wystawienia]])</f>
        <v>2024</v>
      </c>
      <c r="O2467" s="2" t="str">
        <f>TEXT(Table14[[#This Row],[Data_Wystawienia]],"rrrr-mm")</f>
        <v>2024-07</v>
      </c>
      <c r="P2467" s="2">
        <v>1</v>
      </c>
    </row>
    <row r="2468" spans="1:16" x14ac:dyDescent="0.3">
      <c r="A2468" s="2" t="str">
        <f>TRIM(Table1[[#This Row],[Numer_FV]])</f>
        <v>FV/POL/67322/2024</v>
      </c>
      <c r="B2468" s="2" t="str">
        <f>TRIM(Table1[[#This Row],[Numer_PZ]])</f>
        <v>PZ/802466</v>
      </c>
      <c r="C2468" s="2" t="str">
        <f>TRIM(Table1[[#This Row],[Dostawca]])</f>
        <v>Polmedica</v>
      </c>
      <c r="D2468" s="3">
        <v>45476</v>
      </c>
      <c r="E2468" s="4" t="s">
        <v>7295</v>
      </c>
      <c r="F2468" s="2" t="str">
        <f>TRIM(Table1[[#This Row],[Status]])</f>
        <v>Zaakceptowana</v>
      </c>
      <c r="G2468" s="2" t="str">
        <f>TRIM(Table1[[#This Row],[Typ]])</f>
        <v>Faktura VAT</v>
      </c>
      <c r="H2468" s="2" t="str">
        <f>TRIM(Table1[[#This Row],[Magazyn]])</f>
        <v>Apteka Szpitalna</v>
      </c>
      <c r="I2468" s="2" t="str">
        <f>TRIM(Table1[[#This Row],[Umowa]])</f>
        <v>UM-POL-03</v>
      </c>
      <c r="J2468" s="2" t="b">
        <f>ISTEXT(Table14[[#This Row],[Data_Wystawienia]])</f>
        <v>0</v>
      </c>
      <c r="K2468" s="2">
        <f>VALUE(SUBSTITUTE(Table14[[#This Row],[Wartość]],".",","))</f>
        <v>8878.9599999999991</v>
      </c>
      <c r="L24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8" s="2" t="str">
        <f>IF(Table14[[#This Row],[Umowa]]="","Poza umową","Z umowy")</f>
        <v>Z umowy</v>
      </c>
      <c r="N2468" s="2">
        <f>YEAR(Table14[[#This Row],[Data_Wystawienia]])</f>
        <v>2024</v>
      </c>
      <c r="O2468" s="2" t="str">
        <f>TEXT(Table14[[#This Row],[Data_Wystawienia]],"rrrr-mm")</f>
        <v>2024-07</v>
      </c>
      <c r="P2468" s="2">
        <v>1</v>
      </c>
    </row>
    <row r="2469" spans="1:16" x14ac:dyDescent="0.3">
      <c r="A2469" s="2" t="str">
        <f>TRIM(Table1[[#This Row],[Numer_FV]])</f>
        <v>FV/CENFA/460958/24</v>
      </c>
      <c r="B2469" s="2" t="str">
        <f>TRIM(Table1[[#This Row],[Numer_PZ]])</f>
        <v>PZ/802467</v>
      </c>
      <c r="C2469" s="2" t="str">
        <f>TRIM(Table1[[#This Row],[Dostawca]])</f>
        <v>CentrumFarm</v>
      </c>
      <c r="D2469" s="3">
        <v>45476</v>
      </c>
      <c r="E2469" s="4" t="s">
        <v>7298</v>
      </c>
      <c r="F2469" s="2" t="str">
        <f>TRIM(Table1[[#This Row],[Status]])</f>
        <v>Zaakceptowana</v>
      </c>
      <c r="G2469" s="2" t="str">
        <f>TRIM(Table1[[#This Row],[Typ]])</f>
        <v>Faktura VAT</v>
      </c>
      <c r="H2469" s="2" t="str">
        <f>TRIM(Table1[[#This Row],[Magazyn]])</f>
        <v>Apteka Szpitalna</v>
      </c>
      <c r="I2469" s="2" t="str">
        <f>TRIM(Table1[[#This Row],[Umowa]])</f>
        <v>UM-CEN-02</v>
      </c>
      <c r="J2469" s="2" t="b">
        <f>ISTEXT(Table14[[#This Row],[Data_Wystawienia]])</f>
        <v>0</v>
      </c>
      <c r="K2469" s="2">
        <f>VALUE(SUBSTITUTE(Table14[[#This Row],[Wartość]],".",","))</f>
        <v>5685.31</v>
      </c>
      <c r="L24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69" s="2" t="str">
        <f>IF(Table14[[#This Row],[Umowa]]="","Poza umową","Z umowy")</f>
        <v>Z umowy</v>
      </c>
      <c r="N2469" s="2">
        <f>YEAR(Table14[[#This Row],[Data_Wystawienia]])</f>
        <v>2024</v>
      </c>
      <c r="O2469" s="2" t="str">
        <f>TEXT(Table14[[#This Row],[Data_Wystawienia]],"rrrr-mm")</f>
        <v>2024-07</v>
      </c>
      <c r="P2469" s="2">
        <v>1</v>
      </c>
    </row>
    <row r="2470" spans="1:16" x14ac:dyDescent="0.3">
      <c r="A2470" s="2" t="str">
        <f>TRIM(Table1[[#This Row],[Numer_FV]])</f>
        <v>FV/M/9707/P/24</v>
      </c>
      <c r="B2470" s="2" t="str">
        <f>TRIM(Table1[[#This Row],[Numer_PZ]])</f>
        <v>PZ/802468</v>
      </c>
      <c r="C2470" s="2" t="str">
        <f>TRIM(Table1[[#This Row],[Dostawca]])</f>
        <v>MedicaPharm</v>
      </c>
      <c r="D2470" s="3">
        <v>45476</v>
      </c>
      <c r="E2470" s="4" t="s">
        <v>7301</v>
      </c>
      <c r="F2470" s="2" t="str">
        <f>TRIM(Table1[[#This Row],[Status]])</f>
        <v>Zaakceptowana</v>
      </c>
      <c r="G2470" s="2" t="str">
        <f>TRIM(Table1[[#This Row],[Typ]])</f>
        <v>Faktura VAT</v>
      </c>
      <c r="H2470" s="2" t="str">
        <f>TRIM(Table1[[#This Row],[Magazyn]])</f>
        <v>Apteka Szpitalna</v>
      </c>
      <c r="I2470" s="2" t="str">
        <f>TRIM(Table1[[#This Row],[Umowa]])</f>
        <v/>
      </c>
      <c r="J2470" s="2" t="b">
        <f>ISTEXT(Table14[[#This Row],[Data_Wystawienia]])</f>
        <v>0</v>
      </c>
      <c r="K2470" s="2">
        <f>VALUE(SUBSTITUTE(Table14[[#This Row],[Wartość]],".",","))</f>
        <v>20584.57</v>
      </c>
      <c r="L24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0" s="2" t="str">
        <f>IF(Table14[[#This Row],[Umowa]]="","Poza umową","Z umowy")</f>
        <v>Poza umową</v>
      </c>
      <c r="N2470" s="2">
        <f>YEAR(Table14[[#This Row],[Data_Wystawienia]])</f>
        <v>2024</v>
      </c>
      <c r="O2470" s="2" t="str">
        <f>TEXT(Table14[[#This Row],[Data_Wystawienia]],"rrrr-mm")</f>
        <v>2024-07</v>
      </c>
      <c r="P2470" s="2">
        <v>1</v>
      </c>
    </row>
    <row r="2471" spans="1:16" x14ac:dyDescent="0.3">
      <c r="A2471" s="2" t="str">
        <f>TRIM(Table1[[#This Row],[Numer_FV]])</f>
        <v>FV/70/PP/5128/24</v>
      </c>
      <c r="B2471" s="2" t="str">
        <f>TRIM(Table1[[#This Row],[Numer_PZ]])</f>
        <v>PZ/802469</v>
      </c>
      <c r="C2471" s="2" t="str">
        <f>TRIM(Table1[[#This Row],[Dostawca]])</f>
        <v>PharmaPlus</v>
      </c>
      <c r="D2471" s="3">
        <v>45476</v>
      </c>
      <c r="E2471" s="4" t="s">
        <v>7304</v>
      </c>
      <c r="F2471" s="2" t="str">
        <f>TRIM(Table1[[#This Row],[Status]])</f>
        <v>Zaakceptowana</v>
      </c>
      <c r="G2471" s="2" t="str">
        <f>TRIM(Table1[[#This Row],[Typ]])</f>
        <v>Faktura VAT</v>
      </c>
      <c r="H2471" s="2" t="str">
        <f>TRIM(Table1[[#This Row],[Magazyn]])</f>
        <v>Apteka Szpitalna</v>
      </c>
      <c r="I2471" s="2" t="str">
        <f>TRIM(Table1[[#This Row],[Umowa]])</f>
        <v>UM-PHA-02</v>
      </c>
      <c r="J2471" s="2" t="b">
        <f>ISTEXT(Table14[[#This Row],[Data_Wystawienia]])</f>
        <v>0</v>
      </c>
      <c r="K2471" s="2">
        <f>VALUE(SUBSTITUTE(Table14[[#This Row],[Wartość]],".",","))</f>
        <v>12456.77</v>
      </c>
      <c r="L24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1" s="2" t="str">
        <f>IF(Table14[[#This Row],[Umowa]]="","Poza umową","Z umowy")</f>
        <v>Z umowy</v>
      </c>
      <c r="N2471" s="2">
        <f>YEAR(Table14[[#This Row],[Data_Wystawienia]])</f>
        <v>2024</v>
      </c>
      <c r="O2471" s="2" t="str">
        <f>TEXT(Table14[[#This Row],[Data_Wystawienia]],"rrrr-mm")</f>
        <v>2024-07</v>
      </c>
      <c r="P2471" s="2">
        <v>1</v>
      </c>
    </row>
    <row r="2472" spans="1:16" x14ac:dyDescent="0.3">
      <c r="A2472" s="2" t="str">
        <f>TRIM(Table1[[#This Row],[Numer_FV]])</f>
        <v>FV/6294HM/24</v>
      </c>
      <c r="B2472" s="2" t="str">
        <f>TRIM(Table1[[#This Row],[Numer_PZ]])</f>
        <v>PZ/802470</v>
      </c>
      <c r="C2472" s="2" t="str">
        <f>TRIM(Table1[[#This Row],[Dostawca]])</f>
        <v>HurtMedix</v>
      </c>
      <c r="D2472" s="3">
        <v>45477</v>
      </c>
      <c r="E2472" s="4" t="s">
        <v>7307</v>
      </c>
      <c r="F2472" s="2" t="str">
        <f>TRIM(Table1[[#This Row],[Status]])</f>
        <v>Zaakceptowana</v>
      </c>
      <c r="G2472" s="2" t="str">
        <f>TRIM(Table1[[#This Row],[Typ]])</f>
        <v>Faktura VAT</v>
      </c>
      <c r="H2472" s="2" t="str">
        <f>TRIM(Table1[[#This Row],[Magazyn]])</f>
        <v>Apteka Szpitalna</v>
      </c>
      <c r="I2472" s="2" t="str">
        <f>TRIM(Table1[[#This Row],[Umowa]])</f>
        <v>UM-HUR-01</v>
      </c>
      <c r="J2472" s="2" t="b">
        <f>ISTEXT(Table14[[#This Row],[Data_Wystawienia]])</f>
        <v>0</v>
      </c>
      <c r="K2472" s="2">
        <f>VALUE(SUBSTITUTE(Table14[[#This Row],[Wartość]],".",","))</f>
        <v>13439.44</v>
      </c>
      <c r="L24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2" s="2" t="str">
        <f>IF(Table14[[#This Row],[Umowa]]="","Poza umową","Z umowy")</f>
        <v>Z umowy</v>
      </c>
      <c r="N2472" s="2">
        <f>YEAR(Table14[[#This Row],[Data_Wystawienia]])</f>
        <v>2024</v>
      </c>
      <c r="O2472" s="2" t="str">
        <f>TEXT(Table14[[#This Row],[Data_Wystawienia]],"rrrr-mm")</f>
        <v>2024-07</v>
      </c>
      <c r="P2472" s="2">
        <v>1</v>
      </c>
    </row>
    <row r="2473" spans="1:16" x14ac:dyDescent="0.3">
      <c r="A2473" s="2" t="str">
        <f>TRIM(Table1[[#This Row],[Numer_FV]])</f>
        <v>FV/57549/VDb/2024</v>
      </c>
      <c r="B2473" s="2" t="str">
        <f>TRIM(Table1[[#This Row],[Numer_PZ]])</f>
        <v>PZ/802471</v>
      </c>
      <c r="C2473" s="2" t="str">
        <f>TRIM(Table1[[#This Row],[Dostawca]])</f>
        <v>VitaDistrib</v>
      </c>
      <c r="D2473" s="3">
        <v>45477</v>
      </c>
      <c r="E2473" s="4" t="s">
        <v>7310</v>
      </c>
      <c r="F2473" s="2" t="str">
        <f>TRIM(Table1[[#This Row],[Status]])</f>
        <v>Zaakceptowana</v>
      </c>
      <c r="G2473" s="2" t="str">
        <f>TRIM(Table1[[#This Row],[Typ]])</f>
        <v>Faktura VAT</v>
      </c>
      <c r="H2473" s="2" t="str">
        <f>TRIM(Table1[[#This Row],[Magazyn]])</f>
        <v>Apteka Szpitalna</v>
      </c>
      <c r="I2473" s="2" t="str">
        <f>TRIM(Table1[[#This Row],[Umowa]])</f>
        <v/>
      </c>
      <c r="J2473" s="2" t="b">
        <f>ISTEXT(Table14[[#This Row],[Data_Wystawienia]])</f>
        <v>0</v>
      </c>
      <c r="K2473" s="2">
        <f>VALUE(SUBSTITUTE(Table14[[#This Row],[Wartość]],".",","))</f>
        <v>20834.939999999999</v>
      </c>
      <c r="L24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3" s="2" t="str">
        <f>IF(Table14[[#This Row],[Umowa]]="","Poza umową","Z umowy")</f>
        <v>Poza umową</v>
      </c>
      <c r="N2473" s="2">
        <f>YEAR(Table14[[#This Row],[Data_Wystawienia]])</f>
        <v>2024</v>
      </c>
      <c r="O2473" s="2" t="str">
        <f>TEXT(Table14[[#This Row],[Data_Wystawienia]],"rrrr-mm")</f>
        <v>2024-07</v>
      </c>
      <c r="P2473" s="2">
        <v>1</v>
      </c>
    </row>
    <row r="2474" spans="1:16" x14ac:dyDescent="0.3">
      <c r="A2474" s="2" t="str">
        <f>TRIM(Table1[[#This Row],[Numer_FV]])</f>
        <v>FV/3573HM/24</v>
      </c>
      <c r="B2474" s="2" t="str">
        <f>TRIM(Table1[[#This Row],[Numer_PZ]])</f>
        <v>PZ/802472</v>
      </c>
      <c r="C2474" s="2" t="str">
        <f>TRIM(Table1[[#This Row],[Dostawca]])</f>
        <v>HurtMedix</v>
      </c>
      <c r="D2474" s="3">
        <v>45477</v>
      </c>
      <c r="E2474" s="4" t="s">
        <v>7313</v>
      </c>
      <c r="F2474" s="2" t="str">
        <f>TRIM(Table1[[#This Row],[Status]])</f>
        <v>Zaakceptowana</v>
      </c>
      <c r="G2474" s="2" t="str">
        <f>TRIM(Table1[[#This Row],[Typ]])</f>
        <v>Faktura VAT</v>
      </c>
      <c r="H2474" s="2" t="str">
        <f>TRIM(Table1[[#This Row],[Magazyn]])</f>
        <v>Apteka Szpitalna</v>
      </c>
      <c r="I2474" s="2" t="str">
        <f>TRIM(Table1[[#This Row],[Umowa]])</f>
        <v>UM-HUR-01</v>
      </c>
      <c r="J2474" s="2" t="b">
        <f>ISTEXT(Table14[[#This Row],[Data_Wystawienia]])</f>
        <v>0</v>
      </c>
      <c r="K2474" s="2">
        <f>VALUE(SUBSTITUTE(Table14[[#This Row],[Wartość]],".",","))</f>
        <v>15767.75</v>
      </c>
      <c r="L24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4" s="2" t="str">
        <f>IF(Table14[[#This Row],[Umowa]]="","Poza umową","Z umowy")</f>
        <v>Z umowy</v>
      </c>
      <c r="N2474" s="2">
        <f>YEAR(Table14[[#This Row],[Data_Wystawienia]])</f>
        <v>2024</v>
      </c>
      <c r="O2474" s="2" t="str">
        <f>TEXT(Table14[[#This Row],[Data_Wystawienia]],"rrrr-mm")</f>
        <v>2024-07</v>
      </c>
      <c r="P2474" s="2">
        <v>1</v>
      </c>
    </row>
    <row r="2475" spans="1:16" x14ac:dyDescent="0.3">
      <c r="A2475" s="2" t="str">
        <f>TRIM(Table1[[#This Row],[Numer_FV]])</f>
        <v>FV/2229HM/24</v>
      </c>
      <c r="B2475" s="2" t="str">
        <f>TRIM(Table1[[#This Row],[Numer_PZ]])</f>
        <v>PZ/802473</v>
      </c>
      <c r="C2475" s="2" t="str">
        <f>TRIM(Table1[[#This Row],[Dostawca]])</f>
        <v>HurtMedix</v>
      </c>
      <c r="D2475" s="3">
        <v>45477</v>
      </c>
      <c r="E2475" s="4" t="s">
        <v>7316</v>
      </c>
      <c r="F2475" s="2" t="str">
        <f>TRIM(Table1[[#This Row],[Status]])</f>
        <v>Zaakceptowana</v>
      </c>
      <c r="G2475" s="2" t="str">
        <f>TRIM(Table1[[#This Row],[Typ]])</f>
        <v>Faktura VAT</v>
      </c>
      <c r="H2475" s="2" t="str">
        <f>TRIM(Table1[[#This Row],[Magazyn]])</f>
        <v>Apteka Szpitalna</v>
      </c>
      <c r="I2475" s="2" t="str">
        <f>TRIM(Table1[[#This Row],[Umowa]])</f>
        <v>UM-HUR-01</v>
      </c>
      <c r="J2475" s="2" t="b">
        <f>ISTEXT(Table14[[#This Row],[Data_Wystawienia]])</f>
        <v>0</v>
      </c>
      <c r="K2475" s="2">
        <f>VALUE(SUBSTITUTE(Table14[[#This Row],[Wartość]],".",","))</f>
        <v>20014.98</v>
      </c>
      <c r="L24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5" s="2" t="str">
        <f>IF(Table14[[#This Row],[Umowa]]="","Poza umową","Z umowy")</f>
        <v>Z umowy</v>
      </c>
      <c r="N2475" s="2">
        <f>YEAR(Table14[[#This Row],[Data_Wystawienia]])</f>
        <v>2024</v>
      </c>
      <c r="O2475" s="2" t="str">
        <f>TEXT(Table14[[#This Row],[Data_Wystawienia]],"rrrr-mm")</f>
        <v>2024-07</v>
      </c>
      <c r="P2475" s="2">
        <v>1</v>
      </c>
    </row>
    <row r="2476" spans="1:16" x14ac:dyDescent="0.3">
      <c r="A2476" s="2" t="str">
        <f>TRIM(Table1[[#This Row],[Numer_FV]])</f>
        <v>FV/80/SAL/24</v>
      </c>
      <c r="B2476" s="2" t="str">
        <f>TRIM(Table1[[#This Row],[Numer_PZ]])</f>
        <v>PZ/802474</v>
      </c>
      <c r="C2476" s="2" t="str">
        <f>TRIM(Table1[[#This Row],[Dostawca]])</f>
        <v>SalusHurt</v>
      </c>
      <c r="D2476" s="3">
        <v>45478</v>
      </c>
      <c r="E2476" s="4" t="s">
        <v>7318</v>
      </c>
      <c r="F2476" s="2" t="str">
        <f>TRIM(Table1[[#This Row],[Status]])</f>
        <v>Zaakceptowana</v>
      </c>
      <c r="G2476" s="2" t="str">
        <f>TRIM(Table1[[#This Row],[Typ]])</f>
        <v>Faktura VAT</v>
      </c>
      <c r="H2476" s="2" t="str">
        <f>TRIM(Table1[[#This Row],[Magazyn]])</f>
        <v>Apteka Szpitalna</v>
      </c>
      <c r="I2476" s="2" t="str">
        <f>TRIM(Table1[[#This Row],[Umowa]])</f>
        <v>UM-SAL-02</v>
      </c>
      <c r="J2476" s="2" t="b">
        <f>ISTEXT(Table14[[#This Row],[Data_Wystawienia]])</f>
        <v>0</v>
      </c>
      <c r="K2476" s="2">
        <f>VALUE(SUBSTITUTE(Table14[[#This Row],[Wartość]],".",","))</f>
        <v>12329.51</v>
      </c>
      <c r="L24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6" s="2" t="str">
        <f>IF(Table14[[#This Row],[Umowa]]="","Poza umową","Z umowy")</f>
        <v>Z umowy</v>
      </c>
      <c r="N2476" s="2">
        <f>YEAR(Table14[[#This Row],[Data_Wystawienia]])</f>
        <v>2024</v>
      </c>
      <c r="O2476" s="2" t="str">
        <f>TEXT(Table14[[#This Row],[Data_Wystawienia]],"rrrr-mm")</f>
        <v>2024-07</v>
      </c>
      <c r="P2476" s="2">
        <v>1</v>
      </c>
    </row>
    <row r="2477" spans="1:16" x14ac:dyDescent="0.3">
      <c r="A2477" s="2" t="str">
        <f>TRIM(Table1[[#This Row],[Numer_FV]])</f>
        <v>FV/1482/NOVA/24</v>
      </c>
      <c r="B2477" s="2" t="str">
        <f>TRIM(Table1[[#This Row],[Numer_PZ]])</f>
        <v>PZ/802475</v>
      </c>
      <c r="C2477" s="2" t="str">
        <f>TRIM(Table1[[#This Row],[Dostawca]])</f>
        <v>NovaLek</v>
      </c>
      <c r="D2477" s="3">
        <v>45478</v>
      </c>
      <c r="E2477" s="4" t="s">
        <v>7321</v>
      </c>
      <c r="F2477" s="2" t="str">
        <f>TRIM(Table1[[#This Row],[Status]])</f>
        <v>Zaakceptowana</v>
      </c>
      <c r="G2477" s="2" t="str">
        <f>TRIM(Table1[[#This Row],[Typ]])</f>
        <v>Faktura VAT</v>
      </c>
      <c r="H2477" s="2" t="str">
        <f>TRIM(Table1[[#This Row],[Magazyn]])</f>
        <v>Apteka Szpitalna</v>
      </c>
      <c r="I2477" s="2" t="str">
        <f>TRIM(Table1[[#This Row],[Umowa]])</f>
        <v/>
      </c>
      <c r="J2477" s="2" t="b">
        <f>ISTEXT(Table14[[#This Row],[Data_Wystawienia]])</f>
        <v>0</v>
      </c>
      <c r="K2477" s="2">
        <f>VALUE(SUBSTITUTE(Table14[[#This Row],[Wartość]],".",","))</f>
        <v>12294.58</v>
      </c>
      <c r="L24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7" s="2" t="str">
        <f>IF(Table14[[#This Row],[Umowa]]="","Poza umową","Z umowy")</f>
        <v>Poza umową</v>
      </c>
      <c r="N2477" s="2">
        <f>YEAR(Table14[[#This Row],[Data_Wystawienia]])</f>
        <v>2024</v>
      </c>
      <c r="O2477" s="2" t="str">
        <f>TEXT(Table14[[#This Row],[Data_Wystawienia]],"rrrr-mm")</f>
        <v>2024-07</v>
      </c>
      <c r="P2477" s="2">
        <v>1</v>
      </c>
    </row>
    <row r="2478" spans="1:16" x14ac:dyDescent="0.3">
      <c r="A2478" s="2" t="str">
        <f>TRIM(Table1[[#This Row],[Numer_FV]])</f>
        <v>FV/4171/NOVA/24</v>
      </c>
      <c r="B2478" s="2" t="str">
        <f>TRIM(Table1[[#This Row],[Numer_PZ]])</f>
        <v>PZ/802476</v>
      </c>
      <c r="C2478" s="2" t="str">
        <f>TRIM(Table1[[#This Row],[Dostawca]])</f>
        <v>NovaLek</v>
      </c>
      <c r="D2478" s="3">
        <v>45479</v>
      </c>
      <c r="E2478" s="4" t="s">
        <v>7324</v>
      </c>
      <c r="F2478" s="2" t="str">
        <f>TRIM(Table1[[#This Row],[Status]])</f>
        <v>Zaakceptowana</v>
      </c>
      <c r="G2478" s="2" t="str">
        <f>TRIM(Table1[[#This Row],[Typ]])</f>
        <v>Faktura VAT</v>
      </c>
      <c r="H2478" s="2" t="str">
        <f>TRIM(Table1[[#This Row],[Magazyn]])</f>
        <v>Apteka Szpitalna</v>
      </c>
      <c r="I2478" s="2" t="str">
        <f>TRIM(Table1[[#This Row],[Umowa]])</f>
        <v>UM-NOV-01</v>
      </c>
      <c r="J2478" s="2" t="b">
        <f>ISTEXT(Table14[[#This Row],[Data_Wystawienia]])</f>
        <v>0</v>
      </c>
      <c r="K2478" s="2">
        <f>VALUE(SUBSTITUTE(Table14[[#This Row],[Wartość]],".",","))</f>
        <v>14589.58</v>
      </c>
      <c r="L24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8" s="2" t="str">
        <f>IF(Table14[[#This Row],[Umowa]]="","Poza umową","Z umowy")</f>
        <v>Z umowy</v>
      </c>
      <c r="N2478" s="2">
        <f>YEAR(Table14[[#This Row],[Data_Wystawienia]])</f>
        <v>2024</v>
      </c>
      <c r="O2478" s="2" t="str">
        <f>TEXT(Table14[[#This Row],[Data_Wystawienia]],"rrrr-mm")</f>
        <v>2024-07</v>
      </c>
      <c r="P2478" s="2">
        <v>1</v>
      </c>
    </row>
    <row r="2479" spans="1:16" x14ac:dyDescent="0.3">
      <c r="A2479" s="2" t="str">
        <f>TRIM(Table1[[#This Row],[Numer_FV]])</f>
        <v>FV/4302/NOVA/24</v>
      </c>
      <c r="B2479" s="2" t="str">
        <f>TRIM(Table1[[#This Row],[Numer_PZ]])</f>
        <v>PZ/802477</v>
      </c>
      <c r="C2479" s="2" t="str">
        <f>TRIM(Table1[[#This Row],[Dostawca]])</f>
        <v>NovaLek</v>
      </c>
      <c r="D2479" s="3">
        <v>45479</v>
      </c>
      <c r="E2479" s="4" t="s">
        <v>7327</v>
      </c>
      <c r="F2479" s="2" t="str">
        <f>TRIM(Table1[[#This Row],[Status]])</f>
        <v>Zaakceptowana</v>
      </c>
      <c r="G2479" s="2" t="str">
        <f>TRIM(Table1[[#This Row],[Typ]])</f>
        <v>Faktura VAT</v>
      </c>
      <c r="H2479" s="2" t="str">
        <f>TRIM(Table1[[#This Row],[Magazyn]])</f>
        <v>Apteka Szpitalna</v>
      </c>
      <c r="I2479" s="2" t="str">
        <f>TRIM(Table1[[#This Row],[Umowa]])</f>
        <v/>
      </c>
      <c r="J2479" s="2" t="b">
        <f>ISTEXT(Table14[[#This Row],[Data_Wystawienia]])</f>
        <v>0</v>
      </c>
      <c r="K2479" s="2">
        <f>VALUE(SUBSTITUTE(Table14[[#This Row],[Wartość]],".",","))</f>
        <v>20214.57</v>
      </c>
      <c r="L24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79" s="2" t="str">
        <f>IF(Table14[[#This Row],[Umowa]]="","Poza umową","Z umowy")</f>
        <v>Poza umową</v>
      </c>
      <c r="N2479" s="2">
        <f>YEAR(Table14[[#This Row],[Data_Wystawienia]])</f>
        <v>2024</v>
      </c>
      <c r="O2479" s="2" t="str">
        <f>TEXT(Table14[[#This Row],[Data_Wystawienia]],"rrrr-mm")</f>
        <v>2024-07</v>
      </c>
      <c r="P2479" s="2">
        <v>1</v>
      </c>
    </row>
    <row r="2480" spans="1:16" x14ac:dyDescent="0.3">
      <c r="A2480" s="2" t="str">
        <f>TRIM(Table1[[#This Row],[Numer_FV]])</f>
        <v>FV/4906HM/24</v>
      </c>
      <c r="B2480" s="2" t="str">
        <f>TRIM(Table1[[#This Row],[Numer_PZ]])</f>
        <v>PZ/802478</v>
      </c>
      <c r="C2480" s="2" t="str">
        <f>TRIM(Table1[[#This Row],[Dostawca]])</f>
        <v>HurtMedix</v>
      </c>
      <c r="D2480" s="3">
        <v>45479</v>
      </c>
      <c r="E2480" s="4" t="s">
        <v>7330</v>
      </c>
      <c r="F2480" s="2" t="str">
        <f>TRIM(Table1[[#This Row],[Status]])</f>
        <v>Zaakceptowana</v>
      </c>
      <c r="G2480" s="2" t="str">
        <f>TRIM(Table1[[#This Row],[Typ]])</f>
        <v>Faktura VAT</v>
      </c>
      <c r="H2480" s="2" t="str">
        <f>TRIM(Table1[[#This Row],[Magazyn]])</f>
        <v>Apteka Szpitalna</v>
      </c>
      <c r="I2480" s="2" t="str">
        <f>TRIM(Table1[[#This Row],[Umowa]])</f>
        <v>UM-HUR-02</v>
      </c>
      <c r="J2480" s="2" t="b">
        <f>ISTEXT(Table14[[#This Row],[Data_Wystawienia]])</f>
        <v>0</v>
      </c>
      <c r="K2480" s="2">
        <f>VALUE(SUBSTITUTE(Table14[[#This Row],[Wartość]],".",","))</f>
        <v>10234.82</v>
      </c>
      <c r="L24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0" s="2" t="str">
        <f>IF(Table14[[#This Row],[Umowa]]="","Poza umową","Z umowy")</f>
        <v>Z umowy</v>
      </c>
      <c r="N2480" s="2">
        <f>YEAR(Table14[[#This Row],[Data_Wystawienia]])</f>
        <v>2024</v>
      </c>
      <c r="O2480" s="2" t="str">
        <f>TEXT(Table14[[#This Row],[Data_Wystawienia]],"rrrr-mm")</f>
        <v>2024-07</v>
      </c>
      <c r="P2480" s="2">
        <v>1</v>
      </c>
    </row>
    <row r="2481" spans="1:16" x14ac:dyDescent="0.3">
      <c r="A2481" s="2" t="str">
        <f>TRIM(Table1[[#This Row],[Numer_FV]])</f>
        <v>FV/98/PP/9501/24</v>
      </c>
      <c r="B2481" s="2" t="str">
        <f>TRIM(Table1[[#This Row],[Numer_PZ]])</f>
        <v>PZ/802479</v>
      </c>
      <c r="C2481" s="2" t="str">
        <f>TRIM(Table1[[#This Row],[Dostawca]])</f>
        <v>PharmaPlus</v>
      </c>
      <c r="D2481" s="3">
        <v>45479</v>
      </c>
      <c r="E2481" s="4" t="s">
        <v>7333</v>
      </c>
      <c r="F2481" s="2" t="str">
        <f>TRIM(Table1[[#This Row],[Status]])</f>
        <v>Zaakceptowana</v>
      </c>
      <c r="G2481" s="2" t="str">
        <f>TRIM(Table1[[#This Row],[Typ]])</f>
        <v>Faktura VAT</v>
      </c>
      <c r="H2481" s="2" t="str">
        <f>TRIM(Table1[[#This Row],[Magazyn]])</f>
        <v>Apteka Szpitalna</v>
      </c>
      <c r="I2481" s="2" t="str">
        <f>TRIM(Table1[[#This Row],[Umowa]])</f>
        <v>UM-PHA-01</v>
      </c>
      <c r="J2481" s="2" t="b">
        <f>ISTEXT(Table14[[#This Row],[Data_Wystawienia]])</f>
        <v>0</v>
      </c>
      <c r="K2481" s="2">
        <f>VALUE(SUBSTITUTE(Table14[[#This Row],[Wartość]],".",","))</f>
        <v>20845.400000000001</v>
      </c>
      <c r="L24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1" s="2" t="str">
        <f>IF(Table14[[#This Row],[Umowa]]="","Poza umową","Z umowy")</f>
        <v>Z umowy</v>
      </c>
      <c r="N2481" s="2">
        <f>YEAR(Table14[[#This Row],[Data_Wystawienia]])</f>
        <v>2024</v>
      </c>
      <c r="O2481" s="2" t="str">
        <f>TEXT(Table14[[#This Row],[Data_Wystawienia]],"rrrr-mm")</f>
        <v>2024-07</v>
      </c>
      <c r="P2481" s="2">
        <v>1</v>
      </c>
    </row>
    <row r="2482" spans="1:16" x14ac:dyDescent="0.3">
      <c r="A2482" s="2" t="str">
        <f>TRIM(Table1[[#This Row],[Numer_FV]])</f>
        <v>FV/5865/NOVA/24</v>
      </c>
      <c r="B2482" s="2" t="str">
        <f>TRIM(Table1[[#This Row],[Numer_PZ]])</f>
        <v>PZ/802480</v>
      </c>
      <c r="C2482" s="2" t="str">
        <f>TRIM(Table1[[#This Row],[Dostawca]])</f>
        <v>NovaLek</v>
      </c>
      <c r="D2482" s="3">
        <v>45479</v>
      </c>
      <c r="E2482" s="4" t="s">
        <v>7336</v>
      </c>
      <c r="F2482" s="2" t="str">
        <f>TRIM(Table1[[#This Row],[Status]])</f>
        <v>Zaakceptowana</v>
      </c>
      <c r="G2482" s="2" t="str">
        <f>TRIM(Table1[[#This Row],[Typ]])</f>
        <v>Faktura VAT</v>
      </c>
      <c r="H2482" s="2" t="str">
        <f>TRIM(Table1[[#This Row],[Magazyn]])</f>
        <v>Apteka Szpitalna</v>
      </c>
      <c r="I2482" s="2" t="str">
        <f>TRIM(Table1[[#This Row],[Umowa]])</f>
        <v>UM-NOV-02</v>
      </c>
      <c r="J2482" s="2" t="b">
        <f>ISTEXT(Table14[[#This Row],[Data_Wystawienia]])</f>
        <v>0</v>
      </c>
      <c r="K2482" s="2">
        <f>VALUE(SUBSTITUTE(Table14[[#This Row],[Wartość]],".",","))</f>
        <v>15595.37</v>
      </c>
      <c r="L24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2" s="2" t="str">
        <f>IF(Table14[[#This Row],[Umowa]]="","Poza umową","Z umowy")</f>
        <v>Z umowy</v>
      </c>
      <c r="N2482" s="2">
        <f>YEAR(Table14[[#This Row],[Data_Wystawienia]])</f>
        <v>2024</v>
      </c>
      <c r="O2482" s="2" t="str">
        <f>TEXT(Table14[[#This Row],[Data_Wystawienia]],"rrrr-mm")</f>
        <v>2024-07</v>
      </c>
      <c r="P2482" s="2">
        <v>1</v>
      </c>
    </row>
    <row r="2483" spans="1:16" x14ac:dyDescent="0.3">
      <c r="A2483" s="2" t="str">
        <f>TRIM(Table1[[#This Row],[Numer_FV]])</f>
        <v>FV/3266HM/24</v>
      </c>
      <c r="B2483" s="2" t="str">
        <f>TRIM(Table1[[#This Row],[Numer_PZ]])</f>
        <v>PZ/802481</v>
      </c>
      <c r="C2483" s="2" t="str">
        <f>TRIM(Table1[[#This Row],[Dostawca]])</f>
        <v>HurtMedix</v>
      </c>
      <c r="D2483" s="3">
        <v>45479</v>
      </c>
      <c r="E2483" s="4" t="s">
        <v>7339</v>
      </c>
      <c r="F2483" s="2" t="str">
        <f>TRIM(Table1[[#This Row],[Status]])</f>
        <v>Zaakceptowana</v>
      </c>
      <c r="G2483" s="2" t="str">
        <f>TRIM(Table1[[#This Row],[Typ]])</f>
        <v>Faktura VAT</v>
      </c>
      <c r="H2483" s="2" t="str">
        <f>TRIM(Table1[[#This Row],[Magazyn]])</f>
        <v>Apteka Szpitalna</v>
      </c>
      <c r="I2483" s="2" t="str">
        <f>TRIM(Table1[[#This Row],[Umowa]])</f>
        <v>UM-HUR-01</v>
      </c>
      <c r="J2483" s="2" t="b">
        <f>ISTEXT(Table14[[#This Row],[Data_Wystawienia]])</f>
        <v>0</v>
      </c>
      <c r="K2483" s="2">
        <f>VALUE(SUBSTITUTE(Table14[[#This Row],[Wartość]],".",","))</f>
        <v>20714.91</v>
      </c>
      <c r="L24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3" s="2" t="str">
        <f>IF(Table14[[#This Row],[Umowa]]="","Poza umową","Z umowy")</f>
        <v>Z umowy</v>
      </c>
      <c r="N2483" s="2">
        <f>YEAR(Table14[[#This Row],[Data_Wystawienia]])</f>
        <v>2024</v>
      </c>
      <c r="O2483" s="2" t="str">
        <f>TEXT(Table14[[#This Row],[Data_Wystawienia]],"rrrr-mm")</f>
        <v>2024-07</v>
      </c>
      <c r="P2483" s="2">
        <v>1</v>
      </c>
    </row>
    <row r="2484" spans="1:16" x14ac:dyDescent="0.3">
      <c r="A2484" s="2" t="str">
        <f>TRIM(Table1[[#This Row],[Numer_FV]])</f>
        <v>FV/M/4326/P/24</v>
      </c>
      <c r="B2484" s="2" t="str">
        <f>TRIM(Table1[[#This Row],[Numer_PZ]])</f>
        <v>PZ/802482</v>
      </c>
      <c r="C2484" s="2" t="str">
        <f>TRIM(Table1[[#This Row],[Dostawca]])</f>
        <v>MedicaPharm</v>
      </c>
      <c r="D2484" s="3">
        <v>45480</v>
      </c>
      <c r="E2484" s="4" t="s">
        <v>7342</v>
      </c>
      <c r="F2484" s="2" t="str">
        <f>TRIM(Table1[[#This Row],[Status]])</f>
        <v>Zaakceptowana</v>
      </c>
      <c r="G2484" s="2" t="str">
        <f>TRIM(Table1[[#This Row],[Typ]])</f>
        <v>Faktura VAT</v>
      </c>
      <c r="H2484" s="2" t="str">
        <f>TRIM(Table1[[#This Row],[Magazyn]])</f>
        <v>Apteka Szpitalna</v>
      </c>
      <c r="I2484" s="2" t="str">
        <f>TRIM(Table1[[#This Row],[Umowa]])</f>
        <v/>
      </c>
      <c r="J2484" s="2" t="b">
        <f>ISTEXT(Table14[[#This Row],[Data_Wystawienia]])</f>
        <v>0</v>
      </c>
      <c r="K2484" s="2">
        <f>VALUE(SUBSTITUTE(Table14[[#This Row],[Wartość]],".",","))</f>
        <v>28764.63</v>
      </c>
      <c r="L24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4" s="2" t="str">
        <f>IF(Table14[[#This Row],[Umowa]]="","Poza umową","Z umowy")</f>
        <v>Poza umową</v>
      </c>
      <c r="N2484" s="2">
        <f>YEAR(Table14[[#This Row],[Data_Wystawienia]])</f>
        <v>2024</v>
      </c>
      <c r="O2484" s="2" t="str">
        <f>TEXT(Table14[[#This Row],[Data_Wystawienia]],"rrrr-mm")</f>
        <v>2024-07</v>
      </c>
      <c r="P2484" s="2">
        <v>1</v>
      </c>
    </row>
    <row r="2485" spans="1:16" x14ac:dyDescent="0.3">
      <c r="A2485" s="2" t="str">
        <f>TRIM(Table1[[#This Row],[Numer_FV]])</f>
        <v>FV/5095/NOVA/24</v>
      </c>
      <c r="B2485" s="2" t="str">
        <f>TRIM(Table1[[#This Row],[Numer_PZ]])</f>
        <v>PZ/802483</v>
      </c>
      <c r="C2485" s="2" t="str">
        <f>TRIM(Table1[[#This Row],[Dostawca]])</f>
        <v>NovaLek</v>
      </c>
      <c r="D2485" s="3">
        <v>45481</v>
      </c>
      <c r="E2485" s="4" t="s">
        <v>7345</v>
      </c>
      <c r="F2485" s="2" t="str">
        <f>TRIM(Table1[[#This Row],[Status]])</f>
        <v>Zaakceptowana</v>
      </c>
      <c r="G2485" s="2" t="str">
        <f>TRIM(Table1[[#This Row],[Typ]])</f>
        <v>Faktura VAT</v>
      </c>
      <c r="H2485" s="2" t="str">
        <f>TRIM(Table1[[#This Row],[Magazyn]])</f>
        <v>Apteka Szpitalna</v>
      </c>
      <c r="I2485" s="2" t="str">
        <f>TRIM(Table1[[#This Row],[Umowa]])</f>
        <v>UM-NOV-03</v>
      </c>
      <c r="J2485" s="2" t="b">
        <f>ISTEXT(Table14[[#This Row],[Data_Wystawienia]])</f>
        <v>0</v>
      </c>
      <c r="K2485" s="2">
        <f>VALUE(SUBSTITUTE(Table14[[#This Row],[Wartość]],".",","))</f>
        <v>20671.38</v>
      </c>
      <c r="L24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5" s="2" t="str">
        <f>IF(Table14[[#This Row],[Umowa]]="","Poza umową","Z umowy")</f>
        <v>Z umowy</v>
      </c>
      <c r="N2485" s="2">
        <f>YEAR(Table14[[#This Row],[Data_Wystawienia]])</f>
        <v>2024</v>
      </c>
      <c r="O2485" s="2" t="str">
        <f>TEXT(Table14[[#This Row],[Data_Wystawienia]],"rrrr-mm")</f>
        <v>2024-07</v>
      </c>
      <c r="P2485" s="2">
        <v>1</v>
      </c>
    </row>
    <row r="2486" spans="1:16" x14ac:dyDescent="0.3">
      <c r="A2486" s="2" t="str">
        <f>TRIM(Table1[[#This Row],[Numer_FV]])</f>
        <v>FV/7731/NOVA/24</v>
      </c>
      <c r="B2486" s="2" t="str">
        <f>TRIM(Table1[[#This Row],[Numer_PZ]])</f>
        <v>PZ/802484</v>
      </c>
      <c r="C2486" s="2" t="str">
        <f>TRIM(Table1[[#This Row],[Dostawca]])</f>
        <v>NovaLek</v>
      </c>
      <c r="D2486" s="3">
        <v>45481</v>
      </c>
      <c r="E2486" s="4" t="s">
        <v>7348</v>
      </c>
      <c r="F2486" s="2" t="str">
        <f>TRIM(Table1[[#This Row],[Status]])</f>
        <v>Zaakceptowana</v>
      </c>
      <c r="G2486" s="2" t="str">
        <f>TRIM(Table1[[#This Row],[Typ]])</f>
        <v>Faktura VAT</v>
      </c>
      <c r="H2486" s="2" t="str">
        <f>TRIM(Table1[[#This Row],[Magazyn]])</f>
        <v>Apteka Szpitalna</v>
      </c>
      <c r="I2486" s="2" t="str">
        <f>TRIM(Table1[[#This Row],[Umowa]])</f>
        <v>UM-NOV-03</v>
      </c>
      <c r="J2486" s="2" t="b">
        <f>ISTEXT(Table14[[#This Row],[Data_Wystawienia]])</f>
        <v>0</v>
      </c>
      <c r="K2486" s="2">
        <f>VALUE(SUBSTITUTE(Table14[[#This Row],[Wartość]],".",","))</f>
        <v>8964.73</v>
      </c>
      <c r="L24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6" s="2" t="str">
        <f>IF(Table14[[#This Row],[Umowa]]="","Poza umową","Z umowy")</f>
        <v>Z umowy</v>
      </c>
      <c r="N2486" s="2">
        <f>YEAR(Table14[[#This Row],[Data_Wystawienia]])</f>
        <v>2024</v>
      </c>
      <c r="O2486" s="2" t="str">
        <f>TEXT(Table14[[#This Row],[Data_Wystawienia]],"rrrr-mm")</f>
        <v>2024-07</v>
      </c>
      <c r="P2486" s="2">
        <v>1</v>
      </c>
    </row>
    <row r="2487" spans="1:16" x14ac:dyDescent="0.3">
      <c r="A2487" s="2" t="str">
        <f>TRIM(Table1[[#This Row],[Numer_FV]])</f>
        <v>FV/5402/NOVA/24</v>
      </c>
      <c r="B2487" s="2" t="str">
        <f>TRIM(Table1[[#This Row],[Numer_PZ]])</f>
        <v>PZ/802485</v>
      </c>
      <c r="C2487" s="2" t="str">
        <f>TRIM(Table1[[#This Row],[Dostawca]])</f>
        <v>NovaLek</v>
      </c>
      <c r="D2487" s="3">
        <v>45481</v>
      </c>
      <c r="E2487" s="4" t="s">
        <v>7351</v>
      </c>
      <c r="F2487" s="2" t="str">
        <f>TRIM(Table1[[#This Row],[Status]])</f>
        <v>Zaakceptowana</v>
      </c>
      <c r="G2487" s="2" t="str">
        <f>TRIM(Table1[[#This Row],[Typ]])</f>
        <v>Faktura VAT</v>
      </c>
      <c r="H2487" s="2" t="str">
        <f>TRIM(Table1[[#This Row],[Magazyn]])</f>
        <v>Apteka Szpitalna</v>
      </c>
      <c r="I2487" s="2" t="str">
        <f>TRIM(Table1[[#This Row],[Umowa]])</f>
        <v>UM-NOV-03</v>
      </c>
      <c r="J2487" s="2" t="b">
        <f>ISTEXT(Table14[[#This Row],[Data_Wystawienia]])</f>
        <v>0</v>
      </c>
      <c r="K2487" s="2">
        <f>VALUE(SUBSTITUTE(Table14[[#This Row],[Wartość]],".",","))</f>
        <v>13426.36</v>
      </c>
      <c r="L24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7" s="2" t="str">
        <f>IF(Table14[[#This Row],[Umowa]]="","Poza umową","Z umowy")</f>
        <v>Z umowy</v>
      </c>
      <c r="N2487" s="2">
        <f>YEAR(Table14[[#This Row],[Data_Wystawienia]])</f>
        <v>2024</v>
      </c>
      <c r="O2487" s="2" t="str">
        <f>TEXT(Table14[[#This Row],[Data_Wystawienia]],"rrrr-mm")</f>
        <v>2024-07</v>
      </c>
      <c r="P2487" s="2">
        <v>1</v>
      </c>
    </row>
    <row r="2488" spans="1:16" x14ac:dyDescent="0.3">
      <c r="A2488" s="2" t="str">
        <f>TRIM(Table1[[#This Row],[Numer_FV]])</f>
        <v>FV/42/SAL/24</v>
      </c>
      <c r="B2488" s="2" t="str">
        <f>TRIM(Table1[[#This Row],[Numer_PZ]])</f>
        <v>PZ/802486</v>
      </c>
      <c r="C2488" s="2" t="str">
        <f>TRIM(Table1[[#This Row],[Dostawca]])</f>
        <v>SalusHurt</v>
      </c>
      <c r="D2488" s="3">
        <v>45482</v>
      </c>
      <c r="E2488" s="4" t="s">
        <v>7353</v>
      </c>
      <c r="F2488" s="2" t="str">
        <f>TRIM(Table1[[#This Row],[Status]])</f>
        <v>Zaakceptowana</v>
      </c>
      <c r="G2488" s="2" t="str">
        <f>TRIM(Table1[[#This Row],[Typ]])</f>
        <v>Faktura VAT</v>
      </c>
      <c r="H2488" s="2" t="str">
        <f>TRIM(Table1[[#This Row],[Magazyn]])</f>
        <v>Apteka Szpitalna</v>
      </c>
      <c r="I2488" s="2" t="str">
        <f>TRIM(Table1[[#This Row],[Umowa]])</f>
        <v>UM-SAL-01</v>
      </c>
      <c r="J2488" s="2" t="b">
        <f>ISTEXT(Table14[[#This Row],[Data_Wystawienia]])</f>
        <v>0</v>
      </c>
      <c r="K2488" s="2">
        <f>VALUE(SUBSTITUTE(Table14[[#This Row],[Wartość]],".",","))</f>
        <v>16016.82</v>
      </c>
      <c r="L24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8" s="2" t="str">
        <f>IF(Table14[[#This Row],[Umowa]]="","Poza umową","Z umowy")</f>
        <v>Z umowy</v>
      </c>
      <c r="N2488" s="2">
        <f>YEAR(Table14[[#This Row],[Data_Wystawienia]])</f>
        <v>2024</v>
      </c>
      <c r="O2488" s="2" t="str">
        <f>TEXT(Table14[[#This Row],[Data_Wystawienia]],"rrrr-mm")</f>
        <v>2024-07</v>
      </c>
      <c r="P2488" s="2">
        <v>1</v>
      </c>
    </row>
    <row r="2489" spans="1:16" x14ac:dyDescent="0.3">
      <c r="A2489" s="2" t="str">
        <f>TRIM(Table1[[#This Row],[Numer_FV]])</f>
        <v>FV/POL/81741/2024</v>
      </c>
      <c r="B2489" s="2" t="str">
        <f>TRIM(Table1[[#This Row],[Numer_PZ]])</f>
        <v>PZ/802487</v>
      </c>
      <c r="C2489" s="2" t="str">
        <f>TRIM(Table1[[#This Row],[Dostawca]])</f>
        <v>Polmedica</v>
      </c>
      <c r="D2489" s="3">
        <v>45482</v>
      </c>
      <c r="E2489" s="4" t="s">
        <v>7356</v>
      </c>
      <c r="F2489" s="2" t="str">
        <f>TRIM(Table1[[#This Row],[Status]])</f>
        <v>Zaakceptowana</v>
      </c>
      <c r="G2489" s="2" t="str">
        <f>TRIM(Table1[[#This Row],[Typ]])</f>
        <v>Faktura VAT</v>
      </c>
      <c r="H2489" s="2" t="str">
        <f>TRIM(Table1[[#This Row],[Magazyn]])</f>
        <v>Apteka Szpitalna</v>
      </c>
      <c r="I2489" s="2" t="str">
        <f>TRIM(Table1[[#This Row],[Umowa]])</f>
        <v/>
      </c>
      <c r="J2489" s="2" t="b">
        <f>ISTEXT(Table14[[#This Row],[Data_Wystawienia]])</f>
        <v>0</v>
      </c>
      <c r="K2489" s="2">
        <f>VALUE(SUBSTITUTE(Table14[[#This Row],[Wartość]],".",","))</f>
        <v>9889.83</v>
      </c>
      <c r="L24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89" s="2" t="str">
        <f>IF(Table14[[#This Row],[Umowa]]="","Poza umową","Z umowy")</f>
        <v>Poza umową</v>
      </c>
      <c r="N2489" s="2">
        <f>YEAR(Table14[[#This Row],[Data_Wystawienia]])</f>
        <v>2024</v>
      </c>
      <c r="O2489" s="2" t="str">
        <f>TEXT(Table14[[#This Row],[Data_Wystawienia]],"rrrr-mm")</f>
        <v>2024-07</v>
      </c>
      <c r="P2489" s="2">
        <v>1</v>
      </c>
    </row>
    <row r="2490" spans="1:16" x14ac:dyDescent="0.3">
      <c r="A2490" s="2" t="str">
        <f>TRIM(Table1[[#This Row],[Numer_FV]])</f>
        <v>FV/POL/15634/2024</v>
      </c>
      <c r="B2490" s="2" t="str">
        <f>TRIM(Table1[[#This Row],[Numer_PZ]])</f>
        <v>PZ/802488</v>
      </c>
      <c r="C2490" s="2" t="str">
        <f>TRIM(Table1[[#This Row],[Dostawca]])</f>
        <v>Polmedica</v>
      </c>
      <c r="D2490" s="3">
        <v>45483</v>
      </c>
      <c r="E2490" s="4" t="s">
        <v>7359</v>
      </c>
      <c r="F2490" s="2" t="str">
        <f>TRIM(Table1[[#This Row],[Status]])</f>
        <v>Zaakceptowana</v>
      </c>
      <c r="G2490" s="2" t="str">
        <f>TRIM(Table1[[#This Row],[Typ]])</f>
        <v>Faktura VAT</v>
      </c>
      <c r="H2490" s="2" t="str">
        <f>TRIM(Table1[[#This Row],[Magazyn]])</f>
        <v>Apteka Szpitalna</v>
      </c>
      <c r="I2490" s="2" t="str">
        <f>TRIM(Table1[[#This Row],[Umowa]])</f>
        <v>UM-POL-02</v>
      </c>
      <c r="J2490" s="2" t="b">
        <f>ISTEXT(Table14[[#This Row],[Data_Wystawienia]])</f>
        <v>0</v>
      </c>
      <c r="K2490" s="2">
        <f>VALUE(SUBSTITUTE(Table14[[#This Row],[Wartość]],".",","))</f>
        <v>21902.68</v>
      </c>
      <c r="L24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0" s="2" t="str">
        <f>IF(Table14[[#This Row],[Umowa]]="","Poza umową","Z umowy")</f>
        <v>Z umowy</v>
      </c>
      <c r="N2490" s="2">
        <f>YEAR(Table14[[#This Row],[Data_Wystawienia]])</f>
        <v>2024</v>
      </c>
      <c r="O2490" s="2" t="str">
        <f>TEXT(Table14[[#This Row],[Data_Wystawienia]],"rrrr-mm")</f>
        <v>2024-07</v>
      </c>
      <c r="P2490" s="2">
        <v>1</v>
      </c>
    </row>
    <row r="2491" spans="1:16" x14ac:dyDescent="0.3">
      <c r="A2491" s="2" t="str">
        <f>TRIM(Table1[[#This Row],[Numer_FV]])</f>
        <v>FV/13/PP/6025/24</v>
      </c>
      <c r="B2491" s="2" t="str">
        <f>TRIM(Table1[[#This Row],[Numer_PZ]])</f>
        <v>PZ/802489</v>
      </c>
      <c r="C2491" s="2" t="str">
        <f>TRIM(Table1[[#This Row],[Dostawca]])</f>
        <v>PharmaPlus</v>
      </c>
      <c r="D2491" s="3">
        <v>45483</v>
      </c>
      <c r="E2491" s="4" t="s">
        <v>7362</v>
      </c>
      <c r="F2491" s="2" t="str">
        <f>TRIM(Table1[[#This Row],[Status]])</f>
        <v>Zaakceptowana</v>
      </c>
      <c r="G2491" s="2" t="str">
        <f>TRIM(Table1[[#This Row],[Typ]])</f>
        <v>Faktura VAT</v>
      </c>
      <c r="H2491" s="2" t="str">
        <f>TRIM(Table1[[#This Row],[Magazyn]])</f>
        <v>Apteka Szpitalna</v>
      </c>
      <c r="I2491" s="2" t="str">
        <f>TRIM(Table1[[#This Row],[Umowa]])</f>
        <v>UM-PHA-02</v>
      </c>
      <c r="J2491" s="2" t="b">
        <f>ISTEXT(Table14[[#This Row],[Data_Wystawienia]])</f>
        <v>0</v>
      </c>
      <c r="K2491" s="2">
        <f>VALUE(SUBSTITUTE(Table14[[#This Row],[Wartość]],".",","))</f>
        <v>17191.189999999999</v>
      </c>
      <c r="L24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1" s="2" t="str">
        <f>IF(Table14[[#This Row],[Umowa]]="","Poza umową","Z umowy")</f>
        <v>Z umowy</v>
      </c>
      <c r="N2491" s="2">
        <f>YEAR(Table14[[#This Row],[Data_Wystawienia]])</f>
        <v>2024</v>
      </c>
      <c r="O2491" s="2" t="str">
        <f>TEXT(Table14[[#This Row],[Data_Wystawienia]],"rrrr-mm")</f>
        <v>2024-07</v>
      </c>
      <c r="P2491" s="2">
        <v>1</v>
      </c>
    </row>
    <row r="2492" spans="1:16" x14ac:dyDescent="0.3">
      <c r="A2492" s="2" t="str">
        <f>TRIM(Table1[[#This Row],[Numer_FV]])</f>
        <v>FV/9792HM/24</v>
      </c>
      <c r="B2492" s="2" t="str">
        <f>TRIM(Table1[[#This Row],[Numer_PZ]])</f>
        <v>PZ/802490</v>
      </c>
      <c r="C2492" s="2" t="str">
        <f>TRIM(Table1[[#This Row],[Dostawca]])</f>
        <v>HurtMedix</v>
      </c>
      <c r="D2492" s="3">
        <v>45483</v>
      </c>
      <c r="E2492" s="4" t="s">
        <v>7365</v>
      </c>
      <c r="F2492" s="2" t="str">
        <f>TRIM(Table1[[#This Row],[Status]])</f>
        <v>Zaakceptowana</v>
      </c>
      <c r="G2492" s="2" t="str">
        <f>TRIM(Table1[[#This Row],[Typ]])</f>
        <v>Faktura VAT</v>
      </c>
      <c r="H2492" s="2" t="str">
        <f>TRIM(Table1[[#This Row],[Magazyn]])</f>
        <v>Apteka Szpitalna</v>
      </c>
      <c r="I2492" s="2" t="str">
        <f>TRIM(Table1[[#This Row],[Umowa]])</f>
        <v>UM-HUR-02</v>
      </c>
      <c r="J2492" s="2" t="b">
        <f>ISTEXT(Table14[[#This Row],[Data_Wystawienia]])</f>
        <v>0</v>
      </c>
      <c r="K2492" s="2">
        <f>VALUE(SUBSTITUTE(Table14[[#This Row],[Wartość]],".",","))</f>
        <v>20240.919999999998</v>
      </c>
      <c r="L24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2" s="2" t="str">
        <f>IF(Table14[[#This Row],[Umowa]]="","Poza umową","Z umowy")</f>
        <v>Z umowy</v>
      </c>
      <c r="N2492" s="2">
        <f>YEAR(Table14[[#This Row],[Data_Wystawienia]])</f>
        <v>2024</v>
      </c>
      <c r="O2492" s="2" t="str">
        <f>TEXT(Table14[[#This Row],[Data_Wystawienia]],"rrrr-mm")</f>
        <v>2024-07</v>
      </c>
      <c r="P2492" s="2">
        <v>1</v>
      </c>
    </row>
    <row r="2493" spans="1:16" x14ac:dyDescent="0.3">
      <c r="A2493" s="2" t="str">
        <f>TRIM(Table1[[#This Row],[Numer_FV]])</f>
        <v>FV/35/PP/6426/24</v>
      </c>
      <c r="B2493" s="2" t="str">
        <f>TRIM(Table1[[#This Row],[Numer_PZ]])</f>
        <v>PZ/802491</v>
      </c>
      <c r="C2493" s="2" t="str">
        <f>TRIM(Table1[[#This Row],[Dostawca]])</f>
        <v>PharmaPlus</v>
      </c>
      <c r="D2493" s="3">
        <v>45483</v>
      </c>
      <c r="E2493" s="4" t="s">
        <v>7368</v>
      </c>
      <c r="F2493" s="2" t="str">
        <f>TRIM(Table1[[#This Row],[Status]])</f>
        <v>Zaakceptowana</v>
      </c>
      <c r="G2493" s="2" t="str">
        <f>TRIM(Table1[[#This Row],[Typ]])</f>
        <v>Faktura VAT</v>
      </c>
      <c r="H2493" s="2" t="str">
        <f>TRIM(Table1[[#This Row],[Magazyn]])</f>
        <v>Apteka Szpitalna</v>
      </c>
      <c r="I2493" s="2" t="str">
        <f>TRIM(Table1[[#This Row],[Umowa]])</f>
        <v>UM-PHA-01</v>
      </c>
      <c r="J2493" s="2" t="b">
        <f>ISTEXT(Table14[[#This Row],[Data_Wystawienia]])</f>
        <v>0</v>
      </c>
      <c r="K2493" s="2">
        <f>VALUE(SUBSTITUTE(Table14[[#This Row],[Wartość]],".",","))</f>
        <v>17039.86</v>
      </c>
      <c r="L24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3" s="2" t="str">
        <f>IF(Table14[[#This Row],[Umowa]]="","Poza umową","Z umowy")</f>
        <v>Z umowy</v>
      </c>
      <c r="N2493" s="2">
        <f>YEAR(Table14[[#This Row],[Data_Wystawienia]])</f>
        <v>2024</v>
      </c>
      <c r="O2493" s="2" t="str">
        <f>TEXT(Table14[[#This Row],[Data_Wystawienia]],"rrrr-mm")</f>
        <v>2024-07</v>
      </c>
      <c r="P2493" s="2">
        <v>1</v>
      </c>
    </row>
    <row r="2494" spans="1:16" x14ac:dyDescent="0.3">
      <c r="A2494" s="2" t="str">
        <f>TRIM(Table1[[#This Row],[Numer_FV]])</f>
        <v>FV/CENFA/980312/24</v>
      </c>
      <c r="B2494" s="2" t="str">
        <f>TRIM(Table1[[#This Row],[Numer_PZ]])</f>
        <v>PZ/802492</v>
      </c>
      <c r="C2494" s="2" t="str">
        <f>TRIM(Table1[[#This Row],[Dostawca]])</f>
        <v>CentrumFarm</v>
      </c>
      <c r="D2494" s="3">
        <v>45484</v>
      </c>
      <c r="E2494" s="4" t="s">
        <v>7371</v>
      </c>
      <c r="F2494" s="2" t="str">
        <f>TRIM(Table1[[#This Row],[Status]])</f>
        <v>Zaakceptowana</v>
      </c>
      <c r="G2494" s="2" t="str">
        <f>TRIM(Table1[[#This Row],[Typ]])</f>
        <v>Faktura VAT</v>
      </c>
      <c r="H2494" s="2" t="str">
        <f>TRIM(Table1[[#This Row],[Magazyn]])</f>
        <v>Apteka Szpitalna</v>
      </c>
      <c r="I2494" s="2" t="str">
        <f>TRIM(Table1[[#This Row],[Umowa]])</f>
        <v>UM-CEN-01</v>
      </c>
      <c r="J2494" s="2" t="b">
        <f>ISTEXT(Table14[[#This Row],[Data_Wystawienia]])</f>
        <v>0</v>
      </c>
      <c r="K2494" s="2">
        <f>VALUE(SUBSTITUTE(Table14[[#This Row],[Wartość]],".",","))</f>
        <v>12705.7</v>
      </c>
      <c r="L24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4" s="2" t="str">
        <f>IF(Table14[[#This Row],[Umowa]]="","Poza umową","Z umowy")</f>
        <v>Z umowy</v>
      </c>
      <c r="N2494" s="2">
        <f>YEAR(Table14[[#This Row],[Data_Wystawienia]])</f>
        <v>2024</v>
      </c>
      <c r="O2494" s="2" t="str">
        <f>TEXT(Table14[[#This Row],[Data_Wystawienia]],"rrrr-mm")</f>
        <v>2024-07</v>
      </c>
      <c r="P2494" s="2">
        <v>1</v>
      </c>
    </row>
    <row r="2495" spans="1:16" x14ac:dyDescent="0.3">
      <c r="A2495" s="2" t="str">
        <f>TRIM(Table1[[#This Row],[Numer_FV]])</f>
        <v>FV/M/4319/P/24</v>
      </c>
      <c r="B2495" s="2" t="str">
        <f>TRIM(Table1[[#This Row],[Numer_PZ]])</f>
        <v>PZ/802493</v>
      </c>
      <c r="C2495" s="2" t="str">
        <f>TRIM(Table1[[#This Row],[Dostawca]])</f>
        <v>MedicaPharm</v>
      </c>
      <c r="D2495" s="3">
        <v>45484</v>
      </c>
      <c r="E2495" s="4" t="s">
        <v>7374</v>
      </c>
      <c r="F2495" s="2" t="str">
        <f>TRIM(Table1[[#This Row],[Status]])</f>
        <v>Zaakceptowana</v>
      </c>
      <c r="G2495" s="2" t="str">
        <f>TRIM(Table1[[#This Row],[Typ]])</f>
        <v>Korekta FV</v>
      </c>
      <c r="H2495" s="2" t="str">
        <f>TRIM(Table1[[#This Row],[Magazyn]])</f>
        <v>Apteka Szpitalna</v>
      </c>
      <c r="I2495" s="2" t="str">
        <f>TRIM(Table1[[#This Row],[Umowa]])</f>
        <v>UM-MED-02</v>
      </c>
      <c r="J2495" s="2" t="b">
        <f>ISTEXT(Table14[[#This Row],[Data_Wystawienia]])</f>
        <v>0</v>
      </c>
      <c r="K2495" s="2">
        <f>VALUE(SUBSTITUTE(Table14[[#This Row],[Wartość]],".",","))</f>
        <v>-350.4</v>
      </c>
      <c r="L24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5" s="2" t="str">
        <f>IF(Table14[[#This Row],[Umowa]]="","Poza umową","Z umowy")</f>
        <v>Z umowy</v>
      </c>
      <c r="N2495" s="2">
        <f>YEAR(Table14[[#This Row],[Data_Wystawienia]])</f>
        <v>2024</v>
      </c>
      <c r="O2495" s="2" t="str">
        <f>TEXT(Table14[[#This Row],[Data_Wystawienia]],"rrrr-mm")</f>
        <v>2024-07</v>
      </c>
      <c r="P2495" s="2">
        <v>1</v>
      </c>
    </row>
    <row r="2496" spans="1:16" x14ac:dyDescent="0.3">
      <c r="A2496" s="2" t="str">
        <f>TRIM(Table1[[#This Row],[Numer_FV]])</f>
        <v>FV/POL/20213/2024</v>
      </c>
      <c r="B2496" s="2" t="str">
        <f>TRIM(Table1[[#This Row],[Numer_PZ]])</f>
        <v>PZ/802494</v>
      </c>
      <c r="C2496" s="2" t="str">
        <f>TRIM(Table1[[#This Row],[Dostawca]])</f>
        <v>Polmedica</v>
      </c>
      <c r="D2496" s="3">
        <v>45484</v>
      </c>
      <c r="E2496" s="4" t="s">
        <v>7377</v>
      </c>
      <c r="F2496" s="2" t="str">
        <f>TRIM(Table1[[#This Row],[Status]])</f>
        <v>Zaakceptowana</v>
      </c>
      <c r="G2496" s="2" t="str">
        <f>TRIM(Table1[[#This Row],[Typ]])</f>
        <v>Faktura VAT</v>
      </c>
      <c r="H2496" s="2" t="str">
        <f>TRIM(Table1[[#This Row],[Magazyn]])</f>
        <v>Apteka Szpitalna</v>
      </c>
      <c r="I2496" s="2" t="str">
        <f>TRIM(Table1[[#This Row],[Umowa]])</f>
        <v/>
      </c>
      <c r="J2496" s="2" t="b">
        <f>ISTEXT(Table14[[#This Row],[Data_Wystawienia]])</f>
        <v>0</v>
      </c>
      <c r="K2496" s="2">
        <f>VALUE(SUBSTITUTE(Table14[[#This Row],[Wartość]],".",","))</f>
        <v>16553.55</v>
      </c>
      <c r="L24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6" s="2" t="str">
        <f>IF(Table14[[#This Row],[Umowa]]="","Poza umową","Z umowy")</f>
        <v>Poza umową</v>
      </c>
      <c r="N2496" s="2">
        <f>YEAR(Table14[[#This Row],[Data_Wystawienia]])</f>
        <v>2024</v>
      </c>
      <c r="O2496" s="2" t="str">
        <f>TEXT(Table14[[#This Row],[Data_Wystawienia]],"rrrr-mm")</f>
        <v>2024-07</v>
      </c>
      <c r="P2496" s="2">
        <v>1</v>
      </c>
    </row>
    <row r="2497" spans="1:16" x14ac:dyDescent="0.3">
      <c r="A2497" s="2" t="str">
        <f>TRIM(Table1[[#This Row],[Numer_FV]])</f>
        <v>FV/POL/88263/2024</v>
      </c>
      <c r="B2497" s="2" t="str">
        <f>TRIM(Table1[[#This Row],[Numer_PZ]])</f>
        <v>PZ/802495</v>
      </c>
      <c r="C2497" s="2" t="str">
        <f>TRIM(Table1[[#This Row],[Dostawca]])</f>
        <v>Polmedica</v>
      </c>
      <c r="D2497" s="3">
        <v>45484</v>
      </c>
      <c r="E2497" s="4" t="s">
        <v>7380</v>
      </c>
      <c r="F2497" s="2" t="str">
        <f>TRIM(Table1[[#This Row],[Status]])</f>
        <v>Zaakceptowana</v>
      </c>
      <c r="G2497" s="2" t="str">
        <f>TRIM(Table1[[#This Row],[Typ]])</f>
        <v>Korekta FV</v>
      </c>
      <c r="H2497" s="2" t="str">
        <f>TRIM(Table1[[#This Row],[Magazyn]])</f>
        <v>Apteka Szpitalna</v>
      </c>
      <c r="I2497" s="2" t="str">
        <f>TRIM(Table1[[#This Row],[Umowa]])</f>
        <v>UM-POL-02</v>
      </c>
      <c r="J2497" s="2" t="b">
        <f>ISTEXT(Table14[[#This Row],[Data_Wystawienia]])</f>
        <v>0</v>
      </c>
      <c r="K2497" s="2">
        <f>VALUE(SUBSTITUTE(Table14[[#This Row],[Wartość]],".",","))</f>
        <v>-3052.96</v>
      </c>
      <c r="L24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7" s="2" t="str">
        <f>IF(Table14[[#This Row],[Umowa]]="","Poza umową","Z umowy")</f>
        <v>Z umowy</v>
      </c>
      <c r="N2497" s="2">
        <f>YEAR(Table14[[#This Row],[Data_Wystawienia]])</f>
        <v>2024</v>
      </c>
      <c r="O2497" s="2" t="str">
        <f>TEXT(Table14[[#This Row],[Data_Wystawienia]],"rrrr-mm")</f>
        <v>2024-07</v>
      </c>
      <c r="P2497" s="2">
        <v>1</v>
      </c>
    </row>
    <row r="2498" spans="1:16" x14ac:dyDescent="0.3">
      <c r="A2498" s="2" t="str">
        <f>TRIM(Table1[[#This Row],[Numer_FV]])</f>
        <v>FV/3206HM/24</v>
      </c>
      <c r="B2498" s="2" t="str">
        <f>TRIM(Table1[[#This Row],[Numer_PZ]])</f>
        <v>PZ/802496</v>
      </c>
      <c r="C2498" s="2" t="str">
        <f>TRIM(Table1[[#This Row],[Dostawca]])</f>
        <v>HurtMedix</v>
      </c>
      <c r="D2498" s="3">
        <v>45484</v>
      </c>
      <c r="E2498" s="4" t="s">
        <v>7383</v>
      </c>
      <c r="F2498" s="2" t="str">
        <f>TRIM(Table1[[#This Row],[Status]])</f>
        <v>Zaakceptowana</v>
      </c>
      <c r="G2498" s="2" t="str">
        <f>TRIM(Table1[[#This Row],[Typ]])</f>
        <v>Faktura VAT</v>
      </c>
      <c r="H2498" s="2" t="str">
        <f>TRIM(Table1[[#This Row],[Magazyn]])</f>
        <v>Apteka Szpitalna</v>
      </c>
      <c r="I2498" s="2" t="str">
        <f>TRIM(Table1[[#This Row],[Umowa]])</f>
        <v>UM-HUR-02</v>
      </c>
      <c r="J2498" s="2" t="b">
        <f>ISTEXT(Table14[[#This Row],[Data_Wystawienia]])</f>
        <v>0</v>
      </c>
      <c r="K2498" s="2">
        <f>VALUE(SUBSTITUTE(Table14[[#This Row],[Wartość]],".",","))</f>
        <v>10158.27</v>
      </c>
      <c r="L24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8" s="2" t="str">
        <f>IF(Table14[[#This Row],[Umowa]]="","Poza umową","Z umowy")</f>
        <v>Z umowy</v>
      </c>
      <c r="N2498" s="2">
        <f>YEAR(Table14[[#This Row],[Data_Wystawienia]])</f>
        <v>2024</v>
      </c>
      <c r="O2498" s="2" t="str">
        <f>TEXT(Table14[[#This Row],[Data_Wystawienia]],"rrrr-mm")</f>
        <v>2024-07</v>
      </c>
      <c r="P2498" s="2">
        <v>1</v>
      </c>
    </row>
    <row r="2499" spans="1:16" x14ac:dyDescent="0.3">
      <c r="A2499" s="2" t="str">
        <f>TRIM(Table1[[#This Row],[Numer_FV]])</f>
        <v>FV/1029HM/24</v>
      </c>
      <c r="B2499" s="2" t="str">
        <f>TRIM(Table1[[#This Row],[Numer_PZ]])</f>
        <v>PZ/802497</v>
      </c>
      <c r="C2499" s="2" t="str">
        <f>TRIM(Table1[[#This Row],[Dostawca]])</f>
        <v>HurtMedix</v>
      </c>
      <c r="D2499" s="3">
        <v>45485</v>
      </c>
      <c r="E2499" s="4" t="s">
        <v>7386</v>
      </c>
      <c r="F2499" s="2" t="str">
        <f>TRIM(Table1[[#This Row],[Status]])</f>
        <v>Zaakceptowana</v>
      </c>
      <c r="G2499" s="2" t="str">
        <f>TRIM(Table1[[#This Row],[Typ]])</f>
        <v>Faktura VAT</v>
      </c>
      <c r="H2499" s="2" t="str">
        <f>TRIM(Table1[[#This Row],[Magazyn]])</f>
        <v>Apteka Szpitalna</v>
      </c>
      <c r="I2499" s="2" t="str">
        <f>TRIM(Table1[[#This Row],[Umowa]])</f>
        <v>UM-HUR-01</v>
      </c>
      <c r="J2499" s="2" t="b">
        <f>ISTEXT(Table14[[#This Row],[Data_Wystawienia]])</f>
        <v>0</v>
      </c>
      <c r="K2499" s="2">
        <f>VALUE(SUBSTITUTE(Table14[[#This Row],[Wartość]],".",","))</f>
        <v>17068.7</v>
      </c>
      <c r="L24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499" s="2" t="str">
        <f>IF(Table14[[#This Row],[Umowa]]="","Poza umową","Z umowy")</f>
        <v>Z umowy</v>
      </c>
      <c r="N2499" s="2">
        <f>YEAR(Table14[[#This Row],[Data_Wystawienia]])</f>
        <v>2024</v>
      </c>
      <c r="O2499" s="2" t="str">
        <f>TEXT(Table14[[#This Row],[Data_Wystawienia]],"rrrr-mm")</f>
        <v>2024-07</v>
      </c>
      <c r="P2499" s="2">
        <v>1</v>
      </c>
    </row>
    <row r="2500" spans="1:16" x14ac:dyDescent="0.3">
      <c r="A2500" s="2" t="str">
        <f>TRIM(Table1[[#This Row],[Numer_FV]])</f>
        <v>FV/5826/NOVA/24</v>
      </c>
      <c r="B2500" s="2" t="str">
        <f>TRIM(Table1[[#This Row],[Numer_PZ]])</f>
        <v>PZ/802498</v>
      </c>
      <c r="C2500" s="2" t="str">
        <f>TRIM(Table1[[#This Row],[Dostawca]])</f>
        <v>NovaLek</v>
      </c>
      <c r="D2500" s="3">
        <v>45486</v>
      </c>
      <c r="E2500" s="4" t="s">
        <v>7389</v>
      </c>
      <c r="F2500" s="2" t="str">
        <f>TRIM(Table1[[#This Row],[Status]])</f>
        <v>Zaakceptowana</v>
      </c>
      <c r="G2500" s="2" t="str">
        <f>TRIM(Table1[[#This Row],[Typ]])</f>
        <v>Faktura VAT</v>
      </c>
      <c r="H2500" s="2" t="str">
        <f>TRIM(Table1[[#This Row],[Magazyn]])</f>
        <v>Apteka Szpitalna</v>
      </c>
      <c r="I2500" s="2" t="str">
        <f>TRIM(Table1[[#This Row],[Umowa]])</f>
        <v>UM-NOV-01</v>
      </c>
      <c r="J2500" s="2" t="b">
        <f>ISTEXT(Table14[[#This Row],[Data_Wystawienia]])</f>
        <v>0</v>
      </c>
      <c r="K2500" s="2">
        <f>VALUE(SUBSTITUTE(Table14[[#This Row],[Wartość]],".",","))</f>
        <v>6469.96</v>
      </c>
      <c r="L25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0" s="2" t="str">
        <f>IF(Table14[[#This Row],[Umowa]]="","Poza umową","Z umowy")</f>
        <v>Z umowy</v>
      </c>
      <c r="N2500" s="2">
        <f>YEAR(Table14[[#This Row],[Data_Wystawienia]])</f>
        <v>2024</v>
      </c>
      <c r="O2500" s="2" t="str">
        <f>TEXT(Table14[[#This Row],[Data_Wystawienia]],"rrrr-mm")</f>
        <v>2024-07</v>
      </c>
      <c r="P2500" s="2">
        <v>1</v>
      </c>
    </row>
    <row r="2501" spans="1:16" x14ac:dyDescent="0.3">
      <c r="A2501" s="2" t="str">
        <f>TRIM(Table1[[#This Row],[Numer_FV]])</f>
        <v>FV/M/6816/P/24</v>
      </c>
      <c r="B2501" s="2" t="str">
        <f>TRIM(Table1[[#This Row],[Numer_PZ]])</f>
        <v>PZ/802499</v>
      </c>
      <c r="C2501" s="2" t="str">
        <f>TRIM(Table1[[#This Row],[Dostawca]])</f>
        <v>MedicaPharm</v>
      </c>
      <c r="D2501" s="3">
        <v>45486</v>
      </c>
      <c r="E2501" s="4" t="s">
        <v>7392</v>
      </c>
      <c r="F2501" s="2" t="str">
        <f>TRIM(Table1[[#This Row],[Status]])</f>
        <v>Zaakceptowana</v>
      </c>
      <c r="G2501" s="2" t="str">
        <f>TRIM(Table1[[#This Row],[Typ]])</f>
        <v>Faktura VAT</v>
      </c>
      <c r="H2501" s="2" t="str">
        <f>TRIM(Table1[[#This Row],[Magazyn]])</f>
        <v>Apteka Szpitalna</v>
      </c>
      <c r="I2501" s="2" t="str">
        <f>TRIM(Table1[[#This Row],[Umowa]])</f>
        <v>UM-MED-02</v>
      </c>
      <c r="J2501" s="2" t="b">
        <f>ISTEXT(Table14[[#This Row],[Data_Wystawienia]])</f>
        <v>0</v>
      </c>
      <c r="K2501" s="2">
        <f>VALUE(SUBSTITUTE(Table14[[#This Row],[Wartość]],".",","))</f>
        <v>17574.150000000001</v>
      </c>
      <c r="L25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1" s="2" t="str">
        <f>IF(Table14[[#This Row],[Umowa]]="","Poza umową","Z umowy")</f>
        <v>Z umowy</v>
      </c>
      <c r="N2501" s="2">
        <f>YEAR(Table14[[#This Row],[Data_Wystawienia]])</f>
        <v>2024</v>
      </c>
      <c r="O2501" s="2" t="str">
        <f>TEXT(Table14[[#This Row],[Data_Wystawienia]],"rrrr-mm")</f>
        <v>2024-07</v>
      </c>
      <c r="P2501" s="2">
        <v>1</v>
      </c>
    </row>
    <row r="2502" spans="1:16" x14ac:dyDescent="0.3">
      <c r="A2502" s="2" t="str">
        <f>TRIM(Table1[[#This Row],[Numer_FV]])</f>
        <v>FV/43/PP/3398/24</v>
      </c>
      <c r="B2502" s="2" t="str">
        <f>TRIM(Table1[[#This Row],[Numer_PZ]])</f>
        <v>PZ/802500</v>
      </c>
      <c r="C2502" s="2" t="str">
        <f>TRIM(Table1[[#This Row],[Dostawca]])</f>
        <v>PharmaPlus</v>
      </c>
      <c r="D2502" s="3">
        <v>45486</v>
      </c>
      <c r="E2502" s="4" t="s">
        <v>7395</v>
      </c>
      <c r="F2502" s="2" t="str">
        <f>TRIM(Table1[[#This Row],[Status]])</f>
        <v>Zaakceptowana</v>
      </c>
      <c r="G2502" s="2" t="str">
        <f>TRIM(Table1[[#This Row],[Typ]])</f>
        <v>Faktura VAT</v>
      </c>
      <c r="H2502" s="2" t="str">
        <f>TRIM(Table1[[#This Row],[Magazyn]])</f>
        <v>Apteka Szpitalna</v>
      </c>
      <c r="I2502" s="2" t="str">
        <f>TRIM(Table1[[#This Row],[Umowa]])</f>
        <v>UM-PHA-01</v>
      </c>
      <c r="J2502" s="2" t="b">
        <f>ISTEXT(Table14[[#This Row],[Data_Wystawienia]])</f>
        <v>0</v>
      </c>
      <c r="K2502" s="2">
        <f>VALUE(SUBSTITUTE(Table14[[#This Row],[Wartość]],".",","))</f>
        <v>16022.28</v>
      </c>
      <c r="L25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2" s="2" t="str">
        <f>IF(Table14[[#This Row],[Umowa]]="","Poza umową","Z umowy")</f>
        <v>Z umowy</v>
      </c>
      <c r="N2502" s="2">
        <f>YEAR(Table14[[#This Row],[Data_Wystawienia]])</f>
        <v>2024</v>
      </c>
      <c r="O2502" s="2" t="str">
        <f>TEXT(Table14[[#This Row],[Data_Wystawienia]],"rrrr-mm")</f>
        <v>2024-07</v>
      </c>
      <c r="P2502" s="2">
        <v>1</v>
      </c>
    </row>
    <row r="2503" spans="1:16" x14ac:dyDescent="0.3">
      <c r="A2503" s="2" t="str">
        <f>TRIM(Table1[[#This Row],[Numer_FV]])</f>
        <v>FV/1274HM/24</v>
      </c>
      <c r="B2503" s="2" t="str">
        <f>TRIM(Table1[[#This Row],[Numer_PZ]])</f>
        <v>PZ/802501</v>
      </c>
      <c r="C2503" s="2" t="str">
        <f>TRIM(Table1[[#This Row],[Dostawca]])</f>
        <v>HurtMedix</v>
      </c>
      <c r="D2503" s="3">
        <v>45487</v>
      </c>
      <c r="E2503" s="4" t="s">
        <v>7398</v>
      </c>
      <c r="F2503" s="2" t="str">
        <f>TRIM(Table1[[#This Row],[Status]])</f>
        <v>Zaakceptowana</v>
      </c>
      <c r="G2503" s="2" t="str">
        <f>TRIM(Table1[[#This Row],[Typ]])</f>
        <v>Faktura VAT</v>
      </c>
      <c r="H2503" s="2" t="str">
        <f>TRIM(Table1[[#This Row],[Magazyn]])</f>
        <v>Apteka Szpitalna</v>
      </c>
      <c r="I2503" s="2" t="str">
        <f>TRIM(Table1[[#This Row],[Umowa]])</f>
        <v>UM-HUR-01</v>
      </c>
      <c r="J2503" s="2" t="b">
        <f>ISTEXT(Table14[[#This Row],[Data_Wystawienia]])</f>
        <v>0</v>
      </c>
      <c r="K2503" s="2">
        <f>VALUE(SUBSTITUTE(Table14[[#This Row],[Wartość]],".",","))</f>
        <v>19667.43</v>
      </c>
      <c r="L25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3" s="2" t="str">
        <f>IF(Table14[[#This Row],[Umowa]]="","Poza umową","Z umowy")</f>
        <v>Z umowy</v>
      </c>
      <c r="N2503" s="2">
        <f>YEAR(Table14[[#This Row],[Data_Wystawienia]])</f>
        <v>2024</v>
      </c>
      <c r="O2503" s="2" t="str">
        <f>TEXT(Table14[[#This Row],[Data_Wystawienia]],"rrrr-mm")</f>
        <v>2024-07</v>
      </c>
      <c r="P2503" s="2">
        <v>1</v>
      </c>
    </row>
    <row r="2504" spans="1:16" x14ac:dyDescent="0.3">
      <c r="A2504" s="2" t="str">
        <f>TRIM(Table1[[#This Row],[Numer_FV]])</f>
        <v>FV/8265/NOVA/24</v>
      </c>
      <c r="B2504" s="2" t="str">
        <f>TRIM(Table1[[#This Row],[Numer_PZ]])</f>
        <v>PZ/802502</v>
      </c>
      <c r="C2504" s="2" t="str">
        <f>TRIM(Table1[[#This Row],[Dostawca]])</f>
        <v>NovaLek</v>
      </c>
      <c r="D2504" s="3">
        <v>45487</v>
      </c>
      <c r="E2504" s="4" t="s">
        <v>7401</v>
      </c>
      <c r="F2504" s="2" t="str">
        <f>TRIM(Table1[[#This Row],[Status]])</f>
        <v>Zaakceptowana</v>
      </c>
      <c r="G2504" s="2" t="str">
        <f>TRIM(Table1[[#This Row],[Typ]])</f>
        <v>Faktura VAT</v>
      </c>
      <c r="H2504" s="2" t="str">
        <f>TRIM(Table1[[#This Row],[Magazyn]])</f>
        <v>Apteka Szpitalna</v>
      </c>
      <c r="I2504" s="2" t="str">
        <f>TRIM(Table1[[#This Row],[Umowa]])</f>
        <v>UM-NOV-02</v>
      </c>
      <c r="J2504" s="2" t="b">
        <f>ISTEXT(Table14[[#This Row],[Data_Wystawienia]])</f>
        <v>0</v>
      </c>
      <c r="K2504" s="2">
        <f>VALUE(SUBSTITUTE(Table14[[#This Row],[Wartość]],".",","))</f>
        <v>11781.73</v>
      </c>
      <c r="L25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4" s="2" t="str">
        <f>IF(Table14[[#This Row],[Umowa]]="","Poza umową","Z umowy")</f>
        <v>Z umowy</v>
      </c>
      <c r="N2504" s="2">
        <f>YEAR(Table14[[#This Row],[Data_Wystawienia]])</f>
        <v>2024</v>
      </c>
      <c r="O2504" s="2" t="str">
        <f>TEXT(Table14[[#This Row],[Data_Wystawienia]],"rrrr-mm")</f>
        <v>2024-07</v>
      </c>
      <c r="P2504" s="2">
        <v>1</v>
      </c>
    </row>
    <row r="2505" spans="1:16" x14ac:dyDescent="0.3">
      <c r="A2505" s="2" t="str">
        <f>TRIM(Table1[[#This Row],[Numer_FV]])</f>
        <v>FV/2394HM/24</v>
      </c>
      <c r="B2505" s="2" t="str">
        <f>TRIM(Table1[[#This Row],[Numer_PZ]])</f>
        <v>PZ/802503</v>
      </c>
      <c r="C2505" s="2" t="str">
        <f>TRIM(Table1[[#This Row],[Dostawca]])</f>
        <v>HurtMedix</v>
      </c>
      <c r="D2505" s="3">
        <v>45487</v>
      </c>
      <c r="E2505" s="4" t="s">
        <v>7404</v>
      </c>
      <c r="F2505" s="2" t="str">
        <f>TRIM(Table1[[#This Row],[Status]])</f>
        <v>Zaakceptowana</v>
      </c>
      <c r="G2505" s="2" t="str">
        <f>TRIM(Table1[[#This Row],[Typ]])</f>
        <v>Faktura VAT</v>
      </c>
      <c r="H2505" s="2" t="str">
        <f>TRIM(Table1[[#This Row],[Magazyn]])</f>
        <v>Apteka Szpitalna</v>
      </c>
      <c r="I2505" s="2" t="str">
        <f>TRIM(Table1[[#This Row],[Umowa]])</f>
        <v>UM-HUR-01</v>
      </c>
      <c r="J2505" s="2" t="b">
        <f>ISTEXT(Table14[[#This Row],[Data_Wystawienia]])</f>
        <v>0</v>
      </c>
      <c r="K2505" s="2">
        <f>VALUE(SUBSTITUTE(Table14[[#This Row],[Wartość]],".",","))</f>
        <v>6262.23</v>
      </c>
      <c r="L25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5" s="2" t="str">
        <f>IF(Table14[[#This Row],[Umowa]]="","Poza umową","Z umowy")</f>
        <v>Z umowy</v>
      </c>
      <c r="N2505" s="2">
        <f>YEAR(Table14[[#This Row],[Data_Wystawienia]])</f>
        <v>2024</v>
      </c>
      <c r="O2505" s="2" t="str">
        <f>TEXT(Table14[[#This Row],[Data_Wystawienia]],"rrrr-mm")</f>
        <v>2024-07</v>
      </c>
      <c r="P2505" s="2">
        <v>1</v>
      </c>
    </row>
    <row r="2506" spans="1:16" x14ac:dyDescent="0.3">
      <c r="A2506" s="2" t="str">
        <f>TRIM(Table1[[#This Row],[Numer_FV]])</f>
        <v>FV/M/7995/P/24</v>
      </c>
      <c r="B2506" s="2" t="str">
        <f>TRIM(Table1[[#This Row],[Numer_PZ]])</f>
        <v>PZ/802504</v>
      </c>
      <c r="C2506" s="2" t="str">
        <f>TRIM(Table1[[#This Row],[Dostawca]])</f>
        <v>MedicaPharm</v>
      </c>
      <c r="D2506" s="3">
        <v>45487</v>
      </c>
      <c r="E2506" s="4" t="s">
        <v>7407</v>
      </c>
      <c r="F2506" s="2" t="str">
        <f>TRIM(Table1[[#This Row],[Status]])</f>
        <v>Zaakceptowana</v>
      </c>
      <c r="G2506" s="2" t="str">
        <f>TRIM(Table1[[#This Row],[Typ]])</f>
        <v>Faktura VAT</v>
      </c>
      <c r="H2506" s="2" t="str">
        <f>TRIM(Table1[[#This Row],[Magazyn]])</f>
        <v>Apteka Szpitalna</v>
      </c>
      <c r="I2506" s="2" t="str">
        <f>TRIM(Table1[[#This Row],[Umowa]])</f>
        <v>UM-MED-02</v>
      </c>
      <c r="J2506" s="2" t="b">
        <f>ISTEXT(Table14[[#This Row],[Data_Wystawienia]])</f>
        <v>0</v>
      </c>
      <c r="K2506" s="2">
        <f>VALUE(SUBSTITUTE(Table14[[#This Row],[Wartość]],".",","))</f>
        <v>21159.25</v>
      </c>
      <c r="L25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6" s="2" t="str">
        <f>IF(Table14[[#This Row],[Umowa]]="","Poza umową","Z umowy")</f>
        <v>Z umowy</v>
      </c>
      <c r="N2506" s="2">
        <f>YEAR(Table14[[#This Row],[Data_Wystawienia]])</f>
        <v>2024</v>
      </c>
      <c r="O2506" s="2" t="str">
        <f>TEXT(Table14[[#This Row],[Data_Wystawienia]],"rrrr-mm")</f>
        <v>2024-07</v>
      </c>
      <c r="P2506" s="2">
        <v>1</v>
      </c>
    </row>
    <row r="2507" spans="1:16" x14ac:dyDescent="0.3">
      <c r="A2507" s="2" t="str">
        <f>TRIM(Table1[[#This Row],[Numer_FV]])</f>
        <v>FV/3307HM/24</v>
      </c>
      <c r="B2507" s="2" t="str">
        <f>TRIM(Table1[[#This Row],[Numer_PZ]])</f>
        <v>PZ/802505</v>
      </c>
      <c r="C2507" s="2" t="str">
        <f>TRIM(Table1[[#This Row],[Dostawca]])</f>
        <v>HurtMedix</v>
      </c>
      <c r="D2507" s="3">
        <v>45487</v>
      </c>
      <c r="E2507" s="4" t="s">
        <v>7410</v>
      </c>
      <c r="F2507" s="2" t="str">
        <f>TRIM(Table1[[#This Row],[Status]])</f>
        <v>Zaakceptowana</v>
      </c>
      <c r="G2507" s="2" t="str">
        <f>TRIM(Table1[[#This Row],[Typ]])</f>
        <v>Faktura VAT</v>
      </c>
      <c r="H2507" s="2" t="str">
        <f>TRIM(Table1[[#This Row],[Magazyn]])</f>
        <v>Apteka Szpitalna</v>
      </c>
      <c r="I2507" s="2" t="str">
        <f>TRIM(Table1[[#This Row],[Umowa]])</f>
        <v>UM-HUR-02</v>
      </c>
      <c r="J2507" s="2" t="b">
        <f>ISTEXT(Table14[[#This Row],[Data_Wystawienia]])</f>
        <v>0</v>
      </c>
      <c r="K2507" s="2">
        <f>VALUE(SUBSTITUTE(Table14[[#This Row],[Wartość]],".",","))</f>
        <v>12667.68</v>
      </c>
      <c r="L25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7" s="2" t="str">
        <f>IF(Table14[[#This Row],[Umowa]]="","Poza umową","Z umowy")</f>
        <v>Z umowy</v>
      </c>
      <c r="N2507" s="2">
        <f>YEAR(Table14[[#This Row],[Data_Wystawienia]])</f>
        <v>2024</v>
      </c>
      <c r="O2507" s="2" t="str">
        <f>TEXT(Table14[[#This Row],[Data_Wystawienia]],"rrrr-mm")</f>
        <v>2024-07</v>
      </c>
      <c r="P2507" s="2">
        <v>1</v>
      </c>
    </row>
    <row r="2508" spans="1:16" x14ac:dyDescent="0.3">
      <c r="A2508" s="2" t="str">
        <f>TRIM(Table1[[#This Row],[Numer_FV]])</f>
        <v>FV/M/3392/P/24</v>
      </c>
      <c r="B2508" s="2" t="str">
        <f>TRIM(Table1[[#This Row],[Numer_PZ]])</f>
        <v>PZ/802506</v>
      </c>
      <c r="C2508" s="2" t="str">
        <f>TRIM(Table1[[#This Row],[Dostawca]])</f>
        <v>MedicaPharm</v>
      </c>
      <c r="D2508" s="3">
        <v>45487</v>
      </c>
      <c r="E2508" s="4" t="s">
        <v>7413</v>
      </c>
      <c r="F2508" s="2" t="str">
        <f>TRIM(Table1[[#This Row],[Status]])</f>
        <v>Zaakceptowana</v>
      </c>
      <c r="G2508" s="2" t="str">
        <f>TRIM(Table1[[#This Row],[Typ]])</f>
        <v>Faktura VAT</v>
      </c>
      <c r="H2508" s="2" t="str">
        <f>TRIM(Table1[[#This Row],[Magazyn]])</f>
        <v>Apteka Szpitalna</v>
      </c>
      <c r="I2508" s="2" t="str">
        <f>TRIM(Table1[[#This Row],[Umowa]])</f>
        <v/>
      </c>
      <c r="J2508" s="2" t="b">
        <f>ISTEXT(Table14[[#This Row],[Data_Wystawienia]])</f>
        <v>0</v>
      </c>
      <c r="K2508" s="2">
        <f>VALUE(SUBSTITUTE(Table14[[#This Row],[Wartość]],".",","))</f>
        <v>10860.13</v>
      </c>
      <c r="L25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8" s="2" t="str">
        <f>IF(Table14[[#This Row],[Umowa]]="","Poza umową","Z umowy")</f>
        <v>Poza umową</v>
      </c>
      <c r="N2508" s="2">
        <f>YEAR(Table14[[#This Row],[Data_Wystawienia]])</f>
        <v>2024</v>
      </c>
      <c r="O2508" s="2" t="str">
        <f>TEXT(Table14[[#This Row],[Data_Wystawienia]],"rrrr-mm")</f>
        <v>2024-07</v>
      </c>
      <c r="P2508" s="2">
        <v>1</v>
      </c>
    </row>
    <row r="2509" spans="1:16" x14ac:dyDescent="0.3">
      <c r="A2509" s="2" t="str">
        <f>TRIM(Table1[[#This Row],[Numer_FV]])</f>
        <v>FV/POL/28912/2024</v>
      </c>
      <c r="B2509" s="2" t="str">
        <f>TRIM(Table1[[#This Row],[Numer_PZ]])</f>
        <v>PZ/802507</v>
      </c>
      <c r="C2509" s="2" t="str">
        <f>TRIM(Table1[[#This Row],[Dostawca]])</f>
        <v>Polmedica</v>
      </c>
      <c r="D2509" s="3">
        <v>45487</v>
      </c>
      <c r="E2509" s="4" t="s">
        <v>7416</v>
      </c>
      <c r="F2509" s="2" t="str">
        <f>TRIM(Table1[[#This Row],[Status]])</f>
        <v>Zaakceptowana</v>
      </c>
      <c r="G2509" s="2" t="str">
        <f>TRIM(Table1[[#This Row],[Typ]])</f>
        <v>Faktura VAT</v>
      </c>
      <c r="H2509" s="2" t="str">
        <f>TRIM(Table1[[#This Row],[Magazyn]])</f>
        <v>Apteka Szpitalna</v>
      </c>
      <c r="I2509" s="2" t="str">
        <f>TRIM(Table1[[#This Row],[Umowa]])</f>
        <v>UM-POL-03</v>
      </c>
      <c r="J2509" s="2" t="b">
        <f>ISTEXT(Table14[[#This Row],[Data_Wystawienia]])</f>
        <v>0</v>
      </c>
      <c r="K2509" s="2">
        <f>VALUE(SUBSTITUTE(Table14[[#This Row],[Wartość]],".",","))</f>
        <v>19747.169999999998</v>
      </c>
      <c r="L25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09" s="2" t="str">
        <f>IF(Table14[[#This Row],[Umowa]]="","Poza umową","Z umowy")</f>
        <v>Z umowy</v>
      </c>
      <c r="N2509" s="2">
        <f>YEAR(Table14[[#This Row],[Data_Wystawienia]])</f>
        <v>2024</v>
      </c>
      <c r="O2509" s="2" t="str">
        <f>TEXT(Table14[[#This Row],[Data_Wystawienia]],"rrrr-mm")</f>
        <v>2024-07</v>
      </c>
      <c r="P2509" s="2">
        <v>1</v>
      </c>
    </row>
    <row r="2510" spans="1:16" x14ac:dyDescent="0.3">
      <c r="A2510" s="2" t="str">
        <f>TRIM(Table1[[#This Row],[Numer_FV]])</f>
        <v>FV/2589/NOVA/24</v>
      </c>
      <c r="B2510" s="2" t="str">
        <f>TRIM(Table1[[#This Row],[Numer_PZ]])</f>
        <v>PZ/802508</v>
      </c>
      <c r="C2510" s="2" t="str">
        <f>TRIM(Table1[[#This Row],[Dostawca]])</f>
        <v>NovaLek</v>
      </c>
      <c r="D2510" s="3">
        <v>45487</v>
      </c>
      <c r="E2510" s="4" t="s">
        <v>7419</v>
      </c>
      <c r="F2510" s="2" t="str">
        <f>TRIM(Table1[[#This Row],[Status]])</f>
        <v>Zaakceptowana</v>
      </c>
      <c r="G2510" s="2" t="str">
        <f>TRIM(Table1[[#This Row],[Typ]])</f>
        <v>Faktura VAT</v>
      </c>
      <c r="H2510" s="2" t="str">
        <f>TRIM(Table1[[#This Row],[Magazyn]])</f>
        <v>Apteka Szpitalna</v>
      </c>
      <c r="I2510" s="2" t="str">
        <f>TRIM(Table1[[#This Row],[Umowa]])</f>
        <v>UM-NOV-02</v>
      </c>
      <c r="J2510" s="2" t="b">
        <f>ISTEXT(Table14[[#This Row],[Data_Wystawienia]])</f>
        <v>0</v>
      </c>
      <c r="K2510" s="2">
        <f>VALUE(SUBSTITUTE(Table14[[#This Row],[Wartość]],".",","))</f>
        <v>15287.78</v>
      </c>
      <c r="L25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0" s="2" t="str">
        <f>IF(Table14[[#This Row],[Umowa]]="","Poza umową","Z umowy")</f>
        <v>Z umowy</v>
      </c>
      <c r="N2510" s="2">
        <f>YEAR(Table14[[#This Row],[Data_Wystawienia]])</f>
        <v>2024</v>
      </c>
      <c r="O2510" s="2" t="str">
        <f>TEXT(Table14[[#This Row],[Data_Wystawienia]],"rrrr-mm")</f>
        <v>2024-07</v>
      </c>
      <c r="P2510" s="2">
        <v>1</v>
      </c>
    </row>
    <row r="2511" spans="1:16" x14ac:dyDescent="0.3">
      <c r="A2511" s="2" t="str">
        <f>TRIM(Table1[[#This Row],[Numer_FV]])</f>
        <v>FV/CENFA/262247/24</v>
      </c>
      <c r="B2511" s="2" t="str">
        <f>TRIM(Table1[[#This Row],[Numer_PZ]])</f>
        <v>PZ/802509</v>
      </c>
      <c r="C2511" s="2" t="str">
        <f>TRIM(Table1[[#This Row],[Dostawca]])</f>
        <v>CentrumFarm</v>
      </c>
      <c r="D2511" s="3">
        <v>45488</v>
      </c>
      <c r="E2511" s="4" t="s">
        <v>7422</v>
      </c>
      <c r="F2511" s="2" t="str">
        <f>TRIM(Table1[[#This Row],[Status]])</f>
        <v>Zaakceptowana</v>
      </c>
      <c r="G2511" s="2" t="str">
        <f>TRIM(Table1[[#This Row],[Typ]])</f>
        <v>Faktura VAT</v>
      </c>
      <c r="H2511" s="2" t="str">
        <f>TRIM(Table1[[#This Row],[Magazyn]])</f>
        <v>Apteka Szpitalna</v>
      </c>
      <c r="I2511" s="2" t="str">
        <f>TRIM(Table1[[#This Row],[Umowa]])</f>
        <v>UM-CEN-01</v>
      </c>
      <c r="J2511" s="2" t="b">
        <f>ISTEXT(Table14[[#This Row],[Data_Wystawienia]])</f>
        <v>0</v>
      </c>
      <c r="K2511" s="2">
        <f>VALUE(SUBSTITUTE(Table14[[#This Row],[Wartość]],".",","))</f>
        <v>5414.25</v>
      </c>
      <c r="L25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1" s="2" t="str">
        <f>IF(Table14[[#This Row],[Umowa]]="","Poza umową","Z umowy")</f>
        <v>Z umowy</v>
      </c>
      <c r="N2511" s="2">
        <f>YEAR(Table14[[#This Row],[Data_Wystawienia]])</f>
        <v>2024</v>
      </c>
      <c r="O2511" s="2" t="str">
        <f>TEXT(Table14[[#This Row],[Data_Wystawienia]],"rrrr-mm")</f>
        <v>2024-07</v>
      </c>
      <c r="P2511" s="2">
        <v>1</v>
      </c>
    </row>
    <row r="2512" spans="1:16" x14ac:dyDescent="0.3">
      <c r="A2512" s="2" t="str">
        <f>TRIM(Table1[[#This Row],[Numer_FV]])</f>
        <v>FV/55/PP/9835/24</v>
      </c>
      <c r="B2512" s="2" t="str">
        <f>TRIM(Table1[[#This Row],[Numer_PZ]])</f>
        <v>PZ/802510</v>
      </c>
      <c r="C2512" s="2" t="str">
        <f>TRIM(Table1[[#This Row],[Dostawca]])</f>
        <v>PharmaPlus</v>
      </c>
      <c r="D2512" s="3">
        <v>45489</v>
      </c>
      <c r="E2512" s="4" t="s">
        <v>7425</v>
      </c>
      <c r="F2512" s="2" t="str">
        <f>TRIM(Table1[[#This Row],[Status]])</f>
        <v>Zaakceptowana</v>
      </c>
      <c r="G2512" s="2" t="str">
        <f>TRIM(Table1[[#This Row],[Typ]])</f>
        <v>Faktura VAT</v>
      </c>
      <c r="H2512" s="2" t="str">
        <f>TRIM(Table1[[#This Row],[Magazyn]])</f>
        <v>Apteka Szpitalna</v>
      </c>
      <c r="I2512" s="2" t="str">
        <f>TRIM(Table1[[#This Row],[Umowa]])</f>
        <v/>
      </c>
      <c r="J2512" s="2" t="b">
        <f>ISTEXT(Table14[[#This Row],[Data_Wystawienia]])</f>
        <v>0</v>
      </c>
      <c r="K2512" s="2">
        <f>VALUE(SUBSTITUTE(Table14[[#This Row],[Wartość]],".",","))</f>
        <v>13162.03</v>
      </c>
      <c r="L25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2" s="2" t="str">
        <f>IF(Table14[[#This Row],[Umowa]]="","Poza umową","Z umowy")</f>
        <v>Poza umową</v>
      </c>
      <c r="N2512" s="2">
        <f>YEAR(Table14[[#This Row],[Data_Wystawienia]])</f>
        <v>2024</v>
      </c>
      <c r="O2512" s="2" t="str">
        <f>TEXT(Table14[[#This Row],[Data_Wystawienia]],"rrrr-mm")</f>
        <v>2024-07</v>
      </c>
      <c r="P2512" s="2">
        <v>1</v>
      </c>
    </row>
    <row r="2513" spans="1:16" x14ac:dyDescent="0.3">
      <c r="A2513" s="2" t="str">
        <f>TRIM(Table1[[#This Row],[Numer_FV]])</f>
        <v>FV/60/SAL/24</v>
      </c>
      <c r="B2513" s="2" t="str">
        <f>TRIM(Table1[[#This Row],[Numer_PZ]])</f>
        <v>PZ/802511</v>
      </c>
      <c r="C2513" s="2" t="str">
        <f>TRIM(Table1[[#This Row],[Dostawca]])</f>
        <v>SalusHurt</v>
      </c>
      <c r="D2513" s="3">
        <v>45489</v>
      </c>
      <c r="E2513" s="4" t="s">
        <v>7427</v>
      </c>
      <c r="F2513" s="2" t="str">
        <f>TRIM(Table1[[#This Row],[Status]])</f>
        <v>Zaakceptowana</v>
      </c>
      <c r="G2513" s="2" t="str">
        <f>TRIM(Table1[[#This Row],[Typ]])</f>
        <v>Faktura VAT</v>
      </c>
      <c r="H2513" s="2" t="str">
        <f>TRIM(Table1[[#This Row],[Magazyn]])</f>
        <v>Apteka Szpitalna</v>
      </c>
      <c r="I2513" s="2" t="str">
        <f>TRIM(Table1[[#This Row],[Umowa]])</f>
        <v>UM-SAL-02</v>
      </c>
      <c r="J2513" s="2" t="b">
        <f>ISTEXT(Table14[[#This Row],[Data_Wystawienia]])</f>
        <v>0</v>
      </c>
      <c r="K2513" s="2">
        <f>VALUE(SUBSTITUTE(Table14[[#This Row],[Wartość]],".",","))</f>
        <v>11384.87</v>
      </c>
      <c r="L25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3" s="2" t="str">
        <f>IF(Table14[[#This Row],[Umowa]]="","Poza umową","Z umowy")</f>
        <v>Z umowy</v>
      </c>
      <c r="N2513" s="2">
        <f>YEAR(Table14[[#This Row],[Data_Wystawienia]])</f>
        <v>2024</v>
      </c>
      <c r="O2513" s="2" t="str">
        <f>TEXT(Table14[[#This Row],[Data_Wystawienia]],"rrrr-mm")</f>
        <v>2024-07</v>
      </c>
      <c r="P2513" s="2">
        <v>1</v>
      </c>
    </row>
    <row r="2514" spans="1:16" x14ac:dyDescent="0.3">
      <c r="A2514" s="2" t="str">
        <f>TRIM(Table1[[#This Row],[Numer_FV]])</f>
        <v>FV/20/SAL/24</v>
      </c>
      <c r="B2514" s="2" t="str">
        <f>TRIM(Table1[[#This Row],[Numer_PZ]])</f>
        <v>PZ/802512</v>
      </c>
      <c r="C2514" s="2" t="str">
        <f>TRIM(Table1[[#This Row],[Dostawca]])</f>
        <v>SalusHurt</v>
      </c>
      <c r="D2514" s="3">
        <v>45490</v>
      </c>
      <c r="E2514" s="4" t="s">
        <v>7429</v>
      </c>
      <c r="F2514" s="2" t="str">
        <f>TRIM(Table1[[#This Row],[Status]])</f>
        <v>Zaakceptowana</v>
      </c>
      <c r="G2514" s="2" t="str">
        <f>TRIM(Table1[[#This Row],[Typ]])</f>
        <v>Faktura VAT</v>
      </c>
      <c r="H2514" s="2" t="str">
        <f>TRIM(Table1[[#This Row],[Magazyn]])</f>
        <v>Apteka Szpitalna</v>
      </c>
      <c r="I2514" s="2" t="str">
        <f>TRIM(Table1[[#This Row],[Umowa]])</f>
        <v/>
      </c>
      <c r="J2514" s="2" t="b">
        <f>ISTEXT(Table14[[#This Row],[Data_Wystawienia]])</f>
        <v>0</v>
      </c>
      <c r="K2514" s="2">
        <f>VALUE(SUBSTITUTE(Table14[[#This Row],[Wartość]],".",","))</f>
        <v>12454.63</v>
      </c>
      <c r="L25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4" s="2" t="str">
        <f>IF(Table14[[#This Row],[Umowa]]="","Poza umową","Z umowy")</f>
        <v>Poza umową</v>
      </c>
      <c r="N2514" s="2">
        <f>YEAR(Table14[[#This Row],[Data_Wystawienia]])</f>
        <v>2024</v>
      </c>
      <c r="O2514" s="2" t="str">
        <f>TEXT(Table14[[#This Row],[Data_Wystawienia]],"rrrr-mm")</f>
        <v>2024-07</v>
      </c>
      <c r="P2514" s="2">
        <v>1</v>
      </c>
    </row>
    <row r="2515" spans="1:16" x14ac:dyDescent="0.3">
      <c r="A2515" s="2" t="str">
        <f>TRIM(Table1[[#This Row],[Numer_FV]])</f>
        <v>FV/M/6876/P/24</v>
      </c>
      <c r="B2515" s="2" t="str">
        <f>TRIM(Table1[[#This Row],[Numer_PZ]])</f>
        <v>PZ/802513</v>
      </c>
      <c r="C2515" s="2" t="str">
        <f>TRIM(Table1[[#This Row],[Dostawca]])</f>
        <v>MedicaPharm</v>
      </c>
      <c r="D2515" s="3">
        <v>45490</v>
      </c>
      <c r="E2515" s="4" t="s">
        <v>7432</v>
      </c>
      <c r="F2515" s="2" t="str">
        <f>TRIM(Table1[[#This Row],[Status]])</f>
        <v>Zaakceptowana</v>
      </c>
      <c r="G2515" s="2" t="str">
        <f>TRIM(Table1[[#This Row],[Typ]])</f>
        <v>Faktura VAT</v>
      </c>
      <c r="H2515" s="2" t="str">
        <f>TRIM(Table1[[#This Row],[Magazyn]])</f>
        <v>Apteka Szpitalna</v>
      </c>
      <c r="I2515" s="2" t="str">
        <f>TRIM(Table1[[#This Row],[Umowa]])</f>
        <v>UM-MED-02</v>
      </c>
      <c r="J2515" s="2" t="b">
        <f>ISTEXT(Table14[[#This Row],[Data_Wystawienia]])</f>
        <v>0</v>
      </c>
      <c r="K2515" s="2">
        <f>VALUE(SUBSTITUTE(Table14[[#This Row],[Wartość]],".",","))</f>
        <v>13836.14</v>
      </c>
      <c r="L25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5" s="2" t="str">
        <f>IF(Table14[[#This Row],[Umowa]]="","Poza umową","Z umowy")</f>
        <v>Z umowy</v>
      </c>
      <c r="N2515" s="2">
        <f>YEAR(Table14[[#This Row],[Data_Wystawienia]])</f>
        <v>2024</v>
      </c>
      <c r="O2515" s="2" t="str">
        <f>TEXT(Table14[[#This Row],[Data_Wystawienia]],"rrrr-mm")</f>
        <v>2024-07</v>
      </c>
      <c r="P2515" s="2">
        <v>1</v>
      </c>
    </row>
    <row r="2516" spans="1:16" x14ac:dyDescent="0.3">
      <c r="A2516" s="2" t="str">
        <f>TRIM(Table1[[#This Row],[Numer_FV]])</f>
        <v>FV/M/3240/P/24</v>
      </c>
      <c r="B2516" s="2" t="str">
        <f>TRIM(Table1[[#This Row],[Numer_PZ]])</f>
        <v>PZ/802514</v>
      </c>
      <c r="C2516" s="2" t="str">
        <f>TRIM(Table1[[#This Row],[Dostawca]])</f>
        <v>MedicaPharm</v>
      </c>
      <c r="D2516" s="3">
        <v>45490</v>
      </c>
      <c r="E2516" s="4" t="s">
        <v>7435</v>
      </c>
      <c r="F2516" s="2" t="str">
        <f>TRIM(Table1[[#This Row],[Status]])</f>
        <v>Zaakceptowana</v>
      </c>
      <c r="G2516" s="2" t="str">
        <f>TRIM(Table1[[#This Row],[Typ]])</f>
        <v>Faktura VAT</v>
      </c>
      <c r="H2516" s="2" t="str">
        <f>TRIM(Table1[[#This Row],[Magazyn]])</f>
        <v>Apteka Szpitalna</v>
      </c>
      <c r="I2516" s="2" t="str">
        <f>TRIM(Table1[[#This Row],[Umowa]])</f>
        <v>UM-MED-02</v>
      </c>
      <c r="J2516" s="2" t="b">
        <f>ISTEXT(Table14[[#This Row],[Data_Wystawienia]])</f>
        <v>0</v>
      </c>
      <c r="K2516" s="2">
        <f>VALUE(SUBSTITUTE(Table14[[#This Row],[Wartość]],".",","))</f>
        <v>19247.61</v>
      </c>
      <c r="L25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6" s="2" t="str">
        <f>IF(Table14[[#This Row],[Umowa]]="","Poza umową","Z umowy")</f>
        <v>Z umowy</v>
      </c>
      <c r="N2516" s="2">
        <f>YEAR(Table14[[#This Row],[Data_Wystawienia]])</f>
        <v>2024</v>
      </c>
      <c r="O2516" s="2" t="str">
        <f>TEXT(Table14[[#This Row],[Data_Wystawienia]],"rrrr-mm")</f>
        <v>2024-07</v>
      </c>
      <c r="P2516" s="2">
        <v>1</v>
      </c>
    </row>
    <row r="2517" spans="1:16" x14ac:dyDescent="0.3">
      <c r="A2517" s="2" t="str">
        <f>TRIM(Table1[[#This Row],[Numer_FV]])</f>
        <v>FV/84/PP/9999/24</v>
      </c>
      <c r="B2517" s="2" t="str">
        <f>TRIM(Table1[[#This Row],[Numer_PZ]])</f>
        <v>PZ/802515</v>
      </c>
      <c r="C2517" s="2" t="str">
        <f>TRIM(Table1[[#This Row],[Dostawca]])</f>
        <v>PharmaPlus</v>
      </c>
      <c r="D2517" s="3">
        <v>45491</v>
      </c>
      <c r="E2517" s="4" t="s">
        <v>7438</v>
      </c>
      <c r="F2517" s="2" t="str">
        <f>TRIM(Table1[[#This Row],[Status]])</f>
        <v>Zaakceptowana</v>
      </c>
      <c r="G2517" s="2" t="str">
        <f>TRIM(Table1[[#This Row],[Typ]])</f>
        <v>Faktura VAT</v>
      </c>
      <c r="H2517" s="2" t="str">
        <f>TRIM(Table1[[#This Row],[Magazyn]])</f>
        <v>Apteka Szpitalna</v>
      </c>
      <c r="I2517" s="2" t="str">
        <f>TRIM(Table1[[#This Row],[Umowa]])</f>
        <v>UM-PHA-01</v>
      </c>
      <c r="J2517" s="2" t="b">
        <f>ISTEXT(Table14[[#This Row],[Data_Wystawienia]])</f>
        <v>0</v>
      </c>
      <c r="K2517" s="2">
        <f>VALUE(SUBSTITUTE(Table14[[#This Row],[Wartość]],".",","))</f>
        <v>14056.56</v>
      </c>
      <c r="L25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7" s="2" t="str">
        <f>IF(Table14[[#This Row],[Umowa]]="","Poza umową","Z umowy")</f>
        <v>Z umowy</v>
      </c>
      <c r="N2517" s="2">
        <f>YEAR(Table14[[#This Row],[Data_Wystawienia]])</f>
        <v>2024</v>
      </c>
      <c r="O2517" s="2" t="str">
        <f>TEXT(Table14[[#This Row],[Data_Wystawienia]],"rrrr-mm")</f>
        <v>2024-07</v>
      </c>
      <c r="P2517" s="2">
        <v>1</v>
      </c>
    </row>
    <row r="2518" spans="1:16" x14ac:dyDescent="0.3">
      <c r="A2518" s="2" t="str">
        <f>TRIM(Table1[[#This Row],[Numer_FV]])</f>
        <v>FV/POL/87112/2024</v>
      </c>
      <c r="B2518" s="2" t="str">
        <f>TRIM(Table1[[#This Row],[Numer_PZ]])</f>
        <v>PZ/802516</v>
      </c>
      <c r="C2518" s="2" t="str">
        <f>TRIM(Table1[[#This Row],[Dostawca]])</f>
        <v>Polmedica</v>
      </c>
      <c r="D2518" s="3">
        <v>45492</v>
      </c>
      <c r="E2518" s="4" t="s">
        <v>7441</v>
      </c>
      <c r="F2518" s="2" t="str">
        <f>TRIM(Table1[[#This Row],[Status]])</f>
        <v>Zaakceptowana</v>
      </c>
      <c r="G2518" s="2" t="str">
        <f>TRIM(Table1[[#This Row],[Typ]])</f>
        <v>Faktura VAT</v>
      </c>
      <c r="H2518" s="2" t="str">
        <f>TRIM(Table1[[#This Row],[Magazyn]])</f>
        <v>Apteka Szpitalna</v>
      </c>
      <c r="I2518" s="2" t="str">
        <f>TRIM(Table1[[#This Row],[Umowa]])</f>
        <v>UM-POL-02</v>
      </c>
      <c r="J2518" s="2" t="b">
        <f>ISTEXT(Table14[[#This Row],[Data_Wystawienia]])</f>
        <v>0</v>
      </c>
      <c r="K2518" s="2">
        <f>VALUE(SUBSTITUTE(Table14[[#This Row],[Wartość]],".",","))</f>
        <v>21560.77</v>
      </c>
      <c r="L25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8" s="2" t="str">
        <f>IF(Table14[[#This Row],[Umowa]]="","Poza umową","Z umowy")</f>
        <v>Z umowy</v>
      </c>
      <c r="N2518" s="2">
        <f>YEAR(Table14[[#This Row],[Data_Wystawienia]])</f>
        <v>2024</v>
      </c>
      <c r="O2518" s="2" t="str">
        <f>TEXT(Table14[[#This Row],[Data_Wystawienia]],"rrrr-mm")</f>
        <v>2024-07</v>
      </c>
      <c r="P2518" s="2">
        <v>1</v>
      </c>
    </row>
    <row r="2519" spans="1:16" x14ac:dyDescent="0.3">
      <c r="A2519" s="2" t="str">
        <f>TRIM(Table1[[#This Row],[Numer_FV]])</f>
        <v>FV/5716/NOVA/24</v>
      </c>
      <c r="B2519" s="2" t="str">
        <f>TRIM(Table1[[#This Row],[Numer_PZ]])</f>
        <v>PZ/802517</v>
      </c>
      <c r="C2519" s="2" t="str">
        <f>TRIM(Table1[[#This Row],[Dostawca]])</f>
        <v>NovaLek</v>
      </c>
      <c r="D2519" s="3">
        <v>45493</v>
      </c>
      <c r="E2519" s="4" t="s">
        <v>7444</v>
      </c>
      <c r="F2519" s="2" t="str">
        <f>TRIM(Table1[[#This Row],[Status]])</f>
        <v>Zaakceptowana</v>
      </c>
      <c r="G2519" s="2" t="str">
        <f>TRIM(Table1[[#This Row],[Typ]])</f>
        <v>Faktura VAT</v>
      </c>
      <c r="H2519" s="2" t="str">
        <f>TRIM(Table1[[#This Row],[Magazyn]])</f>
        <v>Apteka Szpitalna</v>
      </c>
      <c r="I2519" s="2" t="str">
        <f>TRIM(Table1[[#This Row],[Umowa]])</f>
        <v>UM-NOV-02</v>
      </c>
      <c r="J2519" s="2" t="b">
        <f>ISTEXT(Table14[[#This Row],[Data_Wystawienia]])</f>
        <v>0</v>
      </c>
      <c r="K2519" s="2">
        <f>VALUE(SUBSTITUTE(Table14[[#This Row],[Wartość]],".",","))</f>
        <v>19809.3</v>
      </c>
      <c r="L25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19" s="2" t="str">
        <f>IF(Table14[[#This Row],[Umowa]]="","Poza umową","Z umowy")</f>
        <v>Z umowy</v>
      </c>
      <c r="N2519" s="2">
        <f>YEAR(Table14[[#This Row],[Data_Wystawienia]])</f>
        <v>2024</v>
      </c>
      <c r="O2519" s="2" t="str">
        <f>TEXT(Table14[[#This Row],[Data_Wystawienia]],"rrrr-mm")</f>
        <v>2024-07</v>
      </c>
      <c r="P2519" s="2">
        <v>1</v>
      </c>
    </row>
    <row r="2520" spans="1:16" x14ac:dyDescent="0.3">
      <c r="A2520" s="2" t="str">
        <f>TRIM(Table1[[#This Row],[Numer_FV]])</f>
        <v>FV/55/PP/8816/24</v>
      </c>
      <c r="B2520" s="2" t="str">
        <f>TRIM(Table1[[#This Row],[Numer_PZ]])</f>
        <v>PZ/802518</v>
      </c>
      <c r="C2520" s="2" t="str">
        <f>TRIM(Table1[[#This Row],[Dostawca]])</f>
        <v>PharmaPlus</v>
      </c>
      <c r="D2520" s="3">
        <v>45493</v>
      </c>
      <c r="E2520" s="4" t="s">
        <v>7447</v>
      </c>
      <c r="F2520" s="2" t="str">
        <f>TRIM(Table1[[#This Row],[Status]])</f>
        <v>Zaakceptowana</v>
      </c>
      <c r="G2520" s="2" t="str">
        <f>TRIM(Table1[[#This Row],[Typ]])</f>
        <v>Faktura VAT</v>
      </c>
      <c r="H2520" s="2" t="str">
        <f>TRIM(Table1[[#This Row],[Magazyn]])</f>
        <v>Apteka Szpitalna</v>
      </c>
      <c r="I2520" s="2" t="str">
        <f>TRIM(Table1[[#This Row],[Umowa]])</f>
        <v/>
      </c>
      <c r="J2520" s="2" t="b">
        <f>ISTEXT(Table14[[#This Row],[Data_Wystawienia]])</f>
        <v>0</v>
      </c>
      <c r="K2520" s="2">
        <f>VALUE(SUBSTITUTE(Table14[[#This Row],[Wartość]],".",","))</f>
        <v>7660.3</v>
      </c>
      <c r="L25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0" s="2" t="str">
        <f>IF(Table14[[#This Row],[Umowa]]="","Poza umową","Z umowy")</f>
        <v>Poza umową</v>
      </c>
      <c r="N2520" s="2">
        <f>YEAR(Table14[[#This Row],[Data_Wystawienia]])</f>
        <v>2024</v>
      </c>
      <c r="O2520" s="2" t="str">
        <f>TEXT(Table14[[#This Row],[Data_Wystawienia]],"rrrr-mm")</f>
        <v>2024-07</v>
      </c>
      <c r="P2520" s="2">
        <v>1</v>
      </c>
    </row>
    <row r="2521" spans="1:16" x14ac:dyDescent="0.3">
      <c r="A2521" s="2" t="str">
        <f>TRIM(Table1[[#This Row],[Numer_FV]])</f>
        <v>FV/12/SAL/24</v>
      </c>
      <c r="B2521" s="2" t="str">
        <f>TRIM(Table1[[#This Row],[Numer_PZ]])</f>
        <v>PZ/802519</v>
      </c>
      <c r="C2521" s="2" t="str">
        <f>TRIM(Table1[[#This Row],[Dostawca]])</f>
        <v>SalusHurt</v>
      </c>
      <c r="D2521" s="3">
        <v>45493</v>
      </c>
      <c r="E2521" s="4" t="s">
        <v>7449</v>
      </c>
      <c r="F2521" s="2" t="str">
        <f>TRIM(Table1[[#This Row],[Status]])</f>
        <v>Zaakceptowana</v>
      </c>
      <c r="G2521" s="2" t="str">
        <f>TRIM(Table1[[#This Row],[Typ]])</f>
        <v>Faktura VAT</v>
      </c>
      <c r="H2521" s="2" t="str">
        <f>TRIM(Table1[[#This Row],[Magazyn]])</f>
        <v>Apteka Szpitalna</v>
      </c>
      <c r="I2521" s="2" t="str">
        <f>TRIM(Table1[[#This Row],[Umowa]])</f>
        <v/>
      </c>
      <c r="J2521" s="2" t="b">
        <f>ISTEXT(Table14[[#This Row],[Data_Wystawienia]])</f>
        <v>0</v>
      </c>
      <c r="K2521" s="2">
        <f>VALUE(SUBSTITUTE(Table14[[#This Row],[Wartość]],".",","))</f>
        <v>8134.36</v>
      </c>
      <c r="L25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1" s="2" t="str">
        <f>IF(Table14[[#This Row],[Umowa]]="","Poza umową","Z umowy")</f>
        <v>Poza umową</v>
      </c>
      <c r="N2521" s="2">
        <f>YEAR(Table14[[#This Row],[Data_Wystawienia]])</f>
        <v>2024</v>
      </c>
      <c r="O2521" s="2" t="str">
        <f>TEXT(Table14[[#This Row],[Data_Wystawienia]],"rrrr-mm")</f>
        <v>2024-07</v>
      </c>
      <c r="P2521" s="2">
        <v>1</v>
      </c>
    </row>
    <row r="2522" spans="1:16" x14ac:dyDescent="0.3">
      <c r="A2522" s="2" t="str">
        <f>TRIM(Table1[[#This Row],[Numer_FV]])</f>
        <v>FV/M/4686/P/24</v>
      </c>
      <c r="B2522" s="2" t="str">
        <f>TRIM(Table1[[#This Row],[Numer_PZ]])</f>
        <v>PZ/802520</v>
      </c>
      <c r="C2522" s="2" t="str">
        <f>TRIM(Table1[[#This Row],[Dostawca]])</f>
        <v>MedicaPharm</v>
      </c>
      <c r="D2522" s="3">
        <v>45493</v>
      </c>
      <c r="E2522" s="4" t="s">
        <v>7452</v>
      </c>
      <c r="F2522" s="2" t="str">
        <f>TRIM(Table1[[#This Row],[Status]])</f>
        <v>Zaakceptowana</v>
      </c>
      <c r="G2522" s="2" t="str">
        <f>TRIM(Table1[[#This Row],[Typ]])</f>
        <v>Faktura VAT</v>
      </c>
      <c r="H2522" s="2" t="str">
        <f>TRIM(Table1[[#This Row],[Magazyn]])</f>
        <v>Apteka Szpitalna</v>
      </c>
      <c r="I2522" s="2" t="str">
        <f>TRIM(Table1[[#This Row],[Umowa]])</f>
        <v>UM-MED-02</v>
      </c>
      <c r="J2522" s="2" t="b">
        <f>ISTEXT(Table14[[#This Row],[Data_Wystawienia]])</f>
        <v>0</v>
      </c>
      <c r="K2522" s="2">
        <f>VALUE(SUBSTITUTE(Table14[[#This Row],[Wartość]],".",","))</f>
        <v>14528.99</v>
      </c>
      <c r="L25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2" s="2" t="str">
        <f>IF(Table14[[#This Row],[Umowa]]="","Poza umową","Z umowy")</f>
        <v>Z umowy</v>
      </c>
      <c r="N2522" s="2">
        <f>YEAR(Table14[[#This Row],[Data_Wystawienia]])</f>
        <v>2024</v>
      </c>
      <c r="O2522" s="2" t="str">
        <f>TEXT(Table14[[#This Row],[Data_Wystawienia]],"rrrr-mm")</f>
        <v>2024-07</v>
      </c>
      <c r="P2522" s="2">
        <v>1</v>
      </c>
    </row>
    <row r="2523" spans="1:16" x14ac:dyDescent="0.3">
      <c r="A2523" s="2" t="str">
        <f>TRIM(Table1[[#This Row],[Numer_FV]])</f>
        <v>FV/59/SAL/24</v>
      </c>
      <c r="B2523" s="2" t="str">
        <f>TRIM(Table1[[#This Row],[Numer_PZ]])</f>
        <v>PZ/802521</v>
      </c>
      <c r="C2523" s="2" t="str">
        <f>TRIM(Table1[[#This Row],[Dostawca]])</f>
        <v>SalusHurt</v>
      </c>
      <c r="D2523" s="3">
        <v>45494</v>
      </c>
      <c r="E2523" s="4" t="s">
        <v>7455</v>
      </c>
      <c r="F2523" s="2" t="str">
        <f>TRIM(Table1[[#This Row],[Status]])</f>
        <v>Zaakceptowana</v>
      </c>
      <c r="G2523" s="2" t="str">
        <f>TRIM(Table1[[#This Row],[Typ]])</f>
        <v>Faktura VAT</v>
      </c>
      <c r="H2523" s="2" t="str">
        <f>TRIM(Table1[[#This Row],[Magazyn]])</f>
        <v>Apteka Szpitalna</v>
      </c>
      <c r="I2523" s="2" t="str">
        <f>TRIM(Table1[[#This Row],[Umowa]])</f>
        <v>UM-SAL-01</v>
      </c>
      <c r="J2523" s="2" t="b">
        <f>ISTEXT(Table14[[#This Row],[Data_Wystawienia]])</f>
        <v>0</v>
      </c>
      <c r="K2523" s="2">
        <f>VALUE(SUBSTITUTE(Table14[[#This Row],[Wartość]],".",","))</f>
        <v>23594.82</v>
      </c>
      <c r="L25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3" s="2" t="str">
        <f>IF(Table14[[#This Row],[Umowa]]="","Poza umową","Z umowy")</f>
        <v>Z umowy</v>
      </c>
      <c r="N2523" s="2">
        <f>YEAR(Table14[[#This Row],[Data_Wystawienia]])</f>
        <v>2024</v>
      </c>
      <c r="O2523" s="2" t="str">
        <f>TEXT(Table14[[#This Row],[Data_Wystawienia]],"rrrr-mm")</f>
        <v>2024-07</v>
      </c>
      <c r="P2523" s="2">
        <v>1</v>
      </c>
    </row>
    <row r="2524" spans="1:16" x14ac:dyDescent="0.3">
      <c r="A2524" s="2" t="str">
        <f>TRIM(Table1[[#This Row],[Numer_FV]])</f>
        <v>FV/POL/45477/2024</v>
      </c>
      <c r="B2524" s="2" t="str">
        <f>TRIM(Table1[[#This Row],[Numer_PZ]])</f>
        <v>PZ/802522</v>
      </c>
      <c r="C2524" s="2" t="str">
        <f>TRIM(Table1[[#This Row],[Dostawca]])</f>
        <v>Polmedica</v>
      </c>
      <c r="D2524" s="3">
        <v>45494</v>
      </c>
      <c r="E2524" s="4" t="s">
        <v>7458</v>
      </c>
      <c r="F2524" s="2" t="str">
        <f>TRIM(Table1[[#This Row],[Status]])</f>
        <v>Zaakceptowana</v>
      </c>
      <c r="G2524" s="2" t="str">
        <f>TRIM(Table1[[#This Row],[Typ]])</f>
        <v>Faktura VAT</v>
      </c>
      <c r="H2524" s="2" t="str">
        <f>TRIM(Table1[[#This Row],[Magazyn]])</f>
        <v>Apteka Szpitalna</v>
      </c>
      <c r="I2524" s="2" t="str">
        <f>TRIM(Table1[[#This Row],[Umowa]])</f>
        <v>UM-POL-02</v>
      </c>
      <c r="J2524" s="2" t="b">
        <f>ISTEXT(Table14[[#This Row],[Data_Wystawienia]])</f>
        <v>0</v>
      </c>
      <c r="K2524" s="2">
        <f>VALUE(SUBSTITUTE(Table14[[#This Row],[Wartość]],".",","))</f>
        <v>18431.36</v>
      </c>
      <c r="L25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4" s="2" t="str">
        <f>IF(Table14[[#This Row],[Umowa]]="","Poza umową","Z umowy")</f>
        <v>Z umowy</v>
      </c>
      <c r="N2524" s="2">
        <f>YEAR(Table14[[#This Row],[Data_Wystawienia]])</f>
        <v>2024</v>
      </c>
      <c r="O2524" s="2" t="str">
        <f>TEXT(Table14[[#This Row],[Data_Wystawienia]],"rrrr-mm")</f>
        <v>2024-07</v>
      </c>
      <c r="P2524" s="2">
        <v>1</v>
      </c>
    </row>
    <row r="2525" spans="1:16" x14ac:dyDescent="0.3">
      <c r="A2525" s="2" t="str">
        <f>TRIM(Table1[[#This Row],[Numer_FV]])</f>
        <v>FV/CENFA/450589/24</v>
      </c>
      <c r="B2525" s="2" t="str">
        <f>TRIM(Table1[[#This Row],[Numer_PZ]])</f>
        <v>PZ/802523</v>
      </c>
      <c r="C2525" s="2" t="str">
        <f>TRIM(Table1[[#This Row],[Dostawca]])</f>
        <v>CentrumFarm</v>
      </c>
      <c r="D2525" s="3">
        <v>45494</v>
      </c>
      <c r="E2525" s="4" t="s">
        <v>7461</v>
      </c>
      <c r="F2525" s="2" t="str">
        <f>TRIM(Table1[[#This Row],[Status]])</f>
        <v>Zaakceptowana</v>
      </c>
      <c r="G2525" s="2" t="str">
        <f>TRIM(Table1[[#This Row],[Typ]])</f>
        <v>Faktura VAT</v>
      </c>
      <c r="H2525" s="2" t="str">
        <f>TRIM(Table1[[#This Row],[Magazyn]])</f>
        <v>Apteka Szpitalna</v>
      </c>
      <c r="I2525" s="2" t="str">
        <f>TRIM(Table1[[#This Row],[Umowa]])</f>
        <v>UM-CEN-02</v>
      </c>
      <c r="J2525" s="2" t="b">
        <f>ISTEXT(Table14[[#This Row],[Data_Wystawienia]])</f>
        <v>0</v>
      </c>
      <c r="K2525" s="2">
        <f>VALUE(SUBSTITUTE(Table14[[#This Row],[Wartość]],".",","))</f>
        <v>14635.09</v>
      </c>
      <c r="L25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5" s="2" t="str">
        <f>IF(Table14[[#This Row],[Umowa]]="","Poza umową","Z umowy")</f>
        <v>Z umowy</v>
      </c>
      <c r="N2525" s="2">
        <f>YEAR(Table14[[#This Row],[Data_Wystawienia]])</f>
        <v>2024</v>
      </c>
      <c r="O2525" s="2" t="str">
        <f>TEXT(Table14[[#This Row],[Data_Wystawienia]],"rrrr-mm")</f>
        <v>2024-07</v>
      </c>
      <c r="P2525" s="2">
        <v>1</v>
      </c>
    </row>
    <row r="2526" spans="1:16" x14ac:dyDescent="0.3">
      <c r="A2526" s="2" t="str">
        <f>TRIM(Table1[[#This Row],[Numer_FV]])</f>
        <v>FV/84082/VDb/2024</v>
      </c>
      <c r="B2526" s="2" t="str">
        <f>TRIM(Table1[[#This Row],[Numer_PZ]])</f>
        <v>PZ/802524</v>
      </c>
      <c r="C2526" s="2" t="str">
        <f>TRIM(Table1[[#This Row],[Dostawca]])</f>
        <v>VitaDistrib</v>
      </c>
      <c r="D2526" s="3">
        <v>45495</v>
      </c>
      <c r="E2526" s="4" t="s">
        <v>7464</v>
      </c>
      <c r="F2526" s="2" t="str">
        <f>TRIM(Table1[[#This Row],[Status]])</f>
        <v>Zaakceptowana</v>
      </c>
      <c r="G2526" s="2" t="str">
        <f>TRIM(Table1[[#This Row],[Typ]])</f>
        <v>Faktura VAT</v>
      </c>
      <c r="H2526" s="2" t="str">
        <f>TRIM(Table1[[#This Row],[Magazyn]])</f>
        <v>Apteka Szpitalna</v>
      </c>
      <c r="I2526" s="2" t="str">
        <f>TRIM(Table1[[#This Row],[Umowa]])</f>
        <v>UM-VIT-01</v>
      </c>
      <c r="J2526" s="2" t="b">
        <f>ISTEXT(Table14[[#This Row],[Data_Wystawienia]])</f>
        <v>0</v>
      </c>
      <c r="K2526" s="2">
        <f>VALUE(SUBSTITUTE(Table14[[#This Row],[Wartość]],".",","))</f>
        <v>12204.34</v>
      </c>
      <c r="L25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6" s="2" t="str">
        <f>IF(Table14[[#This Row],[Umowa]]="","Poza umową","Z umowy")</f>
        <v>Z umowy</v>
      </c>
      <c r="N2526" s="2">
        <f>YEAR(Table14[[#This Row],[Data_Wystawienia]])</f>
        <v>2024</v>
      </c>
      <c r="O2526" s="2" t="str">
        <f>TEXT(Table14[[#This Row],[Data_Wystawienia]],"rrrr-mm")</f>
        <v>2024-07</v>
      </c>
      <c r="P2526" s="2">
        <v>1</v>
      </c>
    </row>
    <row r="2527" spans="1:16" x14ac:dyDescent="0.3">
      <c r="A2527" s="2" t="str">
        <f>TRIM(Table1[[#This Row],[Numer_FV]])</f>
        <v>FV/40/PP/7632/24</v>
      </c>
      <c r="B2527" s="2" t="str">
        <f>TRIM(Table1[[#This Row],[Numer_PZ]])</f>
        <v>PZ/802525</v>
      </c>
      <c r="C2527" s="2" t="str">
        <f>TRIM(Table1[[#This Row],[Dostawca]])</f>
        <v>PharmaPlus</v>
      </c>
      <c r="D2527" s="3">
        <v>45495</v>
      </c>
      <c r="E2527" s="4" t="s">
        <v>7467</v>
      </c>
      <c r="F2527" s="2" t="str">
        <f>TRIM(Table1[[#This Row],[Status]])</f>
        <v>Zaakceptowana</v>
      </c>
      <c r="G2527" s="2" t="str">
        <f>TRIM(Table1[[#This Row],[Typ]])</f>
        <v>Faktura VAT</v>
      </c>
      <c r="H2527" s="2" t="str">
        <f>TRIM(Table1[[#This Row],[Magazyn]])</f>
        <v>Apteka Szpitalna</v>
      </c>
      <c r="I2527" s="2" t="str">
        <f>TRIM(Table1[[#This Row],[Umowa]])</f>
        <v>UM-PHA-01</v>
      </c>
      <c r="J2527" s="2" t="b">
        <f>ISTEXT(Table14[[#This Row],[Data_Wystawienia]])</f>
        <v>0</v>
      </c>
      <c r="K2527" s="2">
        <f>VALUE(SUBSTITUTE(Table14[[#This Row],[Wartość]],".",","))</f>
        <v>22931.68</v>
      </c>
      <c r="L25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7" s="2" t="str">
        <f>IF(Table14[[#This Row],[Umowa]]="","Poza umową","Z umowy")</f>
        <v>Z umowy</v>
      </c>
      <c r="N2527" s="2">
        <f>YEAR(Table14[[#This Row],[Data_Wystawienia]])</f>
        <v>2024</v>
      </c>
      <c r="O2527" s="2" t="str">
        <f>TEXT(Table14[[#This Row],[Data_Wystawienia]],"rrrr-mm")</f>
        <v>2024-07</v>
      </c>
      <c r="P2527" s="2">
        <v>1</v>
      </c>
    </row>
    <row r="2528" spans="1:16" x14ac:dyDescent="0.3">
      <c r="A2528" s="2" t="str">
        <f>TRIM(Table1[[#This Row],[Numer_FV]])</f>
        <v>FV/CENFA/357142/24</v>
      </c>
      <c r="B2528" s="2" t="str">
        <f>TRIM(Table1[[#This Row],[Numer_PZ]])</f>
        <v>PZ/802526</v>
      </c>
      <c r="C2528" s="2" t="str">
        <f>TRIM(Table1[[#This Row],[Dostawca]])</f>
        <v>CentrumFarm</v>
      </c>
      <c r="D2528" s="3">
        <v>45496</v>
      </c>
      <c r="E2528" s="4" t="s">
        <v>7470</v>
      </c>
      <c r="F2528" s="2" t="str">
        <f>TRIM(Table1[[#This Row],[Status]])</f>
        <v>Zaakceptowana</v>
      </c>
      <c r="G2528" s="2" t="str">
        <f>TRIM(Table1[[#This Row],[Typ]])</f>
        <v>Faktura VAT</v>
      </c>
      <c r="H2528" s="2" t="str">
        <f>TRIM(Table1[[#This Row],[Magazyn]])</f>
        <v>Apteka Szpitalna</v>
      </c>
      <c r="I2528" s="2" t="str">
        <f>TRIM(Table1[[#This Row],[Umowa]])</f>
        <v>UM-CEN-01</v>
      </c>
      <c r="J2528" s="2" t="b">
        <f>ISTEXT(Table14[[#This Row],[Data_Wystawienia]])</f>
        <v>0</v>
      </c>
      <c r="K2528" s="2">
        <f>VALUE(SUBSTITUTE(Table14[[#This Row],[Wartość]],".",","))</f>
        <v>13934.43</v>
      </c>
      <c r="L25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8" s="2" t="str">
        <f>IF(Table14[[#This Row],[Umowa]]="","Poza umową","Z umowy")</f>
        <v>Z umowy</v>
      </c>
      <c r="N2528" s="2">
        <f>YEAR(Table14[[#This Row],[Data_Wystawienia]])</f>
        <v>2024</v>
      </c>
      <c r="O2528" s="2" t="str">
        <f>TEXT(Table14[[#This Row],[Data_Wystawienia]],"rrrr-mm")</f>
        <v>2024-07</v>
      </c>
      <c r="P2528" s="2">
        <v>1</v>
      </c>
    </row>
    <row r="2529" spans="1:16" x14ac:dyDescent="0.3">
      <c r="A2529" s="2" t="str">
        <f>TRIM(Table1[[#This Row],[Numer_FV]])</f>
        <v>FV/15/PP/7315/24</v>
      </c>
      <c r="B2529" s="2" t="str">
        <f>TRIM(Table1[[#This Row],[Numer_PZ]])</f>
        <v>PZ/802527</v>
      </c>
      <c r="C2529" s="2" t="str">
        <f>TRIM(Table1[[#This Row],[Dostawca]])</f>
        <v>PharmaPlus</v>
      </c>
      <c r="D2529" s="3">
        <v>45496</v>
      </c>
      <c r="E2529" s="4" t="s">
        <v>7473</v>
      </c>
      <c r="F2529" s="2" t="str">
        <f>TRIM(Table1[[#This Row],[Status]])</f>
        <v>Zaakceptowana</v>
      </c>
      <c r="G2529" s="2" t="str">
        <f>TRIM(Table1[[#This Row],[Typ]])</f>
        <v>Faktura VAT</v>
      </c>
      <c r="H2529" s="2" t="str">
        <f>TRIM(Table1[[#This Row],[Magazyn]])</f>
        <v>Apteka Szpitalna</v>
      </c>
      <c r="I2529" s="2" t="str">
        <f>TRIM(Table1[[#This Row],[Umowa]])</f>
        <v>UM-PHA-01</v>
      </c>
      <c r="J2529" s="2" t="b">
        <f>ISTEXT(Table14[[#This Row],[Data_Wystawienia]])</f>
        <v>0</v>
      </c>
      <c r="K2529" s="2">
        <f>VALUE(SUBSTITUTE(Table14[[#This Row],[Wartość]],".",","))</f>
        <v>18140.05</v>
      </c>
      <c r="L25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29" s="2" t="str">
        <f>IF(Table14[[#This Row],[Umowa]]="","Poza umową","Z umowy")</f>
        <v>Z umowy</v>
      </c>
      <c r="N2529" s="2">
        <f>YEAR(Table14[[#This Row],[Data_Wystawienia]])</f>
        <v>2024</v>
      </c>
      <c r="O2529" s="2" t="str">
        <f>TEXT(Table14[[#This Row],[Data_Wystawienia]],"rrrr-mm")</f>
        <v>2024-07</v>
      </c>
      <c r="P2529" s="2">
        <v>1</v>
      </c>
    </row>
    <row r="2530" spans="1:16" x14ac:dyDescent="0.3">
      <c r="A2530" s="2" t="str">
        <f>TRIM(Table1[[#This Row],[Numer_FV]])</f>
        <v>FV/M/6928/P/24</v>
      </c>
      <c r="B2530" s="2" t="str">
        <f>TRIM(Table1[[#This Row],[Numer_PZ]])</f>
        <v>PZ/802528</v>
      </c>
      <c r="C2530" s="2" t="str">
        <f>TRIM(Table1[[#This Row],[Dostawca]])</f>
        <v>MedicaPharm</v>
      </c>
      <c r="D2530" s="3">
        <v>45496</v>
      </c>
      <c r="E2530" s="4" t="s">
        <v>7476</v>
      </c>
      <c r="F2530" s="2" t="str">
        <f>TRIM(Table1[[#This Row],[Status]])</f>
        <v>Zaakceptowana</v>
      </c>
      <c r="G2530" s="2" t="str">
        <f>TRIM(Table1[[#This Row],[Typ]])</f>
        <v>Faktura VAT</v>
      </c>
      <c r="H2530" s="2" t="str">
        <f>TRIM(Table1[[#This Row],[Magazyn]])</f>
        <v>Apteka Szpitalna</v>
      </c>
      <c r="I2530" s="2" t="str">
        <f>TRIM(Table1[[#This Row],[Umowa]])</f>
        <v>UM-MED-01</v>
      </c>
      <c r="J2530" s="2" t="b">
        <f>ISTEXT(Table14[[#This Row],[Data_Wystawienia]])</f>
        <v>0</v>
      </c>
      <c r="K2530" s="2">
        <f>VALUE(SUBSTITUTE(Table14[[#This Row],[Wartość]],".",","))</f>
        <v>23816.55</v>
      </c>
      <c r="L25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0" s="2" t="str">
        <f>IF(Table14[[#This Row],[Umowa]]="","Poza umową","Z umowy")</f>
        <v>Z umowy</v>
      </c>
      <c r="N2530" s="2">
        <f>YEAR(Table14[[#This Row],[Data_Wystawienia]])</f>
        <v>2024</v>
      </c>
      <c r="O2530" s="2" t="str">
        <f>TEXT(Table14[[#This Row],[Data_Wystawienia]],"rrrr-mm")</f>
        <v>2024-07</v>
      </c>
      <c r="P2530" s="2">
        <v>1</v>
      </c>
    </row>
    <row r="2531" spans="1:16" x14ac:dyDescent="0.3">
      <c r="A2531" s="2" t="str">
        <f>TRIM(Table1[[#This Row],[Numer_FV]])</f>
        <v>FV/6249HM/24</v>
      </c>
      <c r="B2531" s="2" t="str">
        <f>TRIM(Table1[[#This Row],[Numer_PZ]])</f>
        <v>PZ/802529</v>
      </c>
      <c r="C2531" s="2" t="str">
        <f>TRIM(Table1[[#This Row],[Dostawca]])</f>
        <v>HurtMedix</v>
      </c>
      <c r="D2531" s="3">
        <v>45497</v>
      </c>
      <c r="E2531" s="4" t="s">
        <v>7479</v>
      </c>
      <c r="F2531" s="2" t="str">
        <f>TRIM(Table1[[#This Row],[Status]])</f>
        <v>Zaakceptowana</v>
      </c>
      <c r="G2531" s="2" t="str">
        <f>TRIM(Table1[[#This Row],[Typ]])</f>
        <v>Faktura VAT</v>
      </c>
      <c r="H2531" s="2" t="str">
        <f>TRIM(Table1[[#This Row],[Magazyn]])</f>
        <v>Apteka Szpitalna</v>
      </c>
      <c r="I2531" s="2" t="str">
        <f>TRIM(Table1[[#This Row],[Umowa]])</f>
        <v>UM-HUR-01</v>
      </c>
      <c r="J2531" s="2" t="b">
        <f>ISTEXT(Table14[[#This Row],[Data_Wystawienia]])</f>
        <v>0</v>
      </c>
      <c r="K2531" s="2">
        <f>VALUE(SUBSTITUTE(Table14[[#This Row],[Wartość]],".",","))</f>
        <v>14402.59</v>
      </c>
      <c r="L25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1" s="2" t="str">
        <f>IF(Table14[[#This Row],[Umowa]]="","Poza umową","Z umowy")</f>
        <v>Z umowy</v>
      </c>
      <c r="N2531" s="2">
        <f>YEAR(Table14[[#This Row],[Data_Wystawienia]])</f>
        <v>2024</v>
      </c>
      <c r="O2531" s="2" t="str">
        <f>TEXT(Table14[[#This Row],[Data_Wystawienia]],"rrrr-mm")</f>
        <v>2024-07</v>
      </c>
      <c r="P2531" s="2">
        <v>1</v>
      </c>
    </row>
    <row r="2532" spans="1:16" x14ac:dyDescent="0.3">
      <c r="A2532" s="2" t="str">
        <f>TRIM(Table1[[#This Row],[Numer_FV]])</f>
        <v>FV/M/9630/P/24</v>
      </c>
      <c r="B2532" s="2" t="str">
        <f>TRIM(Table1[[#This Row],[Numer_PZ]])</f>
        <v>PZ/802530</v>
      </c>
      <c r="C2532" s="2" t="str">
        <f>TRIM(Table1[[#This Row],[Dostawca]])</f>
        <v>MedicaPharm</v>
      </c>
      <c r="D2532" s="3">
        <v>45497</v>
      </c>
      <c r="E2532" s="4" t="s">
        <v>7482</v>
      </c>
      <c r="F2532" s="2" t="str">
        <f>TRIM(Table1[[#This Row],[Status]])</f>
        <v>Zaakceptowana</v>
      </c>
      <c r="G2532" s="2" t="str">
        <f>TRIM(Table1[[#This Row],[Typ]])</f>
        <v>Faktura VAT</v>
      </c>
      <c r="H2532" s="2" t="str">
        <f>TRIM(Table1[[#This Row],[Magazyn]])</f>
        <v>Apteka Szpitalna</v>
      </c>
      <c r="I2532" s="2" t="str">
        <f>TRIM(Table1[[#This Row],[Umowa]])</f>
        <v>UM-MED-02</v>
      </c>
      <c r="J2532" s="2" t="b">
        <f>ISTEXT(Table14[[#This Row],[Data_Wystawienia]])</f>
        <v>0</v>
      </c>
      <c r="K2532" s="2">
        <f>VALUE(SUBSTITUTE(Table14[[#This Row],[Wartość]],".",","))</f>
        <v>13556.22</v>
      </c>
      <c r="L25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2" s="2" t="str">
        <f>IF(Table14[[#This Row],[Umowa]]="","Poza umową","Z umowy")</f>
        <v>Z umowy</v>
      </c>
      <c r="N2532" s="2">
        <f>YEAR(Table14[[#This Row],[Data_Wystawienia]])</f>
        <v>2024</v>
      </c>
      <c r="O2532" s="2" t="str">
        <f>TEXT(Table14[[#This Row],[Data_Wystawienia]],"rrrr-mm")</f>
        <v>2024-07</v>
      </c>
      <c r="P2532" s="2">
        <v>1</v>
      </c>
    </row>
    <row r="2533" spans="1:16" x14ac:dyDescent="0.3">
      <c r="A2533" s="2" t="str">
        <f>TRIM(Table1[[#This Row],[Numer_FV]])</f>
        <v>FV/POL/46635/2024</v>
      </c>
      <c r="B2533" s="2" t="str">
        <f>TRIM(Table1[[#This Row],[Numer_PZ]])</f>
        <v>PZ/802531</v>
      </c>
      <c r="C2533" s="2" t="str">
        <f>TRIM(Table1[[#This Row],[Dostawca]])</f>
        <v>Polmedica</v>
      </c>
      <c r="D2533" s="3">
        <v>45497</v>
      </c>
      <c r="E2533" s="4" t="s">
        <v>7485</v>
      </c>
      <c r="F2533" s="2" t="str">
        <f>TRIM(Table1[[#This Row],[Status]])</f>
        <v>Zaakceptowana</v>
      </c>
      <c r="G2533" s="2" t="str">
        <f>TRIM(Table1[[#This Row],[Typ]])</f>
        <v>Faktura VAT</v>
      </c>
      <c r="H2533" s="2" t="str">
        <f>TRIM(Table1[[#This Row],[Magazyn]])</f>
        <v>Apteka Szpitalna</v>
      </c>
      <c r="I2533" s="2" t="str">
        <f>TRIM(Table1[[#This Row],[Umowa]])</f>
        <v/>
      </c>
      <c r="J2533" s="2" t="b">
        <f>ISTEXT(Table14[[#This Row],[Data_Wystawienia]])</f>
        <v>0</v>
      </c>
      <c r="K2533" s="2">
        <f>VALUE(SUBSTITUTE(Table14[[#This Row],[Wartość]],".",","))</f>
        <v>16551.54</v>
      </c>
      <c r="L25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3" s="2" t="str">
        <f>IF(Table14[[#This Row],[Umowa]]="","Poza umową","Z umowy")</f>
        <v>Poza umową</v>
      </c>
      <c r="N2533" s="2">
        <f>YEAR(Table14[[#This Row],[Data_Wystawienia]])</f>
        <v>2024</v>
      </c>
      <c r="O2533" s="2" t="str">
        <f>TEXT(Table14[[#This Row],[Data_Wystawienia]],"rrrr-mm")</f>
        <v>2024-07</v>
      </c>
      <c r="P2533" s="2">
        <v>1</v>
      </c>
    </row>
    <row r="2534" spans="1:16" x14ac:dyDescent="0.3">
      <c r="A2534" s="2" t="str">
        <f>TRIM(Table1[[#This Row],[Numer_FV]])</f>
        <v>FV/45/SAL/24</v>
      </c>
      <c r="B2534" s="2" t="str">
        <f>TRIM(Table1[[#This Row],[Numer_PZ]])</f>
        <v>PZ/802532</v>
      </c>
      <c r="C2534" s="2" t="str">
        <f>TRIM(Table1[[#This Row],[Dostawca]])</f>
        <v>SalusHurt</v>
      </c>
      <c r="D2534" s="3">
        <v>45497</v>
      </c>
      <c r="E2534" s="4" t="s">
        <v>7488</v>
      </c>
      <c r="F2534" s="2" t="str">
        <f>TRIM(Table1[[#This Row],[Status]])</f>
        <v>Zaakceptowana</v>
      </c>
      <c r="G2534" s="2" t="str">
        <f>TRIM(Table1[[#This Row],[Typ]])</f>
        <v>Faktura VAT</v>
      </c>
      <c r="H2534" s="2" t="str">
        <f>TRIM(Table1[[#This Row],[Magazyn]])</f>
        <v>Apteka Szpitalna</v>
      </c>
      <c r="I2534" s="2" t="str">
        <f>TRIM(Table1[[#This Row],[Umowa]])</f>
        <v>UM-SAL-01</v>
      </c>
      <c r="J2534" s="2" t="b">
        <f>ISTEXT(Table14[[#This Row],[Data_Wystawienia]])</f>
        <v>0</v>
      </c>
      <c r="K2534" s="2">
        <f>VALUE(SUBSTITUTE(Table14[[#This Row],[Wartość]],".",","))</f>
        <v>16734.63</v>
      </c>
      <c r="L25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4" s="2" t="str">
        <f>IF(Table14[[#This Row],[Umowa]]="","Poza umową","Z umowy")</f>
        <v>Z umowy</v>
      </c>
      <c r="N2534" s="2">
        <f>YEAR(Table14[[#This Row],[Data_Wystawienia]])</f>
        <v>2024</v>
      </c>
      <c r="O2534" s="2" t="str">
        <f>TEXT(Table14[[#This Row],[Data_Wystawienia]],"rrrr-mm")</f>
        <v>2024-07</v>
      </c>
      <c r="P2534" s="2">
        <v>1</v>
      </c>
    </row>
    <row r="2535" spans="1:16" x14ac:dyDescent="0.3">
      <c r="A2535" s="2" t="str">
        <f>TRIM(Table1[[#This Row],[Numer_FV]])</f>
        <v>FV/CENFA/836435/24</v>
      </c>
      <c r="B2535" s="2" t="str">
        <f>TRIM(Table1[[#This Row],[Numer_PZ]])</f>
        <v>PZ/802533</v>
      </c>
      <c r="C2535" s="2" t="str">
        <f>TRIM(Table1[[#This Row],[Dostawca]])</f>
        <v>CentrumFarm</v>
      </c>
      <c r="D2535" s="3">
        <v>45497</v>
      </c>
      <c r="E2535" s="4" t="s">
        <v>7491</v>
      </c>
      <c r="F2535" s="2" t="str">
        <f>TRIM(Table1[[#This Row],[Status]])</f>
        <v>Zaakceptowana</v>
      </c>
      <c r="G2535" s="2" t="str">
        <f>TRIM(Table1[[#This Row],[Typ]])</f>
        <v>Faktura VAT</v>
      </c>
      <c r="H2535" s="2" t="str">
        <f>TRIM(Table1[[#This Row],[Magazyn]])</f>
        <v>Apteka Szpitalna</v>
      </c>
      <c r="I2535" s="2" t="str">
        <f>TRIM(Table1[[#This Row],[Umowa]])</f>
        <v>UM-CEN-01</v>
      </c>
      <c r="J2535" s="2" t="b">
        <f>ISTEXT(Table14[[#This Row],[Data_Wystawienia]])</f>
        <v>0</v>
      </c>
      <c r="K2535" s="2">
        <f>VALUE(SUBSTITUTE(Table14[[#This Row],[Wartość]],".",","))</f>
        <v>18584.04</v>
      </c>
      <c r="L25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5" s="2" t="str">
        <f>IF(Table14[[#This Row],[Umowa]]="","Poza umową","Z umowy")</f>
        <v>Z umowy</v>
      </c>
      <c r="N2535" s="2">
        <f>YEAR(Table14[[#This Row],[Data_Wystawienia]])</f>
        <v>2024</v>
      </c>
      <c r="O2535" s="2" t="str">
        <f>TEXT(Table14[[#This Row],[Data_Wystawienia]],"rrrr-mm")</f>
        <v>2024-07</v>
      </c>
      <c r="P2535" s="2">
        <v>1</v>
      </c>
    </row>
    <row r="2536" spans="1:16" x14ac:dyDescent="0.3">
      <c r="A2536" s="2" t="str">
        <f>TRIM(Table1[[#This Row],[Numer_FV]])</f>
        <v>FV/86721/VDb/2024</v>
      </c>
      <c r="B2536" s="2" t="str">
        <f>TRIM(Table1[[#This Row],[Numer_PZ]])</f>
        <v>PZ/802534</v>
      </c>
      <c r="C2536" s="2" t="str">
        <f>TRIM(Table1[[#This Row],[Dostawca]])</f>
        <v>VitaDistrib</v>
      </c>
      <c r="D2536" s="3">
        <v>45497</v>
      </c>
      <c r="E2536" s="4" t="s">
        <v>7494</v>
      </c>
      <c r="F2536" s="2" t="str">
        <f>TRIM(Table1[[#This Row],[Status]])</f>
        <v>Zaakceptowana</v>
      </c>
      <c r="G2536" s="2" t="str">
        <f>TRIM(Table1[[#This Row],[Typ]])</f>
        <v>Faktura VAT</v>
      </c>
      <c r="H2536" s="2" t="str">
        <f>TRIM(Table1[[#This Row],[Magazyn]])</f>
        <v>Apteka Szpitalna</v>
      </c>
      <c r="I2536" s="2" t="str">
        <f>TRIM(Table1[[#This Row],[Umowa]])</f>
        <v>UM-VIT-01</v>
      </c>
      <c r="J2536" s="2" t="b">
        <f>ISTEXT(Table14[[#This Row],[Data_Wystawienia]])</f>
        <v>0</v>
      </c>
      <c r="K2536" s="2">
        <f>VALUE(SUBSTITUTE(Table14[[#This Row],[Wartość]],".",","))</f>
        <v>12113.34</v>
      </c>
      <c r="L25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6" s="2" t="str">
        <f>IF(Table14[[#This Row],[Umowa]]="","Poza umową","Z umowy")</f>
        <v>Z umowy</v>
      </c>
      <c r="N2536" s="2">
        <f>YEAR(Table14[[#This Row],[Data_Wystawienia]])</f>
        <v>2024</v>
      </c>
      <c r="O2536" s="2" t="str">
        <f>TEXT(Table14[[#This Row],[Data_Wystawienia]],"rrrr-mm")</f>
        <v>2024-07</v>
      </c>
      <c r="P2536" s="2">
        <v>1</v>
      </c>
    </row>
    <row r="2537" spans="1:16" x14ac:dyDescent="0.3">
      <c r="A2537" s="2" t="str">
        <f>TRIM(Table1[[#This Row],[Numer_FV]])</f>
        <v>FV/POL/15904/2024</v>
      </c>
      <c r="B2537" s="2" t="str">
        <f>TRIM(Table1[[#This Row],[Numer_PZ]])</f>
        <v>PZ/802535</v>
      </c>
      <c r="C2537" s="2" t="str">
        <f>TRIM(Table1[[#This Row],[Dostawca]])</f>
        <v>Polmedica</v>
      </c>
      <c r="D2537" s="3">
        <v>45497</v>
      </c>
      <c r="E2537" s="4" t="s">
        <v>7497</v>
      </c>
      <c r="F2537" s="2" t="str">
        <f>TRIM(Table1[[#This Row],[Status]])</f>
        <v>Zaakceptowana</v>
      </c>
      <c r="G2537" s="2" t="str">
        <f>TRIM(Table1[[#This Row],[Typ]])</f>
        <v>Faktura VAT</v>
      </c>
      <c r="H2537" s="2" t="str">
        <f>TRIM(Table1[[#This Row],[Magazyn]])</f>
        <v>Apteka Szpitalna</v>
      </c>
      <c r="I2537" s="2" t="str">
        <f>TRIM(Table1[[#This Row],[Umowa]])</f>
        <v>UM-POL-02</v>
      </c>
      <c r="J2537" s="2" t="b">
        <f>ISTEXT(Table14[[#This Row],[Data_Wystawienia]])</f>
        <v>0</v>
      </c>
      <c r="K2537" s="2">
        <f>VALUE(SUBSTITUTE(Table14[[#This Row],[Wartość]],".",","))</f>
        <v>16847.939999999999</v>
      </c>
      <c r="L25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7" s="2" t="str">
        <f>IF(Table14[[#This Row],[Umowa]]="","Poza umową","Z umowy")</f>
        <v>Z umowy</v>
      </c>
      <c r="N2537" s="2">
        <f>YEAR(Table14[[#This Row],[Data_Wystawienia]])</f>
        <v>2024</v>
      </c>
      <c r="O2537" s="2" t="str">
        <f>TEXT(Table14[[#This Row],[Data_Wystawienia]],"rrrr-mm")</f>
        <v>2024-07</v>
      </c>
      <c r="P2537" s="2">
        <v>1</v>
      </c>
    </row>
    <row r="2538" spans="1:16" x14ac:dyDescent="0.3">
      <c r="A2538" s="2" t="str">
        <f>TRIM(Table1[[#This Row],[Numer_FV]])</f>
        <v>FV/63/SAL/24</v>
      </c>
      <c r="B2538" s="2" t="str">
        <f>TRIM(Table1[[#This Row],[Numer_PZ]])</f>
        <v>PZ/802536</v>
      </c>
      <c r="C2538" s="2" t="str">
        <f>TRIM(Table1[[#This Row],[Dostawca]])</f>
        <v>SalusHurt</v>
      </c>
      <c r="D2538" s="3">
        <v>45498</v>
      </c>
      <c r="E2538" s="4" t="s">
        <v>7499</v>
      </c>
      <c r="F2538" s="2" t="str">
        <f>TRIM(Table1[[#This Row],[Status]])</f>
        <v>Zaakceptowana</v>
      </c>
      <c r="G2538" s="2" t="str">
        <f>TRIM(Table1[[#This Row],[Typ]])</f>
        <v>Faktura VAT</v>
      </c>
      <c r="H2538" s="2" t="str">
        <f>TRIM(Table1[[#This Row],[Magazyn]])</f>
        <v>Apteka Szpitalna</v>
      </c>
      <c r="I2538" s="2" t="str">
        <f>TRIM(Table1[[#This Row],[Umowa]])</f>
        <v>UM-SAL-02</v>
      </c>
      <c r="J2538" s="2" t="b">
        <f>ISTEXT(Table14[[#This Row],[Data_Wystawienia]])</f>
        <v>0</v>
      </c>
      <c r="K2538" s="2">
        <f>VALUE(SUBSTITUTE(Table14[[#This Row],[Wartość]],".",","))</f>
        <v>18319.64</v>
      </c>
      <c r="L25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8" s="2" t="str">
        <f>IF(Table14[[#This Row],[Umowa]]="","Poza umową","Z umowy")</f>
        <v>Z umowy</v>
      </c>
      <c r="N2538" s="2">
        <f>YEAR(Table14[[#This Row],[Data_Wystawienia]])</f>
        <v>2024</v>
      </c>
      <c r="O2538" s="2" t="str">
        <f>TEXT(Table14[[#This Row],[Data_Wystawienia]],"rrrr-mm")</f>
        <v>2024-07</v>
      </c>
      <c r="P2538" s="2">
        <v>1</v>
      </c>
    </row>
    <row r="2539" spans="1:16" x14ac:dyDescent="0.3">
      <c r="A2539" s="2" t="str">
        <f>TRIM(Table1[[#This Row],[Numer_FV]])</f>
        <v>FV/36/SAL/24</v>
      </c>
      <c r="B2539" s="2" t="str">
        <f>TRIM(Table1[[#This Row],[Numer_PZ]])</f>
        <v>PZ/802537</v>
      </c>
      <c r="C2539" s="2" t="str">
        <f>TRIM(Table1[[#This Row],[Dostawca]])</f>
        <v>SalusHurt</v>
      </c>
      <c r="D2539" s="3">
        <v>45498</v>
      </c>
      <c r="E2539" s="4" t="s">
        <v>7501</v>
      </c>
      <c r="F2539" s="2" t="str">
        <f>TRIM(Table1[[#This Row],[Status]])</f>
        <v>Zaakceptowana</v>
      </c>
      <c r="G2539" s="2" t="str">
        <f>TRIM(Table1[[#This Row],[Typ]])</f>
        <v>Faktura VAT</v>
      </c>
      <c r="H2539" s="2" t="str">
        <f>TRIM(Table1[[#This Row],[Magazyn]])</f>
        <v>Apteka Szpitalna</v>
      </c>
      <c r="I2539" s="2" t="str">
        <f>TRIM(Table1[[#This Row],[Umowa]])</f>
        <v>UM-SAL-02</v>
      </c>
      <c r="J2539" s="2" t="b">
        <f>ISTEXT(Table14[[#This Row],[Data_Wystawienia]])</f>
        <v>0</v>
      </c>
      <c r="K2539" s="2">
        <f>VALUE(SUBSTITUTE(Table14[[#This Row],[Wartość]],".",","))</f>
        <v>11163.97</v>
      </c>
      <c r="L25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39" s="2" t="str">
        <f>IF(Table14[[#This Row],[Umowa]]="","Poza umową","Z umowy")</f>
        <v>Z umowy</v>
      </c>
      <c r="N2539" s="2">
        <f>YEAR(Table14[[#This Row],[Data_Wystawienia]])</f>
        <v>2024</v>
      </c>
      <c r="O2539" s="2" t="str">
        <f>TEXT(Table14[[#This Row],[Data_Wystawienia]],"rrrr-mm")</f>
        <v>2024-07</v>
      </c>
      <c r="P2539" s="2">
        <v>1</v>
      </c>
    </row>
    <row r="2540" spans="1:16" x14ac:dyDescent="0.3">
      <c r="A2540" s="2" t="str">
        <f>TRIM(Table1[[#This Row],[Numer_FV]])</f>
        <v>FV/2743/NOVA/24</v>
      </c>
      <c r="B2540" s="2" t="str">
        <f>TRIM(Table1[[#This Row],[Numer_PZ]])</f>
        <v>PZ/802538</v>
      </c>
      <c r="C2540" s="2" t="str">
        <f>TRIM(Table1[[#This Row],[Dostawca]])</f>
        <v>NovaLek</v>
      </c>
      <c r="D2540" s="3">
        <v>45498</v>
      </c>
      <c r="E2540" s="4" t="s">
        <v>7504</v>
      </c>
      <c r="F2540" s="2" t="str">
        <f>TRIM(Table1[[#This Row],[Status]])</f>
        <v>Zaakceptowana</v>
      </c>
      <c r="G2540" s="2" t="str">
        <f>TRIM(Table1[[#This Row],[Typ]])</f>
        <v>Faktura VAT</v>
      </c>
      <c r="H2540" s="2" t="str">
        <f>TRIM(Table1[[#This Row],[Magazyn]])</f>
        <v>Apteka Szpitalna</v>
      </c>
      <c r="I2540" s="2" t="str">
        <f>TRIM(Table1[[#This Row],[Umowa]])</f>
        <v>UM-NOV-02</v>
      </c>
      <c r="J2540" s="2" t="b">
        <f>ISTEXT(Table14[[#This Row],[Data_Wystawienia]])</f>
        <v>0</v>
      </c>
      <c r="K2540" s="2">
        <f>VALUE(SUBSTITUTE(Table14[[#This Row],[Wartość]],".",","))</f>
        <v>18653.009999999998</v>
      </c>
      <c r="L25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0" s="2" t="str">
        <f>IF(Table14[[#This Row],[Umowa]]="","Poza umową","Z umowy")</f>
        <v>Z umowy</v>
      </c>
      <c r="N2540" s="2">
        <f>YEAR(Table14[[#This Row],[Data_Wystawienia]])</f>
        <v>2024</v>
      </c>
      <c r="O2540" s="2" t="str">
        <f>TEXT(Table14[[#This Row],[Data_Wystawienia]],"rrrr-mm")</f>
        <v>2024-07</v>
      </c>
      <c r="P2540" s="2">
        <v>1</v>
      </c>
    </row>
    <row r="2541" spans="1:16" x14ac:dyDescent="0.3">
      <c r="A2541" s="2" t="str">
        <f>TRIM(Table1[[#This Row],[Numer_FV]])</f>
        <v>FV/CENFA/603650/24</v>
      </c>
      <c r="B2541" s="2" t="str">
        <f>TRIM(Table1[[#This Row],[Numer_PZ]])</f>
        <v>PZ/802539</v>
      </c>
      <c r="C2541" s="2" t="str">
        <f>TRIM(Table1[[#This Row],[Dostawca]])</f>
        <v>CentrumFarm</v>
      </c>
      <c r="D2541" s="3">
        <v>45498</v>
      </c>
      <c r="E2541" s="4" t="s">
        <v>7507</v>
      </c>
      <c r="F2541" s="2" t="str">
        <f>TRIM(Table1[[#This Row],[Status]])</f>
        <v>Zaakceptowana</v>
      </c>
      <c r="G2541" s="2" t="str">
        <f>TRIM(Table1[[#This Row],[Typ]])</f>
        <v>Faktura VAT</v>
      </c>
      <c r="H2541" s="2" t="str">
        <f>TRIM(Table1[[#This Row],[Magazyn]])</f>
        <v>Apteka Szpitalna</v>
      </c>
      <c r="I2541" s="2" t="str">
        <f>TRIM(Table1[[#This Row],[Umowa]])</f>
        <v/>
      </c>
      <c r="J2541" s="2" t="b">
        <f>ISTEXT(Table14[[#This Row],[Data_Wystawienia]])</f>
        <v>0</v>
      </c>
      <c r="K2541" s="2">
        <f>VALUE(SUBSTITUTE(Table14[[#This Row],[Wartość]],".",","))</f>
        <v>10055.59</v>
      </c>
      <c r="L25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1" s="2" t="str">
        <f>IF(Table14[[#This Row],[Umowa]]="","Poza umową","Z umowy")</f>
        <v>Poza umową</v>
      </c>
      <c r="N2541" s="2">
        <f>YEAR(Table14[[#This Row],[Data_Wystawienia]])</f>
        <v>2024</v>
      </c>
      <c r="O2541" s="2" t="str">
        <f>TEXT(Table14[[#This Row],[Data_Wystawienia]],"rrrr-mm")</f>
        <v>2024-07</v>
      </c>
      <c r="P2541" s="2">
        <v>1</v>
      </c>
    </row>
    <row r="2542" spans="1:16" x14ac:dyDescent="0.3">
      <c r="A2542" s="2" t="str">
        <f>TRIM(Table1[[#This Row],[Numer_FV]])</f>
        <v>FV/8086/NOVA/24</v>
      </c>
      <c r="B2542" s="2" t="str">
        <f>TRIM(Table1[[#This Row],[Numer_PZ]])</f>
        <v>PZ/802540</v>
      </c>
      <c r="C2542" s="2" t="str">
        <f>TRIM(Table1[[#This Row],[Dostawca]])</f>
        <v>NovaLek</v>
      </c>
      <c r="D2542" s="3">
        <v>45498</v>
      </c>
      <c r="E2542" s="4" t="s">
        <v>7510</v>
      </c>
      <c r="F2542" s="2" t="str">
        <f>TRIM(Table1[[#This Row],[Status]])</f>
        <v>Zaakceptowana</v>
      </c>
      <c r="G2542" s="2" t="str">
        <f>TRIM(Table1[[#This Row],[Typ]])</f>
        <v>Faktura VAT</v>
      </c>
      <c r="H2542" s="2" t="str">
        <f>TRIM(Table1[[#This Row],[Magazyn]])</f>
        <v>Apteka Szpitalna</v>
      </c>
      <c r="I2542" s="2" t="str">
        <f>TRIM(Table1[[#This Row],[Umowa]])</f>
        <v/>
      </c>
      <c r="J2542" s="2" t="b">
        <f>ISTEXT(Table14[[#This Row],[Data_Wystawienia]])</f>
        <v>0</v>
      </c>
      <c r="K2542" s="2">
        <f>VALUE(SUBSTITUTE(Table14[[#This Row],[Wartość]],".",","))</f>
        <v>15300.73</v>
      </c>
      <c r="L25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2" s="2" t="str">
        <f>IF(Table14[[#This Row],[Umowa]]="","Poza umową","Z umowy")</f>
        <v>Poza umową</v>
      </c>
      <c r="N2542" s="2">
        <f>YEAR(Table14[[#This Row],[Data_Wystawienia]])</f>
        <v>2024</v>
      </c>
      <c r="O2542" s="2" t="str">
        <f>TEXT(Table14[[#This Row],[Data_Wystawienia]],"rrrr-mm")</f>
        <v>2024-07</v>
      </c>
      <c r="P2542" s="2">
        <v>1</v>
      </c>
    </row>
    <row r="2543" spans="1:16" x14ac:dyDescent="0.3">
      <c r="A2543" s="2" t="str">
        <f>TRIM(Table1[[#This Row],[Numer_FV]])</f>
        <v>FV/POL/29289/2024</v>
      </c>
      <c r="B2543" s="2" t="str">
        <f>TRIM(Table1[[#This Row],[Numer_PZ]])</f>
        <v>PZ/802541</v>
      </c>
      <c r="C2543" s="2" t="str">
        <f>TRIM(Table1[[#This Row],[Dostawca]])</f>
        <v>Polmedica</v>
      </c>
      <c r="D2543" s="3">
        <v>45498</v>
      </c>
      <c r="E2543" s="4" t="s">
        <v>7513</v>
      </c>
      <c r="F2543" s="2" t="str">
        <f>TRIM(Table1[[#This Row],[Status]])</f>
        <v>Zaakceptowana</v>
      </c>
      <c r="G2543" s="2" t="str">
        <f>TRIM(Table1[[#This Row],[Typ]])</f>
        <v>Faktura VAT</v>
      </c>
      <c r="H2543" s="2" t="str">
        <f>TRIM(Table1[[#This Row],[Magazyn]])</f>
        <v>Apteka Szpitalna</v>
      </c>
      <c r="I2543" s="2" t="str">
        <f>TRIM(Table1[[#This Row],[Umowa]])</f>
        <v>UM-POL-03</v>
      </c>
      <c r="J2543" s="2" t="b">
        <f>ISTEXT(Table14[[#This Row],[Data_Wystawienia]])</f>
        <v>0</v>
      </c>
      <c r="K2543" s="2">
        <f>VALUE(SUBSTITUTE(Table14[[#This Row],[Wartość]],".",","))</f>
        <v>9323.14</v>
      </c>
      <c r="L25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3" s="2" t="str">
        <f>IF(Table14[[#This Row],[Umowa]]="","Poza umową","Z umowy")</f>
        <v>Z umowy</v>
      </c>
      <c r="N2543" s="2">
        <f>YEAR(Table14[[#This Row],[Data_Wystawienia]])</f>
        <v>2024</v>
      </c>
      <c r="O2543" s="2" t="str">
        <f>TEXT(Table14[[#This Row],[Data_Wystawienia]],"rrrr-mm")</f>
        <v>2024-07</v>
      </c>
      <c r="P2543" s="2">
        <v>1</v>
      </c>
    </row>
    <row r="2544" spans="1:16" x14ac:dyDescent="0.3">
      <c r="A2544" s="2" t="str">
        <f>TRIM(Table1[[#This Row],[Numer_FV]])</f>
        <v>FV/POL/73642/2024</v>
      </c>
      <c r="B2544" s="2" t="str">
        <f>TRIM(Table1[[#This Row],[Numer_PZ]])</f>
        <v>PZ/802542</v>
      </c>
      <c r="C2544" s="2" t="str">
        <f>TRIM(Table1[[#This Row],[Dostawca]])</f>
        <v>Polmedica</v>
      </c>
      <c r="D2544" s="3">
        <v>45499</v>
      </c>
      <c r="E2544" s="4" t="s">
        <v>7516</v>
      </c>
      <c r="F2544" s="2" t="str">
        <f>TRIM(Table1[[#This Row],[Status]])</f>
        <v>Zaakceptowana</v>
      </c>
      <c r="G2544" s="2" t="str">
        <f>TRIM(Table1[[#This Row],[Typ]])</f>
        <v>Faktura VAT</v>
      </c>
      <c r="H2544" s="2" t="str">
        <f>TRIM(Table1[[#This Row],[Magazyn]])</f>
        <v>Apteka Szpitalna</v>
      </c>
      <c r="I2544" s="2" t="str">
        <f>TRIM(Table1[[#This Row],[Umowa]])</f>
        <v>UM-POL-01</v>
      </c>
      <c r="J2544" s="2" t="b">
        <f>ISTEXT(Table14[[#This Row],[Data_Wystawienia]])</f>
        <v>0</v>
      </c>
      <c r="K2544" s="2">
        <f>VALUE(SUBSTITUTE(Table14[[#This Row],[Wartość]],".",","))</f>
        <v>17114.11</v>
      </c>
      <c r="L25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4" s="2" t="str">
        <f>IF(Table14[[#This Row],[Umowa]]="","Poza umową","Z umowy")</f>
        <v>Z umowy</v>
      </c>
      <c r="N2544" s="2">
        <f>YEAR(Table14[[#This Row],[Data_Wystawienia]])</f>
        <v>2024</v>
      </c>
      <c r="O2544" s="2" t="str">
        <f>TEXT(Table14[[#This Row],[Data_Wystawienia]],"rrrr-mm")</f>
        <v>2024-07</v>
      </c>
      <c r="P2544" s="2">
        <v>1</v>
      </c>
    </row>
    <row r="2545" spans="1:16" x14ac:dyDescent="0.3">
      <c r="A2545" s="2" t="str">
        <f>TRIM(Table1[[#This Row],[Numer_FV]])</f>
        <v>FV/62801/VDb/2024</v>
      </c>
      <c r="B2545" s="2" t="str">
        <f>TRIM(Table1[[#This Row],[Numer_PZ]])</f>
        <v>PZ/802543</v>
      </c>
      <c r="C2545" s="2" t="str">
        <f>TRIM(Table1[[#This Row],[Dostawca]])</f>
        <v>VitaDistrib</v>
      </c>
      <c r="D2545" s="3">
        <v>45499</v>
      </c>
      <c r="E2545" s="4" t="s">
        <v>7519</v>
      </c>
      <c r="F2545" s="2" t="str">
        <f>TRIM(Table1[[#This Row],[Status]])</f>
        <v>Zaakceptowana</v>
      </c>
      <c r="G2545" s="2" t="str">
        <f>TRIM(Table1[[#This Row],[Typ]])</f>
        <v>Faktura VAT</v>
      </c>
      <c r="H2545" s="2" t="str">
        <f>TRIM(Table1[[#This Row],[Magazyn]])</f>
        <v>Apteka Szpitalna</v>
      </c>
      <c r="I2545" s="2" t="str">
        <f>TRIM(Table1[[#This Row],[Umowa]])</f>
        <v>UM-VIT-01</v>
      </c>
      <c r="J2545" s="2" t="b">
        <f>ISTEXT(Table14[[#This Row],[Data_Wystawienia]])</f>
        <v>0</v>
      </c>
      <c r="K2545" s="2">
        <f>VALUE(SUBSTITUTE(Table14[[#This Row],[Wartość]],".",","))</f>
        <v>10197.98</v>
      </c>
      <c r="L25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5" s="2" t="str">
        <f>IF(Table14[[#This Row],[Umowa]]="","Poza umową","Z umowy")</f>
        <v>Z umowy</v>
      </c>
      <c r="N2545" s="2">
        <f>YEAR(Table14[[#This Row],[Data_Wystawienia]])</f>
        <v>2024</v>
      </c>
      <c r="O2545" s="2" t="str">
        <f>TEXT(Table14[[#This Row],[Data_Wystawienia]],"rrrr-mm")</f>
        <v>2024-07</v>
      </c>
      <c r="P2545" s="2">
        <v>1</v>
      </c>
    </row>
    <row r="2546" spans="1:16" x14ac:dyDescent="0.3">
      <c r="A2546" s="2" t="str">
        <f>TRIM(Table1[[#This Row],[Numer_FV]])</f>
        <v>FV/14091/VDb/2024</v>
      </c>
      <c r="B2546" s="2" t="str">
        <f>TRIM(Table1[[#This Row],[Numer_PZ]])</f>
        <v>PZ/802544</v>
      </c>
      <c r="C2546" s="2" t="str">
        <f>TRIM(Table1[[#This Row],[Dostawca]])</f>
        <v>VitaDistrib</v>
      </c>
      <c r="D2546" s="3">
        <v>45499</v>
      </c>
      <c r="E2546" s="4" t="s">
        <v>7522</v>
      </c>
      <c r="F2546" s="2" t="str">
        <f>TRIM(Table1[[#This Row],[Status]])</f>
        <v>Zaakceptowana</v>
      </c>
      <c r="G2546" s="2" t="str">
        <f>TRIM(Table1[[#This Row],[Typ]])</f>
        <v>Faktura VAT</v>
      </c>
      <c r="H2546" s="2" t="str">
        <f>TRIM(Table1[[#This Row],[Magazyn]])</f>
        <v>Apteka Szpitalna</v>
      </c>
      <c r="I2546" s="2" t="str">
        <f>TRIM(Table1[[#This Row],[Umowa]])</f>
        <v>UM-VIT-01</v>
      </c>
      <c r="J2546" s="2" t="b">
        <f>ISTEXT(Table14[[#This Row],[Data_Wystawienia]])</f>
        <v>0</v>
      </c>
      <c r="K2546" s="2">
        <f>VALUE(SUBSTITUTE(Table14[[#This Row],[Wartość]],".",","))</f>
        <v>8943.7999999999993</v>
      </c>
      <c r="L25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6" s="2" t="str">
        <f>IF(Table14[[#This Row],[Umowa]]="","Poza umową","Z umowy")</f>
        <v>Z umowy</v>
      </c>
      <c r="N2546" s="2">
        <f>YEAR(Table14[[#This Row],[Data_Wystawienia]])</f>
        <v>2024</v>
      </c>
      <c r="O2546" s="2" t="str">
        <f>TEXT(Table14[[#This Row],[Data_Wystawienia]],"rrrr-mm")</f>
        <v>2024-07</v>
      </c>
      <c r="P2546" s="2">
        <v>1</v>
      </c>
    </row>
    <row r="2547" spans="1:16" x14ac:dyDescent="0.3">
      <c r="A2547" s="2" t="str">
        <f>TRIM(Table1[[#This Row],[Numer_FV]])</f>
        <v>FV/12493/VDb/2024</v>
      </c>
      <c r="B2547" s="2" t="str">
        <f>TRIM(Table1[[#This Row],[Numer_PZ]])</f>
        <v>PZ/802545</v>
      </c>
      <c r="C2547" s="2" t="str">
        <f>TRIM(Table1[[#This Row],[Dostawca]])</f>
        <v>VitaDistrib</v>
      </c>
      <c r="D2547" s="3">
        <v>45499</v>
      </c>
      <c r="E2547" s="4" t="s">
        <v>7525</v>
      </c>
      <c r="F2547" s="2" t="str">
        <f>TRIM(Table1[[#This Row],[Status]])</f>
        <v>Zaakceptowana</v>
      </c>
      <c r="G2547" s="2" t="str">
        <f>TRIM(Table1[[#This Row],[Typ]])</f>
        <v>Faktura VAT</v>
      </c>
      <c r="H2547" s="2" t="str">
        <f>TRIM(Table1[[#This Row],[Magazyn]])</f>
        <v>Apteka Szpitalna</v>
      </c>
      <c r="I2547" s="2" t="str">
        <f>TRIM(Table1[[#This Row],[Umowa]])</f>
        <v>UM-VIT-01</v>
      </c>
      <c r="J2547" s="2" t="b">
        <f>ISTEXT(Table14[[#This Row],[Data_Wystawienia]])</f>
        <v>0</v>
      </c>
      <c r="K2547" s="2">
        <f>VALUE(SUBSTITUTE(Table14[[#This Row],[Wartość]],".",","))</f>
        <v>18768.64</v>
      </c>
      <c r="L25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7" s="2" t="str">
        <f>IF(Table14[[#This Row],[Umowa]]="","Poza umową","Z umowy")</f>
        <v>Z umowy</v>
      </c>
      <c r="N2547" s="2">
        <f>YEAR(Table14[[#This Row],[Data_Wystawienia]])</f>
        <v>2024</v>
      </c>
      <c r="O2547" s="2" t="str">
        <f>TEXT(Table14[[#This Row],[Data_Wystawienia]],"rrrr-mm")</f>
        <v>2024-07</v>
      </c>
      <c r="P2547" s="2">
        <v>1</v>
      </c>
    </row>
    <row r="2548" spans="1:16" x14ac:dyDescent="0.3">
      <c r="A2548" s="2" t="str">
        <f>TRIM(Table1[[#This Row],[Numer_FV]])</f>
        <v>FV/M/4471/P/24</v>
      </c>
      <c r="B2548" s="2" t="str">
        <f>TRIM(Table1[[#This Row],[Numer_PZ]])</f>
        <v>PZ/802546</v>
      </c>
      <c r="C2548" s="2" t="str">
        <f>TRIM(Table1[[#This Row],[Dostawca]])</f>
        <v>MedicaPharm</v>
      </c>
      <c r="D2548" s="3">
        <v>45500</v>
      </c>
      <c r="E2548" s="4" t="s">
        <v>7528</v>
      </c>
      <c r="F2548" s="2" t="str">
        <f>TRIM(Table1[[#This Row],[Status]])</f>
        <v>Zaakceptowana</v>
      </c>
      <c r="G2548" s="2" t="str">
        <f>TRIM(Table1[[#This Row],[Typ]])</f>
        <v>Faktura VAT</v>
      </c>
      <c r="H2548" s="2" t="str">
        <f>TRIM(Table1[[#This Row],[Magazyn]])</f>
        <v>Apteka Szpitalna</v>
      </c>
      <c r="I2548" s="2" t="str">
        <f>TRIM(Table1[[#This Row],[Umowa]])</f>
        <v>UM-MED-01</v>
      </c>
      <c r="J2548" s="2" t="b">
        <f>ISTEXT(Table14[[#This Row],[Data_Wystawienia]])</f>
        <v>0</v>
      </c>
      <c r="K2548" s="2">
        <f>VALUE(SUBSTITUTE(Table14[[#This Row],[Wartość]],".",","))</f>
        <v>18321.759999999998</v>
      </c>
      <c r="L25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8" s="2" t="str">
        <f>IF(Table14[[#This Row],[Umowa]]="","Poza umową","Z umowy")</f>
        <v>Z umowy</v>
      </c>
      <c r="N2548" s="2">
        <f>YEAR(Table14[[#This Row],[Data_Wystawienia]])</f>
        <v>2024</v>
      </c>
      <c r="O2548" s="2" t="str">
        <f>TEXT(Table14[[#This Row],[Data_Wystawienia]],"rrrr-mm")</f>
        <v>2024-07</v>
      </c>
      <c r="P2548" s="2">
        <v>1</v>
      </c>
    </row>
    <row r="2549" spans="1:16" x14ac:dyDescent="0.3">
      <c r="A2549" s="2" t="str">
        <f>TRIM(Table1[[#This Row],[Numer_FV]])</f>
        <v>FV/M/8335/P/24</v>
      </c>
      <c r="B2549" s="2" t="str">
        <f>TRIM(Table1[[#This Row],[Numer_PZ]])</f>
        <v>PZ/802547</v>
      </c>
      <c r="C2549" s="2" t="str">
        <f>TRIM(Table1[[#This Row],[Dostawca]])</f>
        <v>MedicaPharm</v>
      </c>
      <c r="D2549" s="3">
        <v>45500</v>
      </c>
      <c r="E2549" s="4" t="s">
        <v>7531</v>
      </c>
      <c r="F2549" s="2" t="str">
        <f>TRIM(Table1[[#This Row],[Status]])</f>
        <v>Zaakceptowana</v>
      </c>
      <c r="G2549" s="2" t="str">
        <f>TRIM(Table1[[#This Row],[Typ]])</f>
        <v>Faktura VAT</v>
      </c>
      <c r="H2549" s="2" t="str">
        <f>TRIM(Table1[[#This Row],[Magazyn]])</f>
        <v>Apteka Szpitalna</v>
      </c>
      <c r="I2549" s="2" t="str">
        <f>TRIM(Table1[[#This Row],[Umowa]])</f>
        <v/>
      </c>
      <c r="J2549" s="2" t="b">
        <f>ISTEXT(Table14[[#This Row],[Data_Wystawienia]])</f>
        <v>0</v>
      </c>
      <c r="K2549" s="2">
        <f>VALUE(SUBSTITUTE(Table14[[#This Row],[Wartość]],".",","))</f>
        <v>22652.66</v>
      </c>
      <c r="L25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49" s="2" t="str">
        <f>IF(Table14[[#This Row],[Umowa]]="","Poza umową","Z umowy")</f>
        <v>Poza umową</v>
      </c>
      <c r="N2549" s="2">
        <f>YEAR(Table14[[#This Row],[Data_Wystawienia]])</f>
        <v>2024</v>
      </c>
      <c r="O2549" s="2" t="str">
        <f>TEXT(Table14[[#This Row],[Data_Wystawienia]],"rrrr-mm")</f>
        <v>2024-07</v>
      </c>
      <c r="P2549" s="2">
        <v>1</v>
      </c>
    </row>
    <row r="2550" spans="1:16" x14ac:dyDescent="0.3">
      <c r="A2550" s="2" t="str">
        <f>TRIM(Table1[[#This Row],[Numer_FV]])</f>
        <v>FV/CENFA/671850/24</v>
      </c>
      <c r="B2550" s="2" t="str">
        <f>TRIM(Table1[[#This Row],[Numer_PZ]])</f>
        <v>PZ/802548</v>
      </c>
      <c r="C2550" s="2" t="str">
        <f>TRIM(Table1[[#This Row],[Dostawca]])</f>
        <v>CentrumFarm</v>
      </c>
      <c r="D2550" s="3">
        <v>45500</v>
      </c>
      <c r="E2550" s="4" t="s">
        <v>7534</v>
      </c>
      <c r="F2550" s="2" t="str">
        <f>TRIM(Table1[[#This Row],[Status]])</f>
        <v>Zaakceptowana</v>
      </c>
      <c r="G2550" s="2" t="str">
        <f>TRIM(Table1[[#This Row],[Typ]])</f>
        <v>Faktura VAT</v>
      </c>
      <c r="H2550" s="2" t="str">
        <f>TRIM(Table1[[#This Row],[Magazyn]])</f>
        <v>Apteka Szpitalna</v>
      </c>
      <c r="I2550" s="2" t="str">
        <f>TRIM(Table1[[#This Row],[Umowa]])</f>
        <v>UM-CEN-01</v>
      </c>
      <c r="J2550" s="2" t="b">
        <f>ISTEXT(Table14[[#This Row],[Data_Wystawienia]])</f>
        <v>0</v>
      </c>
      <c r="K2550" s="2">
        <f>VALUE(SUBSTITUTE(Table14[[#This Row],[Wartość]],".",","))</f>
        <v>17940.63</v>
      </c>
      <c r="L25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0" s="2" t="str">
        <f>IF(Table14[[#This Row],[Umowa]]="","Poza umową","Z umowy")</f>
        <v>Z umowy</v>
      </c>
      <c r="N2550" s="2">
        <f>YEAR(Table14[[#This Row],[Data_Wystawienia]])</f>
        <v>2024</v>
      </c>
      <c r="O2550" s="2" t="str">
        <f>TEXT(Table14[[#This Row],[Data_Wystawienia]],"rrrr-mm")</f>
        <v>2024-07</v>
      </c>
      <c r="P2550" s="2">
        <v>1</v>
      </c>
    </row>
    <row r="2551" spans="1:16" x14ac:dyDescent="0.3">
      <c r="A2551" s="2" t="str">
        <f>TRIM(Table1[[#This Row],[Numer_FV]])</f>
        <v>FV/97818/VDb/2024</v>
      </c>
      <c r="B2551" s="2" t="str">
        <f>TRIM(Table1[[#This Row],[Numer_PZ]])</f>
        <v>PZ/802549</v>
      </c>
      <c r="C2551" s="2" t="str">
        <f>TRIM(Table1[[#This Row],[Dostawca]])</f>
        <v>VitaDistrib</v>
      </c>
      <c r="D2551" s="3">
        <v>45500</v>
      </c>
      <c r="E2551" s="4" t="s">
        <v>7537</v>
      </c>
      <c r="F2551" s="2" t="str">
        <f>TRIM(Table1[[#This Row],[Status]])</f>
        <v>Zaakceptowana</v>
      </c>
      <c r="G2551" s="2" t="str">
        <f>TRIM(Table1[[#This Row],[Typ]])</f>
        <v>Faktura VAT</v>
      </c>
      <c r="H2551" s="2" t="str">
        <f>TRIM(Table1[[#This Row],[Magazyn]])</f>
        <v>Apteka Szpitalna</v>
      </c>
      <c r="I2551" s="2" t="str">
        <f>TRIM(Table1[[#This Row],[Umowa]])</f>
        <v/>
      </c>
      <c r="J2551" s="2" t="b">
        <f>ISTEXT(Table14[[#This Row],[Data_Wystawienia]])</f>
        <v>0</v>
      </c>
      <c r="K2551" s="2">
        <f>VALUE(SUBSTITUTE(Table14[[#This Row],[Wartość]],".",","))</f>
        <v>16666.27</v>
      </c>
      <c r="L25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1" s="2" t="str">
        <f>IF(Table14[[#This Row],[Umowa]]="","Poza umową","Z umowy")</f>
        <v>Poza umową</v>
      </c>
      <c r="N2551" s="2">
        <f>YEAR(Table14[[#This Row],[Data_Wystawienia]])</f>
        <v>2024</v>
      </c>
      <c r="O2551" s="2" t="str">
        <f>TEXT(Table14[[#This Row],[Data_Wystawienia]],"rrrr-mm")</f>
        <v>2024-07</v>
      </c>
      <c r="P2551" s="2">
        <v>1</v>
      </c>
    </row>
    <row r="2552" spans="1:16" x14ac:dyDescent="0.3">
      <c r="A2552" s="2" t="str">
        <f>TRIM(Table1[[#This Row],[Numer_FV]])</f>
        <v>FV/8721HM/24</v>
      </c>
      <c r="B2552" s="2" t="str">
        <f>TRIM(Table1[[#This Row],[Numer_PZ]])</f>
        <v>PZ/802550</v>
      </c>
      <c r="C2552" s="2" t="str">
        <f>TRIM(Table1[[#This Row],[Dostawca]])</f>
        <v>HurtMedix</v>
      </c>
      <c r="D2552" s="3">
        <v>45501</v>
      </c>
      <c r="E2552" s="4" t="s">
        <v>7540</v>
      </c>
      <c r="F2552" s="2" t="str">
        <f>TRIM(Table1[[#This Row],[Status]])</f>
        <v>Zaakceptowana</v>
      </c>
      <c r="G2552" s="2" t="str">
        <f>TRIM(Table1[[#This Row],[Typ]])</f>
        <v>Faktura VAT</v>
      </c>
      <c r="H2552" s="2" t="str">
        <f>TRIM(Table1[[#This Row],[Magazyn]])</f>
        <v>Apteka Szpitalna</v>
      </c>
      <c r="I2552" s="2" t="str">
        <f>TRIM(Table1[[#This Row],[Umowa]])</f>
        <v>UM-HUR-01</v>
      </c>
      <c r="J2552" s="2" t="b">
        <f>ISTEXT(Table14[[#This Row],[Data_Wystawienia]])</f>
        <v>0</v>
      </c>
      <c r="K2552" s="2">
        <f>VALUE(SUBSTITUTE(Table14[[#This Row],[Wartość]],".",","))</f>
        <v>23499.45</v>
      </c>
      <c r="L25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2" s="2" t="str">
        <f>IF(Table14[[#This Row],[Umowa]]="","Poza umową","Z umowy")</f>
        <v>Z umowy</v>
      </c>
      <c r="N2552" s="2">
        <f>YEAR(Table14[[#This Row],[Data_Wystawienia]])</f>
        <v>2024</v>
      </c>
      <c r="O2552" s="2" t="str">
        <f>TEXT(Table14[[#This Row],[Data_Wystawienia]],"rrrr-mm")</f>
        <v>2024-07</v>
      </c>
      <c r="P2552" s="2">
        <v>1</v>
      </c>
    </row>
    <row r="2553" spans="1:16" x14ac:dyDescent="0.3">
      <c r="A2553" s="2" t="str">
        <f>TRIM(Table1[[#This Row],[Numer_FV]])</f>
        <v>FV/CENFA/881478/24</v>
      </c>
      <c r="B2553" s="2" t="str">
        <f>TRIM(Table1[[#This Row],[Numer_PZ]])</f>
        <v>PZ/802551</v>
      </c>
      <c r="C2553" s="2" t="str">
        <f>TRIM(Table1[[#This Row],[Dostawca]])</f>
        <v>CentrumFarm</v>
      </c>
      <c r="D2553" s="3">
        <v>45501</v>
      </c>
      <c r="E2553" s="4" t="s">
        <v>7543</v>
      </c>
      <c r="F2553" s="2" t="str">
        <f>TRIM(Table1[[#This Row],[Status]])</f>
        <v>Zaakceptowana</v>
      </c>
      <c r="G2553" s="2" t="str">
        <f>TRIM(Table1[[#This Row],[Typ]])</f>
        <v>Faktura VAT</v>
      </c>
      <c r="H2553" s="2" t="str">
        <f>TRIM(Table1[[#This Row],[Magazyn]])</f>
        <v>Apteka Szpitalna</v>
      </c>
      <c r="I2553" s="2" t="str">
        <f>TRIM(Table1[[#This Row],[Umowa]])</f>
        <v>UM-CEN-01</v>
      </c>
      <c r="J2553" s="2" t="b">
        <f>ISTEXT(Table14[[#This Row],[Data_Wystawienia]])</f>
        <v>0</v>
      </c>
      <c r="K2553" s="2">
        <f>VALUE(SUBSTITUTE(Table14[[#This Row],[Wartość]],".",","))</f>
        <v>15781.43</v>
      </c>
      <c r="L25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3" s="2" t="str">
        <f>IF(Table14[[#This Row],[Umowa]]="","Poza umową","Z umowy")</f>
        <v>Z umowy</v>
      </c>
      <c r="N2553" s="2">
        <f>YEAR(Table14[[#This Row],[Data_Wystawienia]])</f>
        <v>2024</v>
      </c>
      <c r="O2553" s="2" t="str">
        <f>TEXT(Table14[[#This Row],[Data_Wystawienia]],"rrrr-mm")</f>
        <v>2024-07</v>
      </c>
      <c r="P2553" s="2">
        <v>1</v>
      </c>
    </row>
    <row r="2554" spans="1:16" x14ac:dyDescent="0.3">
      <c r="A2554" s="2" t="str">
        <f>TRIM(Table1[[#This Row],[Numer_FV]])</f>
        <v>FV/POL/45318/2024</v>
      </c>
      <c r="B2554" s="2" t="str">
        <f>TRIM(Table1[[#This Row],[Numer_PZ]])</f>
        <v>PZ/802552</v>
      </c>
      <c r="C2554" s="2" t="str">
        <f>TRIM(Table1[[#This Row],[Dostawca]])</f>
        <v>Polmedica</v>
      </c>
      <c r="D2554" s="3">
        <v>45501</v>
      </c>
      <c r="E2554" s="4" t="s">
        <v>7546</v>
      </c>
      <c r="F2554" s="2" t="str">
        <f>TRIM(Table1[[#This Row],[Status]])</f>
        <v>Zaakceptowana</v>
      </c>
      <c r="G2554" s="2" t="str">
        <f>TRIM(Table1[[#This Row],[Typ]])</f>
        <v>Faktura VAT</v>
      </c>
      <c r="H2554" s="2" t="str">
        <f>TRIM(Table1[[#This Row],[Magazyn]])</f>
        <v>Apteka Szpitalna</v>
      </c>
      <c r="I2554" s="2" t="str">
        <f>TRIM(Table1[[#This Row],[Umowa]])</f>
        <v>UM-POL-02</v>
      </c>
      <c r="J2554" s="2" t="b">
        <f>ISTEXT(Table14[[#This Row],[Data_Wystawienia]])</f>
        <v>0</v>
      </c>
      <c r="K2554" s="2">
        <f>VALUE(SUBSTITUTE(Table14[[#This Row],[Wartość]],".",","))</f>
        <v>7508.52</v>
      </c>
      <c r="L25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4" s="2" t="str">
        <f>IF(Table14[[#This Row],[Umowa]]="","Poza umową","Z umowy")</f>
        <v>Z umowy</v>
      </c>
      <c r="N2554" s="2">
        <f>YEAR(Table14[[#This Row],[Data_Wystawienia]])</f>
        <v>2024</v>
      </c>
      <c r="O2554" s="2" t="str">
        <f>TEXT(Table14[[#This Row],[Data_Wystawienia]],"rrrr-mm")</f>
        <v>2024-07</v>
      </c>
      <c r="P2554" s="2">
        <v>1</v>
      </c>
    </row>
    <row r="2555" spans="1:16" x14ac:dyDescent="0.3">
      <c r="A2555" s="2" t="str">
        <f>TRIM(Table1[[#This Row],[Numer_FV]])</f>
        <v>FV/6688HM/24</v>
      </c>
      <c r="B2555" s="2" t="str">
        <f>TRIM(Table1[[#This Row],[Numer_PZ]])</f>
        <v>PZ/802553</v>
      </c>
      <c r="C2555" s="2" t="str">
        <f>TRIM(Table1[[#This Row],[Dostawca]])</f>
        <v>HurtMedix</v>
      </c>
      <c r="D2555" s="3">
        <v>45502</v>
      </c>
      <c r="E2555" s="4" t="s">
        <v>7549</v>
      </c>
      <c r="F2555" s="2" t="str">
        <f>TRIM(Table1[[#This Row],[Status]])</f>
        <v>Zaakceptowana</v>
      </c>
      <c r="G2555" s="2" t="str">
        <f>TRIM(Table1[[#This Row],[Typ]])</f>
        <v>Faktura VAT</v>
      </c>
      <c r="H2555" s="2" t="str">
        <f>TRIM(Table1[[#This Row],[Magazyn]])</f>
        <v>Apteka Szpitalna</v>
      </c>
      <c r="I2555" s="2" t="str">
        <f>TRIM(Table1[[#This Row],[Umowa]])</f>
        <v>UM-HUR-01</v>
      </c>
      <c r="J2555" s="2" t="b">
        <f>ISTEXT(Table14[[#This Row],[Data_Wystawienia]])</f>
        <v>0</v>
      </c>
      <c r="K2555" s="2">
        <f>VALUE(SUBSTITUTE(Table14[[#This Row],[Wartość]],".",","))</f>
        <v>17005.55</v>
      </c>
      <c r="L25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5" s="2" t="str">
        <f>IF(Table14[[#This Row],[Umowa]]="","Poza umową","Z umowy")</f>
        <v>Z umowy</v>
      </c>
      <c r="N2555" s="2">
        <f>YEAR(Table14[[#This Row],[Data_Wystawienia]])</f>
        <v>2024</v>
      </c>
      <c r="O2555" s="2" t="str">
        <f>TEXT(Table14[[#This Row],[Data_Wystawienia]],"rrrr-mm")</f>
        <v>2024-07</v>
      </c>
      <c r="P2555" s="2">
        <v>1</v>
      </c>
    </row>
    <row r="2556" spans="1:16" x14ac:dyDescent="0.3">
      <c r="A2556" s="2" t="str">
        <f>TRIM(Table1[[#This Row],[Numer_FV]])</f>
        <v>FV/5012HM/24</v>
      </c>
      <c r="B2556" s="2" t="str">
        <f>TRIM(Table1[[#This Row],[Numer_PZ]])</f>
        <v>PZ/802554</v>
      </c>
      <c r="C2556" s="2" t="str">
        <f>TRIM(Table1[[#This Row],[Dostawca]])</f>
        <v>HurtMedix</v>
      </c>
      <c r="D2556" s="3">
        <v>45502</v>
      </c>
      <c r="E2556" s="4" t="s">
        <v>7552</v>
      </c>
      <c r="F2556" s="2" t="str">
        <f>TRIM(Table1[[#This Row],[Status]])</f>
        <v>Zaakceptowana</v>
      </c>
      <c r="G2556" s="2" t="str">
        <f>TRIM(Table1[[#This Row],[Typ]])</f>
        <v>Faktura VAT</v>
      </c>
      <c r="H2556" s="2" t="str">
        <f>TRIM(Table1[[#This Row],[Magazyn]])</f>
        <v>Apteka Szpitalna</v>
      </c>
      <c r="I2556" s="2" t="str">
        <f>TRIM(Table1[[#This Row],[Umowa]])</f>
        <v>UM-HUR-03</v>
      </c>
      <c r="J2556" s="2" t="b">
        <f>ISTEXT(Table14[[#This Row],[Data_Wystawienia]])</f>
        <v>0</v>
      </c>
      <c r="K2556" s="2">
        <f>VALUE(SUBSTITUTE(Table14[[#This Row],[Wartość]],".",","))</f>
        <v>8229.9599999999991</v>
      </c>
      <c r="L25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6" s="2" t="str">
        <f>IF(Table14[[#This Row],[Umowa]]="","Poza umową","Z umowy")</f>
        <v>Z umowy</v>
      </c>
      <c r="N2556" s="2">
        <f>YEAR(Table14[[#This Row],[Data_Wystawienia]])</f>
        <v>2024</v>
      </c>
      <c r="O2556" s="2" t="str">
        <f>TEXT(Table14[[#This Row],[Data_Wystawienia]],"rrrr-mm")</f>
        <v>2024-07</v>
      </c>
      <c r="P2556" s="2">
        <v>1</v>
      </c>
    </row>
    <row r="2557" spans="1:16" x14ac:dyDescent="0.3">
      <c r="A2557" s="2" t="str">
        <f>TRIM(Table1[[#This Row],[Numer_FV]])</f>
        <v>FV/POL/28749/2024</v>
      </c>
      <c r="B2557" s="2" t="str">
        <f>TRIM(Table1[[#This Row],[Numer_PZ]])</f>
        <v>PZ/802555</v>
      </c>
      <c r="C2557" s="2" t="str">
        <f>TRIM(Table1[[#This Row],[Dostawca]])</f>
        <v>Polmedica</v>
      </c>
      <c r="D2557" s="3">
        <v>45502</v>
      </c>
      <c r="E2557" s="4" t="s">
        <v>7555</v>
      </c>
      <c r="F2557" s="2" t="str">
        <f>TRIM(Table1[[#This Row],[Status]])</f>
        <v>Zaakceptowana</v>
      </c>
      <c r="G2557" s="2" t="str">
        <f>TRIM(Table1[[#This Row],[Typ]])</f>
        <v>Faktura VAT</v>
      </c>
      <c r="H2557" s="2" t="str">
        <f>TRIM(Table1[[#This Row],[Magazyn]])</f>
        <v>Apteka Szpitalna</v>
      </c>
      <c r="I2557" s="2" t="str">
        <f>TRIM(Table1[[#This Row],[Umowa]])</f>
        <v>UM-POL-02</v>
      </c>
      <c r="J2557" s="2" t="b">
        <f>ISTEXT(Table14[[#This Row],[Data_Wystawienia]])</f>
        <v>0</v>
      </c>
      <c r="K2557" s="2">
        <f>VALUE(SUBSTITUTE(Table14[[#This Row],[Wartość]],".",","))</f>
        <v>12971.81</v>
      </c>
      <c r="L25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7" s="2" t="str">
        <f>IF(Table14[[#This Row],[Umowa]]="","Poza umową","Z umowy")</f>
        <v>Z umowy</v>
      </c>
      <c r="N2557" s="2">
        <f>YEAR(Table14[[#This Row],[Data_Wystawienia]])</f>
        <v>2024</v>
      </c>
      <c r="O2557" s="2" t="str">
        <f>TEXT(Table14[[#This Row],[Data_Wystawienia]],"rrrr-mm")</f>
        <v>2024-07</v>
      </c>
      <c r="P2557" s="2">
        <v>1</v>
      </c>
    </row>
    <row r="2558" spans="1:16" x14ac:dyDescent="0.3">
      <c r="A2558" s="2" t="str">
        <f>TRIM(Table1[[#This Row],[Numer_FV]])</f>
        <v>FV/28491/VDb/2024</v>
      </c>
      <c r="B2558" s="2" t="str">
        <f>TRIM(Table1[[#This Row],[Numer_PZ]])</f>
        <v>PZ/802556</v>
      </c>
      <c r="C2558" s="2" t="str">
        <f>TRIM(Table1[[#This Row],[Dostawca]])</f>
        <v>VitaDistrib</v>
      </c>
      <c r="D2558" s="3">
        <v>45502</v>
      </c>
      <c r="E2558" s="4" t="s">
        <v>7558</v>
      </c>
      <c r="F2558" s="2" t="str">
        <f>TRIM(Table1[[#This Row],[Status]])</f>
        <v>Zaakceptowana</v>
      </c>
      <c r="G2558" s="2" t="str">
        <f>TRIM(Table1[[#This Row],[Typ]])</f>
        <v>Faktura VAT</v>
      </c>
      <c r="H2558" s="2" t="str">
        <f>TRIM(Table1[[#This Row],[Magazyn]])</f>
        <v>Apteka Szpitalna</v>
      </c>
      <c r="I2558" s="2" t="str">
        <f>TRIM(Table1[[#This Row],[Umowa]])</f>
        <v>UM-VIT-01</v>
      </c>
      <c r="J2558" s="2" t="b">
        <f>ISTEXT(Table14[[#This Row],[Data_Wystawienia]])</f>
        <v>0</v>
      </c>
      <c r="K2558" s="2">
        <f>VALUE(SUBSTITUTE(Table14[[#This Row],[Wartość]],".",","))</f>
        <v>11790.82</v>
      </c>
      <c r="L25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8" s="2" t="str">
        <f>IF(Table14[[#This Row],[Umowa]]="","Poza umową","Z umowy")</f>
        <v>Z umowy</v>
      </c>
      <c r="N2558" s="2">
        <f>YEAR(Table14[[#This Row],[Data_Wystawienia]])</f>
        <v>2024</v>
      </c>
      <c r="O2558" s="2" t="str">
        <f>TEXT(Table14[[#This Row],[Data_Wystawienia]],"rrrr-mm")</f>
        <v>2024-07</v>
      </c>
      <c r="P2558" s="2">
        <v>1</v>
      </c>
    </row>
    <row r="2559" spans="1:16" x14ac:dyDescent="0.3">
      <c r="A2559" s="2" t="str">
        <f>TRIM(Table1[[#This Row],[Numer_FV]])</f>
        <v>FV/54/SAL/24</v>
      </c>
      <c r="B2559" s="2" t="str">
        <f>TRIM(Table1[[#This Row],[Numer_PZ]])</f>
        <v>PZ/802557</v>
      </c>
      <c r="C2559" s="2" t="str">
        <f>TRIM(Table1[[#This Row],[Dostawca]])</f>
        <v>SalusHurt</v>
      </c>
      <c r="D2559" s="3">
        <v>45502</v>
      </c>
      <c r="E2559" s="4" t="s">
        <v>7560</v>
      </c>
      <c r="F2559" s="2" t="str">
        <f>TRIM(Table1[[#This Row],[Status]])</f>
        <v>Zaakceptowana</v>
      </c>
      <c r="G2559" s="2" t="str">
        <f>TRIM(Table1[[#This Row],[Typ]])</f>
        <v>Faktura VAT</v>
      </c>
      <c r="H2559" s="2" t="str">
        <f>TRIM(Table1[[#This Row],[Magazyn]])</f>
        <v>Apteka Szpitalna</v>
      </c>
      <c r="I2559" s="2" t="str">
        <f>TRIM(Table1[[#This Row],[Umowa]])</f>
        <v/>
      </c>
      <c r="J2559" s="2" t="b">
        <f>ISTEXT(Table14[[#This Row],[Data_Wystawienia]])</f>
        <v>0</v>
      </c>
      <c r="K2559" s="2">
        <f>VALUE(SUBSTITUTE(Table14[[#This Row],[Wartość]],".",","))</f>
        <v>2858.36</v>
      </c>
      <c r="L25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59" s="2" t="str">
        <f>IF(Table14[[#This Row],[Umowa]]="","Poza umową","Z umowy")</f>
        <v>Poza umową</v>
      </c>
      <c r="N2559" s="2">
        <f>YEAR(Table14[[#This Row],[Data_Wystawienia]])</f>
        <v>2024</v>
      </c>
      <c r="O2559" s="2" t="str">
        <f>TEXT(Table14[[#This Row],[Data_Wystawienia]],"rrrr-mm")</f>
        <v>2024-07</v>
      </c>
      <c r="P2559" s="2">
        <v>1</v>
      </c>
    </row>
    <row r="2560" spans="1:16" x14ac:dyDescent="0.3">
      <c r="A2560" s="2" t="str">
        <f>TRIM(Table1[[#This Row],[Numer_FV]])</f>
        <v>FV/CENFA/291167/24</v>
      </c>
      <c r="B2560" s="2" t="str">
        <f>TRIM(Table1[[#This Row],[Numer_PZ]])</f>
        <v>PZ/802558</v>
      </c>
      <c r="C2560" s="2" t="str">
        <f>TRIM(Table1[[#This Row],[Dostawca]])</f>
        <v>CentrumFarm</v>
      </c>
      <c r="D2560" s="3">
        <v>45502</v>
      </c>
      <c r="E2560" s="4" t="s">
        <v>7563</v>
      </c>
      <c r="F2560" s="2" t="str">
        <f>TRIM(Table1[[#This Row],[Status]])</f>
        <v>Zaakceptowana</v>
      </c>
      <c r="G2560" s="2" t="str">
        <f>TRIM(Table1[[#This Row],[Typ]])</f>
        <v>Faktura VAT</v>
      </c>
      <c r="H2560" s="2" t="str">
        <f>TRIM(Table1[[#This Row],[Magazyn]])</f>
        <v>Apteka Szpitalna</v>
      </c>
      <c r="I2560" s="2" t="str">
        <f>TRIM(Table1[[#This Row],[Umowa]])</f>
        <v>UM-CEN-01</v>
      </c>
      <c r="J2560" s="2" t="b">
        <f>ISTEXT(Table14[[#This Row],[Data_Wystawienia]])</f>
        <v>0</v>
      </c>
      <c r="K2560" s="2">
        <f>VALUE(SUBSTITUTE(Table14[[#This Row],[Wartość]],".",","))</f>
        <v>17731.849999999999</v>
      </c>
      <c r="L25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0" s="2" t="str">
        <f>IF(Table14[[#This Row],[Umowa]]="","Poza umową","Z umowy")</f>
        <v>Z umowy</v>
      </c>
      <c r="N2560" s="2">
        <f>YEAR(Table14[[#This Row],[Data_Wystawienia]])</f>
        <v>2024</v>
      </c>
      <c r="O2560" s="2" t="str">
        <f>TEXT(Table14[[#This Row],[Data_Wystawienia]],"rrrr-mm")</f>
        <v>2024-07</v>
      </c>
      <c r="P2560" s="2">
        <v>1</v>
      </c>
    </row>
    <row r="2561" spans="1:16" x14ac:dyDescent="0.3">
      <c r="A2561" s="2" t="str">
        <f>TRIM(Table1[[#This Row],[Numer_FV]])</f>
        <v>FV/74/SAL/24</v>
      </c>
      <c r="B2561" s="2" t="str">
        <f>TRIM(Table1[[#This Row],[Numer_PZ]])</f>
        <v>PZ/802559</v>
      </c>
      <c r="C2561" s="2" t="str">
        <f>TRIM(Table1[[#This Row],[Dostawca]])</f>
        <v>SalusHurt</v>
      </c>
      <c r="D2561" s="3">
        <v>45503</v>
      </c>
      <c r="E2561" s="4" t="s">
        <v>7565</v>
      </c>
      <c r="F2561" s="2" t="str">
        <f>TRIM(Table1[[#This Row],[Status]])</f>
        <v>Zaakceptowana</v>
      </c>
      <c r="G2561" s="2" t="str">
        <f>TRIM(Table1[[#This Row],[Typ]])</f>
        <v>Faktura VAT</v>
      </c>
      <c r="H2561" s="2" t="str">
        <f>TRIM(Table1[[#This Row],[Magazyn]])</f>
        <v>Apteka Szpitalna</v>
      </c>
      <c r="I2561" s="2" t="str">
        <f>TRIM(Table1[[#This Row],[Umowa]])</f>
        <v>UM-SAL-01</v>
      </c>
      <c r="J2561" s="2" t="b">
        <f>ISTEXT(Table14[[#This Row],[Data_Wystawienia]])</f>
        <v>0</v>
      </c>
      <c r="K2561" s="2">
        <f>VALUE(SUBSTITUTE(Table14[[#This Row],[Wartość]],".",","))</f>
        <v>19398.95</v>
      </c>
      <c r="L25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1" s="2" t="str">
        <f>IF(Table14[[#This Row],[Umowa]]="","Poza umową","Z umowy")</f>
        <v>Z umowy</v>
      </c>
      <c r="N2561" s="2">
        <f>YEAR(Table14[[#This Row],[Data_Wystawienia]])</f>
        <v>2024</v>
      </c>
      <c r="O2561" s="2" t="str">
        <f>TEXT(Table14[[#This Row],[Data_Wystawienia]],"rrrr-mm")</f>
        <v>2024-07</v>
      </c>
      <c r="P2561" s="2">
        <v>1</v>
      </c>
    </row>
    <row r="2562" spans="1:16" x14ac:dyDescent="0.3">
      <c r="A2562" s="2" t="str">
        <f>TRIM(Table1[[#This Row],[Numer_FV]])</f>
        <v>FV/82299/VDb/2024</v>
      </c>
      <c r="B2562" s="2" t="str">
        <f>TRIM(Table1[[#This Row],[Numer_PZ]])</f>
        <v>PZ/802560</v>
      </c>
      <c r="C2562" s="2" t="str">
        <f>TRIM(Table1[[#This Row],[Dostawca]])</f>
        <v>VitaDistrib</v>
      </c>
      <c r="D2562" s="3">
        <v>45503</v>
      </c>
      <c r="E2562" s="4" t="s">
        <v>7568</v>
      </c>
      <c r="F2562" s="2" t="str">
        <f>TRIM(Table1[[#This Row],[Status]])</f>
        <v>Zaakceptowana</v>
      </c>
      <c r="G2562" s="2" t="str">
        <f>TRIM(Table1[[#This Row],[Typ]])</f>
        <v>Faktura VAT</v>
      </c>
      <c r="H2562" s="2" t="str">
        <f>TRIM(Table1[[#This Row],[Magazyn]])</f>
        <v>Apteka Szpitalna</v>
      </c>
      <c r="I2562" s="2" t="str">
        <f>TRIM(Table1[[#This Row],[Umowa]])</f>
        <v>UM-VIT-01</v>
      </c>
      <c r="J2562" s="2" t="b">
        <f>ISTEXT(Table14[[#This Row],[Data_Wystawienia]])</f>
        <v>0</v>
      </c>
      <c r="K2562" s="2">
        <f>VALUE(SUBSTITUTE(Table14[[#This Row],[Wartość]],".",","))</f>
        <v>17971.669999999998</v>
      </c>
      <c r="L25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2" s="2" t="str">
        <f>IF(Table14[[#This Row],[Umowa]]="","Poza umową","Z umowy")</f>
        <v>Z umowy</v>
      </c>
      <c r="N2562" s="2">
        <f>YEAR(Table14[[#This Row],[Data_Wystawienia]])</f>
        <v>2024</v>
      </c>
      <c r="O2562" s="2" t="str">
        <f>TEXT(Table14[[#This Row],[Data_Wystawienia]],"rrrr-mm")</f>
        <v>2024-07</v>
      </c>
      <c r="P2562" s="2">
        <v>1</v>
      </c>
    </row>
    <row r="2563" spans="1:16" x14ac:dyDescent="0.3">
      <c r="A2563" s="2" t="str">
        <f>TRIM(Table1[[#This Row],[Numer_FV]])</f>
        <v>FV/44/SAL/24</v>
      </c>
      <c r="B2563" s="2" t="str">
        <f>TRIM(Table1[[#This Row],[Numer_PZ]])</f>
        <v>PZ/802561</v>
      </c>
      <c r="C2563" s="2" t="str">
        <f>TRIM(Table1[[#This Row],[Dostawca]])</f>
        <v>SalusHurt</v>
      </c>
      <c r="D2563" s="3">
        <v>45503</v>
      </c>
      <c r="E2563" s="4" t="s">
        <v>7570</v>
      </c>
      <c r="F2563" s="2" t="str">
        <f>TRIM(Table1[[#This Row],[Status]])</f>
        <v>Zaakceptowana</v>
      </c>
      <c r="G2563" s="2" t="str">
        <f>TRIM(Table1[[#This Row],[Typ]])</f>
        <v>Faktura VAT</v>
      </c>
      <c r="H2563" s="2" t="str">
        <f>TRIM(Table1[[#This Row],[Magazyn]])</f>
        <v>Apteka Szpitalna</v>
      </c>
      <c r="I2563" s="2" t="str">
        <f>TRIM(Table1[[#This Row],[Umowa]])</f>
        <v>UM-SAL-01</v>
      </c>
      <c r="J2563" s="2" t="b">
        <f>ISTEXT(Table14[[#This Row],[Data_Wystawienia]])</f>
        <v>0</v>
      </c>
      <c r="K2563" s="2">
        <f>VALUE(SUBSTITUTE(Table14[[#This Row],[Wartość]],".",","))</f>
        <v>15689.73</v>
      </c>
      <c r="L25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3" s="2" t="str">
        <f>IF(Table14[[#This Row],[Umowa]]="","Poza umową","Z umowy")</f>
        <v>Z umowy</v>
      </c>
      <c r="N2563" s="2">
        <f>YEAR(Table14[[#This Row],[Data_Wystawienia]])</f>
        <v>2024</v>
      </c>
      <c r="O2563" s="2" t="str">
        <f>TEXT(Table14[[#This Row],[Data_Wystawienia]],"rrrr-mm")</f>
        <v>2024-07</v>
      </c>
      <c r="P2563" s="2">
        <v>1</v>
      </c>
    </row>
    <row r="2564" spans="1:16" x14ac:dyDescent="0.3">
      <c r="A2564" s="2" t="str">
        <f>TRIM(Table1[[#This Row],[Numer_FV]])</f>
        <v>FV/M/7274/P/24</v>
      </c>
      <c r="B2564" s="2" t="str">
        <f>TRIM(Table1[[#This Row],[Numer_PZ]])</f>
        <v>PZ/802562</v>
      </c>
      <c r="C2564" s="2" t="str">
        <f>TRIM(Table1[[#This Row],[Dostawca]])</f>
        <v>MedicaPharm</v>
      </c>
      <c r="D2564" s="3">
        <v>45504</v>
      </c>
      <c r="E2564" s="4" t="s">
        <v>7573</v>
      </c>
      <c r="F2564" s="2" t="str">
        <f>TRIM(Table1[[#This Row],[Status]])</f>
        <v>Zaakceptowana</v>
      </c>
      <c r="G2564" s="2" t="str">
        <f>TRIM(Table1[[#This Row],[Typ]])</f>
        <v>Faktura VAT</v>
      </c>
      <c r="H2564" s="2" t="str">
        <f>TRIM(Table1[[#This Row],[Magazyn]])</f>
        <v>Apteka Szpitalna</v>
      </c>
      <c r="I2564" s="2" t="str">
        <f>TRIM(Table1[[#This Row],[Umowa]])</f>
        <v>UM-MED-02</v>
      </c>
      <c r="J2564" s="2" t="b">
        <f>ISTEXT(Table14[[#This Row],[Data_Wystawienia]])</f>
        <v>0</v>
      </c>
      <c r="K2564" s="2">
        <f>VALUE(SUBSTITUTE(Table14[[#This Row],[Wartość]],".",","))</f>
        <v>22105.5</v>
      </c>
      <c r="L25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4" s="2" t="str">
        <f>IF(Table14[[#This Row],[Umowa]]="","Poza umową","Z umowy")</f>
        <v>Z umowy</v>
      </c>
      <c r="N2564" s="2">
        <f>YEAR(Table14[[#This Row],[Data_Wystawienia]])</f>
        <v>2024</v>
      </c>
      <c r="O2564" s="2" t="str">
        <f>TEXT(Table14[[#This Row],[Data_Wystawienia]],"rrrr-mm")</f>
        <v>2024-07</v>
      </c>
      <c r="P2564" s="2">
        <v>1</v>
      </c>
    </row>
    <row r="2565" spans="1:16" x14ac:dyDescent="0.3">
      <c r="A2565" s="2" t="str">
        <f>TRIM(Table1[[#This Row],[Numer_FV]])</f>
        <v>FV/65/SAL/24</v>
      </c>
      <c r="B2565" s="2" t="str">
        <f>TRIM(Table1[[#This Row],[Numer_PZ]])</f>
        <v>PZ/802563</v>
      </c>
      <c r="C2565" s="2" t="str">
        <f>TRIM(Table1[[#This Row],[Dostawca]])</f>
        <v>SalusHurt</v>
      </c>
      <c r="D2565" s="3">
        <v>45504</v>
      </c>
      <c r="E2565" s="4" t="s">
        <v>7575</v>
      </c>
      <c r="F2565" s="2" t="str">
        <f>TRIM(Table1[[#This Row],[Status]])</f>
        <v>Zaakceptowana</v>
      </c>
      <c r="G2565" s="2" t="str">
        <f>TRIM(Table1[[#This Row],[Typ]])</f>
        <v>Faktura VAT</v>
      </c>
      <c r="H2565" s="2" t="str">
        <f>TRIM(Table1[[#This Row],[Magazyn]])</f>
        <v>Apteka Szpitalna</v>
      </c>
      <c r="I2565" s="2" t="str">
        <f>TRIM(Table1[[#This Row],[Umowa]])</f>
        <v>UM-SAL-01</v>
      </c>
      <c r="J2565" s="2" t="b">
        <f>ISTEXT(Table14[[#This Row],[Data_Wystawienia]])</f>
        <v>0</v>
      </c>
      <c r="K2565" s="2">
        <f>VALUE(SUBSTITUTE(Table14[[#This Row],[Wartość]],".",","))</f>
        <v>14074.51</v>
      </c>
      <c r="L25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5" s="2" t="str">
        <f>IF(Table14[[#This Row],[Umowa]]="","Poza umową","Z umowy")</f>
        <v>Z umowy</v>
      </c>
      <c r="N2565" s="2">
        <f>YEAR(Table14[[#This Row],[Data_Wystawienia]])</f>
        <v>2024</v>
      </c>
      <c r="O2565" s="2" t="str">
        <f>TEXT(Table14[[#This Row],[Data_Wystawienia]],"rrrr-mm")</f>
        <v>2024-07</v>
      </c>
      <c r="P2565" s="2">
        <v>1</v>
      </c>
    </row>
    <row r="2566" spans="1:16" x14ac:dyDescent="0.3">
      <c r="A2566" s="2" t="str">
        <f>TRIM(Table1[[#This Row],[Numer_FV]])</f>
        <v>FV/POL/14356/2024</v>
      </c>
      <c r="B2566" s="2" t="str">
        <f>TRIM(Table1[[#This Row],[Numer_PZ]])</f>
        <v>PZ/802564</v>
      </c>
      <c r="C2566" s="2" t="str">
        <f>TRIM(Table1[[#This Row],[Dostawca]])</f>
        <v>Polmedica</v>
      </c>
      <c r="D2566" s="3">
        <v>45504</v>
      </c>
      <c r="E2566" s="4" t="s">
        <v>7578</v>
      </c>
      <c r="F2566" s="2" t="str">
        <f>TRIM(Table1[[#This Row],[Status]])</f>
        <v>Zaakceptowana</v>
      </c>
      <c r="G2566" s="2" t="str">
        <f>TRIM(Table1[[#This Row],[Typ]])</f>
        <v>Faktura VAT</v>
      </c>
      <c r="H2566" s="2" t="str">
        <f>TRIM(Table1[[#This Row],[Magazyn]])</f>
        <v>Apteka Szpitalna</v>
      </c>
      <c r="I2566" s="2" t="str">
        <f>TRIM(Table1[[#This Row],[Umowa]])</f>
        <v>UM-POL-03</v>
      </c>
      <c r="J2566" s="2" t="b">
        <f>ISTEXT(Table14[[#This Row],[Data_Wystawienia]])</f>
        <v>0</v>
      </c>
      <c r="K2566" s="2">
        <f>VALUE(SUBSTITUTE(Table14[[#This Row],[Wartość]],".",","))</f>
        <v>10201.48</v>
      </c>
      <c r="L25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6" s="2" t="str">
        <f>IF(Table14[[#This Row],[Umowa]]="","Poza umową","Z umowy")</f>
        <v>Z umowy</v>
      </c>
      <c r="N2566" s="2">
        <f>YEAR(Table14[[#This Row],[Data_Wystawienia]])</f>
        <v>2024</v>
      </c>
      <c r="O2566" s="2" t="str">
        <f>TEXT(Table14[[#This Row],[Data_Wystawienia]],"rrrr-mm")</f>
        <v>2024-07</v>
      </c>
      <c r="P2566" s="2">
        <v>1</v>
      </c>
    </row>
    <row r="2567" spans="1:16" x14ac:dyDescent="0.3">
      <c r="A2567" s="2" t="str">
        <f>TRIM(Table1[[#This Row],[Numer_FV]])</f>
        <v>FV/41/SAL/24</v>
      </c>
      <c r="B2567" s="2" t="str">
        <f>TRIM(Table1[[#This Row],[Numer_PZ]])</f>
        <v>PZ/802565</v>
      </c>
      <c r="C2567" s="2" t="str">
        <f>TRIM(Table1[[#This Row],[Dostawca]])</f>
        <v>SalusHurt</v>
      </c>
      <c r="D2567" s="3">
        <v>45505</v>
      </c>
      <c r="E2567" s="4" t="s">
        <v>7581</v>
      </c>
      <c r="F2567" s="2" t="str">
        <f>TRIM(Table1[[#This Row],[Status]])</f>
        <v>Zaakceptowana</v>
      </c>
      <c r="G2567" s="2" t="str">
        <f>TRIM(Table1[[#This Row],[Typ]])</f>
        <v>Faktura VAT</v>
      </c>
      <c r="H2567" s="2" t="str">
        <f>TRIM(Table1[[#This Row],[Magazyn]])</f>
        <v>Apteka Szpitalna</v>
      </c>
      <c r="I2567" s="2" t="str">
        <f>TRIM(Table1[[#This Row],[Umowa]])</f>
        <v>UM-SAL-02</v>
      </c>
      <c r="J2567" s="2" t="b">
        <f>ISTEXT(Table14[[#This Row],[Data_Wystawienia]])</f>
        <v>0</v>
      </c>
      <c r="K2567" s="2">
        <f>VALUE(SUBSTITUTE(Table14[[#This Row],[Wartość]],".",","))</f>
        <v>13298.45</v>
      </c>
      <c r="L25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7" s="2" t="str">
        <f>IF(Table14[[#This Row],[Umowa]]="","Poza umową","Z umowy")</f>
        <v>Z umowy</v>
      </c>
      <c r="N2567" s="2">
        <f>YEAR(Table14[[#This Row],[Data_Wystawienia]])</f>
        <v>2024</v>
      </c>
      <c r="O2567" s="2" t="str">
        <f>TEXT(Table14[[#This Row],[Data_Wystawienia]],"rrrr-mm")</f>
        <v>2024-08</v>
      </c>
      <c r="P2567" s="2">
        <v>1</v>
      </c>
    </row>
    <row r="2568" spans="1:16" x14ac:dyDescent="0.3">
      <c r="A2568" s="2" t="str">
        <f>TRIM(Table1[[#This Row],[Numer_FV]])</f>
        <v>FV/97/SAL/24</v>
      </c>
      <c r="B2568" s="2" t="str">
        <f>TRIM(Table1[[#This Row],[Numer_PZ]])</f>
        <v>PZ/802566</v>
      </c>
      <c r="C2568" s="2" t="str">
        <f>TRIM(Table1[[#This Row],[Dostawca]])</f>
        <v>SalusHurt</v>
      </c>
      <c r="D2568" s="3">
        <v>45506</v>
      </c>
      <c r="E2568" s="4" t="s">
        <v>7584</v>
      </c>
      <c r="F2568" s="2" t="str">
        <f>TRIM(Table1[[#This Row],[Status]])</f>
        <v>Zaakceptowana</v>
      </c>
      <c r="G2568" s="2" t="str">
        <f>TRIM(Table1[[#This Row],[Typ]])</f>
        <v>Faktura VAT</v>
      </c>
      <c r="H2568" s="2" t="str">
        <f>TRIM(Table1[[#This Row],[Magazyn]])</f>
        <v>Apteka Szpitalna</v>
      </c>
      <c r="I2568" s="2" t="str">
        <f>TRIM(Table1[[#This Row],[Umowa]])</f>
        <v>UM-SAL-02</v>
      </c>
      <c r="J2568" s="2" t="b">
        <f>ISTEXT(Table14[[#This Row],[Data_Wystawienia]])</f>
        <v>0</v>
      </c>
      <c r="K2568" s="2">
        <f>VALUE(SUBSTITUTE(Table14[[#This Row],[Wartość]],".",","))</f>
        <v>9665.27</v>
      </c>
      <c r="L25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8" s="2" t="str">
        <f>IF(Table14[[#This Row],[Umowa]]="","Poza umową","Z umowy")</f>
        <v>Z umowy</v>
      </c>
      <c r="N2568" s="2">
        <f>YEAR(Table14[[#This Row],[Data_Wystawienia]])</f>
        <v>2024</v>
      </c>
      <c r="O2568" s="2" t="str">
        <f>TEXT(Table14[[#This Row],[Data_Wystawienia]],"rrrr-mm")</f>
        <v>2024-08</v>
      </c>
      <c r="P2568" s="2">
        <v>1</v>
      </c>
    </row>
    <row r="2569" spans="1:16" x14ac:dyDescent="0.3">
      <c r="A2569" s="2" t="str">
        <f>TRIM(Table1[[#This Row],[Numer_FV]])</f>
        <v>FV/48874/VDb/2024</v>
      </c>
      <c r="B2569" s="2" t="str">
        <f>TRIM(Table1[[#This Row],[Numer_PZ]])</f>
        <v>PZ/802567</v>
      </c>
      <c r="C2569" s="2" t="str">
        <f>TRIM(Table1[[#This Row],[Dostawca]])</f>
        <v>VitaDistrib</v>
      </c>
      <c r="D2569" s="3">
        <v>45506</v>
      </c>
      <c r="E2569" s="4" t="s">
        <v>7587</v>
      </c>
      <c r="F2569" s="2" t="str">
        <f>TRIM(Table1[[#This Row],[Status]])</f>
        <v>Zaakceptowana</v>
      </c>
      <c r="G2569" s="2" t="str">
        <f>TRIM(Table1[[#This Row],[Typ]])</f>
        <v>Faktura VAT</v>
      </c>
      <c r="H2569" s="2" t="str">
        <f>TRIM(Table1[[#This Row],[Magazyn]])</f>
        <v>Apteka Szpitalna</v>
      </c>
      <c r="I2569" s="2" t="str">
        <f>TRIM(Table1[[#This Row],[Umowa]])</f>
        <v>UM-VIT-01</v>
      </c>
      <c r="J2569" s="2" t="b">
        <f>ISTEXT(Table14[[#This Row],[Data_Wystawienia]])</f>
        <v>0</v>
      </c>
      <c r="K2569" s="2">
        <f>VALUE(SUBSTITUTE(Table14[[#This Row],[Wartość]],".",","))</f>
        <v>24753.53</v>
      </c>
      <c r="L25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69" s="2" t="str">
        <f>IF(Table14[[#This Row],[Umowa]]="","Poza umową","Z umowy")</f>
        <v>Z umowy</v>
      </c>
      <c r="N2569" s="2">
        <f>YEAR(Table14[[#This Row],[Data_Wystawienia]])</f>
        <v>2024</v>
      </c>
      <c r="O2569" s="2" t="str">
        <f>TEXT(Table14[[#This Row],[Data_Wystawienia]],"rrrr-mm")</f>
        <v>2024-08</v>
      </c>
      <c r="P2569" s="2">
        <v>1</v>
      </c>
    </row>
    <row r="2570" spans="1:16" x14ac:dyDescent="0.3">
      <c r="A2570" s="2" t="str">
        <f>TRIM(Table1[[#This Row],[Numer_FV]])</f>
        <v>FV/POL/25929/2024</v>
      </c>
      <c r="B2570" s="2" t="str">
        <f>TRIM(Table1[[#This Row],[Numer_PZ]])</f>
        <v>PZ/802568</v>
      </c>
      <c r="C2570" s="2" t="str">
        <f>TRIM(Table1[[#This Row],[Dostawca]])</f>
        <v>Polmedica</v>
      </c>
      <c r="D2570" s="3">
        <v>45506</v>
      </c>
      <c r="E2570" s="4" t="s">
        <v>7590</v>
      </c>
      <c r="F2570" s="2" t="str">
        <f>TRIM(Table1[[#This Row],[Status]])</f>
        <v>Zaakceptowana</v>
      </c>
      <c r="G2570" s="2" t="str">
        <f>TRIM(Table1[[#This Row],[Typ]])</f>
        <v>Faktura VAT</v>
      </c>
      <c r="H2570" s="2" t="str">
        <f>TRIM(Table1[[#This Row],[Magazyn]])</f>
        <v>Apteka Szpitalna</v>
      </c>
      <c r="I2570" s="2" t="str">
        <f>TRIM(Table1[[#This Row],[Umowa]])</f>
        <v>UM-POL-02</v>
      </c>
      <c r="J2570" s="2" t="b">
        <f>ISTEXT(Table14[[#This Row],[Data_Wystawienia]])</f>
        <v>0</v>
      </c>
      <c r="K2570" s="2">
        <f>VALUE(SUBSTITUTE(Table14[[#This Row],[Wartość]],".",","))</f>
        <v>24667.41</v>
      </c>
      <c r="L25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0" s="2" t="str">
        <f>IF(Table14[[#This Row],[Umowa]]="","Poza umową","Z umowy")</f>
        <v>Z umowy</v>
      </c>
      <c r="N2570" s="2">
        <f>YEAR(Table14[[#This Row],[Data_Wystawienia]])</f>
        <v>2024</v>
      </c>
      <c r="O2570" s="2" t="str">
        <f>TEXT(Table14[[#This Row],[Data_Wystawienia]],"rrrr-mm")</f>
        <v>2024-08</v>
      </c>
      <c r="P2570" s="2">
        <v>1</v>
      </c>
    </row>
    <row r="2571" spans="1:16" x14ac:dyDescent="0.3">
      <c r="A2571" s="2" t="str">
        <f>TRIM(Table1[[#This Row],[Numer_FV]])</f>
        <v>FV/42533/VDb/2024</v>
      </c>
      <c r="B2571" s="2" t="str">
        <f>TRIM(Table1[[#This Row],[Numer_PZ]])</f>
        <v>PZ/802569</v>
      </c>
      <c r="C2571" s="2" t="str">
        <f>TRIM(Table1[[#This Row],[Dostawca]])</f>
        <v>VitaDistrib</v>
      </c>
      <c r="D2571" s="3">
        <v>45507</v>
      </c>
      <c r="E2571" s="4" t="s">
        <v>7593</v>
      </c>
      <c r="F2571" s="2" t="str">
        <f>TRIM(Table1[[#This Row],[Status]])</f>
        <v>Zaakceptowana</v>
      </c>
      <c r="G2571" s="2" t="str">
        <f>TRIM(Table1[[#This Row],[Typ]])</f>
        <v>Faktura VAT</v>
      </c>
      <c r="H2571" s="2" t="str">
        <f>TRIM(Table1[[#This Row],[Magazyn]])</f>
        <v>Apteka Szpitalna</v>
      </c>
      <c r="I2571" s="2" t="str">
        <f>TRIM(Table1[[#This Row],[Umowa]])</f>
        <v>UM-VIT-01</v>
      </c>
      <c r="J2571" s="2" t="b">
        <f>ISTEXT(Table14[[#This Row],[Data_Wystawienia]])</f>
        <v>0</v>
      </c>
      <c r="K2571" s="2">
        <f>VALUE(SUBSTITUTE(Table14[[#This Row],[Wartość]],".",","))</f>
        <v>16553.169999999998</v>
      </c>
      <c r="L25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1" s="2" t="str">
        <f>IF(Table14[[#This Row],[Umowa]]="","Poza umową","Z umowy")</f>
        <v>Z umowy</v>
      </c>
      <c r="N2571" s="2">
        <f>YEAR(Table14[[#This Row],[Data_Wystawienia]])</f>
        <v>2024</v>
      </c>
      <c r="O2571" s="2" t="str">
        <f>TEXT(Table14[[#This Row],[Data_Wystawienia]],"rrrr-mm")</f>
        <v>2024-08</v>
      </c>
      <c r="P2571" s="2">
        <v>1</v>
      </c>
    </row>
    <row r="2572" spans="1:16" x14ac:dyDescent="0.3">
      <c r="A2572" s="2" t="str">
        <f>TRIM(Table1[[#This Row],[Numer_FV]])</f>
        <v>FV/8443HM/24</v>
      </c>
      <c r="B2572" s="2" t="str">
        <f>TRIM(Table1[[#This Row],[Numer_PZ]])</f>
        <v>PZ/802570</v>
      </c>
      <c r="C2572" s="2" t="str">
        <f>TRIM(Table1[[#This Row],[Dostawca]])</f>
        <v>HurtMedix</v>
      </c>
      <c r="D2572" s="3">
        <v>45508</v>
      </c>
      <c r="E2572" s="4" t="s">
        <v>7596</v>
      </c>
      <c r="F2572" s="2" t="str">
        <f>TRIM(Table1[[#This Row],[Status]])</f>
        <v>Zaakceptowana</v>
      </c>
      <c r="G2572" s="2" t="str">
        <f>TRIM(Table1[[#This Row],[Typ]])</f>
        <v>Faktura VAT</v>
      </c>
      <c r="H2572" s="2" t="str">
        <f>TRIM(Table1[[#This Row],[Magazyn]])</f>
        <v>Apteka Szpitalna</v>
      </c>
      <c r="I2572" s="2" t="str">
        <f>TRIM(Table1[[#This Row],[Umowa]])</f>
        <v>UM-HUR-01</v>
      </c>
      <c r="J2572" s="2" t="b">
        <f>ISTEXT(Table14[[#This Row],[Data_Wystawienia]])</f>
        <v>0</v>
      </c>
      <c r="K2572" s="2">
        <f>VALUE(SUBSTITUTE(Table14[[#This Row],[Wartość]],".",","))</f>
        <v>17247.419999999998</v>
      </c>
      <c r="L25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2" s="2" t="str">
        <f>IF(Table14[[#This Row],[Umowa]]="","Poza umową","Z umowy")</f>
        <v>Z umowy</v>
      </c>
      <c r="N2572" s="2">
        <f>YEAR(Table14[[#This Row],[Data_Wystawienia]])</f>
        <v>2024</v>
      </c>
      <c r="O2572" s="2" t="str">
        <f>TEXT(Table14[[#This Row],[Data_Wystawienia]],"rrrr-mm")</f>
        <v>2024-08</v>
      </c>
      <c r="P2572" s="2">
        <v>1</v>
      </c>
    </row>
    <row r="2573" spans="1:16" x14ac:dyDescent="0.3">
      <c r="A2573" s="2" t="str">
        <f>TRIM(Table1[[#This Row],[Numer_FV]])</f>
        <v>FV/POL/40343/2024</v>
      </c>
      <c r="B2573" s="2" t="str">
        <f>TRIM(Table1[[#This Row],[Numer_PZ]])</f>
        <v>PZ/802571</v>
      </c>
      <c r="C2573" s="2" t="str">
        <f>TRIM(Table1[[#This Row],[Dostawca]])</f>
        <v>Polmedica</v>
      </c>
      <c r="D2573" s="3">
        <v>45508</v>
      </c>
      <c r="E2573" s="4" t="s">
        <v>7599</v>
      </c>
      <c r="F2573" s="2" t="str">
        <f>TRIM(Table1[[#This Row],[Status]])</f>
        <v>Zaakceptowana</v>
      </c>
      <c r="G2573" s="2" t="str">
        <f>TRIM(Table1[[#This Row],[Typ]])</f>
        <v>Faktura VAT</v>
      </c>
      <c r="H2573" s="2" t="str">
        <f>TRIM(Table1[[#This Row],[Magazyn]])</f>
        <v>Apteka Szpitalna</v>
      </c>
      <c r="I2573" s="2" t="str">
        <f>TRIM(Table1[[#This Row],[Umowa]])</f>
        <v>UM-POL-01</v>
      </c>
      <c r="J2573" s="2" t="b">
        <f>ISTEXT(Table14[[#This Row],[Data_Wystawienia]])</f>
        <v>0</v>
      </c>
      <c r="K2573" s="2">
        <f>VALUE(SUBSTITUTE(Table14[[#This Row],[Wartość]],".",","))</f>
        <v>12383.42</v>
      </c>
      <c r="L25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3" s="2" t="str">
        <f>IF(Table14[[#This Row],[Umowa]]="","Poza umową","Z umowy")</f>
        <v>Z umowy</v>
      </c>
      <c r="N2573" s="2">
        <f>YEAR(Table14[[#This Row],[Data_Wystawienia]])</f>
        <v>2024</v>
      </c>
      <c r="O2573" s="2" t="str">
        <f>TEXT(Table14[[#This Row],[Data_Wystawienia]],"rrrr-mm")</f>
        <v>2024-08</v>
      </c>
      <c r="P2573" s="2">
        <v>1</v>
      </c>
    </row>
    <row r="2574" spans="1:16" x14ac:dyDescent="0.3">
      <c r="A2574" s="2" t="str">
        <f>TRIM(Table1[[#This Row],[Numer_FV]])</f>
        <v>FV/38/PP/9149/24</v>
      </c>
      <c r="B2574" s="2" t="str">
        <f>TRIM(Table1[[#This Row],[Numer_PZ]])</f>
        <v>PZ/802572</v>
      </c>
      <c r="C2574" s="2" t="str">
        <f>TRIM(Table1[[#This Row],[Dostawca]])</f>
        <v>PharmaPlus</v>
      </c>
      <c r="D2574" s="3">
        <v>45508</v>
      </c>
      <c r="E2574" s="4" t="s">
        <v>7602</v>
      </c>
      <c r="F2574" s="2" t="str">
        <f>TRIM(Table1[[#This Row],[Status]])</f>
        <v>Zaakceptowana</v>
      </c>
      <c r="G2574" s="2" t="str">
        <f>TRIM(Table1[[#This Row],[Typ]])</f>
        <v>Faktura VAT</v>
      </c>
      <c r="H2574" s="2" t="str">
        <f>TRIM(Table1[[#This Row],[Magazyn]])</f>
        <v>Apteka Szpitalna</v>
      </c>
      <c r="I2574" s="2" t="str">
        <f>TRIM(Table1[[#This Row],[Umowa]])</f>
        <v>UM-PHA-02</v>
      </c>
      <c r="J2574" s="2" t="b">
        <f>ISTEXT(Table14[[#This Row],[Data_Wystawienia]])</f>
        <v>0</v>
      </c>
      <c r="K2574" s="2">
        <f>VALUE(SUBSTITUTE(Table14[[#This Row],[Wartość]],".",","))</f>
        <v>12826.65</v>
      </c>
      <c r="L25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4" s="2" t="str">
        <f>IF(Table14[[#This Row],[Umowa]]="","Poza umową","Z umowy")</f>
        <v>Z umowy</v>
      </c>
      <c r="N2574" s="2">
        <f>YEAR(Table14[[#This Row],[Data_Wystawienia]])</f>
        <v>2024</v>
      </c>
      <c r="O2574" s="2" t="str">
        <f>TEXT(Table14[[#This Row],[Data_Wystawienia]],"rrrr-mm")</f>
        <v>2024-08</v>
      </c>
      <c r="P2574" s="2">
        <v>1</v>
      </c>
    </row>
    <row r="2575" spans="1:16" x14ac:dyDescent="0.3">
      <c r="A2575" s="2" t="str">
        <f>TRIM(Table1[[#This Row],[Numer_FV]])</f>
        <v>FV/79/SAL/24</v>
      </c>
      <c r="B2575" s="2" t="str">
        <f>TRIM(Table1[[#This Row],[Numer_PZ]])</f>
        <v>PZ/802573</v>
      </c>
      <c r="C2575" s="2" t="str">
        <f>TRIM(Table1[[#This Row],[Dostawca]])</f>
        <v>SalusHurt</v>
      </c>
      <c r="D2575" s="3">
        <v>45508</v>
      </c>
      <c r="E2575" s="4" t="s">
        <v>7605</v>
      </c>
      <c r="F2575" s="2" t="str">
        <f>TRIM(Table1[[#This Row],[Status]])</f>
        <v>Zaakceptowana</v>
      </c>
      <c r="G2575" s="2" t="str">
        <f>TRIM(Table1[[#This Row],[Typ]])</f>
        <v>Faktura VAT</v>
      </c>
      <c r="H2575" s="2" t="str">
        <f>TRIM(Table1[[#This Row],[Magazyn]])</f>
        <v>Apteka Szpitalna</v>
      </c>
      <c r="I2575" s="2" t="str">
        <f>TRIM(Table1[[#This Row],[Umowa]])</f>
        <v>UM-SAL-02</v>
      </c>
      <c r="J2575" s="2" t="b">
        <f>ISTEXT(Table14[[#This Row],[Data_Wystawienia]])</f>
        <v>0</v>
      </c>
      <c r="K2575" s="2">
        <f>VALUE(SUBSTITUTE(Table14[[#This Row],[Wartość]],".",","))</f>
        <v>13751.73</v>
      </c>
      <c r="L25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5" s="2" t="str">
        <f>IF(Table14[[#This Row],[Umowa]]="","Poza umową","Z umowy")</f>
        <v>Z umowy</v>
      </c>
      <c r="N2575" s="2">
        <f>YEAR(Table14[[#This Row],[Data_Wystawienia]])</f>
        <v>2024</v>
      </c>
      <c r="O2575" s="2" t="str">
        <f>TEXT(Table14[[#This Row],[Data_Wystawienia]],"rrrr-mm")</f>
        <v>2024-08</v>
      </c>
      <c r="P2575" s="2">
        <v>1</v>
      </c>
    </row>
    <row r="2576" spans="1:16" x14ac:dyDescent="0.3">
      <c r="A2576" s="2" t="str">
        <f>TRIM(Table1[[#This Row],[Numer_FV]])</f>
        <v>FV/M/7101/P/24</v>
      </c>
      <c r="B2576" s="2" t="str">
        <f>TRIM(Table1[[#This Row],[Numer_PZ]])</f>
        <v>PZ/802574</v>
      </c>
      <c r="C2576" s="2" t="str">
        <f>TRIM(Table1[[#This Row],[Dostawca]])</f>
        <v>MedicaPharm</v>
      </c>
      <c r="D2576" s="3">
        <v>45509</v>
      </c>
      <c r="E2576" s="4" t="s">
        <v>7608</v>
      </c>
      <c r="F2576" s="2" t="str">
        <f>TRIM(Table1[[#This Row],[Status]])</f>
        <v>Zaakceptowana</v>
      </c>
      <c r="G2576" s="2" t="str">
        <f>TRIM(Table1[[#This Row],[Typ]])</f>
        <v>Faktura VAT</v>
      </c>
      <c r="H2576" s="2" t="str">
        <f>TRIM(Table1[[#This Row],[Magazyn]])</f>
        <v>Apteka Szpitalna</v>
      </c>
      <c r="I2576" s="2" t="str">
        <f>TRIM(Table1[[#This Row],[Umowa]])</f>
        <v>UM-MED-01</v>
      </c>
      <c r="J2576" s="2" t="b">
        <f>ISTEXT(Table14[[#This Row],[Data_Wystawienia]])</f>
        <v>0</v>
      </c>
      <c r="K2576" s="2">
        <f>VALUE(SUBSTITUTE(Table14[[#This Row],[Wartość]],".",","))</f>
        <v>7027.48</v>
      </c>
      <c r="L25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6" s="2" t="str">
        <f>IF(Table14[[#This Row],[Umowa]]="","Poza umową","Z umowy")</f>
        <v>Z umowy</v>
      </c>
      <c r="N2576" s="2">
        <f>YEAR(Table14[[#This Row],[Data_Wystawienia]])</f>
        <v>2024</v>
      </c>
      <c r="O2576" s="2" t="str">
        <f>TEXT(Table14[[#This Row],[Data_Wystawienia]],"rrrr-mm")</f>
        <v>2024-08</v>
      </c>
      <c r="P2576" s="2">
        <v>1</v>
      </c>
    </row>
    <row r="2577" spans="1:16" x14ac:dyDescent="0.3">
      <c r="A2577" s="2" t="str">
        <f>TRIM(Table1[[#This Row],[Numer_FV]])</f>
        <v>FV/27/PP/1949/24</v>
      </c>
      <c r="B2577" s="2" t="str">
        <f>TRIM(Table1[[#This Row],[Numer_PZ]])</f>
        <v>PZ/802575</v>
      </c>
      <c r="C2577" s="2" t="str">
        <f>TRIM(Table1[[#This Row],[Dostawca]])</f>
        <v>PharmaPlus</v>
      </c>
      <c r="D2577" s="3">
        <v>45510</v>
      </c>
      <c r="E2577" s="4" t="s">
        <v>7611</v>
      </c>
      <c r="F2577" s="2" t="str">
        <f>TRIM(Table1[[#This Row],[Status]])</f>
        <v>Zaakceptowana</v>
      </c>
      <c r="G2577" s="2" t="str">
        <f>TRIM(Table1[[#This Row],[Typ]])</f>
        <v>Faktura VAT</v>
      </c>
      <c r="H2577" s="2" t="str">
        <f>TRIM(Table1[[#This Row],[Magazyn]])</f>
        <v>Apteka Szpitalna</v>
      </c>
      <c r="I2577" s="2" t="str">
        <f>TRIM(Table1[[#This Row],[Umowa]])</f>
        <v>UM-PHA-02</v>
      </c>
      <c r="J2577" s="2" t="b">
        <f>ISTEXT(Table14[[#This Row],[Data_Wystawienia]])</f>
        <v>0</v>
      </c>
      <c r="K2577" s="2">
        <f>VALUE(SUBSTITUTE(Table14[[#This Row],[Wartość]],".",","))</f>
        <v>8590.42</v>
      </c>
      <c r="L25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7" s="2" t="str">
        <f>IF(Table14[[#This Row],[Umowa]]="","Poza umową","Z umowy")</f>
        <v>Z umowy</v>
      </c>
      <c r="N2577" s="2">
        <f>YEAR(Table14[[#This Row],[Data_Wystawienia]])</f>
        <v>2024</v>
      </c>
      <c r="O2577" s="2" t="str">
        <f>TEXT(Table14[[#This Row],[Data_Wystawienia]],"rrrr-mm")</f>
        <v>2024-08</v>
      </c>
      <c r="P2577" s="2">
        <v>1</v>
      </c>
    </row>
    <row r="2578" spans="1:16" x14ac:dyDescent="0.3">
      <c r="A2578" s="2" t="str">
        <f>TRIM(Table1[[#This Row],[Numer_FV]])</f>
        <v>FV/POL/32294/2024</v>
      </c>
      <c r="B2578" s="2" t="str">
        <f>TRIM(Table1[[#This Row],[Numer_PZ]])</f>
        <v>PZ/802576</v>
      </c>
      <c r="C2578" s="2" t="str">
        <f>TRIM(Table1[[#This Row],[Dostawca]])</f>
        <v>Polmedica</v>
      </c>
      <c r="D2578" s="3">
        <v>45510</v>
      </c>
      <c r="E2578" s="4" t="s">
        <v>7614</v>
      </c>
      <c r="F2578" s="2" t="str">
        <f>TRIM(Table1[[#This Row],[Status]])</f>
        <v>Zaakceptowana</v>
      </c>
      <c r="G2578" s="2" t="str">
        <f>TRIM(Table1[[#This Row],[Typ]])</f>
        <v>Faktura VAT</v>
      </c>
      <c r="H2578" s="2" t="str">
        <f>TRIM(Table1[[#This Row],[Magazyn]])</f>
        <v>Apteka Szpitalna</v>
      </c>
      <c r="I2578" s="2" t="str">
        <f>TRIM(Table1[[#This Row],[Umowa]])</f>
        <v>UM-POL-03</v>
      </c>
      <c r="J2578" s="2" t="b">
        <f>ISTEXT(Table14[[#This Row],[Data_Wystawienia]])</f>
        <v>0</v>
      </c>
      <c r="K2578" s="2">
        <f>VALUE(SUBSTITUTE(Table14[[#This Row],[Wartość]],".",","))</f>
        <v>14396.54</v>
      </c>
      <c r="L25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8" s="2" t="str">
        <f>IF(Table14[[#This Row],[Umowa]]="","Poza umową","Z umowy")</f>
        <v>Z umowy</v>
      </c>
      <c r="N2578" s="2">
        <f>YEAR(Table14[[#This Row],[Data_Wystawienia]])</f>
        <v>2024</v>
      </c>
      <c r="O2578" s="2" t="str">
        <f>TEXT(Table14[[#This Row],[Data_Wystawienia]],"rrrr-mm")</f>
        <v>2024-08</v>
      </c>
      <c r="P2578" s="2">
        <v>1</v>
      </c>
    </row>
    <row r="2579" spans="1:16" x14ac:dyDescent="0.3">
      <c r="A2579" s="2" t="str">
        <f>TRIM(Table1[[#This Row],[Numer_FV]])</f>
        <v>FV/CENFA/339768/24</v>
      </c>
      <c r="B2579" s="2" t="str">
        <f>TRIM(Table1[[#This Row],[Numer_PZ]])</f>
        <v>PZ/802577</v>
      </c>
      <c r="C2579" s="2" t="str">
        <f>TRIM(Table1[[#This Row],[Dostawca]])</f>
        <v>CentrumFarm</v>
      </c>
      <c r="D2579" s="3">
        <v>45510</v>
      </c>
      <c r="E2579" s="4" t="s">
        <v>7617</v>
      </c>
      <c r="F2579" s="2" t="str">
        <f>TRIM(Table1[[#This Row],[Status]])</f>
        <v>Zaakceptowana</v>
      </c>
      <c r="G2579" s="2" t="str">
        <f>TRIM(Table1[[#This Row],[Typ]])</f>
        <v>Faktura VAT</v>
      </c>
      <c r="H2579" s="2" t="str">
        <f>TRIM(Table1[[#This Row],[Magazyn]])</f>
        <v>Apteka Szpitalna</v>
      </c>
      <c r="I2579" s="2" t="str">
        <f>TRIM(Table1[[#This Row],[Umowa]])</f>
        <v>UM-CEN-02</v>
      </c>
      <c r="J2579" s="2" t="b">
        <f>ISTEXT(Table14[[#This Row],[Data_Wystawienia]])</f>
        <v>0</v>
      </c>
      <c r="K2579" s="2">
        <f>VALUE(SUBSTITUTE(Table14[[#This Row],[Wartość]],".",","))</f>
        <v>12365.66</v>
      </c>
      <c r="L25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79" s="2" t="str">
        <f>IF(Table14[[#This Row],[Umowa]]="","Poza umową","Z umowy")</f>
        <v>Z umowy</v>
      </c>
      <c r="N2579" s="2">
        <f>YEAR(Table14[[#This Row],[Data_Wystawienia]])</f>
        <v>2024</v>
      </c>
      <c r="O2579" s="2" t="str">
        <f>TEXT(Table14[[#This Row],[Data_Wystawienia]],"rrrr-mm")</f>
        <v>2024-08</v>
      </c>
      <c r="P2579" s="2">
        <v>1</v>
      </c>
    </row>
    <row r="2580" spans="1:16" x14ac:dyDescent="0.3">
      <c r="A2580" s="2" t="str">
        <f>TRIM(Table1[[#This Row],[Numer_FV]])</f>
        <v>FV/CENFA/221568/24</v>
      </c>
      <c r="B2580" s="2" t="str">
        <f>TRIM(Table1[[#This Row],[Numer_PZ]])</f>
        <v>PZ/802578</v>
      </c>
      <c r="C2580" s="2" t="str">
        <f>TRIM(Table1[[#This Row],[Dostawca]])</f>
        <v>CentrumFarm</v>
      </c>
      <c r="D2580" s="3">
        <v>45510</v>
      </c>
      <c r="E2580" s="4" t="s">
        <v>7620</v>
      </c>
      <c r="F2580" s="2" t="str">
        <f>TRIM(Table1[[#This Row],[Status]])</f>
        <v>Zaakceptowana</v>
      </c>
      <c r="G2580" s="2" t="str">
        <f>TRIM(Table1[[#This Row],[Typ]])</f>
        <v>Faktura VAT</v>
      </c>
      <c r="H2580" s="2" t="str">
        <f>TRIM(Table1[[#This Row],[Magazyn]])</f>
        <v>Apteka Szpitalna</v>
      </c>
      <c r="I2580" s="2" t="str">
        <f>TRIM(Table1[[#This Row],[Umowa]])</f>
        <v>UM-CEN-02</v>
      </c>
      <c r="J2580" s="2" t="b">
        <f>ISTEXT(Table14[[#This Row],[Data_Wystawienia]])</f>
        <v>0</v>
      </c>
      <c r="K2580" s="2">
        <f>VALUE(SUBSTITUTE(Table14[[#This Row],[Wartość]],".",","))</f>
        <v>7520.78</v>
      </c>
      <c r="L25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0" s="2" t="str">
        <f>IF(Table14[[#This Row],[Umowa]]="","Poza umową","Z umowy")</f>
        <v>Z umowy</v>
      </c>
      <c r="N2580" s="2">
        <f>YEAR(Table14[[#This Row],[Data_Wystawienia]])</f>
        <v>2024</v>
      </c>
      <c r="O2580" s="2" t="str">
        <f>TEXT(Table14[[#This Row],[Data_Wystawienia]],"rrrr-mm")</f>
        <v>2024-08</v>
      </c>
      <c r="P2580" s="2">
        <v>1</v>
      </c>
    </row>
    <row r="2581" spans="1:16" x14ac:dyDescent="0.3">
      <c r="A2581" s="2" t="str">
        <f>TRIM(Table1[[#This Row],[Numer_FV]])</f>
        <v>FV/7567/NOVA/24</v>
      </c>
      <c r="B2581" s="2" t="str">
        <f>TRIM(Table1[[#This Row],[Numer_PZ]])</f>
        <v>PZ/802579</v>
      </c>
      <c r="C2581" s="2" t="str">
        <f>TRIM(Table1[[#This Row],[Dostawca]])</f>
        <v>NovaLek</v>
      </c>
      <c r="D2581" s="3">
        <v>45510</v>
      </c>
      <c r="E2581" s="4" t="s">
        <v>7623</v>
      </c>
      <c r="F2581" s="2" t="str">
        <f>TRIM(Table1[[#This Row],[Status]])</f>
        <v>Zaakceptowana</v>
      </c>
      <c r="G2581" s="2" t="str">
        <f>TRIM(Table1[[#This Row],[Typ]])</f>
        <v>Faktura VAT</v>
      </c>
      <c r="H2581" s="2" t="str">
        <f>TRIM(Table1[[#This Row],[Magazyn]])</f>
        <v>Apteka Szpitalna</v>
      </c>
      <c r="I2581" s="2" t="str">
        <f>TRIM(Table1[[#This Row],[Umowa]])</f>
        <v>UM-NOV-02</v>
      </c>
      <c r="J2581" s="2" t="b">
        <f>ISTEXT(Table14[[#This Row],[Data_Wystawienia]])</f>
        <v>0</v>
      </c>
      <c r="K2581" s="2">
        <f>VALUE(SUBSTITUTE(Table14[[#This Row],[Wartość]],".",","))</f>
        <v>13956.68</v>
      </c>
      <c r="L25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1" s="2" t="str">
        <f>IF(Table14[[#This Row],[Umowa]]="","Poza umową","Z umowy")</f>
        <v>Z umowy</v>
      </c>
      <c r="N2581" s="2">
        <f>YEAR(Table14[[#This Row],[Data_Wystawienia]])</f>
        <v>2024</v>
      </c>
      <c r="O2581" s="2" t="str">
        <f>TEXT(Table14[[#This Row],[Data_Wystawienia]],"rrrr-mm")</f>
        <v>2024-08</v>
      </c>
      <c r="P2581" s="2">
        <v>1</v>
      </c>
    </row>
    <row r="2582" spans="1:16" x14ac:dyDescent="0.3">
      <c r="A2582" s="2" t="str">
        <f>TRIM(Table1[[#This Row],[Numer_FV]])</f>
        <v>FV/50774/VDb/2024</v>
      </c>
      <c r="B2582" s="2" t="str">
        <f>TRIM(Table1[[#This Row],[Numer_PZ]])</f>
        <v>PZ/802580</v>
      </c>
      <c r="C2582" s="2" t="str">
        <f>TRIM(Table1[[#This Row],[Dostawca]])</f>
        <v>VitaDistrib</v>
      </c>
      <c r="D2582" s="3">
        <v>45510</v>
      </c>
      <c r="E2582" s="4" t="s">
        <v>7626</v>
      </c>
      <c r="F2582" s="2" t="str">
        <f>TRIM(Table1[[#This Row],[Status]])</f>
        <v>Zaakceptowana</v>
      </c>
      <c r="G2582" s="2" t="str">
        <f>TRIM(Table1[[#This Row],[Typ]])</f>
        <v>Faktura VAT</v>
      </c>
      <c r="H2582" s="2" t="str">
        <f>TRIM(Table1[[#This Row],[Magazyn]])</f>
        <v>Apteka Szpitalna</v>
      </c>
      <c r="I2582" s="2" t="str">
        <f>TRIM(Table1[[#This Row],[Umowa]])</f>
        <v>UM-VIT-01</v>
      </c>
      <c r="J2582" s="2" t="b">
        <f>ISTEXT(Table14[[#This Row],[Data_Wystawienia]])</f>
        <v>0</v>
      </c>
      <c r="K2582" s="2">
        <f>VALUE(SUBSTITUTE(Table14[[#This Row],[Wartość]],".",","))</f>
        <v>23663.7</v>
      </c>
      <c r="L25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2" s="2" t="str">
        <f>IF(Table14[[#This Row],[Umowa]]="","Poza umową","Z umowy")</f>
        <v>Z umowy</v>
      </c>
      <c r="N2582" s="2">
        <f>YEAR(Table14[[#This Row],[Data_Wystawienia]])</f>
        <v>2024</v>
      </c>
      <c r="O2582" s="2" t="str">
        <f>TEXT(Table14[[#This Row],[Data_Wystawienia]],"rrrr-mm")</f>
        <v>2024-08</v>
      </c>
      <c r="P2582" s="2">
        <v>1</v>
      </c>
    </row>
    <row r="2583" spans="1:16" x14ac:dyDescent="0.3">
      <c r="A2583" s="2" t="str">
        <f>TRIM(Table1[[#This Row],[Numer_FV]])</f>
        <v>FV/7852HM/24</v>
      </c>
      <c r="B2583" s="2" t="str">
        <f>TRIM(Table1[[#This Row],[Numer_PZ]])</f>
        <v>PZ/802581</v>
      </c>
      <c r="C2583" s="2" t="str">
        <f>TRIM(Table1[[#This Row],[Dostawca]])</f>
        <v>HurtMedix</v>
      </c>
      <c r="D2583" s="3">
        <v>45510</v>
      </c>
      <c r="E2583" s="4" t="s">
        <v>7629</v>
      </c>
      <c r="F2583" s="2" t="str">
        <f>TRIM(Table1[[#This Row],[Status]])</f>
        <v>Zaakceptowana</v>
      </c>
      <c r="G2583" s="2" t="str">
        <f>TRIM(Table1[[#This Row],[Typ]])</f>
        <v>Faktura VAT</v>
      </c>
      <c r="H2583" s="2" t="str">
        <f>TRIM(Table1[[#This Row],[Magazyn]])</f>
        <v>Apteka Szpitalna</v>
      </c>
      <c r="I2583" s="2" t="str">
        <f>TRIM(Table1[[#This Row],[Umowa]])</f>
        <v>UM-HUR-02</v>
      </c>
      <c r="J2583" s="2" t="b">
        <f>ISTEXT(Table14[[#This Row],[Data_Wystawienia]])</f>
        <v>0</v>
      </c>
      <c r="K2583" s="2">
        <f>VALUE(SUBSTITUTE(Table14[[#This Row],[Wartość]],".",","))</f>
        <v>13042.69</v>
      </c>
      <c r="L25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3" s="2" t="str">
        <f>IF(Table14[[#This Row],[Umowa]]="","Poza umową","Z umowy")</f>
        <v>Z umowy</v>
      </c>
      <c r="N2583" s="2">
        <f>YEAR(Table14[[#This Row],[Data_Wystawienia]])</f>
        <v>2024</v>
      </c>
      <c r="O2583" s="2" t="str">
        <f>TEXT(Table14[[#This Row],[Data_Wystawienia]],"rrrr-mm")</f>
        <v>2024-08</v>
      </c>
      <c r="P2583" s="2">
        <v>1</v>
      </c>
    </row>
    <row r="2584" spans="1:16" x14ac:dyDescent="0.3">
      <c r="A2584" s="2" t="str">
        <f>TRIM(Table1[[#This Row],[Numer_FV]])</f>
        <v>FV/POL/23267/2024</v>
      </c>
      <c r="B2584" s="2" t="str">
        <f>TRIM(Table1[[#This Row],[Numer_PZ]])</f>
        <v>PZ/802582</v>
      </c>
      <c r="C2584" s="2" t="str">
        <f>TRIM(Table1[[#This Row],[Dostawca]])</f>
        <v>Polmedica</v>
      </c>
      <c r="D2584" s="3">
        <v>45511</v>
      </c>
      <c r="E2584" s="4" t="s">
        <v>7632</v>
      </c>
      <c r="F2584" s="2" t="str">
        <f>TRIM(Table1[[#This Row],[Status]])</f>
        <v>Zaakceptowana</v>
      </c>
      <c r="G2584" s="2" t="str">
        <f>TRIM(Table1[[#This Row],[Typ]])</f>
        <v>Faktura VAT</v>
      </c>
      <c r="H2584" s="2" t="str">
        <f>TRIM(Table1[[#This Row],[Magazyn]])</f>
        <v>Apteka Szpitalna</v>
      </c>
      <c r="I2584" s="2" t="str">
        <f>TRIM(Table1[[#This Row],[Umowa]])</f>
        <v>UM-POL-02</v>
      </c>
      <c r="J2584" s="2" t="b">
        <f>ISTEXT(Table14[[#This Row],[Data_Wystawienia]])</f>
        <v>0</v>
      </c>
      <c r="K2584" s="2">
        <f>VALUE(SUBSTITUTE(Table14[[#This Row],[Wartość]],".",","))</f>
        <v>12327.9</v>
      </c>
      <c r="L25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4" s="2" t="str">
        <f>IF(Table14[[#This Row],[Umowa]]="","Poza umową","Z umowy")</f>
        <v>Z umowy</v>
      </c>
      <c r="N2584" s="2">
        <f>YEAR(Table14[[#This Row],[Data_Wystawienia]])</f>
        <v>2024</v>
      </c>
      <c r="O2584" s="2" t="str">
        <f>TEXT(Table14[[#This Row],[Data_Wystawienia]],"rrrr-mm")</f>
        <v>2024-08</v>
      </c>
      <c r="P2584" s="2">
        <v>1</v>
      </c>
    </row>
    <row r="2585" spans="1:16" x14ac:dyDescent="0.3">
      <c r="A2585" s="2" t="str">
        <f>TRIM(Table1[[#This Row],[Numer_FV]])</f>
        <v>FV/CENFA/220318/24</v>
      </c>
      <c r="B2585" s="2" t="str">
        <f>TRIM(Table1[[#This Row],[Numer_PZ]])</f>
        <v>PZ/802583</v>
      </c>
      <c r="C2585" s="2" t="str">
        <f>TRIM(Table1[[#This Row],[Dostawca]])</f>
        <v>CentrumFarm</v>
      </c>
      <c r="D2585" s="3">
        <v>45511</v>
      </c>
      <c r="E2585" s="4" t="s">
        <v>7635</v>
      </c>
      <c r="F2585" s="2" t="str">
        <f>TRIM(Table1[[#This Row],[Status]])</f>
        <v>Zaakceptowana</v>
      </c>
      <c r="G2585" s="2" t="str">
        <f>TRIM(Table1[[#This Row],[Typ]])</f>
        <v>Faktura VAT</v>
      </c>
      <c r="H2585" s="2" t="str">
        <f>TRIM(Table1[[#This Row],[Magazyn]])</f>
        <v>Apteka Szpitalna</v>
      </c>
      <c r="I2585" s="2" t="str">
        <f>TRIM(Table1[[#This Row],[Umowa]])</f>
        <v>UM-CEN-02</v>
      </c>
      <c r="J2585" s="2" t="b">
        <f>ISTEXT(Table14[[#This Row],[Data_Wystawienia]])</f>
        <v>0</v>
      </c>
      <c r="K2585" s="2">
        <f>VALUE(SUBSTITUTE(Table14[[#This Row],[Wartość]],".",","))</f>
        <v>8937.49</v>
      </c>
      <c r="L25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5" s="2" t="str">
        <f>IF(Table14[[#This Row],[Umowa]]="","Poza umową","Z umowy")</f>
        <v>Z umowy</v>
      </c>
      <c r="N2585" s="2">
        <f>YEAR(Table14[[#This Row],[Data_Wystawienia]])</f>
        <v>2024</v>
      </c>
      <c r="O2585" s="2" t="str">
        <f>TEXT(Table14[[#This Row],[Data_Wystawienia]],"rrrr-mm")</f>
        <v>2024-08</v>
      </c>
      <c r="P2585" s="2">
        <v>1</v>
      </c>
    </row>
    <row r="2586" spans="1:16" x14ac:dyDescent="0.3">
      <c r="A2586" s="2" t="str">
        <f>TRIM(Table1[[#This Row],[Numer_FV]])</f>
        <v>FV/82250/VDb/2024</v>
      </c>
      <c r="B2586" s="2" t="str">
        <f>TRIM(Table1[[#This Row],[Numer_PZ]])</f>
        <v>PZ/802584</v>
      </c>
      <c r="C2586" s="2" t="str">
        <f>TRIM(Table1[[#This Row],[Dostawca]])</f>
        <v>VitaDistrib</v>
      </c>
      <c r="D2586" s="3">
        <v>45511</v>
      </c>
      <c r="E2586" s="4" t="s">
        <v>7638</v>
      </c>
      <c r="F2586" s="2" t="str">
        <f>TRIM(Table1[[#This Row],[Status]])</f>
        <v>Zaakceptowana</v>
      </c>
      <c r="G2586" s="2" t="str">
        <f>TRIM(Table1[[#This Row],[Typ]])</f>
        <v>Faktura VAT</v>
      </c>
      <c r="H2586" s="2" t="str">
        <f>TRIM(Table1[[#This Row],[Magazyn]])</f>
        <v>Apteka Szpitalna</v>
      </c>
      <c r="I2586" s="2" t="str">
        <f>TRIM(Table1[[#This Row],[Umowa]])</f>
        <v/>
      </c>
      <c r="J2586" s="2" t="b">
        <f>ISTEXT(Table14[[#This Row],[Data_Wystawienia]])</f>
        <v>0</v>
      </c>
      <c r="K2586" s="2">
        <f>VALUE(SUBSTITUTE(Table14[[#This Row],[Wartość]],".",","))</f>
        <v>25716.26</v>
      </c>
      <c r="L25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6" s="2" t="str">
        <f>IF(Table14[[#This Row],[Umowa]]="","Poza umową","Z umowy")</f>
        <v>Poza umową</v>
      </c>
      <c r="N2586" s="2">
        <f>YEAR(Table14[[#This Row],[Data_Wystawienia]])</f>
        <v>2024</v>
      </c>
      <c r="O2586" s="2" t="str">
        <f>TEXT(Table14[[#This Row],[Data_Wystawienia]],"rrrr-mm")</f>
        <v>2024-08</v>
      </c>
      <c r="P2586" s="2">
        <v>1</v>
      </c>
    </row>
    <row r="2587" spans="1:16" x14ac:dyDescent="0.3">
      <c r="A2587" s="2" t="str">
        <f>TRIM(Table1[[#This Row],[Numer_FV]])</f>
        <v>FV/2878/NOVA/24</v>
      </c>
      <c r="B2587" s="2" t="str">
        <f>TRIM(Table1[[#This Row],[Numer_PZ]])</f>
        <v>PZ/802585</v>
      </c>
      <c r="C2587" s="2" t="str">
        <f>TRIM(Table1[[#This Row],[Dostawca]])</f>
        <v>NovaLek</v>
      </c>
      <c r="D2587" s="3">
        <v>45511</v>
      </c>
      <c r="E2587" s="4" t="s">
        <v>7641</v>
      </c>
      <c r="F2587" s="2" t="str">
        <f>TRIM(Table1[[#This Row],[Status]])</f>
        <v>Zaakceptowana</v>
      </c>
      <c r="G2587" s="2" t="str">
        <f>TRIM(Table1[[#This Row],[Typ]])</f>
        <v>Faktura VAT</v>
      </c>
      <c r="H2587" s="2" t="str">
        <f>TRIM(Table1[[#This Row],[Magazyn]])</f>
        <v>Apteka Szpitalna</v>
      </c>
      <c r="I2587" s="2" t="str">
        <f>TRIM(Table1[[#This Row],[Umowa]])</f>
        <v>UM-NOV-02</v>
      </c>
      <c r="J2587" s="2" t="b">
        <f>ISTEXT(Table14[[#This Row],[Data_Wystawienia]])</f>
        <v>0</v>
      </c>
      <c r="K2587" s="2">
        <f>VALUE(SUBSTITUTE(Table14[[#This Row],[Wartość]],".",","))</f>
        <v>7340.21</v>
      </c>
      <c r="L25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7" s="2" t="str">
        <f>IF(Table14[[#This Row],[Umowa]]="","Poza umową","Z umowy")</f>
        <v>Z umowy</v>
      </c>
      <c r="N2587" s="2">
        <f>YEAR(Table14[[#This Row],[Data_Wystawienia]])</f>
        <v>2024</v>
      </c>
      <c r="O2587" s="2" t="str">
        <f>TEXT(Table14[[#This Row],[Data_Wystawienia]],"rrrr-mm")</f>
        <v>2024-08</v>
      </c>
      <c r="P2587" s="2">
        <v>1</v>
      </c>
    </row>
    <row r="2588" spans="1:16" x14ac:dyDescent="0.3">
      <c r="A2588" s="2" t="str">
        <f>TRIM(Table1[[#This Row],[Numer_FV]])</f>
        <v>FV/52477/VDb/2024</v>
      </c>
      <c r="B2588" s="2" t="str">
        <f>TRIM(Table1[[#This Row],[Numer_PZ]])</f>
        <v>PZ/802586</v>
      </c>
      <c r="C2588" s="2" t="str">
        <f>TRIM(Table1[[#This Row],[Dostawca]])</f>
        <v>VitaDistrib</v>
      </c>
      <c r="D2588" s="3">
        <v>45511</v>
      </c>
      <c r="E2588" s="4" t="s">
        <v>7644</v>
      </c>
      <c r="F2588" s="2" t="str">
        <f>TRIM(Table1[[#This Row],[Status]])</f>
        <v>Zaakceptowana</v>
      </c>
      <c r="G2588" s="2" t="str">
        <f>TRIM(Table1[[#This Row],[Typ]])</f>
        <v>Faktura VAT</v>
      </c>
      <c r="H2588" s="2" t="str">
        <f>TRIM(Table1[[#This Row],[Magazyn]])</f>
        <v>Apteka Szpitalna</v>
      </c>
      <c r="I2588" s="2" t="str">
        <f>TRIM(Table1[[#This Row],[Umowa]])</f>
        <v>UM-VIT-01</v>
      </c>
      <c r="J2588" s="2" t="b">
        <f>ISTEXT(Table14[[#This Row],[Data_Wystawienia]])</f>
        <v>0</v>
      </c>
      <c r="K2588" s="2">
        <f>VALUE(SUBSTITUTE(Table14[[#This Row],[Wartość]],".",","))</f>
        <v>12575.46</v>
      </c>
      <c r="L25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8" s="2" t="str">
        <f>IF(Table14[[#This Row],[Umowa]]="","Poza umową","Z umowy")</f>
        <v>Z umowy</v>
      </c>
      <c r="N2588" s="2">
        <f>YEAR(Table14[[#This Row],[Data_Wystawienia]])</f>
        <v>2024</v>
      </c>
      <c r="O2588" s="2" t="str">
        <f>TEXT(Table14[[#This Row],[Data_Wystawienia]],"rrrr-mm")</f>
        <v>2024-08</v>
      </c>
      <c r="P2588" s="2">
        <v>1</v>
      </c>
    </row>
    <row r="2589" spans="1:16" x14ac:dyDescent="0.3">
      <c r="A2589" s="2" t="str">
        <f>TRIM(Table1[[#This Row],[Numer_FV]])</f>
        <v>FV/3373/NOVA/24</v>
      </c>
      <c r="B2589" s="2" t="str">
        <f>TRIM(Table1[[#This Row],[Numer_PZ]])</f>
        <v>PZ/802587</v>
      </c>
      <c r="C2589" s="2" t="str">
        <f>TRIM(Table1[[#This Row],[Dostawca]])</f>
        <v>NovaLek</v>
      </c>
      <c r="D2589" s="3">
        <v>45511</v>
      </c>
      <c r="E2589" s="4" t="s">
        <v>7647</v>
      </c>
      <c r="F2589" s="2" t="str">
        <f>TRIM(Table1[[#This Row],[Status]])</f>
        <v>Zaakceptowana</v>
      </c>
      <c r="G2589" s="2" t="str">
        <f>TRIM(Table1[[#This Row],[Typ]])</f>
        <v>Faktura VAT</v>
      </c>
      <c r="H2589" s="2" t="str">
        <f>TRIM(Table1[[#This Row],[Magazyn]])</f>
        <v>Apteka Szpitalna</v>
      </c>
      <c r="I2589" s="2" t="str">
        <f>TRIM(Table1[[#This Row],[Umowa]])</f>
        <v>UM-NOV-03</v>
      </c>
      <c r="J2589" s="2" t="b">
        <f>ISTEXT(Table14[[#This Row],[Data_Wystawienia]])</f>
        <v>0</v>
      </c>
      <c r="K2589" s="2">
        <f>VALUE(SUBSTITUTE(Table14[[#This Row],[Wartość]],".",","))</f>
        <v>18579.240000000002</v>
      </c>
      <c r="L25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89" s="2" t="str">
        <f>IF(Table14[[#This Row],[Umowa]]="","Poza umową","Z umowy")</f>
        <v>Z umowy</v>
      </c>
      <c r="N2589" s="2">
        <f>YEAR(Table14[[#This Row],[Data_Wystawienia]])</f>
        <v>2024</v>
      </c>
      <c r="O2589" s="2" t="str">
        <f>TEXT(Table14[[#This Row],[Data_Wystawienia]],"rrrr-mm")</f>
        <v>2024-08</v>
      </c>
      <c r="P2589" s="2">
        <v>1</v>
      </c>
    </row>
    <row r="2590" spans="1:16" x14ac:dyDescent="0.3">
      <c r="A2590" s="2" t="str">
        <f>TRIM(Table1[[#This Row],[Numer_FV]])</f>
        <v>FV/CENFA/529364/24</v>
      </c>
      <c r="B2590" s="2" t="str">
        <f>TRIM(Table1[[#This Row],[Numer_PZ]])</f>
        <v>PZ/802588</v>
      </c>
      <c r="C2590" s="2" t="str">
        <f>TRIM(Table1[[#This Row],[Dostawca]])</f>
        <v>CentrumFarm</v>
      </c>
      <c r="D2590" s="3">
        <v>45511</v>
      </c>
      <c r="E2590" s="4" t="s">
        <v>7650</v>
      </c>
      <c r="F2590" s="2" t="str">
        <f>TRIM(Table1[[#This Row],[Status]])</f>
        <v>Zaakceptowana</v>
      </c>
      <c r="G2590" s="2" t="str">
        <f>TRIM(Table1[[#This Row],[Typ]])</f>
        <v>Faktura VAT</v>
      </c>
      <c r="H2590" s="2" t="str">
        <f>TRIM(Table1[[#This Row],[Magazyn]])</f>
        <v>Apteka Szpitalna</v>
      </c>
      <c r="I2590" s="2" t="str">
        <f>TRIM(Table1[[#This Row],[Umowa]])</f>
        <v/>
      </c>
      <c r="J2590" s="2" t="b">
        <f>ISTEXT(Table14[[#This Row],[Data_Wystawienia]])</f>
        <v>0</v>
      </c>
      <c r="K2590" s="2">
        <f>VALUE(SUBSTITUTE(Table14[[#This Row],[Wartość]],".",","))</f>
        <v>11368.6</v>
      </c>
      <c r="L25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0" s="2" t="str">
        <f>IF(Table14[[#This Row],[Umowa]]="","Poza umową","Z umowy")</f>
        <v>Poza umową</v>
      </c>
      <c r="N2590" s="2">
        <f>YEAR(Table14[[#This Row],[Data_Wystawienia]])</f>
        <v>2024</v>
      </c>
      <c r="O2590" s="2" t="str">
        <f>TEXT(Table14[[#This Row],[Data_Wystawienia]],"rrrr-mm")</f>
        <v>2024-08</v>
      </c>
      <c r="P2590" s="2">
        <v>1</v>
      </c>
    </row>
    <row r="2591" spans="1:16" x14ac:dyDescent="0.3">
      <c r="A2591" s="2" t="str">
        <f>TRIM(Table1[[#This Row],[Numer_FV]])</f>
        <v>FV/6846HM/24</v>
      </c>
      <c r="B2591" s="2" t="str">
        <f>TRIM(Table1[[#This Row],[Numer_PZ]])</f>
        <v>PZ/802589</v>
      </c>
      <c r="C2591" s="2" t="str">
        <f>TRIM(Table1[[#This Row],[Dostawca]])</f>
        <v>HurtMedix</v>
      </c>
      <c r="D2591" s="3">
        <v>45512</v>
      </c>
      <c r="E2591" s="4" t="s">
        <v>7653</v>
      </c>
      <c r="F2591" s="2" t="str">
        <f>TRIM(Table1[[#This Row],[Status]])</f>
        <v>Zaakceptowana</v>
      </c>
      <c r="G2591" s="2" t="str">
        <f>TRIM(Table1[[#This Row],[Typ]])</f>
        <v>Faktura VAT</v>
      </c>
      <c r="H2591" s="2" t="str">
        <f>TRIM(Table1[[#This Row],[Magazyn]])</f>
        <v>Apteka Szpitalna</v>
      </c>
      <c r="I2591" s="2" t="str">
        <f>TRIM(Table1[[#This Row],[Umowa]])</f>
        <v>UM-HUR-01</v>
      </c>
      <c r="J2591" s="2" t="b">
        <f>ISTEXT(Table14[[#This Row],[Data_Wystawienia]])</f>
        <v>0</v>
      </c>
      <c r="K2591" s="2">
        <f>VALUE(SUBSTITUTE(Table14[[#This Row],[Wartość]],".",","))</f>
        <v>13829.29</v>
      </c>
      <c r="L25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1" s="2" t="str">
        <f>IF(Table14[[#This Row],[Umowa]]="","Poza umową","Z umowy")</f>
        <v>Z umowy</v>
      </c>
      <c r="N2591" s="2">
        <f>YEAR(Table14[[#This Row],[Data_Wystawienia]])</f>
        <v>2024</v>
      </c>
      <c r="O2591" s="2" t="str">
        <f>TEXT(Table14[[#This Row],[Data_Wystawienia]],"rrrr-mm")</f>
        <v>2024-08</v>
      </c>
      <c r="P2591" s="2">
        <v>1</v>
      </c>
    </row>
    <row r="2592" spans="1:16" x14ac:dyDescent="0.3">
      <c r="A2592" s="2" t="str">
        <f>TRIM(Table1[[#This Row],[Numer_FV]])</f>
        <v>FV/8603/NOVA/24</v>
      </c>
      <c r="B2592" s="2" t="str">
        <f>TRIM(Table1[[#This Row],[Numer_PZ]])</f>
        <v>PZ/802590</v>
      </c>
      <c r="C2592" s="2" t="str">
        <f>TRIM(Table1[[#This Row],[Dostawca]])</f>
        <v>NovaLek</v>
      </c>
      <c r="D2592" s="3">
        <v>45512</v>
      </c>
      <c r="E2592" s="4" t="s">
        <v>7656</v>
      </c>
      <c r="F2592" s="2" t="str">
        <f>TRIM(Table1[[#This Row],[Status]])</f>
        <v>Zaakceptowana</v>
      </c>
      <c r="G2592" s="2" t="str">
        <f>TRIM(Table1[[#This Row],[Typ]])</f>
        <v>Faktura VAT</v>
      </c>
      <c r="H2592" s="2" t="str">
        <f>TRIM(Table1[[#This Row],[Magazyn]])</f>
        <v>Apteka Szpitalna</v>
      </c>
      <c r="I2592" s="2" t="str">
        <f>TRIM(Table1[[#This Row],[Umowa]])</f>
        <v/>
      </c>
      <c r="J2592" s="2" t="b">
        <f>ISTEXT(Table14[[#This Row],[Data_Wystawienia]])</f>
        <v>0</v>
      </c>
      <c r="K2592" s="2">
        <f>VALUE(SUBSTITUTE(Table14[[#This Row],[Wartość]],".",","))</f>
        <v>18448.11</v>
      </c>
      <c r="L25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2" s="2" t="str">
        <f>IF(Table14[[#This Row],[Umowa]]="","Poza umową","Z umowy")</f>
        <v>Poza umową</v>
      </c>
      <c r="N2592" s="2">
        <f>YEAR(Table14[[#This Row],[Data_Wystawienia]])</f>
        <v>2024</v>
      </c>
      <c r="O2592" s="2" t="str">
        <f>TEXT(Table14[[#This Row],[Data_Wystawienia]],"rrrr-mm")</f>
        <v>2024-08</v>
      </c>
      <c r="P2592" s="2">
        <v>1</v>
      </c>
    </row>
    <row r="2593" spans="1:16" x14ac:dyDescent="0.3">
      <c r="A2593" s="2" t="str">
        <f>TRIM(Table1[[#This Row],[Numer_FV]])</f>
        <v>FV/M/3766/P/24</v>
      </c>
      <c r="B2593" s="2" t="str">
        <f>TRIM(Table1[[#This Row],[Numer_PZ]])</f>
        <v>PZ/802591</v>
      </c>
      <c r="C2593" s="2" t="str">
        <f>TRIM(Table1[[#This Row],[Dostawca]])</f>
        <v>MedicaPharm</v>
      </c>
      <c r="D2593" s="3">
        <v>45512</v>
      </c>
      <c r="E2593" s="4" t="s">
        <v>7659</v>
      </c>
      <c r="F2593" s="2" t="str">
        <f>TRIM(Table1[[#This Row],[Status]])</f>
        <v>Zaakceptowana</v>
      </c>
      <c r="G2593" s="2" t="str">
        <f>TRIM(Table1[[#This Row],[Typ]])</f>
        <v>Faktura VAT</v>
      </c>
      <c r="H2593" s="2" t="str">
        <f>TRIM(Table1[[#This Row],[Magazyn]])</f>
        <v>Apteka Szpitalna</v>
      </c>
      <c r="I2593" s="2" t="str">
        <f>TRIM(Table1[[#This Row],[Umowa]])</f>
        <v>UM-MED-02</v>
      </c>
      <c r="J2593" s="2" t="b">
        <f>ISTEXT(Table14[[#This Row],[Data_Wystawienia]])</f>
        <v>0</v>
      </c>
      <c r="K2593" s="2">
        <f>VALUE(SUBSTITUTE(Table14[[#This Row],[Wartość]],".",","))</f>
        <v>20364.57</v>
      </c>
      <c r="L25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3" s="2" t="str">
        <f>IF(Table14[[#This Row],[Umowa]]="","Poza umową","Z umowy")</f>
        <v>Z umowy</v>
      </c>
      <c r="N2593" s="2">
        <f>YEAR(Table14[[#This Row],[Data_Wystawienia]])</f>
        <v>2024</v>
      </c>
      <c r="O2593" s="2" t="str">
        <f>TEXT(Table14[[#This Row],[Data_Wystawienia]],"rrrr-mm")</f>
        <v>2024-08</v>
      </c>
      <c r="P2593" s="2">
        <v>1</v>
      </c>
    </row>
    <row r="2594" spans="1:16" x14ac:dyDescent="0.3">
      <c r="A2594" s="2" t="str">
        <f>TRIM(Table1[[#This Row],[Numer_FV]])</f>
        <v>FV/5256/NOVA/24</v>
      </c>
      <c r="B2594" s="2" t="str">
        <f>TRIM(Table1[[#This Row],[Numer_PZ]])</f>
        <v>PZ/802592</v>
      </c>
      <c r="C2594" s="2" t="str">
        <f>TRIM(Table1[[#This Row],[Dostawca]])</f>
        <v>NovaLek</v>
      </c>
      <c r="D2594" s="3">
        <v>45512</v>
      </c>
      <c r="E2594" s="4" t="s">
        <v>7662</v>
      </c>
      <c r="F2594" s="2" t="str">
        <f>TRIM(Table1[[#This Row],[Status]])</f>
        <v>Zaakceptowana</v>
      </c>
      <c r="G2594" s="2" t="str">
        <f>TRIM(Table1[[#This Row],[Typ]])</f>
        <v>Faktura VAT</v>
      </c>
      <c r="H2594" s="2" t="str">
        <f>TRIM(Table1[[#This Row],[Magazyn]])</f>
        <v>Apteka Szpitalna</v>
      </c>
      <c r="I2594" s="2" t="str">
        <f>TRIM(Table1[[#This Row],[Umowa]])</f>
        <v>UM-NOV-03</v>
      </c>
      <c r="J2594" s="2" t="b">
        <f>ISTEXT(Table14[[#This Row],[Data_Wystawienia]])</f>
        <v>0</v>
      </c>
      <c r="K2594" s="2">
        <f>VALUE(SUBSTITUTE(Table14[[#This Row],[Wartość]],".",","))</f>
        <v>15920.04</v>
      </c>
      <c r="L25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4" s="2" t="str">
        <f>IF(Table14[[#This Row],[Umowa]]="","Poza umową","Z umowy")</f>
        <v>Z umowy</v>
      </c>
      <c r="N2594" s="2">
        <f>YEAR(Table14[[#This Row],[Data_Wystawienia]])</f>
        <v>2024</v>
      </c>
      <c r="O2594" s="2" t="str">
        <f>TEXT(Table14[[#This Row],[Data_Wystawienia]],"rrrr-mm")</f>
        <v>2024-08</v>
      </c>
      <c r="P2594" s="2">
        <v>1</v>
      </c>
    </row>
    <row r="2595" spans="1:16" x14ac:dyDescent="0.3">
      <c r="A2595" s="2" t="str">
        <f>TRIM(Table1[[#This Row],[Numer_FV]])</f>
        <v>FV/99873/VDb/2024</v>
      </c>
      <c r="B2595" s="2" t="str">
        <f>TRIM(Table1[[#This Row],[Numer_PZ]])</f>
        <v>PZ/802593</v>
      </c>
      <c r="C2595" s="2" t="str">
        <f>TRIM(Table1[[#This Row],[Dostawca]])</f>
        <v>VitaDistrib</v>
      </c>
      <c r="D2595" s="3">
        <v>45512</v>
      </c>
      <c r="E2595" s="4" t="s">
        <v>7665</v>
      </c>
      <c r="F2595" s="2" t="str">
        <f>TRIM(Table1[[#This Row],[Status]])</f>
        <v>Zaakceptowana</v>
      </c>
      <c r="G2595" s="2" t="str">
        <f>TRIM(Table1[[#This Row],[Typ]])</f>
        <v>Faktura VAT</v>
      </c>
      <c r="H2595" s="2" t="str">
        <f>TRIM(Table1[[#This Row],[Magazyn]])</f>
        <v>Apteka Szpitalna</v>
      </c>
      <c r="I2595" s="2" t="str">
        <f>TRIM(Table1[[#This Row],[Umowa]])</f>
        <v>UM-VIT-01</v>
      </c>
      <c r="J2595" s="2" t="b">
        <f>ISTEXT(Table14[[#This Row],[Data_Wystawienia]])</f>
        <v>0</v>
      </c>
      <c r="K2595" s="2">
        <f>VALUE(SUBSTITUTE(Table14[[#This Row],[Wartość]],".",","))</f>
        <v>21176.23</v>
      </c>
      <c r="L25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5" s="2" t="str">
        <f>IF(Table14[[#This Row],[Umowa]]="","Poza umową","Z umowy")</f>
        <v>Z umowy</v>
      </c>
      <c r="N2595" s="2">
        <f>YEAR(Table14[[#This Row],[Data_Wystawienia]])</f>
        <v>2024</v>
      </c>
      <c r="O2595" s="2" t="str">
        <f>TEXT(Table14[[#This Row],[Data_Wystawienia]],"rrrr-mm")</f>
        <v>2024-08</v>
      </c>
      <c r="P2595" s="2">
        <v>1</v>
      </c>
    </row>
    <row r="2596" spans="1:16" x14ac:dyDescent="0.3">
      <c r="A2596" s="2" t="str">
        <f>TRIM(Table1[[#This Row],[Numer_FV]])</f>
        <v>FV/5025HM/24</v>
      </c>
      <c r="B2596" s="2" t="str">
        <f>TRIM(Table1[[#This Row],[Numer_PZ]])</f>
        <v>PZ/802594</v>
      </c>
      <c r="C2596" s="2" t="str">
        <f>TRIM(Table1[[#This Row],[Dostawca]])</f>
        <v>HurtMedix</v>
      </c>
      <c r="D2596" s="3">
        <v>45512</v>
      </c>
      <c r="E2596" s="4" t="s">
        <v>7668</v>
      </c>
      <c r="F2596" s="2" t="str">
        <f>TRIM(Table1[[#This Row],[Status]])</f>
        <v>Zaakceptowana</v>
      </c>
      <c r="G2596" s="2" t="str">
        <f>TRIM(Table1[[#This Row],[Typ]])</f>
        <v>Faktura VAT</v>
      </c>
      <c r="H2596" s="2" t="str">
        <f>TRIM(Table1[[#This Row],[Magazyn]])</f>
        <v>Apteka Szpitalna</v>
      </c>
      <c r="I2596" s="2" t="str">
        <f>TRIM(Table1[[#This Row],[Umowa]])</f>
        <v>UM-HUR-02</v>
      </c>
      <c r="J2596" s="2" t="b">
        <f>ISTEXT(Table14[[#This Row],[Data_Wystawienia]])</f>
        <v>0</v>
      </c>
      <c r="K2596" s="2">
        <f>VALUE(SUBSTITUTE(Table14[[#This Row],[Wartość]],".",","))</f>
        <v>9879.75</v>
      </c>
      <c r="L25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6" s="2" t="str">
        <f>IF(Table14[[#This Row],[Umowa]]="","Poza umową","Z umowy")</f>
        <v>Z umowy</v>
      </c>
      <c r="N2596" s="2">
        <f>YEAR(Table14[[#This Row],[Data_Wystawienia]])</f>
        <v>2024</v>
      </c>
      <c r="O2596" s="2" t="str">
        <f>TEXT(Table14[[#This Row],[Data_Wystawienia]],"rrrr-mm")</f>
        <v>2024-08</v>
      </c>
      <c r="P2596" s="2">
        <v>1</v>
      </c>
    </row>
    <row r="2597" spans="1:16" x14ac:dyDescent="0.3">
      <c r="A2597" s="2" t="str">
        <f>TRIM(Table1[[#This Row],[Numer_FV]])</f>
        <v>FV/47/PP/1318/24</v>
      </c>
      <c r="B2597" s="2" t="str">
        <f>TRIM(Table1[[#This Row],[Numer_PZ]])</f>
        <v>PZ/802595</v>
      </c>
      <c r="C2597" s="2" t="str">
        <f>TRIM(Table1[[#This Row],[Dostawca]])</f>
        <v>PharmaPlus</v>
      </c>
      <c r="D2597" s="3">
        <v>45513</v>
      </c>
      <c r="E2597" s="4" t="s">
        <v>7671</v>
      </c>
      <c r="F2597" s="2" t="str">
        <f>TRIM(Table1[[#This Row],[Status]])</f>
        <v>Zaakceptowana</v>
      </c>
      <c r="G2597" s="2" t="str">
        <f>TRIM(Table1[[#This Row],[Typ]])</f>
        <v>Faktura VAT</v>
      </c>
      <c r="H2597" s="2" t="str">
        <f>TRIM(Table1[[#This Row],[Magazyn]])</f>
        <v>Apteka Szpitalna</v>
      </c>
      <c r="I2597" s="2" t="str">
        <f>TRIM(Table1[[#This Row],[Umowa]])</f>
        <v/>
      </c>
      <c r="J2597" s="2" t="b">
        <f>ISTEXT(Table14[[#This Row],[Data_Wystawienia]])</f>
        <v>0</v>
      </c>
      <c r="K2597" s="2">
        <f>VALUE(SUBSTITUTE(Table14[[#This Row],[Wartość]],".",","))</f>
        <v>17908.97</v>
      </c>
      <c r="L25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7" s="2" t="str">
        <f>IF(Table14[[#This Row],[Umowa]]="","Poza umową","Z umowy")</f>
        <v>Poza umową</v>
      </c>
      <c r="N2597" s="2">
        <f>YEAR(Table14[[#This Row],[Data_Wystawienia]])</f>
        <v>2024</v>
      </c>
      <c r="O2597" s="2" t="str">
        <f>TEXT(Table14[[#This Row],[Data_Wystawienia]],"rrrr-mm")</f>
        <v>2024-08</v>
      </c>
      <c r="P2597" s="2">
        <v>1</v>
      </c>
    </row>
    <row r="2598" spans="1:16" x14ac:dyDescent="0.3">
      <c r="A2598" s="2" t="str">
        <f>TRIM(Table1[[#This Row],[Numer_FV]])</f>
        <v>FV/CENFA/264927/24</v>
      </c>
      <c r="B2598" s="2" t="str">
        <f>TRIM(Table1[[#This Row],[Numer_PZ]])</f>
        <v>PZ/802596</v>
      </c>
      <c r="C2598" s="2" t="str">
        <f>TRIM(Table1[[#This Row],[Dostawca]])</f>
        <v>CentrumFarm</v>
      </c>
      <c r="D2598" s="3">
        <v>45514</v>
      </c>
      <c r="E2598" s="4" t="s">
        <v>7674</v>
      </c>
      <c r="F2598" s="2" t="str">
        <f>TRIM(Table1[[#This Row],[Status]])</f>
        <v>Zaakceptowana</v>
      </c>
      <c r="G2598" s="2" t="str">
        <f>TRIM(Table1[[#This Row],[Typ]])</f>
        <v>Faktura VAT</v>
      </c>
      <c r="H2598" s="2" t="str">
        <f>TRIM(Table1[[#This Row],[Magazyn]])</f>
        <v>Apteka Szpitalna</v>
      </c>
      <c r="I2598" s="2" t="str">
        <f>TRIM(Table1[[#This Row],[Umowa]])</f>
        <v>UM-CEN-01</v>
      </c>
      <c r="J2598" s="2" t="b">
        <f>ISTEXT(Table14[[#This Row],[Data_Wystawienia]])</f>
        <v>0</v>
      </c>
      <c r="K2598" s="2">
        <f>VALUE(SUBSTITUTE(Table14[[#This Row],[Wartość]],".",","))</f>
        <v>15454.43</v>
      </c>
      <c r="L25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8" s="2" t="str">
        <f>IF(Table14[[#This Row],[Umowa]]="","Poza umową","Z umowy")</f>
        <v>Z umowy</v>
      </c>
      <c r="N2598" s="2">
        <f>YEAR(Table14[[#This Row],[Data_Wystawienia]])</f>
        <v>2024</v>
      </c>
      <c r="O2598" s="2" t="str">
        <f>TEXT(Table14[[#This Row],[Data_Wystawienia]],"rrrr-mm")</f>
        <v>2024-08</v>
      </c>
      <c r="P2598" s="2">
        <v>1</v>
      </c>
    </row>
    <row r="2599" spans="1:16" x14ac:dyDescent="0.3">
      <c r="A2599" s="2" t="str">
        <f>TRIM(Table1[[#This Row],[Numer_FV]])</f>
        <v>FV/84888/VDb/2024</v>
      </c>
      <c r="B2599" s="2" t="str">
        <f>TRIM(Table1[[#This Row],[Numer_PZ]])</f>
        <v>PZ/802597</v>
      </c>
      <c r="C2599" s="2" t="str">
        <f>TRIM(Table1[[#This Row],[Dostawca]])</f>
        <v>VitaDistrib</v>
      </c>
      <c r="D2599" s="3">
        <v>45514</v>
      </c>
      <c r="E2599" s="4" t="s">
        <v>7677</v>
      </c>
      <c r="F2599" s="2" t="str">
        <f>TRIM(Table1[[#This Row],[Status]])</f>
        <v>Zaakceptowana</v>
      </c>
      <c r="G2599" s="2" t="str">
        <f>TRIM(Table1[[#This Row],[Typ]])</f>
        <v>Faktura VAT</v>
      </c>
      <c r="H2599" s="2" t="str">
        <f>TRIM(Table1[[#This Row],[Magazyn]])</f>
        <v>Apteka Szpitalna</v>
      </c>
      <c r="I2599" s="2" t="str">
        <f>TRIM(Table1[[#This Row],[Umowa]])</f>
        <v>UM-VIT-01</v>
      </c>
      <c r="J2599" s="2" t="b">
        <f>ISTEXT(Table14[[#This Row],[Data_Wystawienia]])</f>
        <v>0</v>
      </c>
      <c r="K2599" s="2">
        <f>VALUE(SUBSTITUTE(Table14[[#This Row],[Wartość]],".",","))</f>
        <v>12849.9</v>
      </c>
      <c r="L25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599" s="2" t="str">
        <f>IF(Table14[[#This Row],[Umowa]]="","Poza umową","Z umowy")</f>
        <v>Z umowy</v>
      </c>
      <c r="N2599" s="2">
        <f>YEAR(Table14[[#This Row],[Data_Wystawienia]])</f>
        <v>2024</v>
      </c>
      <c r="O2599" s="2" t="str">
        <f>TEXT(Table14[[#This Row],[Data_Wystawienia]],"rrrr-mm")</f>
        <v>2024-08</v>
      </c>
      <c r="P2599" s="2">
        <v>1</v>
      </c>
    </row>
    <row r="2600" spans="1:16" x14ac:dyDescent="0.3">
      <c r="A2600" s="2" t="str">
        <f>TRIM(Table1[[#This Row],[Numer_FV]])</f>
        <v>FV/26/SAL/24</v>
      </c>
      <c r="B2600" s="2" t="str">
        <f>TRIM(Table1[[#This Row],[Numer_PZ]])</f>
        <v>PZ/802598</v>
      </c>
      <c r="C2600" s="2" t="str">
        <f>TRIM(Table1[[#This Row],[Dostawca]])</f>
        <v>SalusHurt</v>
      </c>
      <c r="D2600" s="3">
        <v>45514</v>
      </c>
      <c r="E2600" s="4" t="s">
        <v>7679</v>
      </c>
      <c r="F2600" s="2" t="str">
        <f>TRIM(Table1[[#This Row],[Status]])</f>
        <v>Zaakceptowana</v>
      </c>
      <c r="G2600" s="2" t="str">
        <f>TRIM(Table1[[#This Row],[Typ]])</f>
        <v>Faktura VAT</v>
      </c>
      <c r="H2600" s="2" t="str">
        <f>TRIM(Table1[[#This Row],[Magazyn]])</f>
        <v>Apteka Szpitalna</v>
      </c>
      <c r="I2600" s="2" t="str">
        <f>TRIM(Table1[[#This Row],[Umowa]])</f>
        <v>UM-SAL-02</v>
      </c>
      <c r="J2600" s="2" t="b">
        <f>ISTEXT(Table14[[#This Row],[Data_Wystawienia]])</f>
        <v>0</v>
      </c>
      <c r="K2600" s="2">
        <f>VALUE(SUBSTITUTE(Table14[[#This Row],[Wartość]],".",","))</f>
        <v>13773.01</v>
      </c>
      <c r="L26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0" s="2" t="str">
        <f>IF(Table14[[#This Row],[Umowa]]="","Poza umową","Z umowy")</f>
        <v>Z umowy</v>
      </c>
      <c r="N2600" s="2">
        <f>YEAR(Table14[[#This Row],[Data_Wystawienia]])</f>
        <v>2024</v>
      </c>
      <c r="O2600" s="2" t="str">
        <f>TEXT(Table14[[#This Row],[Data_Wystawienia]],"rrrr-mm")</f>
        <v>2024-08</v>
      </c>
      <c r="P2600" s="2">
        <v>1</v>
      </c>
    </row>
    <row r="2601" spans="1:16" x14ac:dyDescent="0.3">
      <c r="A2601" s="2" t="str">
        <f>TRIM(Table1[[#This Row],[Numer_FV]])</f>
        <v>FV/M/3825/P/24</v>
      </c>
      <c r="B2601" s="2" t="str">
        <f>TRIM(Table1[[#This Row],[Numer_PZ]])</f>
        <v>PZ/802599</v>
      </c>
      <c r="C2601" s="2" t="str">
        <f>TRIM(Table1[[#This Row],[Dostawca]])</f>
        <v>MedicaPharm</v>
      </c>
      <c r="D2601" s="3">
        <v>45514</v>
      </c>
      <c r="E2601" s="4" t="s">
        <v>7682</v>
      </c>
      <c r="F2601" s="2" t="str">
        <f>TRIM(Table1[[#This Row],[Status]])</f>
        <v>Zaakceptowana</v>
      </c>
      <c r="G2601" s="2" t="str">
        <f>TRIM(Table1[[#This Row],[Typ]])</f>
        <v>Faktura VAT</v>
      </c>
      <c r="H2601" s="2" t="str">
        <f>TRIM(Table1[[#This Row],[Magazyn]])</f>
        <v>Apteka Szpitalna</v>
      </c>
      <c r="I2601" s="2" t="str">
        <f>TRIM(Table1[[#This Row],[Umowa]])</f>
        <v/>
      </c>
      <c r="J2601" s="2" t="b">
        <f>ISTEXT(Table14[[#This Row],[Data_Wystawienia]])</f>
        <v>0</v>
      </c>
      <c r="K2601" s="2">
        <f>VALUE(SUBSTITUTE(Table14[[#This Row],[Wartość]],".",","))</f>
        <v>13933.46</v>
      </c>
      <c r="L26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1" s="2" t="str">
        <f>IF(Table14[[#This Row],[Umowa]]="","Poza umową","Z umowy")</f>
        <v>Poza umową</v>
      </c>
      <c r="N2601" s="2">
        <f>YEAR(Table14[[#This Row],[Data_Wystawienia]])</f>
        <v>2024</v>
      </c>
      <c r="O2601" s="2" t="str">
        <f>TEXT(Table14[[#This Row],[Data_Wystawienia]],"rrrr-mm")</f>
        <v>2024-08</v>
      </c>
      <c r="P2601" s="2">
        <v>1</v>
      </c>
    </row>
    <row r="2602" spans="1:16" x14ac:dyDescent="0.3">
      <c r="A2602" s="2" t="str">
        <f>TRIM(Table1[[#This Row],[Numer_FV]])</f>
        <v>FV/CENFA/589570/24</v>
      </c>
      <c r="B2602" s="2" t="str">
        <f>TRIM(Table1[[#This Row],[Numer_PZ]])</f>
        <v>PZ/802600</v>
      </c>
      <c r="C2602" s="2" t="str">
        <f>TRIM(Table1[[#This Row],[Dostawca]])</f>
        <v>CentrumFarm</v>
      </c>
      <c r="D2602" s="3">
        <v>45515</v>
      </c>
      <c r="E2602" s="4" t="s">
        <v>7685</v>
      </c>
      <c r="F2602" s="2" t="str">
        <f>TRIM(Table1[[#This Row],[Status]])</f>
        <v>Zaakceptowana</v>
      </c>
      <c r="G2602" s="2" t="str">
        <f>TRIM(Table1[[#This Row],[Typ]])</f>
        <v>Faktura VAT</v>
      </c>
      <c r="H2602" s="2" t="str">
        <f>TRIM(Table1[[#This Row],[Magazyn]])</f>
        <v>Apteka Szpitalna</v>
      </c>
      <c r="I2602" s="2" t="str">
        <f>TRIM(Table1[[#This Row],[Umowa]])</f>
        <v>UM-CEN-02</v>
      </c>
      <c r="J2602" s="2" t="b">
        <f>ISTEXT(Table14[[#This Row],[Data_Wystawienia]])</f>
        <v>0</v>
      </c>
      <c r="K2602" s="2">
        <f>VALUE(SUBSTITUTE(Table14[[#This Row],[Wartość]],".",","))</f>
        <v>13387.5</v>
      </c>
      <c r="L26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2" s="2" t="str">
        <f>IF(Table14[[#This Row],[Umowa]]="","Poza umową","Z umowy")</f>
        <v>Z umowy</v>
      </c>
      <c r="N2602" s="2">
        <f>YEAR(Table14[[#This Row],[Data_Wystawienia]])</f>
        <v>2024</v>
      </c>
      <c r="O2602" s="2" t="str">
        <f>TEXT(Table14[[#This Row],[Data_Wystawienia]],"rrrr-mm")</f>
        <v>2024-08</v>
      </c>
      <c r="P2602" s="2">
        <v>1</v>
      </c>
    </row>
    <row r="2603" spans="1:16" x14ac:dyDescent="0.3">
      <c r="A2603" s="2" t="str">
        <f>TRIM(Table1[[#This Row],[Numer_FV]])</f>
        <v>FV/39/SAL/24</v>
      </c>
      <c r="B2603" s="2" t="str">
        <f>TRIM(Table1[[#This Row],[Numer_PZ]])</f>
        <v>PZ/802601</v>
      </c>
      <c r="C2603" s="2" t="str">
        <f>TRIM(Table1[[#This Row],[Dostawca]])</f>
        <v>SalusHurt</v>
      </c>
      <c r="D2603" s="3">
        <v>45515</v>
      </c>
      <c r="E2603" s="4" t="s">
        <v>7687</v>
      </c>
      <c r="F2603" s="2" t="str">
        <f>TRIM(Table1[[#This Row],[Status]])</f>
        <v>Zaakceptowana</v>
      </c>
      <c r="G2603" s="2" t="str">
        <f>TRIM(Table1[[#This Row],[Typ]])</f>
        <v>Korekta FV</v>
      </c>
      <c r="H2603" s="2" t="str">
        <f>TRIM(Table1[[#This Row],[Magazyn]])</f>
        <v>Apteka Szpitalna</v>
      </c>
      <c r="I2603" s="2" t="str">
        <f>TRIM(Table1[[#This Row],[Umowa]])</f>
        <v>UM-SAL-01</v>
      </c>
      <c r="J2603" s="2" t="b">
        <f>ISTEXT(Table14[[#This Row],[Data_Wystawienia]])</f>
        <v>0</v>
      </c>
      <c r="K2603" s="2">
        <f>VALUE(SUBSTITUTE(Table14[[#This Row],[Wartość]],".",","))</f>
        <v>-1941</v>
      </c>
      <c r="L26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3" s="2" t="str">
        <f>IF(Table14[[#This Row],[Umowa]]="","Poza umową","Z umowy")</f>
        <v>Z umowy</v>
      </c>
      <c r="N2603" s="2">
        <f>YEAR(Table14[[#This Row],[Data_Wystawienia]])</f>
        <v>2024</v>
      </c>
      <c r="O2603" s="2" t="str">
        <f>TEXT(Table14[[#This Row],[Data_Wystawienia]],"rrrr-mm")</f>
        <v>2024-08</v>
      </c>
      <c r="P2603" s="2">
        <v>1</v>
      </c>
    </row>
    <row r="2604" spans="1:16" x14ac:dyDescent="0.3">
      <c r="A2604" s="2" t="str">
        <f>TRIM(Table1[[#This Row],[Numer_FV]])</f>
        <v>FV/CENFA/195246/24</v>
      </c>
      <c r="B2604" s="2" t="str">
        <f>TRIM(Table1[[#This Row],[Numer_PZ]])</f>
        <v>PZ/802602</v>
      </c>
      <c r="C2604" s="2" t="str">
        <f>TRIM(Table1[[#This Row],[Dostawca]])</f>
        <v>CentrumFarm</v>
      </c>
      <c r="D2604" s="3">
        <v>45516</v>
      </c>
      <c r="E2604" s="4" t="s">
        <v>7690</v>
      </c>
      <c r="F2604" s="2" t="str">
        <f>TRIM(Table1[[#This Row],[Status]])</f>
        <v>Zaakceptowana</v>
      </c>
      <c r="G2604" s="2" t="str">
        <f>TRIM(Table1[[#This Row],[Typ]])</f>
        <v>Faktura VAT</v>
      </c>
      <c r="H2604" s="2" t="str">
        <f>TRIM(Table1[[#This Row],[Magazyn]])</f>
        <v>Apteka Szpitalna</v>
      </c>
      <c r="I2604" s="2" t="str">
        <f>TRIM(Table1[[#This Row],[Umowa]])</f>
        <v>UM-CEN-02</v>
      </c>
      <c r="J2604" s="2" t="b">
        <f>ISTEXT(Table14[[#This Row],[Data_Wystawienia]])</f>
        <v>0</v>
      </c>
      <c r="K2604" s="2">
        <f>VALUE(SUBSTITUTE(Table14[[#This Row],[Wartość]],".",","))</f>
        <v>11280.95</v>
      </c>
      <c r="L26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4" s="2" t="str">
        <f>IF(Table14[[#This Row],[Umowa]]="","Poza umową","Z umowy")</f>
        <v>Z umowy</v>
      </c>
      <c r="N2604" s="2">
        <f>YEAR(Table14[[#This Row],[Data_Wystawienia]])</f>
        <v>2024</v>
      </c>
      <c r="O2604" s="2" t="str">
        <f>TEXT(Table14[[#This Row],[Data_Wystawienia]],"rrrr-mm")</f>
        <v>2024-08</v>
      </c>
      <c r="P2604" s="2">
        <v>1</v>
      </c>
    </row>
    <row r="2605" spans="1:16" x14ac:dyDescent="0.3">
      <c r="A2605" s="2" t="str">
        <f>TRIM(Table1[[#This Row],[Numer_FV]])</f>
        <v>FV/6907/NOVA/24</v>
      </c>
      <c r="B2605" s="2" t="str">
        <f>TRIM(Table1[[#This Row],[Numer_PZ]])</f>
        <v>PZ/802603</v>
      </c>
      <c r="C2605" s="2" t="str">
        <f>TRIM(Table1[[#This Row],[Dostawca]])</f>
        <v>NovaLek</v>
      </c>
      <c r="D2605" s="3">
        <v>45516</v>
      </c>
      <c r="E2605" s="4" t="s">
        <v>7693</v>
      </c>
      <c r="F2605" s="2" t="str">
        <f>TRIM(Table1[[#This Row],[Status]])</f>
        <v>Zaakceptowana</v>
      </c>
      <c r="G2605" s="2" t="str">
        <f>TRIM(Table1[[#This Row],[Typ]])</f>
        <v>Faktura VAT</v>
      </c>
      <c r="H2605" s="2" t="str">
        <f>TRIM(Table1[[#This Row],[Magazyn]])</f>
        <v>Apteka Szpitalna</v>
      </c>
      <c r="I2605" s="2" t="str">
        <f>TRIM(Table1[[#This Row],[Umowa]])</f>
        <v>UM-NOV-03</v>
      </c>
      <c r="J2605" s="2" t="b">
        <f>ISTEXT(Table14[[#This Row],[Data_Wystawienia]])</f>
        <v>0</v>
      </c>
      <c r="K2605" s="2">
        <f>VALUE(SUBSTITUTE(Table14[[#This Row],[Wartość]],".",","))</f>
        <v>14116.15</v>
      </c>
      <c r="L26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5" s="2" t="str">
        <f>IF(Table14[[#This Row],[Umowa]]="","Poza umową","Z umowy")</f>
        <v>Z umowy</v>
      </c>
      <c r="N2605" s="2">
        <f>YEAR(Table14[[#This Row],[Data_Wystawienia]])</f>
        <v>2024</v>
      </c>
      <c r="O2605" s="2" t="str">
        <f>TEXT(Table14[[#This Row],[Data_Wystawienia]],"rrrr-mm")</f>
        <v>2024-08</v>
      </c>
      <c r="P2605" s="2">
        <v>1</v>
      </c>
    </row>
    <row r="2606" spans="1:16" x14ac:dyDescent="0.3">
      <c r="A2606" s="2" t="str">
        <f>TRIM(Table1[[#This Row],[Numer_FV]])</f>
        <v>FV/78717/VDb/2024</v>
      </c>
      <c r="B2606" s="2" t="str">
        <f>TRIM(Table1[[#This Row],[Numer_PZ]])</f>
        <v>PZ/802604</v>
      </c>
      <c r="C2606" s="2" t="str">
        <f>TRIM(Table1[[#This Row],[Dostawca]])</f>
        <v>VitaDistrib</v>
      </c>
      <c r="D2606" s="3">
        <v>45517</v>
      </c>
      <c r="E2606" s="4" t="s">
        <v>7696</v>
      </c>
      <c r="F2606" s="2" t="str">
        <f>TRIM(Table1[[#This Row],[Status]])</f>
        <v>Zaakceptowana</v>
      </c>
      <c r="G2606" s="2" t="str">
        <f>TRIM(Table1[[#This Row],[Typ]])</f>
        <v>Faktura VAT</v>
      </c>
      <c r="H2606" s="2" t="str">
        <f>TRIM(Table1[[#This Row],[Magazyn]])</f>
        <v>Apteka Szpitalna</v>
      </c>
      <c r="I2606" s="2" t="str">
        <f>TRIM(Table1[[#This Row],[Umowa]])</f>
        <v>UM-VIT-01</v>
      </c>
      <c r="J2606" s="2" t="b">
        <f>ISTEXT(Table14[[#This Row],[Data_Wystawienia]])</f>
        <v>0</v>
      </c>
      <c r="K2606" s="2">
        <f>VALUE(SUBSTITUTE(Table14[[#This Row],[Wartość]],".",","))</f>
        <v>12151.68</v>
      </c>
      <c r="L26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6" s="2" t="str">
        <f>IF(Table14[[#This Row],[Umowa]]="","Poza umową","Z umowy")</f>
        <v>Z umowy</v>
      </c>
      <c r="N2606" s="2">
        <f>YEAR(Table14[[#This Row],[Data_Wystawienia]])</f>
        <v>2024</v>
      </c>
      <c r="O2606" s="2" t="str">
        <f>TEXT(Table14[[#This Row],[Data_Wystawienia]],"rrrr-mm")</f>
        <v>2024-08</v>
      </c>
      <c r="P2606" s="2">
        <v>1</v>
      </c>
    </row>
    <row r="2607" spans="1:16" x14ac:dyDescent="0.3">
      <c r="A2607" s="2" t="str">
        <f>TRIM(Table1[[#This Row],[Numer_FV]])</f>
        <v>FV/CENFA/185076/24</v>
      </c>
      <c r="B2607" s="2" t="str">
        <f>TRIM(Table1[[#This Row],[Numer_PZ]])</f>
        <v>PZ/802605</v>
      </c>
      <c r="C2607" s="2" t="str">
        <f>TRIM(Table1[[#This Row],[Dostawca]])</f>
        <v>CentrumFarm</v>
      </c>
      <c r="D2607" s="3">
        <v>45517</v>
      </c>
      <c r="E2607" s="4" t="s">
        <v>7699</v>
      </c>
      <c r="F2607" s="2" t="str">
        <f>TRIM(Table1[[#This Row],[Status]])</f>
        <v>Zaakceptowana</v>
      </c>
      <c r="G2607" s="2" t="str">
        <f>TRIM(Table1[[#This Row],[Typ]])</f>
        <v>Faktura VAT</v>
      </c>
      <c r="H2607" s="2" t="str">
        <f>TRIM(Table1[[#This Row],[Magazyn]])</f>
        <v>Apteka Szpitalna</v>
      </c>
      <c r="I2607" s="2" t="str">
        <f>TRIM(Table1[[#This Row],[Umowa]])</f>
        <v>UM-CEN-02</v>
      </c>
      <c r="J2607" s="2" t="b">
        <f>ISTEXT(Table14[[#This Row],[Data_Wystawienia]])</f>
        <v>0</v>
      </c>
      <c r="K2607" s="2">
        <f>VALUE(SUBSTITUTE(Table14[[#This Row],[Wartość]],".",","))</f>
        <v>22541.35</v>
      </c>
      <c r="L26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7" s="2" t="str">
        <f>IF(Table14[[#This Row],[Umowa]]="","Poza umową","Z umowy")</f>
        <v>Z umowy</v>
      </c>
      <c r="N2607" s="2">
        <f>YEAR(Table14[[#This Row],[Data_Wystawienia]])</f>
        <v>2024</v>
      </c>
      <c r="O2607" s="2" t="str">
        <f>TEXT(Table14[[#This Row],[Data_Wystawienia]],"rrrr-mm")</f>
        <v>2024-08</v>
      </c>
      <c r="P2607" s="2">
        <v>1</v>
      </c>
    </row>
    <row r="2608" spans="1:16" x14ac:dyDescent="0.3">
      <c r="A2608" s="2" t="str">
        <f>TRIM(Table1[[#This Row],[Numer_FV]])</f>
        <v>FV/7735HM/24</v>
      </c>
      <c r="B2608" s="2" t="str">
        <f>TRIM(Table1[[#This Row],[Numer_PZ]])</f>
        <v>PZ/802606</v>
      </c>
      <c r="C2608" s="2" t="str">
        <f>TRIM(Table1[[#This Row],[Dostawca]])</f>
        <v>HurtMedix</v>
      </c>
      <c r="D2608" s="3">
        <v>45518</v>
      </c>
      <c r="E2608" s="4" t="s">
        <v>7702</v>
      </c>
      <c r="F2608" s="2" t="str">
        <f>TRIM(Table1[[#This Row],[Status]])</f>
        <v>Zaakceptowana</v>
      </c>
      <c r="G2608" s="2" t="str">
        <f>TRIM(Table1[[#This Row],[Typ]])</f>
        <v>Faktura VAT</v>
      </c>
      <c r="H2608" s="2" t="str">
        <f>TRIM(Table1[[#This Row],[Magazyn]])</f>
        <v>Apteka Szpitalna</v>
      </c>
      <c r="I2608" s="2" t="str">
        <f>TRIM(Table1[[#This Row],[Umowa]])</f>
        <v>UM-HUR-02</v>
      </c>
      <c r="J2608" s="2" t="b">
        <f>ISTEXT(Table14[[#This Row],[Data_Wystawienia]])</f>
        <v>0</v>
      </c>
      <c r="K2608" s="2">
        <f>VALUE(SUBSTITUTE(Table14[[#This Row],[Wartość]],".",","))</f>
        <v>8763.02</v>
      </c>
      <c r="L26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8" s="2" t="str">
        <f>IF(Table14[[#This Row],[Umowa]]="","Poza umową","Z umowy")</f>
        <v>Z umowy</v>
      </c>
      <c r="N2608" s="2">
        <f>YEAR(Table14[[#This Row],[Data_Wystawienia]])</f>
        <v>2024</v>
      </c>
      <c r="O2608" s="2" t="str">
        <f>TEXT(Table14[[#This Row],[Data_Wystawienia]],"rrrr-mm")</f>
        <v>2024-08</v>
      </c>
      <c r="P2608" s="2">
        <v>1</v>
      </c>
    </row>
    <row r="2609" spans="1:16" x14ac:dyDescent="0.3">
      <c r="A2609" s="2" t="str">
        <f>TRIM(Table1[[#This Row],[Numer_FV]])</f>
        <v>FV/8534/NOVA/24</v>
      </c>
      <c r="B2609" s="2" t="str">
        <f>TRIM(Table1[[#This Row],[Numer_PZ]])</f>
        <v>PZ/802607</v>
      </c>
      <c r="C2609" s="2" t="str">
        <f>TRIM(Table1[[#This Row],[Dostawca]])</f>
        <v>NovaLek</v>
      </c>
      <c r="D2609" s="3">
        <v>45519</v>
      </c>
      <c r="E2609" s="4" t="s">
        <v>7705</v>
      </c>
      <c r="F2609" s="2" t="str">
        <f>TRIM(Table1[[#This Row],[Status]])</f>
        <v>Zaakceptowana</v>
      </c>
      <c r="G2609" s="2" t="str">
        <f>TRIM(Table1[[#This Row],[Typ]])</f>
        <v>Korekta FV</v>
      </c>
      <c r="H2609" s="2" t="str">
        <f>TRIM(Table1[[#This Row],[Magazyn]])</f>
        <v>Apteka Szpitalna</v>
      </c>
      <c r="I2609" s="2" t="str">
        <f>TRIM(Table1[[#This Row],[Umowa]])</f>
        <v>UM-NOV-02</v>
      </c>
      <c r="J2609" s="2" t="b">
        <f>ISTEXT(Table14[[#This Row],[Data_Wystawienia]])</f>
        <v>0</v>
      </c>
      <c r="K2609" s="2">
        <f>VALUE(SUBSTITUTE(Table14[[#This Row],[Wartość]],".",","))</f>
        <v>-1991.48</v>
      </c>
      <c r="L26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09" s="2" t="str">
        <f>IF(Table14[[#This Row],[Umowa]]="","Poza umową","Z umowy")</f>
        <v>Z umowy</v>
      </c>
      <c r="N2609" s="2">
        <f>YEAR(Table14[[#This Row],[Data_Wystawienia]])</f>
        <v>2024</v>
      </c>
      <c r="O2609" s="2" t="str">
        <f>TEXT(Table14[[#This Row],[Data_Wystawienia]],"rrrr-mm")</f>
        <v>2024-08</v>
      </c>
      <c r="P2609" s="2">
        <v>1</v>
      </c>
    </row>
    <row r="2610" spans="1:16" x14ac:dyDescent="0.3">
      <c r="A2610" s="2" t="str">
        <f>TRIM(Table1[[#This Row],[Numer_FV]])</f>
        <v>FV/M/8208/P/24</v>
      </c>
      <c r="B2610" s="2" t="str">
        <f>TRIM(Table1[[#This Row],[Numer_PZ]])</f>
        <v>PZ/802608</v>
      </c>
      <c r="C2610" s="2" t="str">
        <f>TRIM(Table1[[#This Row],[Dostawca]])</f>
        <v>MedicaPharm</v>
      </c>
      <c r="D2610" s="3">
        <v>45519</v>
      </c>
      <c r="E2610" s="4" t="s">
        <v>7708</v>
      </c>
      <c r="F2610" s="2" t="str">
        <f>TRIM(Table1[[#This Row],[Status]])</f>
        <v>Zaakceptowana</v>
      </c>
      <c r="G2610" s="2" t="str">
        <f>TRIM(Table1[[#This Row],[Typ]])</f>
        <v>Faktura VAT</v>
      </c>
      <c r="H2610" s="2" t="str">
        <f>TRIM(Table1[[#This Row],[Magazyn]])</f>
        <v>Apteka Szpitalna</v>
      </c>
      <c r="I2610" s="2" t="str">
        <f>TRIM(Table1[[#This Row],[Umowa]])</f>
        <v/>
      </c>
      <c r="J2610" s="2" t="b">
        <f>ISTEXT(Table14[[#This Row],[Data_Wystawienia]])</f>
        <v>0</v>
      </c>
      <c r="K2610" s="2">
        <f>VALUE(SUBSTITUTE(Table14[[#This Row],[Wartość]],".",","))</f>
        <v>22035.58</v>
      </c>
      <c r="L26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0" s="2" t="str">
        <f>IF(Table14[[#This Row],[Umowa]]="","Poza umową","Z umowy")</f>
        <v>Poza umową</v>
      </c>
      <c r="N2610" s="2">
        <f>YEAR(Table14[[#This Row],[Data_Wystawienia]])</f>
        <v>2024</v>
      </c>
      <c r="O2610" s="2" t="str">
        <f>TEXT(Table14[[#This Row],[Data_Wystawienia]],"rrrr-mm")</f>
        <v>2024-08</v>
      </c>
      <c r="P2610" s="2">
        <v>1</v>
      </c>
    </row>
    <row r="2611" spans="1:16" x14ac:dyDescent="0.3">
      <c r="A2611" s="2" t="str">
        <f>TRIM(Table1[[#This Row],[Numer_FV]])</f>
        <v>FV/5776HM/24</v>
      </c>
      <c r="B2611" s="2" t="str">
        <f>TRIM(Table1[[#This Row],[Numer_PZ]])</f>
        <v>PZ/802609</v>
      </c>
      <c r="C2611" s="2" t="str">
        <f>TRIM(Table1[[#This Row],[Dostawca]])</f>
        <v>HurtMedix</v>
      </c>
      <c r="D2611" s="3">
        <v>45519</v>
      </c>
      <c r="E2611" s="4" t="s">
        <v>7711</v>
      </c>
      <c r="F2611" s="2" t="str">
        <f>TRIM(Table1[[#This Row],[Status]])</f>
        <v>Zaakceptowana</v>
      </c>
      <c r="G2611" s="2" t="str">
        <f>TRIM(Table1[[#This Row],[Typ]])</f>
        <v>Faktura VAT</v>
      </c>
      <c r="H2611" s="2" t="str">
        <f>TRIM(Table1[[#This Row],[Magazyn]])</f>
        <v>Apteka Szpitalna</v>
      </c>
      <c r="I2611" s="2" t="str">
        <f>TRIM(Table1[[#This Row],[Umowa]])</f>
        <v>UM-HUR-03</v>
      </c>
      <c r="J2611" s="2" t="b">
        <f>ISTEXT(Table14[[#This Row],[Data_Wystawienia]])</f>
        <v>0</v>
      </c>
      <c r="K2611" s="2">
        <f>VALUE(SUBSTITUTE(Table14[[#This Row],[Wartość]],".",","))</f>
        <v>17781.689999999999</v>
      </c>
      <c r="L26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1" s="2" t="str">
        <f>IF(Table14[[#This Row],[Umowa]]="","Poza umową","Z umowy")</f>
        <v>Z umowy</v>
      </c>
      <c r="N2611" s="2">
        <f>YEAR(Table14[[#This Row],[Data_Wystawienia]])</f>
        <v>2024</v>
      </c>
      <c r="O2611" s="2" t="str">
        <f>TEXT(Table14[[#This Row],[Data_Wystawienia]],"rrrr-mm")</f>
        <v>2024-08</v>
      </c>
      <c r="P2611" s="2">
        <v>1</v>
      </c>
    </row>
    <row r="2612" spans="1:16" x14ac:dyDescent="0.3">
      <c r="A2612" s="2" t="str">
        <f>TRIM(Table1[[#This Row],[Numer_FV]])</f>
        <v>FV/POL/31864/2024</v>
      </c>
      <c r="B2612" s="2" t="str">
        <f>TRIM(Table1[[#This Row],[Numer_PZ]])</f>
        <v>PZ/802610</v>
      </c>
      <c r="C2612" s="2" t="str">
        <f>TRIM(Table1[[#This Row],[Dostawca]])</f>
        <v>Polmedica</v>
      </c>
      <c r="D2612" s="3">
        <v>45519</v>
      </c>
      <c r="E2612" s="4" t="s">
        <v>7714</v>
      </c>
      <c r="F2612" s="2" t="str">
        <f>TRIM(Table1[[#This Row],[Status]])</f>
        <v>Zaakceptowana</v>
      </c>
      <c r="G2612" s="2" t="str">
        <f>TRIM(Table1[[#This Row],[Typ]])</f>
        <v>Faktura VAT</v>
      </c>
      <c r="H2612" s="2" t="str">
        <f>TRIM(Table1[[#This Row],[Magazyn]])</f>
        <v>Apteka Szpitalna</v>
      </c>
      <c r="I2612" s="2" t="str">
        <f>TRIM(Table1[[#This Row],[Umowa]])</f>
        <v>UM-POL-02</v>
      </c>
      <c r="J2612" s="2" t="b">
        <f>ISTEXT(Table14[[#This Row],[Data_Wystawienia]])</f>
        <v>0</v>
      </c>
      <c r="K2612" s="2">
        <f>VALUE(SUBSTITUTE(Table14[[#This Row],[Wartość]],".",","))</f>
        <v>14351.75</v>
      </c>
      <c r="L26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2" s="2" t="str">
        <f>IF(Table14[[#This Row],[Umowa]]="","Poza umową","Z umowy")</f>
        <v>Z umowy</v>
      </c>
      <c r="N2612" s="2">
        <f>YEAR(Table14[[#This Row],[Data_Wystawienia]])</f>
        <v>2024</v>
      </c>
      <c r="O2612" s="2" t="str">
        <f>TEXT(Table14[[#This Row],[Data_Wystawienia]],"rrrr-mm")</f>
        <v>2024-08</v>
      </c>
      <c r="P2612" s="2">
        <v>1</v>
      </c>
    </row>
    <row r="2613" spans="1:16" x14ac:dyDescent="0.3">
      <c r="A2613" s="2" t="str">
        <f>TRIM(Table1[[#This Row],[Numer_FV]])</f>
        <v>FV/6355/NOVA/24</v>
      </c>
      <c r="B2613" s="2" t="str">
        <f>TRIM(Table1[[#This Row],[Numer_PZ]])</f>
        <v>PZ/802611</v>
      </c>
      <c r="C2613" s="2" t="str">
        <f>TRIM(Table1[[#This Row],[Dostawca]])</f>
        <v>NovaLek</v>
      </c>
      <c r="D2613" s="3">
        <v>45520</v>
      </c>
      <c r="E2613" s="4" t="s">
        <v>7717</v>
      </c>
      <c r="F2613" s="2" t="str">
        <f>TRIM(Table1[[#This Row],[Status]])</f>
        <v>Zaakceptowana</v>
      </c>
      <c r="G2613" s="2" t="str">
        <f>TRIM(Table1[[#This Row],[Typ]])</f>
        <v>Faktura VAT</v>
      </c>
      <c r="H2613" s="2" t="str">
        <f>TRIM(Table1[[#This Row],[Magazyn]])</f>
        <v>Apteka Szpitalna</v>
      </c>
      <c r="I2613" s="2" t="str">
        <f>TRIM(Table1[[#This Row],[Umowa]])</f>
        <v>UM-NOV-01</v>
      </c>
      <c r="J2613" s="2" t="b">
        <f>ISTEXT(Table14[[#This Row],[Data_Wystawienia]])</f>
        <v>0</v>
      </c>
      <c r="K2613" s="2">
        <f>VALUE(SUBSTITUTE(Table14[[#This Row],[Wartość]],".",","))</f>
        <v>9194.39</v>
      </c>
      <c r="L26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3" s="2" t="str">
        <f>IF(Table14[[#This Row],[Umowa]]="","Poza umową","Z umowy")</f>
        <v>Z umowy</v>
      </c>
      <c r="N2613" s="2">
        <f>YEAR(Table14[[#This Row],[Data_Wystawienia]])</f>
        <v>2024</v>
      </c>
      <c r="O2613" s="2" t="str">
        <f>TEXT(Table14[[#This Row],[Data_Wystawienia]],"rrrr-mm")</f>
        <v>2024-08</v>
      </c>
      <c r="P2613" s="2">
        <v>1</v>
      </c>
    </row>
    <row r="2614" spans="1:16" x14ac:dyDescent="0.3">
      <c r="A2614" s="2" t="str">
        <f>TRIM(Table1[[#This Row],[Numer_FV]])</f>
        <v>FV/38/SAL/24</v>
      </c>
      <c r="B2614" s="2" t="str">
        <f>TRIM(Table1[[#This Row],[Numer_PZ]])</f>
        <v>PZ/802612</v>
      </c>
      <c r="C2614" s="2" t="str">
        <f>TRIM(Table1[[#This Row],[Dostawca]])</f>
        <v>SalusHurt</v>
      </c>
      <c r="D2614" s="3">
        <v>45521</v>
      </c>
      <c r="E2614" s="4" t="s">
        <v>7720</v>
      </c>
      <c r="F2614" s="2" t="str">
        <f>TRIM(Table1[[#This Row],[Status]])</f>
        <v>Zaakceptowana</v>
      </c>
      <c r="G2614" s="2" t="str">
        <f>TRIM(Table1[[#This Row],[Typ]])</f>
        <v>Faktura VAT</v>
      </c>
      <c r="H2614" s="2" t="str">
        <f>TRIM(Table1[[#This Row],[Magazyn]])</f>
        <v>Apteka Szpitalna</v>
      </c>
      <c r="I2614" s="2" t="str">
        <f>TRIM(Table1[[#This Row],[Umowa]])</f>
        <v>UM-SAL-01</v>
      </c>
      <c r="J2614" s="2" t="b">
        <f>ISTEXT(Table14[[#This Row],[Data_Wystawienia]])</f>
        <v>0</v>
      </c>
      <c r="K2614" s="2">
        <f>VALUE(SUBSTITUTE(Table14[[#This Row],[Wartość]],".",","))</f>
        <v>11005.1</v>
      </c>
      <c r="L26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4" s="2" t="str">
        <f>IF(Table14[[#This Row],[Umowa]]="","Poza umową","Z umowy")</f>
        <v>Z umowy</v>
      </c>
      <c r="N2614" s="2">
        <f>YEAR(Table14[[#This Row],[Data_Wystawienia]])</f>
        <v>2024</v>
      </c>
      <c r="O2614" s="2" t="str">
        <f>TEXT(Table14[[#This Row],[Data_Wystawienia]],"rrrr-mm")</f>
        <v>2024-08</v>
      </c>
      <c r="P2614" s="2">
        <v>1</v>
      </c>
    </row>
    <row r="2615" spans="1:16" x14ac:dyDescent="0.3">
      <c r="A2615" s="2" t="str">
        <f>TRIM(Table1[[#This Row],[Numer_FV]])</f>
        <v>FV/M/4917/P/24</v>
      </c>
      <c r="B2615" s="2" t="str">
        <f>TRIM(Table1[[#This Row],[Numer_PZ]])</f>
        <v>PZ/802613</v>
      </c>
      <c r="C2615" s="2" t="str">
        <f>TRIM(Table1[[#This Row],[Dostawca]])</f>
        <v>MedicaPharm</v>
      </c>
      <c r="D2615" s="3">
        <v>45521</v>
      </c>
      <c r="E2615" s="4" t="s">
        <v>7723</v>
      </c>
      <c r="F2615" s="2" t="str">
        <f>TRIM(Table1[[#This Row],[Status]])</f>
        <v>Zaakceptowana</v>
      </c>
      <c r="G2615" s="2" t="str">
        <f>TRIM(Table1[[#This Row],[Typ]])</f>
        <v>Faktura VAT</v>
      </c>
      <c r="H2615" s="2" t="str">
        <f>TRIM(Table1[[#This Row],[Magazyn]])</f>
        <v>Apteka Szpitalna</v>
      </c>
      <c r="I2615" s="2" t="str">
        <f>TRIM(Table1[[#This Row],[Umowa]])</f>
        <v>UM-MED-02</v>
      </c>
      <c r="J2615" s="2" t="b">
        <f>ISTEXT(Table14[[#This Row],[Data_Wystawienia]])</f>
        <v>0</v>
      </c>
      <c r="K2615" s="2">
        <f>VALUE(SUBSTITUTE(Table14[[#This Row],[Wartość]],".",","))</f>
        <v>15909.95</v>
      </c>
      <c r="L26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5" s="2" t="str">
        <f>IF(Table14[[#This Row],[Umowa]]="","Poza umową","Z umowy")</f>
        <v>Z umowy</v>
      </c>
      <c r="N2615" s="2">
        <f>YEAR(Table14[[#This Row],[Data_Wystawienia]])</f>
        <v>2024</v>
      </c>
      <c r="O2615" s="2" t="str">
        <f>TEXT(Table14[[#This Row],[Data_Wystawienia]],"rrrr-mm")</f>
        <v>2024-08</v>
      </c>
      <c r="P2615" s="2">
        <v>1</v>
      </c>
    </row>
    <row r="2616" spans="1:16" x14ac:dyDescent="0.3">
      <c r="A2616" s="2" t="str">
        <f>TRIM(Table1[[#This Row],[Numer_FV]])</f>
        <v>FV/8553/NOVA/24</v>
      </c>
      <c r="B2616" s="2" t="str">
        <f>TRIM(Table1[[#This Row],[Numer_PZ]])</f>
        <v>PZ/802614</v>
      </c>
      <c r="C2616" s="2" t="str">
        <f>TRIM(Table1[[#This Row],[Dostawca]])</f>
        <v>NovaLek</v>
      </c>
      <c r="D2616" s="3">
        <v>45522</v>
      </c>
      <c r="E2616" s="4" t="s">
        <v>7726</v>
      </c>
      <c r="F2616" s="2" t="str">
        <f>TRIM(Table1[[#This Row],[Status]])</f>
        <v>Zaakceptowana</v>
      </c>
      <c r="G2616" s="2" t="str">
        <f>TRIM(Table1[[#This Row],[Typ]])</f>
        <v>Faktura VAT</v>
      </c>
      <c r="H2616" s="2" t="str">
        <f>TRIM(Table1[[#This Row],[Magazyn]])</f>
        <v>Apteka Szpitalna</v>
      </c>
      <c r="I2616" s="2" t="str">
        <f>TRIM(Table1[[#This Row],[Umowa]])</f>
        <v>UM-NOV-03</v>
      </c>
      <c r="J2616" s="2" t="b">
        <f>ISTEXT(Table14[[#This Row],[Data_Wystawienia]])</f>
        <v>0</v>
      </c>
      <c r="K2616" s="2">
        <f>VALUE(SUBSTITUTE(Table14[[#This Row],[Wartość]],".",","))</f>
        <v>13357.45</v>
      </c>
      <c r="L26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6" s="2" t="str">
        <f>IF(Table14[[#This Row],[Umowa]]="","Poza umową","Z umowy")</f>
        <v>Z umowy</v>
      </c>
      <c r="N2616" s="2">
        <f>YEAR(Table14[[#This Row],[Data_Wystawienia]])</f>
        <v>2024</v>
      </c>
      <c r="O2616" s="2" t="str">
        <f>TEXT(Table14[[#This Row],[Data_Wystawienia]],"rrrr-mm")</f>
        <v>2024-08</v>
      </c>
      <c r="P2616" s="2">
        <v>1</v>
      </c>
    </row>
    <row r="2617" spans="1:16" x14ac:dyDescent="0.3">
      <c r="A2617" s="2" t="str">
        <f>TRIM(Table1[[#This Row],[Numer_FV]])</f>
        <v>FV/M/1370/P/24</v>
      </c>
      <c r="B2617" s="2" t="str">
        <f>TRIM(Table1[[#This Row],[Numer_PZ]])</f>
        <v>PZ/802615</v>
      </c>
      <c r="C2617" s="2" t="str">
        <f>TRIM(Table1[[#This Row],[Dostawca]])</f>
        <v>MedicaPharm</v>
      </c>
      <c r="D2617" s="3">
        <v>45523</v>
      </c>
      <c r="E2617" s="4" t="s">
        <v>7729</v>
      </c>
      <c r="F2617" s="2" t="str">
        <f>TRIM(Table1[[#This Row],[Status]])</f>
        <v>Zaakceptowana</v>
      </c>
      <c r="G2617" s="2" t="str">
        <f>TRIM(Table1[[#This Row],[Typ]])</f>
        <v>Korekta FV</v>
      </c>
      <c r="H2617" s="2" t="str">
        <f>TRIM(Table1[[#This Row],[Magazyn]])</f>
        <v>Apteka Szpitalna</v>
      </c>
      <c r="I2617" s="2" t="str">
        <f>TRIM(Table1[[#This Row],[Umowa]])</f>
        <v>UM-MED-01</v>
      </c>
      <c r="J2617" s="2" t="b">
        <f>ISTEXT(Table14[[#This Row],[Data_Wystawienia]])</f>
        <v>0</v>
      </c>
      <c r="K2617" s="2">
        <f>VALUE(SUBSTITUTE(Table14[[#This Row],[Wartość]],".",","))</f>
        <v>-2349.3200000000002</v>
      </c>
      <c r="L26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7" s="2" t="str">
        <f>IF(Table14[[#This Row],[Umowa]]="","Poza umową","Z umowy")</f>
        <v>Z umowy</v>
      </c>
      <c r="N2617" s="2">
        <f>YEAR(Table14[[#This Row],[Data_Wystawienia]])</f>
        <v>2024</v>
      </c>
      <c r="O2617" s="2" t="str">
        <f>TEXT(Table14[[#This Row],[Data_Wystawienia]],"rrrr-mm")</f>
        <v>2024-08</v>
      </c>
      <c r="P2617" s="2">
        <v>1</v>
      </c>
    </row>
    <row r="2618" spans="1:16" x14ac:dyDescent="0.3">
      <c r="A2618" s="2" t="str">
        <f>TRIM(Table1[[#This Row],[Numer_FV]])</f>
        <v>FV/M/3800/P/24</v>
      </c>
      <c r="B2618" s="2" t="str">
        <f>TRIM(Table1[[#This Row],[Numer_PZ]])</f>
        <v>PZ/802616</v>
      </c>
      <c r="C2618" s="2" t="str">
        <f>TRIM(Table1[[#This Row],[Dostawca]])</f>
        <v>MedicaPharm</v>
      </c>
      <c r="D2618" s="3">
        <v>45523</v>
      </c>
      <c r="E2618" s="4" t="s">
        <v>7732</v>
      </c>
      <c r="F2618" s="2" t="str">
        <f>TRIM(Table1[[#This Row],[Status]])</f>
        <v>Zaakceptowana</v>
      </c>
      <c r="G2618" s="2" t="str">
        <f>TRIM(Table1[[#This Row],[Typ]])</f>
        <v>Faktura VAT</v>
      </c>
      <c r="H2618" s="2" t="str">
        <f>TRIM(Table1[[#This Row],[Magazyn]])</f>
        <v>Apteka Szpitalna</v>
      </c>
      <c r="I2618" s="2" t="str">
        <f>TRIM(Table1[[#This Row],[Umowa]])</f>
        <v/>
      </c>
      <c r="J2618" s="2" t="b">
        <f>ISTEXT(Table14[[#This Row],[Data_Wystawienia]])</f>
        <v>0</v>
      </c>
      <c r="K2618" s="2">
        <f>VALUE(SUBSTITUTE(Table14[[#This Row],[Wartość]],".",","))</f>
        <v>15374.65</v>
      </c>
      <c r="L26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8" s="2" t="str">
        <f>IF(Table14[[#This Row],[Umowa]]="","Poza umową","Z umowy")</f>
        <v>Poza umową</v>
      </c>
      <c r="N2618" s="2">
        <f>YEAR(Table14[[#This Row],[Data_Wystawienia]])</f>
        <v>2024</v>
      </c>
      <c r="O2618" s="2" t="str">
        <f>TEXT(Table14[[#This Row],[Data_Wystawienia]],"rrrr-mm")</f>
        <v>2024-08</v>
      </c>
      <c r="P2618" s="2">
        <v>1</v>
      </c>
    </row>
    <row r="2619" spans="1:16" x14ac:dyDescent="0.3">
      <c r="A2619" s="2" t="str">
        <f>TRIM(Table1[[#This Row],[Numer_FV]])</f>
        <v>FV/CENFA/682652/24</v>
      </c>
      <c r="B2619" s="2" t="str">
        <f>TRIM(Table1[[#This Row],[Numer_PZ]])</f>
        <v>PZ/802617</v>
      </c>
      <c r="C2619" s="2" t="str">
        <f>TRIM(Table1[[#This Row],[Dostawca]])</f>
        <v>CentrumFarm</v>
      </c>
      <c r="D2619" s="3">
        <v>45523</v>
      </c>
      <c r="E2619" s="4" t="s">
        <v>7735</v>
      </c>
      <c r="F2619" s="2" t="str">
        <f>TRIM(Table1[[#This Row],[Status]])</f>
        <v>Zaakceptowana</v>
      </c>
      <c r="G2619" s="2" t="str">
        <f>TRIM(Table1[[#This Row],[Typ]])</f>
        <v>Faktura VAT</v>
      </c>
      <c r="H2619" s="2" t="str">
        <f>TRIM(Table1[[#This Row],[Magazyn]])</f>
        <v>Apteka Szpitalna</v>
      </c>
      <c r="I2619" s="2" t="str">
        <f>TRIM(Table1[[#This Row],[Umowa]])</f>
        <v>UM-CEN-02</v>
      </c>
      <c r="J2619" s="2" t="b">
        <f>ISTEXT(Table14[[#This Row],[Data_Wystawienia]])</f>
        <v>0</v>
      </c>
      <c r="K2619" s="2">
        <f>VALUE(SUBSTITUTE(Table14[[#This Row],[Wartość]],".",","))</f>
        <v>29053.19</v>
      </c>
      <c r="L26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19" s="2" t="str">
        <f>IF(Table14[[#This Row],[Umowa]]="","Poza umową","Z umowy")</f>
        <v>Z umowy</v>
      </c>
      <c r="N2619" s="2">
        <f>YEAR(Table14[[#This Row],[Data_Wystawienia]])</f>
        <v>2024</v>
      </c>
      <c r="O2619" s="2" t="str">
        <f>TEXT(Table14[[#This Row],[Data_Wystawienia]],"rrrr-mm")</f>
        <v>2024-08</v>
      </c>
      <c r="P2619" s="2">
        <v>1</v>
      </c>
    </row>
    <row r="2620" spans="1:16" x14ac:dyDescent="0.3">
      <c r="A2620" s="2" t="str">
        <f>TRIM(Table1[[#This Row],[Numer_FV]])</f>
        <v>FV/POL/76191/2024</v>
      </c>
      <c r="B2620" s="2" t="str">
        <f>TRIM(Table1[[#This Row],[Numer_PZ]])</f>
        <v>PZ/802618</v>
      </c>
      <c r="C2620" s="2" t="str">
        <f>TRIM(Table1[[#This Row],[Dostawca]])</f>
        <v>Polmedica</v>
      </c>
      <c r="D2620" s="3">
        <v>45523</v>
      </c>
      <c r="E2620" s="4" t="s">
        <v>7738</v>
      </c>
      <c r="F2620" s="2" t="str">
        <f>TRIM(Table1[[#This Row],[Status]])</f>
        <v>Zaakceptowana</v>
      </c>
      <c r="G2620" s="2" t="str">
        <f>TRIM(Table1[[#This Row],[Typ]])</f>
        <v>Faktura VAT</v>
      </c>
      <c r="H2620" s="2" t="str">
        <f>TRIM(Table1[[#This Row],[Magazyn]])</f>
        <v>Apteka Szpitalna</v>
      </c>
      <c r="I2620" s="2" t="str">
        <f>TRIM(Table1[[#This Row],[Umowa]])</f>
        <v/>
      </c>
      <c r="J2620" s="2" t="b">
        <f>ISTEXT(Table14[[#This Row],[Data_Wystawienia]])</f>
        <v>0</v>
      </c>
      <c r="K2620" s="2">
        <f>VALUE(SUBSTITUTE(Table14[[#This Row],[Wartość]],".",","))</f>
        <v>13199.17</v>
      </c>
      <c r="L26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0" s="2" t="str">
        <f>IF(Table14[[#This Row],[Umowa]]="","Poza umową","Z umowy")</f>
        <v>Poza umową</v>
      </c>
      <c r="N2620" s="2">
        <f>YEAR(Table14[[#This Row],[Data_Wystawienia]])</f>
        <v>2024</v>
      </c>
      <c r="O2620" s="2" t="str">
        <f>TEXT(Table14[[#This Row],[Data_Wystawienia]],"rrrr-mm")</f>
        <v>2024-08</v>
      </c>
      <c r="P2620" s="2">
        <v>1</v>
      </c>
    </row>
    <row r="2621" spans="1:16" x14ac:dyDescent="0.3">
      <c r="A2621" s="2" t="str">
        <f>TRIM(Table1[[#This Row],[Numer_FV]])</f>
        <v>FV/9580/NOVA/24</v>
      </c>
      <c r="B2621" s="2" t="str">
        <f>TRIM(Table1[[#This Row],[Numer_PZ]])</f>
        <v>PZ/802619</v>
      </c>
      <c r="C2621" s="2" t="str">
        <f>TRIM(Table1[[#This Row],[Dostawca]])</f>
        <v>NovaLek</v>
      </c>
      <c r="D2621" s="3">
        <v>45523</v>
      </c>
      <c r="E2621" s="4" t="s">
        <v>7741</v>
      </c>
      <c r="F2621" s="2" t="str">
        <f>TRIM(Table1[[#This Row],[Status]])</f>
        <v>Zaakceptowana</v>
      </c>
      <c r="G2621" s="2" t="str">
        <f>TRIM(Table1[[#This Row],[Typ]])</f>
        <v>Faktura VAT</v>
      </c>
      <c r="H2621" s="2" t="str">
        <f>TRIM(Table1[[#This Row],[Magazyn]])</f>
        <v>Apteka Szpitalna</v>
      </c>
      <c r="I2621" s="2" t="str">
        <f>TRIM(Table1[[#This Row],[Umowa]])</f>
        <v>UM-NOV-02</v>
      </c>
      <c r="J2621" s="2" t="b">
        <f>ISTEXT(Table14[[#This Row],[Data_Wystawienia]])</f>
        <v>0</v>
      </c>
      <c r="K2621" s="2">
        <f>VALUE(SUBSTITUTE(Table14[[#This Row],[Wartość]],".",","))</f>
        <v>7741.2</v>
      </c>
      <c r="L26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1" s="2" t="str">
        <f>IF(Table14[[#This Row],[Umowa]]="","Poza umową","Z umowy")</f>
        <v>Z umowy</v>
      </c>
      <c r="N2621" s="2">
        <f>YEAR(Table14[[#This Row],[Data_Wystawienia]])</f>
        <v>2024</v>
      </c>
      <c r="O2621" s="2" t="str">
        <f>TEXT(Table14[[#This Row],[Data_Wystawienia]],"rrrr-mm")</f>
        <v>2024-08</v>
      </c>
      <c r="P2621" s="2">
        <v>1</v>
      </c>
    </row>
    <row r="2622" spans="1:16" x14ac:dyDescent="0.3">
      <c r="A2622" s="2" t="str">
        <f>TRIM(Table1[[#This Row],[Numer_FV]])</f>
        <v>FV/6099/NOVA/24</v>
      </c>
      <c r="B2622" s="2" t="str">
        <f>TRIM(Table1[[#This Row],[Numer_PZ]])</f>
        <v>PZ/802620</v>
      </c>
      <c r="C2622" s="2" t="str">
        <f>TRIM(Table1[[#This Row],[Dostawca]])</f>
        <v>NovaLek</v>
      </c>
      <c r="D2622" s="3">
        <v>45524</v>
      </c>
      <c r="E2622" s="4" t="s">
        <v>7744</v>
      </c>
      <c r="F2622" s="2" t="str">
        <f>TRIM(Table1[[#This Row],[Status]])</f>
        <v>Zaakceptowana</v>
      </c>
      <c r="G2622" s="2" t="str">
        <f>TRIM(Table1[[#This Row],[Typ]])</f>
        <v>Faktura VAT</v>
      </c>
      <c r="H2622" s="2" t="str">
        <f>TRIM(Table1[[#This Row],[Magazyn]])</f>
        <v>Apteka Szpitalna</v>
      </c>
      <c r="I2622" s="2" t="str">
        <f>TRIM(Table1[[#This Row],[Umowa]])</f>
        <v>UM-NOV-01</v>
      </c>
      <c r="J2622" s="2" t="b">
        <f>ISTEXT(Table14[[#This Row],[Data_Wystawienia]])</f>
        <v>0</v>
      </c>
      <c r="K2622" s="2">
        <f>VALUE(SUBSTITUTE(Table14[[#This Row],[Wartość]],".",","))</f>
        <v>15574.08</v>
      </c>
      <c r="L26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2" s="2" t="str">
        <f>IF(Table14[[#This Row],[Umowa]]="","Poza umową","Z umowy")</f>
        <v>Z umowy</v>
      </c>
      <c r="N2622" s="2">
        <f>YEAR(Table14[[#This Row],[Data_Wystawienia]])</f>
        <v>2024</v>
      </c>
      <c r="O2622" s="2" t="str">
        <f>TEXT(Table14[[#This Row],[Data_Wystawienia]],"rrrr-mm")</f>
        <v>2024-08</v>
      </c>
      <c r="P2622" s="2">
        <v>1</v>
      </c>
    </row>
    <row r="2623" spans="1:16" x14ac:dyDescent="0.3">
      <c r="A2623" s="2" t="str">
        <f>TRIM(Table1[[#This Row],[Numer_FV]])</f>
        <v>FV/14/PP/7080/24</v>
      </c>
      <c r="B2623" s="2" t="str">
        <f>TRIM(Table1[[#This Row],[Numer_PZ]])</f>
        <v>PZ/802621</v>
      </c>
      <c r="C2623" s="2" t="str">
        <f>TRIM(Table1[[#This Row],[Dostawca]])</f>
        <v>PharmaPlus</v>
      </c>
      <c r="D2623" s="3">
        <v>45524</v>
      </c>
      <c r="E2623" s="4" t="s">
        <v>7747</v>
      </c>
      <c r="F2623" s="2" t="str">
        <f>TRIM(Table1[[#This Row],[Status]])</f>
        <v>Zaakceptowana</v>
      </c>
      <c r="G2623" s="2" t="str">
        <f>TRIM(Table1[[#This Row],[Typ]])</f>
        <v>Faktura VAT</v>
      </c>
      <c r="H2623" s="2" t="str">
        <f>TRIM(Table1[[#This Row],[Magazyn]])</f>
        <v>Apteka Szpitalna</v>
      </c>
      <c r="I2623" s="2" t="str">
        <f>TRIM(Table1[[#This Row],[Umowa]])</f>
        <v/>
      </c>
      <c r="J2623" s="2" t="b">
        <f>ISTEXT(Table14[[#This Row],[Data_Wystawienia]])</f>
        <v>0</v>
      </c>
      <c r="K2623" s="2">
        <f>VALUE(SUBSTITUTE(Table14[[#This Row],[Wartość]],".",","))</f>
        <v>12359.72</v>
      </c>
      <c r="L26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3" s="2" t="str">
        <f>IF(Table14[[#This Row],[Umowa]]="","Poza umową","Z umowy")</f>
        <v>Poza umową</v>
      </c>
      <c r="N2623" s="2">
        <f>YEAR(Table14[[#This Row],[Data_Wystawienia]])</f>
        <v>2024</v>
      </c>
      <c r="O2623" s="2" t="str">
        <f>TEXT(Table14[[#This Row],[Data_Wystawienia]],"rrrr-mm")</f>
        <v>2024-08</v>
      </c>
      <c r="P2623" s="2">
        <v>1</v>
      </c>
    </row>
    <row r="2624" spans="1:16" x14ac:dyDescent="0.3">
      <c r="A2624" s="2" t="str">
        <f>TRIM(Table1[[#This Row],[Numer_FV]])</f>
        <v>FV/CENFA/750209/24</v>
      </c>
      <c r="B2624" s="2" t="str">
        <f>TRIM(Table1[[#This Row],[Numer_PZ]])</f>
        <v>PZ/802622</v>
      </c>
      <c r="C2624" s="2" t="str">
        <f>TRIM(Table1[[#This Row],[Dostawca]])</f>
        <v>CentrumFarm</v>
      </c>
      <c r="D2624" s="3">
        <v>45524</v>
      </c>
      <c r="E2624" s="4" t="s">
        <v>7750</v>
      </c>
      <c r="F2624" s="2" t="str">
        <f>TRIM(Table1[[#This Row],[Status]])</f>
        <v>Zaakceptowana</v>
      </c>
      <c r="G2624" s="2" t="str">
        <f>TRIM(Table1[[#This Row],[Typ]])</f>
        <v>Korekta FV</v>
      </c>
      <c r="H2624" s="2" t="str">
        <f>TRIM(Table1[[#This Row],[Magazyn]])</f>
        <v>Apteka Szpitalna</v>
      </c>
      <c r="I2624" s="2" t="str">
        <f>TRIM(Table1[[#This Row],[Umowa]])</f>
        <v>UM-CEN-01</v>
      </c>
      <c r="J2624" s="2" t="b">
        <f>ISTEXT(Table14[[#This Row],[Data_Wystawienia]])</f>
        <v>0</v>
      </c>
      <c r="K2624" s="2">
        <f>VALUE(SUBSTITUTE(Table14[[#This Row],[Wartość]],".",","))</f>
        <v>-2057.33</v>
      </c>
      <c r="L26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4" s="2" t="str">
        <f>IF(Table14[[#This Row],[Umowa]]="","Poza umową","Z umowy")</f>
        <v>Z umowy</v>
      </c>
      <c r="N2624" s="2">
        <f>YEAR(Table14[[#This Row],[Data_Wystawienia]])</f>
        <v>2024</v>
      </c>
      <c r="O2624" s="2" t="str">
        <f>TEXT(Table14[[#This Row],[Data_Wystawienia]],"rrrr-mm")</f>
        <v>2024-08</v>
      </c>
      <c r="P2624" s="2">
        <v>1</v>
      </c>
    </row>
    <row r="2625" spans="1:16" x14ac:dyDescent="0.3">
      <c r="A2625" s="2" t="str">
        <f>TRIM(Table1[[#This Row],[Numer_FV]])</f>
        <v>FV/POL/27593/2024</v>
      </c>
      <c r="B2625" s="2" t="str">
        <f>TRIM(Table1[[#This Row],[Numer_PZ]])</f>
        <v>PZ/802623</v>
      </c>
      <c r="C2625" s="2" t="str">
        <f>TRIM(Table1[[#This Row],[Dostawca]])</f>
        <v>Polmedica</v>
      </c>
      <c r="D2625" s="3">
        <v>45524</v>
      </c>
      <c r="E2625" s="4" t="s">
        <v>7753</v>
      </c>
      <c r="F2625" s="2" t="str">
        <f>TRIM(Table1[[#This Row],[Status]])</f>
        <v>Zaakceptowana</v>
      </c>
      <c r="G2625" s="2" t="str">
        <f>TRIM(Table1[[#This Row],[Typ]])</f>
        <v>Faktura VAT</v>
      </c>
      <c r="H2625" s="2" t="str">
        <f>TRIM(Table1[[#This Row],[Magazyn]])</f>
        <v>Apteka Szpitalna</v>
      </c>
      <c r="I2625" s="2" t="str">
        <f>TRIM(Table1[[#This Row],[Umowa]])</f>
        <v>UM-POL-01</v>
      </c>
      <c r="J2625" s="2" t="b">
        <f>ISTEXT(Table14[[#This Row],[Data_Wystawienia]])</f>
        <v>0</v>
      </c>
      <c r="K2625" s="2">
        <f>VALUE(SUBSTITUTE(Table14[[#This Row],[Wartość]],".",","))</f>
        <v>26079.87</v>
      </c>
      <c r="L26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5" s="2" t="str">
        <f>IF(Table14[[#This Row],[Umowa]]="","Poza umową","Z umowy")</f>
        <v>Z umowy</v>
      </c>
      <c r="N2625" s="2">
        <f>YEAR(Table14[[#This Row],[Data_Wystawienia]])</f>
        <v>2024</v>
      </c>
      <c r="O2625" s="2" t="str">
        <f>TEXT(Table14[[#This Row],[Data_Wystawienia]],"rrrr-mm")</f>
        <v>2024-08</v>
      </c>
      <c r="P2625" s="2">
        <v>1</v>
      </c>
    </row>
    <row r="2626" spans="1:16" x14ac:dyDescent="0.3">
      <c r="A2626" s="2" t="str">
        <f>TRIM(Table1[[#This Row],[Numer_FV]])</f>
        <v>FV/6953/NOVA/24</v>
      </c>
      <c r="B2626" s="2" t="str">
        <f>TRIM(Table1[[#This Row],[Numer_PZ]])</f>
        <v>PZ/802624</v>
      </c>
      <c r="C2626" s="2" t="str">
        <f>TRIM(Table1[[#This Row],[Dostawca]])</f>
        <v>NovaLek</v>
      </c>
      <c r="D2626" s="3">
        <v>45524</v>
      </c>
      <c r="E2626" s="4" t="s">
        <v>7756</v>
      </c>
      <c r="F2626" s="2" t="str">
        <f>TRIM(Table1[[#This Row],[Status]])</f>
        <v>Zaakceptowana</v>
      </c>
      <c r="G2626" s="2" t="str">
        <f>TRIM(Table1[[#This Row],[Typ]])</f>
        <v>Faktura VAT</v>
      </c>
      <c r="H2626" s="2" t="str">
        <f>TRIM(Table1[[#This Row],[Magazyn]])</f>
        <v>Apteka Szpitalna</v>
      </c>
      <c r="I2626" s="2" t="str">
        <f>TRIM(Table1[[#This Row],[Umowa]])</f>
        <v/>
      </c>
      <c r="J2626" s="2" t="b">
        <f>ISTEXT(Table14[[#This Row],[Data_Wystawienia]])</f>
        <v>0</v>
      </c>
      <c r="K2626" s="2">
        <f>VALUE(SUBSTITUTE(Table14[[#This Row],[Wartość]],".",","))</f>
        <v>16536.37</v>
      </c>
      <c r="L26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6" s="2" t="str">
        <f>IF(Table14[[#This Row],[Umowa]]="","Poza umową","Z umowy")</f>
        <v>Poza umową</v>
      </c>
      <c r="N2626" s="2">
        <f>YEAR(Table14[[#This Row],[Data_Wystawienia]])</f>
        <v>2024</v>
      </c>
      <c r="O2626" s="2" t="str">
        <f>TEXT(Table14[[#This Row],[Data_Wystawienia]],"rrrr-mm")</f>
        <v>2024-08</v>
      </c>
      <c r="P2626" s="2">
        <v>1</v>
      </c>
    </row>
    <row r="2627" spans="1:16" x14ac:dyDescent="0.3">
      <c r="A2627" s="2" t="str">
        <f>TRIM(Table1[[#This Row],[Numer_FV]])</f>
        <v>FV/7212HM/24</v>
      </c>
      <c r="B2627" s="2" t="str">
        <f>TRIM(Table1[[#This Row],[Numer_PZ]])</f>
        <v>PZ/802625</v>
      </c>
      <c r="C2627" s="2" t="str">
        <f>TRIM(Table1[[#This Row],[Dostawca]])</f>
        <v>HurtMedix</v>
      </c>
      <c r="D2627" s="3">
        <v>45525</v>
      </c>
      <c r="E2627" s="4" t="s">
        <v>7759</v>
      </c>
      <c r="F2627" s="2" t="str">
        <f>TRIM(Table1[[#This Row],[Status]])</f>
        <v>Zaakceptowana</v>
      </c>
      <c r="G2627" s="2" t="str">
        <f>TRIM(Table1[[#This Row],[Typ]])</f>
        <v>Faktura VAT</v>
      </c>
      <c r="H2627" s="2" t="str">
        <f>TRIM(Table1[[#This Row],[Magazyn]])</f>
        <v>Apteka Szpitalna</v>
      </c>
      <c r="I2627" s="2" t="str">
        <f>TRIM(Table1[[#This Row],[Umowa]])</f>
        <v>UM-HUR-01</v>
      </c>
      <c r="J2627" s="2" t="b">
        <f>ISTEXT(Table14[[#This Row],[Data_Wystawienia]])</f>
        <v>0</v>
      </c>
      <c r="K2627" s="2">
        <f>VALUE(SUBSTITUTE(Table14[[#This Row],[Wartość]],".",","))</f>
        <v>13390.45</v>
      </c>
      <c r="L26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7" s="2" t="str">
        <f>IF(Table14[[#This Row],[Umowa]]="","Poza umową","Z umowy")</f>
        <v>Z umowy</v>
      </c>
      <c r="N2627" s="2">
        <f>YEAR(Table14[[#This Row],[Data_Wystawienia]])</f>
        <v>2024</v>
      </c>
      <c r="O2627" s="2" t="str">
        <f>TEXT(Table14[[#This Row],[Data_Wystawienia]],"rrrr-mm")</f>
        <v>2024-08</v>
      </c>
      <c r="P2627" s="2">
        <v>1</v>
      </c>
    </row>
    <row r="2628" spans="1:16" x14ac:dyDescent="0.3">
      <c r="A2628" s="2" t="str">
        <f>TRIM(Table1[[#This Row],[Numer_FV]])</f>
        <v>FV/46/PP/1367/24</v>
      </c>
      <c r="B2628" s="2" t="str">
        <f>TRIM(Table1[[#This Row],[Numer_PZ]])</f>
        <v>PZ/802626</v>
      </c>
      <c r="C2628" s="2" t="str">
        <f>TRIM(Table1[[#This Row],[Dostawca]])</f>
        <v>PharmaPlus</v>
      </c>
      <c r="D2628" s="3">
        <v>45526</v>
      </c>
      <c r="E2628" s="4" t="s">
        <v>7762</v>
      </c>
      <c r="F2628" s="2" t="str">
        <f>TRIM(Table1[[#This Row],[Status]])</f>
        <v>Zaakceptowana</v>
      </c>
      <c r="G2628" s="2" t="str">
        <f>TRIM(Table1[[#This Row],[Typ]])</f>
        <v>Faktura VAT</v>
      </c>
      <c r="H2628" s="2" t="str">
        <f>TRIM(Table1[[#This Row],[Magazyn]])</f>
        <v>Apteka Szpitalna</v>
      </c>
      <c r="I2628" s="2" t="str">
        <f>TRIM(Table1[[#This Row],[Umowa]])</f>
        <v>UM-PHA-01</v>
      </c>
      <c r="J2628" s="2" t="b">
        <f>ISTEXT(Table14[[#This Row],[Data_Wystawienia]])</f>
        <v>0</v>
      </c>
      <c r="K2628" s="2">
        <f>VALUE(SUBSTITUTE(Table14[[#This Row],[Wartość]],".",","))</f>
        <v>8702.75</v>
      </c>
      <c r="L26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8" s="2" t="str">
        <f>IF(Table14[[#This Row],[Umowa]]="","Poza umową","Z umowy")</f>
        <v>Z umowy</v>
      </c>
      <c r="N2628" s="2">
        <f>YEAR(Table14[[#This Row],[Data_Wystawienia]])</f>
        <v>2024</v>
      </c>
      <c r="O2628" s="2" t="str">
        <f>TEXT(Table14[[#This Row],[Data_Wystawienia]],"rrrr-mm")</f>
        <v>2024-08</v>
      </c>
      <c r="P2628" s="2">
        <v>1</v>
      </c>
    </row>
    <row r="2629" spans="1:16" x14ac:dyDescent="0.3">
      <c r="A2629" s="2" t="str">
        <f>TRIM(Table1[[#This Row],[Numer_FV]])</f>
        <v>FV/CENFA/618943/24</v>
      </c>
      <c r="B2629" s="2" t="str">
        <f>TRIM(Table1[[#This Row],[Numer_PZ]])</f>
        <v>PZ/802627</v>
      </c>
      <c r="C2629" s="2" t="str">
        <f>TRIM(Table1[[#This Row],[Dostawca]])</f>
        <v>CentrumFarm</v>
      </c>
      <c r="D2629" s="3">
        <v>45526</v>
      </c>
      <c r="E2629" s="4" t="s">
        <v>7765</v>
      </c>
      <c r="F2629" s="2" t="str">
        <f>TRIM(Table1[[#This Row],[Status]])</f>
        <v>Zaakceptowana</v>
      </c>
      <c r="G2629" s="2" t="str">
        <f>TRIM(Table1[[#This Row],[Typ]])</f>
        <v>Faktura VAT</v>
      </c>
      <c r="H2629" s="2" t="str">
        <f>TRIM(Table1[[#This Row],[Magazyn]])</f>
        <v>Apteka Szpitalna</v>
      </c>
      <c r="I2629" s="2" t="str">
        <f>TRIM(Table1[[#This Row],[Umowa]])</f>
        <v>UM-CEN-02</v>
      </c>
      <c r="J2629" s="2" t="b">
        <f>ISTEXT(Table14[[#This Row],[Data_Wystawienia]])</f>
        <v>0</v>
      </c>
      <c r="K2629" s="2">
        <f>VALUE(SUBSTITUTE(Table14[[#This Row],[Wartość]],".",","))</f>
        <v>15072.67</v>
      </c>
      <c r="L26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29" s="2" t="str">
        <f>IF(Table14[[#This Row],[Umowa]]="","Poza umową","Z umowy")</f>
        <v>Z umowy</v>
      </c>
      <c r="N2629" s="2">
        <f>YEAR(Table14[[#This Row],[Data_Wystawienia]])</f>
        <v>2024</v>
      </c>
      <c r="O2629" s="2" t="str">
        <f>TEXT(Table14[[#This Row],[Data_Wystawienia]],"rrrr-mm")</f>
        <v>2024-08</v>
      </c>
      <c r="P2629" s="2">
        <v>1</v>
      </c>
    </row>
    <row r="2630" spans="1:16" x14ac:dyDescent="0.3">
      <c r="A2630" s="2" t="str">
        <f>TRIM(Table1[[#This Row],[Numer_FV]])</f>
        <v>FV/CENFA/933866/24</v>
      </c>
      <c r="B2630" s="2" t="str">
        <f>TRIM(Table1[[#This Row],[Numer_PZ]])</f>
        <v>PZ/802628</v>
      </c>
      <c r="C2630" s="2" t="str">
        <f>TRIM(Table1[[#This Row],[Dostawca]])</f>
        <v>CentrumFarm</v>
      </c>
      <c r="D2630" s="3">
        <v>45528</v>
      </c>
      <c r="E2630" s="4" t="s">
        <v>7768</v>
      </c>
      <c r="F2630" s="2" t="str">
        <f>TRIM(Table1[[#This Row],[Status]])</f>
        <v>Zaakceptowana</v>
      </c>
      <c r="G2630" s="2" t="str">
        <f>TRIM(Table1[[#This Row],[Typ]])</f>
        <v>Faktura VAT</v>
      </c>
      <c r="H2630" s="2" t="str">
        <f>TRIM(Table1[[#This Row],[Magazyn]])</f>
        <v>Apteka Szpitalna</v>
      </c>
      <c r="I2630" s="2" t="str">
        <f>TRIM(Table1[[#This Row],[Umowa]])</f>
        <v>UM-CEN-02</v>
      </c>
      <c r="J2630" s="2" t="b">
        <f>ISTEXT(Table14[[#This Row],[Data_Wystawienia]])</f>
        <v>0</v>
      </c>
      <c r="K2630" s="2">
        <f>VALUE(SUBSTITUTE(Table14[[#This Row],[Wartość]],".",","))</f>
        <v>11782.7</v>
      </c>
      <c r="L26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0" s="2" t="str">
        <f>IF(Table14[[#This Row],[Umowa]]="","Poza umową","Z umowy")</f>
        <v>Z umowy</v>
      </c>
      <c r="N2630" s="2">
        <f>YEAR(Table14[[#This Row],[Data_Wystawienia]])</f>
        <v>2024</v>
      </c>
      <c r="O2630" s="2" t="str">
        <f>TEXT(Table14[[#This Row],[Data_Wystawienia]],"rrrr-mm")</f>
        <v>2024-08</v>
      </c>
      <c r="P2630" s="2">
        <v>1</v>
      </c>
    </row>
    <row r="2631" spans="1:16" x14ac:dyDescent="0.3">
      <c r="A2631" s="2" t="str">
        <f>TRIM(Table1[[#This Row],[Numer_FV]])</f>
        <v>FV/99/PP/2191/24</v>
      </c>
      <c r="B2631" s="2" t="str">
        <f>TRIM(Table1[[#This Row],[Numer_PZ]])</f>
        <v>PZ/802629</v>
      </c>
      <c r="C2631" s="2" t="str">
        <f>TRIM(Table1[[#This Row],[Dostawca]])</f>
        <v>PharmaPlus</v>
      </c>
      <c r="D2631" s="3">
        <v>45529</v>
      </c>
      <c r="E2631" s="4" t="s">
        <v>7771</v>
      </c>
      <c r="F2631" s="2" t="str">
        <f>TRIM(Table1[[#This Row],[Status]])</f>
        <v>Zaakceptowana</v>
      </c>
      <c r="G2631" s="2" t="str">
        <f>TRIM(Table1[[#This Row],[Typ]])</f>
        <v>Faktura VAT</v>
      </c>
      <c r="H2631" s="2" t="str">
        <f>TRIM(Table1[[#This Row],[Magazyn]])</f>
        <v>Apteka Szpitalna</v>
      </c>
      <c r="I2631" s="2" t="str">
        <f>TRIM(Table1[[#This Row],[Umowa]])</f>
        <v>UM-PHA-01</v>
      </c>
      <c r="J2631" s="2" t="b">
        <f>ISTEXT(Table14[[#This Row],[Data_Wystawienia]])</f>
        <v>0</v>
      </c>
      <c r="K2631" s="2">
        <f>VALUE(SUBSTITUTE(Table14[[#This Row],[Wartość]],".",","))</f>
        <v>2389.5700000000002</v>
      </c>
      <c r="L26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1" s="2" t="str">
        <f>IF(Table14[[#This Row],[Umowa]]="","Poza umową","Z umowy")</f>
        <v>Z umowy</v>
      </c>
      <c r="N2631" s="2">
        <f>YEAR(Table14[[#This Row],[Data_Wystawienia]])</f>
        <v>2024</v>
      </c>
      <c r="O2631" s="2" t="str">
        <f>TEXT(Table14[[#This Row],[Data_Wystawienia]],"rrrr-mm")</f>
        <v>2024-08</v>
      </c>
      <c r="P2631" s="2">
        <v>1</v>
      </c>
    </row>
    <row r="2632" spans="1:16" x14ac:dyDescent="0.3">
      <c r="A2632" s="2" t="str">
        <f>TRIM(Table1[[#This Row],[Numer_FV]])</f>
        <v>FV/21/PP/7318/24</v>
      </c>
      <c r="B2632" s="2" t="str">
        <f>TRIM(Table1[[#This Row],[Numer_PZ]])</f>
        <v>PZ/802630</v>
      </c>
      <c r="C2632" s="2" t="str">
        <f>TRIM(Table1[[#This Row],[Dostawca]])</f>
        <v>PharmaPlus</v>
      </c>
      <c r="D2632" s="3">
        <v>45529</v>
      </c>
      <c r="E2632" s="4" t="s">
        <v>7774</v>
      </c>
      <c r="F2632" s="2" t="str">
        <f>TRIM(Table1[[#This Row],[Status]])</f>
        <v>Zaakceptowana</v>
      </c>
      <c r="G2632" s="2" t="str">
        <f>TRIM(Table1[[#This Row],[Typ]])</f>
        <v>Faktura VAT</v>
      </c>
      <c r="H2632" s="2" t="str">
        <f>TRIM(Table1[[#This Row],[Magazyn]])</f>
        <v>Apteka Szpitalna</v>
      </c>
      <c r="I2632" s="2" t="str">
        <f>TRIM(Table1[[#This Row],[Umowa]])</f>
        <v/>
      </c>
      <c r="J2632" s="2" t="b">
        <f>ISTEXT(Table14[[#This Row],[Data_Wystawienia]])</f>
        <v>0</v>
      </c>
      <c r="K2632" s="2">
        <f>VALUE(SUBSTITUTE(Table14[[#This Row],[Wartość]],".",","))</f>
        <v>22490.2</v>
      </c>
      <c r="L26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2" s="2" t="str">
        <f>IF(Table14[[#This Row],[Umowa]]="","Poza umową","Z umowy")</f>
        <v>Poza umową</v>
      </c>
      <c r="N2632" s="2">
        <f>YEAR(Table14[[#This Row],[Data_Wystawienia]])</f>
        <v>2024</v>
      </c>
      <c r="O2632" s="2" t="str">
        <f>TEXT(Table14[[#This Row],[Data_Wystawienia]],"rrrr-mm")</f>
        <v>2024-08</v>
      </c>
      <c r="P2632" s="2">
        <v>1</v>
      </c>
    </row>
    <row r="2633" spans="1:16" x14ac:dyDescent="0.3">
      <c r="A2633" s="2" t="str">
        <f>TRIM(Table1[[#This Row],[Numer_FV]])</f>
        <v>FV/8564/NOVA/24</v>
      </c>
      <c r="B2633" s="2" t="str">
        <f>TRIM(Table1[[#This Row],[Numer_PZ]])</f>
        <v>PZ/802631</v>
      </c>
      <c r="C2633" s="2" t="str">
        <f>TRIM(Table1[[#This Row],[Dostawca]])</f>
        <v>NovaLek</v>
      </c>
      <c r="D2633" s="3">
        <v>45530</v>
      </c>
      <c r="E2633" s="4" t="s">
        <v>7777</v>
      </c>
      <c r="F2633" s="2" t="str">
        <f>TRIM(Table1[[#This Row],[Status]])</f>
        <v>Zaakceptowana</v>
      </c>
      <c r="G2633" s="2" t="str">
        <f>TRIM(Table1[[#This Row],[Typ]])</f>
        <v>Faktura VAT</v>
      </c>
      <c r="H2633" s="2" t="str">
        <f>TRIM(Table1[[#This Row],[Magazyn]])</f>
        <v>Apteka Szpitalna</v>
      </c>
      <c r="I2633" s="2" t="str">
        <f>TRIM(Table1[[#This Row],[Umowa]])</f>
        <v>UM-NOV-01</v>
      </c>
      <c r="J2633" s="2" t="b">
        <f>ISTEXT(Table14[[#This Row],[Data_Wystawienia]])</f>
        <v>0</v>
      </c>
      <c r="K2633" s="2">
        <f>VALUE(SUBSTITUTE(Table14[[#This Row],[Wartość]],".",","))</f>
        <v>6307.58</v>
      </c>
      <c r="L26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3" s="2" t="str">
        <f>IF(Table14[[#This Row],[Umowa]]="","Poza umową","Z umowy")</f>
        <v>Z umowy</v>
      </c>
      <c r="N2633" s="2">
        <f>YEAR(Table14[[#This Row],[Data_Wystawienia]])</f>
        <v>2024</v>
      </c>
      <c r="O2633" s="2" t="str">
        <f>TEXT(Table14[[#This Row],[Data_Wystawienia]],"rrrr-mm")</f>
        <v>2024-08</v>
      </c>
      <c r="P2633" s="2">
        <v>1</v>
      </c>
    </row>
    <row r="2634" spans="1:16" x14ac:dyDescent="0.3">
      <c r="A2634" s="2" t="str">
        <f>TRIM(Table1[[#This Row],[Numer_FV]])</f>
        <v>FV/CENFA/894039/24</v>
      </c>
      <c r="B2634" s="2" t="str">
        <f>TRIM(Table1[[#This Row],[Numer_PZ]])</f>
        <v>PZ/802632</v>
      </c>
      <c r="C2634" s="2" t="str">
        <f>TRIM(Table1[[#This Row],[Dostawca]])</f>
        <v>CentrumFarm</v>
      </c>
      <c r="D2634" s="3">
        <v>45530</v>
      </c>
      <c r="E2634" s="4" t="s">
        <v>7780</v>
      </c>
      <c r="F2634" s="2" t="str">
        <f>TRIM(Table1[[#This Row],[Status]])</f>
        <v>Zaakceptowana</v>
      </c>
      <c r="G2634" s="2" t="str">
        <f>TRIM(Table1[[#This Row],[Typ]])</f>
        <v>Faktura VAT</v>
      </c>
      <c r="H2634" s="2" t="str">
        <f>TRIM(Table1[[#This Row],[Magazyn]])</f>
        <v>Apteka Szpitalna</v>
      </c>
      <c r="I2634" s="2" t="str">
        <f>TRIM(Table1[[#This Row],[Umowa]])</f>
        <v>UM-CEN-02</v>
      </c>
      <c r="J2634" s="2" t="b">
        <f>ISTEXT(Table14[[#This Row],[Data_Wystawienia]])</f>
        <v>0</v>
      </c>
      <c r="K2634" s="2">
        <f>VALUE(SUBSTITUTE(Table14[[#This Row],[Wartość]],".",","))</f>
        <v>17957.740000000002</v>
      </c>
      <c r="L26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4" s="2" t="str">
        <f>IF(Table14[[#This Row],[Umowa]]="","Poza umową","Z umowy")</f>
        <v>Z umowy</v>
      </c>
      <c r="N2634" s="2">
        <f>YEAR(Table14[[#This Row],[Data_Wystawienia]])</f>
        <v>2024</v>
      </c>
      <c r="O2634" s="2" t="str">
        <f>TEXT(Table14[[#This Row],[Data_Wystawienia]],"rrrr-mm")</f>
        <v>2024-08</v>
      </c>
      <c r="P2634" s="2">
        <v>1</v>
      </c>
    </row>
    <row r="2635" spans="1:16" x14ac:dyDescent="0.3">
      <c r="A2635" s="2" t="str">
        <f>TRIM(Table1[[#This Row],[Numer_FV]])</f>
        <v>FV/98/PP/9086/24</v>
      </c>
      <c r="B2635" s="2" t="str">
        <f>TRIM(Table1[[#This Row],[Numer_PZ]])</f>
        <v>PZ/802633</v>
      </c>
      <c r="C2635" s="2" t="str">
        <f>TRIM(Table1[[#This Row],[Dostawca]])</f>
        <v>PharmaPlus</v>
      </c>
      <c r="D2635" s="3">
        <v>45530</v>
      </c>
      <c r="E2635" s="4" t="s">
        <v>7783</v>
      </c>
      <c r="F2635" s="2" t="str">
        <f>TRIM(Table1[[#This Row],[Status]])</f>
        <v>Zaakceptowana</v>
      </c>
      <c r="G2635" s="2" t="str">
        <f>TRIM(Table1[[#This Row],[Typ]])</f>
        <v>Faktura VAT</v>
      </c>
      <c r="H2635" s="2" t="str">
        <f>TRIM(Table1[[#This Row],[Magazyn]])</f>
        <v>Apteka Szpitalna</v>
      </c>
      <c r="I2635" s="2" t="str">
        <f>TRIM(Table1[[#This Row],[Umowa]])</f>
        <v>UM-PHA-02</v>
      </c>
      <c r="J2635" s="2" t="b">
        <f>ISTEXT(Table14[[#This Row],[Data_Wystawienia]])</f>
        <v>0</v>
      </c>
      <c r="K2635" s="2">
        <f>VALUE(SUBSTITUTE(Table14[[#This Row],[Wartość]],".",","))</f>
        <v>6130.7</v>
      </c>
      <c r="L26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5" s="2" t="str">
        <f>IF(Table14[[#This Row],[Umowa]]="","Poza umową","Z umowy")</f>
        <v>Z umowy</v>
      </c>
      <c r="N2635" s="2">
        <f>YEAR(Table14[[#This Row],[Data_Wystawienia]])</f>
        <v>2024</v>
      </c>
      <c r="O2635" s="2" t="str">
        <f>TEXT(Table14[[#This Row],[Data_Wystawienia]],"rrrr-mm")</f>
        <v>2024-08</v>
      </c>
      <c r="P2635" s="2">
        <v>1</v>
      </c>
    </row>
    <row r="2636" spans="1:16" x14ac:dyDescent="0.3">
      <c r="A2636" s="2" t="str">
        <f>TRIM(Table1[[#This Row],[Numer_FV]])</f>
        <v>FV/M/9325/P/24</v>
      </c>
      <c r="B2636" s="2" t="str">
        <f>TRIM(Table1[[#This Row],[Numer_PZ]])</f>
        <v>PZ/802634</v>
      </c>
      <c r="C2636" s="2" t="str">
        <f>TRIM(Table1[[#This Row],[Dostawca]])</f>
        <v>MedicaPharm</v>
      </c>
      <c r="D2636" s="3">
        <v>45530</v>
      </c>
      <c r="E2636" s="4" t="s">
        <v>7786</v>
      </c>
      <c r="F2636" s="2" t="str">
        <f>TRIM(Table1[[#This Row],[Status]])</f>
        <v>Zaakceptowana</v>
      </c>
      <c r="G2636" s="2" t="str">
        <f>TRIM(Table1[[#This Row],[Typ]])</f>
        <v>Faktura VAT</v>
      </c>
      <c r="H2636" s="2" t="str">
        <f>TRIM(Table1[[#This Row],[Magazyn]])</f>
        <v>Apteka Szpitalna</v>
      </c>
      <c r="I2636" s="2" t="str">
        <f>TRIM(Table1[[#This Row],[Umowa]])</f>
        <v>UM-MED-01</v>
      </c>
      <c r="J2636" s="2" t="b">
        <f>ISTEXT(Table14[[#This Row],[Data_Wystawienia]])</f>
        <v>0</v>
      </c>
      <c r="K2636" s="2">
        <f>VALUE(SUBSTITUTE(Table14[[#This Row],[Wartość]],".",","))</f>
        <v>15407.19</v>
      </c>
      <c r="L26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6" s="2" t="str">
        <f>IF(Table14[[#This Row],[Umowa]]="","Poza umową","Z umowy")</f>
        <v>Z umowy</v>
      </c>
      <c r="N2636" s="2">
        <f>YEAR(Table14[[#This Row],[Data_Wystawienia]])</f>
        <v>2024</v>
      </c>
      <c r="O2636" s="2" t="str">
        <f>TEXT(Table14[[#This Row],[Data_Wystawienia]],"rrrr-mm")</f>
        <v>2024-08</v>
      </c>
      <c r="P2636" s="2">
        <v>1</v>
      </c>
    </row>
    <row r="2637" spans="1:16" x14ac:dyDescent="0.3">
      <c r="A2637" s="2" t="str">
        <f>TRIM(Table1[[#This Row],[Numer_FV]])</f>
        <v>FV/54505/VDb/2024</v>
      </c>
      <c r="B2637" s="2" t="str">
        <f>TRIM(Table1[[#This Row],[Numer_PZ]])</f>
        <v>PZ/802635</v>
      </c>
      <c r="C2637" s="2" t="str">
        <f>TRIM(Table1[[#This Row],[Dostawca]])</f>
        <v>VitaDistrib</v>
      </c>
      <c r="D2637" s="3">
        <v>45530</v>
      </c>
      <c r="E2637" s="4" t="s">
        <v>7789</v>
      </c>
      <c r="F2637" s="2" t="str">
        <f>TRIM(Table1[[#This Row],[Status]])</f>
        <v>Zaakceptowana</v>
      </c>
      <c r="G2637" s="2" t="str">
        <f>TRIM(Table1[[#This Row],[Typ]])</f>
        <v>Faktura VAT</v>
      </c>
      <c r="H2637" s="2" t="str">
        <f>TRIM(Table1[[#This Row],[Magazyn]])</f>
        <v>Apteka Szpitalna</v>
      </c>
      <c r="I2637" s="2" t="str">
        <f>TRIM(Table1[[#This Row],[Umowa]])</f>
        <v>UM-VIT-01</v>
      </c>
      <c r="J2637" s="2" t="b">
        <f>ISTEXT(Table14[[#This Row],[Data_Wystawienia]])</f>
        <v>0</v>
      </c>
      <c r="K2637" s="2">
        <f>VALUE(SUBSTITUTE(Table14[[#This Row],[Wartość]],".",","))</f>
        <v>23522.639999999999</v>
      </c>
      <c r="L26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7" s="2" t="str">
        <f>IF(Table14[[#This Row],[Umowa]]="","Poza umową","Z umowy")</f>
        <v>Z umowy</v>
      </c>
      <c r="N2637" s="2">
        <f>YEAR(Table14[[#This Row],[Data_Wystawienia]])</f>
        <v>2024</v>
      </c>
      <c r="O2637" s="2" t="str">
        <f>TEXT(Table14[[#This Row],[Data_Wystawienia]],"rrrr-mm")</f>
        <v>2024-08</v>
      </c>
      <c r="P2637" s="2">
        <v>1</v>
      </c>
    </row>
    <row r="2638" spans="1:16" x14ac:dyDescent="0.3">
      <c r="A2638" s="2" t="str">
        <f>TRIM(Table1[[#This Row],[Numer_FV]])</f>
        <v>FV/3502/NOVA/24</v>
      </c>
      <c r="B2638" s="2" t="str">
        <f>TRIM(Table1[[#This Row],[Numer_PZ]])</f>
        <v>PZ/802636</v>
      </c>
      <c r="C2638" s="2" t="str">
        <f>TRIM(Table1[[#This Row],[Dostawca]])</f>
        <v>NovaLek</v>
      </c>
      <c r="D2638" s="3">
        <v>45531</v>
      </c>
      <c r="E2638" s="4" t="s">
        <v>7792</v>
      </c>
      <c r="F2638" s="2" t="str">
        <f>TRIM(Table1[[#This Row],[Status]])</f>
        <v>Zaakceptowana</v>
      </c>
      <c r="G2638" s="2" t="str">
        <f>TRIM(Table1[[#This Row],[Typ]])</f>
        <v>Faktura VAT</v>
      </c>
      <c r="H2638" s="2" t="str">
        <f>TRIM(Table1[[#This Row],[Magazyn]])</f>
        <v>Apteka Szpitalna</v>
      </c>
      <c r="I2638" s="2" t="str">
        <f>TRIM(Table1[[#This Row],[Umowa]])</f>
        <v>UM-NOV-03</v>
      </c>
      <c r="J2638" s="2" t="b">
        <f>ISTEXT(Table14[[#This Row],[Data_Wystawienia]])</f>
        <v>0</v>
      </c>
      <c r="K2638" s="2">
        <f>VALUE(SUBSTITUTE(Table14[[#This Row],[Wartość]],".",","))</f>
        <v>7721.52</v>
      </c>
      <c r="L26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8" s="2" t="str">
        <f>IF(Table14[[#This Row],[Umowa]]="","Poza umową","Z umowy")</f>
        <v>Z umowy</v>
      </c>
      <c r="N2638" s="2">
        <f>YEAR(Table14[[#This Row],[Data_Wystawienia]])</f>
        <v>2024</v>
      </c>
      <c r="O2638" s="2" t="str">
        <f>TEXT(Table14[[#This Row],[Data_Wystawienia]],"rrrr-mm")</f>
        <v>2024-08</v>
      </c>
      <c r="P2638" s="2">
        <v>1</v>
      </c>
    </row>
    <row r="2639" spans="1:16" x14ac:dyDescent="0.3">
      <c r="A2639" s="2" t="str">
        <f>TRIM(Table1[[#This Row],[Numer_FV]])</f>
        <v>FV/42122/VDb/2024</v>
      </c>
      <c r="B2639" s="2" t="str">
        <f>TRIM(Table1[[#This Row],[Numer_PZ]])</f>
        <v>PZ/802637</v>
      </c>
      <c r="C2639" s="2" t="str">
        <f>TRIM(Table1[[#This Row],[Dostawca]])</f>
        <v>VitaDistrib</v>
      </c>
      <c r="D2639" s="3">
        <v>45531</v>
      </c>
      <c r="E2639" s="4" t="s">
        <v>7795</v>
      </c>
      <c r="F2639" s="2" t="str">
        <f>TRIM(Table1[[#This Row],[Status]])</f>
        <v>Zaakceptowana</v>
      </c>
      <c r="G2639" s="2" t="str">
        <f>TRIM(Table1[[#This Row],[Typ]])</f>
        <v>Faktura VAT</v>
      </c>
      <c r="H2639" s="2" t="str">
        <f>TRIM(Table1[[#This Row],[Magazyn]])</f>
        <v>Apteka Szpitalna</v>
      </c>
      <c r="I2639" s="2" t="str">
        <f>TRIM(Table1[[#This Row],[Umowa]])</f>
        <v>UM-VIT-01</v>
      </c>
      <c r="J2639" s="2" t="b">
        <f>ISTEXT(Table14[[#This Row],[Data_Wystawienia]])</f>
        <v>0</v>
      </c>
      <c r="K2639" s="2">
        <f>VALUE(SUBSTITUTE(Table14[[#This Row],[Wartość]],".",","))</f>
        <v>11990.22</v>
      </c>
      <c r="L26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39" s="2" t="str">
        <f>IF(Table14[[#This Row],[Umowa]]="","Poza umową","Z umowy")</f>
        <v>Z umowy</v>
      </c>
      <c r="N2639" s="2">
        <f>YEAR(Table14[[#This Row],[Data_Wystawienia]])</f>
        <v>2024</v>
      </c>
      <c r="O2639" s="2" t="str">
        <f>TEXT(Table14[[#This Row],[Data_Wystawienia]],"rrrr-mm")</f>
        <v>2024-08</v>
      </c>
      <c r="P2639" s="2">
        <v>1</v>
      </c>
    </row>
    <row r="2640" spans="1:16" x14ac:dyDescent="0.3">
      <c r="A2640" s="2" t="str">
        <f>TRIM(Table1[[#This Row],[Numer_FV]])</f>
        <v>FV/2580HM/24</v>
      </c>
      <c r="B2640" s="2" t="str">
        <f>TRIM(Table1[[#This Row],[Numer_PZ]])</f>
        <v>PZ/802638</v>
      </c>
      <c r="C2640" s="2" t="str">
        <f>TRIM(Table1[[#This Row],[Dostawca]])</f>
        <v>HurtMedix</v>
      </c>
      <c r="D2640" s="3">
        <v>45531</v>
      </c>
      <c r="E2640" s="4" t="s">
        <v>7798</v>
      </c>
      <c r="F2640" s="2" t="str">
        <f>TRIM(Table1[[#This Row],[Status]])</f>
        <v>Zaakceptowana</v>
      </c>
      <c r="G2640" s="2" t="str">
        <f>TRIM(Table1[[#This Row],[Typ]])</f>
        <v>Faktura VAT</v>
      </c>
      <c r="H2640" s="2" t="str">
        <f>TRIM(Table1[[#This Row],[Magazyn]])</f>
        <v>Apteka Szpitalna</v>
      </c>
      <c r="I2640" s="2" t="str">
        <f>TRIM(Table1[[#This Row],[Umowa]])</f>
        <v>UM-HUR-02</v>
      </c>
      <c r="J2640" s="2" t="b">
        <f>ISTEXT(Table14[[#This Row],[Data_Wystawienia]])</f>
        <v>0</v>
      </c>
      <c r="K2640" s="2">
        <f>VALUE(SUBSTITUTE(Table14[[#This Row],[Wartość]],".",","))</f>
        <v>19120</v>
      </c>
      <c r="L26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0" s="2" t="str">
        <f>IF(Table14[[#This Row],[Umowa]]="","Poza umową","Z umowy")</f>
        <v>Z umowy</v>
      </c>
      <c r="N2640" s="2">
        <f>YEAR(Table14[[#This Row],[Data_Wystawienia]])</f>
        <v>2024</v>
      </c>
      <c r="O2640" s="2" t="str">
        <f>TEXT(Table14[[#This Row],[Data_Wystawienia]],"rrrr-mm")</f>
        <v>2024-08</v>
      </c>
      <c r="P2640" s="2">
        <v>1</v>
      </c>
    </row>
    <row r="2641" spans="1:16" x14ac:dyDescent="0.3">
      <c r="A2641" s="2" t="str">
        <f>TRIM(Table1[[#This Row],[Numer_FV]])</f>
        <v>FV/70/PP/3193/24</v>
      </c>
      <c r="B2641" s="2" t="str">
        <f>TRIM(Table1[[#This Row],[Numer_PZ]])</f>
        <v>PZ/802639</v>
      </c>
      <c r="C2641" s="2" t="str">
        <f>TRIM(Table1[[#This Row],[Dostawca]])</f>
        <v>PharmaPlus</v>
      </c>
      <c r="D2641" s="3">
        <v>45531</v>
      </c>
      <c r="E2641" s="4" t="s">
        <v>7801</v>
      </c>
      <c r="F2641" s="2" t="str">
        <f>TRIM(Table1[[#This Row],[Status]])</f>
        <v>Zaakceptowana</v>
      </c>
      <c r="G2641" s="2" t="str">
        <f>TRIM(Table1[[#This Row],[Typ]])</f>
        <v>Faktura VAT</v>
      </c>
      <c r="H2641" s="2" t="str">
        <f>TRIM(Table1[[#This Row],[Magazyn]])</f>
        <v>Apteka Szpitalna</v>
      </c>
      <c r="I2641" s="2" t="str">
        <f>TRIM(Table1[[#This Row],[Umowa]])</f>
        <v>UM-PHA-01</v>
      </c>
      <c r="J2641" s="2" t="b">
        <f>ISTEXT(Table14[[#This Row],[Data_Wystawienia]])</f>
        <v>0</v>
      </c>
      <c r="K2641" s="2">
        <f>VALUE(SUBSTITUTE(Table14[[#This Row],[Wartość]],".",","))</f>
        <v>14561.76</v>
      </c>
      <c r="L26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1" s="2" t="str">
        <f>IF(Table14[[#This Row],[Umowa]]="","Poza umową","Z umowy")</f>
        <v>Z umowy</v>
      </c>
      <c r="N2641" s="2">
        <f>YEAR(Table14[[#This Row],[Data_Wystawienia]])</f>
        <v>2024</v>
      </c>
      <c r="O2641" s="2" t="str">
        <f>TEXT(Table14[[#This Row],[Data_Wystawienia]],"rrrr-mm")</f>
        <v>2024-08</v>
      </c>
      <c r="P2641" s="2">
        <v>1</v>
      </c>
    </row>
    <row r="2642" spans="1:16" x14ac:dyDescent="0.3">
      <c r="A2642" s="2" t="str">
        <f>TRIM(Table1[[#This Row],[Numer_FV]])</f>
        <v>FV/44/SAL/24</v>
      </c>
      <c r="B2642" s="2" t="str">
        <f>TRIM(Table1[[#This Row],[Numer_PZ]])</f>
        <v>PZ/802640</v>
      </c>
      <c r="C2642" s="2" t="str">
        <f>TRIM(Table1[[#This Row],[Dostawca]])</f>
        <v>SalusHurt</v>
      </c>
      <c r="D2642" s="3">
        <v>45531</v>
      </c>
      <c r="E2642" s="4" t="s">
        <v>7803</v>
      </c>
      <c r="F2642" s="2" t="str">
        <f>TRIM(Table1[[#This Row],[Status]])</f>
        <v>Zaakceptowana</v>
      </c>
      <c r="G2642" s="2" t="str">
        <f>TRIM(Table1[[#This Row],[Typ]])</f>
        <v>Faktura VAT</v>
      </c>
      <c r="H2642" s="2" t="str">
        <f>TRIM(Table1[[#This Row],[Magazyn]])</f>
        <v>Apteka Szpitalna</v>
      </c>
      <c r="I2642" s="2" t="str">
        <f>TRIM(Table1[[#This Row],[Umowa]])</f>
        <v/>
      </c>
      <c r="J2642" s="2" t="b">
        <f>ISTEXT(Table14[[#This Row],[Data_Wystawienia]])</f>
        <v>0</v>
      </c>
      <c r="K2642" s="2">
        <f>VALUE(SUBSTITUTE(Table14[[#This Row],[Wartość]],".",","))</f>
        <v>12143.45</v>
      </c>
      <c r="L26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2" s="2" t="str">
        <f>IF(Table14[[#This Row],[Umowa]]="","Poza umową","Z umowy")</f>
        <v>Poza umową</v>
      </c>
      <c r="N2642" s="2">
        <f>YEAR(Table14[[#This Row],[Data_Wystawienia]])</f>
        <v>2024</v>
      </c>
      <c r="O2642" s="2" t="str">
        <f>TEXT(Table14[[#This Row],[Data_Wystawienia]],"rrrr-mm")</f>
        <v>2024-08</v>
      </c>
      <c r="P2642" s="2">
        <v>1</v>
      </c>
    </row>
    <row r="2643" spans="1:16" x14ac:dyDescent="0.3">
      <c r="A2643" s="2" t="str">
        <f>TRIM(Table1[[#This Row],[Numer_FV]])</f>
        <v>FV/57087/VDb/2024</v>
      </c>
      <c r="B2643" s="2" t="str">
        <f>TRIM(Table1[[#This Row],[Numer_PZ]])</f>
        <v>PZ/802641</v>
      </c>
      <c r="C2643" s="2" t="str">
        <f>TRIM(Table1[[#This Row],[Dostawca]])</f>
        <v>VitaDistrib</v>
      </c>
      <c r="D2643" s="3">
        <v>45532</v>
      </c>
      <c r="E2643" s="4" t="s">
        <v>7806</v>
      </c>
      <c r="F2643" s="2" t="str">
        <f>TRIM(Table1[[#This Row],[Status]])</f>
        <v>Zaakceptowana</v>
      </c>
      <c r="G2643" s="2" t="str">
        <f>TRIM(Table1[[#This Row],[Typ]])</f>
        <v>Korekta FV</v>
      </c>
      <c r="H2643" s="2" t="str">
        <f>TRIM(Table1[[#This Row],[Magazyn]])</f>
        <v>Apteka Szpitalna</v>
      </c>
      <c r="I2643" s="2" t="str">
        <f>TRIM(Table1[[#This Row],[Umowa]])</f>
        <v>UM-VIT-01</v>
      </c>
      <c r="J2643" s="2" t="b">
        <f>ISTEXT(Table14[[#This Row],[Data_Wystawienia]])</f>
        <v>0</v>
      </c>
      <c r="K2643" s="2">
        <f>VALUE(SUBSTITUTE(Table14[[#This Row],[Wartość]],".",","))</f>
        <v>-531.41</v>
      </c>
      <c r="L26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3" s="2" t="str">
        <f>IF(Table14[[#This Row],[Umowa]]="","Poza umową","Z umowy")</f>
        <v>Z umowy</v>
      </c>
      <c r="N2643" s="2">
        <f>YEAR(Table14[[#This Row],[Data_Wystawienia]])</f>
        <v>2024</v>
      </c>
      <c r="O2643" s="2" t="str">
        <f>TEXT(Table14[[#This Row],[Data_Wystawienia]],"rrrr-mm")</f>
        <v>2024-08</v>
      </c>
      <c r="P2643" s="2">
        <v>1</v>
      </c>
    </row>
    <row r="2644" spans="1:16" x14ac:dyDescent="0.3">
      <c r="A2644" s="2" t="str">
        <f>TRIM(Table1[[#This Row],[Numer_FV]])</f>
        <v>FV/37/SAL/24</v>
      </c>
      <c r="B2644" s="2" t="str">
        <f>TRIM(Table1[[#This Row],[Numer_PZ]])</f>
        <v>PZ/802642</v>
      </c>
      <c r="C2644" s="2" t="str">
        <f>TRIM(Table1[[#This Row],[Dostawca]])</f>
        <v>SalusHurt</v>
      </c>
      <c r="D2644" s="3">
        <v>45534</v>
      </c>
      <c r="E2644" s="4" t="s">
        <v>7809</v>
      </c>
      <c r="F2644" s="2" t="str">
        <f>TRIM(Table1[[#This Row],[Status]])</f>
        <v>Zaakceptowana</v>
      </c>
      <c r="G2644" s="2" t="str">
        <f>TRIM(Table1[[#This Row],[Typ]])</f>
        <v>Faktura VAT</v>
      </c>
      <c r="H2644" s="2" t="str">
        <f>TRIM(Table1[[#This Row],[Magazyn]])</f>
        <v>Apteka Szpitalna</v>
      </c>
      <c r="I2644" s="2" t="str">
        <f>TRIM(Table1[[#This Row],[Umowa]])</f>
        <v>UM-SAL-01</v>
      </c>
      <c r="J2644" s="2" t="b">
        <f>ISTEXT(Table14[[#This Row],[Data_Wystawienia]])</f>
        <v>0</v>
      </c>
      <c r="K2644" s="2">
        <f>VALUE(SUBSTITUTE(Table14[[#This Row],[Wartość]],".",","))</f>
        <v>12802.53</v>
      </c>
      <c r="L26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4" s="2" t="str">
        <f>IF(Table14[[#This Row],[Umowa]]="","Poza umową","Z umowy")</f>
        <v>Z umowy</v>
      </c>
      <c r="N2644" s="2">
        <f>YEAR(Table14[[#This Row],[Data_Wystawienia]])</f>
        <v>2024</v>
      </c>
      <c r="O2644" s="2" t="str">
        <f>TEXT(Table14[[#This Row],[Data_Wystawienia]],"rrrr-mm")</f>
        <v>2024-08</v>
      </c>
      <c r="P2644" s="2">
        <v>1</v>
      </c>
    </row>
    <row r="2645" spans="1:16" x14ac:dyDescent="0.3">
      <c r="A2645" s="2" t="str">
        <f>TRIM(Table1[[#This Row],[Numer_FV]])</f>
        <v>FV/M/1355/P/24</v>
      </c>
      <c r="B2645" s="2" t="str">
        <f>TRIM(Table1[[#This Row],[Numer_PZ]])</f>
        <v>PZ/802643</v>
      </c>
      <c r="C2645" s="2" t="str">
        <f>TRIM(Table1[[#This Row],[Dostawca]])</f>
        <v>MedicaPharm</v>
      </c>
      <c r="D2645" s="3">
        <v>45534</v>
      </c>
      <c r="E2645" s="4" t="s">
        <v>7812</v>
      </c>
      <c r="F2645" s="2" t="str">
        <f>TRIM(Table1[[#This Row],[Status]])</f>
        <v>Zaakceptowana</v>
      </c>
      <c r="G2645" s="2" t="str">
        <f>TRIM(Table1[[#This Row],[Typ]])</f>
        <v>Faktura VAT</v>
      </c>
      <c r="H2645" s="2" t="str">
        <f>TRIM(Table1[[#This Row],[Magazyn]])</f>
        <v>Apteka Szpitalna</v>
      </c>
      <c r="I2645" s="2" t="str">
        <f>TRIM(Table1[[#This Row],[Umowa]])</f>
        <v>UM-MED-02</v>
      </c>
      <c r="J2645" s="2" t="b">
        <f>ISTEXT(Table14[[#This Row],[Data_Wystawienia]])</f>
        <v>0</v>
      </c>
      <c r="K2645" s="2">
        <f>VALUE(SUBSTITUTE(Table14[[#This Row],[Wartość]],".",","))</f>
        <v>13190.01</v>
      </c>
      <c r="L26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5" s="2" t="str">
        <f>IF(Table14[[#This Row],[Umowa]]="","Poza umową","Z umowy")</f>
        <v>Z umowy</v>
      </c>
      <c r="N2645" s="2">
        <f>YEAR(Table14[[#This Row],[Data_Wystawienia]])</f>
        <v>2024</v>
      </c>
      <c r="O2645" s="2" t="str">
        <f>TEXT(Table14[[#This Row],[Data_Wystawienia]],"rrrr-mm")</f>
        <v>2024-08</v>
      </c>
      <c r="P2645" s="2">
        <v>1</v>
      </c>
    </row>
    <row r="2646" spans="1:16" x14ac:dyDescent="0.3">
      <c r="A2646" s="2" t="str">
        <f>TRIM(Table1[[#This Row],[Numer_FV]])</f>
        <v>FV/CENFA/511081/24</v>
      </c>
      <c r="B2646" s="2" t="str">
        <f>TRIM(Table1[[#This Row],[Numer_PZ]])</f>
        <v>PZ/802644</v>
      </c>
      <c r="C2646" s="2" t="str">
        <f>TRIM(Table1[[#This Row],[Dostawca]])</f>
        <v>CentrumFarm</v>
      </c>
      <c r="D2646" s="3">
        <v>45534</v>
      </c>
      <c r="E2646" s="4" t="s">
        <v>7815</v>
      </c>
      <c r="F2646" s="2" t="str">
        <f>TRIM(Table1[[#This Row],[Status]])</f>
        <v>Zaakceptowana</v>
      </c>
      <c r="G2646" s="2" t="str">
        <f>TRIM(Table1[[#This Row],[Typ]])</f>
        <v>Faktura VAT</v>
      </c>
      <c r="H2646" s="2" t="str">
        <f>TRIM(Table1[[#This Row],[Magazyn]])</f>
        <v>Apteka Szpitalna</v>
      </c>
      <c r="I2646" s="2" t="str">
        <f>TRIM(Table1[[#This Row],[Umowa]])</f>
        <v>UM-CEN-01</v>
      </c>
      <c r="J2646" s="2" t="b">
        <f>ISTEXT(Table14[[#This Row],[Data_Wystawienia]])</f>
        <v>0</v>
      </c>
      <c r="K2646" s="2">
        <f>VALUE(SUBSTITUTE(Table14[[#This Row],[Wartość]],".",","))</f>
        <v>21467.84</v>
      </c>
      <c r="L26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6" s="2" t="str">
        <f>IF(Table14[[#This Row],[Umowa]]="","Poza umową","Z umowy")</f>
        <v>Z umowy</v>
      </c>
      <c r="N2646" s="2">
        <f>YEAR(Table14[[#This Row],[Data_Wystawienia]])</f>
        <v>2024</v>
      </c>
      <c r="O2646" s="2" t="str">
        <f>TEXT(Table14[[#This Row],[Data_Wystawienia]],"rrrr-mm")</f>
        <v>2024-08</v>
      </c>
      <c r="P2646" s="2">
        <v>1</v>
      </c>
    </row>
    <row r="2647" spans="1:16" x14ac:dyDescent="0.3">
      <c r="A2647" s="2" t="str">
        <f>TRIM(Table1[[#This Row],[Numer_FV]])</f>
        <v>FV/M/2550/P/24</v>
      </c>
      <c r="B2647" s="2" t="str">
        <f>TRIM(Table1[[#This Row],[Numer_PZ]])</f>
        <v>PZ/802645</v>
      </c>
      <c r="C2647" s="2" t="str">
        <f>TRIM(Table1[[#This Row],[Dostawca]])</f>
        <v>MedicaPharm</v>
      </c>
      <c r="D2647" s="3">
        <v>45535</v>
      </c>
      <c r="E2647" s="4" t="s">
        <v>7818</v>
      </c>
      <c r="F2647" s="2" t="str">
        <f>TRIM(Table1[[#This Row],[Status]])</f>
        <v>Zaakceptowana</v>
      </c>
      <c r="G2647" s="2" t="str">
        <f>TRIM(Table1[[#This Row],[Typ]])</f>
        <v>Faktura VAT</v>
      </c>
      <c r="H2647" s="2" t="str">
        <f>TRIM(Table1[[#This Row],[Magazyn]])</f>
        <v>Apteka Szpitalna</v>
      </c>
      <c r="I2647" s="2" t="str">
        <f>TRIM(Table1[[#This Row],[Umowa]])</f>
        <v/>
      </c>
      <c r="J2647" s="2" t="b">
        <f>ISTEXT(Table14[[#This Row],[Data_Wystawienia]])</f>
        <v>0</v>
      </c>
      <c r="K2647" s="2">
        <f>VALUE(SUBSTITUTE(Table14[[#This Row],[Wartość]],".",","))</f>
        <v>20818.689999999999</v>
      </c>
      <c r="L26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7" s="2" t="str">
        <f>IF(Table14[[#This Row],[Umowa]]="","Poza umową","Z umowy")</f>
        <v>Poza umową</v>
      </c>
      <c r="N2647" s="2">
        <f>YEAR(Table14[[#This Row],[Data_Wystawienia]])</f>
        <v>2024</v>
      </c>
      <c r="O2647" s="2" t="str">
        <f>TEXT(Table14[[#This Row],[Data_Wystawienia]],"rrrr-mm")</f>
        <v>2024-08</v>
      </c>
      <c r="P2647" s="2">
        <v>1</v>
      </c>
    </row>
    <row r="2648" spans="1:16" x14ac:dyDescent="0.3">
      <c r="A2648" s="2" t="str">
        <f>TRIM(Table1[[#This Row],[Numer_FV]])</f>
        <v>FV/42/PP/7812/24</v>
      </c>
      <c r="B2648" s="2" t="str">
        <f>TRIM(Table1[[#This Row],[Numer_PZ]])</f>
        <v>PZ/802646</v>
      </c>
      <c r="C2648" s="2" t="str">
        <f>TRIM(Table1[[#This Row],[Dostawca]])</f>
        <v>PharmaPlus</v>
      </c>
      <c r="D2648" s="3">
        <v>45535</v>
      </c>
      <c r="E2648" s="4" t="s">
        <v>7821</v>
      </c>
      <c r="F2648" s="2" t="str">
        <f>TRIM(Table1[[#This Row],[Status]])</f>
        <v>Zaakceptowana</v>
      </c>
      <c r="G2648" s="2" t="str">
        <f>TRIM(Table1[[#This Row],[Typ]])</f>
        <v>Faktura VAT</v>
      </c>
      <c r="H2648" s="2" t="str">
        <f>TRIM(Table1[[#This Row],[Magazyn]])</f>
        <v>Apteka Szpitalna</v>
      </c>
      <c r="I2648" s="2" t="str">
        <f>TRIM(Table1[[#This Row],[Umowa]])</f>
        <v>UM-PHA-02</v>
      </c>
      <c r="J2648" s="2" t="b">
        <f>ISTEXT(Table14[[#This Row],[Data_Wystawienia]])</f>
        <v>0</v>
      </c>
      <c r="K2648" s="2">
        <f>VALUE(SUBSTITUTE(Table14[[#This Row],[Wartość]],".",","))</f>
        <v>21989.52</v>
      </c>
      <c r="L26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8" s="2" t="str">
        <f>IF(Table14[[#This Row],[Umowa]]="","Poza umową","Z umowy")</f>
        <v>Z umowy</v>
      </c>
      <c r="N2648" s="2">
        <f>YEAR(Table14[[#This Row],[Data_Wystawienia]])</f>
        <v>2024</v>
      </c>
      <c r="O2648" s="2" t="str">
        <f>TEXT(Table14[[#This Row],[Data_Wystawienia]],"rrrr-mm")</f>
        <v>2024-08</v>
      </c>
      <c r="P2648" s="2">
        <v>1</v>
      </c>
    </row>
    <row r="2649" spans="1:16" x14ac:dyDescent="0.3">
      <c r="A2649" s="2" t="str">
        <f>TRIM(Table1[[#This Row],[Numer_FV]])</f>
        <v>FV/M/3261/P/24</v>
      </c>
      <c r="B2649" s="2" t="str">
        <f>TRIM(Table1[[#This Row],[Numer_PZ]])</f>
        <v>PZ/802647</v>
      </c>
      <c r="C2649" s="2" t="str">
        <f>TRIM(Table1[[#This Row],[Dostawca]])</f>
        <v>MedicaPharm</v>
      </c>
      <c r="D2649" s="3">
        <v>45535</v>
      </c>
      <c r="E2649" s="4" t="s">
        <v>7824</v>
      </c>
      <c r="F2649" s="2" t="str">
        <f>TRIM(Table1[[#This Row],[Status]])</f>
        <v>Zaakceptowana</v>
      </c>
      <c r="G2649" s="2" t="str">
        <f>TRIM(Table1[[#This Row],[Typ]])</f>
        <v>Faktura VAT</v>
      </c>
      <c r="H2649" s="2" t="str">
        <f>TRIM(Table1[[#This Row],[Magazyn]])</f>
        <v>Apteka Szpitalna</v>
      </c>
      <c r="I2649" s="2" t="str">
        <f>TRIM(Table1[[#This Row],[Umowa]])</f>
        <v>UM-MED-01</v>
      </c>
      <c r="J2649" s="2" t="b">
        <f>ISTEXT(Table14[[#This Row],[Data_Wystawienia]])</f>
        <v>0</v>
      </c>
      <c r="K2649" s="2">
        <f>VALUE(SUBSTITUTE(Table14[[#This Row],[Wartość]],".",","))</f>
        <v>11048.66</v>
      </c>
      <c r="L26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49" s="2" t="str">
        <f>IF(Table14[[#This Row],[Umowa]]="","Poza umową","Z umowy")</f>
        <v>Z umowy</v>
      </c>
      <c r="N2649" s="2">
        <f>YEAR(Table14[[#This Row],[Data_Wystawienia]])</f>
        <v>2024</v>
      </c>
      <c r="O2649" s="2" t="str">
        <f>TEXT(Table14[[#This Row],[Data_Wystawienia]],"rrrr-mm")</f>
        <v>2024-08</v>
      </c>
      <c r="P2649" s="2">
        <v>1</v>
      </c>
    </row>
    <row r="2650" spans="1:16" x14ac:dyDescent="0.3">
      <c r="A2650" s="2" t="str">
        <f>TRIM(Table1[[#This Row],[Numer_FV]])</f>
        <v>FV/M/4753/P/24</v>
      </c>
      <c r="B2650" s="2" t="str">
        <f>TRIM(Table1[[#This Row],[Numer_PZ]])</f>
        <v>PZ/802648</v>
      </c>
      <c r="C2650" s="2" t="str">
        <f>TRIM(Table1[[#This Row],[Dostawca]])</f>
        <v>MedicaPharm</v>
      </c>
      <c r="D2650" s="3">
        <v>45536</v>
      </c>
      <c r="E2650" s="4" t="s">
        <v>7827</v>
      </c>
      <c r="F2650" s="2" t="str">
        <f>TRIM(Table1[[#This Row],[Status]])</f>
        <v>Zaakceptowana</v>
      </c>
      <c r="G2650" s="2" t="str">
        <f>TRIM(Table1[[#This Row],[Typ]])</f>
        <v>Faktura VAT</v>
      </c>
      <c r="H2650" s="2" t="str">
        <f>TRIM(Table1[[#This Row],[Magazyn]])</f>
        <v>Apteka Szpitalna</v>
      </c>
      <c r="I2650" s="2" t="str">
        <f>TRIM(Table1[[#This Row],[Umowa]])</f>
        <v>UM-MED-02</v>
      </c>
      <c r="J2650" s="2" t="b">
        <f>ISTEXT(Table14[[#This Row],[Data_Wystawienia]])</f>
        <v>0</v>
      </c>
      <c r="K2650" s="2">
        <f>VALUE(SUBSTITUTE(Table14[[#This Row],[Wartość]],".",","))</f>
        <v>19978.45</v>
      </c>
      <c r="L26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0" s="2" t="str">
        <f>IF(Table14[[#This Row],[Umowa]]="","Poza umową","Z umowy")</f>
        <v>Z umowy</v>
      </c>
      <c r="N2650" s="2">
        <f>YEAR(Table14[[#This Row],[Data_Wystawienia]])</f>
        <v>2024</v>
      </c>
      <c r="O2650" s="2" t="str">
        <f>TEXT(Table14[[#This Row],[Data_Wystawienia]],"rrrr-mm")</f>
        <v>2024-09</v>
      </c>
      <c r="P2650" s="2">
        <v>1</v>
      </c>
    </row>
    <row r="2651" spans="1:16" x14ac:dyDescent="0.3">
      <c r="A2651" s="2" t="str">
        <f>TRIM(Table1[[#This Row],[Numer_FV]])</f>
        <v>FV/1871/NOVA/24</v>
      </c>
      <c r="B2651" s="2" t="str">
        <f>TRIM(Table1[[#This Row],[Numer_PZ]])</f>
        <v>PZ/802649</v>
      </c>
      <c r="C2651" s="2" t="str">
        <f>TRIM(Table1[[#This Row],[Dostawca]])</f>
        <v>NovaLek</v>
      </c>
      <c r="D2651" s="3">
        <v>45537</v>
      </c>
      <c r="E2651" s="4" t="s">
        <v>7830</v>
      </c>
      <c r="F2651" s="2" t="str">
        <f>TRIM(Table1[[#This Row],[Status]])</f>
        <v>Zaakceptowana</v>
      </c>
      <c r="G2651" s="2" t="str">
        <f>TRIM(Table1[[#This Row],[Typ]])</f>
        <v>Faktura VAT</v>
      </c>
      <c r="H2651" s="2" t="str">
        <f>TRIM(Table1[[#This Row],[Magazyn]])</f>
        <v>Apteka Szpitalna</v>
      </c>
      <c r="I2651" s="2" t="str">
        <f>TRIM(Table1[[#This Row],[Umowa]])</f>
        <v>UM-NOV-03</v>
      </c>
      <c r="J2651" s="2" t="b">
        <f>ISTEXT(Table14[[#This Row],[Data_Wystawienia]])</f>
        <v>0</v>
      </c>
      <c r="K2651" s="2">
        <f>VALUE(SUBSTITUTE(Table14[[#This Row],[Wartość]],".",","))</f>
        <v>12593.34</v>
      </c>
      <c r="L26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1" s="2" t="str">
        <f>IF(Table14[[#This Row],[Umowa]]="","Poza umową","Z umowy")</f>
        <v>Z umowy</v>
      </c>
      <c r="N2651" s="2">
        <f>YEAR(Table14[[#This Row],[Data_Wystawienia]])</f>
        <v>2024</v>
      </c>
      <c r="O2651" s="2" t="str">
        <f>TEXT(Table14[[#This Row],[Data_Wystawienia]],"rrrr-mm")</f>
        <v>2024-09</v>
      </c>
      <c r="P2651" s="2">
        <v>1</v>
      </c>
    </row>
    <row r="2652" spans="1:16" x14ac:dyDescent="0.3">
      <c r="A2652" s="2" t="str">
        <f>TRIM(Table1[[#This Row],[Numer_FV]])</f>
        <v>FV/9387HM/24</v>
      </c>
      <c r="B2652" s="2" t="str">
        <f>TRIM(Table1[[#This Row],[Numer_PZ]])</f>
        <v>PZ/802650</v>
      </c>
      <c r="C2652" s="2" t="str">
        <f>TRIM(Table1[[#This Row],[Dostawca]])</f>
        <v>HurtMedix</v>
      </c>
      <c r="D2652" s="3">
        <v>45537</v>
      </c>
      <c r="E2652" s="4" t="s">
        <v>7833</v>
      </c>
      <c r="F2652" s="2" t="str">
        <f>TRIM(Table1[[#This Row],[Status]])</f>
        <v>Zaakceptowana</v>
      </c>
      <c r="G2652" s="2" t="str">
        <f>TRIM(Table1[[#This Row],[Typ]])</f>
        <v>Faktura VAT</v>
      </c>
      <c r="H2652" s="2" t="str">
        <f>TRIM(Table1[[#This Row],[Magazyn]])</f>
        <v>Apteka Szpitalna</v>
      </c>
      <c r="I2652" s="2" t="str">
        <f>TRIM(Table1[[#This Row],[Umowa]])</f>
        <v>UM-HUR-03</v>
      </c>
      <c r="J2652" s="2" t="b">
        <f>ISTEXT(Table14[[#This Row],[Data_Wystawienia]])</f>
        <v>0</v>
      </c>
      <c r="K2652" s="2">
        <f>VALUE(SUBSTITUTE(Table14[[#This Row],[Wartość]],".",","))</f>
        <v>8504.32</v>
      </c>
      <c r="L26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2" s="2" t="str">
        <f>IF(Table14[[#This Row],[Umowa]]="","Poza umową","Z umowy")</f>
        <v>Z umowy</v>
      </c>
      <c r="N2652" s="2">
        <f>YEAR(Table14[[#This Row],[Data_Wystawienia]])</f>
        <v>2024</v>
      </c>
      <c r="O2652" s="2" t="str">
        <f>TEXT(Table14[[#This Row],[Data_Wystawienia]],"rrrr-mm")</f>
        <v>2024-09</v>
      </c>
      <c r="P2652" s="2">
        <v>1</v>
      </c>
    </row>
    <row r="2653" spans="1:16" x14ac:dyDescent="0.3">
      <c r="A2653" s="2" t="str">
        <f>TRIM(Table1[[#This Row],[Numer_FV]])</f>
        <v>FV/52/PP/1179/24</v>
      </c>
      <c r="B2653" s="2" t="str">
        <f>TRIM(Table1[[#This Row],[Numer_PZ]])</f>
        <v>PZ/802651</v>
      </c>
      <c r="C2653" s="2" t="str">
        <f>TRIM(Table1[[#This Row],[Dostawca]])</f>
        <v>PharmaPlus</v>
      </c>
      <c r="D2653" s="3">
        <v>45537</v>
      </c>
      <c r="E2653" s="4" t="s">
        <v>7836</v>
      </c>
      <c r="F2653" s="2" t="str">
        <f>TRIM(Table1[[#This Row],[Status]])</f>
        <v>Zaakceptowana</v>
      </c>
      <c r="G2653" s="2" t="str">
        <f>TRIM(Table1[[#This Row],[Typ]])</f>
        <v>Faktura VAT</v>
      </c>
      <c r="H2653" s="2" t="str">
        <f>TRIM(Table1[[#This Row],[Magazyn]])</f>
        <v>Apteka Szpitalna</v>
      </c>
      <c r="I2653" s="2" t="str">
        <f>TRIM(Table1[[#This Row],[Umowa]])</f>
        <v/>
      </c>
      <c r="J2653" s="2" t="b">
        <f>ISTEXT(Table14[[#This Row],[Data_Wystawienia]])</f>
        <v>0</v>
      </c>
      <c r="K2653" s="2">
        <f>VALUE(SUBSTITUTE(Table14[[#This Row],[Wartość]],".",","))</f>
        <v>17811.71</v>
      </c>
      <c r="L26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3" s="2" t="str">
        <f>IF(Table14[[#This Row],[Umowa]]="","Poza umową","Z umowy")</f>
        <v>Poza umową</v>
      </c>
      <c r="N2653" s="2">
        <f>YEAR(Table14[[#This Row],[Data_Wystawienia]])</f>
        <v>2024</v>
      </c>
      <c r="O2653" s="2" t="str">
        <f>TEXT(Table14[[#This Row],[Data_Wystawienia]],"rrrr-mm")</f>
        <v>2024-09</v>
      </c>
      <c r="P2653" s="2">
        <v>1</v>
      </c>
    </row>
    <row r="2654" spans="1:16" x14ac:dyDescent="0.3">
      <c r="A2654" s="2" t="str">
        <f>TRIM(Table1[[#This Row],[Numer_FV]])</f>
        <v>FV/POL/53023/2024</v>
      </c>
      <c r="B2654" s="2" t="str">
        <f>TRIM(Table1[[#This Row],[Numer_PZ]])</f>
        <v>PZ/802652</v>
      </c>
      <c r="C2654" s="2" t="str">
        <f>TRIM(Table1[[#This Row],[Dostawca]])</f>
        <v>Polmedica</v>
      </c>
      <c r="D2654" s="3">
        <v>45538</v>
      </c>
      <c r="E2654" s="4" t="s">
        <v>7839</v>
      </c>
      <c r="F2654" s="2" t="str">
        <f>TRIM(Table1[[#This Row],[Status]])</f>
        <v>Zaakceptowana</v>
      </c>
      <c r="G2654" s="2" t="str">
        <f>TRIM(Table1[[#This Row],[Typ]])</f>
        <v>Faktura VAT</v>
      </c>
      <c r="H2654" s="2" t="str">
        <f>TRIM(Table1[[#This Row],[Magazyn]])</f>
        <v>Apteka Szpitalna</v>
      </c>
      <c r="I2654" s="2" t="str">
        <f>TRIM(Table1[[#This Row],[Umowa]])</f>
        <v/>
      </c>
      <c r="J2654" s="2" t="b">
        <f>ISTEXT(Table14[[#This Row],[Data_Wystawienia]])</f>
        <v>0</v>
      </c>
      <c r="K2654" s="2">
        <f>VALUE(SUBSTITUTE(Table14[[#This Row],[Wartość]],".",","))</f>
        <v>19846</v>
      </c>
      <c r="L26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4" s="2" t="str">
        <f>IF(Table14[[#This Row],[Umowa]]="","Poza umową","Z umowy")</f>
        <v>Poza umową</v>
      </c>
      <c r="N2654" s="2">
        <f>YEAR(Table14[[#This Row],[Data_Wystawienia]])</f>
        <v>2024</v>
      </c>
      <c r="O2654" s="2" t="str">
        <f>TEXT(Table14[[#This Row],[Data_Wystawienia]],"rrrr-mm")</f>
        <v>2024-09</v>
      </c>
      <c r="P2654" s="2">
        <v>1</v>
      </c>
    </row>
    <row r="2655" spans="1:16" x14ac:dyDescent="0.3">
      <c r="A2655" s="2" t="str">
        <f>TRIM(Table1[[#This Row],[Numer_FV]])</f>
        <v>FV/CENFA/340582/24</v>
      </c>
      <c r="B2655" s="2" t="str">
        <f>TRIM(Table1[[#This Row],[Numer_PZ]])</f>
        <v>PZ/802653</v>
      </c>
      <c r="C2655" s="2" t="str">
        <f>TRIM(Table1[[#This Row],[Dostawca]])</f>
        <v>CentrumFarm</v>
      </c>
      <c r="D2655" s="3">
        <v>45538</v>
      </c>
      <c r="E2655" s="4" t="s">
        <v>7842</v>
      </c>
      <c r="F2655" s="2" t="str">
        <f>TRIM(Table1[[#This Row],[Status]])</f>
        <v>Zaakceptowana</v>
      </c>
      <c r="G2655" s="2" t="str">
        <f>TRIM(Table1[[#This Row],[Typ]])</f>
        <v>Faktura VAT</v>
      </c>
      <c r="H2655" s="2" t="str">
        <f>TRIM(Table1[[#This Row],[Magazyn]])</f>
        <v>Apteka Szpitalna</v>
      </c>
      <c r="I2655" s="2" t="str">
        <f>TRIM(Table1[[#This Row],[Umowa]])</f>
        <v>UM-CEN-02</v>
      </c>
      <c r="J2655" s="2" t="b">
        <f>ISTEXT(Table14[[#This Row],[Data_Wystawienia]])</f>
        <v>0</v>
      </c>
      <c r="K2655" s="2">
        <f>VALUE(SUBSTITUTE(Table14[[#This Row],[Wartość]],".",","))</f>
        <v>19891.84</v>
      </c>
      <c r="L26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5" s="2" t="str">
        <f>IF(Table14[[#This Row],[Umowa]]="","Poza umową","Z umowy")</f>
        <v>Z umowy</v>
      </c>
      <c r="N2655" s="2">
        <f>YEAR(Table14[[#This Row],[Data_Wystawienia]])</f>
        <v>2024</v>
      </c>
      <c r="O2655" s="2" t="str">
        <f>TEXT(Table14[[#This Row],[Data_Wystawienia]],"rrrr-mm")</f>
        <v>2024-09</v>
      </c>
      <c r="P2655" s="2">
        <v>1</v>
      </c>
    </row>
    <row r="2656" spans="1:16" x14ac:dyDescent="0.3">
      <c r="A2656" s="2" t="str">
        <f>TRIM(Table1[[#This Row],[Numer_FV]])</f>
        <v>FV/48342/VDb/2024</v>
      </c>
      <c r="B2656" s="2" t="str">
        <f>TRIM(Table1[[#This Row],[Numer_PZ]])</f>
        <v>PZ/802654</v>
      </c>
      <c r="C2656" s="2" t="str">
        <f>TRIM(Table1[[#This Row],[Dostawca]])</f>
        <v>VitaDistrib</v>
      </c>
      <c r="D2656" s="3">
        <v>45538</v>
      </c>
      <c r="E2656" s="4" t="s">
        <v>7845</v>
      </c>
      <c r="F2656" s="2" t="str">
        <f>TRIM(Table1[[#This Row],[Status]])</f>
        <v>Zaakceptowana</v>
      </c>
      <c r="G2656" s="2" t="str">
        <f>TRIM(Table1[[#This Row],[Typ]])</f>
        <v>Faktura VAT</v>
      </c>
      <c r="H2656" s="2" t="str">
        <f>TRIM(Table1[[#This Row],[Magazyn]])</f>
        <v>Apteka Szpitalna</v>
      </c>
      <c r="I2656" s="2" t="str">
        <f>TRIM(Table1[[#This Row],[Umowa]])</f>
        <v>UM-VIT-01</v>
      </c>
      <c r="J2656" s="2" t="b">
        <f>ISTEXT(Table14[[#This Row],[Data_Wystawienia]])</f>
        <v>0</v>
      </c>
      <c r="K2656" s="2">
        <f>VALUE(SUBSTITUTE(Table14[[#This Row],[Wartość]],".",","))</f>
        <v>13955.7</v>
      </c>
      <c r="L26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6" s="2" t="str">
        <f>IF(Table14[[#This Row],[Umowa]]="","Poza umową","Z umowy")</f>
        <v>Z umowy</v>
      </c>
      <c r="N2656" s="2">
        <f>YEAR(Table14[[#This Row],[Data_Wystawienia]])</f>
        <v>2024</v>
      </c>
      <c r="O2656" s="2" t="str">
        <f>TEXT(Table14[[#This Row],[Data_Wystawienia]],"rrrr-mm")</f>
        <v>2024-09</v>
      </c>
      <c r="P2656" s="2">
        <v>1</v>
      </c>
    </row>
    <row r="2657" spans="1:16" x14ac:dyDescent="0.3">
      <c r="A2657" s="2" t="str">
        <f>TRIM(Table1[[#This Row],[Numer_FV]])</f>
        <v>FV/POL/36520/2024</v>
      </c>
      <c r="B2657" s="2" t="str">
        <f>TRIM(Table1[[#This Row],[Numer_PZ]])</f>
        <v>PZ/802655</v>
      </c>
      <c r="C2657" s="2" t="str">
        <f>TRIM(Table1[[#This Row],[Dostawca]])</f>
        <v>Polmedica</v>
      </c>
      <c r="D2657" s="3">
        <v>45538</v>
      </c>
      <c r="E2657" s="4" t="s">
        <v>7848</v>
      </c>
      <c r="F2657" s="2" t="str">
        <f>TRIM(Table1[[#This Row],[Status]])</f>
        <v>Zaakceptowana</v>
      </c>
      <c r="G2657" s="2" t="str">
        <f>TRIM(Table1[[#This Row],[Typ]])</f>
        <v>Faktura VAT</v>
      </c>
      <c r="H2657" s="2" t="str">
        <f>TRIM(Table1[[#This Row],[Magazyn]])</f>
        <v>Apteka Szpitalna</v>
      </c>
      <c r="I2657" s="2" t="str">
        <f>TRIM(Table1[[#This Row],[Umowa]])</f>
        <v>UM-POL-02</v>
      </c>
      <c r="J2657" s="2" t="b">
        <f>ISTEXT(Table14[[#This Row],[Data_Wystawienia]])</f>
        <v>0</v>
      </c>
      <c r="K2657" s="2">
        <f>VALUE(SUBSTITUTE(Table14[[#This Row],[Wartość]],".",","))</f>
        <v>9910.48</v>
      </c>
      <c r="L26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7" s="2" t="str">
        <f>IF(Table14[[#This Row],[Umowa]]="","Poza umową","Z umowy")</f>
        <v>Z umowy</v>
      </c>
      <c r="N2657" s="2">
        <f>YEAR(Table14[[#This Row],[Data_Wystawienia]])</f>
        <v>2024</v>
      </c>
      <c r="O2657" s="2" t="str">
        <f>TEXT(Table14[[#This Row],[Data_Wystawienia]],"rrrr-mm")</f>
        <v>2024-09</v>
      </c>
      <c r="P2657" s="2">
        <v>1</v>
      </c>
    </row>
    <row r="2658" spans="1:16" x14ac:dyDescent="0.3">
      <c r="A2658" s="2" t="str">
        <f>TRIM(Table1[[#This Row],[Numer_FV]])</f>
        <v>FV/59666/VDb/2024</v>
      </c>
      <c r="B2658" s="2" t="str">
        <f>TRIM(Table1[[#This Row],[Numer_PZ]])</f>
        <v>PZ/802656</v>
      </c>
      <c r="C2658" s="2" t="str">
        <f>TRIM(Table1[[#This Row],[Dostawca]])</f>
        <v>VitaDistrib</v>
      </c>
      <c r="D2658" s="3">
        <v>45539</v>
      </c>
      <c r="E2658" s="4" t="s">
        <v>7851</v>
      </c>
      <c r="F2658" s="2" t="str">
        <f>TRIM(Table1[[#This Row],[Status]])</f>
        <v>Zaakceptowana</v>
      </c>
      <c r="G2658" s="2" t="str">
        <f>TRIM(Table1[[#This Row],[Typ]])</f>
        <v>Faktura VAT</v>
      </c>
      <c r="H2658" s="2" t="str">
        <f>TRIM(Table1[[#This Row],[Magazyn]])</f>
        <v>Apteka Szpitalna</v>
      </c>
      <c r="I2658" s="2" t="str">
        <f>TRIM(Table1[[#This Row],[Umowa]])</f>
        <v>UM-VIT-01</v>
      </c>
      <c r="J2658" s="2" t="b">
        <f>ISTEXT(Table14[[#This Row],[Data_Wystawienia]])</f>
        <v>0</v>
      </c>
      <c r="K2658" s="2">
        <f>VALUE(SUBSTITUTE(Table14[[#This Row],[Wartość]],".",","))</f>
        <v>14364.61</v>
      </c>
      <c r="L26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8" s="2" t="str">
        <f>IF(Table14[[#This Row],[Umowa]]="","Poza umową","Z umowy")</f>
        <v>Z umowy</v>
      </c>
      <c r="N2658" s="2">
        <f>YEAR(Table14[[#This Row],[Data_Wystawienia]])</f>
        <v>2024</v>
      </c>
      <c r="O2658" s="2" t="str">
        <f>TEXT(Table14[[#This Row],[Data_Wystawienia]],"rrrr-mm")</f>
        <v>2024-09</v>
      </c>
      <c r="P2658" s="2">
        <v>1</v>
      </c>
    </row>
    <row r="2659" spans="1:16" x14ac:dyDescent="0.3">
      <c r="A2659" s="2" t="str">
        <f>TRIM(Table1[[#This Row],[Numer_FV]])</f>
        <v>FV/73752/VDb/2024</v>
      </c>
      <c r="B2659" s="2" t="str">
        <f>TRIM(Table1[[#This Row],[Numer_PZ]])</f>
        <v>PZ/802657</v>
      </c>
      <c r="C2659" s="2" t="str">
        <f>TRIM(Table1[[#This Row],[Dostawca]])</f>
        <v>VitaDistrib</v>
      </c>
      <c r="D2659" s="3">
        <v>45540</v>
      </c>
      <c r="E2659" s="4" t="s">
        <v>7854</v>
      </c>
      <c r="F2659" s="2" t="str">
        <f>TRIM(Table1[[#This Row],[Status]])</f>
        <v>Zaakceptowana</v>
      </c>
      <c r="G2659" s="2" t="str">
        <f>TRIM(Table1[[#This Row],[Typ]])</f>
        <v>Faktura VAT</v>
      </c>
      <c r="H2659" s="2" t="str">
        <f>TRIM(Table1[[#This Row],[Magazyn]])</f>
        <v>Apteka Szpitalna</v>
      </c>
      <c r="I2659" s="2" t="str">
        <f>TRIM(Table1[[#This Row],[Umowa]])</f>
        <v/>
      </c>
      <c r="J2659" s="2" t="b">
        <f>ISTEXT(Table14[[#This Row],[Data_Wystawienia]])</f>
        <v>0</v>
      </c>
      <c r="K2659" s="2">
        <f>VALUE(SUBSTITUTE(Table14[[#This Row],[Wartość]],".",","))</f>
        <v>15060.52</v>
      </c>
      <c r="L26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59" s="2" t="str">
        <f>IF(Table14[[#This Row],[Umowa]]="","Poza umową","Z umowy")</f>
        <v>Poza umową</v>
      </c>
      <c r="N2659" s="2">
        <f>YEAR(Table14[[#This Row],[Data_Wystawienia]])</f>
        <v>2024</v>
      </c>
      <c r="O2659" s="2" t="str">
        <f>TEXT(Table14[[#This Row],[Data_Wystawienia]],"rrrr-mm")</f>
        <v>2024-09</v>
      </c>
      <c r="P2659" s="2">
        <v>1</v>
      </c>
    </row>
    <row r="2660" spans="1:16" x14ac:dyDescent="0.3">
      <c r="A2660" s="2" t="str">
        <f>TRIM(Table1[[#This Row],[Numer_FV]])</f>
        <v>FV/POL/38903/2024</v>
      </c>
      <c r="B2660" s="2" t="str">
        <f>TRIM(Table1[[#This Row],[Numer_PZ]])</f>
        <v>PZ/802658</v>
      </c>
      <c r="C2660" s="2" t="str">
        <f>TRIM(Table1[[#This Row],[Dostawca]])</f>
        <v>Polmedica</v>
      </c>
      <c r="D2660" s="3">
        <v>45540</v>
      </c>
      <c r="E2660" s="4" t="s">
        <v>7857</v>
      </c>
      <c r="F2660" s="2" t="str">
        <f>TRIM(Table1[[#This Row],[Status]])</f>
        <v>Zaakceptowana</v>
      </c>
      <c r="G2660" s="2" t="str">
        <f>TRIM(Table1[[#This Row],[Typ]])</f>
        <v>Faktura VAT</v>
      </c>
      <c r="H2660" s="2" t="str">
        <f>TRIM(Table1[[#This Row],[Magazyn]])</f>
        <v>Apteka Szpitalna</v>
      </c>
      <c r="I2660" s="2" t="str">
        <f>TRIM(Table1[[#This Row],[Umowa]])</f>
        <v/>
      </c>
      <c r="J2660" s="2" t="b">
        <f>ISTEXT(Table14[[#This Row],[Data_Wystawienia]])</f>
        <v>0</v>
      </c>
      <c r="K2660" s="2">
        <f>VALUE(SUBSTITUTE(Table14[[#This Row],[Wartość]],".",","))</f>
        <v>16519.39</v>
      </c>
      <c r="L26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0" s="2" t="str">
        <f>IF(Table14[[#This Row],[Umowa]]="","Poza umową","Z umowy")</f>
        <v>Poza umową</v>
      </c>
      <c r="N2660" s="2">
        <f>YEAR(Table14[[#This Row],[Data_Wystawienia]])</f>
        <v>2024</v>
      </c>
      <c r="O2660" s="2" t="str">
        <f>TEXT(Table14[[#This Row],[Data_Wystawienia]],"rrrr-mm")</f>
        <v>2024-09</v>
      </c>
      <c r="P2660" s="2">
        <v>1</v>
      </c>
    </row>
    <row r="2661" spans="1:16" x14ac:dyDescent="0.3">
      <c r="A2661" s="2" t="str">
        <f>TRIM(Table1[[#This Row],[Numer_FV]])</f>
        <v>FV/39/SAL/24</v>
      </c>
      <c r="B2661" s="2" t="str">
        <f>TRIM(Table1[[#This Row],[Numer_PZ]])</f>
        <v>PZ/802659</v>
      </c>
      <c r="C2661" s="2" t="str">
        <f>TRIM(Table1[[#This Row],[Dostawca]])</f>
        <v>SalusHurt</v>
      </c>
      <c r="D2661" s="3">
        <v>45540</v>
      </c>
      <c r="E2661" s="4" t="s">
        <v>7859</v>
      </c>
      <c r="F2661" s="2" t="str">
        <f>TRIM(Table1[[#This Row],[Status]])</f>
        <v>Zaakceptowana</v>
      </c>
      <c r="G2661" s="2" t="str">
        <f>TRIM(Table1[[#This Row],[Typ]])</f>
        <v>Faktura VAT</v>
      </c>
      <c r="H2661" s="2" t="str">
        <f>TRIM(Table1[[#This Row],[Magazyn]])</f>
        <v>Apteka Szpitalna</v>
      </c>
      <c r="I2661" s="2" t="str">
        <f>TRIM(Table1[[#This Row],[Umowa]])</f>
        <v/>
      </c>
      <c r="J2661" s="2" t="b">
        <f>ISTEXT(Table14[[#This Row],[Data_Wystawienia]])</f>
        <v>0</v>
      </c>
      <c r="K2661" s="2">
        <f>VALUE(SUBSTITUTE(Table14[[#This Row],[Wartość]],".",","))</f>
        <v>18955.07</v>
      </c>
      <c r="L26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1" s="2" t="str">
        <f>IF(Table14[[#This Row],[Umowa]]="","Poza umową","Z umowy")</f>
        <v>Poza umową</v>
      </c>
      <c r="N2661" s="2">
        <f>YEAR(Table14[[#This Row],[Data_Wystawienia]])</f>
        <v>2024</v>
      </c>
      <c r="O2661" s="2" t="str">
        <f>TEXT(Table14[[#This Row],[Data_Wystawienia]],"rrrr-mm")</f>
        <v>2024-09</v>
      </c>
      <c r="P2661" s="2">
        <v>1</v>
      </c>
    </row>
    <row r="2662" spans="1:16" x14ac:dyDescent="0.3">
      <c r="A2662" s="2" t="str">
        <f>TRIM(Table1[[#This Row],[Numer_FV]])</f>
        <v>FV/6674/NOVA/24</v>
      </c>
      <c r="B2662" s="2" t="str">
        <f>TRIM(Table1[[#This Row],[Numer_PZ]])</f>
        <v>PZ/802660</v>
      </c>
      <c r="C2662" s="2" t="str">
        <f>TRIM(Table1[[#This Row],[Dostawca]])</f>
        <v>NovaLek</v>
      </c>
      <c r="D2662" s="3">
        <v>45540</v>
      </c>
      <c r="E2662" s="4" t="s">
        <v>7862</v>
      </c>
      <c r="F2662" s="2" t="str">
        <f>TRIM(Table1[[#This Row],[Status]])</f>
        <v>Zaakceptowana</v>
      </c>
      <c r="G2662" s="2" t="str">
        <f>TRIM(Table1[[#This Row],[Typ]])</f>
        <v>Korekta FV</v>
      </c>
      <c r="H2662" s="2" t="str">
        <f>TRIM(Table1[[#This Row],[Magazyn]])</f>
        <v>Apteka Szpitalna</v>
      </c>
      <c r="I2662" s="2" t="str">
        <f>TRIM(Table1[[#This Row],[Umowa]])</f>
        <v>UM-NOV-01</v>
      </c>
      <c r="J2662" s="2" t="b">
        <f>ISTEXT(Table14[[#This Row],[Data_Wystawienia]])</f>
        <v>0</v>
      </c>
      <c r="K2662" s="2">
        <f>VALUE(SUBSTITUTE(Table14[[#This Row],[Wartość]],".",","))</f>
        <v>-2176.09</v>
      </c>
      <c r="L26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2" s="2" t="str">
        <f>IF(Table14[[#This Row],[Umowa]]="","Poza umową","Z umowy")</f>
        <v>Z umowy</v>
      </c>
      <c r="N2662" s="2">
        <f>YEAR(Table14[[#This Row],[Data_Wystawienia]])</f>
        <v>2024</v>
      </c>
      <c r="O2662" s="2" t="str">
        <f>TEXT(Table14[[#This Row],[Data_Wystawienia]],"rrrr-mm")</f>
        <v>2024-09</v>
      </c>
      <c r="P2662" s="2">
        <v>1</v>
      </c>
    </row>
    <row r="2663" spans="1:16" x14ac:dyDescent="0.3">
      <c r="A2663" s="2" t="str">
        <f>TRIM(Table1[[#This Row],[Numer_FV]])</f>
        <v>FV/25/SAL/24</v>
      </c>
      <c r="B2663" s="2" t="str">
        <f>TRIM(Table1[[#This Row],[Numer_PZ]])</f>
        <v>PZ/802661</v>
      </c>
      <c r="C2663" s="2" t="str">
        <f>TRIM(Table1[[#This Row],[Dostawca]])</f>
        <v>SalusHurt</v>
      </c>
      <c r="D2663" s="3">
        <v>45541</v>
      </c>
      <c r="E2663" s="4" t="s">
        <v>7865</v>
      </c>
      <c r="F2663" s="2" t="str">
        <f>TRIM(Table1[[#This Row],[Status]])</f>
        <v>Zaakceptowana</v>
      </c>
      <c r="G2663" s="2" t="str">
        <f>TRIM(Table1[[#This Row],[Typ]])</f>
        <v>Faktura VAT</v>
      </c>
      <c r="H2663" s="2" t="str">
        <f>TRIM(Table1[[#This Row],[Magazyn]])</f>
        <v>Apteka Szpitalna</v>
      </c>
      <c r="I2663" s="2" t="str">
        <f>TRIM(Table1[[#This Row],[Umowa]])</f>
        <v>UM-SAL-02</v>
      </c>
      <c r="J2663" s="2" t="b">
        <f>ISTEXT(Table14[[#This Row],[Data_Wystawienia]])</f>
        <v>0</v>
      </c>
      <c r="K2663" s="2">
        <f>VALUE(SUBSTITUTE(Table14[[#This Row],[Wartość]],".",","))</f>
        <v>21816.63</v>
      </c>
      <c r="L26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3" s="2" t="str">
        <f>IF(Table14[[#This Row],[Umowa]]="","Poza umową","Z umowy")</f>
        <v>Z umowy</v>
      </c>
      <c r="N2663" s="2">
        <f>YEAR(Table14[[#This Row],[Data_Wystawienia]])</f>
        <v>2024</v>
      </c>
      <c r="O2663" s="2" t="str">
        <f>TEXT(Table14[[#This Row],[Data_Wystawienia]],"rrrr-mm")</f>
        <v>2024-09</v>
      </c>
      <c r="P2663" s="2">
        <v>1</v>
      </c>
    </row>
    <row r="2664" spans="1:16" x14ac:dyDescent="0.3">
      <c r="A2664" s="2" t="str">
        <f>TRIM(Table1[[#This Row],[Numer_FV]])</f>
        <v>FV/CENFA/342271/24</v>
      </c>
      <c r="B2664" s="2" t="str">
        <f>TRIM(Table1[[#This Row],[Numer_PZ]])</f>
        <v>PZ/802662</v>
      </c>
      <c r="C2664" s="2" t="str">
        <f>TRIM(Table1[[#This Row],[Dostawca]])</f>
        <v>CentrumFarm</v>
      </c>
      <c r="D2664" s="3">
        <v>45541</v>
      </c>
      <c r="E2664" s="4" t="s">
        <v>7868</v>
      </c>
      <c r="F2664" s="2" t="str">
        <f>TRIM(Table1[[#This Row],[Status]])</f>
        <v>Zaakceptowana</v>
      </c>
      <c r="G2664" s="2" t="str">
        <f>TRIM(Table1[[#This Row],[Typ]])</f>
        <v>Faktura VAT</v>
      </c>
      <c r="H2664" s="2" t="str">
        <f>TRIM(Table1[[#This Row],[Magazyn]])</f>
        <v>Apteka Szpitalna</v>
      </c>
      <c r="I2664" s="2" t="str">
        <f>TRIM(Table1[[#This Row],[Umowa]])</f>
        <v>UM-CEN-02</v>
      </c>
      <c r="J2664" s="2" t="b">
        <f>ISTEXT(Table14[[#This Row],[Data_Wystawienia]])</f>
        <v>0</v>
      </c>
      <c r="K2664" s="2">
        <f>VALUE(SUBSTITUTE(Table14[[#This Row],[Wartość]],".",","))</f>
        <v>12438.47</v>
      </c>
      <c r="L26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4" s="2" t="str">
        <f>IF(Table14[[#This Row],[Umowa]]="","Poza umową","Z umowy")</f>
        <v>Z umowy</v>
      </c>
      <c r="N2664" s="2">
        <f>YEAR(Table14[[#This Row],[Data_Wystawienia]])</f>
        <v>2024</v>
      </c>
      <c r="O2664" s="2" t="str">
        <f>TEXT(Table14[[#This Row],[Data_Wystawienia]],"rrrr-mm")</f>
        <v>2024-09</v>
      </c>
      <c r="P2664" s="2">
        <v>1</v>
      </c>
    </row>
    <row r="2665" spans="1:16" x14ac:dyDescent="0.3">
      <c r="A2665" s="2" t="str">
        <f>TRIM(Table1[[#This Row],[Numer_FV]])</f>
        <v>FV/5613/NOVA/24</v>
      </c>
      <c r="B2665" s="2" t="str">
        <f>TRIM(Table1[[#This Row],[Numer_PZ]])</f>
        <v>PZ/802663</v>
      </c>
      <c r="C2665" s="2" t="str">
        <f>TRIM(Table1[[#This Row],[Dostawca]])</f>
        <v>NovaLek</v>
      </c>
      <c r="D2665" s="3">
        <v>45542</v>
      </c>
      <c r="E2665" s="4" t="s">
        <v>7871</v>
      </c>
      <c r="F2665" s="2" t="str">
        <f>TRIM(Table1[[#This Row],[Status]])</f>
        <v>Zaakceptowana</v>
      </c>
      <c r="G2665" s="2" t="str">
        <f>TRIM(Table1[[#This Row],[Typ]])</f>
        <v>Faktura VAT</v>
      </c>
      <c r="H2665" s="2" t="str">
        <f>TRIM(Table1[[#This Row],[Magazyn]])</f>
        <v>Apteka Szpitalna</v>
      </c>
      <c r="I2665" s="2" t="str">
        <f>TRIM(Table1[[#This Row],[Umowa]])</f>
        <v>UM-NOV-03</v>
      </c>
      <c r="J2665" s="2" t="b">
        <f>ISTEXT(Table14[[#This Row],[Data_Wystawienia]])</f>
        <v>0</v>
      </c>
      <c r="K2665" s="2">
        <f>VALUE(SUBSTITUTE(Table14[[#This Row],[Wartość]],".",","))</f>
        <v>9931.26</v>
      </c>
      <c r="L26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5" s="2" t="str">
        <f>IF(Table14[[#This Row],[Umowa]]="","Poza umową","Z umowy")</f>
        <v>Z umowy</v>
      </c>
      <c r="N2665" s="2">
        <f>YEAR(Table14[[#This Row],[Data_Wystawienia]])</f>
        <v>2024</v>
      </c>
      <c r="O2665" s="2" t="str">
        <f>TEXT(Table14[[#This Row],[Data_Wystawienia]],"rrrr-mm")</f>
        <v>2024-09</v>
      </c>
      <c r="P2665" s="2">
        <v>1</v>
      </c>
    </row>
    <row r="2666" spans="1:16" x14ac:dyDescent="0.3">
      <c r="A2666" s="2" t="str">
        <f>TRIM(Table1[[#This Row],[Numer_FV]])</f>
        <v>FV/1082/NOVA/24</v>
      </c>
      <c r="B2666" s="2" t="str">
        <f>TRIM(Table1[[#This Row],[Numer_PZ]])</f>
        <v>PZ/802664</v>
      </c>
      <c r="C2666" s="2" t="str">
        <f>TRIM(Table1[[#This Row],[Dostawca]])</f>
        <v>NovaLek</v>
      </c>
      <c r="D2666" s="3">
        <v>45542</v>
      </c>
      <c r="E2666" s="4" t="s">
        <v>7874</v>
      </c>
      <c r="F2666" s="2" t="str">
        <f>TRIM(Table1[[#This Row],[Status]])</f>
        <v>Zaakceptowana</v>
      </c>
      <c r="G2666" s="2" t="str">
        <f>TRIM(Table1[[#This Row],[Typ]])</f>
        <v>Faktura VAT</v>
      </c>
      <c r="H2666" s="2" t="str">
        <f>TRIM(Table1[[#This Row],[Magazyn]])</f>
        <v>Apteka Szpitalna</v>
      </c>
      <c r="I2666" s="2" t="str">
        <f>TRIM(Table1[[#This Row],[Umowa]])</f>
        <v>UM-NOV-03</v>
      </c>
      <c r="J2666" s="2" t="b">
        <f>ISTEXT(Table14[[#This Row],[Data_Wystawienia]])</f>
        <v>0</v>
      </c>
      <c r="K2666" s="2">
        <f>VALUE(SUBSTITUTE(Table14[[#This Row],[Wartość]],".",","))</f>
        <v>16588.61</v>
      </c>
      <c r="L26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6" s="2" t="str">
        <f>IF(Table14[[#This Row],[Umowa]]="","Poza umową","Z umowy")</f>
        <v>Z umowy</v>
      </c>
      <c r="N2666" s="2">
        <f>YEAR(Table14[[#This Row],[Data_Wystawienia]])</f>
        <v>2024</v>
      </c>
      <c r="O2666" s="2" t="str">
        <f>TEXT(Table14[[#This Row],[Data_Wystawienia]],"rrrr-mm")</f>
        <v>2024-09</v>
      </c>
      <c r="P2666" s="2">
        <v>1</v>
      </c>
    </row>
    <row r="2667" spans="1:16" x14ac:dyDescent="0.3">
      <c r="A2667" s="2" t="str">
        <f>TRIM(Table1[[#This Row],[Numer_FV]])</f>
        <v>FV/CENFA/468170/24</v>
      </c>
      <c r="B2667" s="2" t="str">
        <f>TRIM(Table1[[#This Row],[Numer_PZ]])</f>
        <v>PZ/802665</v>
      </c>
      <c r="C2667" s="2" t="str">
        <f>TRIM(Table1[[#This Row],[Dostawca]])</f>
        <v>CentrumFarm</v>
      </c>
      <c r="D2667" s="3">
        <v>45542</v>
      </c>
      <c r="E2667" s="4" t="s">
        <v>7877</v>
      </c>
      <c r="F2667" s="2" t="str">
        <f>TRIM(Table1[[#This Row],[Status]])</f>
        <v>Zaakceptowana</v>
      </c>
      <c r="G2667" s="2" t="str">
        <f>TRIM(Table1[[#This Row],[Typ]])</f>
        <v>Faktura VAT</v>
      </c>
      <c r="H2667" s="2" t="str">
        <f>TRIM(Table1[[#This Row],[Magazyn]])</f>
        <v>Apteka Szpitalna</v>
      </c>
      <c r="I2667" s="2" t="str">
        <f>TRIM(Table1[[#This Row],[Umowa]])</f>
        <v>UM-CEN-01</v>
      </c>
      <c r="J2667" s="2" t="b">
        <f>ISTEXT(Table14[[#This Row],[Data_Wystawienia]])</f>
        <v>0</v>
      </c>
      <c r="K2667" s="2">
        <f>VALUE(SUBSTITUTE(Table14[[#This Row],[Wartość]],".",","))</f>
        <v>10006.77</v>
      </c>
      <c r="L26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7" s="2" t="str">
        <f>IF(Table14[[#This Row],[Umowa]]="","Poza umową","Z umowy")</f>
        <v>Z umowy</v>
      </c>
      <c r="N2667" s="2">
        <f>YEAR(Table14[[#This Row],[Data_Wystawienia]])</f>
        <v>2024</v>
      </c>
      <c r="O2667" s="2" t="str">
        <f>TEXT(Table14[[#This Row],[Data_Wystawienia]],"rrrr-mm")</f>
        <v>2024-09</v>
      </c>
      <c r="P2667" s="2">
        <v>1</v>
      </c>
    </row>
    <row r="2668" spans="1:16" x14ac:dyDescent="0.3">
      <c r="A2668" s="2" t="str">
        <f>TRIM(Table1[[#This Row],[Numer_FV]])</f>
        <v>FV/75/SAL/24</v>
      </c>
      <c r="B2668" s="2" t="str">
        <f>TRIM(Table1[[#This Row],[Numer_PZ]])</f>
        <v>PZ/802666</v>
      </c>
      <c r="C2668" s="2" t="str">
        <f>TRIM(Table1[[#This Row],[Dostawca]])</f>
        <v>SalusHurt</v>
      </c>
      <c r="D2668" s="3">
        <v>45542</v>
      </c>
      <c r="E2668" s="4" t="s">
        <v>7879</v>
      </c>
      <c r="F2668" s="2" t="str">
        <f>TRIM(Table1[[#This Row],[Status]])</f>
        <v>Zaakceptowana</v>
      </c>
      <c r="G2668" s="2" t="str">
        <f>TRIM(Table1[[#This Row],[Typ]])</f>
        <v>Faktura VAT</v>
      </c>
      <c r="H2668" s="2" t="str">
        <f>TRIM(Table1[[#This Row],[Magazyn]])</f>
        <v>Apteka Szpitalna</v>
      </c>
      <c r="I2668" s="2" t="str">
        <f>TRIM(Table1[[#This Row],[Umowa]])</f>
        <v>UM-SAL-01</v>
      </c>
      <c r="J2668" s="2" t="b">
        <f>ISTEXT(Table14[[#This Row],[Data_Wystawienia]])</f>
        <v>0</v>
      </c>
      <c r="K2668" s="2">
        <f>VALUE(SUBSTITUTE(Table14[[#This Row],[Wartość]],".",","))</f>
        <v>18739.87</v>
      </c>
      <c r="L26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8" s="2" t="str">
        <f>IF(Table14[[#This Row],[Umowa]]="","Poza umową","Z umowy")</f>
        <v>Z umowy</v>
      </c>
      <c r="N2668" s="2">
        <f>YEAR(Table14[[#This Row],[Data_Wystawienia]])</f>
        <v>2024</v>
      </c>
      <c r="O2668" s="2" t="str">
        <f>TEXT(Table14[[#This Row],[Data_Wystawienia]],"rrrr-mm")</f>
        <v>2024-09</v>
      </c>
      <c r="P2668" s="2">
        <v>1</v>
      </c>
    </row>
    <row r="2669" spans="1:16" x14ac:dyDescent="0.3">
      <c r="A2669" s="2" t="str">
        <f>TRIM(Table1[[#This Row],[Numer_FV]])</f>
        <v>FV/POL/15532/2024</v>
      </c>
      <c r="B2669" s="2" t="str">
        <f>TRIM(Table1[[#This Row],[Numer_PZ]])</f>
        <v>PZ/802667</v>
      </c>
      <c r="C2669" s="2" t="str">
        <f>TRIM(Table1[[#This Row],[Dostawca]])</f>
        <v>Polmedica</v>
      </c>
      <c r="D2669" s="3">
        <v>45542</v>
      </c>
      <c r="E2669" s="4" t="s">
        <v>7882</v>
      </c>
      <c r="F2669" s="2" t="str">
        <f>TRIM(Table1[[#This Row],[Status]])</f>
        <v>Zaakceptowana</v>
      </c>
      <c r="G2669" s="2" t="str">
        <f>TRIM(Table1[[#This Row],[Typ]])</f>
        <v>Faktura VAT</v>
      </c>
      <c r="H2669" s="2" t="str">
        <f>TRIM(Table1[[#This Row],[Magazyn]])</f>
        <v>Apteka Szpitalna</v>
      </c>
      <c r="I2669" s="2" t="str">
        <f>TRIM(Table1[[#This Row],[Umowa]])</f>
        <v>UM-POL-01</v>
      </c>
      <c r="J2669" s="2" t="b">
        <f>ISTEXT(Table14[[#This Row],[Data_Wystawienia]])</f>
        <v>0</v>
      </c>
      <c r="K2669" s="2">
        <f>VALUE(SUBSTITUTE(Table14[[#This Row],[Wartość]],".",","))</f>
        <v>12508.95</v>
      </c>
      <c r="L26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69" s="2" t="str">
        <f>IF(Table14[[#This Row],[Umowa]]="","Poza umową","Z umowy")</f>
        <v>Z umowy</v>
      </c>
      <c r="N2669" s="2">
        <f>YEAR(Table14[[#This Row],[Data_Wystawienia]])</f>
        <v>2024</v>
      </c>
      <c r="O2669" s="2" t="str">
        <f>TEXT(Table14[[#This Row],[Data_Wystawienia]],"rrrr-mm")</f>
        <v>2024-09</v>
      </c>
      <c r="P2669" s="2">
        <v>1</v>
      </c>
    </row>
    <row r="2670" spans="1:16" x14ac:dyDescent="0.3">
      <c r="A2670" s="2" t="str">
        <f>TRIM(Table1[[#This Row],[Numer_FV]])</f>
        <v>FV/7991HM/24</v>
      </c>
      <c r="B2670" s="2" t="str">
        <f>TRIM(Table1[[#This Row],[Numer_PZ]])</f>
        <v>PZ/802668</v>
      </c>
      <c r="C2670" s="2" t="str">
        <f>TRIM(Table1[[#This Row],[Dostawca]])</f>
        <v>HurtMedix</v>
      </c>
      <c r="D2670" s="3">
        <v>45543</v>
      </c>
      <c r="E2670" s="4" t="s">
        <v>7885</v>
      </c>
      <c r="F2670" s="2" t="str">
        <f>TRIM(Table1[[#This Row],[Status]])</f>
        <v>Zaakceptowana</v>
      </c>
      <c r="G2670" s="2" t="str">
        <f>TRIM(Table1[[#This Row],[Typ]])</f>
        <v>Faktura VAT</v>
      </c>
      <c r="H2670" s="2" t="str">
        <f>TRIM(Table1[[#This Row],[Magazyn]])</f>
        <v>Apteka Szpitalna</v>
      </c>
      <c r="I2670" s="2" t="str">
        <f>TRIM(Table1[[#This Row],[Umowa]])</f>
        <v>UM-HUR-03</v>
      </c>
      <c r="J2670" s="2" t="b">
        <f>ISTEXT(Table14[[#This Row],[Data_Wystawienia]])</f>
        <v>0</v>
      </c>
      <c r="K2670" s="2">
        <f>VALUE(SUBSTITUTE(Table14[[#This Row],[Wartość]],".",","))</f>
        <v>13324.49</v>
      </c>
      <c r="L26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0" s="2" t="str">
        <f>IF(Table14[[#This Row],[Umowa]]="","Poza umową","Z umowy")</f>
        <v>Z umowy</v>
      </c>
      <c r="N2670" s="2">
        <f>YEAR(Table14[[#This Row],[Data_Wystawienia]])</f>
        <v>2024</v>
      </c>
      <c r="O2670" s="2" t="str">
        <f>TEXT(Table14[[#This Row],[Data_Wystawienia]],"rrrr-mm")</f>
        <v>2024-09</v>
      </c>
      <c r="P2670" s="2">
        <v>1</v>
      </c>
    </row>
    <row r="2671" spans="1:16" x14ac:dyDescent="0.3">
      <c r="A2671" s="2" t="str">
        <f>TRIM(Table1[[#This Row],[Numer_FV]])</f>
        <v>FV/47508/VDb/2024</v>
      </c>
      <c r="B2671" s="2" t="str">
        <f>TRIM(Table1[[#This Row],[Numer_PZ]])</f>
        <v>PZ/802669</v>
      </c>
      <c r="C2671" s="2" t="str">
        <f>TRIM(Table1[[#This Row],[Dostawca]])</f>
        <v>VitaDistrib</v>
      </c>
      <c r="D2671" s="3">
        <v>45543</v>
      </c>
      <c r="E2671" s="4" t="s">
        <v>7888</v>
      </c>
      <c r="F2671" s="2" t="str">
        <f>TRIM(Table1[[#This Row],[Status]])</f>
        <v>Zaakceptowana</v>
      </c>
      <c r="G2671" s="2" t="str">
        <f>TRIM(Table1[[#This Row],[Typ]])</f>
        <v>Faktura VAT</v>
      </c>
      <c r="H2671" s="2" t="str">
        <f>TRIM(Table1[[#This Row],[Magazyn]])</f>
        <v>Apteka Szpitalna</v>
      </c>
      <c r="I2671" s="2" t="str">
        <f>TRIM(Table1[[#This Row],[Umowa]])</f>
        <v>UM-VIT-01</v>
      </c>
      <c r="J2671" s="2" t="b">
        <f>ISTEXT(Table14[[#This Row],[Data_Wystawienia]])</f>
        <v>0</v>
      </c>
      <c r="K2671" s="2">
        <f>VALUE(SUBSTITUTE(Table14[[#This Row],[Wartość]],".",","))</f>
        <v>6970.35</v>
      </c>
      <c r="L26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1" s="2" t="str">
        <f>IF(Table14[[#This Row],[Umowa]]="","Poza umową","Z umowy")</f>
        <v>Z umowy</v>
      </c>
      <c r="N2671" s="2">
        <f>YEAR(Table14[[#This Row],[Data_Wystawienia]])</f>
        <v>2024</v>
      </c>
      <c r="O2671" s="2" t="str">
        <f>TEXT(Table14[[#This Row],[Data_Wystawienia]],"rrrr-mm")</f>
        <v>2024-09</v>
      </c>
      <c r="P2671" s="2">
        <v>1</v>
      </c>
    </row>
    <row r="2672" spans="1:16" x14ac:dyDescent="0.3">
      <c r="A2672" s="2" t="str">
        <f>TRIM(Table1[[#This Row],[Numer_FV]])</f>
        <v>FV/63834/VDb/2024</v>
      </c>
      <c r="B2672" s="2" t="str">
        <f>TRIM(Table1[[#This Row],[Numer_PZ]])</f>
        <v>PZ/802670</v>
      </c>
      <c r="C2672" s="2" t="str">
        <f>TRIM(Table1[[#This Row],[Dostawca]])</f>
        <v>VitaDistrib</v>
      </c>
      <c r="D2672" s="3">
        <v>45543</v>
      </c>
      <c r="E2672" s="4" t="s">
        <v>7891</v>
      </c>
      <c r="F2672" s="2" t="str">
        <f>TRIM(Table1[[#This Row],[Status]])</f>
        <v>Zaakceptowana</v>
      </c>
      <c r="G2672" s="2" t="str">
        <f>TRIM(Table1[[#This Row],[Typ]])</f>
        <v>Faktura VAT</v>
      </c>
      <c r="H2672" s="2" t="str">
        <f>TRIM(Table1[[#This Row],[Magazyn]])</f>
        <v>Apteka Szpitalna</v>
      </c>
      <c r="I2672" s="2" t="str">
        <f>TRIM(Table1[[#This Row],[Umowa]])</f>
        <v>UM-VIT-01</v>
      </c>
      <c r="J2672" s="2" t="b">
        <f>ISTEXT(Table14[[#This Row],[Data_Wystawienia]])</f>
        <v>0</v>
      </c>
      <c r="K2672" s="2">
        <f>VALUE(SUBSTITUTE(Table14[[#This Row],[Wartość]],".",","))</f>
        <v>16859.509999999998</v>
      </c>
      <c r="L26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2" s="2" t="str">
        <f>IF(Table14[[#This Row],[Umowa]]="","Poza umową","Z umowy")</f>
        <v>Z umowy</v>
      </c>
      <c r="N2672" s="2">
        <f>YEAR(Table14[[#This Row],[Data_Wystawienia]])</f>
        <v>2024</v>
      </c>
      <c r="O2672" s="2" t="str">
        <f>TEXT(Table14[[#This Row],[Data_Wystawienia]],"rrrr-mm")</f>
        <v>2024-09</v>
      </c>
      <c r="P2672" s="2">
        <v>1</v>
      </c>
    </row>
    <row r="2673" spans="1:16" x14ac:dyDescent="0.3">
      <c r="A2673" s="2" t="str">
        <f>TRIM(Table1[[#This Row],[Numer_FV]])</f>
        <v>FV/M/2348/P/24</v>
      </c>
      <c r="B2673" s="2" t="str">
        <f>TRIM(Table1[[#This Row],[Numer_PZ]])</f>
        <v>PZ/802671</v>
      </c>
      <c r="C2673" s="2" t="str">
        <f>TRIM(Table1[[#This Row],[Dostawca]])</f>
        <v>MedicaPharm</v>
      </c>
      <c r="D2673" s="3">
        <v>45543</v>
      </c>
      <c r="E2673" s="4" t="s">
        <v>7894</v>
      </c>
      <c r="F2673" s="2" t="str">
        <f>TRIM(Table1[[#This Row],[Status]])</f>
        <v>Zaakceptowana</v>
      </c>
      <c r="G2673" s="2" t="str">
        <f>TRIM(Table1[[#This Row],[Typ]])</f>
        <v>Faktura VAT</v>
      </c>
      <c r="H2673" s="2" t="str">
        <f>TRIM(Table1[[#This Row],[Magazyn]])</f>
        <v>Apteka Szpitalna</v>
      </c>
      <c r="I2673" s="2" t="str">
        <f>TRIM(Table1[[#This Row],[Umowa]])</f>
        <v>UM-MED-01</v>
      </c>
      <c r="J2673" s="2" t="b">
        <f>ISTEXT(Table14[[#This Row],[Data_Wystawienia]])</f>
        <v>0</v>
      </c>
      <c r="K2673" s="2">
        <f>VALUE(SUBSTITUTE(Table14[[#This Row],[Wartość]],".",","))</f>
        <v>16679.68</v>
      </c>
      <c r="L26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3" s="2" t="str">
        <f>IF(Table14[[#This Row],[Umowa]]="","Poza umową","Z umowy")</f>
        <v>Z umowy</v>
      </c>
      <c r="N2673" s="2">
        <f>YEAR(Table14[[#This Row],[Data_Wystawienia]])</f>
        <v>2024</v>
      </c>
      <c r="O2673" s="2" t="str">
        <f>TEXT(Table14[[#This Row],[Data_Wystawienia]],"rrrr-mm")</f>
        <v>2024-09</v>
      </c>
      <c r="P2673" s="2">
        <v>1</v>
      </c>
    </row>
    <row r="2674" spans="1:16" x14ac:dyDescent="0.3">
      <c r="A2674" s="2" t="str">
        <f>TRIM(Table1[[#This Row],[Numer_FV]])</f>
        <v>FV/48/PP/7736/24</v>
      </c>
      <c r="B2674" s="2" t="str">
        <f>TRIM(Table1[[#This Row],[Numer_PZ]])</f>
        <v>PZ/802672</v>
      </c>
      <c r="C2674" s="2" t="str">
        <f>TRIM(Table1[[#This Row],[Dostawca]])</f>
        <v>PharmaPlus</v>
      </c>
      <c r="D2674" s="3">
        <v>45543</v>
      </c>
      <c r="E2674" s="4" t="s">
        <v>7897</v>
      </c>
      <c r="F2674" s="2" t="str">
        <f>TRIM(Table1[[#This Row],[Status]])</f>
        <v>Zaakceptowana</v>
      </c>
      <c r="G2674" s="2" t="str">
        <f>TRIM(Table1[[#This Row],[Typ]])</f>
        <v>Korekta FV</v>
      </c>
      <c r="H2674" s="2" t="str">
        <f>TRIM(Table1[[#This Row],[Magazyn]])</f>
        <v>Apteka Szpitalna</v>
      </c>
      <c r="I2674" s="2" t="str">
        <f>TRIM(Table1[[#This Row],[Umowa]])</f>
        <v>UM-PHA-02</v>
      </c>
      <c r="J2674" s="2" t="b">
        <f>ISTEXT(Table14[[#This Row],[Data_Wystawienia]])</f>
        <v>0</v>
      </c>
      <c r="K2674" s="2">
        <f>VALUE(SUBSTITUTE(Table14[[#This Row],[Wartość]],".",","))</f>
        <v>-1356.8</v>
      </c>
      <c r="L26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4" s="2" t="str">
        <f>IF(Table14[[#This Row],[Umowa]]="","Poza umową","Z umowy")</f>
        <v>Z umowy</v>
      </c>
      <c r="N2674" s="2">
        <f>YEAR(Table14[[#This Row],[Data_Wystawienia]])</f>
        <v>2024</v>
      </c>
      <c r="O2674" s="2" t="str">
        <f>TEXT(Table14[[#This Row],[Data_Wystawienia]],"rrrr-mm")</f>
        <v>2024-09</v>
      </c>
      <c r="P2674" s="2">
        <v>1</v>
      </c>
    </row>
    <row r="2675" spans="1:16" x14ac:dyDescent="0.3">
      <c r="A2675" s="2" t="str">
        <f>TRIM(Table1[[#This Row],[Numer_FV]])</f>
        <v>FV/POL/35201/2024</v>
      </c>
      <c r="B2675" s="2" t="str">
        <f>TRIM(Table1[[#This Row],[Numer_PZ]])</f>
        <v>PZ/802673</v>
      </c>
      <c r="C2675" s="2" t="str">
        <f>TRIM(Table1[[#This Row],[Dostawca]])</f>
        <v>Polmedica</v>
      </c>
      <c r="D2675" s="3">
        <v>45544</v>
      </c>
      <c r="E2675" s="4" t="s">
        <v>7900</v>
      </c>
      <c r="F2675" s="2" t="str">
        <f>TRIM(Table1[[#This Row],[Status]])</f>
        <v>Zaakceptowana</v>
      </c>
      <c r="G2675" s="2" t="str">
        <f>TRIM(Table1[[#This Row],[Typ]])</f>
        <v>Faktura VAT</v>
      </c>
      <c r="H2675" s="2" t="str">
        <f>TRIM(Table1[[#This Row],[Magazyn]])</f>
        <v>Apteka Szpitalna</v>
      </c>
      <c r="I2675" s="2" t="str">
        <f>TRIM(Table1[[#This Row],[Umowa]])</f>
        <v>UM-POL-02</v>
      </c>
      <c r="J2675" s="2" t="b">
        <f>ISTEXT(Table14[[#This Row],[Data_Wystawienia]])</f>
        <v>0</v>
      </c>
      <c r="K2675" s="2">
        <f>VALUE(SUBSTITUTE(Table14[[#This Row],[Wartość]],".",","))</f>
        <v>14032.97</v>
      </c>
      <c r="L26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5" s="2" t="str">
        <f>IF(Table14[[#This Row],[Umowa]]="","Poza umową","Z umowy")</f>
        <v>Z umowy</v>
      </c>
      <c r="N2675" s="2">
        <f>YEAR(Table14[[#This Row],[Data_Wystawienia]])</f>
        <v>2024</v>
      </c>
      <c r="O2675" s="2" t="str">
        <f>TEXT(Table14[[#This Row],[Data_Wystawienia]],"rrrr-mm")</f>
        <v>2024-09</v>
      </c>
      <c r="P2675" s="2">
        <v>1</v>
      </c>
    </row>
    <row r="2676" spans="1:16" x14ac:dyDescent="0.3">
      <c r="A2676" s="2" t="str">
        <f>TRIM(Table1[[#This Row],[Numer_FV]])</f>
        <v>FV/M/3299/P/24</v>
      </c>
      <c r="B2676" s="2" t="str">
        <f>TRIM(Table1[[#This Row],[Numer_PZ]])</f>
        <v>PZ/802674</v>
      </c>
      <c r="C2676" s="2" t="str">
        <f>TRIM(Table1[[#This Row],[Dostawca]])</f>
        <v>MedicaPharm</v>
      </c>
      <c r="D2676" s="3">
        <v>45545</v>
      </c>
      <c r="E2676" s="4" t="s">
        <v>7903</v>
      </c>
      <c r="F2676" s="2" t="str">
        <f>TRIM(Table1[[#This Row],[Status]])</f>
        <v>Zaakceptowana</v>
      </c>
      <c r="G2676" s="2" t="str">
        <f>TRIM(Table1[[#This Row],[Typ]])</f>
        <v>Faktura VAT</v>
      </c>
      <c r="H2676" s="2" t="str">
        <f>TRIM(Table1[[#This Row],[Magazyn]])</f>
        <v>Apteka Szpitalna</v>
      </c>
      <c r="I2676" s="2" t="str">
        <f>TRIM(Table1[[#This Row],[Umowa]])</f>
        <v>UM-MED-02</v>
      </c>
      <c r="J2676" s="2" t="b">
        <f>ISTEXT(Table14[[#This Row],[Data_Wystawienia]])</f>
        <v>0</v>
      </c>
      <c r="K2676" s="2">
        <f>VALUE(SUBSTITUTE(Table14[[#This Row],[Wartość]],".",","))</f>
        <v>16430.98</v>
      </c>
      <c r="L26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6" s="2" t="str">
        <f>IF(Table14[[#This Row],[Umowa]]="","Poza umową","Z umowy")</f>
        <v>Z umowy</v>
      </c>
      <c r="N2676" s="2">
        <f>YEAR(Table14[[#This Row],[Data_Wystawienia]])</f>
        <v>2024</v>
      </c>
      <c r="O2676" s="2" t="str">
        <f>TEXT(Table14[[#This Row],[Data_Wystawienia]],"rrrr-mm")</f>
        <v>2024-09</v>
      </c>
      <c r="P2676" s="2">
        <v>1</v>
      </c>
    </row>
    <row r="2677" spans="1:16" x14ac:dyDescent="0.3">
      <c r="A2677" s="2" t="str">
        <f>TRIM(Table1[[#This Row],[Numer_FV]])</f>
        <v>FV/POL/36357/2024</v>
      </c>
      <c r="B2677" s="2" t="str">
        <f>TRIM(Table1[[#This Row],[Numer_PZ]])</f>
        <v>PZ/802675</v>
      </c>
      <c r="C2677" s="2" t="str">
        <f>TRIM(Table1[[#This Row],[Dostawca]])</f>
        <v>Polmedica</v>
      </c>
      <c r="D2677" s="3">
        <v>45545</v>
      </c>
      <c r="E2677" s="4" t="s">
        <v>7906</v>
      </c>
      <c r="F2677" s="2" t="str">
        <f>TRIM(Table1[[#This Row],[Status]])</f>
        <v>Zaakceptowana</v>
      </c>
      <c r="G2677" s="2" t="str">
        <f>TRIM(Table1[[#This Row],[Typ]])</f>
        <v>Faktura VAT</v>
      </c>
      <c r="H2677" s="2" t="str">
        <f>TRIM(Table1[[#This Row],[Magazyn]])</f>
        <v>Apteka Szpitalna</v>
      </c>
      <c r="I2677" s="2" t="str">
        <f>TRIM(Table1[[#This Row],[Umowa]])</f>
        <v>UM-POL-02</v>
      </c>
      <c r="J2677" s="2" t="b">
        <f>ISTEXT(Table14[[#This Row],[Data_Wystawienia]])</f>
        <v>0</v>
      </c>
      <c r="K2677" s="2">
        <f>VALUE(SUBSTITUTE(Table14[[#This Row],[Wartość]],".",","))</f>
        <v>13166.5</v>
      </c>
      <c r="L26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7" s="2" t="str">
        <f>IF(Table14[[#This Row],[Umowa]]="","Poza umową","Z umowy")</f>
        <v>Z umowy</v>
      </c>
      <c r="N2677" s="2">
        <f>YEAR(Table14[[#This Row],[Data_Wystawienia]])</f>
        <v>2024</v>
      </c>
      <c r="O2677" s="2" t="str">
        <f>TEXT(Table14[[#This Row],[Data_Wystawienia]],"rrrr-mm")</f>
        <v>2024-09</v>
      </c>
      <c r="P2677" s="2">
        <v>1</v>
      </c>
    </row>
    <row r="2678" spans="1:16" x14ac:dyDescent="0.3">
      <c r="A2678" s="2" t="str">
        <f>TRIM(Table1[[#This Row],[Numer_FV]])</f>
        <v>FV/CENFA/288241/24</v>
      </c>
      <c r="B2678" s="2" t="str">
        <f>TRIM(Table1[[#This Row],[Numer_PZ]])</f>
        <v>PZ/802676</v>
      </c>
      <c r="C2678" s="2" t="str">
        <f>TRIM(Table1[[#This Row],[Dostawca]])</f>
        <v>CentrumFarm</v>
      </c>
      <c r="D2678" s="3">
        <v>45545</v>
      </c>
      <c r="E2678" s="4" t="s">
        <v>7909</v>
      </c>
      <c r="F2678" s="2" t="str">
        <f>TRIM(Table1[[#This Row],[Status]])</f>
        <v>Zaakceptowana</v>
      </c>
      <c r="G2678" s="2" t="str">
        <f>TRIM(Table1[[#This Row],[Typ]])</f>
        <v>Faktura VAT</v>
      </c>
      <c r="H2678" s="2" t="str">
        <f>TRIM(Table1[[#This Row],[Magazyn]])</f>
        <v>Apteka Szpitalna</v>
      </c>
      <c r="I2678" s="2" t="str">
        <f>TRIM(Table1[[#This Row],[Umowa]])</f>
        <v/>
      </c>
      <c r="J2678" s="2" t="b">
        <f>ISTEXT(Table14[[#This Row],[Data_Wystawienia]])</f>
        <v>0</v>
      </c>
      <c r="K2678" s="2">
        <f>VALUE(SUBSTITUTE(Table14[[#This Row],[Wartość]],".",","))</f>
        <v>12627.59</v>
      </c>
      <c r="L26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8" s="2" t="str">
        <f>IF(Table14[[#This Row],[Umowa]]="","Poza umową","Z umowy")</f>
        <v>Poza umową</v>
      </c>
      <c r="N2678" s="2">
        <f>YEAR(Table14[[#This Row],[Data_Wystawienia]])</f>
        <v>2024</v>
      </c>
      <c r="O2678" s="2" t="str">
        <f>TEXT(Table14[[#This Row],[Data_Wystawienia]],"rrrr-mm")</f>
        <v>2024-09</v>
      </c>
      <c r="P2678" s="2">
        <v>1</v>
      </c>
    </row>
    <row r="2679" spans="1:16" x14ac:dyDescent="0.3">
      <c r="A2679" s="2" t="str">
        <f>TRIM(Table1[[#This Row],[Numer_FV]])</f>
        <v>FV/44/SAL/24</v>
      </c>
      <c r="B2679" s="2" t="str">
        <f>TRIM(Table1[[#This Row],[Numer_PZ]])</f>
        <v>PZ/802677</v>
      </c>
      <c r="C2679" s="2" t="str">
        <f>TRIM(Table1[[#This Row],[Dostawca]])</f>
        <v>SalusHurt</v>
      </c>
      <c r="D2679" s="3">
        <v>45545</v>
      </c>
      <c r="E2679" s="4" t="s">
        <v>7911</v>
      </c>
      <c r="F2679" s="2" t="str">
        <f>TRIM(Table1[[#This Row],[Status]])</f>
        <v>Zaakceptowana</v>
      </c>
      <c r="G2679" s="2" t="str">
        <f>TRIM(Table1[[#This Row],[Typ]])</f>
        <v>Faktura VAT</v>
      </c>
      <c r="H2679" s="2" t="str">
        <f>TRIM(Table1[[#This Row],[Magazyn]])</f>
        <v>Apteka Szpitalna</v>
      </c>
      <c r="I2679" s="2" t="str">
        <f>TRIM(Table1[[#This Row],[Umowa]])</f>
        <v>UM-SAL-01</v>
      </c>
      <c r="J2679" s="2" t="b">
        <f>ISTEXT(Table14[[#This Row],[Data_Wystawienia]])</f>
        <v>0</v>
      </c>
      <c r="K2679" s="2">
        <f>VALUE(SUBSTITUTE(Table14[[#This Row],[Wartość]],".",","))</f>
        <v>8311.81</v>
      </c>
      <c r="L26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79" s="2" t="str">
        <f>IF(Table14[[#This Row],[Umowa]]="","Poza umową","Z umowy")</f>
        <v>Z umowy</v>
      </c>
      <c r="N2679" s="2">
        <f>YEAR(Table14[[#This Row],[Data_Wystawienia]])</f>
        <v>2024</v>
      </c>
      <c r="O2679" s="2" t="str">
        <f>TEXT(Table14[[#This Row],[Data_Wystawienia]],"rrrr-mm")</f>
        <v>2024-09</v>
      </c>
      <c r="P2679" s="2">
        <v>1</v>
      </c>
    </row>
    <row r="2680" spans="1:16" x14ac:dyDescent="0.3">
      <c r="A2680" s="2" t="str">
        <f>TRIM(Table1[[#This Row],[Numer_FV]])</f>
        <v>FV/25/PP/2664/24</v>
      </c>
      <c r="B2680" s="2" t="str">
        <f>TRIM(Table1[[#This Row],[Numer_PZ]])</f>
        <v>PZ/802678</v>
      </c>
      <c r="C2680" s="2" t="str">
        <f>TRIM(Table1[[#This Row],[Dostawca]])</f>
        <v>PharmaPlus</v>
      </c>
      <c r="D2680" s="3">
        <v>45546</v>
      </c>
      <c r="E2680" s="4" t="s">
        <v>7914</v>
      </c>
      <c r="F2680" s="2" t="str">
        <f>TRIM(Table1[[#This Row],[Status]])</f>
        <v>Zaakceptowana</v>
      </c>
      <c r="G2680" s="2" t="str">
        <f>TRIM(Table1[[#This Row],[Typ]])</f>
        <v>Faktura VAT</v>
      </c>
      <c r="H2680" s="2" t="str">
        <f>TRIM(Table1[[#This Row],[Magazyn]])</f>
        <v>Apteka Szpitalna</v>
      </c>
      <c r="I2680" s="2" t="str">
        <f>TRIM(Table1[[#This Row],[Umowa]])</f>
        <v>UM-PHA-02</v>
      </c>
      <c r="J2680" s="2" t="b">
        <f>ISTEXT(Table14[[#This Row],[Data_Wystawienia]])</f>
        <v>0</v>
      </c>
      <c r="K2680" s="2">
        <f>VALUE(SUBSTITUTE(Table14[[#This Row],[Wartość]],".",","))</f>
        <v>6838.51</v>
      </c>
      <c r="L26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0" s="2" t="str">
        <f>IF(Table14[[#This Row],[Umowa]]="","Poza umową","Z umowy")</f>
        <v>Z umowy</v>
      </c>
      <c r="N2680" s="2">
        <f>YEAR(Table14[[#This Row],[Data_Wystawienia]])</f>
        <v>2024</v>
      </c>
      <c r="O2680" s="2" t="str">
        <f>TEXT(Table14[[#This Row],[Data_Wystawienia]],"rrrr-mm")</f>
        <v>2024-09</v>
      </c>
      <c r="P2680" s="2">
        <v>1</v>
      </c>
    </row>
    <row r="2681" spans="1:16" x14ac:dyDescent="0.3">
      <c r="A2681" s="2" t="str">
        <f>TRIM(Table1[[#This Row],[Numer_FV]])</f>
        <v>FV/94/SAL/24</v>
      </c>
      <c r="B2681" s="2" t="str">
        <f>TRIM(Table1[[#This Row],[Numer_PZ]])</f>
        <v>PZ/802679</v>
      </c>
      <c r="C2681" s="2" t="str">
        <f>TRIM(Table1[[#This Row],[Dostawca]])</f>
        <v>SalusHurt</v>
      </c>
      <c r="D2681" s="3">
        <v>45547</v>
      </c>
      <c r="E2681" s="4" t="s">
        <v>7917</v>
      </c>
      <c r="F2681" s="2" t="str">
        <f>TRIM(Table1[[#This Row],[Status]])</f>
        <v>Zaakceptowana</v>
      </c>
      <c r="G2681" s="2" t="str">
        <f>TRIM(Table1[[#This Row],[Typ]])</f>
        <v>Faktura VAT</v>
      </c>
      <c r="H2681" s="2" t="str">
        <f>TRIM(Table1[[#This Row],[Magazyn]])</f>
        <v>Apteka Szpitalna</v>
      </c>
      <c r="I2681" s="2" t="str">
        <f>TRIM(Table1[[#This Row],[Umowa]])</f>
        <v>UM-SAL-01</v>
      </c>
      <c r="J2681" s="2" t="b">
        <f>ISTEXT(Table14[[#This Row],[Data_Wystawienia]])</f>
        <v>0</v>
      </c>
      <c r="K2681" s="2">
        <f>VALUE(SUBSTITUTE(Table14[[#This Row],[Wartość]],".",","))</f>
        <v>12030.15</v>
      </c>
      <c r="L26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1" s="2" t="str">
        <f>IF(Table14[[#This Row],[Umowa]]="","Poza umową","Z umowy")</f>
        <v>Z umowy</v>
      </c>
      <c r="N2681" s="2">
        <f>YEAR(Table14[[#This Row],[Data_Wystawienia]])</f>
        <v>2024</v>
      </c>
      <c r="O2681" s="2" t="str">
        <f>TEXT(Table14[[#This Row],[Data_Wystawienia]],"rrrr-mm")</f>
        <v>2024-09</v>
      </c>
      <c r="P2681" s="2">
        <v>1</v>
      </c>
    </row>
    <row r="2682" spans="1:16" x14ac:dyDescent="0.3">
      <c r="A2682" s="2" t="str">
        <f>TRIM(Table1[[#This Row],[Numer_FV]])</f>
        <v>FV/51868/VDb/2024</v>
      </c>
      <c r="B2682" s="2" t="str">
        <f>TRIM(Table1[[#This Row],[Numer_PZ]])</f>
        <v>PZ/802680</v>
      </c>
      <c r="C2682" s="2" t="str">
        <f>TRIM(Table1[[#This Row],[Dostawca]])</f>
        <v>VitaDistrib</v>
      </c>
      <c r="D2682" s="3">
        <v>45547</v>
      </c>
      <c r="E2682" s="4" t="s">
        <v>7920</v>
      </c>
      <c r="F2682" s="2" t="str">
        <f>TRIM(Table1[[#This Row],[Status]])</f>
        <v>Zaakceptowana</v>
      </c>
      <c r="G2682" s="2" t="str">
        <f>TRIM(Table1[[#This Row],[Typ]])</f>
        <v>Faktura VAT</v>
      </c>
      <c r="H2682" s="2" t="str">
        <f>TRIM(Table1[[#This Row],[Magazyn]])</f>
        <v>Apteka Szpitalna</v>
      </c>
      <c r="I2682" s="2" t="str">
        <f>TRIM(Table1[[#This Row],[Umowa]])</f>
        <v/>
      </c>
      <c r="J2682" s="2" t="b">
        <f>ISTEXT(Table14[[#This Row],[Data_Wystawienia]])</f>
        <v>0</v>
      </c>
      <c r="K2682" s="2">
        <f>VALUE(SUBSTITUTE(Table14[[#This Row],[Wartość]],".",","))</f>
        <v>11731.13</v>
      </c>
      <c r="L26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2" s="2" t="str">
        <f>IF(Table14[[#This Row],[Umowa]]="","Poza umową","Z umowy")</f>
        <v>Poza umową</v>
      </c>
      <c r="N2682" s="2">
        <f>YEAR(Table14[[#This Row],[Data_Wystawienia]])</f>
        <v>2024</v>
      </c>
      <c r="O2682" s="2" t="str">
        <f>TEXT(Table14[[#This Row],[Data_Wystawienia]],"rrrr-mm")</f>
        <v>2024-09</v>
      </c>
      <c r="P2682" s="2">
        <v>1</v>
      </c>
    </row>
    <row r="2683" spans="1:16" x14ac:dyDescent="0.3">
      <c r="A2683" s="2" t="str">
        <f>TRIM(Table1[[#This Row],[Numer_FV]])</f>
        <v>FV/37/SAL/24</v>
      </c>
      <c r="B2683" s="2" t="str">
        <f>TRIM(Table1[[#This Row],[Numer_PZ]])</f>
        <v>PZ/802681</v>
      </c>
      <c r="C2683" s="2" t="str">
        <f>TRIM(Table1[[#This Row],[Dostawca]])</f>
        <v>SalusHurt</v>
      </c>
      <c r="D2683" s="3">
        <v>45547</v>
      </c>
      <c r="E2683" s="4" t="s">
        <v>7922</v>
      </c>
      <c r="F2683" s="2" t="str">
        <f>TRIM(Table1[[#This Row],[Status]])</f>
        <v>Zaakceptowana</v>
      </c>
      <c r="G2683" s="2" t="str">
        <f>TRIM(Table1[[#This Row],[Typ]])</f>
        <v>Faktura VAT</v>
      </c>
      <c r="H2683" s="2" t="str">
        <f>TRIM(Table1[[#This Row],[Magazyn]])</f>
        <v>Apteka Szpitalna</v>
      </c>
      <c r="I2683" s="2" t="str">
        <f>TRIM(Table1[[#This Row],[Umowa]])</f>
        <v/>
      </c>
      <c r="J2683" s="2" t="b">
        <f>ISTEXT(Table14[[#This Row],[Data_Wystawienia]])</f>
        <v>0</v>
      </c>
      <c r="K2683" s="2">
        <f>VALUE(SUBSTITUTE(Table14[[#This Row],[Wartość]],".",","))</f>
        <v>9283.08</v>
      </c>
      <c r="L26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3" s="2" t="str">
        <f>IF(Table14[[#This Row],[Umowa]]="","Poza umową","Z umowy")</f>
        <v>Poza umową</v>
      </c>
      <c r="N2683" s="2">
        <f>YEAR(Table14[[#This Row],[Data_Wystawienia]])</f>
        <v>2024</v>
      </c>
      <c r="O2683" s="2" t="str">
        <f>TEXT(Table14[[#This Row],[Data_Wystawienia]],"rrrr-mm")</f>
        <v>2024-09</v>
      </c>
      <c r="P2683" s="2">
        <v>1</v>
      </c>
    </row>
    <row r="2684" spans="1:16" x14ac:dyDescent="0.3">
      <c r="A2684" s="2" t="str">
        <f>TRIM(Table1[[#This Row],[Numer_FV]])</f>
        <v>FV/M/1868/P/24</v>
      </c>
      <c r="B2684" s="2" t="str">
        <f>TRIM(Table1[[#This Row],[Numer_PZ]])</f>
        <v>PZ/802682</v>
      </c>
      <c r="C2684" s="2" t="str">
        <f>TRIM(Table1[[#This Row],[Dostawca]])</f>
        <v>MedicaPharm</v>
      </c>
      <c r="D2684" s="3">
        <v>45548</v>
      </c>
      <c r="E2684" s="4" t="s">
        <v>7925</v>
      </c>
      <c r="F2684" s="2" t="str">
        <f>TRIM(Table1[[#This Row],[Status]])</f>
        <v>Zaakceptowana</v>
      </c>
      <c r="G2684" s="2" t="str">
        <f>TRIM(Table1[[#This Row],[Typ]])</f>
        <v>Faktura VAT</v>
      </c>
      <c r="H2684" s="2" t="str">
        <f>TRIM(Table1[[#This Row],[Magazyn]])</f>
        <v>Apteka Szpitalna</v>
      </c>
      <c r="I2684" s="2" t="str">
        <f>TRIM(Table1[[#This Row],[Umowa]])</f>
        <v>UM-MED-01</v>
      </c>
      <c r="J2684" s="2" t="b">
        <f>ISTEXT(Table14[[#This Row],[Data_Wystawienia]])</f>
        <v>0</v>
      </c>
      <c r="K2684" s="2">
        <f>VALUE(SUBSTITUTE(Table14[[#This Row],[Wartość]],".",","))</f>
        <v>5817.99</v>
      </c>
      <c r="L26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4" s="2" t="str">
        <f>IF(Table14[[#This Row],[Umowa]]="","Poza umową","Z umowy")</f>
        <v>Z umowy</v>
      </c>
      <c r="N2684" s="2">
        <f>YEAR(Table14[[#This Row],[Data_Wystawienia]])</f>
        <v>2024</v>
      </c>
      <c r="O2684" s="2" t="str">
        <f>TEXT(Table14[[#This Row],[Data_Wystawienia]],"rrrr-mm")</f>
        <v>2024-09</v>
      </c>
      <c r="P2684" s="2">
        <v>1</v>
      </c>
    </row>
    <row r="2685" spans="1:16" x14ac:dyDescent="0.3">
      <c r="A2685" s="2" t="str">
        <f>TRIM(Table1[[#This Row],[Numer_FV]])</f>
        <v>FV/POL/27775/2024</v>
      </c>
      <c r="B2685" s="2" t="str">
        <f>TRIM(Table1[[#This Row],[Numer_PZ]])</f>
        <v>PZ/802683</v>
      </c>
      <c r="C2685" s="2" t="str">
        <f>TRIM(Table1[[#This Row],[Dostawca]])</f>
        <v>Polmedica</v>
      </c>
      <c r="D2685" s="3">
        <v>45549</v>
      </c>
      <c r="E2685" s="4" t="s">
        <v>7928</v>
      </c>
      <c r="F2685" s="2" t="str">
        <f>TRIM(Table1[[#This Row],[Status]])</f>
        <v>Zaakceptowana</v>
      </c>
      <c r="G2685" s="2" t="str">
        <f>TRIM(Table1[[#This Row],[Typ]])</f>
        <v>Faktura VAT</v>
      </c>
      <c r="H2685" s="2" t="str">
        <f>TRIM(Table1[[#This Row],[Magazyn]])</f>
        <v>Apteka Szpitalna</v>
      </c>
      <c r="I2685" s="2" t="str">
        <f>TRIM(Table1[[#This Row],[Umowa]])</f>
        <v>UM-POL-02</v>
      </c>
      <c r="J2685" s="2" t="b">
        <f>ISTEXT(Table14[[#This Row],[Data_Wystawienia]])</f>
        <v>0</v>
      </c>
      <c r="K2685" s="2">
        <f>VALUE(SUBSTITUTE(Table14[[#This Row],[Wartość]],".",","))</f>
        <v>8795.01</v>
      </c>
      <c r="L26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5" s="2" t="str">
        <f>IF(Table14[[#This Row],[Umowa]]="","Poza umową","Z umowy")</f>
        <v>Z umowy</v>
      </c>
      <c r="N2685" s="2">
        <f>YEAR(Table14[[#This Row],[Data_Wystawienia]])</f>
        <v>2024</v>
      </c>
      <c r="O2685" s="2" t="str">
        <f>TEXT(Table14[[#This Row],[Data_Wystawienia]],"rrrr-mm")</f>
        <v>2024-09</v>
      </c>
      <c r="P2685" s="2">
        <v>1</v>
      </c>
    </row>
    <row r="2686" spans="1:16" x14ac:dyDescent="0.3">
      <c r="A2686" s="2" t="str">
        <f>TRIM(Table1[[#This Row],[Numer_FV]])</f>
        <v>FV/76/PP/2361/24</v>
      </c>
      <c r="B2686" s="2" t="str">
        <f>TRIM(Table1[[#This Row],[Numer_PZ]])</f>
        <v>PZ/802684</v>
      </c>
      <c r="C2686" s="2" t="str">
        <f>TRIM(Table1[[#This Row],[Dostawca]])</f>
        <v>PharmaPlus</v>
      </c>
      <c r="D2686" s="3">
        <v>45550</v>
      </c>
      <c r="E2686" s="4" t="s">
        <v>7931</v>
      </c>
      <c r="F2686" s="2" t="str">
        <f>TRIM(Table1[[#This Row],[Status]])</f>
        <v>Zaakceptowana</v>
      </c>
      <c r="G2686" s="2" t="str">
        <f>TRIM(Table1[[#This Row],[Typ]])</f>
        <v>Faktura VAT</v>
      </c>
      <c r="H2686" s="2" t="str">
        <f>TRIM(Table1[[#This Row],[Magazyn]])</f>
        <v>Apteka Szpitalna</v>
      </c>
      <c r="I2686" s="2" t="str">
        <f>TRIM(Table1[[#This Row],[Umowa]])</f>
        <v>UM-PHA-01</v>
      </c>
      <c r="J2686" s="2" t="b">
        <f>ISTEXT(Table14[[#This Row],[Data_Wystawienia]])</f>
        <v>0</v>
      </c>
      <c r="K2686" s="2">
        <f>VALUE(SUBSTITUTE(Table14[[#This Row],[Wartość]],".",","))</f>
        <v>15081.02</v>
      </c>
      <c r="L26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6" s="2" t="str">
        <f>IF(Table14[[#This Row],[Umowa]]="","Poza umową","Z umowy")</f>
        <v>Z umowy</v>
      </c>
      <c r="N2686" s="2">
        <f>YEAR(Table14[[#This Row],[Data_Wystawienia]])</f>
        <v>2024</v>
      </c>
      <c r="O2686" s="2" t="str">
        <f>TEXT(Table14[[#This Row],[Data_Wystawienia]],"rrrr-mm")</f>
        <v>2024-09</v>
      </c>
      <c r="P2686" s="2">
        <v>1</v>
      </c>
    </row>
    <row r="2687" spans="1:16" x14ac:dyDescent="0.3">
      <c r="A2687" s="2" t="str">
        <f>TRIM(Table1[[#This Row],[Numer_FV]])</f>
        <v>FV/POL/38994/2024</v>
      </c>
      <c r="B2687" s="2" t="str">
        <f>TRIM(Table1[[#This Row],[Numer_PZ]])</f>
        <v>PZ/802685</v>
      </c>
      <c r="C2687" s="2" t="str">
        <f>TRIM(Table1[[#This Row],[Dostawca]])</f>
        <v>Polmedica</v>
      </c>
      <c r="D2687" s="3">
        <v>45551</v>
      </c>
      <c r="E2687" s="4" t="s">
        <v>7934</v>
      </c>
      <c r="F2687" s="2" t="str">
        <f>TRIM(Table1[[#This Row],[Status]])</f>
        <v>Zaakceptowana</v>
      </c>
      <c r="G2687" s="2" t="str">
        <f>TRIM(Table1[[#This Row],[Typ]])</f>
        <v>Faktura VAT</v>
      </c>
      <c r="H2687" s="2" t="str">
        <f>TRIM(Table1[[#This Row],[Magazyn]])</f>
        <v>Apteka Szpitalna</v>
      </c>
      <c r="I2687" s="2" t="str">
        <f>TRIM(Table1[[#This Row],[Umowa]])</f>
        <v>UM-POL-02</v>
      </c>
      <c r="J2687" s="2" t="b">
        <f>ISTEXT(Table14[[#This Row],[Data_Wystawienia]])</f>
        <v>0</v>
      </c>
      <c r="K2687" s="2">
        <f>VALUE(SUBSTITUTE(Table14[[#This Row],[Wartość]],".",","))</f>
        <v>8741.2800000000007</v>
      </c>
      <c r="L26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7" s="2" t="str">
        <f>IF(Table14[[#This Row],[Umowa]]="","Poza umową","Z umowy")</f>
        <v>Z umowy</v>
      </c>
      <c r="N2687" s="2">
        <f>YEAR(Table14[[#This Row],[Data_Wystawienia]])</f>
        <v>2024</v>
      </c>
      <c r="O2687" s="2" t="str">
        <f>TEXT(Table14[[#This Row],[Data_Wystawienia]],"rrrr-mm")</f>
        <v>2024-09</v>
      </c>
      <c r="P2687" s="2">
        <v>1</v>
      </c>
    </row>
    <row r="2688" spans="1:16" x14ac:dyDescent="0.3">
      <c r="A2688" s="2" t="str">
        <f>TRIM(Table1[[#This Row],[Numer_FV]])</f>
        <v>FV/67853/VDb/2024</v>
      </c>
      <c r="B2688" s="2" t="str">
        <f>TRIM(Table1[[#This Row],[Numer_PZ]])</f>
        <v>PZ/802686</v>
      </c>
      <c r="C2688" s="2" t="str">
        <f>TRIM(Table1[[#This Row],[Dostawca]])</f>
        <v>VitaDistrib</v>
      </c>
      <c r="D2688" s="3">
        <v>45552</v>
      </c>
      <c r="E2688" s="4" t="s">
        <v>7937</v>
      </c>
      <c r="F2688" s="2" t="str">
        <f>TRIM(Table1[[#This Row],[Status]])</f>
        <v>Zaakceptowana</v>
      </c>
      <c r="G2688" s="2" t="str">
        <f>TRIM(Table1[[#This Row],[Typ]])</f>
        <v>Faktura VAT</v>
      </c>
      <c r="H2688" s="2" t="str">
        <f>TRIM(Table1[[#This Row],[Magazyn]])</f>
        <v>Apteka Szpitalna</v>
      </c>
      <c r="I2688" s="2" t="str">
        <f>TRIM(Table1[[#This Row],[Umowa]])</f>
        <v>UM-VIT-01</v>
      </c>
      <c r="J2688" s="2" t="b">
        <f>ISTEXT(Table14[[#This Row],[Data_Wystawienia]])</f>
        <v>0</v>
      </c>
      <c r="K2688" s="2">
        <f>VALUE(SUBSTITUTE(Table14[[#This Row],[Wartość]],".",","))</f>
        <v>17769.79</v>
      </c>
      <c r="L26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8" s="2" t="str">
        <f>IF(Table14[[#This Row],[Umowa]]="","Poza umową","Z umowy")</f>
        <v>Z umowy</v>
      </c>
      <c r="N2688" s="2">
        <f>YEAR(Table14[[#This Row],[Data_Wystawienia]])</f>
        <v>2024</v>
      </c>
      <c r="O2688" s="2" t="str">
        <f>TEXT(Table14[[#This Row],[Data_Wystawienia]],"rrrr-mm")</f>
        <v>2024-09</v>
      </c>
      <c r="P2688" s="2">
        <v>1</v>
      </c>
    </row>
    <row r="2689" spans="1:16" x14ac:dyDescent="0.3">
      <c r="A2689" s="2" t="str">
        <f>TRIM(Table1[[#This Row],[Numer_FV]])</f>
        <v>FV/CENFA/509078/24</v>
      </c>
      <c r="B2689" s="2" t="str">
        <f>TRIM(Table1[[#This Row],[Numer_PZ]])</f>
        <v>PZ/802687</v>
      </c>
      <c r="C2689" s="2" t="str">
        <f>TRIM(Table1[[#This Row],[Dostawca]])</f>
        <v>CentrumFarm</v>
      </c>
      <c r="D2689" s="3">
        <v>45552</v>
      </c>
      <c r="E2689" s="4" t="s">
        <v>7940</v>
      </c>
      <c r="F2689" s="2" t="str">
        <f>TRIM(Table1[[#This Row],[Status]])</f>
        <v>Zaakceptowana</v>
      </c>
      <c r="G2689" s="2" t="str">
        <f>TRIM(Table1[[#This Row],[Typ]])</f>
        <v>Faktura VAT</v>
      </c>
      <c r="H2689" s="2" t="str">
        <f>TRIM(Table1[[#This Row],[Magazyn]])</f>
        <v>Apteka Szpitalna</v>
      </c>
      <c r="I2689" s="2" t="str">
        <f>TRIM(Table1[[#This Row],[Umowa]])</f>
        <v>UM-CEN-01</v>
      </c>
      <c r="J2689" s="2" t="b">
        <f>ISTEXT(Table14[[#This Row],[Data_Wystawienia]])</f>
        <v>0</v>
      </c>
      <c r="K2689" s="2">
        <f>VALUE(SUBSTITUTE(Table14[[#This Row],[Wartość]],".",","))</f>
        <v>18195.73</v>
      </c>
      <c r="L26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89" s="2" t="str">
        <f>IF(Table14[[#This Row],[Umowa]]="","Poza umową","Z umowy")</f>
        <v>Z umowy</v>
      </c>
      <c r="N2689" s="2">
        <f>YEAR(Table14[[#This Row],[Data_Wystawienia]])</f>
        <v>2024</v>
      </c>
      <c r="O2689" s="2" t="str">
        <f>TEXT(Table14[[#This Row],[Data_Wystawienia]],"rrrr-mm")</f>
        <v>2024-09</v>
      </c>
      <c r="P2689" s="2">
        <v>1</v>
      </c>
    </row>
    <row r="2690" spans="1:16" x14ac:dyDescent="0.3">
      <c r="A2690" s="2" t="str">
        <f>TRIM(Table1[[#This Row],[Numer_FV]])</f>
        <v>FV/4497/NOVA/24</v>
      </c>
      <c r="B2690" s="2" t="str">
        <f>TRIM(Table1[[#This Row],[Numer_PZ]])</f>
        <v>PZ/802688</v>
      </c>
      <c r="C2690" s="2" t="str">
        <f>TRIM(Table1[[#This Row],[Dostawca]])</f>
        <v>NovaLek</v>
      </c>
      <c r="D2690" s="3">
        <v>45553</v>
      </c>
      <c r="E2690" s="4" t="s">
        <v>7943</v>
      </c>
      <c r="F2690" s="2" t="str">
        <f>TRIM(Table1[[#This Row],[Status]])</f>
        <v>Zaakceptowana</v>
      </c>
      <c r="G2690" s="2" t="str">
        <f>TRIM(Table1[[#This Row],[Typ]])</f>
        <v>Faktura VAT</v>
      </c>
      <c r="H2690" s="2" t="str">
        <f>TRIM(Table1[[#This Row],[Magazyn]])</f>
        <v>Apteka Szpitalna</v>
      </c>
      <c r="I2690" s="2" t="str">
        <f>TRIM(Table1[[#This Row],[Umowa]])</f>
        <v>UM-NOV-01</v>
      </c>
      <c r="J2690" s="2" t="b">
        <f>ISTEXT(Table14[[#This Row],[Data_Wystawienia]])</f>
        <v>0</v>
      </c>
      <c r="K2690" s="2">
        <f>VALUE(SUBSTITUTE(Table14[[#This Row],[Wartość]],".",","))</f>
        <v>11281.25</v>
      </c>
      <c r="L26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0" s="2" t="str">
        <f>IF(Table14[[#This Row],[Umowa]]="","Poza umową","Z umowy")</f>
        <v>Z umowy</v>
      </c>
      <c r="N2690" s="2">
        <f>YEAR(Table14[[#This Row],[Data_Wystawienia]])</f>
        <v>2024</v>
      </c>
      <c r="O2690" s="2" t="str">
        <f>TEXT(Table14[[#This Row],[Data_Wystawienia]],"rrrr-mm")</f>
        <v>2024-09</v>
      </c>
      <c r="P2690" s="2">
        <v>1</v>
      </c>
    </row>
    <row r="2691" spans="1:16" x14ac:dyDescent="0.3">
      <c r="A2691" s="2" t="str">
        <f>TRIM(Table1[[#This Row],[Numer_FV]])</f>
        <v>FV/POL/59251/2024</v>
      </c>
      <c r="B2691" s="2" t="str">
        <f>TRIM(Table1[[#This Row],[Numer_PZ]])</f>
        <v>PZ/802689</v>
      </c>
      <c r="C2691" s="2" t="str">
        <f>TRIM(Table1[[#This Row],[Dostawca]])</f>
        <v>Polmedica</v>
      </c>
      <c r="D2691" s="3">
        <v>45553</v>
      </c>
      <c r="E2691" s="4" t="s">
        <v>7946</v>
      </c>
      <c r="F2691" s="2" t="str">
        <f>TRIM(Table1[[#This Row],[Status]])</f>
        <v>Zaakceptowana</v>
      </c>
      <c r="G2691" s="2" t="str">
        <f>TRIM(Table1[[#This Row],[Typ]])</f>
        <v>Faktura VAT</v>
      </c>
      <c r="H2691" s="2" t="str">
        <f>TRIM(Table1[[#This Row],[Magazyn]])</f>
        <v>Apteka Szpitalna</v>
      </c>
      <c r="I2691" s="2" t="str">
        <f>TRIM(Table1[[#This Row],[Umowa]])</f>
        <v>UM-POL-03</v>
      </c>
      <c r="J2691" s="2" t="b">
        <f>ISTEXT(Table14[[#This Row],[Data_Wystawienia]])</f>
        <v>0</v>
      </c>
      <c r="K2691" s="2">
        <f>VALUE(SUBSTITUTE(Table14[[#This Row],[Wartość]],".",","))</f>
        <v>12428.67</v>
      </c>
      <c r="L26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1" s="2" t="str">
        <f>IF(Table14[[#This Row],[Umowa]]="","Poza umową","Z umowy")</f>
        <v>Z umowy</v>
      </c>
      <c r="N2691" s="2">
        <f>YEAR(Table14[[#This Row],[Data_Wystawienia]])</f>
        <v>2024</v>
      </c>
      <c r="O2691" s="2" t="str">
        <f>TEXT(Table14[[#This Row],[Data_Wystawienia]],"rrrr-mm")</f>
        <v>2024-09</v>
      </c>
      <c r="P2691" s="2">
        <v>1</v>
      </c>
    </row>
    <row r="2692" spans="1:16" x14ac:dyDescent="0.3">
      <c r="A2692" s="2" t="str">
        <f>TRIM(Table1[[#This Row],[Numer_FV]])</f>
        <v>FV/1610/NOVA/24</v>
      </c>
      <c r="B2692" s="2" t="str">
        <f>TRIM(Table1[[#This Row],[Numer_PZ]])</f>
        <v>PZ/802690</v>
      </c>
      <c r="C2692" s="2" t="str">
        <f>TRIM(Table1[[#This Row],[Dostawca]])</f>
        <v>NovaLek</v>
      </c>
      <c r="D2692" s="3">
        <v>45553</v>
      </c>
      <c r="E2692" s="4" t="s">
        <v>7949</v>
      </c>
      <c r="F2692" s="2" t="str">
        <f>TRIM(Table1[[#This Row],[Status]])</f>
        <v>Zaakceptowana</v>
      </c>
      <c r="G2692" s="2" t="str">
        <f>TRIM(Table1[[#This Row],[Typ]])</f>
        <v>Faktura VAT</v>
      </c>
      <c r="H2692" s="2" t="str">
        <f>TRIM(Table1[[#This Row],[Magazyn]])</f>
        <v>Apteka Szpitalna</v>
      </c>
      <c r="I2692" s="2" t="str">
        <f>TRIM(Table1[[#This Row],[Umowa]])</f>
        <v>UM-NOV-02</v>
      </c>
      <c r="J2692" s="2" t="b">
        <f>ISTEXT(Table14[[#This Row],[Data_Wystawienia]])</f>
        <v>0</v>
      </c>
      <c r="K2692" s="2">
        <f>VALUE(SUBSTITUTE(Table14[[#This Row],[Wartość]],".",","))</f>
        <v>21404.31</v>
      </c>
      <c r="L26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2" s="2" t="str">
        <f>IF(Table14[[#This Row],[Umowa]]="","Poza umową","Z umowy")</f>
        <v>Z umowy</v>
      </c>
      <c r="N2692" s="2">
        <f>YEAR(Table14[[#This Row],[Data_Wystawienia]])</f>
        <v>2024</v>
      </c>
      <c r="O2692" s="2" t="str">
        <f>TEXT(Table14[[#This Row],[Data_Wystawienia]],"rrrr-mm")</f>
        <v>2024-09</v>
      </c>
      <c r="P2692" s="2">
        <v>1</v>
      </c>
    </row>
    <row r="2693" spans="1:16" x14ac:dyDescent="0.3">
      <c r="A2693" s="2" t="str">
        <f>TRIM(Table1[[#This Row],[Numer_FV]])</f>
        <v>FV/84980/VDb/2024</v>
      </c>
      <c r="B2693" s="2" t="str">
        <f>TRIM(Table1[[#This Row],[Numer_PZ]])</f>
        <v>PZ/802691</v>
      </c>
      <c r="C2693" s="2" t="str">
        <f>TRIM(Table1[[#This Row],[Dostawca]])</f>
        <v>VitaDistrib</v>
      </c>
      <c r="D2693" s="3">
        <v>45553</v>
      </c>
      <c r="E2693" s="4" t="s">
        <v>7952</v>
      </c>
      <c r="F2693" s="2" t="str">
        <f>TRIM(Table1[[#This Row],[Status]])</f>
        <v>Zaakceptowana</v>
      </c>
      <c r="G2693" s="2" t="str">
        <f>TRIM(Table1[[#This Row],[Typ]])</f>
        <v>Faktura VAT</v>
      </c>
      <c r="H2693" s="2" t="str">
        <f>TRIM(Table1[[#This Row],[Magazyn]])</f>
        <v>Apteka Szpitalna</v>
      </c>
      <c r="I2693" s="2" t="str">
        <f>TRIM(Table1[[#This Row],[Umowa]])</f>
        <v>UM-VIT-01</v>
      </c>
      <c r="J2693" s="2" t="b">
        <f>ISTEXT(Table14[[#This Row],[Data_Wystawienia]])</f>
        <v>0</v>
      </c>
      <c r="K2693" s="2">
        <f>VALUE(SUBSTITUTE(Table14[[#This Row],[Wartość]],".",","))</f>
        <v>20639.04</v>
      </c>
      <c r="L26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3" s="2" t="str">
        <f>IF(Table14[[#This Row],[Umowa]]="","Poza umową","Z umowy")</f>
        <v>Z umowy</v>
      </c>
      <c r="N2693" s="2">
        <f>YEAR(Table14[[#This Row],[Data_Wystawienia]])</f>
        <v>2024</v>
      </c>
      <c r="O2693" s="2" t="str">
        <f>TEXT(Table14[[#This Row],[Data_Wystawienia]],"rrrr-mm")</f>
        <v>2024-09</v>
      </c>
      <c r="P2693" s="2">
        <v>1</v>
      </c>
    </row>
    <row r="2694" spans="1:16" x14ac:dyDescent="0.3">
      <c r="A2694" s="2" t="str">
        <f>TRIM(Table1[[#This Row],[Numer_FV]])</f>
        <v>FV/41/PP/9404/24</v>
      </c>
      <c r="B2694" s="2" t="str">
        <f>TRIM(Table1[[#This Row],[Numer_PZ]])</f>
        <v>PZ/802692</v>
      </c>
      <c r="C2694" s="2" t="str">
        <f>TRIM(Table1[[#This Row],[Dostawca]])</f>
        <v>PharmaPlus</v>
      </c>
      <c r="D2694" s="3">
        <v>45553</v>
      </c>
      <c r="E2694" s="4" t="s">
        <v>7955</v>
      </c>
      <c r="F2694" s="2" t="str">
        <f>TRIM(Table1[[#This Row],[Status]])</f>
        <v>Zaakceptowana</v>
      </c>
      <c r="G2694" s="2" t="str">
        <f>TRIM(Table1[[#This Row],[Typ]])</f>
        <v>Faktura VAT</v>
      </c>
      <c r="H2694" s="2" t="str">
        <f>TRIM(Table1[[#This Row],[Magazyn]])</f>
        <v>Apteka Szpitalna</v>
      </c>
      <c r="I2694" s="2" t="str">
        <f>TRIM(Table1[[#This Row],[Umowa]])</f>
        <v>UM-PHA-01</v>
      </c>
      <c r="J2694" s="2" t="b">
        <f>ISTEXT(Table14[[#This Row],[Data_Wystawienia]])</f>
        <v>0</v>
      </c>
      <c r="K2694" s="2">
        <f>VALUE(SUBSTITUTE(Table14[[#This Row],[Wartość]],".",","))</f>
        <v>9603.36</v>
      </c>
      <c r="L26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4" s="2" t="str">
        <f>IF(Table14[[#This Row],[Umowa]]="","Poza umową","Z umowy")</f>
        <v>Z umowy</v>
      </c>
      <c r="N2694" s="2">
        <f>YEAR(Table14[[#This Row],[Data_Wystawienia]])</f>
        <v>2024</v>
      </c>
      <c r="O2694" s="2" t="str">
        <f>TEXT(Table14[[#This Row],[Data_Wystawienia]],"rrrr-mm")</f>
        <v>2024-09</v>
      </c>
      <c r="P2694" s="2">
        <v>1</v>
      </c>
    </row>
    <row r="2695" spans="1:16" x14ac:dyDescent="0.3">
      <c r="A2695" s="2" t="str">
        <f>TRIM(Table1[[#This Row],[Numer_FV]])</f>
        <v>FV/24/SAL/24</v>
      </c>
      <c r="B2695" s="2" t="str">
        <f>TRIM(Table1[[#This Row],[Numer_PZ]])</f>
        <v>PZ/802693</v>
      </c>
      <c r="C2695" s="2" t="str">
        <f>TRIM(Table1[[#This Row],[Dostawca]])</f>
        <v>SalusHurt</v>
      </c>
      <c r="D2695" s="3">
        <v>45554</v>
      </c>
      <c r="E2695" s="4" t="s">
        <v>7957</v>
      </c>
      <c r="F2695" s="2" t="str">
        <f>TRIM(Table1[[#This Row],[Status]])</f>
        <v>Zaakceptowana</v>
      </c>
      <c r="G2695" s="2" t="str">
        <f>TRIM(Table1[[#This Row],[Typ]])</f>
        <v>Faktura VAT</v>
      </c>
      <c r="H2695" s="2" t="str">
        <f>TRIM(Table1[[#This Row],[Magazyn]])</f>
        <v>Apteka Szpitalna</v>
      </c>
      <c r="I2695" s="2" t="str">
        <f>TRIM(Table1[[#This Row],[Umowa]])</f>
        <v>UM-SAL-01</v>
      </c>
      <c r="J2695" s="2" t="b">
        <f>ISTEXT(Table14[[#This Row],[Data_Wystawienia]])</f>
        <v>0</v>
      </c>
      <c r="K2695" s="2">
        <f>VALUE(SUBSTITUTE(Table14[[#This Row],[Wartość]],".",","))</f>
        <v>14556.24</v>
      </c>
      <c r="L26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5" s="2" t="str">
        <f>IF(Table14[[#This Row],[Umowa]]="","Poza umową","Z umowy")</f>
        <v>Z umowy</v>
      </c>
      <c r="N2695" s="2">
        <f>YEAR(Table14[[#This Row],[Data_Wystawienia]])</f>
        <v>2024</v>
      </c>
      <c r="O2695" s="2" t="str">
        <f>TEXT(Table14[[#This Row],[Data_Wystawienia]],"rrrr-mm")</f>
        <v>2024-09</v>
      </c>
      <c r="P2695" s="2">
        <v>1</v>
      </c>
    </row>
    <row r="2696" spans="1:16" x14ac:dyDescent="0.3">
      <c r="A2696" s="2" t="str">
        <f>TRIM(Table1[[#This Row],[Numer_FV]])</f>
        <v>FV/M/4573/P/24</v>
      </c>
      <c r="B2696" s="2" t="str">
        <f>TRIM(Table1[[#This Row],[Numer_PZ]])</f>
        <v>PZ/802694</v>
      </c>
      <c r="C2696" s="2" t="str">
        <f>TRIM(Table1[[#This Row],[Dostawca]])</f>
        <v>MedicaPharm</v>
      </c>
      <c r="D2696" s="3">
        <v>45554</v>
      </c>
      <c r="E2696" s="4" t="s">
        <v>7960</v>
      </c>
      <c r="F2696" s="2" t="str">
        <f>TRIM(Table1[[#This Row],[Status]])</f>
        <v>Zaakceptowana</v>
      </c>
      <c r="G2696" s="2" t="str">
        <f>TRIM(Table1[[#This Row],[Typ]])</f>
        <v>Faktura VAT</v>
      </c>
      <c r="H2696" s="2" t="str">
        <f>TRIM(Table1[[#This Row],[Magazyn]])</f>
        <v>Apteka Szpitalna</v>
      </c>
      <c r="I2696" s="2" t="str">
        <f>TRIM(Table1[[#This Row],[Umowa]])</f>
        <v/>
      </c>
      <c r="J2696" s="2" t="b">
        <f>ISTEXT(Table14[[#This Row],[Data_Wystawienia]])</f>
        <v>0</v>
      </c>
      <c r="K2696" s="2">
        <f>VALUE(SUBSTITUTE(Table14[[#This Row],[Wartość]],".",","))</f>
        <v>5712.42</v>
      </c>
      <c r="L26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6" s="2" t="str">
        <f>IF(Table14[[#This Row],[Umowa]]="","Poza umową","Z umowy")</f>
        <v>Poza umową</v>
      </c>
      <c r="N2696" s="2">
        <f>YEAR(Table14[[#This Row],[Data_Wystawienia]])</f>
        <v>2024</v>
      </c>
      <c r="O2696" s="2" t="str">
        <f>TEXT(Table14[[#This Row],[Data_Wystawienia]],"rrrr-mm")</f>
        <v>2024-09</v>
      </c>
      <c r="P2696" s="2">
        <v>1</v>
      </c>
    </row>
    <row r="2697" spans="1:16" x14ac:dyDescent="0.3">
      <c r="A2697" s="2" t="str">
        <f>TRIM(Table1[[#This Row],[Numer_FV]])</f>
        <v>FV/3879HM/24</v>
      </c>
      <c r="B2697" s="2" t="str">
        <f>TRIM(Table1[[#This Row],[Numer_PZ]])</f>
        <v>PZ/802695</v>
      </c>
      <c r="C2697" s="2" t="str">
        <f>TRIM(Table1[[#This Row],[Dostawca]])</f>
        <v>HurtMedix</v>
      </c>
      <c r="D2697" s="3">
        <v>45554</v>
      </c>
      <c r="E2697" s="4" t="s">
        <v>7963</v>
      </c>
      <c r="F2697" s="2" t="str">
        <f>TRIM(Table1[[#This Row],[Status]])</f>
        <v>Zaakceptowana</v>
      </c>
      <c r="G2697" s="2" t="str">
        <f>TRIM(Table1[[#This Row],[Typ]])</f>
        <v>Faktura VAT</v>
      </c>
      <c r="H2697" s="2" t="str">
        <f>TRIM(Table1[[#This Row],[Magazyn]])</f>
        <v>Apteka Szpitalna</v>
      </c>
      <c r="I2697" s="2" t="str">
        <f>TRIM(Table1[[#This Row],[Umowa]])</f>
        <v/>
      </c>
      <c r="J2697" s="2" t="b">
        <f>ISTEXT(Table14[[#This Row],[Data_Wystawienia]])</f>
        <v>0</v>
      </c>
      <c r="K2697" s="2">
        <f>VALUE(SUBSTITUTE(Table14[[#This Row],[Wartość]],".",","))</f>
        <v>8874.8799999999992</v>
      </c>
      <c r="L26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7" s="2" t="str">
        <f>IF(Table14[[#This Row],[Umowa]]="","Poza umową","Z umowy")</f>
        <v>Poza umową</v>
      </c>
      <c r="N2697" s="2">
        <f>YEAR(Table14[[#This Row],[Data_Wystawienia]])</f>
        <v>2024</v>
      </c>
      <c r="O2697" s="2" t="str">
        <f>TEXT(Table14[[#This Row],[Data_Wystawienia]],"rrrr-mm")</f>
        <v>2024-09</v>
      </c>
      <c r="P2697" s="2">
        <v>1</v>
      </c>
    </row>
    <row r="2698" spans="1:16" x14ac:dyDescent="0.3">
      <c r="A2698" s="2" t="str">
        <f>TRIM(Table1[[#This Row],[Numer_FV]])</f>
        <v>FV/73/SAL/24</v>
      </c>
      <c r="B2698" s="2" t="str">
        <f>TRIM(Table1[[#This Row],[Numer_PZ]])</f>
        <v>PZ/802696</v>
      </c>
      <c r="C2698" s="2" t="str">
        <f>TRIM(Table1[[#This Row],[Dostawca]])</f>
        <v>SalusHurt</v>
      </c>
      <c r="D2698" s="3">
        <v>45555</v>
      </c>
      <c r="E2698" s="4" t="s">
        <v>7966</v>
      </c>
      <c r="F2698" s="2" t="str">
        <f>TRIM(Table1[[#This Row],[Status]])</f>
        <v>Zaakceptowana</v>
      </c>
      <c r="G2698" s="2" t="str">
        <f>TRIM(Table1[[#This Row],[Typ]])</f>
        <v>Faktura VAT</v>
      </c>
      <c r="H2698" s="2" t="str">
        <f>TRIM(Table1[[#This Row],[Magazyn]])</f>
        <v>Apteka Szpitalna</v>
      </c>
      <c r="I2698" s="2" t="str">
        <f>TRIM(Table1[[#This Row],[Umowa]])</f>
        <v>UM-SAL-02</v>
      </c>
      <c r="J2698" s="2" t="b">
        <f>ISTEXT(Table14[[#This Row],[Data_Wystawienia]])</f>
        <v>0</v>
      </c>
      <c r="K2698" s="2">
        <f>VALUE(SUBSTITUTE(Table14[[#This Row],[Wartość]],".",","))</f>
        <v>26269.56</v>
      </c>
      <c r="L26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8" s="2" t="str">
        <f>IF(Table14[[#This Row],[Umowa]]="","Poza umową","Z umowy")</f>
        <v>Z umowy</v>
      </c>
      <c r="N2698" s="2">
        <f>YEAR(Table14[[#This Row],[Data_Wystawienia]])</f>
        <v>2024</v>
      </c>
      <c r="O2698" s="2" t="str">
        <f>TEXT(Table14[[#This Row],[Data_Wystawienia]],"rrrr-mm")</f>
        <v>2024-09</v>
      </c>
      <c r="P2698" s="2">
        <v>1</v>
      </c>
    </row>
    <row r="2699" spans="1:16" x14ac:dyDescent="0.3">
      <c r="A2699" s="2" t="str">
        <f>TRIM(Table1[[#This Row],[Numer_FV]])</f>
        <v>FV/8776HM/24</v>
      </c>
      <c r="B2699" s="2" t="str">
        <f>TRIM(Table1[[#This Row],[Numer_PZ]])</f>
        <v>PZ/802697</v>
      </c>
      <c r="C2699" s="2" t="str">
        <f>TRIM(Table1[[#This Row],[Dostawca]])</f>
        <v>HurtMedix</v>
      </c>
      <c r="D2699" s="3">
        <v>45555</v>
      </c>
      <c r="E2699" s="4" t="s">
        <v>7969</v>
      </c>
      <c r="F2699" s="2" t="str">
        <f>TRIM(Table1[[#This Row],[Status]])</f>
        <v>Zaakceptowana</v>
      </c>
      <c r="G2699" s="2" t="str">
        <f>TRIM(Table1[[#This Row],[Typ]])</f>
        <v>Faktura VAT</v>
      </c>
      <c r="H2699" s="2" t="str">
        <f>TRIM(Table1[[#This Row],[Magazyn]])</f>
        <v>Apteka Szpitalna</v>
      </c>
      <c r="I2699" s="2" t="str">
        <f>TRIM(Table1[[#This Row],[Umowa]])</f>
        <v>UM-HUR-03</v>
      </c>
      <c r="J2699" s="2" t="b">
        <f>ISTEXT(Table14[[#This Row],[Data_Wystawienia]])</f>
        <v>0</v>
      </c>
      <c r="K2699" s="2">
        <f>VALUE(SUBSTITUTE(Table14[[#This Row],[Wartość]],".",","))</f>
        <v>19985.669999999998</v>
      </c>
      <c r="L26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699" s="2" t="str">
        <f>IF(Table14[[#This Row],[Umowa]]="","Poza umową","Z umowy")</f>
        <v>Z umowy</v>
      </c>
      <c r="N2699" s="2">
        <f>YEAR(Table14[[#This Row],[Data_Wystawienia]])</f>
        <v>2024</v>
      </c>
      <c r="O2699" s="2" t="str">
        <f>TEXT(Table14[[#This Row],[Data_Wystawienia]],"rrrr-mm")</f>
        <v>2024-09</v>
      </c>
      <c r="P2699" s="2">
        <v>1</v>
      </c>
    </row>
    <row r="2700" spans="1:16" x14ac:dyDescent="0.3">
      <c r="A2700" s="2" t="str">
        <f>TRIM(Table1[[#This Row],[Numer_FV]])</f>
        <v>FV/5713/NOVA/24</v>
      </c>
      <c r="B2700" s="2" t="str">
        <f>TRIM(Table1[[#This Row],[Numer_PZ]])</f>
        <v>PZ/802698</v>
      </c>
      <c r="C2700" s="2" t="str">
        <f>TRIM(Table1[[#This Row],[Dostawca]])</f>
        <v>NovaLek</v>
      </c>
      <c r="D2700" s="3">
        <v>45555</v>
      </c>
      <c r="E2700" s="4" t="s">
        <v>7972</v>
      </c>
      <c r="F2700" s="2" t="str">
        <f>TRIM(Table1[[#This Row],[Status]])</f>
        <v>Zaakceptowana</v>
      </c>
      <c r="G2700" s="2" t="str">
        <f>TRIM(Table1[[#This Row],[Typ]])</f>
        <v>Faktura VAT</v>
      </c>
      <c r="H2700" s="2" t="str">
        <f>TRIM(Table1[[#This Row],[Magazyn]])</f>
        <v>Apteka Szpitalna</v>
      </c>
      <c r="I2700" s="2" t="str">
        <f>TRIM(Table1[[#This Row],[Umowa]])</f>
        <v>UM-NOV-02</v>
      </c>
      <c r="J2700" s="2" t="b">
        <f>ISTEXT(Table14[[#This Row],[Data_Wystawienia]])</f>
        <v>0</v>
      </c>
      <c r="K2700" s="2">
        <f>VALUE(SUBSTITUTE(Table14[[#This Row],[Wartość]],".",","))</f>
        <v>14655.38</v>
      </c>
      <c r="L27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0" s="2" t="str">
        <f>IF(Table14[[#This Row],[Umowa]]="","Poza umową","Z umowy")</f>
        <v>Z umowy</v>
      </c>
      <c r="N2700" s="2">
        <f>YEAR(Table14[[#This Row],[Data_Wystawienia]])</f>
        <v>2024</v>
      </c>
      <c r="O2700" s="2" t="str">
        <f>TEXT(Table14[[#This Row],[Data_Wystawienia]],"rrrr-mm")</f>
        <v>2024-09</v>
      </c>
      <c r="P2700" s="2">
        <v>1</v>
      </c>
    </row>
    <row r="2701" spans="1:16" x14ac:dyDescent="0.3">
      <c r="A2701" s="2" t="str">
        <f>TRIM(Table1[[#This Row],[Numer_FV]])</f>
        <v>FV/CENFA/991976/24</v>
      </c>
      <c r="B2701" s="2" t="str">
        <f>TRIM(Table1[[#This Row],[Numer_PZ]])</f>
        <v>PZ/802699</v>
      </c>
      <c r="C2701" s="2" t="str">
        <f>TRIM(Table1[[#This Row],[Dostawca]])</f>
        <v>CentrumFarm</v>
      </c>
      <c r="D2701" s="3">
        <v>45555</v>
      </c>
      <c r="E2701" s="4" t="s">
        <v>7975</v>
      </c>
      <c r="F2701" s="2" t="str">
        <f>TRIM(Table1[[#This Row],[Status]])</f>
        <v>Zaakceptowana</v>
      </c>
      <c r="G2701" s="2" t="str">
        <f>TRIM(Table1[[#This Row],[Typ]])</f>
        <v>Faktura VAT</v>
      </c>
      <c r="H2701" s="2" t="str">
        <f>TRIM(Table1[[#This Row],[Magazyn]])</f>
        <v>Apteka Szpitalna</v>
      </c>
      <c r="I2701" s="2" t="str">
        <f>TRIM(Table1[[#This Row],[Umowa]])</f>
        <v>UM-CEN-01</v>
      </c>
      <c r="J2701" s="2" t="b">
        <f>ISTEXT(Table14[[#This Row],[Data_Wystawienia]])</f>
        <v>0</v>
      </c>
      <c r="K2701" s="2">
        <f>VALUE(SUBSTITUTE(Table14[[#This Row],[Wartość]],".",","))</f>
        <v>16763.79</v>
      </c>
      <c r="L27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1" s="2" t="str">
        <f>IF(Table14[[#This Row],[Umowa]]="","Poza umową","Z umowy")</f>
        <v>Z umowy</v>
      </c>
      <c r="N2701" s="2">
        <f>YEAR(Table14[[#This Row],[Data_Wystawienia]])</f>
        <v>2024</v>
      </c>
      <c r="O2701" s="2" t="str">
        <f>TEXT(Table14[[#This Row],[Data_Wystawienia]],"rrrr-mm")</f>
        <v>2024-09</v>
      </c>
      <c r="P2701" s="2">
        <v>1</v>
      </c>
    </row>
    <row r="2702" spans="1:16" x14ac:dyDescent="0.3">
      <c r="A2702" s="2" t="str">
        <f>TRIM(Table1[[#This Row],[Numer_FV]])</f>
        <v>FV/45906/VDb/2024</v>
      </c>
      <c r="B2702" s="2" t="str">
        <f>TRIM(Table1[[#This Row],[Numer_PZ]])</f>
        <v>PZ/802700</v>
      </c>
      <c r="C2702" s="2" t="str">
        <f>TRIM(Table1[[#This Row],[Dostawca]])</f>
        <v>VitaDistrib</v>
      </c>
      <c r="D2702" s="3">
        <v>45556</v>
      </c>
      <c r="E2702" s="4" t="s">
        <v>7978</v>
      </c>
      <c r="F2702" s="2" t="str">
        <f>TRIM(Table1[[#This Row],[Status]])</f>
        <v>Zaakceptowana</v>
      </c>
      <c r="G2702" s="2" t="str">
        <f>TRIM(Table1[[#This Row],[Typ]])</f>
        <v>Faktura VAT</v>
      </c>
      <c r="H2702" s="2" t="str">
        <f>TRIM(Table1[[#This Row],[Magazyn]])</f>
        <v>Apteka Szpitalna</v>
      </c>
      <c r="I2702" s="2" t="str">
        <f>TRIM(Table1[[#This Row],[Umowa]])</f>
        <v>UM-VIT-01</v>
      </c>
      <c r="J2702" s="2" t="b">
        <f>ISTEXT(Table14[[#This Row],[Data_Wystawienia]])</f>
        <v>0</v>
      </c>
      <c r="K2702" s="2">
        <f>VALUE(SUBSTITUTE(Table14[[#This Row],[Wartość]],".",","))</f>
        <v>8124.82</v>
      </c>
      <c r="L27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2" s="2" t="str">
        <f>IF(Table14[[#This Row],[Umowa]]="","Poza umową","Z umowy")</f>
        <v>Z umowy</v>
      </c>
      <c r="N2702" s="2">
        <f>YEAR(Table14[[#This Row],[Data_Wystawienia]])</f>
        <v>2024</v>
      </c>
      <c r="O2702" s="2" t="str">
        <f>TEXT(Table14[[#This Row],[Data_Wystawienia]],"rrrr-mm")</f>
        <v>2024-09</v>
      </c>
      <c r="P2702" s="2">
        <v>1</v>
      </c>
    </row>
    <row r="2703" spans="1:16" x14ac:dyDescent="0.3">
      <c r="A2703" s="2" t="str">
        <f>TRIM(Table1[[#This Row],[Numer_FV]])</f>
        <v>FV/POL/63734/2024</v>
      </c>
      <c r="B2703" s="2" t="str">
        <f>TRIM(Table1[[#This Row],[Numer_PZ]])</f>
        <v>PZ/802701</v>
      </c>
      <c r="C2703" s="2" t="str">
        <f>TRIM(Table1[[#This Row],[Dostawca]])</f>
        <v>Polmedica</v>
      </c>
      <c r="D2703" s="3">
        <v>45556</v>
      </c>
      <c r="E2703" s="4" t="s">
        <v>7981</v>
      </c>
      <c r="F2703" s="2" t="str">
        <f>TRIM(Table1[[#This Row],[Status]])</f>
        <v>Zaakceptowana</v>
      </c>
      <c r="G2703" s="2" t="str">
        <f>TRIM(Table1[[#This Row],[Typ]])</f>
        <v>Faktura VAT</v>
      </c>
      <c r="H2703" s="2" t="str">
        <f>TRIM(Table1[[#This Row],[Magazyn]])</f>
        <v>Apteka Szpitalna</v>
      </c>
      <c r="I2703" s="2" t="str">
        <f>TRIM(Table1[[#This Row],[Umowa]])</f>
        <v>UM-POL-01</v>
      </c>
      <c r="J2703" s="2" t="b">
        <f>ISTEXT(Table14[[#This Row],[Data_Wystawienia]])</f>
        <v>0</v>
      </c>
      <c r="K2703" s="2">
        <f>VALUE(SUBSTITUTE(Table14[[#This Row],[Wartość]],".",","))</f>
        <v>19922.43</v>
      </c>
      <c r="L27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3" s="2" t="str">
        <f>IF(Table14[[#This Row],[Umowa]]="","Poza umową","Z umowy")</f>
        <v>Z umowy</v>
      </c>
      <c r="N2703" s="2">
        <f>YEAR(Table14[[#This Row],[Data_Wystawienia]])</f>
        <v>2024</v>
      </c>
      <c r="O2703" s="2" t="str">
        <f>TEXT(Table14[[#This Row],[Data_Wystawienia]],"rrrr-mm")</f>
        <v>2024-09</v>
      </c>
      <c r="P2703" s="2">
        <v>1</v>
      </c>
    </row>
    <row r="2704" spans="1:16" x14ac:dyDescent="0.3">
      <c r="A2704" s="2" t="str">
        <f>TRIM(Table1[[#This Row],[Numer_FV]])</f>
        <v>FV/96/PP/1881/24</v>
      </c>
      <c r="B2704" s="2" t="str">
        <f>TRIM(Table1[[#This Row],[Numer_PZ]])</f>
        <v>PZ/802702</v>
      </c>
      <c r="C2704" s="2" t="str">
        <f>TRIM(Table1[[#This Row],[Dostawca]])</f>
        <v>PharmaPlus</v>
      </c>
      <c r="D2704" s="3">
        <v>45556</v>
      </c>
      <c r="E2704" s="4" t="s">
        <v>7984</v>
      </c>
      <c r="F2704" s="2" t="str">
        <f>TRIM(Table1[[#This Row],[Status]])</f>
        <v>Zaakceptowana</v>
      </c>
      <c r="G2704" s="2" t="str">
        <f>TRIM(Table1[[#This Row],[Typ]])</f>
        <v>Faktura VAT</v>
      </c>
      <c r="H2704" s="2" t="str">
        <f>TRIM(Table1[[#This Row],[Magazyn]])</f>
        <v>Apteka Szpitalna</v>
      </c>
      <c r="I2704" s="2" t="str">
        <f>TRIM(Table1[[#This Row],[Umowa]])</f>
        <v>UM-PHA-01</v>
      </c>
      <c r="J2704" s="2" t="b">
        <f>ISTEXT(Table14[[#This Row],[Data_Wystawienia]])</f>
        <v>0</v>
      </c>
      <c r="K2704" s="2">
        <f>VALUE(SUBSTITUTE(Table14[[#This Row],[Wartość]],".",","))</f>
        <v>21464.51</v>
      </c>
      <c r="L27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4" s="2" t="str">
        <f>IF(Table14[[#This Row],[Umowa]]="","Poza umową","Z umowy")</f>
        <v>Z umowy</v>
      </c>
      <c r="N2704" s="2">
        <f>YEAR(Table14[[#This Row],[Data_Wystawienia]])</f>
        <v>2024</v>
      </c>
      <c r="O2704" s="2" t="str">
        <f>TEXT(Table14[[#This Row],[Data_Wystawienia]],"rrrr-mm")</f>
        <v>2024-09</v>
      </c>
      <c r="P2704" s="2">
        <v>1</v>
      </c>
    </row>
    <row r="2705" spans="1:16" x14ac:dyDescent="0.3">
      <c r="A2705" s="2" t="str">
        <f>TRIM(Table1[[#This Row],[Numer_FV]])</f>
        <v>FV/79/PP/2394/24</v>
      </c>
      <c r="B2705" s="2" t="str">
        <f>TRIM(Table1[[#This Row],[Numer_PZ]])</f>
        <v>PZ/802703</v>
      </c>
      <c r="C2705" s="2" t="str">
        <f>TRIM(Table1[[#This Row],[Dostawca]])</f>
        <v>PharmaPlus</v>
      </c>
      <c r="D2705" s="3">
        <v>45556</v>
      </c>
      <c r="E2705" s="4" t="s">
        <v>7987</v>
      </c>
      <c r="F2705" s="2" t="str">
        <f>TRIM(Table1[[#This Row],[Status]])</f>
        <v>Zaakceptowana</v>
      </c>
      <c r="G2705" s="2" t="str">
        <f>TRIM(Table1[[#This Row],[Typ]])</f>
        <v>Faktura VAT</v>
      </c>
      <c r="H2705" s="2" t="str">
        <f>TRIM(Table1[[#This Row],[Magazyn]])</f>
        <v>Apteka Szpitalna</v>
      </c>
      <c r="I2705" s="2" t="str">
        <f>TRIM(Table1[[#This Row],[Umowa]])</f>
        <v>UM-PHA-02</v>
      </c>
      <c r="J2705" s="2" t="b">
        <f>ISTEXT(Table14[[#This Row],[Data_Wystawienia]])</f>
        <v>0</v>
      </c>
      <c r="K2705" s="2">
        <f>VALUE(SUBSTITUTE(Table14[[#This Row],[Wartość]],".",","))</f>
        <v>23963.759999999998</v>
      </c>
      <c r="L27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5" s="2" t="str">
        <f>IF(Table14[[#This Row],[Umowa]]="","Poza umową","Z umowy")</f>
        <v>Z umowy</v>
      </c>
      <c r="N2705" s="2">
        <f>YEAR(Table14[[#This Row],[Data_Wystawienia]])</f>
        <v>2024</v>
      </c>
      <c r="O2705" s="2" t="str">
        <f>TEXT(Table14[[#This Row],[Data_Wystawienia]],"rrrr-mm")</f>
        <v>2024-09</v>
      </c>
      <c r="P2705" s="2">
        <v>1</v>
      </c>
    </row>
    <row r="2706" spans="1:16" x14ac:dyDescent="0.3">
      <c r="A2706" s="2" t="str">
        <f>TRIM(Table1[[#This Row],[Numer_FV]])</f>
        <v>FV/M/4804/P/24</v>
      </c>
      <c r="B2706" s="2" t="str">
        <f>TRIM(Table1[[#This Row],[Numer_PZ]])</f>
        <v>PZ/802704</v>
      </c>
      <c r="C2706" s="2" t="str">
        <f>TRIM(Table1[[#This Row],[Dostawca]])</f>
        <v>MedicaPharm</v>
      </c>
      <c r="D2706" s="3">
        <v>45556</v>
      </c>
      <c r="E2706" s="4" t="s">
        <v>7990</v>
      </c>
      <c r="F2706" s="2" t="str">
        <f>TRIM(Table1[[#This Row],[Status]])</f>
        <v>Zaakceptowana</v>
      </c>
      <c r="G2706" s="2" t="str">
        <f>TRIM(Table1[[#This Row],[Typ]])</f>
        <v>Faktura VAT</v>
      </c>
      <c r="H2706" s="2" t="str">
        <f>TRIM(Table1[[#This Row],[Magazyn]])</f>
        <v>Apteka Szpitalna</v>
      </c>
      <c r="I2706" s="2" t="str">
        <f>TRIM(Table1[[#This Row],[Umowa]])</f>
        <v>UM-MED-02</v>
      </c>
      <c r="J2706" s="2" t="b">
        <f>ISTEXT(Table14[[#This Row],[Data_Wystawienia]])</f>
        <v>0</v>
      </c>
      <c r="K2706" s="2">
        <f>VALUE(SUBSTITUTE(Table14[[#This Row],[Wartość]],".",","))</f>
        <v>18388.150000000001</v>
      </c>
      <c r="L27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6" s="2" t="str">
        <f>IF(Table14[[#This Row],[Umowa]]="","Poza umową","Z umowy")</f>
        <v>Z umowy</v>
      </c>
      <c r="N2706" s="2">
        <f>YEAR(Table14[[#This Row],[Data_Wystawienia]])</f>
        <v>2024</v>
      </c>
      <c r="O2706" s="2" t="str">
        <f>TEXT(Table14[[#This Row],[Data_Wystawienia]],"rrrr-mm")</f>
        <v>2024-09</v>
      </c>
      <c r="P2706" s="2">
        <v>1</v>
      </c>
    </row>
    <row r="2707" spans="1:16" x14ac:dyDescent="0.3">
      <c r="A2707" s="2" t="str">
        <f>TRIM(Table1[[#This Row],[Numer_FV]])</f>
        <v>FV/20201/VDb/2024</v>
      </c>
      <c r="B2707" s="2" t="str">
        <f>TRIM(Table1[[#This Row],[Numer_PZ]])</f>
        <v>PZ/802705</v>
      </c>
      <c r="C2707" s="2" t="str">
        <f>TRIM(Table1[[#This Row],[Dostawca]])</f>
        <v>VitaDistrib</v>
      </c>
      <c r="D2707" s="3">
        <v>45557</v>
      </c>
      <c r="E2707" s="4" t="s">
        <v>7993</v>
      </c>
      <c r="F2707" s="2" t="str">
        <f>TRIM(Table1[[#This Row],[Status]])</f>
        <v>Zaakceptowana</v>
      </c>
      <c r="G2707" s="2" t="str">
        <f>TRIM(Table1[[#This Row],[Typ]])</f>
        <v>Faktura VAT</v>
      </c>
      <c r="H2707" s="2" t="str">
        <f>TRIM(Table1[[#This Row],[Magazyn]])</f>
        <v>Apteka Szpitalna</v>
      </c>
      <c r="I2707" s="2" t="str">
        <f>TRIM(Table1[[#This Row],[Umowa]])</f>
        <v/>
      </c>
      <c r="J2707" s="2" t="b">
        <f>ISTEXT(Table14[[#This Row],[Data_Wystawienia]])</f>
        <v>0</v>
      </c>
      <c r="K2707" s="2">
        <f>VALUE(SUBSTITUTE(Table14[[#This Row],[Wartość]],".",","))</f>
        <v>18230.13</v>
      </c>
      <c r="L27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7" s="2" t="str">
        <f>IF(Table14[[#This Row],[Umowa]]="","Poza umową","Z umowy")</f>
        <v>Poza umową</v>
      </c>
      <c r="N2707" s="2">
        <f>YEAR(Table14[[#This Row],[Data_Wystawienia]])</f>
        <v>2024</v>
      </c>
      <c r="O2707" s="2" t="str">
        <f>TEXT(Table14[[#This Row],[Data_Wystawienia]],"rrrr-mm")</f>
        <v>2024-09</v>
      </c>
      <c r="P2707" s="2">
        <v>1</v>
      </c>
    </row>
    <row r="2708" spans="1:16" x14ac:dyDescent="0.3">
      <c r="A2708" s="2" t="str">
        <f>TRIM(Table1[[#This Row],[Numer_FV]])</f>
        <v>FV/78/SAL/24</v>
      </c>
      <c r="B2708" s="2" t="str">
        <f>TRIM(Table1[[#This Row],[Numer_PZ]])</f>
        <v>PZ/802706</v>
      </c>
      <c r="C2708" s="2" t="str">
        <f>TRIM(Table1[[#This Row],[Dostawca]])</f>
        <v>SalusHurt</v>
      </c>
      <c r="D2708" s="3">
        <v>45557</v>
      </c>
      <c r="E2708" s="4" t="s">
        <v>7996</v>
      </c>
      <c r="F2708" s="2" t="str">
        <f>TRIM(Table1[[#This Row],[Status]])</f>
        <v>Zaakceptowana</v>
      </c>
      <c r="G2708" s="2" t="str">
        <f>TRIM(Table1[[#This Row],[Typ]])</f>
        <v>Faktura VAT</v>
      </c>
      <c r="H2708" s="2" t="str">
        <f>TRIM(Table1[[#This Row],[Magazyn]])</f>
        <v>Apteka Szpitalna</v>
      </c>
      <c r="I2708" s="2" t="str">
        <f>TRIM(Table1[[#This Row],[Umowa]])</f>
        <v/>
      </c>
      <c r="J2708" s="2" t="b">
        <f>ISTEXT(Table14[[#This Row],[Data_Wystawienia]])</f>
        <v>0</v>
      </c>
      <c r="K2708" s="2">
        <f>VALUE(SUBSTITUTE(Table14[[#This Row],[Wartość]],".",","))</f>
        <v>9015.5</v>
      </c>
      <c r="L27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8" s="2" t="str">
        <f>IF(Table14[[#This Row],[Umowa]]="","Poza umową","Z umowy")</f>
        <v>Poza umową</v>
      </c>
      <c r="N2708" s="2">
        <f>YEAR(Table14[[#This Row],[Data_Wystawienia]])</f>
        <v>2024</v>
      </c>
      <c r="O2708" s="2" t="str">
        <f>TEXT(Table14[[#This Row],[Data_Wystawienia]],"rrrr-mm")</f>
        <v>2024-09</v>
      </c>
      <c r="P2708" s="2">
        <v>1</v>
      </c>
    </row>
    <row r="2709" spans="1:16" x14ac:dyDescent="0.3">
      <c r="A2709" s="2" t="str">
        <f>TRIM(Table1[[#This Row],[Numer_FV]])</f>
        <v>FV/8811HM/24</v>
      </c>
      <c r="B2709" s="2" t="str">
        <f>TRIM(Table1[[#This Row],[Numer_PZ]])</f>
        <v>PZ/802707</v>
      </c>
      <c r="C2709" s="2" t="str">
        <f>TRIM(Table1[[#This Row],[Dostawca]])</f>
        <v>HurtMedix</v>
      </c>
      <c r="D2709" s="3">
        <v>45557</v>
      </c>
      <c r="E2709" s="4" t="s">
        <v>7999</v>
      </c>
      <c r="F2709" s="2" t="str">
        <f>TRIM(Table1[[#This Row],[Status]])</f>
        <v>Zaakceptowana</v>
      </c>
      <c r="G2709" s="2" t="str">
        <f>TRIM(Table1[[#This Row],[Typ]])</f>
        <v>Faktura VAT</v>
      </c>
      <c r="H2709" s="2" t="str">
        <f>TRIM(Table1[[#This Row],[Magazyn]])</f>
        <v>Apteka Szpitalna</v>
      </c>
      <c r="I2709" s="2" t="str">
        <f>TRIM(Table1[[#This Row],[Umowa]])</f>
        <v/>
      </c>
      <c r="J2709" s="2" t="b">
        <f>ISTEXT(Table14[[#This Row],[Data_Wystawienia]])</f>
        <v>0</v>
      </c>
      <c r="K2709" s="2">
        <f>VALUE(SUBSTITUTE(Table14[[#This Row],[Wartość]],".",","))</f>
        <v>23810.639999999999</v>
      </c>
      <c r="L27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09" s="2" t="str">
        <f>IF(Table14[[#This Row],[Umowa]]="","Poza umową","Z umowy")</f>
        <v>Poza umową</v>
      </c>
      <c r="N2709" s="2">
        <f>YEAR(Table14[[#This Row],[Data_Wystawienia]])</f>
        <v>2024</v>
      </c>
      <c r="O2709" s="2" t="str">
        <f>TEXT(Table14[[#This Row],[Data_Wystawienia]],"rrrr-mm")</f>
        <v>2024-09</v>
      </c>
      <c r="P2709" s="2">
        <v>1</v>
      </c>
    </row>
    <row r="2710" spans="1:16" x14ac:dyDescent="0.3">
      <c r="A2710" s="2" t="str">
        <f>TRIM(Table1[[#This Row],[Numer_FV]])</f>
        <v>FV/POL/65472/2024</v>
      </c>
      <c r="B2710" s="2" t="str">
        <f>TRIM(Table1[[#This Row],[Numer_PZ]])</f>
        <v>PZ/802708</v>
      </c>
      <c r="C2710" s="2" t="str">
        <f>TRIM(Table1[[#This Row],[Dostawca]])</f>
        <v>Polmedica</v>
      </c>
      <c r="D2710" s="3">
        <v>45558</v>
      </c>
      <c r="E2710" s="4" t="s">
        <v>8002</v>
      </c>
      <c r="F2710" s="2" t="str">
        <f>TRIM(Table1[[#This Row],[Status]])</f>
        <v>Zaakceptowana</v>
      </c>
      <c r="G2710" s="2" t="str">
        <f>TRIM(Table1[[#This Row],[Typ]])</f>
        <v>Faktura VAT</v>
      </c>
      <c r="H2710" s="2" t="str">
        <f>TRIM(Table1[[#This Row],[Magazyn]])</f>
        <v>Apteka Szpitalna</v>
      </c>
      <c r="I2710" s="2" t="str">
        <f>TRIM(Table1[[#This Row],[Umowa]])</f>
        <v>UM-POL-02</v>
      </c>
      <c r="J2710" s="2" t="b">
        <f>ISTEXT(Table14[[#This Row],[Data_Wystawienia]])</f>
        <v>0</v>
      </c>
      <c r="K2710" s="2">
        <f>VALUE(SUBSTITUTE(Table14[[#This Row],[Wartość]],".",","))</f>
        <v>17032.78</v>
      </c>
      <c r="L27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0" s="2" t="str">
        <f>IF(Table14[[#This Row],[Umowa]]="","Poza umową","Z umowy")</f>
        <v>Z umowy</v>
      </c>
      <c r="N2710" s="2">
        <f>YEAR(Table14[[#This Row],[Data_Wystawienia]])</f>
        <v>2024</v>
      </c>
      <c r="O2710" s="2" t="str">
        <f>TEXT(Table14[[#This Row],[Data_Wystawienia]],"rrrr-mm")</f>
        <v>2024-09</v>
      </c>
      <c r="P2710" s="2">
        <v>1</v>
      </c>
    </row>
    <row r="2711" spans="1:16" x14ac:dyDescent="0.3">
      <c r="A2711" s="2" t="str">
        <f>TRIM(Table1[[#This Row],[Numer_FV]])</f>
        <v>FV/95/PP/7920/24</v>
      </c>
      <c r="B2711" s="2" t="str">
        <f>TRIM(Table1[[#This Row],[Numer_PZ]])</f>
        <v>PZ/802709</v>
      </c>
      <c r="C2711" s="2" t="str">
        <f>TRIM(Table1[[#This Row],[Dostawca]])</f>
        <v>PharmaPlus</v>
      </c>
      <c r="D2711" s="3">
        <v>45558</v>
      </c>
      <c r="E2711" s="4" t="s">
        <v>8005</v>
      </c>
      <c r="F2711" s="2" t="str">
        <f>TRIM(Table1[[#This Row],[Status]])</f>
        <v>Zaakceptowana</v>
      </c>
      <c r="G2711" s="2" t="str">
        <f>TRIM(Table1[[#This Row],[Typ]])</f>
        <v>Faktura VAT</v>
      </c>
      <c r="H2711" s="2" t="str">
        <f>TRIM(Table1[[#This Row],[Magazyn]])</f>
        <v>Apteka Szpitalna</v>
      </c>
      <c r="I2711" s="2" t="str">
        <f>TRIM(Table1[[#This Row],[Umowa]])</f>
        <v>UM-PHA-01</v>
      </c>
      <c r="J2711" s="2" t="b">
        <f>ISTEXT(Table14[[#This Row],[Data_Wystawienia]])</f>
        <v>0</v>
      </c>
      <c r="K2711" s="2">
        <f>VALUE(SUBSTITUTE(Table14[[#This Row],[Wartość]],".",","))</f>
        <v>24217.07</v>
      </c>
      <c r="L27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1" s="2" t="str">
        <f>IF(Table14[[#This Row],[Umowa]]="","Poza umową","Z umowy")</f>
        <v>Z umowy</v>
      </c>
      <c r="N2711" s="2">
        <f>YEAR(Table14[[#This Row],[Data_Wystawienia]])</f>
        <v>2024</v>
      </c>
      <c r="O2711" s="2" t="str">
        <f>TEXT(Table14[[#This Row],[Data_Wystawienia]],"rrrr-mm")</f>
        <v>2024-09</v>
      </c>
      <c r="P2711" s="2">
        <v>1</v>
      </c>
    </row>
    <row r="2712" spans="1:16" x14ac:dyDescent="0.3">
      <c r="A2712" s="2" t="str">
        <f>TRIM(Table1[[#This Row],[Numer_FV]])</f>
        <v>FV/5989HM/24</v>
      </c>
      <c r="B2712" s="2" t="str">
        <f>TRIM(Table1[[#This Row],[Numer_PZ]])</f>
        <v>PZ/802710</v>
      </c>
      <c r="C2712" s="2" t="str">
        <f>TRIM(Table1[[#This Row],[Dostawca]])</f>
        <v>HurtMedix</v>
      </c>
      <c r="D2712" s="3">
        <v>45558</v>
      </c>
      <c r="E2712" s="4" t="s">
        <v>8008</v>
      </c>
      <c r="F2712" s="2" t="str">
        <f>TRIM(Table1[[#This Row],[Status]])</f>
        <v>Zaakceptowana</v>
      </c>
      <c r="G2712" s="2" t="str">
        <f>TRIM(Table1[[#This Row],[Typ]])</f>
        <v>Faktura VAT</v>
      </c>
      <c r="H2712" s="2" t="str">
        <f>TRIM(Table1[[#This Row],[Magazyn]])</f>
        <v>Apteka Szpitalna</v>
      </c>
      <c r="I2712" s="2" t="str">
        <f>TRIM(Table1[[#This Row],[Umowa]])</f>
        <v>UM-HUR-02</v>
      </c>
      <c r="J2712" s="2" t="b">
        <f>ISTEXT(Table14[[#This Row],[Data_Wystawienia]])</f>
        <v>0</v>
      </c>
      <c r="K2712" s="2">
        <f>VALUE(SUBSTITUTE(Table14[[#This Row],[Wartość]],".",","))</f>
        <v>16276.15</v>
      </c>
      <c r="L27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2" s="2" t="str">
        <f>IF(Table14[[#This Row],[Umowa]]="","Poza umową","Z umowy")</f>
        <v>Z umowy</v>
      </c>
      <c r="N2712" s="2">
        <f>YEAR(Table14[[#This Row],[Data_Wystawienia]])</f>
        <v>2024</v>
      </c>
      <c r="O2712" s="2" t="str">
        <f>TEXT(Table14[[#This Row],[Data_Wystawienia]],"rrrr-mm")</f>
        <v>2024-09</v>
      </c>
      <c r="P2712" s="2">
        <v>1</v>
      </c>
    </row>
    <row r="2713" spans="1:16" x14ac:dyDescent="0.3">
      <c r="A2713" s="2" t="str">
        <f>TRIM(Table1[[#This Row],[Numer_FV]])</f>
        <v>FV/87/PP/7989/24</v>
      </c>
      <c r="B2713" s="2" t="str">
        <f>TRIM(Table1[[#This Row],[Numer_PZ]])</f>
        <v>PZ/802711</v>
      </c>
      <c r="C2713" s="2" t="str">
        <f>TRIM(Table1[[#This Row],[Dostawca]])</f>
        <v>PharmaPlus</v>
      </c>
      <c r="D2713" s="3">
        <v>45558</v>
      </c>
      <c r="E2713" s="4" t="s">
        <v>8011</v>
      </c>
      <c r="F2713" s="2" t="str">
        <f>TRIM(Table1[[#This Row],[Status]])</f>
        <v>Zaakceptowana</v>
      </c>
      <c r="G2713" s="2" t="str">
        <f>TRIM(Table1[[#This Row],[Typ]])</f>
        <v>Faktura VAT</v>
      </c>
      <c r="H2713" s="2" t="str">
        <f>TRIM(Table1[[#This Row],[Magazyn]])</f>
        <v>Apteka Szpitalna</v>
      </c>
      <c r="I2713" s="2" t="str">
        <f>TRIM(Table1[[#This Row],[Umowa]])</f>
        <v>UM-PHA-02</v>
      </c>
      <c r="J2713" s="2" t="b">
        <f>ISTEXT(Table14[[#This Row],[Data_Wystawienia]])</f>
        <v>0</v>
      </c>
      <c r="K2713" s="2">
        <f>VALUE(SUBSTITUTE(Table14[[#This Row],[Wartość]],".",","))</f>
        <v>11784.97</v>
      </c>
      <c r="L27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3" s="2" t="str">
        <f>IF(Table14[[#This Row],[Umowa]]="","Poza umową","Z umowy")</f>
        <v>Z umowy</v>
      </c>
      <c r="N2713" s="2">
        <f>YEAR(Table14[[#This Row],[Data_Wystawienia]])</f>
        <v>2024</v>
      </c>
      <c r="O2713" s="2" t="str">
        <f>TEXT(Table14[[#This Row],[Data_Wystawienia]],"rrrr-mm")</f>
        <v>2024-09</v>
      </c>
      <c r="P2713" s="2">
        <v>1</v>
      </c>
    </row>
    <row r="2714" spans="1:16" x14ac:dyDescent="0.3">
      <c r="A2714" s="2" t="str">
        <f>TRIM(Table1[[#This Row],[Numer_FV]])</f>
        <v>FV/21/PP/7598/24</v>
      </c>
      <c r="B2714" s="2" t="str">
        <f>TRIM(Table1[[#This Row],[Numer_PZ]])</f>
        <v>PZ/802712</v>
      </c>
      <c r="C2714" s="2" t="str">
        <f>TRIM(Table1[[#This Row],[Dostawca]])</f>
        <v>PharmaPlus</v>
      </c>
      <c r="D2714" s="3">
        <v>45558</v>
      </c>
      <c r="E2714" s="4" t="s">
        <v>8014</v>
      </c>
      <c r="F2714" s="2" t="str">
        <f>TRIM(Table1[[#This Row],[Status]])</f>
        <v>Zaakceptowana</v>
      </c>
      <c r="G2714" s="2" t="str">
        <f>TRIM(Table1[[#This Row],[Typ]])</f>
        <v>Faktura VAT</v>
      </c>
      <c r="H2714" s="2" t="str">
        <f>TRIM(Table1[[#This Row],[Magazyn]])</f>
        <v>Apteka Szpitalna</v>
      </c>
      <c r="I2714" s="2" t="str">
        <f>TRIM(Table1[[#This Row],[Umowa]])</f>
        <v>UM-PHA-01</v>
      </c>
      <c r="J2714" s="2" t="b">
        <f>ISTEXT(Table14[[#This Row],[Data_Wystawienia]])</f>
        <v>0</v>
      </c>
      <c r="K2714" s="2">
        <f>VALUE(SUBSTITUTE(Table14[[#This Row],[Wartość]],".",","))</f>
        <v>16454.29</v>
      </c>
      <c r="L27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4" s="2" t="str">
        <f>IF(Table14[[#This Row],[Umowa]]="","Poza umową","Z umowy")</f>
        <v>Z umowy</v>
      </c>
      <c r="N2714" s="2">
        <f>YEAR(Table14[[#This Row],[Data_Wystawienia]])</f>
        <v>2024</v>
      </c>
      <c r="O2714" s="2" t="str">
        <f>TEXT(Table14[[#This Row],[Data_Wystawienia]],"rrrr-mm")</f>
        <v>2024-09</v>
      </c>
      <c r="P2714" s="2">
        <v>1</v>
      </c>
    </row>
    <row r="2715" spans="1:16" x14ac:dyDescent="0.3">
      <c r="A2715" s="2" t="str">
        <f>TRIM(Table1[[#This Row],[Numer_FV]])</f>
        <v>FV/CENFA/351163/24</v>
      </c>
      <c r="B2715" s="2" t="str">
        <f>TRIM(Table1[[#This Row],[Numer_PZ]])</f>
        <v>PZ/802713</v>
      </c>
      <c r="C2715" s="2" t="str">
        <f>TRIM(Table1[[#This Row],[Dostawca]])</f>
        <v>CentrumFarm</v>
      </c>
      <c r="D2715" s="3">
        <v>45558</v>
      </c>
      <c r="E2715" s="4" t="s">
        <v>8017</v>
      </c>
      <c r="F2715" s="2" t="str">
        <f>TRIM(Table1[[#This Row],[Status]])</f>
        <v>Zaakceptowana</v>
      </c>
      <c r="G2715" s="2" t="str">
        <f>TRIM(Table1[[#This Row],[Typ]])</f>
        <v>Faktura VAT</v>
      </c>
      <c r="H2715" s="2" t="str">
        <f>TRIM(Table1[[#This Row],[Magazyn]])</f>
        <v>Apteka Szpitalna</v>
      </c>
      <c r="I2715" s="2" t="str">
        <f>TRIM(Table1[[#This Row],[Umowa]])</f>
        <v>UM-CEN-01</v>
      </c>
      <c r="J2715" s="2" t="b">
        <f>ISTEXT(Table14[[#This Row],[Data_Wystawienia]])</f>
        <v>0</v>
      </c>
      <c r="K2715" s="2">
        <f>VALUE(SUBSTITUTE(Table14[[#This Row],[Wartość]],".",","))</f>
        <v>11392.16</v>
      </c>
      <c r="L27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5" s="2" t="str">
        <f>IF(Table14[[#This Row],[Umowa]]="","Poza umową","Z umowy")</f>
        <v>Z umowy</v>
      </c>
      <c r="N2715" s="2">
        <f>YEAR(Table14[[#This Row],[Data_Wystawienia]])</f>
        <v>2024</v>
      </c>
      <c r="O2715" s="2" t="str">
        <f>TEXT(Table14[[#This Row],[Data_Wystawienia]],"rrrr-mm")</f>
        <v>2024-09</v>
      </c>
      <c r="P2715" s="2">
        <v>1</v>
      </c>
    </row>
    <row r="2716" spans="1:16" x14ac:dyDescent="0.3">
      <c r="A2716" s="2" t="str">
        <f>TRIM(Table1[[#This Row],[Numer_FV]])</f>
        <v>FV/M/5895/P/24</v>
      </c>
      <c r="B2716" s="2" t="str">
        <f>TRIM(Table1[[#This Row],[Numer_PZ]])</f>
        <v>PZ/802714</v>
      </c>
      <c r="C2716" s="2" t="str">
        <f>TRIM(Table1[[#This Row],[Dostawca]])</f>
        <v>MedicaPharm</v>
      </c>
      <c r="D2716" s="3">
        <v>45559</v>
      </c>
      <c r="E2716" s="4" t="s">
        <v>8020</v>
      </c>
      <c r="F2716" s="2" t="str">
        <f>TRIM(Table1[[#This Row],[Status]])</f>
        <v>Zaakceptowana</v>
      </c>
      <c r="G2716" s="2" t="str">
        <f>TRIM(Table1[[#This Row],[Typ]])</f>
        <v>Faktura VAT</v>
      </c>
      <c r="H2716" s="2" t="str">
        <f>TRIM(Table1[[#This Row],[Magazyn]])</f>
        <v>Apteka Szpitalna</v>
      </c>
      <c r="I2716" s="2" t="str">
        <f>TRIM(Table1[[#This Row],[Umowa]])</f>
        <v>UM-MED-02</v>
      </c>
      <c r="J2716" s="2" t="b">
        <f>ISTEXT(Table14[[#This Row],[Data_Wystawienia]])</f>
        <v>0</v>
      </c>
      <c r="K2716" s="2">
        <f>VALUE(SUBSTITUTE(Table14[[#This Row],[Wartość]],".",","))</f>
        <v>3711.75</v>
      </c>
      <c r="L27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6" s="2" t="str">
        <f>IF(Table14[[#This Row],[Umowa]]="","Poza umową","Z umowy")</f>
        <v>Z umowy</v>
      </c>
      <c r="N2716" s="2">
        <f>YEAR(Table14[[#This Row],[Data_Wystawienia]])</f>
        <v>2024</v>
      </c>
      <c r="O2716" s="2" t="str">
        <f>TEXT(Table14[[#This Row],[Data_Wystawienia]],"rrrr-mm")</f>
        <v>2024-09</v>
      </c>
      <c r="P2716" s="2">
        <v>1</v>
      </c>
    </row>
    <row r="2717" spans="1:16" x14ac:dyDescent="0.3">
      <c r="A2717" s="2" t="str">
        <f>TRIM(Table1[[#This Row],[Numer_FV]])</f>
        <v>FV/M/3695/P/24</v>
      </c>
      <c r="B2717" s="2" t="str">
        <f>TRIM(Table1[[#This Row],[Numer_PZ]])</f>
        <v>PZ/802715</v>
      </c>
      <c r="C2717" s="2" t="str">
        <f>TRIM(Table1[[#This Row],[Dostawca]])</f>
        <v>MedicaPharm</v>
      </c>
      <c r="D2717" s="3">
        <v>45559</v>
      </c>
      <c r="E2717" s="4" t="s">
        <v>8023</v>
      </c>
      <c r="F2717" s="2" t="str">
        <f>TRIM(Table1[[#This Row],[Status]])</f>
        <v>Zaakceptowana</v>
      </c>
      <c r="G2717" s="2" t="str">
        <f>TRIM(Table1[[#This Row],[Typ]])</f>
        <v>Faktura VAT</v>
      </c>
      <c r="H2717" s="2" t="str">
        <f>TRIM(Table1[[#This Row],[Magazyn]])</f>
        <v>Apteka Szpitalna</v>
      </c>
      <c r="I2717" s="2" t="str">
        <f>TRIM(Table1[[#This Row],[Umowa]])</f>
        <v>UM-MED-01</v>
      </c>
      <c r="J2717" s="2" t="b">
        <f>ISTEXT(Table14[[#This Row],[Data_Wystawienia]])</f>
        <v>0</v>
      </c>
      <c r="K2717" s="2">
        <f>VALUE(SUBSTITUTE(Table14[[#This Row],[Wartość]],".",","))</f>
        <v>19681.990000000002</v>
      </c>
      <c r="L27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7" s="2" t="str">
        <f>IF(Table14[[#This Row],[Umowa]]="","Poza umową","Z umowy")</f>
        <v>Z umowy</v>
      </c>
      <c r="N2717" s="2">
        <f>YEAR(Table14[[#This Row],[Data_Wystawienia]])</f>
        <v>2024</v>
      </c>
      <c r="O2717" s="2" t="str">
        <f>TEXT(Table14[[#This Row],[Data_Wystawienia]],"rrrr-mm")</f>
        <v>2024-09</v>
      </c>
      <c r="P2717" s="2">
        <v>1</v>
      </c>
    </row>
    <row r="2718" spans="1:16" x14ac:dyDescent="0.3">
      <c r="A2718" s="2" t="str">
        <f>TRIM(Table1[[#This Row],[Numer_FV]])</f>
        <v>FV/2548HM/24</v>
      </c>
      <c r="B2718" s="2" t="str">
        <f>TRIM(Table1[[#This Row],[Numer_PZ]])</f>
        <v>PZ/802716</v>
      </c>
      <c r="C2718" s="2" t="str">
        <f>TRIM(Table1[[#This Row],[Dostawca]])</f>
        <v>HurtMedix</v>
      </c>
      <c r="D2718" s="3">
        <v>45559</v>
      </c>
      <c r="E2718" s="4" t="s">
        <v>8026</v>
      </c>
      <c r="F2718" s="2" t="str">
        <f>TRIM(Table1[[#This Row],[Status]])</f>
        <v>Zaakceptowana</v>
      </c>
      <c r="G2718" s="2" t="str">
        <f>TRIM(Table1[[#This Row],[Typ]])</f>
        <v>Faktura VAT</v>
      </c>
      <c r="H2718" s="2" t="str">
        <f>TRIM(Table1[[#This Row],[Magazyn]])</f>
        <v>Apteka Szpitalna</v>
      </c>
      <c r="I2718" s="2" t="str">
        <f>TRIM(Table1[[#This Row],[Umowa]])</f>
        <v/>
      </c>
      <c r="J2718" s="2" t="b">
        <f>ISTEXT(Table14[[#This Row],[Data_Wystawienia]])</f>
        <v>0</v>
      </c>
      <c r="K2718" s="2">
        <f>VALUE(SUBSTITUTE(Table14[[#This Row],[Wartość]],".",","))</f>
        <v>12730.93</v>
      </c>
      <c r="L27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8" s="2" t="str">
        <f>IF(Table14[[#This Row],[Umowa]]="","Poza umową","Z umowy")</f>
        <v>Poza umową</v>
      </c>
      <c r="N2718" s="2">
        <f>YEAR(Table14[[#This Row],[Data_Wystawienia]])</f>
        <v>2024</v>
      </c>
      <c r="O2718" s="2" t="str">
        <f>TEXT(Table14[[#This Row],[Data_Wystawienia]],"rrrr-mm")</f>
        <v>2024-09</v>
      </c>
      <c r="P2718" s="2">
        <v>1</v>
      </c>
    </row>
    <row r="2719" spans="1:16" x14ac:dyDescent="0.3">
      <c r="A2719" s="2" t="str">
        <f>TRIM(Table1[[#This Row],[Numer_FV]])</f>
        <v>FV/CENFA/662938/24</v>
      </c>
      <c r="B2719" s="2" t="str">
        <f>TRIM(Table1[[#This Row],[Numer_PZ]])</f>
        <v>PZ/802717</v>
      </c>
      <c r="C2719" s="2" t="str">
        <f>TRIM(Table1[[#This Row],[Dostawca]])</f>
        <v>CentrumFarm</v>
      </c>
      <c r="D2719" s="3">
        <v>45559</v>
      </c>
      <c r="E2719" s="4" t="s">
        <v>8029</v>
      </c>
      <c r="F2719" s="2" t="str">
        <f>TRIM(Table1[[#This Row],[Status]])</f>
        <v>Zaakceptowana</v>
      </c>
      <c r="G2719" s="2" t="str">
        <f>TRIM(Table1[[#This Row],[Typ]])</f>
        <v>Faktura VAT</v>
      </c>
      <c r="H2719" s="2" t="str">
        <f>TRIM(Table1[[#This Row],[Magazyn]])</f>
        <v>Apteka Szpitalna</v>
      </c>
      <c r="I2719" s="2" t="str">
        <f>TRIM(Table1[[#This Row],[Umowa]])</f>
        <v/>
      </c>
      <c r="J2719" s="2" t="b">
        <f>ISTEXT(Table14[[#This Row],[Data_Wystawienia]])</f>
        <v>0</v>
      </c>
      <c r="K2719" s="2">
        <f>VALUE(SUBSTITUTE(Table14[[#This Row],[Wartość]],".",","))</f>
        <v>14082</v>
      </c>
      <c r="L27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19" s="2" t="str">
        <f>IF(Table14[[#This Row],[Umowa]]="","Poza umową","Z umowy")</f>
        <v>Poza umową</v>
      </c>
      <c r="N2719" s="2">
        <f>YEAR(Table14[[#This Row],[Data_Wystawienia]])</f>
        <v>2024</v>
      </c>
      <c r="O2719" s="2" t="str">
        <f>TEXT(Table14[[#This Row],[Data_Wystawienia]],"rrrr-mm")</f>
        <v>2024-09</v>
      </c>
      <c r="P2719" s="2">
        <v>1</v>
      </c>
    </row>
    <row r="2720" spans="1:16" x14ac:dyDescent="0.3">
      <c r="A2720" s="2" t="str">
        <f>TRIM(Table1[[#This Row],[Numer_FV]])</f>
        <v>FV/POL/48626/2024</v>
      </c>
      <c r="B2720" s="2" t="str">
        <f>TRIM(Table1[[#This Row],[Numer_PZ]])</f>
        <v>PZ/802718</v>
      </c>
      <c r="C2720" s="2" t="str">
        <f>TRIM(Table1[[#This Row],[Dostawca]])</f>
        <v>Polmedica</v>
      </c>
      <c r="D2720" s="3">
        <v>45559</v>
      </c>
      <c r="E2720" s="4" t="s">
        <v>8032</v>
      </c>
      <c r="F2720" s="2" t="str">
        <f>TRIM(Table1[[#This Row],[Status]])</f>
        <v>Zaakceptowana</v>
      </c>
      <c r="G2720" s="2" t="str">
        <f>TRIM(Table1[[#This Row],[Typ]])</f>
        <v>Faktura VAT</v>
      </c>
      <c r="H2720" s="2" t="str">
        <f>TRIM(Table1[[#This Row],[Magazyn]])</f>
        <v>Apteka Szpitalna</v>
      </c>
      <c r="I2720" s="2" t="str">
        <f>TRIM(Table1[[#This Row],[Umowa]])</f>
        <v/>
      </c>
      <c r="J2720" s="2" t="b">
        <f>ISTEXT(Table14[[#This Row],[Data_Wystawienia]])</f>
        <v>0</v>
      </c>
      <c r="K2720" s="2">
        <f>VALUE(SUBSTITUTE(Table14[[#This Row],[Wartość]],".",","))</f>
        <v>10518.69</v>
      </c>
      <c r="L27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0" s="2" t="str">
        <f>IF(Table14[[#This Row],[Umowa]]="","Poza umową","Z umowy")</f>
        <v>Poza umową</v>
      </c>
      <c r="N2720" s="2">
        <f>YEAR(Table14[[#This Row],[Data_Wystawienia]])</f>
        <v>2024</v>
      </c>
      <c r="O2720" s="2" t="str">
        <f>TEXT(Table14[[#This Row],[Data_Wystawienia]],"rrrr-mm")</f>
        <v>2024-09</v>
      </c>
      <c r="P2720" s="2">
        <v>1</v>
      </c>
    </row>
    <row r="2721" spans="1:16" x14ac:dyDescent="0.3">
      <c r="A2721" s="2" t="str">
        <f>TRIM(Table1[[#This Row],[Numer_FV]])</f>
        <v>FV/M/1742/P/24</v>
      </c>
      <c r="B2721" s="2" t="str">
        <f>TRIM(Table1[[#This Row],[Numer_PZ]])</f>
        <v>PZ/802719</v>
      </c>
      <c r="C2721" s="2" t="str">
        <f>TRIM(Table1[[#This Row],[Dostawca]])</f>
        <v>MedicaPharm</v>
      </c>
      <c r="D2721" s="3">
        <v>45560</v>
      </c>
      <c r="E2721" s="4" t="s">
        <v>8035</v>
      </c>
      <c r="F2721" s="2" t="str">
        <f>TRIM(Table1[[#This Row],[Status]])</f>
        <v>Zaakceptowana</v>
      </c>
      <c r="G2721" s="2" t="str">
        <f>TRIM(Table1[[#This Row],[Typ]])</f>
        <v>Faktura VAT</v>
      </c>
      <c r="H2721" s="2" t="str">
        <f>TRIM(Table1[[#This Row],[Magazyn]])</f>
        <v>Apteka Szpitalna</v>
      </c>
      <c r="I2721" s="2" t="str">
        <f>TRIM(Table1[[#This Row],[Umowa]])</f>
        <v>UM-MED-01</v>
      </c>
      <c r="J2721" s="2" t="b">
        <f>ISTEXT(Table14[[#This Row],[Data_Wystawienia]])</f>
        <v>0</v>
      </c>
      <c r="K2721" s="2">
        <f>VALUE(SUBSTITUTE(Table14[[#This Row],[Wartość]],".",","))</f>
        <v>15452.75</v>
      </c>
      <c r="L27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1" s="2" t="str">
        <f>IF(Table14[[#This Row],[Umowa]]="","Poza umową","Z umowy")</f>
        <v>Z umowy</v>
      </c>
      <c r="N2721" s="2">
        <f>YEAR(Table14[[#This Row],[Data_Wystawienia]])</f>
        <v>2024</v>
      </c>
      <c r="O2721" s="2" t="str">
        <f>TEXT(Table14[[#This Row],[Data_Wystawienia]],"rrrr-mm")</f>
        <v>2024-09</v>
      </c>
      <c r="P2721" s="2">
        <v>1</v>
      </c>
    </row>
    <row r="2722" spans="1:16" x14ac:dyDescent="0.3">
      <c r="A2722" s="2" t="str">
        <f>TRIM(Table1[[#This Row],[Numer_FV]])</f>
        <v>FV/M/4171/P/24</v>
      </c>
      <c r="B2722" s="2" t="str">
        <f>TRIM(Table1[[#This Row],[Numer_PZ]])</f>
        <v>PZ/802720</v>
      </c>
      <c r="C2722" s="2" t="str">
        <f>TRIM(Table1[[#This Row],[Dostawca]])</f>
        <v>MedicaPharm</v>
      </c>
      <c r="D2722" s="3">
        <v>45560</v>
      </c>
      <c r="E2722" s="4" t="s">
        <v>8038</v>
      </c>
      <c r="F2722" s="2" t="str">
        <f>TRIM(Table1[[#This Row],[Status]])</f>
        <v>Zaakceptowana</v>
      </c>
      <c r="G2722" s="2" t="str">
        <f>TRIM(Table1[[#This Row],[Typ]])</f>
        <v>Faktura VAT</v>
      </c>
      <c r="H2722" s="2" t="str">
        <f>TRIM(Table1[[#This Row],[Magazyn]])</f>
        <v>Apteka Szpitalna</v>
      </c>
      <c r="I2722" s="2" t="str">
        <f>TRIM(Table1[[#This Row],[Umowa]])</f>
        <v/>
      </c>
      <c r="J2722" s="2" t="b">
        <f>ISTEXT(Table14[[#This Row],[Data_Wystawienia]])</f>
        <v>0</v>
      </c>
      <c r="K2722" s="2">
        <f>VALUE(SUBSTITUTE(Table14[[#This Row],[Wartość]],".",","))</f>
        <v>9031.02</v>
      </c>
      <c r="L27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2" s="2" t="str">
        <f>IF(Table14[[#This Row],[Umowa]]="","Poza umową","Z umowy")</f>
        <v>Poza umową</v>
      </c>
      <c r="N2722" s="2">
        <f>YEAR(Table14[[#This Row],[Data_Wystawienia]])</f>
        <v>2024</v>
      </c>
      <c r="O2722" s="2" t="str">
        <f>TEXT(Table14[[#This Row],[Data_Wystawienia]],"rrrr-mm")</f>
        <v>2024-09</v>
      </c>
      <c r="P2722" s="2">
        <v>1</v>
      </c>
    </row>
    <row r="2723" spans="1:16" x14ac:dyDescent="0.3">
      <c r="A2723" s="2" t="str">
        <f>TRIM(Table1[[#This Row],[Numer_FV]])</f>
        <v>FV/POL/94760/2024</v>
      </c>
      <c r="B2723" s="2" t="str">
        <f>TRIM(Table1[[#This Row],[Numer_PZ]])</f>
        <v>PZ/802721</v>
      </c>
      <c r="C2723" s="2" t="str">
        <f>TRIM(Table1[[#This Row],[Dostawca]])</f>
        <v>Polmedica</v>
      </c>
      <c r="D2723" s="3">
        <v>45560</v>
      </c>
      <c r="E2723" s="4" t="s">
        <v>8041</v>
      </c>
      <c r="F2723" s="2" t="str">
        <f>TRIM(Table1[[#This Row],[Status]])</f>
        <v>Zaakceptowana</v>
      </c>
      <c r="G2723" s="2" t="str">
        <f>TRIM(Table1[[#This Row],[Typ]])</f>
        <v>Faktura VAT</v>
      </c>
      <c r="H2723" s="2" t="str">
        <f>TRIM(Table1[[#This Row],[Magazyn]])</f>
        <v>Apteka Szpitalna</v>
      </c>
      <c r="I2723" s="2" t="str">
        <f>TRIM(Table1[[#This Row],[Umowa]])</f>
        <v/>
      </c>
      <c r="J2723" s="2" t="b">
        <f>ISTEXT(Table14[[#This Row],[Data_Wystawienia]])</f>
        <v>0</v>
      </c>
      <c r="K2723" s="2">
        <f>VALUE(SUBSTITUTE(Table14[[#This Row],[Wartość]],".",","))</f>
        <v>8218.51</v>
      </c>
      <c r="L27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3" s="2" t="str">
        <f>IF(Table14[[#This Row],[Umowa]]="","Poza umową","Z umowy")</f>
        <v>Poza umową</v>
      </c>
      <c r="N2723" s="2">
        <f>YEAR(Table14[[#This Row],[Data_Wystawienia]])</f>
        <v>2024</v>
      </c>
      <c r="O2723" s="2" t="str">
        <f>TEXT(Table14[[#This Row],[Data_Wystawienia]],"rrrr-mm")</f>
        <v>2024-09</v>
      </c>
      <c r="P2723" s="2">
        <v>1</v>
      </c>
    </row>
    <row r="2724" spans="1:16" x14ac:dyDescent="0.3">
      <c r="A2724" s="2" t="str">
        <f>TRIM(Table1[[#This Row],[Numer_FV]])</f>
        <v>FV/3296HM/24</v>
      </c>
      <c r="B2724" s="2" t="str">
        <f>TRIM(Table1[[#This Row],[Numer_PZ]])</f>
        <v>PZ/802722</v>
      </c>
      <c r="C2724" s="2" t="str">
        <f>TRIM(Table1[[#This Row],[Dostawca]])</f>
        <v>HurtMedix</v>
      </c>
      <c r="D2724" s="3">
        <v>45561</v>
      </c>
      <c r="E2724" s="4" t="s">
        <v>8044</v>
      </c>
      <c r="F2724" s="2" t="str">
        <f>TRIM(Table1[[#This Row],[Status]])</f>
        <v>Zaakceptowana</v>
      </c>
      <c r="G2724" s="2" t="str">
        <f>TRIM(Table1[[#This Row],[Typ]])</f>
        <v>Faktura VAT</v>
      </c>
      <c r="H2724" s="2" t="str">
        <f>TRIM(Table1[[#This Row],[Magazyn]])</f>
        <v>Apteka Szpitalna</v>
      </c>
      <c r="I2724" s="2" t="str">
        <f>TRIM(Table1[[#This Row],[Umowa]])</f>
        <v>UM-HUR-03</v>
      </c>
      <c r="J2724" s="2" t="b">
        <f>ISTEXT(Table14[[#This Row],[Data_Wystawienia]])</f>
        <v>0</v>
      </c>
      <c r="K2724" s="2">
        <f>VALUE(SUBSTITUTE(Table14[[#This Row],[Wartość]],".",","))</f>
        <v>25929.99</v>
      </c>
      <c r="L27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4" s="2" t="str">
        <f>IF(Table14[[#This Row],[Umowa]]="","Poza umową","Z umowy")</f>
        <v>Z umowy</v>
      </c>
      <c r="N2724" s="2">
        <f>YEAR(Table14[[#This Row],[Data_Wystawienia]])</f>
        <v>2024</v>
      </c>
      <c r="O2724" s="2" t="str">
        <f>TEXT(Table14[[#This Row],[Data_Wystawienia]],"rrrr-mm")</f>
        <v>2024-09</v>
      </c>
      <c r="P2724" s="2">
        <v>1</v>
      </c>
    </row>
    <row r="2725" spans="1:16" x14ac:dyDescent="0.3">
      <c r="A2725" s="2" t="str">
        <f>TRIM(Table1[[#This Row],[Numer_FV]])</f>
        <v>FV/POL/65241/2024</v>
      </c>
      <c r="B2725" s="2" t="str">
        <f>TRIM(Table1[[#This Row],[Numer_PZ]])</f>
        <v>PZ/802723</v>
      </c>
      <c r="C2725" s="2" t="str">
        <f>TRIM(Table1[[#This Row],[Dostawca]])</f>
        <v>Polmedica</v>
      </c>
      <c r="D2725" s="3">
        <v>45561</v>
      </c>
      <c r="E2725" s="4" t="s">
        <v>8047</v>
      </c>
      <c r="F2725" s="2" t="str">
        <f>TRIM(Table1[[#This Row],[Status]])</f>
        <v>Zaakceptowana</v>
      </c>
      <c r="G2725" s="2" t="str">
        <f>TRIM(Table1[[#This Row],[Typ]])</f>
        <v>Faktura VAT</v>
      </c>
      <c r="H2725" s="2" t="str">
        <f>TRIM(Table1[[#This Row],[Magazyn]])</f>
        <v>Apteka Szpitalna</v>
      </c>
      <c r="I2725" s="2" t="str">
        <f>TRIM(Table1[[#This Row],[Umowa]])</f>
        <v>UM-POL-03</v>
      </c>
      <c r="J2725" s="2" t="b">
        <f>ISTEXT(Table14[[#This Row],[Data_Wystawienia]])</f>
        <v>0</v>
      </c>
      <c r="K2725" s="2">
        <f>VALUE(SUBSTITUTE(Table14[[#This Row],[Wartość]],".",","))</f>
        <v>13880.48</v>
      </c>
      <c r="L27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5" s="2" t="str">
        <f>IF(Table14[[#This Row],[Umowa]]="","Poza umową","Z umowy")</f>
        <v>Z umowy</v>
      </c>
      <c r="N2725" s="2">
        <f>YEAR(Table14[[#This Row],[Data_Wystawienia]])</f>
        <v>2024</v>
      </c>
      <c r="O2725" s="2" t="str">
        <f>TEXT(Table14[[#This Row],[Data_Wystawienia]],"rrrr-mm")</f>
        <v>2024-09</v>
      </c>
      <c r="P2725" s="2">
        <v>1</v>
      </c>
    </row>
    <row r="2726" spans="1:16" x14ac:dyDescent="0.3">
      <c r="A2726" s="2" t="str">
        <f>TRIM(Table1[[#This Row],[Numer_FV]])</f>
        <v>FV/8894HM/24</v>
      </c>
      <c r="B2726" s="2" t="str">
        <f>TRIM(Table1[[#This Row],[Numer_PZ]])</f>
        <v>PZ/802724</v>
      </c>
      <c r="C2726" s="2" t="str">
        <f>TRIM(Table1[[#This Row],[Dostawca]])</f>
        <v>HurtMedix</v>
      </c>
      <c r="D2726" s="3">
        <v>45561</v>
      </c>
      <c r="E2726" s="4" t="s">
        <v>8050</v>
      </c>
      <c r="F2726" s="2" t="str">
        <f>TRIM(Table1[[#This Row],[Status]])</f>
        <v>Zaakceptowana</v>
      </c>
      <c r="G2726" s="2" t="str">
        <f>TRIM(Table1[[#This Row],[Typ]])</f>
        <v>Faktura VAT</v>
      </c>
      <c r="H2726" s="2" t="str">
        <f>TRIM(Table1[[#This Row],[Magazyn]])</f>
        <v>Apteka Szpitalna</v>
      </c>
      <c r="I2726" s="2" t="str">
        <f>TRIM(Table1[[#This Row],[Umowa]])</f>
        <v/>
      </c>
      <c r="J2726" s="2" t="b">
        <f>ISTEXT(Table14[[#This Row],[Data_Wystawienia]])</f>
        <v>0</v>
      </c>
      <c r="K2726" s="2">
        <f>VALUE(SUBSTITUTE(Table14[[#This Row],[Wartość]],".",","))</f>
        <v>8883.3700000000008</v>
      </c>
      <c r="L27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6" s="2" t="str">
        <f>IF(Table14[[#This Row],[Umowa]]="","Poza umową","Z umowy")</f>
        <v>Poza umową</v>
      </c>
      <c r="N2726" s="2">
        <f>YEAR(Table14[[#This Row],[Data_Wystawienia]])</f>
        <v>2024</v>
      </c>
      <c r="O2726" s="2" t="str">
        <f>TEXT(Table14[[#This Row],[Data_Wystawienia]],"rrrr-mm")</f>
        <v>2024-09</v>
      </c>
      <c r="P2726" s="2">
        <v>1</v>
      </c>
    </row>
    <row r="2727" spans="1:16" x14ac:dyDescent="0.3">
      <c r="A2727" s="2" t="str">
        <f>TRIM(Table1[[#This Row],[Numer_FV]])</f>
        <v>FV/M/3339/P/24</v>
      </c>
      <c r="B2727" s="2" t="str">
        <f>TRIM(Table1[[#This Row],[Numer_PZ]])</f>
        <v>PZ/802725</v>
      </c>
      <c r="C2727" s="2" t="str">
        <f>TRIM(Table1[[#This Row],[Dostawca]])</f>
        <v>MedicaPharm</v>
      </c>
      <c r="D2727" s="3">
        <v>45562</v>
      </c>
      <c r="E2727" s="4" t="s">
        <v>8053</v>
      </c>
      <c r="F2727" s="2" t="str">
        <f>TRIM(Table1[[#This Row],[Status]])</f>
        <v>Zaakceptowana</v>
      </c>
      <c r="G2727" s="2" t="str">
        <f>TRIM(Table1[[#This Row],[Typ]])</f>
        <v>Faktura VAT</v>
      </c>
      <c r="H2727" s="2" t="str">
        <f>TRIM(Table1[[#This Row],[Magazyn]])</f>
        <v>Apteka Szpitalna</v>
      </c>
      <c r="I2727" s="2" t="str">
        <f>TRIM(Table1[[#This Row],[Umowa]])</f>
        <v>UM-MED-02</v>
      </c>
      <c r="J2727" s="2" t="b">
        <f>ISTEXT(Table14[[#This Row],[Data_Wystawienia]])</f>
        <v>0</v>
      </c>
      <c r="K2727" s="2">
        <f>VALUE(SUBSTITUTE(Table14[[#This Row],[Wartość]],".",","))</f>
        <v>19753.150000000001</v>
      </c>
      <c r="L27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7" s="2" t="str">
        <f>IF(Table14[[#This Row],[Umowa]]="","Poza umową","Z umowy")</f>
        <v>Z umowy</v>
      </c>
      <c r="N2727" s="2">
        <f>YEAR(Table14[[#This Row],[Data_Wystawienia]])</f>
        <v>2024</v>
      </c>
      <c r="O2727" s="2" t="str">
        <f>TEXT(Table14[[#This Row],[Data_Wystawienia]],"rrrr-mm")</f>
        <v>2024-09</v>
      </c>
      <c r="P2727" s="2">
        <v>1</v>
      </c>
    </row>
    <row r="2728" spans="1:16" x14ac:dyDescent="0.3">
      <c r="A2728" s="2" t="str">
        <f>TRIM(Table1[[#This Row],[Numer_FV]])</f>
        <v>FV/49/PP/8561/24</v>
      </c>
      <c r="B2728" s="2" t="str">
        <f>TRIM(Table1[[#This Row],[Numer_PZ]])</f>
        <v>PZ/802726</v>
      </c>
      <c r="C2728" s="2" t="str">
        <f>TRIM(Table1[[#This Row],[Dostawca]])</f>
        <v>PharmaPlus</v>
      </c>
      <c r="D2728" s="3">
        <v>45562</v>
      </c>
      <c r="E2728" s="4" t="s">
        <v>8056</v>
      </c>
      <c r="F2728" s="2" t="str">
        <f>TRIM(Table1[[#This Row],[Status]])</f>
        <v>Zaakceptowana</v>
      </c>
      <c r="G2728" s="2" t="str">
        <f>TRIM(Table1[[#This Row],[Typ]])</f>
        <v>Faktura VAT</v>
      </c>
      <c r="H2728" s="2" t="str">
        <f>TRIM(Table1[[#This Row],[Magazyn]])</f>
        <v>Apteka Szpitalna</v>
      </c>
      <c r="I2728" s="2" t="str">
        <f>TRIM(Table1[[#This Row],[Umowa]])</f>
        <v>UM-PHA-02</v>
      </c>
      <c r="J2728" s="2" t="b">
        <f>ISTEXT(Table14[[#This Row],[Data_Wystawienia]])</f>
        <v>0</v>
      </c>
      <c r="K2728" s="2">
        <f>VALUE(SUBSTITUTE(Table14[[#This Row],[Wartość]],".",","))</f>
        <v>13830.53</v>
      </c>
      <c r="L27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8" s="2" t="str">
        <f>IF(Table14[[#This Row],[Umowa]]="","Poza umową","Z umowy")</f>
        <v>Z umowy</v>
      </c>
      <c r="N2728" s="2">
        <f>YEAR(Table14[[#This Row],[Data_Wystawienia]])</f>
        <v>2024</v>
      </c>
      <c r="O2728" s="2" t="str">
        <f>TEXT(Table14[[#This Row],[Data_Wystawienia]],"rrrr-mm")</f>
        <v>2024-09</v>
      </c>
      <c r="P2728" s="2">
        <v>1</v>
      </c>
    </row>
    <row r="2729" spans="1:16" x14ac:dyDescent="0.3">
      <c r="A2729" s="2" t="str">
        <f>TRIM(Table1[[#This Row],[Numer_FV]])</f>
        <v>FV/CENFA/793974/24</v>
      </c>
      <c r="B2729" s="2" t="str">
        <f>TRIM(Table1[[#This Row],[Numer_PZ]])</f>
        <v>PZ/802727</v>
      </c>
      <c r="C2729" s="2" t="str">
        <f>TRIM(Table1[[#This Row],[Dostawca]])</f>
        <v>CentrumFarm</v>
      </c>
      <c r="D2729" s="3">
        <v>45563</v>
      </c>
      <c r="E2729" s="4" t="s">
        <v>8059</v>
      </c>
      <c r="F2729" s="2" t="str">
        <f>TRIM(Table1[[#This Row],[Status]])</f>
        <v>Zaakceptowana</v>
      </c>
      <c r="G2729" s="2" t="str">
        <f>TRIM(Table1[[#This Row],[Typ]])</f>
        <v>Faktura VAT</v>
      </c>
      <c r="H2729" s="2" t="str">
        <f>TRIM(Table1[[#This Row],[Magazyn]])</f>
        <v>Apteka Szpitalna</v>
      </c>
      <c r="I2729" s="2" t="str">
        <f>TRIM(Table1[[#This Row],[Umowa]])</f>
        <v>UM-CEN-01</v>
      </c>
      <c r="J2729" s="2" t="b">
        <f>ISTEXT(Table14[[#This Row],[Data_Wystawienia]])</f>
        <v>0</v>
      </c>
      <c r="K2729" s="2">
        <f>VALUE(SUBSTITUTE(Table14[[#This Row],[Wartość]],".",","))</f>
        <v>28204.33</v>
      </c>
      <c r="L27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29" s="2" t="str">
        <f>IF(Table14[[#This Row],[Umowa]]="","Poza umową","Z umowy")</f>
        <v>Z umowy</v>
      </c>
      <c r="N2729" s="2">
        <f>YEAR(Table14[[#This Row],[Data_Wystawienia]])</f>
        <v>2024</v>
      </c>
      <c r="O2729" s="2" t="str">
        <f>TEXT(Table14[[#This Row],[Data_Wystawienia]],"rrrr-mm")</f>
        <v>2024-09</v>
      </c>
      <c r="P2729" s="2">
        <v>1</v>
      </c>
    </row>
    <row r="2730" spans="1:16" x14ac:dyDescent="0.3">
      <c r="A2730" s="2" t="str">
        <f>TRIM(Table1[[#This Row],[Numer_FV]])</f>
        <v>FV/M/7573/P/24</v>
      </c>
      <c r="B2730" s="2" t="str">
        <f>TRIM(Table1[[#This Row],[Numer_PZ]])</f>
        <v>PZ/802728</v>
      </c>
      <c r="C2730" s="2" t="str">
        <f>TRIM(Table1[[#This Row],[Dostawca]])</f>
        <v>MedicaPharm</v>
      </c>
      <c r="D2730" s="3">
        <v>45563</v>
      </c>
      <c r="E2730" s="4" t="s">
        <v>8062</v>
      </c>
      <c r="F2730" s="2" t="str">
        <f>TRIM(Table1[[#This Row],[Status]])</f>
        <v>Zaakceptowana</v>
      </c>
      <c r="G2730" s="2" t="str">
        <f>TRIM(Table1[[#This Row],[Typ]])</f>
        <v>Faktura VAT</v>
      </c>
      <c r="H2730" s="2" t="str">
        <f>TRIM(Table1[[#This Row],[Magazyn]])</f>
        <v>Apteka Szpitalna</v>
      </c>
      <c r="I2730" s="2" t="str">
        <f>TRIM(Table1[[#This Row],[Umowa]])</f>
        <v>UM-MED-02</v>
      </c>
      <c r="J2730" s="2" t="b">
        <f>ISTEXT(Table14[[#This Row],[Data_Wystawienia]])</f>
        <v>0</v>
      </c>
      <c r="K2730" s="2">
        <f>VALUE(SUBSTITUTE(Table14[[#This Row],[Wartość]],".",","))</f>
        <v>26423.360000000001</v>
      </c>
      <c r="L27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0" s="2" t="str">
        <f>IF(Table14[[#This Row],[Umowa]]="","Poza umową","Z umowy")</f>
        <v>Z umowy</v>
      </c>
      <c r="N2730" s="2">
        <f>YEAR(Table14[[#This Row],[Data_Wystawienia]])</f>
        <v>2024</v>
      </c>
      <c r="O2730" s="2" t="str">
        <f>TEXT(Table14[[#This Row],[Data_Wystawienia]],"rrrr-mm")</f>
        <v>2024-09</v>
      </c>
      <c r="P2730" s="2">
        <v>1</v>
      </c>
    </row>
    <row r="2731" spans="1:16" x14ac:dyDescent="0.3">
      <c r="A2731" s="2" t="str">
        <f>TRIM(Table1[[#This Row],[Numer_FV]])</f>
        <v>FV/9316/NOVA/24</v>
      </c>
      <c r="B2731" s="2" t="str">
        <f>TRIM(Table1[[#This Row],[Numer_PZ]])</f>
        <v>PZ/802729</v>
      </c>
      <c r="C2731" s="2" t="str">
        <f>TRIM(Table1[[#This Row],[Dostawca]])</f>
        <v>NovaLek</v>
      </c>
      <c r="D2731" s="3">
        <v>45563</v>
      </c>
      <c r="E2731" s="4" t="s">
        <v>8065</v>
      </c>
      <c r="F2731" s="2" t="str">
        <f>TRIM(Table1[[#This Row],[Status]])</f>
        <v>Zaakceptowana</v>
      </c>
      <c r="G2731" s="2" t="str">
        <f>TRIM(Table1[[#This Row],[Typ]])</f>
        <v>Faktura VAT</v>
      </c>
      <c r="H2731" s="2" t="str">
        <f>TRIM(Table1[[#This Row],[Magazyn]])</f>
        <v>Apteka Szpitalna</v>
      </c>
      <c r="I2731" s="2" t="str">
        <f>TRIM(Table1[[#This Row],[Umowa]])</f>
        <v>UM-NOV-01</v>
      </c>
      <c r="J2731" s="2" t="b">
        <f>ISTEXT(Table14[[#This Row],[Data_Wystawienia]])</f>
        <v>0</v>
      </c>
      <c r="K2731" s="2">
        <f>VALUE(SUBSTITUTE(Table14[[#This Row],[Wartość]],".",","))</f>
        <v>24734.61</v>
      </c>
      <c r="L27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1" s="2" t="str">
        <f>IF(Table14[[#This Row],[Umowa]]="","Poza umową","Z umowy")</f>
        <v>Z umowy</v>
      </c>
      <c r="N2731" s="2">
        <f>YEAR(Table14[[#This Row],[Data_Wystawienia]])</f>
        <v>2024</v>
      </c>
      <c r="O2731" s="2" t="str">
        <f>TEXT(Table14[[#This Row],[Data_Wystawienia]],"rrrr-mm")</f>
        <v>2024-09</v>
      </c>
      <c r="P2731" s="2">
        <v>1</v>
      </c>
    </row>
    <row r="2732" spans="1:16" x14ac:dyDescent="0.3">
      <c r="A2732" s="2" t="str">
        <f>TRIM(Table1[[#This Row],[Numer_FV]])</f>
        <v>FV/M/9623/P/24</v>
      </c>
      <c r="B2732" s="2" t="str">
        <f>TRIM(Table1[[#This Row],[Numer_PZ]])</f>
        <v>PZ/802730</v>
      </c>
      <c r="C2732" s="2" t="str">
        <f>TRIM(Table1[[#This Row],[Dostawca]])</f>
        <v>MedicaPharm</v>
      </c>
      <c r="D2732" s="3">
        <v>45563</v>
      </c>
      <c r="E2732" s="4" t="s">
        <v>8068</v>
      </c>
      <c r="F2732" s="2" t="str">
        <f>TRIM(Table1[[#This Row],[Status]])</f>
        <v>Zaakceptowana</v>
      </c>
      <c r="G2732" s="2" t="str">
        <f>TRIM(Table1[[#This Row],[Typ]])</f>
        <v>Faktura VAT</v>
      </c>
      <c r="H2732" s="2" t="str">
        <f>TRIM(Table1[[#This Row],[Magazyn]])</f>
        <v>Apteka Szpitalna</v>
      </c>
      <c r="I2732" s="2" t="str">
        <f>TRIM(Table1[[#This Row],[Umowa]])</f>
        <v/>
      </c>
      <c r="J2732" s="2" t="b">
        <f>ISTEXT(Table14[[#This Row],[Data_Wystawienia]])</f>
        <v>0</v>
      </c>
      <c r="K2732" s="2">
        <f>VALUE(SUBSTITUTE(Table14[[#This Row],[Wartość]],".",","))</f>
        <v>9507.36</v>
      </c>
      <c r="L27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2" s="2" t="str">
        <f>IF(Table14[[#This Row],[Umowa]]="","Poza umową","Z umowy")</f>
        <v>Poza umową</v>
      </c>
      <c r="N2732" s="2">
        <f>YEAR(Table14[[#This Row],[Data_Wystawienia]])</f>
        <v>2024</v>
      </c>
      <c r="O2732" s="2" t="str">
        <f>TEXT(Table14[[#This Row],[Data_Wystawienia]],"rrrr-mm")</f>
        <v>2024-09</v>
      </c>
      <c r="P2732" s="2">
        <v>1</v>
      </c>
    </row>
    <row r="2733" spans="1:16" x14ac:dyDescent="0.3">
      <c r="A2733" s="2" t="str">
        <f>TRIM(Table1[[#This Row],[Numer_FV]])</f>
        <v>FV/65890/VDb/2024</v>
      </c>
      <c r="B2733" s="2" t="str">
        <f>TRIM(Table1[[#This Row],[Numer_PZ]])</f>
        <v>PZ/802731</v>
      </c>
      <c r="C2733" s="2" t="str">
        <f>TRIM(Table1[[#This Row],[Dostawca]])</f>
        <v>VitaDistrib</v>
      </c>
      <c r="D2733" s="3">
        <v>45564</v>
      </c>
      <c r="E2733" s="4" t="s">
        <v>8071</v>
      </c>
      <c r="F2733" s="2" t="str">
        <f>TRIM(Table1[[#This Row],[Status]])</f>
        <v>Zaakceptowana</v>
      </c>
      <c r="G2733" s="2" t="str">
        <f>TRIM(Table1[[#This Row],[Typ]])</f>
        <v>Faktura VAT</v>
      </c>
      <c r="H2733" s="2" t="str">
        <f>TRIM(Table1[[#This Row],[Magazyn]])</f>
        <v>Apteka Szpitalna</v>
      </c>
      <c r="I2733" s="2" t="str">
        <f>TRIM(Table1[[#This Row],[Umowa]])</f>
        <v/>
      </c>
      <c r="J2733" s="2" t="b">
        <f>ISTEXT(Table14[[#This Row],[Data_Wystawienia]])</f>
        <v>0</v>
      </c>
      <c r="K2733" s="2">
        <f>VALUE(SUBSTITUTE(Table14[[#This Row],[Wartość]],".",","))</f>
        <v>19158.150000000001</v>
      </c>
      <c r="L27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3" s="2" t="str">
        <f>IF(Table14[[#This Row],[Umowa]]="","Poza umową","Z umowy")</f>
        <v>Poza umową</v>
      </c>
      <c r="N2733" s="2">
        <f>YEAR(Table14[[#This Row],[Data_Wystawienia]])</f>
        <v>2024</v>
      </c>
      <c r="O2733" s="2" t="str">
        <f>TEXT(Table14[[#This Row],[Data_Wystawienia]],"rrrr-mm")</f>
        <v>2024-09</v>
      </c>
      <c r="P2733" s="2">
        <v>1</v>
      </c>
    </row>
    <row r="2734" spans="1:16" x14ac:dyDescent="0.3">
      <c r="A2734" s="2" t="str">
        <f>TRIM(Table1[[#This Row],[Numer_FV]])</f>
        <v>FV/CENFA/474917/24</v>
      </c>
      <c r="B2734" s="2" t="str">
        <f>TRIM(Table1[[#This Row],[Numer_PZ]])</f>
        <v>PZ/802732</v>
      </c>
      <c r="C2734" s="2" t="str">
        <f>TRIM(Table1[[#This Row],[Dostawca]])</f>
        <v>CentrumFarm</v>
      </c>
      <c r="D2734" s="3">
        <v>45564</v>
      </c>
      <c r="E2734" s="4" t="s">
        <v>8074</v>
      </c>
      <c r="F2734" s="2" t="str">
        <f>TRIM(Table1[[#This Row],[Status]])</f>
        <v>Zaakceptowana</v>
      </c>
      <c r="G2734" s="2" t="str">
        <f>TRIM(Table1[[#This Row],[Typ]])</f>
        <v>Faktura VAT</v>
      </c>
      <c r="H2734" s="2" t="str">
        <f>TRIM(Table1[[#This Row],[Magazyn]])</f>
        <v>Apteka Szpitalna</v>
      </c>
      <c r="I2734" s="2" t="str">
        <f>TRIM(Table1[[#This Row],[Umowa]])</f>
        <v>UM-CEN-02</v>
      </c>
      <c r="J2734" s="2" t="b">
        <f>ISTEXT(Table14[[#This Row],[Data_Wystawienia]])</f>
        <v>0</v>
      </c>
      <c r="K2734" s="2">
        <f>VALUE(SUBSTITUTE(Table14[[#This Row],[Wartość]],".",","))</f>
        <v>20778.830000000002</v>
      </c>
      <c r="L27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4" s="2" t="str">
        <f>IF(Table14[[#This Row],[Umowa]]="","Poza umową","Z umowy")</f>
        <v>Z umowy</v>
      </c>
      <c r="N2734" s="2">
        <f>YEAR(Table14[[#This Row],[Data_Wystawienia]])</f>
        <v>2024</v>
      </c>
      <c r="O2734" s="2" t="str">
        <f>TEXT(Table14[[#This Row],[Data_Wystawienia]],"rrrr-mm")</f>
        <v>2024-09</v>
      </c>
      <c r="P2734" s="2">
        <v>1</v>
      </c>
    </row>
    <row r="2735" spans="1:16" x14ac:dyDescent="0.3">
      <c r="A2735" s="2" t="str">
        <f>TRIM(Table1[[#This Row],[Numer_FV]])</f>
        <v>FV/49452/VDb/2024</v>
      </c>
      <c r="B2735" s="2" t="str">
        <f>TRIM(Table1[[#This Row],[Numer_PZ]])</f>
        <v>PZ/802733</v>
      </c>
      <c r="C2735" s="2" t="str">
        <f>TRIM(Table1[[#This Row],[Dostawca]])</f>
        <v>VitaDistrib</v>
      </c>
      <c r="D2735" s="3">
        <v>45564</v>
      </c>
      <c r="E2735" s="4" t="s">
        <v>8077</v>
      </c>
      <c r="F2735" s="2" t="str">
        <f>TRIM(Table1[[#This Row],[Status]])</f>
        <v>Zaakceptowana</v>
      </c>
      <c r="G2735" s="2" t="str">
        <f>TRIM(Table1[[#This Row],[Typ]])</f>
        <v>Faktura VAT</v>
      </c>
      <c r="H2735" s="2" t="str">
        <f>TRIM(Table1[[#This Row],[Magazyn]])</f>
        <v>Apteka Szpitalna</v>
      </c>
      <c r="I2735" s="2" t="str">
        <f>TRIM(Table1[[#This Row],[Umowa]])</f>
        <v>UM-VIT-01</v>
      </c>
      <c r="J2735" s="2" t="b">
        <f>ISTEXT(Table14[[#This Row],[Data_Wystawienia]])</f>
        <v>0</v>
      </c>
      <c r="K2735" s="2">
        <f>VALUE(SUBSTITUTE(Table14[[#This Row],[Wartość]],".",","))</f>
        <v>19869.060000000001</v>
      </c>
      <c r="L27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5" s="2" t="str">
        <f>IF(Table14[[#This Row],[Umowa]]="","Poza umową","Z umowy")</f>
        <v>Z umowy</v>
      </c>
      <c r="N2735" s="2">
        <f>YEAR(Table14[[#This Row],[Data_Wystawienia]])</f>
        <v>2024</v>
      </c>
      <c r="O2735" s="2" t="str">
        <f>TEXT(Table14[[#This Row],[Data_Wystawienia]],"rrrr-mm")</f>
        <v>2024-09</v>
      </c>
      <c r="P2735" s="2">
        <v>1</v>
      </c>
    </row>
    <row r="2736" spans="1:16" x14ac:dyDescent="0.3">
      <c r="A2736" s="2" t="str">
        <f>TRIM(Table1[[#This Row],[Numer_FV]])</f>
        <v>FV/10402/VDb/2024</v>
      </c>
      <c r="B2736" s="2" t="str">
        <f>TRIM(Table1[[#This Row],[Numer_PZ]])</f>
        <v>PZ/802734</v>
      </c>
      <c r="C2736" s="2" t="str">
        <f>TRIM(Table1[[#This Row],[Dostawca]])</f>
        <v>VitaDistrib</v>
      </c>
      <c r="D2736" s="3">
        <v>45564</v>
      </c>
      <c r="E2736" s="4" t="s">
        <v>8080</v>
      </c>
      <c r="F2736" s="2" t="str">
        <f>TRIM(Table1[[#This Row],[Status]])</f>
        <v>Zaakceptowana</v>
      </c>
      <c r="G2736" s="2" t="str">
        <f>TRIM(Table1[[#This Row],[Typ]])</f>
        <v>Faktura VAT</v>
      </c>
      <c r="H2736" s="2" t="str">
        <f>TRIM(Table1[[#This Row],[Magazyn]])</f>
        <v>Apteka Szpitalna</v>
      </c>
      <c r="I2736" s="2" t="str">
        <f>TRIM(Table1[[#This Row],[Umowa]])</f>
        <v/>
      </c>
      <c r="J2736" s="2" t="b">
        <f>ISTEXT(Table14[[#This Row],[Data_Wystawienia]])</f>
        <v>0</v>
      </c>
      <c r="K2736" s="2">
        <f>VALUE(SUBSTITUTE(Table14[[#This Row],[Wartość]],".",","))</f>
        <v>16635.45</v>
      </c>
      <c r="L27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6" s="2" t="str">
        <f>IF(Table14[[#This Row],[Umowa]]="","Poza umową","Z umowy")</f>
        <v>Poza umową</v>
      </c>
      <c r="N2736" s="2">
        <f>YEAR(Table14[[#This Row],[Data_Wystawienia]])</f>
        <v>2024</v>
      </c>
      <c r="O2736" s="2" t="str">
        <f>TEXT(Table14[[#This Row],[Data_Wystawienia]],"rrrr-mm")</f>
        <v>2024-09</v>
      </c>
      <c r="P2736" s="2">
        <v>1</v>
      </c>
    </row>
    <row r="2737" spans="1:16" x14ac:dyDescent="0.3">
      <c r="A2737" s="2" t="str">
        <f>TRIM(Table1[[#This Row],[Numer_FV]])</f>
        <v>FV/M/5344/P/24</v>
      </c>
      <c r="B2737" s="2" t="str">
        <f>TRIM(Table1[[#This Row],[Numer_PZ]])</f>
        <v>PZ/802735</v>
      </c>
      <c r="C2737" s="2" t="str">
        <f>TRIM(Table1[[#This Row],[Dostawca]])</f>
        <v>MedicaPharm</v>
      </c>
      <c r="D2737" s="3">
        <v>45564</v>
      </c>
      <c r="E2737" s="4" t="s">
        <v>8083</v>
      </c>
      <c r="F2737" s="2" t="str">
        <f>TRIM(Table1[[#This Row],[Status]])</f>
        <v>Zaakceptowana</v>
      </c>
      <c r="G2737" s="2" t="str">
        <f>TRIM(Table1[[#This Row],[Typ]])</f>
        <v>Faktura VAT</v>
      </c>
      <c r="H2737" s="2" t="str">
        <f>TRIM(Table1[[#This Row],[Magazyn]])</f>
        <v>Apteka Szpitalna</v>
      </c>
      <c r="I2737" s="2" t="str">
        <f>TRIM(Table1[[#This Row],[Umowa]])</f>
        <v>UM-MED-01</v>
      </c>
      <c r="J2737" s="2" t="b">
        <f>ISTEXT(Table14[[#This Row],[Data_Wystawienia]])</f>
        <v>0</v>
      </c>
      <c r="K2737" s="2">
        <f>VALUE(SUBSTITUTE(Table14[[#This Row],[Wartość]],".",","))</f>
        <v>13856.31</v>
      </c>
      <c r="L27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7" s="2" t="str">
        <f>IF(Table14[[#This Row],[Umowa]]="","Poza umową","Z umowy")</f>
        <v>Z umowy</v>
      </c>
      <c r="N2737" s="2">
        <f>YEAR(Table14[[#This Row],[Data_Wystawienia]])</f>
        <v>2024</v>
      </c>
      <c r="O2737" s="2" t="str">
        <f>TEXT(Table14[[#This Row],[Data_Wystawienia]],"rrrr-mm")</f>
        <v>2024-09</v>
      </c>
      <c r="P2737" s="2">
        <v>1</v>
      </c>
    </row>
    <row r="2738" spans="1:16" x14ac:dyDescent="0.3">
      <c r="A2738" s="2" t="str">
        <f>TRIM(Table1[[#This Row],[Numer_FV]])</f>
        <v>FV/M/6327/P/24</v>
      </c>
      <c r="B2738" s="2" t="str">
        <f>TRIM(Table1[[#This Row],[Numer_PZ]])</f>
        <v>PZ/802736</v>
      </c>
      <c r="C2738" s="2" t="str">
        <f>TRIM(Table1[[#This Row],[Dostawca]])</f>
        <v>MedicaPharm</v>
      </c>
      <c r="D2738" s="3">
        <v>45564</v>
      </c>
      <c r="E2738" s="4" t="s">
        <v>8086</v>
      </c>
      <c r="F2738" s="2" t="str">
        <f>TRIM(Table1[[#This Row],[Status]])</f>
        <v>Zaakceptowana</v>
      </c>
      <c r="G2738" s="2" t="str">
        <f>TRIM(Table1[[#This Row],[Typ]])</f>
        <v>Faktura VAT</v>
      </c>
      <c r="H2738" s="2" t="str">
        <f>TRIM(Table1[[#This Row],[Magazyn]])</f>
        <v>Apteka Szpitalna</v>
      </c>
      <c r="I2738" s="2" t="str">
        <f>TRIM(Table1[[#This Row],[Umowa]])</f>
        <v/>
      </c>
      <c r="J2738" s="2" t="b">
        <f>ISTEXT(Table14[[#This Row],[Data_Wystawienia]])</f>
        <v>0</v>
      </c>
      <c r="K2738" s="2">
        <f>VALUE(SUBSTITUTE(Table14[[#This Row],[Wartość]],".",","))</f>
        <v>1269.52</v>
      </c>
      <c r="L27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8" s="2" t="str">
        <f>IF(Table14[[#This Row],[Umowa]]="","Poza umową","Z umowy")</f>
        <v>Poza umową</v>
      </c>
      <c r="N2738" s="2">
        <f>YEAR(Table14[[#This Row],[Data_Wystawienia]])</f>
        <v>2024</v>
      </c>
      <c r="O2738" s="2" t="str">
        <f>TEXT(Table14[[#This Row],[Data_Wystawienia]],"rrrr-mm")</f>
        <v>2024-09</v>
      </c>
      <c r="P2738" s="2">
        <v>1</v>
      </c>
    </row>
    <row r="2739" spans="1:16" x14ac:dyDescent="0.3">
      <c r="A2739" s="2" t="str">
        <f>TRIM(Table1[[#This Row],[Numer_FV]])</f>
        <v>FV/98/PP/6670/24</v>
      </c>
      <c r="B2739" s="2" t="str">
        <f>TRIM(Table1[[#This Row],[Numer_PZ]])</f>
        <v>PZ/802737</v>
      </c>
      <c r="C2739" s="2" t="str">
        <f>TRIM(Table1[[#This Row],[Dostawca]])</f>
        <v>PharmaPlus</v>
      </c>
      <c r="D2739" s="3">
        <v>45565</v>
      </c>
      <c r="E2739" s="4" t="s">
        <v>8089</v>
      </c>
      <c r="F2739" s="2" t="str">
        <f>TRIM(Table1[[#This Row],[Status]])</f>
        <v>Zaakceptowana</v>
      </c>
      <c r="G2739" s="2" t="str">
        <f>TRIM(Table1[[#This Row],[Typ]])</f>
        <v>Faktura VAT</v>
      </c>
      <c r="H2739" s="2" t="str">
        <f>TRIM(Table1[[#This Row],[Magazyn]])</f>
        <v>Apteka Szpitalna</v>
      </c>
      <c r="I2739" s="2" t="str">
        <f>TRIM(Table1[[#This Row],[Umowa]])</f>
        <v>UM-PHA-01</v>
      </c>
      <c r="J2739" s="2" t="b">
        <f>ISTEXT(Table14[[#This Row],[Data_Wystawienia]])</f>
        <v>0</v>
      </c>
      <c r="K2739" s="2">
        <f>VALUE(SUBSTITUTE(Table14[[#This Row],[Wartość]],".",","))</f>
        <v>8096.76</v>
      </c>
      <c r="L27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39" s="2" t="str">
        <f>IF(Table14[[#This Row],[Umowa]]="","Poza umową","Z umowy")</f>
        <v>Z umowy</v>
      </c>
      <c r="N2739" s="2">
        <f>YEAR(Table14[[#This Row],[Data_Wystawienia]])</f>
        <v>2024</v>
      </c>
      <c r="O2739" s="2" t="str">
        <f>TEXT(Table14[[#This Row],[Data_Wystawienia]],"rrrr-mm")</f>
        <v>2024-09</v>
      </c>
      <c r="P2739" s="2">
        <v>1</v>
      </c>
    </row>
    <row r="2740" spans="1:16" x14ac:dyDescent="0.3">
      <c r="A2740" s="2" t="str">
        <f>TRIM(Table1[[#This Row],[Numer_FV]])</f>
        <v>FV/POL/23336/2024</v>
      </c>
      <c r="B2740" s="2" t="str">
        <f>TRIM(Table1[[#This Row],[Numer_PZ]])</f>
        <v>PZ/802738</v>
      </c>
      <c r="C2740" s="2" t="str">
        <f>TRIM(Table1[[#This Row],[Dostawca]])</f>
        <v>Polmedica</v>
      </c>
      <c r="D2740" s="3">
        <v>45565</v>
      </c>
      <c r="E2740" s="4" t="s">
        <v>8092</v>
      </c>
      <c r="F2740" s="2" t="str">
        <f>TRIM(Table1[[#This Row],[Status]])</f>
        <v>Zaakceptowana</v>
      </c>
      <c r="G2740" s="2" t="str">
        <f>TRIM(Table1[[#This Row],[Typ]])</f>
        <v>Faktura VAT</v>
      </c>
      <c r="H2740" s="2" t="str">
        <f>TRIM(Table1[[#This Row],[Magazyn]])</f>
        <v>Apteka Szpitalna</v>
      </c>
      <c r="I2740" s="2" t="str">
        <f>TRIM(Table1[[#This Row],[Umowa]])</f>
        <v>UM-POL-02</v>
      </c>
      <c r="J2740" s="2" t="b">
        <f>ISTEXT(Table14[[#This Row],[Data_Wystawienia]])</f>
        <v>0</v>
      </c>
      <c r="K2740" s="2">
        <f>VALUE(SUBSTITUTE(Table14[[#This Row],[Wartość]],".",","))</f>
        <v>13901.56</v>
      </c>
      <c r="L27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0" s="2" t="str">
        <f>IF(Table14[[#This Row],[Umowa]]="","Poza umową","Z umowy")</f>
        <v>Z umowy</v>
      </c>
      <c r="N2740" s="2">
        <f>YEAR(Table14[[#This Row],[Data_Wystawienia]])</f>
        <v>2024</v>
      </c>
      <c r="O2740" s="2" t="str">
        <f>TEXT(Table14[[#This Row],[Data_Wystawienia]],"rrrr-mm")</f>
        <v>2024-09</v>
      </c>
      <c r="P2740" s="2">
        <v>1</v>
      </c>
    </row>
    <row r="2741" spans="1:16" x14ac:dyDescent="0.3">
      <c r="A2741" s="2" t="str">
        <f>TRIM(Table1[[#This Row],[Numer_FV]])</f>
        <v>FV/49702/VDb/2024</v>
      </c>
      <c r="B2741" s="2" t="str">
        <f>TRIM(Table1[[#This Row],[Numer_PZ]])</f>
        <v>PZ/802739</v>
      </c>
      <c r="C2741" s="2" t="str">
        <f>TRIM(Table1[[#This Row],[Dostawca]])</f>
        <v>VitaDistrib</v>
      </c>
      <c r="D2741" s="3">
        <v>45565</v>
      </c>
      <c r="E2741" s="4" t="s">
        <v>8095</v>
      </c>
      <c r="F2741" s="2" t="str">
        <f>TRIM(Table1[[#This Row],[Status]])</f>
        <v>Zaakceptowana</v>
      </c>
      <c r="G2741" s="2" t="str">
        <f>TRIM(Table1[[#This Row],[Typ]])</f>
        <v>Faktura VAT</v>
      </c>
      <c r="H2741" s="2" t="str">
        <f>TRIM(Table1[[#This Row],[Magazyn]])</f>
        <v>Apteka Szpitalna</v>
      </c>
      <c r="I2741" s="2" t="str">
        <f>TRIM(Table1[[#This Row],[Umowa]])</f>
        <v>UM-VIT-01</v>
      </c>
      <c r="J2741" s="2" t="b">
        <f>ISTEXT(Table14[[#This Row],[Data_Wystawienia]])</f>
        <v>0</v>
      </c>
      <c r="K2741" s="2">
        <f>VALUE(SUBSTITUTE(Table14[[#This Row],[Wartość]],".",","))</f>
        <v>19185</v>
      </c>
      <c r="L27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1" s="2" t="str">
        <f>IF(Table14[[#This Row],[Umowa]]="","Poza umową","Z umowy")</f>
        <v>Z umowy</v>
      </c>
      <c r="N2741" s="2">
        <f>YEAR(Table14[[#This Row],[Data_Wystawienia]])</f>
        <v>2024</v>
      </c>
      <c r="O2741" s="2" t="str">
        <f>TEXT(Table14[[#This Row],[Data_Wystawienia]],"rrrr-mm")</f>
        <v>2024-09</v>
      </c>
      <c r="P2741" s="2">
        <v>1</v>
      </c>
    </row>
    <row r="2742" spans="1:16" x14ac:dyDescent="0.3">
      <c r="A2742" s="2" t="str">
        <f>TRIM(Table1[[#This Row],[Numer_FV]])</f>
        <v>FV/88770/VDb/2024</v>
      </c>
      <c r="B2742" s="2" t="str">
        <f>TRIM(Table1[[#This Row],[Numer_PZ]])</f>
        <v>PZ/802740</v>
      </c>
      <c r="C2742" s="2" t="str">
        <f>TRIM(Table1[[#This Row],[Dostawca]])</f>
        <v>VitaDistrib</v>
      </c>
      <c r="D2742" s="3">
        <v>45566</v>
      </c>
      <c r="E2742" s="4" t="s">
        <v>8098</v>
      </c>
      <c r="F2742" s="2" t="str">
        <f>TRIM(Table1[[#This Row],[Status]])</f>
        <v>Zaakceptowana</v>
      </c>
      <c r="G2742" s="2" t="str">
        <f>TRIM(Table1[[#This Row],[Typ]])</f>
        <v>Faktura VAT</v>
      </c>
      <c r="H2742" s="2" t="str">
        <f>TRIM(Table1[[#This Row],[Magazyn]])</f>
        <v>Apteka Szpitalna</v>
      </c>
      <c r="I2742" s="2" t="str">
        <f>TRIM(Table1[[#This Row],[Umowa]])</f>
        <v/>
      </c>
      <c r="J2742" s="2" t="b">
        <f>ISTEXT(Table14[[#This Row],[Data_Wystawienia]])</f>
        <v>0</v>
      </c>
      <c r="K2742" s="2">
        <f>VALUE(SUBSTITUTE(Table14[[#This Row],[Wartość]],".",","))</f>
        <v>8349.9599999999991</v>
      </c>
      <c r="L27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2" s="2" t="str">
        <f>IF(Table14[[#This Row],[Umowa]]="","Poza umową","Z umowy")</f>
        <v>Poza umową</v>
      </c>
      <c r="N2742" s="2">
        <f>YEAR(Table14[[#This Row],[Data_Wystawienia]])</f>
        <v>2024</v>
      </c>
      <c r="O2742" s="2" t="str">
        <f>TEXT(Table14[[#This Row],[Data_Wystawienia]],"rrrr-mm")</f>
        <v>2024-10</v>
      </c>
      <c r="P2742" s="2">
        <v>1</v>
      </c>
    </row>
    <row r="2743" spans="1:16" x14ac:dyDescent="0.3">
      <c r="A2743" s="2" t="str">
        <f>TRIM(Table1[[#This Row],[Numer_FV]])</f>
        <v>FV/M/6777/P/24</v>
      </c>
      <c r="B2743" s="2" t="str">
        <f>TRIM(Table1[[#This Row],[Numer_PZ]])</f>
        <v>PZ/802741</v>
      </c>
      <c r="C2743" s="2" t="str">
        <f>TRIM(Table1[[#This Row],[Dostawca]])</f>
        <v>MedicaPharm</v>
      </c>
      <c r="D2743" s="3">
        <v>45566</v>
      </c>
      <c r="E2743" s="4" t="s">
        <v>8101</v>
      </c>
      <c r="F2743" s="2" t="str">
        <f>TRIM(Table1[[#This Row],[Status]])</f>
        <v>Zaakceptowana</v>
      </c>
      <c r="G2743" s="2" t="str">
        <f>TRIM(Table1[[#This Row],[Typ]])</f>
        <v>Faktura VAT</v>
      </c>
      <c r="H2743" s="2" t="str">
        <f>TRIM(Table1[[#This Row],[Magazyn]])</f>
        <v>Apteka Szpitalna</v>
      </c>
      <c r="I2743" s="2" t="str">
        <f>TRIM(Table1[[#This Row],[Umowa]])</f>
        <v>UM-MED-02</v>
      </c>
      <c r="J2743" s="2" t="b">
        <f>ISTEXT(Table14[[#This Row],[Data_Wystawienia]])</f>
        <v>0</v>
      </c>
      <c r="K2743" s="2">
        <f>VALUE(SUBSTITUTE(Table14[[#This Row],[Wartość]],".",","))</f>
        <v>21053.66</v>
      </c>
      <c r="L27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3" s="2" t="str">
        <f>IF(Table14[[#This Row],[Umowa]]="","Poza umową","Z umowy")</f>
        <v>Z umowy</v>
      </c>
      <c r="N2743" s="2">
        <f>YEAR(Table14[[#This Row],[Data_Wystawienia]])</f>
        <v>2024</v>
      </c>
      <c r="O2743" s="2" t="str">
        <f>TEXT(Table14[[#This Row],[Data_Wystawienia]],"rrrr-mm")</f>
        <v>2024-10</v>
      </c>
      <c r="P2743" s="2">
        <v>1</v>
      </c>
    </row>
    <row r="2744" spans="1:16" x14ac:dyDescent="0.3">
      <c r="A2744" s="2" t="str">
        <f>TRIM(Table1[[#This Row],[Numer_FV]])</f>
        <v>FV/51/SAL/24</v>
      </c>
      <c r="B2744" s="2" t="str">
        <f>TRIM(Table1[[#This Row],[Numer_PZ]])</f>
        <v>PZ/802742</v>
      </c>
      <c r="C2744" s="2" t="str">
        <f>TRIM(Table1[[#This Row],[Dostawca]])</f>
        <v>SalusHurt</v>
      </c>
      <c r="D2744" s="3">
        <v>45566</v>
      </c>
      <c r="E2744" s="4" t="s">
        <v>8104</v>
      </c>
      <c r="F2744" s="2" t="str">
        <f>TRIM(Table1[[#This Row],[Status]])</f>
        <v>Zaakceptowana</v>
      </c>
      <c r="G2744" s="2" t="str">
        <f>TRIM(Table1[[#This Row],[Typ]])</f>
        <v>Faktura VAT</v>
      </c>
      <c r="H2744" s="2" t="str">
        <f>TRIM(Table1[[#This Row],[Magazyn]])</f>
        <v>Apteka Szpitalna</v>
      </c>
      <c r="I2744" s="2" t="str">
        <f>TRIM(Table1[[#This Row],[Umowa]])</f>
        <v>UM-SAL-02</v>
      </c>
      <c r="J2744" s="2" t="b">
        <f>ISTEXT(Table14[[#This Row],[Data_Wystawienia]])</f>
        <v>0</v>
      </c>
      <c r="K2744" s="2">
        <f>VALUE(SUBSTITUTE(Table14[[#This Row],[Wartość]],".",","))</f>
        <v>15402.17</v>
      </c>
      <c r="L27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4" s="2" t="str">
        <f>IF(Table14[[#This Row],[Umowa]]="","Poza umową","Z umowy")</f>
        <v>Z umowy</v>
      </c>
      <c r="N2744" s="2">
        <f>YEAR(Table14[[#This Row],[Data_Wystawienia]])</f>
        <v>2024</v>
      </c>
      <c r="O2744" s="2" t="str">
        <f>TEXT(Table14[[#This Row],[Data_Wystawienia]],"rrrr-mm")</f>
        <v>2024-10</v>
      </c>
      <c r="P2744" s="2">
        <v>1</v>
      </c>
    </row>
    <row r="2745" spans="1:16" x14ac:dyDescent="0.3">
      <c r="A2745" s="2" t="str">
        <f>TRIM(Table1[[#This Row],[Numer_FV]])</f>
        <v>FV/M/5267/P/24</v>
      </c>
      <c r="B2745" s="2" t="str">
        <f>TRIM(Table1[[#This Row],[Numer_PZ]])</f>
        <v>PZ/802743</v>
      </c>
      <c r="C2745" s="2" t="str">
        <f>TRIM(Table1[[#This Row],[Dostawca]])</f>
        <v>MedicaPharm</v>
      </c>
      <c r="D2745" s="3">
        <v>45567</v>
      </c>
      <c r="E2745" s="4" t="s">
        <v>8107</v>
      </c>
      <c r="F2745" s="2" t="str">
        <f>TRIM(Table1[[#This Row],[Status]])</f>
        <v>Zaakceptowana</v>
      </c>
      <c r="G2745" s="2" t="str">
        <f>TRIM(Table1[[#This Row],[Typ]])</f>
        <v>Faktura VAT</v>
      </c>
      <c r="H2745" s="2" t="str">
        <f>TRIM(Table1[[#This Row],[Magazyn]])</f>
        <v>Apteka Szpitalna</v>
      </c>
      <c r="I2745" s="2" t="str">
        <f>TRIM(Table1[[#This Row],[Umowa]])</f>
        <v>UM-MED-01</v>
      </c>
      <c r="J2745" s="2" t="b">
        <f>ISTEXT(Table14[[#This Row],[Data_Wystawienia]])</f>
        <v>0</v>
      </c>
      <c r="K2745" s="2">
        <f>VALUE(SUBSTITUTE(Table14[[#This Row],[Wartość]],".",","))</f>
        <v>17442</v>
      </c>
      <c r="L27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5" s="2" t="str">
        <f>IF(Table14[[#This Row],[Umowa]]="","Poza umową","Z umowy")</f>
        <v>Z umowy</v>
      </c>
      <c r="N2745" s="2">
        <f>YEAR(Table14[[#This Row],[Data_Wystawienia]])</f>
        <v>2024</v>
      </c>
      <c r="O2745" s="2" t="str">
        <f>TEXT(Table14[[#This Row],[Data_Wystawienia]],"rrrr-mm")</f>
        <v>2024-10</v>
      </c>
      <c r="P2745" s="2">
        <v>1</v>
      </c>
    </row>
    <row r="2746" spans="1:16" x14ac:dyDescent="0.3">
      <c r="A2746" s="2" t="str">
        <f>TRIM(Table1[[#This Row],[Numer_FV]])</f>
        <v>FV/POL/71959/2024</v>
      </c>
      <c r="B2746" s="2" t="str">
        <f>TRIM(Table1[[#This Row],[Numer_PZ]])</f>
        <v>PZ/802744</v>
      </c>
      <c r="C2746" s="2" t="str">
        <f>TRIM(Table1[[#This Row],[Dostawca]])</f>
        <v>Polmedica</v>
      </c>
      <c r="D2746" s="3">
        <v>45567</v>
      </c>
      <c r="E2746" s="4" t="s">
        <v>8110</v>
      </c>
      <c r="F2746" s="2" t="str">
        <f>TRIM(Table1[[#This Row],[Status]])</f>
        <v>Zaakceptowana</v>
      </c>
      <c r="G2746" s="2" t="str">
        <f>TRIM(Table1[[#This Row],[Typ]])</f>
        <v>Faktura VAT</v>
      </c>
      <c r="H2746" s="2" t="str">
        <f>TRIM(Table1[[#This Row],[Magazyn]])</f>
        <v>Apteka Szpitalna</v>
      </c>
      <c r="I2746" s="2" t="str">
        <f>TRIM(Table1[[#This Row],[Umowa]])</f>
        <v/>
      </c>
      <c r="J2746" s="2" t="b">
        <f>ISTEXT(Table14[[#This Row],[Data_Wystawienia]])</f>
        <v>0</v>
      </c>
      <c r="K2746" s="2">
        <f>VALUE(SUBSTITUTE(Table14[[#This Row],[Wartość]],".",","))</f>
        <v>9882.99</v>
      </c>
      <c r="L27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6" s="2" t="str">
        <f>IF(Table14[[#This Row],[Umowa]]="","Poza umową","Z umowy")</f>
        <v>Poza umową</v>
      </c>
      <c r="N2746" s="2">
        <f>YEAR(Table14[[#This Row],[Data_Wystawienia]])</f>
        <v>2024</v>
      </c>
      <c r="O2746" s="2" t="str">
        <f>TEXT(Table14[[#This Row],[Data_Wystawienia]],"rrrr-mm")</f>
        <v>2024-10</v>
      </c>
      <c r="P2746" s="2">
        <v>1</v>
      </c>
    </row>
    <row r="2747" spans="1:16" x14ac:dyDescent="0.3">
      <c r="A2747" s="2" t="str">
        <f>TRIM(Table1[[#This Row],[Numer_FV]])</f>
        <v>FV/M/8630/P/24</v>
      </c>
      <c r="B2747" s="2" t="str">
        <f>TRIM(Table1[[#This Row],[Numer_PZ]])</f>
        <v>PZ/802745</v>
      </c>
      <c r="C2747" s="2" t="str">
        <f>TRIM(Table1[[#This Row],[Dostawca]])</f>
        <v>MedicaPharm</v>
      </c>
      <c r="D2747" s="3">
        <v>45568</v>
      </c>
      <c r="E2747" s="4" t="s">
        <v>8113</v>
      </c>
      <c r="F2747" s="2" t="str">
        <f>TRIM(Table1[[#This Row],[Status]])</f>
        <v>Zaakceptowana</v>
      </c>
      <c r="G2747" s="2" t="str">
        <f>TRIM(Table1[[#This Row],[Typ]])</f>
        <v>Faktura VAT</v>
      </c>
      <c r="H2747" s="2" t="str">
        <f>TRIM(Table1[[#This Row],[Magazyn]])</f>
        <v>Apteka Szpitalna</v>
      </c>
      <c r="I2747" s="2" t="str">
        <f>TRIM(Table1[[#This Row],[Umowa]])</f>
        <v>UM-MED-01</v>
      </c>
      <c r="J2747" s="2" t="b">
        <f>ISTEXT(Table14[[#This Row],[Data_Wystawienia]])</f>
        <v>0</v>
      </c>
      <c r="K2747" s="2">
        <f>VALUE(SUBSTITUTE(Table14[[#This Row],[Wartość]],".",","))</f>
        <v>16426.82</v>
      </c>
      <c r="L27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7" s="2" t="str">
        <f>IF(Table14[[#This Row],[Umowa]]="","Poza umową","Z umowy")</f>
        <v>Z umowy</v>
      </c>
      <c r="N2747" s="2">
        <f>YEAR(Table14[[#This Row],[Data_Wystawienia]])</f>
        <v>2024</v>
      </c>
      <c r="O2747" s="2" t="str">
        <f>TEXT(Table14[[#This Row],[Data_Wystawienia]],"rrrr-mm")</f>
        <v>2024-10</v>
      </c>
      <c r="P2747" s="2">
        <v>1</v>
      </c>
    </row>
    <row r="2748" spans="1:16" x14ac:dyDescent="0.3">
      <c r="A2748" s="2" t="str">
        <f>TRIM(Table1[[#This Row],[Numer_FV]])</f>
        <v>FV/2223HM/24</v>
      </c>
      <c r="B2748" s="2" t="str">
        <f>TRIM(Table1[[#This Row],[Numer_PZ]])</f>
        <v>PZ/802746</v>
      </c>
      <c r="C2748" s="2" t="str">
        <f>TRIM(Table1[[#This Row],[Dostawca]])</f>
        <v>HurtMedix</v>
      </c>
      <c r="D2748" s="3">
        <v>45569</v>
      </c>
      <c r="E2748" s="4" t="s">
        <v>8116</v>
      </c>
      <c r="F2748" s="2" t="str">
        <f>TRIM(Table1[[#This Row],[Status]])</f>
        <v>Zaakceptowana</v>
      </c>
      <c r="G2748" s="2" t="str">
        <f>TRIM(Table1[[#This Row],[Typ]])</f>
        <v>Faktura VAT</v>
      </c>
      <c r="H2748" s="2" t="str">
        <f>TRIM(Table1[[#This Row],[Magazyn]])</f>
        <v>Apteka Szpitalna</v>
      </c>
      <c r="I2748" s="2" t="str">
        <f>TRIM(Table1[[#This Row],[Umowa]])</f>
        <v>UM-HUR-03</v>
      </c>
      <c r="J2748" s="2" t="b">
        <f>ISTEXT(Table14[[#This Row],[Data_Wystawienia]])</f>
        <v>0</v>
      </c>
      <c r="K2748" s="2">
        <f>VALUE(SUBSTITUTE(Table14[[#This Row],[Wartość]],".",","))</f>
        <v>17164.29</v>
      </c>
      <c r="L27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8" s="2" t="str">
        <f>IF(Table14[[#This Row],[Umowa]]="","Poza umową","Z umowy")</f>
        <v>Z umowy</v>
      </c>
      <c r="N2748" s="2">
        <f>YEAR(Table14[[#This Row],[Data_Wystawienia]])</f>
        <v>2024</v>
      </c>
      <c r="O2748" s="2" t="str">
        <f>TEXT(Table14[[#This Row],[Data_Wystawienia]],"rrrr-mm")</f>
        <v>2024-10</v>
      </c>
      <c r="P2748" s="2">
        <v>1</v>
      </c>
    </row>
    <row r="2749" spans="1:16" x14ac:dyDescent="0.3">
      <c r="A2749" s="2" t="str">
        <f>TRIM(Table1[[#This Row],[Numer_FV]])</f>
        <v>FV/77/SAL/24</v>
      </c>
      <c r="B2749" s="2" t="str">
        <f>TRIM(Table1[[#This Row],[Numer_PZ]])</f>
        <v>PZ/802747</v>
      </c>
      <c r="C2749" s="2" t="str">
        <f>TRIM(Table1[[#This Row],[Dostawca]])</f>
        <v>SalusHurt</v>
      </c>
      <c r="D2749" s="3">
        <v>45569</v>
      </c>
      <c r="E2749" s="4" t="s">
        <v>8119</v>
      </c>
      <c r="F2749" s="2" t="str">
        <f>TRIM(Table1[[#This Row],[Status]])</f>
        <v>Zaakceptowana</v>
      </c>
      <c r="G2749" s="2" t="str">
        <f>TRIM(Table1[[#This Row],[Typ]])</f>
        <v>Faktura VAT</v>
      </c>
      <c r="H2749" s="2" t="str">
        <f>TRIM(Table1[[#This Row],[Magazyn]])</f>
        <v>Apteka Szpitalna</v>
      </c>
      <c r="I2749" s="2" t="str">
        <f>TRIM(Table1[[#This Row],[Umowa]])</f>
        <v>UM-SAL-01</v>
      </c>
      <c r="J2749" s="2" t="b">
        <f>ISTEXT(Table14[[#This Row],[Data_Wystawienia]])</f>
        <v>0</v>
      </c>
      <c r="K2749" s="2">
        <f>VALUE(SUBSTITUTE(Table14[[#This Row],[Wartość]],".",","))</f>
        <v>12687.72</v>
      </c>
      <c r="L27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49" s="2" t="str">
        <f>IF(Table14[[#This Row],[Umowa]]="","Poza umową","Z umowy")</f>
        <v>Z umowy</v>
      </c>
      <c r="N2749" s="2">
        <f>YEAR(Table14[[#This Row],[Data_Wystawienia]])</f>
        <v>2024</v>
      </c>
      <c r="O2749" s="2" t="str">
        <f>TEXT(Table14[[#This Row],[Data_Wystawienia]],"rrrr-mm")</f>
        <v>2024-10</v>
      </c>
      <c r="P2749" s="2">
        <v>1</v>
      </c>
    </row>
    <row r="2750" spans="1:16" x14ac:dyDescent="0.3">
      <c r="A2750" s="2" t="str">
        <f>TRIM(Table1[[#This Row],[Numer_FV]])</f>
        <v>FV/45/PP/3594/24</v>
      </c>
      <c r="B2750" s="2" t="str">
        <f>TRIM(Table1[[#This Row],[Numer_PZ]])</f>
        <v>PZ/802748</v>
      </c>
      <c r="C2750" s="2" t="str">
        <f>TRIM(Table1[[#This Row],[Dostawca]])</f>
        <v>PharmaPlus</v>
      </c>
      <c r="D2750" s="3">
        <v>45569</v>
      </c>
      <c r="E2750" s="4" t="s">
        <v>8122</v>
      </c>
      <c r="F2750" s="2" t="str">
        <f>TRIM(Table1[[#This Row],[Status]])</f>
        <v>Zaakceptowana</v>
      </c>
      <c r="G2750" s="2" t="str">
        <f>TRIM(Table1[[#This Row],[Typ]])</f>
        <v>Faktura VAT</v>
      </c>
      <c r="H2750" s="2" t="str">
        <f>TRIM(Table1[[#This Row],[Magazyn]])</f>
        <v>Apteka Szpitalna</v>
      </c>
      <c r="I2750" s="2" t="str">
        <f>TRIM(Table1[[#This Row],[Umowa]])</f>
        <v>UM-PHA-02</v>
      </c>
      <c r="J2750" s="2" t="b">
        <f>ISTEXT(Table14[[#This Row],[Data_Wystawienia]])</f>
        <v>0</v>
      </c>
      <c r="K2750" s="2">
        <f>VALUE(SUBSTITUTE(Table14[[#This Row],[Wartość]],".",","))</f>
        <v>13818.53</v>
      </c>
      <c r="L27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0" s="2" t="str">
        <f>IF(Table14[[#This Row],[Umowa]]="","Poza umową","Z umowy")</f>
        <v>Z umowy</v>
      </c>
      <c r="N2750" s="2">
        <f>YEAR(Table14[[#This Row],[Data_Wystawienia]])</f>
        <v>2024</v>
      </c>
      <c r="O2750" s="2" t="str">
        <f>TEXT(Table14[[#This Row],[Data_Wystawienia]],"rrrr-mm")</f>
        <v>2024-10</v>
      </c>
      <c r="P2750" s="2">
        <v>1</v>
      </c>
    </row>
    <row r="2751" spans="1:16" x14ac:dyDescent="0.3">
      <c r="A2751" s="2" t="str">
        <f>TRIM(Table1[[#This Row],[Numer_FV]])</f>
        <v>FV/9366HM/24</v>
      </c>
      <c r="B2751" s="2" t="str">
        <f>TRIM(Table1[[#This Row],[Numer_PZ]])</f>
        <v>PZ/802749</v>
      </c>
      <c r="C2751" s="2" t="str">
        <f>TRIM(Table1[[#This Row],[Dostawca]])</f>
        <v>HurtMedix</v>
      </c>
      <c r="D2751" s="3">
        <v>45569</v>
      </c>
      <c r="E2751" s="4" t="s">
        <v>8125</v>
      </c>
      <c r="F2751" s="2" t="str">
        <f>TRIM(Table1[[#This Row],[Status]])</f>
        <v>Zaakceptowana</v>
      </c>
      <c r="G2751" s="2" t="str">
        <f>TRIM(Table1[[#This Row],[Typ]])</f>
        <v>Faktura VAT</v>
      </c>
      <c r="H2751" s="2" t="str">
        <f>TRIM(Table1[[#This Row],[Magazyn]])</f>
        <v>Apteka Szpitalna</v>
      </c>
      <c r="I2751" s="2" t="str">
        <f>TRIM(Table1[[#This Row],[Umowa]])</f>
        <v>UM-HUR-01</v>
      </c>
      <c r="J2751" s="2" t="b">
        <f>ISTEXT(Table14[[#This Row],[Data_Wystawienia]])</f>
        <v>0</v>
      </c>
      <c r="K2751" s="2">
        <f>VALUE(SUBSTITUTE(Table14[[#This Row],[Wartość]],".",","))</f>
        <v>18693.59</v>
      </c>
      <c r="L27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1" s="2" t="str">
        <f>IF(Table14[[#This Row],[Umowa]]="","Poza umową","Z umowy")</f>
        <v>Z umowy</v>
      </c>
      <c r="N2751" s="2">
        <f>YEAR(Table14[[#This Row],[Data_Wystawienia]])</f>
        <v>2024</v>
      </c>
      <c r="O2751" s="2" t="str">
        <f>TEXT(Table14[[#This Row],[Data_Wystawienia]],"rrrr-mm")</f>
        <v>2024-10</v>
      </c>
      <c r="P2751" s="2">
        <v>1</v>
      </c>
    </row>
    <row r="2752" spans="1:16" x14ac:dyDescent="0.3">
      <c r="A2752" s="2" t="str">
        <f>TRIM(Table1[[#This Row],[Numer_FV]])</f>
        <v>FV/93/SAL/24</v>
      </c>
      <c r="B2752" s="2" t="str">
        <f>TRIM(Table1[[#This Row],[Numer_PZ]])</f>
        <v>PZ/802750</v>
      </c>
      <c r="C2752" s="2" t="str">
        <f>TRIM(Table1[[#This Row],[Dostawca]])</f>
        <v>SalusHurt</v>
      </c>
      <c r="D2752" s="3">
        <v>45569</v>
      </c>
      <c r="E2752" s="4" t="s">
        <v>8128</v>
      </c>
      <c r="F2752" s="2" t="str">
        <f>TRIM(Table1[[#This Row],[Status]])</f>
        <v>Zaakceptowana</v>
      </c>
      <c r="G2752" s="2" t="str">
        <f>TRIM(Table1[[#This Row],[Typ]])</f>
        <v>Faktura VAT</v>
      </c>
      <c r="H2752" s="2" t="str">
        <f>TRIM(Table1[[#This Row],[Magazyn]])</f>
        <v>Apteka Szpitalna</v>
      </c>
      <c r="I2752" s="2" t="str">
        <f>TRIM(Table1[[#This Row],[Umowa]])</f>
        <v>UM-SAL-02</v>
      </c>
      <c r="J2752" s="2" t="b">
        <f>ISTEXT(Table14[[#This Row],[Data_Wystawienia]])</f>
        <v>0</v>
      </c>
      <c r="K2752" s="2">
        <f>VALUE(SUBSTITUTE(Table14[[#This Row],[Wartość]],".",","))</f>
        <v>10834.47</v>
      </c>
      <c r="L27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2" s="2" t="str">
        <f>IF(Table14[[#This Row],[Umowa]]="","Poza umową","Z umowy")</f>
        <v>Z umowy</v>
      </c>
      <c r="N2752" s="2">
        <f>YEAR(Table14[[#This Row],[Data_Wystawienia]])</f>
        <v>2024</v>
      </c>
      <c r="O2752" s="2" t="str">
        <f>TEXT(Table14[[#This Row],[Data_Wystawienia]],"rrrr-mm")</f>
        <v>2024-10</v>
      </c>
      <c r="P2752" s="2">
        <v>1</v>
      </c>
    </row>
    <row r="2753" spans="1:16" x14ac:dyDescent="0.3">
      <c r="A2753" s="2" t="str">
        <f>TRIM(Table1[[#This Row],[Numer_FV]])</f>
        <v>FV/84889/VDb/2024</v>
      </c>
      <c r="B2753" s="2" t="str">
        <f>TRIM(Table1[[#This Row],[Numer_PZ]])</f>
        <v>PZ/802751</v>
      </c>
      <c r="C2753" s="2" t="str">
        <f>TRIM(Table1[[#This Row],[Dostawca]])</f>
        <v>VitaDistrib</v>
      </c>
      <c r="D2753" s="3">
        <v>45569</v>
      </c>
      <c r="E2753" s="4" t="s">
        <v>8131</v>
      </c>
      <c r="F2753" s="2" t="str">
        <f>TRIM(Table1[[#This Row],[Status]])</f>
        <v>Zaakceptowana</v>
      </c>
      <c r="G2753" s="2" t="str">
        <f>TRIM(Table1[[#This Row],[Typ]])</f>
        <v>Faktura VAT</v>
      </c>
      <c r="H2753" s="2" t="str">
        <f>TRIM(Table1[[#This Row],[Magazyn]])</f>
        <v>Apteka Szpitalna</v>
      </c>
      <c r="I2753" s="2" t="str">
        <f>TRIM(Table1[[#This Row],[Umowa]])</f>
        <v/>
      </c>
      <c r="J2753" s="2" t="b">
        <f>ISTEXT(Table14[[#This Row],[Data_Wystawienia]])</f>
        <v>0</v>
      </c>
      <c r="K2753" s="2">
        <f>VALUE(SUBSTITUTE(Table14[[#This Row],[Wartość]],".",","))</f>
        <v>4317.12</v>
      </c>
      <c r="L27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3" s="2" t="str">
        <f>IF(Table14[[#This Row],[Umowa]]="","Poza umową","Z umowy")</f>
        <v>Poza umową</v>
      </c>
      <c r="N2753" s="2">
        <f>YEAR(Table14[[#This Row],[Data_Wystawienia]])</f>
        <v>2024</v>
      </c>
      <c r="O2753" s="2" t="str">
        <f>TEXT(Table14[[#This Row],[Data_Wystawienia]],"rrrr-mm")</f>
        <v>2024-10</v>
      </c>
      <c r="P2753" s="2">
        <v>1</v>
      </c>
    </row>
    <row r="2754" spans="1:16" x14ac:dyDescent="0.3">
      <c r="A2754" s="2" t="str">
        <f>TRIM(Table1[[#This Row],[Numer_FV]])</f>
        <v>FV/72/SAL/24</v>
      </c>
      <c r="B2754" s="2" t="str">
        <f>TRIM(Table1[[#This Row],[Numer_PZ]])</f>
        <v>PZ/802752</v>
      </c>
      <c r="C2754" s="2" t="str">
        <f>TRIM(Table1[[#This Row],[Dostawca]])</f>
        <v>SalusHurt</v>
      </c>
      <c r="D2754" s="3">
        <v>45569</v>
      </c>
      <c r="E2754" s="4" t="s">
        <v>8134</v>
      </c>
      <c r="F2754" s="2" t="str">
        <f>TRIM(Table1[[#This Row],[Status]])</f>
        <v>Zaakceptowana</v>
      </c>
      <c r="G2754" s="2" t="str">
        <f>TRIM(Table1[[#This Row],[Typ]])</f>
        <v>Faktura VAT</v>
      </c>
      <c r="H2754" s="2" t="str">
        <f>TRIM(Table1[[#This Row],[Magazyn]])</f>
        <v>Apteka Szpitalna</v>
      </c>
      <c r="I2754" s="2" t="str">
        <f>TRIM(Table1[[#This Row],[Umowa]])</f>
        <v>UM-SAL-02</v>
      </c>
      <c r="J2754" s="2" t="b">
        <f>ISTEXT(Table14[[#This Row],[Data_Wystawienia]])</f>
        <v>0</v>
      </c>
      <c r="K2754" s="2">
        <f>VALUE(SUBSTITUTE(Table14[[#This Row],[Wartość]],".",","))</f>
        <v>18469.55</v>
      </c>
      <c r="L27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4" s="2" t="str">
        <f>IF(Table14[[#This Row],[Umowa]]="","Poza umową","Z umowy")</f>
        <v>Z umowy</v>
      </c>
      <c r="N2754" s="2">
        <f>YEAR(Table14[[#This Row],[Data_Wystawienia]])</f>
        <v>2024</v>
      </c>
      <c r="O2754" s="2" t="str">
        <f>TEXT(Table14[[#This Row],[Data_Wystawienia]],"rrrr-mm")</f>
        <v>2024-10</v>
      </c>
      <c r="P2754" s="2">
        <v>1</v>
      </c>
    </row>
    <row r="2755" spans="1:16" x14ac:dyDescent="0.3">
      <c r="A2755" s="2" t="str">
        <f>TRIM(Table1[[#This Row],[Numer_FV]])</f>
        <v>FV/37/PP/5521/24</v>
      </c>
      <c r="B2755" s="2" t="str">
        <f>TRIM(Table1[[#This Row],[Numer_PZ]])</f>
        <v>PZ/802753</v>
      </c>
      <c r="C2755" s="2" t="str">
        <f>TRIM(Table1[[#This Row],[Dostawca]])</f>
        <v>PharmaPlus</v>
      </c>
      <c r="D2755" s="3">
        <v>45569</v>
      </c>
      <c r="E2755" s="4" t="s">
        <v>8137</v>
      </c>
      <c r="F2755" s="2" t="str">
        <f>TRIM(Table1[[#This Row],[Status]])</f>
        <v>Zaakceptowana</v>
      </c>
      <c r="G2755" s="2" t="str">
        <f>TRIM(Table1[[#This Row],[Typ]])</f>
        <v>Faktura VAT</v>
      </c>
      <c r="H2755" s="2" t="str">
        <f>TRIM(Table1[[#This Row],[Magazyn]])</f>
        <v>Apteka Szpitalna</v>
      </c>
      <c r="I2755" s="2" t="str">
        <f>TRIM(Table1[[#This Row],[Umowa]])</f>
        <v/>
      </c>
      <c r="J2755" s="2" t="b">
        <f>ISTEXT(Table14[[#This Row],[Data_Wystawienia]])</f>
        <v>0</v>
      </c>
      <c r="K2755" s="2">
        <f>VALUE(SUBSTITUTE(Table14[[#This Row],[Wartość]],".",","))</f>
        <v>21345.41</v>
      </c>
      <c r="L27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5" s="2" t="str">
        <f>IF(Table14[[#This Row],[Umowa]]="","Poza umową","Z umowy")</f>
        <v>Poza umową</v>
      </c>
      <c r="N2755" s="2">
        <f>YEAR(Table14[[#This Row],[Data_Wystawienia]])</f>
        <v>2024</v>
      </c>
      <c r="O2755" s="2" t="str">
        <f>TEXT(Table14[[#This Row],[Data_Wystawienia]],"rrrr-mm")</f>
        <v>2024-10</v>
      </c>
      <c r="P2755" s="2">
        <v>1</v>
      </c>
    </row>
    <row r="2756" spans="1:16" x14ac:dyDescent="0.3">
      <c r="A2756" s="2" t="str">
        <f>TRIM(Table1[[#This Row],[Numer_FV]])</f>
        <v>FV/8117HM/24</v>
      </c>
      <c r="B2756" s="2" t="str">
        <f>TRIM(Table1[[#This Row],[Numer_PZ]])</f>
        <v>PZ/802754</v>
      </c>
      <c r="C2756" s="2" t="str">
        <f>TRIM(Table1[[#This Row],[Dostawca]])</f>
        <v>HurtMedix</v>
      </c>
      <c r="D2756" s="3">
        <v>45570</v>
      </c>
      <c r="E2756" s="4" t="s">
        <v>8140</v>
      </c>
      <c r="F2756" s="2" t="str">
        <f>TRIM(Table1[[#This Row],[Status]])</f>
        <v>Zaakceptowana</v>
      </c>
      <c r="G2756" s="2" t="str">
        <f>TRIM(Table1[[#This Row],[Typ]])</f>
        <v>Faktura VAT</v>
      </c>
      <c r="H2756" s="2" t="str">
        <f>TRIM(Table1[[#This Row],[Magazyn]])</f>
        <v>Apteka Szpitalna</v>
      </c>
      <c r="I2756" s="2" t="str">
        <f>TRIM(Table1[[#This Row],[Umowa]])</f>
        <v>UM-HUR-03</v>
      </c>
      <c r="J2756" s="2" t="b">
        <f>ISTEXT(Table14[[#This Row],[Data_Wystawienia]])</f>
        <v>0</v>
      </c>
      <c r="K2756" s="2">
        <f>VALUE(SUBSTITUTE(Table14[[#This Row],[Wartość]],".",","))</f>
        <v>18154.259999999998</v>
      </c>
      <c r="L27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6" s="2" t="str">
        <f>IF(Table14[[#This Row],[Umowa]]="","Poza umową","Z umowy")</f>
        <v>Z umowy</v>
      </c>
      <c r="N2756" s="2">
        <f>YEAR(Table14[[#This Row],[Data_Wystawienia]])</f>
        <v>2024</v>
      </c>
      <c r="O2756" s="2" t="str">
        <f>TEXT(Table14[[#This Row],[Data_Wystawienia]],"rrrr-mm")</f>
        <v>2024-10</v>
      </c>
      <c r="P2756" s="2">
        <v>1</v>
      </c>
    </row>
    <row r="2757" spans="1:16" x14ac:dyDescent="0.3">
      <c r="A2757" s="2" t="str">
        <f>TRIM(Table1[[#This Row],[Numer_FV]])</f>
        <v>FV/CENFA/298570/24</v>
      </c>
      <c r="B2757" s="2" t="str">
        <f>TRIM(Table1[[#This Row],[Numer_PZ]])</f>
        <v>PZ/802755</v>
      </c>
      <c r="C2757" s="2" t="str">
        <f>TRIM(Table1[[#This Row],[Dostawca]])</f>
        <v>CentrumFarm</v>
      </c>
      <c r="D2757" s="3">
        <v>45570</v>
      </c>
      <c r="E2757" s="4" t="s">
        <v>8143</v>
      </c>
      <c r="F2757" s="2" t="str">
        <f>TRIM(Table1[[#This Row],[Status]])</f>
        <v>Zaakceptowana</v>
      </c>
      <c r="G2757" s="2" t="str">
        <f>TRIM(Table1[[#This Row],[Typ]])</f>
        <v>Faktura VAT</v>
      </c>
      <c r="H2757" s="2" t="str">
        <f>TRIM(Table1[[#This Row],[Magazyn]])</f>
        <v>Apteka Szpitalna</v>
      </c>
      <c r="I2757" s="2" t="str">
        <f>TRIM(Table1[[#This Row],[Umowa]])</f>
        <v>UM-CEN-01</v>
      </c>
      <c r="J2757" s="2" t="b">
        <f>ISTEXT(Table14[[#This Row],[Data_Wystawienia]])</f>
        <v>0</v>
      </c>
      <c r="K2757" s="2">
        <f>VALUE(SUBSTITUTE(Table14[[#This Row],[Wartość]],".",","))</f>
        <v>13374.44</v>
      </c>
      <c r="L27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7" s="2" t="str">
        <f>IF(Table14[[#This Row],[Umowa]]="","Poza umową","Z umowy")</f>
        <v>Z umowy</v>
      </c>
      <c r="N2757" s="2">
        <f>YEAR(Table14[[#This Row],[Data_Wystawienia]])</f>
        <v>2024</v>
      </c>
      <c r="O2757" s="2" t="str">
        <f>TEXT(Table14[[#This Row],[Data_Wystawienia]],"rrrr-mm")</f>
        <v>2024-10</v>
      </c>
      <c r="P2757" s="2">
        <v>1</v>
      </c>
    </row>
    <row r="2758" spans="1:16" x14ac:dyDescent="0.3">
      <c r="A2758" s="2" t="str">
        <f>TRIM(Table1[[#This Row],[Numer_FV]])</f>
        <v>FV/CENFA/665760/24</v>
      </c>
      <c r="B2758" s="2" t="str">
        <f>TRIM(Table1[[#This Row],[Numer_PZ]])</f>
        <v>PZ/802756</v>
      </c>
      <c r="C2758" s="2" t="str">
        <f>TRIM(Table1[[#This Row],[Dostawca]])</f>
        <v>CentrumFarm</v>
      </c>
      <c r="D2758" s="3">
        <v>45571</v>
      </c>
      <c r="E2758" s="4" t="s">
        <v>8146</v>
      </c>
      <c r="F2758" s="2" t="str">
        <f>TRIM(Table1[[#This Row],[Status]])</f>
        <v>Zaakceptowana</v>
      </c>
      <c r="G2758" s="2" t="str">
        <f>TRIM(Table1[[#This Row],[Typ]])</f>
        <v>Faktura VAT</v>
      </c>
      <c r="H2758" s="2" t="str">
        <f>TRIM(Table1[[#This Row],[Magazyn]])</f>
        <v>Apteka Szpitalna</v>
      </c>
      <c r="I2758" s="2" t="str">
        <f>TRIM(Table1[[#This Row],[Umowa]])</f>
        <v>UM-CEN-02</v>
      </c>
      <c r="J2758" s="2" t="b">
        <f>ISTEXT(Table14[[#This Row],[Data_Wystawienia]])</f>
        <v>0</v>
      </c>
      <c r="K2758" s="2">
        <f>VALUE(SUBSTITUTE(Table14[[#This Row],[Wartość]],".",","))</f>
        <v>14532.04</v>
      </c>
      <c r="L27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8" s="2" t="str">
        <f>IF(Table14[[#This Row],[Umowa]]="","Poza umową","Z umowy")</f>
        <v>Z umowy</v>
      </c>
      <c r="N2758" s="2">
        <f>YEAR(Table14[[#This Row],[Data_Wystawienia]])</f>
        <v>2024</v>
      </c>
      <c r="O2758" s="2" t="str">
        <f>TEXT(Table14[[#This Row],[Data_Wystawienia]],"rrrr-mm")</f>
        <v>2024-10</v>
      </c>
      <c r="P2758" s="2">
        <v>1</v>
      </c>
    </row>
    <row r="2759" spans="1:16" x14ac:dyDescent="0.3">
      <c r="A2759" s="2" t="str">
        <f>TRIM(Table1[[#This Row],[Numer_FV]])</f>
        <v>FV/52718/VDb/2024</v>
      </c>
      <c r="B2759" s="2" t="str">
        <f>TRIM(Table1[[#This Row],[Numer_PZ]])</f>
        <v>PZ/802757</v>
      </c>
      <c r="C2759" s="2" t="str">
        <f>TRIM(Table1[[#This Row],[Dostawca]])</f>
        <v>VitaDistrib</v>
      </c>
      <c r="D2759" s="3">
        <v>45572</v>
      </c>
      <c r="E2759" s="4" t="s">
        <v>8149</v>
      </c>
      <c r="F2759" s="2" t="str">
        <f>TRIM(Table1[[#This Row],[Status]])</f>
        <v>Zaakceptowana</v>
      </c>
      <c r="G2759" s="2" t="str">
        <f>TRIM(Table1[[#This Row],[Typ]])</f>
        <v>Faktura VAT</v>
      </c>
      <c r="H2759" s="2" t="str">
        <f>TRIM(Table1[[#This Row],[Magazyn]])</f>
        <v>Apteka Szpitalna</v>
      </c>
      <c r="I2759" s="2" t="str">
        <f>TRIM(Table1[[#This Row],[Umowa]])</f>
        <v>UM-VIT-01</v>
      </c>
      <c r="J2759" s="2" t="b">
        <f>ISTEXT(Table14[[#This Row],[Data_Wystawienia]])</f>
        <v>0</v>
      </c>
      <c r="K2759" s="2">
        <f>VALUE(SUBSTITUTE(Table14[[#This Row],[Wartość]],".",","))</f>
        <v>16102.3</v>
      </c>
      <c r="L27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59" s="2" t="str">
        <f>IF(Table14[[#This Row],[Umowa]]="","Poza umową","Z umowy")</f>
        <v>Z umowy</v>
      </c>
      <c r="N2759" s="2">
        <f>YEAR(Table14[[#This Row],[Data_Wystawienia]])</f>
        <v>2024</v>
      </c>
      <c r="O2759" s="2" t="str">
        <f>TEXT(Table14[[#This Row],[Data_Wystawienia]],"rrrr-mm")</f>
        <v>2024-10</v>
      </c>
      <c r="P2759" s="2">
        <v>1</v>
      </c>
    </row>
    <row r="2760" spans="1:16" x14ac:dyDescent="0.3">
      <c r="A2760" s="2" t="str">
        <f>TRIM(Table1[[#This Row],[Numer_FV]])</f>
        <v>FV/POL/51728/2024</v>
      </c>
      <c r="B2760" s="2" t="str">
        <f>TRIM(Table1[[#This Row],[Numer_PZ]])</f>
        <v>PZ/802758</v>
      </c>
      <c r="C2760" s="2" t="str">
        <f>TRIM(Table1[[#This Row],[Dostawca]])</f>
        <v>Polmedica</v>
      </c>
      <c r="D2760" s="3">
        <v>45572</v>
      </c>
      <c r="E2760" s="4" t="s">
        <v>8152</v>
      </c>
      <c r="F2760" s="2" t="str">
        <f>TRIM(Table1[[#This Row],[Status]])</f>
        <v>Zaakceptowana</v>
      </c>
      <c r="G2760" s="2" t="str">
        <f>TRIM(Table1[[#This Row],[Typ]])</f>
        <v>Faktura VAT</v>
      </c>
      <c r="H2760" s="2" t="str">
        <f>TRIM(Table1[[#This Row],[Magazyn]])</f>
        <v>Apteka Szpitalna</v>
      </c>
      <c r="I2760" s="2" t="str">
        <f>TRIM(Table1[[#This Row],[Umowa]])</f>
        <v>UM-POL-01</v>
      </c>
      <c r="J2760" s="2" t="b">
        <f>ISTEXT(Table14[[#This Row],[Data_Wystawienia]])</f>
        <v>0</v>
      </c>
      <c r="K2760" s="2">
        <f>VALUE(SUBSTITUTE(Table14[[#This Row],[Wartość]],".",","))</f>
        <v>18298.259999999998</v>
      </c>
      <c r="L27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0" s="2" t="str">
        <f>IF(Table14[[#This Row],[Umowa]]="","Poza umową","Z umowy")</f>
        <v>Z umowy</v>
      </c>
      <c r="N2760" s="2">
        <f>YEAR(Table14[[#This Row],[Data_Wystawienia]])</f>
        <v>2024</v>
      </c>
      <c r="O2760" s="2" t="str">
        <f>TEXT(Table14[[#This Row],[Data_Wystawienia]],"rrrr-mm")</f>
        <v>2024-10</v>
      </c>
      <c r="P2760" s="2">
        <v>1</v>
      </c>
    </row>
    <row r="2761" spans="1:16" x14ac:dyDescent="0.3">
      <c r="A2761" s="2" t="str">
        <f>TRIM(Table1[[#This Row],[Numer_FV]])</f>
        <v>FV/21366/VDb/2024</v>
      </c>
      <c r="B2761" s="2" t="str">
        <f>TRIM(Table1[[#This Row],[Numer_PZ]])</f>
        <v>PZ/802759</v>
      </c>
      <c r="C2761" s="2" t="str">
        <f>TRIM(Table1[[#This Row],[Dostawca]])</f>
        <v>VitaDistrib</v>
      </c>
      <c r="D2761" s="3">
        <v>45573</v>
      </c>
      <c r="E2761" s="4" t="s">
        <v>8155</v>
      </c>
      <c r="F2761" s="2" t="str">
        <f>TRIM(Table1[[#This Row],[Status]])</f>
        <v>Zaakceptowana</v>
      </c>
      <c r="G2761" s="2" t="str">
        <f>TRIM(Table1[[#This Row],[Typ]])</f>
        <v>Faktura VAT</v>
      </c>
      <c r="H2761" s="2" t="str">
        <f>TRIM(Table1[[#This Row],[Magazyn]])</f>
        <v>Apteka Szpitalna</v>
      </c>
      <c r="I2761" s="2" t="str">
        <f>TRIM(Table1[[#This Row],[Umowa]])</f>
        <v>UM-VIT-01</v>
      </c>
      <c r="J2761" s="2" t="b">
        <f>ISTEXT(Table14[[#This Row],[Data_Wystawienia]])</f>
        <v>0</v>
      </c>
      <c r="K2761" s="2">
        <f>VALUE(SUBSTITUTE(Table14[[#This Row],[Wartość]],".",","))</f>
        <v>16158.97</v>
      </c>
      <c r="L27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1" s="2" t="str">
        <f>IF(Table14[[#This Row],[Umowa]]="","Poza umową","Z umowy")</f>
        <v>Z umowy</v>
      </c>
      <c r="N2761" s="2">
        <f>YEAR(Table14[[#This Row],[Data_Wystawienia]])</f>
        <v>2024</v>
      </c>
      <c r="O2761" s="2" t="str">
        <f>TEXT(Table14[[#This Row],[Data_Wystawienia]],"rrrr-mm")</f>
        <v>2024-10</v>
      </c>
      <c r="P2761" s="2">
        <v>1</v>
      </c>
    </row>
    <row r="2762" spans="1:16" x14ac:dyDescent="0.3">
      <c r="A2762" s="2" t="str">
        <f>TRIM(Table1[[#This Row],[Numer_FV]])</f>
        <v>FV/9374HM/24</v>
      </c>
      <c r="B2762" s="2" t="str">
        <f>TRIM(Table1[[#This Row],[Numer_PZ]])</f>
        <v>PZ/802760</v>
      </c>
      <c r="C2762" s="2" t="str">
        <f>TRIM(Table1[[#This Row],[Dostawca]])</f>
        <v>HurtMedix</v>
      </c>
      <c r="D2762" s="3">
        <v>45573</v>
      </c>
      <c r="E2762" s="4" t="s">
        <v>8158</v>
      </c>
      <c r="F2762" s="2" t="str">
        <f>TRIM(Table1[[#This Row],[Status]])</f>
        <v>Zaakceptowana</v>
      </c>
      <c r="G2762" s="2" t="str">
        <f>TRIM(Table1[[#This Row],[Typ]])</f>
        <v>Faktura VAT</v>
      </c>
      <c r="H2762" s="2" t="str">
        <f>TRIM(Table1[[#This Row],[Magazyn]])</f>
        <v>Apteka Szpitalna</v>
      </c>
      <c r="I2762" s="2" t="str">
        <f>TRIM(Table1[[#This Row],[Umowa]])</f>
        <v>UM-HUR-02</v>
      </c>
      <c r="J2762" s="2" t="b">
        <f>ISTEXT(Table14[[#This Row],[Data_Wystawienia]])</f>
        <v>0</v>
      </c>
      <c r="K2762" s="2">
        <f>VALUE(SUBSTITUTE(Table14[[#This Row],[Wartość]],".",","))</f>
        <v>12573.23</v>
      </c>
      <c r="L27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2" s="2" t="str">
        <f>IF(Table14[[#This Row],[Umowa]]="","Poza umową","Z umowy")</f>
        <v>Z umowy</v>
      </c>
      <c r="N2762" s="2">
        <f>YEAR(Table14[[#This Row],[Data_Wystawienia]])</f>
        <v>2024</v>
      </c>
      <c r="O2762" s="2" t="str">
        <f>TEXT(Table14[[#This Row],[Data_Wystawienia]],"rrrr-mm")</f>
        <v>2024-10</v>
      </c>
      <c r="P2762" s="2">
        <v>1</v>
      </c>
    </row>
    <row r="2763" spans="1:16" x14ac:dyDescent="0.3">
      <c r="A2763" s="2" t="str">
        <f>TRIM(Table1[[#This Row],[Numer_FV]])</f>
        <v>FV/CENFA/994222/24</v>
      </c>
      <c r="B2763" s="2" t="str">
        <f>TRIM(Table1[[#This Row],[Numer_PZ]])</f>
        <v>PZ/802761</v>
      </c>
      <c r="C2763" s="2" t="str">
        <f>TRIM(Table1[[#This Row],[Dostawca]])</f>
        <v>CentrumFarm</v>
      </c>
      <c r="D2763" s="3">
        <v>45573</v>
      </c>
      <c r="E2763" s="4" t="s">
        <v>8161</v>
      </c>
      <c r="F2763" s="2" t="str">
        <f>TRIM(Table1[[#This Row],[Status]])</f>
        <v>Zaakceptowana</v>
      </c>
      <c r="G2763" s="2" t="str">
        <f>TRIM(Table1[[#This Row],[Typ]])</f>
        <v>Faktura VAT</v>
      </c>
      <c r="H2763" s="2" t="str">
        <f>TRIM(Table1[[#This Row],[Magazyn]])</f>
        <v>Apteka Szpitalna</v>
      </c>
      <c r="I2763" s="2" t="str">
        <f>TRIM(Table1[[#This Row],[Umowa]])</f>
        <v>UM-CEN-01</v>
      </c>
      <c r="J2763" s="2" t="b">
        <f>ISTEXT(Table14[[#This Row],[Data_Wystawienia]])</f>
        <v>0</v>
      </c>
      <c r="K2763" s="2">
        <f>VALUE(SUBSTITUTE(Table14[[#This Row],[Wartość]],".",","))</f>
        <v>15307.24</v>
      </c>
      <c r="L27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3" s="2" t="str">
        <f>IF(Table14[[#This Row],[Umowa]]="","Poza umową","Z umowy")</f>
        <v>Z umowy</v>
      </c>
      <c r="N2763" s="2">
        <f>YEAR(Table14[[#This Row],[Data_Wystawienia]])</f>
        <v>2024</v>
      </c>
      <c r="O2763" s="2" t="str">
        <f>TEXT(Table14[[#This Row],[Data_Wystawienia]],"rrrr-mm")</f>
        <v>2024-10</v>
      </c>
      <c r="P2763" s="2">
        <v>1</v>
      </c>
    </row>
    <row r="2764" spans="1:16" x14ac:dyDescent="0.3">
      <c r="A2764" s="2" t="str">
        <f>TRIM(Table1[[#This Row],[Numer_FV]])</f>
        <v>FV/4307/NOVA/24</v>
      </c>
      <c r="B2764" s="2" t="str">
        <f>TRIM(Table1[[#This Row],[Numer_PZ]])</f>
        <v>PZ/802762</v>
      </c>
      <c r="C2764" s="2" t="str">
        <f>TRIM(Table1[[#This Row],[Dostawca]])</f>
        <v>NovaLek</v>
      </c>
      <c r="D2764" s="3">
        <v>45573</v>
      </c>
      <c r="E2764" s="4" t="s">
        <v>8164</v>
      </c>
      <c r="F2764" s="2" t="str">
        <f>TRIM(Table1[[#This Row],[Status]])</f>
        <v>Zaakceptowana</v>
      </c>
      <c r="G2764" s="2" t="str">
        <f>TRIM(Table1[[#This Row],[Typ]])</f>
        <v>Faktura VAT</v>
      </c>
      <c r="H2764" s="2" t="str">
        <f>TRIM(Table1[[#This Row],[Magazyn]])</f>
        <v>Apteka Szpitalna</v>
      </c>
      <c r="I2764" s="2" t="str">
        <f>TRIM(Table1[[#This Row],[Umowa]])</f>
        <v/>
      </c>
      <c r="J2764" s="2" t="b">
        <f>ISTEXT(Table14[[#This Row],[Data_Wystawienia]])</f>
        <v>0</v>
      </c>
      <c r="K2764" s="2">
        <f>VALUE(SUBSTITUTE(Table14[[#This Row],[Wartość]],".",","))</f>
        <v>10706.53</v>
      </c>
      <c r="L27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4" s="2" t="str">
        <f>IF(Table14[[#This Row],[Umowa]]="","Poza umową","Z umowy")</f>
        <v>Poza umową</v>
      </c>
      <c r="N2764" s="2">
        <f>YEAR(Table14[[#This Row],[Data_Wystawienia]])</f>
        <v>2024</v>
      </c>
      <c r="O2764" s="2" t="str">
        <f>TEXT(Table14[[#This Row],[Data_Wystawienia]],"rrrr-mm")</f>
        <v>2024-10</v>
      </c>
      <c r="P2764" s="2">
        <v>1</v>
      </c>
    </row>
    <row r="2765" spans="1:16" x14ac:dyDescent="0.3">
      <c r="A2765" s="2" t="str">
        <f>TRIM(Table1[[#This Row],[Numer_FV]])</f>
        <v>FV/21560/VDb/2024</v>
      </c>
      <c r="B2765" s="2" t="str">
        <f>TRIM(Table1[[#This Row],[Numer_PZ]])</f>
        <v>PZ/802763</v>
      </c>
      <c r="C2765" s="2" t="str">
        <f>TRIM(Table1[[#This Row],[Dostawca]])</f>
        <v>VitaDistrib</v>
      </c>
      <c r="D2765" s="3">
        <v>45574</v>
      </c>
      <c r="E2765" s="4" t="s">
        <v>8167</v>
      </c>
      <c r="F2765" s="2" t="str">
        <f>TRIM(Table1[[#This Row],[Status]])</f>
        <v>Zaakceptowana</v>
      </c>
      <c r="G2765" s="2" t="str">
        <f>TRIM(Table1[[#This Row],[Typ]])</f>
        <v>Faktura VAT</v>
      </c>
      <c r="H2765" s="2" t="str">
        <f>TRIM(Table1[[#This Row],[Magazyn]])</f>
        <v>Apteka Szpitalna</v>
      </c>
      <c r="I2765" s="2" t="str">
        <f>TRIM(Table1[[#This Row],[Umowa]])</f>
        <v>UM-VIT-01</v>
      </c>
      <c r="J2765" s="2" t="b">
        <f>ISTEXT(Table14[[#This Row],[Data_Wystawienia]])</f>
        <v>0</v>
      </c>
      <c r="K2765" s="2">
        <f>VALUE(SUBSTITUTE(Table14[[#This Row],[Wartość]],".",","))</f>
        <v>10466.64</v>
      </c>
      <c r="L27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5" s="2" t="str">
        <f>IF(Table14[[#This Row],[Umowa]]="","Poza umową","Z umowy")</f>
        <v>Z umowy</v>
      </c>
      <c r="N2765" s="2">
        <f>YEAR(Table14[[#This Row],[Data_Wystawienia]])</f>
        <v>2024</v>
      </c>
      <c r="O2765" s="2" t="str">
        <f>TEXT(Table14[[#This Row],[Data_Wystawienia]],"rrrr-mm")</f>
        <v>2024-10</v>
      </c>
      <c r="P2765" s="2">
        <v>1</v>
      </c>
    </row>
    <row r="2766" spans="1:16" x14ac:dyDescent="0.3">
      <c r="A2766" s="2" t="str">
        <f>TRIM(Table1[[#This Row],[Numer_FV]])</f>
        <v>FV/79597/VDb/2024</v>
      </c>
      <c r="B2766" s="2" t="str">
        <f>TRIM(Table1[[#This Row],[Numer_PZ]])</f>
        <v>PZ/802764</v>
      </c>
      <c r="C2766" s="2" t="str">
        <f>TRIM(Table1[[#This Row],[Dostawca]])</f>
        <v>VitaDistrib</v>
      </c>
      <c r="D2766" s="3">
        <v>45574</v>
      </c>
      <c r="E2766" s="4" t="s">
        <v>8170</v>
      </c>
      <c r="F2766" s="2" t="str">
        <f>TRIM(Table1[[#This Row],[Status]])</f>
        <v>Zaakceptowana</v>
      </c>
      <c r="G2766" s="2" t="str">
        <f>TRIM(Table1[[#This Row],[Typ]])</f>
        <v>Faktura VAT</v>
      </c>
      <c r="H2766" s="2" t="str">
        <f>TRIM(Table1[[#This Row],[Magazyn]])</f>
        <v>Apteka Szpitalna</v>
      </c>
      <c r="I2766" s="2" t="str">
        <f>TRIM(Table1[[#This Row],[Umowa]])</f>
        <v/>
      </c>
      <c r="J2766" s="2" t="b">
        <f>ISTEXT(Table14[[#This Row],[Data_Wystawienia]])</f>
        <v>0</v>
      </c>
      <c r="K2766" s="2">
        <f>VALUE(SUBSTITUTE(Table14[[#This Row],[Wartość]],".",","))</f>
        <v>17928.91</v>
      </c>
      <c r="L27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6" s="2" t="str">
        <f>IF(Table14[[#This Row],[Umowa]]="","Poza umową","Z umowy")</f>
        <v>Poza umową</v>
      </c>
      <c r="N2766" s="2">
        <f>YEAR(Table14[[#This Row],[Data_Wystawienia]])</f>
        <v>2024</v>
      </c>
      <c r="O2766" s="2" t="str">
        <f>TEXT(Table14[[#This Row],[Data_Wystawienia]],"rrrr-mm")</f>
        <v>2024-10</v>
      </c>
      <c r="P2766" s="2">
        <v>1</v>
      </c>
    </row>
    <row r="2767" spans="1:16" x14ac:dyDescent="0.3">
      <c r="A2767" s="2" t="str">
        <f>TRIM(Table1[[#This Row],[Numer_FV]])</f>
        <v>FV/M/9738/P/24</v>
      </c>
      <c r="B2767" s="2" t="str">
        <f>TRIM(Table1[[#This Row],[Numer_PZ]])</f>
        <v>PZ/802765</v>
      </c>
      <c r="C2767" s="2" t="str">
        <f>TRIM(Table1[[#This Row],[Dostawca]])</f>
        <v>MedicaPharm</v>
      </c>
      <c r="D2767" s="3">
        <v>45575</v>
      </c>
      <c r="E2767" s="4" t="s">
        <v>8173</v>
      </c>
      <c r="F2767" s="2" t="str">
        <f>TRIM(Table1[[#This Row],[Status]])</f>
        <v>Zaakceptowana</v>
      </c>
      <c r="G2767" s="2" t="str">
        <f>TRIM(Table1[[#This Row],[Typ]])</f>
        <v>Faktura VAT</v>
      </c>
      <c r="H2767" s="2" t="str">
        <f>TRIM(Table1[[#This Row],[Magazyn]])</f>
        <v>Apteka Szpitalna</v>
      </c>
      <c r="I2767" s="2" t="str">
        <f>TRIM(Table1[[#This Row],[Umowa]])</f>
        <v>UM-MED-02</v>
      </c>
      <c r="J2767" s="2" t="b">
        <f>ISTEXT(Table14[[#This Row],[Data_Wystawienia]])</f>
        <v>0</v>
      </c>
      <c r="K2767" s="2">
        <f>VALUE(SUBSTITUTE(Table14[[#This Row],[Wartość]],".",","))</f>
        <v>15687.66</v>
      </c>
      <c r="L27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7" s="2" t="str">
        <f>IF(Table14[[#This Row],[Umowa]]="","Poza umową","Z umowy")</f>
        <v>Z umowy</v>
      </c>
      <c r="N2767" s="2">
        <f>YEAR(Table14[[#This Row],[Data_Wystawienia]])</f>
        <v>2024</v>
      </c>
      <c r="O2767" s="2" t="str">
        <f>TEXT(Table14[[#This Row],[Data_Wystawienia]],"rrrr-mm")</f>
        <v>2024-10</v>
      </c>
      <c r="P2767" s="2">
        <v>1</v>
      </c>
    </row>
    <row r="2768" spans="1:16" x14ac:dyDescent="0.3">
      <c r="A2768" s="2" t="str">
        <f>TRIM(Table1[[#This Row],[Numer_FV]])</f>
        <v>FV/68/PP/2322/24</v>
      </c>
      <c r="B2768" s="2" t="str">
        <f>TRIM(Table1[[#This Row],[Numer_PZ]])</f>
        <v>PZ/802766</v>
      </c>
      <c r="C2768" s="2" t="str">
        <f>TRIM(Table1[[#This Row],[Dostawca]])</f>
        <v>PharmaPlus</v>
      </c>
      <c r="D2768" s="3">
        <v>45575</v>
      </c>
      <c r="E2768" s="4" t="s">
        <v>8176</v>
      </c>
      <c r="F2768" s="2" t="str">
        <f>TRIM(Table1[[#This Row],[Status]])</f>
        <v>Zaakceptowana</v>
      </c>
      <c r="G2768" s="2" t="str">
        <f>TRIM(Table1[[#This Row],[Typ]])</f>
        <v>Korekta FV</v>
      </c>
      <c r="H2768" s="2" t="str">
        <f>TRIM(Table1[[#This Row],[Magazyn]])</f>
        <v>Apteka Szpitalna</v>
      </c>
      <c r="I2768" s="2" t="str">
        <f>TRIM(Table1[[#This Row],[Umowa]])</f>
        <v/>
      </c>
      <c r="J2768" s="2" t="b">
        <f>ISTEXT(Table14[[#This Row],[Data_Wystawienia]])</f>
        <v>0</v>
      </c>
      <c r="K2768" s="2">
        <f>VALUE(SUBSTITUTE(Table14[[#This Row],[Wartość]],".",","))</f>
        <v>-2052.41</v>
      </c>
      <c r="L27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8" s="2" t="str">
        <f>IF(Table14[[#This Row],[Umowa]]="","Poza umową","Z umowy")</f>
        <v>Poza umową</v>
      </c>
      <c r="N2768" s="2">
        <f>YEAR(Table14[[#This Row],[Data_Wystawienia]])</f>
        <v>2024</v>
      </c>
      <c r="O2768" s="2" t="str">
        <f>TEXT(Table14[[#This Row],[Data_Wystawienia]],"rrrr-mm")</f>
        <v>2024-10</v>
      </c>
      <c r="P2768" s="2">
        <v>1</v>
      </c>
    </row>
    <row r="2769" spans="1:16" x14ac:dyDescent="0.3">
      <c r="A2769" s="2" t="str">
        <f>TRIM(Table1[[#This Row],[Numer_FV]])</f>
        <v>FV/CENFA/612593/24</v>
      </c>
      <c r="B2769" s="2" t="str">
        <f>TRIM(Table1[[#This Row],[Numer_PZ]])</f>
        <v>PZ/802767</v>
      </c>
      <c r="C2769" s="2" t="str">
        <f>TRIM(Table1[[#This Row],[Dostawca]])</f>
        <v>CentrumFarm</v>
      </c>
      <c r="D2769" s="3">
        <v>45575</v>
      </c>
      <c r="E2769" s="4" t="s">
        <v>8179</v>
      </c>
      <c r="F2769" s="2" t="str">
        <f>TRIM(Table1[[#This Row],[Status]])</f>
        <v>Zaakceptowana</v>
      </c>
      <c r="G2769" s="2" t="str">
        <f>TRIM(Table1[[#This Row],[Typ]])</f>
        <v>Faktura VAT</v>
      </c>
      <c r="H2769" s="2" t="str">
        <f>TRIM(Table1[[#This Row],[Magazyn]])</f>
        <v>Apteka Szpitalna</v>
      </c>
      <c r="I2769" s="2" t="str">
        <f>TRIM(Table1[[#This Row],[Umowa]])</f>
        <v>UM-CEN-01</v>
      </c>
      <c r="J2769" s="2" t="b">
        <f>ISTEXT(Table14[[#This Row],[Data_Wystawienia]])</f>
        <v>0</v>
      </c>
      <c r="K2769" s="2">
        <f>VALUE(SUBSTITUTE(Table14[[#This Row],[Wartość]],".",","))</f>
        <v>15126.73</v>
      </c>
      <c r="L27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69" s="2" t="str">
        <f>IF(Table14[[#This Row],[Umowa]]="","Poza umową","Z umowy")</f>
        <v>Z umowy</v>
      </c>
      <c r="N2769" s="2">
        <f>YEAR(Table14[[#This Row],[Data_Wystawienia]])</f>
        <v>2024</v>
      </c>
      <c r="O2769" s="2" t="str">
        <f>TEXT(Table14[[#This Row],[Data_Wystawienia]],"rrrr-mm")</f>
        <v>2024-10</v>
      </c>
      <c r="P2769" s="2">
        <v>1</v>
      </c>
    </row>
    <row r="2770" spans="1:16" x14ac:dyDescent="0.3">
      <c r="A2770" s="2" t="str">
        <f>TRIM(Table1[[#This Row],[Numer_FV]])</f>
        <v>FV/M/1799/P/24</v>
      </c>
      <c r="B2770" s="2" t="str">
        <f>TRIM(Table1[[#This Row],[Numer_PZ]])</f>
        <v>PZ/802768</v>
      </c>
      <c r="C2770" s="2" t="str">
        <f>TRIM(Table1[[#This Row],[Dostawca]])</f>
        <v>MedicaPharm</v>
      </c>
      <c r="D2770" s="3">
        <v>45576</v>
      </c>
      <c r="E2770" s="4" t="s">
        <v>8182</v>
      </c>
      <c r="F2770" s="2" t="str">
        <f>TRIM(Table1[[#This Row],[Status]])</f>
        <v>Zaakceptowana</v>
      </c>
      <c r="G2770" s="2" t="str">
        <f>TRIM(Table1[[#This Row],[Typ]])</f>
        <v>Faktura VAT</v>
      </c>
      <c r="H2770" s="2" t="str">
        <f>TRIM(Table1[[#This Row],[Magazyn]])</f>
        <v>Apteka Szpitalna</v>
      </c>
      <c r="I2770" s="2" t="str">
        <f>TRIM(Table1[[#This Row],[Umowa]])</f>
        <v>UM-MED-02</v>
      </c>
      <c r="J2770" s="2" t="b">
        <f>ISTEXT(Table14[[#This Row],[Data_Wystawienia]])</f>
        <v>0</v>
      </c>
      <c r="K2770" s="2">
        <f>VALUE(SUBSTITUTE(Table14[[#This Row],[Wartość]],".",","))</f>
        <v>15353.1</v>
      </c>
      <c r="L27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0" s="2" t="str">
        <f>IF(Table14[[#This Row],[Umowa]]="","Poza umową","Z umowy")</f>
        <v>Z umowy</v>
      </c>
      <c r="N2770" s="2">
        <f>YEAR(Table14[[#This Row],[Data_Wystawienia]])</f>
        <v>2024</v>
      </c>
      <c r="O2770" s="2" t="str">
        <f>TEXT(Table14[[#This Row],[Data_Wystawienia]],"rrrr-mm")</f>
        <v>2024-10</v>
      </c>
      <c r="P2770" s="2">
        <v>1</v>
      </c>
    </row>
    <row r="2771" spans="1:16" x14ac:dyDescent="0.3">
      <c r="A2771" s="2" t="str">
        <f>TRIM(Table1[[#This Row],[Numer_FV]])</f>
        <v>FV/9957HM/24</v>
      </c>
      <c r="B2771" s="2" t="str">
        <f>TRIM(Table1[[#This Row],[Numer_PZ]])</f>
        <v>PZ/802769</v>
      </c>
      <c r="C2771" s="2" t="str">
        <f>TRIM(Table1[[#This Row],[Dostawca]])</f>
        <v>HurtMedix</v>
      </c>
      <c r="D2771" s="3">
        <v>45576</v>
      </c>
      <c r="E2771" s="4" t="s">
        <v>8185</v>
      </c>
      <c r="F2771" s="2" t="str">
        <f>TRIM(Table1[[#This Row],[Status]])</f>
        <v>Zaakceptowana</v>
      </c>
      <c r="G2771" s="2" t="str">
        <f>TRIM(Table1[[#This Row],[Typ]])</f>
        <v>Faktura VAT</v>
      </c>
      <c r="H2771" s="2" t="str">
        <f>TRIM(Table1[[#This Row],[Magazyn]])</f>
        <v>Apteka Szpitalna</v>
      </c>
      <c r="I2771" s="2" t="str">
        <f>TRIM(Table1[[#This Row],[Umowa]])</f>
        <v>UM-HUR-01</v>
      </c>
      <c r="J2771" s="2" t="b">
        <f>ISTEXT(Table14[[#This Row],[Data_Wystawienia]])</f>
        <v>0</v>
      </c>
      <c r="K2771" s="2">
        <f>VALUE(SUBSTITUTE(Table14[[#This Row],[Wartość]],".",","))</f>
        <v>14809.31</v>
      </c>
      <c r="L27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1" s="2" t="str">
        <f>IF(Table14[[#This Row],[Umowa]]="","Poza umową","Z umowy")</f>
        <v>Z umowy</v>
      </c>
      <c r="N2771" s="2">
        <f>YEAR(Table14[[#This Row],[Data_Wystawienia]])</f>
        <v>2024</v>
      </c>
      <c r="O2771" s="2" t="str">
        <f>TEXT(Table14[[#This Row],[Data_Wystawienia]],"rrrr-mm")</f>
        <v>2024-10</v>
      </c>
      <c r="P2771" s="2">
        <v>1</v>
      </c>
    </row>
    <row r="2772" spans="1:16" x14ac:dyDescent="0.3">
      <c r="A2772" s="2" t="str">
        <f>TRIM(Table1[[#This Row],[Numer_FV]])</f>
        <v>FV/M/2724/P/24</v>
      </c>
      <c r="B2772" s="2" t="str">
        <f>TRIM(Table1[[#This Row],[Numer_PZ]])</f>
        <v>PZ/802770</v>
      </c>
      <c r="C2772" s="2" t="str">
        <f>TRIM(Table1[[#This Row],[Dostawca]])</f>
        <v>MedicaPharm</v>
      </c>
      <c r="D2772" s="3">
        <v>45576</v>
      </c>
      <c r="E2772" s="4" t="s">
        <v>8188</v>
      </c>
      <c r="F2772" s="2" t="str">
        <f>TRIM(Table1[[#This Row],[Status]])</f>
        <v>Zaakceptowana</v>
      </c>
      <c r="G2772" s="2" t="str">
        <f>TRIM(Table1[[#This Row],[Typ]])</f>
        <v>Faktura VAT</v>
      </c>
      <c r="H2772" s="2" t="str">
        <f>TRIM(Table1[[#This Row],[Magazyn]])</f>
        <v>Apteka Szpitalna</v>
      </c>
      <c r="I2772" s="2" t="str">
        <f>TRIM(Table1[[#This Row],[Umowa]])</f>
        <v>UM-MED-01</v>
      </c>
      <c r="J2772" s="2" t="b">
        <f>ISTEXT(Table14[[#This Row],[Data_Wystawienia]])</f>
        <v>0</v>
      </c>
      <c r="K2772" s="2">
        <f>VALUE(SUBSTITUTE(Table14[[#This Row],[Wartość]],".",","))</f>
        <v>10204.709999999999</v>
      </c>
      <c r="L27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2" s="2" t="str">
        <f>IF(Table14[[#This Row],[Umowa]]="","Poza umową","Z umowy")</f>
        <v>Z umowy</v>
      </c>
      <c r="N2772" s="2">
        <f>YEAR(Table14[[#This Row],[Data_Wystawienia]])</f>
        <v>2024</v>
      </c>
      <c r="O2772" s="2" t="str">
        <f>TEXT(Table14[[#This Row],[Data_Wystawienia]],"rrrr-mm")</f>
        <v>2024-10</v>
      </c>
      <c r="P2772" s="2">
        <v>1</v>
      </c>
    </row>
    <row r="2773" spans="1:16" x14ac:dyDescent="0.3">
      <c r="A2773" s="2" t="str">
        <f>TRIM(Table1[[#This Row],[Numer_FV]])</f>
        <v>FV/6100/NOVA/24</v>
      </c>
      <c r="B2773" s="2" t="str">
        <f>TRIM(Table1[[#This Row],[Numer_PZ]])</f>
        <v>PZ/802771</v>
      </c>
      <c r="C2773" s="2" t="str">
        <f>TRIM(Table1[[#This Row],[Dostawca]])</f>
        <v>NovaLek</v>
      </c>
      <c r="D2773" s="3">
        <v>45577</v>
      </c>
      <c r="E2773" s="4" t="s">
        <v>8191</v>
      </c>
      <c r="F2773" s="2" t="str">
        <f>TRIM(Table1[[#This Row],[Status]])</f>
        <v>Zaakceptowana</v>
      </c>
      <c r="G2773" s="2" t="str">
        <f>TRIM(Table1[[#This Row],[Typ]])</f>
        <v>Faktura VAT</v>
      </c>
      <c r="H2773" s="2" t="str">
        <f>TRIM(Table1[[#This Row],[Magazyn]])</f>
        <v>Apteka Szpitalna</v>
      </c>
      <c r="I2773" s="2" t="str">
        <f>TRIM(Table1[[#This Row],[Umowa]])</f>
        <v>UM-NOV-01</v>
      </c>
      <c r="J2773" s="2" t="b">
        <f>ISTEXT(Table14[[#This Row],[Data_Wystawienia]])</f>
        <v>0</v>
      </c>
      <c r="K2773" s="2">
        <f>VALUE(SUBSTITUTE(Table14[[#This Row],[Wartość]],".",","))</f>
        <v>8553.1</v>
      </c>
      <c r="L27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3" s="2" t="str">
        <f>IF(Table14[[#This Row],[Umowa]]="","Poza umową","Z umowy")</f>
        <v>Z umowy</v>
      </c>
      <c r="N2773" s="2">
        <f>YEAR(Table14[[#This Row],[Data_Wystawienia]])</f>
        <v>2024</v>
      </c>
      <c r="O2773" s="2" t="str">
        <f>TEXT(Table14[[#This Row],[Data_Wystawienia]],"rrrr-mm")</f>
        <v>2024-10</v>
      </c>
      <c r="P2773" s="2">
        <v>1</v>
      </c>
    </row>
    <row r="2774" spans="1:16" x14ac:dyDescent="0.3">
      <c r="A2774" s="2" t="str">
        <f>TRIM(Table1[[#This Row],[Numer_FV]])</f>
        <v>FV/4309HM/24</v>
      </c>
      <c r="B2774" s="2" t="str">
        <f>TRIM(Table1[[#This Row],[Numer_PZ]])</f>
        <v>PZ/802772</v>
      </c>
      <c r="C2774" s="2" t="str">
        <f>TRIM(Table1[[#This Row],[Dostawca]])</f>
        <v>HurtMedix</v>
      </c>
      <c r="D2774" s="3">
        <v>45577</v>
      </c>
      <c r="E2774" s="4" t="s">
        <v>8194</v>
      </c>
      <c r="F2774" s="2" t="str">
        <f>TRIM(Table1[[#This Row],[Status]])</f>
        <v>Zaakceptowana</v>
      </c>
      <c r="G2774" s="2" t="str">
        <f>TRIM(Table1[[#This Row],[Typ]])</f>
        <v>Korekta FV</v>
      </c>
      <c r="H2774" s="2" t="str">
        <f>TRIM(Table1[[#This Row],[Magazyn]])</f>
        <v>Apteka Szpitalna</v>
      </c>
      <c r="I2774" s="2" t="str">
        <f>TRIM(Table1[[#This Row],[Umowa]])</f>
        <v/>
      </c>
      <c r="J2774" s="2" t="b">
        <f>ISTEXT(Table14[[#This Row],[Data_Wystawienia]])</f>
        <v>0</v>
      </c>
      <c r="K2774" s="2">
        <f>VALUE(SUBSTITUTE(Table14[[#This Row],[Wartość]],".",","))</f>
        <v>-1122.3599999999999</v>
      </c>
      <c r="L27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4" s="2" t="str">
        <f>IF(Table14[[#This Row],[Umowa]]="","Poza umową","Z umowy")</f>
        <v>Poza umową</v>
      </c>
      <c r="N2774" s="2">
        <f>YEAR(Table14[[#This Row],[Data_Wystawienia]])</f>
        <v>2024</v>
      </c>
      <c r="O2774" s="2" t="str">
        <f>TEXT(Table14[[#This Row],[Data_Wystawienia]],"rrrr-mm")</f>
        <v>2024-10</v>
      </c>
      <c r="P2774" s="2">
        <v>1</v>
      </c>
    </row>
    <row r="2775" spans="1:16" x14ac:dyDescent="0.3">
      <c r="A2775" s="2" t="str">
        <f>TRIM(Table1[[#This Row],[Numer_FV]])</f>
        <v>FV/1857HM/24</v>
      </c>
      <c r="B2775" s="2" t="str">
        <f>TRIM(Table1[[#This Row],[Numer_PZ]])</f>
        <v>PZ/802773</v>
      </c>
      <c r="C2775" s="2" t="str">
        <f>TRIM(Table1[[#This Row],[Dostawca]])</f>
        <v>HurtMedix</v>
      </c>
      <c r="D2775" s="3">
        <v>45578</v>
      </c>
      <c r="E2775" s="4" t="s">
        <v>8197</v>
      </c>
      <c r="F2775" s="2" t="str">
        <f>TRIM(Table1[[#This Row],[Status]])</f>
        <v>Zaakceptowana</v>
      </c>
      <c r="G2775" s="2" t="str">
        <f>TRIM(Table1[[#This Row],[Typ]])</f>
        <v>Faktura VAT</v>
      </c>
      <c r="H2775" s="2" t="str">
        <f>TRIM(Table1[[#This Row],[Magazyn]])</f>
        <v>Apteka Szpitalna</v>
      </c>
      <c r="I2775" s="2" t="str">
        <f>TRIM(Table1[[#This Row],[Umowa]])</f>
        <v>UM-HUR-02</v>
      </c>
      <c r="J2775" s="2" t="b">
        <f>ISTEXT(Table14[[#This Row],[Data_Wystawienia]])</f>
        <v>0</v>
      </c>
      <c r="K2775" s="2">
        <f>VALUE(SUBSTITUTE(Table14[[#This Row],[Wartość]],".",","))</f>
        <v>10880.1</v>
      </c>
      <c r="L27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5" s="2" t="str">
        <f>IF(Table14[[#This Row],[Umowa]]="","Poza umową","Z umowy")</f>
        <v>Z umowy</v>
      </c>
      <c r="N2775" s="2">
        <f>YEAR(Table14[[#This Row],[Data_Wystawienia]])</f>
        <v>2024</v>
      </c>
      <c r="O2775" s="2" t="str">
        <f>TEXT(Table14[[#This Row],[Data_Wystawienia]],"rrrr-mm")</f>
        <v>2024-10</v>
      </c>
      <c r="P2775" s="2">
        <v>1</v>
      </c>
    </row>
    <row r="2776" spans="1:16" x14ac:dyDescent="0.3">
      <c r="A2776" s="2" t="str">
        <f>TRIM(Table1[[#This Row],[Numer_FV]])</f>
        <v>FV/2162HM/24</v>
      </c>
      <c r="B2776" s="2" t="str">
        <f>TRIM(Table1[[#This Row],[Numer_PZ]])</f>
        <v>PZ/802774</v>
      </c>
      <c r="C2776" s="2" t="str">
        <f>TRIM(Table1[[#This Row],[Dostawca]])</f>
        <v>HurtMedix</v>
      </c>
      <c r="D2776" s="3">
        <v>45578</v>
      </c>
      <c r="E2776" s="4" t="s">
        <v>8200</v>
      </c>
      <c r="F2776" s="2" t="str">
        <f>TRIM(Table1[[#This Row],[Status]])</f>
        <v>Zaakceptowana</v>
      </c>
      <c r="G2776" s="2" t="str">
        <f>TRIM(Table1[[#This Row],[Typ]])</f>
        <v>Faktura VAT</v>
      </c>
      <c r="H2776" s="2" t="str">
        <f>TRIM(Table1[[#This Row],[Magazyn]])</f>
        <v>Apteka Szpitalna</v>
      </c>
      <c r="I2776" s="2" t="str">
        <f>TRIM(Table1[[#This Row],[Umowa]])</f>
        <v>UM-HUR-03</v>
      </c>
      <c r="J2776" s="2" t="b">
        <f>ISTEXT(Table14[[#This Row],[Data_Wystawienia]])</f>
        <v>0</v>
      </c>
      <c r="K2776" s="2">
        <f>VALUE(SUBSTITUTE(Table14[[#This Row],[Wartość]],".",","))</f>
        <v>10399.11</v>
      </c>
      <c r="L27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6" s="2" t="str">
        <f>IF(Table14[[#This Row],[Umowa]]="","Poza umową","Z umowy")</f>
        <v>Z umowy</v>
      </c>
      <c r="N2776" s="2">
        <f>YEAR(Table14[[#This Row],[Data_Wystawienia]])</f>
        <v>2024</v>
      </c>
      <c r="O2776" s="2" t="str">
        <f>TEXT(Table14[[#This Row],[Data_Wystawienia]],"rrrr-mm")</f>
        <v>2024-10</v>
      </c>
      <c r="P2776" s="2">
        <v>1</v>
      </c>
    </row>
    <row r="2777" spans="1:16" x14ac:dyDescent="0.3">
      <c r="A2777" s="2" t="str">
        <f>TRIM(Table1[[#This Row],[Numer_FV]])</f>
        <v>FV/1888/NOVA/24</v>
      </c>
      <c r="B2777" s="2" t="str">
        <f>TRIM(Table1[[#This Row],[Numer_PZ]])</f>
        <v>PZ/802775</v>
      </c>
      <c r="C2777" s="2" t="str">
        <f>TRIM(Table1[[#This Row],[Dostawca]])</f>
        <v>NovaLek</v>
      </c>
      <c r="D2777" s="3">
        <v>45578</v>
      </c>
      <c r="E2777" s="4" t="s">
        <v>8203</v>
      </c>
      <c r="F2777" s="2" t="str">
        <f>TRIM(Table1[[#This Row],[Status]])</f>
        <v>Zaakceptowana</v>
      </c>
      <c r="G2777" s="2" t="str">
        <f>TRIM(Table1[[#This Row],[Typ]])</f>
        <v>Faktura VAT</v>
      </c>
      <c r="H2777" s="2" t="str">
        <f>TRIM(Table1[[#This Row],[Magazyn]])</f>
        <v>Apteka Szpitalna</v>
      </c>
      <c r="I2777" s="2" t="str">
        <f>TRIM(Table1[[#This Row],[Umowa]])</f>
        <v/>
      </c>
      <c r="J2777" s="2" t="b">
        <f>ISTEXT(Table14[[#This Row],[Data_Wystawienia]])</f>
        <v>0</v>
      </c>
      <c r="K2777" s="2">
        <f>VALUE(SUBSTITUTE(Table14[[#This Row],[Wartość]],".",","))</f>
        <v>12563.16</v>
      </c>
      <c r="L27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7" s="2" t="str">
        <f>IF(Table14[[#This Row],[Umowa]]="","Poza umową","Z umowy")</f>
        <v>Poza umową</v>
      </c>
      <c r="N2777" s="2">
        <f>YEAR(Table14[[#This Row],[Data_Wystawienia]])</f>
        <v>2024</v>
      </c>
      <c r="O2777" s="2" t="str">
        <f>TEXT(Table14[[#This Row],[Data_Wystawienia]],"rrrr-mm")</f>
        <v>2024-10</v>
      </c>
      <c r="P2777" s="2">
        <v>1</v>
      </c>
    </row>
    <row r="2778" spans="1:16" x14ac:dyDescent="0.3">
      <c r="A2778" s="2" t="str">
        <f>TRIM(Table1[[#This Row],[Numer_FV]])</f>
        <v>FV/POL/89797/2024</v>
      </c>
      <c r="B2778" s="2" t="str">
        <f>TRIM(Table1[[#This Row],[Numer_PZ]])</f>
        <v>PZ/802776</v>
      </c>
      <c r="C2778" s="2" t="str">
        <f>TRIM(Table1[[#This Row],[Dostawca]])</f>
        <v>Polmedica</v>
      </c>
      <c r="D2778" s="3">
        <v>45578</v>
      </c>
      <c r="E2778" s="4" t="s">
        <v>8206</v>
      </c>
      <c r="F2778" s="2" t="str">
        <f>TRIM(Table1[[#This Row],[Status]])</f>
        <v>Zaakceptowana</v>
      </c>
      <c r="G2778" s="2" t="str">
        <f>TRIM(Table1[[#This Row],[Typ]])</f>
        <v>Faktura VAT</v>
      </c>
      <c r="H2778" s="2" t="str">
        <f>TRIM(Table1[[#This Row],[Magazyn]])</f>
        <v>Apteka Szpitalna</v>
      </c>
      <c r="I2778" s="2" t="str">
        <f>TRIM(Table1[[#This Row],[Umowa]])</f>
        <v>UM-POL-02</v>
      </c>
      <c r="J2778" s="2" t="b">
        <f>ISTEXT(Table14[[#This Row],[Data_Wystawienia]])</f>
        <v>0</v>
      </c>
      <c r="K2778" s="2">
        <f>VALUE(SUBSTITUTE(Table14[[#This Row],[Wartość]],".",","))</f>
        <v>23123.82</v>
      </c>
      <c r="L27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8" s="2" t="str">
        <f>IF(Table14[[#This Row],[Umowa]]="","Poza umową","Z umowy")</f>
        <v>Z umowy</v>
      </c>
      <c r="N2778" s="2">
        <f>YEAR(Table14[[#This Row],[Data_Wystawienia]])</f>
        <v>2024</v>
      </c>
      <c r="O2778" s="2" t="str">
        <f>TEXT(Table14[[#This Row],[Data_Wystawienia]],"rrrr-mm")</f>
        <v>2024-10</v>
      </c>
      <c r="P2778" s="2">
        <v>1</v>
      </c>
    </row>
    <row r="2779" spans="1:16" x14ac:dyDescent="0.3">
      <c r="A2779" s="2" t="str">
        <f>TRIM(Table1[[#This Row],[Numer_FV]])</f>
        <v>FV/M/7814/P/24</v>
      </c>
      <c r="B2779" s="2" t="str">
        <f>TRIM(Table1[[#This Row],[Numer_PZ]])</f>
        <v>PZ/802777</v>
      </c>
      <c r="C2779" s="2" t="str">
        <f>TRIM(Table1[[#This Row],[Dostawca]])</f>
        <v>MedicaPharm</v>
      </c>
      <c r="D2779" s="3">
        <v>45579</v>
      </c>
      <c r="E2779" s="4" t="s">
        <v>8209</v>
      </c>
      <c r="F2779" s="2" t="str">
        <f>TRIM(Table1[[#This Row],[Status]])</f>
        <v>Zaakceptowana</v>
      </c>
      <c r="G2779" s="2" t="str">
        <f>TRIM(Table1[[#This Row],[Typ]])</f>
        <v>Faktura VAT</v>
      </c>
      <c r="H2779" s="2" t="str">
        <f>TRIM(Table1[[#This Row],[Magazyn]])</f>
        <v>Apteka Szpitalna</v>
      </c>
      <c r="I2779" s="2" t="str">
        <f>TRIM(Table1[[#This Row],[Umowa]])</f>
        <v>UM-MED-02</v>
      </c>
      <c r="J2779" s="2" t="b">
        <f>ISTEXT(Table14[[#This Row],[Data_Wystawienia]])</f>
        <v>0</v>
      </c>
      <c r="K2779" s="2">
        <f>VALUE(SUBSTITUTE(Table14[[#This Row],[Wartość]],".",","))</f>
        <v>20335.75</v>
      </c>
      <c r="L27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79" s="2" t="str">
        <f>IF(Table14[[#This Row],[Umowa]]="","Poza umową","Z umowy")</f>
        <v>Z umowy</v>
      </c>
      <c r="N2779" s="2">
        <f>YEAR(Table14[[#This Row],[Data_Wystawienia]])</f>
        <v>2024</v>
      </c>
      <c r="O2779" s="2" t="str">
        <f>TEXT(Table14[[#This Row],[Data_Wystawienia]],"rrrr-mm")</f>
        <v>2024-10</v>
      </c>
      <c r="P2779" s="2">
        <v>1</v>
      </c>
    </row>
    <row r="2780" spans="1:16" x14ac:dyDescent="0.3">
      <c r="A2780" s="2" t="str">
        <f>TRIM(Table1[[#This Row],[Numer_FV]])</f>
        <v>FV/6570/NOVA/24</v>
      </c>
      <c r="B2780" s="2" t="str">
        <f>TRIM(Table1[[#This Row],[Numer_PZ]])</f>
        <v>PZ/802778</v>
      </c>
      <c r="C2780" s="2" t="str">
        <f>TRIM(Table1[[#This Row],[Dostawca]])</f>
        <v>NovaLek</v>
      </c>
      <c r="D2780" s="3">
        <v>45579</v>
      </c>
      <c r="E2780" s="4" t="s">
        <v>8212</v>
      </c>
      <c r="F2780" s="2" t="str">
        <f>TRIM(Table1[[#This Row],[Status]])</f>
        <v>Zaakceptowana</v>
      </c>
      <c r="G2780" s="2" t="str">
        <f>TRIM(Table1[[#This Row],[Typ]])</f>
        <v>Faktura VAT</v>
      </c>
      <c r="H2780" s="2" t="str">
        <f>TRIM(Table1[[#This Row],[Magazyn]])</f>
        <v>Apteka Szpitalna</v>
      </c>
      <c r="I2780" s="2" t="str">
        <f>TRIM(Table1[[#This Row],[Umowa]])</f>
        <v/>
      </c>
      <c r="J2780" s="2" t="b">
        <f>ISTEXT(Table14[[#This Row],[Data_Wystawienia]])</f>
        <v>0</v>
      </c>
      <c r="K2780" s="2">
        <f>VALUE(SUBSTITUTE(Table14[[#This Row],[Wartość]],".",","))</f>
        <v>13141.9</v>
      </c>
      <c r="L27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0" s="2" t="str">
        <f>IF(Table14[[#This Row],[Umowa]]="","Poza umową","Z umowy")</f>
        <v>Poza umową</v>
      </c>
      <c r="N2780" s="2">
        <f>YEAR(Table14[[#This Row],[Data_Wystawienia]])</f>
        <v>2024</v>
      </c>
      <c r="O2780" s="2" t="str">
        <f>TEXT(Table14[[#This Row],[Data_Wystawienia]],"rrrr-mm")</f>
        <v>2024-10</v>
      </c>
      <c r="P2780" s="2">
        <v>1</v>
      </c>
    </row>
    <row r="2781" spans="1:16" x14ac:dyDescent="0.3">
      <c r="A2781" s="2" t="str">
        <f>TRIM(Table1[[#This Row],[Numer_FV]])</f>
        <v>FV/42/SAL/24</v>
      </c>
      <c r="B2781" s="2" t="str">
        <f>TRIM(Table1[[#This Row],[Numer_PZ]])</f>
        <v>PZ/802779</v>
      </c>
      <c r="C2781" s="2" t="str">
        <f>TRIM(Table1[[#This Row],[Dostawca]])</f>
        <v>SalusHurt</v>
      </c>
      <c r="D2781" s="3">
        <v>45580</v>
      </c>
      <c r="E2781" s="4" t="s">
        <v>8214</v>
      </c>
      <c r="F2781" s="2" t="str">
        <f>TRIM(Table1[[#This Row],[Status]])</f>
        <v>Zaakceptowana</v>
      </c>
      <c r="G2781" s="2" t="str">
        <f>TRIM(Table1[[#This Row],[Typ]])</f>
        <v>Faktura VAT</v>
      </c>
      <c r="H2781" s="2" t="str">
        <f>TRIM(Table1[[#This Row],[Magazyn]])</f>
        <v>Apteka Szpitalna</v>
      </c>
      <c r="I2781" s="2" t="str">
        <f>TRIM(Table1[[#This Row],[Umowa]])</f>
        <v>UM-SAL-01</v>
      </c>
      <c r="J2781" s="2" t="b">
        <f>ISTEXT(Table14[[#This Row],[Data_Wystawienia]])</f>
        <v>0</v>
      </c>
      <c r="K2781" s="2">
        <f>VALUE(SUBSTITUTE(Table14[[#This Row],[Wartość]],".",","))</f>
        <v>9162.67</v>
      </c>
      <c r="L27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1" s="2" t="str">
        <f>IF(Table14[[#This Row],[Umowa]]="","Poza umową","Z umowy")</f>
        <v>Z umowy</v>
      </c>
      <c r="N2781" s="2">
        <f>YEAR(Table14[[#This Row],[Data_Wystawienia]])</f>
        <v>2024</v>
      </c>
      <c r="O2781" s="2" t="str">
        <f>TEXT(Table14[[#This Row],[Data_Wystawienia]],"rrrr-mm")</f>
        <v>2024-10</v>
      </c>
      <c r="P2781" s="2">
        <v>1</v>
      </c>
    </row>
    <row r="2782" spans="1:16" x14ac:dyDescent="0.3">
      <c r="A2782" s="2" t="str">
        <f>TRIM(Table1[[#This Row],[Numer_FV]])</f>
        <v>FV/77/PP/7743/24</v>
      </c>
      <c r="B2782" s="2" t="str">
        <f>TRIM(Table1[[#This Row],[Numer_PZ]])</f>
        <v>PZ/802780</v>
      </c>
      <c r="C2782" s="2" t="str">
        <f>TRIM(Table1[[#This Row],[Dostawca]])</f>
        <v>PharmaPlus</v>
      </c>
      <c r="D2782" s="3">
        <v>45580</v>
      </c>
      <c r="E2782" s="4" t="s">
        <v>8217</v>
      </c>
      <c r="F2782" s="2" t="str">
        <f>TRIM(Table1[[#This Row],[Status]])</f>
        <v>Zaakceptowana</v>
      </c>
      <c r="G2782" s="2" t="str">
        <f>TRIM(Table1[[#This Row],[Typ]])</f>
        <v>Faktura VAT</v>
      </c>
      <c r="H2782" s="2" t="str">
        <f>TRIM(Table1[[#This Row],[Magazyn]])</f>
        <v>Apteka Szpitalna</v>
      </c>
      <c r="I2782" s="2" t="str">
        <f>TRIM(Table1[[#This Row],[Umowa]])</f>
        <v>UM-PHA-02</v>
      </c>
      <c r="J2782" s="2" t="b">
        <f>ISTEXT(Table14[[#This Row],[Data_Wystawienia]])</f>
        <v>0</v>
      </c>
      <c r="K2782" s="2">
        <f>VALUE(SUBSTITUTE(Table14[[#This Row],[Wartość]],".",","))</f>
        <v>20555.89</v>
      </c>
      <c r="L27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2" s="2" t="str">
        <f>IF(Table14[[#This Row],[Umowa]]="","Poza umową","Z umowy")</f>
        <v>Z umowy</v>
      </c>
      <c r="N2782" s="2">
        <f>YEAR(Table14[[#This Row],[Data_Wystawienia]])</f>
        <v>2024</v>
      </c>
      <c r="O2782" s="2" t="str">
        <f>TEXT(Table14[[#This Row],[Data_Wystawienia]],"rrrr-mm")</f>
        <v>2024-10</v>
      </c>
      <c r="P2782" s="2">
        <v>1</v>
      </c>
    </row>
    <row r="2783" spans="1:16" x14ac:dyDescent="0.3">
      <c r="A2783" s="2" t="str">
        <f>TRIM(Table1[[#This Row],[Numer_FV]])</f>
        <v>FV/31765/VDb/2024</v>
      </c>
      <c r="B2783" s="2" t="str">
        <f>TRIM(Table1[[#This Row],[Numer_PZ]])</f>
        <v>PZ/802781</v>
      </c>
      <c r="C2783" s="2" t="str">
        <f>TRIM(Table1[[#This Row],[Dostawca]])</f>
        <v>VitaDistrib</v>
      </c>
      <c r="D2783" s="3">
        <v>45581</v>
      </c>
      <c r="E2783" s="4" t="s">
        <v>8220</v>
      </c>
      <c r="F2783" s="2" t="str">
        <f>TRIM(Table1[[#This Row],[Status]])</f>
        <v>Zaakceptowana</v>
      </c>
      <c r="G2783" s="2" t="str">
        <f>TRIM(Table1[[#This Row],[Typ]])</f>
        <v>Korekta FV</v>
      </c>
      <c r="H2783" s="2" t="str">
        <f>TRIM(Table1[[#This Row],[Magazyn]])</f>
        <v>Apteka Szpitalna</v>
      </c>
      <c r="I2783" s="2" t="str">
        <f>TRIM(Table1[[#This Row],[Umowa]])</f>
        <v>UM-VIT-01</v>
      </c>
      <c r="J2783" s="2" t="b">
        <f>ISTEXT(Table14[[#This Row],[Data_Wystawienia]])</f>
        <v>0</v>
      </c>
      <c r="K2783" s="2">
        <f>VALUE(SUBSTITUTE(Table14[[#This Row],[Wartość]],".",","))</f>
        <v>-1799.42</v>
      </c>
      <c r="L27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3" s="2" t="str">
        <f>IF(Table14[[#This Row],[Umowa]]="","Poza umową","Z umowy")</f>
        <v>Z umowy</v>
      </c>
      <c r="N2783" s="2">
        <f>YEAR(Table14[[#This Row],[Data_Wystawienia]])</f>
        <v>2024</v>
      </c>
      <c r="O2783" s="2" t="str">
        <f>TEXT(Table14[[#This Row],[Data_Wystawienia]],"rrrr-mm")</f>
        <v>2024-10</v>
      </c>
      <c r="P2783" s="2">
        <v>1</v>
      </c>
    </row>
    <row r="2784" spans="1:16" x14ac:dyDescent="0.3">
      <c r="A2784" s="2" t="str">
        <f>TRIM(Table1[[#This Row],[Numer_FV]])</f>
        <v>FV/M/2208/P/24</v>
      </c>
      <c r="B2784" s="2" t="str">
        <f>TRIM(Table1[[#This Row],[Numer_PZ]])</f>
        <v>PZ/802782</v>
      </c>
      <c r="C2784" s="2" t="str">
        <f>TRIM(Table1[[#This Row],[Dostawca]])</f>
        <v>MedicaPharm</v>
      </c>
      <c r="D2784" s="3">
        <v>45581</v>
      </c>
      <c r="E2784" s="4" t="s">
        <v>8223</v>
      </c>
      <c r="F2784" s="2" t="str">
        <f>TRIM(Table1[[#This Row],[Status]])</f>
        <v>Zaakceptowana</v>
      </c>
      <c r="G2784" s="2" t="str">
        <f>TRIM(Table1[[#This Row],[Typ]])</f>
        <v>Faktura VAT</v>
      </c>
      <c r="H2784" s="2" t="str">
        <f>TRIM(Table1[[#This Row],[Magazyn]])</f>
        <v>Apteka Szpitalna</v>
      </c>
      <c r="I2784" s="2" t="str">
        <f>TRIM(Table1[[#This Row],[Umowa]])</f>
        <v>UM-MED-02</v>
      </c>
      <c r="J2784" s="2" t="b">
        <f>ISTEXT(Table14[[#This Row],[Data_Wystawienia]])</f>
        <v>0</v>
      </c>
      <c r="K2784" s="2">
        <f>VALUE(SUBSTITUTE(Table14[[#This Row],[Wartość]],".",","))</f>
        <v>18418.98</v>
      </c>
      <c r="L27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4" s="2" t="str">
        <f>IF(Table14[[#This Row],[Umowa]]="","Poza umową","Z umowy")</f>
        <v>Z umowy</v>
      </c>
      <c r="N2784" s="2">
        <f>YEAR(Table14[[#This Row],[Data_Wystawienia]])</f>
        <v>2024</v>
      </c>
      <c r="O2784" s="2" t="str">
        <f>TEXT(Table14[[#This Row],[Data_Wystawienia]],"rrrr-mm")</f>
        <v>2024-10</v>
      </c>
      <c r="P2784" s="2">
        <v>1</v>
      </c>
    </row>
    <row r="2785" spans="1:16" x14ac:dyDescent="0.3">
      <c r="A2785" s="2" t="str">
        <f>TRIM(Table1[[#This Row],[Numer_FV]])</f>
        <v>FV/POL/79653/2024</v>
      </c>
      <c r="B2785" s="2" t="str">
        <f>TRIM(Table1[[#This Row],[Numer_PZ]])</f>
        <v>PZ/802783</v>
      </c>
      <c r="C2785" s="2" t="str">
        <f>TRIM(Table1[[#This Row],[Dostawca]])</f>
        <v>Polmedica</v>
      </c>
      <c r="D2785" s="3">
        <v>45581</v>
      </c>
      <c r="E2785" s="4" t="s">
        <v>8226</v>
      </c>
      <c r="F2785" s="2" t="str">
        <f>TRIM(Table1[[#This Row],[Status]])</f>
        <v>Zaakceptowana</v>
      </c>
      <c r="G2785" s="2" t="str">
        <f>TRIM(Table1[[#This Row],[Typ]])</f>
        <v>Faktura VAT</v>
      </c>
      <c r="H2785" s="2" t="str">
        <f>TRIM(Table1[[#This Row],[Magazyn]])</f>
        <v>Apteka Szpitalna</v>
      </c>
      <c r="I2785" s="2" t="str">
        <f>TRIM(Table1[[#This Row],[Umowa]])</f>
        <v>UM-POL-03</v>
      </c>
      <c r="J2785" s="2" t="b">
        <f>ISTEXT(Table14[[#This Row],[Data_Wystawienia]])</f>
        <v>0</v>
      </c>
      <c r="K2785" s="2">
        <f>VALUE(SUBSTITUTE(Table14[[#This Row],[Wartość]],".",","))</f>
        <v>20316.509999999998</v>
      </c>
      <c r="L27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5" s="2" t="str">
        <f>IF(Table14[[#This Row],[Umowa]]="","Poza umową","Z umowy")</f>
        <v>Z umowy</v>
      </c>
      <c r="N2785" s="2">
        <f>YEAR(Table14[[#This Row],[Data_Wystawienia]])</f>
        <v>2024</v>
      </c>
      <c r="O2785" s="2" t="str">
        <f>TEXT(Table14[[#This Row],[Data_Wystawienia]],"rrrr-mm")</f>
        <v>2024-10</v>
      </c>
      <c r="P2785" s="2">
        <v>1</v>
      </c>
    </row>
    <row r="2786" spans="1:16" x14ac:dyDescent="0.3">
      <c r="A2786" s="2" t="str">
        <f>TRIM(Table1[[#This Row],[Numer_FV]])</f>
        <v>FV/M/4637/P/24</v>
      </c>
      <c r="B2786" s="2" t="str">
        <f>TRIM(Table1[[#This Row],[Numer_PZ]])</f>
        <v>PZ/802784</v>
      </c>
      <c r="C2786" s="2" t="str">
        <f>TRIM(Table1[[#This Row],[Dostawca]])</f>
        <v>MedicaPharm</v>
      </c>
      <c r="D2786" s="3">
        <v>45581</v>
      </c>
      <c r="E2786" s="4" t="s">
        <v>8229</v>
      </c>
      <c r="F2786" s="2" t="str">
        <f>TRIM(Table1[[#This Row],[Status]])</f>
        <v>Zaakceptowana</v>
      </c>
      <c r="G2786" s="2" t="str">
        <f>TRIM(Table1[[#This Row],[Typ]])</f>
        <v>Faktura VAT</v>
      </c>
      <c r="H2786" s="2" t="str">
        <f>TRIM(Table1[[#This Row],[Magazyn]])</f>
        <v>Apteka Szpitalna</v>
      </c>
      <c r="I2786" s="2" t="str">
        <f>TRIM(Table1[[#This Row],[Umowa]])</f>
        <v>UM-MED-01</v>
      </c>
      <c r="J2786" s="2" t="b">
        <f>ISTEXT(Table14[[#This Row],[Data_Wystawienia]])</f>
        <v>0</v>
      </c>
      <c r="K2786" s="2">
        <f>VALUE(SUBSTITUTE(Table14[[#This Row],[Wartość]],".",","))</f>
        <v>12215.87</v>
      </c>
      <c r="L27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6" s="2" t="str">
        <f>IF(Table14[[#This Row],[Umowa]]="","Poza umową","Z umowy")</f>
        <v>Z umowy</v>
      </c>
      <c r="N2786" s="2">
        <f>YEAR(Table14[[#This Row],[Data_Wystawienia]])</f>
        <v>2024</v>
      </c>
      <c r="O2786" s="2" t="str">
        <f>TEXT(Table14[[#This Row],[Data_Wystawienia]],"rrrr-mm")</f>
        <v>2024-10</v>
      </c>
      <c r="P2786" s="2">
        <v>1</v>
      </c>
    </row>
    <row r="2787" spans="1:16" x14ac:dyDescent="0.3">
      <c r="A2787" s="2" t="str">
        <f>TRIM(Table1[[#This Row],[Numer_FV]])</f>
        <v>FV/12633/VDb/2024</v>
      </c>
      <c r="B2787" s="2" t="str">
        <f>TRIM(Table1[[#This Row],[Numer_PZ]])</f>
        <v>PZ/802785</v>
      </c>
      <c r="C2787" s="2" t="str">
        <f>TRIM(Table1[[#This Row],[Dostawca]])</f>
        <v>VitaDistrib</v>
      </c>
      <c r="D2787" s="3">
        <v>45582</v>
      </c>
      <c r="E2787" s="4" t="s">
        <v>8232</v>
      </c>
      <c r="F2787" s="2" t="str">
        <f>TRIM(Table1[[#This Row],[Status]])</f>
        <v>Zaakceptowana</v>
      </c>
      <c r="G2787" s="2" t="str">
        <f>TRIM(Table1[[#This Row],[Typ]])</f>
        <v>Faktura VAT</v>
      </c>
      <c r="H2787" s="2" t="str">
        <f>TRIM(Table1[[#This Row],[Magazyn]])</f>
        <v>Apteka Szpitalna</v>
      </c>
      <c r="I2787" s="2" t="str">
        <f>TRIM(Table1[[#This Row],[Umowa]])</f>
        <v/>
      </c>
      <c r="J2787" s="2" t="b">
        <f>ISTEXT(Table14[[#This Row],[Data_Wystawienia]])</f>
        <v>0</v>
      </c>
      <c r="K2787" s="2">
        <f>VALUE(SUBSTITUTE(Table14[[#This Row],[Wartość]],".",","))</f>
        <v>16080.65</v>
      </c>
      <c r="L27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7" s="2" t="str">
        <f>IF(Table14[[#This Row],[Umowa]]="","Poza umową","Z umowy")</f>
        <v>Poza umową</v>
      </c>
      <c r="N2787" s="2">
        <f>YEAR(Table14[[#This Row],[Data_Wystawienia]])</f>
        <v>2024</v>
      </c>
      <c r="O2787" s="2" t="str">
        <f>TEXT(Table14[[#This Row],[Data_Wystawienia]],"rrrr-mm")</f>
        <v>2024-10</v>
      </c>
      <c r="P2787" s="2">
        <v>1</v>
      </c>
    </row>
    <row r="2788" spans="1:16" x14ac:dyDescent="0.3">
      <c r="A2788" s="2" t="str">
        <f>TRIM(Table1[[#This Row],[Numer_FV]])</f>
        <v>FV/85489/VDb/2024</v>
      </c>
      <c r="B2788" s="2" t="str">
        <f>TRIM(Table1[[#This Row],[Numer_PZ]])</f>
        <v>PZ/802786</v>
      </c>
      <c r="C2788" s="2" t="str">
        <f>TRIM(Table1[[#This Row],[Dostawca]])</f>
        <v>VitaDistrib</v>
      </c>
      <c r="D2788" s="3">
        <v>45582</v>
      </c>
      <c r="E2788" s="4" t="s">
        <v>8235</v>
      </c>
      <c r="F2788" s="2" t="str">
        <f>TRIM(Table1[[#This Row],[Status]])</f>
        <v>Zaakceptowana</v>
      </c>
      <c r="G2788" s="2" t="str">
        <f>TRIM(Table1[[#This Row],[Typ]])</f>
        <v>Faktura VAT</v>
      </c>
      <c r="H2788" s="2" t="str">
        <f>TRIM(Table1[[#This Row],[Magazyn]])</f>
        <v>Apteka Szpitalna</v>
      </c>
      <c r="I2788" s="2" t="str">
        <f>TRIM(Table1[[#This Row],[Umowa]])</f>
        <v>UM-VIT-01</v>
      </c>
      <c r="J2788" s="2" t="b">
        <f>ISTEXT(Table14[[#This Row],[Data_Wystawienia]])</f>
        <v>0</v>
      </c>
      <c r="K2788" s="2">
        <f>VALUE(SUBSTITUTE(Table14[[#This Row],[Wartość]],".",","))</f>
        <v>21405.439999999999</v>
      </c>
      <c r="L27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8" s="2" t="str">
        <f>IF(Table14[[#This Row],[Umowa]]="","Poza umową","Z umowy")</f>
        <v>Z umowy</v>
      </c>
      <c r="N2788" s="2">
        <f>YEAR(Table14[[#This Row],[Data_Wystawienia]])</f>
        <v>2024</v>
      </c>
      <c r="O2788" s="2" t="str">
        <f>TEXT(Table14[[#This Row],[Data_Wystawienia]],"rrrr-mm")</f>
        <v>2024-10</v>
      </c>
      <c r="P2788" s="2">
        <v>1</v>
      </c>
    </row>
    <row r="2789" spans="1:16" x14ac:dyDescent="0.3">
      <c r="A2789" s="2" t="str">
        <f>TRIM(Table1[[#This Row],[Numer_FV]])</f>
        <v>FV/2102/NOVA/24</v>
      </c>
      <c r="B2789" s="2" t="str">
        <f>TRIM(Table1[[#This Row],[Numer_PZ]])</f>
        <v>PZ/802787</v>
      </c>
      <c r="C2789" s="2" t="str">
        <f>TRIM(Table1[[#This Row],[Dostawca]])</f>
        <v>NovaLek</v>
      </c>
      <c r="D2789" s="3">
        <v>45582</v>
      </c>
      <c r="E2789" s="4" t="s">
        <v>8238</v>
      </c>
      <c r="F2789" s="2" t="str">
        <f>TRIM(Table1[[#This Row],[Status]])</f>
        <v>Zaakceptowana</v>
      </c>
      <c r="G2789" s="2" t="str">
        <f>TRIM(Table1[[#This Row],[Typ]])</f>
        <v>Faktura VAT</v>
      </c>
      <c r="H2789" s="2" t="str">
        <f>TRIM(Table1[[#This Row],[Magazyn]])</f>
        <v>Apteka Szpitalna</v>
      </c>
      <c r="I2789" s="2" t="str">
        <f>TRIM(Table1[[#This Row],[Umowa]])</f>
        <v/>
      </c>
      <c r="J2789" s="2" t="b">
        <f>ISTEXT(Table14[[#This Row],[Data_Wystawienia]])</f>
        <v>0</v>
      </c>
      <c r="K2789" s="2">
        <f>VALUE(SUBSTITUTE(Table14[[#This Row],[Wartość]],".",","))</f>
        <v>15445.52</v>
      </c>
      <c r="L27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89" s="2" t="str">
        <f>IF(Table14[[#This Row],[Umowa]]="","Poza umową","Z umowy")</f>
        <v>Poza umową</v>
      </c>
      <c r="N2789" s="2">
        <f>YEAR(Table14[[#This Row],[Data_Wystawienia]])</f>
        <v>2024</v>
      </c>
      <c r="O2789" s="2" t="str">
        <f>TEXT(Table14[[#This Row],[Data_Wystawienia]],"rrrr-mm")</f>
        <v>2024-10</v>
      </c>
      <c r="P2789" s="2">
        <v>1</v>
      </c>
    </row>
    <row r="2790" spans="1:16" x14ac:dyDescent="0.3">
      <c r="A2790" s="2" t="str">
        <f>TRIM(Table1[[#This Row],[Numer_FV]])</f>
        <v>FV/29/SAL/24</v>
      </c>
      <c r="B2790" s="2" t="str">
        <f>TRIM(Table1[[#This Row],[Numer_PZ]])</f>
        <v>PZ/802788</v>
      </c>
      <c r="C2790" s="2" t="str">
        <f>TRIM(Table1[[#This Row],[Dostawca]])</f>
        <v>SalusHurt</v>
      </c>
      <c r="D2790" s="3">
        <v>45582</v>
      </c>
      <c r="E2790" s="4" t="s">
        <v>8240</v>
      </c>
      <c r="F2790" s="2" t="str">
        <f>TRIM(Table1[[#This Row],[Status]])</f>
        <v>Zaakceptowana</v>
      </c>
      <c r="G2790" s="2" t="str">
        <f>TRIM(Table1[[#This Row],[Typ]])</f>
        <v>Faktura VAT</v>
      </c>
      <c r="H2790" s="2" t="str">
        <f>TRIM(Table1[[#This Row],[Magazyn]])</f>
        <v>Apteka Szpitalna</v>
      </c>
      <c r="I2790" s="2" t="str">
        <f>TRIM(Table1[[#This Row],[Umowa]])</f>
        <v>UM-SAL-01</v>
      </c>
      <c r="J2790" s="2" t="b">
        <f>ISTEXT(Table14[[#This Row],[Data_Wystawienia]])</f>
        <v>0</v>
      </c>
      <c r="K2790" s="2">
        <f>VALUE(SUBSTITUTE(Table14[[#This Row],[Wartość]],".",","))</f>
        <v>19968.57</v>
      </c>
      <c r="L27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0" s="2" t="str">
        <f>IF(Table14[[#This Row],[Umowa]]="","Poza umową","Z umowy")</f>
        <v>Z umowy</v>
      </c>
      <c r="N2790" s="2">
        <f>YEAR(Table14[[#This Row],[Data_Wystawienia]])</f>
        <v>2024</v>
      </c>
      <c r="O2790" s="2" t="str">
        <f>TEXT(Table14[[#This Row],[Data_Wystawienia]],"rrrr-mm")</f>
        <v>2024-10</v>
      </c>
      <c r="P2790" s="2">
        <v>1</v>
      </c>
    </row>
    <row r="2791" spans="1:16" x14ac:dyDescent="0.3">
      <c r="A2791" s="2" t="str">
        <f>TRIM(Table1[[#This Row],[Numer_FV]])</f>
        <v>FV/9834/NOVA/24</v>
      </c>
      <c r="B2791" s="2" t="str">
        <f>TRIM(Table1[[#This Row],[Numer_PZ]])</f>
        <v>PZ/802789</v>
      </c>
      <c r="C2791" s="2" t="str">
        <f>TRIM(Table1[[#This Row],[Dostawca]])</f>
        <v>NovaLek</v>
      </c>
      <c r="D2791" s="3">
        <v>45582</v>
      </c>
      <c r="E2791" s="4" t="s">
        <v>8243</v>
      </c>
      <c r="F2791" s="2" t="str">
        <f>TRIM(Table1[[#This Row],[Status]])</f>
        <v>Zaakceptowana</v>
      </c>
      <c r="G2791" s="2" t="str">
        <f>TRIM(Table1[[#This Row],[Typ]])</f>
        <v>Faktura VAT</v>
      </c>
      <c r="H2791" s="2" t="str">
        <f>TRIM(Table1[[#This Row],[Magazyn]])</f>
        <v>Apteka Szpitalna</v>
      </c>
      <c r="I2791" s="2" t="str">
        <f>TRIM(Table1[[#This Row],[Umowa]])</f>
        <v/>
      </c>
      <c r="J2791" s="2" t="b">
        <f>ISTEXT(Table14[[#This Row],[Data_Wystawienia]])</f>
        <v>0</v>
      </c>
      <c r="K2791" s="2">
        <f>VALUE(SUBSTITUTE(Table14[[#This Row],[Wartość]],".",","))</f>
        <v>7042.32</v>
      </c>
      <c r="L27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1" s="2" t="str">
        <f>IF(Table14[[#This Row],[Umowa]]="","Poza umową","Z umowy")</f>
        <v>Poza umową</v>
      </c>
      <c r="N2791" s="2">
        <f>YEAR(Table14[[#This Row],[Data_Wystawienia]])</f>
        <v>2024</v>
      </c>
      <c r="O2791" s="2" t="str">
        <f>TEXT(Table14[[#This Row],[Data_Wystawienia]],"rrrr-mm")</f>
        <v>2024-10</v>
      </c>
      <c r="P2791" s="2">
        <v>1</v>
      </c>
    </row>
    <row r="2792" spans="1:16" x14ac:dyDescent="0.3">
      <c r="A2792" s="2" t="str">
        <f>TRIM(Table1[[#This Row],[Numer_FV]])</f>
        <v>FV/CENFA/472515/24</v>
      </c>
      <c r="B2792" s="2" t="str">
        <f>TRIM(Table1[[#This Row],[Numer_PZ]])</f>
        <v>PZ/802790</v>
      </c>
      <c r="C2792" s="2" t="str">
        <f>TRIM(Table1[[#This Row],[Dostawca]])</f>
        <v>CentrumFarm</v>
      </c>
      <c r="D2792" s="3">
        <v>45583</v>
      </c>
      <c r="E2792" s="4" t="s">
        <v>8246</v>
      </c>
      <c r="F2792" s="2" t="str">
        <f>TRIM(Table1[[#This Row],[Status]])</f>
        <v>Zaakceptowana</v>
      </c>
      <c r="G2792" s="2" t="str">
        <f>TRIM(Table1[[#This Row],[Typ]])</f>
        <v>Faktura VAT</v>
      </c>
      <c r="H2792" s="2" t="str">
        <f>TRIM(Table1[[#This Row],[Magazyn]])</f>
        <v>Apteka Szpitalna</v>
      </c>
      <c r="I2792" s="2" t="str">
        <f>TRIM(Table1[[#This Row],[Umowa]])</f>
        <v/>
      </c>
      <c r="J2792" s="2" t="b">
        <f>ISTEXT(Table14[[#This Row],[Data_Wystawienia]])</f>
        <v>0</v>
      </c>
      <c r="K2792" s="2">
        <f>VALUE(SUBSTITUTE(Table14[[#This Row],[Wartość]],".",","))</f>
        <v>19030.75</v>
      </c>
      <c r="L27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2" s="2" t="str">
        <f>IF(Table14[[#This Row],[Umowa]]="","Poza umową","Z umowy")</f>
        <v>Poza umową</v>
      </c>
      <c r="N2792" s="2">
        <f>YEAR(Table14[[#This Row],[Data_Wystawienia]])</f>
        <v>2024</v>
      </c>
      <c r="O2792" s="2" t="str">
        <f>TEXT(Table14[[#This Row],[Data_Wystawienia]],"rrrr-mm")</f>
        <v>2024-10</v>
      </c>
      <c r="P2792" s="2">
        <v>1</v>
      </c>
    </row>
    <row r="2793" spans="1:16" x14ac:dyDescent="0.3">
      <c r="A2793" s="2" t="str">
        <f>TRIM(Table1[[#This Row],[Numer_FV]])</f>
        <v>FV/M/2227/P/24</v>
      </c>
      <c r="B2793" s="2" t="str">
        <f>TRIM(Table1[[#This Row],[Numer_PZ]])</f>
        <v>PZ/802791</v>
      </c>
      <c r="C2793" s="2" t="str">
        <f>TRIM(Table1[[#This Row],[Dostawca]])</f>
        <v>MedicaPharm</v>
      </c>
      <c r="D2793" s="3">
        <v>45583</v>
      </c>
      <c r="E2793" s="4" t="s">
        <v>8249</v>
      </c>
      <c r="F2793" s="2" t="str">
        <f>TRIM(Table1[[#This Row],[Status]])</f>
        <v>Zaakceptowana</v>
      </c>
      <c r="G2793" s="2" t="str">
        <f>TRIM(Table1[[#This Row],[Typ]])</f>
        <v>Faktura VAT</v>
      </c>
      <c r="H2793" s="2" t="str">
        <f>TRIM(Table1[[#This Row],[Magazyn]])</f>
        <v>Apteka Szpitalna</v>
      </c>
      <c r="I2793" s="2" t="str">
        <f>TRIM(Table1[[#This Row],[Umowa]])</f>
        <v/>
      </c>
      <c r="J2793" s="2" t="b">
        <f>ISTEXT(Table14[[#This Row],[Data_Wystawienia]])</f>
        <v>0</v>
      </c>
      <c r="K2793" s="2">
        <f>VALUE(SUBSTITUTE(Table14[[#This Row],[Wartość]],".",","))</f>
        <v>24396.07</v>
      </c>
      <c r="L27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3" s="2" t="str">
        <f>IF(Table14[[#This Row],[Umowa]]="","Poza umową","Z umowy")</f>
        <v>Poza umową</v>
      </c>
      <c r="N2793" s="2">
        <f>YEAR(Table14[[#This Row],[Data_Wystawienia]])</f>
        <v>2024</v>
      </c>
      <c r="O2793" s="2" t="str">
        <f>TEXT(Table14[[#This Row],[Data_Wystawienia]],"rrrr-mm")</f>
        <v>2024-10</v>
      </c>
      <c r="P2793" s="2">
        <v>1</v>
      </c>
    </row>
    <row r="2794" spans="1:16" x14ac:dyDescent="0.3">
      <c r="A2794" s="2" t="str">
        <f>TRIM(Table1[[#This Row],[Numer_FV]])</f>
        <v>FV/49/PP/2674/24</v>
      </c>
      <c r="B2794" s="2" t="str">
        <f>TRIM(Table1[[#This Row],[Numer_PZ]])</f>
        <v>PZ/802792</v>
      </c>
      <c r="C2794" s="2" t="str">
        <f>TRIM(Table1[[#This Row],[Dostawca]])</f>
        <v>PharmaPlus</v>
      </c>
      <c r="D2794" s="3">
        <v>45583</v>
      </c>
      <c r="E2794" s="4" t="s">
        <v>8252</v>
      </c>
      <c r="F2794" s="2" t="str">
        <f>TRIM(Table1[[#This Row],[Status]])</f>
        <v>Zaakceptowana</v>
      </c>
      <c r="G2794" s="2" t="str">
        <f>TRIM(Table1[[#This Row],[Typ]])</f>
        <v>Faktura VAT</v>
      </c>
      <c r="H2794" s="2" t="str">
        <f>TRIM(Table1[[#This Row],[Magazyn]])</f>
        <v>Apteka Szpitalna</v>
      </c>
      <c r="I2794" s="2" t="str">
        <f>TRIM(Table1[[#This Row],[Umowa]])</f>
        <v>UM-PHA-01</v>
      </c>
      <c r="J2794" s="2" t="b">
        <f>ISTEXT(Table14[[#This Row],[Data_Wystawienia]])</f>
        <v>0</v>
      </c>
      <c r="K2794" s="2">
        <f>VALUE(SUBSTITUTE(Table14[[#This Row],[Wartość]],".",","))</f>
        <v>9195.1</v>
      </c>
      <c r="L27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4" s="2" t="str">
        <f>IF(Table14[[#This Row],[Umowa]]="","Poza umową","Z umowy")</f>
        <v>Z umowy</v>
      </c>
      <c r="N2794" s="2">
        <f>YEAR(Table14[[#This Row],[Data_Wystawienia]])</f>
        <v>2024</v>
      </c>
      <c r="O2794" s="2" t="str">
        <f>TEXT(Table14[[#This Row],[Data_Wystawienia]],"rrrr-mm")</f>
        <v>2024-10</v>
      </c>
      <c r="P2794" s="2">
        <v>1</v>
      </c>
    </row>
    <row r="2795" spans="1:16" x14ac:dyDescent="0.3">
      <c r="A2795" s="2" t="str">
        <f>TRIM(Table1[[#This Row],[Numer_FV]])</f>
        <v>FV/48443/VDb/2024</v>
      </c>
      <c r="B2795" s="2" t="str">
        <f>TRIM(Table1[[#This Row],[Numer_PZ]])</f>
        <v>PZ/802793</v>
      </c>
      <c r="C2795" s="2" t="str">
        <f>TRIM(Table1[[#This Row],[Dostawca]])</f>
        <v>VitaDistrib</v>
      </c>
      <c r="D2795" s="3">
        <v>45584</v>
      </c>
      <c r="E2795" s="4" t="s">
        <v>8255</v>
      </c>
      <c r="F2795" s="2" t="str">
        <f>TRIM(Table1[[#This Row],[Status]])</f>
        <v>Zaakceptowana</v>
      </c>
      <c r="G2795" s="2" t="str">
        <f>TRIM(Table1[[#This Row],[Typ]])</f>
        <v>Faktura VAT</v>
      </c>
      <c r="H2795" s="2" t="str">
        <f>TRIM(Table1[[#This Row],[Magazyn]])</f>
        <v>Apteka Szpitalna</v>
      </c>
      <c r="I2795" s="2" t="str">
        <f>TRIM(Table1[[#This Row],[Umowa]])</f>
        <v>UM-VIT-01</v>
      </c>
      <c r="J2795" s="2" t="b">
        <f>ISTEXT(Table14[[#This Row],[Data_Wystawienia]])</f>
        <v>0</v>
      </c>
      <c r="K2795" s="2">
        <f>VALUE(SUBSTITUTE(Table14[[#This Row],[Wartość]],".",","))</f>
        <v>19009.560000000001</v>
      </c>
      <c r="L27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5" s="2" t="str">
        <f>IF(Table14[[#This Row],[Umowa]]="","Poza umową","Z umowy")</f>
        <v>Z umowy</v>
      </c>
      <c r="N2795" s="2">
        <f>YEAR(Table14[[#This Row],[Data_Wystawienia]])</f>
        <v>2024</v>
      </c>
      <c r="O2795" s="2" t="str">
        <f>TEXT(Table14[[#This Row],[Data_Wystawienia]],"rrrr-mm")</f>
        <v>2024-10</v>
      </c>
      <c r="P2795" s="2">
        <v>1</v>
      </c>
    </row>
    <row r="2796" spans="1:16" x14ac:dyDescent="0.3">
      <c r="A2796" s="2" t="str">
        <f>TRIM(Table1[[#This Row],[Numer_FV]])</f>
        <v>FV/5465HM/24</v>
      </c>
      <c r="B2796" s="2" t="str">
        <f>TRIM(Table1[[#This Row],[Numer_PZ]])</f>
        <v>PZ/802794</v>
      </c>
      <c r="C2796" s="2" t="str">
        <f>TRIM(Table1[[#This Row],[Dostawca]])</f>
        <v>HurtMedix</v>
      </c>
      <c r="D2796" s="3">
        <v>45585</v>
      </c>
      <c r="E2796" s="4" t="s">
        <v>8258</v>
      </c>
      <c r="F2796" s="2" t="str">
        <f>TRIM(Table1[[#This Row],[Status]])</f>
        <v>Zaakceptowana</v>
      </c>
      <c r="G2796" s="2" t="str">
        <f>TRIM(Table1[[#This Row],[Typ]])</f>
        <v>Faktura VAT</v>
      </c>
      <c r="H2796" s="2" t="str">
        <f>TRIM(Table1[[#This Row],[Magazyn]])</f>
        <v>Apteka Szpitalna</v>
      </c>
      <c r="I2796" s="2" t="str">
        <f>TRIM(Table1[[#This Row],[Umowa]])</f>
        <v>UM-HUR-03</v>
      </c>
      <c r="J2796" s="2" t="b">
        <f>ISTEXT(Table14[[#This Row],[Data_Wystawienia]])</f>
        <v>0</v>
      </c>
      <c r="K2796" s="2">
        <f>VALUE(SUBSTITUTE(Table14[[#This Row],[Wartość]],".",","))</f>
        <v>18717</v>
      </c>
      <c r="L27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6" s="2" t="str">
        <f>IF(Table14[[#This Row],[Umowa]]="","Poza umową","Z umowy")</f>
        <v>Z umowy</v>
      </c>
      <c r="N2796" s="2">
        <f>YEAR(Table14[[#This Row],[Data_Wystawienia]])</f>
        <v>2024</v>
      </c>
      <c r="O2796" s="2" t="str">
        <f>TEXT(Table14[[#This Row],[Data_Wystawienia]],"rrrr-mm")</f>
        <v>2024-10</v>
      </c>
      <c r="P2796" s="2">
        <v>1</v>
      </c>
    </row>
    <row r="2797" spans="1:16" x14ac:dyDescent="0.3">
      <c r="A2797" s="2" t="str">
        <f>TRIM(Table1[[#This Row],[Numer_FV]])</f>
        <v>FV/POL/76181/2024</v>
      </c>
      <c r="B2797" s="2" t="str">
        <f>TRIM(Table1[[#This Row],[Numer_PZ]])</f>
        <v>PZ/802795</v>
      </c>
      <c r="C2797" s="2" t="str">
        <f>TRIM(Table1[[#This Row],[Dostawca]])</f>
        <v>Polmedica</v>
      </c>
      <c r="D2797" s="3">
        <v>45585</v>
      </c>
      <c r="E2797" s="4" t="s">
        <v>8261</v>
      </c>
      <c r="F2797" s="2" t="str">
        <f>TRIM(Table1[[#This Row],[Status]])</f>
        <v>Zaakceptowana</v>
      </c>
      <c r="G2797" s="2" t="str">
        <f>TRIM(Table1[[#This Row],[Typ]])</f>
        <v>Faktura VAT</v>
      </c>
      <c r="H2797" s="2" t="str">
        <f>TRIM(Table1[[#This Row],[Magazyn]])</f>
        <v>Apteka Szpitalna</v>
      </c>
      <c r="I2797" s="2" t="str">
        <f>TRIM(Table1[[#This Row],[Umowa]])</f>
        <v>UM-POL-03</v>
      </c>
      <c r="J2797" s="2" t="b">
        <f>ISTEXT(Table14[[#This Row],[Data_Wystawienia]])</f>
        <v>0</v>
      </c>
      <c r="K2797" s="2">
        <f>VALUE(SUBSTITUTE(Table14[[#This Row],[Wartość]],".",","))</f>
        <v>18339.490000000002</v>
      </c>
      <c r="L27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7" s="2" t="str">
        <f>IF(Table14[[#This Row],[Umowa]]="","Poza umową","Z umowy")</f>
        <v>Z umowy</v>
      </c>
      <c r="N2797" s="2">
        <f>YEAR(Table14[[#This Row],[Data_Wystawienia]])</f>
        <v>2024</v>
      </c>
      <c r="O2797" s="2" t="str">
        <f>TEXT(Table14[[#This Row],[Data_Wystawienia]],"rrrr-mm")</f>
        <v>2024-10</v>
      </c>
      <c r="P2797" s="2">
        <v>1</v>
      </c>
    </row>
    <row r="2798" spans="1:16" x14ac:dyDescent="0.3">
      <c r="A2798" s="2" t="str">
        <f>TRIM(Table1[[#This Row],[Numer_FV]])</f>
        <v>FV/60/SAL/24</v>
      </c>
      <c r="B2798" s="2" t="str">
        <f>TRIM(Table1[[#This Row],[Numer_PZ]])</f>
        <v>PZ/802796</v>
      </c>
      <c r="C2798" s="2" t="str">
        <f>TRIM(Table1[[#This Row],[Dostawca]])</f>
        <v>SalusHurt</v>
      </c>
      <c r="D2798" s="3">
        <v>45586</v>
      </c>
      <c r="E2798" s="4" t="s">
        <v>8263</v>
      </c>
      <c r="F2798" s="2" t="str">
        <f>TRIM(Table1[[#This Row],[Status]])</f>
        <v>Zaakceptowana</v>
      </c>
      <c r="G2798" s="2" t="str">
        <f>TRIM(Table1[[#This Row],[Typ]])</f>
        <v>Faktura VAT</v>
      </c>
      <c r="H2798" s="2" t="str">
        <f>TRIM(Table1[[#This Row],[Magazyn]])</f>
        <v>Apteka Szpitalna</v>
      </c>
      <c r="I2798" s="2" t="str">
        <f>TRIM(Table1[[#This Row],[Umowa]])</f>
        <v>UM-SAL-01</v>
      </c>
      <c r="J2798" s="2" t="b">
        <f>ISTEXT(Table14[[#This Row],[Data_Wystawienia]])</f>
        <v>0</v>
      </c>
      <c r="K2798" s="2">
        <f>VALUE(SUBSTITUTE(Table14[[#This Row],[Wartość]],".",","))</f>
        <v>7941.84</v>
      </c>
      <c r="L27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8" s="2" t="str">
        <f>IF(Table14[[#This Row],[Umowa]]="","Poza umową","Z umowy")</f>
        <v>Z umowy</v>
      </c>
      <c r="N2798" s="2">
        <f>YEAR(Table14[[#This Row],[Data_Wystawienia]])</f>
        <v>2024</v>
      </c>
      <c r="O2798" s="2" t="str">
        <f>TEXT(Table14[[#This Row],[Data_Wystawienia]],"rrrr-mm")</f>
        <v>2024-10</v>
      </c>
      <c r="P2798" s="2">
        <v>1</v>
      </c>
    </row>
    <row r="2799" spans="1:16" x14ac:dyDescent="0.3">
      <c r="A2799" s="2" t="str">
        <f>TRIM(Table1[[#This Row],[Numer_FV]])</f>
        <v>FV/94/PP/9584/24</v>
      </c>
      <c r="B2799" s="2" t="str">
        <f>TRIM(Table1[[#This Row],[Numer_PZ]])</f>
        <v>PZ/802797</v>
      </c>
      <c r="C2799" s="2" t="str">
        <f>TRIM(Table1[[#This Row],[Dostawca]])</f>
        <v>PharmaPlus</v>
      </c>
      <c r="D2799" s="3">
        <v>45587</v>
      </c>
      <c r="E2799" s="4" t="s">
        <v>8266</v>
      </c>
      <c r="F2799" s="2" t="str">
        <f>TRIM(Table1[[#This Row],[Status]])</f>
        <v>Zaakceptowana</v>
      </c>
      <c r="G2799" s="2" t="str">
        <f>TRIM(Table1[[#This Row],[Typ]])</f>
        <v>Faktura VAT</v>
      </c>
      <c r="H2799" s="2" t="str">
        <f>TRIM(Table1[[#This Row],[Magazyn]])</f>
        <v>Apteka Szpitalna</v>
      </c>
      <c r="I2799" s="2" t="str">
        <f>TRIM(Table1[[#This Row],[Umowa]])</f>
        <v>UM-PHA-01</v>
      </c>
      <c r="J2799" s="2" t="b">
        <f>ISTEXT(Table14[[#This Row],[Data_Wystawienia]])</f>
        <v>0</v>
      </c>
      <c r="K2799" s="2">
        <f>VALUE(SUBSTITUTE(Table14[[#This Row],[Wartość]],".",","))</f>
        <v>11103.85</v>
      </c>
      <c r="L27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799" s="2" t="str">
        <f>IF(Table14[[#This Row],[Umowa]]="","Poza umową","Z umowy")</f>
        <v>Z umowy</v>
      </c>
      <c r="N2799" s="2">
        <f>YEAR(Table14[[#This Row],[Data_Wystawienia]])</f>
        <v>2024</v>
      </c>
      <c r="O2799" s="2" t="str">
        <f>TEXT(Table14[[#This Row],[Data_Wystawienia]],"rrrr-mm")</f>
        <v>2024-10</v>
      </c>
      <c r="P2799" s="2">
        <v>1</v>
      </c>
    </row>
    <row r="2800" spans="1:16" x14ac:dyDescent="0.3">
      <c r="A2800" s="2" t="str">
        <f>TRIM(Table1[[#This Row],[Numer_FV]])</f>
        <v>FV/POL/14899/2024</v>
      </c>
      <c r="B2800" s="2" t="str">
        <f>TRIM(Table1[[#This Row],[Numer_PZ]])</f>
        <v>PZ/802798</v>
      </c>
      <c r="C2800" s="2" t="str">
        <f>TRIM(Table1[[#This Row],[Dostawca]])</f>
        <v>Polmedica</v>
      </c>
      <c r="D2800" s="3">
        <v>45587</v>
      </c>
      <c r="E2800" s="4" t="s">
        <v>8269</v>
      </c>
      <c r="F2800" s="2" t="str">
        <f>TRIM(Table1[[#This Row],[Status]])</f>
        <v>Zaakceptowana</v>
      </c>
      <c r="G2800" s="2" t="str">
        <f>TRIM(Table1[[#This Row],[Typ]])</f>
        <v>Faktura VAT</v>
      </c>
      <c r="H2800" s="2" t="str">
        <f>TRIM(Table1[[#This Row],[Magazyn]])</f>
        <v>Apteka Szpitalna</v>
      </c>
      <c r="I2800" s="2" t="str">
        <f>TRIM(Table1[[#This Row],[Umowa]])</f>
        <v>UM-POL-03</v>
      </c>
      <c r="J2800" s="2" t="b">
        <f>ISTEXT(Table14[[#This Row],[Data_Wystawienia]])</f>
        <v>0</v>
      </c>
      <c r="K2800" s="2">
        <f>VALUE(SUBSTITUTE(Table14[[#This Row],[Wartość]],".",","))</f>
        <v>15629.19</v>
      </c>
      <c r="L28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0" s="2" t="str">
        <f>IF(Table14[[#This Row],[Umowa]]="","Poza umową","Z umowy")</f>
        <v>Z umowy</v>
      </c>
      <c r="N2800" s="2">
        <f>YEAR(Table14[[#This Row],[Data_Wystawienia]])</f>
        <v>2024</v>
      </c>
      <c r="O2800" s="2" t="str">
        <f>TEXT(Table14[[#This Row],[Data_Wystawienia]],"rrrr-mm")</f>
        <v>2024-10</v>
      </c>
      <c r="P2800" s="2">
        <v>1</v>
      </c>
    </row>
    <row r="2801" spans="1:16" x14ac:dyDescent="0.3">
      <c r="A2801" s="2" t="str">
        <f>TRIM(Table1[[#This Row],[Numer_FV]])</f>
        <v>FV/44/SAL/24</v>
      </c>
      <c r="B2801" s="2" t="str">
        <f>TRIM(Table1[[#This Row],[Numer_PZ]])</f>
        <v>PZ/802799</v>
      </c>
      <c r="C2801" s="2" t="str">
        <f>TRIM(Table1[[#This Row],[Dostawca]])</f>
        <v>SalusHurt</v>
      </c>
      <c r="D2801" s="3">
        <v>45587</v>
      </c>
      <c r="E2801" s="4" t="s">
        <v>8271</v>
      </c>
      <c r="F2801" s="2" t="str">
        <f>TRIM(Table1[[#This Row],[Status]])</f>
        <v>Zaakceptowana</v>
      </c>
      <c r="G2801" s="2" t="str">
        <f>TRIM(Table1[[#This Row],[Typ]])</f>
        <v>Korekta FV</v>
      </c>
      <c r="H2801" s="2" t="str">
        <f>TRIM(Table1[[#This Row],[Magazyn]])</f>
        <v>Apteka Szpitalna</v>
      </c>
      <c r="I2801" s="2" t="str">
        <f>TRIM(Table1[[#This Row],[Umowa]])</f>
        <v>UM-SAL-02</v>
      </c>
      <c r="J2801" s="2" t="b">
        <f>ISTEXT(Table14[[#This Row],[Data_Wystawienia]])</f>
        <v>0</v>
      </c>
      <c r="K2801" s="2">
        <f>VALUE(SUBSTITUTE(Table14[[#This Row],[Wartość]],".",","))</f>
        <v>-1316.06</v>
      </c>
      <c r="L28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1" s="2" t="str">
        <f>IF(Table14[[#This Row],[Umowa]]="","Poza umową","Z umowy")</f>
        <v>Z umowy</v>
      </c>
      <c r="N2801" s="2">
        <f>YEAR(Table14[[#This Row],[Data_Wystawienia]])</f>
        <v>2024</v>
      </c>
      <c r="O2801" s="2" t="str">
        <f>TEXT(Table14[[#This Row],[Data_Wystawienia]],"rrrr-mm")</f>
        <v>2024-10</v>
      </c>
      <c r="P2801" s="2">
        <v>1</v>
      </c>
    </row>
    <row r="2802" spans="1:16" x14ac:dyDescent="0.3">
      <c r="A2802" s="2" t="str">
        <f>TRIM(Table1[[#This Row],[Numer_FV]])</f>
        <v>FV/CENFA/858695/24</v>
      </c>
      <c r="B2802" s="2" t="str">
        <f>TRIM(Table1[[#This Row],[Numer_PZ]])</f>
        <v>PZ/802800</v>
      </c>
      <c r="C2802" s="2" t="str">
        <f>TRIM(Table1[[#This Row],[Dostawca]])</f>
        <v>CentrumFarm</v>
      </c>
      <c r="D2802" s="3">
        <v>45587</v>
      </c>
      <c r="E2802" s="4" t="s">
        <v>8274</v>
      </c>
      <c r="F2802" s="2" t="str">
        <f>TRIM(Table1[[#This Row],[Status]])</f>
        <v>Zaakceptowana</v>
      </c>
      <c r="G2802" s="2" t="str">
        <f>TRIM(Table1[[#This Row],[Typ]])</f>
        <v>Faktura VAT</v>
      </c>
      <c r="H2802" s="2" t="str">
        <f>TRIM(Table1[[#This Row],[Magazyn]])</f>
        <v>Apteka Szpitalna</v>
      </c>
      <c r="I2802" s="2" t="str">
        <f>TRIM(Table1[[#This Row],[Umowa]])</f>
        <v>UM-CEN-02</v>
      </c>
      <c r="J2802" s="2" t="b">
        <f>ISTEXT(Table14[[#This Row],[Data_Wystawienia]])</f>
        <v>0</v>
      </c>
      <c r="K2802" s="2">
        <f>VALUE(SUBSTITUTE(Table14[[#This Row],[Wartość]],".",","))</f>
        <v>13630.55</v>
      </c>
      <c r="L28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2" s="2" t="str">
        <f>IF(Table14[[#This Row],[Umowa]]="","Poza umową","Z umowy")</f>
        <v>Z umowy</v>
      </c>
      <c r="N2802" s="2">
        <f>YEAR(Table14[[#This Row],[Data_Wystawienia]])</f>
        <v>2024</v>
      </c>
      <c r="O2802" s="2" t="str">
        <f>TEXT(Table14[[#This Row],[Data_Wystawienia]],"rrrr-mm")</f>
        <v>2024-10</v>
      </c>
      <c r="P2802" s="2">
        <v>1</v>
      </c>
    </row>
    <row r="2803" spans="1:16" x14ac:dyDescent="0.3">
      <c r="A2803" s="2" t="str">
        <f>TRIM(Table1[[#This Row],[Numer_FV]])</f>
        <v>FV/M/5797/P/24</v>
      </c>
      <c r="B2803" s="2" t="str">
        <f>TRIM(Table1[[#This Row],[Numer_PZ]])</f>
        <v>PZ/802801</v>
      </c>
      <c r="C2803" s="2" t="str">
        <f>TRIM(Table1[[#This Row],[Dostawca]])</f>
        <v>MedicaPharm</v>
      </c>
      <c r="D2803" s="3">
        <v>45588</v>
      </c>
      <c r="E2803" s="4" t="s">
        <v>8277</v>
      </c>
      <c r="F2803" s="2" t="str">
        <f>TRIM(Table1[[#This Row],[Status]])</f>
        <v>Zaakceptowana</v>
      </c>
      <c r="G2803" s="2" t="str">
        <f>TRIM(Table1[[#This Row],[Typ]])</f>
        <v>Faktura VAT</v>
      </c>
      <c r="H2803" s="2" t="str">
        <f>TRIM(Table1[[#This Row],[Magazyn]])</f>
        <v>Apteka Szpitalna</v>
      </c>
      <c r="I2803" s="2" t="str">
        <f>TRIM(Table1[[#This Row],[Umowa]])</f>
        <v>UM-MED-02</v>
      </c>
      <c r="J2803" s="2" t="b">
        <f>ISTEXT(Table14[[#This Row],[Data_Wystawienia]])</f>
        <v>0</v>
      </c>
      <c r="K2803" s="2">
        <f>VALUE(SUBSTITUTE(Table14[[#This Row],[Wartość]],".",","))</f>
        <v>16705.52</v>
      </c>
      <c r="L28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3" s="2" t="str">
        <f>IF(Table14[[#This Row],[Umowa]]="","Poza umową","Z umowy")</f>
        <v>Z umowy</v>
      </c>
      <c r="N2803" s="2">
        <f>YEAR(Table14[[#This Row],[Data_Wystawienia]])</f>
        <v>2024</v>
      </c>
      <c r="O2803" s="2" t="str">
        <f>TEXT(Table14[[#This Row],[Data_Wystawienia]],"rrrr-mm")</f>
        <v>2024-10</v>
      </c>
      <c r="P2803" s="2">
        <v>1</v>
      </c>
    </row>
    <row r="2804" spans="1:16" x14ac:dyDescent="0.3">
      <c r="A2804" s="2" t="str">
        <f>TRIM(Table1[[#This Row],[Numer_FV]])</f>
        <v>FV/43768/VDb/2024</v>
      </c>
      <c r="B2804" s="2" t="str">
        <f>TRIM(Table1[[#This Row],[Numer_PZ]])</f>
        <v>PZ/802802</v>
      </c>
      <c r="C2804" s="2" t="str">
        <f>TRIM(Table1[[#This Row],[Dostawca]])</f>
        <v>VitaDistrib</v>
      </c>
      <c r="D2804" s="3">
        <v>45588</v>
      </c>
      <c r="E2804" s="4" t="s">
        <v>8280</v>
      </c>
      <c r="F2804" s="2" t="str">
        <f>TRIM(Table1[[#This Row],[Status]])</f>
        <v>Zaakceptowana</v>
      </c>
      <c r="G2804" s="2" t="str">
        <f>TRIM(Table1[[#This Row],[Typ]])</f>
        <v>Faktura VAT</v>
      </c>
      <c r="H2804" s="2" t="str">
        <f>TRIM(Table1[[#This Row],[Magazyn]])</f>
        <v>Apteka Szpitalna</v>
      </c>
      <c r="I2804" s="2" t="str">
        <f>TRIM(Table1[[#This Row],[Umowa]])</f>
        <v/>
      </c>
      <c r="J2804" s="2" t="b">
        <f>ISTEXT(Table14[[#This Row],[Data_Wystawienia]])</f>
        <v>0</v>
      </c>
      <c r="K2804" s="2">
        <f>VALUE(SUBSTITUTE(Table14[[#This Row],[Wartość]],".",","))</f>
        <v>12981.54</v>
      </c>
      <c r="L28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4" s="2" t="str">
        <f>IF(Table14[[#This Row],[Umowa]]="","Poza umową","Z umowy")</f>
        <v>Poza umową</v>
      </c>
      <c r="N2804" s="2">
        <f>YEAR(Table14[[#This Row],[Data_Wystawienia]])</f>
        <v>2024</v>
      </c>
      <c r="O2804" s="2" t="str">
        <f>TEXT(Table14[[#This Row],[Data_Wystawienia]],"rrrr-mm")</f>
        <v>2024-10</v>
      </c>
      <c r="P2804" s="2">
        <v>1</v>
      </c>
    </row>
    <row r="2805" spans="1:16" x14ac:dyDescent="0.3">
      <c r="A2805" s="2" t="str">
        <f>TRIM(Table1[[#This Row],[Numer_FV]])</f>
        <v>FV/M/8573/P/24</v>
      </c>
      <c r="B2805" s="2" t="str">
        <f>TRIM(Table1[[#This Row],[Numer_PZ]])</f>
        <v>PZ/802803</v>
      </c>
      <c r="C2805" s="2" t="str">
        <f>TRIM(Table1[[#This Row],[Dostawca]])</f>
        <v>MedicaPharm</v>
      </c>
      <c r="D2805" s="3">
        <v>45588</v>
      </c>
      <c r="E2805" s="4" t="s">
        <v>8283</v>
      </c>
      <c r="F2805" s="2" t="str">
        <f>TRIM(Table1[[#This Row],[Status]])</f>
        <v>Zaakceptowana</v>
      </c>
      <c r="G2805" s="2" t="str">
        <f>TRIM(Table1[[#This Row],[Typ]])</f>
        <v>Faktura VAT</v>
      </c>
      <c r="H2805" s="2" t="str">
        <f>TRIM(Table1[[#This Row],[Magazyn]])</f>
        <v>Apteka Szpitalna</v>
      </c>
      <c r="I2805" s="2" t="str">
        <f>TRIM(Table1[[#This Row],[Umowa]])</f>
        <v>UM-MED-01</v>
      </c>
      <c r="J2805" s="2" t="b">
        <f>ISTEXT(Table14[[#This Row],[Data_Wystawienia]])</f>
        <v>0</v>
      </c>
      <c r="K2805" s="2">
        <f>VALUE(SUBSTITUTE(Table14[[#This Row],[Wartość]],".",","))</f>
        <v>14665.86</v>
      </c>
      <c r="L28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5" s="2" t="str">
        <f>IF(Table14[[#This Row],[Umowa]]="","Poza umową","Z umowy")</f>
        <v>Z umowy</v>
      </c>
      <c r="N2805" s="2">
        <f>YEAR(Table14[[#This Row],[Data_Wystawienia]])</f>
        <v>2024</v>
      </c>
      <c r="O2805" s="2" t="str">
        <f>TEXT(Table14[[#This Row],[Data_Wystawienia]],"rrrr-mm")</f>
        <v>2024-10</v>
      </c>
      <c r="P2805" s="2">
        <v>1</v>
      </c>
    </row>
    <row r="2806" spans="1:16" x14ac:dyDescent="0.3">
      <c r="A2806" s="2" t="str">
        <f>TRIM(Table1[[#This Row],[Numer_FV]])</f>
        <v>FV/9590/NOVA/24</v>
      </c>
      <c r="B2806" s="2" t="str">
        <f>TRIM(Table1[[#This Row],[Numer_PZ]])</f>
        <v>PZ/802804</v>
      </c>
      <c r="C2806" s="2" t="str">
        <f>TRIM(Table1[[#This Row],[Dostawca]])</f>
        <v>NovaLek</v>
      </c>
      <c r="D2806" s="3">
        <v>45589</v>
      </c>
      <c r="E2806" s="4" t="s">
        <v>8286</v>
      </c>
      <c r="F2806" s="2" t="str">
        <f>TRIM(Table1[[#This Row],[Status]])</f>
        <v>Zaakceptowana</v>
      </c>
      <c r="G2806" s="2" t="str">
        <f>TRIM(Table1[[#This Row],[Typ]])</f>
        <v>Faktura VAT</v>
      </c>
      <c r="H2806" s="2" t="str">
        <f>TRIM(Table1[[#This Row],[Magazyn]])</f>
        <v>Apteka Szpitalna</v>
      </c>
      <c r="I2806" s="2" t="str">
        <f>TRIM(Table1[[#This Row],[Umowa]])</f>
        <v/>
      </c>
      <c r="J2806" s="2" t="b">
        <f>ISTEXT(Table14[[#This Row],[Data_Wystawienia]])</f>
        <v>0</v>
      </c>
      <c r="K2806" s="2">
        <f>VALUE(SUBSTITUTE(Table14[[#This Row],[Wartość]],".",","))</f>
        <v>19299.36</v>
      </c>
      <c r="L28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6" s="2" t="str">
        <f>IF(Table14[[#This Row],[Umowa]]="","Poza umową","Z umowy")</f>
        <v>Poza umową</v>
      </c>
      <c r="N2806" s="2">
        <f>YEAR(Table14[[#This Row],[Data_Wystawienia]])</f>
        <v>2024</v>
      </c>
      <c r="O2806" s="2" t="str">
        <f>TEXT(Table14[[#This Row],[Data_Wystawienia]],"rrrr-mm")</f>
        <v>2024-10</v>
      </c>
      <c r="P2806" s="2">
        <v>1</v>
      </c>
    </row>
    <row r="2807" spans="1:16" x14ac:dyDescent="0.3">
      <c r="A2807" s="2" t="str">
        <f>TRIM(Table1[[#This Row],[Numer_FV]])</f>
        <v>FV/CENFA/822255/24</v>
      </c>
      <c r="B2807" s="2" t="str">
        <f>TRIM(Table1[[#This Row],[Numer_PZ]])</f>
        <v>PZ/802805</v>
      </c>
      <c r="C2807" s="2" t="str">
        <f>TRIM(Table1[[#This Row],[Dostawca]])</f>
        <v>CentrumFarm</v>
      </c>
      <c r="D2807" s="3">
        <v>45589</v>
      </c>
      <c r="E2807" s="4" t="s">
        <v>8289</v>
      </c>
      <c r="F2807" s="2" t="str">
        <f>TRIM(Table1[[#This Row],[Status]])</f>
        <v>Zaakceptowana</v>
      </c>
      <c r="G2807" s="2" t="str">
        <f>TRIM(Table1[[#This Row],[Typ]])</f>
        <v>Faktura VAT</v>
      </c>
      <c r="H2807" s="2" t="str">
        <f>TRIM(Table1[[#This Row],[Magazyn]])</f>
        <v>Apteka Szpitalna</v>
      </c>
      <c r="I2807" s="2" t="str">
        <f>TRIM(Table1[[#This Row],[Umowa]])</f>
        <v>UM-CEN-01</v>
      </c>
      <c r="J2807" s="2" t="b">
        <f>ISTEXT(Table14[[#This Row],[Data_Wystawienia]])</f>
        <v>0</v>
      </c>
      <c r="K2807" s="2">
        <f>VALUE(SUBSTITUTE(Table14[[#This Row],[Wartość]],".",","))</f>
        <v>19850.87</v>
      </c>
      <c r="L28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7" s="2" t="str">
        <f>IF(Table14[[#This Row],[Umowa]]="","Poza umową","Z umowy")</f>
        <v>Z umowy</v>
      </c>
      <c r="N2807" s="2">
        <f>YEAR(Table14[[#This Row],[Data_Wystawienia]])</f>
        <v>2024</v>
      </c>
      <c r="O2807" s="2" t="str">
        <f>TEXT(Table14[[#This Row],[Data_Wystawienia]],"rrrr-mm")</f>
        <v>2024-10</v>
      </c>
      <c r="P2807" s="2">
        <v>1</v>
      </c>
    </row>
    <row r="2808" spans="1:16" x14ac:dyDescent="0.3">
      <c r="A2808" s="2" t="str">
        <f>TRIM(Table1[[#This Row],[Numer_FV]])</f>
        <v>FV/POL/82872/2024</v>
      </c>
      <c r="B2808" s="2" t="str">
        <f>TRIM(Table1[[#This Row],[Numer_PZ]])</f>
        <v>PZ/802806</v>
      </c>
      <c r="C2808" s="2" t="str">
        <f>TRIM(Table1[[#This Row],[Dostawca]])</f>
        <v>Polmedica</v>
      </c>
      <c r="D2808" s="3">
        <v>45590</v>
      </c>
      <c r="E2808" s="4" t="s">
        <v>8292</v>
      </c>
      <c r="F2808" s="2" t="str">
        <f>TRIM(Table1[[#This Row],[Status]])</f>
        <v>Zaakceptowana</v>
      </c>
      <c r="G2808" s="2" t="str">
        <f>TRIM(Table1[[#This Row],[Typ]])</f>
        <v>Faktura VAT</v>
      </c>
      <c r="H2808" s="2" t="str">
        <f>TRIM(Table1[[#This Row],[Magazyn]])</f>
        <v>Apteka Szpitalna</v>
      </c>
      <c r="I2808" s="2" t="str">
        <f>TRIM(Table1[[#This Row],[Umowa]])</f>
        <v>UM-POL-03</v>
      </c>
      <c r="J2808" s="2" t="b">
        <f>ISTEXT(Table14[[#This Row],[Data_Wystawienia]])</f>
        <v>0</v>
      </c>
      <c r="K2808" s="2">
        <f>VALUE(SUBSTITUTE(Table14[[#This Row],[Wartość]],".",","))</f>
        <v>20351.45</v>
      </c>
      <c r="L28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8" s="2" t="str">
        <f>IF(Table14[[#This Row],[Umowa]]="","Poza umową","Z umowy")</f>
        <v>Z umowy</v>
      </c>
      <c r="N2808" s="2">
        <f>YEAR(Table14[[#This Row],[Data_Wystawienia]])</f>
        <v>2024</v>
      </c>
      <c r="O2808" s="2" t="str">
        <f>TEXT(Table14[[#This Row],[Data_Wystawienia]],"rrrr-mm")</f>
        <v>2024-10</v>
      </c>
      <c r="P2808" s="2">
        <v>1</v>
      </c>
    </row>
    <row r="2809" spans="1:16" x14ac:dyDescent="0.3">
      <c r="A2809" s="2" t="str">
        <f>TRIM(Table1[[#This Row],[Numer_FV]])</f>
        <v>FV/37/SAL/24</v>
      </c>
      <c r="B2809" s="2" t="str">
        <f>TRIM(Table1[[#This Row],[Numer_PZ]])</f>
        <v>PZ/802807</v>
      </c>
      <c r="C2809" s="2" t="str">
        <f>TRIM(Table1[[#This Row],[Dostawca]])</f>
        <v>SalusHurt</v>
      </c>
      <c r="D2809" s="3">
        <v>45590</v>
      </c>
      <c r="E2809" s="4" t="s">
        <v>8294</v>
      </c>
      <c r="F2809" s="2" t="str">
        <f>TRIM(Table1[[#This Row],[Status]])</f>
        <v>Zaakceptowana</v>
      </c>
      <c r="G2809" s="2" t="str">
        <f>TRIM(Table1[[#This Row],[Typ]])</f>
        <v>Faktura VAT</v>
      </c>
      <c r="H2809" s="2" t="str">
        <f>TRIM(Table1[[#This Row],[Magazyn]])</f>
        <v>Apteka Szpitalna</v>
      </c>
      <c r="I2809" s="2" t="str">
        <f>TRIM(Table1[[#This Row],[Umowa]])</f>
        <v/>
      </c>
      <c r="J2809" s="2" t="b">
        <f>ISTEXT(Table14[[#This Row],[Data_Wystawienia]])</f>
        <v>0</v>
      </c>
      <c r="K2809" s="2">
        <f>VALUE(SUBSTITUTE(Table14[[#This Row],[Wartość]],".",","))</f>
        <v>21657.4</v>
      </c>
      <c r="L28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09" s="2" t="str">
        <f>IF(Table14[[#This Row],[Umowa]]="","Poza umową","Z umowy")</f>
        <v>Poza umową</v>
      </c>
      <c r="N2809" s="2">
        <f>YEAR(Table14[[#This Row],[Data_Wystawienia]])</f>
        <v>2024</v>
      </c>
      <c r="O2809" s="2" t="str">
        <f>TEXT(Table14[[#This Row],[Data_Wystawienia]],"rrrr-mm")</f>
        <v>2024-10</v>
      </c>
      <c r="P2809" s="2">
        <v>1</v>
      </c>
    </row>
    <row r="2810" spans="1:16" x14ac:dyDescent="0.3">
      <c r="A2810" s="2" t="str">
        <f>TRIM(Table1[[#This Row],[Numer_FV]])</f>
        <v>FV/2107HM/24</v>
      </c>
      <c r="B2810" s="2" t="str">
        <f>TRIM(Table1[[#This Row],[Numer_PZ]])</f>
        <v>PZ/802808</v>
      </c>
      <c r="C2810" s="2" t="str">
        <f>TRIM(Table1[[#This Row],[Dostawca]])</f>
        <v>HurtMedix</v>
      </c>
      <c r="D2810" s="3">
        <v>45590</v>
      </c>
      <c r="E2810" s="4" t="s">
        <v>8297</v>
      </c>
      <c r="F2810" s="2" t="str">
        <f>TRIM(Table1[[#This Row],[Status]])</f>
        <v>Zaakceptowana</v>
      </c>
      <c r="G2810" s="2" t="str">
        <f>TRIM(Table1[[#This Row],[Typ]])</f>
        <v>Faktura VAT</v>
      </c>
      <c r="H2810" s="2" t="str">
        <f>TRIM(Table1[[#This Row],[Magazyn]])</f>
        <v>Apteka Szpitalna</v>
      </c>
      <c r="I2810" s="2" t="str">
        <f>TRIM(Table1[[#This Row],[Umowa]])</f>
        <v>UM-HUR-03</v>
      </c>
      <c r="J2810" s="2" t="b">
        <f>ISTEXT(Table14[[#This Row],[Data_Wystawienia]])</f>
        <v>0</v>
      </c>
      <c r="K2810" s="2">
        <f>VALUE(SUBSTITUTE(Table14[[#This Row],[Wartość]],".",","))</f>
        <v>21643.95</v>
      </c>
      <c r="L28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0" s="2" t="str">
        <f>IF(Table14[[#This Row],[Umowa]]="","Poza umową","Z umowy")</f>
        <v>Z umowy</v>
      </c>
      <c r="N2810" s="2">
        <f>YEAR(Table14[[#This Row],[Data_Wystawienia]])</f>
        <v>2024</v>
      </c>
      <c r="O2810" s="2" t="str">
        <f>TEXT(Table14[[#This Row],[Data_Wystawienia]],"rrrr-mm")</f>
        <v>2024-10</v>
      </c>
      <c r="P2810" s="2">
        <v>1</v>
      </c>
    </row>
    <row r="2811" spans="1:16" x14ac:dyDescent="0.3">
      <c r="A2811" s="2" t="str">
        <f>TRIM(Table1[[#This Row],[Numer_FV]])</f>
        <v>FV/4835HM/24</v>
      </c>
      <c r="B2811" s="2" t="str">
        <f>TRIM(Table1[[#This Row],[Numer_PZ]])</f>
        <v>PZ/802809</v>
      </c>
      <c r="C2811" s="2" t="str">
        <f>TRIM(Table1[[#This Row],[Dostawca]])</f>
        <v>HurtMedix</v>
      </c>
      <c r="D2811" s="3">
        <v>45591</v>
      </c>
      <c r="E2811" s="4" t="s">
        <v>8300</v>
      </c>
      <c r="F2811" s="2" t="str">
        <f>TRIM(Table1[[#This Row],[Status]])</f>
        <v>Zaakceptowana</v>
      </c>
      <c r="G2811" s="2" t="str">
        <f>TRIM(Table1[[#This Row],[Typ]])</f>
        <v>Faktura VAT</v>
      </c>
      <c r="H2811" s="2" t="str">
        <f>TRIM(Table1[[#This Row],[Magazyn]])</f>
        <v>Apteka Szpitalna</v>
      </c>
      <c r="I2811" s="2" t="str">
        <f>TRIM(Table1[[#This Row],[Umowa]])</f>
        <v>UM-HUR-02</v>
      </c>
      <c r="J2811" s="2" t="b">
        <f>ISTEXT(Table14[[#This Row],[Data_Wystawienia]])</f>
        <v>0</v>
      </c>
      <c r="K2811" s="2">
        <f>VALUE(SUBSTITUTE(Table14[[#This Row],[Wartość]],".",","))</f>
        <v>11262.09</v>
      </c>
      <c r="L28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1" s="2" t="str">
        <f>IF(Table14[[#This Row],[Umowa]]="","Poza umową","Z umowy")</f>
        <v>Z umowy</v>
      </c>
      <c r="N2811" s="2">
        <f>YEAR(Table14[[#This Row],[Data_Wystawienia]])</f>
        <v>2024</v>
      </c>
      <c r="O2811" s="2" t="str">
        <f>TEXT(Table14[[#This Row],[Data_Wystawienia]],"rrrr-mm")</f>
        <v>2024-10</v>
      </c>
      <c r="P2811" s="2">
        <v>1</v>
      </c>
    </row>
    <row r="2812" spans="1:16" x14ac:dyDescent="0.3">
      <c r="A2812" s="2" t="str">
        <f>TRIM(Table1[[#This Row],[Numer_FV]])</f>
        <v>FV/10/SAL/24</v>
      </c>
      <c r="B2812" s="2" t="str">
        <f>TRIM(Table1[[#This Row],[Numer_PZ]])</f>
        <v>PZ/802810</v>
      </c>
      <c r="C2812" s="2" t="str">
        <f>TRIM(Table1[[#This Row],[Dostawca]])</f>
        <v>SalusHurt</v>
      </c>
      <c r="D2812" s="3">
        <v>45591</v>
      </c>
      <c r="E2812" s="4" t="s">
        <v>8303</v>
      </c>
      <c r="F2812" s="2" t="str">
        <f>TRIM(Table1[[#This Row],[Status]])</f>
        <v>Zaakceptowana</v>
      </c>
      <c r="G2812" s="2" t="str">
        <f>TRIM(Table1[[#This Row],[Typ]])</f>
        <v>Faktura VAT</v>
      </c>
      <c r="H2812" s="2" t="str">
        <f>TRIM(Table1[[#This Row],[Magazyn]])</f>
        <v>Apteka Szpitalna</v>
      </c>
      <c r="I2812" s="2" t="str">
        <f>TRIM(Table1[[#This Row],[Umowa]])</f>
        <v>UM-SAL-02</v>
      </c>
      <c r="J2812" s="2" t="b">
        <f>ISTEXT(Table14[[#This Row],[Data_Wystawienia]])</f>
        <v>0</v>
      </c>
      <c r="K2812" s="2">
        <f>VALUE(SUBSTITUTE(Table14[[#This Row],[Wartość]],".",","))</f>
        <v>6927.51</v>
      </c>
      <c r="L28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2" s="2" t="str">
        <f>IF(Table14[[#This Row],[Umowa]]="","Poza umową","Z umowy")</f>
        <v>Z umowy</v>
      </c>
      <c r="N2812" s="2">
        <f>YEAR(Table14[[#This Row],[Data_Wystawienia]])</f>
        <v>2024</v>
      </c>
      <c r="O2812" s="2" t="str">
        <f>TEXT(Table14[[#This Row],[Data_Wystawienia]],"rrrr-mm")</f>
        <v>2024-10</v>
      </c>
      <c r="P2812" s="2">
        <v>1</v>
      </c>
    </row>
    <row r="2813" spans="1:16" x14ac:dyDescent="0.3">
      <c r="A2813" s="2" t="str">
        <f>TRIM(Table1[[#This Row],[Numer_FV]])</f>
        <v>FV/67942/VDb/2024</v>
      </c>
      <c r="B2813" s="2" t="str">
        <f>TRIM(Table1[[#This Row],[Numer_PZ]])</f>
        <v>PZ/802811</v>
      </c>
      <c r="C2813" s="2" t="str">
        <f>TRIM(Table1[[#This Row],[Dostawca]])</f>
        <v>VitaDistrib</v>
      </c>
      <c r="D2813" s="3">
        <v>45591</v>
      </c>
      <c r="E2813" s="4" t="s">
        <v>8306</v>
      </c>
      <c r="F2813" s="2" t="str">
        <f>TRIM(Table1[[#This Row],[Status]])</f>
        <v>Zaakceptowana</v>
      </c>
      <c r="G2813" s="2" t="str">
        <f>TRIM(Table1[[#This Row],[Typ]])</f>
        <v>Faktura VAT</v>
      </c>
      <c r="H2813" s="2" t="str">
        <f>TRIM(Table1[[#This Row],[Magazyn]])</f>
        <v>Apteka Szpitalna</v>
      </c>
      <c r="I2813" s="2" t="str">
        <f>TRIM(Table1[[#This Row],[Umowa]])</f>
        <v/>
      </c>
      <c r="J2813" s="2" t="b">
        <f>ISTEXT(Table14[[#This Row],[Data_Wystawienia]])</f>
        <v>0</v>
      </c>
      <c r="K2813" s="2">
        <f>VALUE(SUBSTITUTE(Table14[[#This Row],[Wartość]],".",","))</f>
        <v>19791.29</v>
      </c>
      <c r="L28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3" s="2" t="str">
        <f>IF(Table14[[#This Row],[Umowa]]="","Poza umową","Z umowy")</f>
        <v>Poza umową</v>
      </c>
      <c r="N2813" s="2">
        <f>YEAR(Table14[[#This Row],[Data_Wystawienia]])</f>
        <v>2024</v>
      </c>
      <c r="O2813" s="2" t="str">
        <f>TEXT(Table14[[#This Row],[Data_Wystawienia]],"rrrr-mm")</f>
        <v>2024-10</v>
      </c>
      <c r="P2813" s="2">
        <v>1</v>
      </c>
    </row>
    <row r="2814" spans="1:16" x14ac:dyDescent="0.3">
      <c r="A2814" s="2" t="str">
        <f>TRIM(Table1[[#This Row],[Numer_FV]])</f>
        <v>FV/42676/VDb/2024</v>
      </c>
      <c r="B2814" s="2" t="str">
        <f>TRIM(Table1[[#This Row],[Numer_PZ]])</f>
        <v>PZ/802812</v>
      </c>
      <c r="C2814" s="2" t="str">
        <f>TRIM(Table1[[#This Row],[Dostawca]])</f>
        <v>VitaDistrib</v>
      </c>
      <c r="D2814" s="3">
        <v>45591</v>
      </c>
      <c r="E2814" s="4" t="s">
        <v>8309</v>
      </c>
      <c r="F2814" s="2" t="str">
        <f>TRIM(Table1[[#This Row],[Status]])</f>
        <v>Zaakceptowana</v>
      </c>
      <c r="G2814" s="2" t="str">
        <f>TRIM(Table1[[#This Row],[Typ]])</f>
        <v>Faktura VAT</v>
      </c>
      <c r="H2814" s="2" t="str">
        <f>TRIM(Table1[[#This Row],[Magazyn]])</f>
        <v>Apteka Szpitalna</v>
      </c>
      <c r="I2814" s="2" t="str">
        <f>TRIM(Table1[[#This Row],[Umowa]])</f>
        <v/>
      </c>
      <c r="J2814" s="2" t="b">
        <f>ISTEXT(Table14[[#This Row],[Data_Wystawienia]])</f>
        <v>0</v>
      </c>
      <c r="K2814" s="2">
        <f>VALUE(SUBSTITUTE(Table14[[#This Row],[Wartość]],".",","))</f>
        <v>14973.04</v>
      </c>
      <c r="L28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4" s="2" t="str">
        <f>IF(Table14[[#This Row],[Umowa]]="","Poza umową","Z umowy")</f>
        <v>Poza umową</v>
      </c>
      <c r="N2814" s="2">
        <f>YEAR(Table14[[#This Row],[Data_Wystawienia]])</f>
        <v>2024</v>
      </c>
      <c r="O2814" s="2" t="str">
        <f>TEXT(Table14[[#This Row],[Data_Wystawienia]],"rrrr-mm")</f>
        <v>2024-10</v>
      </c>
      <c r="P2814" s="2">
        <v>1</v>
      </c>
    </row>
    <row r="2815" spans="1:16" x14ac:dyDescent="0.3">
      <c r="A2815" s="2" t="str">
        <f>TRIM(Table1[[#This Row],[Numer_FV]])</f>
        <v>FV/9015/NOVA/24</v>
      </c>
      <c r="B2815" s="2" t="str">
        <f>TRIM(Table1[[#This Row],[Numer_PZ]])</f>
        <v>PZ/802813</v>
      </c>
      <c r="C2815" s="2" t="str">
        <f>TRIM(Table1[[#This Row],[Dostawca]])</f>
        <v>NovaLek</v>
      </c>
      <c r="D2815" s="3">
        <v>45591</v>
      </c>
      <c r="E2815" s="4" t="s">
        <v>8312</v>
      </c>
      <c r="F2815" s="2" t="str">
        <f>TRIM(Table1[[#This Row],[Status]])</f>
        <v>Zaakceptowana</v>
      </c>
      <c r="G2815" s="2" t="str">
        <f>TRIM(Table1[[#This Row],[Typ]])</f>
        <v>Faktura VAT</v>
      </c>
      <c r="H2815" s="2" t="str">
        <f>TRIM(Table1[[#This Row],[Magazyn]])</f>
        <v>Apteka Szpitalna</v>
      </c>
      <c r="I2815" s="2" t="str">
        <f>TRIM(Table1[[#This Row],[Umowa]])</f>
        <v>UM-NOV-02</v>
      </c>
      <c r="J2815" s="2" t="b">
        <f>ISTEXT(Table14[[#This Row],[Data_Wystawienia]])</f>
        <v>0</v>
      </c>
      <c r="K2815" s="2">
        <f>VALUE(SUBSTITUTE(Table14[[#This Row],[Wartość]],".",","))</f>
        <v>22064.38</v>
      </c>
      <c r="L28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5" s="2" t="str">
        <f>IF(Table14[[#This Row],[Umowa]]="","Poza umową","Z umowy")</f>
        <v>Z umowy</v>
      </c>
      <c r="N2815" s="2">
        <f>YEAR(Table14[[#This Row],[Data_Wystawienia]])</f>
        <v>2024</v>
      </c>
      <c r="O2815" s="2" t="str">
        <f>TEXT(Table14[[#This Row],[Data_Wystawienia]],"rrrr-mm")</f>
        <v>2024-10</v>
      </c>
      <c r="P2815" s="2">
        <v>1</v>
      </c>
    </row>
    <row r="2816" spans="1:16" x14ac:dyDescent="0.3">
      <c r="A2816" s="2" t="str">
        <f>TRIM(Table1[[#This Row],[Numer_FV]])</f>
        <v>FV/44032/VDb/2024</v>
      </c>
      <c r="B2816" s="2" t="str">
        <f>TRIM(Table1[[#This Row],[Numer_PZ]])</f>
        <v>PZ/802814</v>
      </c>
      <c r="C2816" s="2" t="str">
        <f>TRIM(Table1[[#This Row],[Dostawca]])</f>
        <v>VitaDistrib</v>
      </c>
      <c r="D2816" s="3">
        <v>45591</v>
      </c>
      <c r="E2816" s="4" t="s">
        <v>8315</v>
      </c>
      <c r="F2816" s="2" t="str">
        <f>TRIM(Table1[[#This Row],[Status]])</f>
        <v>Zaakceptowana</v>
      </c>
      <c r="G2816" s="2" t="str">
        <f>TRIM(Table1[[#This Row],[Typ]])</f>
        <v>Faktura VAT</v>
      </c>
      <c r="H2816" s="2" t="str">
        <f>TRIM(Table1[[#This Row],[Magazyn]])</f>
        <v>Apteka Szpitalna</v>
      </c>
      <c r="I2816" s="2" t="str">
        <f>TRIM(Table1[[#This Row],[Umowa]])</f>
        <v>UM-VIT-01</v>
      </c>
      <c r="J2816" s="2" t="b">
        <f>ISTEXT(Table14[[#This Row],[Data_Wystawienia]])</f>
        <v>0</v>
      </c>
      <c r="K2816" s="2">
        <f>VALUE(SUBSTITUTE(Table14[[#This Row],[Wartość]],".",","))</f>
        <v>14239.25</v>
      </c>
      <c r="L28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6" s="2" t="str">
        <f>IF(Table14[[#This Row],[Umowa]]="","Poza umową","Z umowy")</f>
        <v>Z umowy</v>
      </c>
      <c r="N2816" s="2">
        <f>YEAR(Table14[[#This Row],[Data_Wystawienia]])</f>
        <v>2024</v>
      </c>
      <c r="O2816" s="2" t="str">
        <f>TEXT(Table14[[#This Row],[Data_Wystawienia]],"rrrr-mm")</f>
        <v>2024-10</v>
      </c>
      <c r="P2816" s="2">
        <v>1</v>
      </c>
    </row>
    <row r="2817" spans="1:16" x14ac:dyDescent="0.3">
      <c r="A2817" s="2" t="str">
        <f>TRIM(Table1[[#This Row],[Numer_FV]])</f>
        <v>FV/CENFA/181217/24</v>
      </c>
      <c r="B2817" s="2" t="str">
        <f>TRIM(Table1[[#This Row],[Numer_PZ]])</f>
        <v>PZ/802815</v>
      </c>
      <c r="C2817" s="2" t="str">
        <f>TRIM(Table1[[#This Row],[Dostawca]])</f>
        <v>CentrumFarm</v>
      </c>
      <c r="D2817" s="3">
        <v>45592</v>
      </c>
      <c r="E2817" s="4" t="s">
        <v>8318</v>
      </c>
      <c r="F2817" s="2" t="str">
        <f>TRIM(Table1[[#This Row],[Status]])</f>
        <v>Zaakceptowana</v>
      </c>
      <c r="G2817" s="2" t="str">
        <f>TRIM(Table1[[#This Row],[Typ]])</f>
        <v>Faktura VAT</v>
      </c>
      <c r="H2817" s="2" t="str">
        <f>TRIM(Table1[[#This Row],[Magazyn]])</f>
        <v>Apteka Szpitalna</v>
      </c>
      <c r="I2817" s="2" t="str">
        <f>TRIM(Table1[[#This Row],[Umowa]])</f>
        <v>UM-CEN-02</v>
      </c>
      <c r="J2817" s="2" t="b">
        <f>ISTEXT(Table14[[#This Row],[Data_Wystawienia]])</f>
        <v>0</v>
      </c>
      <c r="K2817" s="2">
        <f>VALUE(SUBSTITUTE(Table14[[#This Row],[Wartość]],".",","))</f>
        <v>18439.09</v>
      </c>
      <c r="L28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7" s="2" t="str">
        <f>IF(Table14[[#This Row],[Umowa]]="","Poza umową","Z umowy")</f>
        <v>Z umowy</v>
      </c>
      <c r="N2817" s="2">
        <f>YEAR(Table14[[#This Row],[Data_Wystawienia]])</f>
        <v>2024</v>
      </c>
      <c r="O2817" s="2" t="str">
        <f>TEXT(Table14[[#This Row],[Data_Wystawienia]],"rrrr-mm")</f>
        <v>2024-10</v>
      </c>
      <c r="P2817" s="2">
        <v>1</v>
      </c>
    </row>
    <row r="2818" spans="1:16" x14ac:dyDescent="0.3">
      <c r="A2818" s="2" t="str">
        <f>TRIM(Table1[[#This Row],[Numer_FV]])</f>
        <v>FV/89/SAL/24</v>
      </c>
      <c r="B2818" s="2" t="str">
        <f>TRIM(Table1[[#This Row],[Numer_PZ]])</f>
        <v>PZ/802816</v>
      </c>
      <c r="C2818" s="2" t="str">
        <f>TRIM(Table1[[#This Row],[Dostawca]])</f>
        <v>SalusHurt</v>
      </c>
      <c r="D2818" s="3">
        <v>45592</v>
      </c>
      <c r="E2818" s="4" t="s">
        <v>8320</v>
      </c>
      <c r="F2818" s="2" t="str">
        <f>TRIM(Table1[[#This Row],[Status]])</f>
        <v>Zaakceptowana</v>
      </c>
      <c r="G2818" s="2" t="str">
        <f>TRIM(Table1[[#This Row],[Typ]])</f>
        <v>Faktura VAT</v>
      </c>
      <c r="H2818" s="2" t="str">
        <f>TRIM(Table1[[#This Row],[Magazyn]])</f>
        <v>Apteka Szpitalna</v>
      </c>
      <c r="I2818" s="2" t="str">
        <f>TRIM(Table1[[#This Row],[Umowa]])</f>
        <v>UM-SAL-02</v>
      </c>
      <c r="J2818" s="2" t="b">
        <f>ISTEXT(Table14[[#This Row],[Data_Wystawienia]])</f>
        <v>0</v>
      </c>
      <c r="K2818" s="2">
        <f>VALUE(SUBSTITUTE(Table14[[#This Row],[Wartość]],".",","))</f>
        <v>7265.39</v>
      </c>
      <c r="L28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8" s="2" t="str">
        <f>IF(Table14[[#This Row],[Umowa]]="","Poza umową","Z umowy")</f>
        <v>Z umowy</v>
      </c>
      <c r="N2818" s="2">
        <f>YEAR(Table14[[#This Row],[Data_Wystawienia]])</f>
        <v>2024</v>
      </c>
      <c r="O2818" s="2" t="str">
        <f>TEXT(Table14[[#This Row],[Data_Wystawienia]],"rrrr-mm")</f>
        <v>2024-10</v>
      </c>
      <c r="P2818" s="2">
        <v>1</v>
      </c>
    </row>
    <row r="2819" spans="1:16" x14ac:dyDescent="0.3">
      <c r="A2819" s="2" t="str">
        <f>TRIM(Table1[[#This Row],[Numer_FV]])</f>
        <v>FV/M/8015/P/24</v>
      </c>
      <c r="B2819" s="2" t="str">
        <f>TRIM(Table1[[#This Row],[Numer_PZ]])</f>
        <v>PZ/802817</v>
      </c>
      <c r="C2819" s="2" t="str">
        <f>TRIM(Table1[[#This Row],[Dostawca]])</f>
        <v>MedicaPharm</v>
      </c>
      <c r="D2819" s="3">
        <v>45593</v>
      </c>
      <c r="E2819" s="4" t="s">
        <v>8323</v>
      </c>
      <c r="F2819" s="2" t="str">
        <f>TRIM(Table1[[#This Row],[Status]])</f>
        <v>Zaakceptowana</v>
      </c>
      <c r="G2819" s="2" t="str">
        <f>TRIM(Table1[[#This Row],[Typ]])</f>
        <v>Faktura VAT</v>
      </c>
      <c r="H2819" s="2" t="str">
        <f>TRIM(Table1[[#This Row],[Magazyn]])</f>
        <v>Apteka Szpitalna</v>
      </c>
      <c r="I2819" s="2" t="str">
        <f>TRIM(Table1[[#This Row],[Umowa]])</f>
        <v/>
      </c>
      <c r="J2819" s="2" t="b">
        <f>ISTEXT(Table14[[#This Row],[Data_Wystawienia]])</f>
        <v>0</v>
      </c>
      <c r="K2819" s="2">
        <f>VALUE(SUBSTITUTE(Table14[[#This Row],[Wartość]],".",","))</f>
        <v>11604.32</v>
      </c>
      <c r="L28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19" s="2" t="str">
        <f>IF(Table14[[#This Row],[Umowa]]="","Poza umową","Z umowy")</f>
        <v>Poza umową</v>
      </c>
      <c r="N2819" s="2">
        <f>YEAR(Table14[[#This Row],[Data_Wystawienia]])</f>
        <v>2024</v>
      </c>
      <c r="O2819" s="2" t="str">
        <f>TEXT(Table14[[#This Row],[Data_Wystawienia]],"rrrr-mm")</f>
        <v>2024-10</v>
      </c>
      <c r="P2819" s="2">
        <v>1</v>
      </c>
    </row>
    <row r="2820" spans="1:16" x14ac:dyDescent="0.3">
      <c r="A2820" s="2" t="str">
        <f>TRIM(Table1[[#This Row],[Numer_FV]])</f>
        <v>FV/86/PP/7091/24</v>
      </c>
      <c r="B2820" s="2" t="str">
        <f>TRIM(Table1[[#This Row],[Numer_PZ]])</f>
        <v>PZ/802818</v>
      </c>
      <c r="C2820" s="2" t="str">
        <f>TRIM(Table1[[#This Row],[Dostawca]])</f>
        <v>PharmaPlus</v>
      </c>
      <c r="D2820" s="3">
        <v>45593</v>
      </c>
      <c r="E2820" s="4" t="s">
        <v>8326</v>
      </c>
      <c r="F2820" s="2" t="str">
        <f>TRIM(Table1[[#This Row],[Status]])</f>
        <v>Zaakceptowana</v>
      </c>
      <c r="G2820" s="2" t="str">
        <f>TRIM(Table1[[#This Row],[Typ]])</f>
        <v>Faktura VAT</v>
      </c>
      <c r="H2820" s="2" t="str">
        <f>TRIM(Table1[[#This Row],[Magazyn]])</f>
        <v>Apteka Szpitalna</v>
      </c>
      <c r="I2820" s="2" t="str">
        <f>TRIM(Table1[[#This Row],[Umowa]])</f>
        <v>UM-PHA-02</v>
      </c>
      <c r="J2820" s="2" t="b">
        <f>ISTEXT(Table14[[#This Row],[Data_Wystawienia]])</f>
        <v>0</v>
      </c>
      <c r="K2820" s="2">
        <f>VALUE(SUBSTITUTE(Table14[[#This Row],[Wartość]],".",","))</f>
        <v>8932.75</v>
      </c>
      <c r="L28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0" s="2" t="str">
        <f>IF(Table14[[#This Row],[Umowa]]="","Poza umową","Z umowy")</f>
        <v>Z umowy</v>
      </c>
      <c r="N2820" s="2">
        <f>YEAR(Table14[[#This Row],[Data_Wystawienia]])</f>
        <v>2024</v>
      </c>
      <c r="O2820" s="2" t="str">
        <f>TEXT(Table14[[#This Row],[Data_Wystawienia]],"rrrr-mm")</f>
        <v>2024-10</v>
      </c>
      <c r="P2820" s="2">
        <v>1</v>
      </c>
    </row>
    <row r="2821" spans="1:16" x14ac:dyDescent="0.3">
      <c r="A2821" s="2" t="str">
        <f>TRIM(Table1[[#This Row],[Numer_FV]])</f>
        <v>FV/CENFA/428642/24</v>
      </c>
      <c r="B2821" s="2" t="str">
        <f>TRIM(Table1[[#This Row],[Numer_PZ]])</f>
        <v>PZ/802819</v>
      </c>
      <c r="C2821" s="2" t="str">
        <f>TRIM(Table1[[#This Row],[Dostawca]])</f>
        <v>CentrumFarm</v>
      </c>
      <c r="D2821" s="3">
        <v>45593</v>
      </c>
      <c r="E2821" s="4" t="s">
        <v>8329</v>
      </c>
      <c r="F2821" s="2" t="str">
        <f>TRIM(Table1[[#This Row],[Status]])</f>
        <v>Zaakceptowana</v>
      </c>
      <c r="G2821" s="2" t="str">
        <f>TRIM(Table1[[#This Row],[Typ]])</f>
        <v>Faktura VAT</v>
      </c>
      <c r="H2821" s="2" t="str">
        <f>TRIM(Table1[[#This Row],[Magazyn]])</f>
        <v>Apteka Szpitalna</v>
      </c>
      <c r="I2821" s="2" t="str">
        <f>TRIM(Table1[[#This Row],[Umowa]])</f>
        <v>UM-CEN-02</v>
      </c>
      <c r="J2821" s="2" t="b">
        <f>ISTEXT(Table14[[#This Row],[Data_Wystawienia]])</f>
        <v>0</v>
      </c>
      <c r="K2821" s="2">
        <f>VALUE(SUBSTITUTE(Table14[[#This Row],[Wartość]],".",","))</f>
        <v>21488.959999999999</v>
      </c>
      <c r="L28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1" s="2" t="str">
        <f>IF(Table14[[#This Row],[Umowa]]="","Poza umową","Z umowy")</f>
        <v>Z umowy</v>
      </c>
      <c r="N2821" s="2">
        <f>YEAR(Table14[[#This Row],[Data_Wystawienia]])</f>
        <v>2024</v>
      </c>
      <c r="O2821" s="2" t="str">
        <f>TEXT(Table14[[#This Row],[Data_Wystawienia]],"rrrr-mm")</f>
        <v>2024-10</v>
      </c>
      <c r="P2821" s="2">
        <v>1</v>
      </c>
    </row>
    <row r="2822" spans="1:16" x14ac:dyDescent="0.3">
      <c r="A2822" s="2" t="str">
        <f>TRIM(Table1[[#This Row],[Numer_FV]])</f>
        <v>FV/POL/28230/2024</v>
      </c>
      <c r="B2822" s="2" t="str">
        <f>TRIM(Table1[[#This Row],[Numer_PZ]])</f>
        <v>PZ/802820</v>
      </c>
      <c r="C2822" s="2" t="str">
        <f>TRIM(Table1[[#This Row],[Dostawca]])</f>
        <v>Polmedica</v>
      </c>
      <c r="D2822" s="3">
        <v>45593</v>
      </c>
      <c r="E2822" s="4" t="s">
        <v>8332</v>
      </c>
      <c r="F2822" s="2" t="str">
        <f>TRIM(Table1[[#This Row],[Status]])</f>
        <v>Zaakceptowana</v>
      </c>
      <c r="G2822" s="2" t="str">
        <f>TRIM(Table1[[#This Row],[Typ]])</f>
        <v>Faktura VAT</v>
      </c>
      <c r="H2822" s="2" t="str">
        <f>TRIM(Table1[[#This Row],[Magazyn]])</f>
        <v>Apteka Szpitalna</v>
      </c>
      <c r="I2822" s="2" t="str">
        <f>TRIM(Table1[[#This Row],[Umowa]])</f>
        <v>UM-POL-03</v>
      </c>
      <c r="J2822" s="2" t="b">
        <f>ISTEXT(Table14[[#This Row],[Data_Wystawienia]])</f>
        <v>0</v>
      </c>
      <c r="K2822" s="2">
        <f>VALUE(SUBSTITUTE(Table14[[#This Row],[Wartość]],".",","))</f>
        <v>6187.69</v>
      </c>
      <c r="L28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2" s="2" t="str">
        <f>IF(Table14[[#This Row],[Umowa]]="","Poza umową","Z umowy")</f>
        <v>Z umowy</v>
      </c>
      <c r="N2822" s="2">
        <f>YEAR(Table14[[#This Row],[Data_Wystawienia]])</f>
        <v>2024</v>
      </c>
      <c r="O2822" s="2" t="str">
        <f>TEXT(Table14[[#This Row],[Data_Wystawienia]],"rrrr-mm")</f>
        <v>2024-10</v>
      </c>
      <c r="P2822" s="2">
        <v>1</v>
      </c>
    </row>
    <row r="2823" spans="1:16" x14ac:dyDescent="0.3">
      <c r="A2823" s="2" t="str">
        <f>TRIM(Table1[[#This Row],[Numer_FV]])</f>
        <v>FV/55503/VDb/2024</v>
      </c>
      <c r="B2823" s="2" t="str">
        <f>TRIM(Table1[[#This Row],[Numer_PZ]])</f>
        <v>PZ/802821</v>
      </c>
      <c r="C2823" s="2" t="str">
        <f>TRIM(Table1[[#This Row],[Dostawca]])</f>
        <v>VitaDistrib</v>
      </c>
      <c r="D2823" s="3">
        <v>45593</v>
      </c>
      <c r="E2823" s="4" t="s">
        <v>8335</v>
      </c>
      <c r="F2823" s="2" t="str">
        <f>TRIM(Table1[[#This Row],[Status]])</f>
        <v>Zaakceptowana</v>
      </c>
      <c r="G2823" s="2" t="str">
        <f>TRIM(Table1[[#This Row],[Typ]])</f>
        <v>Faktura VAT</v>
      </c>
      <c r="H2823" s="2" t="str">
        <f>TRIM(Table1[[#This Row],[Magazyn]])</f>
        <v>Apteka Szpitalna</v>
      </c>
      <c r="I2823" s="2" t="str">
        <f>TRIM(Table1[[#This Row],[Umowa]])</f>
        <v>UM-VIT-01</v>
      </c>
      <c r="J2823" s="2" t="b">
        <f>ISTEXT(Table14[[#This Row],[Data_Wystawienia]])</f>
        <v>0</v>
      </c>
      <c r="K2823" s="2">
        <f>VALUE(SUBSTITUTE(Table14[[#This Row],[Wartość]],".",","))</f>
        <v>20868.060000000001</v>
      </c>
      <c r="L28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3" s="2" t="str">
        <f>IF(Table14[[#This Row],[Umowa]]="","Poza umową","Z umowy")</f>
        <v>Z umowy</v>
      </c>
      <c r="N2823" s="2">
        <f>YEAR(Table14[[#This Row],[Data_Wystawienia]])</f>
        <v>2024</v>
      </c>
      <c r="O2823" s="2" t="str">
        <f>TEXT(Table14[[#This Row],[Data_Wystawienia]],"rrrr-mm")</f>
        <v>2024-10</v>
      </c>
      <c r="P2823" s="2">
        <v>1</v>
      </c>
    </row>
    <row r="2824" spans="1:16" x14ac:dyDescent="0.3">
      <c r="A2824" s="2" t="str">
        <f>TRIM(Table1[[#This Row],[Numer_FV]])</f>
        <v>FV/1548HM/24</v>
      </c>
      <c r="B2824" s="2" t="str">
        <f>TRIM(Table1[[#This Row],[Numer_PZ]])</f>
        <v>PZ/802822</v>
      </c>
      <c r="C2824" s="2" t="str">
        <f>TRIM(Table1[[#This Row],[Dostawca]])</f>
        <v>HurtMedix</v>
      </c>
      <c r="D2824" s="3">
        <v>45594</v>
      </c>
      <c r="E2824" s="4" t="s">
        <v>8338</v>
      </c>
      <c r="F2824" s="2" t="str">
        <f>TRIM(Table1[[#This Row],[Status]])</f>
        <v>Zaakceptowana</v>
      </c>
      <c r="G2824" s="2" t="str">
        <f>TRIM(Table1[[#This Row],[Typ]])</f>
        <v>Faktura VAT</v>
      </c>
      <c r="H2824" s="2" t="str">
        <f>TRIM(Table1[[#This Row],[Magazyn]])</f>
        <v>Apteka Szpitalna</v>
      </c>
      <c r="I2824" s="2" t="str">
        <f>TRIM(Table1[[#This Row],[Umowa]])</f>
        <v>UM-HUR-02</v>
      </c>
      <c r="J2824" s="2" t="b">
        <f>ISTEXT(Table14[[#This Row],[Data_Wystawienia]])</f>
        <v>0</v>
      </c>
      <c r="K2824" s="2">
        <f>VALUE(SUBSTITUTE(Table14[[#This Row],[Wartość]],".",","))</f>
        <v>11096.61</v>
      </c>
      <c r="L28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4" s="2" t="str">
        <f>IF(Table14[[#This Row],[Umowa]]="","Poza umową","Z umowy")</f>
        <v>Z umowy</v>
      </c>
      <c r="N2824" s="2">
        <f>YEAR(Table14[[#This Row],[Data_Wystawienia]])</f>
        <v>2024</v>
      </c>
      <c r="O2824" s="2" t="str">
        <f>TEXT(Table14[[#This Row],[Data_Wystawienia]],"rrrr-mm")</f>
        <v>2024-10</v>
      </c>
      <c r="P2824" s="2">
        <v>1</v>
      </c>
    </row>
    <row r="2825" spans="1:16" x14ac:dyDescent="0.3">
      <c r="A2825" s="2" t="str">
        <f>TRIM(Table1[[#This Row],[Numer_FV]])</f>
        <v>FV/M/1959/P/24</v>
      </c>
      <c r="B2825" s="2" t="str">
        <f>TRIM(Table1[[#This Row],[Numer_PZ]])</f>
        <v>PZ/802823</v>
      </c>
      <c r="C2825" s="2" t="str">
        <f>TRIM(Table1[[#This Row],[Dostawca]])</f>
        <v>MedicaPharm</v>
      </c>
      <c r="D2825" s="3">
        <v>45594</v>
      </c>
      <c r="E2825" s="4" t="s">
        <v>8341</v>
      </c>
      <c r="F2825" s="2" t="str">
        <f>TRIM(Table1[[#This Row],[Status]])</f>
        <v>Zaakceptowana</v>
      </c>
      <c r="G2825" s="2" t="str">
        <f>TRIM(Table1[[#This Row],[Typ]])</f>
        <v>Faktura VAT</v>
      </c>
      <c r="H2825" s="2" t="str">
        <f>TRIM(Table1[[#This Row],[Magazyn]])</f>
        <v>Apteka Szpitalna</v>
      </c>
      <c r="I2825" s="2" t="str">
        <f>TRIM(Table1[[#This Row],[Umowa]])</f>
        <v>UM-MED-01</v>
      </c>
      <c r="J2825" s="2" t="b">
        <f>ISTEXT(Table14[[#This Row],[Data_Wystawienia]])</f>
        <v>0</v>
      </c>
      <c r="K2825" s="2">
        <f>VALUE(SUBSTITUTE(Table14[[#This Row],[Wartość]],".",","))</f>
        <v>18630.7</v>
      </c>
      <c r="L28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5" s="2" t="str">
        <f>IF(Table14[[#This Row],[Umowa]]="","Poza umową","Z umowy")</f>
        <v>Z umowy</v>
      </c>
      <c r="N2825" s="2">
        <f>YEAR(Table14[[#This Row],[Data_Wystawienia]])</f>
        <v>2024</v>
      </c>
      <c r="O2825" s="2" t="str">
        <f>TEXT(Table14[[#This Row],[Data_Wystawienia]],"rrrr-mm")</f>
        <v>2024-10</v>
      </c>
      <c r="P2825" s="2">
        <v>1</v>
      </c>
    </row>
    <row r="2826" spans="1:16" x14ac:dyDescent="0.3">
      <c r="A2826" s="2" t="str">
        <f>TRIM(Table1[[#This Row],[Numer_FV]])</f>
        <v>FV/23/SAL/24</v>
      </c>
      <c r="B2826" s="2" t="str">
        <f>TRIM(Table1[[#This Row],[Numer_PZ]])</f>
        <v>PZ/802824</v>
      </c>
      <c r="C2826" s="2" t="str">
        <f>TRIM(Table1[[#This Row],[Dostawca]])</f>
        <v>SalusHurt</v>
      </c>
      <c r="D2826" s="3">
        <v>45594</v>
      </c>
      <c r="E2826" s="4" t="s">
        <v>8343</v>
      </c>
      <c r="F2826" s="2" t="str">
        <f>TRIM(Table1[[#This Row],[Status]])</f>
        <v>Zaakceptowana</v>
      </c>
      <c r="G2826" s="2" t="str">
        <f>TRIM(Table1[[#This Row],[Typ]])</f>
        <v>Faktura VAT</v>
      </c>
      <c r="H2826" s="2" t="str">
        <f>TRIM(Table1[[#This Row],[Magazyn]])</f>
        <v>Apteka Szpitalna</v>
      </c>
      <c r="I2826" s="2" t="str">
        <f>TRIM(Table1[[#This Row],[Umowa]])</f>
        <v/>
      </c>
      <c r="J2826" s="2" t="b">
        <f>ISTEXT(Table14[[#This Row],[Data_Wystawienia]])</f>
        <v>0</v>
      </c>
      <c r="K2826" s="2">
        <f>VALUE(SUBSTITUTE(Table14[[#This Row],[Wartość]],".",","))</f>
        <v>18093.64</v>
      </c>
      <c r="L28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6" s="2" t="str">
        <f>IF(Table14[[#This Row],[Umowa]]="","Poza umową","Z umowy")</f>
        <v>Poza umową</v>
      </c>
      <c r="N2826" s="2">
        <f>YEAR(Table14[[#This Row],[Data_Wystawienia]])</f>
        <v>2024</v>
      </c>
      <c r="O2826" s="2" t="str">
        <f>TEXT(Table14[[#This Row],[Data_Wystawienia]],"rrrr-mm")</f>
        <v>2024-10</v>
      </c>
      <c r="P2826" s="2">
        <v>1</v>
      </c>
    </row>
    <row r="2827" spans="1:16" x14ac:dyDescent="0.3">
      <c r="A2827" s="2" t="str">
        <f>TRIM(Table1[[#This Row],[Numer_FV]])</f>
        <v>FV/59/PP/3520/24</v>
      </c>
      <c r="B2827" s="2" t="str">
        <f>TRIM(Table1[[#This Row],[Numer_PZ]])</f>
        <v>PZ/802825</v>
      </c>
      <c r="C2827" s="2" t="str">
        <f>TRIM(Table1[[#This Row],[Dostawca]])</f>
        <v>PharmaPlus</v>
      </c>
      <c r="D2827" s="3">
        <v>45594</v>
      </c>
      <c r="E2827" s="4" t="s">
        <v>8346</v>
      </c>
      <c r="F2827" s="2" t="str">
        <f>TRIM(Table1[[#This Row],[Status]])</f>
        <v>Zaakceptowana</v>
      </c>
      <c r="G2827" s="2" t="str">
        <f>TRIM(Table1[[#This Row],[Typ]])</f>
        <v>Korekta FV</v>
      </c>
      <c r="H2827" s="2" t="str">
        <f>TRIM(Table1[[#This Row],[Magazyn]])</f>
        <v>Apteka Szpitalna</v>
      </c>
      <c r="I2827" s="2" t="str">
        <f>TRIM(Table1[[#This Row],[Umowa]])</f>
        <v>UM-PHA-01</v>
      </c>
      <c r="J2827" s="2" t="b">
        <f>ISTEXT(Table14[[#This Row],[Data_Wystawienia]])</f>
        <v>0</v>
      </c>
      <c r="K2827" s="2">
        <f>VALUE(SUBSTITUTE(Table14[[#This Row],[Wartość]],".",","))</f>
        <v>-2422.14</v>
      </c>
      <c r="L28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7" s="2" t="str">
        <f>IF(Table14[[#This Row],[Umowa]]="","Poza umową","Z umowy")</f>
        <v>Z umowy</v>
      </c>
      <c r="N2827" s="2">
        <f>YEAR(Table14[[#This Row],[Data_Wystawienia]])</f>
        <v>2024</v>
      </c>
      <c r="O2827" s="2" t="str">
        <f>TEXT(Table14[[#This Row],[Data_Wystawienia]],"rrrr-mm")</f>
        <v>2024-10</v>
      </c>
      <c r="P2827" s="2">
        <v>1</v>
      </c>
    </row>
    <row r="2828" spans="1:16" x14ac:dyDescent="0.3">
      <c r="A2828" s="2" t="str">
        <f>TRIM(Table1[[#This Row],[Numer_FV]])</f>
        <v>FV/M/8652/P/24</v>
      </c>
      <c r="B2828" s="2" t="str">
        <f>TRIM(Table1[[#This Row],[Numer_PZ]])</f>
        <v>PZ/802826</v>
      </c>
      <c r="C2828" s="2" t="str">
        <f>TRIM(Table1[[#This Row],[Dostawca]])</f>
        <v>MedicaPharm</v>
      </c>
      <c r="D2828" s="3">
        <v>45595</v>
      </c>
      <c r="E2828" s="4" t="s">
        <v>8349</v>
      </c>
      <c r="F2828" s="2" t="str">
        <f>TRIM(Table1[[#This Row],[Status]])</f>
        <v>Zaakceptowana</v>
      </c>
      <c r="G2828" s="2" t="str">
        <f>TRIM(Table1[[#This Row],[Typ]])</f>
        <v>Faktura VAT</v>
      </c>
      <c r="H2828" s="2" t="str">
        <f>TRIM(Table1[[#This Row],[Magazyn]])</f>
        <v>Apteka Szpitalna</v>
      </c>
      <c r="I2828" s="2" t="str">
        <f>TRIM(Table1[[#This Row],[Umowa]])</f>
        <v/>
      </c>
      <c r="J2828" s="2" t="b">
        <f>ISTEXT(Table14[[#This Row],[Data_Wystawienia]])</f>
        <v>0</v>
      </c>
      <c r="K2828" s="2">
        <f>VALUE(SUBSTITUTE(Table14[[#This Row],[Wartość]],".",","))</f>
        <v>13369.33</v>
      </c>
      <c r="L28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8" s="2" t="str">
        <f>IF(Table14[[#This Row],[Umowa]]="","Poza umową","Z umowy")</f>
        <v>Poza umową</v>
      </c>
      <c r="N2828" s="2">
        <f>YEAR(Table14[[#This Row],[Data_Wystawienia]])</f>
        <v>2024</v>
      </c>
      <c r="O2828" s="2" t="str">
        <f>TEXT(Table14[[#This Row],[Data_Wystawienia]],"rrrr-mm")</f>
        <v>2024-10</v>
      </c>
      <c r="P2828" s="2">
        <v>1</v>
      </c>
    </row>
    <row r="2829" spans="1:16" x14ac:dyDescent="0.3">
      <c r="A2829" s="2" t="str">
        <f>TRIM(Table1[[#This Row],[Numer_FV]])</f>
        <v>FV/37525/VDb/2024</v>
      </c>
      <c r="B2829" s="2" t="str">
        <f>TRIM(Table1[[#This Row],[Numer_PZ]])</f>
        <v>PZ/802827</v>
      </c>
      <c r="C2829" s="2" t="str">
        <f>TRIM(Table1[[#This Row],[Dostawca]])</f>
        <v>VitaDistrib</v>
      </c>
      <c r="D2829" s="3">
        <v>45595</v>
      </c>
      <c r="E2829" s="4" t="s">
        <v>8352</v>
      </c>
      <c r="F2829" s="2" t="str">
        <f>TRIM(Table1[[#This Row],[Status]])</f>
        <v>Zaakceptowana</v>
      </c>
      <c r="G2829" s="2" t="str">
        <f>TRIM(Table1[[#This Row],[Typ]])</f>
        <v>Faktura VAT</v>
      </c>
      <c r="H2829" s="2" t="str">
        <f>TRIM(Table1[[#This Row],[Magazyn]])</f>
        <v>Apteka Szpitalna</v>
      </c>
      <c r="I2829" s="2" t="str">
        <f>TRIM(Table1[[#This Row],[Umowa]])</f>
        <v>UM-VIT-01</v>
      </c>
      <c r="J2829" s="2" t="b">
        <f>ISTEXT(Table14[[#This Row],[Data_Wystawienia]])</f>
        <v>0</v>
      </c>
      <c r="K2829" s="2">
        <f>VALUE(SUBSTITUTE(Table14[[#This Row],[Wartość]],".",","))</f>
        <v>25356.46</v>
      </c>
      <c r="L28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29" s="2" t="str">
        <f>IF(Table14[[#This Row],[Umowa]]="","Poza umową","Z umowy")</f>
        <v>Z umowy</v>
      </c>
      <c r="N2829" s="2">
        <f>YEAR(Table14[[#This Row],[Data_Wystawienia]])</f>
        <v>2024</v>
      </c>
      <c r="O2829" s="2" t="str">
        <f>TEXT(Table14[[#This Row],[Data_Wystawienia]],"rrrr-mm")</f>
        <v>2024-10</v>
      </c>
      <c r="P2829" s="2">
        <v>1</v>
      </c>
    </row>
    <row r="2830" spans="1:16" x14ac:dyDescent="0.3">
      <c r="A2830" s="2" t="str">
        <f>TRIM(Table1[[#This Row],[Numer_FV]])</f>
        <v>FV/POL/28386/2024</v>
      </c>
      <c r="B2830" s="2" t="str">
        <f>TRIM(Table1[[#This Row],[Numer_PZ]])</f>
        <v>PZ/802828</v>
      </c>
      <c r="C2830" s="2" t="str">
        <f>TRIM(Table1[[#This Row],[Dostawca]])</f>
        <v>Polmedica</v>
      </c>
      <c r="D2830" s="3">
        <v>45595</v>
      </c>
      <c r="E2830" s="4" t="s">
        <v>8355</v>
      </c>
      <c r="F2830" s="2" t="str">
        <f>TRIM(Table1[[#This Row],[Status]])</f>
        <v>Zaakceptowana</v>
      </c>
      <c r="G2830" s="2" t="str">
        <f>TRIM(Table1[[#This Row],[Typ]])</f>
        <v>Faktura VAT</v>
      </c>
      <c r="H2830" s="2" t="str">
        <f>TRIM(Table1[[#This Row],[Magazyn]])</f>
        <v>Apteka Szpitalna</v>
      </c>
      <c r="I2830" s="2" t="str">
        <f>TRIM(Table1[[#This Row],[Umowa]])</f>
        <v>UM-POL-02</v>
      </c>
      <c r="J2830" s="2" t="b">
        <f>ISTEXT(Table14[[#This Row],[Data_Wystawienia]])</f>
        <v>0</v>
      </c>
      <c r="K2830" s="2">
        <f>VALUE(SUBSTITUTE(Table14[[#This Row],[Wartość]],".",","))</f>
        <v>16079.97</v>
      </c>
      <c r="L28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0" s="2" t="str">
        <f>IF(Table14[[#This Row],[Umowa]]="","Poza umową","Z umowy")</f>
        <v>Z umowy</v>
      </c>
      <c r="N2830" s="2">
        <f>YEAR(Table14[[#This Row],[Data_Wystawienia]])</f>
        <v>2024</v>
      </c>
      <c r="O2830" s="2" t="str">
        <f>TEXT(Table14[[#This Row],[Data_Wystawienia]],"rrrr-mm")</f>
        <v>2024-10</v>
      </c>
      <c r="P2830" s="2">
        <v>1</v>
      </c>
    </row>
    <row r="2831" spans="1:16" x14ac:dyDescent="0.3">
      <c r="A2831" s="2" t="str">
        <f>TRIM(Table1[[#This Row],[Numer_FV]])</f>
        <v>FV/6175HM/24</v>
      </c>
      <c r="B2831" s="2" t="str">
        <f>TRIM(Table1[[#This Row],[Numer_PZ]])</f>
        <v>PZ/802829</v>
      </c>
      <c r="C2831" s="2" t="str">
        <f>TRIM(Table1[[#This Row],[Dostawca]])</f>
        <v>HurtMedix</v>
      </c>
      <c r="D2831" s="3">
        <v>45596</v>
      </c>
      <c r="E2831" s="4" t="s">
        <v>8358</v>
      </c>
      <c r="F2831" s="2" t="str">
        <f>TRIM(Table1[[#This Row],[Status]])</f>
        <v>Zaakceptowana</v>
      </c>
      <c r="G2831" s="2" t="str">
        <f>TRIM(Table1[[#This Row],[Typ]])</f>
        <v>Faktura VAT</v>
      </c>
      <c r="H2831" s="2" t="str">
        <f>TRIM(Table1[[#This Row],[Magazyn]])</f>
        <v>Apteka Szpitalna</v>
      </c>
      <c r="I2831" s="2" t="str">
        <f>TRIM(Table1[[#This Row],[Umowa]])</f>
        <v/>
      </c>
      <c r="J2831" s="2" t="b">
        <f>ISTEXT(Table14[[#This Row],[Data_Wystawienia]])</f>
        <v>0</v>
      </c>
      <c r="K2831" s="2">
        <f>VALUE(SUBSTITUTE(Table14[[#This Row],[Wartość]],".",","))</f>
        <v>19734.29</v>
      </c>
      <c r="L28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1" s="2" t="str">
        <f>IF(Table14[[#This Row],[Umowa]]="","Poza umową","Z umowy")</f>
        <v>Poza umową</v>
      </c>
      <c r="N2831" s="2">
        <f>YEAR(Table14[[#This Row],[Data_Wystawienia]])</f>
        <v>2024</v>
      </c>
      <c r="O2831" s="2" t="str">
        <f>TEXT(Table14[[#This Row],[Data_Wystawienia]],"rrrr-mm")</f>
        <v>2024-10</v>
      </c>
      <c r="P2831" s="2">
        <v>1</v>
      </c>
    </row>
    <row r="2832" spans="1:16" x14ac:dyDescent="0.3">
      <c r="A2832" s="2" t="str">
        <f>TRIM(Table1[[#This Row],[Numer_FV]])</f>
        <v>FV/POL/63601/2024</v>
      </c>
      <c r="B2832" s="2" t="str">
        <f>TRIM(Table1[[#This Row],[Numer_PZ]])</f>
        <v>PZ/802830</v>
      </c>
      <c r="C2832" s="2" t="str">
        <f>TRIM(Table1[[#This Row],[Dostawca]])</f>
        <v>Polmedica</v>
      </c>
      <c r="D2832" s="3">
        <v>45596</v>
      </c>
      <c r="E2832" s="4" t="s">
        <v>8361</v>
      </c>
      <c r="F2832" s="2" t="str">
        <f>TRIM(Table1[[#This Row],[Status]])</f>
        <v>Zaakceptowana</v>
      </c>
      <c r="G2832" s="2" t="str">
        <f>TRIM(Table1[[#This Row],[Typ]])</f>
        <v>Korekta FV</v>
      </c>
      <c r="H2832" s="2" t="str">
        <f>TRIM(Table1[[#This Row],[Magazyn]])</f>
        <v>Apteka Szpitalna</v>
      </c>
      <c r="I2832" s="2" t="str">
        <f>TRIM(Table1[[#This Row],[Umowa]])</f>
        <v>UM-POL-01</v>
      </c>
      <c r="J2832" s="2" t="b">
        <f>ISTEXT(Table14[[#This Row],[Data_Wystawienia]])</f>
        <v>0</v>
      </c>
      <c r="K2832" s="2">
        <f>VALUE(SUBSTITUTE(Table14[[#This Row],[Wartość]],".",","))</f>
        <v>-653.49</v>
      </c>
      <c r="L28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2" s="2" t="str">
        <f>IF(Table14[[#This Row],[Umowa]]="","Poza umową","Z umowy")</f>
        <v>Z umowy</v>
      </c>
      <c r="N2832" s="2">
        <f>YEAR(Table14[[#This Row],[Data_Wystawienia]])</f>
        <v>2024</v>
      </c>
      <c r="O2832" s="2" t="str">
        <f>TEXT(Table14[[#This Row],[Data_Wystawienia]],"rrrr-mm")</f>
        <v>2024-10</v>
      </c>
      <c r="P2832" s="2">
        <v>1</v>
      </c>
    </row>
    <row r="2833" spans="1:16" x14ac:dyDescent="0.3">
      <c r="A2833" s="2" t="str">
        <f>TRIM(Table1[[#This Row],[Numer_FV]])</f>
        <v>FV/36/PP/9400/24</v>
      </c>
      <c r="B2833" s="2" t="str">
        <f>TRIM(Table1[[#This Row],[Numer_PZ]])</f>
        <v>PZ/802831</v>
      </c>
      <c r="C2833" s="2" t="str">
        <f>TRIM(Table1[[#This Row],[Dostawca]])</f>
        <v>PharmaPlus</v>
      </c>
      <c r="D2833" s="3">
        <v>45596</v>
      </c>
      <c r="E2833" s="4" t="s">
        <v>8364</v>
      </c>
      <c r="F2833" s="2" t="str">
        <f>TRIM(Table1[[#This Row],[Status]])</f>
        <v>Zaakceptowana</v>
      </c>
      <c r="G2833" s="2" t="str">
        <f>TRIM(Table1[[#This Row],[Typ]])</f>
        <v>Faktura VAT</v>
      </c>
      <c r="H2833" s="2" t="str">
        <f>TRIM(Table1[[#This Row],[Magazyn]])</f>
        <v>Apteka Szpitalna</v>
      </c>
      <c r="I2833" s="2" t="str">
        <f>TRIM(Table1[[#This Row],[Umowa]])</f>
        <v>UM-PHA-01</v>
      </c>
      <c r="J2833" s="2" t="b">
        <f>ISTEXT(Table14[[#This Row],[Data_Wystawienia]])</f>
        <v>0</v>
      </c>
      <c r="K2833" s="2">
        <f>VALUE(SUBSTITUTE(Table14[[#This Row],[Wartość]],".",","))</f>
        <v>10322.91</v>
      </c>
      <c r="L28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3" s="2" t="str">
        <f>IF(Table14[[#This Row],[Umowa]]="","Poza umową","Z umowy")</f>
        <v>Z umowy</v>
      </c>
      <c r="N2833" s="2">
        <f>YEAR(Table14[[#This Row],[Data_Wystawienia]])</f>
        <v>2024</v>
      </c>
      <c r="O2833" s="2" t="str">
        <f>TEXT(Table14[[#This Row],[Data_Wystawienia]],"rrrr-mm")</f>
        <v>2024-10</v>
      </c>
      <c r="P2833" s="2">
        <v>1</v>
      </c>
    </row>
    <row r="2834" spans="1:16" x14ac:dyDescent="0.3">
      <c r="A2834" s="2" t="str">
        <f>TRIM(Table1[[#This Row],[Numer_FV]])</f>
        <v>FV/97/SAL/24</v>
      </c>
      <c r="B2834" s="2" t="str">
        <f>TRIM(Table1[[#This Row],[Numer_PZ]])</f>
        <v>PZ/802832</v>
      </c>
      <c r="C2834" s="2" t="str">
        <f>TRIM(Table1[[#This Row],[Dostawca]])</f>
        <v>SalusHurt</v>
      </c>
      <c r="D2834" s="3">
        <v>45596</v>
      </c>
      <c r="E2834" s="4" t="s">
        <v>8366</v>
      </c>
      <c r="F2834" s="2" t="str">
        <f>TRIM(Table1[[#This Row],[Status]])</f>
        <v>Zaakceptowana</v>
      </c>
      <c r="G2834" s="2" t="str">
        <f>TRIM(Table1[[#This Row],[Typ]])</f>
        <v>Faktura VAT</v>
      </c>
      <c r="H2834" s="2" t="str">
        <f>TRIM(Table1[[#This Row],[Magazyn]])</f>
        <v>Apteka Szpitalna</v>
      </c>
      <c r="I2834" s="2" t="str">
        <f>TRIM(Table1[[#This Row],[Umowa]])</f>
        <v>UM-SAL-02</v>
      </c>
      <c r="J2834" s="2" t="b">
        <f>ISTEXT(Table14[[#This Row],[Data_Wystawienia]])</f>
        <v>0</v>
      </c>
      <c r="K2834" s="2">
        <f>VALUE(SUBSTITUTE(Table14[[#This Row],[Wartość]],".",","))</f>
        <v>15336.71</v>
      </c>
      <c r="L28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4" s="2" t="str">
        <f>IF(Table14[[#This Row],[Umowa]]="","Poza umową","Z umowy")</f>
        <v>Z umowy</v>
      </c>
      <c r="N2834" s="2">
        <f>YEAR(Table14[[#This Row],[Data_Wystawienia]])</f>
        <v>2024</v>
      </c>
      <c r="O2834" s="2" t="str">
        <f>TEXT(Table14[[#This Row],[Data_Wystawienia]],"rrrr-mm")</f>
        <v>2024-10</v>
      </c>
      <c r="P2834" s="2">
        <v>1</v>
      </c>
    </row>
    <row r="2835" spans="1:16" x14ac:dyDescent="0.3">
      <c r="A2835" s="2" t="str">
        <f>TRIM(Table1[[#This Row],[Numer_FV]])</f>
        <v>FV/CENFA/235327/24</v>
      </c>
      <c r="B2835" s="2" t="str">
        <f>TRIM(Table1[[#This Row],[Numer_PZ]])</f>
        <v>PZ/802833</v>
      </c>
      <c r="C2835" s="2" t="str">
        <f>TRIM(Table1[[#This Row],[Dostawca]])</f>
        <v>CentrumFarm</v>
      </c>
      <c r="D2835" s="3">
        <v>45597</v>
      </c>
      <c r="E2835" s="4" t="s">
        <v>8369</v>
      </c>
      <c r="F2835" s="2" t="str">
        <f>TRIM(Table1[[#This Row],[Status]])</f>
        <v>Zaakceptowana</v>
      </c>
      <c r="G2835" s="2" t="str">
        <f>TRIM(Table1[[#This Row],[Typ]])</f>
        <v>Faktura VAT</v>
      </c>
      <c r="H2835" s="2" t="str">
        <f>TRIM(Table1[[#This Row],[Magazyn]])</f>
        <v>Apteka Szpitalna</v>
      </c>
      <c r="I2835" s="2" t="str">
        <f>TRIM(Table1[[#This Row],[Umowa]])</f>
        <v>UM-CEN-01</v>
      </c>
      <c r="J2835" s="2" t="b">
        <f>ISTEXT(Table14[[#This Row],[Data_Wystawienia]])</f>
        <v>0</v>
      </c>
      <c r="K2835" s="2">
        <f>VALUE(SUBSTITUTE(Table14[[#This Row],[Wartość]],".",","))</f>
        <v>12058.08</v>
      </c>
      <c r="L28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5" s="2" t="str">
        <f>IF(Table14[[#This Row],[Umowa]]="","Poza umową","Z umowy")</f>
        <v>Z umowy</v>
      </c>
      <c r="N2835" s="2">
        <f>YEAR(Table14[[#This Row],[Data_Wystawienia]])</f>
        <v>2024</v>
      </c>
      <c r="O2835" s="2" t="str">
        <f>TEXT(Table14[[#This Row],[Data_Wystawienia]],"rrrr-mm")</f>
        <v>2024-11</v>
      </c>
      <c r="P2835" s="2">
        <v>1</v>
      </c>
    </row>
    <row r="2836" spans="1:16" x14ac:dyDescent="0.3">
      <c r="A2836" s="2" t="str">
        <f>TRIM(Table1[[#This Row],[Numer_FV]])</f>
        <v>FV/M/8926/P/24</v>
      </c>
      <c r="B2836" s="2" t="str">
        <f>TRIM(Table1[[#This Row],[Numer_PZ]])</f>
        <v>PZ/802834</v>
      </c>
      <c r="C2836" s="2" t="str">
        <f>TRIM(Table1[[#This Row],[Dostawca]])</f>
        <v>MedicaPharm</v>
      </c>
      <c r="D2836" s="3">
        <v>45597</v>
      </c>
      <c r="E2836" s="4" t="s">
        <v>8372</v>
      </c>
      <c r="F2836" s="2" t="str">
        <f>TRIM(Table1[[#This Row],[Status]])</f>
        <v>Zaakceptowana</v>
      </c>
      <c r="G2836" s="2" t="str">
        <f>TRIM(Table1[[#This Row],[Typ]])</f>
        <v>Faktura VAT</v>
      </c>
      <c r="H2836" s="2" t="str">
        <f>TRIM(Table1[[#This Row],[Magazyn]])</f>
        <v>Apteka Szpitalna</v>
      </c>
      <c r="I2836" s="2" t="str">
        <f>TRIM(Table1[[#This Row],[Umowa]])</f>
        <v/>
      </c>
      <c r="J2836" s="2" t="b">
        <f>ISTEXT(Table14[[#This Row],[Data_Wystawienia]])</f>
        <v>0</v>
      </c>
      <c r="K2836" s="2">
        <f>VALUE(SUBSTITUTE(Table14[[#This Row],[Wartość]],".",","))</f>
        <v>20559.59</v>
      </c>
      <c r="L28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6" s="2" t="str">
        <f>IF(Table14[[#This Row],[Umowa]]="","Poza umową","Z umowy")</f>
        <v>Poza umową</v>
      </c>
      <c r="N2836" s="2">
        <f>YEAR(Table14[[#This Row],[Data_Wystawienia]])</f>
        <v>2024</v>
      </c>
      <c r="O2836" s="2" t="str">
        <f>TEXT(Table14[[#This Row],[Data_Wystawienia]],"rrrr-mm")</f>
        <v>2024-11</v>
      </c>
      <c r="P2836" s="2">
        <v>1</v>
      </c>
    </row>
    <row r="2837" spans="1:16" x14ac:dyDescent="0.3">
      <c r="A2837" s="2" t="str">
        <f>TRIM(Table1[[#This Row],[Numer_FV]])</f>
        <v>FV/CENFA/501776/24</v>
      </c>
      <c r="B2837" s="2" t="str">
        <f>TRIM(Table1[[#This Row],[Numer_PZ]])</f>
        <v>PZ/802835</v>
      </c>
      <c r="C2837" s="2" t="str">
        <f>TRIM(Table1[[#This Row],[Dostawca]])</f>
        <v>CentrumFarm</v>
      </c>
      <c r="D2837" s="3">
        <v>45597</v>
      </c>
      <c r="E2837" s="4" t="s">
        <v>8375</v>
      </c>
      <c r="F2837" s="2" t="str">
        <f>TRIM(Table1[[#This Row],[Status]])</f>
        <v>Zaakceptowana</v>
      </c>
      <c r="G2837" s="2" t="str">
        <f>TRIM(Table1[[#This Row],[Typ]])</f>
        <v>Faktura VAT</v>
      </c>
      <c r="H2837" s="2" t="str">
        <f>TRIM(Table1[[#This Row],[Magazyn]])</f>
        <v>Apteka Szpitalna</v>
      </c>
      <c r="I2837" s="2" t="str">
        <f>TRIM(Table1[[#This Row],[Umowa]])</f>
        <v/>
      </c>
      <c r="J2837" s="2" t="b">
        <f>ISTEXT(Table14[[#This Row],[Data_Wystawienia]])</f>
        <v>0</v>
      </c>
      <c r="K2837" s="2">
        <f>VALUE(SUBSTITUTE(Table14[[#This Row],[Wartość]],".",","))</f>
        <v>16714.62</v>
      </c>
      <c r="L28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7" s="2" t="str">
        <f>IF(Table14[[#This Row],[Umowa]]="","Poza umową","Z umowy")</f>
        <v>Poza umową</v>
      </c>
      <c r="N2837" s="2">
        <f>YEAR(Table14[[#This Row],[Data_Wystawienia]])</f>
        <v>2024</v>
      </c>
      <c r="O2837" s="2" t="str">
        <f>TEXT(Table14[[#This Row],[Data_Wystawienia]],"rrrr-mm")</f>
        <v>2024-11</v>
      </c>
      <c r="P2837" s="2">
        <v>1</v>
      </c>
    </row>
    <row r="2838" spans="1:16" x14ac:dyDescent="0.3">
      <c r="A2838" s="2" t="str">
        <f>TRIM(Table1[[#This Row],[Numer_FV]])</f>
        <v>FV/35/PP/8024/24</v>
      </c>
      <c r="B2838" s="2" t="str">
        <f>TRIM(Table1[[#This Row],[Numer_PZ]])</f>
        <v>PZ/802836</v>
      </c>
      <c r="C2838" s="2" t="str">
        <f>TRIM(Table1[[#This Row],[Dostawca]])</f>
        <v>PharmaPlus</v>
      </c>
      <c r="D2838" s="3">
        <v>45597</v>
      </c>
      <c r="E2838" s="4" t="s">
        <v>8378</v>
      </c>
      <c r="F2838" s="2" t="str">
        <f>TRIM(Table1[[#This Row],[Status]])</f>
        <v>Zaakceptowana</v>
      </c>
      <c r="G2838" s="2" t="str">
        <f>TRIM(Table1[[#This Row],[Typ]])</f>
        <v>Faktura VAT</v>
      </c>
      <c r="H2838" s="2" t="str">
        <f>TRIM(Table1[[#This Row],[Magazyn]])</f>
        <v>Apteka Szpitalna</v>
      </c>
      <c r="I2838" s="2" t="str">
        <f>TRIM(Table1[[#This Row],[Umowa]])</f>
        <v>UM-PHA-01</v>
      </c>
      <c r="J2838" s="2" t="b">
        <f>ISTEXT(Table14[[#This Row],[Data_Wystawienia]])</f>
        <v>0</v>
      </c>
      <c r="K2838" s="2">
        <f>VALUE(SUBSTITUTE(Table14[[#This Row],[Wartość]],".",","))</f>
        <v>18602.009999999998</v>
      </c>
      <c r="L28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8" s="2" t="str">
        <f>IF(Table14[[#This Row],[Umowa]]="","Poza umową","Z umowy")</f>
        <v>Z umowy</v>
      </c>
      <c r="N2838" s="2">
        <f>YEAR(Table14[[#This Row],[Data_Wystawienia]])</f>
        <v>2024</v>
      </c>
      <c r="O2838" s="2" t="str">
        <f>TEXT(Table14[[#This Row],[Data_Wystawienia]],"rrrr-mm")</f>
        <v>2024-11</v>
      </c>
      <c r="P2838" s="2">
        <v>1</v>
      </c>
    </row>
    <row r="2839" spans="1:16" x14ac:dyDescent="0.3">
      <c r="A2839" s="2" t="str">
        <f>TRIM(Table1[[#This Row],[Numer_FV]])</f>
        <v>FV/CENFA/402933/24</v>
      </c>
      <c r="B2839" s="2" t="str">
        <f>TRIM(Table1[[#This Row],[Numer_PZ]])</f>
        <v>PZ/802837</v>
      </c>
      <c r="C2839" s="2" t="str">
        <f>TRIM(Table1[[#This Row],[Dostawca]])</f>
        <v>CentrumFarm</v>
      </c>
      <c r="D2839" s="3">
        <v>45598</v>
      </c>
      <c r="E2839" s="4" t="s">
        <v>8381</v>
      </c>
      <c r="F2839" s="2" t="str">
        <f>TRIM(Table1[[#This Row],[Status]])</f>
        <v>Zaakceptowana</v>
      </c>
      <c r="G2839" s="2" t="str">
        <f>TRIM(Table1[[#This Row],[Typ]])</f>
        <v>Faktura VAT</v>
      </c>
      <c r="H2839" s="2" t="str">
        <f>TRIM(Table1[[#This Row],[Magazyn]])</f>
        <v>Apteka Szpitalna</v>
      </c>
      <c r="I2839" s="2" t="str">
        <f>TRIM(Table1[[#This Row],[Umowa]])</f>
        <v>UM-CEN-02</v>
      </c>
      <c r="J2839" s="2" t="b">
        <f>ISTEXT(Table14[[#This Row],[Data_Wystawienia]])</f>
        <v>0</v>
      </c>
      <c r="K2839" s="2">
        <f>VALUE(SUBSTITUTE(Table14[[#This Row],[Wartość]],".",","))</f>
        <v>17910.89</v>
      </c>
      <c r="L28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39" s="2" t="str">
        <f>IF(Table14[[#This Row],[Umowa]]="","Poza umową","Z umowy")</f>
        <v>Z umowy</v>
      </c>
      <c r="N2839" s="2">
        <f>YEAR(Table14[[#This Row],[Data_Wystawienia]])</f>
        <v>2024</v>
      </c>
      <c r="O2839" s="2" t="str">
        <f>TEXT(Table14[[#This Row],[Data_Wystawienia]],"rrrr-mm")</f>
        <v>2024-11</v>
      </c>
      <c r="P2839" s="2">
        <v>1</v>
      </c>
    </row>
    <row r="2840" spans="1:16" x14ac:dyDescent="0.3">
      <c r="A2840" s="2" t="str">
        <f>TRIM(Table1[[#This Row],[Numer_FV]])</f>
        <v>FV/95453/VDb/2024</v>
      </c>
      <c r="B2840" s="2" t="str">
        <f>TRIM(Table1[[#This Row],[Numer_PZ]])</f>
        <v>PZ/802838</v>
      </c>
      <c r="C2840" s="2" t="str">
        <f>TRIM(Table1[[#This Row],[Dostawca]])</f>
        <v>VitaDistrib</v>
      </c>
      <c r="D2840" s="3">
        <v>45598</v>
      </c>
      <c r="E2840" s="4" t="s">
        <v>8384</v>
      </c>
      <c r="F2840" s="2" t="str">
        <f>TRIM(Table1[[#This Row],[Status]])</f>
        <v>Zaakceptowana</v>
      </c>
      <c r="G2840" s="2" t="str">
        <f>TRIM(Table1[[#This Row],[Typ]])</f>
        <v>Faktura VAT</v>
      </c>
      <c r="H2840" s="2" t="str">
        <f>TRIM(Table1[[#This Row],[Magazyn]])</f>
        <v>Apteka Szpitalna</v>
      </c>
      <c r="I2840" s="2" t="str">
        <f>TRIM(Table1[[#This Row],[Umowa]])</f>
        <v>UM-VIT-01</v>
      </c>
      <c r="J2840" s="2" t="b">
        <f>ISTEXT(Table14[[#This Row],[Data_Wystawienia]])</f>
        <v>0</v>
      </c>
      <c r="K2840" s="2">
        <f>VALUE(SUBSTITUTE(Table14[[#This Row],[Wartość]],".",","))</f>
        <v>8166.39</v>
      </c>
      <c r="L28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0" s="2" t="str">
        <f>IF(Table14[[#This Row],[Umowa]]="","Poza umową","Z umowy")</f>
        <v>Z umowy</v>
      </c>
      <c r="N2840" s="2">
        <f>YEAR(Table14[[#This Row],[Data_Wystawienia]])</f>
        <v>2024</v>
      </c>
      <c r="O2840" s="2" t="str">
        <f>TEXT(Table14[[#This Row],[Data_Wystawienia]],"rrrr-mm")</f>
        <v>2024-11</v>
      </c>
      <c r="P2840" s="2">
        <v>1</v>
      </c>
    </row>
    <row r="2841" spans="1:16" x14ac:dyDescent="0.3">
      <c r="A2841" s="2" t="str">
        <f>TRIM(Table1[[#This Row],[Numer_FV]])</f>
        <v>FV/M/8589/P/24</v>
      </c>
      <c r="B2841" s="2" t="str">
        <f>TRIM(Table1[[#This Row],[Numer_PZ]])</f>
        <v>PZ/802839</v>
      </c>
      <c r="C2841" s="2" t="str">
        <f>TRIM(Table1[[#This Row],[Dostawca]])</f>
        <v>MedicaPharm</v>
      </c>
      <c r="D2841" s="3">
        <v>45599</v>
      </c>
      <c r="E2841" s="4" t="s">
        <v>8387</v>
      </c>
      <c r="F2841" s="2" t="str">
        <f>TRIM(Table1[[#This Row],[Status]])</f>
        <v>Zaakceptowana</v>
      </c>
      <c r="G2841" s="2" t="str">
        <f>TRIM(Table1[[#This Row],[Typ]])</f>
        <v>Faktura VAT</v>
      </c>
      <c r="H2841" s="2" t="str">
        <f>TRIM(Table1[[#This Row],[Magazyn]])</f>
        <v>Apteka Szpitalna</v>
      </c>
      <c r="I2841" s="2" t="str">
        <f>TRIM(Table1[[#This Row],[Umowa]])</f>
        <v>UM-MED-01</v>
      </c>
      <c r="J2841" s="2" t="b">
        <f>ISTEXT(Table14[[#This Row],[Data_Wystawienia]])</f>
        <v>0</v>
      </c>
      <c r="K2841" s="2">
        <f>VALUE(SUBSTITUTE(Table14[[#This Row],[Wartość]],".",","))</f>
        <v>17536.11</v>
      </c>
      <c r="L28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1" s="2" t="str">
        <f>IF(Table14[[#This Row],[Umowa]]="","Poza umową","Z umowy")</f>
        <v>Z umowy</v>
      </c>
      <c r="N2841" s="2">
        <f>YEAR(Table14[[#This Row],[Data_Wystawienia]])</f>
        <v>2024</v>
      </c>
      <c r="O2841" s="2" t="str">
        <f>TEXT(Table14[[#This Row],[Data_Wystawienia]],"rrrr-mm")</f>
        <v>2024-11</v>
      </c>
      <c r="P2841" s="2">
        <v>1</v>
      </c>
    </row>
    <row r="2842" spans="1:16" x14ac:dyDescent="0.3">
      <c r="A2842" s="2" t="str">
        <f>TRIM(Table1[[#This Row],[Numer_FV]])</f>
        <v>FV/38270/VDb/2024</v>
      </c>
      <c r="B2842" s="2" t="str">
        <f>TRIM(Table1[[#This Row],[Numer_PZ]])</f>
        <v>PZ/802840</v>
      </c>
      <c r="C2842" s="2" t="str">
        <f>TRIM(Table1[[#This Row],[Dostawca]])</f>
        <v>VitaDistrib</v>
      </c>
      <c r="D2842" s="3">
        <v>45600</v>
      </c>
      <c r="E2842" s="4" t="s">
        <v>8390</v>
      </c>
      <c r="F2842" s="2" t="str">
        <f>TRIM(Table1[[#This Row],[Status]])</f>
        <v>Zaakceptowana</v>
      </c>
      <c r="G2842" s="2" t="str">
        <f>TRIM(Table1[[#This Row],[Typ]])</f>
        <v>Faktura VAT</v>
      </c>
      <c r="H2842" s="2" t="str">
        <f>TRIM(Table1[[#This Row],[Magazyn]])</f>
        <v>Apteka Szpitalna</v>
      </c>
      <c r="I2842" s="2" t="str">
        <f>TRIM(Table1[[#This Row],[Umowa]])</f>
        <v/>
      </c>
      <c r="J2842" s="2" t="b">
        <f>ISTEXT(Table14[[#This Row],[Data_Wystawienia]])</f>
        <v>0</v>
      </c>
      <c r="K2842" s="2">
        <f>VALUE(SUBSTITUTE(Table14[[#This Row],[Wartość]],".",","))</f>
        <v>22514.68</v>
      </c>
      <c r="L28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2" s="2" t="str">
        <f>IF(Table14[[#This Row],[Umowa]]="","Poza umową","Z umowy")</f>
        <v>Poza umową</v>
      </c>
      <c r="N2842" s="2">
        <f>YEAR(Table14[[#This Row],[Data_Wystawienia]])</f>
        <v>2024</v>
      </c>
      <c r="O2842" s="2" t="str">
        <f>TEXT(Table14[[#This Row],[Data_Wystawienia]],"rrrr-mm")</f>
        <v>2024-11</v>
      </c>
      <c r="P2842" s="2">
        <v>1</v>
      </c>
    </row>
    <row r="2843" spans="1:16" x14ac:dyDescent="0.3">
      <c r="A2843" s="2" t="str">
        <f>TRIM(Table1[[#This Row],[Numer_FV]])</f>
        <v>FV/8589/NOVA/24</v>
      </c>
      <c r="B2843" s="2" t="str">
        <f>TRIM(Table1[[#This Row],[Numer_PZ]])</f>
        <v>PZ/802841</v>
      </c>
      <c r="C2843" s="2" t="str">
        <f>TRIM(Table1[[#This Row],[Dostawca]])</f>
        <v>NovaLek</v>
      </c>
      <c r="D2843" s="3">
        <v>45601</v>
      </c>
      <c r="E2843" s="4" t="s">
        <v>8393</v>
      </c>
      <c r="F2843" s="2" t="str">
        <f>TRIM(Table1[[#This Row],[Status]])</f>
        <v>Zaakceptowana</v>
      </c>
      <c r="G2843" s="2" t="str">
        <f>TRIM(Table1[[#This Row],[Typ]])</f>
        <v>Faktura VAT</v>
      </c>
      <c r="H2843" s="2" t="str">
        <f>TRIM(Table1[[#This Row],[Magazyn]])</f>
        <v>Apteka Szpitalna</v>
      </c>
      <c r="I2843" s="2" t="str">
        <f>TRIM(Table1[[#This Row],[Umowa]])</f>
        <v>UM-NOV-02</v>
      </c>
      <c r="J2843" s="2" t="b">
        <f>ISTEXT(Table14[[#This Row],[Data_Wystawienia]])</f>
        <v>0</v>
      </c>
      <c r="K2843" s="2">
        <f>VALUE(SUBSTITUTE(Table14[[#This Row],[Wartość]],".",","))</f>
        <v>14194.46</v>
      </c>
      <c r="L28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3" s="2" t="str">
        <f>IF(Table14[[#This Row],[Umowa]]="","Poza umową","Z umowy")</f>
        <v>Z umowy</v>
      </c>
      <c r="N2843" s="2">
        <f>YEAR(Table14[[#This Row],[Data_Wystawienia]])</f>
        <v>2024</v>
      </c>
      <c r="O2843" s="2" t="str">
        <f>TEXT(Table14[[#This Row],[Data_Wystawienia]],"rrrr-mm")</f>
        <v>2024-11</v>
      </c>
      <c r="P2843" s="2">
        <v>1</v>
      </c>
    </row>
    <row r="2844" spans="1:16" x14ac:dyDescent="0.3">
      <c r="A2844" s="2" t="str">
        <f>TRIM(Table1[[#This Row],[Numer_FV]])</f>
        <v>FV/30/SAL/24</v>
      </c>
      <c r="B2844" s="2" t="str">
        <f>TRIM(Table1[[#This Row],[Numer_PZ]])</f>
        <v>PZ/802842</v>
      </c>
      <c r="C2844" s="2" t="str">
        <f>TRIM(Table1[[#This Row],[Dostawca]])</f>
        <v>SalusHurt</v>
      </c>
      <c r="D2844" s="3">
        <v>45602</v>
      </c>
      <c r="E2844" s="4" t="s">
        <v>8396</v>
      </c>
      <c r="F2844" s="2" t="str">
        <f>TRIM(Table1[[#This Row],[Status]])</f>
        <v>Zaakceptowana</v>
      </c>
      <c r="G2844" s="2" t="str">
        <f>TRIM(Table1[[#This Row],[Typ]])</f>
        <v>Faktura VAT</v>
      </c>
      <c r="H2844" s="2" t="str">
        <f>TRIM(Table1[[#This Row],[Magazyn]])</f>
        <v>Apteka Szpitalna</v>
      </c>
      <c r="I2844" s="2" t="str">
        <f>TRIM(Table1[[#This Row],[Umowa]])</f>
        <v>UM-SAL-02</v>
      </c>
      <c r="J2844" s="2" t="b">
        <f>ISTEXT(Table14[[#This Row],[Data_Wystawienia]])</f>
        <v>0</v>
      </c>
      <c r="K2844" s="2">
        <f>VALUE(SUBSTITUTE(Table14[[#This Row],[Wartość]],".",","))</f>
        <v>11746.65</v>
      </c>
      <c r="L28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4" s="2" t="str">
        <f>IF(Table14[[#This Row],[Umowa]]="","Poza umową","Z umowy")</f>
        <v>Z umowy</v>
      </c>
      <c r="N2844" s="2">
        <f>YEAR(Table14[[#This Row],[Data_Wystawienia]])</f>
        <v>2024</v>
      </c>
      <c r="O2844" s="2" t="str">
        <f>TEXT(Table14[[#This Row],[Data_Wystawienia]],"rrrr-mm")</f>
        <v>2024-11</v>
      </c>
      <c r="P2844" s="2">
        <v>1</v>
      </c>
    </row>
    <row r="2845" spans="1:16" x14ac:dyDescent="0.3">
      <c r="A2845" s="2" t="str">
        <f>TRIM(Table1[[#This Row],[Numer_FV]])</f>
        <v>FV/7616/NOVA/24</v>
      </c>
      <c r="B2845" s="2" t="str">
        <f>TRIM(Table1[[#This Row],[Numer_PZ]])</f>
        <v>PZ/802843</v>
      </c>
      <c r="C2845" s="2" t="str">
        <f>TRIM(Table1[[#This Row],[Dostawca]])</f>
        <v>NovaLek</v>
      </c>
      <c r="D2845" s="3">
        <v>45602</v>
      </c>
      <c r="E2845" s="4" t="s">
        <v>8399</v>
      </c>
      <c r="F2845" s="2" t="str">
        <f>TRIM(Table1[[#This Row],[Status]])</f>
        <v>Zaakceptowana</v>
      </c>
      <c r="G2845" s="2" t="str">
        <f>TRIM(Table1[[#This Row],[Typ]])</f>
        <v>Faktura VAT</v>
      </c>
      <c r="H2845" s="2" t="str">
        <f>TRIM(Table1[[#This Row],[Magazyn]])</f>
        <v>Apteka Szpitalna</v>
      </c>
      <c r="I2845" s="2" t="str">
        <f>TRIM(Table1[[#This Row],[Umowa]])</f>
        <v>UM-NOV-02</v>
      </c>
      <c r="J2845" s="2" t="b">
        <f>ISTEXT(Table14[[#This Row],[Data_Wystawienia]])</f>
        <v>0</v>
      </c>
      <c r="K2845" s="2">
        <f>VALUE(SUBSTITUTE(Table14[[#This Row],[Wartość]],".",","))</f>
        <v>19604.849999999999</v>
      </c>
      <c r="L28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5" s="2" t="str">
        <f>IF(Table14[[#This Row],[Umowa]]="","Poza umową","Z umowy")</f>
        <v>Z umowy</v>
      </c>
      <c r="N2845" s="2">
        <f>YEAR(Table14[[#This Row],[Data_Wystawienia]])</f>
        <v>2024</v>
      </c>
      <c r="O2845" s="2" t="str">
        <f>TEXT(Table14[[#This Row],[Data_Wystawienia]],"rrrr-mm")</f>
        <v>2024-11</v>
      </c>
      <c r="P2845" s="2">
        <v>1</v>
      </c>
    </row>
    <row r="2846" spans="1:16" x14ac:dyDescent="0.3">
      <c r="A2846" s="2" t="str">
        <f>TRIM(Table1[[#This Row],[Numer_FV]])</f>
        <v>FV/22569/VDb/2024</v>
      </c>
      <c r="B2846" s="2" t="str">
        <f>TRIM(Table1[[#This Row],[Numer_PZ]])</f>
        <v>PZ/802844</v>
      </c>
      <c r="C2846" s="2" t="str">
        <f>TRIM(Table1[[#This Row],[Dostawca]])</f>
        <v>VitaDistrib</v>
      </c>
      <c r="D2846" s="3">
        <v>45603</v>
      </c>
      <c r="E2846" s="4" t="s">
        <v>8402</v>
      </c>
      <c r="F2846" s="2" t="str">
        <f>TRIM(Table1[[#This Row],[Status]])</f>
        <v>Zaakceptowana</v>
      </c>
      <c r="G2846" s="2" t="str">
        <f>TRIM(Table1[[#This Row],[Typ]])</f>
        <v>Faktura VAT</v>
      </c>
      <c r="H2846" s="2" t="str">
        <f>TRIM(Table1[[#This Row],[Magazyn]])</f>
        <v>Apteka Szpitalna</v>
      </c>
      <c r="I2846" s="2" t="str">
        <f>TRIM(Table1[[#This Row],[Umowa]])</f>
        <v>UM-VIT-01</v>
      </c>
      <c r="J2846" s="2" t="b">
        <f>ISTEXT(Table14[[#This Row],[Data_Wystawienia]])</f>
        <v>0</v>
      </c>
      <c r="K2846" s="2">
        <f>VALUE(SUBSTITUTE(Table14[[#This Row],[Wartość]],".",","))</f>
        <v>20616.310000000001</v>
      </c>
      <c r="L28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6" s="2" t="str">
        <f>IF(Table14[[#This Row],[Umowa]]="","Poza umową","Z umowy")</f>
        <v>Z umowy</v>
      </c>
      <c r="N2846" s="2">
        <f>YEAR(Table14[[#This Row],[Data_Wystawienia]])</f>
        <v>2024</v>
      </c>
      <c r="O2846" s="2" t="str">
        <f>TEXT(Table14[[#This Row],[Data_Wystawienia]],"rrrr-mm")</f>
        <v>2024-11</v>
      </c>
      <c r="P2846" s="2">
        <v>1</v>
      </c>
    </row>
    <row r="2847" spans="1:16" x14ac:dyDescent="0.3">
      <c r="A2847" s="2" t="str">
        <f>TRIM(Table1[[#This Row],[Numer_FV]])</f>
        <v>FV/M/1891/P/24</v>
      </c>
      <c r="B2847" s="2" t="str">
        <f>TRIM(Table1[[#This Row],[Numer_PZ]])</f>
        <v>PZ/802845</v>
      </c>
      <c r="C2847" s="2" t="str">
        <f>TRIM(Table1[[#This Row],[Dostawca]])</f>
        <v>MedicaPharm</v>
      </c>
      <c r="D2847" s="3">
        <v>45603</v>
      </c>
      <c r="E2847" s="4" t="s">
        <v>8405</v>
      </c>
      <c r="F2847" s="2" t="str">
        <f>TRIM(Table1[[#This Row],[Status]])</f>
        <v>Zaakceptowana</v>
      </c>
      <c r="G2847" s="2" t="str">
        <f>TRIM(Table1[[#This Row],[Typ]])</f>
        <v>Faktura VAT</v>
      </c>
      <c r="H2847" s="2" t="str">
        <f>TRIM(Table1[[#This Row],[Magazyn]])</f>
        <v>Apteka Szpitalna</v>
      </c>
      <c r="I2847" s="2" t="str">
        <f>TRIM(Table1[[#This Row],[Umowa]])</f>
        <v>UM-MED-01</v>
      </c>
      <c r="J2847" s="2" t="b">
        <f>ISTEXT(Table14[[#This Row],[Data_Wystawienia]])</f>
        <v>0</v>
      </c>
      <c r="K2847" s="2">
        <f>VALUE(SUBSTITUTE(Table14[[#This Row],[Wartość]],".",","))</f>
        <v>10778.99</v>
      </c>
      <c r="L28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7" s="2" t="str">
        <f>IF(Table14[[#This Row],[Umowa]]="","Poza umową","Z umowy")</f>
        <v>Z umowy</v>
      </c>
      <c r="N2847" s="2">
        <f>YEAR(Table14[[#This Row],[Data_Wystawienia]])</f>
        <v>2024</v>
      </c>
      <c r="O2847" s="2" t="str">
        <f>TEXT(Table14[[#This Row],[Data_Wystawienia]],"rrrr-mm")</f>
        <v>2024-11</v>
      </c>
      <c r="P2847" s="2">
        <v>1</v>
      </c>
    </row>
    <row r="2848" spans="1:16" x14ac:dyDescent="0.3">
      <c r="A2848" s="2" t="str">
        <f>TRIM(Table1[[#This Row],[Numer_FV]])</f>
        <v>FV/91/PP/6625/24</v>
      </c>
      <c r="B2848" s="2" t="str">
        <f>TRIM(Table1[[#This Row],[Numer_PZ]])</f>
        <v>PZ/802846</v>
      </c>
      <c r="C2848" s="2" t="str">
        <f>TRIM(Table1[[#This Row],[Dostawca]])</f>
        <v>PharmaPlus</v>
      </c>
      <c r="D2848" s="3">
        <v>45603</v>
      </c>
      <c r="E2848" s="4" t="s">
        <v>8408</v>
      </c>
      <c r="F2848" s="2" t="str">
        <f>TRIM(Table1[[#This Row],[Status]])</f>
        <v>Zaakceptowana</v>
      </c>
      <c r="G2848" s="2" t="str">
        <f>TRIM(Table1[[#This Row],[Typ]])</f>
        <v>Faktura VAT</v>
      </c>
      <c r="H2848" s="2" t="str">
        <f>TRIM(Table1[[#This Row],[Magazyn]])</f>
        <v>Apteka Szpitalna</v>
      </c>
      <c r="I2848" s="2" t="str">
        <f>TRIM(Table1[[#This Row],[Umowa]])</f>
        <v>UM-PHA-01</v>
      </c>
      <c r="J2848" s="2" t="b">
        <f>ISTEXT(Table14[[#This Row],[Data_Wystawienia]])</f>
        <v>0</v>
      </c>
      <c r="K2848" s="2">
        <f>VALUE(SUBSTITUTE(Table14[[#This Row],[Wartość]],".",","))</f>
        <v>6415.2</v>
      </c>
      <c r="L28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8" s="2" t="str">
        <f>IF(Table14[[#This Row],[Umowa]]="","Poza umową","Z umowy")</f>
        <v>Z umowy</v>
      </c>
      <c r="N2848" s="2">
        <f>YEAR(Table14[[#This Row],[Data_Wystawienia]])</f>
        <v>2024</v>
      </c>
      <c r="O2848" s="2" t="str">
        <f>TEXT(Table14[[#This Row],[Data_Wystawienia]],"rrrr-mm")</f>
        <v>2024-11</v>
      </c>
      <c r="P2848" s="2">
        <v>1</v>
      </c>
    </row>
    <row r="2849" spans="1:16" x14ac:dyDescent="0.3">
      <c r="A2849" s="2" t="str">
        <f>TRIM(Table1[[#This Row],[Numer_FV]])</f>
        <v>FV/41/PP/2190/24</v>
      </c>
      <c r="B2849" s="2" t="str">
        <f>TRIM(Table1[[#This Row],[Numer_PZ]])</f>
        <v>PZ/802847</v>
      </c>
      <c r="C2849" s="2" t="str">
        <f>TRIM(Table1[[#This Row],[Dostawca]])</f>
        <v>PharmaPlus</v>
      </c>
      <c r="D2849" s="3">
        <v>45603</v>
      </c>
      <c r="E2849" s="4" t="s">
        <v>8411</v>
      </c>
      <c r="F2849" s="2" t="str">
        <f>TRIM(Table1[[#This Row],[Status]])</f>
        <v>Zaakceptowana</v>
      </c>
      <c r="G2849" s="2" t="str">
        <f>TRIM(Table1[[#This Row],[Typ]])</f>
        <v>Faktura VAT</v>
      </c>
      <c r="H2849" s="2" t="str">
        <f>TRIM(Table1[[#This Row],[Magazyn]])</f>
        <v>Apteka Szpitalna</v>
      </c>
      <c r="I2849" s="2" t="str">
        <f>TRIM(Table1[[#This Row],[Umowa]])</f>
        <v/>
      </c>
      <c r="J2849" s="2" t="b">
        <f>ISTEXT(Table14[[#This Row],[Data_Wystawienia]])</f>
        <v>0</v>
      </c>
      <c r="K2849" s="2">
        <f>VALUE(SUBSTITUTE(Table14[[#This Row],[Wartość]],".",","))</f>
        <v>17371.79</v>
      </c>
      <c r="L28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49" s="2" t="str">
        <f>IF(Table14[[#This Row],[Umowa]]="","Poza umową","Z umowy")</f>
        <v>Poza umową</v>
      </c>
      <c r="N2849" s="2">
        <f>YEAR(Table14[[#This Row],[Data_Wystawienia]])</f>
        <v>2024</v>
      </c>
      <c r="O2849" s="2" t="str">
        <f>TEXT(Table14[[#This Row],[Data_Wystawienia]],"rrrr-mm")</f>
        <v>2024-11</v>
      </c>
      <c r="P2849" s="2">
        <v>1</v>
      </c>
    </row>
    <row r="2850" spans="1:16" x14ac:dyDescent="0.3">
      <c r="A2850" s="2" t="str">
        <f>TRIM(Table1[[#This Row],[Numer_FV]])</f>
        <v>FV/POL/74684/2024</v>
      </c>
      <c r="B2850" s="2" t="str">
        <f>TRIM(Table1[[#This Row],[Numer_PZ]])</f>
        <v>PZ/802848</v>
      </c>
      <c r="C2850" s="2" t="str">
        <f>TRIM(Table1[[#This Row],[Dostawca]])</f>
        <v>Polmedica</v>
      </c>
      <c r="D2850" s="3">
        <v>45603</v>
      </c>
      <c r="E2850" s="4" t="s">
        <v>8414</v>
      </c>
      <c r="F2850" s="2" t="str">
        <f>TRIM(Table1[[#This Row],[Status]])</f>
        <v>Zaakceptowana</v>
      </c>
      <c r="G2850" s="2" t="str">
        <f>TRIM(Table1[[#This Row],[Typ]])</f>
        <v>Faktura VAT</v>
      </c>
      <c r="H2850" s="2" t="str">
        <f>TRIM(Table1[[#This Row],[Magazyn]])</f>
        <v>Apteka Szpitalna</v>
      </c>
      <c r="I2850" s="2" t="str">
        <f>TRIM(Table1[[#This Row],[Umowa]])</f>
        <v/>
      </c>
      <c r="J2850" s="2" t="b">
        <f>ISTEXT(Table14[[#This Row],[Data_Wystawienia]])</f>
        <v>0</v>
      </c>
      <c r="K2850" s="2">
        <f>VALUE(SUBSTITUTE(Table14[[#This Row],[Wartość]],".",","))</f>
        <v>13887.26</v>
      </c>
      <c r="L28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0" s="2" t="str">
        <f>IF(Table14[[#This Row],[Umowa]]="","Poza umową","Z umowy")</f>
        <v>Poza umową</v>
      </c>
      <c r="N2850" s="2">
        <f>YEAR(Table14[[#This Row],[Data_Wystawienia]])</f>
        <v>2024</v>
      </c>
      <c r="O2850" s="2" t="str">
        <f>TEXT(Table14[[#This Row],[Data_Wystawienia]],"rrrr-mm")</f>
        <v>2024-11</v>
      </c>
      <c r="P2850" s="2">
        <v>1</v>
      </c>
    </row>
    <row r="2851" spans="1:16" x14ac:dyDescent="0.3">
      <c r="A2851" s="2" t="str">
        <f>TRIM(Table1[[#This Row],[Numer_FV]])</f>
        <v>FV/CENFA/919365/24</v>
      </c>
      <c r="B2851" s="2" t="str">
        <f>TRIM(Table1[[#This Row],[Numer_PZ]])</f>
        <v>PZ/802849</v>
      </c>
      <c r="C2851" s="2" t="str">
        <f>TRIM(Table1[[#This Row],[Dostawca]])</f>
        <v>CentrumFarm</v>
      </c>
      <c r="D2851" s="3">
        <v>45604</v>
      </c>
      <c r="E2851" s="4" t="s">
        <v>8417</v>
      </c>
      <c r="F2851" s="2" t="str">
        <f>TRIM(Table1[[#This Row],[Status]])</f>
        <v>Zaakceptowana</v>
      </c>
      <c r="G2851" s="2" t="str">
        <f>TRIM(Table1[[#This Row],[Typ]])</f>
        <v>Faktura VAT</v>
      </c>
      <c r="H2851" s="2" t="str">
        <f>TRIM(Table1[[#This Row],[Magazyn]])</f>
        <v>Apteka Szpitalna</v>
      </c>
      <c r="I2851" s="2" t="str">
        <f>TRIM(Table1[[#This Row],[Umowa]])</f>
        <v>UM-CEN-02</v>
      </c>
      <c r="J2851" s="2" t="b">
        <f>ISTEXT(Table14[[#This Row],[Data_Wystawienia]])</f>
        <v>0</v>
      </c>
      <c r="K2851" s="2">
        <f>VALUE(SUBSTITUTE(Table14[[#This Row],[Wartość]],".",","))</f>
        <v>12969.32</v>
      </c>
      <c r="L28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1" s="2" t="str">
        <f>IF(Table14[[#This Row],[Umowa]]="","Poza umową","Z umowy")</f>
        <v>Z umowy</v>
      </c>
      <c r="N2851" s="2">
        <f>YEAR(Table14[[#This Row],[Data_Wystawienia]])</f>
        <v>2024</v>
      </c>
      <c r="O2851" s="2" t="str">
        <f>TEXT(Table14[[#This Row],[Data_Wystawienia]],"rrrr-mm")</f>
        <v>2024-11</v>
      </c>
      <c r="P2851" s="2">
        <v>1</v>
      </c>
    </row>
    <row r="2852" spans="1:16" x14ac:dyDescent="0.3">
      <c r="A2852" s="2" t="str">
        <f>TRIM(Table1[[#This Row],[Numer_FV]])</f>
        <v>FV/M/1584/P/24</v>
      </c>
      <c r="B2852" s="2" t="str">
        <f>TRIM(Table1[[#This Row],[Numer_PZ]])</f>
        <v>PZ/802850</v>
      </c>
      <c r="C2852" s="2" t="str">
        <f>TRIM(Table1[[#This Row],[Dostawca]])</f>
        <v>MedicaPharm</v>
      </c>
      <c r="D2852" s="3">
        <v>45604</v>
      </c>
      <c r="E2852" s="4" t="s">
        <v>8420</v>
      </c>
      <c r="F2852" s="2" t="str">
        <f>TRIM(Table1[[#This Row],[Status]])</f>
        <v>Zaakceptowana</v>
      </c>
      <c r="G2852" s="2" t="str">
        <f>TRIM(Table1[[#This Row],[Typ]])</f>
        <v>Faktura VAT</v>
      </c>
      <c r="H2852" s="2" t="str">
        <f>TRIM(Table1[[#This Row],[Magazyn]])</f>
        <v>Apteka Szpitalna</v>
      </c>
      <c r="I2852" s="2" t="str">
        <f>TRIM(Table1[[#This Row],[Umowa]])</f>
        <v>UM-MED-01</v>
      </c>
      <c r="J2852" s="2" t="b">
        <f>ISTEXT(Table14[[#This Row],[Data_Wystawienia]])</f>
        <v>0</v>
      </c>
      <c r="K2852" s="2">
        <f>VALUE(SUBSTITUTE(Table14[[#This Row],[Wartość]],".",","))</f>
        <v>16232.99</v>
      </c>
      <c r="L28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2" s="2" t="str">
        <f>IF(Table14[[#This Row],[Umowa]]="","Poza umową","Z umowy")</f>
        <v>Z umowy</v>
      </c>
      <c r="N2852" s="2">
        <f>YEAR(Table14[[#This Row],[Data_Wystawienia]])</f>
        <v>2024</v>
      </c>
      <c r="O2852" s="2" t="str">
        <f>TEXT(Table14[[#This Row],[Data_Wystawienia]],"rrrr-mm")</f>
        <v>2024-11</v>
      </c>
      <c r="P2852" s="2">
        <v>1</v>
      </c>
    </row>
    <row r="2853" spans="1:16" x14ac:dyDescent="0.3">
      <c r="A2853" s="2" t="str">
        <f>TRIM(Table1[[#This Row],[Numer_FV]])</f>
        <v>FV/CENFA/534841/24</v>
      </c>
      <c r="B2853" s="2" t="str">
        <f>TRIM(Table1[[#This Row],[Numer_PZ]])</f>
        <v>PZ/802851</v>
      </c>
      <c r="C2853" s="2" t="str">
        <f>TRIM(Table1[[#This Row],[Dostawca]])</f>
        <v>CentrumFarm</v>
      </c>
      <c r="D2853" s="3">
        <v>45604</v>
      </c>
      <c r="E2853" s="4" t="s">
        <v>8423</v>
      </c>
      <c r="F2853" s="2" t="str">
        <f>TRIM(Table1[[#This Row],[Status]])</f>
        <v>Zaakceptowana</v>
      </c>
      <c r="G2853" s="2" t="str">
        <f>TRIM(Table1[[#This Row],[Typ]])</f>
        <v>Faktura VAT</v>
      </c>
      <c r="H2853" s="2" t="str">
        <f>TRIM(Table1[[#This Row],[Magazyn]])</f>
        <v>Apteka Szpitalna</v>
      </c>
      <c r="I2853" s="2" t="str">
        <f>TRIM(Table1[[#This Row],[Umowa]])</f>
        <v>UM-CEN-02</v>
      </c>
      <c r="J2853" s="2" t="b">
        <f>ISTEXT(Table14[[#This Row],[Data_Wystawienia]])</f>
        <v>0</v>
      </c>
      <c r="K2853" s="2">
        <f>VALUE(SUBSTITUTE(Table14[[#This Row],[Wartość]],".",","))</f>
        <v>19102.91</v>
      </c>
      <c r="L28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3" s="2" t="str">
        <f>IF(Table14[[#This Row],[Umowa]]="","Poza umową","Z umowy")</f>
        <v>Z umowy</v>
      </c>
      <c r="N2853" s="2">
        <f>YEAR(Table14[[#This Row],[Data_Wystawienia]])</f>
        <v>2024</v>
      </c>
      <c r="O2853" s="2" t="str">
        <f>TEXT(Table14[[#This Row],[Data_Wystawienia]],"rrrr-mm")</f>
        <v>2024-11</v>
      </c>
      <c r="P2853" s="2">
        <v>1</v>
      </c>
    </row>
    <row r="2854" spans="1:16" x14ac:dyDescent="0.3">
      <c r="A2854" s="2" t="str">
        <f>TRIM(Table1[[#This Row],[Numer_FV]])</f>
        <v>FV/CENFA/559656/24</v>
      </c>
      <c r="B2854" s="2" t="str">
        <f>TRIM(Table1[[#This Row],[Numer_PZ]])</f>
        <v>PZ/802852</v>
      </c>
      <c r="C2854" s="2" t="str">
        <f>TRIM(Table1[[#This Row],[Dostawca]])</f>
        <v>CentrumFarm</v>
      </c>
      <c r="D2854" s="3">
        <v>45604</v>
      </c>
      <c r="E2854" s="4" t="s">
        <v>8426</v>
      </c>
      <c r="F2854" s="2" t="str">
        <f>TRIM(Table1[[#This Row],[Status]])</f>
        <v>Zaakceptowana</v>
      </c>
      <c r="G2854" s="2" t="str">
        <f>TRIM(Table1[[#This Row],[Typ]])</f>
        <v>Faktura VAT</v>
      </c>
      <c r="H2854" s="2" t="str">
        <f>TRIM(Table1[[#This Row],[Magazyn]])</f>
        <v>Apteka Szpitalna</v>
      </c>
      <c r="I2854" s="2" t="str">
        <f>TRIM(Table1[[#This Row],[Umowa]])</f>
        <v/>
      </c>
      <c r="J2854" s="2" t="b">
        <f>ISTEXT(Table14[[#This Row],[Data_Wystawienia]])</f>
        <v>0</v>
      </c>
      <c r="K2854" s="2">
        <f>VALUE(SUBSTITUTE(Table14[[#This Row],[Wartość]],".",","))</f>
        <v>5859.83</v>
      </c>
      <c r="L28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4" s="2" t="str">
        <f>IF(Table14[[#This Row],[Umowa]]="","Poza umową","Z umowy")</f>
        <v>Poza umową</v>
      </c>
      <c r="N2854" s="2">
        <f>YEAR(Table14[[#This Row],[Data_Wystawienia]])</f>
        <v>2024</v>
      </c>
      <c r="O2854" s="2" t="str">
        <f>TEXT(Table14[[#This Row],[Data_Wystawienia]],"rrrr-mm")</f>
        <v>2024-11</v>
      </c>
      <c r="P2854" s="2">
        <v>1</v>
      </c>
    </row>
    <row r="2855" spans="1:16" x14ac:dyDescent="0.3">
      <c r="A2855" s="2" t="str">
        <f>TRIM(Table1[[#This Row],[Numer_FV]])</f>
        <v>FV/88/PP/3537/24</v>
      </c>
      <c r="B2855" s="2" t="str">
        <f>TRIM(Table1[[#This Row],[Numer_PZ]])</f>
        <v>PZ/802853</v>
      </c>
      <c r="C2855" s="2" t="str">
        <f>TRIM(Table1[[#This Row],[Dostawca]])</f>
        <v>PharmaPlus</v>
      </c>
      <c r="D2855" s="3">
        <v>45604</v>
      </c>
      <c r="E2855" s="4" t="s">
        <v>8429</v>
      </c>
      <c r="F2855" s="2" t="str">
        <f>TRIM(Table1[[#This Row],[Status]])</f>
        <v>Zaakceptowana</v>
      </c>
      <c r="G2855" s="2" t="str">
        <f>TRIM(Table1[[#This Row],[Typ]])</f>
        <v>Korekta FV</v>
      </c>
      <c r="H2855" s="2" t="str">
        <f>TRIM(Table1[[#This Row],[Magazyn]])</f>
        <v>Apteka Szpitalna</v>
      </c>
      <c r="I2855" s="2" t="str">
        <f>TRIM(Table1[[#This Row],[Umowa]])</f>
        <v>UM-PHA-01</v>
      </c>
      <c r="J2855" s="2" t="b">
        <f>ISTEXT(Table14[[#This Row],[Data_Wystawienia]])</f>
        <v>0</v>
      </c>
      <c r="K2855" s="2">
        <f>VALUE(SUBSTITUTE(Table14[[#This Row],[Wartość]],".",","))</f>
        <v>-402.06</v>
      </c>
      <c r="L28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5" s="2" t="str">
        <f>IF(Table14[[#This Row],[Umowa]]="","Poza umową","Z umowy")</f>
        <v>Z umowy</v>
      </c>
      <c r="N2855" s="2">
        <f>YEAR(Table14[[#This Row],[Data_Wystawienia]])</f>
        <v>2024</v>
      </c>
      <c r="O2855" s="2" t="str">
        <f>TEXT(Table14[[#This Row],[Data_Wystawienia]],"rrrr-mm")</f>
        <v>2024-11</v>
      </c>
      <c r="P2855" s="2">
        <v>1</v>
      </c>
    </row>
    <row r="2856" spans="1:16" x14ac:dyDescent="0.3">
      <c r="A2856" s="2" t="str">
        <f>TRIM(Table1[[#This Row],[Numer_FV]])</f>
        <v>FV/4846HM/24</v>
      </c>
      <c r="B2856" s="2" t="str">
        <f>TRIM(Table1[[#This Row],[Numer_PZ]])</f>
        <v>PZ/802854</v>
      </c>
      <c r="C2856" s="2" t="str">
        <f>TRIM(Table1[[#This Row],[Dostawca]])</f>
        <v>HurtMedix</v>
      </c>
      <c r="D2856" s="3">
        <v>45605</v>
      </c>
      <c r="E2856" s="4" t="s">
        <v>8432</v>
      </c>
      <c r="F2856" s="2" t="str">
        <f>TRIM(Table1[[#This Row],[Status]])</f>
        <v>Zaakceptowana</v>
      </c>
      <c r="G2856" s="2" t="str">
        <f>TRIM(Table1[[#This Row],[Typ]])</f>
        <v>Faktura VAT</v>
      </c>
      <c r="H2856" s="2" t="str">
        <f>TRIM(Table1[[#This Row],[Magazyn]])</f>
        <v>Apteka Szpitalna</v>
      </c>
      <c r="I2856" s="2" t="str">
        <f>TRIM(Table1[[#This Row],[Umowa]])</f>
        <v>UM-HUR-03</v>
      </c>
      <c r="J2856" s="2" t="b">
        <f>ISTEXT(Table14[[#This Row],[Data_Wystawienia]])</f>
        <v>0</v>
      </c>
      <c r="K2856" s="2">
        <f>VALUE(SUBSTITUTE(Table14[[#This Row],[Wartość]],".",","))</f>
        <v>10281.08</v>
      </c>
      <c r="L28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6" s="2" t="str">
        <f>IF(Table14[[#This Row],[Umowa]]="","Poza umową","Z umowy")</f>
        <v>Z umowy</v>
      </c>
      <c r="N2856" s="2">
        <f>YEAR(Table14[[#This Row],[Data_Wystawienia]])</f>
        <v>2024</v>
      </c>
      <c r="O2856" s="2" t="str">
        <f>TEXT(Table14[[#This Row],[Data_Wystawienia]],"rrrr-mm")</f>
        <v>2024-11</v>
      </c>
      <c r="P2856" s="2">
        <v>1</v>
      </c>
    </row>
    <row r="2857" spans="1:16" x14ac:dyDescent="0.3">
      <c r="A2857" s="2" t="str">
        <f>TRIM(Table1[[#This Row],[Numer_FV]])</f>
        <v>FV/POL/31518/2024</v>
      </c>
      <c r="B2857" s="2" t="str">
        <f>TRIM(Table1[[#This Row],[Numer_PZ]])</f>
        <v>PZ/802855</v>
      </c>
      <c r="C2857" s="2" t="str">
        <f>TRIM(Table1[[#This Row],[Dostawca]])</f>
        <v>Polmedica</v>
      </c>
      <c r="D2857" s="3">
        <v>45605</v>
      </c>
      <c r="E2857" s="4" t="s">
        <v>8435</v>
      </c>
      <c r="F2857" s="2" t="str">
        <f>TRIM(Table1[[#This Row],[Status]])</f>
        <v>Zaakceptowana</v>
      </c>
      <c r="G2857" s="2" t="str">
        <f>TRIM(Table1[[#This Row],[Typ]])</f>
        <v>Faktura VAT</v>
      </c>
      <c r="H2857" s="2" t="str">
        <f>TRIM(Table1[[#This Row],[Magazyn]])</f>
        <v>Apteka Szpitalna</v>
      </c>
      <c r="I2857" s="2" t="str">
        <f>TRIM(Table1[[#This Row],[Umowa]])</f>
        <v>UM-POL-02</v>
      </c>
      <c r="J2857" s="2" t="b">
        <f>ISTEXT(Table14[[#This Row],[Data_Wystawienia]])</f>
        <v>0</v>
      </c>
      <c r="K2857" s="2">
        <f>VALUE(SUBSTITUTE(Table14[[#This Row],[Wartość]],".",","))</f>
        <v>8315.2099999999991</v>
      </c>
      <c r="L28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7" s="2" t="str">
        <f>IF(Table14[[#This Row],[Umowa]]="","Poza umową","Z umowy")</f>
        <v>Z umowy</v>
      </c>
      <c r="N2857" s="2">
        <f>YEAR(Table14[[#This Row],[Data_Wystawienia]])</f>
        <v>2024</v>
      </c>
      <c r="O2857" s="2" t="str">
        <f>TEXT(Table14[[#This Row],[Data_Wystawienia]],"rrrr-mm")</f>
        <v>2024-11</v>
      </c>
      <c r="P2857" s="2">
        <v>1</v>
      </c>
    </row>
    <row r="2858" spans="1:16" x14ac:dyDescent="0.3">
      <c r="A2858" s="2" t="str">
        <f>TRIM(Table1[[#This Row],[Numer_FV]])</f>
        <v>FV/9470HM/24</v>
      </c>
      <c r="B2858" s="2" t="str">
        <f>TRIM(Table1[[#This Row],[Numer_PZ]])</f>
        <v>PZ/802856</v>
      </c>
      <c r="C2858" s="2" t="str">
        <f>TRIM(Table1[[#This Row],[Dostawca]])</f>
        <v>HurtMedix</v>
      </c>
      <c r="D2858" s="3">
        <v>45605</v>
      </c>
      <c r="E2858" s="4" t="s">
        <v>8438</v>
      </c>
      <c r="F2858" s="2" t="str">
        <f>TRIM(Table1[[#This Row],[Status]])</f>
        <v>Zaakceptowana</v>
      </c>
      <c r="G2858" s="2" t="str">
        <f>TRIM(Table1[[#This Row],[Typ]])</f>
        <v>Faktura VAT</v>
      </c>
      <c r="H2858" s="2" t="str">
        <f>TRIM(Table1[[#This Row],[Magazyn]])</f>
        <v>Apteka Szpitalna</v>
      </c>
      <c r="I2858" s="2" t="str">
        <f>TRIM(Table1[[#This Row],[Umowa]])</f>
        <v>UM-HUR-01</v>
      </c>
      <c r="J2858" s="2" t="b">
        <f>ISTEXT(Table14[[#This Row],[Data_Wystawienia]])</f>
        <v>0</v>
      </c>
      <c r="K2858" s="2">
        <f>VALUE(SUBSTITUTE(Table14[[#This Row],[Wartość]],".",","))</f>
        <v>15387.58</v>
      </c>
      <c r="L28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8" s="2" t="str">
        <f>IF(Table14[[#This Row],[Umowa]]="","Poza umową","Z umowy")</f>
        <v>Z umowy</v>
      </c>
      <c r="N2858" s="2">
        <f>YEAR(Table14[[#This Row],[Data_Wystawienia]])</f>
        <v>2024</v>
      </c>
      <c r="O2858" s="2" t="str">
        <f>TEXT(Table14[[#This Row],[Data_Wystawienia]],"rrrr-mm")</f>
        <v>2024-11</v>
      </c>
      <c r="P2858" s="2">
        <v>1</v>
      </c>
    </row>
    <row r="2859" spans="1:16" x14ac:dyDescent="0.3">
      <c r="A2859" s="2" t="str">
        <f>TRIM(Table1[[#This Row],[Numer_FV]])</f>
        <v>FV/26373/VDb/2024</v>
      </c>
      <c r="B2859" s="2" t="str">
        <f>TRIM(Table1[[#This Row],[Numer_PZ]])</f>
        <v>PZ/802857</v>
      </c>
      <c r="C2859" s="2" t="str">
        <f>TRIM(Table1[[#This Row],[Dostawca]])</f>
        <v>VitaDistrib</v>
      </c>
      <c r="D2859" s="3">
        <v>45605</v>
      </c>
      <c r="E2859" s="4" t="s">
        <v>8441</v>
      </c>
      <c r="F2859" s="2" t="str">
        <f>TRIM(Table1[[#This Row],[Status]])</f>
        <v>Zaakceptowana</v>
      </c>
      <c r="G2859" s="2" t="str">
        <f>TRIM(Table1[[#This Row],[Typ]])</f>
        <v>Faktura VAT</v>
      </c>
      <c r="H2859" s="2" t="str">
        <f>TRIM(Table1[[#This Row],[Magazyn]])</f>
        <v>Apteka Szpitalna</v>
      </c>
      <c r="I2859" s="2" t="str">
        <f>TRIM(Table1[[#This Row],[Umowa]])</f>
        <v>UM-VIT-01</v>
      </c>
      <c r="J2859" s="2" t="b">
        <f>ISTEXT(Table14[[#This Row],[Data_Wystawienia]])</f>
        <v>0</v>
      </c>
      <c r="K2859" s="2">
        <f>VALUE(SUBSTITUTE(Table14[[#This Row],[Wartość]],".",","))</f>
        <v>18739.96</v>
      </c>
      <c r="L28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59" s="2" t="str">
        <f>IF(Table14[[#This Row],[Umowa]]="","Poza umową","Z umowy")</f>
        <v>Z umowy</v>
      </c>
      <c r="N2859" s="2">
        <f>YEAR(Table14[[#This Row],[Data_Wystawienia]])</f>
        <v>2024</v>
      </c>
      <c r="O2859" s="2" t="str">
        <f>TEXT(Table14[[#This Row],[Data_Wystawienia]],"rrrr-mm")</f>
        <v>2024-11</v>
      </c>
      <c r="P2859" s="2">
        <v>1</v>
      </c>
    </row>
    <row r="2860" spans="1:16" x14ac:dyDescent="0.3">
      <c r="A2860" s="2" t="str">
        <f>TRIM(Table1[[#This Row],[Numer_FV]])</f>
        <v>FV/51/SAL/24</v>
      </c>
      <c r="B2860" s="2" t="str">
        <f>TRIM(Table1[[#This Row],[Numer_PZ]])</f>
        <v>PZ/802858</v>
      </c>
      <c r="C2860" s="2" t="str">
        <f>TRIM(Table1[[#This Row],[Dostawca]])</f>
        <v>SalusHurt</v>
      </c>
      <c r="D2860" s="3">
        <v>45606</v>
      </c>
      <c r="E2860" s="4" t="s">
        <v>8443</v>
      </c>
      <c r="F2860" s="2" t="str">
        <f>TRIM(Table1[[#This Row],[Status]])</f>
        <v>Zaakceptowana</v>
      </c>
      <c r="G2860" s="2" t="str">
        <f>TRIM(Table1[[#This Row],[Typ]])</f>
        <v>Faktura VAT</v>
      </c>
      <c r="H2860" s="2" t="str">
        <f>TRIM(Table1[[#This Row],[Magazyn]])</f>
        <v>Apteka Szpitalna</v>
      </c>
      <c r="I2860" s="2" t="str">
        <f>TRIM(Table1[[#This Row],[Umowa]])</f>
        <v>UM-SAL-01</v>
      </c>
      <c r="J2860" s="2" t="b">
        <f>ISTEXT(Table14[[#This Row],[Data_Wystawienia]])</f>
        <v>0</v>
      </c>
      <c r="K2860" s="2">
        <f>VALUE(SUBSTITUTE(Table14[[#This Row],[Wartość]],".",","))</f>
        <v>8111.41</v>
      </c>
      <c r="L28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0" s="2" t="str">
        <f>IF(Table14[[#This Row],[Umowa]]="","Poza umową","Z umowy")</f>
        <v>Z umowy</v>
      </c>
      <c r="N2860" s="2">
        <f>YEAR(Table14[[#This Row],[Data_Wystawienia]])</f>
        <v>2024</v>
      </c>
      <c r="O2860" s="2" t="str">
        <f>TEXT(Table14[[#This Row],[Data_Wystawienia]],"rrrr-mm")</f>
        <v>2024-11</v>
      </c>
      <c r="P2860" s="2">
        <v>1</v>
      </c>
    </row>
    <row r="2861" spans="1:16" x14ac:dyDescent="0.3">
      <c r="A2861" s="2" t="str">
        <f>TRIM(Table1[[#This Row],[Numer_FV]])</f>
        <v>FV/POL/53329/2024</v>
      </c>
      <c r="B2861" s="2" t="str">
        <f>TRIM(Table1[[#This Row],[Numer_PZ]])</f>
        <v>PZ/802859</v>
      </c>
      <c r="C2861" s="2" t="str">
        <f>TRIM(Table1[[#This Row],[Dostawca]])</f>
        <v>Polmedica</v>
      </c>
      <c r="D2861" s="3">
        <v>45607</v>
      </c>
      <c r="E2861" s="4" t="s">
        <v>8446</v>
      </c>
      <c r="F2861" s="2" t="str">
        <f>TRIM(Table1[[#This Row],[Status]])</f>
        <v>Zaakceptowana</v>
      </c>
      <c r="G2861" s="2" t="str">
        <f>TRIM(Table1[[#This Row],[Typ]])</f>
        <v>Faktura VAT</v>
      </c>
      <c r="H2861" s="2" t="str">
        <f>TRIM(Table1[[#This Row],[Magazyn]])</f>
        <v>Apteka Szpitalna</v>
      </c>
      <c r="I2861" s="2" t="str">
        <f>TRIM(Table1[[#This Row],[Umowa]])</f>
        <v/>
      </c>
      <c r="J2861" s="2" t="b">
        <f>ISTEXT(Table14[[#This Row],[Data_Wystawienia]])</f>
        <v>0</v>
      </c>
      <c r="K2861" s="2">
        <f>VALUE(SUBSTITUTE(Table14[[#This Row],[Wartość]],".",","))</f>
        <v>5014.87</v>
      </c>
      <c r="L28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1" s="2" t="str">
        <f>IF(Table14[[#This Row],[Umowa]]="","Poza umową","Z umowy")</f>
        <v>Poza umową</v>
      </c>
      <c r="N2861" s="2">
        <f>YEAR(Table14[[#This Row],[Data_Wystawienia]])</f>
        <v>2024</v>
      </c>
      <c r="O2861" s="2" t="str">
        <f>TEXT(Table14[[#This Row],[Data_Wystawienia]],"rrrr-mm")</f>
        <v>2024-11</v>
      </c>
      <c r="P2861" s="2">
        <v>1</v>
      </c>
    </row>
    <row r="2862" spans="1:16" x14ac:dyDescent="0.3">
      <c r="A2862" s="2" t="str">
        <f>TRIM(Table1[[#This Row],[Numer_FV]])</f>
        <v>FV/POL/10950/2024</v>
      </c>
      <c r="B2862" s="2" t="str">
        <f>TRIM(Table1[[#This Row],[Numer_PZ]])</f>
        <v>PZ/802860</v>
      </c>
      <c r="C2862" s="2" t="str">
        <f>TRIM(Table1[[#This Row],[Dostawca]])</f>
        <v>Polmedica</v>
      </c>
      <c r="D2862" s="3">
        <v>45607</v>
      </c>
      <c r="E2862" s="4" t="s">
        <v>8449</v>
      </c>
      <c r="F2862" s="2" t="str">
        <f>TRIM(Table1[[#This Row],[Status]])</f>
        <v>Zaakceptowana</v>
      </c>
      <c r="G2862" s="2" t="str">
        <f>TRIM(Table1[[#This Row],[Typ]])</f>
        <v>Faktura VAT</v>
      </c>
      <c r="H2862" s="2" t="str">
        <f>TRIM(Table1[[#This Row],[Magazyn]])</f>
        <v>Apteka Szpitalna</v>
      </c>
      <c r="I2862" s="2" t="str">
        <f>TRIM(Table1[[#This Row],[Umowa]])</f>
        <v>UM-POL-03</v>
      </c>
      <c r="J2862" s="2" t="b">
        <f>ISTEXT(Table14[[#This Row],[Data_Wystawienia]])</f>
        <v>0</v>
      </c>
      <c r="K2862" s="2">
        <f>VALUE(SUBSTITUTE(Table14[[#This Row],[Wartość]],".",","))</f>
        <v>24129.51</v>
      </c>
      <c r="L28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2" s="2" t="str">
        <f>IF(Table14[[#This Row],[Umowa]]="","Poza umową","Z umowy")</f>
        <v>Z umowy</v>
      </c>
      <c r="N2862" s="2">
        <f>YEAR(Table14[[#This Row],[Data_Wystawienia]])</f>
        <v>2024</v>
      </c>
      <c r="O2862" s="2" t="str">
        <f>TEXT(Table14[[#This Row],[Data_Wystawienia]],"rrrr-mm")</f>
        <v>2024-11</v>
      </c>
      <c r="P2862" s="2">
        <v>1</v>
      </c>
    </row>
    <row r="2863" spans="1:16" x14ac:dyDescent="0.3">
      <c r="A2863" s="2" t="str">
        <f>TRIM(Table1[[#This Row],[Numer_FV]])</f>
        <v>FV/CENFA/747579/24</v>
      </c>
      <c r="B2863" s="2" t="str">
        <f>TRIM(Table1[[#This Row],[Numer_PZ]])</f>
        <v>PZ/802861</v>
      </c>
      <c r="C2863" s="2" t="str">
        <f>TRIM(Table1[[#This Row],[Dostawca]])</f>
        <v>CentrumFarm</v>
      </c>
      <c r="D2863" s="3">
        <v>45607</v>
      </c>
      <c r="E2863" s="4" t="s">
        <v>8452</v>
      </c>
      <c r="F2863" s="2" t="str">
        <f>TRIM(Table1[[#This Row],[Status]])</f>
        <v>Zaakceptowana</v>
      </c>
      <c r="G2863" s="2" t="str">
        <f>TRIM(Table1[[#This Row],[Typ]])</f>
        <v>Faktura VAT</v>
      </c>
      <c r="H2863" s="2" t="str">
        <f>TRIM(Table1[[#This Row],[Magazyn]])</f>
        <v>Apteka Szpitalna</v>
      </c>
      <c r="I2863" s="2" t="str">
        <f>TRIM(Table1[[#This Row],[Umowa]])</f>
        <v>UM-CEN-02</v>
      </c>
      <c r="J2863" s="2" t="b">
        <f>ISTEXT(Table14[[#This Row],[Data_Wystawienia]])</f>
        <v>0</v>
      </c>
      <c r="K2863" s="2">
        <f>VALUE(SUBSTITUTE(Table14[[#This Row],[Wartość]],".",","))</f>
        <v>13025.81</v>
      </c>
      <c r="L28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3" s="2" t="str">
        <f>IF(Table14[[#This Row],[Umowa]]="","Poza umową","Z umowy")</f>
        <v>Z umowy</v>
      </c>
      <c r="N2863" s="2">
        <f>YEAR(Table14[[#This Row],[Data_Wystawienia]])</f>
        <v>2024</v>
      </c>
      <c r="O2863" s="2" t="str">
        <f>TEXT(Table14[[#This Row],[Data_Wystawienia]],"rrrr-mm")</f>
        <v>2024-11</v>
      </c>
      <c r="P2863" s="2">
        <v>1</v>
      </c>
    </row>
    <row r="2864" spans="1:16" x14ac:dyDescent="0.3">
      <c r="A2864" s="2" t="str">
        <f>TRIM(Table1[[#This Row],[Numer_FV]])</f>
        <v>FV/99/SAL/24</v>
      </c>
      <c r="B2864" s="2" t="str">
        <f>TRIM(Table1[[#This Row],[Numer_PZ]])</f>
        <v>PZ/802862</v>
      </c>
      <c r="C2864" s="2" t="str">
        <f>TRIM(Table1[[#This Row],[Dostawca]])</f>
        <v>SalusHurt</v>
      </c>
      <c r="D2864" s="3">
        <v>45607</v>
      </c>
      <c r="E2864" s="4" t="s">
        <v>8455</v>
      </c>
      <c r="F2864" s="2" t="str">
        <f>TRIM(Table1[[#This Row],[Status]])</f>
        <v>Zaakceptowana</v>
      </c>
      <c r="G2864" s="2" t="str">
        <f>TRIM(Table1[[#This Row],[Typ]])</f>
        <v>Faktura VAT</v>
      </c>
      <c r="H2864" s="2" t="str">
        <f>TRIM(Table1[[#This Row],[Magazyn]])</f>
        <v>Apteka Szpitalna</v>
      </c>
      <c r="I2864" s="2" t="str">
        <f>TRIM(Table1[[#This Row],[Umowa]])</f>
        <v/>
      </c>
      <c r="J2864" s="2" t="b">
        <f>ISTEXT(Table14[[#This Row],[Data_Wystawienia]])</f>
        <v>0</v>
      </c>
      <c r="K2864" s="2">
        <f>VALUE(SUBSTITUTE(Table14[[#This Row],[Wartość]],".",","))</f>
        <v>24209.71</v>
      </c>
      <c r="L28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4" s="2" t="str">
        <f>IF(Table14[[#This Row],[Umowa]]="","Poza umową","Z umowy")</f>
        <v>Poza umową</v>
      </c>
      <c r="N2864" s="2">
        <f>YEAR(Table14[[#This Row],[Data_Wystawienia]])</f>
        <v>2024</v>
      </c>
      <c r="O2864" s="2" t="str">
        <f>TEXT(Table14[[#This Row],[Data_Wystawienia]],"rrrr-mm")</f>
        <v>2024-11</v>
      </c>
      <c r="P2864" s="2">
        <v>1</v>
      </c>
    </row>
    <row r="2865" spans="1:16" x14ac:dyDescent="0.3">
      <c r="A2865" s="2" t="str">
        <f>TRIM(Table1[[#This Row],[Numer_FV]])</f>
        <v>FV/CENFA/780867/24</v>
      </c>
      <c r="B2865" s="2" t="str">
        <f>TRIM(Table1[[#This Row],[Numer_PZ]])</f>
        <v>PZ/802863</v>
      </c>
      <c r="C2865" s="2" t="str">
        <f>TRIM(Table1[[#This Row],[Dostawca]])</f>
        <v>CentrumFarm</v>
      </c>
      <c r="D2865" s="3">
        <v>45607</v>
      </c>
      <c r="E2865" s="4" t="s">
        <v>8458</v>
      </c>
      <c r="F2865" s="2" t="str">
        <f>TRIM(Table1[[#This Row],[Status]])</f>
        <v>Zaakceptowana</v>
      </c>
      <c r="G2865" s="2" t="str">
        <f>TRIM(Table1[[#This Row],[Typ]])</f>
        <v>Faktura VAT</v>
      </c>
      <c r="H2865" s="2" t="str">
        <f>TRIM(Table1[[#This Row],[Magazyn]])</f>
        <v>Apteka Szpitalna</v>
      </c>
      <c r="I2865" s="2" t="str">
        <f>TRIM(Table1[[#This Row],[Umowa]])</f>
        <v>UM-CEN-02</v>
      </c>
      <c r="J2865" s="2" t="b">
        <f>ISTEXT(Table14[[#This Row],[Data_Wystawienia]])</f>
        <v>0</v>
      </c>
      <c r="K2865" s="2">
        <f>VALUE(SUBSTITUTE(Table14[[#This Row],[Wartość]],".",","))</f>
        <v>23690.77</v>
      </c>
      <c r="L28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5" s="2" t="str">
        <f>IF(Table14[[#This Row],[Umowa]]="","Poza umową","Z umowy")</f>
        <v>Z umowy</v>
      </c>
      <c r="N2865" s="2">
        <f>YEAR(Table14[[#This Row],[Data_Wystawienia]])</f>
        <v>2024</v>
      </c>
      <c r="O2865" s="2" t="str">
        <f>TEXT(Table14[[#This Row],[Data_Wystawienia]],"rrrr-mm")</f>
        <v>2024-11</v>
      </c>
      <c r="P2865" s="2">
        <v>1</v>
      </c>
    </row>
    <row r="2866" spans="1:16" x14ac:dyDescent="0.3">
      <c r="A2866" s="2" t="str">
        <f>TRIM(Table1[[#This Row],[Numer_FV]])</f>
        <v>FV/44/SAL/24</v>
      </c>
      <c r="B2866" s="2" t="str">
        <f>TRIM(Table1[[#This Row],[Numer_PZ]])</f>
        <v>PZ/802864</v>
      </c>
      <c r="C2866" s="2" t="str">
        <f>TRIM(Table1[[#This Row],[Dostawca]])</f>
        <v>SalusHurt</v>
      </c>
      <c r="D2866" s="3">
        <v>45607</v>
      </c>
      <c r="E2866" s="4" t="s">
        <v>8460</v>
      </c>
      <c r="F2866" s="2" t="str">
        <f>TRIM(Table1[[#This Row],[Status]])</f>
        <v>Zaakceptowana</v>
      </c>
      <c r="G2866" s="2" t="str">
        <f>TRIM(Table1[[#This Row],[Typ]])</f>
        <v>Faktura VAT</v>
      </c>
      <c r="H2866" s="2" t="str">
        <f>TRIM(Table1[[#This Row],[Magazyn]])</f>
        <v>Apteka Szpitalna</v>
      </c>
      <c r="I2866" s="2" t="str">
        <f>TRIM(Table1[[#This Row],[Umowa]])</f>
        <v>UM-SAL-01</v>
      </c>
      <c r="J2866" s="2" t="b">
        <f>ISTEXT(Table14[[#This Row],[Data_Wystawienia]])</f>
        <v>0</v>
      </c>
      <c r="K2866" s="2">
        <f>VALUE(SUBSTITUTE(Table14[[#This Row],[Wartość]],".",","))</f>
        <v>15955.91</v>
      </c>
      <c r="L28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6" s="2" t="str">
        <f>IF(Table14[[#This Row],[Umowa]]="","Poza umową","Z umowy")</f>
        <v>Z umowy</v>
      </c>
      <c r="N2866" s="2">
        <f>YEAR(Table14[[#This Row],[Data_Wystawienia]])</f>
        <v>2024</v>
      </c>
      <c r="O2866" s="2" t="str">
        <f>TEXT(Table14[[#This Row],[Data_Wystawienia]],"rrrr-mm")</f>
        <v>2024-11</v>
      </c>
      <c r="P2866" s="2">
        <v>1</v>
      </c>
    </row>
    <row r="2867" spans="1:16" x14ac:dyDescent="0.3">
      <c r="A2867" s="2" t="str">
        <f>TRIM(Table1[[#This Row],[Numer_FV]])</f>
        <v>FV/74/SAL/24</v>
      </c>
      <c r="B2867" s="2" t="str">
        <f>TRIM(Table1[[#This Row],[Numer_PZ]])</f>
        <v>PZ/802865</v>
      </c>
      <c r="C2867" s="2" t="str">
        <f>TRIM(Table1[[#This Row],[Dostawca]])</f>
        <v>SalusHurt</v>
      </c>
      <c r="D2867" s="3">
        <v>45607</v>
      </c>
      <c r="E2867" s="4" t="s">
        <v>8462</v>
      </c>
      <c r="F2867" s="2" t="str">
        <f>TRIM(Table1[[#This Row],[Status]])</f>
        <v>Zaakceptowana</v>
      </c>
      <c r="G2867" s="2" t="str">
        <f>TRIM(Table1[[#This Row],[Typ]])</f>
        <v>Faktura VAT</v>
      </c>
      <c r="H2867" s="2" t="str">
        <f>TRIM(Table1[[#This Row],[Magazyn]])</f>
        <v>Apteka Szpitalna</v>
      </c>
      <c r="I2867" s="2" t="str">
        <f>TRIM(Table1[[#This Row],[Umowa]])</f>
        <v>UM-SAL-01</v>
      </c>
      <c r="J2867" s="2" t="b">
        <f>ISTEXT(Table14[[#This Row],[Data_Wystawienia]])</f>
        <v>0</v>
      </c>
      <c r="K2867" s="2">
        <f>VALUE(SUBSTITUTE(Table14[[#This Row],[Wartość]],".",","))</f>
        <v>18404.150000000001</v>
      </c>
      <c r="L28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7" s="2" t="str">
        <f>IF(Table14[[#This Row],[Umowa]]="","Poza umową","Z umowy")</f>
        <v>Z umowy</v>
      </c>
      <c r="N2867" s="2">
        <f>YEAR(Table14[[#This Row],[Data_Wystawienia]])</f>
        <v>2024</v>
      </c>
      <c r="O2867" s="2" t="str">
        <f>TEXT(Table14[[#This Row],[Data_Wystawienia]],"rrrr-mm")</f>
        <v>2024-11</v>
      </c>
      <c r="P2867" s="2">
        <v>1</v>
      </c>
    </row>
    <row r="2868" spans="1:16" x14ac:dyDescent="0.3">
      <c r="A2868" s="2" t="str">
        <f>TRIM(Table1[[#This Row],[Numer_FV]])</f>
        <v>FV/54137/VDb/2024</v>
      </c>
      <c r="B2868" s="2" t="str">
        <f>TRIM(Table1[[#This Row],[Numer_PZ]])</f>
        <v>PZ/802866</v>
      </c>
      <c r="C2868" s="2" t="str">
        <f>TRIM(Table1[[#This Row],[Dostawca]])</f>
        <v>VitaDistrib</v>
      </c>
      <c r="D2868" s="3">
        <v>45607</v>
      </c>
      <c r="E2868" s="4" t="s">
        <v>8465</v>
      </c>
      <c r="F2868" s="2" t="str">
        <f>TRIM(Table1[[#This Row],[Status]])</f>
        <v>Zaakceptowana</v>
      </c>
      <c r="G2868" s="2" t="str">
        <f>TRIM(Table1[[#This Row],[Typ]])</f>
        <v>Faktura VAT</v>
      </c>
      <c r="H2868" s="2" t="str">
        <f>TRIM(Table1[[#This Row],[Magazyn]])</f>
        <v>Apteka Szpitalna</v>
      </c>
      <c r="I2868" s="2" t="str">
        <f>TRIM(Table1[[#This Row],[Umowa]])</f>
        <v>UM-VIT-01</v>
      </c>
      <c r="J2868" s="2" t="b">
        <f>ISTEXT(Table14[[#This Row],[Data_Wystawienia]])</f>
        <v>0</v>
      </c>
      <c r="K2868" s="2">
        <f>VALUE(SUBSTITUTE(Table14[[#This Row],[Wartość]],".",","))</f>
        <v>17575.7</v>
      </c>
      <c r="L28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8" s="2" t="str">
        <f>IF(Table14[[#This Row],[Umowa]]="","Poza umową","Z umowy")</f>
        <v>Z umowy</v>
      </c>
      <c r="N2868" s="2">
        <f>YEAR(Table14[[#This Row],[Data_Wystawienia]])</f>
        <v>2024</v>
      </c>
      <c r="O2868" s="2" t="str">
        <f>TEXT(Table14[[#This Row],[Data_Wystawienia]],"rrrr-mm")</f>
        <v>2024-11</v>
      </c>
      <c r="P2868" s="2">
        <v>1</v>
      </c>
    </row>
    <row r="2869" spans="1:16" x14ac:dyDescent="0.3">
      <c r="A2869" s="2" t="str">
        <f>TRIM(Table1[[#This Row],[Numer_FV]])</f>
        <v>FV/40/PP/5847/24</v>
      </c>
      <c r="B2869" s="2" t="str">
        <f>TRIM(Table1[[#This Row],[Numer_PZ]])</f>
        <v>PZ/802867</v>
      </c>
      <c r="C2869" s="2" t="str">
        <f>TRIM(Table1[[#This Row],[Dostawca]])</f>
        <v>PharmaPlus</v>
      </c>
      <c r="D2869" s="3">
        <v>45608</v>
      </c>
      <c r="E2869" s="4" t="s">
        <v>8468</v>
      </c>
      <c r="F2869" s="2" t="str">
        <f>TRIM(Table1[[#This Row],[Status]])</f>
        <v>Zaakceptowana</v>
      </c>
      <c r="G2869" s="2" t="str">
        <f>TRIM(Table1[[#This Row],[Typ]])</f>
        <v>Faktura VAT</v>
      </c>
      <c r="H2869" s="2" t="str">
        <f>TRIM(Table1[[#This Row],[Magazyn]])</f>
        <v>Apteka Szpitalna</v>
      </c>
      <c r="I2869" s="2" t="str">
        <f>TRIM(Table1[[#This Row],[Umowa]])</f>
        <v>UM-PHA-01</v>
      </c>
      <c r="J2869" s="2" t="b">
        <f>ISTEXT(Table14[[#This Row],[Data_Wystawienia]])</f>
        <v>0</v>
      </c>
      <c r="K2869" s="2">
        <f>VALUE(SUBSTITUTE(Table14[[#This Row],[Wartość]],".",","))</f>
        <v>21867.91</v>
      </c>
      <c r="L28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69" s="2" t="str">
        <f>IF(Table14[[#This Row],[Umowa]]="","Poza umową","Z umowy")</f>
        <v>Z umowy</v>
      </c>
      <c r="N2869" s="2">
        <f>YEAR(Table14[[#This Row],[Data_Wystawienia]])</f>
        <v>2024</v>
      </c>
      <c r="O2869" s="2" t="str">
        <f>TEXT(Table14[[#This Row],[Data_Wystawienia]],"rrrr-mm")</f>
        <v>2024-11</v>
      </c>
      <c r="P2869" s="2">
        <v>1</v>
      </c>
    </row>
    <row r="2870" spans="1:16" x14ac:dyDescent="0.3">
      <c r="A2870" s="2" t="str">
        <f>TRIM(Table1[[#This Row],[Numer_FV]])</f>
        <v>FV/CENFA/369488/24</v>
      </c>
      <c r="B2870" s="2" t="str">
        <f>TRIM(Table1[[#This Row],[Numer_PZ]])</f>
        <v>PZ/802868</v>
      </c>
      <c r="C2870" s="2" t="str">
        <f>TRIM(Table1[[#This Row],[Dostawca]])</f>
        <v>CentrumFarm</v>
      </c>
      <c r="D2870" s="3">
        <v>45609</v>
      </c>
      <c r="E2870" s="4" t="s">
        <v>8471</v>
      </c>
      <c r="F2870" s="2" t="str">
        <f>TRIM(Table1[[#This Row],[Status]])</f>
        <v>Zaakceptowana</v>
      </c>
      <c r="G2870" s="2" t="str">
        <f>TRIM(Table1[[#This Row],[Typ]])</f>
        <v>Faktura VAT</v>
      </c>
      <c r="H2870" s="2" t="str">
        <f>TRIM(Table1[[#This Row],[Magazyn]])</f>
        <v>Apteka Szpitalna</v>
      </c>
      <c r="I2870" s="2" t="str">
        <f>TRIM(Table1[[#This Row],[Umowa]])</f>
        <v/>
      </c>
      <c r="J2870" s="2" t="b">
        <f>ISTEXT(Table14[[#This Row],[Data_Wystawienia]])</f>
        <v>0</v>
      </c>
      <c r="K2870" s="2">
        <f>VALUE(SUBSTITUTE(Table14[[#This Row],[Wartość]],".",","))</f>
        <v>15010.81</v>
      </c>
      <c r="L28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0" s="2" t="str">
        <f>IF(Table14[[#This Row],[Umowa]]="","Poza umową","Z umowy")</f>
        <v>Poza umową</v>
      </c>
      <c r="N2870" s="2">
        <f>YEAR(Table14[[#This Row],[Data_Wystawienia]])</f>
        <v>2024</v>
      </c>
      <c r="O2870" s="2" t="str">
        <f>TEXT(Table14[[#This Row],[Data_Wystawienia]],"rrrr-mm")</f>
        <v>2024-11</v>
      </c>
      <c r="P2870" s="2">
        <v>1</v>
      </c>
    </row>
    <row r="2871" spans="1:16" x14ac:dyDescent="0.3">
      <c r="A2871" s="2" t="str">
        <f>TRIM(Table1[[#This Row],[Numer_FV]])</f>
        <v>FV/75178/VDb/2024</v>
      </c>
      <c r="B2871" s="2" t="str">
        <f>TRIM(Table1[[#This Row],[Numer_PZ]])</f>
        <v>PZ/802869</v>
      </c>
      <c r="C2871" s="2" t="str">
        <f>TRIM(Table1[[#This Row],[Dostawca]])</f>
        <v>VitaDistrib</v>
      </c>
      <c r="D2871" s="3">
        <v>45609</v>
      </c>
      <c r="E2871" s="4" t="s">
        <v>8474</v>
      </c>
      <c r="F2871" s="2" t="str">
        <f>TRIM(Table1[[#This Row],[Status]])</f>
        <v>Zaakceptowana</v>
      </c>
      <c r="G2871" s="2" t="str">
        <f>TRIM(Table1[[#This Row],[Typ]])</f>
        <v>Faktura VAT</v>
      </c>
      <c r="H2871" s="2" t="str">
        <f>TRIM(Table1[[#This Row],[Magazyn]])</f>
        <v>Apteka Szpitalna</v>
      </c>
      <c r="I2871" s="2" t="str">
        <f>TRIM(Table1[[#This Row],[Umowa]])</f>
        <v>UM-VIT-01</v>
      </c>
      <c r="J2871" s="2" t="b">
        <f>ISTEXT(Table14[[#This Row],[Data_Wystawienia]])</f>
        <v>0</v>
      </c>
      <c r="K2871" s="2">
        <f>VALUE(SUBSTITUTE(Table14[[#This Row],[Wartość]],".",","))</f>
        <v>15099.27</v>
      </c>
      <c r="L28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1" s="2" t="str">
        <f>IF(Table14[[#This Row],[Umowa]]="","Poza umową","Z umowy")</f>
        <v>Z umowy</v>
      </c>
      <c r="N2871" s="2">
        <f>YEAR(Table14[[#This Row],[Data_Wystawienia]])</f>
        <v>2024</v>
      </c>
      <c r="O2871" s="2" t="str">
        <f>TEXT(Table14[[#This Row],[Data_Wystawienia]],"rrrr-mm")</f>
        <v>2024-11</v>
      </c>
      <c r="P2871" s="2">
        <v>1</v>
      </c>
    </row>
    <row r="2872" spans="1:16" x14ac:dyDescent="0.3">
      <c r="A2872" s="2" t="str">
        <f>TRIM(Table1[[#This Row],[Numer_FV]])</f>
        <v>FV/46/SAL/24</v>
      </c>
      <c r="B2872" s="2" t="str">
        <f>TRIM(Table1[[#This Row],[Numer_PZ]])</f>
        <v>PZ/802870</v>
      </c>
      <c r="C2872" s="2" t="str">
        <f>TRIM(Table1[[#This Row],[Dostawca]])</f>
        <v>SalusHurt</v>
      </c>
      <c r="D2872" s="3">
        <v>45609</v>
      </c>
      <c r="E2872" s="4" t="s">
        <v>8476</v>
      </c>
      <c r="F2872" s="2" t="str">
        <f>TRIM(Table1[[#This Row],[Status]])</f>
        <v>Zaakceptowana</v>
      </c>
      <c r="G2872" s="2" t="str">
        <f>TRIM(Table1[[#This Row],[Typ]])</f>
        <v>Faktura VAT</v>
      </c>
      <c r="H2872" s="2" t="str">
        <f>TRIM(Table1[[#This Row],[Magazyn]])</f>
        <v>Apteka Szpitalna</v>
      </c>
      <c r="I2872" s="2" t="str">
        <f>TRIM(Table1[[#This Row],[Umowa]])</f>
        <v>UM-SAL-02</v>
      </c>
      <c r="J2872" s="2" t="b">
        <f>ISTEXT(Table14[[#This Row],[Data_Wystawienia]])</f>
        <v>0</v>
      </c>
      <c r="K2872" s="2">
        <f>VALUE(SUBSTITUTE(Table14[[#This Row],[Wartość]],".",","))</f>
        <v>19720.310000000001</v>
      </c>
      <c r="L28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2" s="2" t="str">
        <f>IF(Table14[[#This Row],[Umowa]]="","Poza umową","Z umowy")</f>
        <v>Z umowy</v>
      </c>
      <c r="N2872" s="2">
        <f>YEAR(Table14[[#This Row],[Data_Wystawienia]])</f>
        <v>2024</v>
      </c>
      <c r="O2872" s="2" t="str">
        <f>TEXT(Table14[[#This Row],[Data_Wystawienia]],"rrrr-mm")</f>
        <v>2024-11</v>
      </c>
      <c r="P2872" s="2">
        <v>1</v>
      </c>
    </row>
    <row r="2873" spans="1:16" x14ac:dyDescent="0.3">
      <c r="A2873" s="2" t="str">
        <f>TRIM(Table1[[#This Row],[Numer_FV]])</f>
        <v>FV/M/5546/P/24</v>
      </c>
      <c r="B2873" s="2" t="str">
        <f>TRIM(Table1[[#This Row],[Numer_PZ]])</f>
        <v>PZ/802871</v>
      </c>
      <c r="C2873" s="2" t="str">
        <f>TRIM(Table1[[#This Row],[Dostawca]])</f>
        <v>MedicaPharm</v>
      </c>
      <c r="D2873" s="3">
        <v>45609</v>
      </c>
      <c r="E2873" s="4" t="s">
        <v>8479</v>
      </c>
      <c r="F2873" s="2" t="str">
        <f>TRIM(Table1[[#This Row],[Status]])</f>
        <v>Zaakceptowana</v>
      </c>
      <c r="G2873" s="2" t="str">
        <f>TRIM(Table1[[#This Row],[Typ]])</f>
        <v>Faktura VAT</v>
      </c>
      <c r="H2873" s="2" t="str">
        <f>TRIM(Table1[[#This Row],[Magazyn]])</f>
        <v>Apteka Szpitalna</v>
      </c>
      <c r="I2873" s="2" t="str">
        <f>TRIM(Table1[[#This Row],[Umowa]])</f>
        <v>UM-MED-02</v>
      </c>
      <c r="J2873" s="2" t="b">
        <f>ISTEXT(Table14[[#This Row],[Data_Wystawienia]])</f>
        <v>0</v>
      </c>
      <c r="K2873" s="2">
        <f>VALUE(SUBSTITUTE(Table14[[#This Row],[Wartość]],".",","))</f>
        <v>15250.19</v>
      </c>
      <c r="L28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3" s="2" t="str">
        <f>IF(Table14[[#This Row],[Umowa]]="","Poza umową","Z umowy")</f>
        <v>Z umowy</v>
      </c>
      <c r="N2873" s="2">
        <f>YEAR(Table14[[#This Row],[Data_Wystawienia]])</f>
        <v>2024</v>
      </c>
      <c r="O2873" s="2" t="str">
        <f>TEXT(Table14[[#This Row],[Data_Wystawienia]],"rrrr-mm")</f>
        <v>2024-11</v>
      </c>
      <c r="P2873" s="2">
        <v>1</v>
      </c>
    </row>
    <row r="2874" spans="1:16" x14ac:dyDescent="0.3">
      <c r="A2874" s="2" t="str">
        <f>TRIM(Table1[[#This Row],[Numer_FV]])</f>
        <v>FV/M/5534/P/24</v>
      </c>
      <c r="B2874" s="2" t="str">
        <f>TRIM(Table1[[#This Row],[Numer_PZ]])</f>
        <v>PZ/802872</v>
      </c>
      <c r="C2874" s="2" t="str">
        <f>TRIM(Table1[[#This Row],[Dostawca]])</f>
        <v>MedicaPharm</v>
      </c>
      <c r="D2874" s="3">
        <v>45609</v>
      </c>
      <c r="E2874" s="4" t="s">
        <v>8482</v>
      </c>
      <c r="F2874" s="2" t="str">
        <f>TRIM(Table1[[#This Row],[Status]])</f>
        <v>Zaakceptowana</v>
      </c>
      <c r="G2874" s="2" t="str">
        <f>TRIM(Table1[[#This Row],[Typ]])</f>
        <v>Faktura VAT</v>
      </c>
      <c r="H2874" s="2" t="str">
        <f>TRIM(Table1[[#This Row],[Magazyn]])</f>
        <v>Apteka Szpitalna</v>
      </c>
      <c r="I2874" s="2" t="str">
        <f>TRIM(Table1[[#This Row],[Umowa]])</f>
        <v>UM-MED-01</v>
      </c>
      <c r="J2874" s="2" t="b">
        <f>ISTEXT(Table14[[#This Row],[Data_Wystawienia]])</f>
        <v>0</v>
      </c>
      <c r="K2874" s="2">
        <f>VALUE(SUBSTITUTE(Table14[[#This Row],[Wartość]],".",","))</f>
        <v>16747.2</v>
      </c>
      <c r="L28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4" s="2" t="str">
        <f>IF(Table14[[#This Row],[Umowa]]="","Poza umową","Z umowy")</f>
        <v>Z umowy</v>
      </c>
      <c r="N2874" s="2">
        <f>YEAR(Table14[[#This Row],[Data_Wystawienia]])</f>
        <v>2024</v>
      </c>
      <c r="O2874" s="2" t="str">
        <f>TEXT(Table14[[#This Row],[Data_Wystawienia]],"rrrr-mm")</f>
        <v>2024-11</v>
      </c>
      <c r="P2874" s="2">
        <v>1</v>
      </c>
    </row>
    <row r="2875" spans="1:16" x14ac:dyDescent="0.3">
      <c r="A2875" s="2" t="str">
        <f>TRIM(Table1[[#This Row],[Numer_FV]])</f>
        <v>FV/POL/54843/2024</v>
      </c>
      <c r="B2875" s="2" t="str">
        <f>TRIM(Table1[[#This Row],[Numer_PZ]])</f>
        <v>PZ/802873</v>
      </c>
      <c r="C2875" s="2" t="str">
        <f>TRIM(Table1[[#This Row],[Dostawca]])</f>
        <v>Polmedica</v>
      </c>
      <c r="D2875" s="3">
        <v>45609</v>
      </c>
      <c r="E2875" s="4" t="s">
        <v>8485</v>
      </c>
      <c r="F2875" s="2" t="str">
        <f>TRIM(Table1[[#This Row],[Status]])</f>
        <v>Zaakceptowana</v>
      </c>
      <c r="G2875" s="2" t="str">
        <f>TRIM(Table1[[#This Row],[Typ]])</f>
        <v>Faktura VAT</v>
      </c>
      <c r="H2875" s="2" t="str">
        <f>TRIM(Table1[[#This Row],[Magazyn]])</f>
        <v>Apteka Szpitalna</v>
      </c>
      <c r="I2875" s="2" t="str">
        <f>TRIM(Table1[[#This Row],[Umowa]])</f>
        <v>UM-POL-03</v>
      </c>
      <c r="J2875" s="2" t="b">
        <f>ISTEXT(Table14[[#This Row],[Data_Wystawienia]])</f>
        <v>0</v>
      </c>
      <c r="K2875" s="2">
        <f>VALUE(SUBSTITUTE(Table14[[#This Row],[Wartość]],".",","))</f>
        <v>15358.59</v>
      </c>
      <c r="L28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5" s="2" t="str">
        <f>IF(Table14[[#This Row],[Umowa]]="","Poza umową","Z umowy")</f>
        <v>Z umowy</v>
      </c>
      <c r="N2875" s="2">
        <f>YEAR(Table14[[#This Row],[Data_Wystawienia]])</f>
        <v>2024</v>
      </c>
      <c r="O2875" s="2" t="str">
        <f>TEXT(Table14[[#This Row],[Data_Wystawienia]],"rrrr-mm")</f>
        <v>2024-11</v>
      </c>
      <c r="P2875" s="2">
        <v>1</v>
      </c>
    </row>
    <row r="2876" spans="1:16" x14ac:dyDescent="0.3">
      <c r="A2876" s="2" t="str">
        <f>TRIM(Table1[[#This Row],[Numer_FV]])</f>
        <v>FV/M/1862/P/24</v>
      </c>
      <c r="B2876" s="2" t="str">
        <f>TRIM(Table1[[#This Row],[Numer_PZ]])</f>
        <v>PZ/802874</v>
      </c>
      <c r="C2876" s="2" t="str">
        <f>TRIM(Table1[[#This Row],[Dostawca]])</f>
        <v>MedicaPharm</v>
      </c>
      <c r="D2876" s="3">
        <v>45610</v>
      </c>
      <c r="E2876" s="4" t="s">
        <v>8488</v>
      </c>
      <c r="F2876" s="2" t="str">
        <f>TRIM(Table1[[#This Row],[Status]])</f>
        <v>Zaakceptowana</v>
      </c>
      <c r="G2876" s="2" t="str">
        <f>TRIM(Table1[[#This Row],[Typ]])</f>
        <v>Faktura VAT</v>
      </c>
      <c r="H2876" s="2" t="str">
        <f>TRIM(Table1[[#This Row],[Magazyn]])</f>
        <v>Apteka Szpitalna</v>
      </c>
      <c r="I2876" s="2" t="str">
        <f>TRIM(Table1[[#This Row],[Umowa]])</f>
        <v>UM-MED-01</v>
      </c>
      <c r="J2876" s="2" t="b">
        <f>ISTEXT(Table14[[#This Row],[Data_Wystawienia]])</f>
        <v>0</v>
      </c>
      <c r="K2876" s="2">
        <f>VALUE(SUBSTITUTE(Table14[[#This Row],[Wartość]],".",","))</f>
        <v>13715.68</v>
      </c>
      <c r="L28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6" s="2" t="str">
        <f>IF(Table14[[#This Row],[Umowa]]="","Poza umową","Z umowy")</f>
        <v>Z umowy</v>
      </c>
      <c r="N2876" s="2">
        <f>YEAR(Table14[[#This Row],[Data_Wystawienia]])</f>
        <v>2024</v>
      </c>
      <c r="O2876" s="2" t="str">
        <f>TEXT(Table14[[#This Row],[Data_Wystawienia]],"rrrr-mm")</f>
        <v>2024-11</v>
      </c>
      <c r="P2876" s="2">
        <v>1</v>
      </c>
    </row>
    <row r="2877" spans="1:16" x14ac:dyDescent="0.3">
      <c r="A2877" s="2" t="str">
        <f>TRIM(Table1[[#This Row],[Numer_FV]])</f>
        <v>FV/POL/53188/2024</v>
      </c>
      <c r="B2877" s="2" t="str">
        <f>TRIM(Table1[[#This Row],[Numer_PZ]])</f>
        <v>PZ/802875</v>
      </c>
      <c r="C2877" s="2" t="str">
        <f>TRIM(Table1[[#This Row],[Dostawca]])</f>
        <v>Polmedica</v>
      </c>
      <c r="D2877" s="3">
        <v>45610</v>
      </c>
      <c r="E2877" s="4" t="s">
        <v>8491</v>
      </c>
      <c r="F2877" s="2" t="str">
        <f>TRIM(Table1[[#This Row],[Status]])</f>
        <v>Zaakceptowana</v>
      </c>
      <c r="G2877" s="2" t="str">
        <f>TRIM(Table1[[#This Row],[Typ]])</f>
        <v>Faktura VAT</v>
      </c>
      <c r="H2877" s="2" t="str">
        <f>TRIM(Table1[[#This Row],[Magazyn]])</f>
        <v>Apteka Szpitalna</v>
      </c>
      <c r="I2877" s="2" t="str">
        <f>TRIM(Table1[[#This Row],[Umowa]])</f>
        <v/>
      </c>
      <c r="J2877" s="2" t="b">
        <f>ISTEXT(Table14[[#This Row],[Data_Wystawienia]])</f>
        <v>0</v>
      </c>
      <c r="K2877" s="2">
        <f>VALUE(SUBSTITUTE(Table14[[#This Row],[Wartość]],".",","))</f>
        <v>12849.04</v>
      </c>
      <c r="L28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7" s="2" t="str">
        <f>IF(Table14[[#This Row],[Umowa]]="","Poza umową","Z umowy")</f>
        <v>Poza umową</v>
      </c>
      <c r="N2877" s="2">
        <f>YEAR(Table14[[#This Row],[Data_Wystawienia]])</f>
        <v>2024</v>
      </c>
      <c r="O2877" s="2" t="str">
        <f>TEXT(Table14[[#This Row],[Data_Wystawienia]],"rrrr-mm")</f>
        <v>2024-11</v>
      </c>
      <c r="P2877" s="2">
        <v>1</v>
      </c>
    </row>
    <row r="2878" spans="1:16" x14ac:dyDescent="0.3">
      <c r="A2878" s="2" t="str">
        <f>TRIM(Table1[[#This Row],[Numer_FV]])</f>
        <v>FV/POL/20676/2024</v>
      </c>
      <c r="B2878" s="2" t="str">
        <f>TRIM(Table1[[#This Row],[Numer_PZ]])</f>
        <v>PZ/802876</v>
      </c>
      <c r="C2878" s="2" t="str">
        <f>TRIM(Table1[[#This Row],[Dostawca]])</f>
        <v>Polmedica</v>
      </c>
      <c r="D2878" s="3">
        <v>45610</v>
      </c>
      <c r="E2878" s="4" t="s">
        <v>8494</v>
      </c>
      <c r="F2878" s="2" t="str">
        <f>TRIM(Table1[[#This Row],[Status]])</f>
        <v>Zaakceptowana</v>
      </c>
      <c r="G2878" s="2" t="str">
        <f>TRIM(Table1[[#This Row],[Typ]])</f>
        <v>Faktura VAT</v>
      </c>
      <c r="H2878" s="2" t="str">
        <f>TRIM(Table1[[#This Row],[Magazyn]])</f>
        <v>Apteka Szpitalna</v>
      </c>
      <c r="I2878" s="2" t="str">
        <f>TRIM(Table1[[#This Row],[Umowa]])</f>
        <v>UM-POL-02</v>
      </c>
      <c r="J2878" s="2" t="b">
        <f>ISTEXT(Table14[[#This Row],[Data_Wystawienia]])</f>
        <v>0</v>
      </c>
      <c r="K2878" s="2">
        <f>VALUE(SUBSTITUTE(Table14[[#This Row],[Wartość]],".",","))</f>
        <v>18105.28</v>
      </c>
      <c r="L28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8" s="2" t="str">
        <f>IF(Table14[[#This Row],[Umowa]]="","Poza umową","Z umowy")</f>
        <v>Z umowy</v>
      </c>
      <c r="N2878" s="2">
        <f>YEAR(Table14[[#This Row],[Data_Wystawienia]])</f>
        <v>2024</v>
      </c>
      <c r="O2878" s="2" t="str">
        <f>TEXT(Table14[[#This Row],[Data_Wystawienia]],"rrrr-mm")</f>
        <v>2024-11</v>
      </c>
      <c r="P2878" s="2">
        <v>1</v>
      </c>
    </row>
    <row r="2879" spans="1:16" x14ac:dyDescent="0.3">
      <c r="A2879" s="2" t="str">
        <f>TRIM(Table1[[#This Row],[Numer_FV]])</f>
        <v>FV/21946/VDb/2024</v>
      </c>
      <c r="B2879" s="2" t="str">
        <f>TRIM(Table1[[#This Row],[Numer_PZ]])</f>
        <v>PZ/802877</v>
      </c>
      <c r="C2879" s="2" t="str">
        <f>TRIM(Table1[[#This Row],[Dostawca]])</f>
        <v>VitaDistrib</v>
      </c>
      <c r="D2879" s="3">
        <v>45611</v>
      </c>
      <c r="E2879" s="4" t="s">
        <v>8497</v>
      </c>
      <c r="F2879" s="2" t="str">
        <f>TRIM(Table1[[#This Row],[Status]])</f>
        <v>Zaakceptowana</v>
      </c>
      <c r="G2879" s="2" t="str">
        <f>TRIM(Table1[[#This Row],[Typ]])</f>
        <v>Faktura VAT</v>
      </c>
      <c r="H2879" s="2" t="str">
        <f>TRIM(Table1[[#This Row],[Magazyn]])</f>
        <v>Apteka Szpitalna</v>
      </c>
      <c r="I2879" s="2" t="str">
        <f>TRIM(Table1[[#This Row],[Umowa]])</f>
        <v>UM-VIT-01</v>
      </c>
      <c r="J2879" s="2" t="b">
        <f>ISTEXT(Table14[[#This Row],[Data_Wystawienia]])</f>
        <v>0</v>
      </c>
      <c r="K2879" s="2">
        <f>VALUE(SUBSTITUTE(Table14[[#This Row],[Wartość]],".",","))</f>
        <v>18336.63</v>
      </c>
      <c r="L28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79" s="2" t="str">
        <f>IF(Table14[[#This Row],[Umowa]]="","Poza umową","Z umowy")</f>
        <v>Z umowy</v>
      </c>
      <c r="N2879" s="2">
        <f>YEAR(Table14[[#This Row],[Data_Wystawienia]])</f>
        <v>2024</v>
      </c>
      <c r="O2879" s="2" t="str">
        <f>TEXT(Table14[[#This Row],[Data_Wystawienia]],"rrrr-mm")</f>
        <v>2024-11</v>
      </c>
      <c r="P2879" s="2">
        <v>1</v>
      </c>
    </row>
    <row r="2880" spans="1:16" x14ac:dyDescent="0.3">
      <c r="A2880" s="2" t="str">
        <f>TRIM(Table1[[#This Row],[Numer_FV]])</f>
        <v>FV/9209/NOVA/24</v>
      </c>
      <c r="B2880" s="2" t="str">
        <f>TRIM(Table1[[#This Row],[Numer_PZ]])</f>
        <v>PZ/802878</v>
      </c>
      <c r="C2880" s="2" t="str">
        <f>TRIM(Table1[[#This Row],[Dostawca]])</f>
        <v>NovaLek</v>
      </c>
      <c r="D2880" s="3">
        <v>45611</v>
      </c>
      <c r="E2880" s="4" t="s">
        <v>8500</v>
      </c>
      <c r="F2880" s="2" t="str">
        <f>TRIM(Table1[[#This Row],[Status]])</f>
        <v>Zaakceptowana</v>
      </c>
      <c r="G2880" s="2" t="str">
        <f>TRIM(Table1[[#This Row],[Typ]])</f>
        <v>Faktura VAT</v>
      </c>
      <c r="H2880" s="2" t="str">
        <f>TRIM(Table1[[#This Row],[Magazyn]])</f>
        <v>Apteka Szpitalna</v>
      </c>
      <c r="I2880" s="2" t="str">
        <f>TRIM(Table1[[#This Row],[Umowa]])</f>
        <v>UM-NOV-01</v>
      </c>
      <c r="J2880" s="2" t="b">
        <f>ISTEXT(Table14[[#This Row],[Data_Wystawienia]])</f>
        <v>0</v>
      </c>
      <c r="K2880" s="2">
        <f>VALUE(SUBSTITUTE(Table14[[#This Row],[Wartość]],".",","))</f>
        <v>9164.6</v>
      </c>
      <c r="L28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0" s="2" t="str">
        <f>IF(Table14[[#This Row],[Umowa]]="","Poza umową","Z umowy")</f>
        <v>Z umowy</v>
      </c>
      <c r="N2880" s="2">
        <f>YEAR(Table14[[#This Row],[Data_Wystawienia]])</f>
        <v>2024</v>
      </c>
      <c r="O2880" s="2" t="str">
        <f>TEXT(Table14[[#This Row],[Data_Wystawienia]],"rrrr-mm")</f>
        <v>2024-11</v>
      </c>
      <c r="P2880" s="2">
        <v>1</v>
      </c>
    </row>
    <row r="2881" spans="1:16" x14ac:dyDescent="0.3">
      <c r="A2881" s="2" t="str">
        <f>TRIM(Table1[[#This Row],[Numer_FV]])</f>
        <v>FV/CENFA/894392/24</v>
      </c>
      <c r="B2881" s="2" t="str">
        <f>TRIM(Table1[[#This Row],[Numer_PZ]])</f>
        <v>PZ/802879</v>
      </c>
      <c r="C2881" s="2" t="str">
        <f>TRIM(Table1[[#This Row],[Dostawca]])</f>
        <v>CentrumFarm</v>
      </c>
      <c r="D2881" s="3">
        <v>45611</v>
      </c>
      <c r="E2881" s="4" t="s">
        <v>8503</v>
      </c>
      <c r="F2881" s="2" t="str">
        <f>TRIM(Table1[[#This Row],[Status]])</f>
        <v>Zaakceptowana</v>
      </c>
      <c r="G2881" s="2" t="str">
        <f>TRIM(Table1[[#This Row],[Typ]])</f>
        <v>Faktura VAT</v>
      </c>
      <c r="H2881" s="2" t="str">
        <f>TRIM(Table1[[#This Row],[Magazyn]])</f>
        <v>Apteka Szpitalna</v>
      </c>
      <c r="I2881" s="2" t="str">
        <f>TRIM(Table1[[#This Row],[Umowa]])</f>
        <v/>
      </c>
      <c r="J2881" s="2" t="b">
        <f>ISTEXT(Table14[[#This Row],[Data_Wystawienia]])</f>
        <v>0</v>
      </c>
      <c r="K2881" s="2">
        <f>VALUE(SUBSTITUTE(Table14[[#This Row],[Wartość]],".",","))</f>
        <v>8481.77</v>
      </c>
      <c r="L28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1" s="2" t="str">
        <f>IF(Table14[[#This Row],[Umowa]]="","Poza umową","Z umowy")</f>
        <v>Poza umową</v>
      </c>
      <c r="N2881" s="2">
        <f>YEAR(Table14[[#This Row],[Data_Wystawienia]])</f>
        <v>2024</v>
      </c>
      <c r="O2881" s="2" t="str">
        <f>TEXT(Table14[[#This Row],[Data_Wystawienia]],"rrrr-mm")</f>
        <v>2024-11</v>
      </c>
      <c r="P2881" s="2">
        <v>1</v>
      </c>
    </row>
    <row r="2882" spans="1:16" x14ac:dyDescent="0.3">
      <c r="A2882" s="2" t="str">
        <f>TRIM(Table1[[#This Row],[Numer_FV]])</f>
        <v>FV/POL/63659/2024</v>
      </c>
      <c r="B2882" s="2" t="str">
        <f>TRIM(Table1[[#This Row],[Numer_PZ]])</f>
        <v>PZ/802880</v>
      </c>
      <c r="C2882" s="2" t="str">
        <f>TRIM(Table1[[#This Row],[Dostawca]])</f>
        <v>Polmedica</v>
      </c>
      <c r="D2882" s="3">
        <v>45611</v>
      </c>
      <c r="E2882" s="4" t="s">
        <v>8506</v>
      </c>
      <c r="F2882" s="2" t="str">
        <f>TRIM(Table1[[#This Row],[Status]])</f>
        <v>Zaakceptowana</v>
      </c>
      <c r="G2882" s="2" t="str">
        <f>TRIM(Table1[[#This Row],[Typ]])</f>
        <v>Faktura VAT</v>
      </c>
      <c r="H2882" s="2" t="str">
        <f>TRIM(Table1[[#This Row],[Magazyn]])</f>
        <v>Apteka Szpitalna</v>
      </c>
      <c r="I2882" s="2" t="str">
        <f>TRIM(Table1[[#This Row],[Umowa]])</f>
        <v>UM-POL-02</v>
      </c>
      <c r="J2882" s="2" t="b">
        <f>ISTEXT(Table14[[#This Row],[Data_Wystawienia]])</f>
        <v>0</v>
      </c>
      <c r="K2882" s="2">
        <f>VALUE(SUBSTITUTE(Table14[[#This Row],[Wartość]],".",","))</f>
        <v>14462.35</v>
      </c>
      <c r="L28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2" s="2" t="str">
        <f>IF(Table14[[#This Row],[Umowa]]="","Poza umową","Z umowy")</f>
        <v>Z umowy</v>
      </c>
      <c r="N2882" s="2">
        <f>YEAR(Table14[[#This Row],[Data_Wystawienia]])</f>
        <v>2024</v>
      </c>
      <c r="O2882" s="2" t="str">
        <f>TEXT(Table14[[#This Row],[Data_Wystawienia]],"rrrr-mm")</f>
        <v>2024-11</v>
      </c>
      <c r="P2882" s="2">
        <v>1</v>
      </c>
    </row>
    <row r="2883" spans="1:16" x14ac:dyDescent="0.3">
      <c r="A2883" s="2" t="str">
        <f>TRIM(Table1[[#This Row],[Numer_FV]])</f>
        <v>FV/71503/VDb/2024</v>
      </c>
      <c r="B2883" s="2" t="str">
        <f>TRIM(Table1[[#This Row],[Numer_PZ]])</f>
        <v>PZ/802881</v>
      </c>
      <c r="C2883" s="2" t="str">
        <f>TRIM(Table1[[#This Row],[Dostawca]])</f>
        <v>VitaDistrib</v>
      </c>
      <c r="D2883" s="3">
        <v>45612</v>
      </c>
      <c r="E2883" s="4" t="s">
        <v>8509</v>
      </c>
      <c r="F2883" s="2" t="str">
        <f>TRIM(Table1[[#This Row],[Status]])</f>
        <v>Zaakceptowana</v>
      </c>
      <c r="G2883" s="2" t="str">
        <f>TRIM(Table1[[#This Row],[Typ]])</f>
        <v>Faktura VAT</v>
      </c>
      <c r="H2883" s="2" t="str">
        <f>TRIM(Table1[[#This Row],[Magazyn]])</f>
        <v>Apteka Szpitalna</v>
      </c>
      <c r="I2883" s="2" t="str">
        <f>TRIM(Table1[[#This Row],[Umowa]])</f>
        <v>UM-VIT-01</v>
      </c>
      <c r="J2883" s="2" t="b">
        <f>ISTEXT(Table14[[#This Row],[Data_Wystawienia]])</f>
        <v>0</v>
      </c>
      <c r="K2883" s="2">
        <f>VALUE(SUBSTITUTE(Table14[[#This Row],[Wartość]],".",","))</f>
        <v>17812.689999999999</v>
      </c>
      <c r="L28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3" s="2" t="str">
        <f>IF(Table14[[#This Row],[Umowa]]="","Poza umową","Z umowy")</f>
        <v>Z umowy</v>
      </c>
      <c r="N2883" s="2">
        <f>YEAR(Table14[[#This Row],[Data_Wystawienia]])</f>
        <v>2024</v>
      </c>
      <c r="O2883" s="2" t="str">
        <f>TEXT(Table14[[#This Row],[Data_Wystawienia]],"rrrr-mm")</f>
        <v>2024-11</v>
      </c>
      <c r="P2883" s="2">
        <v>1</v>
      </c>
    </row>
    <row r="2884" spans="1:16" x14ac:dyDescent="0.3">
      <c r="A2884" s="2" t="str">
        <f>TRIM(Table1[[#This Row],[Numer_FV]])</f>
        <v>FV/1980HM/24</v>
      </c>
      <c r="B2884" s="2" t="str">
        <f>TRIM(Table1[[#This Row],[Numer_PZ]])</f>
        <v>PZ/802882</v>
      </c>
      <c r="C2884" s="2" t="str">
        <f>TRIM(Table1[[#This Row],[Dostawca]])</f>
        <v>HurtMedix</v>
      </c>
      <c r="D2884" s="3">
        <v>45614</v>
      </c>
      <c r="E2884" s="4" t="s">
        <v>8512</v>
      </c>
      <c r="F2884" s="2" t="str">
        <f>TRIM(Table1[[#This Row],[Status]])</f>
        <v>Zaakceptowana</v>
      </c>
      <c r="G2884" s="2" t="str">
        <f>TRIM(Table1[[#This Row],[Typ]])</f>
        <v>Faktura VAT</v>
      </c>
      <c r="H2884" s="2" t="str">
        <f>TRIM(Table1[[#This Row],[Magazyn]])</f>
        <v>Apteka Szpitalna</v>
      </c>
      <c r="I2884" s="2" t="str">
        <f>TRIM(Table1[[#This Row],[Umowa]])</f>
        <v/>
      </c>
      <c r="J2884" s="2" t="b">
        <f>ISTEXT(Table14[[#This Row],[Data_Wystawienia]])</f>
        <v>0</v>
      </c>
      <c r="K2884" s="2">
        <f>VALUE(SUBSTITUTE(Table14[[#This Row],[Wartość]],".",","))</f>
        <v>11493.59</v>
      </c>
      <c r="L28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4" s="2" t="str">
        <f>IF(Table14[[#This Row],[Umowa]]="","Poza umową","Z umowy")</f>
        <v>Poza umową</v>
      </c>
      <c r="N2884" s="2">
        <f>YEAR(Table14[[#This Row],[Data_Wystawienia]])</f>
        <v>2024</v>
      </c>
      <c r="O2884" s="2" t="str">
        <f>TEXT(Table14[[#This Row],[Data_Wystawienia]],"rrrr-mm")</f>
        <v>2024-11</v>
      </c>
      <c r="P2884" s="2">
        <v>1</v>
      </c>
    </row>
    <row r="2885" spans="1:16" x14ac:dyDescent="0.3">
      <c r="A2885" s="2" t="str">
        <f>TRIM(Table1[[#This Row],[Numer_FV]])</f>
        <v>FV/66/SAL/24</v>
      </c>
      <c r="B2885" s="2" t="str">
        <f>TRIM(Table1[[#This Row],[Numer_PZ]])</f>
        <v>PZ/802883</v>
      </c>
      <c r="C2885" s="2" t="str">
        <f>TRIM(Table1[[#This Row],[Dostawca]])</f>
        <v>SalusHurt</v>
      </c>
      <c r="D2885" s="3">
        <v>45614</v>
      </c>
      <c r="E2885" s="4" t="s">
        <v>8515</v>
      </c>
      <c r="F2885" s="2" t="str">
        <f>TRIM(Table1[[#This Row],[Status]])</f>
        <v>Zaakceptowana</v>
      </c>
      <c r="G2885" s="2" t="str">
        <f>TRIM(Table1[[#This Row],[Typ]])</f>
        <v>Faktura VAT</v>
      </c>
      <c r="H2885" s="2" t="str">
        <f>TRIM(Table1[[#This Row],[Magazyn]])</f>
        <v>Apteka Szpitalna</v>
      </c>
      <c r="I2885" s="2" t="str">
        <f>TRIM(Table1[[#This Row],[Umowa]])</f>
        <v>UM-SAL-01</v>
      </c>
      <c r="J2885" s="2" t="b">
        <f>ISTEXT(Table14[[#This Row],[Data_Wystawienia]])</f>
        <v>0</v>
      </c>
      <c r="K2885" s="2">
        <f>VALUE(SUBSTITUTE(Table14[[#This Row],[Wartość]],".",","))</f>
        <v>18874.79</v>
      </c>
      <c r="L28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5" s="2" t="str">
        <f>IF(Table14[[#This Row],[Umowa]]="","Poza umową","Z umowy")</f>
        <v>Z umowy</v>
      </c>
      <c r="N2885" s="2">
        <f>YEAR(Table14[[#This Row],[Data_Wystawienia]])</f>
        <v>2024</v>
      </c>
      <c r="O2885" s="2" t="str">
        <f>TEXT(Table14[[#This Row],[Data_Wystawienia]],"rrrr-mm")</f>
        <v>2024-11</v>
      </c>
      <c r="P2885" s="2">
        <v>1</v>
      </c>
    </row>
    <row r="2886" spans="1:16" x14ac:dyDescent="0.3">
      <c r="A2886" s="2" t="str">
        <f>TRIM(Table1[[#This Row],[Numer_FV]])</f>
        <v>FV/M/7193/P/24</v>
      </c>
      <c r="B2886" s="2" t="str">
        <f>TRIM(Table1[[#This Row],[Numer_PZ]])</f>
        <v>PZ/802884</v>
      </c>
      <c r="C2886" s="2" t="str">
        <f>TRIM(Table1[[#This Row],[Dostawca]])</f>
        <v>MedicaPharm</v>
      </c>
      <c r="D2886" s="3">
        <v>45614</v>
      </c>
      <c r="E2886" s="4" t="s">
        <v>8518</v>
      </c>
      <c r="F2886" s="2" t="str">
        <f>TRIM(Table1[[#This Row],[Status]])</f>
        <v>Zaakceptowana</v>
      </c>
      <c r="G2886" s="2" t="str">
        <f>TRIM(Table1[[#This Row],[Typ]])</f>
        <v>Faktura VAT</v>
      </c>
      <c r="H2886" s="2" t="str">
        <f>TRIM(Table1[[#This Row],[Magazyn]])</f>
        <v>Apteka Szpitalna</v>
      </c>
      <c r="I2886" s="2" t="str">
        <f>TRIM(Table1[[#This Row],[Umowa]])</f>
        <v/>
      </c>
      <c r="J2886" s="2" t="b">
        <f>ISTEXT(Table14[[#This Row],[Data_Wystawienia]])</f>
        <v>0</v>
      </c>
      <c r="K2886" s="2">
        <f>VALUE(SUBSTITUTE(Table14[[#This Row],[Wartość]],".",","))</f>
        <v>16062.57</v>
      </c>
      <c r="L28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6" s="2" t="str">
        <f>IF(Table14[[#This Row],[Umowa]]="","Poza umową","Z umowy")</f>
        <v>Poza umową</v>
      </c>
      <c r="N2886" s="2">
        <f>YEAR(Table14[[#This Row],[Data_Wystawienia]])</f>
        <v>2024</v>
      </c>
      <c r="O2886" s="2" t="str">
        <f>TEXT(Table14[[#This Row],[Data_Wystawienia]],"rrrr-mm")</f>
        <v>2024-11</v>
      </c>
      <c r="P2886" s="2">
        <v>1</v>
      </c>
    </row>
    <row r="2887" spans="1:16" x14ac:dyDescent="0.3">
      <c r="A2887" s="2" t="str">
        <f>TRIM(Table1[[#This Row],[Numer_FV]])</f>
        <v>FV/51/SAL/24</v>
      </c>
      <c r="B2887" s="2" t="str">
        <f>TRIM(Table1[[#This Row],[Numer_PZ]])</f>
        <v>PZ/802885</v>
      </c>
      <c r="C2887" s="2" t="str">
        <f>TRIM(Table1[[#This Row],[Dostawca]])</f>
        <v>SalusHurt</v>
      </c>
      <c r="D2887" s="3">
        <v>45614</v>
      </c>
      <c r="E2887" s="4" t="s">
        <v>8520</v>
      </c>
      <c r="F2887" s="2" t="str">
        <f>TRIM(Table1[[#This Row],[Status]])</f>
        <v>Zaakceptowana</v>
      </c>
      <c r="G2887" s="2" t="str">
        <f>TRIM(Table1[[#This Row],[Typ]])</f>
        <v>Faktura VAT</v>
      </c>
      <c r="H2887" s="2" t="str">
        <f>TRIM(Table1[[#This Row],[Magazyn]])</f>
        <v>Apteka Szpitalna</v>
      </c>
      <c r="I2887" s="2" t="str">
        <f>TRIM(Table1[[#This Row],[Umowa]])</f>
        <v>UM-SAL-01</v>
      </c>
      <c r="J2887" s="2" t="b">
        <f>ISTEXT(Table14[[#This Row],[Data_Wystawienia]])</f>
        <v>0</v>
      </c>
      <c r="K2887" s="2">
        <f>VALUE(SUBSTITUTE(Table14[[#This Row],[Wartość]],".",","))</f>
        <v>15146.72</v>
      </c>
      <c r="L28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7" s="2" t="str">
        <f>IF(Table14[[#This Row],[Umowa]]="","Poza umową","Z umowy")</f>
        <v>Z umowy</v>
      </c>
      <c r="N2887" s="2">
        <f>YEAR(Table14[[#This Row],[Data_Wystawienia]])</f>
        <v>2024</v>
      </c>
      <c r="O2887" s="2" t="str">
        <f>TEXT(Table14[[#This Row],[Data_Wystawienia]],"rrrr-mm")</f>
        <v>2024-11</v>
      </c>
      <c r="P2887" s="2">
        <v>1</v>
      </c>
    </row>
    <row r="2888" spans="1:16" x14ac:dyDescent="0.3">
      <c r="A2888" s="2" t="str">
        <f>TRIM(Table1[[#This Row],[Numer_FV]])</f>
        <v>FV/7857HM/24</v>
      </c>
      <c r="B2888" s="2" t="str">
        <f>TRIM(Table1[[#This Row],[Numer_PZ]])</f>
        <v>PZ/802886</v>
      </c>
      <c r="C2888" s="2" t="str">
        <f>TRIM(Table1[[#This Row],[Dostawca]])</f>
        <v>HurtMedix</v>
      </c>
      <c r="D2888" s="3">
        <v>45616</v>
      </c>
      <c r="E2888" s="4" t="s">
        <v>8523</v>
      </c>
      <c r="F2888" s="2" t="str">
        <f>TRIM(Table1[[#This Row],[Status]])</f>
        <v>Zaakceptowana</v>
      </c>
      <c r="G2888" s="2" t="str">
        <f>TRIM(Table1[[#This Row],[Typ]])</f>
        <v>Faktura VAT</v>
      </c>
      <c r="H2888" s="2" t="str">
        <f>TRIM(Table1[[#This Row],[Magazyn]])</f>
        <v>Apteka Szpitalna</v>
      </c>
      <c r="I2888" s="2" t="str">
        <f>TRIM(Table1[[#This Row],[Umowa]])</f>
        <v>UM-HUR-03</v>
      </c>
      <c r="J2888" s="2" t="b">
        <f>ISTEXT(Table14[[#This Row],[Data_Wystawienia]])</f>
        <v>0</v>
      </c>
      <c r="K2888" s="2">
        <f>VALUE(SUBSTITUTE(Table14[[#This Row],[Wartość]],".",","))</f>
        <v>17503.919999999998</v>
      </c>
      <c r="L28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8" s="2" t="str">
        <f>IF(Table14[[#This Row],[Umowa]]="","Poza umową","Z umowy")</f>
        <v>Z umowy</v>
      </c>
      <c r="N2888" s="2">
        <f>YEAR(Table14[[#This Row],[Data_Wystawienia]])</f>
        <v>2024</v>
      </c>
      <c r="O2888" s="2" t="str">
        <f>TEXT(Table14[[#This Row],[Data_Wystawienia]],"rrrr-mm")</f>
        <v>2024-11</v>
      </c>
      <c r="P2888" s="2">
        <v>1</v>
      </c>
    </row>
    <row r="2889" spans="1:16" x14ac:dyDescent="0.3">
      <c r="A2889" s="2" t="str">
        <f>TRIM(Table1[[#This Row],[Numer_FV]])</f>
        <v>FV/CENFA/631096/24</v>
      </c>
      <c r="B2889" s="2" t="str">
        <f>TRIM(Table1[[#This Row],[Numer_PZ]])</f>
        <v>PZ/802887</v>
      </c>
      <c r="C2889" s="2" t="str">
        <f>TRIM(Table1[[#This Row],[Dostawca]])</f>
        <v>CentrumFarm</v>
      </c>
      <c r="D2889" s="3">
        <v>45616</v>
      </c>
      <c r="E2889" s="4" t="s">
        <v>8526</v>
      </c>
      <c r="F2889" s="2" t="str">
        <f>TRIM(Table1[[#This Row],[Status]])</f>
        <v>Zaakceptowana</v>
      </c>
      <c r="G2889" s="2" t="str">
        <f>TRIM(Table1[[#This Row],[Typ]])</f>
        <v>Korekta FV</v>
      </c>
      <c r="H2889" s="2" t="str">
        <f>TRIM(Table1[[#This Row],[Magazyn]])</f>
        <v>Apteka Szpitalna</v>
      </c>
      <c r="I2889" s="2" t="str">
        <f>TRIM(Table1[[#This Row],[Umowa]])</f>
        <v>UM-CEN-01</v>
      </c>
      <c r="J2889" s="2" t="b">
        <f>ISTEXT(Table14[[#This Row],[Data_Wystawienia]])</f>
        <v>0</v>
      </c>
      <c r="K2889" s="2">
        <f>VALUE(SUBSTITUTE(Table14[[#This Row],[Wartość]],".",","))</f>
        <v>-1297.97</v>
      </c>
      <c r="L28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89" s="2" t="str">
        <f>IF(Table14[[#This Row],[Umowa]]="","Poza umową","Z umowy")</f>
        <v>Z umowy</v>
      </c>
      <c r="N2889" s="2">
        <f>YEAR(Table14[[#This Row],[Data_Wystawienia]])</f>
        <v>2024</v>
      </c>
      <c r="O2889" s="2" t="str">
        <f>TEXT(Table14[[#This Row],[Data_Wystawienia]],"rrrr-mm")</f>
        <v>2024-11</v>
      </c>
      <c r="P2889" s="2">
        <v>1</v>
      </c>
    </row>
    <row r="2890" spans="1:16" x14ac:dyDescent="0.3">
      <c r="A2890" s="2" t="str">
        <f>TRIM(Table1[[#This Row],[Numer_FV]])</f>
        <v>FV/71/SAL/24</v>
      </c>
      <c r="B2890" s="2" t="str">
        <f>TRIM(Table1[[#This Row],[Numer_PZ]])</f>
        <v>PZ/802888</v>
      </c>
      <c r="C2890" s="2" t="str">
        <f>TRIM(Table1[[#This Row],[Dostawca]])</f>
        <v>SalusHurt</v>
      </c>
      <c r="D2890" s="3">
        <v>45618</v>
      </c>
      <c r="E2890" s="4" t="s">
        <v>8529</v>
      </c>
      <c r="F2890" s="2" t="str">
        <f>TRIM(Table1[[#This Row],[Status]])</f>
        <v>Zaakceptowana</v>
      </c>
      <c r="G2890" s="2" t="str">
        <f>TRIM(Table1[[#This Row],[Typ]])</f>
        <v>Faktura VAT</v>
      </c>
      <c r="H2890" s="2" t="str">
        <f>TRIM(Table1[[#This Row],[Magazyn]])</f>
        <v>Apteka Szpitalna</v>
      </c>
      <c r="I2890" s="2" t="str">
        <f>TRIM(Table1[[#This Row],[Umowa]])</f>
        <v>UM-SAL-02</v>
      </c>
      <c r="J2890" s="2" t="b">
        <f>ISTEXT(Table14[[#This Row],[Data_Wystawienia]])</f>
        <v>0</v>
      </c>
      <c r="K2890" s="2">
        <f>VALUE(SUBSTITUTE(Table14[[#This Row],[Wartość]],".",","))</f>
        <v>14321.11</v>
      </c>
      <c r="L28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0" s="2" t="str">
        <f>IF(Table14[[#This Row],[Umowa]]="","Poza umową","Z umowy")</f>
        <v>Z umowy</v>
      </c>
      <c r="N2890" s="2">
        <f>YEAR(Table14[[#This Row],[Data_Wystawienia]])</f>
        <v>2024</v>
      </c>
      <c r="O2890" s="2" t="str">
        <f>TEXT(Table14[[#This Row],[Data_Wystawienia]],"rrrr-mm")</f>
        <v>2024-11</v>
      </c>
      <c r="P2890" s="2">
        <v>1</v>
      </c>
    </row>
    <row r="2891" spans="1:16" x14ac:dyDescent="0.3">
      <c r="A2891" s="2" t="str">
        <f>TRIM(Table1[[#This Row],[Numer_FV]])</f>
        <v>FV/88911/VDb/2024</v>
      </c>
      <c r="B2891" s="2" t="str">
        <f>TRIM(Table1[[#This Row],[Numer_PZ]])</f>
        <v>PZ/802889</v>
      </c>
      <c r="C2891" s="2" t="str">
        <f>TRIM(Table1[[#This Row],[Dostawca]])</f>
        <v>VitaDistrib</v>
      </c>
      <c r="D2891" s="3">
        <v>45618</v>
      </c>
      <c r="E2891" s="4" t="s">
        <v>8532</v>
      </c>
      <c r="F2891" s="2" t="str">
        <f>TRIM(Table1[[#This Row],[Status]])</f>
        <v>Zaakceptowana</v>
      </c>
      <c r="G2891" s="2" t="str">
        <f>TRIM(Table1[[#This Row],[Typ]])</f>
        <v>Faktura VAT</v>
      </c>
      <c r="H2891" s="2" t="str">
        <f>TRIM(Table1[[#This Row],[Magazyn]])</f>
        <v>Apteka Szpitalna</v>
      </c>
      <c r="I2891" s="2" t="str">
        <f>TRIM(Table1[[#This Row],[Umowa]])</f>
        <v>UM-VIT-01</v>
      </c>
      <c r="J2891" s="2" t="b">
        <f>ISTEXT(Table14[[#This Row],[Data_Wystawienia]])</f>
        <v>0</v>
      </c>
      <c r="K2891" s="2">
        <f>VALUE(SUBSTITUTE(Table14[[#This Row],[Wartość]],".",","))</f>
        <v>349.11</v>
      </c>
      <c r="L28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1" s="2" t="str">
        <f>IF(Table14[[#This Row],[Umowa]]="","Poza umową","Z umowy")</f>
        <v>Z umowy</v>
      </c>
      <c r="N2891" s="2">
        <f>YEAR(Table14[[#This Row],[Data_Wystawienia]])</f>
        <v>2024</v>
      </c>
      <c r="O2891" s="2" t="str">
        <f>TEXT(Table14[[#This Row],[Data_Wystawienia]],"rrrr-mm")</f>
        <v>2024-11</v>
      </c>
      <c r="P2891" s="2">
        <v>1</v>
      </c>
    </row>
    <row r="2892" spans="1:16" x14ac:dyDescent="0.3">
      <c r="A2892" s="2" t="str">
        <f>TRIM(Table1[[#This Row],[Numer_FV]])</f>
        <v>FV/CENFA/876969/24</v>
      </c>
      <c r="B2892" s="2" t="str">
        <f>TRIM(Table1[[#This Row],[Numer_PZ]])</f>
        <v>PZ/802890</v>
      </c>
      <c r="C2892" s="2" t="str">
        <f>TRIM(Table1[[#This Row],[Dostawca]])</f>
        <v>CentrumFarm</v>
      </c>
      <c r="D2892" s="3">
        <v>45618</v>
      </c>
      <c r="E2892" s="4" t="s">
        <v>8535</v>
      </c>
      <c r="F2892" s="2" t="str">
        <f>TRIM(Table1[[#This Row],[Status]])</f>
        <v>Zaakceptowana</v>
      </c>
      <c r="G2892" s="2" t="str">
        <f>TRIM(Table1[[#This Row],[Typ]])</f>
        <v>Faktura VAT</v>
      </c>
      <c r="H2892" s="2" t="str">
        <f>TRIM(Table1[[#This Row],[Magazyn]])</f>
        <v>Apteka Szpitalna</v>
      </c>
      <c r="I2892" s="2" t="str">
        <f>TRIM(Table1[[#This Row],[Umowa]])</f>
        <v>UM-CEN-02</v>
      </c>
      <c r="J2892" s="2" t="b">
        <f>ISTEXT(Table14[[#This Row],[Data_Wystawienia]])</f>
        <v>0</v>
      </c>
      <c r="K2892" s="2">
        <f>VALUE(SUBSTITUTE(Table14[[#This Row],[Wartość]],".",","))</f>
        <v>13264.8</v>
      </c>
      <c r="L28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2" s="2" t="str">
        <f>IF(Table14[[#This Row],[Umowa]]="","Poza umową","Z umowy")</f>
        <v>Z umowy</v>
      </c>
      <c r="N2892" s="2">
        <f>YEAR(Table14[[#This Row],[Data_Wystawienia]])</f>
        <v>2024</v>
      </c>
      <c r="O2892" s="2" t="str">
        <f>TEXT(Table14[[#This Row],[Data_Wystawienia]],"rrrr-mm")</f>
        <v>2024-11</v>
      </c>
      <c r="P2892" s="2">
        <v>1</v>
      </c>
    </row>
    <row r="2893" spans="1:16" x14ac:dyDescent="0.3">
      <c r="A2893" s="2" t="str">
        <f>TRIM(Table1[[#This Row],[Numer_FV]])</f>
        <v>FV/CENFA/719767/24</v>
      </c>
      <c r="B2893" s="2" t="str">
        <f>TRIM(Table1[[#This Row],[Numer_PZ]])</f>
        <v>PZ/802891</v>
      </c>
      <c r="C2893" s="2" t="str">
        <f>TRIM(Table1[[#This Row],[Dostawca]])</f>
        <v>CentrumFarm</v>
      </c>
      <c r="D2893" s="3">
        <v>45618</v>
      </c>
      <c r="E2893" s="4" t="s">
        <v>8538</v>
      </c>
      <c r="F2893" s="2" t="str">
        <f>TRIM(Table1[[#This Row],[Status]])</f>
        <v>Zaakceptowana</v>
      </c>
      <c r="G2893" s="2" t="str">
        <f>TRIM(Table1[[#This Row],[Typ]])</f>
        <v>Faktura VAT</v>
      </c>
      <c r="H2893" s="2" t="str">
        <f>TRIM(Table1[[#This Row],[Magazyn]])</f>
        <v>Apteka Szpitalna</v>
      </c>
      <c r="I2893" s="2" t="str">
        <f>TRIM(Table1[[#This Row],[Umowa]])</f>
        <v>UM-CEN-01</v>
      </c>
      <c r="J2893" s="2" t="b">
        <f>ISTEXT(Table14[[#This Row],[Data_Wystawienia]])</f>
        <v>0</v>
      </c>
      <c r="K2893" s="2">
        <f>VALUE(SUBSTITUTE(Table14[[#This Row],[Wartość]],".",","))</f>
        <v>14373.17</v>
      </c>
      <c r="L28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3" s="2" t="str">
        <f>IF(Table14[[#This Row],[Umowa]]="","Poza umową","Z umowy")</f>
        <v>Z umowy</v>
      </c>
      <c r="N2893" s="2">
        <f>YEAR(Table14[[#This Row],[Data_Wystawienia]])</f>
        <v>2024</v>
      </c>
      <c r="O2893" s="2" t="str">
        <f>TEXT(Table14[[#This Row],[Data_Wystawienia]],"rrrr-mm")</f>
        <v>2024-11</v>
      </c>
      <c r="P2893" s="2">
        <v>1</v>
      </c>
    </row>
    <row r="2894" spans="1:16" x14ac:dyDescent="0.3">
      <c r="A2894" s="2" t="str">
        <f>TRIM(Table1[[#This Row],[Numer_FV]])</f>
        <v>FV/3301HM/24</v>
      </c>
      <c r="B2894" s="2" t="str">
        <f>TRIM(Table1[[#This Row],[Numer_PZ]])</f>
        <v>PZ/802892</v>
      </c>
      <c r="C2894" s="2" t="str">
        <f>TRIM(Table1[[#This Row],[Dostawca]])</f>
        <v>HurtMedix</v>
      </c>
      <c r="D2894" s="3">
        <v>45619</v>
      </c>
      <c r="E2894" s="4" t="s">
        <v>8541</v>
      </c>
      <c r="F2894" s="2" t="str">
        <f>TRIM(Table1[[#This Row],[Status]])</f>
        <v>Zaakceptowana</v>
      </c>
      <c r="G2894" s="2" t="str">
        <f>TRIM(Table1[[#This Row],[Typ]])</f>
        <v>Faktura VAT</v>
      </c>
      <c r="H2894" s="2" t="str">
        <f>TRIM(Table1[[#This Row],[Magazyn]])</f>
        <v>Apteka Szpitalna</v>
      </c>
      <c r="I2894" s="2" t="str">
        <f>TRIM(Table1[[#This Row],[Umowa]])</f>
        <v>UM-HUR-01</v>
      </c>
      <c r="J2894" s="2" t="b">
        <f>ISTEXT(Table14[[#This Row],[Data_Wystawienia]])</f>
        <v>0</v>
      </c>
      <c r="K2894" s="2">
        <f>VALUE(SUBSTITUTE(Table14[[#This Row],[Wartość]],".",","))</f>
        <v>14737.28</v>
      </c>
      <c r="L28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4" s="2" t="str">
        <f>IF(Table14[[#This Row],[Umowa]]="","Poza umową","Z umowy")</f>
        <v>Z umowy</v>
      </c>
      <c r="N2894" s="2">
        <f>YEAR(Table14[[#This Row],[Data_Wystawienia]])</f>
        <v>2024</v>
      </c>
      <c r="O2894" s="2" t="str">
        <f>TEXT(Table14[[#This Row],[Data_Wystawienia]],"rrrr-mm")</f>
        <v>2024-11</v>
      </c>
      <c r="P2894" s="2">
        <v>1</v>
      </c>
    </row>
    <row r="2895" spans="1:16" x14ac:dyDescent="0.3">
      <c r="A2895" s="2" t="str">
        <f>TRIM(Table1[[#This Row],[Numer_FV]])</f>
        <v>FV/M/7342/P/24</v>
      </c>
      <c r="B2895" s="2" t="str">
        <f>TRIM(Table1[[#This Row],[Numer_PZ]])</f>
        <v>PZ/802893</v>
      </c>
      <c r="C2895" s="2" t="str">
        <f>TRIM(Table1[[#This Row],[Dostawca]])</f>
        <v>MedicaPharm</v>
      </c>
      <c r="D2895" s="3">
        <v>45619</v>
      </c>
      <c r="E2895" s="4" t="s">
        <v>8544</v>
      </c>
      <c r="F2895" s="2" t="str">
        <f>TRIM(Table1[[#This Row],[Status]])</f>
        <v>Zaakceptowana</v>
      </c>
      <c r="G2895" s="2" t="str">
        <f>TRIM(Table1[[#This Row],[Typ]])</f>
        <v>Faktura VAT</v>
      </c>
      <c r="H2895" s="2" t="str">
        <f>TRIM(Table1[[#This Row],[Magazyn]])</f>
        <v>Apteka Szpitalna</v>
      </c>
      <c r="I2895" s="2" t="str">
        <f>TRIM(Table1[[#This Row],[Umowa]])</f>
        <v>UM-MED-01</v>
      </c>
      <c r="J2895" s="2" t="b">
        <f>ISTEXT(Table14[[#This Row],[Data_Wystawienia]])</f>
        <v>0</v>
      </c>
      <c r="K2895" s="2">
        <f>VALUE(SUBSTITUTE(Table14[[#This Row],[Wartość]],".",","))</f>
        <v>22039.48</v>
      </c>
      <c r="L28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5" s="2" t="str">
        <f>IF(Table14[[#This Row],[Umowa]]="","Poza umową","Z umowy")</f>
        <v>Z umowy</v>
      </c>
      <c r="N2895" s="2">
        <f>YEAR(Table14[[#This Row],[Data_Wystawienia]])</f>
        <v>2024</v>
      </c>
      <c r="O2895" s="2" t="str">
        <f>TEXT(Table14[[#This Row],[Data_Wystawienia]],"rrrr-mm")</f>
        <v>2024-11</v>
      </c>
      <c r="P2895" s="2">
        <v>1</v>
      </c>
    </row>
    <row r="2896" spans="1:16" x14ac:dyDescent="0.3">
      <c r="A2896" s="2" t="str">
        <f>TRIM(Table1[[#This Row],[Numer_FV]])</f>
        <v>FV/7916HM/24</v>
      </c>
      <c r="B2896" s="2" t="str">
        <f>TRIM(Table1[[#This Row],[Numer_PZ]])</f>
        <v>PZ/802894</v>
      </c>
      <c r="C2896" s="2" t="str">
        <f>TRIM(Table1[[#This Row],[Dostawca]])</f>
        <v>HurtMedix</v>
      </c>
      <c r="D2896" s="3">
        <v>45620</v>
      </c>
      <c r="E2896" s="4" t="s">
        <v>8547</v>
      </c>
      <c r="F2896" s="2" t="str">
        <f>TRIM(Table1[[#This Row],[Status]])</f>
        <v>Zaakceptowana</v>
      </c>
      <c r="G2896" s="2" t="str">
        <f>TRIM(Table1[[#This Row],[Typ]])</f>
        <v>Faktura VAT</v>
      </c>
      <c r="H2896" s="2" t="str">
        <f>TRIM(Table1[[#This Row],[Magazyn]])</f>
        <v>Apteka Szpitalna</v>
      </c>
      <c r="I2896" s="2" t="str">
        <f>TRIM(Table1[[#This Row],[Umowa]])</f>
        <v>UM-HUR-02</v>
      </c>
      <c r="J2896" s="2" t="b">
        <f>ISTEXT(Table14[[#This Row],[Data_Wystawienia]])</f>
        <v>0</v>
      </c>
      <c r="K2896" s="2">
        <f>VALUE(SUBSTITUTE(Table14[[#This Row],[Wartość]],".",","))</f>
        <v>15219.89</v>
      </c>
      <c r="L28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6" s="2" t="str">
        <f>IF(Table14[[#This Row],[Umowa]]="","Poza umową","Z umowy")</f>
        <v>Z umowy</v>
      </c>
      <c r="N2896" s="2">
        <f>YEAR(Table14[[#This Row],[Data_Wystawienia]])</f>
        <v>2024</v>
      </c>
      <c r="O2896" s="2" t="str">
        <f>TEXT(Table14[[#This Row],[Data_Wystawienia]],"rrrr-mm")</f>
        <v>2024-11</v>
      </c>
      <c r="P2896" s="2">
        <v>1</v>
      </c>
    </row>
    <row r="2897" spans="1:16" x14ac:dyDescent="0.3">
      <c r="A2897" s="2" t="str">
        <f>TRIM(Table1[[#This Row],[Numer_FV]])</f>
        <v>FV/93379/VDb/2024</v>
      </c>
      <c r="B2897" s="2" t="str">
        <f>TRIM(Table1[[#This Row],[Numer_PZ]])</f>
        <v>PZ/802895</v>
      </c>
      <c r="C2897" s="2" t="str">
        <f>TRIM(Table1[[#This Row],[Dostawca]])</f>
        <v>VitaDistrib</v>
      </c>
      <c r="D2897" s="3">
        <v>45620</v>
      </c>
      <c r="E2897" s="4" t="s">
        <v>8550</v>
      </c>
      <c r="F2897" s="2" t="str">
        <f>TRIM(Table1[[#This Row],[Status]])</f>
        <v>Zaakceptowana</v>
      </c>
      <c r="G2897" s="2" t="str">
        <f>TRIM(Table1[[#This Row],[Typ]])</f>
        <v>Faktura VAT</v>
      </c>
      <c r="H2897" s="2" t="str">
        <f>TRIM(Table1[[#This Row],[Magazyn]])</f>
        <v>Apteka Szpitalna</v>
      </c>
      <c r="I2897" s="2" t="str">
        <f>TRIM(Table1[[#This Row],[Umowa]])</f>
        <v>UM-VIT-01</v>
      </c>
      <c r="J2897" s="2" t="b">
        <f>ISTEXT(Table14[[#This Row],[Data_Wystawienia]])</f>
        <v>0</v>
      </c>
      <c r="K2897" s="2">
        <f>VALUE(SUBSTITUTE(Table14[[#This Row],[Wartość]],".",","))</f>
        <v>15367.43</v>
      </c>
      <c r="L28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7" s="2" t="str">
        <f>IF(Table14[[#This Row],[Umowa]]="","Poza umową","Z umowy")</f>
        <v>Z umowy</v>
      </c>
      <c r="N2897" s="2">
        <f>YEAR(Table14[[#This Row],[Data_Wystawienia]])</f>
        <v>2024</v>
      </c>
      <c r="O2897" s="2" t="str">
        <f>TEXT(Table14[[#This Row],[Data_Wystawienia]],"rrrr-mm")</f>
        <v>2024-11</v>
      </c>
      <c r="P2897" s="2">
        <v>1</v>
      </c>
    </row>
    <row r="2898" spans="1:16" x14ac:dyDescent="0.3">
      <c r="A2898" s="2" t="str">
        <f>TRIM(Table1[[#This Row],[Numer_FV]])</f>
        <v>FV/M/2928/P/24</v>
      </c>
      <c r="B2898" s="2" t="str">
        <f>TRIM(Table1[[#This Row],[Numer_PZ]])</f>
        <v>PZ/802896</v>
      </c>
      <c r="C2898" s="2" t="str">
        <f>TRIM(Table1[[#This Row],[Dostawca]])</f>
        <v>MedicaPharm</v>
      </c>
      <c r="D2898" s="3">
        <v>45621</v>
      </c>
      <c r="E2898" s="4" t="s">
        <v>8553</v>
      </c>
      <c r="F2898" s="2" t="str">
        <f>TRIM(Table1[[#This Row],[Status]])</f>
        <v>Zaakceptowana</v>
      </c>
      <c r="G2898" s="2" t="str">
        <f>TRIM(Table1[[#This Row],[Typ]])</f>
        <v>Faktura VAT</v>
      </c>
      <c r="H2898" s="2" t="str">
        <f>TRIM(Table1[[#This Row],[Magazyn]])</f>
        <v>Apteka Szpitalna</v>
      </c>
      <c r="I2898" s="2" t="str">
        <f>TRIM(Table1[[#This Row],[Umowa]])</f>
        <v>UM-MED-01</v>
      </c>
      <c r="J2898" s="2" t="b">
        <f>ISTEXT(Table14[[#This Row],[Data_Wystawienia]])</f>
        <v>0</v>
      </c>
      <c r="K2898" s="2">
        <f>VALUE(SUBSTITUTE(Table14[[#This Row],[Wartość]],".",","))</f>
        <v>20182.78</v>
      </c>
      <c r="L28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8" s="2" t="str">
        <f>IF(Table14[[#This Row],[Umowa]]="","Poza umową","Z umowy")</f>
        <v>Z umowy</v>
      </c>
      <c r="N2898" s="2">
        <f>YEAR(Table14[[#This Row],[Data_Wystawienia]])</f>
        <v>2024</v>
      </c>
      <c r="O2898" s="2" t="str">
        <f>TEXT(Table14[[#This Row],[Data_Wystawienia]],"rrrr-mm")</f>
        <v>2024-11</v>
      </c>
      <c r="P2898" s="2">
        <v>1</v>
      </c>
    </row>
    <row r="2899" spans="1:16" x14ac:dyDescent="0.3">
      <c r="A2899" s="2" t="str">
        <f>TRIM(Table1[[#This Row],[Numer_FV]])</f>
        <v>FV/M/2442/P/24</v>
      </c>
      <c r="B2899" s="2" t="str">
        <f>TRIM(Table1[[#This Row],[Numer_PZ]])</f>
        <v>PZ/802897</v>
      </c>
      <c r="C2899" s="2" t="str">
        <f>TRIM(Table1[[#This Row],[Dostawca]])</f>
        <v>MedicaPharm</v>
      </c>
      <c r="D2899" s="3">
        <v>45622</v>
      </c>
      <c r="E2899" s="4" t="s">
        <v>8556</v>
      </c>
      <c r="F2899" s="2" t="str">
        <f>TRIM(Table1[[#This Row],[Status]])</f>
        <v>Zaakceptowana</v>
      </c>
      <c r="G2899" s="2" t="str">
        <f>TRIM(Table1[[#This Row],[Typ]])</f>
        <v>Faktura VAT</v>
      </c>
      <c r="H2899" s="2" t="str">
        <f>TRIM(Table1[[#This Row],[Magazyn]])</f>
        <v>Apteka Szpitalna</v>
      </c>
      <c r="I2899" s="2" t="str">
        <f>TRIM(Table1[[#This Row],[Umowa]])</f>
        <v/>
      </c>
      <c r="J2899" s="2" t="b">
        <f>ISTEXT(Table14[[#This Row],[Data_Wystawienia]])</f>
        <v>0</v>
      </c>
      <c r="K2899" s="2">
        <f>VALUE(SUBSTITUTE(Table14[[#This Row],[Wartość]],".",","))</f>
        <v>11135.13</v>
      </c>
      <c r="L28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899" s="2" t="str">
        <f>IF(Table14[[#This Row],[Umowa]]="","Poza umową","Z umowy")</f>
        <v>Poza umową</v>
      </c>
      <c r="N2899" s="2">
        <f>YEAR(Table14[[#This Row],[Data_Wystawienia]])</f>
        <v>2024</v>
      </c>
      <c r="O2899" s="2" t="str">
        <f>TEXT(Table14[[#This Row],[Data_Wystawienia]],"rrrr-mm")</f>
        <v>2024-11</v>
      </c>
      <c r="P2899" s="2">
        <v>1</v>
      </c>
    </row>
    <row r="2900" spans="1:16" x14ac:dyDescent="0.3">
      <c r="A2900" s="2" t="str">
        <f>TRIM(Table1[[#This Row],[Numer_FV]])</f>
        <v>FV/1797/NOVA/24</v>
      </c>
      <c r="B2900" s="2" t="str">
        <f>TRIM(Table1[[#This Row],[Numer_PZ]])</f>
        <v>PZ/802898</v>
      </c>
      <c r="C2900" s="2" t="str">
        <f>TRIM(Table1[[#This Row],[Dostawca]])</f>
        <v>NovaLek</v>
      </c>
      <c r="D2900" s="3">
        <v>45622</v>
      </c>
      <c r="E2900" s="4" t="s">
        <v>8559</v>
      </c>
      <c r="F2900" s="2" t="str">
        <f>TRIM(Table1[[#This Row],[Status]])</f>
        <v>Zaakceptowana</v>
      </c>
      <c r="G2900" s="2" t="str">
        <f>TRIM(Table1[[#This Row],[Typ]])</f>
        <v>Faktura VAT</v>
      </c>
      <c r="H2900" s="2" t="str">
        <f>TRIM(Table1[[#This Row],[Magazyn]])</f>
        <v>Apteka Szpitalna</v>
      </c>
      <c r="I2900" s="2" t="str">
        <f>TRIM(Table1[[#This Row],[Umowa]])</f>
        <v>UM-NOV-01</v>
      </c>
      <c r="J2900" s="2" t="b">
        <f>ISTEXT(Table14[[#This Row],[Data_Wystawienia]])</f>
        <v>0</v>
      </c>
      <c r="K2900" s="2">
        <f>VALUE(SUBSTITUTE(Table14[[#This Row],[Wartość]],".",","))</f>
        <v>14186.35</v>
      </c>
      <c r="L29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0" s="2" t="str">
        <f>IF(Table14[[#This Row],[Umowa]]="","Poza umową","Z umowy")</f>
        <v>Z umowy</v>
      </c>
      <c r="N2900" s="2">
        <f>YEAR(Table14[[#This Row],[Data_Wystawienia]])</f>
        <v>2024</v>
      </c>
      <c r="O2900" s="2" t="str">
        <f>TEXT(Table14[[#This Row],[Data_Wystawienia]],"rrrr-mm")</f>
        <v>2024-11</v>
      </c>
      <c r="P2900" s="2">
        <v>1</v>
      </c>
    </row>
    <row r="2901" spans="1:16" x14ac:dyDescent="0.3">
      <c r="A2901" s="2" t="str">
        <f>TRIM(Table1[[#This Row],[Numer_FV]])</f>
        <v>FV/2691HM/24</v>
      </c>
      <c r="B2901" s="2" t="str">
        <f>TRIM(Table1[[#This Row],[Numer_PZ]])</f>
        <v>PZ/802899</v>
      </c>
      <c r="C2901" s="2" t="str">
        <f>TRIM(Table1[[#This Row],[Dostawca]])</f>
        <v>HurtMedix</v>
      </c>
      <c r="D2901" s="3">
        <v>45622</v>
      </c>
      <c r="E2901" s="4" t="s">
        <v>8562</v>
      </c>
      <c r="F2901" s="2" t="str">
        <f>TRIM(Table1[[#This Row],[Status]])</f>
        <v>Zaakceptowana</v>
      </c>
      <c r="G2901" s="2" t="str">
        <f>TRIM(Table1[[#This Row],[Typ]])</f>
        <v>Faktura VAT</v>
      </c>
      <c r="H2901" s="2" t="str">
        <f>TRIM(Table1[[#This Row],[Magazyn]])</f>
        <v>Apteka Szpitalna</v>
      </c>
      <c r="I2901" s="2" t="str">
        <f>TRIM(Table1[[#This Row],[Umowa]])</f>
        <v/>
      </c>
      <c r="J2901" s="2" t="b">
        <f>ISTEXT(Table14[[#This Row],[Data_Wystawienia]])</f>
        <v>0</v>
      </c>
      <c r="K2901" s="2">
        <f>VALUE(SUBSTITUTE(Table14[[#This Row],[Wartość]],".",","))</f>
        <v>12193.43</v>
      </c>
      <c r="L29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1" s="2" t="str">
        <f>IF(Table14[[#This Row],[Umowa]]="","Poza umową","Z umowy")</f>
        <v>Poza umową</v>
      </c>
      <c r="N2901" s="2">
        <f>YEAR(Table14[[#This Row],[Data_Wystawienia]])</f>
        <v>2024</v>
      </c>
      <c r="O2901" s="2" t="str">
        <f>TEXT(Table14[[#This Row],[Data_Wystawienia]],"rrrr-mm")</f>
        <v>2024-11</v>
      </c>
      <c r="P2901" s="2">
        <v>1</v>
      </c>
    </row>
    <row r="2902" spans="1:16" x14ac:dyDescent="0.3">
      <c r="A2902" s="2" t="str">
        <f>TRIM(Table1[[#This Row],[Numer_FV]])</f>
        <v>FV/16826/VDb/2024</v>
      </c>
      <c r="B2902" s="2" t="str">
        <f>TRIM(Table1[[#This Row],[Numer_PZ]])</f>
        <v>PZ/802900</v>
      </c>
      <c r="C2902" s="2" t="str">
        <f>TRIM(Table1[[#This Row],[Dostawca]])</f>
        <v>VitaDistrib</v>
      </c>
      <c r="D2902" s="3">
        <v>45623</v>
      </c>
      <c r="E2902" s="4" t="s">
        <v>8565</v>
      </c>
      <c r="F2902" s="2" t="str">
        <f>TRIM(Table1[[#This Row],[Status]])</f>
        <v>Zaakceptowana</v>
      </c>
      <c r="G2902" s="2" t="str">
        <f>TRIM(Table1[[#This Row],[Typ]])</f>
        <v>Faktura VAT</v>
      </c>
      <c r="H2902" s="2" t="str">
        <f>TRIM(Table1[[#This Row],[Magazyn]])</f>
        <v>Apteka Szpitalna</v>
      </c>
      <c r="I2902" s="2" t="str">
        <f>TRIM(Table1[[#This Row],[Umowa]])</f>
        <v>UM-VIT-01</v>
      </c>
      <c r="J2902" s="2" t="b">
        <f>ISTEXT(Table14[[#This Row],[Data_Wystawienia]])</f>
        <v>0</v>
      </c>
      <c r="K2902" s="2">
        <f>VALUE(SUBSTITUTE(Table14[[#This Row],[Wartość]],".",","))</f>
        <v>18162.88</v>
      </c>
      <c r="L29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2" s="2" t="str">
        <f>IF(Table14[[#This Row],[Umowa]]="","Poza umową","Z umowy")</f>
        <v>Z umowy</v>
      </c>
      <c r="N2902" s="2">
        <f>YEAR(Table14[[#This Row],[Data_Wystawienia]])</f>
        <v>2024</v>
      </c>
      <c r="O2902" s="2" t="str">
        <f>TEXT(Table14[[#This Row],[Data_Wystawienia]],"rrrr-mm")</f>
        <v>2024-11</v>
      </c>
      <c r="P2902" s="2">
        <v>1</v>
      </c>
    </row>
    <row r="2903" spans="1:16" x14ac:dyDescent="0.3">
      <c r="A2903" s="2" t="str">
        <f>TRIM(Table1[[#This Row],[Numer_FV]])</f>
        <v>FV/46/SAL/24</v>
      </c>
      <c r="B2903" s="2" t="str">
        <f>TRIM(Table1[[#This Row],[Numer_PZ]])</f>
        <v>PZ/802901</v>
      </c>
      <c r="C2903" s="2" t="str">
        <f>TRIM(Table1[[#This Row],[Dostawca]])</f>
        <v>SalusHurt</v>
      </c>
      <c r="D2903" s="3">
        <v>45623</v>
      </c>
      <c r="E2903" s="4" t="s">
        <v>8567</v>
      </c>
      <c r="F2903" s="2" t="str">
        <f>TRIM(Table1[[#This Row],[Status]])</f>
        <v>Zaakceptowana</v>
      </c>
      <c r="G2903" s="2" t="str">
        <f>TRIM(Table1[[#This Row],[Typ]])</f>
        <v>Faktura VAT</v>
      </c>
      <c r="H2903" s="2" t="str">
        <f>TRIM(Table1[[#This Row],[Magazyn]])</f>
        <v>Apteka Szpitalna</v>
      </c>
      <c r="I2903" s="2" t="str">
        <f>TRIM(Table1[[#This Row],[Umowa]])</f>
        <v>UM-SAL-01</v>
      </c>
      <c r="J2903" s="2" t="b">
        <f>ISTEXT(Table14[[#This Row],[Data_Wystawienia]])</f>
        <v>0</v>
      </c>
      <c r="K2903" s="2">
        <f>VALUE(SUBSTITUTE(Table14[[#This Row],[Wartość]],".",","))</f>
        <v>18277.060000000001</v>
      </c>
      <c r="L29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3" s="2" t="str">
        <f>IF(Table14[[#This Row],[Umowa]]="","Poza umową","Z umowy")</f>
        <v>Z umowy</v>
      </c>
      <c r="N2903" s="2">
        <f>YEAR(Table14[[#This Row],[Data_Wystawienia]])</f>
        <v>2024</v>
      </c>
      <c r="O2903" s="2" t="str">
        <f>TEXT(Table14[[#This Row],[Data_Wystawienia]],"rrrr-mm")</f>
        <v>2024-11</v>
      </c>
      <c r="P2903" s="2">
        <v>1</v>
      </c>
    </row>
    <row r="2904" spans="1:16" x14ac:dyDescent="0.3">
      <c r="A2904" s="2" t="str">
        <f>TRIM(Table1[[#This Row],[Numer_FV]])</f>
        <v>FV/9756/NOVA/24</v>
      </c>
      <c r="B2904" s="2" t="str">
        <f>TRIM(Table1[[#This Row],[Numer_PZ]])</f>
        <v>PZ/802902</v>
      </c>
      <c r="C2904" s="2" t="str">
        <f>TRIM(Table1[[#This Row],[Dostawca]])</f>
        <v>NovaLek</v>
      </c>
      <c r="D2904" s="3">
        <v>45623</v>
      </c>
      <c r="E2904" s="4" t="s">
        <v>8570</v>
      </c>
      <c r="F2904" s="2" t="str">
        <f>TRIM(Table1[[#This Row],[Status]])</f>
        <v>Zaakceptowana</v>
      </c>
      <c r="G2904" s="2" t="str">
        <f>TRIM(Table1[[#This Row],[Typ]])</f>
        <v>Korekta FV</v>
      </c>
      <c r="H2904" s="2" t="str">
        <f>TRIM(Table1[[#This Row],[Magazyn]])</f>
        <v>Apteka Szpitalna</v>
      </c>
      <c r="I2904" s="2" t="str">
        <f>TRIM(Table1[[#This Row],[Umowa]])</f>
        <v>UM-NOV-03</v>
      </c>
      <c r="J2904" s="2" t="b">
        <f>ISTEXT(Table14[[#This Row],[Data_Wystawienia]])</f>
        <v>0</v>
      </c>
      <c r="K2904" s="2">
        <f>VALUE(SUBSTITUTE(Table14[[#This Row],[Wartość]],".",","))</f>
        <v>-911.47</v>
      </c>
      <c r="L29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4" s="2" t="str">
        <f>IF(Table14[[#This Row],[Umowa]]="","Poza umową","Z umowy")</f>
        <v>Z umowy</v>
      </c>
      <c r="N2904" s="2">
        <f>YEAR(Table14[[#This Row],[Data_Wystawienia]])</f>
        <v>2024</v>
      </c>
      <c r="O2904" s="2" t="str">
        <f>TEXT(Table14[[#This Row],[Data_Wystawienia]],"rrrr-mm")</f>
        <v>2024-11</v>
      </c>
      <c r="P2904" s="2">
        <v>1</v>
      </c>
    </row>
    <row r="2905" spans="1:16" x14ac:dyDescent="0.3">
      <c r="A2905" s="2" t="str">
        <f>TRIM(Table1[[#This Row],[Numer_FV]])</f>
        <v>FV/91/SAL/24</v>
      </c>
      <c r="B2905" s="2" t="str">
        <f>TRIM(Table1[[#This Row],[Numer_PZ]])</f>
        <v>PZ/802903</v>
      </c>
      <c r="C2905" s="2" t="str">
        <f>TRIM(Table1[[#This Row],[Dostawca]])</f>
        <v>SalusHurt</v>
      </c>
      <c r="D2905" s="3">
        <v>45623</v>
      </c>
      <c r="E2905" s="4" t="s">
        <v>8573</v>
      </c>
      <c r="F2905" s="2" t="str">
        <f>TRIM(Table1[[#This Row],[Status]])</f>
        <v>Zaakceptowana</v>
      </c>
      <c r="G2905" s="2" t="str">
        <f>TRIM(Table1[[#This Row],[Typ]])</f>
        <v>Faktura VAT</v>
      </c>
      <c r="H2905" s="2" t="str">
        <f>TRIM(Table1[[#This Row],[Magazyn]])</f>
        <v>Apteka Szpitalna</v>
      </c>
      <c r="I2905" s="2" t="str">
        <f>TRIM(Table1[[#This Row],[Umowa]])</f>
        <v>UM-SAL-01</v>
      </c>
      <c r="J2905" s="2" t="b">
        <f>ISTEXT(Table14[[#This Row],[Data_Wystawienia]])</f>
        <v>0</v>
      </c>
      <c r="K2905" s="2">
        <f>VALUE(SUBSTITUTE(Table14[[#This Row],[Wartość]],".",","))</f>
        <v>13763.25</v>
      </c>
      <c r="L29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5" s="2" t="str">
        <f>IF(Table14[[#This Row],[Umowa]]="","Poza umową","Z umowy")</f>
        <v>Z umowy</v>
      </c>
      <c r="N2905" s="2">
        <f>YEAR(Table14[[#This Row],[Data_Wystawienia]])</f>
        <v>2024</v>
      </c>
      <c r="O2905" s="2" t="str">
        <f>TEXT(Table14[[#This Row],[Data_Wystawienia]],"rrrr-mm")</f>
        <v>2024-11</v>
      </c>
      <c r="P2905" s="2">
        <v>1</v>
      </c>
    </row>
    <row r="2906" spans="1:16" x14ac:dyDescent="0.3">
      <c r="A2906" s="2" t="str">
        <f>TRIM(Table1[[#This Row],[Numer_FV]])</f>
        <v>FV/8464/NOVA/24</v>
      </c>
      <c r="B2906" s="2" t="str">
        <f>TRIM(Table1[[#This Row],[Numer_PZ]])</f>
        <v>PZ/802904</v>
      </c>
      <c r="C2906" s="2" t="str">
        <f>TRIM(Table1[[#This Row],[Dostawca]])</f>
        <v>NovaLek</v>
      </c>
      <c r="D2906" s="3">
        <v>45624</v>
      </c>
      <c r="E2906" s="4" t="s">
        <v>8576</v>
      </c>
      <c r="F2906" s="2" t="str">
        <f>TRIM(Table1[[#This Row],[Status]])</f>
        <v>Zaakceptowana</v>
      </c>
      <c r="G2906" s="2" t="str">
        <f>TRIM(Table1[[#This Row],[Typ]])</f>
        <v>Faktura VAT</v>
      </c>
      <c r="H2906" s="2" t="str">
        <f>TRIM(Table1[[#This Row],[Magazyn]])</f>
        <v>Apteka Szpitalna</v>
      </c>
      <c r="I2906" s="2" t="str">
        <f>TRIM(Table1[[#This Row],[Umowa]])</f>
        <v>UM-NOV-01</v>
      </c>
      <c r="J2906" s="2" t="b">
        <f>ISTEXT(Table14[[#This Row],[Data_Wystawienia]])</f>
        <v>0</v>
      </c>
      <c r="K2906" s="2">
        <f>VALUE(SUBSTITUTE(Table14[[#This Row],[Wartość]],".",","))</f>
        <v>14619.64</v>
      </c>
      <c r="L29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6" s="2" t="str">
        <f>IF(Table14[[#This Row],[Umowa]]="","Poza umową","Z umowy")</f>
        <v>Z umowy</v>
      </c>
      <c r="N2906" s="2">
        <f>YEAR(Table14[[#This Row],[Data_Wystawienia]])</f>
        <v>2024</v>
      </c>
      <c r="O2906" s="2" t="str">
        <f>TEXT(Table14[[#This Row],[Data_Wystawienia]],"rrrr-mm")</f>
        <v>2024-11</v>
      </c>
      <c r="P2906" s="2">
        <v>1</v>
      </c>
    </row>
    <row r="2907" spans="1:16" x14ac:dyDescent="0.3">
      <c r="A2907" s="2" t="str">
        <f>TRIM(Table1[[#This Row],[Numer_FV]])</f>
        <v>FV/POL/51381/2024</v>
      </c>
      <c r="B2907" s="2" t="str">
        <f>TRIM(Table1[[#This Row],[Numer_PZ]])</f>
        <v>PZ/802905</v>
      </c>
      <c r="C2907" s="2" t="str">
        <f>TRIM(Table1[[#This Row],[Dostawca]])</f>
        <v>Polmedica</v>
      </c>
      <c r="D2907" s="3">
        <v>45624</v>
      </c>
      <c r="E2907" s="4" t="s">
        <v>8579</v>
      </c>
      <c r="F2907" s="2" t="str">
        <f>TRIM(Table1[[#This Row],[Status]])</f>
        <v>Zaakceptowana</v>
      </c>
      <c r="G2907" s="2" t="str">
        <f>TRIM(Table1[[#This Row],[Typ]])</f>
        <v>Faktura VAT</v>
      </c>
      <c r="H2907" s="2" t="str">
        <f>TRIM(Table1[[#This Row],[Magazyn]])</f>
        <v>Apteka Szpitalna</v>
      </c>
      <c r="I2907" s="2" t="str">
        <f>TRIM(Table1[[#This Row],[Umowa]])</f>
        <v>UM-POL-02</v>
      </c>
      <c r="J2907" s="2" t="b">
        <f>ISTEXT(Table14[[#This Row],[Data_Wystawienia]])</f>
        <v>0</v>
      </c>
      <c r="K2907" s="2">
        <f>VALUE(SUBSTITUTE(Table14[[#This Row],[Wartość]],".",","))</f>
        <v>14222.23</v>
      </c>
      <c r="L290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7" s="2" t="str">
        <f>IF(Table14[[#This Row],[Umowa]]="","Poza umową","Z umowy")</f>
        <v>Z umowy</v>
      </c>
      <c r="N2907" s="2">
        <f>YEAR(Table14[[#This Row],[Data_Wystawienia]])</f>
        <v>2024</v>
      </c>
      <c r="O2907" s="2" t="str">
        <f>TEXT(Table14[[#This Row],[Data_Wystawienia]],"rrrr-mm")</f>
        <v>2024-11</v>
      </c>
      <c r="P2907" s="2">
        <v>1</v>
      </c>
    </row>
    <row r="2908" spans="1:16" x14ac:dyDescent="0.3">
      <c r="A2908" s="2" t="str">
        <f>TRIM(Table1[[#This Row],[Numer_FV]])</f>
        <v>FV/CENFA/966495/24</v>
      </c>
      <c r="B2908" s="2" t="str">
        <f>TRIM(Table1[[#This Row],[Numer_PZ]])</f>
        <v>PZ/802906</v>
      </c>
      <c r="C2908" s="2" t="str">
        <f>TRIM(Table1[[#This Row],[Dostawca]])</f>
        <v>CentrumFarm</v>
      </c>
      <c r="D2908" s="3">
        <v>45625</v>
      </c>
      <c r="E2908" s="4" t="s">
        <v>8582</v>
      </c>
      <c r="F2908" s="2" t="str">
        <f>TRIM(Table1[[#This Row],[Status]])</f>
        <v>Zaakceptowana</v>
      </c>
      <c r="G2908" s="2" t="str">
        <f>TRIM(Table1[[#This Row],[Typ]])</f>
        <v>Faktura VAT</v>
      </c>
      <c r="H2908" s="2" t="str">
        <f>TRIM(Table1[[#This Row],[Magazyn]])</f>
        <v>Apteka Szpitalna</v>
      </c>
      <c r="I2908" s="2" t="str">
        <f>TRIM(Table1[[#This Row],[Umowa]])</f>
        <v>UM-CEN-01</v>
      </c>
      <c r="J2908" s="2" t="b">
        <f>ISTEXT(Table14[[#This Row],[Data_Wystawienia]])</f>
        <v>0</v>
      </c>
      <c r="K2908" s="2">
        <f>VALUE(SUBSTITUTE(Table14[[#This Row],[Wartość]],".",","))</f>
        <v>16888.45</v>
      </c>
      <c r="L290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8" s="2" t="str">
        <f>IF(Table14[[#This Row],[Umowa]]="","Poza umową","Z umowy")</f>
        <v>Z umowy</v>
      </c>
      <c r="N2908" s="2">
        <f>YEAR(Table14[[#This Row],[Data_Wystawienia]])</f>
        <v>2024</v>
      </c>
      <c r="O2908" s="2" t="str">
        <f>TEXT(Table14[[#This Row],[Data_Wystawienia]],"rrrr-mm")</f>
        <v>2024-11</v>
      </c>
      <c r="P2908" s="2">
        <v>1</v>
      </c>
    </row>
    <row r="2909" spans="1:16" x14ac:dyDescent="0.3">
      <c r="A2909" s="2" t="str">
        <f>TRIM(Table1[[#This Row],[Numer_FV]])</f>
        <v>FV/84/SAL/24</v>
      </c>
      <c r="B2909" s="2" t="str">
        <f>TRIM(Table1[[#This Row],[Numer_PZ]])</f>
        <v>PZ/802907</v>
      </c>
      <c r="C2909" s="2" t="str">
        <f>TRIM(Table1[[#This Row],[Dostawca]])</f>
        <v>SalusHurt</v>
      </c>
      <c r="D2909" s="3">
        <v>45625</v>
      </c>
      <c r="E2909" s="4" t="s">
        <v>8585</v>
      </c>
      <c r="F2909" s="2" t="str">
        <f>TRIM(Table1[[#This Row],[Status]])</f>
        <v>Zaakceptowana</v>
      </c>
      <c r="G2909" s="2" t="str">
        <f>TRIM(Table1[[#This Row],[Typ]])</f>
        <v>Faktura VAT</v>
      </c>
      <c r="H2909" s="2" t="str">
        <f>TRIM(Table1[[#This Row],[Magazyn]])</f>
        <v>Apteka Szpitalna</v>
      </c>
      <c r="I2909" s="2" t="str">
        <f>TRIM(Table1[[#This Row],[Umowa]])</f>
        <v>UM-SAL-02</v>
      </c>
      <c r="J2909" s="2" t="b">
        <f>ISTEXT(Table14[[#This Row],[Data_Wystawienia]])</f>
        <v>0</v>
      </c>
      <c r="K2909" s="2">
        <f>VALUE(SUBSTITUTE(Table14[[#This Row],[Wartość]],".",","))</f>
        <v>13483.34</v>
      </c>
      <c r="L290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09" s="2" t="str">
        <f>IF(Table14[[#This Row],[Umowa]]="","Poza umową","Z umowy")</f>
        <v>Z umowy</v>
      </c>
      <c r="N2909" s="2">
        <f>YEAR(Table14[[#This Row],[Data_Wystawienia]])</f>
        <v>2024</v>
      </c>
      <c r="O2909" s="2" t="str">
        <f>TEXT(Table14[[#This Row],[Data_Wystawienia]],"rrrr-mm")</f>
        <v>2024-11</v>
      </c>
      <c r="P2909" s="2">
        <v>1</v>
      </c>
    </row>
    <row r="2910" spans="1:16" x14ac:dyDescent="0.3">
      <c r="A2910" s="2" t="str">
        <f>TRIM(Table1[[#This Row],[Numer_FV]])</f>
        <v>FV/9408/NOVA/24</v>
      </c>
      <c r="B2910" s="2" t="str">
        <f>TRIM(Table1[[#This Row],[Numer_PZ]])</f>
        <v>PZ/802908</v>
      </c>
      <c r="C2910" s="2" t="str">
        <f>TRIM(Table1[[#This Row],[Dostawca]])</f>
        <v>NovaLek</v>
      </c>
      <c r="D2910" s="3">
        <v>45625</v>
      </c>
      <c r="E2910" s="4" t="s">
        <v>8588</v>
      </c>
      <c r="F2910" s="2" t="str">
        <f>TRIM(Table1[[#This Row],[Status]])</f>
        <v>Zaakceptowana</v>
      </c>
      <c r="G2910" s="2" t="str">
        <f>TRIM(Table1[[#This Row],[Typ]])</f>
        <v>Faktura VAT</v>
      </c>
      <c r="H2910" s="2" t="str">
        <f>TRIM(Table1[[#This Row],[Magazyn]])</f>
        <v>Apteka Szpitalna</v>
      </c>
      <c r="I2910" s="2" t="str">
        <f>TRIM(Table1[[#This Row],[Umowa]])</f>
        <v>UM-NOV-03</v>
      </c>
      <c r="J2910" s="2" t="b">
        <f>ISTEXT(Table14[[#This Row],[Data_Wystawienia]])</f>
        <v>0</v>
      </c>
      <c r="K2910" s="2">
        <f>VALUE(SUBSTITUTE(Table14[[#This Row],[Wartość]],".",","))</f>
        <v>20445.669999999998</v>
      </c>
      <c r="L291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0" s="2" t="str">
        <f>IF(Table14[[#This Row],[Umowa]]="","Poza umową","Z umowy")</f>
        <v>Z umowy</v>
      </c>
      <c r="N2910" s="2">
        <f>YEAR(Table14[[#This Row],[Data_Wystawienia]])</f>
        <v>2024</v>
      </c>
      <c r="O2910" s="2" t="str">
        <f>TEXT(Table14[[#This Row],[Data_Wystawienia]],"rrrr-mm")</f>
        <v>2024-11</v>
      </c>
      <c r="P2910" s="2">
        <v>1</v>
      </c>
    </row>
    <row r="2911" spans="1:16" x14ac:dyDescent="0.3">
      <c r="A2911" s="2" t="str">
        <f>TRIM(Table1[[#This Row],[Numer_FV]])</f>
        <v>FV/8113/NOVA/24</v>
      </c>
      <c r="B2911" s="2" t="str">
        <f>TRIM(Table1[[#This Row],[Numer_PZ]])</f>
        <v>PZ/802909</v>
      </c>
      <c r="C2911" s="2" t="str">
        <f>TRIM(Table1[[#This Row],[Dostawca]])</f>
        <v>NovaLek</v>
      </c>
      <c r="D2911" s="3">
        <v>45627</v>
      </c>
      <c r="E2911" s="4" t="s">
        <v>8591</v>
      </c>
      <c r="F2911" s="2" t="str">
        <f>TRIM(Table1[[#This Row],[Status]])</f>
        <v>Zaakceptowana</v>
      </c>
      <c r="G2911" s="2" t="str">
        <f>TRIM(Table1[[#This Row],[Typ]])</f>
        <v>Faktura VAT</v>
      </c>
      <c r="H2911" s="2" t="str">
        <f>TRIM(Table1[[#This Row],[Magazyn]])</f>
        <v>Apteka Szpitalna</v>
      </c>
      <c r="I2911" s="2" t="str">
        <f>TRIM(Table1[[#This Row],[Umowa]])</f>
        <v>UM-NOV-02</v>
      </c>
      <c r="J2911" s="2" t="b">
        <f>ISTEXT(Table14[[#This Row],[Data_Wystawienia]])</f>
        <v>0</v>
      </c>
      <c r="K2911" s="2">
        <f>VALUE(SUBSTITUTE(Table14[[#This Row],[Wartość]],".",","))</f>
        <v>18920.36</v>
      </c>
      <c r="L291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1" s="2" t="str">
        <f>IF(Table14[[#This Row],[Umowa]]="","Poza umową","Z umowy")</f>
        <v>Z umowy</v>
      </c>
      <c r="N2911" s="2">
        <f>YEAR(Table14[[#This Row],[Data_Wystawienia]])</f>
        <v>2024</v>
      </c>
      <c r="O2911" s="2" t="str">
        <f>TEXT(Table14[[#This Row],[Data_Wystawienia]],"rrrr-mm")</f>
        <v>2024-12</v>
      </c>
      <c r="P2911" s="2">
        <v>1</v>
      </c>
    </row>
    <row r="2912" spans="1:16" x14ac:dyDescent="0.3">
      <c r="A2912" s="2" t="str">
        <f>TRIM(Table1[[#This Row],[Numer_FV]])</f>
        <v>FV/4698HM/24</v>
      </c>
      <c r="B2912" s="2" t="str">
        <f>TRIM(Table1[[#This Row],[Numer_PZ]])</f>
        <v>PZ/802910</v>
      </c>
      <c r="C2912" s="2" t="str">
        <f>TRIM(Table1[[#This Row],[Dostawca]])</f>
        <v>HurtMedix</v>
      </c>
      <c r="D2912" s="3">
        <v>45627</v>
      </c>
      <c r="E2912" s="4" t="s">
        <v>8594</v>
      </c>
      <c r="F2912" s="2" t="str">
        <f>TRIM(Table1[[#This Row],[Status]])</f>
        <v>Zaakceptowana</v>
      </c>
      <c r="G2912" s="2" t="str">
        <f>TRIM(Table1[[#This Row],[Typ]])</f>
        <v>Faktura VAT</v>
      </c>
      <c r="H2912" s="2" t="str">
        <f>TRIM(Table1[[#This Row],[Magazyn]])</f>
        <v>Apteka Szpitalna</v>
      </c>
      <c r="I2912" s="2" t="str">
        <f>TRIM(Table1[[#This Row],[Umowa]])</f>
        <v>UM-HUR-03</v>
      </c>
      <c r="J2912" s="2" t="b">
        <f>ISTEXT(Table14[[#This Row],[Data_Wystawienia]])</f>
        <v>0</v>
      </c>
      <c r="K2912" s="2">
        <f>VALUE(SUBSTITUTE(Table14[[#This Row],[Wartość]],".",","))</f>
        <v>17958.2</v>
      </c>
      <c r="L291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2" s="2" t="str">
        <f>IF(Table14[[#This Row],[Umowa]]="","Poza umową","Z umowy")</f>
        <v>Z umowy</v>
      </c>
      <c r="N2912" s="2">
        <f>YEAR(Table14[[#This Row],[Data_Wystawienia]])</f>
        <v>2024</v>
      </c>
      <c r="O2912" s="2" t="str">
        <f>TEXT(Table14[[#This Row],[Data_Wystawienia]],"rrrr-mm")</f>
        <v>2024-12</v>
      </c>
      <c r="P2912" s="2">
        <v>1</v>
      </c>
    </row>
    <row r="2913" spans="1:16" x14ac:dyDescent="0.3">
      <c r="A2913" s="2" t="str">
        <f>TRIM(Table1[[#This Row],[Numer_FV]])</f>
        <v>FV/63/PP/7573/24</v>
      </c>
      <c r="B2913" s="2" t="str">
        <f>TRIM(Table1[[#This Row],[Numer_PZ]])</f>
        <v>PZ/802911</v>
      </c>
      <c r="C2913" s="2" t="str">
        <f>TRIM(Table1[[#This Row],[Dostawca]])</f>
        <v>PharmaPlus</v>
      </c>
      <c r="D2913" s="3">
        <v>45627</v>
      </c>
      <c r="E2913" s="4" t="s">
        <v>8597</v>
      </c>
      <c r="F2913" s="2" t="str">
        <f>TRIM(Table1[[#This Row],[Status]])</f>
        <v>Zaakceptowana</v>
      </c>
      <c r="G2913" s="2" t="str">
        <f>TRIM(Table1[[#This Row],[Typ]])</f>
        <v>Faktura VAT</v>
      </c>
      <c r="H2913" s="2" t="str">
        <f>TRIM(Table1[[#This Row],[Magazyn]])</f>
        <v>Apteka Szpitalna</v>
      </c>
      <c r="I2913" s="2" t="str">
        <f>TRIM(Table1[[#This Row],[Umowa]])</f>
        <v>UM-PHA-02</v>
      </c>
      <c r="J2913" s="2" t="b">
        <f>ISTEXT(Table14[[#This Row],[Data_Wystawienia]])</f>
        <v>0</v>
      </c>
      <c r="K2913" s="2">
        <f>VALUE(SUBSTITUTE(Table14[[#This Row],[Wartość]],".",","))</f>
        <v>22181.54</v>
      </c>
      <c r="L291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3" s="2" t="str">
        <f>IF(Table14[[#This Row],[Umowa]]="","Poza umową","Z umowy")</f>
        <v>Z umowy</v>
      </c>
      <c r="N2913" s="2">
        <f>YEAR(Table14[[#This Row],[Data_Wystawienia]])</f>
        <v>2024</v>
      </c>
      <c r="O2913" s="2" t="str">
        <f>TEXT(Table14[[#This Row],[Data_Wystawienia]],"rrrr-mm")</f>
        <v>2024-12</v>
      </c>
      <c r="P2913" s="2">
        <v>1</v>
      </c>
    </row>
    <row r="2914" spans="1:16" x14ac:dyDescent="0.3">
      <c r="A2914" s="2" t="str">
        <f>TRIM(Table1[[#This Row],[Numer_FV]])</f>
        <v>FV/88139/VDb/2024</v>
      </c>
      <c r="B2914" s="2" t="str">
        <f>TRIM(Table1[[#This Row],[Numer_PZ]])</f>
        <v>PZ/802912</v>
      </c>
      <c r="C2914" s="2" t="str">
        <f>TRIM(Table1[[#This Row],[Dostawca]])</f>
        <v>VitaDistrib</v>
      </c>
      <c r="D2914" s="3">
        <v>45628</v>
      </c>
      <c r="E2914" s="4" t="s">
        <v>8600</v>
      </c>
      <c r="F2914" s="2" t="str">
        <f>TRIM(Table1[[#This Row],[Status]])</f>
        <v>Zaakceptowana</v>
      </c>
      <c r="G2914" s="2" t="str">
        <f>TRIM(Table1[[#This Row],[Typ]])</f>
        <v>Korekta FV</v>
      </c>
      <c r="H2914" s="2" t="str">
        <f>TRIM(Table1[[#This Row],[Magazyn]])</f>
        <v>Apteka Szpitalna</v>
      </c>
      <c r="I2914" s="2" t="str">
        <f>TRIM(Table1[[#This Row],[Umowa]])</f>
        <v>UM-VIT-01</v>
      </c>
      <c r="J2914" s="2" t="b">
        <f>ISTEXT(Table14[[#This Row],[Data_Wystawienia]])</f>
        <v>0</v>
      </c>
      <c r="K2914" s="2">
        <f>VALUE(SUBSTITUTE(Table14[[#This Row],[Wartość]],".",","))</f>
        <v>-1388.38</v>
      </c>
      <c r="L291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4" s="2" t="str">
        <f>IF(Table14[[#This Row],[Umowa]]="","Poza umową","Z umowy")</f>
        <v>Z umowy</v>
      </c>
      <c r="N2914" s="2">
        <f>YEAR(Table14[[#This Row],[Data_Wystawienia]])</f>
        <v>2024</v>
      </c>
      <c r="O2914" s="2" t="str">
        <f>TEXT(Table14[[#This Row],[Data_Wystawienia]],"rrrr-mm")</f>
        <v>2024-12</v>
      </c>
      <c r="P2914" s="2">
        <v>1</v>
      </c>
    </row>
    <row r="2915" spans="1:16" x14ac:dyDescent="0.3">
      <c r="A2915" s="2" t="str">
        <f>TRIM(Table1[[#This Row],[Numer_FV]])</f>
        <v>FV/M/4195/P/24</v>
      </c>
      <c r="B2915" s="2" t="str">
        <f>TRIM(Table1[[#This Row],[Numer_PZ]])</f>
        <v>PZ/802913</v>
      </c>
      <c r="C2915" s="2" t="str">
        <f>TRIM(Table1[[#This Row],[Dostawca]])</f>
        <v>MedicaPharm</v>
      </c>
      <c r="D2915" s="3">
        <v>45628</v>
      </c>
      <c r="E2915" s="4" t="s">
        <v>8603</v>
      </c>
      <c r="F2915" s="2" t="str">
        <f>TRIM(Table1[[#This Row],[Status]])</f>
        <v>Zaakceptowana</v>
      </c>
      <c r="G2915" s="2" t="str">
        <f>TRIM(Table1[[#This Row],[Typ]])</f>
        <v>Faktura VAT</v>
      </c>
      <c r="H2915" s="2" t="str">
        <f>TRIM(Table1[[#This Row],[Magazyn]])</f>
        <v>Apteka Szpitalna</v>
      </c>
      <c r="I2915" s="2" t="str">
        <f>TRIM(Table1[[#This Row],[Umowa]])</f>
        <v>UM-MED-01</v>
      </c>
      <c r="J2915" s="2" t="b">
        <f>ISTEXT(Table14[[#This Row],[Data_Wystawienia]])</f>
        <v>0</v>
      </c>
      <c r="K2915" s="2">
        <f>VALUE(SUBSTITUTE(Table14[[#This Row],[Wartość]],".",","))</f>
        <v>20900.990000000002</v>
      </c>
      <c r="L291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5" s="2" t="str">
        <f>IF(Table14[[#This Row],[Umowa]]="","Poza umową","Z umowy")</f>
        <v>Z umowy</v>
      </c>
      <c r="N2915" s="2">
        <f>YEAR(Table14[[#This Row],[Data_Wystawienia]])</f>
        <v>2024</v>
      </c>
      <c r="O2915" s="2" t="str">
        <f>TEXT(Table14[[#This Row],[Data_Wystawienia]],"rrrr-mm")</f>
        <v>2024-12</v>
      </c>
      <c r="P2915" s="2">
        <v>1</v>
      </c>
    </row>
    <row r="2916" spans="1:16" x14ac:dyDescent="0.3">
      <c r="A2916" s="2" t="str">
        <f>TRIM(Table1[[#This Row],[Numer_FV]])</f>
        <v>FV/91/PP/8816/24</v>
      </c>
      <c r="B2916" s="2" t="str">
        <f>TRIM(Table1[[#This Row],[Numer_PZ]])</f>
        <v>PZ/802914</v>
      </c>
      <c r="C2916" s="2" t="str">
        <f>TRIM(Table1[[#This Row],[Dostawca]])</f>
        <v>PharmaPlus</v>
      </c>
      <c r="D2916" s="3">
        <v>45628</v>
      </c>
      <c r="E2916" s="4" t="s">
        <v>8606</v>
      </c>
      <c r="F2916" s="2" t="str">
        <f>TRIM(Table1[[#This Row],[Status]])</f>
        <v>Zaakceptowana</v>
      </c>
      <c r="G2916" s="2" t="str">
        <f>TRIM(Table1[[#This Row],[Typ]])</f>
        <v>Korekta FV</v>
      </c>
      <c r="H2916" s="2" t="str">
        <f>TRIM(Table1[[#This Row],[Magazyn]])</f>
        <v>Apteka Szpitalna</v>
      </c>
      <c r="I2916" s="2" t="str">
        <f>TRIM(Table1[[#This Row],[Umowa]])</f>
        <v>UM-PHA-01</v>
      </c>
      <c r="J2916" s="2" t="b">
        <f>ISTEXT(Table14[[#This Row],[Data_Wystawienia]])</f>
        <v>0</v>
      </c>
      <c r="K2916" s="2">
        <f>VALUE(SUBSTITUTE(Table14[[#This Row],[Wartość]],".",","))</f>
        <v>-3451.65</v>
      </c>
      <c r="L291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6" s="2" t="str">
        <f>IF(Table14[[#This Row],[Umowa]]="","Poza umową","Z umowy")</f>
        <v>Z umowy</v>
      </c>
      <c r="N2916" s="2">
        <f>YEAR(Table14[[#This Row],[Data_Wystawienia]])</f>
        <v>2024</v>
      </c>
      <c r="O2916" s="2" t="str">
        <f>TEXT(Table14[[#This Row],[Data_Wystawienia]],"rrrr-mm")</f>
        <v>2024-12</v>
      </c>
      <c r="P2916" s="2">
        <v>1</v>
      </c>
    </row>
    <row r="2917" spans="1:16" x14ac:dyDescent="0.3">
      <c r="A2917" s="2" t="str">
        <f>TRIM(Table1[[#This Row],[Numer_FV]])</f>
        <v>FV/28/PP/8509/24</v>
      </c>
      <c r="B2917" s="2" t="str">
        <f>TRIM(Table1[[#This Row],[Numer_PZ]])</f>
        <v>PZ/802915</v>
      </c>
      <c r="C2917" s="2" t="str">
        <f>TRIM(Table1[[#This Row],[Dostawca]])</f>
        <v>PharmaPlus</v>
      </c>
      <c r="D2917" s="3">
        <v>45628</v>
      </c>
      <c r="E2917" s="4" t="s">
        <v>8609</v>
      </c>
      <c r="F2917" s="2" t="str">
        <f>TRIM(Table1[[#This Row],[Status]])</f>
        <v>Zaakceptowana</v>
      </c>
      <c r="G2917" s="2" t="str">
        <f>TRIM(Table1[[#This Row],[Typ]])</f>
        <v>Faktura VAT</v>
      </c>
      <c r="H2917" s="2" t="str">
        <f>TRIM(Table1[[#This Row],[Magazyn]])</f>
        <v>Apteka Szpitalna</v>
      </c>
      <c r="I2917" s="2" t="str">
        <f>TRIM(Table1[[#This Row],[Umowa]])</f>
        <v>UM-PHA-01</v>
      </c>
      <c r="J2917" s="2" t="b">
        <f>ISTEXT(Table14[[#This Row],[Data_Wystawienia]])</f>
        <v>0</v>
      </c>
      <c r="K2917" s="2">
        <f>VALUE(SUBSTITUTE(Table14[[#This Row],[Wartość]],".",","))</f>
        <v>14468.96</v>
      </c>
      <c r="L291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7" s="2" t="str">
        <f>IF(Table14[[#This Row],[Umowa]]="","Poza umową","Z umowy")</f>
        <v>Z umowy</v>
      </c>
      <c r="N2917" s="2">
        <f>YEAR(Table14[[#This Row],[Data_Wystawienia]])</f>
        <v>2024</v>
      </c>
      <c r="O2917" s="2" t="str">
        <f>TEXT(Table14[[#This Row],[Data_Wystawienia]],"rrrr-mm")</f>
        <v>2024-12</v>
      </c>
      <c r="P2917" s="2">
        <v>1</v>
      </c>
    </row>
    <row r="2918" spans="1:16" x14ac:dyDescent="0.3">
      <c r="A2918" s="2" t="str">
        <f>TRIM(Table1[[#This Row],[Numer_FV]])</f>
        <v>FV/9242/NOVA/24</v>
      </c>
      <c r="B2918" s="2" t="str">
        <f>TRIM(Table1[[#This Row],[Numer_PZ]])</f>
        <v>PZ/802916</v>
      </c>
      <c r="C2918" s="2" t="str">
        <f>TRIM(Table1[[#This Row],[Dostawca]])</f>
        <v>NovaLek</v>
      </c>
      <c r="D2918" s="3">
        <v>45629</v>
      </c>
      <c r="E2918" s="4" t="s">
        <v>8612</v>
      </c>
      <c r="F2918" s="2" t="str">
        <f>TRIM(Table1[[#This Row],[Status]])</f>
        <v>Zaakceptowana</v>
      </c>
      <c r="G2918" s="2" t="str">
        <f>TRIM(Table1[[#This Row],[Typ]])</f>
        <v>Faktura VAT</v>
      </c>
      <c r="H2918" s="2" t="str">
        <f>TRIM(Table1[[#This Row],[Magazyn]])</f>
        <v>Apteka Szpitalna</v>
      </c>
      <c r="I2918" s="2" t="str">
        <f>TRIM(Table1[[#This Row],[Umowa]])</f>
        <v>UM-NOV-02</v>
      </c>
      <c r="J2918" s="2" t="b">
        <f>ISTEXT(Table14[[#This Row],[Data_Wystawienia]])</f>
        <v>0</v>
      </c>
      <c r="K2918" s="2">
        <f>VALUE(SUBSTITUTE(Table14[[#This Row],[Wartość]],".",","))</f>
        <v>9797.16</v>
      </c>
      <c r="L291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8" s="2" t="str">
        <f>IF(Table14[[#This Row],[Umowa]]="","Poza umową","Z umowy")</f>
        <v>Z umowy</v>
      </c>
      <c r="N2918" s="2">
        <f>YEAR(Table14[[#This Row],[Data_Wystawienia]])</f>
        <v>2024</v>
      </c>
      <c r="O2918" s="2" t="str">
        <f>TEXT(Table14[[#This Row],[Data_Wystawienia]],"rrrr-mm")</f>
        <v>2024-12</v>
      </c>
      <c r="P2918" s="2">
        <v>1</v>
      </c>
    </row>
    <row r="2919" spans="1:16" x14ac:dyDescent="0.3">
      <c r="A2919" s="2" t="str">
        <f>TRIM(Table1[[#This Row],[Numer_FV]])</f>
        <v>FV/22/PP/6043/24</v>
      </c>
      <c r="B2919" s="2" t="str">
        <f>TRIM(Table1[[#This Row],[Numer_PZ]])</f>
        <v>PZ/802917</v>
      </c>
      <c r="C2919" s="2" t="str">
        <f>TRIM(Table1[[#This Row],[Dostawca]])</f>
        <v>PharmaPlus</v>
      </c>
      <c r="D2919" s="3">
        <v>45629</v>
      </c>
      <c r="E2919" s="4" t="s">
        <v>8615</v>
      </c>
      <c r="F2919" s="2" t="str">
        <f>TRIM(Table1[[#This Row],[Status]])</f>
        <v>Zaakceptowana</v>
      </c>
      <c r="G2919" s="2" t="str">
        <f>TRIM(Table1[[#This Row],[Typ]])</f>
        <v>Faktura VAT</v>
      </c>
      <c r="H2919" s="2" t="str">
        <f>TRIM(Table1[[#This Row],[Magazyn]])</f>
        <v>Apteka Szpitalna</v>
      </c>
      <c r="I2919" s="2" t="str">
        <f>TRIM(Table1[[#This Row],[Umowa]])</f>
        <v>UM-PHA-02</v>
      </c>
      <c r="J2919" s="2" t="b">
        <f>ISTEXT(Table14[[#This Row],[Data_Wystawienia]])</f>
        <v>0</v>
      </c>
      <c r="K2919" s="2">
        <f>VALUE(SUBSTITUTE(Table14[[#This Row],[Wartość]],".",","))</f>
        <v>13188.19</v>
      </c>
      <c r="L291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19" s="2" t="str">
        <f>IF(Table14[[#This Row],[Umowa]]="","Poza umową","Z umowy")</f>
        <v>Z umowy</v>
      </c>
      <c r="N2919" s="2">
        <f>YEAR(Table14[[#This Row],[Data_Wystawienia]])</f>
        <v>2024</v>
      </c>
      <c r="O2919" s="2" t="str">
        <f>TEXT(Table14[[#This Row],[Data_Wystawienia]],"rrrr-mm")</f>
        <v>2024-12</v>
      </c>
      <c r="P2919" s="2">
        <v>1</v>
      </c>
    </row>
    <row r="2920" spans="1:16" x14ac:dyDescent="0.3">
      <c r="A2920" s="2" t="str">
        <f>TRIM(Table1[[#This Row],[Numer_FV]])</f>
        <v>FV/M/7448/P/24</v>
      </c>
      <c r="B2920" s="2" t="str">
        <f>TRIM(Table1[[#This Row],[Numer_PZ]])</f>
        <v>PZ/802918</v>
      </c>
      <c r="C2920" s="2" t="str">
        <f>TRIM(Table1[[#This Row],[Dostawca]])</f>
        <v>MedicaPharm</v>
      </c>
      <c r="D2920" s="3">
        <v>45630</v>
      </c>
      <c r="E2920" s="4" t="s">
        <v>8618</v>
      </c>
      <c r="F2920" s="2" t="str">
        <f>TRIM(Table1[[#This Row],[Status]])</f>
        <v>Zaakceptowana</v>
      </c>
      <c r="G2920" s="2" t="str">
        <f>TRIM(Table1[[#This Row],[Typ]])</f>
        <v>Faktura VAT</v>
      </c>
      <c r="H2920" s="2" t="str">
        <f>TRIM(Table1[[#This Row],[Magazyn]])</f>
        <v>Apteka Szpitalna</v>
      </c>
      <c r="I2920" s="2" t="str">
        <f>TRIM(Table1[[#This Row],[Umowa]])</f>
        <v/>
      </c>
      <c r="J2920" s="2" t="b">
        <f>ISTEXT(Table14[[#This Row],[Data_Wystawienia]])</f>
        <v>0</v>
      </c>
      <c r="K2920" s="2">
        <f>VALUE(SUBSTITUTE(Table14[[#This Row],[Wartość]],".",","))</f>
        <v>12967.64</v>
      </c>
      <c r="L292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0" s="2" t="str">
        <f>IF(Table14[[#This Row],[Umowa]]="","Poza umową","Z umowy")</f>
        <v>Poza umową</v>
      </c>
      <c r="N2920" s="2">
        <f>YEAR(Table14[[#This Row],[Data_Wystawienia]])</f>
        <v>2024</v>
      </c>
      <c r="O2920" s="2" t="str">
        <f>TEXT(Table14[[#This Row],[Data_Wystawienia]],"rrrr-mm")</f>
        <v>2024-12</v>
      </c>
      <c r="P2920" s="2">
        <v>1</v>
      </c>
    </row>
    <row r="2921" spans="1:16" x14ac:dyDescent="0.3">
      <c r="A2921" s="2" t="str">
        <f>TRIM(Table1[[#This Row],[Numer_FV]])</f>
        <v>FV/53/PP/1778/24</v>
      </c>
      <c r="B2921" s="2" t="str">
        <f>TRIM(Table1[[#This Row],[Numer_PZ]])</f>
        <v>PZ/802919</v>
      </c>
      <c r="C2921" s="2" t="str">
        <f>TRIM(Table1[[#This Row],[Dostawca]])</f>
        <v>PharmaPlus</v>
      </c>
      <c r="D2921" s="3">
        <v>45630</v>
      </c>
      <c r="E2921" s="4" t="s">
        <v>8621</v>
      </c>
      <c r="F2921" s="2" t="str">
        <f>TRIM(Table1[[#This Row],[Status]])</f>
        <v>Zaakceptowana</v>
      </c>
      <c r="G2921" s="2" t="str">
        <f>TRIM(Table1[[#This Row],[Typ]])</f>
        <v>Faktura VAT</v>
      </c>
      <c r="H2921" s="2" t="str">
        <f>TRIM(Table1[[#This Row],[Magazyn]])</f>
        <v>Apteka Szpitalna</v>
      </c>
      <c r="I2921" s="2" t="str">
        <f>TRIM(Table1[[#This Row],[Umowa]])</f>
        <v>UM-PHA-01</v>
      </c>
      <c r="J2921" s="2" t="b">
        <f>ISTEXT(Table14[[#This Row],[Data_Wystawienia]])</f>
        <v>0</v>
      </c>
      <c r="K2921" s="2">
        <f>VALUE(SUBSTITUTE(Table14[[#This Row],[Wartość]],".",","))</f>
        <v>13313.1</v>
      </c>
      <c r="L292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1" s="2" t="str">
        <f>IF(Table14[[#This Row],[Umowa]]="","Poza umową","Z umowy")</f>
        <v>Z umowy</v>
      </c>
      <c r="N2921" s="2">
        <f>YEAR(Table14[[#This Row],[Data_Wystawienia]])</f>
        <v>2024</v>
      </c>
      <c r="O2921" s="2" t="str">
        <f>TEXT(Table14[[#This Row],[Data_Wystawienia]],"rrrr-mm")</f>
        <v>2024-12</v>
      </c>
      <c r="P2921" s="2">
        <v>1</v>
      </c>
    </row>
    <row r="2922" spans="1:16" x14ac:dyDescent="0.3">
      <c r="A2922" s="2" t="str">
        <f>TRIM(Table1[[#This Row],[Numer_FV]])</f>
        <v>FV/M/1228/P/24</v>
      </c>
      <c r="B2922" s="2" t="str">
        <f>TRIM(Table1[[#This Row],[Numer_PZ]])</f>
        <v>PZ/802920</v>
      </c>
      <c r="C2922" s="2" t="str">
        <f>TRIM(Table1[[#This Row],[Dostawca]])</f>
        <v>MedicaPharm</v>
      </c>
      <c r="D2922" s="3">
        <v>45630</v>
      </c>
      <c r="E2922" s="4" t="s">
        <v>8624</v>
      </c>
      <c r="F2922" s="2" t="str">
        <f>TRIM(Table1[[#This Row],[Status]])</f>
        <v>Zaakceptowana</v>
      </c>
      <c r="G2922" s="2" t="str">
        <f>TRIM(Table1[[#This Row],[Typ]])</f>
        <v>Faktura VAT</v>
      </c>
      <c r="H2922" s="2" t="str">
        <f>TRIM(Table1[[#This Row],[Magazyn]])</f>
        <v>Apteka Szpitalna</v>
      </c>
      <c r="I2922" s="2" t="str">
        <f>TRIM(Table1[[#This Row],[Umowa]])</f>
        <v>UM-MED-02</v>
      </c>
      <c r="J2922" s="2" t="b">
        <f>ISTEXT(Table14[[#This Row],[Data_Wystawienia]])</f>
        <v>0</v>
      </c>
      <c r="K2922" s="2">
        <f>VALUE(SUBSTITUTE(Table14[[#This Row],[Wartość]],".",","))</f>
        <v>15217.99</v>
      </c>
      <c r="L292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2" s="2" t="str">
        <f>IF(Table14[[#This Row],[Umowa]]="","Poza umową","Z umowy")</f>
        <v>Z umowy</v>
      </c>
      <c r="N2922" s="2">
        <f>YEAR(Table14[[#This Row],[Data_Wystawienia]])</f>
        <v>2024</v>
      </c>
      <c r="O2922" s="2" t="str">
        <f>TEXT(Table14[[#This Row],[Data_Wystawienia]],"rrrr-mm")</f>
        <v>2024-12</v>
      </c>
      <c r="P2922" s="2">
        <v>1</v>
      </c>
    </row>
    <row r="2923" spans="1:16" x14ac:dyDescent="0.3">
      <c r="A2923" s="2" t="str">
        <f>TRIM(Table1[[#This Row],[Numer_FV]])</f>
        <v>FV/M/6348/P/24</v>
      </c>
      <c r="B2923" s="2" t="str">
        <f>TRIM(Table1[[#This Row],[Numer_PZ]])</f>
        <v>PZ/802921</v>
      </c>
      <c r="C2923" s="2" t="str">
        <f>TRIM(Table1[[#This Row],[Dostawca]])</f>
        <v>MedicaPharm</v>
      </c>
      <c r="D2923" s="3">
        <v>45630</v>
      </c>
      <c r="E2923" s="4" t="s">
        <v>8627</v>
      </c>
      <c r="F2923" s="2" t="str">
        <f>TRIM(Table1[[#This Row],[Status]])</f>
        <v>Zaakceptowana</v>
      </c>
      <c r="G2923" s="2" t="str">
        <f>TRIM(Table1[[#This Row],[Typ]])</f>
        <v>Faktura VAT</v>
      </c>
      <c r="H2923" s="2" t="str">
        <f>TRIM(Table1[[#This Row],[Magazyn]])</f>
        <v>Apteka Szpitalna</v>
      </c>
      <c r="I2923" s="2" t="str">
        <f>TRIM(Table1[[#This Row],[Umowa]])</f>
        <v>UM-MED-01</v>
      </c>
      <c r="J2923" s="2" t="b">
        <f>ISTEXT(Table14[[#This Row],[Data_Wystawienia]])</f>
        <v>0</v>
      </c>
      <c r="K2923" s="2">
        <f>VALUE(SUBSTITUTE(Table14[[#This Row],[Wartość]],".",","))</f>
        <v>11659.36</v>
      </c>
      <c r="L292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3" s="2" t="str">
        <f>IF(Table14[[#This Row],[Umowa]]="","Poza umową","Z umowy")</f>
        <v>Z umowy</v>
      </c>
      <c r="N2923" s="2">
        <f>YEAR(Table14[[#This Row],[Data_Wystawienia]])</f>
        <v>2024</v>
      </c>
      <c r="O2923" s="2" t="str">
        <f>TEXT(Table14[[#This Row],[Data_Wystawienia]],"rrrr-mm")</f>
        <v>2024-12</v>
      </c>
      <c r="P2923" s="2">
        <v>1</v>
      </c>
    </row>
    <row r="2924" spans="1:16" x14ac:dyDescent="0.3">
      <c r="A2924" s="2" t="str">
        <f>TRIM(Table1[[#This Row],[Numer_FV]])</f>
        <v>FV/M/8238/P/24</v>
      </c>
      <c r="B2924" s="2" t="str">
        <f>TRIM(Table1[[#This Row],[Numer_PZ]])</f>
        <v>PZ/802922</v>
      </c>
      <c r="C2924" s="2" t="str">
        <f>TRIM(Table1[[#This Row],[Dostawca]])</f>
        <v>MedicaPharm</v>
      </c>
      <c r="D2924" s="3">
        <v>45631</v>
      </c>
      <c r="E2924" s="4" t="s">
        <v>8630</v>
      </c>
      <c r="F2924" s="2" t="str">
        <f>TRIM(Table1[[#This Row],[Status]])</f>
        <v>Zaakceptowana</v>
      </c>
      <c r="G2924" s="2" t="str">
        <f>TRIM(Table1[[#This Row],[Typ]])</f>
        <v>Korekta FV</v>
      </c>
      <c r="H2924" s="2" t="str">
        <f>TRIM(Table1[[#This Row],[Magazyn]])</f>
        <v>Apteka Szpitalna</v>
      </c>
      <c r="I2924" s="2" t="str">
        <f>TRIM(Table1[[#This Row],[Umowa]])</f>
        <v>UM-MED-02</v>
      </c>
      <c r="J2924" s="2" t="b">
        <f>ISTEXT(Table14[[#This Row],[Data_Wystawienia]])</f>
        <v>0</v>
      </c>
      <c r="K2924" s="2">
        <f>VALUE(SUBSTITUTE(Table14[[#This Row],[Wartość]],".",","))</f>
        <v>-3181.66</v>
      </c>
      <c r="L292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4" s="2" t="str">
        <f>IF(Table14[[#This Row],[Umowa]]="","Poza umową","Z umowy")</f>
        <v>Z umowy</v>
      </c>
      <c r="N2924" s="2">
        <f>YEAR(Table14[[#This Row],[Data_Wystawienia]])</f>
        <v>2024</v>
      </c>
      <c r="O2924" s="2" t="str">
        <f>TEXT(Table14[[#This Row],[Data_Wystawienia]],"rrrr-mm")</f>
        <v>2024-12</v>
      </c>
      <c r="P2924" s="2">
        <v>1</v>
      </c>
    </row>
    <row r="2925" spans="1:16" x14ac:dyDescent="0.3">
      <c r="A2925" s="2" t="str">
        <f>TRIM(Table1[[#This Row],[Numer_FV]])</f>
        <v>FV/CENFA/718893/24</v>
      </c>
      <c r="B2925" s="2" t="str">
        <f>TRIM(Table1[[#This Row],[Numer_PZ]])</f>
        <v>PZ/802923</v>
      </c>
      <c r="C2925" s="2" t="str">
        <f>TRIM(Table1[[#This Row],[Dostawca]])</f>
        <v>CentrumFarm</v>
      </c>
      <c r="D2925" s="3">
        <v>45631</v>
      </c>
      <c r="E2925" s="4" t="s">
        <v>8633</v>
      </c>
      <c r="F2925" s="2" t="str">
        <f>TRIM(Table1[[#This Row],[Status]])</f>
        <v>Zaakceptowana</v>
      </c>
      <c r="G2925" s="2" t="str">
        <f>TRIM(Table1[[#This Row],[Typ]])</f>
        <v>Faktura VAT</v>
      </c>
      <c r="H2925" s="2" t="str">
        <f>TRIM(Table1[[#This Row],[Magazyn]])</f>
        <v>Apteka Szpitalna</v>
      </c>
      <c r="I2925" s="2" t="str">
        <f>TRIM(Table1[[#This Row],[Umowa]])</f>
        <v>UM-CEN-01</v>
      </c>
      <c r="J2925" s="2" t="b">
        <f>ISTEXT(Table14[[#This Row],[Data_Wystawienia]])</f>
        <v>0</v>
      </c>
      <c r="K2925" s="2">
        <f>VALUE(SUBSTITUTE(Table14[[#This Row],[Wartość]],".",","))</f>
        <v>15222.84</v>
      </c>
      <c r="L292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5" s="2" t="str">
        <f>IF(Table14[[#This Row],[Umowa]]="","Poza umową","Z umowy")</f>
        <v>Z umowy</v>
      </c>
      <c r="N2925" s="2">
        <f>YEAR(Table14[[#This Row],[Data_Wystawienia]])</f>
        <v>2024</v>
      </c>
      <c r="O2925" s="2" t="str">
        <f>TEXT(Table14[[#This Row],[Data_Wystawienia]],"rrrr-mm")</f>
        <v>2024-12</v>
      </c>
      <c r="P2925" s="2">
        <v>1</v>
      </c>
    </row>
    <row r="2926" spans="1:16" x14ac:dyDescent="0.3">
      <c r="A2926" s="2" t="str">
        <f>TRIM(Table1[[#This Row],[Numer_FV]])</f>
        <v>FV/7393HM/24</v>
      </c>
      <c r="B2926" s="2" t="str">
        <f>TRIM(Table1[[#This Row],[Numer_PZ]])</f>
        <v>PZ/802924</v>
      </c>
      <c r="C2926" s="2" t="str">
        <f>TRIM(Table1[[#This Row],[Dostawca]])</f>
        <v>HurtMedix</v>
      </c>
      <c r="D2926" s="3">
        <v>45631</v>
      </c>
      <c r="E2926" s="4" t="s">
        <v>8636</v>
      </c>
      <c r="F2926" s="2" t="str">
        <f>TRIM(Table1[[#This Row],[Status]])</f>
        <v>Zaakceptowana</v>
      </c>
      <c r="G2926" s="2" t="str">
        <f>TRIM(Table1[[#This Row],[Typ]])</f>
        <v>Faktura VAT</v>
      </c>
      <c r="H2926" s="2" t="str">
        <f>TRIM(Table1[[#This Row],[Magazyn]])</f>
        <v>Apteka Szpitalna</v>
      </c>
      <c r="I2926" s="2" t="str">
        <f>TRIM(Table1[[#This Row],[Umowa]])</f>
        <v>UM-HUR-03</v>
      </c>
      <c r="J2926" s="2" t="b">
        <f>ISTEXT(Table14[[#This Row],[Data_Wystawienia]])</f>
        <v>0</v>
      </c>
      <c r="K2926" s="2">
        <f>VALUE(SUBSTITUTE(Table14[[#This Row],[Wartość]],".",","))</f>
        <v>6811.39</v>
      </c>
      <c r="L292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6" s="2" t="str">
        <f>IF(Table14[[#This Row],[Umowa]]="","Poza umową","Z umowy")</f>
        <v>Z umowy</v>
      </c>
      <c r="N2926" s="2">
        <f>YEAR(Table14[[#This Row],[Data_Wystawienia]])</f>
        <v>2024</v>
      </c>
      <c r="O2926" s="2" t="str">
        <f>TEXT(Table14[[#This Row],[Data_Wystawienia]],"rrrr-mm")</f>
        <v>2024-12</v>
      </c>
      <c r="P2926" s="2">
        <v>1</v>
      </c>
    </row>
    <row r="2927" spans="1:16" x14ac:dyDescent="0.3">
      <c r="A2927" s="2" t="str">
        <f>TRIM(Table1[[#This Row],[Numer_FV]])</f>
        <v>FV/M/8413/P/24</v>
      </c>
      <c r="B2927" s="2" t="str">
        <f>TRIM(Table1[[#This Row],[Numer_PZ]])</f>
        <v>PZ/802925</v>
      </c>
      <c r="C2927" s="2" t="str">
        <f>TRIM(Table1[[#This Row],[Dostawca]])</f>
        <v>MedicaPharm</v>
      </c>
      <c r="D2927" s="3">
        <v>45632</v>
      </c>
      <c r="E2927" s="4" t="s">
        <v>8639</v>
      </c>
      <c r="F2927" s="2" t="str">
        <f>TRIM(Table1[[#This Row],[Status]])</f>
        <v>Zaakceptowana</v>
      </c>
      <c r="G2927" s="2" t="str">
        <f>TRIM(Table1[[#This Row],[Typ]])</f>
        <v>Faktura VAT</v>
      </c>
      <c r="H2927" s="2" t="str">
        <f>TRIM(Table1[[#This Row],[Magazyn]])</f>
        <v>Apteka Szpitalna</v>
      </c>
      <c r="I2927" s="2" t="str">
        <f>TRIM(Table1[[#This Row],[Umowa]])</f>
        <v>UM-MED-02</v>
      </c>
      <c r="J2927" s="2" t="b">
        <f>ISTEXT(Table14[[#This Row],[Data_Wystawienia]])</f>
        <v>0</v>
      </c>
      <c r="K2927" s="2">
        <f>VALUE(SUBSTITUTE(Table14[[#This Row],[Wartość]],".",","))</f>
        <v>18393.669999999998</v>
      </c>
      <c r="L292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7" s="2" t="str">
        <f>IF(Table14[[#This Row],[Umowa]]="","Poza umową","Z umowy")</f>
        <v>Z umowy</v>
      </c>
      <c r="N2927" s="2">
        <f>YEAR(Table14[[#This Row],[Data_Wystawienia]])</f>
        <v>2024</v>
      </c>
      <c r="O2927" s="2" t="str">
        <f>TEXT(Table14[[#This Row],[Data_Wystawienia]],"rrrr-mm")</f>
        <v>2024-12</v>
      </c>
      <c r="P2927" s="2">
        <v>1</v>
      </c>
    </row>
    <row r="2928" spans="1:16" x14ac:dyDescent="0.3">
      <c r="A2928" s="2" t="str">
        <f>TRIM(Table1[[#This Row],[Numer_FV]])</f>
        <v>FV/6793HM/24</v>
      </c>
      <c r="B2928" s="2" t="str">
        <f>TRIM(Table1[[#This Row],[Numer_PZ]])</f>
        <v>PZ/802926</v>
      </c>
      <c r="C2928" s="2" t="str">
        <f>TRIM(Table1[[#This Row],[Dostawca]])</f>
        <v>HurtMedix</v>
      </c>
      <c r="D2928" s="3">
        <v>45632</v>
      </c>
      <c r="E2928" s="4" t="s">
        <v>8642</v>
      </c>
      <c r="F2928" s="2" t="str">
        <f>TRIM(Table1[[#This Row],[Status]])</f>
        <v>Zaakceptowana</v>
      </c>
      <c r="G2928" s="2" t="str">
        <f>TRIM(Table1[[#This Row],[Typ]])</f>
        <v>Faktura VAT</v>
      </c>
      <c r="H2928" s="2" t="str">
        <f>TRIM(Table1[[#This Row],[Magazyn]])</f>
        <v>Apteka Szpitalna</v>
      </c>
      <c r="I2928" s="2" t="str">
        <f>TRIM(Table1[[#This Row],[Umowa]])</f>
        <v>UM-HUR-02</v>
      </c>
      <c r="J2928" s="2" t="b">
        <f>ISTEXT(Table14[[#This Row],[Data_Wystawienia]])</f>
        <v>0</v>
      </c>
      <c r="K2928" s="2">
        <f>VALUE(SUBSTITUTE(Table14[[#This Row],[Wartość]],".",","))</f>
        <v>28361.200000000001</v>
      </c>
      <c r="L292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8" s="2" t="str">
        <f>IF(Table14[[#This Row],[Umowa]]="","Poza umową","Z umowy")</f>
        <v>Z umowy</v>
      </c>
      <c r="N2928" s="2">
        <f>YEAR(Table14[[#This Row],[Data_Wystawienia]])</f>
        <v>2024</v>
      </c>
      <c r="O2928" s="2" t="str">
        <f>TEXT(Table14[[#This Row],[Data_Wystawienia]],"rrrr-mm")</f>
        <v>2024-12</v>
      </c>
      <c r="P2928" s="2">
        <v>1</v>
      </c>
    </row>
    <row r="2929" spans="1:16" x14ac:dyDescent="0.3">
      <c r="A2929" s="2" t="str">
        <f>TRIM(Table1[[#This Row],[Numer_FV]])</f>
        <v>FV/7401HM/24</v>
      </c>
      <c r="B2929" s="2" t="str">
        <f>TRIM(Table1[[#This Row],[Numer_PZ]])</f>
        <v>PZ/802927</v>
      </c>
      <c r="C2929" s="2" t="str">
        <f>TRIM(Table1[[#This Row],[Dostawca]])</f>
        <v>HurtMedix</v>
      </c>
      <c r="D2929" s="3">
        <v>45632</v>
      </c>
      <c r="E2929" s="4" t="s">
        <v>8645</v>
      </c>
      <c r="F2929" s="2" t="str">
        <f>TRIM(Table1[[#This Row],[Status]])</f>
        <v>Zaakceptowana</v>
      </c>
      <c r="G2929" s="2" t="str">
        <f>TRIM(Table1[[#This Row],[Typ]])</f>
        <v>Korekta FV</v>
      </c>
      <c r="H2929" s="2" t="str">
        <f>TRIM(Table1[[#This Row],[Magazyn]])</f>
        <v>Apteka Szpitalna</v>
      </c>
      <c r="I2929" s="2" t="str">
        <f>TRIM(Table1[[#This Row],[Umowa]])</f>
        <v>UM-HUR-02</v>
      </c>
      <c r="J2929" s="2" t="b">
        <f>ISTEXT(Table14[[#This Row],[Data_Wystawienia]])</f>
        <v>0</v>
      </c>
      <c r="K2929" s="2">
        <f>VALUE(SUBSTITUTE(Table14[[#This Row],[Wartość]],".",","))</f>
        <v>-982.78</v>
      </c>
      <c r="L292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29" s="2" t="str">
        <f>IF(Table14[[#This Row],[Umowa]]="","Poza umową","Z umowy")</f>
        <v>Z umowy</v>
      </c>
      <c r="N2929" s="2">
        <f>YEAR(Table14[[#This Row],[Data_Wystawienia]])</f>
        <v>2024</v>
      </c>
      <c r="O2929" s="2" t="str">
        <f>TEXT(Table14[[#This Row],[Data_Wystawienia]],"rrrr-mm")</f>
        <v>2024-12</v>
      </c>
      <c r="P2929" s="2">
        <v>1</v>
      </c>
    </row>
    <row r="2930" spans="1:16" x14ac:dyDescent="0.3">
      <c r="A2930" s="2" t="str">
        <f>TRIM(Table1[[#This Row],[Numer_FV]])</f>
        <v>FV/M/1732/P/24</v>
      </c>
      <c r="B2930" s="2" t="str">
        <f>TRIM(Table1[[#This Row],[Numer_PZ]])</f>
        <v>PZ/802928</v>
      </c>
      <c r="C2930" s="2" t="str">
        <f>TRIM(Table1[[#This Row],[Dostawca]])</f>
        <v>MedicaPharm</v>
      </c>
      <c r="D2930" s="3">
        <v>45632</v>
      </c>
      <c r="E2930" s="4" t="s">
        <v>8648</v>
      </c>
      <c r="F2930" s="2" t="str">
        <f>TRIM(Table1[[#This Row],[Status]])</f>
        <v>Zaakceptowana</v>
      </c>
      <c r="G2930" s="2" t="str">
        <f>TRIM(Table1[[#This Row],[Typ]])</f>
        <v>Faktura VAT</v>
      </c>
      <c r="H2930" s="2" t="str">
        <f>TRIM(Table1[[#This Row],[Magazyn]])</f>
        <v>Apteka Szpitalna</v>
      </c>
      <c r="I2930" s="2" t="str">
        <f>TRIM(Table1[[#This Row],[Umowa]])</f>
        <v>UM-MED-01</v>
      </c>
      <c r="J2930" s="2" t="b">
        <f>ISTEXT(Table14[[#This Row],[Data_Wystawienia]])</f>
        <v>0</v>
      </c>
      <c r="K2930" s="2">
        <f>VALUE(SUBSTITUTE(Table14[[#This Row],[Wartość]],".",","))</f>
        <v>18745.7</v>
      </c>
      <c r="L293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0" s="2" t="str">
        <f>IF(Table14[[#This Row],[Umowa]]="","Poza umową","Z umowy")</f>
        <v>Z umowy</v>
      </c>
      <c r="N2930" s="2">
        <f>YEAR(Table14[[#This Row],[Data_Wystawienia]])</f>
        <v>2024</v>
      </c>
      <c r="O2930" s="2" t="str">
        <f>TEXT(Table14[[#This Row],[Data_Wystawienia]],"rrrr-mm")</f>
        <v>2024-12</v>
      </c>
      <c r="P2930" s="2">
        <v>1</v>
      </c>
    </row>
    <row r="2931" spans="1:16" x14ac:dyDescent="0.3">
      <c r="A2931" s="2" t="str">
        <f>TRIM(Table1[[#This Row],[Numer_FV]])</f>
        <v>FV/3633/NOVA/24</v>
      </c>
      <c r="B2931" s="2" t="str">
        <f>TRIM(Table1[[#This Row],[Numer_PZ]])</f>
        <v>PZ/802929</v>
      </c>
      <c r="C2931" s="2" t="str">
        <f>TRIM(Table1[[#This Row],[Dostawca]])</f>
        <v>NovaLek</v>
      </c>
      <c r="D2931" s="3">
        <v>45633</v>
      </c>
      <c r="E2931" s="4" t="s">
        <v>8651</v>
      </c>
      <c r="F2931" s="2" t="str">
        <f>TRIM(Table1[[#This Row],[Status]])</f>
        <v>Zaakceptowana</v>
      </c>
      <c r="G2931" s="2" t="str">
        <f>TRIM(Table1[[#This Row],[Typ]])</f>
        <v>Faktura VAT</v>
      </c>
      <c r="H2931" s="2" t="str">
        <f>TRIM(Table1[[#This Row],[Magazyn]])</f>
        <v>Apteka Szpitalna</v>
      </c>
      <c r="I2931" s="2" t="str">
        <f>TRIM(Table1[[#This Row],[Umowa]])</f>
        <v>UM-NOV-02</v>
      </c>
      <c r="J2931" s="2" t="b">
        <f>ISTEXT(Table14[[#This Row],[Data_Wystawienia]])</f>
        <v>0</v>
      </c>
      <c r="K2931" s="2">
        <f>VALUE(SUBSTITUTE(Table14[[#This Row],[Wartość]],".",","))</f>
        <v>18186.740000000002</v>
      </c>
      <c r="L293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1" s="2" t="str">
        <f>IF(Table14[[#This Row],[Umowa]]="","Poza umową","Z umowy")</f>
        <v>Z umowy</v>
      </c>
      <c r="N2931" s="2">
        <f>YEAR(Table14[[#This Row],[Data_Wystawienia]])</f>
        <v>2024</v>
      </c>
      <c r="O2931" s="2" t="str">
        <f>TEXT(Table14[[#This Row],[Data_Wystawienia]],"rrrr-mm")</f>
        <v>2024-12</v>
      </c>
      <c r="P2931" s="2">
        <v>1</v>
      </c>
    </row>
    <row r="2932" spans="1:16" x14ac:dyDescent="0.3">
      <c r="A2932" s="2" t="str">
        <f>TRIM(Table1[[#This Row],[Numer_FV]])</f>
        <v>FV/98/PP/5242/24</v>
      </c>
      <c r="B2932" s="2" t="str">
        <f>TRIM(Table1[[#This Row],[Numer_PZ]])</f>
        <v>PZ/802930</v>
      </c>
      <c r="C2932" s="2" t="str">
        <f>TRIM(Table1[[#This Row],[Dostawca]])</f>
        <v>PharmaPlus</v>
      </c>
      <c r="D2932" s="3">
        <v>45634</v>
      </c>
      <c r="E2932" s="4" t="s">
        <v>8654</v>
      </c>
      <c r="F2932" s="2" t="str">
        <f>TRIM(Table1[[#This Row],[Status]])</f>
        <v>Zaakceptowana</v>
      </c>
      <c r="G2932" s="2" t="str">
        <f>TRIM(Table1[[#This Row],[Typ]])</f>
        <v>Faktura VAT</v>
      </c>
      <c r="H2932" s="2" t="str">
        <f>TRIM(Table1[[#This Row],[Magazyn]])</f>
        <v>Apteka Szpitalna</v>
      </c>
      <c r="I2932" s="2" t="str">
        <f>TRIM(Table1[[#This Row],[Umowa]])</f>
        <v>UM-PHA-02</v>
      </c>
      <c r="J2932" s="2" t="b">
        <f>ISTEXT(Table14[[#This Row],[Data_Wystawienia]])</f>
        <v>0</v>
      </c>
      <c r="K2932" s="2">
        <f>VALUE(SUBSTITUTE(Table14[[#This Row],[Wartość]],".",","))</f>
        <v>11275.15</v>
      </c>
      <c r="L293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2" s="2" t="str">
        <f>IF(Table14[[#This Row],[Umowa]]="","Poza umową","Z umowy")</f>
        <v>Z umowy</v>
      </c>
      <c r="N2932" s="2">
        <f>YEAR(Table14[[#This Row],[Data_Wystawienia]])</f>
        <v>2024</v>
      </c>
      <c r="O2932" s="2" t="str">
        <f>TEXT(Table14[[#This Row],[Data_Wystawienia]],"rrrr-mm")</f>
        <v>2024-12</v>
      </c>
      <c r="P2932" s="2">
        <v>1</v>
      </c>
    </row>
    <row r="2933" spans="1:16" x14ac:dyDescent="0.3">
      <c r="A2933" s="2" t="str">
        <f>TRIM(Table1[[#This Row],[Numer_FV]])</f>
        <v>FV/40813/VDb/2024</v>
      </c>
      <c r="B2933" s="2" t="str">
        <f>TRIM(Table1[[#This Row],[Numer_PZ]])</f>
        <v>PZ/802931</v>
      </c>
      <c r="C2933" s="2" t="str">
        <f>TRIM(Table1[[#This Row],[Dostawca]])</f>
        <v>VitaDistrib</v>
      </c>
      <c r="D2933" s="3">
        <v>45634</v>
      </c>
      <c r="E2933" s="4" t="s">
        <v>8657</v>
      </c>
      <c r="F2933" s="2" t="str">
        <f>TRIM(Table1[[#This Row],[Status]])</f>
        <v>Zaakceptowana</v>
      </c>
      <c r="G2933" s="2" t="str">
        <f>TRIM(Table1[[#This Row],[Typ]])</f>
        <v>Faktura VAT</v>
      </c>
      <c r="H2933" s="2" t="str">
        <f>TRIM(Table1[[#This Row],[Magazyn]])</f>
        <v>Apteka Szpitalna</v>
      </c>
      <c r="I2933" s="2" t="str">
        <f>TRIM(Table1[[#This Row],[Umowa]])</f>
        <v>UM-VIT-01</v>
      </c>
      <c r="J2933" s="2" t="b">
        <f>ISTEXT(Table14[[#This Row],[Data_Wystawienia]])</f>
        <v>0</v>
      </c>
      <c r="K2933" s="2">
        <f>VALUE(SUBSTITUTE(Table14[[#This Row],[Wartość]],".",","))</f>
        <v>5846.25</v>
      </c>
      <c r="L293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3" s="2" t="str">
        <f>IF(Table14[[#This Row],[Umowa]]="","Poza umową","Z umowy")</f>
        <v>Z umowy</v>
      </c>
      <c r="N2933" s="2">
        <f>YEAR(Table14[[#This Row],[Data_Wystawienia]])</f>
        <v>2024</v>
      </c>
      <c r="O2933" s="2" t="str">
        <f>TEXT(Table14[[#This Row],[Data_Wystawienia]],"rrrr-mm")</f>
        <v>2024-12</v>
      </c>
      <c r="P2933" s="2">
        <v>1</v>
      </c>
    </row>
    <row r="2934" spans="1:16" x14ac:dyDescent="0.3">
      <c r="A2934" s="2" t="str">
        <f>TRIM(Table1[[#This Row],[Numer_FV]])</f>
        <v>FV/POL/35645/2024</v>
      </c>
      <c r="B2934" s="2" t="str">
        <f>TRIM(Table1[[#This Row],[Numer_PZ]])</f>
        <v>PZ/802932</v>
      </c>
      <c r="C2934" s="2" t="str">
        <f>TRIM(Table1[[#This Row],[Dostawca]])</f>
        <v>Polmedica</v>
      </c>
      <c r="D2934" s="3">
        <v>45634</v>
      </c>
      <c r="E2934" s="4" t="s">
        <v>8660</v>
      </c>
      <c r="F2934" s="2" t="str">
        <f>TRIM(Table1[[#This Row],[Status]])</f>
        <v>Zaakceptowana</v>
      </c>
      <c r="G2934" s="2" t="str">
        <f>TRIM(Table1[[#This Row],[Typ]])</f>
        <v>Faktura VAT</v>
      </c>
      <c r="H2934" s="2" t="str">
        <f>TRIM(Table1[[#This Row],[Magazyn]])</f>
        <v>Apteka Szpitalna</v>
      </c>
      <c r="I2934" s="2" t="str">
        <f>TRIM(Table1[[#This Row],[Umowa]])</f>
        <v/>
      </c>
      <c r="J2934" s="2" t="b">
        <f>ISTEXT(Table14[[#This Row],[Data_Wystawienia]])</f>
        <v>0</v>
      </c>
      <c r="K2934" s="2">
        <f>VALUE(SUBSTITUTE(Table14[[#This Row],[Wartość]],".",","))</f>
        <v>19900.8</v>
      </c>
      <c r="L293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4" s="2" t="str">
        <f>IF(Table14[[#This Row],[Umowa]]="","Poza umową","Z umowy")</f>
        <v>Poza umową</v>
      </c>
      <c r="N2934" s="2">
        <f>YEAR(Table14[[#This Row],[Data_Wystawienia]])</f>
        <v>2024</v>
      </c>
      <c r="O2934" s="2" t="str">
        <f>TEXT(Table14[[#This Row],[Data_Wystawienia]],"rrrr-mm")</f>
        <v>2024-12</v>
      </c>
      <c r="P2934" s="2">
        <v>1</v>
      </c>
    </row>
    <row r="2935" spans="1:16" x14ac:dyDescent="0.3">
      <c r="A2935" s="2" t="str">
        <f>TRIM(Table1[[#This Row],[Numer_FV]])</f>
        <v>FV/M/2343/P/24</v>
      </c>
      <c r="B2935" s="2" t="str">
        <f>TRIM(Table1[[#This Row],[Numer_PZ]])</f>
        <v>PZ/802933</v>
      </c>
      <c r="C2935" s="2" t="str">
        <f>TRIM(Table1[[#This Row],[Dostawca]])</f>
        <v>MedicaPharm</v>
      </c>
      <c r="D2935" s="3">
        <v>45634</v>
      </c>
      <c r="E2935" s="4" t="s">
        <v>8663</v>
      </c>
      <c r="F2935" s="2" t="str">
        <f>TRIM(Table1[[#This Row],[Status]])</f>
        <v>Zaakceptowana</v>
      </c>
      <c r="G2935" s="2" t="str">
        <f>TRIM(Table1[[#This Row],[Typ]])</f>
        <v>Faktura VAT</v>
      </c>
      <c r="H2935" s="2" t="str">
        <f>TRIM(Table1[[#This Row],[Magazyn]])</f>
        <v>Apteka Szpitalna</v>
      </c>
      <c r="I2935" s="2" t="str">
        <f>TRIM(Table1[[#This Row],[Umowa]])</f>
        <v>UM-MED-01</v>
      </c>
      <c r="J2935" s="2" t="b">
        <f>ISTEXT(Table14[[#This Row],[Data_Wystawienia]])</f>
        <v>0</v>
      </c>
      <c r="K2935" s="2">
        <f>VALUE(SUBSTITUTE(Table14[[#This Row],[Wartość]],".",","))</f>
        <v>14786.66</v>
      </c>
      <c r="L293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5" s="2" t="str">
        <f>IF(Table14[[#This Row],[Umowa]]="","Poza umową","Z umowy")</f>
        <v>Z umowy</v>
      </c>
      <c r="N2935" s="2">
        <f>YEAR(Table14[[#This Row],[Data_Wystawienia]])</f>
        <v>2024</v>
      </c>
      <c r="O2935" s="2" t="str">
        <f>TEXT(Table14[[#This Row],[Data_Wystawienia]],"rrrr-mm")</f>
        <v>2024-12</v>
      </c>
      <c r="P2935" s="2">
        <v>1</v>
      </c>
    </row>
    <row r="2936" spans="1:16" x14ac:dyDescent="0.3">
      <c r="A2936" s="2" t="str">
        <f>TRIM(Table1[[#This Row],[Numer_FV]])</f>
        <v>FV/9045/NOVA/24</v>
      </c>
      <c r="B2936" s="2" t="str">
        <f>TRIM(Table1[[#This Row],[Numer_PZ]])</f>
        <v>PZ/802934</v>
      </c>
      <c r="C2936" s="2" t="str">
        <f>TRIM(Table1[[#This Row],[Dostawca]])</f>
        <v>NovaLek</v>
      </c>
      <c r="D2936" s="3">
        <v>45634</v>
      </c>
      <c r="E2936" s="4" t="s">
        <v>8666</v>
      </c>
      <c r="F2936" s="2" t="str">
        <f>TRIM(Table1[[#This Row],[Status]])</f>
        <v>Zaakceptowana</v>
      </c>
      <c r="G2936" s="2" t="str">
        <f>TRIM(Table1[[#This Row],[Typ]])</f>
        <v>Faktura VAT</v>
      </c>
      <c r="H2936" s="2" t="str">
        <f>TRIM(Table1[[#This Row],[Magazyn]])</f>
        <v>Apteka Szpitalna</v>
      </c>
      <c r="I2936" s="2" t="str">
        <f>TRIM(Table1[[#This Row],[Umowa]])</f>
        <v>UM-NOV-02</v>
      </c>
      <c r="J2936" s="2" t="b">
        <f>ISTEXT(Table14[[#This Row],[Data_Wystawienia]])</f>
        <v>0</v>
      </c>
      <c r="K2936" s="2">
        <f>VALUE(SUBSTITUTE(Table14[[#This Row],[Wartość]],".",","))</f>
        <v>9875.58</v>
      </c>
      <c r="L293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6" s="2" t="str">
        <f>IF(Table14[[#This Row],[Umowa]]="","Poza umową","Z umowy")</f>
        <v>Z umowy</v>
      </c>
      <c r="N2936" s="2">
        <f>YEAR(Table14[[#This Row],[Data_Wystawienia]])</f>
        <v>2024</v>
      </c>
      <c r="O2936" s="2" t="str">
        <f>TEXT(Table14[[#This Row],[Data_Wystawienia]],"rrrr-mm")</f>
        <v>2024-12</v>
      </c>
      <c r="P2936" s="2">
        <v>1</v>
      </c>
    </row>
    <row r="2937" spans="1:16" x14ac:dyDescent="0.3">
      <c r="A2937" s="2" t="str">
        <f>TRIM(Table1[[#This Row],[Numer_FV]])</f>
        <v>FV/33/PP/4756/24</v>
      </c>
      <c r="B2937" s="2" t="str">
        <f>TRIM(Table1[[#This Row],[Numer_PZ]])</f>
        <v>PZ/802935</v>
      </c>
      <c r="C2937" s="2" t="str">
        <f>TRIM(Table1[[#This Row],[Dostawca]])</f>
        <v>PharmaPlus</v>
      </c>
      <c r="D2937" s="3">
        <v>45635</v>
      </c>
      <c r="E2937" s="4" t="s">
        <v>8669</v>
      </c>
      <c r="F2937" s="2" t="str">
        <f>TRIM(Table1[[#This Row],[Status]])</f>
        <v>Zaakceptowana</v>
      </c>
      <c r="G2937" s="2" t="str">
        <f>TRIM(Table1[[#This Row],[Typ]])</f>
        <v>Faktura VAT</v>
      </c>
      <c r="H2937" s="2" t="str">
        <f>TRIM(Table1[[#This Row],[Magazyn]])</f>
        <v>Apteka Szpitalna</v>
      </c>
      <c r="I2937" s="2" t="str">
        <f>TRIM(Table1[[#This Row],[Umowa]])</f>
        <v>UM-PHA-02</v>
      </c>
      <c r="J2937" s="2" t="b">
        <f>ISTEXT(Table14[[#This Row],[Data_Wystawienia]])</f>
        <v>0</v>
      </c>
      <c r="K2937" s="2">
        <f>VALUE(SUBSTITUTE(Table14[[#This Row],[Wartość]],".",","))</f>
        <v>19382.27</v>
      </c>
      <c r="L293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7" s="2" t="str">
        <f>IF(Table14[[#This Row],[Umowa]]="","Poza umową","Z umowy")</f>
        <v>Z umowy</v>
      </c>
      <c r="N2937" s="2">
        <f>YEAR(Table14[[#This Row],[Data_Wystawienia]])</f>
        <v>2024</v>
      </c>
      <c r="O2937" s="2" t="str">
        <f>TEXT(Table14[[#This Row],[Data_Wystawienia]],"rrrr-mm")</f>
        <v>2024-12</v>
      </c>
      <c r="P2937" s="2">
        <v>1</v>
      </c>
    </row>
    <row r="2938" spans="1:16" x14ac:dyDescent="0.3">
      <c r="A2938" s="2" t="str">
        <f>TRIM(Table1[[#This Row],[Numer_FV]])</f>
        <v>FV/M/9397/P/24</v>
      </c>
      <c r="B2938" s="2" t="str">
        <f>TRIM(Table1[[#This Row],[Numer_PZ]])</f>
        <v>PZ/802936</v>
      </c>
      <c r="C2938" s="2" t="str">
        <f>TRIM(Table1[[#This Row],[Dostawca]])</f>
        <v>MedicaPharm</v>
      </c>
      <c r="D2938" s="3">
        <v>45635</v>
      </c>
      <c r="E2938" s="4" t="s">
        <v>8672</v>
      </c>
      <c r="F2938" s="2" t="str">
        <f>TRIM(Table1[[#This Row],[Status]])</f>
        <v>Zaakceptowana</v>
      </c>
      <c r="G2938" s="2" t="str">
        <f>TRIM(Table1[[#This Row],[Typ]])</f>
        <v>Faktura VAT</v>
      </c>
      <c r="H2938" s="2" t="str">
        <f>TRIM(Table1[[#This Row],[Magazyn]])</f>
        <v>Apteka Szpitalna</v>
      </c>
      <c r="I2938" s="2" t="str">
        <f>TRIM(Table1[[#This Row],[Umowa]])</f>
        <v>UM-MED-01</v>
      </c>
      <c r="J2938" s="2" t="b">
        <f>ISTEXT(Table14[[#This Row],[Data_Wystawienia]])</f>
        <v>0</v>
      </c>
      <c r="K2938" s="2">
        <f>VALUE(SUBSTITUTE(Table14[[#This Row],[Wartość]],".",","))</f>
        <v>13240.41</v>
      </c>
      <c r="L293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8" s="2" t="str">
        <f>IF(Table14[[#This Row],[Umowa]]="","Poza umową","Z umowy")</f>
        <v>Z umowy</v>
      </c>
      <c r="N2938" s="2">
        <f>YEAR(Table14[[#This Row],[Data_Wystawienia]])</f>
        <v>2024</v>
      </c>
      <c r="O2938" s="2" t="str">
        <f>TEXT(Table14[[#This Row],[Data_Wystawienia]],"rrrr-mm")</f>
        <v>2024-12</v>
      </c>
      <c r="P2938" s="2">
        <v>1</v>
      </c>
    </row>
    <row r="2939" spans="1:16" x14ac:dyDescent="0.3">
      <c r="A2939" s="2" t="str">
        <f>TRIM(Table1[[#This Row],[Numer_FV]])</f>
        <v>FV/CENFA/582939/24</v>
      </c>
      <c r="B2939" s="2" t="str">
        <f>TRIM(Table1[[#This Row],[Numer_PZ]])</f>
        <v>PZ/802937</v>
      </c>
      <c r="C2939" s="2" t="str">
        <f>TRIM(Table1[[#This Row],[Dostawca]])</f>
        <v>CentrumFarm</v>
      </c>
      <c r="D2939" s="3">
        <v>45635</v>
      </c>
      <c r="E2939" s="4" t="s">
        <v>8675</v>
      </c>
      <c r="F2939" s="2" t="str">
        <f>TRIM(Table1[[#This Row],[Status]])</f>
        <v>Zaakceptowana</v>
      </c>
      <c r="G2939" s="2" t="str">
        <f>TRIM(Table1[[#This Row],[Typ]])</f>
        <v>Faktura VAT</v>
      </c>
      <c r="H2939" s="2" t="str">
        <f>TRIM(Table1[[#This Row],[Magazyn]])</f>
        <v>Apteka Szpitalna</v>
      </c>
      <c r="I2939" s="2" t="str">
        <f>TRIM(Table1[[#This Row],[Umowa]])</f>
        <v>UM-CEN-01</v>
      </c>
      <c r="J2939" s="2" t="b">
        <f>ISTEXT(Table14[[#This Row],[Data_Wystawienia]])</f>
        <v>0</v>
      </c>
      <c r="K2939" s="2">
        <f>VALUE(SUBSTITUTE(Table14[[#This Row],[Wartość]],".",","))</f>
        <v>7603.55</v>
      </c>
      <c r="L293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39" s="2" t="str">
        <f>IF(Table14[[#This Row],[Umowa]]="","Poza umową","Z umowy")</f>
        <v>Z umowy</v>
      </c>
      <c r="N2939" s="2">
        <f>YEAR(Table14[[#This Row],[Data_Wystawienia]])</f>
        <v>2024</v>
      </c>
      <c r="O2939" s="2" t="str">
        <f>TEXT(Table14[[#This Row],[Data_Wystawienia]],"rrrr-mm")</f>
        <v>2024-12</v>
      </c>
      <c r="P2939" s="2">
        <v>1</v>
      </c>
    </row>
    <row r="2940" spans="1:16" x14ac:dyDescent="0.3">
      <c r="A2940" s="2" t="str">
        <f>TRIM(Table1[[#This Row],[Numer_FV]])</f>
        <v>FV/CENFA/458905/24</v>
      </c>
      <c r="B2940" s="2" t="str">
        <f>TRIM(Table1[[#This Row],[Numer_PZ]])</f>
        <v>PZ/802938</v>
      </c>
      <c r="C2940" s="2" t="str">
        <f>TRIM(Table1[[#This Row],[Dostawca]])</f>
        <v>CentrumFarm</v>
      </c>
      <c r="D2940" s="3">
        <v>45635</v>
      </c>
      <c r="E2940" s="4" t="s">
        <v>8678</v>
      </c>
      <c r="F2940" s="2" t="str">
        <f>TRIM(Table1[[#This Row],[Status]])</f>
        <v>Zaakceptowana</v>
      </c>
      <c r="G2940" s="2" t="str">
        <f>TRIM(Table1[[#This Row],[Typ]])</f>
        <v>Faktura VAT</v>
      </c>
      <c r="H2940" s="2" t="str">
        <f>TRIM(Table1[[#This Row],[Magazyn]])</f>
        <v>Apteka Szpitalna</v>
      </c>
      <c r="I2940" s="2" t="str">
        <f>TRIM(Table1[[#This Row],[Umowa]])</f>
        <v>UM-CEN-01</v>
      </c>
      <c r="J2940" s="2" t="b">
        <f>ISTEXT(Table14[[#This Row],[Data_Wystawienia]])</f>
        <v>0</v>
      </c>
      <c r="K2940" s="2">
        <f>VALUE(SUBSTITUTE(Table14[[#This Row],[Wartość]],".",","))</f>
        <v>13543.29</v>
      </c>
      <c r="L294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0" s="2" t="str">
        <f>IF(Table14[[#This Row],[Umowa]]="","Poza umową","Z umowy")</f>
        <v>Z umowy</v>
      </c>
      <c r="N2940" s="2">
        <f>YEAR(Table14[[#This Row],[Data_Wystawienia]])</f>
        <v>2024</v>
      </c>
      <c r="O2940" s="2" t="str">
        <f>TEXT(Table14[[#This Row],[Data_Wystawienia]],"rrrr-mm")</f>
        <v>2024-12</v>
      </c>
      <c r="P2940" s="2">
        <v>1</v>
      </c>
    </row>
    <row r="2941" spans="1:16" x14ac:dyDescent="0.3">
      <c r="A2941" s="2" t="str">
        <f>TRIM(Table1[[#This Row],[Numer_FV]])</f>
        <v>FV/6668HM/24</v>
      </c>
      <c r="B2941" s="2" t="str">
        <f>TRIM(Table1[[#This Row],[Numer_PZ]])</f>
        <v>PZ/802939</v>
      </c>
      <c r="C2941" s="2" t="str">
        <f>TRIM(Table1[[#This Row],[Dostawca]])</f>
        <v>HurtMedix</v>
      </c>
      <c r="D2941" s="3">
        <v>45637</v>
      </c>
      <c r="E2941" s="4" t="s">
        <v>8681</v>
      </c>
      <c r="F2941" s="2" t="str">
        <f>TRIM(Table1[[#This Row],[Status]])</f>
        <v>Zaakceptowana</v>
      </c>
      <c r="G2941" s="2" t="str">
        <f>TRIM(Table1[[#This Row],[Typ]])</f>
        <v>Faktura VAT</v>
      </c>
      <c r="H2941" s="2" t="str">
        <f>TRIM(Table1[[#This Row],[Magazyn]])</f>
        <v>Apteka Szpitalna</v>
      </c>
      <c r="I2941" s="2" t="str">
        <f>TRIM(Table1[[#This Row],[Umowa]])</f>
        <v>UM-HUR-02</v>
      </c>
      <c r="J2941" s="2" t="b">
        <f>ISTEXT(Table14[[#This Row],[Data_Wystawienia]])</f>
        <v>0</v>
      </c>
      <c r="K2941" s="2">
        <f>VALUE(SUBSTITUTE(Table14[[#This Row],[Wartość]],".",","))</f>
        <v>18236.62</v>
      </c>
      <c r="L294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1" s="2" t="str">
        <f>IF(Table14[[#This Row],[Umowa]]="","Poza umową","Z umowy")</f>
        <v>Z umowy</v>
      </c>
      <c r="N2941" s="2">
        <f>YEAR(Table14[[#This Row],[Data_Wystawienia]])</f>
        <v>2024</v>
      </c>
      <c r="O2941" s="2" t="str">
        <f>TEXT(Table14[[#This Row],[Data_Wystawienia]],"rrrr-mm")</f>
        <v>2024-12</v>
      </c>
      <c r="P2941" s="2">
        <v>1</v>
      </c>
    </row>
    <row r="2942" spans="1:16" x14ac:dyDescent="0.3">
      <c r="A2942" s="2" t="str">
        <f>TRIM(Table1[[#This Row],[Numer_FV]])</f>
        <v>FV/CENFA/355612/24</v>
      </c>
      <c r="B2942" s="2" t="str">
        <f>TRIM(Table1[[#This Row],[Numer_PZ]])</f>
        <v>PZ/802940</v>
      </c>
      <c r="C2942" s="2" t="str">
        <f>TRIM(Table1[[#This Row],[Dostawca]])</f>
        <v>CentrumFarm</v>
      </c>
      <c r="D2942" s="3">
        <v>45637</v>
      </c>
      <c r="E2942" s="4" t="s">
        <v>8684</v>
      </c>
      <c r="F2942" s="2" t="str">
        <f>TRIM(Table1[[#This Row],[Status]])</f>
        <v>Zaakceptowana</v>
      </c>
      <c r="G2942" s="2" t="str">
        <f>TRIM(Table1[[#This Row],[Typ]])</f>
        <v>Faktura VAT</v>
      </c>
      <c r="H2942" s="2" t="str">
        <f>TRIM(Table1[[#This Row],[Magazyn]])</f>
        <v>Apteka Szpitalna</v>
      </c>
      <c r="I2942" s="2" t="str">
        <f>TRIM(Table1[[#This Row],[Umowa]])</f>
        <v/>
      </c>
      <c r="J2942" s="2" t="b">
        <f>ISTEXT(Table14[[#This Row],[Data_Wystawienia]])</f>
        <v>0</v>
      </c>
      <c r="K2942" s="2">
        <f>VALUE(SUBSTITUTE(Table14[[#This Row],[Wartość]],".",","))</f>
        <v>12644.34</v>
      </c>
      <c r="L294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2" s="2" t="str">
        <f>IF(Table14[[#This Row],[Umowa]]="","Poza umową","Z umowy")</f>
        <v>Poza umową</v>
      </c>
      <c r="N2942" s="2">
        <f>YEAR(Table14[[#This Row],[Data_Wystawienia]])</f>
        <v>2024</v>
      </c>
      <c r="O2942" s="2" t="str">
        <f>TEXT(Table14[[#This Row],[Data_Wystawienia]],"rrrr-mm")</f>
        <v>2024-12</v>
      </c>
      <c r="P2942" s="2">
        <v>1</v>
      </c>
    </row>
    <row r="2943" spans="1:16" x14ac:dyDescent="0.3">
      <c r="A2943" s="2" t="str">
        <f>TRIM(Table1[[#This Row],[Numer_FV]])</f>
        <v>FV/35/PP/8791/24</v>
      </c>
      <c r="B2943" s="2" t="str">
        <f>TRIM(Table1[[#This Row],[Numer_PZ]])</f>
        <v>PZ/802941</v>
      </c>
      <c r="C2943" s="2" t="str">
        <f>TRIM(Table1[[#This Row],[Dostawca]])</f>
        <v>PharmaPlus</v>
      </c>
      <c r="D2943" s="3">
        <v>45637</v>
      </c>
      <c r="E2943" s="4" t="s">
        <v>8687</v>
      </c>
      <c r="F2943" s="2" t="str">
        <f>TRIM(Table1[[#This Row],[Status]])</f>
        <v>Zaakceptowana</v>
      </c>
      <c r="G2943" s="2" t="str">
        <f>TRIM(Table1[[#This Row],[Typ]])</f>
        <v>Faktura VAT</v>
      </c>
      <c r="H2943" s="2" t="str">
        <f>TRIM(Table1[[#This Row],[Magazyn]])</f>
        <v>Apteka Szpitalna</v>
      </c>
      <c r="I2943" s="2" t="str">
        <f>TRIM(Table1[[#This Row],[Umowa]])</f>
        <v>UM-PHA-02</v>
      </c>
      <c r="J2943" s="2" t="b">
        <f>ISTEXT(Table14[[#This Row],[Data_Wystawienia]])</f>
        <v>0</v>
      </c>
      <c r="K2943" s="2">
        <f>VALUE(SUBSTITUTE(Table14[[#This Row],[Wartość]],".",","))</f>
        <v>17545.37</v>
      </c>
      <c r="L294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3" s="2" t="str">
        <f>IF(Table14[[#This Row],[Umowa]]="","Poza umową","Z umowy")</f>
        <v>Z umowy</v>
      </c>
      <c r="N2943" s="2">
        <f>YEAR(Table14[[#This Row],[Data_Wystawienia]])</f>
        <v>2024</v>
      </c>
      <c r="O2943" s="2" t="str">
        <f>TEXT(Table14[[#This Row],[Data_Wystawienia]],"rrrr-mm")</f>
        <v>2024-12</v>
      </c>
      <c r="P2943" s="2">
        <v>1</v>
      </c>
    </row>
    <row r="2944" spans="1:16" x14ac:dyDescent="0.3">
      <c r="A2944" s="2" t="str">
        <f>TRIM(Table1[[#This Row],[Numer_FV]])</f>
        <v>FV/12/PP/9218/24</v>
      </c>
      <c r="B2944" s="2" t="str">
        <f>TRIM(Table1[[#This Row],[Numer_PZ]])</f>
        <v>PZ/802942</v>
      </c>
      <c r="C2944" s="2" t="str">
        <f>TRIM(Table1[[#This Row],[Dostawca]])</f>
        <v>PharmaPlus</v>
      </c>
      <c r="D2944" s="3">
        <v>45637</v>
      </c>
      <c r="E2944" s="4" t="s">
        <v>8690</v>
      </c>
      <c r="F2944" s="2" t="str">
        <f>TRIM(Table1[[#This Row],[Status]])</f>
        <v>Zaakceptowana</v>
      </c>
      <c r="G2944" s="2" t="str">
        <f>TRIM(Table1[[#This Row],[Typ]])</f>
        <v>Faktura VAT</v>
      </c>
      <c r="H2944" s="2" t="str">
        <f>TRIM(Table1[[#This Row],[Magazyn]])</f>
        <v>Apteka Szpitalna</v>
      </c>
      <c r="I2944" s="2" t="str">
        <f>TRIM(Table1[[#This Row],[Umowa]])</f>
        <v/>
      </c>
      <c r="J2944" s="2" t="b">
        <f>ISTEXT(Table14[[#This Row],[Data_Wystawienia]])</f>
        <v>0</v>
      </c>
      <c r="K2944" s="2">
        <f>VALUE(SUBSTITUTE(Table14[[#This Row],[Wartość]],".",","))</f>
        <v>12708.73</v>
      </c>
      <c r="L294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4" s="2" t="str">
        <f>IF(Table14[[#This Row],[Umowa]]="","Poza umową","Z umowy")</f>
        <v>Poza umową</v>
      </c>
      <c r="N2944" s="2">
        <f>YEAR(Table14[[#This Row],[Data_Wystawienia]])</f>
        <v>2024</v>
      </c>
      <c r="O2944" s="2" t="str">
        <f>TEXT(Table14[[#This Row],[Data_Wystawienia]],"rrrr-mm")</f>
        <v>2024-12</v>
      </c>
      <c r="P2944" s="2">
        <v>1</v>
      </c>
    </row>
    <row r="2945" spans="1:16" x14ac:dyDescent="0.3">
      <c r="A2945" s="2" t="str">
        <f>TRIM(Table1[[#This Row],[Numer_FV]])</f>
        <v>FV/POL/52052/2024</v>
      </c>
      <c r="B2945" s="2" t="str">
        <f>TRIM(Table1[[#This Row],[Numer_PZ]])</f>
        <v>PZ/802943</v>
      </c>
      <c r="C2945" s="2" t="str">
        <f>TRIM(Table1[[#This Row],[Dostawca]])</f>
        <v>Polmedica</v>
      </c>
      <c r="D2945" s="3">
        <v>45638</v>
      </c>
      <c r="E2945" s="4" t="s">
        <v>8693</v>
      </c>
      <c r="F2945" s="2" t="str">
        <f>TRIM(Table1[[#This Row],[Status]])</f>
        <v>Zaakceptowana</v>
      </c>
      <c r="G2945" s="2" t="str">
        <f>TRIM(Table1[[#This Row],[Typ]])</f>
        <v>Faktura VAT</v>
      </c>
      <c r="H2945" s="2" t="str">
        <f>TRIM(Table1[[#This Row],[Magazyn]])</f>
        <v>Apteka Szpitalna</v>
      </c>
      <c r="I2945" s="2" t="str">
        <f>TRIM(Table1[[#This Row],[Umowa]])</f>
        <v>UM-POL-03</v>
      </c>
      <c r="J2945" s="2" t="b">
        <f>ISTEXT(Table14[[#This Row],[Data_Wystawienia]])</f>
        <v>0</v>
      </c>
      <c r="K2945" s="2">
        <f>VALUE(SUBSTITUTE(Table14[[#This Row],[Wartość]],".",","))</f>
        <v>13156.12</v>
      </c>
      <c r="L294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5" s="2" t="str">
        <f>IF(Table14[[#This Row],[Umowa]]="","Poza umową","Z umowy")</f>
        <v>Z umowy</v>
      </c>
      <c r="N2945" s="2">
        <f>YEAR(Table14[[#This Row],[Data_Wystawienia]])</f>
        <v>2024</v>
      </c>
      <c r="O2945" s="2" t="str">
        <f>TEXT(Table14[[#This Row],[Data_Wystawienia]],"rrrr-mm")</f>
        <v>2024-12</v>
      </c>
      <c r="P2945" s="2">
        <v>1</v>
      </c>
    </row>
    <row r="2946" spans="1:16" x14ac:dyDescent="0.3">
      <c r="A2946" s="2" t="str">
        <f>TRIM(Table1[[#This Row],[Numer_FV]])</f>
        <v>FV/6554HM/24</v>
      </c>
      <c r="B2946" s="2" t="str">
        <f>TRIM(Table1[[#This Row],[Numer_PZ]])</f>
        <v>PZ/802944</v>
      </c>
      <c r="C2946" s="2" t="str">
        <f>TRIM(Table1[[#This Row],[Dostawca]])</f>
        <v>HurtMedix</v>
      </c>
      <c r="D2946" s="3">
        <v>45638</v>
      </c>
      <c r="E2946" s="4" t="s">
        <v>8696</v>
      </c>
      <c r="F2946" s="2" t="str">
        <f>TRIM(Table1[[#This Row],[Status]])</f>
        <v>Zaakceptowana</v>
      </c>
      <c r="G2946" s="2" t="str">
        <f>TRIM(Table1[[#This Row],[Typ]])</f>
        <v>Faktura VAT</v>
      </c>
      <c r="H2946" s="2" t="str">
        <f>TRIM(Table1[[#This Row],[Magazyn]])</f>
        <v>Apteka Szpitalna</v>
      </c>
      <c r="I2946" s="2" t="str">
        <f>TRIM(Table1[[#This Row],[Umowa]])</f>
        <v>UM-HUR-02</v>
      </c>
      <c r="J2946" s="2" t="b">
        <f>ISTEXT(Table14[[#This Row],[Data_Wystawienia]])</f>
        <v>0</v>
      </c>
      <c r="K2946" s="2">
        <f>VALUE(SUBSTITUTE(Table14[[#This Row],[Wartość]],".",","))</f>
        <v>15128.44</v>
      </c>
      <c r="L294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6" s="2" t="str">
        <f>IF(Table14[[#This Row],[Umowa]]="","Poza umową","Z umowy")</f>
        <v>Z umowy</v>
      </c>
      <c r="N2946" s="2">
        <f>YEAR(Table14[[#This Row],[Data_Wystawienia]])</f>
        <v>2024</v>
      </c>
      <c r="O2946" s="2" t="str">
        <f>TEXT(Table14[[#This Row],[Data_Wystawienia]],"rrrr-mm")</f>
        <v>2024-12</v>
      </c>
      <c r="P2946" s="2">
        <v>1</v>
      </c>
    </row>
    <row r="2947" spans="1:16" x14ac:dyDescent="0.3">
      <c r="A2947" s="2" t="str">
        <f>TRIM(Table1[[#This Row],[Numer_FV]])</f>
        <v>FV/9075HM/24</v>
      </c>
      <c r="B2947" s="2" t="str">
        <f>TRIM(Table1[[#This Row],[Numer_PZ]])</f>
        <v>PZ/802945</v>
      </c>
      <c r="C2947" s="2" t="str">
        <f>TRIM(Table1[[#This Row],[Dostawca]])</f>
        <v>HurtMedix</v>
      </c>
      <c r="D2947" s="3">
        <v>45638</v>
      </c>
      <c r="E2947" s="4" t="s">
        <v>8699</v>
      </c>
      <c r="F2947" s="2" t="str">
        <f>TRIM(Table1[[#This Row],[Status]])</f>
        <v>Zaakceptowana</v>
      </c>
      <c r="G2947" s="2" t="str">
        <f>TRIM(Table1[[#This Row],[Typ]])</f>
        <v>Faktura VAT</v>
      </c>
      <c r="H2947" s="2" t="str">
        <f>TRIM(Table1[[#This Row],[Magazyn]])</f>
        <v>Apteka Szpitalna</v>
      </c>
      <c r="I2947" s="2" t="str">
        <f>TRIM(Table1[[#This Row],[Umowa]])</f>
        <v>UM-HUR-03</v>
      </c>
      <c r="J2947" s="2" t="b">
        <f>ISTEXT(Table14[[#This Row],[Data_Wystawienia]])</f>
        <v>0</v>
      </c>
      <c r="K2947" s="2">
        <f>VALUE(SUBSTITUTE(Table14[[#This Row],[Wartość]],".",","))</f>
        <v>18934.3</v>
      </c>
      <c r="L294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7" s="2" t="str">
        <f>IF(Table14[[#This Row],[Umowa]]="","Poza umową","Z umowy")</f>
        <v>Z umowy</v>
      </c>
      <c r="N2947" s="2">
        <f>YEAR(Table14[[#This Row],[Data_Wystawienia]])</f>
        <v>2024</v>
      </c>
      <c r="O2947" s="2" t="str">
        <f>TEXT(Table14[[#This Row],[Data_Wystawienia]],"rrrr-mm")</f>
        <v>2024-12</v>
      </c>
      <c r="P2947" s="2">
        <v>1</v>
      </c>
    </row>
    <row r="2948" spans="1:16" x14ac:dyDescent="0.3">
      <c r="A2948" s="2" t="str">
        <f>TRIM(Table1[[#This Row],[Numer_FV]])</f>
        <v>FV/19819/VDb/2024</v>
      </c>
      <c r="B2948" s="2" t="str">
        <f>TRIM(Table1[[#This Row],[Numer_PZ]])</f>
        <v>PZ/802946</v>
      </c>
      <c r="C2948" s="2" t="str">
        <f>TRIM(Table1[[#This Row],[Dostawca]])</f>
        <v>VitaDistrib</v>
      </c>
      <c r="D2948" s="3">
        <v>45638</v>
      </c>
      <c r="E2948" s="4" t="s">
        <v>8702</v>
      </c>
      <c r="F2948" s="2" t="str">
        <f>TRIM(Table1[[#This Row],[Status]])</f>
        <v>Zaakceptowana</v>
      </c>
      <c r="G2948" s="2" t="str">
        <f>TRIM(Table1[[#This Row],[Typ]])</f>
        <v>Faktura VAT</v>
      </c>
      <c r="H2948" s="2" t="str">
        <f>TRIM(Table1[[#This Row],[Magazyn]])</f>
        <v>Apteka Szpitalna</v>
      </c>
      <c r="I2948" s="2" t="str">
        <f>TRIM(Table1[[#This Row],[Umowa]])</f>
        <v>UM-VIT-01</v>
      </c>
      <c r="J2948" s="2" t="b">
        <f>ISTEXT(Table14[[#This Row],[Data_Wystawienia]])</f>
        <v>0</v>
      </c>
      <c r="K2948" s="2">
        <f>VALUE(SUBSTITUTE(Table14[[#This Row],[Wartość]],".",","))</f>
        <v>11571.1</v>
      </c>
      <c r="L294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8" s="2" t="str">
        <f>IF(Table14[[#This Row],[Umowa]]="","Poza umową","Z umowy")</f>
        <v>Z umowy</v>
      </c>
      <c r="N2948" s="2">
        <f>YEAR(Table14[[#This Row],[Data_Wystawienia]])</f>
        <v>2024</v>
      </c>
      <c r="O2948" s="2" t="str">
        <f>TEXT(Table14[[#This Row],[Data_Wystawienia]],"rrrr-mm")</f>
        <v>2024-12</v>
      </c>
      <c r="P2948" s="2">
        <v>1</v>
      </c>
    </row>
    <row r="2949" spans="1:16" x14ac:dyDescent="0.3">
      <c r="A2949" s="2" t="str">
        <f>TRIM(Table1[[#This Row],[Numer_FV]])</f>
        <v>FV/POL/14228/2024</v>
      </c>
      <c r="B2949" s="2" t="str">
        <f>TRIM(Table1[[#This Row],[Numer_PZ]])</f>
        <v>PZ/802947</v>
      </c>
      <c r="C2949" s="2" t="str">
        <f>TRIM(Table1[[#This Row],[Dostawca]])</f>
        <v>Polmedica</v>
      </c>
      <c r="D2949" s="3">
        <v>45638</v>
      </c>
      <c r="E2949" s="4" t="s">
        <v>8705</v>
      </c>
      <c r="F2949" s="2" t="str">
        <f>TRIM(Table1[[#This Row],[Status]])</f>
        <v>Zaakceptowana</v>
      </c>
      <c r="G2949" s="2" t="str">
        <f>TRIM(Table1[[#This Row],[Typ]])</f>
        <v>Faktura VAT</v>
      </c>
      <c r="H2949" s="2" t="str">
        <f>TRIM(Table1[[#This Row],[Magazyn]])</f>
        <v>Apteka Szpitalna</v>
      </c>
      <c r="I2949" s="2" t="str">
        <f>TRIM(Table1[[#This Row],[Umowa]])</f>
        <v>UM-POL-01</v>
      </c>
      <c r="J2949" s="2" t="b">
        <f>ISTEXT(Table14[[#This Row],[Data_Wystawienia]])</f>
        <v>0</v>
      </c>
      <c r="K2949" s="2">
        <f>VALUE(SUBSTITUTE(Table14[[#This Row],[Wartość]],".",","))</f>
        <v>8541.75</v>
      </c>
      <c r="L294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49" s="2" t="str">
        <f>IF(Table14[[#This Row],[Umowa]]="","Poza umową","Z umowy")</f>
        <v>Z umowy</v>
      </c>
      <c r="N2949" s="2">
        <f>YEAR(Table14[[#This Row],[Data_Wystawienia]])</f>
        <v>2024</v>
      </c>
      <c r="O2949" s="2" t="str">
        <f>TEXT(Table14[[#This Row],[Data_Wystawienia]],"rrrr-mm")</f>
        <v>2024-12</v>
      </c>
      <c r="P2949" s="2">
        <v>1</v>
      </c>
    </row>
    <row r="2950" spans="1:16" x14ac:dyDescent="0.3">
      <c r="A2950" s="2" t="str">
        <f>TRIM(Table1[[#This Row],[Numer_FV]])</f>
        <v>FV/M/7802/P/24</v>
      </c>
      <c r="B2950" s="2" t="str">
        <f>TRIM(Table1[[#This Row],[Numer_PZ]])</f>
        <v>PZ/802948</v>
      </c>
      <c r="C2950" s="2" t="str">
        <f>TRIM(Table1[[#This Row],[Dostawca]])</f>
        <v>MedicaPharm</v>
      </c>
      <c r="D2950" s="3">
        <v>45639</v>
      </c>
      <c r="E2950" s="4" t="s">
        <v>8708</v>
      </c>
      <c r="F2950" s="2" t="str">
        <f>TRIM(Table1[[#This Row],[Status]])</f>
        <v>Zaakceptowana</v>
      </c>
      <c r="G2950" s="2" t="str">
        <f>TRIM(Table1[[#This Row],[Typ]])</f>
        <v>Faktura VAT</v>
      </c>
      <c r="H2950" s="2" t="str">
        <f>TRIM(Table1[[#This Row],[Magazyn]])</f>
        <v>Apteka Szpitalna</v>
      </c>
      <c r="I2950" s="2" t="str">
        <f>TRIM(Table1[[#This Row],[Umowa]])</f>
        <v>UM-MED-01</v>
      </c>
      <c r="J2950" s="2" t="b">
        <f>ISTEXT(Table14[[#This Row],[Data_Wystawienia]])</f>
        <v>0</v>
      </c>
      <c r="K2950" s="2">
        <f>VALUE(SUBSTITUTE(Table14[[#This Row],[Wartość]],".",","))</f>
        <v>20836.54</v>
      </c>
      <c r="L295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0" s="2" t="str">
        <f>IF(Table14[[#This Row],[Umowa]]="","Poza umową","Z umowy")</f>
        <v>Z umowy</v>
      </c>
      <c r="N2950" s="2">
        <f>YEAR(Table14[[#This Row],[Data_Wystawienia]])</f>
        <v>2024</v>
      </c>
      <c r="O2950" s="2" t="str">
        <f>TEXT(Table14[[#This Row],[Data_Wystawienia]],"rrrr-mm")</f>
        <v>2024-12</v>
      </c>
      <c r="P2950" s="2">
        <v>1</v>
      </c>
    </row>
    <row r="2951" spans="1:16" x14ac:dyDescent="0.3">
      <c r="A2951" s="2" t="str">
        <f>TRIM(Table1[[#This Row],[Numer_FV]])</f>
        <v>FV/9577HM/24</v>
      </c>
      <c r="B2951" s="2" t="str">
        <f>TRIM(Table1[[#This Row],[Numer_PZ]])</f>
        <v>PZ/802949</v>
      </c>
      <c r="C2951" s="2" t="str">
        <f>TRIM(Table1[[#This Row],[Dostawca]])</f>
        <v>HurtMedix</v>
      </c>
      <c r="D2951" s="3">
        <v>45639</v>
      </c>
      <c r="E2951" s="4" t="s">
        <v>8711</v>
      </c>
      <c r="F2951" s="2" t="str">
        <f>TRIM(Table1[[#This Row],[Status]])</f>
        <v>Zaakceptowana</v>
      </c>
      <c r="G2951" s="2" t="str">
        <f>TRIM(Table1[[#This Row],[Typ]])</f>
        <v>Faktura VAT</v>
      </c>
      <c r="H2951" s="2" t="str">
        <f>TRIM(Table1[[#This Row],[Magazyn]])</f>
        <v>Apteka Szpitalna</v>
      </c>
      <c r="I2951" s="2" t="str">
        <f>TRIM(Table1[[#This Row],[Umowa]])</f>
        <v>UM-HUR-03</v>
      </c>
      <c r="J2951" s="2" t="b">
        <f>ISTEXT(Table14[[#This Row],[Data_Wystawienia]])</f>
        <v>0</v>
      </c>
      <c r="K2951" s="2">
        <f>VALUE(SUBSTITUTE(Table14[[#This Row],[Wartość]],".",","))</f>
        <v>16055.08</v>
      </c>
      <c r="L295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1" s="2" t="str">
        <f>IF(Table14[[#This Row],[Umowa]]="","Poza umową","Z umowy")</f>
        <v>Z umowy</v>
      </c>
      <c r="N2951" s="2">
        <f>YEAR(Table14[[#This Row],[Data_Wystawienia]])</f>
        <v>2024</v>
      </c>
      <c r="O2951" s="2" t="str">
        <f>TEXT(Table14[[#This Row],[Data_Wystawienia]],"rrrr-mm")</f>
        <v>2024-12</v>
      </c>
      <c r="P2951" s="2">
        <v>1</v>
      </c>
    </row>
    <row r="2952" spans="1:16" x14ac:dyDescent="0.3">
      <c r="A2952" s="2" t="str">
        <f>TRIM(Table1[[#This Row],[Numer_FV]])</f>
        <v>FV/M/2983/P/24</v>
      </c>
      <c r="B2952" s="2" t="str">
        <f>TRIM(Table1[[#This Row],[Numer_PZ]])</f>
        <v>PZ/802950</v>
      </c>
      <c r="C2952" s="2" t="str">
        <f>TRIM(Table1[[#This Row],[Dostawca]])</f>
        <v>MedicaPharm</v>
      </c>
      <c r="D2952" s="3">
        <v>45641</v>
      </c>
      <c r="E2952" s="4" t="s">
        <v>8714</v>
      </c>
      <c r="F2952" s="2" t="str">
        <f>TRIM(Table1[[#This Row],[Status]])</f>
        <v>Zaakceptowana</v>
      </c>
      <c r="G2952" s="2" t="str">
        <f>TRIM(Table1[[#This Row],[Typ]])</f>
        <v>Faktura VAT</v>
      </c>
      <c r="H2952" s="2" t="str">
        <f>TRIM(Table1[[#This Row],[Magazyn]])</f>
        <v>Apteka Szpitalna</v>
      </c>
      <c r="I2952" s="2" t="str">
        <f>TRIM(Table1[[#This Row],[Umowa]])</f>
        <v>UM-MED-02</v>
      </c>
      <c r="J2952" s="2" t="b">
        <f>ISTEXT(Table14[[#This Row],[Data_Wystawienia]])</f>
        <v>0</v>
      </c>
      <c r="K2952" s="2">
        <f>VALUE(SUBSTITUTE(Table14[[#This Row],[Wartość]],".",","))</f>
        <v>10966.88</v>
      </c>
      <c r="L295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2" s="2" t="str">
        <f>IF(Table14[[#This Row],[Umowa]]="","Poza umową","Z umowy")</f>
        <v>Z umowy</v>
      </c>
      <c r="N2952" s="2">
        <f>YEAR(Table14[[#This Row],[Data_Wystawienia]])</f>
        <v>2024</v>
      </c>
      <c r="O2952" s="2" t="str">
        <f>TEXT(Table14[[#This Row],[Data_Wystawienia]],"rrrr-mm")</f>
        <v>2024-12</v>
      </c>
      <c r="P2952" s="2">
        <v>1</v>
      </c>
    </row>
    <row r="2953" spans="1:16" x14ac:dyDescent="0.3">
      <c r="A2953" s="2" t="str">
        <f>TRIM(Table1[[#This Row],[Numer_FV]])</f>
        <v>FV/93/SAL/24</v>
      </c>
      <c r="B2953" s="2" t="str">
        <f>TRIM(Table1[[#This Row],[Numer_PZ]])</f>
        <v>PZ/802951</v>
      </c>
      <c r="C2953" s="2" t="str">
        <f>TRIM(Table1[[#This Row],[Dostawca]])</f>
        <v>SalusHurt</v>
      </c>
      <c r="D2953" s="3">
        <v>45642</v>
      </c>
      <c r="E2953" s="4" t="s">
        <v>8716</v>
      </c>
      <c r="F2953" s="2" t="str">
        <f>TRIM(Table1[[#This Row],[Status]])</f>
        <v>Zaakceptowana</v>
      </c>
      <c r="G2953" s="2" t="str">
        <f>TRIM(Table1[[#This Row],[Typ]])</f>
        <v>Korekta FV</v>
      </c>
      <c r="H2953" s="2" t="str">
        <f>TRIM(Table1[[#This Row],[Magazyn]])</f>
        <v>Apteka Szpitalna</v>
      </c>
      <c r="I2953" s="2" t="str">
        <f>TRIM(Table1[[#This Row],[Umowa]])</f>
        <v>UM-SAL-01</v>
      </c>
      <c r="J2953" s="2" t="b">
        <f>ISTEXT(Table14[[#This Row],[Data_Wystawienia]])</f>
        <v>0</v>
      </c>
      <c r="K2953" s="2">
        <f>VALUE(SUBSTITUTE(Table14[[#This Row],[Wartość]],".",","))</f>
        <v>-2124.6999999999998</v>
      </c>
      <c r="L295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3" s="2" t="str">
        <f>IF(Table14[[#This Row],[Umowa]]="","Poza umową","Z umowy")</f>
        <v>Z umowy</v>
      </c>
      <c r="N2953" s="2">
        <f>YEAR(Table14[[#This Row],[Data_Wystawienia]])</f>
        <v>2024</v>
      </c>
      <c r="O2953" s="2" t="str">
        <f>TEXT(Table14[[#This Row],[Data_Wystawienia]],"rrrr-mm")</f>
        <v>2024-12</v>
      </c>
      <c r="P2953" s="2">
        <v>1</v>
      </c>
    </row>
    <row r="2954" spans="1:16" x14ac:dyDescent="0.3">
      <c r="A2954" s="2" t="str">
        <f>TRIM(Table1[[#This Row],[Numer_FV]])</f>
        <v>FV/7351HM/24</v>
      </c>
      <c r="B2954" s="2" t="str">
        <f>TRIM(Table1[[#This Row],[Numer_PZ]])</f>
        <v>PZ/802952</v>
      </c>
      <c r="C2954" s="2" t="str">
        <f>TRIM(Table1[[#This Row],[Dostawca]])</f>
        <v>HurtMedix</v>
      </c>
      <c r="D2954" s="3">
        <v>45642</v>
      </c>
      <c r="E2954" s="4" t="s">
        <v>8719</v>
      </c>
      <c r="F2954" s="2" t="str">
        <f>TRIM(Table1[[#This Row],[Status]])</f>
        <v>Zaakceptowana</v>
      </c>
      <c r="G2954" s="2" t="str">
        <f>TRIM(Table1[[#This Row],[Typ]])</f>
        <v>Faktura VAT</v>
      </c>
      <c r="H2954" s="2" t="str">
        <f>TRIM(Table1[[#This Row],[Magazyn]])</f>
        <v>Apteka Szpitalna</v>
      </c>
      <c r="I2954" s="2" t="str">
        <f>TRIM(Table1[[#This Row],[Umowa]])</f>
        <v/>
      </c>
      <c r="J2954" s="2" t="b">
        <f>ISTEXT(Table14[[#This Row],[Data_Wystawienia]])</f>
        <v>0</v>
      </c>
      <c r="K2954" s="2">
        <f>VALUE(SUBSTITUTE(Table14[[#This Row],[Wartość]],".",","))</f>
        <v>10558.51</v>
      </c>
      <c r="L295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4" s="2" t="str">
        <f>IF(Table14[[#This Row],[Umowa]]="","Poza umową","Z umowy")</f>
        <v>Poza umową</v>
      </c>
      <c r="N2954" s="2">
        <f>YEAR(Table14[[#This Row],[Data_Wystawienia]])</f>
        <v>2024</v>
      </c>
      <c r="O2954" s="2" t="str">
        <f>TEXT(Table14[[#This Row],[Data_Wystawienia]],"rrrr-mm")</f>
        <v>2024-12</v>
      </c>
      <c r="P2954" s="2">
        <v>1</v>
      </c>
    </row>
    <row r="2955" spans="1:16" x14ac:dyDescent="0.3">
      <c r="A2955" s="2" t="str">
        <f>TRIM(Table1[[#This Row],[Numer_FV]])</f>
        <v>FV/8118HM/24</v>
      </c>
      <c r="B2955" s="2" t="str">
        <f>TRIM(Table1[[#This Row],[Numer_PZ]])</f>
        <v>PZ/802953</v>
      </c>
      <c r="C2955" s="2" t="str">
        <f>TRIM(Table1[[#This Row],[Dostawca]])</f>
        <v>HurtMedix</v>
      </c>
      <c r="D2955" s="3">
        <v>45642</v>
      </c>
      <c r="E2955" s="4" t="s">
        <v>8722</v>
      </c>
      <c r="F2955" s="2" t="str">
        <f>TRIM(Table1[[#This Row],[Status]])</f>
        <v>Zaakceptowana</v>
      </c>
      <c r="G2955" s="2" t="str">
        <f>TRIM(Table1[[#This Row],[Typ]])</f>
        <v>Korekta FV</v>
      </c>
      <c r="H2955" s="2" t="str">
        <f>TRIM(Table1[[#This Row],[Magazyn]])</f>
        <v>Apteka Szpitalna</v>
      </c>
      <c r="I2955" s="2" t="str">
        <f>TRIM(Table1[[#This Row],[Umowa]])</f>
        <v>UM-HUR-01</v>
      </c>
      <c r="J2955" s="2" t="b">
        <f>ISTEXT(Table14[[#This Row],[Data_Wystawienia]])</f>
        <v>0</v>
      </c>
      <c r="K2955" s="2">
        <f>VALUE(SUBSTITUTE(Table14[[#This Row],[Wartość]],".",","))</f>
        <v>-932.02</v>
      </c>
      <c r="L295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5" s="2" t="str">
        <f>IF(Table14[[#This Row],[Umowa]]="","Poza umową","Z umowy")</f>
        <v>Z umowy</v>
      </c>
      <c r="N2955" s="2">
        <f>YEAR(Table14[[#This Row],[Data_Wystawienia]])</f>
        <v>2024</v>
      </c>
      <c r="O2955" s="2" t="str">
        <f>TEXT(Table14[[#This Row],[Data_Wystawienia]],"rrrr-mm")</f>
        <v>2024-12</v>
      </c>
      <c r="P2955" s="2">
        <v>1</v>
      </c>
    </row>
    <row r="2956" spans="1:16" x14ac:dyDescent="0.3">
      <c r="A2956" s="2" t="str">
        <f>TRIM(Table1[[#This Row],[Numer_FV]])</f>
        <v>FV/45537/VDb/2024</v>
      </c>
      <c r="B2956" s="2" t="str">
        <f>TRIM(Table1[[#This Row],[Numer_PZ]])</f>
        <v>PZ/802954</v>
      </c>
      <c r="C2956" s="2" t="str">
        <f>TRIM(Table1[[#This Row],[Dostawca]])</f>
        <v>VitaDistrib</v>
      </c>
      <c r="D2956" s="3">
        <v>45643</v>
      </c>
      <c r="E2956" s="4" t="s">
        <v>8725</v>
      </c>
      <c r="F2956" s="2" t="str">
        <f>TRIM(Table1[[#This Row],[Status]])</f>
        <v>Zaakceptowana</v>
      </c>
      <c r="G2956" s="2" t="str">
        <f>TRIM(Table1[[#This Row],[Typ]])</f>
        <v>Faktura VAT</v>
      </c>
      <c r="H2956" s="2" t="str">
        <f>TRIM(Table1[[#This Row],[Magazyn]])</f>
        <v>Apteka Szpitalna</v>
      </c>
      <c r="I2956" s="2" t="str">
        <f>TRIM(Table1[[#This Row],[Umowa]])</f>
        <v>UM-VIT-01</v>
      </c>
      <c r="J2956" s="2" t="b">
        <f>ISTEXT(Table14[[#This Row],[Data_Wystawienia]])</f>
        <v>0</v>
      </c>
      <c r="K2956" s="2">
        <f>VALUE(SUBSTITUTE(Table14[[#This Row],[Wartość]],".",","))</f>
        <v>14668.45</v>
      </c>
      <c r="L295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6" s="2" t="str">
        <f>IF(Table14[[#This Row],[Umowa]]="","Poza umową","Z umowy")</f>
        <v>Z umowy</v>
      </c>
      <c r="N2956" s="2">
        <f>YEAR(Table14[[#This Row],[Data_Wystawienia]])</f>
        <v>2024</v>
      </c>
      <c r="O2956" s="2" t="str">
        <f>TEXT(Table14[[#This Row],[Data_Wystawienia]],"rrrr-mm")</f>
        <v>2024-12</v>
      </c>
      <c r="P2956" s="2">
        <v>1</v>
      </c>
    </row>
    <row r="2957" spans="1:16" x14ac:dyDescent="0.3">
      <c r="A2957" s="2" t="str">
        <f>TRIM(Table1[[#This Row],[Numer_FV]])</f>
        <v>FV/9681/NOVA/24</v>
      </c>
      <c r="B2957" s="2" t="str">
        <f>TRIM(Table1[[#This Row],[Numer_PZ]])</f>
        <v>PZ/802955</v>
      </c>
      <c r="C2957" s="2" t="str">
        <f>TRIM(Table1[[#This Row],[Dostawca]])</f>
        <v>NovaLek</v>
      </c>
      <c r="D2957" s="3">
        <v>45644</v>
      </c>
      <c r="E2957" s="4" t="s">
        <v>8728</v>
      </c>
      <c r="F2957" s="2" t="str">
        <f>TRIM(Table1[[#This Row],[Status]])</f>
        <v>Zaakceptowana</v>
      </c>
      <c r="G2957" s="2" t="str">
        <f>TRIM(Table1[[#This Row],[Typ]])</f>
        <v>Faktura VAT</v>
      </c>
      <c r="H2957" s="2" t="str">
        <f>TRIM(Table1[[#This Row],[Magazyn]])</f>
        <v>Apteka Szpitalna</v>
      </c>
      <c r="I2957" s="2" t="str">
        <f>TRIM(Table1[[#This Row],[Umowa]])</f>
        <v>UM-NOV-01</v>
      </c>
      <c r="J2957" s="2" t="b">
        <f>ISTEXT(Table14[[#This Row],[Data_Wystawienia]])</f>
        <v>0</v>
      </c>
      <c r="K2957" s="2">
        <f>VALUE(SUBSTITUTE(Table14[[#This Row],[Wartość]],".",","))</f>
        <v>24573.59</v>
      </c>
      <c r="L295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7" s="2" t="str">
        <f>IF(Table14[[#This Row],[Umowa]]="","Poza umową","Z umowy")</f>
        <v>Z umowy</v>
      </c>
      <c r="N2957" s="2">
        <f>YEAR(Table14[[#This Row],[Data_Wystawienia]])</f>
        <v>2024</v>
      </c>
      <c r="O2957" s="2" t="str">
        <f>TEXT(Table14[[#This Row],[Data_Wystawienia]],"rrrr-mm")</f>
        <v>2024-12</v>
      </c>
      <c r="P2957" s="2">
        <v>1</v>
      </c>
    </row>
    <row r="2958" spans="1:16" x14ac:dyDescent="0.3">
      <c r="A2958" s="2" t="str">
        <f>TRIM(Table1[[#This Row],[Numer_FV]])</f>
        <v>FV/19/SAL/24</v>
      </c>
      <c r="B2958" s="2" t="str">
        <f>TRIM(Table1[[#This Row],[Numer_PZ]])</f>
        <v>PZ/802956</v>
      </c>
      <c r="C2958" s="2" t="str">
        <f>TRIM(Table1[[#This Row],[Dostawca]])</f>
        <v>SalusHurt</v>
      </c>
      <c r="D2958" s="3">
        <v>45644</v>
      </c>
      <c r="E2958" s="4" t="s">
        <v>8730</v>
      </c>
      <c r="F2958" s="2" t="str">
        <f>TRIM(Table1[[#This Row],[Status]])</f>
        <v>Zaakceptowana</v>
      </c>
      <c r="G2958" s="2" t="str">
        <f>TRIM(Table1[[#This Row],[Typ]])</f>
        <v>Faktura VAT</v>
      </c>
      <c r="H2958" s="2" t="str">
        <f>TRIM(Table1[[#This Row],[Magazyn]])</f>
        <v>Apteka Szpitalna</v>
      </c>
      <c r="I2958" s="2" t="str">
        <f>TRIM(Table1[[#This Row],[Umowa]])</f>
        <v>UM-SAL-01</v>
      </c>
      <c r="J2958" s="2" t="b">
        <f>ISTEXT(Table14[[#This Row],[Data_Wystawienia]])</f>
        <v>0</v>
      </c>
      <c r="K2958" s="2">
        <f>VALUE(SUBSTITUTE(Table14[[#This Row],[Wartość]],".",","))</f>
        <v>10025.370000000001</v>
      </c>
      <c r="L295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8" s="2" t="str">
        <f>IF(Table14[[#This Row],[Umowa]]="","Poza umową","Z umowy")</f>
        <v>Z umowy</v>
      </c>
      <c r="N2958" s="2">
        <f>YEAR(Table14[[#This Row],[Data_Wystawienia]])</f>
        <v>2024</v>
      </c>
      <c r="O2958" s="2" t="str">
        <f>TEXT(Table14[[#This Row],[Data_Wystawienia]],"rrrr-mm")</f>
        <v>2024-12</v>
      </c>
      <c r="P2958" s="2">
        <v>1</v>
      </c>
    </row>
    <row r="2959" spans="1:16" x14ac:dyDescent="0.3">
      <c r="A2959" s="2" t="str">
        <f>TRIM(Table1[[#This Row],[Numer_FV]])</f>
        <v>FV/1503HM/24</v>
      </c>
      <c r="B2959" s="2" t="str">
        <f>TRIM(Table1[[#This Row],[Numer_PZ]])</f>
        <v>PZ/802957</v>
      </c>
      <c r="C2959" s="2" t="str">
        <f>TRIM(Table1[[#This Row],[Dostawca]])</f>
        <v>HurtMedix</v>
      </c>
      <c r="D2959" s="3">
        <v>45645</v>
      </c>
      <c r="E2959" s="4" t="s">
        <v>8733</v>
      </c>
      <c r="F2959" s="2" t="str">
        <f>TRIM(Table1[[#This Row],[Status]])</f>
        <v>Zaakceptowana</v>
      </c>
      <c r="G2959" s="2" t="str">
        <f>TRIM(Table1[[#This Row],[Typ]])</f>
        <v>Faktura VAT</v>
      </c>
      <c r="H2959" s="2" t="str">
        <f>TRIM(Table1[[#This Row],[Magazyn]])</f>
        <v>Apteka Szpitalna</v>
      </c>
      <c r="I2959" s="2" t="str">
        <f>TRIM(Table1[[#This Row],[Umowa]])</f>
        <v>UM-HUR-01</v>
      </c>
      <c r="J2959" s="2" t="b">
        <f>ISTEXT(Table14[[#This Row],[Data_Wystawienia]])</f>
        <v>0</v>
      </c>
      <c r="K2959" s="2">
        <f>VALUE(SUBSTITUTE(Table14[[#This Row],[Wartość]],".",","))</f>
        <v>24863.66</v>
      </c>
      <c r="L295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59" s="2" t="str">
        <f>IF(Table14[[#This Row],[Umowa]]="","Poza umową","Z umowy")</f>
        <v>Z umowy</v>
      </c>
      <c r="N2959" s="2">
        <f>YEAR(Table14[[#This Row],[Data_Wystawienia]])</f>
        <v>2024</v>
      </c>
      <c r="O2959" s="2" t="str">
        <f>TEXT(Table14[[#This Row],[Data_Wystawienia]],"rrrr-mm")</f>
        <v>2024-12</v>
      </c>
      <c r="P2959" s="2">
        <v>1</v>
      </c>
    </row>
    <row r="2960" spans="1:16" x14ac:dyDescent="0.3">
      <c r="A2960" s="2" t="str">
        <f>TRIM(Table1[[#This Row],[Numer_FV]])</f>
        <v>FV/8609/NOVA/24</v>
      </c>
      <c r="B2960" s="2" t="str">
        <f>TRIM(Table1[[#This Row],[Numer_PZ]])</f>
        <v>PZ/802958</v>
      </c>
      <c r="C2960" s="2" t="str">
        <f>TRIM(Table1[[#This Row],[Dostawca]])</f>
        <v>NovaLek</v>
      </c>
      <c r="D2960" s="3">
        <v>45645</v>
      </c>
      <c r="E2960" s="4" t="s">
        <v>8736</v>
      </c>
      <c r="F2960" s="2" t="str">
        <f>TRIM(Table1[[#This Row],[Status]])</f>
        <v>Zaakceptowana</v>
      </c>
      <c r="G2960" s="2" t="str">
        <f>TRIM(Table1[[#This Row],[Typ]])</f>
        <v>Faktura VAT</v>
      </c>
      <c r="H2960" s="2" t="str">
        <f>TRIM(Table1[[#This Row],[Magazyn]])</f>
        <v>Apteka Szpitalna</v>
      </c>
      <c r="I2960" s="2" t="str">
        <f>TRIM(Table1[[#This Row],[Umowa]])</f>
        <v/>
      </c>
      <c r="J2960" s="2" t="b">
        <f>ISTEXT(Table14[[#This Row],[Data_Wystawienia]])</f>
        <v>0</v>
      </c>
      <c r="K2960" s="2">
        <f>VALUE(SUBSTITUTE(Table14[[#This Row],[Wartość]],".",","))</f>
        <v>18401.3</v>
      </c>
      <c r="L296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0" s="2" t="str">
        <f>IF(Table14[[#This Row],[Umowa]]="","Poza umową","Z umowy")</f>
        <v>Poza umową</v>
      </c>
      <c r="N2960" s="2">
        <f>YEAR(Table14[[#This Row],[Data_Wystawienia]])</f>
        <v>2024</v>
      </c>
      <c r="O2960" s="2" t="str">
        <f>TEXT(Table14[[#This Row],[Data_Wystawienia]],"rrrr-mm")</f>
        <v>2024-12</v>
      </c>
      <c r="P2960" s="2">
        <v>1</v>
      </c>
    </row>
    <row r="2961" spans="1:16" x14ac:dyDescent="0.3">
      <c r="A2961" s="2" t="str">
        <f>TRIM(Table1[[#This Row],[Numer_FV]])</f>
        <v>FV/2940/NOVA/24</v>
      </c>
      <c r="B2961" s="2" t="str">
        <f>TRIM(Table1[[#This Row],[Numer_PZ]])</f>
        <v>PZ/802959</v>
      </c>
      <c r="C2961" s="2" t="str">
        <f>TRIM(Table1[[#This Row],[Dostawca]])</f>
        <v>NovaLek</v>
      </c>
      <c r="D2961" s="3">
        <v>45645</v>
      </c>
      <c r="E2961" s="4" t="s">
        <v>8739</v>
      </c>
      <c r="F2961" s="2" t="str">
        <f>TRIM(Table1[[#This Row],[Status]])</f>
        <v>Zaakceptowana</v>
      </c>
      <c r="G2961" s="2" t="str">
        <f>TRIM(Table1[[#This Row],[Typ]])</f>
        <v>Faktura VAT</v>
      </c>
      <c r="H2961" s="2" t="str">
        <f>TRIM(Table1[[#This Row],[Magazyn]])</f>
        <v>Apteka Szpitalna</v>
      </c>
      <c r="I2961" s="2" t="str">
        <f>TRIM(Table1[[#This Row],[Umowa]])</f>
        <v>UM-NOV-02</v>
      </c>
      <c r="J2961" s="2" t="b">
        <f>ISTEXT(Table14[[#This Row],[Data_Wystawienia]])</f>
        <v>0</v>
      </c>
      <c r="K2961" s="2">
        <f>VALUE(SUBSTITUTE(Table14[[#This Row],[Wartość]],".",","))</f>
        <v>19617.09</v>
      </c>
      <c r="L296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1" s="2" t="str">
        <f>IF(Table14[[#This Row],[Umowa]]="","Poza umową","Z umowy")</f>
        <v>Z umowy</v>
      </c>
      <c r="N2961" s="2">
        <f>YEAR(Table14[[#This Row],[Data_Wystawienia]])</f>
        <v>2024</v>
      </c>
      <c r="O2961" s="2" t="str">
        <f>TEXT(Table14[[#This Row],[Data_Wystawienia]],"rrrr-mm")</f>
        <v>2024-12</v>
      </c>
      <c r="P2961" s="2">
        <v>1</v>
      </c>
    </row>
    <row r="2962" spans="1:16" x14ac:dyDescent="0.3">
      <c r="A2962" s="2" t="str">
        <f>TRIM(Table1[[#This Row],[Numer_FV]])</f>
        <v>FV/7673/NOVA/24</v>
      </c>
      <c r="B2962" s="2" t="str">
        <f>TRIM(Table1[[#This Row],[Numer_PZ]])</f>
        <v>PZ/802960</v>
      </c>
      <c r="C2962" s="2" t="str">
        <f>TRIM(Table1[[#This Row],[Dostawca]])</f>
        <v>NovaLek</v>
      </c>
      <c r="D2962" s="3">
        <v>45645</v>
      </c>
      <c r="E2962" s="4" t="s">
        <v>8742</v>
      </c>
      <c r="F2962" s="2" t="str">
        <f>TRIM(Table1[[#This Row],[Status]])</f>
        <v>Zaakceptowana</v>
      </c>
      <c r="G2962" s="2" t="str">
        <f>TRIM(Table1[[#This Row],[Typ]])</f>
        <v>Faktura VAT</v>
      </c>
      <c r="H2962" s="2" t="str">
        <f>TRIM(Table1[[#This Row],[Magazyn]])</f>
        <v>Apteka Szpitalna</v>
      </c>
      <c r="I2962" s="2" t="str">
        <f>TRIM(Table1[[#This Row],[Umowa]])</f>
        <v>UM-NOV-02</v>
      </c>
      <c r="J2962" s="2" t="b">
        <f>ISTEXT(Table14[[#This Row],[Data_Wystawienia]])</f>
        <v>0</v>
      </c>
      <c r="K2962" s="2">
        <f>VALUE(SUBSTITUTE(Table14[[#This Row],[Wartość]],".",","))</f>
        <v>10477.85</v>
      </c>
      <c r="L296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2" s="2" t="str">
        <f>IF(Table14[[#This Row],[Umowa]]="","Poza umową","Z umowy")</f>
        <v>Z umowy</v>
      </c>
      <c r="N2962" s="2">
        <f>YEAR(Table14[[#This Row],[Data_Wystawienia]])</f>
        <v>2024</v>
      </c>
      <c r="O2962" s="2" t="str">
        <f>TEXT(Table14[[#This Row],[Data_Wystawienia]],"rrrr-mm")</f>
        <v>2024-12</v>
      </c>
      <c r="P2962" s="2">
        <v>1</v>
      </c>
    </row>
    <row r="2963" spans="1:16" x14ac:dyDescent="0.3">
      <c r="A2963" s="2" t="str">
        <f>TRIM(Table1[[#This Row],[Numer_FV]])</f>
        <v>FV/CENFA/801329/24</v>
      </c>
      <c r="B2963" s="2" t="str">
        <f>TRIM(Table1[[#This Row],[Numer_PZ]])</f>
        <v>PZ/802961</v>
      </c>
      <c r="C2963" s="2" t="str">
        <f>TRIM(Table1[[#This Row],[Dostawca]])</f>
        <v>CentrumFarm</v>
      </c>
      <c r="D2963" s="3">
        <v>45645</v>
      </c>
      <c r="E2963" s="4" t="s">
        <v>8745</v>
      </c>
      <c r="F2963" s="2" t="str">
        <f>TRIM(Table1[[#This Row],[Status]])</f>
        <v>Zaakceptowana</v>
      </c>
      <c r="G2963" s="2" t="str">
        <f>TRIM(Table1[[#This Row],[Typ]])</f>
        <v>Faktura VAT</v>
      </c>
      <c r="H2963" s="2" t="str">
        <f>TRIM(Table1[[#This Row],[Magazyn]])</f>
        <v>Apteka Szpitalna</v>
      </c>
      <c r="I2963" s="2" t="str">
        <f>TRIM(Table1[[#This Row],[Umowa]])</f>
        <v>UM-CEN-02</v>
      </c>
      <c r="J2963" s="2" t="b">
        <f>ISTEXT(Table14[[#This Row],[Data_Wystawienia]])</f>
        <v>0</v>
      </c>
      <c r="K2963" s="2">
        <f>VALUE(SUBSTITUTE(Table14[[#This Row],[Wartość]],".",","))</f>
        <v>8636.25</v>
      </c>
      <c r="L296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3" s="2" t="str">
        <f>IF(Table14[[#This Row],[Umowa]]="","Poza umową","Z umowy")</f>
        <v>Z umowy</v>
      </c>
      <c r="N2963" s="2">
        <f>YEAR(Table14[[#This Row],[Data_Wystawienia]])</f>
        <v>2024</v>
      </c>
      <c r="O2963" s="2" t="str">
        <f>TEXT(Table14[[#This Row],[Data_Wystawienia]],"rrrr-mm")</f>
        <v>2024-12</v>
      </c>
      <c r="P2963" s="2">
        <v>1</v>
      </c>
    </row>
    <row r="2964" spans="1:16" x14ac:dyDescent="0.3">
      <c r="A2964" s="2" t="str">
        <f>TRIM(Table1[[#This Row],[Numer_FV]])</f>
        <v>FV/25003/VDb/2024</v>
      </c>
      <c r="B2964" s="2" t="str">
        <f>TRIM(Table1[[#This Row],[Numer_PZ]])</f>
        <v>PZ/802962</v>
      </c>
      <c r="C2964" s="2" t="str">
        <f>TRIM(Table1[[#This Row],[Dostawca]])</f>
        <v>VitaDistrib</v>
      </c>
      <c r="D2964" s="3">
        <v>45646</v>
      </c>
      <c r="E2964" s="4" t="s">
        <v>8748</v>
      </c>
      <c r="F2964" s="2" t="str">
        <f>TRIM(Table1[[#This Row],[Status]])</f>
        <v>Zaakceptowana</v>
      </c>
      <c r="G2964" s="2" t="str">
        <f>TRIM(Table1[[#This Row],[Typ]])</f>
        <v>Faktura VAT</v>
      </c>
      <c r="H2964" s="2" t="str">
        <f>TRIM(Table1[[#This Row],[Magazyn]])</f>
        <v>Apteka Szpitalna</v>
      </c>
      <c r="I2964" s="2" t="str">
        <f>TRIM(Table1[[#This Row],[Umowa]])</f>
        <v>UM-VIT-01</v>
      </c>
      <c r="J2964" s="2" t="b">
        <f>ISTEXT(Table14[[#This Row],[Data_Wystawienia]])</f>
        <v>0</v>
      </c>
      <c r="K2964" s="2">
        <f>VALUE(SUBSTITUTE(Table14[[#This Row],[Wartość]],".",","))</f>
        <v>18589.349999999999</v>
      </c>
      <c r="L296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4" s="2" t="str">
        <f>IF(Table14[[#This Row],[Umowa]]="","Poza umową","Z umowy")</f>
        <v>Z umowy</v>
      </c>
      <c r="N2964" s="2">
        <f>YEAR(Table14[[#This Row],[Data_Wystawienia]])</f>
        <v>2024</v>
      </c>
      <c r="O2964" s="2" t="str">
        <f>TEXT(Table14[[#This Row],[Data_Wystawienia]],"rrrr-mm")</f>
        <v>2024-12</v>
      </c>
      <c r="P2964" s="2">
        <v>1</v>
      </c>
    </row>
    <row r="2965" spans="1:16" x14ac:dyDescent="0.3">
      <c r="A2965" s="2" t="str">
        <f>TRIM(Table1[[#This Row],[Numer_FV]])</f>
        <v>FV/M/1322/P/24</v>
      </c>
      <c r="B2965" s="2" t="str">
        <f>TRIM(Table1[[#This Row],[Numer_PZ]])</f>
        <v>PZ/802963</v>
      </c>
      <c r="C2965" s="2" t="str">
        <f>TRIM(Table1[[#This Row],[Dostawca]])</f>
        <v>MedicaPharm</v>
      </c>
      <c r="D2965" s="3">
        <v>45646</v>
      </c>
      <c r="E2965" s="4" t="s">
        <v>8751</v>
      </c>
      <c r="F2965" s="2" t="str">
        <f>TRIM(Table1[[#This Row],[Status]])</f>
        <v>Zaakceptowana</v>
      </c>
      <c r="G2965" s="2" t="str">
        <f>TRIM(Table1[[#This Row],[Typ]])</f>
        <v>Faktura VAT</v>
      </c>
      <c r="H2965" s="2" t="str">
        <f>TRIM(Table1[[#This Row],[Magazyn]])</f>
        <v>Apteka Szpitalna</v>
      </c>
      <c r="I2965" s="2" t="str">
        <f>TRIM(Table1[[#This Row],[Umowa]])</f>
        <v>UM-MED-01</v>
      </c>
      <c r="J2965" s="2" t="b">
        <f>ISTEXT(Table14[[#This Row],[Data_Wystawienia]])</f>
        <v>0</v>
      </c>
      <c r="K2965" s="2">
        <f>VALUE(SUBSTITUTE(Table14[[#This Row],[Wartość]],".",","))</f>
        <v>15140.81</v>
      </c>
      <c r="L296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5" s="2" t="str">
        <f>IF(Table14[[#This Row],[Umowa]]="","Poza umową","Z umowy")</f>
        <v>Z umowy</v>
      </c>
      <c r="N2965" s="2">
        <f>YEAR(Table14[[#This Row],[Data_Wystawienia]])</f>
        <v>2024</v>
      </c>
      <c r="O2965" s="2" t="str">
        <f>TEXT(Table14[[#This Row],[Data_Wystawienia]],"rrrr-mm")</f>
        <v>2024-12</v>
      </c>
      <c r="P2965" s="2">
        <v>1</v>
      </c>
    </row>
    <row r="2966" spans="1:16" x14ac:dyDescent="0.3">
      <c r="A2966" s="2" t="str">
        <f>TRIM(Table1[[#This Row],[Numer_FV]])</f>
        <v>FV/25/SAL/24</v>
      </c>
      <c r="B2966" s="2" t="str">
        <f>TRIM(Table1[[#This Row],[Numer_PZ]])</f>
        <v>PZ/802964</v>
      </c>
      <c r="C2966" s="2" t="str">
        <f>TRIM(Table1[[#This Row],[Dostawca]])</f>
        <v>SalusHurt</v>
      </c>
      <c r="D2966" s="3">
        <v>45646</v>
      </c>
      <c r="E2966" s="4" t="s">
        <v>8753</v>
      </c>
      <c r="F2966" s="2" t="str">
        <f>TRIM(Table1[[#This Row],[Status]])</f>
        <v>Zaakceptowana</v>
      </c>
      <c r="G2966" s="2" t="str">
        <f>TRIM(Table1[[#This Row],[Typ]])</f>
        <v>Faktura VAT</v>
      </c>
      <c r="H2966" s="2" t="str">
        <f>TRIM(Table1[[#This Row],[Magazyn]])</f>
        <v>Apteka Szpitalna</v>
      </c>
      <c r="I2966" s="2" t="str">
        <f>TRIM(Table1[[#This Row],[Umowa]])</f>
        <v>UM-SAL-02</v>
      </c>
      <c r="J2966" s="2" t="b">
        <f>ISTEXT(Table14[[#This Row],[Data_Wystawienia]])</f>
        <v>0</v>
      </c>
      <c r="K2966" s="2">
        <f>VALUE(SUBSTITUTE(Table14[[#This Row],[Wartość]],".",","))</f>
        <v>10258.64</v>
      </c>
      <c r="L296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6" s="2" t="str">
        <f>IF(Table14[[#This Row],[Umowa]]="","Poza umową","Z umowy")</f>
        <v>Z umowy</v>
      </c>
      <c r="N2966" s="2">
        <f>YEAR(Table14[[#This Row],[Data_Wystawienia]])</f>
        <v>2024</v>
      </c>
      <c r="O2966" s="2" t="str">
        <f>TEXT(Table14[[#This Row],[Data_Wystawienia]],"rrrr-mm")</f>
        <v>2024-12</v>
      </c>
      <c r="P2966" s="2">
        <v>1</v>
      </c>
    </row>
    <row r="2967" spans="1:16" x14ac:dyDescent="0.3">
      <c r="A2967" s="2" t="str">
        <f>TRIM(Table1[[#This Row],[Numer_FV]])</f>
        <v>FV/M/6156/P/24</v>
      </c>
      <c r="B2967" s="2" t="str">
        <f>TRIM(Table1[[#This Row],[Numer_PZ]])</f>
        <v>PZ/802965</v>
      </c>
      <c r="C2967" s="2" t="str">
        <f>TRIM(Table1[[#This Row],[Dostawca]])</f>
        <v>MedicaPharm</v>
      </c>
      <c r="D2967" s="3">
        <v>45647</v>
      </c>
      <c r="E2967" s="4" t="s">
        <v>8756</v>
      </c>
      <c r="F2967" s="2" t="str">
        <f>TRIM(Table1[[#This Row],[Status]])</f>
        <v>Zaakceptowana</v>
      </c>
      <c r="G2967" s="2" t="str">
        <f>TRIM(Table1[[#This Row],[Typ]])</f>
        <v>Faktura VAT</v>
      </c>
      <c r="H2967" s="2" t="str">
        <f>TRIM(Table1[[#This Row],[Magazyn]])</f>
        <v>Apteka Szpitalna</v>
      </c>
      <c r="I2967" s="2" t="str">
        <f>TRIM(Table1[[#This Row],[Umowa]])</f>
        <v>UM-MED-01</v>
      </c>
      <c r="J2967" s="2" t="b">
        <f>ISTEXT(Table14[[#This Row],[Data_Wystawienia]])</f>
        <v>0</v>
      </c>
      <c r="K2967" s="2">
        <f>VALUE(SUBSTITUTE(Table14[[#This Row],[Wartość]],".",","))</f>
        <v>11496.32</v>
      </c>
      <c r="L296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7" s="2" t="str">
        <f>IF(Table14[[#This Row],[Umowa]]="","Poza umową","Z umowy")</f>
        <v>Z umowy</v>
      </c>
      <c r="N2967" s="2">
        <f>YEAR(Table14[[#This Row],[Data_Wystawienia]])</f>
        <v>2024</v>
      </c>
      <c r="O2967" s="2" t="str">
        <f>TEXT(Table14[[#This Row],[Data_Wystawienia]],"rrrr-mm")</f>
        <v>2024-12</v>
      </c>
      <c r="P2967" s="2">
        <v>1</v>
      </c>
    </row>
    <row r="2968" spans="1:16" x14ac:dyDescent="0.3">
      <c r="A2968" s="2" t="str">
        <f>TRIM(Table1[[#This Row],[Numer_FV]])</f>
        <v>FV/M/4025/P/24</v>
      </c>
      <c r="B2968" s="2" t="str">
        <f>TRIM(Table1[[#This Row],[Numer_PZ]])</f>
        <v>PZ/802966</v>
      </c>
      <c r="C2968" s="2" t="str">
        <f>TRIM(Table1[[#This Row],[Dostawca]])</f>
        <v>MedicaPharm</v>
      </c>
      <c r="D2968" s="3">
        <v>45647</v>
      </c>
      <c r="E2968" s="4" t="s">
        <v>8759</v>
      </c>
      <c r="F2968" s="2" t="str">
        <f>TRIM(Table1[[#This Row],[Status]])</f>
        <v>Zaakceptowana</v>
      </c>
      <c r="G2968" s="2" t="str">
        <f>TRIM(Table1[[#This Row],[Typ]])</f>
        <v>Faktura VAT</v>
      </c>
      <c r="H2968" s="2" t="str">
        <f>TRIM(Table1[[#This Row],[Magazyn]])</f>
        <v>Apteka Szpitalna</v>
      </c>
      <c r="I2968" s="2" t="str">
        <f>TRIM(Table1[[#This Row],[Umowa]])</f>
        <v>UM-MED-02</v>
      </c>
      <c r="J2968" s="2" t="b">
        <f>ISTEXT(Table14[[#This Row],[Data_Wystawienia]])</f>
        <v>0</v>
      </c>
      <c r="K2968" s="2">
        <f>VALUE(SUBSTITUTE(Table14[[#This Row],[Wartość]],".",","))</f>
        <v>14715.02</v>
      </c>
      <c r="L296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8" s="2" t="str">
        <f>IF(Table14[[#This Row],[Umowa]]="","Poza umową","Z umowy")</f>
        <v>Z umowy</v>
      </c>
      <c r="N2968" s="2">
        <f>YEAR(Table14[[#This Row],[Data_Wystawienia]])</f>
        <v>2024</v>
      </c>
      <c r="O2968" s="2" t="str">
        <f>TEXT(Table14[[#This Row],[Data_Wystawienia]],"rrrr-mm")</f>
        <v>2024-12</v>
      </c>
      <c r="P2968" s="2">
        <v>1</v>
      </c>
    </row>
    <row r="2969" spans="1:16" x14ac:dyDescent="0.3">
      <c r="A2969" s="2" t="str">
        <f>TRIM(Table1[[#This Row],[Numer_FV]])</f>
        <v>FV/30/PP/5720/24</v>
      </c>
      <c r="B2969" s="2" t="str">
        <f>TRIM(Table1[[#This Row],[Numer_PZ]])</f>
        <v>PZ/802967</v>
      </c>
      <c r="C2969" s="2" t="str">
        <f>TRIM(Table1[[#This Row],[Dostawca]])</f>
        <v>PharmaPlus</v>
      </c>
      <c r="D2969" s="3">
        <v>45648</v>
      </c>
      <c r="E2969" s="4" t="s">
        <v>8762</v>
      </c>
      <c r="F2969" s="2" t="str">
        <f>TRIM(Table1[[#This Row],[Status]])</f>
        <v>Zaakceptowana</v>
      </c>
      <c r="G2969" s="2" t="str">
        <f>TRIM(Table1[[#This Row],[Typ]])</f>
        <v>Faktura VAT</v>
      </c>
      <c r="H2969" s="2" t="str">
        <f>TRIM(Table1[[#This Row],[Magazyn]])</f>
        <v>Apteka Szpitalna</v>
      </c>
      <c r="I2969" s="2" t="str">
        <f>TRIM(Table1[[#This Row],[Umowa]])</f>
        <v>UM-PHA-02</v>
      </c>
      <c r="J2969" s="2" t="b">
        <f>ISTEXT(Table14[[#This Row],[Data_Wystawienia]])</f>
        <v>0</v>
      </c>
      <c r="K2969" s="2">
        <f>VALUE(SUBSTITUTE(Table14[[#This Row],[Wartość]],".",","))</f>
        <v>15215.34</v>
      </c>
      <c r="L296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69" s="2" t="str">
        <f>IF(Table14[[#This Row],[Umowa]]="","Poza umową","Z umowy")</f>
        <v>Z umowy</v>
      </c>
      <c r="N2969" s="2">
        <f>YEAR(Table14[[#This Row],[Data_Wystawienia]])</f>
        <v>2024</v>
      </c>
      <c r="O2969" s="2" t="str">
        <f>TEXT(Table14[[#This Row],[Data_Wystawienia]],"rrrr-mm")</f>
        <v>2024-12</v>
      </c>
      <c r="P2969" s="2">
        <v>1</v>
      </c>
    </row>
    <row r="2970" spans="1:16" x14ac:dyDescent="0.3">
      <c r="A2970" s="2" t="str">
        <f>TRIM(Table1[[#This Row],[Numer_FV]])</f>
        <v>FV/58/PP/2398/24</v>
      </c>
      <c r="B2970" s="2" t="str">
        <f>TRIM(Table1[[#This Row],[Numer_PZ]])</f>
        <v>PZ/802968</v>
      </c>
      <c r="C2970" s="2" t="str">
        <f>TRIM(Table1[[#This Row],[Dostawca]])</f>
        <v>PharmaPlus</v>
      </c>
      <c r="D2970" s="3">
        <v>45648</v>
      </c>
      <c r="E2970" s="4" t="s">
        <v>8765</v>
      </c>
      <c r="F2970" s="2" t="str">
        <f>TRIM(Table1[[#This Row],[Status]])</f>
        <v>Zaakceptowana</v>
      </c>
      <c r="G2970" s="2" t="str">
        <f>TRIM(Table1[[#This Row],[Typ]])</f>
        <v>Faktura VAT</v>
      </c>
      <c r="H2970" s="2" t="str">
        <f>TRIM(Table1[[#This Row],[Magazyn]])</f>
        <v>Apteka Szpitalna</v>
      </c>
      <c r="I2970" s="2" t="str">
        <f>TRIM(Table1[[#This Row],[Umowa]])</f>
        <v>UM-PHA-02</v>
      </c>
      <c r="J2970" s="2" t="b">
        <f>ISTEXT(Table14[[#This Row],[Data_Wystawienia]])</f>
        <v>0</v>
      </c>
      <c r="K2970" s="2">
        <f>VALUE(SUBSTITUTE(Table14[[#This Row],[Wartość]],".",","))</f>
        <v>18236.439999999999</v>
      </c>
      <c r="L297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0" s="2" t="str">
        <f>IF(Table14[[#This Row],[Umowa]]="","Poza umową","Z umowy")</f>
        <v>Z umowy</v>
      </c>
      <c r="N2970" s="2">
        <f>YEAR(Table14[[#This Row],[Data_Wystawienia]])</f>
        <v>2024</v>
      </c>
      <c r="O2970" s="2" t="str">
        <f>TEXT(Table14[[#This Row],[Data_Wystawienia]],"rrrr-mm")</f>
        <v>2024-12</v>
      </c>
      <c r="P2970" s="2">
        <v>1</v>
      </c>
    </row>
    <row r="2971" spans="1:16" x14ac:dyDescent="0.3">
      <c r="A2971" s="2" t="str">
        <f>TRIM(Table1[[#This Row],[Numer_FV]])</f>
        <v>FV/80988/VDb/2024</v>
      </c>
      <c r="B2971" s="2" t="str">
        <f>TRIM(Table1[[#This Row],[Numer_PZ]])</f>
        <v>PZ/802969</v>
      </c>
      <c r="C2971" s="2" t="str">
        <f>TRIM(Table1[[#This Row],[Dostawca]])</f>
        <v>VitaDistrib</v>
      </c>
      <c r="D2971" s="3">
        <v>45648</v>
      </c>
      <c r="E2971" s="4" t="s">
        <v>8768</v>
      </c>
      <c r="F2971" s="2" t="str">
        <f>TRIM(Table1[[#This Row],[Status]])</f>
        <v>Zaakceptowana</v>
      </c>
      <c r="G2971" s="2" t="str">
        <f>TRIM(Table1[[#This Row],[Typ]])</f>
        <v>Faktura VAT</v>
      </c>
      <c r="H2971" s="2" t="str">
        <f>TRIM(Table1[[#This Row],[Magazyn]])</f>
        <v>Apteka Szpitalna</v>
      </c>
      <c r="I2971" s="2" t="str">
        <f>TRIM(Table1[[#This Row],[Umowa]])</f>
        <v/>
      </c>
      <c r="J2971" s="2" t="b">
        <f>ISTEXT(Table14[[#This Row],[Data_Wystawienia]])</f>
        <v>0</v>
      </c>
      <c r="K2971" s="2">
        <f>VALUE(SUBSTITUTE(Table14[[#This Row],[Wartość]],".",","))</f>
        <v>8706.8799999999992</v>
      </c>
      <c r="L297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1" s="2" t="str">
        <f>IF(Table14[[#This Row],[Umowa]]="","Poza umową","Z umowy")</f>
        <v>Poza umową</v>
      </c>
      <c r="N2971" s="2">
        <f>YEAR(Table14[[#This Row],[Data_Wystawienia]])</f>
        <v>2024</v>
      </c>
      <c r="O2971" s="2" t="str">
        <f>TEXT(Table14[[#This Row],[Data_Wystawienia]],"rrrr-mm")</f>
        <v>2024-12</v>
      </c>
      <c r="P2971" s="2">
        <v>1</v>
      </c>
    </row>
    <row r="2972" spans="1:16" x14ac:dyDescent="0.3">
      <c r="A2972" s="2" t="str">
        <f>TRIM(Table1[[#This Row],[Numer_FV]])</f>
        <v>FV/97/SAL/24</v>
      </c>
      <c r="B2972" s="2" t="str">
        <f>TRIM(Table1[[#This Row],[Numer_PZ]])</f>
        <v>PZ/802970</v>
      </c>
      <c r="C2972" s="2" t="str">
        <f>TRIM(Table1[[#This Row],[Dostawca]])</f>
        <v>SalusHurt</v>
      </c>
      <c r="D2972" s="3">
        <v>45648</v>
      </c>
      <c r="E2972" s="4" t="s">
        <v>8770</v>
      </c>
      <c r="F2972" s="2" t="str">
        <f>TRIM(Table1[[#This Row],[Status]])</f>
        <v>Zaakceptowana</v>
      </c>
      <c r="G2972" s="2" t="str">
        <f>TRIM(Table1[[#This Row],[Typ]])</f>
        <v>Faktura VAT</v>
      </c>
      <c r="H2972" s="2" t="str">
        <f>TRIM(Table1[[#This Row],[Magazyn]])</f>
        <v>Apteka Szpitalna</v>
      </c>
      <c r="I2972" s="2" t="str">
        <f>TRIM(Table1[[#This Row],[Umowa]])</f>
        <v/>
      </c>
      <c r="J2972" s="2" t="b">
        <f>ISTEXT(Table14[[#This Row],[Data_Wystawienia]])</f>
        <v>0</v>
      </c>
      <c r="K2972" s="2">
        <f>VALUE(SUBSTITUTE(Table14[[#This Row],[Wartość]],".",","))</f>
        <v>16706.41</v>
      </c>
      <c r="L297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2" s="2" t="str">
        <f>IF(Table14[[#This Row],[Umowa]]="","Poza umową","Z umowy")</f>
        <v>Poza umową</v>
      </c>
      <c r="N2972" s="2">
        <f>YEAR(Table14[[#This Row],[Data_Wystawienia]])</f>
        <v>2024</v>
      </c>
      <c r="O2972" s="2" t="str">
        <f>TEXT(Table14[[#This Row],[Data_Wystawienia]],"rrrr-mm")</f>
        <v>2024-12</v>
      </c>
      <c r="P2972" s="2">
        <v>1</v>
      </c>
    </row>
    <row r="2973" spans="1:16" x14ac:dyDescent="0.3">
      <c r="A2973" s="2" t="str">
        <f>TRIM(Table1[[#This Row],[Numer_FV]])</f>
        <v>FV/POL/49846/2024</v>
      </c>
      <c r="B2973" s="2" t="str">
        <f>TRIM(Table1[[#This Row],[Numer_PZ]])</f>
        <v>PZ/802971</v>
      </c>
      <c r="C2973" s="2" t="str">
        <f>TRIM(Table1[[#This Row],[Dostawca]])</f>
        <v>Polmedica</v>
      </c>
      <c r="D2973" s="3">
        <v>45648</v>
      </c>
      <c r="E2973" s="4" t="s">
        <v>8773</v>
      </c>
      <c r="F2973" s="2" t="str">
        <f>TRIM(Table1[[#This Row],[Status]])</f>
        <v>Zaakceptowana</v>
      </c>
      <c r="G2973" s="2" t="str">
        <f>TRIM(Table1[[#This Row],[Typ]])</f>
        <v>Faktura VAT</v>
      </c>
      <c r="H2973" s="2" t="str">
        <f>TRIM(Table1[[#This Row],[Magazyn]])</f>
        <v>Apteka Szpitalna</v>
      </c>
      <c r="I2973" s="2" t="str">
        <f>TRIM(Table1[[#This Row],[Umowa]])</f>
        <v/>
      </c>
      <c r="J2973" s="2" t="b">
        <f>ISTEXT(Table14[[#This Row],[Data_Wystawienia]])</f>
        <v>0</v>
      </c>
      <c r="K2973" s="2">
        <f>VALUE(SUBSTITUTE(Table14[[#This Row],[Wartość]],".",","))</f>
        <v>15788.58</v>
      </c>
      <c r="L297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3" s="2" t="str">
        <f>IF(Table14[[#This Row],[Umowa]]="","Poza umową","Z umowy")</f>
        <v>Poza umową</v>
      </c>
      <c r="N2973" s="2">
        <f>YEAR(Table14[[#This Row],[Data_Wystawienia]])</f>
        <v>2024</v>
      </c>
      <c r="O2973" s="2" t="str">
        <f>TEXT(Table14[[#This Row],[Data_Wystawienia]],"rrrr-mm")</f>
        <v>2024-12</v>
      </c>
      <c r="P2973" s="2">
        <v>1</v>
      </c>
    </row>
    <row r="2974" spans="1:16" x14ac:dyDescent="0.3">
      <c r="A2974" s="2" t="str">
        <f>TRIM(Table1[[#This Row],[Numer_FV]])</f>
        <v>FV/10/PP/7936/24</v>
      </c>
      <c r="B2974" s="2" t="str">
        <f>TRIM(Table1[[#This Row],[Numer_PZ]])</f>
        <v>PZ/802972</v>
      </c>
      <c r="C2974" s="2" t="str">
        <f>TRIM(Table1[[#This Row],[Dostawca]])</f>
        <v>PharmaPlus</v>
      </c>
      <c r="D2974" s="3">
        <v>45648</v>
      </c>
      <c r="E2974" s="4" t="s">
        <v>8776</v>
      </c>
      <c r="F2974" s="2" t="str">
        <f>TRIM(Table1[[#This Row],[Status]])</f>
        <v>Zaakceptowana</v>
      </c>
      <c r="G2974" s="2" t="str">
        <f>TRIM(Table1[[#This Row],[Typ]])</f>
        <v>Faktura VAT</v>
      </c>
      <c r="H2974" s="2" t="str">
        <f>TRIM(Table1[[#This Row],[Magazyn]])</f>
        <v>Apteka Szpitalna</v>
      </c>
      <c r="I2974" s="2" t="str">
        <f>TRIM(Table1[[#This Row],[Umowa]])</f>
        <v>UM-PHA-02</v>
      </c>
      <c r="J2974" s="2" t="b">
        <f>ISTEXT(Table14[[#This Row],[Data_Wystawienia]])</f>
        <v>0</v>
      </c>
      <c r="K2974" s="2">
        <f>VALUE(SUBSTITUTE(Table14[[#This Row],[Wartość]],".",","))</f>
        <v>19450.900000000001</v>
      </c>
      <c r="L297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4" s="2" t="str">
        <f>IF(Table14[[#This Row],[Umowa]]="","Poza umową","Z umowy")</f>
        <v>Z umowy</v>
      </c>
      <c r="N2974" s="2">
        <f>YEAR(Table14[[#This Row],[Data_Wystawienia]])</f>
        <v>2024</v>
      </c>
      <c r="O2974" s="2" t="str">
        <f>TEXT(Table14[[#This Row],[Data_Wystawienia]],"rrrr-mm")</f>
        <v>2024-12</v>
      </c>
      <c r="P2974" s="2">
        <v>1</v>
      </c>
    </row>
    <row r="2975" spans="1:16" x14ac:dyDescent="0.3">
      <c r="A2975" s="2" t="str">
        <f>TRIM(Table1[[#This Row],[Numer_FV]])</f>
        <v>FV/82/PP/6171/24</v>
      </c>
      <c r="B2975" s="2" t="str">
        <f>TRIM(Table1[[#This Row],[Numer_PZ]])</f>
        <v>PZ/802973</v>
      </c>
      <c r="C2975" s="2" t="str">
        <f>TRIM(Table1[[#This Row],[Dostawca]])</f>
        <v>PharmaPlus</v>
      </c>
      <c r="D2975" s="3">
        <v>45649</v>
      </c>
      <c r="E2975" s="4" t="s">
        <v>8779</v>
      </c>
      <c r="F2975" s="2" t="str">
        <f>TRIM(Table1[[#This Row],[Status]])</f>
        <v>Zaakceptowana</v>
      </c>
      <c r="G2975" s="2" t="str">
        <f>TRIM(Table1[[#This Row],[Typ]])</f>
        <v>Korekta FV</v>
      </c>
      <c r="H2975" s="2" t="str">
        <f>TRIM(Table1[[#This Row],[Magazyn]])</f>
        <v>Apteka Szpitalna</v>
      </c>
      <c r="I2975" s="2" t="str">
        <f>TRIM(Table1[[#This Row],[Umowa]])</f>
        <v>UM-PHA-02</v>
      </c>
      <c r="J2975" s="2" t="b">
        <f>ISTEXT(Table14[[#This Row],[Data_Wystawienia]])</f>
        <v>0</v>
      </c>
      <c r="K2975" s="2">
        <f>VALUE(SUBSTITUTE(Table14[[#This Row],[Wartość]],".",","))</f>
        <v>-1934.92</v>
      </c>
      <c r="L297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5" s="2" t="str">
        <f>IF(Table14[[#This Row],[Umowa]]="","Poza umową","Z umowy")</f>
        <v>Z umowy</v>
      </c>
      <c r="N2975" s="2">
        <f>YEAR(Table14[[#This Row],[Data_Wystawienia]])</f>
        <v>2024</v>
      </c>
      <c r="O2975" s="2" t="str">
        <f>TEXT(Table14[[#This Row],[Data_Wystawienia]],"rrrr-mm")</f>
        <v>2024-12</v>
      </c>
      <c r="P2975" s="2">
        <v>1</v>
      </c>
    </row>
    <row r="2976" spans="1:16" x14ac:dyDescent="0.3">
      <c r="A2976" s="2" t="str">
        <f>TRIM(Table1[[#This Row],[Numer_FV]])</f>
        <v>FV/43956/VDb/2024</v>
      </c>
      <c r="B2976" s="2" t="str">
        <f>TRIM(Table1[[#This Row],[Numer_PZ]])</f>
        <v>PZ/802974</v>
      </c>
      <c r="C2976" s="2" t="str">
        <f>TRIM(Table1[[#This Row],[Dostawca]])</f>
        <v>VitaDistrib</v>
      </c>
      <c r="D2976" s="3">
        <v>45649</v>
      </c>
      <c r="E2976" s="4" t="s">
        <v>8782</v>
      </c>
      <c r="F2976" s="2" t="str">
        <f>TRIM(Table1[[#This Row],[Status]])</f>
        <v>Zaakceptowana</v>
      </c>
      <c r="G2976" s="2" t="str">
        <f>TRIM(Table1[[#This Row],[Typ]])</f>
        <v>Faktura VAT</v>
      </c>
      <c r="H2976" s="2" t="str">
        <f>TRIM(Table1[[#This Row],[Magazyn]])</f>
        <v>Apteka Szpitalna</v>
      </c>
      <c r="I2976" s="2" t="str">
        <f>TRIM(Table1[[#This Row],[Umowa]])</f>
        <v>UM-VIT-01</v>
      </c>
      <c r="J2976" s="2" t="b">
        <f>ISTEXT(Table14[[#This Row],[Data_Wystawienia]])</f>
        <v>0</v>
      </c>
      <c r="K2976" s="2">
        <f>VALUE(SUBSTITUTE(Table14[[#This Row],[Wartość]],".",","))</f>
        <v>5760.02</v>
      </c>
      <c r="L297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6" s="2" t="str">
        <f>IF(Table14[[#This Row],[Umowa]]="","Poza umową","Z umowy")</f>
        <v>Z umowy</v>
      </c>
      <c r="N2976" s="2">
        <f>YEAR(Table14[[#This Row],[Data_Wystawienia]])</f>
        <v>2024</v>
      </c>
      <c r="O2976" s="2" t="str">
        <f>TEXT(Table14[[#This Row],[Data_Wystawienia]],"rrrr-mm")</f>
        <v>2024-12</v>
      </c>
      <c r="P2976" s="2">
        <v>1</v>
      </c>
    </row>
    <row r="2977" spans="1:16" x14ac:dyDescent="0.3">
      <c r="A2977" s="2" t="str">
        <f>TRIM(Table1[[#This Row],[Numer_FV]])</f>
        <v>FV/M/9868/P/24</v>
      </c>
      <c r="B2977" s="2" t="str">
        <f>TRIM(Table1[[#This Row],[Numer_PZ]])</f>
        <v>PZ/802975</v>
      </c>
      <c r="C2977" s="2" t="str">
        <f>TRIM(Table1[[#This Row],[Dostawca]])</f>
        <v>MedicaPharm</v>
      </c>
      <c r="D2977" s="3">
        <v>45649</v>
      </c>
      <c r="E2977" s="4" t="s">
        <v>8785</v>
      </c>
      <c r="F2977" s="2" t="str">
        <f>TRIM(Table1[[#This Row],[Status]])</f>
        <v>Zaakceptowana</v>
      </c>
      <c r="G2977" s="2" t="str">
        <f>TRIM(Table1[[#This Row],[Typ]])</f>
        <v>Faktura VAT</v>
      </c>
      <c r="H2977" s="2" t="str">
        <f>TRIM(Table1[[#This Row],[Magazyn]])</f>
        <v>Apteka Szpitalna</v>
      </c>
      <c r="I2977" s="2" t="str">
        <f>TRIM(Table1[[#This Row],[Umowa]])</f>
        <v>UM-MED-02</v>
      </c>
      <c r="J2977" s="2" t="b">
        <f>ISTEXT(Table14[[#This Row],[Data_Wystawienia]])</f>
        <v>0</v>
      </c>
      <c r="K2977" s="2">
        <f>VALUE(SUBSTITUTE(Table14[[#This Row],[Wartość]],".",","))</f>
        <v>8096.15</v>
      </c>
      <c r="L297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7" s="2" t="str">
        <f>IF(Table14[[#This Row],[Umowa]]="","Poza umową","Z umowy")</f>
        <v>Z umowy</v>
      </c>
      <c r="N2977" s="2">
        <f>YEAR(Table14[[#This Row],[Data_Wystawienia]])</f>
        <v>2024</v>
      </c>
      <c r="O2977" s="2" t="str">
        <f>TEXT(Table14[[#This Row],[Data_Wystawienia]],"rrrr-mm")</f>
        <v>2024-12</v>
      </c>
      <c r="P2977" s="2">
        <v>1</v>
      </c>
    </row>
    <row r="2978" spans="1:16" x14ac:dyDescent="0.3">
      <c r="A2978" s="2" t="str">
        <f>TRIM(Table1[[#This Row],[Numer_FV]])</f>
        <v>FV/36/PP/5247/24</v>
      </c>
      <c r="B2978" s="2" t="str">
        <f>TRIM(Table1[[#This Row],[Numer_PZ]])</f>
        <v>PZ/802976</v>
      </c>
      <c r="C2978" s="2" t="str">
        <f>TRIM(Table1[[#This Row],[Dostawca]])</f>
        <v>PharmaPlus</v>
      </c>
      <c r="D2978" s="3">
        <v>45650</v>
      </c>
      <c r="E2978" s="4" t="s">
        <v>8788</v>
      </c>
      <c r="F2978" s="2" t="str">
        <f>TRIM(Table1[[#This Row],[Status]])</f>
        <v>Zaakceptowana</v>
      </c>
      <c r="G2978" s="2" t="str">
        <f>TRIM(Table1[[#This Row],[Typ]])</f>
        <v>Faktura VAT</v>
      </c>
      <c r="H2978" s="2" t="str">
        <f>TRIM(Table1[[#This Row],[Magazyn]])</f>
        <v>Apteka Szpitalna</v>
      </c>
      <c r="I2978" s="2" t="str">
        <f>TRIM(Table1[[#This Row],[Umowa]])</f>
        <v>UM-PHA-02</v>
      </c>
      <c r="J2978" s="2" t="b">
        <f>ISTEXT(Table14[[#This Row],[Data_Wystawienia]])</f>
        <v>0</v>
      </c>
      <c r="K2978" s="2">
        <f>VALUE(SUBSTITUTE(Table14[[#This Row],[Wartość]],".",","))</f>
        <v>17392</v>
      </c>
      <c r="L297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8" s="2" t="str">
        <f>IF(Table14[[#This Row],[Umowa]]="","Poza umową","Z umowy")</f>
        <v>Z umowy</v>
      </c>
      <c r="N2978" s="2">
        <f>YEAR(Table14[[#This Row],[Data_Wystawienia]])</f>
        <v>2024</v>
      </c>
      <c r="O2978" s="2" t="str">
        <f>TEXT(Table14[[#This Row],[Data_Wystawienia]],"rrrr-mm")</f>
        <v>2024-12</v>
      </c>
      <c r="P2978" s="2">
        <v>1</v>
      </c>
    </row>
    <row r="2979" spans="1:16" x14ac:dyDescent="0.3">
      <c r="A2979" s="2" t="str">
        <f>TRIM(Table1[[#This Row],[Numer_FV]])</f>
        <v>FV/11/PP/7062/24</v>
      </c>
      <c r="B2979" s="2" t="str">
        <f>TRIM(Table1[[#This Row],[Numer_PZ]])</f>
        <v>PZ/802977</v>
      </c>
      <c r="C2979" s="2" t="str">
        <f>TRIM(Table1[[#This Row],[Dostawca]])</f>
        <v>PharmaPlus</v>
      </c>
      <c r="D2979" s="3">
        <v>45651</v>
      </c>
      <c r="E2979" s="4" t="s">
        <v>8791</v>
      </c>
      <c r="F2979" s="2" t="str">
        <f>TRIM(Table1[[#This Row],[Status]])</f>
        <v>Zaakceptowana</v>
      </c>
      <c r="G2979" s="2" t="str">
        <f>TRIM(Table1[[#This Row],[Typ]])</f>
        <v>Faktura VAT</v>
      </c>
      <c r="H2979" s="2" t="str">
        <f>TRIM(Table1[[#This Row],[Magazyn]])</f>
        <v>Apteka Szpitalna</v>
      </c>
      <c r="I2979" s="2" t="str">
        <f>TRIM(Table1[[#This Row],[Umowa]])</f>
        <v>UM-PHA-01</v>
      </c>
      <c r="J2979" s="2" t="b">
        <f>ISTEXT(Table14[[#This Row],[Data_Wystawienia]])</f>
        <v>0</v>
      </c>
      <c r="K2979" s="2">
        <f>VALUE(SUBSTITUTE(Table14[[#This Row],[Wartość]],".",","))</f>
        <v>5603.11</v>
      </c>
      <c r="L297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79" s="2" t="str">
        <f>IF(Table14[[#This Row],[Umowa]]="","Poza umową","Z umowy")</f>
        <v>Z umowy</v>
      </c>
      <c r="N2979" s="2">
        <f>YEAR(Table14[[#This Row],[Data_Wystawienia]])</f>
        <v>2024</v>
      </c>
      <c r="O2979" s="2" t="str">
        <f>TEXT(Table14[[#This Row],[Data_Wystawienia]],"rrrr-mm")</f>
        <v>2024-12</v>
      </c>
      <c r="P2979" s="2">
        <v>1</v>
      </c>
    </row>
    <row r="2980" spans="1:16" x14ac:dyDescent="0.3">
      <c r="A2980" s="2" t="str">
        <f>TRIM(Table1[[#This Row],[Numer_FV]])</f>
        <v>FV/54/PP/2483/24</v>
      </c>
      <c r="B2980" s="2" t="str">
        <f>TRIM(Table1[[#This Row],[Numer_PZ]])</f>
        <v>PZ/802978</v>
      </c>
      <c r="C2980" s="2" t="str">
        <f>TRIM(Table1[[#This Row],[Dostawca]])</f>
        <v>PharmaPlus</v>
      </c>
      <c r="D2980" s="3">
        <v>45651</v>
      </c>
      <c r="E2980" s="4" t="s">
        <v>8794</v>
      </c>
      <c r="F2980" s="2" t="str">
        <f>TRIM(Table1[[#This Row],[Status]])</f>
        <v>Zaakceptowana</v>
      </c>
      <c r="G2980" s="2" t="str">
        <f>TRIM(Table1[[#This Row],[Typ]])</f>
        <v>Faktura VAT</v>
      </c>
      <c r="H2980" s="2" t="str">
        <f>TRIM(Table1[[#This Row],[Magazyn]])</f>
        <v>Apteka Szpitalna</v>
      </c>
      <c r="I2980" s="2" t="str">
        <f>TRIM(Table1[[#This Row],[Umowa]])</f>
        <v/>
      </c>
      <c r="J2980" s="2" t="b">
        <f>ISTEXT(Table14[[#This Row],[Data_Wystawienia]])</f>
        <v>0</v>
      </c>
      <c r="K2980" s="2">
        <f>VALUE(SUBSTITUTE(Table14[[#This Row],[Wartość]],".",","))</f>
        <v>17155.62</v>
      </c>
      <c r="L298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0" s="2" t="str">
        <f>IF(Table14[[#This Row],[Umowa]]="","Poza umową","Z umowy")</f>
        <v>Poza umową</v>
      </c>
      <c r="N2980" s="2">
        <f>YEAR(Table14[[#This Row],[Data_Wystawienia]])</f>
        <v>2024</v>
      </c>
      <c r="O2980" s="2" t="str">
        <f>TEXT(Table14[[#This Row],[Data_Wystawienia]],"rrrr-mm")</f>
        <v>2024-12</v>
      </c>
      <c r="P2980" s="2">
        <v>1</v>
      </c>
    </row>
    <row r="2981" spans="1:16" x14ac:dyDescent="0.3">
      <c r="A2981" s="2" t="str">
        <f>TRIM(Table1[[#This Row],[Numer_FV]])</f>
        <v>FV/87/PP/5909/24</v>
      </c>
      <c r="B2981" s="2" t="str">
        <f>TRIM(Table1[[#This Row],[Numer_PZ]])</f>
        <v>PZ/802979</v>
      </c>
      <c r="C2981" s="2" t="str">
        <f>TRIM(Table1[[#This Row],[Dostawca]])</f>
        <v>PharmaPlus</v>
      </c>
      <c r="D2981" s="3">
        <v>45651</v>
      </c>
      <c r="E2981" s="4" t="s">
        <v>8797</v>
      </c>
      <c r="F2981" s="2" t="str">
        <f>TRIM(Table1[[#This Row],[Status]])</f>
        <v>Zaakceptowana</v>
      </c>
      <c r="G2981" s="2" t="str">
        <f>TRIM(Table1[[#This Row],[Typ]])</f>
        <v>Faktura VAT</v>
      </c>
      <c r="H2981" s="2" t="str">
        <f>TRIM(Table1[[#This Row],[Magazyn]])</f>
        <v>Apteka Szpitalna</v>
      </c>
      <c r="I2981" s="2" t="str">
        <f>TRIM(Table1[[#This Row],[Umowa]])</f>
        <v>UM-PHA-02</v>
      </c>
      <c r="J2981" s="2" t="b">
        <f>ISTEXT(Table14[[#This Row],[Data_Wystawienia]])</f>
        <v>0</v>
      </c>
      <c r="K2981" s="2">
        <f>VALUE(SUBSTITUTE(Table14[[#This Row],[Wartość]],".",","))</f>
        <v>4889.8999999999996</v>
      </c>
      <c r="L298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1" s="2" t="str">
        <f>IF(Table14[[#This Row],[Umowa]]="","Poza umową","Z umowy")</f>
        <v>Z umowy</v>
      </c>
      <c r="N2981" s="2">
        <f>YEAR(Table14[[#This Row],[Data_Wystawienia]])</f>
        <v>2024</v>
      </c>
      <c r="O2981" s="2" t="str">
        <f>TEXT(Table14[[#This Row],[Data_Wystawienia]],"rrrr-mm")</f>
        <v>2024-12</v>
      </c>
      <c r="P2981" s="2">
        <v>1</v>
      </c>
    </row>
    <row r="2982" spans="1:16" x14ac:dyDescent="0.3">
      <c r="A2982" s="2" t="str">
        <f>TRIM(Table1[[#This Row],[Numer_FV]])</f>
        <v>FV/M/1428/P/24</v>
      </c>
      <c r="B2982" s="2" t="str">
        <f>TRIM(Table1[[#This Row],[Numer_PZ]])</f>
        <v>PZ/802980</v>
      </c>
      <c r="C2982" s="2" t="str">
        <f>TRIM(Table1[[#This Row],[Dostawca]])</f>
        <v>MedicaPharm</v>
      </c>
      <c r="D2982" s="3">
        <v>45651</v>
      </c>
      <c r="E2982" s="4" t="s">
        <v>8800</v>
      </c>
      <c r="F2982" s="2" t="str">
        <f>TRIM(Table1[[#This Row],[Status]])</f>
        <v>Zaakceptowana</v>
      </c>
      <c r="G2982" s="2" t="str">
        <f>TRIM(Table1[[#This Row],[Typ]])</f>
        <v>Faktura VAT</v>
      </c>
      <c r="H2982" s="2" t="str">
        <f>TRIM(Table1[[#This Row],[Magazyn]])</f>
        <v>Apteka Szpitalna</v>
      </c>
      <c r="I2982" s="2" t="str">
        <f>TRIM(Table1[[#This Row],[Umowa]])</f>
        <v>UM-MED-01</v>
      </c>
      <c r="J2982" s="2" t="b">
        <f>ISTEXT(Table14[[#This Row],[Data_Wystawienia]])</f>
        <v>0</v>
      </c>
      <c r="K2982" s="2">
        <f>VALUE(SUBSTITUTE(Table14[[#This Row],[Wartość]],".",","))</f>
        <v>14067.1</v>
      </c>
      <c r="L298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2" s="2" t="str">
        <f>IF(Table14[[#This Row],[Umowa]]="","Poza umową","Z umowy")</f>
        <v>Z umowy</v>
      </c>
      <c r="N2982" s="2">
        <f>YEAR(Table14[[#This Row],[Data_Wystawienia]])</f>
        <v>2024</v>
      </c>
      <c r="O2982" s="2" t="str">
        <f>TEXT(Table14[[#This Row],[Data_Wystawienia]],"rrrr-mm")</f>
        <v>2024-12</v>
      </c>
      <c r="P2982" s="2">
        <v>1</v>
      </c>
    </row>
    <row r="2983" spans="1:16" x14ac:dyDescent="0.3">
      <c r="A2983" s="2" t="str">
        <f>TRIM(Table1[[#This Row],[Numer_FV]])</f>
        <v>FV/80/PP/2315/24</v>
      </c>
      <c r="B2983" s="2" t="str">
        <f>TRIM(Table1[[#This Row],[Numer_PZ]])</f>
        <v>PZ/802981</v>
      </c>
      <c r="C2983" s="2" t="str">
        <f>TRIM(Table1[[#This Row],[Dostawca]])</f>
        <v>PharmaPlus</v>
      </c>
      <c r="D2983" s="3">
        <v>45652</v>
      </c>
      <c r="E2983" s="4" t="s">
        <v>8803</v>
      </c>
      <c r="F2983" s="2" t="str">
        <f>TRIM(Table1[[#This Row],[Status]])</f>
        <v>Zaakceptowana</v>
      </c>
      <c r="G2983" s="2" t="str">
        <f>TRIM(Table1[[#This Row],[Typ]])</f>
        <v>Faktura VAT</v>
      </c>
      <c r="H2983" s="2" t="str">
        <f>TRIM(Table1[[#This Row],[Magazyn]])</f>
        <v>Apteka Szpitalna</v>
      </c>
      <c r="I2983" s="2" t="str">
        <f>TRIM(Table1[[#This Row],[Umowa]])</f>
        <v>UM-PHA-02</v>
      </c>
      <c r="J2983" s="2" t="b">
        <f>ISTEXT(Table14[[#This Row],[Data_Wystawienia]])</f>
        <v>0</v>
      </c>
      <c r="K2983" s="2">
        <f>VALUE(SUBSTITUTE(Table14[[#This Row],[Wartość]],".",","))</f>
        <v>23613.98</v>
      </c>
      <c r="L298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3" s="2" t="str">
        <f>IF(Table14[[#This Row],[Umowa]]="","Poza umową","Z umowy")</f>
        <v>Z umowy</v>
      </c>
      <c r="N2983" s="2">
        <f>YEAR(Table14[[#This Row],[Data_Wystawienia]])</f>
        <v>2024</v>
      </c>
      <c r="O2983" s="2" t="str">
        <f>TEXT(Table14[[#This Row],[Data_Wystawienia]],"rrrr-mm")</f>
        <v>2024-12</v>
      </c>
      <c r="P2983" s="2">
        <v>1</v>
      </c>
    </row>
    <row r="2984" spans="1:16" x14ac:dyDescent="0.3">
      <c r="A2984" s="2" t="str">
        <f>TRIM(Table1[[#This Row],[Numer_FV]])</f>
        <v>FV/5005HM/24</v>
      </c>
      <c r="B2984" s="2" t="str">
        <f>TRIM(Table1[[#This Row],[Numer_PZ]])</f>
        <v>PZ/802982</v>
      </c>
      <c r="C2984" s="2" t="str">
        <f>TRIM(Table1[[#This Row],[Dostawca]])</f>
        <v>HurtMedix</v>
      </c>
      <c r="D2984" s="3">
        <v>45653</v>
      </c>
      <c r="E2984" s="4" t="s">
        <v>8806</v>
      </c>
      <c r="F2984" s="2" t="str">
        <f>TRIM(Table1[[#This Row],[Status]])</f>
        <v>Zaakceptowana</v>
      </c>
      <c r="G2984" s="2" t="str">
        <f>TRIM(Table1[[#This Row],[Typ]])</f>
        <v>Faktura VAT</v>
      </c>
      <c r="H2984" s="2" t="str">
        <f>TRIM(Table1[[#This Row],[Magazyn]])</f>
        <v>Apteka Szpitalna</v>
      </c>
      <c r="I2984" s="2" t="str">
        <f>TRIM(Table1[[#This Row],[Umowa]])</f>
        <v>UM-HUR-03</v>
      </c>
      <c r="J2984" s="2" t="b">
        <f>ISTEXT(Table14[[#This Row],[Data_Wystawienia]])</f>
        <v>0</v>
      </c>
      <c r="K2984" s="2">
        <f>VALUE(SUBSTITUTE(Table14[[#This Row],[Wartość]],".",","))</f>
        <v>7993.13</v>
      </c>
      <c r="L298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4" s="2" t="str">
        <f>IF(Table14[[#This Row],[Umowa]]="","Poza umową","Z umowy")</f>
        <v>Z umowy</v>
      </c>
      <c r="N2984" s="2">
        <f>YEAR(Table14[[#This Row],[Data_Wystawienia]])</f>
        <v>2024</v>
      </c>
      <c r="O2984" s="2" t="str">
        <f>TEXT(Table14[[#This Row],[Data_Wystawienia]],"rrrr-mm")</f>
        <v>2024-12</v>
      </c>
      <c r="P2984" s="2">
        <v>1</v>
      </c>
    </row>
    <row r="2985" spans="1:16" x14ac:dyDescent="0.3">
      <c r="A2985" s="2" t="str">
        <f>TRIM(Table1[[#This Row],[Numer_FV]])</f>
        <v>FV/45776/VDb/2024</v>
      </c>
      <c r="B2985" s="2" t="str">
        <f>TRIM(Table1[[#This Row],[Numer_PZ]])</f>
        <v>PZ/802983</v>
      </c>
      <c r="C2985" s="2" t="str">
        <f>TRIM(Table1[[#This Row],[Dostawca]])</f>
        <v>VitaDistrib</v>
      </c>
      <c r="D2985" s="3">
        <v>45653</v>
      </c>
      <c r="E2985" s="4" t="s">
        <v>8809</v>
      </c>
      <c r="F2985" s="2" t="str">
        <f>TRIM(Table1[[#This Row],[Status]])</f>
        <v>Zaakceptowana</v>
      </c>
      <c r="G2985" s="2" t="str">
        <f>TRIM(Table1[[#This Row],[Typ]])</f>
        <v>Faktura VAT</v>
      </c>
      <c r="H2985" s="2" t="str">
        <f>TRIM(Table1[[#This Row],[Magazyn]])</f>
        <v>Apteka Szpitalna</v>
      </c>
      <c r="I2985" s="2" t="str">
        <f>TRIM(Table1[[#This Row],[Umowa]])</f>
        <v>UM-VIT-01</v>
      </c>
      <c r="J2985" s="2" t="b">
        <f>ISTEXT(Table14[[#This Row],[Data_Wystawienia]])</f>
        <v>0</v>
      </c>
      <c r="K2985" s="2">
        <f>VALUE(SUBSTITUTE(Table14[[#This Row],[Wartość]],".",","))</f>
        <v>12323.83</v>
      </c>
      <c r="L298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5" s="2" t="str">
        <f>IF(Table14[[#This Row],[Umowa]]="","Poza umową","Z umowy")</f>
        <v>Z umowy</v>
      </c>
      <c r="N2985" s="2">
        <f>YEAR(Table14[[#This Row],[Data_Wystawienia]])</f>
        <v>2024</v>
      </c>
      <c r="O2985" s="2" t="str">
        <f>TEXT(Table14[[#This Row],[Data_Wystawienia]],"rrrr-mm")</f>
        <v>2024-12</v>
      </c>
      <c r="P2985" s="2">
        <v>1</v>
      </c>
    </row>
    <row r="2986" spans="1:16" x14ac:dyDescent="0.3">
      <c r="A2986" s="2" t="str">
        <f>TRIM(Table1[[#This Row],[Numer_FV]])</f>
        <v>FV/7375HM/24</v>
      </c>
      <c r="B2986" s="2" t="str">
        <f>TRIM(Table1[[#This Row],[Numer_PZ]])</f>
        <v>PZ/802984</v>
      </c>
      <c r="C2986" s="2" t="str">
        <f>TRIM(Table1[[#This Row],[Dostawca]])</f>
        <v>HurtMedix</v>
      </c>
      <c r="D2986" s="3">
        <v>45653</v>
      </c>
      <c r="E2986" s="4" t="s">
        <v>8812</v>
      </c>
      <c r="F2986" s="2" t="str">
        <f>TRIM(Table1[[#This Row],[Status]])</f>
        <v>Zaakceptowana</v>
      </c>
      <c r="G2986" s="2" t="str">
        <f>TRIM(Table1[[#This Row],[Typ]])</f>
        <v>Faktura VAT</v>
      </c>
      <c r="H2986" s="2" t="str">
        <f>TRIM(Table1[[#This Row],[Magazyn]])</f>
        <v>Apteka Szpitalna</v>
      </c>
      <c r="I2986" s="2" t="str">
        <f>TRIM(Table1[[#This Row],[Umowa]])</f>
        <v>UM-HUR-02</v>
      </c>
      <c r="J2986" s="2" t="b">
        <f>ISTEXT(Table14[[#This Row],[Data_Wystawienia]])</f>
        <v>0</v>
      </c>
      <c r="K2986" s="2">
        <f>VALUE(SUBSTITUTE(Table14[[#This Row],[Wartość]],".",","))</f>
        <v>21271.97</v>
      </c>
      <c r="L298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6" s="2" t="str">
        <f>IF(Table14[[#This Row],[Umowa]]="","Poza umową","Z umowy")</f>
        <v>Z umowy</v>
      </c>
      <c r="N2986" s="2">
        <f>YEAR(Table14[[#This Row],[Data_Wystawienia]])</f>
        <v>2024</v>
      </c>
      <c r="O2986" s="2" t="str">
        <f>TEXT(Table14[[#This Row],[Data_Wystawienia]],"rrrr-mm")</f>
        <v>2024-12</v>
      </c>
      <c r="P2986" s="2">
        <v>1</v>
      </c>
    </row>
    <row r="2987" spans="1:16" x14ac:dyDescent="0.3">
      <c r="A2987" s="2" t="str">
        <f>TRIM(Table1[[#This Row],[Numer_FV]])</f>
        <v>FV/5216/NOVA/24</v>
      </c>
      <c r="B2987" s="2" t="str">
        <f>TRIM(Table1[[#This Row],[Numer_PZ]])</f>
        <v>PZ/802985</v>
      </c>
      <c r="C2987" s="2" t="str">
        <f>TRIM(Table1[[#This Row],[Dostawca]])</f>
        <v>NovaLek</v>
      </c>
      <c r="D2987" s="3">
        <v>45653</v>
      </c>
      <c r="E2987" s="4" t="s">
        <v>8815</v>
      </c>
      <c r="F2987" s="2" t="str">
        <f>TRIM(Table1[[#This Row],[Status]])</f>
        <v>Zaakceptowana</v>
      </c>
      <c r="G2987" s="2" t="str">
        <f>TRIM(Table1[[#This Row],[Typ]])</f>
        <v>Faktura VAT</v>
      </c>
      <c r="H2987" s="2" t="str">
        <f>TRIM(Table1[[#This Row],[Magazyn]])</f>
        <v>Apteka Szpitalna</v>
      </c>
      <c r="I2987" s="2" t="str">
        <f>TRIM(Table1[[#This Row],[Umowa]])</f>
        <v>UM-NOV-03</v>
      </c>
      <c r="J2987" s="2" t="b">
        <f>ISTEXT(Table14[[#This Row],[Data_Wystawienia]])</f>
        <v>0</v>
      </c>
      <c r="K2987" s="2">
        <f>VALUE(SUBSTITUTE(Table14[[#This Row],[Wartość]],".",","))</f>
        <v>17046.759999999998</v>
      </c>
      <c r="L298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7" s="2" t="str">
        <f>IF(Table14[[#This Row],[Umowa]]="","Poza umową","Z umowy")</f>
        <v>Z umowy</v>
      </c>
      <c r="N2987" s="2">
        <f>YEAR(Table14[[#This Row],[Data_Wystawienia]])</f>
        <v>2024</v>
      </c>
      <c r="O2987" s="2" t="str">
        <f>TEXT(Table14[[#This Row],[Data_Wystawienia]],"rrrr-mm")</f>
        <v>2024-12</v>
      </c>
      <c r="P2987" s="2">
        <v>1</v>
      </c>
    </row>
    <row r="2988" spans="1:16" x14ac:dyDescent="0.3">
      <c r="A2988" s="2" t="str">
        <f>TRIM(Table1[[#This Row],[Numer_FV]])</f>
        <v>FV/1743/NOVA/24</v>
      </c>
      <c r="B2988" s="2" t="str">
        <f>TRIM(Table1[[#This Row],[Numer_PZ]])</f>
        <v>PZ/802986</v>
      </c>
      <c r="C2988" s="2" t="str">
        <f>TRIM(Table1[[#This Row],[Dostawca]])</f>
        <v>NovaLek</v>
      </c>
      <c r="D2988" s="3">
        <v>45653</v>
      </c>
      <c r="E2988" s="4" t="s">
        <v>8818</v>
      </c>
      <c r="F2988" s="2" t="str">
        <f>TRIM(Table1[[#This Row],[Status]])</f>
        <v>Zaakceptowana</v>
      </c>
      <c r="G2988" s="2" t="str">
        <f>TRIM(Table1[[#This Row],[Typ]])</f>
        <v>Faktura VAT</v>
      </c>
      <c r="H2988" s="2" t="str">
        <f>TRIM(Table1[[#This Row],[Magazyn]])</f>
        <v>Apteka Szpitalna</v>
      </c>
      <c r="I2988" s="2" t="str">
        <f>TRIM(Table1[[#This Row],[Umowa]])</f>
        <v/>
      </c>
      <c r="J2988" s="2" t="b">
        <f>ISTEXT(Table14[[#This Row],[Data_Wystawienia]])</f>
        <v>0</v>
      </c>
      <c r="K2988" s="2">
        <f>VALUE(SUBSTITUTE(Table14[[#This Row],[Wartość]],".",","))</f>
        <v>16767.830000000002</v>
      </c>
      <c r="L298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8" s="2" t="str">
        <f>IF(Table14[[#This Row],[Umowa]]="","Poza umową","Z umowy")</f>
        <v>Poza umową</v>
      </c>
      <c r="N2988" s="2">
        <f>YEAR(Table14[[#This Row],[Data_Wystawienia]])</f>
        <v>2024</v>
      </c>
      <c r="O2988" s="2" t="str">
        <f>TEXT(Table14[[#This Row],[Data_Wystawienia]],"rrrr-mm")</f>
        <v>2024-12</v>
      </c>
      <c r="P2988" s="2">
        <v>1</v>
      </c>
    </row>
    <row r="2989" spans="1:16" x14ac:dyDescent="0.3">
      <c r="A2989" s="2" t="str">
        <f>TRIM(Table1[[#This Row],[Numer_FV]])</f>
        <v>FV/M/7923/P/24</v>
      </c>
      <c r="B2989" s="2" t="str">
        <f>TRIM(Table1[[#This Row],[Numer_PZ]])</f>
        <v>PZ/802987</v>
      </c>
      <c r="C2989" s="2" t="str">
        <f>TRIM(Table1[[#This Row],[Dostawca]])</f>
        <v>MedicaPharm</v>
      </c>
      <c r="D2989" s="3">
        <v>45654</v>
      </c>
      <c r="E2989" s="4" t="s">
        <v>8821</v>
      </c>
      <c r="F2989" s="2" t="str">
        <f>TRIM(Table1[[#This Row],[Status]])</f>
        <v>Zaakceptowana</v>
      </c>
      <c r="G2989" s="2" t="str">
        <f>TRIM(Table1[[#This Row],[Typ]])</f>
        <v>Faktura VAT</v>
      </c>
      <c r="H2989" s="2" t="str">
        <f>TRIM(Table1[[#This Row],[Magazyn]])</f>
        <v>Apteka Szpitalna</v>
      </c>
      <c r="I2989" s="2" t="str">
        <f>TRIM(Table1[[#This Row],[Umowa]])</f>
        <v/>
      </c>
      <c r="J2989" s="2" t="b">
        <f>ISTEXT(Table14[[#This Row],[Data_Wystawienia]])</f>
        <v>0</v>
      </c>
      <c r="K2989" s="2">
        <f>VALUE(SUBSTITUTE(Table14[[#This Row],[Wartość]],".",","))</f>
        <v>20669.259999999998</v>
      </c>
      <c r="L298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89" s="2" t="str">
        <f>IF(Table14[[#This Row],[Umowa]]="","Poza umową","Z umowy")</f>
        <v>Poza umową</v>
      </c>
      <c r="N2989" s="2">
        <f>YEAR(Table14[[#This Row],[Data_Wystawienia]])</f>
        <v>2024</v>
      </c>
      <c r="O2989" s="2" t="str">
        <f>TEXT(Table14[[#This Row],[Data_Wystawienia]],"rrrr-mm")</f>
        <v>2024-12</v>
      </c>
      <c r="P2989" s="2">
        <v>1</v>
      </c>
    </row>
    <row r="2990" spans="1:16" x14ac:dyDescent="0.3">
      <c r="A2990" s="2" t="str">
        <f>TRIM(Table1[[#This Row],[Numer_FV]])</f>
        <v>FV/CENFA/514133/24</v>
      </c>
      <c r="B2990" s="2" t="str">
        <f>TRIM(Table1[[#This Row],[Numer_PZ]])</f>
        <v>PZ/802988</v>
      </c>
      <c r="C2990" s="2" t="str">
        <f>TRIM(Table1[[#This Row],[Dostawca]])</f>
        <v>CentrumFarm</v>
      </c>
      <c r="D2990" s="3">
        <v>45654</v>
      </c>
      <c r="E2990" s="4" t="s">
        <v>8824</v>
      </c>
      <c r="F2990" s="2" t="str">
        <f>TRIM(Table1[[#This Row],[Status]])</f>
        <v>Zaakceptowana</v>
      </c>
      <c r="G2990" s="2" t="str">
        <f>TRIM(Table1[[#This Row],[Typ]])</f>
        <v>Faktura VAT</v>
      </c>
      <c r="H2990" s="2" t="str">
        <f>TRIM(Table1[[#This Row],[Magazyn]])</f>
        <v>Apteka Szpitalna</v>
      </c>
      <c r="I2990" s="2" t="str">
        <f>TRIM(Table1[[#This Row],[Umowa]])</f>
        <v>UM-CEN-02</v>
      </c>
      <c r="J2990" s="2" t="b">
        <f>ISTEXT(Table14[[#This Row],[Data_Wystawienia]])</f>
        <v>0</v>
      </c>
      <c r="K2990" s="2">
        <f>VALUE(SUBSTITUTE(Table14[[#This Row],[Wartość]],".",","))</f>
        <v>9911.7199999999993</v>
      </c>
      <c r="L299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0" s="2" t="str">
        <f>IF(Table14[[#This Row],[Umowa]]="","Poza umową","Z umowy")</f>
        <v>Z umowy</v>
      </c>
      <c r="N2990" s="2">
        <f>YEAR(Table14[[#This Row],[Data_Wystawienia]])</f>
        <v>2024</v>
      </c>
      <c r="O2990" s="2" t="str">
        <f>TEXT(Table14[[#This Row],[Data_Wystawienia]],"rrrr-mm")</f>
        <v>2024-12</v>
      </c>
      <c r="P2990" s="2">
        <v>1</v>
      </c>
    </row>
    <row r="2991" spans="1:16" x14ac:dyDescent="0.3">
      <c r="A2991" s="2" t="str">
        <f>TRIM(Table1[[#This Row],[Numer_FV]])</f>
        <v>FV/25/PP/4071/24</v>
      </c>
      <c r="B2991" s="2" t="str">
        <f>TRIM(Table1[[#This Row],[Numer_PZ]])</f>
        <v>PZ/802989</v>
      </c>
      <c r="C2991" s="2" t="str">
        <f>TRIM(Table1[[#This Row],[Dostawca]])</f>
        <v>PharmaPlus</v>
      </c>
      <c r="D2991" s="3">
        <v>45654</v>
      </c>
      <c r="E2991" s="4" t="s">
        <v>8827</v>
      </c>
      <c r="F2991" s="2" t="str">
        <f>TRIM(Table1[[#This Row],[Status]])</f>
        <v>Zaakceptowana</v>
      </c>
      <c r="G2991" s="2" t="str">
        <f>TRIM(Table1[[#This Row],[Typ]])</f>
        <v>Faktura VAT</v>
      </c>
      <c r="H2991" s="2" t="str">
        <f>TRIM(Table1[[#This Row],[Magazyn]])</f>
        <v>Apteka Szpitalna</v>
      </c>
      <c r="I2991" s="2" t="str">
        <f>TRIM(Table1[[#This Row],[Umowa]])</f>
        <v>UM-PHA-02</v>
      </c>
      <c r="J2991" s="2" t="b">
        <f>ISTEXT(Table14[[#This Row],[Data_Wystawienia]])</f>
        <v>0</v>
      </c>
      <c r="K2991" s="2">
        <f>VALUE(SUBSTITUTE(Table14[[#This Row],[Wartość]],".",","))</f>
        <v>22784.71</v>
      </c>
      <c r="L299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1" s="2" t="str">
        <f>IF(Table14[[#This Row],[Umowa]]="","Poza umową","Z umowy")</f>
        <v>Z umowy</v>
      </c>
      <c r="N2991" s="2">
        <f>YEAR(Table14[[#This Row],[Data_Wystawienia]])</f>
        <v>2024</v>
      </c>
      <c r="O2991" s="2" t="str">
        <f>TEXT(Table14[[#This Row],[Data_Wystawienia]],"rrrr-mm")</f>
        <v>2024-12</v>
      </c>
      <c r="P2991" s="2">
        <v>1</v>
      </c>
    </row>
    <row r="2992" spans="1:16" x14ac:dyDescent="0.3">
      <c r="A2992" s="2" t="str">
        <f>TRIM(Table1[[#This Row],[Numer_FV]])</f>
        <v>FV/16247/VDb/2024</v>
      </c>
      <c r="B2992" s="2" t="str">
        <f>TRIM(Table1[[#This Row],[Numer_PZ]])</f>
        <v>PZ/802990</v>
      </c>
      <c r="C2992" s="2" t="str">
        <f>TRIM(Table1[[#This Row],[Dostawca]])</f>
        <v>VitaDistrib</v>
      </c>
      <c r="D2992" s="3">
        <v>45654</v>
      </c>
      <c r="E2992" s="4" t="s">
        <v>8830</v>
      </c>
      <c r="F2992" s="2" t="str">
        <f>TRIM(Table1[[#This Row],[Status]])</f>
        <v>Zaakceptowana</v>
      </c>
      <c r="G2992" s="2" t="str">
        <f>TRIM(Table1[[#This Row],[Typ]])</f>
        <v>Faktura VAT</v>
      </c>
      <c r="H2992" s="2" t="str">
        <f>TRIM(Table1[[#This Row],[Magazyn]])</f>
        <v>Apteka Szpitalna</v>
      </c>
      <c r="I2992" s="2" t="str">
        <f>TRIM(Table1[[#This Row],[Umowa]])</f>
        <v>UM-VIT-01</v>
      </c>
      <c r="J2992" s="2" t="b">
        <f>ISTEXT(Table14[[#This Row],[Data_Wystawienia]])</f>
        <v>0</v>
      </c>
      <c r="K2992" s="2">
        <f>VALUE(SUBSTITUTE(Table14[[#This Row],[Wartość]],".",","))</f>
        <v>15365.31</v>
      </c>
      <c r="L299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2" s="2" t="str">
        <f>IF(Table14[[#This Row],[Umowa]]="","Poza umową","Z umowy")</f>
        <v>Z umowy</v>
      </c>
      <c r="N2992" s="2">
        <f>YEAR(Table14[[#This Row],[Data_Wystawienia]])</f>
        <v>2024</v>
      </c>
      <c r="O2992" s="2" t="str">
        <f>TEXT(Table14[[#This Row],[Data_Wystawienia]],"rrrr-mm")</f>
        <v>2024-12</v>
      </c>
      <c r="P2992" s="2">
        <v>1</v>
      </c>
    </row>
    <row r="2993" spans="1:16" x14ac:dyDescent="0.3">
      <c r="A2993" s="2" t="str">
        <f>TRIM(Table1[[#This Row],[Numer_FV]])</f>
        <v>FV/28620/VDb/2024</v>
      </c>
      <c r="B2993" s="2" t="str">
        <f>TRIM(Table1[[#This Row],[Numer_PZ]])</f>
        <v>PZ/802991</v>
      </c>
      <c r="C2993" s="2" t="str">
        <f>TRIM(Table1[[#This Row],[Dostawca]])</f>
        <v>VitaDistrib</v>
      </c>
      <c r="D2993" s="3">
        <v>45654</v>
      </c>
      <c r="E2993" s="4" t="s">
        <v>8833</v>
      </c>
      <c r="F2993" s="2" t="str">
        <f>TRIM(Table1[[#This Row],[Status]])</f>
        <v>Zaakceptowana</v>
      </c>
      <c r="G2993" s="2" t="str">
        <f>TRIM(Table1[[#This Row],[Typ]])</f>
        <v>Faktura VAT</v>
      </c>
      <c r="H2993" s="2" t="str">
        <f>TRIM(Table1[[#This Row],[Magazyn]])</f>
        <v>Apteka Szpitalna</v>
      </c>
      <c r="I2993" s="2" t="str">
        <f>TRIM(Table1[[#This Row],[Umowa]])</f>
        <v>UM-VIT-01</v>
      </c>
      <c r="J2993" s="2" t="b">
        <f>ISTEXT(Table14[[#This Row],[Data_Wystawienia]])</f>
        <v>0</v>
      </c>
      <c r="K2993" s="2">
        <f>VALUE(SUBSTITUTE(Table14[[#This Row],[Wartość]],".",","))</f>
        <v>12795.18</v>
      </c>
      <c r="L299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3" s="2" t="str">
        <f>IF(Table14[[#This Row],[Umowa]]="","Poza umową","Z umowy")</f>
        <v>Z umowy</v>
      </c>
      <c r="N2993" s="2">
        <f>YEAR(Table14[[#This Row],[Data_Wystawienia]])</f>
        <v>2024</v>
      </c>
      <c r="O2993" s="2" t="str">
        <f>TEXT(Table14[[#This Row],[Data_Wystawienia]],"rrrr-mm")</f>
        <v>2024-12</v>
      </c>
      <c r="P2993" s="2">
        <v>1</v>
      </c>
    </row>
    <row r="2994" spans="1:16" x14ac:dyDescent="0.3">
      <c r="A2994" s="2" t="str">
        <f>TRIM(Table1[[#This Row],[Numer_FV]])</f>
        <v>FV/30/PP/4996/24</v>
      </c>
      <c r="B2994" s="2" t="str">
        <f>TRIM(Table1[[#This Row],[Numer_PZ]])</f>
        <v>PZ/802992</v>
      </c>
      <c r="C2994" s="2" t="str">
        <f>TRIM(Table1[[#This Row],[Dostawca]])</f>
        <v>PharmaPlus</v>
      </c>
      <c r="D2994" s="3">
        <v>45654</v>
      </c>
      <c r="E2994" s="4" t="s">
        <v>8836</v>
      </c>
      <c r="F2994" s="2" t="str">
        <f>TRIM(Table1[[#This Row],[Status]])</f>
        <v>Zaakceptowana</v>
      </c>
      <c r="G2994" s="2" t="str">
        <f>TRIM(Table1[[#This Row],[Typ]])</f>
        <v>Faktura VAT</v>
      </c>
      <c r="H2994" s="2" t="str">
        <f>TRIM(Table1[[#This Row],[Magazyn]])</f>
        <v>Apteka Szpitalna</v>
      </c>
      <c r="I2994" s="2" t="str">
        <f>TRIM(Table1[[#This Row],[Umowa]])</f>
        <v>UM-PHA-02</v>
      </c>
      <c r="J2994" s="2" t="b">
        <f>ISTEXT(Table14[[#This Row],[Data_Wystawienia]])</f>
        <v>0</v>
      </c>
      <c r="K2994" s="2">
        <f>VALUE(SUBSTITUTE(Table14[[#This Row],[Wartość]],".",","))</f>
        <v>4904.3500000000004</v>
      </c>
      <c r="L299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4" s="2" t="str">
        <f>IF(Table14[[#This Row],[Umowa]]="","Poza umową","Z umowy")</f>
        <v>Z umowy</v>
      </c>
      <c r="N2994" s="2">
        <f>YEAR(Table14[[#This Row],[Data_Wystawienia]])</f>
        <v>2024</v>
      </c>
      <c r="O2994" s="2" t="str">
        <f>TEXT(Table14[[#This Row],[Data_Wystawienia]],"rrrr-mm")</f>
        <v>2024-12</v>
      </c>
      <c r="P2994" s="2">
        <v>1</v>
      </c>
    </row>
    <row r="2995" spans="1:16" x14ac:dyDescent="0.3">
      <c r="A2995" s="2" t="str">
        <f>TRIM(Table1[[#This Row],[Numer_FV]])</f>
        <v>FV/19/SAL/24</v>
      </c>
      <c r="B2995" s="2" t="str">
        <f>TRIM(Table1[[#This Row],[Numer_PZ]])</f>
        <v>PZ/802993</v>
      </c>
      <c r="C2995" s="2" t="str">
        <f>TRIM(Table1[[#This Row],[Dostawca]])</f>
        <v>SalusHurt</v>
      </c>
      <c r="D2995" s="3">
        <v>45654</v>
      </c>
      <c r="E2995" s="4" t="s">
        <v>8838</v>
      </c>
      <c r="F2995" s="2" t="str">
        <f>TRIM(Table1[[#This Row],[Status]])</f>
        <v>Zaakceptowana</v>
      </c>
      <c r="G2995" s="2" t="str">
        <f>TRIM(Table1[[#This Row],[Typ]])</f>
        <v>Faktura VAT</v>
      </c>
      <c r="H2995" s="2" t="str">
        <f>TRIM(Table1[[#This Row],[Magazyn]])</f>
        <v>Apteka Szpitalna</v>
      </c>
      <c r="I2995" s="2" t="str">
        <f>TRIM(Table1[[#This Row],[Umowa]])</f>
        <v>UM-SAL-02</v>
      </c>
      <c r="J2995" s="2" t="b">
        <f>ISTEXT(Table14[[#This Row],[Data_Wystawienia]])</f>
        <v>0</v>
      </c>
      <c r="K2995" s="2">
        <f>VALUE(SUBSTITUTE(Table14[[#This Row],[Wartość]],".",","))</f>
        <v>8195.15</v>
      </c>
      <c r="L299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5" s="2" t="str">
        <f>IF(Table14[[#This Row],[Umowa]]="","Poza umową","Z umowy")</f>
        <v>Z umowy</v>
      </c>
      <c r="N2995" s="2">
        <f>YEAR(Table14[[#This Row],[Data_Wystawienia]])</f>
        <v>2024</v>
      </c>
      <c r="O2995" s="2" t="str">
        <f>TEXT(Table14[[#This Row],[Data_Wystawienia]],"rrrr-mm")</f>
        <v>2024-12</v>
      </c>
      <c r="P2995" s="2">
        <v>1</v>
      </c>
    </row>
    <row r="2996" spans="1:16" x14ac:dyDescent="0.3">
      <c r="A2996" s="2" t="str">
        <f>TRIM(Table1[[#This Row],[Numer_FV]])</f>
        <v>FV/88/SAL/24</v>
      </c>
      <c r="B2996" s="2" t="str">
        <f>TRIM(Table1[[#This Row],[Numer_PZ]])</f>
        <v>PZ/802994</v>
      </c>
      <c r="C2996" s="2" t="str">
        <f>TRIM(Table1[[#This Row],[Dostawca]])</f>
        <v>SalusHurt</v>
      </c>
      <c r="D2996" s="3">
        <v>45655</v>
      </c>
      <c r="E2996" s="4" t="s">
        <v>8841</v>
      </c>
      <c r="F2996" s="2" t="str">
        <f>TRIM(Table1[[#This Row],[Status]])</f>
        <v>Zaakceptowana</v>
      </c>
      <c r="G2996" s="2" t="str">
        <f>TRIM(Table1[[#This Row],[Typ]])</f>
        <v>Faktura VAT</v>
      </c>
      <c r="H2996" s="2" t="str">
        <f>TRIM(Table1[[#This Row],[Magazyn]])</f>
        <v>Apteka Szpitalna</v>
      </c>
      <c r="I2996" s="2" t="str">
        <f>TRIM(Table1[[#This Row],[Umowa]])</f>
        <v/>
      </c>
      <c r="J2996" s="2" t="b">
        <f>ISTEXT(Table14[[#This Row],[Data_Wystawienia]])</f>
        <v>0</v>
      </c>
      <c r="K2996" s="2">
        <f>VALUE(SUBSTITUTE(Table14[[#This Row],[Wartość]],".",","))</f>
        <v>17620.400000000001</v>
      </c>
      <c r="L299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6" s="2" t="str">
        <f>IF(Table14[[#This Row],[Umowa]]="","Poza umową","Z umowy")</f>
        <v>Poza umową</v>
      </c>
      <c r="N2996" s="2">
        <f>YEAR(Table14[[#This Row],[Data_Wystawienia]])</f>
        <v>2024</v>
      </c>
      <c r="O2996" s="2" t="str">
        <f>TEXT(Table14[[#This Row],[Data_Wystawienia]],"rrrr-mm")</f>
        <v>2024-12</v>
      </c>
      <c r="P2996" s="2">
        <v>1</v>
      </c>
    </row>
    <row r="2997" spans="1:16" x14ac:dyDescent="0.3">
      <c r="A2997" s="2" t="str">
        <f>TRIM(Table1[[#This Row],[Numer_FV]])</f>
        <v>FV/29/SAL/24</v>
      </c>
      <c r="B2997" s="2" t="str">
        <f>TRIM(Table1[[#This Row],[Numer_PZ]])</f>
        <v>PZ/802995</v>
      </c>
      <c r="C2997" s="2" t="str">
        <f>TRIM(Table1[[#This Row],[Dostawca]])</f>
        <v>SalusHurt</v>
      </c>
      <c r="D2997" s="3">
        <v>45655</v>
      </c>
      <c r="E2997" s="4" t="s">
        <v>8843</v>
      </c>
      <c r="F2997" s="2" t="str">
        <f>TRIM(Table1[[#This Row],[Status]])</f>
        <v>Zaakceptowana</v>
      </c>
      <c r="G2997" s="2" t="str">
        <f>TRIM(Table1[[#This Row],[Typ]])</f>
        <v>Faktura VAT</v>
      </c>
      <c r="H2997" s="2" t="str">
        <f>TRIM(Table1[[#This Row],[Magazyn]])</f>
        <v>Apteka Szpitalna</v>
      </c>
      <c r="I2997" s="2" t="str">
        <f>TRIM(Table1[[#This Row],[Umowa]])</f>
        <v>UM-SAL-01</v>
      </c>
      <c r="J2997" s="2" t="b">
        <f>ISTEXT(Table14[[#This Row],[Data_Wystawienia]])</f>
        <v>0</v>
      </c>
      <c r="K2997" s="2">
        <f>VALUE(SUBSTITUTE(Table14[[#This Row],[Wartość]],".",","))</f>
        <v>14795.81</v>
      </c>
      <c r="L2997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7" s="2" t="str">
        <f>IF(Table14[[#This Row],[Umowa]]="","Poza umową","Z umowy")</f>
        <v>Z umowy</v>
      </c>
      <c r="N2997" s="2">
        <f>YEAR(Table14[[#This Row],[Data_Wystawienia]])</f>
        <v>2024</v>
      </c>
      <c r="O2997" s="2" t="str">
        <f>TEXT(Table14[[#This Row],[Data_Wystawienia]],"rrrr-mm")</f>
        <v>2024-12</v>
      </c>
      <c r="P2997" s="2">
        <v>1</v>
      </c>
    </row>
    <row r="2998" spans="1:16" x14ac:dyDescent="0.3">
      <c r="A2998" s="2" t="str">
        <f>TRIM(Table1[[#This Row],[Numer_FV]])</f>
        <v>FV/27/SAL/24</v>
      </c>
      <c r="B2998" s="2" t="str">
        <f>TRIM(Table1[[#This Row],[Numer_PZ]])</f>
        <v>PZ/802996</v>
      </c>
      <c r="C2998" s="2" t="str">
        <f>TRIM(Table1[[#This Row],[Dostawca]])</f>
        <v>SalusHurt</v>
      </c>
      <c r="D2998" s="3">
        <v>45655</v>
      </c>
      <c r="E2998" s="4" t="s">
        <v>8846</v>
      </c>
      <c r="F2998" s="2" t="str">
        <f>TRIM(Table1[[#This Row],[Status]])</f>
        <v>Zaakceptowana</v>
      </c>
      <c r="G2998" s="2" t="str">
        <f>TRIM(Table1[[#This Row],[Typ]])</f>
        <v>Korekta FV</v>
      </c>
      <c r="H2998" s="2" t="str">
        <f>TRIM(Table1[[#This Row],[Magazyn]])</f>
        <v>Apteka Szpitalna</v>
      </c>
      <c r="I2998" s="2" t="str">
        <f>TRIM(Table1[[#This Row],[Umowa]])</f>
        <v>UM-SAL-02</v>
      </c>
      <c r="J2998" s="2" t="b">
        <f>ISTEXT(Table14[[#This Row],[Data_Wystawienia]])</f>
        <v>0</v>
      </c>
      <c r="K2998" s="2">
        <f>VALUE(SUBSTITUTE(Table14[[#This Row],[Wartość]],".",","))</f>
        <v>-1905.1</v>
      </c>
      <c r="L2998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8" s="2" t="str">
        <f>IF(Table14[[#This Row],[Umowa]]="","Poza umową","Z umowy")</f>
        <v>Z umowy</v>
      </c>
      <c r="N2998" s="2">
        <f>YEAR(Table14[[#This Row],[Data_Wystawienia]])</f>
        <v>2024</v>
      </c>
      <c r="O2998" s="2" t="str">
        <f>TEXT(Table14[[#This Row],[Data_Wystawienia]],"rrrr-mm")</f>
        <v>2024-12</v>
      </c>
      <c r="P2998" s="2">
        <v>1</v>
      </c>
    </row>
    <row r="2999" spans="1:16" x14ac:dyDescent="0.3">
      <c r="A2999" s="2" t="str">
        <f>TRIM(Table1[[#This Row],[Numer_FV]])</f>
        <v>FV/36/PP/9325/24</v>
      </c>
      <c r="B2999" s="2"/>
      <c r="C2999" s="2" t="str">
        <f>TRIM(Table1[[#This Row],[Dostawca]])</f>
        <v>PharmaPlus</v>
      </c>
      <c r="D2999" s="3">
        <v>45657</v>
      </c>
      <c r="E2999" s="4" t="s">
        <v>8848</v>
      </c>
      <c r="F2999" s="2" t="str">
        <f>TRIM(Table1[[#This Row],[Status]])</f>
        <v>Wprowadzone</v>
      </c>
      <c r="G2999" s="2" t="str">
        <f>TRIM(Table1[[#This Row],[Typ]])</f>
        <v>Faktura VAT</v>
      </c>
      <c r="H2999" s="2" t="str">
        <f>TRIM(Table1[[#This Row],[Magazyn]])</f>
        <v>Apteka Szpitalna</v>
      </c>
      <c r="I2999" s="2" t="str">
        <f>TRIM(Table1[[#This Row],[Umowa]])</f>
        <v>UM-PHA-02</v>
      </c>
      <c r="J2999" s="2" t="b">
        <f>ISTEXT(Table14[[#This Row],[Data_Wystawienia]])</f>
        <v>0</v>
      </c>
      <c r="K2999" s="2">
        <f>VALUE(SUBSTITUTE(Table14[[#This Row],[Wartość]],".",","))</f>
        <v>14443.29</v>
      </c>
      <c r="L2999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2999" s="2" t="str">
        <f>IF(Table14[[#This Row],[Umowa]]="","Poza umową","Z umowy")</f>
        <v>Z umowy</v>
      </c>
      <c r="N2999" s="2">
        <f>YEAR(Table14[[#This Row],[Data_Wystawienia]])</f>
        <v>2024</v>
      </c>
      <c r="O2999" s="2" t="str">
        <f>TEXT(Table14[[#This Row],[Data_Wystawienia]],"rrrr-mm")</f>
        <v>2024-12</v>
      </c>
      <c r="P2999" s="2">
        <v>1</v>
      </c>
    </row>
    <row r="3000" spans="1:16" x14ac:dyDescent="0.3">
      <c r="A3000" s="2" t="str">
        <f>TRIM(Table1[[#This Row],[Numer_FV]])</f>
        <v>FV/3500HM/24</v>
      </c>
      <c r="B3000" s="2"/>
      <c r="C3000" s="2" t="str">
        <f>TRIM(Table1[[#This Row],[Dostawca]])</f>
        <v>HurtMedix</v>
      </c>
      <c r="D3000" s="3">
        <v>45657</v>
      </c>
      <c r="E3000" s="4" t="s">
        <v>8851</v>
      </c>
      <c r="F3000" s="2" t="str">
        <f>TRIM(Table1[[#This Row],[Status]])</f>
        <v>Wprowadzone</v>
      </c>
      <c r="G3000" s="2" t="str">
        <f>TRIM(Table1[[#This Row],[Typ]])</f>
        <v>Faktura VAT</v>
      </c>
      <c r="H3000" s="2" t="str">
        <f>TRIM(Table1[[#This Row],[Magazyn]])</f>
        <v>Apteka Szpitalna</v>
      </c>
      <c r="I3000" s="2" t="str">
        <f>TRIM(Table1[[#This Row],[Umowa]])</f>
        <v>UM-HUR-02</v>
      </c>
      <c r="J3000" s="2" t="b">
        <f>ISTEXT(Table14[[#This Row],[Data_Wystawienia]])</f>
        <v>0</v>
      </c>
      <c r="K3000" s="2">
        <f>VALUE(SUBSTITUTE(Table14[[#This Row],[Wartość]],".",","))</f>
        <v>8772.0400000000009</v>
      </c>
      <c r="L3000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0" s="2" t="str">
        <f>IF(Table14[[#This Row],[Umowa]]="","Poza umową","Z umowy")</f>
        <v>Z umowy</v>
      </c>
      <c r="N3000" s="2">
        <f>YEAR(Table14[[#This Row],[Data_Wystawienia]])</f>
        <v>2024</v>
      </c>
      <c r="O3000" s="2" t="str">
        <f>TEXT(Table14[[#This Row],[Data_Wystawienia]],"rrrr-mm")</f>
        <v>2024-12</v>
      </c>
      <c r="P3000" s="2">
        <v>1</v>
      </c>
    </row>
    <row r="3001" spans="1:16" x14ac:dyDescent="0.3">
      <c r="A3001" s="2" t="str">
        <f>TRIM(Table1[[#This Row],[Numer_FV]])</f>
        <v>FV/66640/VDb/2024</v>
      </c>
      <c r="B3001" s="2"/>
      <c r="C3001" s="2" t="str">
        <f>TRIM(Table1[[#This Row],[Dostawca]])</f>
        <v>VitaDistrib</v>
      </c>
      <c r="D3001" s="3">
        <v>45657</v>
      </c>
      <c r="E3001" s="4" t="s">
        <v>8853</v>
      </c>
      <c r="F3001" s="2" t="str">
        <f>TRIM(Table1[[#This Row],[Status]])</f>
        <v>Wprowadzone</v>
      </c>
      <c r="G3001" s="2" t="str">
        <f>TRIM(Table1[[#This Row],[Typ]])</f>
        <v>Faktura VAT</v>
      </c>
      <c r="H3001" s="2" t="str">
        <f>TRIM(Table1[[#This Row],[Magazyn]])</f>
        <v>Apteka Szpitalna</v>
      </c>
      <c r="I3001" s="2" t="str">
        <f>TRIM(Table1[[#This Row],[Umowa]])</f>
        <v>UM-VIT-01</v>
      </c>
      <c r="J3001" s="2" t="b">
        <f>ISTEXT(Table14[[#This Row],[Data_Wystawienia]])</f>
        <v>0</v>
      </c>
      <c r="K3001" s="2">
        <f>VALUE(SUBSTITUTE(Table14[[#This Row],[Wartość]],".",","))</f>
        <v>9820.92</v>
      </c>
      <c r="L3001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1" s="2" t="str">
        <f>IF(Table14[[#This Row],[Umowa]]="","Poza umową","Z umowy")</f>
        <v>Z umowy</v>
      </c>
      <c r="N3001" s="2">
        <f>YEAR(Table14[[#This Row],[Data_Wystawienia]])</f>
        <v>2024</v>
      </c>
      <c r="O3001" s="2" t="str">
        <f>TEXT(Table14[[#This Row],[Data_Wystawienia]],"rrrr-mm")</f>
        <v>2024-12</v>
      </c>
      <c r="P3001" s="2">
        <v>1</v>
      </c>
    </row>
    <row r="3002" spans="1:16" x14ac:dyDescent="0.3">
      <c r="A3002" s="2" t="str">
        <f>TRIM(Table1[[#This Row],[Numer_FV]])</f>
        <v>FV/POL/24535/2024</v>
      </c>
      <c r="B3002" s="2"/>
      <c r="C3002" s="2" t="str">
        <f>TRIM(Table1[[#This Row],[Dostawca]])</f>
        <v>Polmedica</v>
      </c>
      <c r="D3002" s="3">
        <v>45657</v>
      </c>
      <c r="E3002" s="4" t="s">
        <v>8855</v>
      </c>
      <c r="F3002" s="2" t="str">
        <f>TRIM(Table1[[#This Row],[Status]])</f>
        <v>Wprowadzone</v>
      </c>
      <c r="G3002" s="2" t="str">
        <f>TRIM(Table1[[#This Row],[Typ]])</f>
        <v>Faktura VAT</v>
      </c>
      <c r="H3002" s="2" t="str">
        <f>TRIM(Table1[[#This Row],[Magazyn]])</f>
        <v>Apteka Szpitalna</v>
      </c>
      <c r="I3002" s="2" t="str">
        <f>TRIM(Table1[[#This Row],[Umowa]])</f>
        <v>UM-POL-02</v>
      </c>
      <c r="J3002" s="2" t="b">
        <f>ISTEXT(Table14[[#This Row],[Data_Wystawienia]])</f>
        <v>0</v>
      </c>
      <c r="K3002" s="2">
        <f>VALUE(SUBSTITUTE(Table14[[#This Row],[Wartość]],".",","))</f>
        <v>19219.22</v>
      </c>
      <c r="L3002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2" s="2" t="str">
        <f>IF(Table14[[#This Row],[Umowa]]="","Poza umową","Z umowy")</f>
        <v>Z umowy</v>
      </c>
      <c r="N3002" s="2">
        <f>YEAR(Table14[[#This Row],[Data_Wystawienia]])</f>
        <v>2024</v>
      </c>
      <c r="O3002" s="2" t="str">
        <f>TEXT(Table14[[#This Row],[Data_Wystawienia]],"rrrr-mm")</f>
        <v>2024-12</v>
      </c>
      <c r="P3002" s="2">
        <v>1</v>
      </c>
    </row>
    <row r="3003" spans="1:16" x14ac:dyDescent="0.3">
      <c r="A3003" s="2" t="str">
        <f>TRIM(Table1[[#This Row],[Numer_FV]])</f>
        <v>FV/9720/NOVA/24</v>
      </c>
      <c r="B3003" s="2" t="s">
        <v>8857</v>
      </c>
      <c r="C3003" s="2" t="str">
        <f>TRIM(Table1[[#This Row],[Dostawca]])</f>
        <v>NovaLek</v>
      </c>
      <c r="D3003" s="3">
        <v>45657</v>
      </c>
      <c r="E3003" s="4" t="s">
        <v>8858</v>
      </c>
      <c r="F3003" s="2" t="str">
        <f>TRIM(Table1[[#This Row],[Status]])</f>
        <v>Zaakceptowana</v>
      </c>
      <c r="G3003" s="2" t="str">
        <f>TRIM(Table1[[#This Row],[Typ]])</f>
        <v>Faktura VAT</v>
      </c>
      <c r="H3003" s="2" t="str">
        <f>TRIM(Table1[[#This Row],[Magazyn]])</f>
        <v>Apteka Szpitalna</v>
      </c>
      <c r="I3003" s="2" t="str">
        <f>TRIM(Table1[[#This Row],[Umowa]])</f>
        <v>UM-NOV-03</v>
      </c>
      <c r="J3003" s="2" t="b">
        <f>ISTEXT(Table14[[#This Row],[Data_Wystawienia]])</f>
        <v>0</v>
      </c>
      <c r="K3003" s="2">
        <f>VALUE(SUBSTITUTE(Table14[[#This Row],[Wartość]],".",","))</f>
        <v>11363.58</v>
      </c>
      <c r="L3003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3" s="2" t="str">
        <f>IF(Table14[[#This Row],[Umowa]]="","Poza umową","Z umowy")</f>
        <v>Z umowy</v>
      </c>
      <c r="N3003" s="2">
        <f>YEAR(Table14[[#This Row],[Data_Wystawienia]])</f>
        <v>2024</v>
      </c>
      <c r="O3003" s="2" t="str">
        <f>TEXT(Table14[[#This Row],[Data_Wystawienia]],"rrrr-mm")</f>
        <v>2024-12</v>
      </c>
      <c r="P3003" s="2">
        <v>1</v>
      </c>
    </row>
    <row r="3004" spans="1:16" x14ac:dyDescent="0.3">
      <c r="A3004" s="2" t="str">
        <f>TRIM(Table1[[#This Row],[Numer_FV]])</f>
        <v>FV/8645/NOVA/24</v>
      </c>
      <c r="B3004" s="2" t="s">
        <v>8860</v>
      </c>
      <c r="C3004" s="2" t="str">
        <f>TRIM(Table1[[#This Row],[Dostawca]])</f>
        <v>NovaLek</v>
      </c>
      <c r="D3004" s="3">
        <v>45657</v>
      </c>
      <c r="E3004" s="4" t="s">
        <v>8861</v>
      </c>
      <c r="F3004" s="2" t="str">
        <f>TRIM(Table1[[#This Row],[Status]])</f>
        <v>Zaakceptowana</v>
      </c>
      <c r="G3004" s="2" t="str">
        <f>TRIM(Table1[[#This Row],[Typ]])</f>
        <v>Faktura VAT</v>
      </c>
      <c r="H3004" s="2" t="str">
        <f>TRIM(Table1[[#This Row],[Magazyn]])</f>
        <v>Apteka Szpitalna</v>
      </c>
      <c r="I3004" s="2" t="str">
        <f>TRIM(Table1[[#This Row],[Umowa]])</f>
        <v>UM-NOV-02</v>
      </c>
      <c r="J3004" s="2" t="b">
        <f>ISTEXT(Table14[[#This Row],[Data_Wystawienia]])</f>
        <v>0</v>
      </c>
      <c r="K3004" s="2">
        <f>VALUE(SUBSTITUTE(Table14[[#This Row],[Wartość]],".",","))</f>
        <v>18071.87</v>
      </c>
      <c r="L3004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4" s="2" t="str">
        <f>IF(Table14[[#This Row],[Umowa]]="","Poza umową","Z umowy")</f>
        <v>Z umowy</v>
      </c>
      <c r="N3004" s="2">
        <f>YEAR(Table14[[#This Row],[Data_Wystawienia]])</f>
        <v>2024</v>
      </c>
      <c r="O3004" s="2" t="str">
        <f>TEXT(Table14[[#This Row],[Data_Wystawienia]],"rrrr-mm")</f>
        <v>2024-12</v>
      </c>
      <c r="P3004" s="2">
        <v>1</v>
      </c>
    </row>
    <row r="3005" spans="1:16" x14ac:dyDescent="0.3">
      <c r="A3005" s="2" t="str">
        <f>TRIM(Table1[[#This Row],[Numer_FV]])</f>
        <v>FV/20878/VDb/2024</v>
      </c>
      <c r="B3005" s="2" t="s">
        <v>8863</v>
      </c>
      <c r="C3005" s="2" t="str">
        <f>TRIM(Table1[[#This Row],[Dostawca]])</f>
        <v>VitaDistrib</v>
      </c>
      <c r="D3005" s="3">
        <v>45657</v>
      </c>
      <c r="E3005" s="4" t="s">
        <v>8864</v>
      </c>
      <c r="F3005" s="2" t="str">
        <f>TRIM(Table1[[#This Row],[Status]])</f>
        <v>Zaakceptowana</v>
      </c>
      <c r="G3005" s="2" t="str">
        <f>TRIM(Table1[[#This Row],[Typ]])</f>
        <v>Korekta FV</v>
      </c>
      <c r="H3005" s="2" t="str">
        <f>TRIM(Table1[[#This Row],[Magazyn]])</f>
        <v>Apteka Szpitalna</v>
      </c>
      <c r="I3005" s="2" t="str">
        <f>TRIM(Table1[[#This Row],[Umowa]])</f>
        <v>UM-VIT-01</v>
      </c>
      <c r="J3005" s="2" t="b">
        <f>ISTEXT(Table14[[#This Row],[Data_Wystawienia]])</f>
        <v>0</v>
      </c>
      <c r="K3005" s="2">
        <f>VALUE(SUBSTITUTE(Table14[[#This Row],[Wartość]],".",","))</f>
        <v>-656.36</v>
      </c>
      <c r="L3005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5" s="2" t="str">
        <f>IF(Table14[[#This Row],[Umowa]]="","Poza umową","Z umowy")</f>
        <v>Z umowy</v>
      </c>
      <c r="N3005" s="2">
        <f>YEAR(Table14[[#This Row],[Data_Wystawienia]])</f>
        <v>2024</v>
      </c>
      <c r="O3005" s="2" t="str">
        <f>TEXT(Table14[[#This Row],[Data_Wystawienia]],"rrrr-mm")</f>
        <v>2024-12</v>
      </c>
      <c r="P3005" s="2">
        <v>1</v>
      </c>
    </row>
    <row r="3006" spans="1:16" x14ac:dyDescent="0.3">
      <c r="A3006" s="2" t="str">
        <f>TRIM(Table1[[#This Row],[Numer_FV]])</f>
        <v>FV/CENFA/962268/24</v>
      </c>
      <c r="B3006" s="2"/>
      <c r="C3006" s="2" t="str">
        <f>TRIM(Table1[[#This Row],[Dostawca]])</f>
        <v>CentrumFarm</v>
      </c>
      <c r="D3006" s="3">
        <v>45657</v>
      </c>
      <c r="E3006" s="4" t="s">
        <v>8866</v>
      </c>
      <c r="F3006" s="2" t="str">
        <f>TRIM(Table1[[#This Row],[Status]])</f>
        <v>Wprowadzone</v>
      </c>
      <c r="G3006" s="2" t="str">
        <f>TRIM(Table1[[#This Row],[Typ]])</f>
        <v>Faktura VAT</v>
      </c>
      <c r="H3006" s="2" t="str">
        <f>TRIM(Table1[[#This Row],[Magazyn]])</f>
        <v>Apteka Szpitalna</v>
      </c>
      <c r="I3006" s="2" t="str">
        <f>TRIM(Table1[[#This Row],[Umowa]])</f>
        <v>UM-CEN-02</v>
      </c>
      <c r="J3006" s="2" t="b">
        <f>ISTEXT(Table14[[#This Row],[Data_Wystawienia]])</f>
        <v>0</v>
      </c>
      <c r="K3006" s="2">
        <f>VALUE(SUBSTITUTE(Table14[[#This Row],[Wartość]],".",","))</f>
        <v>13614.6</v>
      </c>
      <c r="L3006" s="2" t="str">
        <f>IF(OR(AND(Table14[[#This Row],[Typ]]="Korekta FV",Table14[[#This Row],[Wartość_clean]]&gt;0),
AND(Table14[[#This Row],[Typ]]="Faktura VAT",Table14[[#This Row],[Wartość_clean]]&lt;0)),"Błąd znaku","OK")</f>
        <v>OK</v>
      </c>
      <c r="M3006" s="2" t="str">
        <f>IF(Table14[[#This Row],[Umowa]]="","Poza umową","Z umowy")</f>
        <v>Z umowy</v>
      </c>
      <c r="N3006" s="2">
        <f>YEAR(Table14[[#This Row],[Data_Wystawienia]])</f>
        <v>2024</v>
      </c>
      <c r="O3006" s="2" t="str">
        <f>TEXT(Table14[[#This Row],[Data_Wystawienia]],"rrrr-mm")</f>
        <v>2024-12</v>
      </c>
      <c r="P3006" s="2">
        <v>1</v>
      </c>
    </row>
  </sheetData>
  <conditionalFormatting sqref="B1:B299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EBA-3336-47C7-A3E4-3C71F85B73BE}">
  <dimension ref="A1:D26"/>
  <sheetViews>
    <sheetView topLeftCell="A7" workbookViewId="0">
      <selection activeCell="C14" sqref="C14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3" width="22.5546875" customWidth="1"/>
    <col min="4" max="4" width="12" bestFit="1" customWidth="1"/>
    <col min="5" max="5" width="20.44140625" bestFit="1" customWidth="1"/>
    <col min="6" max="6" width="24" bestFit="1" customWidth="1"/>
    <col min="7" max="7" width="25" bestFit="1" customWidth="1"/>
  </cols>
  <sheetData>
    <row r="1" spans="1:4" x14ac:dyDescent="0.3">
      <c r="A1" s="13" t="s">
        <v>8881</v>
      </c>
      <c r="B1" s="13"/>
      <c r="C1" s="13"/>
      <c r="D1" s="13"/>
    </row>
    <row r="3" spans="1:4" x14ac:dyDescent="0.3">
      <c r="A3" s="5" t="s">
        <v>8875</v>
      </c>
      <c r="B3" t="s">
        <v>8879</v>
      </c>
      <c r="C3" t="s">
        <v>8880</v>
      </c>
    </row>
    <row r="4" spans="1:4" x14ac:dyDescent="0.3">
      <c r="A4" s="2" t="s">
        <v>8876</v>
      </c>
      <c r="B4">
        <v>8979199.7499999981</v>
      </c>
      <c r="C4" s="6">
        <v>0.20803857426551378</v>
      </c>
    </row>
    <row r="5" spans="1:4" x14ac:dyDescent="0.3">
      <c r="A5" s="2" t="s">
        <v>8877</v>
      </c>
      <c r="B5">
        <v>34182025.430000022</v>
      </c>
      <c r="C5" s="6">
        <v>0.79196142573448614</v>
      </c>
    </row>
    <row r="6" spans="1:4" x14ac:dyDescent="0.3">
      <c r="A6" s="2" t="s">
        <v>8878</v>
      </c>
      <c r="B6">
        <v>43161225.180000022</v>
      </c>
      <c r="C6" s="6">
        <v>1</v>
      </c>
    </row>
    <row r="9" spans="1:4" x14ac:dyDescent="0.3">
      <c r="A9" s="13" t="s">
        <v>8882</v>
      </c>
      <c r="B9" s="13"/>
      <c r="C9" s="13"/>
      <c r="D9" s="13"/>
    </row>
    <row r="11" spans="1:4" x14ac:dyDescent="0.3">
      <c r="A11" s="5" t="s">
        <v>8879</v>
      </c>
      <c r="B11" s="5" t="s">
        <v>8883</v>
      </c>
    </row>
    <row r="12" spans="1:4" x14ac:dyDescent="0.3">
      <c r="A12" s="5" t="s">
        <v>8875</v>
      </c>
      <c r="B12" t="s">
        <v>8876</v>
      </c>
      <c r="C12" t="s">
        <v>8877</v>
      </c>
      <c r="D12" t="s">
        <v>8878</v>
      </c>
    </row>
    <row r="13" spans="1:4" x14ac:dyDescent="0.3">
      <c r="A13" s="2">
        <v>2022</v>
      </c>
      <c r="B13" s="6">
        <v>7.1054126874532789E-2</v>
      </c>
      <c r="C13" s="6">
        <v>0.26071718407137207</v>
      </c>
      <c r="D13" s="6">
        <v>0.33177131094590484</v>
      </c>
    </row>
    <row r="14" spans="1:4" x14ac:dyDescent="0.3">
      <c r="A14" s="2">
        <v>2023</v>
      </c>
      <c r="B14" s="6">
        <v>6.9130914091442869E-2</v>
      </c>
      <c r="C14" s="6">
        <v>0.25891974876511142</v>
      </c>
      <c r="D14" s="6">
        <v>0.32805066285655426</v>
      </c>
    </row>
    <row r="15" spans="1:4" x14ac:dyDescent="0.3">
      <c r="A15" s="2">
        <v>2024</v>
      </c>
      <c r="B15" s="6">
        <v>6.7853533299538263E-2</v>
      </c>
      <c r="C15" s="6">
        <v>0.27232449289800265</v>
      </c>
      <c r="D15" s="6">
        <v>0.34017802619754089</v>
      </c>
    </row>
    <row r="16" spans="1:4" x14ac:dyDescent="0.3">
      <c r="A16" s="2" t="s">
        <v>8878</v>
      </c>
      <c r="B16" s="6">
        <v>0.20803857426551392</v>
      </c>
      <c r="C16" s="6">
        <v>0.79196142573448602</v>
      </c>
      <c r="D16" s="6">
        <v>1</v>
      </c>
    </row>
    <row r="19" spans="1:4" x14ac:dyDescent="0.3">
      <c r="A19" s="13" t="s">
        <v>8884</v>
      </c>
      <c r="B19" s="13"/>
      <c r="C19" s="13"/>
      <c r="D19" s="13"/>
    </row>
    <row r="21" spans="1:4" x14ac:dyDescent="0.3">
      <c r="A21" s="5" t="s">
        <v>8879</v>
      </c>
      <c r="B21" s="5" t="s">
        <v>8883</v>
      </c>
    </row>
    <row r="22" spans="1:4" x14ac:dyDescent="0.3">
      <c r="A22" s="5" t="s">
        <v>8875</v>
      </c>
      <c r="B22" t="s">
        <v>8876</v>
      </c>
      <c r="C22" t="s">
        <v>8878</v>
      </c>
    </row>
    <row r="23" spans="1:4" x14ac:dyDescent="0.3">
      <c r="A23" s="2" t="s">
        <v>45</v>
      </c>
      <c r="B23" s="14">
        <v>1226492.8899999999</v>
      </c>
      <c r="C23" s="14">
        <v>1226492.8899999999</v>
      </c>
    </row>
    <row r="24" spans="1:4" x14ac:dyDescent="0.3">
      <c r="A24" s="2" t="s">
        <v>33</v>
      </c>
      <c r="B24" s="14">
        <v>1214554.02</v>
      </c>
      <c r="C24" s="14">
        <v>1214554.02</v>
      </c>
    </row>
    <row r="25" spans="1:4" x14ac:dyDescent="0.3">
      <c r="A25" s="2" t="s">
        <v>69</v>
      </c>
      <c r="B25" s="14">
        <v>1188859.72</v>
      </c>
      <c r="C25" s="14">
        <v>1188859.72</v>
      </c>
    </row>
    <row r="26" spans="1:4" x14ac:dyDescent="0.3">
      <c r="A26" s="2" t="s">
        <v>8878</v>
      </c>
      <c r="B26" s="14">
        <v>3629906.63</v>
      </c>
      <c r="C26" s="14">
        <v>3629906.63</v>
      </c>
    </row>
  </sheetData>
  <mergeCells count="3">
    <mergeCell ref="A1:D1"/>
    <mergeCell ref="A9:D9"/>
    <mergeCell ref="A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C387-B5AF-4613-A44D-49171D10B478}">
  <dimension ref="B2:E5"/>
  <sheetViews>
    <sheetView showGridLines="0" topLeftCell="A14" workbookViewId="0">
      <selection activeCell="C5" sqref="C5"/>
    </sheetView>
  </sheetViews>
  <sheetFormatPr defaultRowHeight="14.4" x14ac:dyDescent="0.3"/>
  <cols>
    <col min="2" max="2" width="14.88671875" customWidth="1"/>
    <col min="3" max="3" width="14.6640625" customWidth="1"/>
    <col min="4" max="4" width="13.6640625" customWidth="1"/>
    <col min="5" max="5" width="18.33203125" customWidth="1"/>
  </cols>
  <sheetData>
    <row r="2" spans="2:5" ht="18" x14ac:dyDescent="0.35">
      <c r="B2" s="12" t="s">
        <v>8890</v>
      </c>
      <c r="C2" s="12"/>
      <c r="D2" s="12"/>
    </row>
    <row r="4" spans="2:5" ht="28.8" x14ac:dyDescent="0.3">
      <c r="B4" s="9" t="s">
        <v>8891</v>
      </c>
      <c r="C4" s="9" t="s">
        <v>8894</v>
      </c>
      <c r="D4" s="9" t="s">
        <v>8892</v>
      </c>
      <c r="E4" s="9" t="s">
        <v>8893</v>
      </c>
    </row>
    <row r="5" spans="2:5" ht="21" x14ac:dyDescent="0.4">
      <c r="B5" s="10">
        <v>43161225.18</v>
      </c>
      <c r="C5" s="15">
        <v>0.20799999999999999</v>
      </c>
      <c r="D5" s="10">
        <v>14387075.060000001</v>
      </c>
      <c r="E5" s="11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8BCB-0B22-4F16-9722-1D70EB61E1C1}">
  <dimension ref="A3:A14"/>
  <sheetViews>
    <sheetView tabSelected="1" workbookViewId="0">
      <selection activeCell="L18" sqref="L18"/>
    </sheetView>
  </sheetViews>
  <sheetFormatPr defaultRowHeight="14.4" x14ac:dyDescent="0.3"/>
  <sheetData>
    <row r="3" spans="1:1" ht="21" x14ac:dyDescent="0.4">
      <c r="A3" s="7" t="s">
        <v>8885</v>
      </c>
    </row>
    <row r="4" spans="1:1" x14ac:dyDescent="0.3">
      <c r="A4" t="s">
        <v>8895</v>
      </c>
    </row>
    <row r="7" spans="1:1" ht="23.4" x14ac:dyDescent="0.45">
      <c r="A7" s="8" t="s">
        <v>8886</v>
      </c>
    </row>
    <row r="8" spans="1:1" x14ac:dyDescent="0.3">
      <c r="A8" t="s">
        <v>8889</v>
      </c>
    </row>
    <row r="9" spans="1:1" x14ac:dyDescent="0.3">
      <c r="A9" t="s">
        <v>8896</v>
      </c>
    </row>
    <row r="10" spans="1:1" x14ac:dyDescent="0.3">
      <c r="A10" t="s">
        <v>8897</v>
      </c>
    </row>
    <row r="13" spans="1:1" ht="21" x14ac:dyDescent="0.4">
      <c r="A13" s="7" t="s">
        <v>8887</v>
      </c>
    </row>
    <row r="14" spans="1:1" x14ac:dyDescent="0.3">
      <c r="A14" t="s">
        <v>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Faktury surowe</vt:lpstr>
      <vt:lpstr>Faktury oczyszczone</vt:lpstr>
      <vt:lpstr>Tabele przestawne</vt:lpstr>
      <vt:lpstr>Dashboard</vt:lpstr>
      <vt:lpstr>Wnioski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Surmańska</dc:creator>
  <cp:lastModifiedBy>Kamila Surmańska</cp:lastModifiedBy>
  <dcterms:created xsi:type="dcterms:W3CDTF">2026-02-22T14:35:46Z</dcterms:created>
  <dcterms:modified xsi:type="dcterms:W3CDTF">2026-02-22T17:58:05Z</dcterms:modified>
</cp:coreProperties>
</file>